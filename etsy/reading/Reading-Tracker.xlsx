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ooks" sheetId="2" state="visible" r:id="rId2"/>
    <sheet name="Bookshelf" sheetId="3" state="visible" r:id="rId3"/>
    <sheet name="Settings" sheetId="4" state="visible" r:id="rId4"/>
    <sheet name="Start He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0.0"/>
    <numFmt numFmtId="167" formatCode="d mmm"/>
  </numFmts>
  <fonts count="17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FFFFFF"/>
      <sz val="11"/>
    </font>
    <font>
      <name val="Arial"/>
      <b val="1"/>
      <color rgb="001E2A2F"/>
      <sz val="11"/>
    </font>
    <font>
      <name val="Arial"/>
      <i val="1"/>
      <color rgb="006B7B80"/>
      <sz val="10"/>
    </font>
    <font>
      <name val="Arial"/>
      <color rgb="001E2A2F"/>
      <sz val="11"/>
    </font>
    <font>
      <name val="Arial"/>
      <b val="1"/>
      <color rgb="0015525A"/>
      <sz val="13"/>
    </font>
    <font>
      <name val="Arial"/>
      <b val="1"/>
      <color rgb="001E2A2F"/>
      <sz val="8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b val="1"/>
      <color rgb="006B7B80"/>
      <sz val="16"/>
    </font>
    <font>
      <name val="Arial"/>
      <b val="1"/>
      <color rgb="00B07A00"/>
      <sz val="16"/>
    </font>
    <font>
      <name val="Arial"/>
      <color rgb="001F6F78"/>
      <sz val="14"/>
    </font>
    <font>
      <name val="Arial"/>
      <b val="1"/>
      <color rgb="0015525A"/>
      <sz val="12"/>
    </font>
    <font>
      <name val="Arial"/>
      <b val="1"/>
      <color rgb="001F6F78"/>
      <sz val="18"/>
    </font>
    <font>
      <name val="Arial"/>
      <color rgb="001E2A2F"/>
      <sz val="13"/>
    </font>
  </fonts>
  <fills count="1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1F6F78"/>
        <bgColor rgb="001F6F78"/>
      </patternFill>
    </fill>
    <fill>
      <patternFill patternType="solid">
        <fgColor rgb="00FFF4C2"/>
        <bgColor rgb="00FFF4C2"/>
      </patternFill>
    </fill>
    <fill>
      <patternFill patternType="solid">
        <fgColor rgb="008CC5A8"/>
        <bgColor rgb="008CC5A8"/>
      </patternFill>
    </fill>
    <fill>
      <patternFill patternType="solid">
        <fgColor rgb="00B39DDB"/>
        <bgColor rgb="00B39DDB"/>
      </patternFill>
    </fill>
    <fill>
      <patternFill patternType="solid">
        <fgColor rgb="007E9BB8"/>
        <bgColor rgb="007E9BB8"/>
      </patternFill>
    </fill>
    <fill>
      <patternFill patternType="solid">
        <fgColor rgb="00F2A7B8"/>
        <bgColor rgb="00F2A7B8"/>
      </patternFill>
    </fill>
    <fill>
      <patternFill patternType="solid">
        <fgColor rgb="0080CBC4"/>
        <bgColor rgb="0080CBC4"/>
      </patternFill>
    </fill>
    <fill>
      <patternFill patternType="solid">
        <fgColor rgb="00D7B98E"/>
        <bgColor rgb="00D7B98E"/>
      </patternFill>
    </fill>
    <fill>
      <patternFill patternType="solid">
        <fgColor rgb="00F3DE8A"/>
        <bgColor rgb="00F3DE8A"/>
      </patternFill>
    </fill>
    <fill>
      <patternFill patternType="solid">
        <fgColor rgb="00F2A65A"/>
        <bgColor rgb="00F2A65A"/>
      </patternFill>
    </fill>
    <fill>
      <patternFill patternType="solid">
        <fgColor rgb="00A5D6A7"/>
        <bgColor rgb="00A5D6A7"/>
      </patternFill>
    </fill>
    <fill>
      <patternFill patternType="solid">
        <fgColor rgb="00CE93D8"/>
        <bgColor rgb="00CE93D8"/>
      </patternFill>
    </fill>
    <fill>
      <patternFill patternType="solid">
        <fgColor rgb="00BCAAA4"/>
        <bgColor rgb="00BCAAA4"/>
      </patternFill>
    </fill>
    <fill>
      <patternFill patternType="solid">
        <fgColor rgb="00CFD8DC"/>
        <bgColor rgb="00CFD8DC"/>
      </patternFill>
    </fill>
    <fill>
      <patternFill patternType="solid">
        <fgColor rgb="008D6E63"/>
        <bgColor rgb="008D6E63"/>
      </patternFill>
    </fill>
  </fills>
  <borders count="6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/>
      <right/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 style="thin">
        <color rgb="00D5DBDB"/>
      </bottom>
      <diagonal/>
    </border>
    <border>
      <left/>
      <right/>
      <top style="thin">
        <color rgb="00D5DBDB"/>
      </top>
      <bottom style="thin">
        <color rgb="00D5DBDB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4" fillId="2" borderId="0" pivotButton="0" quotePrefix="0" xfId="0"/>
    <xf numFmtId="1" fontId="4" fillId="4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right"/>
    </xf>
    <xf numFmtId="0" fontId="9" fillId="2" borderId="1" pivotButton="0" quotePrefix="0" xfId="0"/>
    <xf numFmtId="1" fontId="10" fillId="2" borderId="1" applyAlignment="1" pivotButton="0" quotePrefix="0" xfId="0">
      <alignment horizontal="right"/>
    </xf>
    <xf numFmtId="1" fontId="11" fillId="2" borderId="1" applyAlignment="1" pivotButton="0" quotePrefix="0" xfId="0">
      <alignment horizontal="right"/>
    </xf>
    <xf numFmtId="3" fontId="10" fillId="2" borderId="1" applyAlignment="1" pivotButton="0" quotePrefix="0" xfId="0">
      <alignment horizontal="right"/>
    </xf>
    <xf numFmtId="166" fontId="12" fillId="2" borderId="1" applyAlignment="1" pivotButton="0" quotePrefix="0" xfId="0">
      <alignment horizontal="right"/>
    </xf>
    <xf numFmtId="0" fontId="13" fillId="2" borderId="0" pivotButton="0" quotePrefix="0" xfId="0"/>
    <xf numFmtId="0" fontId="14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" fontId="6" fillId="2" borderId="1" applyAlignment="1" pivotButton="0" quotePrefix="0" xfId="0">
      <alignment horizontal="center" vertical="center"/>
    </xf>
    <xf numFmtId="3" fontId="6" fillId="2" borderId="1" applyAlignment="1" pivotButton="0" quotePrefix="0" xfId="0">
      <alignment horizontal="center" vertical="center"/>
    </xf>
    <xf numFmtId="0" fontId="4" fillId="2" borderId="1" pivotButton="0" quotePrefix="0" xfId="0"/>
    <xf numFmtId="166" fontId="6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2" borderId="1" pivotButton="0" quotePrefix="0" xfId="0"/>
    <xf numFmtId="167" fontId="6" fillId="2" borderId="1" applyAlignment="1" pivotButton="0" quotePrefix="0" xfId="0">
      <alignment horizontal="center" vertical="center"/>
    </xf>
    <xf numFmtId="0" fontId="4" fillId="4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center" vertical="center"/>
    </xf>
    <xf numFmtId="1" fontId="6" fillId="4" borderId="1" applyAlignment="1" pivotButton="0" quotePrefix="0" xfId="0">
      <alignment horizontal="center" vertical="center"/>
    </xf>
    <xf numFmtId="165" fontId="6" fillId="4" borderId="1" pivotButton="0" quotePrefix="0" xfId="0"/>
    <xf numFmtId="0" fontId="7" fillId="2" borderId="0" applyAlignment="1" pivotButton="0" quotePrefix="0" xfId="0">
      <alignment vertical="center"/>
    </xf>
    <xf numFmtId="0" fontId="8" fillId="2" borderId="1" applyAlignment="1" pivotButton="0" quotePrefix="0" xfId="0">
      <alignment horizontal="center" vertical="bottom" textRotation="90"/>
    </xf>
    <xf numFmtId="0" fontId="0" fillId="17" borderId="0" pivotButton="0" quotePrefix="0" xfId="0"/>
    <xf numFmtId="0" fontId="0" fillId="5" borderId="1" pivotButton="0" quotePrefix="0" xfId="0"/>
    <xf numFmtId="0" fontId="5" fillId="2" borderId="0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15" fillId="2" borderId="0" pivotButton="0" quotePrefix="0" xfId="0"/>
    <xf numFmtId="0" fontId="16" fillId="2" borderId="0" pivotButton="0" quotePrefix="0" xfId="0"/>
  </cellXfs>
  <cellStyles count="1">
    <cellStyle name="Normal" xfId="0" builtinId="0" hidden="0"/>
  </cellStyles>
  <dxfs count="17">
    <dxf>
      <fill>
        <patternFill patternType="solid">
          <fgColor rgb="00FFE2B8"/>
          <bgColor rgb="00FFE2B8"/>
        </patternFill>
      </fill>
    </dxf>
    <dxf>
      <fill>
        <patternFill patternType="solid">
          <fgColor rgb="00D8F0DC"/>
          <bgColor rgb="00D8F0DC"/>
        </patternFill>
      </fill>
    </dxf>
    <dxf>
      <fill>
        <patternFill patternType="solid">
          <fgColor rgb="008CC5A8"/>
          <bgColor rgb="008CC5A8"/>
        </patternFill>
      </fill>
    </dxf>
    <dxf>
      <fill>
        <patternFill patternType="solid">
          <fgColor rgb="00B39DDB"/>
          <bgColor rgb="00B39DDB"/>
        </patternFill>
      </fill>
    </dxf>
    <dxf>
      <fill>
        <patternFill patternType="solid">
          <fgColor rgb="007E9BB8"/>
          <bgColor rgb="007E9BB8"/>
        </patternFill>
      </fill>
    </dxf>
    <dxf>
      <fill>
        <patternFill patternType="solid">
          <fgColor rgb="00F2A7B8"/>
          <bgColor rgb="00F2A7B8"/>
        </patternFill>
      </fill>
    </dxf>
    <dxf>
      <fill>
        <patternFill patternType="solid">
          <fgColor rgb="0080CBC4"/>
          <bgColor rgb="0080CBC4"/>
        </patternFill>
      </fill>
    </dxf>
    <dxf>
      <fill>
        <patternFill patternType="solid">
          <fgColor rgb="00D7B98E"/>
          <bgColor rgb="00D7B98E"/>
        </patternFill>
      </fill>
    </dxf>
    <dxf>
      <fill>
        <patternFill patternType="solid">
          <fgColor rgb="00F3DE8A"/>
          <bgColor rgb="00F3DE8A"/>
        </patternFill>
      </fill>
    </dxf>
    <dxf>
      <fill>
        <patternFill patternType="solid">
          <fgColor rgb="00F2A65A"/>
          <bgColor rgb="00F2A65A"/>
        </patternFill>
      </fill>
    </dxf>
    <dxf>
      <fill>
        <patternFill patternType="solid">
          <fgColor rgb="00A5D6A7"/>
          <bgColor rgb="00A5D6A7"/>
        </patternFill>
      </fill>
    </dxf>
    <dxf>
      <fill>
        <patternFill patternType="solid">
          <fgColor rgb="00CE93D8"/>
          <bgColor rgb="00CE93D8"/>
        </patternFill>
      </fill>
    </dxf>
    <dxf>
      <fill>
        <patternFill patternType="solid">
          <fgColor rgb="00BCAAA4"/>
          <bgColor rgb="00BCAAA4"/>
        </patternFill>
      </fill>
    </dxf>
    <dxf>
      <fill>
        <patternFill patternType="solid">
          <fgColor rgb="00CFD8DC"/>
          <bgColor rgb="00CFD8DC"/>
        </patternFill>
      </fill>
    </dxf>
    <dxf>
      <fill>
        <patternFill patternType="solid">
          <fgColor rgb="00FCE9B8"/>
          <bgColor rgb="00FCE9B8"/>
        </patternFill>
      </fill>
    </dxf>
    <dxf>
      <font>
        <name val="Arial"/>
        <color rgb="009AA7A9"/>
      </font>
      <fill>
        <patternFill patternType="solid">
          <fgColor rgb="00EEF1F1"/>
          <bgColor rgb="00EEF1F1"/>
        </patternFill>
      </fill>
    </dxf>
    <dxf>
      <font>
        <name val="Arial"/>
        <b val="1"/>
      </font>
      <fill>
        <patternFill patternType="solid">
          <fgColor rgb="00F3DE8A"/>
          <bgColor rgb="00F3DE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Books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'Dashboard'!C11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'Dashboard'!$B$12:$B$23</f>
            </numRef>
          </cat>
          <val>
            <numRef>
              <f>'Dashboard'!$C$12:$C$23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3024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" customWidth="1" min="8" max="8"/>
    <col width="30" customWidth="1" min="9" max="9"/>
    <col width="12" customWidth="1" min="10" max="10"/>
    <col width="10" customWidth="1" min="11" max="11"/>
    <col width="10" customWidth="1" min="12" max="12"/>
    <col width="3" customWidth="1" min="13" max="13"/>
    <col hidden="1" width="13" customWidth="1" min="15" max="15"/>
    <col hidden="1" width="13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2" customHeight="1">
      <c r="A2" s="1" t="n"/>
      <c r="B2" s="2" t="inlineStr">
        <is>
          <t>Reading dashboard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3" t="inlineStr">
        <is>
          <t>Your goal for the year, what you are reading, and your books by month and genre.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4" t="inlineStr">
        <is>
          <t>Year</t>
        </is>
      </c>
      <c r="C4" s="5" t="n">
        <v>2026</v>
      </c>
      <c r="D4" s="1" t="n"/>
      <c r="E4" s="6" t="inlineStr">
        <is>
          <t>Goal (books)</t>
        </is>
      </c>
      <c r="F4" s="5" t="n">
        <v>45</v>
      </c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7">
        <f>"Books in "&amp;Dashboard!$C$4</f>
        <v/>
      </c>
      <c r="C6" s="7" t="inlineStr">
        <is>
          <t>Goal</t>
        </is>
      </c>
      <c r="D6" s="7" t="inlineStr">
        <is>
          <t>Pages</t>
        </is>
      </c>
      <c r="E6" s="7" t="inlineStr">
        <is>
          <t>Average rating</t>
        </is>
      </c>
      <c r="F6" s="7" t="inlineStr">
        <is>
          <t>Reading now</t>
        </is>
      </c>
      <c r="G6" s="7" t="inlineStr">
        <is>
          <t>Want to read</t>
        </is>
      </c>
      <c r="H6" s="1" t="n"/>
      <c r="I6" s="1" t="n"/>
      <c r="J6" s="1" t="n"/>
      <c r="K6" s="1" t="n"/>
      <c r="L6" s="1" t="n"/>
      <c r="M6" s="1" t="n"/>
      <c r="N6" s="1" t="n"/>
    </row>
    <row r="7" ht="34" customHeight="1">
      <c r="A7" s="1" t="n"/>
      <c r="B7" s="8">
        <f>COUNTIFS(Books!$G$6:$G$1005,"Finished",Books!$I$6:$I$1005,"&gt;="&amp;DATE(Dashboard!$C$4,1,1),Books!$I$6:$I$1005,"&lt;="&amp;DATE(Dashboard!$C$4,12,31))</f>
        <v/>
      </c>
      <c r="C7" s="9">
        <f>IF(N($F$4)=0,"",$F$4)</f>
        <v/>
      </c>
      <c r="D7" s="10">
        <f>SUMIFS(Books!$F$6:$F$1005,Books!$G$6:$G$1005,"Finished",Books!$I$6:$I$1005,"&gt;="&amp;DATE(Dashboard!$C$4,1,1),Books!$I$6:$I$1005,"&lt;="&amp;DATE(Dashboard!$C$4,12,31))</f>
        <v/>
      </c>
      <c r="E7" s="11">
        <f>IFERROR(AVERAGEIFS(Books!$J$6:$J$1005,Books!$G$6:$G$1005,"Finished",Books!$I$6:$I$1005,"&gt;="&amp;DATE(Dashboard!$C$4,1,1),Books!$I$6:$I$1005,"&lt;="&amp;DATE(Dashboard!$C$4,12,31)),"")</f>
        <v/>
      </c>
      <c r="F7" s="8">
        <f>COUNTIF(Books!$G$6:$G$1005,"Reading")</f>
        <v/>
      </c>
      <c r="G7" s="8">
        <f>COUNTIF(Books!$G$6:$G$1005,"Want to read")</f>
        <v/>
      </c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26" customHeight="1">
      <c r="A9" s="1" t="n"/>
      <c r="B9" s="12">
        <f>IF(N($F$4)=0,"",REPT("█",MIN(30,MAX(0,ROUND((MIN(1,COUNTIFS(Books!$G$6:$G$1005,"Finished",Books!$I$6:$I$1005,"&gt;="&amp;DATE(Dashboard!$C$4,1,1),Books!$I$6:$I$1005,"&lt;="&amp;DATE(Dashboard!$C$4,12,31))/$F$4))*30,0))))&amp;REPT("░",30-MIN(30,MAX(0,ROUND((MIN(1,COUNTIFS(Books!$G$6:$G$1005,"Finished",Books!$I$6:$I$1005,"&gt;="&amp;DATE(Dashboard!$C$4,1,1),Books!$I$6:$I$1005,"&lt;="&amp;DATE(Dashboard!$C$4,12,31))/$F$4))*30,0)))))</f>
        <v/>
      </c>
      <c r="F9" s="13">
        <f>IF(N($F$4)=0,"",IF(COUNTIFS(Books!$G$6:$G$1005,"Finished",Books!$I$6:$I$1005,"&gt;="&amp;DATE(Dashboard!$C$4,1,1),Books!$I$6:$I$1005,"&lt;="&amp;DATE(Dashboard!$C$4,12,31))&gt;=ROUND($F$4*IF(Dashboard!$C$4&lt;YEAR(TODAY()),1,IF(Dashboard!$C$4&gt;YEAR(TODAY()),0,(TODAY()-DATE(Dashboard!$C$4,1,1)+1)/(DATE(Dashboard!$C$4,12,31)-DATE(Dashboard!$C$4,1,1)+1))),0)+1,"Ahead by "&amp;(COUNTIFS(Books!$G$6:$G$1005,"Finished",Books!$I$6:$I$1005,"&gt;="&amp;DATE(Dashboard!$C$4,1,1),Books!$I$6:$I$1005,"&lt;="&amp;DATE(Dashboard!$C$4,12,31))-ROUND($F$4*IF(Dashboard!$C$4&lt;YEAR(TODAY()),1,IF(Dashboard!$C$4&gt;YEAR(TODAY()),0,(TODAY()-DATE(Dashboard!$C$4,1,1)+1)/(DATE(Dashboard!$C$4,12,31)-DATE(Dashboard!$C$4,1,1)+1))),0))&amp;IF(COUNTIFS(Books!$G$6:$G$1005,"Finished",Books!$I$6:$I$1005,"&gt;="&amp;DATE(Dashboard!$C$4,1,1),Books!$I$6:$I$1005,"&lt;="&amp;DATE(Dashboard!$C$4,12,31))-ROUND($F$4*IF(Dashboard!$C$4&lt;YEAR(TODAY()),1,IF(Dashboard!$C$4&gt;YEAR(TODAY()),0,(TODAY()-DATE(Dashboard!$C$4,1,1)+1)/(DATE(Dashboard!$C$4,12,31)-DATE(Dashboard!$C$4,1,1)+1))),0)=1," book"," books"),IF(COUNTIFS(Books!$G$6:$G$1005,"Finished",Books!$I$6:$I$1005,"&gt;="&amp;DATE(Dashboard!$C$4,1,1),Books!$I$6:$I$1005,"&lt;="&amp;DATE(Dashboard!$C$4,12,31))&lt;=ROUND($F$4*IF(Dashboard!$C$4&lt;YEAR(TODAY()),1,IF(Dashboard!$C$4&gt;YEAR(TODAY()),0,(TODAY()-DATE(Dashboard!$C$4,1,1)+1)/(DATE(Dashboard!$C$4,12,31)-DATE(Dashboard!$C$4,1,1)+1))),0)-1,"Behind by "&amp;(ROUND($F$4*IF(Dashboard!$C$4&lt;YEAR(TODAY()),1,IF(Dashboard!$C$4&gt;YEAR(TODAY()),0,(TODAY()-DATE(Dashboard!$C$4,1,1)+1)/(DATE(Dashboard!$C$4,12,31)-DATE(Dashboard!$C$4,1,1)+1))),0)-COUNTIFS(Books!$G$6:$G$1005,"Finished",Books!$I$6:$I$1005,"&gt;="&amp;DATE(Dashboard!$C$4,1,1),Books!$I$6:$I$1005,"&lt;="&amp;DATE(Dashboard!$C$4,12,31)))&amp;IF(ROUND($F$4*IF(Dashboard!$C$4&lt;YEAR(TODAY()),1,IF(Dashboard!$C$4&gt;YEAR(TODAY()),0,(TODAY()-DATE(Dashboard!$C$4,1,1)+1)/(DATE(Dashboard!$C$4,12,31)-DATE(Dashboard!$C$4,1,1)+1))),0)-COUNTIFS(Books!$G$6:$G$1005,"Finished",Books!$I$6:$I$1005,"&gt;="&amp;DATE(Dashboard!$C$4,1,1),Books!$I$6:$I$1005,"&lt;="&amp;DATE(Dashboard!$C$4,12,31))=1," book"," books"),"On track")))</f>
        <v/>
      </c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 ht="30" customHeight="1">
      <c r="A11" s="1" t="n"/>
      <c r="B11" s="14" t="inlineStr">
        <is>
          <t>Month</t>
        </is>
      </c>
      <c r="C11" s="14" t="inlineStr">
        <is>
          <t>Books</t>
        </is>
      </c>
      <c r="D11" s="14" t="inlineStr">
        <is>
          <t>Pages</t>
        </is>
      </c>
      <c r="E11" s="1" t="n"/>
      <c r="F11" s="1" t="n"/>
      <c r="G11" s="1" t="n"/>
      <c r="H11" s="1" t="n"/>
      <c r="I11" s="14" t="inlineStr">
        <is>
          <t>Genre</t>
        </is>
      </c>
      <c r="J11" s="14" t="inlineStr">
        <is>
          <t>Books</t>
        </is>
      </c>
      <c r="K11" s="14" t="inlineStr">
        <is>
          <t>Pages</t>
        </is>
      </c>
      <c r="L11" s="14" t="inlineStr">
        <is>
          <t>Rating</t>
        </is>
      </c>
      <c r="M11" s="1" t="n"/>
      <c r="N11" s="1" t="n"/>
    </row>
    <row r="12">
      <c r="A12" s="1" t="n"/>
      <c r="B12" s="15" t="inlineStr">
        <is>
          <t>Jan</t>
        </is>
      </c>
      <c r="C12" s="16">
        <f>COUNTIFS(Books!$G$6:$G$1005,"Finished",Books!$I$6:$I$1005,"&gt;="&amp;DATE(Dashboard!$C$4,1,1),Books!$I$6:$I$1005,"&lt;="&amp;EOMONTH(DATE(Dashboard!$C$4,1,1),0))</f>
        <v/>
      </c>
      <c r="D12" s="17">
        <f>SUMIFS(Books!$F$6:$F$1005,Books!$G$6:$G$1005,"Finished",Books!$I$6:$I$1005,"&gt;="&amp;DATE(Dashboard!$C$4,1,1),Books!$I$6:$I$1005,"&lt;="&amp;EOMONTH(DATE(Dashboard!$C$4,1,1),0))</f>
        <v/>
      </c>
      <c r="E12" s="1" t="n"/>
      <c r="F12" s="1" t="n"/>
      <c r="G12" s="1" t="n"/>
      <c r="H12" s="1" t="n"/>
      <c r="I12" s="18">
        <f>IF(Settings!B6="","",Settings!B6)</f>
        <v/>
      </c>
      <c r="J12" s="16">
        <f>IF(I12="","",COUNTIFS(Books!$G$6:$G$1005,"Finished",Books!$I$6:$I$1005,"&gt;="&amp;DATE(Dashboard!$C$4,1,1),Books!$I$6:$I$1005,"&lt;="&amp;DATE(Dashboard!$C$4,12,31),Books!$D$6:$D$1005,I12))</f>
        <v/>
      </c>
      <c r="K12" s="17">
        <f>IF(I12="","",SUMIFS(Books!$F$6:$F$1005,Books!$G$6:$G$1005,"Finished",Books!$I$6:$I$1005,"&gt;="&amp;DATE(Dashboard!$C$4,1,1),Books!$I$6:$I$1005,"&lt;="&amp;DATE(Dashboard!$C$4,12,31),Books!$D$6:$D$1005,I12))</f>
        <v/>
      </c>
      <c r="L12" s="19">
        <f>IF(OR(I12="",N(J12)=0),"",AVERAGEIFS(Books!$J$6:$J$1005,Books!$G$6:$G$1005,"Finished",Books!$I$6:$I$1005,"&gt;="&amp;DATE(Dashboard!$C$4,1,1),Books!$I$6:$I$1005,"&lt;="&amp;DATE(Dashboard!$C$4,12,31),Books!$D$6:$D$1005,I12))</f>
        <v/>
      </c>
      <c r="M12" s="1" t="n"/>
      <c r="N12" s="1" t="n"/>
    </row>
    <row r="13">
      <c r="A13" s="1" t="n"/>
      <c r="B13" s="15" t="inlineStr">
        <is>
          <t>Feb</t>
        </is>
      </c>
      <c r="C13" s="16">
        <f>COUNTIFS(Books!$G$6:$G$1005,"Finished",Books!$I$6:$I$1005,"&gt;="&amp;DATE(Dashboard!$C$4,2,1),Books!$I$6:$I$1005,"&lt;="&amp;EOMONTH(DATE(Dashboard!$C$4,2,1),0))</f>
        <v/>
      </c>
      <c r="D13" s="17">
        <f>SUMIFS(Books!$F$6:$F$1005,Books!$G$6:$G$1005,"Finished",Books!$I$6:$I$1005,"&gt;="&amp;DATE(Dashboard!$C$4,2,1),Books!$I$6:$I$1005,"&lt;="&amp;EOMONTH(DATE(Dashboard!$C$4,2,1),0))</f>
        <v/>
      </c>
      <c r="E13" s="1" t="n"/>
      <c r="F13" s="1" t="n"/>
      <c r="G13" s="1" t="n"/>
      <c r="H13" s="1" t="n"/>
      <c r="I13" s="18">
        <f>IF(Settings!B7="","",Settings!B7)</f>
        <v/>
      </c>
      <c r="J13" s="16">
        <f>IF(I13="","",COUNTIFS(Books!$G$6:$G$1005,"Finished",Books!$I$6:$I$1005,"&gt;="&amp;DATE(Dashboard!$C$4,1,1),Books!$I$6:$I$1005,"&lt;="&amp;DATE(Dashboard!$C$4,12,31),Books!$D$6:$D$1005,I13))</f>
        <v/>
      </c>
      <c r="K13" s="17">
        <f>IF(I13="","",SUMIFS(Books!$F$6:$F$1005,Books!$G$6:$G$1005,"Finished",Books!$I$6:$I$1005,"&gt;="&amp;DATE(Dashboard!$C$4,1,1),Books!$I$6:$I$1005,"&lt;="&amp;DATE(Dashboard!$C$4,12,31),Books!$D$6:$D$1005,I13))</f>
        <v/>
      </c>
      <c r="L13" s="19">
        <f>IF(OR(I13="",N(J13)=0),"",AVERAGEIFS(Books!$J$6:$J$1005,Books!$G$6:$G$1005,"Finished",Books!$I$6:$I$1005,"&gt;="&amp;DATE(Dashboard!$C$4,1,1),Books!$I$6:$I$1005,"&lt;="&amp;DATE(Dashboard!$C$4,12,31),Books!$D$6:$D$1005,I13))</f>
        <v/>
      </c>
      <c r="M13" s="1" t="n"/>
      <c r="N13" s="1" t="n"/>
    </row>
    <row r="14">
      <c r="A14" s="1" t="n"/>
      <c r="B14" s="15" t="inlineStr">
        <is>
          <t>Mar</t>
        </is>
      </c>
      <c r="C14" s="16">
        <f>COUNTIFS(Books!$G$6:$G$1005,"Finished",Books!$I$6:$I$1005,"&gt;="&amp;DATE(Dashboard!$C$4,3,1),Books!$I$6:$I$1005,"&lt;="&amp;EOMONTH(DATE(Dashboard!$C$4,3,1),0))</f>
        <v/>
      </c>
      <c r="D14" s="17">
        <f>SUMIFS(Books!$F$6:$F$1005,Books!$G$6:$G$1005,"Finished",Books!$I$6:$I$1005,"&gt;="&amp;DATE(Dashboard!$C$4,3,1),Books!$I$6:$I$1005,"&lt;="&amp;EOMONTH(DATE(Dashboard!$C$4,3,1),0))</f>
        <v/>
      </c>
      <c r="E14" s="1" t="n"/>
      <c r="F14" s="1" t="n"/>
      <c r="G14" s="1" t="n"/>
      <c r="H14" s="1" t="n"/>
      <c r="I14" s="18">
        <f>IF(Settings!B8="","",Settings!B8)</f>
        <v/>
      </c>
      <c r="J14" s="16">
        <f>IF(I14="","",COUNTIFS(Books!$G$6:$G$1005,"Finished",Books!$I$6:$I$1005,"&gt;="&amp;DATE(Dashboard!$C$4,1,1),Books!$I$6:$I$1005,"&lt;="&amp;DATE(Dashboard!$C$4,12,31),Books!$D$6:$D$1005,I14))</f>
        <v/>
      </c>
      <c r="K14" s="17">
        <f>IF(I14="","",SUMIFS(Books!$F$6:$F$1005,Books!$G$6:$G$1005,"Finished",Books!$I$6:$I$1005,"&gt;="&amp;DATE(Dashboard!$C$4,1,1),Books!$I$6:$I$1005,"&lt;="&amp;DATE(Dashboard!$C$4,12,31),Books!$D$6:$D$1005,I14))</f>
        <v/>
      </c>
      <c r="L14" s="19">
        <f>IF(OR(I14="",N(J14)=0),"",AVERAGEIFS(Books!$J$6:$J$1005,Books!$G$6:$G$1005,"Finished",Books!$I$6:$I$1005,"&gt;="&amp;DATE(Dashboard!$C$4,1,1),Books!$I$6:$I$1005,"&lt;="&amp;DATE(Dashboard!$C$4,12,31),Books!$D$6:$D$1005,I14))</f>
        <v/>
      </c>
      <c r="M14" s="1" t="n"/>
      <c r="N14" s="1" t="n"/>
    </row>
    <row r="15">
      <c r="A15" s="1" t="n"/>
      <c r="B15" s="15" t="inlineStr">
        <is>
          <t>Apr</t>
        </is>
      </c>
      <c r="C15" s="16">
        <f>COUNTIFS(Books!$G$6:$G$1005,"Finished",Books!$I$6:$I$1005,"&gt;="&amp;DATE(Dashboard!$C$4,4,1),Books!$I$6:$I$1005,"&lt;="&amp;EOMONTH(DATE(Dashboard!$C$4,4,1),0))</f>
        <v/>
      </c>
      <c r="D15" s="17">
        <f>SUMIFS(Books!$F$6:$F$1005,Books!$G$6:$G$1005,"Finished",Books!$I$6:$I$1005,"&gt;="&amp;DATE(Dashboard!$C$4,4,1),Books!$I$6:$I$1005,"&lt;="&amp;EOMONTH(DATE(Dashboard!$C$4,4,1),0))</f>
        <v/>
      </c>
      <c r="E15" s="1" t="n"/>
      <c r="F15" s="1" t="n"/>
      <c r="G15" s="1" t="n"/>
      <c r="H15" s="1" t="n"/>
      <c r="I15" s="18">
        <f>IF(Settings!B9="","",Settings!B9)</f>
        <v/>
      </c>
      <c r="J15" s="16">
        <f>IF(I15="","",COUNTIFS(Books!$G$6:$G$1005,"Finished",Books!$I$6:$I$1005,"&gt;="&amp;DATE(Dashboard!$C$4,1,1),Books!$I$6:$I$1005,"&lt;="&amp;DATE(Dashboard!$C$4,12,31),Books!$D$6:$D$1005,I15))</f>
        <v/>
      </c>
      <c r="K15" s="17">
        <f>IF(I15="","",SUMIFS(Books!$F$6:$F$1005,Books!$G$6:$G$1005,"Finished",Books!$I$6:$I$1005,"&gt;="&amp;DATE(Dashboard!$C$4,1,1),Books!$I$6:$I$1005,"&lt;="&amp;DATE(Dashboard!$C$4,12,31),Books!$D$6:$D$1005,I15))</f>
        <v/>
      </c>
      <c r="L15" s="19">
        <f>IF(OR(I15="",N(J15)=0),"",AVERAGEIFS(Books!$J$6:$J$1005,Books!$G$6:$G$1005,"Finished",Books!$I$6:$I$1005,"&gt;="&amp;DATE(Dashboard!$C$4,1,1),Books!$I$6:$I$1005,"&lt;="&amp;DATE(Dashboard!$C$4,12,31),Books!$D$6:$D$1005,I15))</f>
        <v/>
      </c>
      <c r="M15" s="1" t="n"/>
      <c r="N15" s="1" t="n"/>
    </row>
    <row r="16">
      <c r="A16" s="1" t="n"/>
      <c r="B16" s="15" t="inlineStr">
        <is>
          <t>May</t>
        </is>
      </c>
      <c r="C16" s="16">
        <f>COUNTIFS(Books!$G$6:$G$1005,"Finished",Books!$I$6:$I$1005,"&gt;="&amp;DATE(Dashboard!$C$4,5,1),Books!$I$6:$I$1005,"&lt;="&amp;EOMONTH(DATE(Dashboard!$C$4,5,1),0))</f>
        <v/>
      </c>
      <c r="D16" s="17">
        <f>SUMIFS(Books!$F$6:$F$1005,Books!$G$6:$G$1005,"Finished",Books!$I$6:$I$1005,"&gt;="&amp;DATE(Dashboard!$C$4,5,1),Books!$I$6:$I$1005,"&lt;="&amp;EOMONTH(DATE(Dashboard!$C$4,5,1),0))</f>
        <v/>
      </c>
      <c r="E16" s="1" t="n"/>
      <c r="F16" s="1" t="n"/>
      <c r="G16" s="1" t="n"/>
      <c r="H16" s="1" t="n"/>
      <c r="I16" s="18">
        <f>IF(Settings!B10="","",Settings!B10)</f>
        <v/>
      </c>
      <c r="J16" s="16">
        <f>IF(I16="","",COUNTIFS(Books!$G$6:$G$1005,"Finished",Books!$I$6:$I$1005,"&gt;="&amp;DATE(Dashboard!$C$4,1,1),Books!$I$6:$I$1005,"&lt;="&amp;DATE(Dashboard!$C$4,12,31),Books!$D$6:$D$1005,I16))</f>
        <v/>
      </c>
      <c r="K16" s="17">
        <f>IF(I16="","",SUMIFS(Books!$F$6:$F$1005,Books!$G$6:$G$1005,"Finished",Books!$I$6:$I$1005,"&gt;="&amp;DATE(Dashboard!$C$4,1,1),Books!$I$6:$I$1005,"&lt;="&amp;DATE(Dashboard!$C$4,12,31),Books!$D$6:$D$1005,I16))</f>
        <v/>
      </c>
      <c r="L16" s="19">
        <f>IF(OR(I16="",N(J16)=0),"",AVERAGEIFS(Books!$J$6:$J$1005,Books!$G$6:$G$1005,"Finished",Books!$I$6:$I$1005,"&gt;="&amp;DATE(Dashboard!$C$4,1,1),Books!$I$6:$I$1005,"&lt;="&amp;DATE(Dashboard!$C$4,12,31),Books!$D$6:$D$1005,I16))</f>
        <v/>
      </c>
      <c r="M16" s="1" t="n"/>
      <c r="N16" s="1" t="n"/>
    </row>
    <row r="17">
      <c r="A17" s="1" t="n"/>
      <c r="B17" s="15" t="inlineStr">
        <is>
          <t>Jun</t>
        </is>
      </c>
      <c r="C17" s="16">
        <f>COUNTIFS(Books!$G$6:$G$1005,"Finished",Books!$I$6:$I$1005,"&gt;="&amp;DATE(Dashboard!$C$4,6,1),Books!$I$6:$I$1005,"&lt;="&amp;EOMONTH(DATE(Dashboard!$C$4,6,1),0))</f>
        <v/>
      </c>
      <c r="D17" s="17">
        <f>SUMIFS(Books!$F$6:$F$1005,Books!$G$6:$G$1005,"Finished",Books!$I$6:$I$1005,"&gt;="&amp;DATE(Dashboard!$C$4,6,1),Books!$I$6:$I$1005,"&lt;="&amp;EOMONTH(DATE(Dashboard!$C$4,6,1),0))</f>
        <v/>
      </c>
      <c r="E17" s="1" t="n"/>
      <c r="F17" s="1" t="n"/>
      <c r="G17" s="1" t="n"/>
      <c r="H17" s="1" t="n"/>
      <c r="I17" s="18">
        <f>IF(Settings!B11="","",Settings!B11)</f>
        <v/>
      </c>
      <c r="J17" s="16">
        <f>IF(I17="","",COUNTIFS(Books!$G$6:$G$1005,"Finished",Books!$I$6:$I$1005,"&gt;="&amp;DATE(Dashboard!$C$4,1,1),Books!$I$6:$I$1005,"&lt;="&amp;DATE(Dashboard!$C$4,12,31),Books!$D$6:$D$1005,I17))</f>
        <v/>
      </c>
      <c r="K17" s="17">
        <f>IF(I17="","",SUMIFS(Books!$F$6:$F$1005,Books!$G$6:$G$1005,"Finished",Books!$I$6:$I$1005,"&gt;="&amp;DATE(Dashboard!$C$4,1,1),Books!$I$6:$I$1005,"&lt;="&amp;DATE(Dashboard!$C$4,12,31),Books!$D$6:$D$1005,I17))</f>
        <v/>
      </c>
      <c r="L17" s="19">
        <f>IF(OR(I17="",N(J17)=0),"",AVERAGEIFS(Books!$J$6:$J$1005,Books!$G$6:$G$1005,"Finished",Books!$I$6:$I$1005,"&gt;="&amp;DATE(Dashboard!$C$4,1,1),Books!$I$6:$I$1005,"&lt;="&amp;DATE(Dashboard!$C$4,12,31),Books!$D$6:$D$1005,I17))</f>
        <v/>
      </c>
      <c r="M17" s="1" t="n"/>
      <c r="N17" s="1" t="n"/>
    </row>
    <row r="18">
      <c r="A18" s="1" t="n"/>
      <c r="B18" s="15" t="inlineStr">
        <is>
          <t>Jul</t>
        </is>
      </c>
      <c r="C18" s="16">
        <f>COUNTIFS(Books!$G$6:$G$1005,"Finished",Books!$I$6:$I$1005,"&gt;="&amp;DATE(Dashboard!$C$4,7,1),Books!$I$6:$I$1005,"&lt;="&amp;EOMONTH(DATE(Dashboard!$C$4,7,1),0))</f>
        <v/>
      </c>
      <c r="D18" s="17">
        <f>SUMIFS(Books!$F$6:$F$1005,Books!$G$6:$G$1005,"Finished",Books!$I$6:$I$1005,"&gt;="&amp;DATE(Dashboard!$C$4,7,1),Books!$I$6:$I$1005,"&lt;="&amp;EOMONTH(DATE(Dashboard!$C$4,7,1),0))</f>
        <v/>
      </c>
      <c r="E18" s="1" t="n"/>
      <c r="F18" s="1" t="n"/>
      <c r="G18" s="1" t="n"/>
      <c r="H18" s="1" t="n"/>
      <c r="I18" s="18">
        <f>IF(Settings!B12="","",Settings!B12)</f>
        <v/>
      </c>
      <c r="J18" s="16">
        <f>IF(I18="","",COUNTIFS(Books!$G$6:$G$1005,"Finished",Books!$I$6:$I$1005,"&gt;="&amp;DATE(Dashboard!$C$4,1,1),Books!$I$6:$I$1005,"&lt;="&amp;DATE(Dashboard!$C$4,12,31),Books!$D$6:$D$1005,I18))</f>
        <v/>
      </c>
      <c r="K18" s="17">
        <f>IF(I18="","",SUMIFS(Books!$F$6:$F$1005,Books!$G$6:$G$1005,"Finished",Books!$I$6:$I$1005,"&gt;="&amp;DATE(Dashboard!$C$4,1,1),Books!$I$6:$I$1005,"&lt;="&amp;DATE(Dashboard!$C$4,12,31),Books!$D$6:$D$1005,I18))</f>
        <v/>
      </c>
      <c r="L18" s="19">
        <f>IF(OR(I18="",N(J18)=0),"",AVERAGEIFS(Books!$J$6:$J$1005,Books!$G$6:$G$1005,"Finished",Books!$I$6:$I$1005,"&gt;="&amp;DATE(Dashboard!$C$4,1,1),Books!$I$6:$I$1005,"&lt;="&amp;DATE(Dashboard!$C$4,12,31),Books!$D$6:$D$1005,I18))</f>
        <v/>
      </c>
      <c r="M18" s="1" t="n"/>
      <c r="N18" s="1" t="n"/>
    </row>
    <row r="19">
      <c r="A19" s="1" t="n"/>
      <c r="B19" s="15" t="inlineStr">
        <is>
          <t>Aug</t>
        </is>
      </c>
      <c r="C19" s="16">
        <f>COUNTIFS(Books!$G$6:$G$1005,"Finished",Books!$I$6:$I$1005,"&gt;="&amp;DATE(Dashboard!$C$4,8,1),Books!$I$6:$I$1005,"&lt;="&amp;EOMONTH(DATE(Dashboard!$C$4,8,1),0))</f>
        <v/>
      </c>
      <c r="D19" s="17">
        <f>SUMIFS(Books!$F$6:$F$1005,Books!$G$6:$G$1005,"Finished",Books!$I$6:$I$1005,"&gt;="&amp;DATE(Dashboard!$C$4,8,1),Books!$I$6:$I$1005,"&lt;="&amp;EOMONTH(DATE(Dashboard!$C$4,8,1),0))</f>
        <v/>
      </c>
      <c r="E19" s="1" t="n"/>
      <c r="F19" s="1" t="n"/>
      <c r="G19" s="1" t="n"/>
      <c r="H19" s="1" t="n"/>
      <c r="I19" s="18">
        <f>IF(Settings!B13="","",Settings!B13)</f>
        <v/>
      </c>
      <c r="J19" s="16">
        <f>IF(I19="","",COUNTIFS(Books!$G$6:$G$1005,"Finished",Books!$I$6:$I$1005,"&gt;="&amp;DATE(Dashboard!$C$4,1,1),Books!$I$6:$I$1005,"&lt;="&amp;DATE(Dashboard!$C$4,12,31),Books!$D$6:$D$1005,I19))</f>
        <v/>
      </c>
      <c r="K19" s="17">
        <f>IF(I19="","",SUMIFS(Books!$F$6:$F$1005,Books!$G$6:$G$1005,"Finished",Books!$I$6:$I$1005,"&gt;="&amp;DATE(Dashboard!$C$4,1,1),Books!$I$6:$I$1005,"&lt;="&amp;DATE(Dashboard!$C$4,12,31),Books!$D$6:$D$1005,I19))</f>
        <v/>
      </c>
      <c r="L19" s="19">
        <f>IF(OR(I19="",N(J19)=0),"",AVERAGEIFS(Books!$J$6:$J$1005,Books!$G$6:$G$1005,"Finished",Books!$I$6:$I$1005,"&gt;="&amp;DATE(Dashboard!$C$4,1,1),Books!$I$6:$I$1005,"&lt;="&amp;DATE(Dashboard!$C$4,12,31),Books!$D$6:$D$1005,I19))</f>
        <v/>
      </c>
      <c r="M19" s="1" t="n"/>
      <c r="N19" s="1" t="n"/>
    </row>
    <row r="20">
      <c r="A20" s="1" t="n"/>
      <c r="B20" s="15" t="inlineStr">
        <is>
          <t>Sep</t>
        </is>
      </c>
      <c r="C20" s="16">
        <f>COUNTIFS(Books!$G$6:$G$1005,"Finished",Books!$I$6:$I$1005,"&gt;="&amp;DATE(Dashboard!$C$4,9,1),Books!$I$6:$I$1005,"&lt;="&amp;EOMONTH(DATE(Dashboard!$C$4,9,1),0))</f>
        <v/>
      </c>
      <c r="D20" s="17">
        <f>SUMIFS(Books!$F$6:$F$1005,Books!$G$6:$G$1005,"Finished",Books!$I$6:$I$1005,"&gt;="&amp;DATE(Dashboard!$C$4,9,1),Books!$I$6:$I$1005,"&lt;="&amp;EOMONTH(DATE(Dashboard!$C$4,9,1),0))</f>
        <v/>
      </c>
      <c r="E20" s="1" t="n"/>
      <c r="F20" s="1" t="n"/>
      <c r="G20" s="1" t="n"/>
      <c r="H20" s="1" t="n"/>
      <c r="I20" s="18">
        <f>IF(Settings!B14="","",Settings!B14)</f>
        <v/>
      </c>
      <c r="J20" s="16">
        <f>IF(I20="","",COUNTIFS(Books!$G$6:$G$1005,"Finished",Books!$I$6:$I$1005,"&gt;="&amp;DATE(Dashboard!$C$4,1,1),Books!$I$6:$I$1005,"&lt;="&amp;DATE(Dashboard!$C$4,12,31),Books!$D$6:$D$1005,I20))</f>
        <v/>
      </c>
      <c r="K20" s="17">
        <f>IF(I20="","",SUMIFS(Books!$F$6:$F$1005,Books!$G$6:$G$1005,"Finished",Books!$I$6:$I$1005,"&gt;="&amp;DATE(Dashboard!$C$4,1,1),Books!$I$6:$I$1005,"&lt;="&amp;DATE(Dashboard!$C$4,12,31),Books!$D$6:$D$1005,I20))</f>
        <v/>
      </c>
      <c r="L20" s="19">
        <f>IF(OR(I20="",N(J20)=0),"",AVERAGEIFS(Books!$J$6:$J$1005,Books!$G$6:$G$1005,"Finished",Books!$I$6:$I$1005,"&gt;="&amp;DATE(Dashboard!$C$4,1,1),Books!$I$6:$I$1005,"&lt;="&amp;DATE(Dashboard!$C$4,12,31),Books!$D$6:$D$1005,I20))</f>
        <v/>
      </c>
      <c r="M20" s="1" t="n"/>
      <c r="N20" s="1" t="n"/>
    </row>
    <row r="21">
      <c r="A21" s="1" t="n"/>
      <c r="B21" s="15" t="inlineStr">
        <is>
          <t>Oct</t>
        </is>
      </c>
      <c r="C21" s="16">
        <f>COUNTIFS(Books!$G$6:$G$1005,"Finished",Books!$I$6:$I$1005,"&gt;="&amp;DATE(Dashboard!$C$4,10,1),Books!$I$6:$I$1005,"&lt;="&amp;EOMONTH(DATE(Dashboard!$C$4,10,1),0))</f>
        <v/>
      </c>
      <c r="D21" s="17">
        <f>SUMIFS(Books!$F$6:$F$1005,Books!$G$6:$G$1005,"Finished",Books!$I$6:$I$1005,"&gt;="&amp;DATE(Dashboard!$C$4,10,1),Books!$I$6:$I$1005,"&lt;="&amp;EOMONTH(DATE(Dashboard!$C$4,10,1),0))</f>
        <v/>
      </c>
      <c r="E21" s="1" t="n"/>
      <c r="F21" s="1" t="n"/>
      <c r="G21" s="1" t="n"/>
      <c r="H21" s="1" t="n"/>
      <c r="I21" s="18">
        <f>IF(Settings!B15="","",Settings!B15)</f>
        <v/>
      </c>
      <c r="J21" s="16">
        <f>IF(I21="","",COUNTIFS(Books!$G$6:$G$1005,"Finished",Books!$I$6:$I$1005,"&gt;="&amp;DATE(Dashboard!$C$4,1,1),Books!$I$6:$I$1005,"&lt;="&amp;DATE(Dashboard!$C$4,12,31),Books!$D$6:$D$1005,I21))</f>
        <v/>
      </c>
      <c r="K21" s="17">
        <f>IF(I21="","",SUMIFS(Books!$F$6:$F$1005,Books!$G$6:$G$1005,"Finished",Books!$I$6:$I$1005,"&gt;="&amp;DATE(Dashboard!$C$4,1,1),Books!$I$6:$I$1005,"&lt;="&amp;DATE(Dashboard!$C$4,12,31),Books!$D$6:$D$1005,I21))</f>
        <v/>
      </c>
      <c r="L21" s="19">
        <f>IF(OR(I21="",N(J21)=0),"",AVERAGEIFS(Books!$J$6:$J$1005,Books!$G$6:$G$1005,"Finished",Books!$I$6:$I$1005,"&gt;="&amp;DATE(Dashboard!$C$4,1,1),Books!$I$6:$I$1005,"&lt;="&amp;DATE(Dashboard!$C$4,12,31),Books!$D$6:$D$1005,I21))</f>
        <v/>
      </c>
      <c r="M21" s="1" t="n"/>
      <c r="N21" s="1" t="n"/>
    </row>
    <row r="22">
      <c r="A22" s="1" t="n"/>
      <c r="B22" s="15" t="inlineStr">
        <is>
          <t>Nov</t>
        </is>
      </c>
      <c r="C22" s="16">
        <f>COUNTIFS(Books!$G$6:$G$1005,"Finished",Books!$I$6:$I$1005,"&gt;="&amp;DATE(Dashboard!$C$4,11,1),Books!$I$6:$I$1005,"&lt;="&amp;EOMONTH(DATE(Dashboard!$C$4,11,1),0))</f>
        <v/>
      </c>
      <c r="D22" s="17">
        <f>SUMIFS(Books!$F$6:$F$1005,Books!$G$6:$G$1005,"Finished",Books!$I$6:$I$1005,"&gt;="&amp;DATE(Dashboard!$C$4,11,1),Books!$I$6:$I$1005,"&lt;="&amp;EOMONTH(DATE(Dashboard!$C$4,11,1),0))</f>
        <v/>
      </c>
      <c r="E22" s="1" t="n"/>
      <c r="F22" s="1" t="n"/>
      <c r="G22" s="1" t="n"/>
      <c r="H22" s="1" t="n"/>
      <c r="I22" s="18">
        <f>IF(Settings!B16="","",Settings!B16)</f>
        <v/>
      </c>
      <c r="J22" s="16">
        <f>IF(I22="","",COUNTIFS(Books!$G$6:$G$1005,"Finished",Books!$I$6:$I$1005,"&gt;="&amp;DATE(Dashboard!$C$4,1,1),Books!$I$6:$I$1005,"&lt;="&amp;DATE(Dashboard!$C$4,12,31),Books!$D$6:$D$1005,I22))</f>
        <v/>
      </c>
      <c r="K22" s="17">
        <f>IF(I22="","",SUMIFS(Books!$F$6:$F$1005,Books!$G$6:$G$1005,"Finished",Books!$I$6:$I$1005,"&gt;="&amp;DATE(Dashboard!$C$4,1,1),Books!$I$6:$I$1005,"&lt;="&amp;DATE(Dashboard!$C$4,12,31),Books!$D$6:$D$1005,I22))</f>
        <v/>
      </c>
      <c r="L22" s="19">
        <f>IF(OR(I22="",N(J22)=0),"",AVERAGEIFS(Books!$J$6:$J$1005,Books!$G$6:$G$1005,"Finished",Books!$I$6:$I$1005,"&gt;="&amp;DATE(Dashboard!$C$4,1,1),Books!$I$6:$I$1005,"&lt;="&amp;DATE(Dashboard!$C$4,12,31),Books!$D$6:$D$1005,I22))</f>
        <v/>
      </c>
      <c r="M22" s="1" t="n"/>
      <c r="N22" s="1" t="n"/>
    </row>
    <row r="23">
      <c r="A23" s="1" t="n"/>
      <c r="B23" s="15" t="inlineStr">
        <is>
          <t>Dec</t>
        </is>
      </c>
      <c r="C23" s="16">
        <f>COUNTIFS(Books!$G$6:$G$1005,"Finished",Books!$I$6:$I$1005,"&gt;="&amp;DATE(Dashboard!$C$4,12,1),Books!$I$6:$I$1005,"&lt;="&amp;EOMONTH(DATE(Dashboard!$C$4,12,1),0))</f>
        <v/>
      </c>
      <c r="D23" s="17">
        <f>SUMIFS(Books!$F$6:$F$1005,Books!$G$6:$G$1005,"Finished",Books!$I$6:$I$1005,"&gt;="&amp;DATE(Dashboard!$C$4,12,1),Books!$I$6:$I$1005,"&lt;="&amp;EOMONTH(DATE(Dashboard!$C$4,12,1),0))</f>
        <v/>
      </c>
      <c r="E23" s="1" t="n"/>
      <c r="F23" s="1" t="n"/>
      <c r="G23" s="1" t="n"/>
      <c r="H23" s="1" t="n"/>
      <c r="I23" s="18">
        <f>IF(Settings!B17="","",Settings!B17)</f>
        <v/>
      </c>
      <c r="J23" s="16">
        <f>IF(I23="","",COUNTIFS(Books!$G$6:$G$1005,"Finished",Books!$I$6:$I$1005,"&gt;="&amp;DATE(Dashboard!$C$4,1,1),Books!$I$6:$I$1005,"&lt;="&amp;DATE(Dashboard!$C$4,12,31),Books!$D$6:$D$1005,I23))</f>
        <v/>
      </c>
      <c r="K23" s="17">
        <f>IF(I23="","",SUMIFS(Books!$F$6:$F$1005,Books!$G$6:$G$1005,"Finished",Books!$I$6:$I$1005,"&gt;="&amp;DATE(Dashboard!$C$4,1,1),Books!$I$6:$I$1005,"&lt;="&amp;DATE(Dashboard!$C$4,12,31),Books!$D$6:$D$1005,I23))</f>
        <v/>
      </c>
      <c r="L23" s="19">
        <f>IF(OR(I23="",N(J23)=0),"",AVERAGEIFS(Books!$J$6:$J$1005,Books!$G$6:$G$1005,"Finished",Books!$I$6:$I$1005,"&gt;="&amp;DATE(Dashboard!$C$4,1,1),Books!$I$6:$I$1005,"&lt;="&amp;DATE(Dashboard!$C$4,12,31),Books!$D$6:$D$1005,I23))</f>
        <v/>
      </c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 ht="30" customHeight="1">
      <c r="A26" s="1" t="n"/>
      <c r="B26" s="14" t="inlineStr">
        <is>
          <t>Reading now</t>
        </is>
      </c>
      <c r="C26" s="20" t="n"/>
      <c r="D26" s="14" t="inlineStr">
        <is>
          <t>Author</t>
        </is>
      </c>
      <c r="E26" s="20" t="n"/>
      <c r="F26" s="14" t="inlineStr">
        <is>
          <t>Started</t>
        </is>
      </c>
      <c r="G26" s="14" t="inlineStr">
        <is>
          <t>Days</t>
        </is>
      </c>
      <c r="H26" s="1" t="n"/>
      <c r="I26" s="14" t="inlineStr">
        <is>
          <t>Five stars this year</t>
        </is>
      </c>
      <c r="J26" s="14" t="inlineStr">
        <is>
          <t>Author</t>
        </is>
      </c>
      <c r="K26" s="21" t="n"/>
      <c r="L26" s="20" t="n"/>
      <c r="M26" s="1" t="n"/>
      <c r="N26" s="1" t="n"/>
    </row>
    <row r="27">
      <c r="A27" s="1" t="n"/>
      <c r="B27" s="18">
        <f>IF(O27="","",INDEX(Books!$B$6:$B$1005,MATCH(O27,Books!$P$6:$P$1005,0)))</f>
        <v/>
      </c>
      <c r="C27" s="20" t="n"/>
      <c r="D27" s="22">
        <f>IF(O27="","",INDEX(Books!$C$6:$C$1005,MATCH(O27,Books!$P$6:$P$1005,0)))</f>
        <v/>
      </c>
      <c r="E27" s="20" t="n"/>
      <c r="F27" s="23">
        <f>IF(O27="","",INT(O27))</f>
        <v/>
      </c>
      <c r="G27" s="16">
        <f>IF(O27="","",TODAY()-INT(O27)+1)</f>
        <v/>
      </c>
      <c r="H27" s="1" t="n"/>
      <c r="I27" s="18">
        <f>IF(P27="","",INDEX(Books!$B$6:$B$1005,MATCH(P27,Books!$Q$6:$Q$1005,0)))</f>
        <v/>
      </c>
      <c r="J27" s="22">
        <f>IF(P27="","",INDEX(Books!$C$6:$C$1005,MATCH(P27,Books!$Q$6:$Q$1005,0)))</f>
        <v/>
      </c>
      <c r="K27" s="21" t="n"/>
      <c r="L27" s="20" t="n"/>
      <c r="M27" s="1" t="n"/>
      <c r="N27" s="1" t="n"/>
      <c r="O27">
        <f>IFERROR(SMALL(Books!$P$6:$P$1005,1),"")</f>
        <v/>
      </c>
      <c r="P27">
        <f>IFERROR(LARGE(Books!$Q$6:$Q$1005,1),"")</f>
        <v/>
      </c>
    </row>
    <row r="28">
      <c r="A28" s="1" t="n"/>
      <c r="B28" s="18">
        <f>IF(O28="","",INDEX(Books!$B$6:$B$1005,MATCH(O28,Books!$P$6:$P$1005,0)))</f>
        <v/>
      </c>
      <c r="C28" s="20" t="n"/>
      <c r="D28" s="22">
        <f>IF(O28="","",INDEX(Books!$C$6:$C$1005,MATCH(O28,Books!$P$6:$P$1005,0)))</f>
        <v/>
      </c>
      <c r="E28" s="20" t="n"/>
      <c r="F28" s="23">
        <f>IF(O28="","",INT(O28))</f>
        <v/>
      </c>
      <c r="G28" s="16">
        <f>IF(O28="","",TODAY()-INT(O28)+1)</f>
        <v/>
      </c>
      <c r="H28" s="1" t="n"/>
      <c r="I28" s="18">
        <f>IF(P28="","",INDEX(Books!$B$6:$B$1005,MATCH(P28,Books!$Q$6:$Q$1005,0)))</f>
        <v/>
      </c>
      <c r="J28" s="22">
        <f>IF(P28="","",INDEX(Books!$C$6:$C$1005,MATCH(P28,Books!$Q$6:$Q$1005,0)))</f>
        <v/>
      </c>
      <c r="K28" s="21" t="n"/>
      <c r="L28" s="20" t="n"/>
      <c r="M28" s="1" t="n"/>
      <c r="N28" s="1" t="n"/>
      <c r="O28">
        <f>IFERROR(SMALL(Books!$P$6:$P$1005,2),"")</f>
        <v/>
      </c>
      <c r="P28">
        <f>IFERROR(LARGE(Books!$Q$6:$Q$1005,2),"")</f>
        <v/>
      </c>
    </row>
    <row r="29">
      <c r="A29" s="1" t="n"/>
      <c r="B29" s="18">
        <f>IF(O29="","",INDEX(Books!$B$6:$B$1005,MATCH(O29,Books!$P$6:$P$1005,0)))</f>
        <v/>
      </c>
      <c r="C29" s="20" t="n"/>
      <c r="D29" s="22">
        <f>IF(O29="","",INDEX(Books!$C$6:$C$1005,MATCH(O29,Books!$P$6:$P$1005,0)))</f>
        <v/>
      </c>
      <c r="E29" s="20" t="n"/>
      <c r="F29" s="23">
        <f>IF(O29="","",INT(O29))</f>
        <v/>
      </c>
      <c r="G29" s="16">
        <f>IF(O29="","",TODAY()-INT(O29)+1)</f>
        <v/>
      </c>
      <c r="H29" s="1" t="n"/>
      <c r="I29" s="18">
        <f>IF(P29="","",INDEX(Books!$B$6:$B$1005,MATCH(P29,Books!$Q$6:$Q$1005,0)))</f>
        <v/>
      </c>
      <c r="J29" s="22">
        <f>IF(P29="","",INDEX(Books!$C$6:$C$1005,MATCH(P29,Books!$Q$6:$Q$1005,0)))</f>
        <v/>
      </c>
      <c r="K29" s="21" t="n"/>
      <c r="L29" s="20" t="n"/>
      <c r="M29" s="1" t="n"/>
      <c r="N29" s="1" t="n"/>
      <c r="O29">
        <f>IFERROR(SMALL(Books!$P$6:$P$1005,3),"")</f>
        <v/>
      </c>
      <c r="P29">
        <f>IFERROR(LARGE(Books!$Q$6:$Q$1005,3),"")</f>
        <v/>
      </c>
    </row>
    <row r="30">
      <c r="A30" s="1" t="n"/>
      <c r="B30" s="18">
        <f>IF(O30="","",INDEX(Books!$B$6:$B$1005,MATCH(O30,Books!$P$6:$P$1005,0)))</f>
        <v/>
      </c>
      <c r="C30" s="20" t="n"/>
      <c r="D30" s="22">
        <f>IF(O30="","",INDEX(Books!$C$6:$C$1005,MATCH(O30,Books!$P$6:$P$1005,0)))</f>
        <v/>
      </c>
      <c r="E30" s="20" t="n"/>
      <c r="F30" s="23">
        <f>IF(O30="","",INT(O30))</f>
        <v/>
      </c>
      <c r="G30" s="16">
        <f>IF(O30="","",TODAY()-INT(O30)+1)</f>
        <v/>
      </c>
      <c r="H30" s="1" t="n"/>
      <c r="I30" s="18">
        <f>IF(P30="","",INDEX(Books!$B$6:$B$1005,MATCH(P30,Books!$Q$6:$Q$1005,0)))</f>
        <v/>
      </c>
      <c r="J30" s="22">
        <f>IF(P30="","",INDEX(Books!$C$6:$C$1005,MATCH(P30,Books!$Q$6:$Q$1005,0)))</f>
        <v/>
      </c>
      <c r="K30" s="21" t="n"/>
      <c r="L30" s="20" t="n"/>
      <c r="M30" s="1" t="n"/>
      <c r="N30" s="1" t="n"/>
      <c r="O30">
        <f>IFERROR(SMALL(Books!$P$6:$P$1005,4),"")</f>
        <v/>
      </c>
      <c r="P30">
        <f>IFERROR(LARGE(Books!$Q$6:$Q$1005,4),"")</f>
        <v/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8">
        <f>IF(P31="","",INDEX(Books!$B$6:$B$1005,MATCH(P31,Books!$Q$6:$Q$1005,0)))</f>
        <v/>
      </c>
      <c r="J31" s="22">
        <f>IF(P31="","",INDEX(Books!$C$6:$C$1005,MATCH(P31,Books!$Q$6:$Q$1005,0)))</f>
        <v/>
      </c>
      <c r="K31" s="21" t="n"/>
      <c r="L31" s="20" t="n"/>
      <c r="M31" s="1" t="n"/>
      <c r="N31" s="1" t="n"/>
      <c r="P31">
        <f>IFERROR(LARGE(Books!$Q$6:$Q$1005,5),"")</f>
        <v/>
      </c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8">
        <f>IF(P32="","",INDEX(Books!$B$6:$B$1005,MATCH(P32,Books!$Q$6:$Q$1005,0)))</f>
        <v/>
      </c>
      <c r="J32" s="22">
        <f>IF(P32="","",INDEX(Books!$C$6:$C$1005,MATCH(P32,Books!$Q$6:$Q$1005,0)))</f>
        <v/>
      </c>
      <c r="K32" s="21" t="n"/>
      <c r="L32" s="20" t="n"/>
      <c r="M32" s="1" t="n"/>
      <c r="N32" s="1" t="n"/>
      <c r="P32">
        <f>IFERROR(LARGE(Books!$Q$6:$Q$1005,6),"")</f>
        <v/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</sheetData>
  <mergeCells count="19">
    <mergeCell ref="B9:E9"/>
    <mergeCell ref="J27:L27"/>
    <mergeCell ref="J26:L26"/>
    <mergeCell ref="B27:C27"/>
    <mergeCell ref="J32:L32"/>
    <mergeCell ref="D27:E27"/>
    <mergeCell ref="J31:L31"/>
    <mergeCell ref="B29:C29"/>
    <mergeCell ref="B28:C28"/>
    <mergeCell ref="D28:E28"/>
    <mergeCell ref="F9:G9"/>
    <mergeCell ref="J29:L29"/>
    <mergeCell ref="B30:C30"/>
    <mergeCell ref="D30:E30"/>
    <mergeCell ref="J28:L28"/>
    <mergeCell ref="D29:E29"/>
    <mergeCell ref="B26:C26"/>
    <mergeCell ref="D26:E26"/>
    <mergeCell ref="J30:L30"/>
  </mergeCells>
  <conditionalFormatting sqref="F9">
    <cfRule type="expression" priority="1" dxfId="0">
      <formula>LEFT(F9,6)="Behind"</formula>
    </cfRule>
    <cfRule type="expression" priority="2" dxfId="1">
      <formula>OR(LEFT(F9,5)="Ahead",F9="On track")</formula>
    </cfRule>
  </conditionalFormatting>
  <conditionalFormatting sqref="I12">
    <cfRule type="expression" priority="3" dxfId="2">
      <formula>N(J12)&gt;0</formula>
    </cfRule>
  </conditionalFormatting>
  <conditionalFormatting sqref="I13">
    <cfRule type="expression" priority="4" dxfId="3">
      <formula>N(J13)&gt;0</formula>
    </cfRule>
  </conditionalFormatting>
  <conditionalFormatting sqref="I14">
    <cfRule type="expression" priority="5" dxfId="4">
      <formula>N(J14)&gt;0</formula>
    </cfRule>
  </conditionalFormatting>
  <conditionalFormatting sqref="I15">
    <cfRule type="expression" priority="6" dxfId="5">
      <formula>N(J15)&gt;0</formula>
    </cfRule>
  </conditionalFormatting>
  <conditionalFormatting sqref="I16">
    <cfRule type="expression" priority="7" dxfId="6">
      <formula>N(J16)&gt;0</formula>
    </cfRule>
  </conditionalFormatting>
  <conditionalFormatting sqref="I17">
    <cfRule type="expression" priority="8" dxfId="7">
      <formula>N(J17)&gt;0</formula>
    </cfRule>
  </conditionalFormatting>
  <conditionalFormatting sqref="I18">
    <cfRule type="expression" priority="9" dxfId="8">
      <formula>N(J18)&gt;0</formula>
    </cfRule>
  </conditionalFormatting>
  <conditionalFormatting sqref="I19">
    <cfRule type="expression" priority="10" dxfId="9">
      <formula>N(J19)&gt;0</formula>
    </cfRule>
  </conditionalFormatting>
  <conditionalFormatting sqref="I20">
    <cfRule type="expression" priority="11" dxfId="10">
      <formula>N(J20)&gt;0</formula>
    </cfRule>
  </conditionalFormatting>
  <conditionalFormatting sqref="I21">
    <cfRule type="expression" priority="12" dxfId="11">
      <formula>N(J21)&gt;0</formula>
    </cfRule>
  </conditionalFormatting>
  <conditionalFormatting sqref="I22">
    <cfRule type="expression" priority="13" dxfId="12">
      <formula>N(J22)&gt;0</formula>
    </cfRule>
  </conditionalFormatting>
  <conditionalFormatting sqref="I23">
    <cfRule type="expression" priority="14" dxfId="13">
      <formula>N(J23)&gt;0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0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16" customWidth="1" min="4" max="4"/>
    <col width="9" customWidth="1" min="5" max="5"/>
    <col width="8" customWidth="1" min="6" max="6"/>
    <col width="14" customWidth="1" min="7" max="7"/>
    <col width="13" customWidth="1" min="8" max="8"/>
    <col width="13" customWidth="1" min="9" max="9"/>
    <col width="8" customWidth="1" min="10" max="10"/>
    <col width="7" customWidth="1" min="11" max="11"/>
    <col width="9" customWidth="1" min="12" max="12"/>
    <col width="28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2" customHeight="1">
      <c r="A2" s="1" t="n"/>
      <c r="B2" s="2" t="inlineStr">
        <is>
          <t>Books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3" t="inlineStr">
        <is>
          <t>One line per book: the ones you read, are reading, and want to read.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30" customHeight="1">
      <c r="A5" s="1" t="n"/>
      <c r="B5" s="14" t="inlineStr">
        <is>
          <t>Title</t>
        </is>
      </c>
      <c r="C5" s="14" t="inlineStr">
        <is>
          <t>Author</t>
        </is>
      </c>
      <c r="D5" s="14" t="inlineStr">
        <is>
          <t>Genre</t>
        </is>
      </c>
      <c r="E5" s="14" t="inlineStr">
        <is>
          <t>Format</t>
        </is>
      </c>
      <c r="F5" s="14" t="inlineStr">
        <is>
          <t>Pages</t>
        </is>
      </c>
      <c r="G5" s="14" t="inlineStr">
        <is>
          <t>Status</t>
        </is>
      </c>
      <c r="H5" s="14" t="inlineStr">
        <is>
          <t>Started</t>
        </is>
      </c>
      <c r="I5" s="14" t="inlineStr">
        <is>
          <t>Finished</t>
        </is>
      </c>
      <c r="J5" s="14" t="inlineStr">
        <is>
          <t>Rating</t>
        </is>
      </c>
      <c r="K5" s="14" t="inlineStr">
        <is>
          <t>Days</t>
        </is>
      </c>
      <c r="L5" s="14" t="inlineStr">
        <is>
          <t>Pages a day</t>
        </is>
      </c>
      <c r="M5" s="14" t="inlineStr">
        <is>
          <t>Note</t>
        </is>
      </c>
      <c r="N5" s="1" t="n"/>
    </row>
    <row r="6">
      <c r="A6" s="1" t="n"/>
      <c r="B6" s="24" t="inlineStr">
        <is>
          <t>The Salt Archive</t>
        </is>
      </c>
      <c r="C6" s="25" t="inlineStr">
        <is>
          <t>Ines Holloway</t>
        </is>
      </c>
      <c r="D6" s="25" t="inlineStr">
        <is>
          <t>Romance</t>
        </is>
      </c>
      <c r="E6" s="26" t="inlineStr">
        <is>
          <t>Paper</t>
        </is>
      </c>
      <c r="F6" s="27" t="n">
        <v>432</v>
      </c>
      <c r="G6" s="26" t="inlineStr">
        <is>
          <t>Finished</t>
        </is>
      </c>
      <c r="H6" s="28" t="n">
        <v>46024</v>
      </c>
      <c r="I6" s="28" t="n">
        <v>46032</v>
      </c>
      <c r="J6" s="27" t="n">
        <v>4</v>
      </c>
      <c r="K6" s="16">
        <f>IF(OR(H6="",I6=""),"",I6-H6+1)</f>
        <v/>
      </c>
      <c r="L6" s="16">
        <f>IF(OR(K6="",N(F6)=0),"",F6/K6)</f>
        <v/>
      </c>
      <c r="M6" s="25" t="inlineStr">
        <is>
          <t>Could not put it down</t>
        </is>
      </c>
      <c r="N6" s="1">
        <f>IF(AND(G6="Finished",I6&lt;&gt;""),IF(YEAR(I6)=Dashboard!$C$4,I6+ROW()/10000000,""),"")</f>
        <v/>
      </c>
      <c r="O6">
        <f>IF(B6="","",IFERROR(MATCH(D6,Settings!$B$6:$B$17,0),12))</f>
        <v/>
      </c>
      <c r="P6">
        <f>IF(AND(G6="Reading",B6&lt;&gt;""),IF(H6="",TODAY(),H6)+ROW()/10000000,"")</f>
        <v/>
      </c>
      <c r="Q6">
        <f>IF(AND(N6&lt;&gt;"",N(J6)=5),N6,"")</f>
        <v/>
      </c>
    </row>
    <row r="7">
      <c r="A7" s="1" t="n"/>
      <c r="B7" s="24" t="inlineStr">
        <is>
          <t>The Paper Machine</t>
        </is>
      </c>
      <c r="C7" s="25" t="inlineStr">
        <is>
          <t>Anika Rook</t>
        </is>
      </c>
      <c r="D7" s="25" t="inlineStr">
        <is>
          <t>Poetry</t>
        </is>
      </c>
      <c r="E7" s="26" t="inlineStr">
        <is>
          <t>Paper</t>
        </is>
      </c>
      <c r="F7" s="27" t="n">
        <v>378</v>
      </c>
      <c r="G7" s="26" t="inlineStr">
        <is>
          <t>Finished</t>
        </is>
      </c>
      <c r="H7" s="28" t="n">
        <v>46033</v>
      </c>
      <c r="I7" s="28" t="n">
        <v>46041</v>
      </c>
      <c r="J7" s="27" t="n">
        <v>3</v>
      </c>
      <c r="K7" s="16">
        <f>IF(OR(H7="",I7=""),"",I7-H7+1)</f>
        <v/>
      </c>
      <c r="L7" s="16">
        <f>IF(OR(K7="",N(F7)=0),"",F7/K7)</f>
        <v/>
      </c>
      <c r="M7" s="25" t="n"/>
      <c r="N7" s="1">
        <f>IF(AND(G7="Finished",I7&lt;&gt;""),IF(YEAR(I7)=Dashboard!$C$4,I7+ROW()/10000000,""),"")</f>
        <v/>
      </c>
      <c r="O7">
        <f>IF(B7="","",IFERROR(MATCH(D7,Settings!$B$6:$B$17,0),12))</f>
        <v/>
      </c>
      <c r="P7">
        <f>IF(AND(G7="Reading",B7&lt;&gt;""),IF(H7="",TODAY(),H7)+ROW()/10000000,"")</f>
        <v/>
      </c>
      <c r="Q7">
        <f>IF(AND(N7&lt;&gt;"",N(J7)=5),N7,"")</f>
        <v/>
      </c>
    </row>
    <row r="8">
      <c r="A8" s="1" t="n"/>
      <c r="B8" s="24" t="inlineStr">
        <is>
          <t>Last Harbour</t>
        </is>
      </c>
      <c r="C8" s="25" t="inlineStr">
        <is>
          <t>Elena Castell</t>
        </is>
      </c>
      <c r="D8" s="25" t="inlineStr">
        <is>
          <t>Fiction</t>
        </is>
      </c>
      <c r="E8" s="26" t="inlineStr">
        <is>
          <t>Paper</t>
        </is>
      </c>
      <c r="F8" s="27" t="n">
        <v>406</v>
      </c>
      <c r="G8" s="26" t="inlineStr">
        <is>
          <t>Finished</t>
        </is>
      </c>
      <c r="H8" s="28" t="n">
        <v>46041</v>
      </c>
      <c r="I8" s="28" t="n">
        <v>46046</v>
      </c>
      <c r="J8" s="27" t="n">
        <v>4</v>
      </c>
      <c r="K8" s="16">
        <f>IF(OR(H8="",I8=""),"",I8-H8+1)</f>
        <v/>
      </c>
      <c r="L8" s="16">
        <f>IF(OR(K8="",N(F8)=0),"",F8/K8)</f>
        <v/>
      </c>
      <c r="M8" s="25" t="n"/>
      <c r="N8" s="1">
        <f>IF(AND(G8="Finished",I8&lt;&gt;""),IF(YEAR(I8)=Dashboard!$C$4,I8+ROW()/10000000,""),"")</f>
        <v/>
      </c>
      <c r="O8">
        <f>IF(B8="","",IFERROR(MATCH(D8,Settings!$B$6:$B$17,0),12))</f>
        <v/>
      </c>
      <c r="P8">
        <f>IF(AND(G8="Reading",B8&lt;&gt;""),IF(H8="",TODAY(),H8)+ROW()/10000000,"")</f>
        <v/>
      </c>
      <c r="Q8">
        <f>IF(AND(N8&lt;&gt;"",N(J8)=5),N8,"")</f>
        <v/>
      </c>
    </row>
    <row r="9">
      <c r="A9" s="1" t="n"/>
      <c r="B9" s="24" t="inlineStr">
        <is>
          <t>The Garden of Winter</t>
        </is>
      </c>
      <c r="C9" s="25" t="inlineStr">
        <is>
          <t>Anika Albescu</t>
        </is>
      </c>
      <c r="D9" s="25" t="inlineStr">
        <is>
          <t>Science fiction</t>
        </is>
      </c>
      <c r="E9" s="26" t="inlineStr">
        <is>
          <t>Audio</t>
        </is>
      </c>
      <c r="F9" s="27" t="n">
        <v>501</v>
      </c>
      <c r="G9" s="26" t="inlineStr">
        <is>
          <t>Finished</t>
        </is>
      </c>
      <c r="H9" s="28" t="n">
        <v>46047</v>
      </c>
      <c r="I9" s="28" t="n">
        <v>46056</v>
      </c>
      <c r="J9" s="27" t="n">
        <v>4</v>
      </c>
      <c r="K9" s="16">
        <f>IF(OR(H9="",I9=""),"",I9-H9+1)</f>
        <v/>
      </c>
      <c r="L9" s="16">
        <f>IF(OR(K9="",N(F9)=0),"",F9/K9)</f>
        <v/>
      </c>
      <c r="M9" s="25" t="inlineStr">
        <is>
          <t>Could not put it down</t>
        </is>
      </c>
      <c r="N9" s="1">
        <f>IF(AND(G9="Finished",I9&lt;&gt;""),IF(YEAR(I9)=Dashboard!$C$4,I9+ROW()/10000000,""),"")</f>
        <v/>
      </c>
      <c r="O9">
        <f>IF(B9="","",IFERROR(MATCH(D9,Settings!$B$6:$B$17,0),12))</f>
        <v/>
      </c>
      <c r="P9">
        <f>IF(AND(G9="Reading",B9&lt;&gt;""),IF(H9="",TODAY(),H9)+ROW()/10000000,"")</f>
        <v/>
      </c>
      <c r="Q9">
        <f>IF(AND(N9&lt;&gt;"",N(J9)=5),N9,"")</f>
        <v/>
      </c>
    </row>
    <row r="10">
      <c r="A10" s="1" t="n"/>
      <c r="B10" s="24" t="inlineStr">
        <is>
          <t>The Copper Machine</t>
        </is>
      </c>
      <c r="C10" s="25" t="inlineStr">
        <is>
          <t>Ines Holloway</t>
        </is>
      </c>
      <c r="D10" s="25" t="inlineStr">
        <is>
          <t>Fantasy</t>
        </is>
      </c>
      <c r="E10" s="26" t="inlineStr">
        <is>
          <t>Paper</t>
        </is>
      </c>
      <c r="F10" s="27" t="n">
        <v>348</v>
      </c>
      <c r="G10" s="26" t="inlineStr">
        <is>
          <t>Finished</t>
        </is>
      </c>
      <c r="H10" s="28" t="n">
        <v>46058</v>
      </c>
      <c r="I10" s="28" t="n">
        <v>46066</v>
      </c>
      <c r="J10" s="27" t="n">
        <v>4</v>
      </c>
      <c r="K10" s="16">
        <f>IF(OR(H10="",I10=""),"",I10-H10+1)</f>
        <v/>
      </c>
      <c r="L10" s="16">
        <f>IF(OR(K10="",N(F10)=0),"",F10/K10)</f>
        <v/>
      </c>
      <c r="M10" s="25" t="inlineStr">
        <is>
          <t>Book club pick</t>
        </is>
      </c>
      <c r="N10" s="1">
        <f>IF(AND(G10="Finished",I10&lt;&gt;""),IF(YEAR(I10)=Dashboard!$C$4,I10+ROW()/10000000,""),"")</f>
        <v/>
      </c>
      <c r="O10">
        <f>IF(B10="","",IFERROR(MATCH(D10,Settings!$B$6:$B$17,0),12))</f>
        <v/>
      </c>
      <c r="P10">
        <f>IF(AND(G10="Reading",B10&lt;&gt;""),IF(H10="",TODAY(),H10)+ROW()/10000000,"")</f>
        <v/>
      </c>
      <c r="Q10">
        <f>IF(AND(N10&lt;&gt;"",N(J10)=5),N10,"")</f>
        <v/>
      </c>
    </row>
    <row r="11">
      <c r="A11" s="1" t="n"/>
      <c r="B11" s="24" t="inlineStr">
        <is>
          <t>The Garden of Small Hours</t>
        </is>
      </c>
      <c r="C11" s="25" t="inlineStr">
        <is>
          <t>Jude Okafor</t>
        </is>
      </c>
      <c r="D11" s="25" t="inlineStr">
        <is>
          <t>Fantasy</t>
        </is>
      </c>
      <c r="E11" s="26" t="inlineStr">
        <is>
          <t>Paper</t>
        </is>
      </c>
      <c r="F11" s="27" t="n">
        <v>408</v>
      </c>
      <c r="G11" s="26" t="inlineStr">
        <is>
          <t>Finished</t>
        </is>
      </c>
      <c r="H11" s="28" t="n">
        <v>46068</v>
      </c>
      <c r="I11" s="28" t="n">
        <v>46077</v>
      </c>
      <c r="J11" s="27" t="n">
        <v>4</v>
      </c>
      <c r="K11" s="16">
        <f>IF(OR(H11="",I11=""),"",I11-H11+1)</f>
        <v/>
      </c>
      <c r="L11" s="16">
        <f>IF(OR(K11="",N(F11)=0),"",F11/K11)</f>
        <v/>
      </c>
      <c r="M11" s="25" t="inlineStr">
        <is>
          <t>Book club pick</t>
        </is>
      </c>
      <c r="N11" s="1">
        <f>IF(AND(G11="Finished",I11&lt;&gt;""),IF(YEAR(I11)=Dashboard!$C$4,I11+ROW()/10000000,""),"")</f>
        <v/>
      </c>
      <c r="O11">
        <f>IF(B11="","",IFERROR(MATCH(D11,Settings!$B$6:$B$17,0),12))</f>
        <v/>
      </c>
      <c r="P11">
        <f>IF(AND(G11="Reading",B11&lt;&gt;""),IF(H11="",TODAY(),H11)+ROW()/10000000,"")</f>
        <v/>
      </c>
      <c r="Q11">
        <f>IF(AND(N11&lt;&gt;"",N(J11)=5),N11,"")</f>
        <v/>
      </c>
    </row>
    <row r="12">
      <c r="A12" s="1" t="n"/>
      <c r="B12" s="24" t="inlineStr">
        <is>
          <t>The Silver House</t>
        </is>
      </c>
      <c r="C12" s="25" t="inlineStr">
        <is>
          <t>Wren Albescu</t>
        </is>
      </c>
      <c r="D12" s="25" t="inlineStr">
        <is>
          <t>Mystery</t>
        </is>
      </c>
      <c r="E12" s="26" t="inlineStr">
        <is>
          <t>Paper</t>
        </is>
      </c>
      <c r="F12" s="27" t="n">
        <v>425</v>
      </c>
      <c r="G12" s="26" t="inlineStr">
        <is>
          <t>Finished</t>
        </is>
      </c>
      <c r="H12" s="28" t="n">
        <v>46079</v>
      </c>
      <c r="I12" s="28" t="n">
        <v>46087</v>
      </c>
      <c r="J12" s="27" t="n">
        <v>4</v>
      </c>
      <c r="K12" s="16">
        <f>IF(OR(H12="",I12=""),"",I12-H12+1)</f>
        <v/>
      </c>
      <c r="L12" s="16">
        <f>IF(OR(K12="",N(F12)=0),"",F12/K12)</f>
        <v/>
      </c>
      <c r="M12" s="25" t="inlineStr">
        <is>
          <t>Slow start, great ending</t>
        </is>
      </c>
      <c r="N12" s="1">
        <f>IF(AND(G12="Finished",I12&lt;&gt;""),IF(YEAR(I12)=Dashboard!$C$4,I12+ROW()/10000000,""),"")</f>
        <v/>
      </c>
      <c r="O12">
        <f>IF(B12="","",IFERROR(MATCH(D12,Settings!$B$6:$B$17,0),12))</f>
        <v/>
      </c>
      <c r="P12">
        <f>IF(AND(G12="Reading",B12&lt;&gt;""),IF(H12="",TODAY(),H12)+ROW()/10000000,"")</f>
        <v/>
      </c>
      <c r="Q12">
        <f>IF(AND(N12&lt;&gt;"",N(J12)=5),N12,"")</f>
        <v/>
      </c>
    </row>
    <row r="13">
      <c r="A13" s="1" t="n"/>
      <c r="B13" s="24" t="inlineStr">
        <is>
          <t>The Silver Orchard</t>
        </is>
      </c>
      <c r="C13" s="25" t="inlineStr">
        <is>
          <t>Colm Castell</t>
        </is>
      </c>
      <c r="D13" s="25" t="inlineStr">
        <is>
          <t>Poetry</t>
        </is>
      </c>
      <c r="E13" s="26" t="inlineStr">
        <is>
          <t>Paper</t>
        </is>
      </c>
      <c r="F13" s="27" t="n">
        <v>193</v>
      </c>
      <c r="G13" s="26" t="inlineStr">
        <is>
          <t>Finished</t>
        </is>
      </c>
      <c r="H13" s="28" t="n">
        <v>46089</v>
      </c>
      <c r="I13" s="28" t="n">
        <v>46092</v>
      </c>
      <c r="J13" s="27" t="n">
        <v>5</v>
      </c>
      <c r="K13" s="16">
        <f>IF(OR(H13="",I13=""),"",I13-H13+1)</f>
        <v/>
      </c>
      <c r="L13" s="16">
        <f>IF(OR(K13="",N(F13)=0),"",F13/K13)</f>
        <v/>
      </c>
      <c r="M13" s="25" t="n"/>
      <c r="N13" s="1">
        <f>IF(AND(G13="Finished",I13&lt;&gt;""),IF(YEAR(I13)=Dashboard!$C$4,I13+ROW()/10000000,""),"")</f>
        <v/>
      </c>
      <c r="O13">
        <f>IF(B13="","",IFERROR(MATCH(D13,Settings!$B$6:$B$17,0),12))</f>
        <v/>
      </c>
      <c r="P13">
        <f>IF(AND(G13="Reading",B13&lt;&gt;""),IF(H13="",TODAY(),H13)+ROW()/10000000,"")</f>
        <v/>
      </c>
      <c r="Q13">
        <f>IF(AND(N13&lt;&gt;"",N(J13)=5),N13,"")</f>
        <v/>
      </c>
    </row>
    <row r="14">
      <c r="A14" s="1" t="n"/>
      <c r="B14" s="24" t="inlineStr">
        <is>
          <t>The Machine of Borrowed Time</t>
        </is>
      </c>
      <c r="C14" s="25" t="inlineStr">
        <is>
          <t>Maren Brandt</t>
        </is>
      </c>
      <c r="D14" s="25" t="inlineStr">
        <is>
          <t>Historical fiction</t>
        </is>
      </c>
      <c r="E14" s="26" t="inlineStr">
        <is>
          <t>Paper</t>
        </is>
      </c>
      <c r="F14" s="27" t="n">
        <v>355</v>
      </c>
      <c r="G14" s="26" t="inlineStr">
        <is>
          <t>Finished</t>
        </is>
      </c>
      <c r="H14" s="28" t="n">
        <v>46092</v>
      </c>
      <c r="I14" s="28" t="n">
        <v>46097</v>
      </c>
      <c r="J14" s="27" t="n">
        <v>4</v>
      </c>
      <c r="K14" s="16">
        <f>IF(OR(H14="",I14=""),"",I14-H14+1)</f>
        <v/>
      </c>
      <c r="L14" s="16">
        <f>IF(OR(K14="",N(F14)=0),"",F14/K14)</f>
        <v/>
      </c>
      <c r="M14" s="25" t="n"/>
      <c r="N14" s="1">
        <f>IF(AND(G14="Finished",I14&lt;&gt;""),IF(YEAR(I14)=Dashboard!$C$4,I14+ROW()/10000000,""),"")</f>
        <v/>
      </c>
      <c r="O14">
        <f>IF(B14="","",IFERROR(MATCH(D14,Settings!$B$6:$B$17,0),12))</f>
        <v/>
      </c>
      <c r="P14">
        <f>IF(AND(G14="Reading",B14&lt;&gt;""),IF(H14="",TODAY(),H14)+ROW()/10000000,"")</f>
        <v/>
      </c>
      <c r="Q14">
        <f>IF(AND(N14&lt;&gt;"",N(J14)=5),N14,"")</f>
        <v/>
      </c>
    </row>
    <row r="15">
      <c r="A15" s="1" t="n"/>
      <c r="B15" s="24" t="inlineStr">
        <is>
          <t>Crooked Orchard</t>
        </is>
      </c>
      <c r="C15" s="25" t="inlineStr">
        <is>
          <t>Mira Albescu</t>
        </is>
      </c>
      <c r="D15" s="25" t="inlineStr">
        <is>
          <t>Fiction</t>
        </is>
      </c>
      <c r="E15" s="26" t="inlineStr">
        <is>
          <t>Paper</t>
        </is>
      </c>
      <c r="F15" s="27" t="n">
        <v>339</v>
      </c>
      <c r="G15" s="26" t="inlineStr">
        <is>
          <t>Finished</t>
        </is>
      </c>
      <c r="H15" s="28" t="n">
        <v>46098</v>
      </c>
      <c r="I15" s="28" t="n">
        <v>46103</v>
      </c>
      <c r="J15" s="27" t="n">
        <v>4</v>
      </c>
      <c r="K15" s="16">
        <f>IF(OR(H15="",I15=""),"",I15-H15+1)</f>
        <v/>
      </c>
      <c r="L15" s="16">
        <f>IF(OR(K15="",N(F15)=0),"",F15/K15)</f>
        <v/>
      </c>
      <c r="M15" s="25" t="inlineStr">
        <is>
          <t>Book club pick</t>
        </is>
      </c>
      <c r="N15" s="1">
        <f>IF(AND(G15="Finished",I15&lt;&gt;""),IF(YEAR(I15)=Dashboard!$C$4,I15+ROW()/10000000,""),"")</f>
        <v/>
      </c>
      <c r="O15">
        <f>IF(B15="","",IFERROR(MATCH(D15,Settings!$B$6:$B$17,0),12))</f>
        <v/>
      </c>
      <c r="P15">
        <f>IF(AND(G15="Reading",B15&lt;&gt;""),IF(H15="",TODAY(),H15)+ROW()/10000000,"")</f>
        <v/>
      </c>
      <c r="Q15">
        <f>IF(AND(N15&lt;&gt;"",N(J15)=5),N15,"")</f>
        <v/>
      </c>
    </row>
    <row r="16">
      <c r="A16" s="1" t="n"/>
      <c r="B16" s="24" t="inlineStr">
        <is>
          <t>The Painted Harbour</t>
        </is>
      </c>
      <c r="C16" s="25" t="inlineStr">
        <is>
          <t>Nadia Marlowe</t>
        </is>
      </c>
      <c r="D16" s="25" t="inlineStr">
        <is>
          <t>Mystery</t>
        </is>
      </c>
      <c r="E16" s="26" t="inlineStr">
        <is>
          <t>Paper</t>
        </is>
      </c>
      <c r="F16" s="27" t="n">
        <v>475</v>
      </c>
      <c r="G16" s="26" t="inlineStr">
        <is>
          <t>Finished</t>
        </is>
      </c>
      <c r="H16" s="28" t="n">
        <v>46103</v>
      </c>
      <c r="I16" s="28" t="n">
        <v>46109</v>
      </c>
      <c r="J16" s="27" t="n">
        <v>3</v>
      </c>
      <c r="K16" s="16">
        <f>IF(OR(H16="",I16=""),"",I16-H16+1)</f>
        <v/>
      </c>
      <c r="L16" s="16">
        <f>IF(OR(K16="",N(F16)=0),"",F16/K16)</f>
        <v/>
      </c>
      <c r="M16" s="25" t="inlineStr">
        <is>
          <t>Could not put it down</t>
        </is>
      </c>
      <c r="N16" s="1">
        <f>IF(AND(G16="Finished",I16&lt;&gt;""),IF(YEAR(I16)=Dashboard!$C$4,I16+ROW()/10000000,""),"")</f>
        <v/>
      </c>
      <c r="O16">
        <f>IF(B16="","",IFERROR(MATCH(D16,Settings!$B$6:$B$17,0),12))</f>
        <v/>
      </c>
      <c r="P16">
        <f>IF(AND(G16="Reading",B16&lt;&gt;""),IF(H16="",TODAY(),H16)+ROW()/10000000,"")</f>
        <v/>
      </c>
      <c r="Q16">
        <f>IF(AND(N16&lt;&gt;"",N(J16)=5),N16,"")</f>
        <v/>
      </c>
    </row>
    <row r="17">
      <c r="A17" s="1" t="n"/>
      <c r="B17" s="24" t="inlineStr">
        <is>
          <t>The Copper House</t>
        </is>
      </c>
      <c r="C17" s="25" t="inlineStr">
        <is>
          <t>Nadia Castell</t>
        </is>
      </c>
      <c r="D17" s="25" t="inlineStr">
        <is>
          <t>Mystery</t>
        </is>
      </c>
      <c r="E17" s="26" t="inlineStr">
        <is>
          <t>Paper</t>
        </is>
      </c>
      <c r="F17" s="27" t="n">
        <v>291</v>
      </c>
      <c r="G17" s="26" t="inlineStr">
        <is>
          <t>Finished</t>
        </is>
      </c>
      <c r="H17" s="28" t="n">
        <v>46110</v>
      </c>
      <c r="I17" s="28" t="n">
        <v>46115</v>
      </c>
      <c r="J17" s="27" t="n">
        <v>4</v>
      </c>
      <c r="K17" s="16">
        <f>IF(OR(H17="",I17=""),"",I17-H17+1)</f>
        <v/>
      </c>
      <c r="L17" s="16">
        <f>IF(OR(K17="",N(F17)=0),"",F17/K17)</f>
        <v/>
      </c>
      <c r="M17" s="25" t="inlineStr">
        <is>
          <t>Could not put it down</t>
        </is>
      </c>
      <c r="N17" s="1">
        <f>IF(AND(G17="Finished",I17&lt;&gt;""),IF(YEAR(I17)=Dashboard!$C$4,I17+ROW()/10000000,""),"")</f>
        <v/>
      </c>
      <c r="O17">
        <f>IF(B17="","",IFERROR(MATCH(D17,Settings!$B$6:$B$17,0),12))</f>
        <v/>
      </c>
      <c r="P17">
        <f>IF(AND(G17="Reading",B17&lt;&gt;""),IF(H17="",TODAY(),H17)+ROW()/10000000,"")</f>
        <v/>
      </c>
      <c r="Q17">
        <f>IF(AND(N17&lt;&gt;"",N(J17)=5),N17,"")</f>
        <v/>
      </c>
    </row>
    <row r="18">
      <c r="A18" s="1" t="n"/>
      <c r="B18" s="24" t="inlineStr">
        <is>
          <t>Winter Tide</t>
        </is>
      </c>
      <c r="C18" s="25" t="inlineStr">
        <is>
          <t>Otto Albescu</t>
        </is>
      </c>
      <c r="D18" s="25" t="inlineStr">
        <is>
          <t>Fantasy</t>
        </is>
      </c>
      <c r="E18" s="26" t="inlineStr">
        <is>
          <t>Audio</t>
        </is>
      </c>
      <c r="F18" s="27" t="n">
        <v>240</v>
      </c>
      <c r="G18" s="26" t="inlineStr">
        <is>
          <t>Finished</t>
        </is>
      </c>
      <c r="H18" s="28" t="n">
        <v>46116</v>
      </c>
      <c r="I18" s="28" t="n">
        <v>46120</v>
      </c>
      <c r="J18" s="27" t="n">
        <v>3</v>
      </c>
      <c r="K18" s="16">
        <f>IF(OR(H18="",I18=""),"",I18-H18+1)</f>
        <v/>
      </c>
      <c r="L18" s="16">
        <f>IF(OR(K18="",N(F18)=0),"",F18/K18)</f>
        <v/>
      </c>
      <c r="M18" s="25" t="inlineStr">
        <is>
          <t>Lent to a friend</t>
        </is>
      </c>
      <c r="N18" s="1">
        <f>IF(AND(G18="Finished",I18&lt;&gt;""),IF(YEAR(I18)=Dashboard!$C$4,I18+ROW()/10000000,""),"")</f>
        <v/>
      </c>
      <c r="O18">
        <f>IF(B18="","",IFERROR(MATCH(D18,Settings!$B$6:$B$17,0),12))</f>
        <v/>
      </c>
      <c r="P18">
        <f>IF(AND(G18="Reading",B18&lt;&gt;""),IF(H18="",TODAY(),H18)+ROW()/10000000,"")</f>
        <v/>
      </c>
      <c r="Q18">
        <f>IF(AND(N18&lt;&gt;"",N(J18)=5),N18,"")</f>
        <v/>
      </c>
    </row>
    <row r="19">
      <c r="A19" s="1" t="n"/>
      <c r="B19" s="24" t="inlineStr">
        <is>
          <t>The River of Small Hours</t>
        </is>
      </c>
      <c r="C19" s="25" t="inlineStr">
        <is>
          <t>Elena Holloway</t>
        </is>
      </c>
      <c r="D19" s="25" t="inlineStr">
        <is>
          <t>Mystery</t>
        </is>
      </c>
      <c r="E19" s="26" t="inlineStr">
        <is>
          <t>Paper</t>
        </is>
      </c>
      <c r="F19" s="27" t="n">
        <v>315</v>
      </c>
      <c r="G19" s="26" t="inlineStr">
        <is>
          <t>Finished</t>
        </is>
      </c>
      <c r="H19" s="28" t="n">
        <v>46122</v>
      </c>
      <c r="I19" s="28" t="n">
        <v>46129</v>
      </c>
      <c r="J19" s="27" t="n">
        <v>3</v>
      </c>
      <c r="K19" s="16">
        <f>IF(OR(H19="",I19=""),"",I19-H19+1)</f>
        <v/>
      </c>
      <c r="L19" s="16">
        <f>IF(OR(K19="",N(F19)=0),"",F19/K19)</f>
        <v/>
      </c>
      <c r="M19" s="25" t="n"/>
      <c r="N19" s="1">
        <f>IF(AND(G19="Finished",I19&lt;&gt;""),IF(YEAR(I19)=Dashboard!$C$4,I19+ROW()/10000000,""),"")</f>
        <v/>
      </c>
      <c r="O19">
        <f>IF(B19="","",IFERROR(MATCH(D19,Settings!$B$6:$B$17,0),12))</f>
        <v/>
      </c>
      <c r="P19">
        <f>IF(AND(G19="Reading",B19&lt;&gt;""),IF(H19="",TODAY(),H19)+ROW()/10000000,"")</f>
        <v/>
      </c>
      <c r="Q19">
        <f>IF(AND(N19&lt;&gt;"",N(J19)=5),N19,"")</f>
        <v/>
      </c>
    </row>
    <row r="20">
      <c r="A20" s="1" t="n"/>
      <c r="B20" s="24" t="inlineStr">
        <is>
          <t>The Island of Glass</t>
        </is>
      </c>
      <c r="C20" s="25" t="inlineStr">
        <is>
          <t>Colm Lindqvist</t>
        </is>
      </c>
      <c r="D20" s="25" t="inlineStr">
        <is>
          <t>Fiction</t>
        </is>
      </c>
      <c r="E20" s="26" t="inlineStr">
        <is>
          <t>Paper</t>
        </is>
      </c>
      <c r="F20" s="27" t="n">
        <v>508</v>
      </c>
      <c r="G20" s="26" t="inlineStr">
        <is>
          <t>Finished</t>
        </is>
      </c>
      <c r="H20" s="28" t="n">
        <v>46130</v>
      </c>
      <c r="I20" s="28" t="n">
        <v>46139</v>
      </c>
      <c r="J20" s="27" t="n">
        <v>4</v>
      </c>
      <c r="K20" s="16">
        <f>IF(OR(H20="",I20=""),"",I20-H20+1)</f>
        <v/>
      </c>
      <c r="L20" s="16">
        <f>IF(OR(K20="",N(F20)=0),"",F20/K20)</f>
        <v/>
      </c>
      <c r="M20" s="25" t="n"/>
      <c r="N20" s="1">
        <f>IF(AND(G20="Finished",I20&lt;&gt;""),IF(YEAR(I20)=Dashboard!$C$4,I20+ROW()/10000000,""),"")</f>
        <v/>
      </c>
      <c r="O20">
        <f>IF(B20="","",IFERROR(MATCH(D20,Settings!$B$6:$B$17,0),12))</f>
        <v/>
      </c>
      <c r="P20">
        <f>IF(AND(G20="Reading",B20&lt;&gt;""),IF(H20="",TODAY(),H20)+ROW()/10000000,"")</f>
        <v/>
      </c>
      <c r="Q20">
        <f>IF(AND(N20&lt;&gt;"",N(J20)=5),N20,"")</f>
        <v/>
      </c>
    </row>
    <row r="21">
      <c r="A21" s="1" t="n"/>
      <c r="B21" s="24" t="inlineStr">
        <is>
          <t>Drowned Machine</t>
        </is>
      </c>
      <c r="C21" s="25" t="inlineStr">
        <is>
          <t>Rafe Brandt</t>
        </is>
      </c>
      <c r="D21" s="25" t="inlineStr">
        <is>
          <t>Romance</t>
        </is>
      </c>
      <c r="E21" s="26" t="inlineStr">
        <is>
          <t>Audio</t>
        </is>
      </c>
      <c r="F21" s="27" t="n">
        <v>411</v>
      </c>
      <c r="G21" s="26" t="inlineStr">
        <is>
          <t>Finished</t>
        </is>
      </c>
      <c r="H21" s="28" t="n">
        <v>46141</v>
      </c>
      <c r="I21" s="28" t="n">
        <v>46149</v>
      </c>
      <c r="J21" s="27" t="n">
        <v>3</v>
      </c>
      <c r="K21" s="16">
        <f>IF(OR(H21="",I21=""),"",I21-H21+1)</f>
        <v/>
      </c>
      <c r="L21" s="16">
        <f>IF(OR(K21="",N(F21)=0),"",F21/K21)</f>
        <v/>
      </c>
      <c r="M21" s="25" t="n"/>
      <c r="N21" s="1">
        <f>IF(AND(G21="Finished",I21&lt;&gt;""),IF(YEAR(I21)=Dashboard!$C$4,I21+ROW()/10000000,""),"")</f>
        <v/>
      </c>
      <c r="O21">
        <f>IF(B21="","",IFERROR(MATCH(D21,Settings!$B$6:$B$17,0),12))</f>
        <v/>
      </c>
      <c r="P21">
        <f>IF(AND(G21="Reading",B21&lt;&gt;""),IF(H21="",TODAY(),H21)+ROW()/10000000,"")</f>
        <v/>
      </c>
      <c r="Q21">
        <f>IF(AND(N21&lt;&gt;"",N(J21)=5),N21,"")</f>
        <v/>
      </c>
    </row>
    <row r="22">
      <c r="A22" s="1" t="n"/>
      <c r="B22" s="24" t="inlineStr">
        <is>
          <t>The Kingdom of Other Rooms</t>
        </is>
      </c>
      <c r="C22" s="25" t="inlineStr">
        <is>
          <t>Wren Albescu</t>
        </is>
      </c>
      <c r="D22" s="25" t="inlineStr">
        <is>
          <t>Non-fiction</t>
        </is>
      </c>
      <c r="E22" s="26" t="inlineStr">
        <is>
          <t>Paper</t>
        </is>
      </c>
      <c r="F22" s="27" t="n">
        <v>306</v>
      </c>
      <c r="G22" s="26" t="inlineStr">
        <is>
          <t>Finished</t>
        </is>
      </c>
      <c r="H22" s="28" t="n">
        <v>46149</v>
      </c>
      <c r="I22" s="28" t="n">
        <v>46154</v>
      </c>
      <c r="J22" s="27" t="n">
        <v>5</v>
      </c>
      <c r="K22" s="16">
        <f>IF(OR(H22="",I22=""),"",I22-H22+1)</f>
        <v/>
      </c>
      <c r="L22" s="16">
        <f>IF(OR(K22="",N(F22)=0),"",F22/K22)</f>
        <v/>
      </c>
      <c r="M22" s="25" t="inlineStr">
        <is>
          <t>Book club pick</t>
        </is>
      </c>
      <c r="N22" s="1">
        <f>IF(AND(G22="Finished",I22&lt;&gt;""),IF(YEAR(I22)=Dashboard!$C$4,I22+ROW()/10000000,""),"")</f>
        <v/>
      </c>
      <c r="O22">
        <f>IF(B22="","",IFERROR(MATCH(D22,Settings!$B$6:$B$17,0),12))</f>
        <v/>
      </c>
      <c r="P22">
        <f>IF(AND(G22="Reading",B22&lt;&gt;""),IF(H22="",TODAY(),H22)+ROW()/10000000,"")</f>
        <v/>
      </c>
      <c r="Q22">
        <f>IF(AND(N22&lt;&gt;"",N(J22)=5),N22,"")</f>
        <v/>
      </c>
    </row>
    <row r="23">
      <c r="A23" s="1" t="n"/>
      <c r="B23" s="24" t="inlineStr">
        <is>
          <t>The Lighthouse of Small Hours</t>
        </is>
      </c>
      <c r="C23" s="25" t="inlineStr">
        <is>
          <t>Wren Okafor</t>
        </is>
      </c>
      <c r="D23" s="25" t="inlineStr">
        <is>
          <t>Historical fiction</t>
        </is>
      </c>
      <c r="E23" s="26" t="inlineStr">
        <is>
          <t>Ebook</t>
        </is>
      </c>
      <c r="F23" s="27" t="n">
        <v>445</v>
      </c>
      <c r="G23" s="26" t="inlineStr">
        <is>
          <t>Did not finish</t>
        </is>
      </c>
      <c r="H23" s="28" t="n">
        <v>46155</v>
      </c>
      <c r="I23" s="28" t="n"/>
      <c r="J23" s="27" t="n"/>
      <c r="K23" s="16">
        <f>IF(OR(H23="",I23=""),"",I23-H23+1)</f>
        <v/>
      </c>
      <c r="L23" s="16">
        <f>IF(OR(K23="",N(F23)=0),"",F23/K23)</f>
        <v/>
      </c>
      <c r="M23" s="25" t="inlineStr">
        <is>
          <t>Not for me</t>
        </is>
      </c>
      <c r="N23" s="1">
        <f>IF(AND(G23="Finished",I23&lt;&gt;""),IF(YEAR(I23)=Dashboard!$C$4,I23+ROW()/10000000,""),"")</f>
        <v/>
      </c>
      <c r="O23">
        <f>IF(B23="","",IFERROR(MATCH(D23,Settings!$B$6:$B$17,0),12))</f>
        <v/>
      </c>
      <c r="P23">
        <f>IF(AND(G23="Reading",B23&lt;&gt;""),IF(H23="",TODAY(),H23)+ROW()/10000000,"")</f>
        <v/>
      </c>
      <c r="Q23">
        <f>IF(AND(N23&lt;&gt;"",N(J23)=5),N23,"")</f>
        <v/>
      </c>
    </row>
    <row r="24">
      <c r="A24" s="1" t="n"/>
      <c r="B24" s="24" t="inlineStr">
        <is>
          <t>The Promise of Small Hours</t>
        </is>
      </c>
      <c r="C24" s="25" t="inlineStr">
        <is>
          <t>Jude Marlowe</t>
        </is>
      </c>
      <c r="D24" s="25" t="inlineStr">
        <is>
          <t>Mystery</t>
        </is>
      </c>
      <c r="E24" s="26" t="inlineStr">
        <is>
          <t>Audio</t>
        </is>
      </c>
      <c r="F24" s="27" t="n">
        <v>511</v>
      </c>
      <c r="G24" s="26" t="inlineStr">
        <is>
          <t>Finished</t>
        </is>
      </c>
      <c r="H24" s="28" t="n">
        <v>46162</v>
      </c>
      <c r="I24" s="28" t="n">
        <v>46170</v>
      </c>
      <c r="J24" s="27" t="n">
        <v>5</v>
      </c>
      <c r="K24" s="16">
        <f>IF(OR(H24="",I24=""),"",I24-H24+1)</f>
        <v/>
      </c>
      <c r="L24" s="16">
        <f>IF(OR(K24="",N(F24)=0),"",F24/K24)</f>
        <v/>
      </c>
      <c r="M24" s="25" t="inlineStr">
        <is>
          <t>Read it on holiday</t>
        </is>
      </c>
      <c r="N24" s="1">
        <f>IF(AND(G24="Finished",I24&lt;&gt;""),IF(YEAR(I24)=Dashboard!$C$4,I24+ROW()/10000000,""),"")</f>
        <v/>
      </c>
      <c r="O24">
        <f>IF(B24="","",IFERROR(MATCH(D24,Settings!$B$6:$B$17,0),12))</f>
        <v/>
      </c>
      <c r="P24">
        <f>IF(AND(G24="Reading",B24&lt;&gt;""),IF(H24="",TODAY(),H24)+ROW()/10000000,"")</f>
        <v/>
      </c>
      <c r="Q24">
        <f>IF(AND(N24&lt;&gt;"",N(J24)=5),N24,"")</f>
        <v/>
      </c>
    </row>
    <row r="25">
      <c r="A25" s="1" t="n"/>
      <c r="B25" s="24" t="inlineStr">
        <is>
          <t>The Lantern Harbour</t>
        </is>
      </c>
      <c r="C25" s="25" t="inlineStr">
        <is>
          <t>Silas Delacroix-Park</t>
        </is>
      </c>
      <c r="D25" s="25" t="inlineStr">
        <is>
          <t>Biography</t>
        </is>
      </c>
      <c r="E25" s="26" t="inlineStr">
        <is>
          <t>Paper</t>
        </is>
      </c>
      <c r="F25" s="27" t="n">
        <v>276</v>
      </c>
      <c r="G25" s="26" t="inlineStr">
        <is>
          <t>Finished</t>
        </is>
      </c>
      <c r="H25" s="28" t="n">
        <v>46170</v>
      </c>
      <c r="I25" s="28" t="n">
        <v>46174</v>
      </c>
      <c r="J25" s="27" t="n">
        <v>3</v>
      </c>
      <c r="K25" s="16">
        <f>IF(OR(H25="",I25=""),"",I25-H25+1)</f>
        <v/>
      </c>
      <c r="L25" s="16">
        <f>IF(OR(K25="",N(F25)=0),"",F25/K25)</f>
        <v/>
      </c>
      <c r="M25" s="25" t="n"/>
      <c r="N25" s="1">
        <f>IF(AND(G25="Finished",I25&lt;&gt;""),IF(YEAR(I25)=Dashboard!$C$4,I25+ROW()/10000000,""),"")</f>
        <v/>
      </c>
      <c r="O25">
        <f>IF(B25="","",IFERROR(MATCH(D25,Settings!$B$6:$B$17,0),12))</f>
        <v/>
      </c>
      <c r="P25">
        <f>IF(AND(G25="Reading",B25&lt;&gt;""),IF(H25="",TODAY(),H25)+ROW()/10000000,"")</f>
        <v/>
      </c>
      <c r="Q25">
        <f>IF(AND(N25&lt;&gt;"",N(J25)=5),N25,"")</f>
        <v/>
      </c>
    </row>
    <row r="26">
      <c r="A26" s="1" t="n"/>
      <c r="B26" s="24" t="inlineStr">
        <is>
          <t>Midnight Orchard</t>
        </is>
      </c>
      <c r="C26" s="25" t="inlineStr">
        <is>
          <t>Tomas Okafor</t>
        </is>
      </c>
      <c r="D26" s="25" t="inlineStr">
        <is>
          <t>Biography</t>
        </is>
      </c>
      <c r="E26" s="26" t="inlineStr">
        <is>
          <t>Audio</t>
        </is>
      </c>
      <c r="F26" s="27" t="n">
        <v>347</v>
      </c>
      <c r="G26" s="26" t="inlineStr">
        <is>
          <t>Finished</t>
        </is>
      </c>
      <c r="H26" s="28" t="n">
        <v>46176</v>
      </c>
      <c r="I26" s="28" t="n">
        <v>46184</v>
      </c>
      <c r="J26" s="27" t="n">
        <v>3</v>
      </c>
      <c r="K26" s="16">
        <f>IF(OR(H26="",I26=""),"",I26-H26+1)</f>
        <v/>
      </c>
      <c r="L26" s="16">
        <f>IF(OR(K26="",N(F26)=0),"",F26/K26)</f>
        <v/>
      </c>
      <c r="M26" s="25" t="n"/>
      <c r="N26" s="1">
        <f>IF(AND(G26="Finished",I26&lt;&gt;""),IF(YEAR(I26)=Dashboard!$C$4,I26+ROW()/10000000,""),"")</f>
        <v/>
      </c>
      <c r="O26">
        <f>IF(B26="","",IFERROR(MATCH(D26,Settings!$B$6:$B$17,0),12))</f>
        <v/>
      </c>
      <c r="P26">
        <f>IF(AND(G26="Reading",B26&lt;&gt;""),IF(H26="",TODAY(),H26)+ROW()/10000000,"")</f>
        <v/>
      </c>
      <c r="Q26">
        <f>IF(AND(N26&lt;&gt;"",N(J26)=5),N26,"")</f>
        <v/>
      </c>
    </row>
    <row r="27">
      <c r="A27" s="1" t="n"/>
      <c r="B27" s="24" t="inlineStr">
        <is>
          <t>The River of Borrowed Time</t>
        </is>
      </c>
      <c r="C27" s="25" t="inlineStr">
        <is>
          <t>Ines Holloway</t>
        </is>
      </c>
      <c r="D27" s="25" t="inlineStr">
        <is>
          <t>Romance</t>
        </is>
      </c>
      <c r="E27" s="26" t="inlineStr">
        <is>
          <t>Ebook</t>
        </is>
      </c>
      <c r="F27" s="27" t="n">
        <v>292</v>
      </c>
      <c r="G27" s="26" t="inlineStr">
        <is>
          <t>Finished</t>
        </is>
      </c>
      <c r="H27" s="28" t="n">
        <v>46186</v>
      </c>
      <c r="I27" s="28" t="n">
        <v>46191</v>
      </c>
      <c r="J27" s="27" t="n">
        <v>4</v>
      </c>
      <c r="K27" s="16">
        <f>IF(OR(H27="",I27=""),"",I27-H27+1)</f>
        <v/>
      </c>
      <c r="L27" s="16">
        <f>IF(OR(K27="",N(F27)=0),"",F27/K27)</f>
        <v/>
      </c>
      <c r="M27" s="25" t="inlineStr">
        <is>
          <t>Could not put it down</t>
        </is>
      </c>
      <c r="N27" s="1">
        <f>IF(AND(G27="Finished",I27&lt;&gt;""),IF(YEAR(I27)=Dashboard!$C$4,I27+ROW()/10000000,""),"")</f>
        <v/>
      </c>
      <c r="O27">
        <f>IF(B27="","",IFERROR(MATCH(D27,Settings!$B$6:$B$17,0),12))</f>
        <v/>
      </c>
      <c r="P27">
        <f>IF(AND(G27="Reading",B27&lt;&gt;""),IF(H27="",TODAY(),H27)+ROW()/10000000,"")</f>
        <v/>
      </c>
      <c r="Q27">
        <f>IF(AND(N27&lt;&gt;"",N(J27)=5),N27,"")</f>
        <v/>
      </c>
    </row>
    <row r="28">
      <c r="A28" s="1" t="n"/>
      <c r="B28" s="24" t="inlineStr">
        <is>
          <t>The Wild Orchestra</t>
        </is>
      </c>
      <c r="C28" s="25" t="inlineStr">
        <is>
          <t>Colm Holloway</t>
        </is>
      </c>
      <c r="D28" s="25" t="inlineStr">
        <is>
          <t>Self-help</t>
        </is>
      </c>
      <c r="E28" s="26" t="inlineStr">
        <is>
          <t>Paper</t>
        </is>
      </c>
      <c r="F28" s="27" t="n">
        <v>269</v>
      </c>
      <c r="G28" s="26" t="inlineStr">
        <is>
          <t>Finished</t>
        </is>
      </c>
      <c r="H28" s="28" t="n">
        <v>46191</v>
      </c>
      <c r="I28" s="28" t="n">
        <v>46196</v>
      </c>
      <c r="J28" s="27" t="n">
        <v>4</v>
      </c>
      <c r="K28" s="16">
        <f>IF(OR(H28="",I28=""),"",I28-H28+1)</f>
        <v/>
      </c>
      <c r="L28" s="16">
        <f>IF(OR(K28="",N(F28)=0),"",F28/K28)</f>
        <v/>
      </c>
      <c r="M28" s="25" t="inlineStr">
        <is>
          <t>Lent to a friend</t>
        </is>
      </c>
      <c r="N28" s="1">
        <f>IF(AND(G28="Finished",I28&lt;&gt;""),IF(YEAR(I28)=Dashboard!$C$4,I28+ROW()/10000000,""),"")</f>
        <v/>
      </c>
      <c r="O28">
        <f>IF(B28="","",IFERROR(MATCH(D28,Settings!$B$6:$B$17,0),12))</f>
        <v/>
      </c>
      <c r="P28">
        <f>IF(AND(G28="Reading",B28&lt;&gt;""),IF(H28="",TODAY(),H28)+ROW()/10000000,"")</f>
        <v/>
      </c>
      <c r="Q28">
        <f>IF(AND(N28&lt;&gt;"",N(J28)=5),N28,"")</f>
        <v/>
      </c>
    </row>
    <row r="29">
      <c r="A29" s="1" t="n"/>
      <c r="B29" s="24" t="inlineStr">
        <is>
          <t>The Salt Kingdom</t>
        </is>
      </c>
      <c r="C29" s="25" t="inlineStr">
        <is>
          <t>Otto Thorne</t>
        </is>
      </c>
      <c r="D29" s="25" t="inlineStr">
        <is>
          <t>Fiction</t>
        </is>
      </c>
      <c r="E29" s="26" t="inlineStr">
        <is>
          <t>Audio</t>
        </is>
      </c>
      <c r="F29" s="27" t="n">
        <v>406</v>
      </c>
      <c r="G29" s="26" t="inlineStr">
        <is>
          <t>Finished</t>
        </is>
      </c>
      <c r="H29" s="28" t="n">
        <v>46196</v>
      </c>
      <c r="I29" s="28" t="n">
        <v>46205</v>
      </c>
      <c r="J29" s="27" t="n">
        <v>2</v>
      </c>
      <c r="K29" s="16">
        <f>IF(OR(H29="",I29=""),"",I29-H29+1)</f>
        <v/>
      </c>
      <c r="L29" s="16">
        <f>IF(OR(K29="",N(F29)=0),"",F29/K29)</f>
        <v/>
      </c>
      <c r="M29" s="25" t="n"/>
      <c r="N29" s="1">
        <f>IF(AND(G29="Finished",I29&lt;&gt;""),IF(YEAR(I29)=Dashboard!$C$4,I29+ROW()/10000000,""),"")</f>
        <v/>
      </c>
      <c r="O29">
        <f>IF(B29="","",IFERROR(MATCH(D29,Settings!$B$6:$B$17,0),12))</f>
        <v/>
      </c>
      <c r="P29">
        <f>IF(AND(G29="Reading",B29&lt;&gt;""),IF(H29="",TODAY(),H29)+ROW()/10000000,"")</f>
        <v/>
      </c>
      <c r="Q29">
        <f>IF(AND(N29&lt;&gt;"",N(J29)=5),N29,"")</f>
        <v/>
      </c>
    </row>
    <row r="30">
      <c r="A30" s="1" t="n"/>
      <c r="B30" s="24" t="inlineStr">
        <is>
          <t>Northern Harbour</t>
        </is>
      </c>
      <c r="C30" s="25" t="inlineStr">
        <is>
          <t>Colm Quill</t>
        </is>
      </c>
      <c r="D30" s="25" t="inlineStr">
        <is>
          <t>Mystery</t>
        </is>
      </c>
      <c r="E30" s="26" t="inlineStr">
        <is>
          <t>Ebook</t>
        </is>
      </c>
      <c r="F30" s="27" t="n">
        <v>295</v>
      </c>
      <c r="G30" s="26" t="inlineStr">
        <is>
          <t>Finished</t>
        </is>
      </c>
      <c r="H30" s="28" t="n">
        <v>46207</v>
      </c>
      <c r="I30" s="28" t="n">
        <v>46212</v>
      </c>
      <c r="J30" s="27" t="n">
        <v>4</v>
      </c>
      <c r="K30" s="16">
        <f>IF(OR(H30="",I30=""),"",I30-H30+1)</f>
        <v/>
      </c>
      <c r="L30" s="16">
        <f>IF(OR(K30="",N(F30)=0),"",F30/K30)</f>
        <v/>
      </c>
      <c r="M30" s="25" t="n"/>
      <c r="N30" s="1">
        <f>IF(AND(G30="Finished",I30&lt;&gt;""),IF(YEAR(I30)=Dashboard!$C$4,I30+ROW()/10000000,""),"")</f>
        <v/>
      </c>
      <c r="O30">
        <f>IF(B30="","",IFERROR(MATCH(D30,Settings!$B$6:$B$17,0),12))</f>
        <v/>
      </c>
      <c r="P30">
        <f>IF(AND(G30="Reading",B30&lt;&gt;""),IF(H30="",TODAY(),H30)+ROW()/10000000,"")</f>
        <v/>
      </c>
      <c r="Q30">
        <f>IF(AND(N30&lt;&gt;"",N(J30)=5),N30,"")</f>
        <v/>
      </c>
    </row>
    <row r="31">
      <c r="A31" s="1" t="n"/>
      <c r="B31" s="24" t="inlineStr">
        <is>
          <t>The Ferry of Lost Things</t>
        </is>
      </c>
      <c r="C31" s="25" t="inlineStr">
        <is>
          <t>Otto Marlowe</t>
        </is>
      </c>
      <c r="D31" s="25" t="inlineStr">
        <is>
          <t>Historical fiction</t>
        </is>
      </c>
      <c r="E31" s="26" t="inlineStr">
        <is>
          <t>Audio</t>
        </is>
      </c>
      <c r="F31" s="27" t="n">
        <v>438</v>
      </c>
      <c r="G31" s="26" t="inlineStr">
        <is>
          <t>Finished</t>
        </is>
      </c>
      <c r="H31" s="28" t="n">
        <v>46212</v>
      </c>
      <c r="I31" s="28" t="n">
        <v>46219</v>
      </c>
      <c r="J31" s="27" t="n">
        <v>2</v>
      </c>
      <c r="K31" s="16">
        <f>IF(OR(H31="",I31=""),"",I31-H31+1)</f>
        <v/>
      </c>
      <c r="L31" s="16">
        <f>IF(OR(K31="",N(F31)=0),"",F31/K31)</f>
        <v/>
      </c>
      <c r="M31" s="25" t="n"/>
      <c r="N31" s="1">
        <f>IF(AND(G31="Finished",I31&lt;&gt;""),IF(YEAR(I31)=Dashboard!$C$4,I31+ROW()/10000000,""),"")</f>
        <v/>
      </c>
      <c r="O31">
        <f>IF(B31="","",IFERROR(MATCH(D31,Settings!$B$6:$B$17,0),12))</f>
        <v/>
      </c>
      <c r="P31">
        <f>IF(AND(G31="Reading",B31&lt;&gt;""),IF(H31="",TODAY(),H31)+ROW()/10000000,"")</f>
        <v/>
      </c>
      <c r="Q31">
        <f>IF(AND(N31&lt;&gt;"",N(J31)=5),N31,"")</f>
        <v/>
      </c>
    </row>
    <row r="32">
      <c r="A32" s="1" t="n"/>
      <c r="B32" s="24" t="inlineStr">
        <is>
          <t>The Silver Island</t>
        </is>
      </c>
      <c r="C32" s="25" t="inlineStr">
        <is>
          <t>Anika Castell</t>
        </is>
      </c>
      <c r="D32" s="25" t="inlineStr">
        <is>
          <t>Historical fiction</t>
        </is>
      </c>
      <c r="E32" s="26" t="inlineStr">
        <is>
          <t>Audio</t>
        </is>
      </c>
      <c r="F32" s="27" t="n">
        <v>289</v>
      </c>
      <c r="G32" s="26" t="inlineStr">
        <is>
          <t>Finished</t>
        </is>
      </c>
      <c r="H32" s="28" t="n">
        <v>46220</v>
      </c>
      <c r="I32" s="28" t="n">
        <v>46224</v>
      </c>
      <c r="J32" s="27" t="n">
        <v>4</v>
      </c>
      <c r="K32" s="16">
        <f>IF(OR(H32="",I32=""),"",I32-H32+1)</f>
        <v/>
      </c>
      <c r="L32" s="16">
        <f>IF(OR(K32="",N(F32)=0),"",F32/K32)</f>
        <v/>
      </c>
      <c r="M32" s="25" t="n"/>
      <c r="N32" s="1">
        <f>IF(AND(G32="Finished",I32&lt;&gt;""),IF(YEAR(I32)=Dashboard!$C$4,I32+ROW()/10000000,""),"")</f>
        <v/>
      </c>
      <c r="O32">
        <f>IF(B32="","",IFERROR(MATCH(D32,Settings!$B$6:$B$17,0),12))</f>
        <v/>
      </c>
      <c r="P32">
        <f>IF(AND(G32="Reading",B32&lt;&gt;""),IF(H32="",TODAY(),H32)+ROW()/10000000,"")</f>
        <v/>
      </c>
      <c r="Q32">
        <f>IF(AND(N32&lt;&gt;"",N(J32)=5),N32,"")</f>
        <v/>
      </c>
    </row>
    <row r="33">
      <c r="A33" s="1" t="n"/>
      <c r="B33" s="24" t="inlineStr">
        <is>
          <t>Glass Promise</t>
        </is>
      </c>
      <c r="C33" s="25" t="inlineStr">
        <is>
          <t>Otto Lindqvist</t>
        </is>
      </c>
      <c r="D33" s="25" t="inlineStr">
        <is>
          <t>Mystery</t>
        </is>
      </c>
      <c r="E33" s="26" t="inlineStr">
        <is>
          <t>Audio</t>
        </is>
      </c>
      <c r="F33" s="27" t="n">
        <v>332</v>
      </c>
      <c r="G33" s="26" t="inlineStr">
        <is>
          <t>Finished</t>
        </is>
      </c>
      <c r="H33" s="28" t="n">
        <v>46226</v>
      </c>
      <c r="I33" s="28" t="n">
        <v>46233</v>
      </c>
      <c r="J33" s="27" t="n">
        <v>3</v>
      </c>
      <c r="K33" s="16">
        <f>IF(OR(H33="",I33=""),"",I33-H33+1)</f>
        <v/>
      </c>
      <c r="L33" s="16">
        <f>IF(OR(K33="",N(F33)=0),"",F33/K33)</f>
        <v/>
      </c>
      <c r="M33" s="25" t="inlineStr">
        <is>
          <t>Read it on holiday</t>
        </is>
      </c>
      <c r="N33" s="1">
        <f>IF(AND(G33="Finished",I33&lt;&gt;""),IF(YEAR(I33)=Dashboard!$C$4,I33+ROW()/10000000,""),"")</f>
        <v/>
      </c>
      <c r="O33">
        <f>IF(B33="","",IFERROR(MATCH(D33,Settings!$B$6:$B$17,0),12))</f>
        <v/>
      </c>
      <c r="P33">
        <f>IF(AND(G33="Reading",B33&lt;&gt;""),IF(H33="",TODAY(),H33)+ROW()/10000000,"")</f>
        <v/>
      </c>
      <c r="Q33">
        <f>IF(AND(N33&lt;&gt;"",N(J33)=5),N33,"")</f>
        <v/>
      </c>
    </row>
    <row r="34">
      <c r="A34" s="1" t="n"/>
      <c r="B34" s="24" t="inlineStr">
        <is>
          <t>The Drowned Bookshop</t>
        </is>
      </c>
      <c r="C34" s="25" t="inlineStr">
        <is>
          <t>Colm Fennimore</t>
        </is>
      </c>
      <c r="D34" s="25" t="inlineStr">
        <is>
          <t>Poetry</t>
        </is>
      </c>
      <c r="E34" s="26" t="inlineStr">
        <is>
          <t>Ebook</t>
        </is>
      </c>
      <c r="F34" s="27" t="n">
        <v>348</v>
      </c>
      <c r="G34" s="26" t="inlineStr">
        <is>
          <t>Finished</t>
        </is>
      </c>
      <c r="H34" s="28" t="n">
        <v>46234</v>
      </c>
      <c r="I34" s="28" t="n">
        <v>46240</v>
      </c>
      <c r="J34" s="27" t="n">
        <v>5</v>
      </c>
      <c r="K34" s="16">
        <f>IF(OR(H34="",I34=""),"",I34-H34+1)</f>
        <v/>
      </c>
      <c r="L34" s="16">
        <f>IF(OR(K34="",N(F34)=0),"",F34/K34)</f>
        <v/>
      </c>
      <c r="M34" s="25" t="inlineStr">
        <is>
          <t>Book club pick</t>
        </is>
      </c>
      <c r="N34" s="1">
        <f>IF(AND(G34="Finished",I34&lt;&gt;""),IF(YEAR(I34)=Dashboard!$C$4,I34+ROW()/10000000,""),"")</f>
        <v/>
      </c>
      <c r="O34">
        <f>IF(B34="","",IFERROR(MATCH(D34,Settings!$B$6:$B$17,0),12))</f>
        <v/>
      </c>
      <c r="P34">
        <f>IF(AND(G34="Reading",B34&lt;&gt;""),IF(H34="",TODAY(),H34)+ROW()/10000000,"")</f>
        <v/>
      </c>
      <c r="Q34">
        <f>IF(AND(N34&lt;&gt;"",N(J34)=5),N34,"")</f>
        <v/>
      </c>
    </row>
    <row r="35">
      <c r="A35" s="1" t="n"/>
      <c r="B35" s="24" t="inlineStr">
        <is>
          <t>Midnight Garden</t>
        </is>
      </c>
      <c r="C35" s="25" t="inlineStr">
        <is>
          <t>Ines Varga</t>
        </is>
      </c>
      <c r="D35" s="25" t="inlineStr">
        <is>
          <t>Fiction</t>
        </is>
      </c>
      <c r="E35" s="26" t="inlineStr">
        <is>
          <t>Ebook</t>
        </is>
      </c>
      <c r="F35" s="27" t="n">
        <v>369</v>
      </c>
      <c r="G35" s="26" t="inlineStr">
        <is>
          <t>Finished</t>
        </is>
      </c>
      <c r="H35" s="28" t="n">
        <v>46242</v>
      </c>
      <c r="I35" s="28" t="n">
        <v>46247</v>
      </c>
      <c r="J35" s="27" t="n">
        <v>4</v>
      </c>
      <c r="K35" s="16">
        <f>IF(OR(H35="",I35=""),"",I35-H35+1)</f>
        <v/>
      </c>
      <c r="L35" s="16">
        <f>IF(OR(K35="",N(F35)=0),"",F35/K35)</f>
        <v/>
      </c>
      <c r="M35" s="25" t="inlineStr">
        <is>
          <t>Lent to a friend</t>
        </is>
      </c>
      <c r="N35" s="1">
        <f>IF(AND(G35="Finished",I35&lt;&gt;""),IF(YEAR(I35)=Dashboard!$C$4,I35+ROW()/10000000,""),"")</f>
        <v/>
      </c>
      <c r="O35">
        <f>IF(B35="","",IFERROR(MATCH(D35,Settings!$B$6:$B$17,0),12))</f>
        <v/>
      </c>
      <c r="P35">
        <f>IF(AND(G35="Reading",B35&lt;&gt;""),IF(H35="",TODAY(),H35)+ROW()/10000000,"")</f>
        <v/>
      </c>
      <c r="Q35">
        <f>IF(AND(N35&lt;&gt;"",N(J35)=5),N35,"")</f>
        <v/>
      </c>
    </row>
    <row r="36">
      <c r="A36" s="1" t="n"/>
      <c r="B36" s="24" t="inlineStr">
        <is>
          <t>The Daughter of Ash</t>
        </is>
      </c>
      <c r="C36" s="25" t="inlineStr">
        <is>
          <t>Elena Brandt</t>
        </is>
      </c>
      <c r="D36" s="25" t="inlineStr">
        <is>
          <t>Historical fiction</t>
        </is>
      </c>
      <c r="E36" s="26" t="inlineStr">
        <is>
          <t>Audio</t>
        </is>
      </c>
      <c r="F36" s="27" t="n">
        <v>438</v>
      </c>
      <c r="G36" s="26" t="inlineStr">
        <is>
          <t>Finished</t>
        </is>
      </c>
      <c r="H36" s="28" t="n">
        <v>46247</v>
      </c>
      <c r="I36" s="28" t="n">
        <v>46253</v>
      </c>
      <c r="J36" s="27" t="n">
        <v>3</v>
      </c>
      <c r="K36" s="16">
        <f>IF(OR(H36="",I36=""),"",I36-H36+1)</f>
        <v/>
      </c>
      <c r="L36" s="16">
        <f>IF(OR(K36="",N(F36)=0),"",F36/K36)</f>
        <v/>
      </c>
      <c r="M36" s="25" t="inlineStr">
        <is>
          <t>Slow start, great ending</t>
        </is>
      </c>
      <c r="N36" s="1">
        <f>IF(AND(G36="Finished",I36&lt;&gt;""),IF(YEAR(I36)=Dashboard!$C$4,I36+ROW()/10000000,""),"")</f>
        <v/>
      </c>
      <c r="O36">
        <f>IF(B36="","",IFERROR(MATCH(D36,Settings!$B$6:$B$17,0),12))</f>
        <v/>
      </c>
      <c r="P36">
        <f>IF(AND(G36="Reading",B36&lt;&gt;""),IF(H36="",TODAY(),H36)+ROW()/10000000,"")</f>
        <v/>
      </c>
      <c r="Q36">
        <f>IF(AND(N36&lt;&gt;"",N(J36)=5),N36,"")</f>
        <v/>
      </c>
    </row>
    <row r="37">
      <c r="A37" s="1" t="n"/>
      <c r="B37" s="24" t="inlineStr">
        <is>
          <t>Lantern Promise</t>
        </is>
      </c>
      <c r="C37" s="25" t="inlineStr">
        <is>
          <t>Colm Okafor</t>
        </is>
      </c>
      <c r="D37" s="25" t="inlineStr">
        <is>
          <t>Fantasy</t>
        </is>
      </c>
      <c r="E37" s="26" t="inlineStr">
        <is>
          <t>Audio</t>
        </is>
      </c>
      <c r="F37" s="27" t="n">
        <v>428</v>
      </c>
      <c r="G37" s="26" t="inlineStr">
        <is>
          <t>Finished</t>
        </is>
      </c>
      <c r="H37" s="28" t="n">
        <v>46254</v>
      </c>
      <c r="I37" s="28" t="n">
        <v>46262</v>
      </c>
      <c r="J37" s="27" t="n">
        <v>5</v>
      </c>
      <c r="K37" s="16">
        <f>IF(OR(H37="",I37=""),"",I37-H37+1)</f>
        <v/>
      </c>
      <c r="L37" s="16">
        <f>IF(OR(K37="",N(F37)=0),"",F37/K37)</f>
        <v/>
      </c>
      <c r="M37" s="25" t="n"/>
      <c r="N37" s="1">
        <f>IF(AND(G37="Finished",I37&lt;&gt;""),IF(YEAR(I37)=Dashboard!$C$4,I37+ROW()/10000000,""),"")</f>
        <v/>
      </c>
      <c r="O37">
        <f>IF(B37="","",IFERROR(MATCH(D37,Settings!$B$6:$B$17,0),12))</f>
        <v/>
      </c>
      <c r="P37">
        <f>IF(AND(G37="Reading",B37&lt;&gt;""),IF(H37="",TODAY(),H37)+ROW()/10000000,"")</f>
        <v/>
      </c>
      <c r="Q37">
        <f>IF(AND(N37&lt;&gt;"",N(J37)=5),N37,"")</f>
        <v/>
      </c>
    </row>
    <row r="38">
      <c r="A38" s="1" t="n"/>
      <c r="B38" s="24" t="inlineStr">
        <is>
          <t>The Lighthouse of Other Rooms</t>
        </is>
      </c>
      <c r="C38" s="25" t="inlineStr">
        <is>
          <t>Elena Lindqvist</t>
        </is>
      </c>
      <c r="D38" s="25" t="inlineStr">
        <is>
          <t>Self-help</t>
        </is>
      </c>
      <c r="E38" s="26" t="inlineStr">
        <is>
          <t>Audio</t>
        </is>
      </c>
      <c r="F38" s="27" t="n">
        <v>259</v>
      </c>
      <c r="G38" s="26" t="inlineStr">
        <is>
          <t>Finished</t>
        </is>
      </c>
      <c r="H38" s="28" t="n">
        <v>46263</v>
      </c>
      <c r="I38" s="28" t="n">
        <v>46269</v>
      </c>
      <c r="J38" s="27" t="n">
        <v>5</v>
      </c>
      <c r="K38" s="16">
        <f>IF(OR(H38="",I38=""),"",I38-H38+1)</f>
        <v/>
      </c>
      <c r="L38" s="16">
        <f>IF(OR(K38="",N(F38)=0),"",F38/K38)</f>
        <v/>
      </c>
      <c r="M38" s="25" t="inlineStr">
        <is>
          <t>Could not put it down</t>
        </is>
      </c>
      <c r="N38" s="1">
        <f>IF(AND(G38="Finished",I38&lt;&gt;""),IF(YEAR(I38)=Dashboard!$C$4,I38+ROW()/10000000,""),"")</f>
        <v/>
      </c>
      <c r="O38">
        <f>IF(B38="","",IFERROR(MATCH(D38,Settings!$B$6:$B$17,0),12))</f>
        <v/>
      </c>
      <c r="P38">
        <f>IF(AND(G38="Reading",B38&lt;&gt;""),IF(H38="",TODAY(),H38)+ROW()/10000000,"")</f>
        <v/>
      </c>
      <c r="Q38">
        <f>IF(AND(N38&lt;&gt;"",N(J38)=5),N38,"")</f>
        <v/>
      </c>
    </row>
    <row r="39">
      <c r="A39" s="1" t="n"/>
      <c r="B39" s="24" t="inlineStr">
        <is>
          <t>The Lantern Clockmaker</t>
        </is>
      </c>
      <c r="C39" s="25" t="inlineStr">
        <is>
          <t>Wren Delacroix-Park</t>
        </is>
      </c>
      <c r="D39" s="25" t="inlineStr">
        <is>
          <t>Romance</t>
        </is>
      </c>
      <c r="E39" s="26" t="inlineStr">
        <is>
          <t>Paper</t>
        </is>
      </c>
      <c r="F39" s="27" t="n">
        <v>216</v>
      </c>
      <c r="G39" s="26" t="inlineStr">
        <is>
          <t>Finished</t>
        </is>
      </c>
      <c r="H39" s="28" t="n">
        <v>46270</v>
      </c>
      <c r="I39" s="28" t="n">
        <v>46275</v>
      </c>
      <c r="J39" s="27" t="n">
        <v>4</v>
      </c>
      <c r="K39" s="16">
        <f>IF(OR(H39="",I39=""),"",I39-H39+1)</f>
        <v/>
      </c>
      <c r="L39" s="16">
        <f>IF(OR(K39="",N(F39)=0),"",F39/K39)</f>
        <v/>
      </c>
      <c r="M39" s="25" t="n"/>
      <c r="N39" s="1">
        <f>IF(AND(G39="Finished",I39&lt;&gt;""),IF(YEAR(I39)=Dashboard!$C$4,I39+ROW()/10000000,""),"")</f>
        <v/>
      </c>
      <c r="O39">
        <f>IF(B39="","",IFERROR(MATCH(D39,Settings!$B$6:$B$17,0),12))</f>
        <v/>
      </c>
      <c r="P39">
        <f>IF(AND(G39="Reading",B39&lt;&gt;""),IF(H39="",TODAY(),H39)+ROW()/10000000,"")</f>
        <v/>
      </c>
      <c r="Q39">
        <f>IF(AND(N39&lt;&gt;"",N(J39)=5),N39,"")</f>
        <v/>
      </c>
    </row>
    <row r="40">
      <c r="A40" s="1" t="n"/>
      <c r="B40" s="24" t="inlineStr">
        <is>
          <t>The House of Northern Lights</t>
        </is>
      </c>
      <c r="C40" s="25" t="inlineStr">
        <is>
          <t>Mira Brandt</t>
        </is>
      </c>
      <c r="D40" s="25" t="inlineStr">
        <is>
          <t>Science fiction</t>
        </is>
      </c>
      <c r="E40" s="26" t="inlineStr">
        <is>
          <t>Audio</t>
        </is>
      </c>
      <c r="F40" s="27" t="n">
        <v>323</v>
      </c>
      <c r="G40" s="26" t="inlineStr">
        <is>
          <t>Finished</t>
        </is>
      </c>
      <c r="H40" s="28" t="n">
        <v>46275</v>
      </c>
      <c r="I40" s="28" t="n">
        <v>46282</v>
      </c>
      <c r="J40" s="27" t="n">
        <v>4</v>
      </c>
      <c r="K40" s="16">
        <f>IF(OR(H40="",I40=""),"",I40-H40+1)</f>
        <v/>
      </c>
      <c r="L40" s="16">
        <f>IF(OR(K40="",N(F40)=0),"",F40/K40)</f>
        <v/>
      </c>
      <c r="M40" s="25" t="inlineStr">
        <is>
          <t>Slow start, great ending</t>
        </is>
      </c>
      <c r="N40" s="1">
        <f>IF(AND(G40="Finished",I40&lt;&gt;""),IF(YEAR(I40)=Dashboard!$C$4,I40+ROW()/10000000,""),"")</f>
        <v/>
      </c>
      <c r="O40">
        <f>IF(B40="","",IFERROR(MATCH(D40,Settings!$B$6:$B$17,0),12))</f>
        <v/>
      </c>
      <c r="P40">
        <f>IF(AND(G40="Reading",B40&lt;&gt;""),IF(H40="",TODAY(),H40)+ROW()/10000000,"")</f>
        <v/>
      </c>
      <c r="Q40">
        <f>IF(AND(N40&lt;&gt;"",N(J40)=5),N40,"")</f>
        <v/>
      </c>
    </row>
    <row r="41">
      <c r="A41" s="1" t="n"/>
      <c r="B41" s="24" t="inlineStr">
        <is>
          <t>Midnight Summer</t>
        </is>
      </c>
      <c r="C41" s="25" t="inlineStr">
        <is>
          <t>Mira Delacroix-Park</t>
        </is>
      </c>
      <c r="D41" s="25" t="inlineStr">
        <is>
          <t>Mystery</t>
        </is>
      </c>
      <c r="E41" s="26" t="inlineStr">
        <is>
          <t>Paper</t>
        </is>
      </c>
      <c r="F41" s="27" t="n">
        <v>412</v>
      </c>
      <c r="G41" s="26" t="inlineStr">
        <is>
          <t>Reading</t>
        </is>
      </c>
      <c r="H41" s="28" t="n">
        <v>46287</v>
      </c>
      <c r="I41" s="28" t="n"/>
      <c r="J41" s="27" t="n"/>
      <c r="K41" s="16">
        <f>IF(OR(H41="",I41=""),"",I41-H41+1)</f>
        <v/>
      </c>
      <c r="L41" s="16">
        <f>IF(OR(K41="",N(F41)=0),"",F41/K41)</f>
        <v/>
      </c>
      <c r="M41" s="25" t="n"/>
      <c r="N41" s="1">
        <f>IF(AND(G41="Finished",I41&lt;&gt;""),IF(YEAR(I41)=Dashboard!$C$4,I41+ROW()/10000000,""),"")</f>
        <v/>
      </c>
      <c r="O41">
        <f>IF(B41="","",IFERROR(MATCH(D41,Settings!$B$6:$B$17,0),12))</f>
        <v/>
      </c>
      <c r="P41">
        <f>IF(AND(G41="Reading",B41&lt;&gt;""),IF(H41="",TODAY(),H41)+ROW()/10000000,"")</f>
        <v/>
      </c>
      <c r="Q41">
        <f>IF(AND(N41&lt;&gt;"",N(J41)=5),N41,"")</f>
        <v/>
      </c>
    </row>
    <row r="42">
      <c r="A42" s="1" t="n"/>
      <c r="B42" s="24" t="inlineStr">
        <is>
          <t>Paper Machine</t>
        </is>
      </c>
      <c r="C42" s="25" t="inlineStr">
        <is>
          <t>Otto Lindqvist</t>
        </is>
      </c>
      <c r="D42" s="25" t="inlineStr">
        <is>
          <t>Mystery</t>
        </is>
      </c>
      <c r="E42" s="26" t="inlineStr">
        <is>
          <t>Paper</t>
        </is>
      </c>
      <c r="F42" s="27" t="n">
        <v>268</v>
      </c>
      <c r="G42" s="26" t="inlineStr">
        <is>
          <t>Reading</t>
        </is>
      </c>
      <c r="H42" s="28" t="n">
        <v>46291</v>
      </c>
      <c r="I42" s="28" t="n"/>
      <c r="J42" s="27" t="n"/>
      <c r="K42" s="16">
        <f>IF(OR(H42="",I42=""),"",I42-H42+1)</f>
        <v/>
      </c>
      <c r="L42" s="16">
        <f>IF(OR(K42="",N(F42)=0),"",F42/K42)</f>
        <v/>
      </c>
      <c r="M42" s="25" t="n"/>
      <c r="N42" s="1">
        <f>IF(AND(G42="Finished",I42&lt;&gt;""),IF(YEAR(I42)=Dashboard!$C$4,I42+ROW()/10000000,""),"")</f>
        <v/>
      </c>
      <c r="O42">
        <f>IF(B42="","",IFERROR(MATCH(D42,Settings!$B$6:$B$17,0),12))</f>
        <v/>
      </c>
      <c r="P42">
        <f>IF(AND(G42="Reading",B42&lt;&gt;""),IF(H42="",TODAY(),H42)+ROW()/10000000,"")</f>
        <v/>
      </c>
      <c r="Q42">
        <f>IF(AND(N42&lt;&gt;"",N(J42)=5),N42,"")</f>
        <v/>
      </c>
    </row>
    <row r="43">
      <c r="A43" s="1" t="n"/>
      <c r="B43" s="24" t="inlineStr">
        <is>
          <t>Lantern Summer</t>
        </is>
      </c>
      <c r="C43" s="25" t="inlineStr">
        <is>
          <t>Tomas Thorne</t>
        </is>
      </c>
      <c r="D43" s="25" t="inlineStr">
        <is>
          <t>Historical fiction</t>
        </is>
      </c>
      <c r="E43" s="26" t="n"/>
      <c r="F43" s="27" t="n">
        <v>243</v>
      </c>
      <c r="G43" s="26" t="inlineStr">
        <is>
          <t>Want to read</t>
        </is>
      </c>
      <c r="H43" s="28" t="n"/>
      <c r="I43" s="28" t="n"/>
      <c r="J43" s="27" t="n"/>
      <c r="K43" s="16">
        <f>IF(OR(H43="",I43=""),"",I43-H43+1)</f>
        <v/>
      </c>
      <c r="L43" s="16">
        <f>IF(OR(K43="",N(F43)=0),"",F43/K43)</f>
        <v/>
      </c>
      <c r="M43" s="25" t="inlineStr">
        <is>
          <t>Recommended by Sam</t>
        </is>
      </c>
      <c r="N43" s="1">
        <f>IF(AND(G43="Finished",I43&lt;&gt;""),IF(YEAR(I43)=Dashboard!$C$4,I43+ROW()/10000000,""),"")</f>
        <v/>
      </c>
      <c r="O43">
        <f>IF(B43="","",IFERROR(MATCH(D43,Settings!$B$6:$B$17,0),12))</f>
        <v/>
      </c>
      <c r="P43">
        <f>IF(AND(G43="Reading",B43&lt;&gt;""),IF(H43="",TODAY(),H43)+ROW()/10000000,"")</f>
        <v/>
      </c>
      <c r="Q43">
        <f>IF(AND(N43&lt;&gt;"",N(J43)=5),N43,"")</f>
        <v/>
      </c>
    </row>
    <row r="44">
      <c r="A44" s="1" t="n"/>
      <c r="B44" s="24" t="inlineStr">
        <is>
          <t>The Borrowed River</t>
        </is>
      </c>
      <c r="C44" s="25" t="inlineStr">
        <is>
          <t>Wren Quill</t>
        </is>
      </c>
      <c r="D44" s="25" t="inlineStr">
        <is>
          <t>Fiction</t>
        </is>
      </c>
      <c r="E44" s="26" t="n"/>
      <c r="F44" s="27" t="n">
        <v>296</v>
      </c>
      <c r="G44" s="26" t="inlineStr">
        <is>
          <t>Want to read</t>
        </is>
      </c>
      <c r="H44" s="28" t="n"/>
      <c r="I44" s="28" t="n"/>
      <c r="J44" s="27" t="n"/>
      <c r="K44" s="16">
        <f>IF(OR(H44="",I44=""),"",I44-H44+1)</f>
        <v/>
      </c>
      <c r="L44" s="16">
        <f>IF(OR(K44="",N(F44)=0),"",F44/K44)</f>
        <v/>
      </c>
      <c r="M44" s="25" t="n"/>
      <c r="N44" s="1">
        <f>IF(AND(G44="Finished",I44&lt;&gt;""),IF(YEAR(I44)=Dashboard!$C$4,I44+ROW()/10000000,""),"")</f>
        <v/>
      </c>
      <c r="O44">
        <f>IF(B44="","",IFERROR(MATCH(D44,Settings!$B$6:$B$17,0),12))</f>
        <v/>
      </c>
      <c r="P44">
        <f>IF(AND(G44="Reading",B44&lt;&gt;""),IF(H44="",TODAY(),H44)+ROW()/10000000,"")</f>
        <v/>
      </c>
      <c r="Q44">
        <f>IF(AND(N44&lt;&gt;"",N(J44)=5),N44,"")</f>
        <v/>
      </c>
    </row>
    <row r="45">
      <c r="A45" s="1" t="n"/>
      <c r="B45" s="24" t="inlineStr">
        <is>
          <t>The Lantern Orchestra</t>
        </is>
      </c>
      <c r="C45" s="25" t="inlineStr">
        <is>
          <t>Anika Marlowe</t>
        </is>
      </c>
      <c r="D45" s="25" t="inlineStr">
        <is>
          <t>Fiction</t>
        </is>
      </c>
      <c r="E45" s="26" t="n"/>
      <c r="F45" s="27" t="n">
        <v>294</v>
      </c>
      <c r="G45" s="26" t="inlineStr">
        <is>
          <t>Want to read</t>
        </is>
      </c>
      <c r="H45" s="28" t="n"/>
      <c r="I45" s="28" t="n"/>
      <c r="J45" s="27" t="n"/>
      <c r="K45" s="16">
        <f>IF(OR(H45="",I45=""),"",I45-H45+1)</f>
        <v/>
      </c>
      <c r="L45" s="16">
        <f>IF(OR(K45="",N(F45)=0),"",F45/K45)</f>
        <v/>
      </c>
      <c r="M45" s="25" t="inlineStr">
        <is>
          <t>Recommended by Sam</t>
        </is>
      </c>
      <c r="N45" s="1">
        <f>IF(AND(G45="Finished",I45&lt;&gt;""),IF(YEAR(I45)=Dashboard!$C$4,I45+ROW()/10000000,""),"")</f>
        <v/>
      </c>
      <c r="O45">
        <f>IF(B45="","",IFERROR(MATCH(D45,Settings!$B$6:$B$17,0),12))</f>
        <v/>
      </c>
      <c r="P45">
        <f>IF(AND(G45="Reading",B45&lt;&gt;""),IF(H45="",TODAY(),H45)+ROW()/10000000,"")</f>
        <v/>
      </c>
      <c r="Q45">
        <f>IF(AND(N45&lt;&gt;"",N(J45)=5),N45,"")</f>
        <v/>
      </c>
    </row>
    <row r="46">
      <c r="A46" s="1" t="n"/>
      <c r="B46" s="24" t="inlineStr">
        <is>
          <t>The Hidden Daughter</t>
        </is>
      </c>
      <c r="C46" s="25" t="inlineStr">
        <is>
          <t>Iris Marlowe</t>
        </is>
      </c>
      <c r="D46" s="25" t="inlineStr">
        <is>
          <t>Non-fiction</t>
        </is>
      </c>
      <c r="E46" s="26" t="n"/>
      <c r="F46" s="27" t="n">
        <v>442</v>
      </c>
      <c r="G46" s="26" t="inlineStr">
        <is>
          <t>Want to read</t>
        </is>
      </c>
      <c r="H46" s="28" t="n"/>
      <c r="I46" s="28" t="n"/>
      <c r="J46" s="27" t="n"/>
      <c r="K46" s="16">
        <f>IF(OR(H46="",I46=""),"",I46-H46+1)</f>
        <v/>
      </c>
      <c r="L46" s="16">
        <f>IF(OR(K46="",N(F46)=0),"",F46/K46)</f>
        <v/>
      </c>
      <c r="M46" s="25" t="n"/>
      <c r="N46" s="1">
        <f>IF(AND(G46="Finished",I46&lt;&gt;""),IF(YEAR(I46)=Dashboard!$C$4,I46+ROW()/10000000,""),"")</f>
        <v/>
      </c>
      <c r="O46">
        <f>IF(B46="","",IFERROR(MATCH(D46,Settings!$B$6:$B$17,0),12))</f>
        <v/>
      </c>
      <c r="P46">
        <f>IF(AND(G46="Reading",B46&lt;&gt;""),IF(H46="",TODAY(),H46)+ROW()/10000000,"")</f>
        <v/>
      </c>
      <c r="Q46">
        <f>IF(AND(N46&lt;&gt;"",N(J46)=5),N46,"")</f>
        <v/>
      </c>
    </row>
    <row r="47">
      <c r="A47" s="1" t="n"/>
      <c r="B47" s="24" t="inlineStr">
        <is>
          <t>The Last Orchard</t>
        </is>
      </c>
      <c r="C47" s="25" t="inlineStr">
        <is>
          <t>Otto Brandt</t>
        </is>
      </c>
      <c r="D47" s="25" t="inlineStr">
        <is>
          <t>Mystery</t>
        </is>
      </c>
      <c r="E47" s="26" t="n"/>
      <c r="F47" s="27" t="n">
        <v>402</v>
      </c>
      <c r="G47" s="26" t="inlineStr">
        <is>
          <t>Want to read</t>
        </is>
      </c>
      <c r="H47" s="28" t="n"/>
      <c r="I47" s="28" t="n"/>
      <c r="J47" s="27" t="n"/>
      <c r="K47" s="16">
        <f>IF(OR(H47="",I47=""),"",I47-H47+1)</f>
        <v/>
      </c>
      <c r="L47" s="16">
        <f>IF(OR(K47="",N(F47)=0),"",F47/K47)</f>
        <v/>
      </c>
      <c r="M47" s="25" t="inlineStr">
        <is>
          <t>Recommended by Sam</t>
        </is>
      </c>
      <c r="N47" s="1">
        <f>IF(AND(G47="Finished",I47&lt;&gt;""),IF(YEAR(I47)=Dashboard!$C$4,I47+ROW()/10000000,""),"")</f>
        <v/>
      </c>
      <c r="O47">
        <f>IF(B47="","",IFERROR(MATCH(D47,Settings!$B$6:$B$17,0),12))</f>
        <v/>
      </c>
      <c r="P47">
        <f>IF(AND(G47="Reading",B47&lt;&gt;""),IF(H47="",TODAY(),H47)+ROW()/10000000,"")</f>
        <v/>
      </c>
      <c r="Q47">
        <f>IF(AND(N47&lt;&gt;"",N(J47)=5),N47,"")</f>
        <v/>
      </c>
    </row>
    <row r="48">
      <c r="A48" s="1" t="n"/>
      <c r="B48" s="24" t="inlineStr">
        <is>
          <t>The Salt River</t>
        </is>
      </c>
      <c r="C48" s="25" t="inlineStr">
        <is>
          <t>Colm Ashby</t>
        </is>
      </c>
      <c r="D48" s="25" t="inlineStr">
        <is>
          <t>Classics</t>
        </is>
      </c>
      <c r="E48" s="26" t="n"/>
      <c r="F48" s="27" t="n">
        <v>324</v>
      </c>
      <c r="G48" s="26" t="inlineStr">
        <is>
          <t>Want to read</t>
        </is>
      </c>
      <c r="H48" s="28" t="n"/>
      <c r="I48" s="28" t="n"/>
      <c r="J48" s="27" t="n"/>
      <c r="K48" s="16">
        <f>IF(OR(H48="",I48=""),"",I48-H48+1)</f>
        <v/>
      </c>
      <c r="L48" s="16">
        <f>IF(OR(K48="",N(F48)=0),"",F48/K48)</f>
        <v/>
      </c>
      <c r="M48" s="25" t="n"/>
      <c r="N48" s="1">
        <f>IF(AND(G48="Finished",I48&lt;&gt;""),IF(YEAR(I48)=Dashboard!$C$4,I48+ROW()/10000000,""),"")</f>
        <v/>
      </c>
      <c r="O48">
        <f>IF(B48="","",IFERROR(MATCH(D48,Settings!$B$6:$B$17,0),12))</f>
        <v/>
      </c>
      <c r="P48">
        <f>IF(AND(G48="Reading",B48&lt;&gt;""),IF(H48="",TODAY(),H48)+ROW()/10000000,"")</f>
        <v/>
      </c>
      <c r="Q48">
        <f>IF(AND(N48&lt;&gt;"",N(J48)=5),N48,"")</f>
        <v/>
      </c>
    </row>
    <row r="49">
      <c r="A49" s="1" t="n"/>
      <c r="B49" s="24" t="n"/>
      <c r="C49" s="25" t="n"/>
      <c r="D49" s="25" t="n"/>
      <c r="E49" s="26" t="n"/>
      <c r="F49" s="27" t="n"/>
      <c r="G49" s="26" t="n"/>
      <c r="H49" s="28" t="n"/>
      <c r="I49" s="28" t="n"/>
      <c r="J49" s="27" t="n"/>
      <c r="K49" s="16">
        <f>IF(OR(H49="",I49=""),"",I49-H49+1)</f>
        <v/>
      </c>
      <c r="L49" s="16">
        <f>IF(OR(K49="",N(F49)=0),"",F49/K49)</f>
        <v/>
      </c>
      <c r="M49" s="25" t="n"/>
      <c r="N49" s="1">
        <f>IF(AND(G49="Finished",I49&lt;&gt;""),IF(YEAR(I49)=Dashboard!$C$4,I49+ROW()/10000000,""),"")</f>
        <v/>
      </c>
      <c r="O49">
        <f>IF(B49="","",IFERROR(MATCH(D49,Settings!$B$6:$B$17,0),12))</f>
        <v/>
      </c>
      <c r="P49">
        <f>IF(AND(G49="Reading",B49&lt;&gt;""),IF(H49="",TODAY(),H49)+ROW()/10000000,"")</f>
        <v/>
      </c>
      <c r="Q49">
        <f>IF(AND(N49&lt;&gt;"",N(J49)=5),N49,"")</f>
        <v/>
      </c>
    </row>
    <row r="50">
      <c r="A50" s="1" t="n"/>
      <c r="B50" s="24" t="n"/>
      <c r="C50" s="25" t="n"/>
      <c r="D50" s="25" t="n"/>
      <c r="E50" s="26" t="n"/>
      <c r="F50" s="27" t="n"/>
      <c r="G50" s="26" t="n"/>
      <c r="H50" s="28" t="n"/>
      <c r="I50" s="28" t="n"/>
      <c r="J50" s="27" t="n"/>
      <c r="K50" s="16">
        <f>IF(OR(H50="",I50=""),"",I50-H50+1)</f>
        <v/>
      </c>
      <c r="L50" s="16">
        <f>IF(OR(K50="",N(F50)=0),"",F50/K50)</f>
        <v/>
      </c>
      <c r="M50" s="25" t="n"/>
      <c r="N50" s="1">
        <f>IF(AND(G50="Finished",I50&lt;&gt;""),IF(YEAR(I50)=Dashboard!$C$4,I50+ROW()/10000000,""),"")</f>
        <v/>
      </c>
      <c r="O50">
        <f>IF(B50="","",IFERROR(MATCH(D50,Settings!$B$6:$B$17,0),12))</f>
        <v/>
      </c>
      <c r="P50">
        <f>IF(AND(G50="Reading",B50&lt;&gt;""),IF(H50="",TODAY(),H50)+ROW()/10000000,"")</f>
        <v/>
      </c>
      <c r="Q50">
        <f>IF(AND(N50&lt;&gt;"",N(J50)=5),N50,"")</f>
        <v/>
      </c>
    </row>
    <row r="51">
      <c r="A51" s="1" t="n"/>
      <c r="B51" s="24" t="n"/>
      <c r="C51" s="25" t="n"/>
      <c r="D51" s="25" t="n"/>
      <c r="E51" s="26" t="n"/>
      <c r="F51" s="27" t="n"/>
      <c r="G51" s="26" t="n"/>
      <c r="H51" s="28" t="n"/>
      <c r="I51" s="28" t="n"/>
      <c r="J51" s="27" t="n"/>
      <c r="K51" s="16">
        <f>IF(OR(H51="",I51=""),"",I51-H51+1)</f>
        <v/>
      </c>
      <c r="L51" s="16">
        <f>IF(OR(K51="",N(F51)=0),"",F51/K51)</f>
        <v/>
      </c>
      <c r="M51" s="25" t="n"/>
      <c r="N51" s="1">
        <f>IF(AND(G51="Finished",I51&lt;&gt;""),IF(YEAR(I51)=Dashboard!$C$4,I51+ROW()/10000000,""),"")</f>
        <v/>
      </c>
      <c r="O51">
        <f>IF(B51="","",IFERROR(MATCH(D51,Settings!$B$6:$B$17,0),12))</f>
        <v/>
      </c>
      <c r="P51">
        <f>IF(AND(G51="Reading",B51&lt;&gt;""),IF(H51="",TODAY(),H51)+ROW()/10000000,"")</f>
        <v/>
      </c>
      <c r="Q51">
        <f>IF(AND(N51&lt;&gt;"",N(J51)=5),N51,"")</f>
        <v/>
      </c>
    </row>
    <row r="52">
      <c r="A52" s="1" t="n"/>
      <c r="B52" s="24" t="n"/>
      <c r="C52" s="25" t="n"/>
      <c r="D52" s="25" t="n"/>
      <c r="E52" s="26" t="n"/>
      <c r="F52" s="27" t="n"/>
      <c r="G52" s="26" t="n"/>
      <c r="H52" s="28" t="n"/>
      <c r="I52" s="28" t="n"/>
      <c r="J52" s="27" t="n"/>
      <c r="K52" s="16">
        <f>IF(OR(H52="",I52=""),"",I52-H52+1)</f>
        <v/>
      </c>
      <c r="L52" s="16">
        <f>IF(OR(K52="",N(F52)=0),"",F52/K52)</f>
        <v/>
      </c>
      <c r="M52" s="25" t="n"/>
      <c r="N52" s="1">
        <f>IF(AND(G52="Finished",I52&lt;&gt;""),IF(YEAR(I52)=Dashboard!$C$4,I52+ROW()/10000000,""),"")</f>
        <v/>
      </c>
      <c r="O52">
        <f>IF(B52="","",IFERROR(MATCH(D52,Settings!$B$6:$B$17,0),12))</f>
        <v/>
      </c>
      <c r="P52">
        <f>IF(AND(G52="Reading",B52&lt;&gt;""),IF(H52="",TODAY(),H52)+ROW()/10000000,"")</f>
        <v/>
      </c>
      <c r="Q52">
        <f>IF(AND(N52&lt;&gt;"",N(J52)=5),N52,"")</f>
        <v/>
      </c>
    </row>
    <row r="53">
      <c r="A53" s="1" t="n"/>
      <c r="B53" s="24" t="n"/>
      <c r="C53" s="25" t="n"/>
      <c r="D53" s="25" t="n"/>
      <c r="E53" s="26" t="n"/>
      <c r="F53" s="27" t="n"/>
      <c r="G53" s="26" t="n"/>
      <c r="H53" s="28" t="n"/>
      <c r="I53" s="28" t="n"/>
      <c r="J53" s="27" t="n"/>
      <c r="K53" s="16">
        <f>IF(OR(H53="",I53=""),"",I53-H53+1)</f>
        <v/>
      </c>
      <c r="L53" s="16">
        <f>IF(OR(K53="",N(F53)=0),"",F53/K53)</f>
        <v/>
      </c>
      <c r="M53" s="25" t="n"/>
      <c r="N53" s="1">
        <f>IF(AND(G53="Finished",I53&lt;&gt;""),IF(YEAR(I53)=Dashboard!$C$4,I53+ROW()/10000000,""),"")</f>
        <v/>
      </c>
      <c r="O53">
        <f>IF(B53="","",IFERROR(MATCH(D53,Settings!$B$6:$B$17,0),12))</f>
        <v/>
      </c>
      <c r="P53">
        <f>IF(AND(G53="Reading",B53&lt;&gt;""),IF(H53="",TODAY(),H53)+ROW()/10000000,"")</f>
        <v/>
      </c>
      <c r="Q53">
        <f>IF(AND(N53&lt;&gt;"",N(J53)=5),N53,"")</f>
        <v/>
      </c>
    </row>
    <row r="54">
      <c r="A54" s="1" t="n"/>
      <c r="B54" s="24" t="n"/>
      <c r="C54" s="25" t="n"/>
      <c r="D54" s="25" t="n"/>
      <c r="E54" s="26" t="n"/>
      <c r="F54" s="27" t="n"/>
      <c r="G54" s="26" t="n"/>
      <c r="H54" s="28" t="n"/>
      <c r="I54" s="28" t="n"/>
      <c r="J54" s="27" t="n"/>
      <c r="K54" s="16">
        <f>IF(OR(H54="",I54=""),"",I54-H54+1)</f>
        <v/>
      </c>
      <c r="L54" s="16">
        <f>IF(OR(K54="",N(F54)=0),"",F54/K54)</f>
        <v/>
      </c>
      <c r="M54" s="25" t="n"/>
      <c r="N54" s="1">
        <f>IF(AND(G54="Finished",I54&lt;&gt;""),IF(YEAR(I54)=Dashboard!$C$4,I54+ROW()/10000000,""),"")</f>
        <v/>
      </c>
      <c r="O54">
        <f>IF(B54="","",IFERROR(MATCH(D54,Settings!$B$6:$B$17,0),12))</f>
        <v/>
      </c>
      <c r="P54">
        <f>IF(AND(G54="Reading",B54&lt;&gt;""),IF(H54="",TODAY(),H54)+ROW()/10000000,"")</f>
        <v/>
      </c>
      <c r="Q54">
        <f>IF(AND(N54&lt;&gt;"",N(J54)=5),N54,"")</f>
        <v/>
      </c>
    </row>
    <row r="55">
      <c r="A55" s="1" t="n"/>
      <c r="B55" s="24" t="n"/>
      <c r="C55" s="25" t="n"/>
      <c r="D55" s="25" t="n"/>
      <c r="E55" s="26" t="n"/>
      <c r="F55" s="27" t="n"/>
      <c r="G55" s="26" t="n"/>
      <c r="H55" s="28" t="n"/>
      <c r="I55" s="28" t="n"/>
      <c r="J55" s="27" t="n"/>
      <c r="K55" s="16">
        <f>IF(OR(H55="",I55=""),"",I55-H55+1)</f>
        <v/>
      </c>
      <c r="L55" s="16">
        <f>IF(OR(K55="",N(F55)=0),"",F55/K55)</f>
        <v/>
      </c>
      <c r="M55" s="25" t="n"/>
      <c r="N55" s="1">
        <f>IF(AND(G55="Finished",I55&lt;&gt;""),IF(YEAR(I55)=Dashboard!$C$4,I55+ROW()/10000000,""),"")</f>
        <v/>
      </c>
      <c r="O55">
        <f>IF(B55="","",IFERROR(MATCH(D55,Settings!$B$6:$B$17,0),12))</f>
        <v/>
      </c>
      <c r="P55">
        <f>IF(AND(G55="Reading",B55&lt;&gt;""),IF(H55="",TODAY(),H55)+ROW()/10000000,"")</f>
        <v/>
      </c>
      <c r="Q55">
        <f>IF(AND(N55&lt;&gt;"",N(J55)=5),N55,"")</f>
        <v/>
      </c>
    </row>
    <row r="56">
      <c r="A56" s="1" t="n"/>
      <c r="B56" s="24" t="n"/>
      <c r="C56" s="25" t="n"/>
      <c r="D56" s="25" t="n"/>
      <c r="E56" s="26" t="n"/>
      <c r="F56" s="27" t="n"/>
      <c r="G56" s="26" t="n"/>
      <c r="H56" s="28" t="n"/>
      <c r="I56" s="28" t="n"/>
      <c r="J56" s="27" t="n"/>
      <c r="K56" s="16">
        <f>IF(OR(H56="",I56=""),"",I56-H56+1)</f>
        <v/>
      </c>
      <c r="L56" s="16">
        <f>IF(OR(K56="",N(F56)=0),"",F56/K56)</f>
        <v/>
      </c>
      <c r="M56" s="25" t="n"/>
      <c r="N56" s="1">
        <f>IF(AND(G56="Finished",I56&lt;&gt;""),IF(YEAR(I56)=Dashboard!$C$4,I56+ROW()/10000000,""),"")</f>
        <v/>
      </c>
      <c r="O56">
        <f>IF(B56="","",IFERROR(MATCH(D56,Settings!$B$6:$B$17,0),12))</f>
        <v/>
      </c>
      <c r="P56">
        <f>IF(AND(G56="Reading",B56&lt;&gt;""),IF(H56="",TODAY(),H56)+ROW()/10000000,"")</f>
        <v/>
      </c>
      <c r="Q56">
        <f>IF(AND(N56&lt;&gt;"",N(J56)=5),N56,"")</f>
        <v/>
      </c>
    </row>
    <row r="57">
      <c r="A57" s="1" t="n"/>
      <c r="B57" s="24" t="n"/>
      <c r="C57" s="25" t="n"/>
      <c r="D57" s="25" t="n"/>
      <c r="E57" s="26" t="n"/>
      <c r="F57" s="27" t="n"/>
      <c r="G57" s="26" t="n"/>
      <c r="H57" s="28" t="n"/>
      <c r="I57" s="28" t="n"/>
      <c r="J57" s="27" t="n"/>
      <c r="K57" s="16">
        <f>IF(OR(H57="",I57=""),"",I57-H57+1)</f>
        <v/>
      </c>
      <c r="L57" s="16">
        <f>IF(OR(K57="",N(F57)=0),"",F57/K57)</f>
        <v/>
      </c>
      <c r="M57" s="25" t="n"/>
      <c r="N57" s="1">
        <f>IF(AND(G57="Finished",I57&lt;&gt;""),IF(YEAR(I57)=Dashboard!$C$4,I57+ROW()/10000000,""),"")</f>
        <v/>
      </c>
      <c r="O57">
        <f>IF(B57="","",IFERROR(MATCH(D57,Settings!$B$6:$B$17,0),12))</f>
        <v/>
      </c>
      <c r="P57">
        <f>IF(AND(G57="Reading",B57&lt;&gt;""),IF(H57="",TODAY(),H57)+ROW()/10000000,"")</f>
        <v/>
      </c>
      <c r="Q57">
        <f>IF(AND(N57&lt;&gt;"",N(J57)=5),N57,"")</f>
        <v/>
      </c>
    </row>
    <row r="58">
      <c r="A58" s="1" t="n"/>
      <c r="B58" s="24" t="n"/>
      <c r="C58" s="25" t="n"/>
      <c r="D58" s="25" t="n"/>
      <c r="E58" s="26" t="n"/>
      <c r="F58" s="27" t="n"/>
      <c r="G58" s="26" t="n"/>
      <c r="H58" s="28" t="n"/>
      <c r="I58" s="28" t="n"/>
      <c r="J58" s="27" t="n"/>
      <c r="K58" s="16">
        <f>IF(OR(H58="",I58=""),"",I58-H58+1)</f>
        <v/>
      </c>
      <c r="L58" s="16">
        <f>IF(OR(K58="",N(F58)=0),"",F58/K58)</f>
        <v/>
      </c>
      <c r="M58" s="25" t="n"/>
      <c r="N58" s="1">
        <f>IF(AND(G58="Finished",I58&lt;&gt;""),IF(YEAR(I58)=Dashboard!$C$4,I58+ROW()/10000000,""),"")</f>
        <v/>
      </c>
      <c r="O58">
        <f>IF(B58="","",IFERROR(MATCH(D58,Settings!$B$6:$B$17,0),12))</f>
        <v/>
      </c>
      <c r="P58">
        <f>IF(AND(G58="Reading",B58&lt;&gt;""),IF(H58="",TODAY(),H58)+ROW()/10000000,"")</f>
        <v/>
      </c>
      <c r="Q58">
        <f>IF(AND(N58&lt;&gt;"",N(J58)=5),N58,"")</f>
        <v/>
      </c>
    </row>
    <row r="59">
      <c r="A59" s="1" t="n"/>
      <c r="B59" s="24" t="n"/>
      <c r="C59" s="25" t="n"/>
      <c r="D59" s="25" t="n"/>
      <c r="E59" s="26" t="n"/>
      <c r="F59" s="27" t="n"/>
      <c r="G59" s="26" t="n"/>
      <c r="H59" s="28" t="n"/>
      <c r="I59" s="28" t="n"/>
      <c r="J59" s="27" t="n"/>
      <c r="K59" s="16">
        <f>IF(OR(H59="",I59=""),"",I59-H59+1)</f>
        <v/>
      </c>
      <c r="L59" s="16">
        <f>IF(OR(K59="",N(F59)=0),"",F59/K59)</f>
        <v/>
      </c>
      <c r="M59" s="25" t="n"/>
      <c r="N59" s="1">
        <f>IF(AND(G59="Finished",I59&lt;&gt;""),IF(YEAR(I59)=Dashboard!$C$4,I59+ROW()/10000000,""),"")</f>
        <v/>
      </c>
      <c r="O59">
        <f>IF(B59="","",IFERROR(MATCH(D59,Settings!$B$6:$B$17,0),12))</f>
        <v/>
      </c>
      <c r="P59">
        <f>IF(AND(G59="Reading",B59&lt;&gt;""),IF(H59="",TODAY(),H59)+ROW()/10000000,"")</f>
        <v/>
      </c>
      <c r="Q59">
        <f>IF(AND(N59&lt;&gt;"",N(J59)=5),N59,"")</f>
        <v/>
      </c>
    </row>
    <row r="60">
      <c r="A60" s="1" t="n"/>
      <c r="B60" s="24" t="n"/>
      <c r="C60" s="25" t="n"/>
      <c r="D60" s="25" t="n"/>
      <c r="E60" s="26" t="n"/>
      <c r="F60" s="27" t="n"/>
      <c r="G60" s="26" t="n"/>
      <c r="H60" s="28" t="n"/>
      <c r="I60" s="28" t="n"/>
      <c r="J60" s="27" t="n"/>
      <c r="K60" s="16">
        <f>IF(OR(H60="",I60=""),"",I60-H60+1)</f>
        <v/>
      </c>
      <c r="L60" s="16">
        <f>IF(OR(K60="",N(F60)=0),"",F60/K60)</f>
        <v/>
      </c>
      <c r="M60" s="25" t="n"/>
      <c r="N60" s="1">
        <f>IF(AND(G60="Finished",I60&lt;&gt;""),IF(YEAR(I60)=Dashboard!$C$4,I60+ROW()/10000000,""),"")</f>
        <v/>
      </c>
      <c r="O60">
        <f>IF(B60="","",IFERROR(MATCH(D60,Settings!$B$6:$B$17,0),12))</f>
        <v/>
      </c>
      <c r="P60">
        <f>IF(AND(G60="Reading",B60&lt;&gt;""),IF(H60="",TODAY(),H60)+ROW()/10000000,"")</f>
        <v/>
      </c>
      <c r="Q60">
        <f>IF(AND(N60&lt;&gt;"",N(J60)=5),N60,"")</f>
        <v/>
      </c>
    </row>
    <row r="61">
      <c r="A61" s="1" t="n"/>
      <c r="B61" s="24" t="n"/>
      <c r="C61" s="25" t="n"/>
      <c r="D61" s="25" t="n"/>
      <c r="E61" s="26" t="n"/>
      <c r="F61" s="27" t="n"/>
      <c r="G61" s="26" t="n"/>
      <c r="H61" s="28" t="n"/>
      <c r="I61" s="28" t="n"/>
      <c r="J61" s="27" t="n"/>
      <c r="K61" s="16">
        <f>IF(OR(H61="",I61=""),"",I61-H61+1)</f>
        <v/>
      </c>
      <c r="L61" s="16">
        <f>IF(OR(K61="",N(F61)=0),"",F61/K61)</f>
        <v/>
      </c>
      <c r="M61" s="25" t="n"/>
      <c r="N61" s="1">
        <f>IF(AND(G61="Finished",I61&lt;&gt;""),IF(YEAR(I61)=Dashboard!$C$4,I61+ROW()/10000000,""),"")</f>
        <v/>
      </c>
      <c r="O61">
        <f>IF(B61="","",IFERROR(MATCH(D61,Settings!$B$6:$B$17,0),12))</f>
        <v/>
      </c>
      <c r="P61">
        <f>IF(AND(G61="Reading",B61&lt;&gt;""),IF(H61="",TODAY(),H61)+ROW()/10000000,"")</f>
        <v/>
      </c>
      <c r="Q61">
        <f>IF(AND(N61&lt;&gt;"",N(J61)=5),N61,"")</f>
        <v/>
      </c>
    </row>
    <row r="62">
      <c r="A62" s="1" t="n"/>
      <c r="B62" s="24" t="n"/>
      <c r="C62" s="25" t="n"/>
      <c r="D62" s="25" t="n"/>
      <c r="E62" s="26" t="n"/>
      <c r="F62" s="27" t="n"/>
      <c r="G62" s="26" t="n"/>
      <c r="H62" s="28" t="n"/>
      <c r="I62" s="28" t="n"/>
      <c r="J62" s="27" t="n"/>
      <c r="K62" s="16">
        <f>IF(OR(H62="",I62=""),"",I62-H62+1)</f>
        <v/>
      </c>
      <c r="L62" s="16">
        <f>IF(OR(K62="",N(F62)=0),"",F62/K62)</f>
        <v/>
      </c>
      <c r="M62" s="25" t="n"/>
      <c r="N62" s="1">
        <f>IF(AND(G62="Finished",I62&lt;&gt;""),IF(YEAR(I62)=Dashboard!$C$4,I62+ROW()/10000000,""),"")</f>
        <v/>
      </c>
      <c r="O62">
        <f>IF(B62="","",IFERROR(MATCH(D62,Settings!$B$6:$B$17,0),12))</f>
        <v/>
      </c>
      <c r="P62">
        <f>IF(AND(G62="Reading",B62&lt;&gt;""),IF(H62="",TODAY(),H62)+ROW()/10000000,"")</f>
        <v/>
      </c>
      <c r="Q62">
        <f>IF(AND(N62&lt;&gt;"",N(J62)=5),N62,"")</f>
        <v/>
      </c>
    </row>
    <row r="63">
      <c r="A63" s="1" t="n"/>
      <c r="B63" s="24" t="n"/>
      <c r="C63" s="25" t="n"/>
      <c r="D63" s="25" t="n"/>
      <c r="E63" s="26" t="n"/>
      <c r="F63" s="27" t="n"/>
      <c r="G63" s="26" t="n"/>
      <c r="H63" s="28" t="n"/>
      <c r="I63" s="28" t="n"/>
      <c r="J63" s="27" t="n"/>
      <c r="K63" s="16">
        <f>IF(OR(H63="",I63=""),"",I63-H63+1)</f>
        <v/>
      </c>
      <c r="L63" s="16">
        <f>IF(OR(K63="",N(F63)=0),"",F63/K63)</f>
        <v/>
      </c>
      <c r="M63" s="25" t="n"/>
      <c r="N63" s="1">
        <f>IF(AND(G63="Finished",I63&lt;&gt;""),IF(YEAR(I63)=Dashboard!$C$4,I63+ROW()/10000000,""),"")</f>
        <v/>
      </c>
      <c r="O63">
        <f>IF(B63="","",IFERROR(MATCH(D63,Settings!$B$6:$B$17,0),12))</f>
        <v/>
      </c>
      <c r="P63">
        <f>IF(AND(G63="Reading",B63&lt;&gt;""),IF(H63="",TODAY(),H63)+ROW()/10000000,"")</f>
        <v/>
      </c>
      <c r="Q63">
        <f>IF(AND(N63&lt;&gt;"",N(J63)=5),N63,"")</f>
        <v/>
      </c>
    </row>
    <row r="64">
      <c r="A64" s="1" t="n"/>
      <c r="B64" s="24" t="n"/>
      <c r="C64" s="25" t="n"/>
      <c r="D64" s="25" t="n"/>
      <c r="E64" s="26" t="n"/>
      <c r="F64" s="27" t="n"/>
      <c r="G64" s="26" t="n"/>
      <c r="H64" s="28" t="n"/>
      <c r="I64" s="28" t="n"/>
      <c r="J64" s="27" t="n"/>
      <c r="K64" s="16">
        <f>IF(OR(H64="",I64=""),"",I64-H64+1)</f>
        <v/>
      </c>
      <c r="L64" s="16">
        <f>IF(OR(K64="",N(F64)=0),"",F64/K64)</f>
        <v/>
      </c>
      <c r="M64" s="25" t="n"/>
      <c r="N64" s="1">
        <f>IF(AND(G64="Finished",I64&lt;&gt;""),IF(YEAR(I64)=Dashboard!$C$4,I64+ROW()/10000000,""),"")</f>
        <v/>
      </c>
      <c r="O64">
        <f>IF(B64="","",IFERROR(MATCH(D64,Settings!$B$6:$B$17,0),12))</f>
        <v/>
      </c>
      <c r="P64">
        <f>IF(AND(G64="Reading",B64&lt;&gt;""),IF(H64="",TODAY(),H64)+ROW()/10000000,"")</f>
        <v/>
      </c>
      <c r="Q64">
        <f>IF(AND(N64&lt;&gt;"",N(J64)=5),N64,"")</f>
        <v/>
      </c>
    </row>
    <row r="65">
      <c r="A65" s="1" t="n"/>
      <c r="B65" s="24" t="n"/>
      <c r="C65" s="25" t="n"/>
      <c r="D65" s="25" t="n"/>
      <c r="E65" s="26" t="n"/>
      <c r="F65" s="27" t="n"/>
      <c r="G65" s="26" t="n"/>
      <c r="H65" s="28" t="n"/>
      <c r="I65" s="28" t="n"/>
      <c r="J65" s="27" t="n"/>
      <c r="K65" s="16">
        <f>IF(OR(H65="",I65=""),"",I65-H65+1)</f>
        <v/>
      </c>
      <c r="L65" s="16">
        <f>IF(OR(K65="",N(F65)=0),"",F65/K65)</f>
        <v/>
      </c>
      <c r="M65" s="25" t="n"/>
      <c r="N65" s="1">
        <f>IF(AND(G65="Finished",I65&lt;&gt;""),IF(YEAR(I65)=Dashboard!$C$4,I65+ROW()/10000000,""),"")</f>
        <v/>
      </c>
      <c r="O65">
        <f>IF(B65="","",IFERROR(MATCH(D65,Settings!$B$6:$B$17,0),12))</f>
        <v/>
      </c>
      <c r="P65">
        <f>IF(AND(G65="Reading",B65&lt;&gt;""),IF(H65="",TODAY(),H65)+ROW()/10000000,"")</f>
        <v/>
      </c>
      <c r="Q65">
        <f>IF(AND(N65&lt;&gt;"",N(J65)=5),N65,"")</f>
        <v/>
      </c>
    </row>
    <row r="66">
      <c r="A66" s="1" t="n"/>
      <c r="B66" s="24" t="n"/>
      <c r="C66" s="25" t="n"/>
      <c r="D66" s="25" t="n"/>
      <c r="E66" s="26" t="n"/>
      <c r="F66" s="27" t="n"/>
      <c r="G66" s="26" t="n"/>
      <c r="H66" s="28" t="n"/>
      <c r="I66" s="28" t="n"/>
      <c r="J66" s="27" t="n"/>
      <c r="K66" s="16">
        <f>IF(OR(H66="",I66=""),"",I66-H66+1)</f>
        <v/>
      </c>
      <c r="L66" s="16">
        <f>IF(OR(K66="",N(F66)=0),"",F66/K66)</f>
        <v/>
      </c>
      <c r="M66" s="25" t="n"/>
      <c r="N66" s="1">
        <f>IF(AND(G66="Finished",I66&lt;&gt;""),IF(YEAR(I66)=Dashboard!$C$4,I66+ROW()/10000000,""),"")</f>
        <v/>
      </c>
      <c r="O66">
        <f>IF(B66="","",IFERROR(MATCH(D66,Settings!$B$6:$B$17,0),12))</f>
        <v/>
      </c>
      <c r="P66">
        <f>IF(AND(G66="Reading",B66&lt;&gt;""),IF(H66="",TODAY(),H66)+ROW()/10000000,"")</f>
        <v/>
      </c>
      <c r="Q66">
        <f>IF(AND(N66&lt;&gt;"",N(J66)=5),N66,"")</f>
        <v/>
      </c>
    </row>
    <row r="67">
      <c r="A67" s="1" t="n"/>
      <c r="B67" s="24" t="n"/>
      <c r="C67" s="25" t="n"/>
      <c r="D67" s="25" t="n"/>
      <c r="E67" s="26" t="n"/>
      <c r="F67" s="27" t="n"/>
      <c r="G67" s="26" t="n"/>
      <c r="H67" s="28" t="n"/>
      <c r="I67" s="28" t="n"/>
      <c r="J67" s="27" t="n"/>
      <c r="K67" s="16">
        <f>IF(OR(H67="",I67=""),"",I67-H67+1)</f>
        <v/>
      </c>
      <c r="L67" s="16">
        <f>IF(OR(K67="",N(F67)=0),"",F67/K67)</f>
        <v/>
      </c>
      <c r="M67" s="25" t="n"/>
      <c r="N67" s="1">
        <f>IF(AND(G67="Finished",I67&lt;&gt;""),IF(YEAR(I67)=Dashboard!$C$4,I67+ROW()/10000000,""),"")</f>
        <v/>
      </c>
      <c r="O67">
        <f>IF(B67="","",IFERROR(MATCH(D67,Settings!$B$6:$B$17,0),12))</f>
        <v/>
      </c>
      <c r="P67">
        <f>IF(AND(G67="Reading",B67&lt;&gt;""),IF(H67="",TODAY(),H67)+ROW()/10000000,"")</f>
        <v/>
      </c>
      <c r="Q67">
        <f>IF(AND(N67&lt;&gt;"",N(J67)=5),N67,"")</f>
        <v/>
      </c>
    </row>
    <row r="68">
      <c r="A68" s="1" t="n"/>
      <c r="B68" s="24" t="n"/>
      <c r="C68" s="25" t="n"/>
      <c r="D68" s="25" t="n"/>
      <c r="E68" s="26" t="n"/>
      <c r="F68" s="27" t="n"/>
      <c r="G68" s="26" t="n"/>
      <c r="H68" s="28" t="n"/>
      <c r="I68" s="28" t="n"/>
      <c r="J68" s="27" t="n"/>
      <c r="K68" s="16">
        <f>IF(OR(H68="",I68=""),"",I68-H68+1)</f>
        <v/>
      </c>
      <c r="L68" s="16">
        <f>IF(OR(K68="",N(F68)=0),"",F68/K68)</f>
        <v/>
      </c>
      <c r="M68" s="25" t="n"/>
      <c r="N68" s="1">
        <f>IF(AND(G68="Finished",I68&lt;&gt;""),IF(YEAR(I68)=Dashboard!$C$4,I68+ROW()/10000000,""),"")</f>
        <v/>
      </c>
      <c r="O68">
        <f>IF(B68="","",IFERROR(MATCH(D68,Settings!$B$6:$B$17,0),12))</f>
        <v/>
      </c>
      <c r="P68">
        <f>IF(AND(G68="Reading",B68&lt;&gt;""),IF(H68="",TODAY(),H68)+ROW()/10000000,"")</f>
        <v/>
      </c>
      <c r="Q68">
        <f>IF(AND(N68&lt;&gt;"",N(J68)=5),N68,"")</f>
        <v/>
      </c>
    </row>
    <row r="69">
      <c r="A69" s="1" t="n"/>
      <c r="B69" s="24" t="n"/>
      <c r="C69" s="25" t="n"/>
      <c r="D69" s="25" t="n"/>
      <c r="E69" s="26" t="n"/>
      <c r="F69" s="27" t="n"/>
      <c r="G69" s="26" t="n"/>
      <c r="H69" s="28" t="n"/>
      <c r="I69" s="28" t="n"/>
      <c r="J69" s="27" t="n"/>
      <c r="K69" s="16">
        <f>IF(OR(H69="",I69=""),"",I69-H69+1)</f>
        <v/>
      </c>
      <c r="L69" s="16">
        <f>IF(OR(K69="",N(F69)=0),"",F69/K69)</f>
        <v/>
      </c>
      <c r="M69" s="25" t="n"/>
      <c r="N69" s="1">
        <f>IF(AND(G69="Finished",I69&lt;&gt;""),IF(YEAR(I69)=Dashboard!$C$4,I69+ROW()/10000000,""),"")</f>
        <v/>
      </c>
      <c r="O69">
        <f>IF(B69="","",IFERROR(MATCH(D69,Settings!$B$6:$B$17,0),12))</f>
        <v/>
      </c>
      <c r="P69">
        <f>IF(AND(G69="Reading",B69&lt;&gt;""),IF(H69="",TODAY(),H69)+ROW()/10000000,"")</f>
        <v/>
      </c>
      <c r="Q69">
        <f>IF(AND(N69&lt;&gt;"",N(J69)=5),N69,"")</f>
        <v/>
      </c>
    </row>
    <row r="70">
      <c r="A70" s="1" t="n"/>
      <c r="B70" s="24" t="n"/>
      <c r="C70" s="25" t="n"/>
      <c r="D70" s="25" t="n"/>
      <c r="E70" s="26" t="n"/>
      <c r="F70" s="27" t="n"/>
      <c r="G70" s="26" t="n"/>
      <c r="H70" s="28" t="n"/>
      <c r="I70" s="28" t="n"/>
      <c r="J70" s="27" t="n"/>
      <c r="K70" s="16">
        <f>IF(OR(H70="",I70=""),"",I70-H70+1)</f>
        <v/>
      </c>
      <c r="L70" s="16">
        <f>IF(OR(K70="",N(F70)=0),"",F70/K70)</f>
        <v/>
      </c>
      <c r="M70" s="25" t="n"/>
      <c r="N70" s="1">
        <f>IF(AND(G70="Finished",I70&lt;&gt;""),IF(YEAR(I70)=Dashboard!$C$4,I70+ROW()/10000000,""),"")</f>
        <v/>
      </c>
      <c r="O70">
        <f>IF(B70="","",IFERROR(MATCH(D70,Settings!$B$6:$B$17,0),12))</f>
        <v/>
      </c>
      <c r="P70">
        <f>IF(AND(G70="Reading",B70&lt;&gt;""),IF(H70="",TODAY(),H70)+ROW()/10000000,"")</f>
        <v/>
      </c>
      <c r="Q70">
        <f>IF(AND(N70&lt;&gt;"",N(J70)=5),N70,"")</f>
        <v/>
      </c>
    </row>
    <row r="71">
      <c r="A71" s="1" t="n"/>
      <c r="B71" s="24" t="n"/>
      <c r="C71" s="25" t="n"/>
      <c r="D71" s="25" t="n"/>
      <c r="E71" s="26" t="n"/>
      <c r="F71" s="27" t="n"/>
      <c r="G71" s="26" t="n"/>
      <c r="H71" s="28" t="n"/>
      <c r="I71" s="28" t="n"/>
      <c r="J71" s="27" t="n"/>
      <c r="K71" s="16">
        <f>IF(OR(H71="",I71=""),"",I71-H71+1)</f>
        <v/>
      </c>
      <c r="L71" s="16">
        <f>IF(OR(K71="",N(F71)=0),"",F71/K71)</f>
        <v/>
      </c>
      <c r="M71" s="25" t="n"/>
      <c r="N71" s="1">
        <f>IF(AND(G71="Finished",I71&lt;&gt;""),IF(YEAR(I71)=Dashboard!$C$4,I71+ROW()/10000000,""),"")</f>
        <v/>
      </c>
      <c r="O71">
        <f>IF(B71="","",IFERROR(MATCH(D71,Settings!$B$6:$B$17,0),12))</f>
        <v/>
      </c>
      <c r="P71">
        <f>IF(AND(G71="Reading",B71&lt;&gt;""),IF(H71="",TODAY(),H71)+ROW()/10000000,"")</f>
        <v/>
      </c>
      <c r="Q71">
        <f>IF(AND(N71&lt;&gt;"",N(J71)=5),N71,"")</f>
        <v/>
      </c>
    </row>
    <row r="72">
      <c r="A72" s="1" t="n"/>
      <c r="B72" s="24" t="n"/>
      <c r="C72" s="25" t="n"/>
      <c r="D72" s="25" t="n"/>
      <c r="E72" s="26" t="n"/>
      <c r="F72" s="27" t="n"/>
      <c r="G72" s="26" t="n"/>
      <c r="H72" s="28" t="n"/>
      <c r="I72" s="28" t="n"/>
      <c r="J72" s="27" t="n"/>
      <c r="K72" s="16">
        <f>IF(OR(H72="",I72=""),"",I72-H72+1)</f>
        <v/>
      </c>
      <c r="L72" s="16">
        <f>IF(OR(K72="",N(F72)=0),"",F72/K72)</f>
        <v/>
      </c>
      <c r="M72" s="25" t="n"/>
      <c r="N72" s="1">
        <f>IF(AND(G72="Finished",I72&lt;&gt;""),IF(YEAR(I72)=Dashboard!$C$4,I72+ROW()/10000000,""),"")</f>
        <v/>
      </c>
      <c r="O72">
        <f>IF(B72="","",IFERROR(MATCH(D72,Settings!$B$6:$B$17,0),12))</f>
        <v/>
      </c>
      <c r="P72">
        <f>IF(AND(G72="Reading",B72&lt;&gt;""),IF(H72="",TODAY(),H72)+ROW()/10000000,"")</f>
        <v/>
      </c>
      <c r="Q72">
        <f>IF(AND(N72&lt;&gt;"",N(J72)=5),N72,"")</f>
        <v/>
      </c>
    </row>
    <row r="73">
      <c r="A73" s="1" t="n"/>
      <c r="B73" s="24" t="n"/>
      <c r="C73" s="25" t="n"/>
      <c r="D73" s="25" t="n"/>
      <c r="E73" s="26" t="n"/>
      <c r="F73" s="27" t="n"/>
      <c r="G73" s="26" t="n"/>
      <c r="H73" s="28" t="n"/>
      <c r="I73" s="28" t="n"/>
      <c r="J73" s="27" t="n"/>
      <c r="K73" s="16">
        <f>IF(OR(H73="",I73=""),"",I73-H73+1)</f>
        <v/>
      </c>
      <c r="L73" s="16">
        <f>IF(OR(K73="",N(F73)=0),"",F73/K73)</f>
        <v/>
      </c>
      <c r="M73" s="25" t="n"/>
      <c r="N73" s="1">
        <f>IF(AND(G73="Finished",I73&lt;&gt;""),IF(YEAR(I73)=Dashboard!$C$4,I73+ROW()/10000000,""),"")</f>
        <v/>
      </c>
      <c r="O73">
        <f>IF(B73="","",IFERROR(MATCH(D73,Settings!$B$6:$B$17,0),12))</f>
        <v/>
      </c>
      <c r="P73">
        <f>IF(AND(G73="Reading",B73&lt;&gt;""),IF(H73="",TODAY(),H73)+ROW()/10000000,"")</f>
        <v/>
      </c>
      <c r="Q73">
        <f>IF(AND(N73&lt;&gt;"",N(J73)=5),N73,"")</f>
        <v/>
      </c>
    </row>
    <row r="74">
      <c r="A74" s="1" t="n"/>
      <c r="B74" s="24" t="n"/>
      <c r="C74" s="25" t="n"/>
      <c r="D74" s="25" t="n"/>
      <c r="E74" s="26" t="n"/>
      <c r="F74" s="27" t="n"/>
      <c r="G74" s="26" t="n"/>
      <c r="H74" s="28" t="n"/>
      <c r="I74" s="28" t="n"/>
      <c r="J74" s="27" t="n"/>
      <c r="K74" s="16">
        <f>IF(OR(H74="",I74=""),"",I74-H74+1)</f>
        <v/>
      </c>
      <c r="L74" s="16">
        <f>IF(OR(K74="",N(F74)=0),"",F74/K74)</f>
        <v/>
      </c>
      <c r="M74" s="25" t="n"/>
      <c r="N74" s="1">
        <f>IF(AND(G74="Finished",I74&lt;&gt;""),IF(YEAR(I74)=Dashboard!$C$4,I74+ROW()/10000000,""),"")</f>
        <v/>
      </c>
      <c r="O74">
        <f>IF(B74="","",IFERROR(MATCH(D74,Settings!$B$6:$B$17,0),12))</f>
        <v/>
      </c>
      <c r="P74">
        <f>IF(AND(G74="Reading",B74&lt;&gt;""),IF(H74="",TODAY(),H74)+ROW()/10000000,"")</f>
        <v/>
      </c>
      <c r="Q74">
        <f>IF(AND(N74&lt;&gt;"",N(J74)=5),N74,"")</f>
        <v/>
      </c>
    </row>
    <row r="75">
      <c r="A75" s="1" t="n"/>
      <c r="B75" s="24" t="n"/>
      <c r="C75" s="25" t="n"/>
      <c r="D75" s="25" t="n"/>
      <c r="E75" s="26" t="n"/>
      <c r="F75" s="27" t="n"/>
      <c r="G75" s="26" t="n"/>
      <c r="H75" s="28" t="n"/>
      <c r="I75" s="28" t="n"/>
      <c r="J75" s="27" t="n"/>
      <c r="K75" s="16">
        <f>IF(OR(H75="",I75=""),"",I75-H75+1)</f>
        <v/>
      </c>
      <c r="L75" s="16">
        <f>IF(OR(K75="",N(F75)=0),"",F75/K75)</f>
        <v/>
      </c>
      <c r="M75" s="25" t="n"/>
      <c r="N75" s="1">
        <f>IF(AND(G75="Finished",I75&lt;&gt;""),IF(YEAR(I75)=Dashboard!$C$4,I75+ROW()/10000000,""),"")</f>
        <v/>
      </c>
      <c r="O75">
        <f>IF(B75="","",IFERROR(MATCH(D75,Settings!$B$6:$B$17,0),12))</f>
        <v/>
      </c>
      <c r="P75">
        <f>IF(AND(G75="Reading",B75&lt;&gt;""),IF(H75="",TODAY(),H75)+ROW()/10000000,"")</f>
        <v/>
      </c>
      <c r="Q75">
        <f>IF(AND(N75&lt;&gt;"",N(J75)=5),N75,"")</f>
        <v/>
      </c>
    </row>
    <row r="76">
      <c r="A76" s="1" t="n"/>
      <c r="B76" s="24" t="n"/>
      <c r="C76" s="25" t="n"/>
      <c r="D76" s="25" t="n"/>
      <c r="E76" s="26" t="n"/>
      <c r="F76" s="27" t="n"/>
      <c r="G76" s="26" t="n"/>
      <c r="H76" s="28" t="n"/>
      <c r="I76" s="28" t="n"/>
      <c r="J76" s="27" t="n"/>
      <c r="K76" s="16">
        <f>IF(OR(H76="",I76=""),"",I76-H76+1)</f>
        <v/>
      </c>
      <c r="L76" s="16">
        <f>IF(OR(K76="",N(F76)=0),"",F76/K76)</f>
        <v/>
      </c>
      <c r="M76" s="25" t="n"/>
      <c r="N76" s="1">
        <f>IF(AND(G76="Finished",I76&lt;&gt;""),IF(YEAR(I76)=Dashboard!$C$4,I76+ROW()/10000000,""),"")</f>
        <v/>
      </c>
      <c r="O76">
        <f>IF(B76="","",IFERROR(MATCH(D76,Settings!$B$6:$B$17,0),12))</f>
        <v/>
      </c>
      <c r="P76">
        <f>IF(AND(G76="Reading",B76&lt;&gt;""),IF(H76="",TODAY(),H76)+ROW()/10000000,"")</f>
        <v/>
      </c>
      <c r="Q76">
        <f>IF(AND(N76&lt;&gt;"",N(J76)=5),N76,"")</f>
        <v/>
      </c>
    </row>
    <row r="77">
      <c r="A77" s="1" t="n"/>
      <c r="B77" s="24" t="n"/>
      <c r="C77" s="25" t="n"/>
      <c r="D77" s="25" t="n"/>
      <c r="E77" s="26" t="n"/>
      <c r="F77" s="27" t="n"/>
      <c r="G77" s="26" t="n"/>
      <c r="H77" s="28" t="n"/>
      <c r="I77" s="28" t="n"/>
      <c r="J77" s="27" t="n"/>
      <c r="K77" s="16">
        <f>IF(OR(H77="",I77=""),"",I77-H77+1)</f>
        <v/>
      </c>
      <c r="L77" s="16">
        <f>IF(OR(K77="",N(F77)=0),"",F77/K77)</f>
        <v/>
      </c>
      <c r="M77" s="25" t="n"/>
      <c r="N77" s="1">
        <f>IF(AND(G77="Finished",I77&lt;&gt;""),IF(YEAR(I77)=Dashboard!$C$4,I77+ROW()/10000000,""),"")</f>
        <v/>
      </c>
      <c r="O77">
        <f>IF(B77="","",IFERROR(MATCH(D77,Settings!$B$6:$B$17,0),12))</f>
        <v/>
      </c>
      <c r="P77">
        <f>IF(AND(G77="Reading",B77&lt;&gt;""),IF(H77="",TODAY(),H77)+ROW()/10000000,"")</f>
        <v/>
      </c>
      <c r="Q77">
        <f>IF(AND(N77&lt;&gt;"",N(J77)=5),N77,"")</f>
        <v/>
      </c>
    </row>
    <row r="78">
      <c r="A78" s="1" t="n"/>
      <c r="B78" s="24" t="n"/>
      <c r="C78" s="25" t="n"/>
      <c r="D78" s="25" t="n"/>
      <c r="E78" s="26" t="n"/>
      <c r="F78" s="27" t="n"/>
      <c r="G78" s="26" t="n"/>
      <c r="H78" s="28" t="n"/>
      <c r="I78" s="28" t="n"/>
      <c r="J78" s="27" t="n"/>
      <c r="K78" s="16">
        <f>IF(OR(H78="",I78=""),"",I78-H78+1)</f>
        <v/>
      </c>
      <c r="L78" s="16">
        <f>IF(OR(K78="",N(F78)=0),"",F78/K78)</f>
        <v/>
      </c>
      <c r="M78" s="25" t="n"/>
      <c r="N78" s="1">
        <f>IF(AND(G78="Finished",I78&lt;&gt;""),IF(YEAR(I78)=Dashboard!$C$4,I78+ROW()/10000000,""),"")</f>
        <v/>
      </c>
      <c r="O78">
        <f>IF(B78="","",IFERROR(MATCH(D78,Settings!$B$6:$B$17,0),12))</f>
        <v/>
      </c>
      <c r="P78">
        <f>IF(AND(G78="Reading",B78&lt;&gt;""),IF(H78="",TODAY(),H78)+ROW()/10000000,"")</f>
        <v/>
      </c>
      <c r="Q78">
        <f>IF(AND(N78&lt;&gt;"",N(J78)=5),N78,"")</f>
        <v/>
      </c>
    </row>
    <row r="79">
      <c r="A79" s="1" t="n"/>
      <c r="B79" s="24" t="n"/>
      <c r="C79" s="25" t="n"/>
      <c r="D79" s="25" t="n"/>
      <c r="E79" s="26" t="n"/>
      <c r="F79" s="27" t="n"/>
      <c r="G79" s="26" t="n"/>
      <c r="H79" s="28" t="n"/>
      <c r="I79" s="28" t="n"/>
      <c r="J79" s="27" t="n"/>
      <c r="K79" s="16">
        <f>IF(OR(H79="",I79=""),"",I79-H79+1)</f>
        <v/>
      </c>
      <c r="L79" s="16">
        <f>IF(OR(K79="",N(F79)=0),"",F79/K79)</f>
        <v/>
      </c>
      <c r="M79" s="25" t="n"/>
      <c r="N79" s="1">
        <f>IF(AND(G79="Finished",I79&lt;&gt;""),IF(YEAR(I79)=Dashboard!$C$4,I79+ROW()/10000000,""),"")</f>
        <v/>
      </c>
      <c r="O79">
        <f>IF(B79="","",IFERROR(MATCH(D79,Settings!$B$6:$B$17,0),12))</f>
        <v/>
      </c>
      <c r="P79">
        <f>IF(AND(G79="Reading",B79&lt;&gt;""),IF(H79="",TODAY(),H79)+ROW()/10000000,"")</f>
        <v/>
      </c>
      <c r="Q79">
        <f>IF(AND(N79&lt;&gt;"",N(J79)=5),N79,"")</f>
        <v/>
      </c>
    </row>
    <row r="80">
      <c r="A80" s="1" t="n"/>
      <c r="B80" s="24" t="n"/>
      <c r="C80" s="25" t="n"/>
      <c r="D80" s="25" t="n"/>
      <c r="E80" s="26" t="n"/>
      <c r="F80" s="27" t="n"/>
      <c r="G80" s="26" t="n"/>
      <c r="H80" s="28" t="n"/>
      <c r="I80" s="28" t="n"/>
      <c r="J80" s="27" t="n"/>
      <c r="K80" s="16">
        <f>IF(OR(H80="",I80=""),"",I80-H80+1)</f>
        <v/>
      </c>
      <c r="L80" s="16">
        <f>IF(OR(K80="",N(F80)=0),"",F80/K80)</f>
        <v/>
      </c>
      <c r="M80" s="25" t="n"/>
      <c r="N80" s="1">
        <f>IF(AND(G80="Finished",I80&lt;&gt;""),IF(YEAR(I80)=Dashboard!$C$4,I80+ROW()/10000000,""),"")</f>
        <v/>
      </c>
      <c r="O80">
        <f>IF(B80="","",IFERROR(MATCH(D80,Settings!$B$6:$B$17,0),12))</f>
        <v/>
      </c>
      <c r="P80">
        <f>IF(AND(G80="Reading",B80&lt;&gt;""),IF(H80="",TODAY(),H80)+ROW()/10000000,"")</f>
        <v/>
      </c>
      <c r="Q80">
        <f>IF(AND(N80&lt;&gt;"",N(J80)=5),N80,"")</f>
        <v/>
      </c>
    </row>
    <row r="81">
      <c r="A81" s="1" t="n"/>
      <c r="B81" s="24" t="n"/>
      <c r="C81" s="25" t="n"/>
      <c r="D81" s="25" t="n"/>
      <c r="E81" s="26" t="n"/>
      <c r="F81" s="27" t="n"/>
      <c r="G81" s="26" t="n"/>
      <c r="H81" s="28" t="n"/>
      <c r="I81" s="28" t="n"/>
      <c r="J81" s="27" t="n"/>
      <c r="K81" s="16">
        <f>IF(OR(H81="",I81=""),"",I81-H81+1)</f>
        <v/>
      </c>
      <c r="L81" s="16">
        <f>IF(OR(K81="",N(F81)=0),"",F81/K81)</f>
        <v/>
      </c>
      <c r="M81" s="25" t="n"/>
      <c r="N81" s="1">
        <f>IF(AND(G81="Finished",I81&lt;&gt;""),IF(YEAR(I81)=Dashboard!$C$4,I81+ROW()/10000000,""),"")</f>
        <v/>
      </c>
      <c r="O81">
        <f>IF(B81="","",IFERROR(MATCH(D81,Settings!$B$6:$B$17,0),12))</f>
        <v/>
      </c>
      <c r="P81">
        <f>IF(AND(G81="Reading",B81&lt;&gt;""),IF(H81="",TODAY(),H81)+ROW()/10000000,"")</f>
        <v/>
      </c>
      <c r="Q81">
        <f>IF(AND(N81&lt;&gt;"",N(J81)=5),N81,"")</f>
        <v/>
      </c>
    </row>
    <row r="82">
      <c r="A82" s="1" t="n"/>
      <c r="B82" s="24" t="n"/>
      <c r="C82" s="25" t="n"/>
      <c r="D82" s="25" t="n"/>
      <c r="E82" s="26" t="n"/>
      <c r="F82" s="27" t="n"/>
      <c r="G82" s="26" t="n"/>
      <c r="H82" s="28" t="n"/>
      <c r="I82" s="28" t="n"/>
      <c r="J82" s="27" t="n"/>
      <c r="K82" s="16">
        <f>IF(OR(H82="",I82=""),"",I82-H82+1)</f>
        <v/>
      </c>
      <c r="L82" s="16">
        <f>IF(OR(K82="",N(F82)=0),"",F82/K82)</f>
        <v/>
      </c>
      <c r="M82" s="25" t="n"/>
      <c r="N82" s="1">
        <f>IF(AND(G82="Finished",I82&lt;&gt;""),IF(YEAR(I82)=Dashboard!$C$4,I82+ROW()/10000000,""),"")</f>
        <v/>
      </c>
      <c r="O82">
        <f>IF(B82="","",IFERROR(MATCH(D82,Settings!$B$6:$B$17,0),12))</f>
        <v/>
      </c>
      <c r="P82">
        <f>IF(AND(G82="Reading",B82&lt;&gt;""),IF(H82="",TODAY(),H82)+ROW()/10000000,"")</f>
        <v/>
      </c>
      <c r="Q82">
        <f>IF(AND(N82&lt;&gt;"",N(J82)=5),N82,"")</f>
        <v/>
      </c>
    </row>
    <row r="83">
      <c r="A83" s="1" t="n"/>
      <c r="B83" s="24" t="n"/>
      <c r="C83" s="25" t="n"/>
      <c r="D83" s="25" t="n"/>
      <c r="E83" s="26" t="n"/>
      <c r="F83" s="27" t="n"/>
      <c r="G83" s="26" t="n"/>
      <c r="H83" s="28" t="n"/>
      <c r="I83" s="28" t="n"/>
      <c r="J83" s="27" t="n"/>
      <c r="K83" s="16">
        <f>IF(OR(H83="",I83=""),"",I83-H83+1)</f>
        <v/>
      </c>
      <c r="L83" s="16">
        <f>IF(OR(K83="",N(F83)=0),"",F83/K83)</f>
        <v/>
      </c>
      <c r="M83" s="25" t="n"/>
      <c r="N83" s="1">
        <f>IF(AND(G83="Finished",I83&lt;&gt;""),IF(YEAR(I83)=Dashboard!$C$4,I83+ROW()/10000000,""),"")</f>
        <v/>
      </c>
      <c r="O83">
        <f>IF(B83="","",IFERROR(MATCH(D83,Settings!$B$6:$B$17,0),12))</f>
        <v/>
      </c>
      <c r="P83">
        <f>IF(AND(G83="Reading",B83&lt;&gt;""),IF(H83="",TODAY(),H83)+ROW()/10000000,"")</f>
        <v/>
      </c>
      <c r="Q83">
        <f>IF(AND(N83&lt;&gt;"",N(J83)=5),N83,"")</f>
        <v/>
      </c>
    </row>
    <row r="84">
      <c r="A84" s="1" t="n"/>
      <c r="B84" s="24" t="n"/>
      <c r="C84" s="25" t="n"/>
      <c r="D84" s="25" t="n"/>
      <c r="E84" s="26" t="n"/>
      <c r="F84" s="27" t="n"/>
      <c r="G84" s="26" t="n"/>
      <c r="H84" s="28" t="n"/>
      <c r="I84" s="28" t="n"/>
      <c r="J84" s="27" t="n"/>
      <c r="K84" s="16">
        <f>IF(OR(H84="",I84=""),"",I84-H84+1)</f>
        <v/>
      </c>
      <c r="L84" s="16">
        <f>IF(OR(K84="",N(F84)=0),"",F84/K84)</f>
        <v/>
      </c>
      <c r="M84" s="25" t="n"/>
      <c r="N84" s="1">
        <f>IF(AND(G84="Finished",I84&lt;&gt;""),IF(YEAR(I84)=Dashboard!$C$4,I84+ROW()/10000000,""),"")</f>
        <v/>
      </c>
      <c r="O84">
        <f>IF(B84="","",IFERROR(MATCH(D84,Settings!$B$6:$B$17,0),12))</f>
        <v/>
      </c>
      <c r="P84">
        <f>IF(AND(G84="Reading",B84&lt;&gt;""),IF(H84="",TODAY(),H84)+ROW()/10000000,"")</f>
        <v/>
      </c>
      <c r="Q84">
        <f>IF(AND(N84&lt;&gt;"",N(J84)=5),N84,"")</f>
        <v/>
      </c>
    </row>
    <row r="85">
      <c r="A85" s="1" t="n"/>
      <c r="B85" s="24" t="n"/>
      <c r="C85" s="25" t="n"/>
      <c r="D85" s="25" t="n"/>
      <c r="E85" s="26" t="n"/>
      <c r="F85" s="27" t="n"/>
      <c r="G85" s="26" t="n"/>
      <c r="H85" s="28" t="n"/>
      <c r="I85" s="28" t="n"/>
      <c r="J85" s="27" t="n"/>
      <c r="K85" s="16">
        <f>IF(OR(H85="",I85=""),"",I85-H85+1)</f>
        <v/>
      </c>
      <c r="L85" s="16">
        <f>IF(OR(K85="",N(F85)=0),"",F85/K85)</f>
        <v/>
      </c>
      <c r="M85" s="25" t="n"/>
      <c r="N85" s="1">
        <f>IF(AND(G85="Finished",I85&lt;&gt;""),IF(YEAR(I85)=Dashboard!$C$4,I85+ROW()/10000000,""),"")</f>
        <v/>
      </c>
      <c r="O85">
        <f>IF(B85="","",IFERROR(MATCH(D85,Settings!$B$6:$B$17,0),12))</f>
        <v/>
      </c>
      <c r="P85">
        <f>IF(AND(G85="Reading",B85&lt;&gt;""),IF(H85="",TODAY(),H85)+ROW()/10000000,"")</f>
        <v/>
      </c>
      <c r="Q85">
        <f>IF(AND(N85&lt;&gt;"",N(J85)=5),N85,"")</f>
        <v/>
      </c>
    </row>
    <row r="86">
      <c r="A86" s="1" t="n"/>
      <c r="B86" s="24" t="n"/>
      <c r="C86" s="25" t="n"/>
      <c r="D86" s="25" t="n"/>
      <c r="E86" s="26" t="n"/>
      <c r="F86" s="27" t="n"/>
      <c r="G86" s="26" t="n"/>
      <c r="H86" s="28" t="n"/>
      <c r="I86" s="28" t="n"/>
      <c r="J86" s="27" t="n"/>
      <c r="K86" s="16">
        <f>IF(OR(H86="",I86=""),"",I86-H86+1)</f>
        <v/>
      </c>
      <c r="L86" s="16">
        <f>IF(OR(K86="",N(F86)=0),"",F86/K86)</f>
        <v/>
      </c>
      <c r="M86" s="25" t="n"/>
      <c r="N86" s="1">
        <f>IF(AND(G86="Finished",I86&lt;&gt;""),IF(YEAR(I86)=Dashboard!$C$4,I86+ROW()/10000000,""),"")</f>
        <v/>
      </c>
      <c r="O86">
        <f>IF(B86="","",IFERROR(MATCH(D86,Settings!$B$6:$B$17,0),12))</f>
        <v/>
      </c>
      <c r="P86">
        <f>IF(AND(G86="Reading",B86&lt;&gt;""),IF(H86="",TODAY(),H86)+ROW()/10000000,"")</f>
        <v/>
      </c>
      <c r="Q86">
        <f>IF(AND(N86&lt;&gt;"",N(J86)=5),N86,"")</f>
        <v/>
      </c>
    </row>
    <row r="87">
      <c r="A87" s="1" t="n"/>
      <c r="B87" s="24" t="n"/>
      <c r="C87" s="25" t="n"/>
      <c r="D87" s="25" t="n"/>
      <c r="E87" s="26" t="n"/>
      <c r="F87" s="27" t="n"/>
      <c r="G87" s="26" t="n"/>
      <c r="H87" s="28" t="n"/>
      <c r="I87" s="28" t="n"/>
      <c r="J87" s="27" t="n"/>
      <c r="K87" s="16">
        <f>IF(OR(H87="",I87=""),"",I87-H87+1)</f>
        <v/>
      </c>
      <c r="L87" s="16">
        <f>IF(OR(K87="",N(F87)=0),"",F87/K87)</f>
        <v/>
      </c>
      <c r="M87" s="25" t="n"/>
      <c r="N87" s="1">
        <f>IF(AND(G87="Finished",I87&lt;&gt;""),IF(YEAR(I87)=Dashboard!$C$4,I87+ROW()/10000000,""),"")</f>
        <v/>
      </c>
      <c r="O87">
        <f>IF(B87="","",IFERROR(MATCH(D87,Settings!$B$6:$B$17,0),12))</f>
        <v/>
      </c>
      <c r="P87">
        <f>IF(AND(G87="Reading",B87&lt;&gt;""),IF(H87="",TODAY(),H87)+ROW()/10000000,"")</f>
        <v/>
      </c>
      <c r="Q87">
        <f>IF(AND(N87&lt;&gt;"",N(J87)=5),N87,"")</f>
        <v/>
      </c>
    </row>
    <row r="88">
      <c r="A88" s="1" t="n"/>
      <c r="B88" s="24" t="n"/>
      <c r="C88" s="25" t="n"/>
      <c r="D88" s="25" t="n"/>
      <c r="E88" s="26" t="n"/>
      <c r="F88" s="27" t="n"/>
      <c r="G88" s="26" t="n"/>
      <c r="H88" s="28" t="n"/>
      <c r="I88" s="28" t="n"/>
      <c r="J88" s="27" t="n"/>
      <c r="K88" s="16">
        <f>IF(OR(H88="",I88=""),"",I88-H88+1)</f>
        <v/>
      </c>
      <c r="L88" s="16">
        <f>IF(OR(K88="",N(F88)=0),"",F88/K88)</f>
        <v/>
      </c>
      <c r="M88" s="25" t="n"/>
      <c r="N88" s="1">
        <f>IF(AND(G88="Finished",I88&lt;&gt;""),IF(YEAR(I88)=Dashboard!$C$4,I88+ROW()/10000000,""),"")</f>
        <v/>
      </c>
      <c r="O88">
        <f>IF(B88="","",IFERROR(MATCH(D88,Settings!$B$6:$B$17,0),12))</f>
        <v/>
      </c>
      <c r="P88">
        <f>IF(AND(G88="Reading",B88&lt;&gt;""),IF(H88="",TODAY(),H88)+ROW()/10000000,"")</f>
        <v/>
      </c>
      <c r="Q88">
        <f>IF(AND(N88&lt;&gt;"",N(J88)=5),N88,"")</f>
        <v/>
      </c>
    </row>
    <row r="89">
      <c r="A89" s="1" t="n"/>
      <c r="B89" s="24" t="n"/>
      <c r="C89" s="25" t="n"/>
      <c r="D89" s="25" t="n"/>
      <c r="E89" s="26" t="n"/>
      <c r="F89" s="27" t="n"/>
      <c r="G89" s="26" t="n"/>
      <c r="H89" s="28" t="n"/>
      <c r="I89" s="28" t="n"/>
      <c r="J89" s="27" t="n"/>
      <c r="K89" s="16">
        <f>IF(OR(H89="",I89=""),"",I89-H89+1)</f>
        <v/>
      </c>
      <c r="L89" s="16">
        <f>IF(OR(K89="",N(F89)=0),"",F89/K89)</f>
        <v/>
      </c>
      <c r="M89" s="25" t="n"/>
      <c r="N89" s="1">
        <f>IF(AND(G89="Finished",I89&lt;&gt;""),IF(YEAR(I89)=Dashboard!$C$4,I89+ROW()/10000000,""),"")</f>
        <v/>
      </c>
      <c r="O89">
        <f>IF(B89="","",IFERROR(MATCH(D89,Settings!$B$6:$B$17,0),12))</f>
        <v/>
      </c>
      <c r="P89">
        <f>IF(AND(G89="Reading",B89&lt;&gt;""),IF(H89="",TODAY(),H89)+ROW()/10000000,"")</f>
        <v/>
      </c>
      <c r="Q89">
        <f>IF(AND(N89&lt;&gt;"",N(J89)=5),N89,"")</f>
        <v/>
      </c>
    </row>
    <row r="90">
      <c r="A90" s="1" t="n"/>
      <c r="B90" s="24" t="n"/>
      <c r="C90" s="25" t="n"/>
      <c r="D90" s="25" t="n"/>
      <c r="E90" s="26" t="n"/>
      <c r="F90" s="27" t="n"/>
      <c r="G90" s="26" t="n"/>
      <c r="H90" s="28" t="n"/>
      <c r="I90" s="28" t="n"/>
      <c r="J90" s="27" t="n"/>
      <c r="K90" s="16">
        <f>IF(OR(H90="",I90=""),"",I90-H90+1)</f>
        <v/>
      </c>
      <c r="L90" s="16">
        <f>IF(OR(K90="",N(F90)=0),"",F90/K90)</f>
        <v/>
      </c>
      <c r="M90" s="25" t="n"/>
      <c r="N90" s="1">
        <f>IF(AND(G90="Finished",I90&lt;&gt;""),IF(YEAR(I90)=Dashboard!$C$4,I90+ROW()/10000000,""),"")</f>
        <v/>
      </c>
      <c r="O90">
        <f>IF(B90="","",IFERROR(MATCH(D90,Settings!$B$6:$B$17,0),12))</f>
        <v/>
      </c>
      <c r="P90">
        <f>IF(AND(G90="Reading",B90&lt;&gt;""),IF(H90="",TODAY(),H90)+ROW()/10000000,"")</f>
        <v/>
      </c>
      <c r="Q90">
        <f>IF(AND(N90&lt;&gt;"",N(J90)=5),N90,"")</f>
        <v/>
      </c>
    </row>
    <row r="91">
      <c r="A91" s="1" t="n"/>
      <c r="B91" s="24" t="n"/>
      <c r="C91" s="25" t="n"/>
      <c r="D91" s="25" t="n"/>
      <c r="E91" s="26" t="n"/>
      <c r="F91" s="27" t="n"/>
      <c r="G91" s="26" t="n"/>
      <c r="H91" s="28" t="n"/>
      <c r="I91" s="28" t="n"/>
      <c r="J91" s="27" t="n"/>
      <c r="K91" s="16">
        <f>IF(OR(H91="",I91=""),"",I91-H91+1)</f>
        <v/>
      </c>
      <c r="L91" s="16">
        <f>IF(OR(K91="",N(F91)=0),"",F91/K91)</f>
        <v/>
      </c>
      <c r="M91" s="25" t="n"/>
      <c r="N91" s="1">
        <f>IF(AND(G91="Finished",I91&lt;&gt;""),IF(YEAR(I91)=Dashboard!$C$4,I91+ROW()/10000000,""),"")</f>
        <v/>
      </c>
      <c r="O91">
        <f>IF(B91="","",IFERROR(MATCH(D91,Settings!$B$6:$B$17,0),12))</f>
        <v/>
      </c>
      <c r="P91">
        <f>IF(AND(G91="Reading",B91&lt;&gt;""),IF(H91="",TODAY(),H91)+ROW()/10000000,"")</f>
        <v/>
      </c>
      <c r="Q91">
        <f>IF(AND(N91&lt;&gt;"",N(J91)=5),N91,"")</f>
        <v/>
      </c>
    </row>
    <row r="92">
      <c r="A92" s="1" t="n"/>
      <c r="B92" s="24" t="n"/>
      <c r="C92" s="25" t="n"/>
      <c r="D92" s="25" t="n"/>
      <c r="E92" s="26" t="n"/>
      <c r="F92" s="27" t="n"/>
      <c r="G92" s="26" t="n"/>
      <c r="H92" s="28" t="n"/>
      <c r="I92" s="28" t="n"/>
      <c r="J92" s="27" t="n"/>
      <c r="K92" s="16">
        <f>IF(OR(H92="",I92=""),"",I92-H92+1)</f>
        <v/>
      </c>
      <c r="L92" s="16">
        <f>IF(OR(K92="",N(F92)=0),"",F92/K92)</f>
        <v/>
      </c>
      <c r="M92" s="25" t="n"/>
      <c r="N92" s="1">
        <f>IF(AND(G92="Finished",I92&lt;&gt;""),IF(YEAR(I92)=Dashboard!$C$4,I92+ROW()/10000000,""),"")</f>
        <v/>
      </c>
      <c r="O92">
        <f>IF(B92="","",IFERROR(MATCH(D92,Settings!$B$6:$B$17,0),12))</f>
        <v/>
      </c>
      <c r="P92">
        <f>IF(AND(G92="Reading",B92&lt;&gt;""),IF(H92="",TODAY(),H92)+ROW()/10000000,"")</f>
        <v/>
      </c>
      <c r="Q92">
        <f>IF(AND(N92&lt;&gt;"",N(J92)=5),N92,"")</f>
        <v/>
      </c>
    </row>
    <row r="93">
      <c r="A93" s="1" t="n"/>
      <c r="B93" s="24" t="n"/>
      <c r="C93" s="25" t="n"/>
      <c r="D93" s="25" t="n"/>
      <c r="E93" s="26" t="n"/>
      <c r="F93" s="27" t="n"/>
      <c r="G93" s="26" t="n"/>
      <c r="H93" s="28" t="n"/>
      <c r="I93" s="28" t="n"/>
      <c r="J93" s="27" t="n"/>
      <c r="K93" s="16">
        <f>IF(OR(H93="",I93=""),"",I93-H93+1)</f>
        <v/>
      </c>
      <c r="L93" s="16">
        <f>IF(OR(K93="",N(F93)=0),"",F93/K93)</f>
        <v/>
      </c>
      <c r="M93" s="25" t="n"/>
      <c r="N93" s="1">
        <f>IF(AND(G93="Finished",I93&lt;&gt;""),IF(YEAR(I93)=Dashboard!$C$4,I93+ROW()/10000000,""),"")</f>
        <v/>
      </c>
      <c r="O93">
        <f>IF(B93="","",IFERROR(MATCH(D93,Settings!$B$6:$B$17,0),12))</f>
        <v/>
      </c>
      <c r="P93">
        <f>IF(AND(G93="Reading",B93&lt;&gt;""),IF(H93="",TODAY(),H93)+ROW()/10000000,"")</f>
        <v/>
      </c>
      <c r="Q93">
        <f>IF(AND(N93&lt;&gt;"",N(J93)=5),N93,"")</f>
        <v/>
      </c>
    </row>
    <row r="94">
      <c r="A94" s="1" t="n"/>
      <c r="B94" s="24" t="n"/>
      <c r="C94" s="25" t="n"/>
      <c r="D94" s="25" t="n"/>
      <c r="E94" s="26" t="n"/>
      <c r="F94" s="27" t="n"/>
      <c r="G94" s="26" t="n"/>
      <c r="H94" s="28" t="n"/>
      <c r="I94" s="28" t="n"/>
      <c r="J94" s="27" t="n"/>
      <c r="K94" s="16">
        <f>IF(OR(H94="",I94=""),"",I94-H94+1)</f>
        <v/>
      </c>
      <c r="L94" s="16">
        <f>IF(OR(K94="",N(F94)=0),"",F94/K94)</f>
        <v/>
      </c>
      <c r="M94" s="25" t="n"/>
      <c r="N94" s="1">
        <f>IF(AND(G94="Finished",I94&lt;&gt;""),IF(YEAR(I94)=Dashboard!$C$4,I94+ROW()/10000000,""),"")</f>
        <v/>
      </c>
      <c r="O94">
        <f>IF(B94="","",IFERROR(MATCH(D94,Settings!$B$6:$B$17,0),12))</f>
        <v/>
      </c>
      <c r="P94">
        <f>IF(AND(G94="Reading",B94&lt;&gt;""),IF(H94="",TODAY(),H94)+ROW()/10000000,"")</f>
        <v/>
      </c>
      <c r="Q94">
        <f>IF(AND(N94&lt;&gt;"",N(J94)=5),N94,"")</f>
        <v/>
      </c>
    </row>
    <row r="95">
      <c r="A95" s="1" t="n"/>
      <c r="B95" s="24" t="n"/>
      <c r="C95" s="25" t="n"/>
      <c r="D95" s="25" t="n"/>
      <c r="E95" s="26" t="n"/>
      <c r="F95" s="27" t="n"/>
      <c r="G95" s="26" t="n"/>
      <c r="H95" s="28" t="n"/>
      <c r="I95" s="28" t="n"/>
      <c r="J95" s="27" t="n"/>
      <c r="K95" s="16">
        <f>IF(OR(H95="",I95=""),"",I95-H95+1)</f>
        <v/>
      </c>
      <c r="L95" s="16">
        <f>IF(OR(K95="",N(F95)=0),"",F95/K95)</f>
        <v/>
      </c>
      <c r="M95" s="25" t="n"/>
      <c r="N95" s="1">
        <f>IF(AND(G95="Finished",I95&lt;&gt;""),IF(YEAR(I95)=Dashboard!$C$4,I95+ROW()/10000000,""),"")</f>
        <v/>
      </c>
      <c r="O95">
        <f>IF(B95="","",IFERROR(MATCH(D95,Settings!$B$6:$B$17,0),12))</f>
        <v/>
      </c>
      <c r="P95">
        <f>IF(AND(G95="Reading",B95&lt;&gt;""),IF(H95="",TODAY(),H95)+ROW()/10000000,"")</f>
        <v/>
      </c>
      <c r="Q95">
        <f>IF(AND(N95&lt;&gt;"",N(J95)=5),N95,"")</f>
        <v/>
      </c>
    </row>
    <row r="96">
      <c r="A96" s="1" t="n"/>
      <c r="B96" s="24" t="n"/>
      <c r="C96" s="25" t="n"/>
      <c r="D96" s="25" t="n"/>
      <c r="E96" s="26" t="n"/>
      <c r="F96" s="27" t="n"/>
      <c r="G96" s="26" t="n"/>
      <c r="H96" s="28" t="n"/>
      <c r="I96" s="28" t="n"/>
      <c r="J96" s="27" t="n"/>
      <c r="K96" s="16">
        <f>IF(OR(H96="",I96=""),"",I96-H96+1)</f>
        <v/>
      </c>
      <c r="L96" s="16">
        <f>IF(OR(K96="",N(F96)=0),"",F96/K96)</f>
        <v/>
      </c>
      <c r="M96" s="25" t="n"/>
      <c r="N96" s="1">
        <f>IF(AND(G96="Finished",I96&lt;&gt;""),IF(YEAR(I96)=Dashboard!$C$4,I96+ROW()/10000000,""),"")</f>
        <v/>
      </c>
      <c r="O96">
        <f>IF(B96="","",IFERROR(MATCH(D96,Settings!$B$6:$B$17,0),12))</f>
        <v/>
      </c>
      <c r="P96">
        <f>IF(AND(G96="Reading",B96&lt;&gt;""),IF(H96="",TODAY(),H96)+ROW()/10000000,"")</f>
        <v/>
      </c>
      <c r="Q96">
        <f>IF(AND(N96&lt;&gt;"",N(J96)=5),N96,"")</f>
        <v/>
      </c>
    </row>
    <row r="97">
      <c r="A97" s="1" t="n"/>
      <c r="B97" s="24" t="n"/>
      <c r="C97" s="25" t="n"/>
      <c r="D97" s="25" t="n"/>
      <c r="E97" s="26" t="n"/>
      <c r="F97" s="27" t="n"/>
      <c r="G97" s="26" t="n"/>
      <c r="H97" s="28" t="n"/>
      <c r="I97" s="28" t="n"/>
      <c r="J97" s="27" t="n"/>
      <c r="K97" s="16">
        <f>IF(OR(H97="",I97=""),"",I97-H97+1)</f>
        <v/>
      </c>
      <c r="L97" s="16">
        <f>IF(OR(K97="",N(F97)=0),"",F97/K97)</f>
        <v/>
      </c>
      <c r="M97" s="25" t="n"/>
      <c r="N97" s="1">
        <f>IF(AND(G97="Finished",I97&lt;&gt;""),IF(YEAR(I97)=Dashboard!$C$4,I97+ROW()/10000000,""),"")</f>
        <v/>
      </c>
      <c r="O97">
        <f>IF(B97="","",IFERROR(MATCH(D97,Settings!$B$6:$B$17,0),12))</f>
        <v/>
      </c>
      <c r="P97">
        <f>IF(AND(G97="Reading",B97&lt;&gt;""),IF(H97="",TODAY(),H97)+ROW()/10000000,"")</f>
        <v/>
      </c>
      <c r="Q97">
        <f>IF(AND(N97&lt;&gt;"",N(J97)=5),N97,"")</f>
        <v/>
      </c>
    </row>
    <row r="98">
      <c r="A98" s="1" t="n"/>
      <c r="B98" s="24" t="n"/>
      <c r="C98" s="25" t="n"/>
      <c r="D98" s="25" t="n"/>
      <c r="E98" s="26" t="n"/>
      <c r="F98" s="27" t="n"/>
      <c r="G98" s="26" t="n"/>
      <c r="H98" s="28" t="n"/>
      <c r="I98" s="28" t="n"/>
      <c r="J98" s="27" t="n"/>
      <c r="K98" s="16">
        <f>IF(OR(H98="",I98=""),"",I98-H98+1)</f>
        <v/>
      </c>
      <c r="L98" s="16">
        <f>IF(OR(K98="",N(F98)=0),"",F98/K98)</f>
        <v/>
      </c>
      <c r="M98" s="25" t="n"/>
      <c r="N98" s="1">
        <f>IF(AND(G98="Finished",I98&lt;&gt;""),IF(YEAR(I98)=Dashboard!$C$4,I98+ROW()/10000000,""),"")</f>
        <v/>
      </c>
      <c r="O98">
        <f>IF(B98="","",IFERROR(MATCH(D98,Settings!$B$6:$B$17,0),12))</f>
        <v/>
      </c>
      <c r="P98">
        <f>IF(AND(G98="Reading",B98&lt;&gt;""),IF(H98="",TODAY(),H98)+ROW()/10000000,"")</f>
        <v/>
      </c>
      <c r="Q98">
        <f>IF(AND(N98&lt;&gt;"",N(J98)=5),N98,"")</f>
        <v/>
      </c>
    </row>
    <row r="99">
      <c r="A99" s="1" t="n"/>
      <c r="B99" s="24" t="n"/>
      <c r="C99" s="25" t="n"/>
      <c r="D99" s="25" t="n"/>
      <c r="E99" s="26" t="n"/>
      <c r="F99" s="27" t="n"/>
      <c r="G99" s="26" t="n"/>
      <c r="H99" s="28" t="n"/>
      <c r="I99" s="28" t="n"/>
      <c r="J99" s="27" t="n"/>
      <c r="K99" s="16">
        <f>IF(OR(H99="",I99=""),"",I99-H99+1)</f>
        <v/>
      </c>
      <c r="L99" s="16">
        <f>IF(OR(K99="",N(F99)=0),"",F99/K99)</f>
        <v/>
      </c>
      <c r="M99" s="25" t="n"/>
      <c r="N99" s="1">
        <f>IF(AND(G99="Finished",I99&lt;&gt;""),IF(YEAR(I99)=Dashboard!$C$4,I99+ROW()/10000000,""),"")</f>
        <v/>
      </c>
      <c r="O99">
        <f>IF(B99="","",IFERROR(MATCH(D99,Settings!$B$6:$B$17,0),12))</f>
        <v/>
      </c>
      <c r="P99">
        <f>IF(AND(G99="Reading",B99&lt;&gt;""),IF(H99="",TODAY(),H99)+ROW()/10000000,"")</f>
        <v/>
      </c>
      <c r="Q99">
        <f>IF(AND(N99&lt;&gt;"",N(J99)=5),N99,"")</f>
        <v/>
      </c>
    </row>
    <row r="100">
      <c r="A100" s="1" t="n"/>
      <c r="B100" s="24" t="n"/>
      <c r="C100" s="25" t="n"/>
      <c r="D100" s="25" t="n"/>
      <c r="E100" s="26" t="n"/>
      <c r="F100" s="27" t="n"/>
      <c r="G100" s="26" t="n"/>
      <c r="H100" s="28" t="n"/>
      <c r="I100" s="28" t="n"/>
      <c r="J100" s="27" t="n"/>
      <c r="K100" s="16">
        <f>IF(OR(H100="",I100=""),"",I100-H100+1)</f>
        <v/>
      </c>
      <c r="L100" s="16">
        <f>IF(OR(K100="",N(F100)=0),"",F100/K100)</f>
        <v/>
      </c>
      <c r="M100" s="25" t="n"/>
      <c r="N100" s="1">
        <f>IF(AND(G100="Finished",I100&lt;&gt;""),IF(YEAR(I100)=Dashboard!$C$4,I100+ROW()/10000000,""),"")</f>
        <v/>
      </c>
      <c r="O100">
        <f>IF(B100="","",IFERROR(MATCH(D100,Settings!$B$6:$B$17,0),12))</f>
        <v/>
      </c>
      <c r="P100">
        <f>IF(AND(G100="Reading",B100&lt;&gt;""),IF(H100="",TODAY(),H100)+ROW()/10000000,"")</f>
        <v/>
      </c>
      <c r="Q100">
        <f>IF(AND(N100&lt;&gt;"",N(J100)=5),N100,"")</f>
        <v/>
      </c>
    </row>
    <row r="101">
      <c r="A101" s="1" t="n"/>
      <c r="B101" s="24" t="n"/>
      <c r="C101" s="25" t="n"/>
      <c r="D101" s="25" t="n"/>
      <c r="E101" s="26" t="n"/>
      <c r="F101" s="27" t="n"/>
      <c r="G101" s="26" t="n"/>
      <c r="H101" s="28" t="n"/>
      <c r="I101" s="28" t="n"/>
      <c r="J101" s="27" t="n"/>
      <c r="K101" s="16">
        <f>IF(OR(H101="",I101=""),"",I101-H101+1)</f>
        <v/>
      </c>
      <c r="L101" s="16">
        <f>IF(OR(K101="",N(F101)=0),"",F101/K101)</f>
        <v/>
      </c>
      <c r="M101" s="25" t="n"/>
      <c r="N101" s="1">
        <f>IF(AND(G101="Finished",I101&lt;&gt;""),IF(YEAR(I101)=Dashboard!$C$4,I101+ROW()/10000000,""),"")</f>
        <v/>
      </c>
      <c r="O101">
        <f>IF(B101="","",IFERROR(MATCH(D101,Settings!$B$6:$B$17,0),12))</f>
        <v/>
      </c>
      <c r="P101">
        <f>IF(AND(G101="Reading",B101&lt;&gt;""),IF(H101="",TODAY(),H101)+ROW()/10000000,"")</f>
        <v/>
      </c>
      <c r="Q101">
        <f>IF(AND(N101&lt;&gt;"",N(J101)=5),N101,"")</f>
        <v/>
      </c>
    </row>
    <row r="102">
      <c r="A102" s="1" t="n"/>
      <c r="B102" s="24" t="n"/>
      <c r="C102" s="25" t="n"/>
      <c r="D102" s="25" t="n"/>
      <c r="E102" s="26" t="n"/>
      <c r="F102" s="27" t="n"/>
      <c r="G102" s="26" t="n"/>
      <c r="H102" s="28" t="n"/>
      <c r="I102" s="28" t="n"/>
      <c r="J102" s="27" t="n"/>
      <c r="K102" s="16">
        <f>IF(OR(H102="",I102=""),"",I102-H102+1)</f>
        <v/>
      </c>
      <c r="L102" s="16">
        <f>IF(OR(K102="",N(F102)=0),"",F102/K102)</f>
        <v/>
      </c>
      <c r="M102" s="25" t="n"/>
      <c r="N102" s="1">
        <f>IF(AND(G102="Finished",I102&lt;&gt;""),IF(YEAR(I102)=Dashboard!$C$4,I102+ROW()/10000000,""),"")</f>
        <v/>
      </c>
      <c r="O102">
        <f>IF(B102="","",IFERROR(MATCH(D102,Settings!$B$6:$B$17,0),12))</f>
        <v/>
      </c>
      <c r="P102">
        <f>IF(AND(G102="Reading",B102&lt;&gt;""),IF(H102="",TODAY(),H102)+ROW()/10000000,"")</f>
        <v/>
      </c>
      <c r="Q102">
        <f>IF(AND(N102&lt;&gt;"",N(J102)=5),N102,"")</f>
        <v/>
      </c>
    </row>
    <row r="103">
      <c r="A103" s="1" t="n"/>
      <c r="B103" s="24" t="n"/>
      <c r="C103" s="25" t="n"/>
      <c r="D103" s="25" t="n"/>
      <c r="E103" s="26" t="n"/>
      <c r="F103" s="27" t="n"/>
      <c r="G103" s="26" t="n"/>
      <c r="H103" s="28" t="n"/>
      <c r="I103" s="28" t="n"/>
      <c r="J103" s="27" t="n"/>
      <c r="K103" s="16">
        <f>IF(OR(H103="",I103=""),"",I103-H103+1)</f>
        <v/>
      </c>
      <c r="L103" s="16">
        <f>IF(OR(K103="",N(F103)=0),"",F103/K103)</f>
        <v/>
      </c>
      <c r="M103" s="25" t="n"/>
      <c r="N103" s="1">
        <f>IF(AND(G103="Finished",I103&lt;&gt;""),IF(YEAR(I103)=Dashboard!$C$4,I103+ROW()/10000000,""),"")</f>
        <v/>
      </c>
      <c r="O103">
        <f>IF(B103="","",IFERROR(MATCH(D103,Settings!$B$6:$B$17,0),12))</f>
        <v/>
      </c>
      <c r="P103">
        <f>IF(AND(G103="Reading",B103&lt;&gt;""),IF(H103="",TODAY(),H103)+ROW()/10000000,"")</f>
        <v/>
      </c>
      <c r="Q103">
        <f>IF(AND(N103&lt;&gt;"",N(J103)=5),N103,"")</f>
        <v/>
      </c>
    </row>
    <row r="104">
      <c r="A104" s="1" t="n"/>
      <c r="B104" s="24" t="n"/>
      <c r="C104" s="25" t="n"/>
      <c r="D104" s="25" t="n"/>
      <c r="E104" s="26" t="n"/>
      <c r="F104" s="27" t="n"/>
      <c r="G104" s="26" t="n"/>
      <c r="H104" s="28" t="n"/>
      <c r="I104" s="28" t="n"/>
      <c r="J104" s="27" t="n"/>
      <c r="K104" s="16">
        <f>IF(OR(H104="",I104=""),"",I104-H104+1)</f>
        <v/>
      </c>
      <c r="L104" s="16">
        <f>IF(OR(K104="",N(F104)=0),"",F104/K104)</f>
        <v/>
      </c>
      <c r="M104" s="25" t="n"/>
      <c r="N104" s="1">
        <f>IF(AND(G104="Finished",I104&lt;&gt;""),IF(YEAR(I104)=Dashboard!$C$4,I104+ROW()/10000000,""),"")</f>
        <v/>
      </c>
      <c r="O104">
        <f>IF(B104="","",IFERROR(MATCH(D104,Settings!$B$6:$B$17,0),12))</f>
        <v/>
      </c>
      <c r="P104">
        <f>IF(AND(G104="Reading",B104&lt;&gt;""),IF(H104="",TODAY(),H104)+ROW()/10000000,"")</f>
        <v/>
      </c>
      <c r="Q104">
        <f>IF(AND(N104&lt;&gt;"",N(J104)=5),N104,"")</f>
        <v/>
      </c>
    </row>
    <row r="105">
      <c r="A105" s="1" t="n"/>
      <c r="B105" s="24" t="n"/>
      <c r="C105" s="25" t="n"/>
      <c r="D105" s="25" t="n"/>
      <c r="E105" s="26" t="n"/>
      <c r="F105" s="27" t="n"/>
      <c r="G105" s="26" t="n"/>
      <c r="H105" s="28" t="n"/>
      <c r="I105" s="28" t="n"/>
      <c r="J105" s="27" t="n"/>
      <c r="K105" s="16">
        <f>IF(OR(H105="",I105=""),"",I105-H105+1)</f>
        <v/>
      </c>
      <c r="L105" s="16">
        <f>IF(OR(K105="",N(F105)=0),"",F105/K105)</f>
        <v/>
      </c>
      <c r="M105" s="25" t="n"/>
      <c r="N105" s="1">
        <f>IF(AND(G105="Finished",I105&lt;&gt;""),IF(YEAR(I105)=Dashboard!$C$4,I105+ROW()/10000000,""),"")</f>
        <v/>
      </c>
      <c r="O105">
        <f>IF(B105="","",IFERROR(MATCH(D105,Settings!$B$6:$B$17,0),12))</f>
        <v/>
      </c>
      <c r="P105">
        <f>IF(AND(G105="Reading",B105&lt;&gt;""),IF(H105="",TODAY(),H105)+ROW()/10000000,"")</f>
        <v/>
      </c>
      <c r="Q105">
        <f>IF(AND(N105&lt;&gt;"",N(J105)=5),N105,"")</f>
        <v/>
      </c>
    </row>
    <row r="106">
      <c r="A106" s="1" t="n"/>
      <c r="B106" s="24" t="n"/>
      <c r="C106" s="25" t="n"/>
      <c r="D106" s="25" t="n"/>
      <c r="E106" s="26" t="n"/>
      <c r="F106" s="27" t="n"/>
      <c r="G106" s="26" t="n"/>
      <c r="H106" s="28" t="n"/>
      <c r="I106" s="28" t="n"/>
      <c r="J106" s="27" t="n"/>
      <c r="K106" s="16">
        <f>IF(OR(H106="",I106=""),"",I106-H106+1)</f>
        <v/>
      </c>
      <c r="L106" s="16">
        <f>IF(OR(K106="",N(F106)=0),"",F106/K106)</f>
        <v/>
      </c>
      <c r="M106" s="25" t="n"/>
      <c r="N106" s="1">
        <f>IF(AND(G106="Finished",I106&lt;&gt;""),IF(YEAR(I106)=Dashboard!$C$4,I106+ROW()/10000000,""),"")</f>
        <v/>
      </c>
      <c r="O106">
        <f>IF(B106="","",IFERROR(MATCH(D106,Settings!$B$6:$B$17,0),12))</f>
        <v/>
      </c>
      <c r="P106">
        <f>IF(AND(G106="Reading",B106&lt;&gt;""),IF(H106="",TODAY(),H106)+ROW()/10000000,"")</f>
        <v/>
      </c>
      <c r="Q106">
        <f>IF(AND(N106&lt;&gt;"",N(J106)=5),N106,"")</f>
        <v/>
      </c>
    </row>
    <row r="107">
      <c r="A107" s="1" t="n"/>
      <c r="B107" s="24" t="n"/>
      <c r="C107" s="25" t="n"/>
      <c r="D107" s="25" t="n"/>
      <c r="E107" s="26" t="n"/>
      <c r="F107" s="27" t="n"/>
      <c r="G107" s="26" t="n"/>
      <c r="H107" s="28" t="n"/>
      <c r="I107" s="28" t="n"/>
      <c r="J107" s="27" t="n"/>
      <c r="K107" s="16">
        <f>IF(OR(H107="",I107=""),"",I107-H107+1)</f>
        <v/>
      </c>
      <c r="L107" s="16">
        <f>IF(OR(K107="",N(F107)=0),"",F107/K107)</f>
        <v/>
      </c>
      <c r="M107" s="25" t="n"/>
      <c r="N107" s="1">
        <f>IF(AND(G107="Finished",I107&lt;&gt;""),IF(YEAR(I107)=Dashboard!$C$4,I107+ROW()/10000000,""),"")</f>
        <v/>
      </c>
      <c r="O107">
        <f>IF(B107="","",IFERROR(MATCH(D107,Settings!$B$6:$B$17,0),12))</f>
        <v/>
      </c>
      <c r="P107">
        <f>IF(AND(G107="Reading",B107&lt;&gt;""),IF(H107="",TODAY(),H107)+ROW()/10000000,"")</f>
        <v/>
      </c>
      <c r="Q107">
        <f>IF(AND(N107&lt;&gt;"",N(J107)=5),N107,"")</f>
        <v/>
      </c>
    </row>
    <row r="108">
      <c r="A108" s="1" t="n"/>
      <c r="B108" s="24" t="n"/>
      <c r="C108" s="25" t="n"/>
      <c r="D108" s="25" t="n"/>
      <c r="E108" s="26" t="n"/>
      <c r="F108" s="27" t="n"/>
      <c r="G108" s="26" t="n"/>
      <c r="H108" s="28" t="n"/>
      <c r="I108" s="28" t="n"/>
      <c r="J108" s="27" t="n"/>
      <c r="K108" s="16">
        <f>IF(OR(H108="",I108=""),"",I108-H108+1)</f>
        <v/>
      </c>
      <c r="L108" s="16">
        <f>IF(OR(K108="",N(F108)=0),"",F108/K108)</f>
        <v/>
      </c>
      <c r="M108" s="25" t="n"/>
      <c r="N108" s="1">
        <f>IF(AND(G108="Finished",I108&lt;&gt;""),IF(YEAR(I108)=Dashboard!$C$4,I108+ROW()/10000000,""),"")</f>
        <v/>
      </c>
      <c r="O108">
        <f>IF(B108="","",IFERROR(MATCH(D108,Settings!$B$6:$B$17,0),12))</f>
        <v/>
      </c>
      <c r="P108">
        <f>IF(AND(G108="Reading",B108&lt;&gt;""),IF(H108="",TODAY(),H108)+ROW()/10000000,"")</f>
        <v/>
      </c>
      <c r="Q108">
        <f>IF(AND(N108&lt;&gt;"",N(J108)=5),N108,"")</f>
        <v/>
      </c>
    </row>
    <row r="109">
      <c r="A109" s="1" t="n"/>
      <c r="B109" s="24" t="n"/>
      <c r="C109" s="25" t="n"/>
      <c r="D109" s="25" t="n"/>
      <c r="E109" s="26" t="n"/>
      <c r="F109" s="27" t="n"/>
      <c r="G109" s="26" t="n"/>
      <c r="H109" s="28" t="n"/>
      <c r="I109" s="28" t="n"/>
      <c r="J109" s="27" t="n"/>
      <c r="K109" s="16">
        <f>IF(OR(H109="",I109=""),"",I109-H109+1)</f>
        <v/>
      </c>
      <c r="L109" s="16">
        <f>IF(OR(K109="",N(F109)=0),"",F109/K109)</f>
        <v/>
      </c>
      <c r="M109" s="25" t="n"/>
      <c r="N109" s="1">
        <f>IF(AND(G109="Finished",I109&lt;&gt;""),IF(YEAR(I109)=Dashboard!$C$4,I109+ROW()/10000000,""),"")</f>
        <v/>
      </c>
      <c r="O109">
        <f>IF(B109="","",IFERROR(MATCH(D109,Settings!$B$6:$B$17,0),12))</f>
        <v/>
      </c>
      <c r="P109">
        <f>IF(AND(G109="Reading",B109&lt;&gt;""),IF(H109="",TODAY(),H109)+ROW()/10000000,"")</f>
        <v/>
      </c>
      <c r="Q109">
        <f>IF(AND(N109&lt;&gt;"",N(J109)=5),N109,"")</f>
        <v/>
      </c>
    </row>
    <row r="110">
      <c r="A110" s="1" t="n"/>
      <c r="B110" s="24" t="n"/>
      <c r="C110" s="25" t="n"/>
      <c r="D110" s="25" t="n"/>
      <c r="E110" s="26" t="n"/>
      <c r="F110" s="27" t="n"/>
      <c r="G110" s="26" t="n"/>
      <c r="H110" s="28" t="n"/>
      <c r="I110" s="28" t="n"/>
      <c r="J110" s="27" t="n"/>
      <c r="K110" s="16">
        <f>IF(OR(H110="",I110=""),"",I110-H110+1)</f>
        <v/>
      </c>
      <c r="L110" s="16">
        <f>IF(OR(K110="",N(F110)=0),"",F110/K110)</f>
        <v/>
      </c>
      <c r="M110" s="25" t="n"/>
      <c r="N110" s="1">
        <f>IF(AND(G110="Finished",I110&lt;&gt;""),IF(YEAR(I110)=Dashboard!$C$4,I110+ROW()/10000000,""),"")</f>
        <v/>
      </c>
      <c r="O110">
        <f>IF(B110="","",IFERROR(MATCH(D110,Settings!$B$6:$B$17,0),12))</f>
        <v/>
      </c>
      <c r="P110">
        <f>IF(AND(G110="Reading",B110&lt;&gt;""),IF(H110="",TODAY(),H110)+ROW()/10000000,"")</f>
        <v/>
      </c>
      <c r="Q110">
        <f>IF(AND(N110&lt;&gt;"",N(J110)=5),N110,"")</f>
        <v/>
      </c>
    </row>
    <row r="111">
      <c r="A111" s="1" t="n"/>
      <c r="B111" s="24" t="n"/>
      <c r="C111" s="25" t="n"/>
      <c r="D111" s="25" t="n"/>
      <c r="E111" s="26" t="n"/>
      <c r="F111" s="27" t="n"/>
      <c r="G111" s="26" t="n"/>
      <c r="H111" s="28" t="n"/>
      <c r="I111" s="28" t="n"/>
      <c r="J111" s="27" t="n"/>
      <c r="K111" s="16">
        <f>IF(OR(H111="",I111=""),"",I111-H111+1)</f>
        <v/>
      </c>
      <c r="L111" s="16">
        <f>IF(OR(K111="",N(F111)=0),"",F111/K111)</f>
        <v/>
      </c>
      <c r="M111" s="25" t="n"/>
      <c r="N111" s="1">
        <f>IF(AND(G111="Finished",I111&lt;&gt;""),IF(YEAR(I111)=Dashboard!$C$4,I111+ROW()/10000000,""),"")</f>
        <v/>
      </c>
      <c r="O111">
        <f>IF(B111="","",IFERROR(MATCH(D111,Settings!$B$6:$B$17,0),12))</f>
        <v/>
      </c>
      <c r="P111">
        <f>IF(AND(G111="Reading",B111&lt;&gt;""),IF(H111="",TODAY(),H111)+ROW()/10000000,"")</f>
        <v/>
      </c>
      <c r="Q111">
        <f>IF(AND(N111&lt;&gt;"",N(J111)=5),N111,"")</f>
        <v/>
      </c>
    </row>
    <row r="112">
      <c r="A112" s="1" t="n"/>
      <c r="B112" s="24" t="n"/>
      <c r="C112" s="25" t="n"/>
      <c r="D112" s="25" t="n"/>
      <c r="E112" s="26" t="n"/>
      <c r="F112" s="27" t="n"/>
      <c r="G112" s="26" t="n"/>
      <c r="H112" s="28" t="n"/>
      <c r="I112" s="28" t="n"/>
      <c r="J112" s="27" t="n"/>
      <c r="K112" s="16">
        <f>IF(OR(H112="",I112=""),"",I112-H112+1)</f>
        <v/>
      </c>
      <c r="L112" s="16">
        <f>IF(OR(K112="",N(F112)=0),"",F112/K112)</f>
        <v/>
      </c>
      <c r="M112" s="25" t="n"/>
      <c r="N112" s="1">
        <f>IF(AND(G112="Finished",I112&lt;&gt;""),IF(YEAR(I112)=Dashboard!$C$4,I112+ROW()/10000000,""),"")</f>
        <v/>
      </c>
      <c r="O112">
        <f>IF(B112="","",IFERROR(MATCH(D112,Settings!$B$6:$B$17,0),12))</f>
        <v/>
      </c>
      <c r="P112">
        <f>IF(AND(G112="Reading",B112&lt;&gt;""),IF(H112="",TODAY(),H112)+ROW()/10000000,"")</f>
        <v/>
      </c>
      <c r="Q112">
        <f>IF(AND(N112&lt;&gt;"",N(J112)=5),N112,"")</f>
        <v/>
      </c>
    </row>
    <row r="113">
      <c r="A113" s="1" t="n"/>
      <c r="B113" s="24" t="n"/>
      <c r="C113" s="25" t="n"/>
      <c r="D113" s="25" t="n"/>
      <c r="E113" s="26" t="n"/>
      <c r="F113" s="27" t="n"/>
      <c r="G113" s="26" t="n"/>
      <c r="H113" s="28" t="n"/>
      <c r="I113" s="28" t="n"/>
      <c r="J113" s="27" t="n"/>
      <c r="K113" s="16">
        <f>IF(OR(H113="",I113=""),"",I113-H113+1)</f>
        <v/>
      </c>
      <c r="L113" s="16">
        <f>IF(OR(K113="",N(F113)=0),"",F113/K113)</f>
        <v/>
      </c>
      <c r="M113" s="25" t="n"/>
      <c r="N113" s="1">
        <f>IF(AND(G113="Finished",I113&lt;&gt;""),IF(YEAR(I113)=Dashboard!$C$4,I113+ROW()/10000000,""),"")</f>
        <v/>
      </c>
      <c r="O113">
        <f>IF(B113="","",IFERROR(MATCH(D113,Settings!$B$6:$B$17,0),12))</f>
        <v/>
      </c>
      <c r="P113">
        <f>IF(AND(G113="Reading",B113&lt;&gt;""),IF(H113="",TODAY(),H113)+ROW()/10000000,"")</f>
        <v/>
      </c>
      <c r="Q113">
        <f>IF(AND(N113&lt;&gt;"",N(J113)=5),N113,"")</f>
        <v/>
      </c>
    </row>
    <row r="114">
      <c r="A114" s="1" t="n"/>
      <c r="B114" s="24" t="n"/>
      <c r="C114" s="25" t="n"/>
      <c r="D114" s="25" t="n"/>
      <c r="E114" s="26" t="n"/>
      <c r="F114" s="27" t="n"/>
      <c r="G114" s="26" t="n"/>
      <c r="H114" s="28" t="n"/>
      <c r="I114" s="28" t="n"/>
      <c r="J114" s="27" t="n"/>
      <c r="K114" s="16">
        <f>IF(OR(H114="",I114=""),"",I114-H114+1)</f>
        <v/>
      </c>
      <c r="L114" s="16">
        <f>IF(OR(K114="",N(F114)=0),"",F114/K114)</f>
        <v/>
      </c>
      <c r="M114" s="25" t="n"/>
      <c r="N114" s="1">
        <f>IF(AND(G114="Finished",I114&lt;&gt;""),IF(YEAR(I114)=Dashboard!$C$4,I114+ROW()/10000000,""),"")</f>
        <v/>
      </c>
      <c r="O114">
        <f>IF(B114="","",IFERROR(MATCH(D114,Settings!$B$6:$B$17,0),12))</f>
        <v/>
      </c>
      <c r="P114">
        <f>IF(AND(G114="Reading",B114&lt;&gt;""),IF(H114="",TODAY(),H114)+ROW()/10000000,"")</f>
        <v/>
      </c>
      <c r="Q114">
        <f>IF(AND(N114&lt;&gt;"",N(J114)=5),N114,"")</f>
        <v/>
      </c>
    </row>
    <row r="115">
      <c r="A115" s="1" t="n"/>
      <c r="B115" s="24" t="n"/>
      <c r="C115" s="25" t="n"/>
      <c r="D115" s="25" t="n"/>
      <c r="E115" s="26" t="n"/>
      <c r="F115" s="27" t="n"/>
      <c r="G115" s="26" t="n"/>
      <c r="H115" s="28" t="n"/>
      <c r="I115" s="28" t="n"/>
      <c r="J115" s="27" t="n"/>
      <c r="K115" s="16">
        <f>IF(OR(H115="",I115=""),"",I115-H115+1)</f>
        <v/>
      </c>
      <c r="L115" s="16">
        <f>IF(OR(K115="",N(F115)=0),"",F115/K115)</f>
        <v/>
      </c>
      <c r="M115" s="25" t="n"/>
      <c r="N115" s="1">
        <f>IF(AND(G115="Finished",I115&lt;&gt;""),IF(YEAR(I115)=Dashboard!$C$4,I115+ROW()/10000000,""),"")</f>
        <v/>
      </c>
      <c r="O115">
        <f>IF(B115="","",IFERROR(MATCH(D115,Settings!$B$6:$B$17,0),12))</f>
        <v/>
      </c>
      <c r="P115">
        <f>IF(AND(G115="Reading",B115&lt;&gt;""),IF(H115="",TODAY(),H115)+ROW()/10000000,"")</f>
        <v/>
      </c>
      <c r="Q115">
        <f>IF(AND(N115&lt;&gt;"",N(J115)=5),N115,"")</f>
        <v/>
      </c>
    </row>
    <row r="116">
      <c r="A116" s="1" t="n"/>
      <c r="B116" s="24" t="n"/>
      <c r="C116" s="25" t="n"/>
      <c r="D116" s="25" t="n"/>
      <c r="E116" s="26" t="n"/>
      <c r="F116" s="27" t="n"/>
      <c r="G116" s="26" t="n"/>
      <c r="H116" s="28" t="n"/>
      <c r="I116" s="28" t="n"/>
      <c r="J116" s="27" t="n"/>
      <c r="K116" s="16">
        <f>IF(OR(H116="",I116=""),"",I116-H116+1)</f>
        <v/>
      </c>
      <c r="L116" s="16">
        <f>IF(OR(K116="",N(F116)=0),"",F116/K116)</f>
        <v/>
      </c>
      <c r="M116" s="25" t="n"/>
      <c r="N116" s="1">
        <f>IF(AND(G116="Finished",I116&lt;&gt;""),IF(YEAR(I116)=Dashboard!$C$4,I116+ROW()/10000000,""),"")</f>
        <v/>
      </c>
      <c r="O116">
        <f>IF(B116="","",IFERROR(MATCH(D116,Settings!$B$6:$B$17,0),12))</f>
        <v/>
      </c>
      <c r="P116">
        <f>IF(AND(G116="Reading",B116&lt;&gt;""),IF(H116="",TODAY(),H116)+ROW()/10000000,"")</f>
        <v/>
      </c>
      <c r="Q116">
        <f>IF(AND(N116&lt;&gt;"",N(J116)=5),N116,"")</f>
        <v/>
      </c>
    </row>
    <row r="117">
      <c r="A117" s="1" t="n"/>
      <c r="B117" s="24" t="n"/>
      <c r="C117" s="25" t="n"/>
      <c r="D117" s="25" t="n"/>
      <c r="E117" s="26" t="n"/>
      <c r="F117" s="27" t="n"/>
      <c r="G117" s="26" t="n"/>
      <c r="H117" s="28" t="n"/>
      <c r="I117" s="28" t="n"/>
      <c r="J117" s="27" t="n"/>
      <c r="K117" s="16">
        <f>IF(OR(H117="",I117=""),"",I117-H117+1)</f>
        <v/>
      </c>
      <c r="L117" s="16">
        <f>IF(OR(K117="",N(F117)=0),"",F117/K117)</f>
        <v/>
      </c>
      <c r="M117" s="25" t="n"/>
      <c r="N117" s="1">
        <f>IF(AND(G117="Finished",I117&lt;&gt;""),IF(YEAR(I117)=Dashboard!$C$4,I117+ROW()/10000000,""),"")</f>
        <v/>
      </c>
      <c r="O117">
        <f>IF(B117="","",IFERROR(MATCH(D117,Settings!$B$6:$B$17,0),12))</f>
        <v/>
      </c>
      <c r="P117">
        <f>IF(AND(G117="Reading",B117&lt;&gt;""),IF(H117="",TODAY(),H117)+ROW()/10000000,"")</f>
        <v/>
      </c>
      <c r="Q117">
        <f>IF(AND(N117&lt;&gt;"",N(J117)=5),N117,"")</f>
        <v/>
      </c>
    </row>
    <row r="118">
      <c r="A118" s="1" t="n"/>
      <c r="B118" s="24" t="n"/>
      <c r="C118" s="25" t="n"/>
      <c r="D118" s="25" t="n"/>
      <c r="E118" s="26" t="n"/>
      <c r="F118" s="27" t="n"/>
      <c r="G118" s="26" t="n"/>
      <c r="H118" s="28" t="n"/>
      <c r="I118" s="28" t="n"/>
      <c r="J118" s="27" t="n"/>
      <c r="K118" s="16">
        <f>IF(OR(H118="",I118=""),"",I118-H118+1)</f>
        <v/>
      </c>
      <c r="L118" s="16">
        <f>IF(OR(K118="",N(F118)=0),"",F118/K118)</f>
        <v/>
      </c>
      <c r="M118" s="25" t="n"/>
      <c r="N118" s="1">
        <f>IF(AND(G118="Finished",I118&lt;&gt;""),IF(YEAR(I118)=Dashboard!$C$4,I118+ROW()/10000000,""),"")</f>
        <v/>
      </c>
      <c r="O118">
        <f>IF(B118="","",IFERROR(MATCH(D118,Settings!$B$6:$B$17,0),12))</f>
        <v/>
      </c>
      <c r="P118">
        <f>IF(AND(G118="Reading",B118&lt;&gt;""),IF(H118="",TODAY(),H118)+ROW()/10000000,"")</f>
        <v/>
      </c>
      <c r="Q118">
        <f>IF(AND(N118&lt;&gt;"",N(J118)=5),N118,"")</f>
        <v/>
      </c>
    </row>
    <row r="119">
      <c r="A119" s="1" t="n"/>
      <c r="B119" s="24" t="n"/>
      <c r="C119" s="25" t="n"/>
      <c r="D119" s="25" t="n"/>
      <c r="E119" s="26" t="n"/>
      <c r="F119" s="27" t="n"/>
      <c r="G119" s="26" t="n"/>
      <c r="H119" s="28" t="n"/>
      <c r="I119" s="28" t="n"/>
      <c r="J119" s="27" t="n"/>
      <c r="K119" s="16">
        <f>IF(OR(H119="",I119=""),"",I119-H119+1)</f>
        <v/>
      </c>
      <c r="L119" s="16">
        <f>IF(OR(K119="",N(F119)=0),"",F119/K119)</f>
        <v/>
      </c>
      <c r="M119" s="25" t="n"/>
      <c r="N119" s="1">
        <f>IF(AND(G119="Finished",I119&lt;&gt;""),IF(YEAR(I119)=Dashboard!$C$4,I119+ROW()/10000000,""),"")</f>
        <v/>
      </c>
      <c r="O119">
        <f>IF(B119="","",IFERROR(MATCH(D119,Settings!$B$6:$B$17,0),12))</f>
        <v/>
      </c>
      <c r="P119">
        <f>IF(AND(G119="Reading",B119&lt;&gt;""),IF(H119="",TODAY(),H119)+ROW()/10000000,"")</f>
        <v/>
      </c>
      <c r="Q119">
        <f>IF(AND(N119&lt;&gt;"",N(J119)=5),N119,"")</f>
        <v/>
      </c>
    </row>
    <row r="120">
      <c r="A120" s="1" t="n"/>
      <c r="B120" s="24" t="n"/>
      <c r="C120" s="25" t="n"/>
      <c r="D120" s="25" t="n"/>
      <c r="E120" s="26" t="n"/>
      <c r="F120" s="27" t="n"/>
      <c r="G120" s="26" t="n"/>
      <c r="H120" s="28" t="n"/>
      <c r="I120" s="28" t="n"/>
      <c r="J120" s="27" t="n"/>
      <c r="K120" s="16">
        <f>IF(OR(H120="",I120=""),"",I120-H120+1)</f>
        <v/>
      </c>
      <c r="L120" s="16">
        <f>IF(OR(K120="",N(F120)=0),"",F120/K120)</f>
        <v/>
      </c>
      <c r="M120" s="25" t="n"/>
      <c r="N120" s="1">
        <f>IF(AND(G120="Finished",I120&lt;&gt;""),IF(YEAR(I120)=Dashboard!$C$4,I120+ROW()/10000000,""),"")</f>
        <v/>
      </c>
      <c r="O120">
        <f>IF(B120="","",IFERROR(MATCH(D120,Settings!$B$6:$B$17,0),12))</f>
        <v/>
      </c>
      <c r="P120">
        <f>IF(AND(G120="Reading",B120&lt;&gt;""),IF(H120="",TODAY(),H120)+ROW()/10000000,"")</f>
        <v/>
      </c>
      <c r="Q120">
        <f>IF(AND(N120&lt;&gt;"",N(J120)=5),N120,"")</f>
        <v/>
      </c>
    </row>
    <row r="121">
      <c r="A121" s="1" t="n"/>
      <c r="B121" s="24" t="n"/>
      <c r="C121" s="25" t="n"/>
      <c r="D121" s="25" t="n"/>
      <c r="E121" s="26" t="n"/>
      <c r="F121" s="27" t="n"/>
      <c r="G121" s="26" t="n"/>
      <c r="H121" s="28" t="n"/>
      <c r="I121" s="28" t="n"/>
      <c r="J121" s="27" t="n"/>
      <c r="K121" s="16">
        <f>IF(OR(H121="",I121=""),"",I121-H121+1)</f>
        <v/>
      </c>
      <c r="L121" s="16">
        <f>IF(OR(K121="",N(F121)=0),"",F121/K121)</f>
        <v/>
      </c>
      <c r="M121" s="25" t="n"/>
      <c r="N121" s="1">
        <f>IF(AND(G121="Finished",I121&lt;&gt;""),IF(YEAR(I121)=Dashboard!$C$4,I121+ROW()/10000000,""),"")</f>
        <v/>
      </c>
      <c r="O121">
        <f>IF(B121="","",IFERROR(MATCH(D121,Settings!$B$6:$B$17,0),12))</f>
        <v/>
      </c>
      <c r="P121">
        <f>IF(AND(G121="Reading",B121&lt;&gt;""),IF(H121="",TODAY(),H121)+ROW()/10000000,"")</f>
        <v/>
      </c>
      <c r="Q121">
        <f>IF(AND(N121&lt;&gt;"",N(J121)=5),N121,"")</f>
        <v/>
      </c>
    </row>
    <row r="122">
      <c r="A122" s="1" t="n"/>
      <c r="B122" s="24" t="n"/>
      <c r="C122" s="25" t="n"/>
      <c r="D122" s="25" t="n"/>
      <c r="E122" s="26" t="n"/>
      <c r="F122" s="27" t="n"/>
      <c r="G122" s="26" t="n"/>
      <c r="H122" s="28" t="n"/>
      <c r="I122" s="28" t="n"/>
      <c r="J122" s="27" t="n"/>
      <c r="K122" s="16">
        <f>IF(OR(H122="",I122=""),"",I122-H122+1)</f>
        <v/>
      </c>
      <c r="L122" s="16">
        <f>IF(OR(K122="",N(F122)=0),"",F122/K122)</f>
        <v/>
      </c>
      <c r="M122" s="25" t="n"/>
      <c r="N122" s="1">
        <f>IF(AND(G122="Finished",I122&lt;&gt;""),IF(YEAR(I122)=Dashboard!$C$4,I122+ROW()/10000000,""),"")</f>
        <v/>
      </c>
      <c r="O122">
        <f>IF(B122="","",IFERROR(MATCH(D122,Settings!$B$6:$B$17,0),12))</f>
        <v/>
      </c>
      <c r="P122">
        <f>IF(AND(G122="Reading",B122&lt;&gt;""),IF(H122="",TODAY(),H122)+ROW()/10000000,"")</f>
        <v/>
      </c>
      <c r="Q122">
        <f>IF(AND(N122&lt;&gt;"",N(J122)=5),N122,"")</f>
        <v/>
      </c>
    </row>
    <row r="123">
      <c r="A123" s="1" t="n"/>
      <c r="B123" s="24" t="n"/>
      <c r="C123" s="25" t="n"/>
      <c r="D123" s="25" t="n"/>
      <c r="E123" s="26" t="n"/>
      <c r="F123" s="27" t="n"/>
      <c r="G123" s="26" t="n"/>
      <c r="H123" s="28" t="n"/>
      <c r="I123" s="28" t="n"/>
      <c r="J123" s="27" t="n"/>
      <c r="K123" s="16">
        <f>IF(OR(H123="",I123=""),"",I123-H123+1)</f>
        <v/>
      </c>
      <c r="L123" s="16">
        <f>IF(OR(K123="",N(F123)=0),"",F123/K123)</f>
        <v/>
      </c>
      <c r="M123" s="25" t="n"/>
      <c r="N123" s="1">
        <f>IF(AND(G123="Finished",I123&lt;&gt;""),IF(YEAR(I123)=Dashboard!$C$4,I123+ROW()/10000000,""),"")</f>
        <v/>
      </c>
      <c r="O123">
        <f>IF(B123="","",IFERROR(MATCH(D123,Settings!$B$6:$B$17,0),12))</f>
        <v/>
      </c>
      <c r="P123">
        <f>IF(AND(G123="Reading",B123&lt;&gt;""),IF(H123="",TODAY(),H123)+ROW()/10000000,"")</f>
        <v/>
      </c>
      <c r="Q123">
        <f>IF(AND(N123&lt;&gt;"",N(J123)=5),N123,"")</f>
        <v/>
      </c>
    </row>
    <row r="124">
      <c r="A124" s="1" t="n"/>
      <c r="B124" s="24" t="n"/>
      <c r="C124" s="25" t="n"/>
      <c r="D124" s="25" t="n"/>
      <c r="E124" s="26" t="n"/>
      <c r="F124" s="27" t="n"/>
      <c r="G124" s="26" t="n"/>
      <c r="H124" s="28" t="n"/>
      <c r="I124" s="28" t="n"/>
      <c r="J124" s="27" t="n"/>
      <c r="K124" s="16">
        <f>IF(OR(H124="",I124=""),"",I124-H124+1)</f>
        <v/>
      </c>
      <c r="L124" s="16">
        <f>IF(OR(K124="",N(F124)=0),"",F124/K124)</f>
        <v/>
      </c>
      <c r="M124" s="25" t="n"/>
      <c r="N124" s="1">
        <f>IF(AND(G124="Finished",I124&lt;&gt;""),IF(YEAR(I124)=Dashboard!$C$4,I124+ROW()/10000000,""),"")</f>
        <v/>
      </c>
      <c r="O124">
        <f>IF(B124="","",IFERROR(MATCH(D124,Settings!$B$6:$B$17,0),12))</f>
        <v/>
      </c>
      <c r="P124">
        <f>IF(AND(G124="Reading",B124&lt;&gt;""),IF(H124="",TODAY(),H124)+ROW()/10000000,"")</f>
        <v/>
      </c>
      <c r="Q124">
        <f>IF(AND(N124&lt;&gt;"",N(J124)=5),N124,"")</f>
        <v/>
      </c>
    </row>
    <row r="125">
      <c r="A125" s="1" t="n"/>
      <c r="B125" s="24" t="n"/>
      <c r="C125" s="25" t="n"/>
      <c r="D125" s="25" t="n"/>
      <c r="E125" s="26" t="n"/>
      <c r="F125" s="27" t="n"/>
      <c r="G125" s="26" t="n"/>
      <c r="H125" s="28" t="n"/>
      <c r="I125" s="28" t="n"/>
      <c r="J125" s="27" t="n"/>
      <c r="K125" s="16">
        <f>IF(OR(H125="",I125=""),"",I125-H125+1)</f>
        <v/>
      </c>
      <c r="L125" s="16">
        <f>IF(OR(K125="",N(F125)=0),"",F125/K125)</f>
        <v/>
      </c>
      <c r="M125" s="25" t="n"/>
      <c r="N125" s="1">
        <f>IF(AND(G125="Finished",I125&lt;&gt;""),IF(YEAR(I125)=Dashboard!$C$4,I125+ROW()/10000000,""),"")</f>
        <v/>
      </c>
      <c r="O125">
        <f>IF(B125="","",IFERROR(MATCH(D125,Settings!$B$6:$B$17,0),12))</f>
        <v/>
      </c>
      <c r="P125">
        <f>IF(AND(G125="Reading",B125&lt;&gt;""),IF(H125="",TODAY(),H125)+ROW()/10000000,"")</f>
        <v/>
      </c>
      <c r="Q125">
        <f>IF(AND(N125&lt;&gt;"",N(J125)=5),N125,"")</f>
        <v/>
      </c>
    </row>
    <row r="126">
      <c r="A126" s="1" t="n"/>
      <c r="B126" s="24" t="n"/>
      <c r="C126" s="25" t="n"/>
      <c r="D126" s="25" t="n"/>
      <c r="E126" s="26" t="n"/>
      <c r="F126" s="27" t="n"/>
      <c r="G126" s="26" t="n"/>
      <c r="H126" s="28" t="n"/>
      <c r="I126" s="28" t="n"/>
      <c r="J126" s="27" t="n"/>
      <c r="K126" s="16">
        <f>IF(OR(H126="",I126=""),"",I126-H126+1)</f>
        <v/>
      </c>
      <c r="L126" s="16">
        <f>IF(OR(K126="",N(F126)=0),"",F126/K126)</f>
        <v/>
      </c>
      <c r="M126" s="25" t="n"/>
      <c r="N126" s="1">
        <f>IF(AND(G126="Finished",I126&lt;&gt;""),IF(YEAR(I126)=Dashboard!$C$4,I126+ROW()/10000000,""),"")</f>
        <v/>
      </c>
      <c r="O126">
        <f>IF(B126="","",IFERROR(MATCH(D126,Settings!$B$6:$B$17,0),12))</f>
        <v/>
      </c>
      <c r="P126">
        <f>IF(AND(G126="Reading",B126&lt;&gt;""),IF(H126="",TODAY(),H126)+ROW()/10000000,"")</f>
        <v/>
      </c>
      <c r="Q126">
        <f>IF(AND(N126&lt;&gt;"",N(J126)=5),N126,"")</f>
        <v/>
      </c>
    </row>
    <row r="127">
      <c r="A127" s="1" t="n"/>
      <c r="B127" s="24" t="n"/>
      <c r="C127" s="25" t="n"/>
      <c r="D127" s="25" t="n"/>
      <c r="E127" s="26" t="n"/>
      <c r="F127" s="27" t="n"/>
      <c r="G127" s="26" t="n"/>
      <c r="H127" s="28" t="n"/>
      <c r="I127" s="28" t="n"/>
      <c r="J127" s="27" t="n"/>
      <c r="K127" s="16">
        <f>IF(OR(H127="",I127=""),"",I127-H127+1)</f>
        <v/>
      </c>
      <c r="L127" s="16">
        <f>IF(OR(K127="",N(F127)=0),"",F127/K127)</f>
        <v/>
      </c>
      <c r="M127" s="25" t="n"/>
      <c r="N127" s="1">
        <f>IF(AND(G127="Finished",I127&lt;&gt;""),IF(YEAR(I127)=Dashboard!$C$4,I127+ROW()/10000000,""),"")</f>
        <v/>
      </c>
      <c r="O127">
        <f>IF(B127="","",IFERROR(MATCH(D127,Settings!$B$6:$B$17,0),12))</f>
        <v/>
      </c>
      <c r="P127">
        <f>IF(AND(G127="Reading",B127&lt;&gt;""),IF(H127="",TODAY(),H127)+ROW()/10000000,"")</f>
        <v/>
      </c>
      <c r="Q127">
        <f>IF(AND(N127&lt;&gt;"",N(J127)=5),N127,"")</f>
        <v/>
      </c>
    </row>
    <row r="128">
      <c r="A128" s="1" t="n"/>
      <c r="B128" s="24" t="n"/>
      <c r="C128" s="25" t="n"/>
      <c r="D128" s="25" t="n"/>
      <c r="E128" s="26" t="n"/>
      <c r="F128" s="27" t="n"/>
      <c r="G128" s="26" t="n"/>
      <c r="H128" s="28" t="n"/>
      <c r="I128" s="28" t="n"/>
      <c r="J128" s="27" t="n"/>
      <c r="K128" s="16">
        <f>IF(OR(H128="",I128=""),"",I128-H128+1)</f>
        <v/>
      </c>
      <c r="L128" s="16">
        <f>IF(OR(K128="",N(F128)=0),"",F128/K128)</f>
        <v/>
      </c>
      <c r="M128" s="25" t="n"/>
      <c r="N128" s="1">
        <f>IF(AND(G128="Finished",I128&lt;&gt;""),IF(YEAR(I128)=Dashboard!$C$4,I128+ROW()/10000000,""),"")</f>
        <v/>
      </c>
      <c r="O128">
        <f>IF(B128="","",IFERROR(MATCH(D128,Settings!$B$6:$B$17,0),12))</f>
        <v/>
      </c>
      <c r="P128">
        <f>IF(AND(G128="Reading",B128&lt;&gt;""),IF(H128="",TODAY(),H128)+ROW()/10000000,"")</f>
        <v/>
      </c>
      <c r="Q128">
        <f>IF(AND(N128&lt;&gt;"",N(J128)=5),N128,"")</f>
        <v/>
      </c>
    </row>
    <row r="129">
      <c r="A129" s="1" t="n"/>
      <c r="B129" s="24" t="n"/>
      <c r="C129" s="25" t="n"/>
      <c r="D129" s="25" t="n"/>
      <c r="E129" s="26" t="n"/>
      <c r="F129" s="27" t="n"/>
      <c r="G129" s="26" t="n"/>
      <c r="H129" s="28" t="n"/>
      <c r="I129" s="28" t="n"/>
      <c r="J129" s="27" t="n"/>
      <c r="K129" s="16">
        <f>IF(OR(H129="",I129=""),"",I129-H129+1)</f>
        <v/>
      </c>
      <c r="L129" s="16">
        <f>IF(OR(K129="",N(F129)=0),"",F129/K129)</f>
        <v/>
      </c>
      <c r="M129" s="25" t="n"/>
      <c r="N129" s="1">
        <f>IF(AND(G129="Finished",I129&lt;&gt;""),IF(YEAR(I129)=Dashboard!$C$4,I129+ROW()/10000000,""),"")</f>
        <v/>
      </c>
      <c r="O129">
        <f>IF(B129="","",IFERROR(MATCH(D129,Settings!$B$6:$B$17,0),12))</f>
        <v/>
      </c>
      <c r="P129">
        <f>IF(AND(G129="Reading",B129&lt;&gt;""),IF(H129="",TODAY(),H129)+ROW()/10000000,"")</f>
        <v/>
      </c>
      <c r="Q129">
        <f>IF(AND(N129&lt;&gt;"",N(J129)=5),N129,"")</f>
        <v/>
      </c>
    </row>
    <row r="130">
      <c r="A130" s="1" t="n"/>
      <c r="B130" s="24" t="n"/>
      <c r="C130" s="25" t="n"/>
      <c r="D130" s="25" t="n"/>
      <c r="E130" s="26" t="n"/>
      <c r="F130" s="27" t="n"/>
      <c r="G130" s="26" t="n"/>
      <c r="H130" s="28" t="n"/>
      <c r="I130" s="28" t="n"/>
      <c r="J130" s="27" t="n"/>
      <c r="K130" s="16">
        <f>IF(OR(H130="",I130=""),"",I130-H130+1)</f>
        <v/>
      </c>
      <c r="L130" s="16">
        <f>IF(OR(K130="",N(F130)=0),"",F130/K130)</f>
        <v/>
      </c>
      <c r="M130" s="25" t="n"/>
      <c r="N130" s="1">
        <f>IF(AND(G130="Finished",I130&lt;&gt;""),IF(YEAR(I130)=Dashboard!$C$4,I130+ROW()/10000000,""),"")</f>
        <v/>
      </c>
      <c r="O130">
        <f>IF(B130="","",IFERROR(MATCH(D130,Settings!$B$6:$B$17,0),12))</f>
        <v/>
      </c>
      <c r="P130">
        <f>IF(AND(G130="Reading",B130&lt;&gt;""),IF(H130="",TODAY(),H130)+ROW()/10000000,"")</f>
        <v/>
      </c>
      <c r="Q130">
        <f>IF(AND(N130&lt;&gt;"",N(J130)=5),N130,"")</f>
        <v/>
      </c>
    </row>
    <row r="131">
      <c r="A131" s="1" t="n"/>
      <c r="B131" s="24" t="n"/>
      <c r="C131" s="25" t="n"/>
      <c r="D131" s="25" t="n"/>
      <c r="E131" s="26" t="n"/>
      <c r="F131" s="27" t="n"/>
      <c r="G131" s="26" t="n"/>
      <c r="H131" s="28" t="n"/>
      <c r="I131" s="28" t="n"/>
      <c r="J131" s="27" t="n"/>
      <c r="K131" s="16">
        <f>IF(OR(H131="",I131=""),"",I131-H131+1)</f>
        <v/>
      </c>
      <c r="L131" s="16">
        <f>IF(OR(K131="",N(F131)=0),"",F131/K131)</f>
        <v/>
      </c>
      <c r="M131" s="25" t="n"/>
      <c r="N131" s="1">
        <f>IF(AND(G131="Finished",I131&lt;&gt;""),IF(YEAR(I131)=Dashboard!$C$4,I131+ROW()/10000000,""),"")</f>
        <v/>
      </c>
      <c r="O131">
        <f>IF(B131="","",IFERROR(MATCH(D131,Settings!$B$6:$B$17,0),12))</f>
        <v/>
      </c>
      <c r="P131">
        <f>IF(AND(G131="Reading",B131&lt;&gt;""),IF(H131="",TODAY(),H131)+ROW()/10000000,"")</f>
        <v/>
      </c>
      <c r="Q131">
        <f>IF(AND(N131&lt;&gt;"",N(J131)=5),N131,"")</f>
        <v/>
      </c>
    </row>
    <row r="132">
      <c r="A132" s="1" t="n"/>
      <c r="B132" s="24" t="n"/>
      <c r="C132" s="25" t="n"/>
      <c r="D132" s="25" t="n"/>
      <c r="E132" s="26" t="n"/>
      <c r="F132" s="27" t="n"/>
      <c r="G132" s="26" t="n"/>
      <c r="H132" s="28" t="n"/>
      <c r="I132" s="28" t="n"/>
      <c r="J132" s="27" t="n"/>
      <c r="K132" s="16">
        <f>IF(OR(H132="",I132=""),"",I132-H132+1)</f>
        <v/>
      </c>
      <c r="L132" s="16">
        <f>IF(OR(K132="",N(F132)=0),"",F132/K132)</f>
        <v/>
      </c>
      <c r="M132" s="25" t="n"/>
      <c r="N132" s="1">
        <f>IF(AND(G132="Finished",I132&lt;&gt;""),IF(YEAR(I132)=Dashboard!$C$4,I132+ROW()/10000000,""),"")</f>
        <v/>
      </c>
      <c r="O132">
        <f>IF(B132="","",IFERROR(MATCH(D132,Settings!$B$6:$B$17,0),12))</f>
        <v/>
      </c>
      <c r="P132">
        <f>IF(AND(G132="Reading",B132&lt;&gt;""),IF(H132="",TODAY(),H132)+ROW()/10000000,"")</f>
        <v/>
      </c>
      <c r="Q132">
        <f>IF(AND(N132&lt;&gt;"",N(J132)=5),N132,"")</f>
        <v/>
      </c>
    </row>
    <row r="133">
      <c r="A133" s="1" t="n"/>
      <c r="B133" s="24" t="n"/>
      <c r="C133" s="25" t="n"/>
      <c r="D133" s="25" t="n"/>
      <c r="E133" s="26" t="n"/>
      <c r="F133" s="27" t="n"/>
      <c r="G133" s="26" t="n"/>
      <c r="H133" s="28" t="n"/>
      <c r="I133" s="28" t="n"/>
      <c r="J133" s="27" t="n"/>
      <c r="K133" s="16">
        <f>IF(OR(H133="",I133=""),"",I133-H133+1)</f>
        <v/>
      </c>
      <c r="L133" s="16">
        <f>IF(OR(K133="",N(F133)=0),"",F133/K133)</f>
        <v/>
      </c>
      <c r="M133" s="25" t="n"/>
      <c r="N133" s="1">
        <f>IF(AND(G133="Finished",I133&lt;&gt;""),IF(YEAR(I133)=Dashboard!$C$4,I133+ROW()/10000000,""),"")</f>
        <v/>
      </c>
      <c r="O133">
        <f>IF(B133="","",IFERROR(MATCH(D133,Settings!$B$6:$B$17,0),12))</f>
        <v/>
      </c>
      <c r="P133">
        <f>IF(AND(G133="Reading",B133&lt;&gt;""),IF(H133="",TODAY(),H133)+ROW()/10000000,"")</f>
        <v/>
      </c>
      <c r="Q133">
        <f>IF(AND(N133&lt;&gt;"",N(J133)=5),N133,"")</f>
        <v/>
      </c>
    </row>
    <row r="134">
      <c r="A134" s="1" t="n"/>
      <c r="B134" s="24" t="n"/>
      <c r="C134" s="25" t="n"/>
      <c r="D134" s="25" t="n"/>
      <c r="E134" s="26" t="n"/>
      <c r="F134" s="27" t="n"/>
      <c r="G134" s="26" t="n"/>
      <c r="H134" s="28" t="n"/>
      <c r="I134" s="28" t="n"/>
      <c r="J134" s="27" t="n"/>
      <c r="K134" s="16">
        <f>IF(OR(H134="",I134=""),"",I134-H134+1)</f>
        <v/>
      </c>
      <c r="L134" s="16">
        <f>IF(OR(K134="",N(F134)=0),"",F134/K134)</f>
        <v/>
      </c>
      <c r="M134" s="25" t="n"/>
      <c r="N134" s="1">
        <f>IF(AND(G134="Finished",I134&lt;&gt;""),IF(YEAR(I134)=Dashboard!$C$4,I134+ROW()/10000000,""),"")</f>
        <v/>
      </c>
      <c r="O134">
        <f>IF(B134="","",IFERROR(MATCH(D134,Settings!$B$6:$B$17,0),12))</f>
        <v/>
      </c>
      <c r="P134">
        <f>IF(AND(G134="Reading",B134&lt;&gt;""),IF(H134="",TODAY(),H134)+ROW()/10000000,"")</f>
        <v/>
      </c>
      <c r="Q134">
        <f>IF(AND(N134&lt;&gt;"",N(J134)=5),N134,"")</f>
        <v/>
      </c>
    </row>
    <row r="135">
      <c r="A135" s="1" t="n"/>
      <c r="B135" s="24" t="n"/>
      <c r="C135" s="25" t="n"/>
      <c r="D135" s="25" t="n"/>
      <c r="E135" s="26" t="n"/>
      <c r="F135" s="27" t="n"/>
      <c r="G135" s="26" t="n"/>
      <c r="H135" s="28" t="n"/>
      <c r="I135" s="28" t="n"/>
      <c r="J135" s="27" t="n"/>
      <c r="K135" s="16">
        <f>IF(OR(H135="",I135=""),"",I135-H135+1)</f>
        <v/>
      </c>
      <c r="L135" s="16">
        <f>IF(OR(K135="",N(F135)=0),"",F135/K135)</f>
        <v/>
      </c>
      <c r="M135" s="25" t="n"/>
      <c r="N135" s="1">
        <f>IF(AND(G135="Finished",I135&lt;&gt;""),IF(YEAR(I135)=Dashboard!$C$4,I135+ROW()/10000000,""),"")</f>
        <v/>
      </c>
      <c r="O135">
        <f>IF(B135="","",IFERROR(MATCH(D135,Settings!$B$6:$B$17,0),12))</f>
        <v/>
      </c>
      <c r="P135">
        <f>IF(AND(G135="Reading",B135&lt;&gt;""),IF(H135="",TODAY(),H135)+ROW()/10000000,"")</f>
        <v/>
      </c>
      <c r="Q135">
        <f>IF(AND(N135&lt;&gt;"",N(J135)=5),N135,"")</f>
        <v/>
      </c>
    </row>
    <row r="136">
      <c r="A136" s="1" t="n"/>
      <c r="B136" s="24" t="n"/>
      <c r="C136" s="25" t="n"/>
      <c r="D136" s="25" t="n"/>
      <c r="E136" s="26" t="n"/>
      <c r="F136" s="27" t="n"/>
      <c r="G136" s="26" t="n"/>
      <c r="H136" s="28" t="n"/>
      <c r="I136" s="28" t="n"/>
      <c r="J136" s="27" t="n"/>
      <c r="K136" s="16">
        <f>IF(OR(H136="",I136=""),"",I136-H136+1)</f>
        <v/>
      </c>
      <c r="L136" s="16">
        <f>IF(OR(K136="",N(F136)=0),"",F136/K136)</f>
        <v/>
      </c>
      <c r="M136" s="25" t="n"/>
      <c r="N136" s="1">
        <f>IF(AND(G136="Finished",I136&lt;&gt;""),IF(YEAR(I136)=Dashboard!$C$4,I136+ROW()/10000000,""),"")</f>
        <v/>
      </c>
      <c r="O136">
        <f>IF(B136="","",IFERROR(MATCH(D136,Settings!$B$6:$B$17,0),12))</f>
        <v/>
      </c>
      <c r="P136">
        <f>IF(AND(G136="Reading",B136&lt;&gt;""),IF(H136="",TODAY(),H136)+ROW()/10000000,"")</f>
        <v/>
      </c>
      <c r="Q136">
        <f>IF(AND(N136&lt;&gt;"",N(J136)=5),N136,"")</f>
        <v/>
      </c>
    </row>
    <row r="137">
      <c r="A137" s="1" t="n"/>
      <c r="B137" s="24" t="n"/>
      <c r="C137" s="25" t="n"/>
      <c r="D137" s="25" t="n"/>
      <c r="E137" s="26" t="n"/>
      <c r="F137" s="27" t="n"/>
      <c r="G137" s="26" t="n"/>
      <c r="H137" s="28" t="n"/>
      <c r="I137" s="28" t="n"/>
      <c r="J137" s="27" t="n"/>
      <c r="K137" s="16">
        <f>IF(OR(H137="",I137=""),"",I137-H137+1)</f>
        <v/>
      </c>
      <c r="L137" s="16">
        <f>IF(OR(K137="",N(F137)=0),"",F137/K137)</f>
        <v/>
      </c>
      <c r="M137" s="25" t="n"/>
      <c r="N137" s="1">
        <f>IF(AND(G137="Finished",I137&lt;&gt;""),IF(YEAR(I137)=Dashboard!$C$4,I137+ROW()/10000000,""),"")</f>
        <v/>
      </c>
      <c r="O137">
        <f>IF(B137="","",IFERROR(MATCH(D137,Settings!$B$6:$B$17,0),12))</f>
        <v/>
      </c>
      <c r="P137">
        <f>IF(AND(G137="Reading",B137&lt;&gt;""),IF(H137="",TODAY(),H137)+ROW()/10000000,"")</f>
        <v/>
      </c>
      <c r="Q137">
        <f>IF(AND(N137&lt;&gt;"",N(J137)=5),N137,"")</f>
        <v/>
      </c>
    </row>
    <row r="138">
      <c r="A138" s="1" t="n"/>
      <c r="B138" s="24" t="n"/>
      <c r="C138" s="25" t="n"/>
      <c r="D138" s="25" t="n"/>
      <c r="E138" s="26" t="n"/>
      <c r="F138" s="27" t="n"/>
      <c r="G138" s="26" t="n"/>
      <c r="H138" s="28" t="n"/>
      <c r="I138" s="28" t="n"/>
      <c r="J138" s="27" t="n"/>
      <c r="K138" s="16">
        <f>IF(OR(H138="",I138=""),"",I138-H138+1)</f>
        <v/>
      </c>
      <c r="L138" s="16">
        <f>IF(OR(K138="",N(F138)=0),"",F138/K138)</f>
        <v/>
      </c>
      <c r="M138" s="25" t="n"/>
      <c r="N138" s="1">
        <f>IF(AND(G138="Finished",I138&lt;&gt;""),IF(YEAR(I138)=Dashboard!$C$4,I138+ROW()/10000000,""),"")</f>
        <v/>
      </c>
      <c r="O138">
        <f>IF(B138="","",IFERROR(MATCH(D138,Settings!$B$6:$B$17,0),12))</f>
        <v/>
      </c>
      <c r="P138">
        <f>IF(AND(G138="Reading",B138&lt;&gt;""),IF(H138="",TODAY(),H138)+ROW()/10000000,"")</f>
        <v/>
      </c>
      <c r="Q138">
        <f>IF(AND(N138&lt;&gt;"",N(J138)=5),N138,"")</f>
        <v/>
      </c>
    </row>
    <row r="139">
      <c r="A139" s="1" t="n"/>
      <c r="B139" s="24" t="n"/>
      <c r="C139" s="25" t="n"/>
      <c r="D139" s="25" t="n"/>
      <c r="E139" s="26" t="n"/>
      <c r="F139" s="27" t="n"/>
      <c r="G139" s="26" t="n"/>
      <c r="H139" s="28" t="n"/>
      <c r="I139" s="28" t="n"/>
      <c r="J139" s="27" t="n"/>
      <c r="K139" s="16">
        <f>IF(OR(H139="",I139=""),"",I139-H139+1)</f>
        <v/>
      </c>
      <c r="L139" s="16">
        <f>IF(OR(K139="",N(F139)=0),"",F139/K139)</f>
        <v/>
      </c>
      <c r="M139" s="25" t="n"/>
      <c r="N139" s="1">
        <f>IF(AND(G139="Finished",I139&lt;&gt;""),IF(YEAR(I139)=Dashboard!$C$4,I139+ROW()/10000000,""),"")</f>
        <v/>
      </c>
      <c r="O139">
        <f>IF(B139="","",IFERROR(MATCH(D139,Settings!$B$6:$B$17,0),12))</f>
        <v/>
      </c>
      <c r="P139">
        <f>IF(AND(G139="Reading",B139&lt;&gt;""),IF(H139="",TODAY(),H139)+ROW()/10000000,"")</f>
        <v/>
      </c>
      <c r="Q139">
        <f>IF(AND(N139&lt;&gt;"",N(J139)=5),N139,"")</f>
        <v/>
      </c>
    </row>
    <row r="140">
      <c r="A140" s="1" t="n"/>
      <c r="B140" s="24" t="n"/>
      <c r="C140" s="25" t="n"/>
      <c r="D140" s="25" t="n"/>
      <c r="E140" s="26" t="n"/>
      <c r="F140" s="27" t="n"/>
      <c r="G140" s="26" t="n"/>
      <c r="H140" s="28" t="n"/>
      <c r="I140" s="28" t="n"/>
      <c r="J140" s="27" t="n"/>
      <c r="K140" s="16">
        <f>IF(OR(H140="",I140=""),"",I140-H140+1)</f>
        <v/>
      </c>
      <c r="L140" s="16">
        <f>IF(OR(K140="",N(F140)=0),"",F140/K140)</f>
        <v/>
      </c>
      <c r="M140" s="25" t="n"/>
      <c r="N140" s="1">
        <f>IF(AND(G140="Finished",I140&lt;&gt;""),IF(YEAR(I140)=Dashboard!$C$4,I140+ROW()/10000000,""),"")</f>
        <v/>
      </c>
      <c r="O140">
        <f>IF(B140="","",IFERROR(MATCH(D140,Settings!$B$6:$B$17,0),12))</f>
        <v/>
      </c>
      <c r="P140">
        <f>IF(AND(G140="Reading",B140&lt;&gt;""),IF(H140="",TODAY(),H140)+ROW()/10000000,"")</f>
        <v/>
      </c>
      <c r="Q140">
        <f>IF(AND(N140&lt;&gt;"",N(J140)=5),N140,"")</f>
        <v/>
      </c>
    </row>
    <row r="141">
      <c r="A141" s="1" t="n"/>
      <c r="B141" s="24" t="n"/>
      <c r="C141" s="25" t="n"/>
      <c r="D141" s="25" t="n"/>
      <c r="E141" s="26" t="n"/>
      <c r="F141" s="27" t="n"/>
      <c r="G141" s="26" t="n"/>
      <c r="H141" s="28" t="n"/>
      <c r="I141" s="28" t="n"/>
      <c r="J141" s="27" t="n"/>
      <c r="K141" s="16">
        <f>IF(OR(H141="",I141=""),"",I141-H141+1)</f>
        <v/>
      </c>
      <c r="L141" s="16">
        <f>IF(OR(K141="",N(F141)=0),"",F141/K141)</f>
        <v/>
      </c>
      <c r="M141" s="25" t="n"/>
      <c r="N141" s="1">
        <f>IF(AND(G141="Finished",I141&lt;&gt;""),IF(YEAR(I141)=Dashboard!$C$4,I141+ROW()/10000000,""),"")</f>
        <v/>
      </c>
      <c r="O141">
        <f>IF(B141="","",IFERROR(MATCH(D141,Settings!$B$6:$B$17,0),12))</f>
        <v/>
      </c>
      <c r="P141">
        <f>IF(AND(G141="Reading",B141&lt;&gt;""),IF(H141="",TODAY(),H141)+ROW()/10000000,"")</f>
        <v/>
      </c>
      <c r="Q141">
        <f>IF(AND(N141&lt;&gt;"",N(J141)=5),N141,"")</f>
        <v/>
      </c>
    </row>
    <row r="142">
      <c r="A142" s="1" t="n"/>
      <c r="B142" s="24" t="n"/>
      <c r="C142" s="25" t="n"/>
      <c r="D142" s="25" t="n"/>
      <c r="E142" s="26" t="n"/>
      <c r="F142" s="27" t="n"/>
      <c r="G142" s="26" t="n"/>
      <c r="H142" s="28" t="n"/>
      <c r="I142" s="28" t="n"/>
      <c r="J142" s="27" t="n"/>
      <c r="K142" s="16">
        <f>IF(OR(H142="",I142=""),"",I142-H142+1)</f>
        <v/>
      </c>
      <c r="L142" s="16">
        <f>IF(OR(K142="",N(F142)=0),"",F142/K142)</f>
        <v/>
      </c>
      <c r="M142" s="25" t="n"/>
      <c r="N142" s="1">
        <f>IF(AND(G142="Finished",I142&lt;&gt;""),IF(YEAR(I142)=Dashboard!$C$4,I142+ROW()/10000000,""),"")</f>
        <v/>
      </c>
      <c r="O142">
        <f>IF(B142="","",IFERROR(MATCH(D142,Settings!$B$6:$B$17,0),12))</f>
        <v/>
      </c>
      <c r="P142">
        <f>IF(AND(G142="Reading",B142&lt;&gt;""),IF(H142="",TODAY(),H142)+ROW()/10000000,"")</f>
        <v/>
      </c>
      <c r="Q142">
        <f>IF(AND(N142&lt;&gt;"",N(J142)=5),N142,"")</f>
        <v/>
      </c>
    </row>
    <row r="143">
      <c r="A143" s="1" t="n"/>
      <c r="B143" s="24" t="n"/>
      <c r="C143" s="25" t="n"/>
      <c r="D143" s="25" t="n"/>
      <c r="E143" s="26" t="n"/>
      <c r="F143" s="27" t="n"/>
      <c r="G143" s="26" t="n"/>
      <c r="H143" s="28" t="n"/>
      <c r="I143" s="28" t="n"/>
      <c r="J143" s="27" t="n"/>
      <c r="K143" s="16">
        <f>IF(OR(H143="",I143=""),"",I143-H143+1)</f>
        <v/>
      </c>
      <c r="L143" s="16">
        <f>IF(OR(K143="",N(F143)=0),"",F143/K143)</f>
        <v/>
      </c>
      <c r="M143" s="25" t="n"/>
      <c r="N143" s="1">
        <f>IF(AND(G143="Finished",I143&lt;&gt;""),IF(YEAR(I143)=Dashboard!$C$4,I143+ROW()/10000000,""),"")</f>
        <v/>
      </c>
      <c r="O143">
        <f>IF(B143="","",IFERROR(MATCH(D143,Settings!$B$6:$B$17,0),12))</f>
        <v/>
      </c>
      <c r="P143">
        <f>IF(AND(G143="Reading",B143&lt;&gt;""),IF(H143="",TODAY(),H143)+ROW()/10000000,"")</f>
        <v/>
      </c>
      <c r="Q143">
        <f>IF(AND(N143&lt;&gt;"",N(J143)=5),N143,"")</f>
        <v/>
      </c>
    </row>
    <row r="144">
      <c r="A144" s="1" t="n"/>
      <c r="B144" s="24" t="n"/>
      <c r="C144" s="25" t="n"/>
      <c r="D144" s="25" t="n"/>
      <c r="E144" s="26" t="n"/>
      <c r="F144" s="27" t="n"/>
      <c r="G144" s="26" t="n"/>
      <c r="H144" s="28" t="n"/>
      <c r="I144" s="28" t="n"/>
      <c r="J144" s="27" t="n"/>
      <c r="K144" s="16">
        <f>IF(OR(H144="",I144=""),"",I144-H144+1)</f>
        <v/>
      </c>
      <c r="L144" s="16">
        <f>IF(OR(K144="",N(F144)=0),"",F144/K144)</f>
        <v/>
      </c>
      <c r="M144" s="25" t="n"/>
      <c r="N144" s="1">
        <f>IF(AND(G144="Finished",I144&lt;&gt;""),IF(YEAR(I144)=Dashboard!$C$4,I144+ROW()/10000000,""),"")</f>
        <v/>
      </c>
      <c r="O144">
        <f>IF(B144="","",IFERROR(MATCH(D144,Settings!$B$6:$B$17,0),12))</f>
        <v/>
      </c>
      <c r="P144">
        <f>IF(AND(G144="Reading",B144&lt;&gt;""),IF(H144="",TODAY(),H144)+ROW()/10000000,"")</f>
        <v/>
      </c>
      <c r="Q144">
        <f>IF(AND(N144&lt;&gt;"",N(J144)=5),N144,"")</f>
        <v/>
      </c>
    </row>
    <row r="145">
      <c r="A145" s="1" t="n"/>
      <c r="B145" s="24" t="n"/>
      <c r="C145" s="25" t="n"/>
      <c r="D145" s="25" t="n"/>
      <c r="E145" s="26" t="n"/>
      <c r="F145" s="27" t="n"/>
      <c r="G145" s="26" t="n"/>
      <c r="H145" s="28" t="n"/>
      <c r="I145" s="28" t="n"/>
      <c r="J145" s="27" t="n"/>
      <c r="K145" s="16">
        <f>IF(OR(H145="",I145=""),"",I145-H145+1)</f>
        <v/>
      </c>
      <c r="L145" s="16">
        <f>IF(OR(K145="",N(F145)=0),"",F145/K145)</f>
        <v/>
      </c>
      <c r="M145" s="25" t="n"/>
      <c r="N145" s="1">
        <f>IF(AND(G145="Finished",I145&lt;&gt;""),IF(YEAR(I145)=Dashboard!$C$4,I145+ROW()/10000000,""),"")</f>
        <v/>
      </c>
      <c r="O145">
        <f>IF(B145="","",IFERROR(MATCH(D145,Settings!$B$6:$B$17,0),12))</f>
        <v/>
      </c>
      <c r="P145">
        <f>IF(AND(G145="Reading",B145&lt;&gt;""),IF(H145="",TODAY(),H145)+ROW()/10000000,"")</f>
        <v/>
      </c>
      <c r="Q145">
        <f>IF(AND(N145&lt;&gt;"",N(J145)=5),N145,"")</f>
        <v/>
      </c>
    </row>
    <row r="146">
      <c r="A146" s="1" t="n"/>
      <c r="B146" s="24" t="n"/>
      <c r="C146" s="25" t="n"/>
      <c r="D146" s="25" t="n"/>
      <c r="E146" s="26" t="n"/>
      <c r="F146" s="27" t="n"/>
      <c r="G146" s="26" t="n"/>
      <c r="H146" s="28" t="n"/>
      <c r="I146" s="28" t="n"/>
      <c r="J146" s="27" t="n"/>
      <c r="K146" s="16">
        <f>IF(OR(H146="",I146=""),"",I146-H146+1)</f>
        <v/>
      </c>
      <c r="L146" s="16">
        <f>IF(OR(K146="",N(F146)=0),"",F146/K146)</f>
        <v/>
      </c>
      <c r="M146" s="25" t="n"/>
      <c r="N146" s="1">
        <f>IF(AND(G146="Finished",I146&lt;&gt;""),IF(YEAR(I146)=Dashboard!$C$4,I146+ROW()/10000000,""),"")</f>
        <v/>
      </c>
      <c r="O146">
        <f>IF(B146="","",IFERROR(MATCH(D146,Settings!$B$6:$B$17,0),12))</f>
        <v/>
      </c>
      <c r="P146">
        <f>IF(AND(G146="Reading",B146&lt;&gt;""),IF(H146="",TODAY(),H146)+ROW()/10000000,"")</f>
        <v/>
      </c>
      <c r="Q146">
        <f>IF(AND(N146&lt;&gt;"",N(J146)=5),N146,"")</f>
        <v/>
      </c>
    </row>
    <row r="147">
      <c r="A147" s="1" t="n"/>
      <c r="B147" s="24" t="n"/>
      <c r="C147" s="25" t="n"/>
      <c r="D147" s="25" t="n"/>
      <c r="E147" s="26" t="n"/>
      <c r="F147" s="27" t="n"/>
      <c r="G147" s="26" t="n"/>
      <c r="H147" s="28" t="n"/>
      <c r="I147" s="28" t="n"/>
      <c r="J147" s="27" t="n"/>
      <c r="K147" s="16">
        <f>IF(OR(H147="",I147=""),"",I147-H147+1)</f>
        <v/>
      </c>
      <c r="L147" s="16">
        <f>IF(OR(K147="",N(F147)=0),"",F147/K147)</f>
        <v/>
      </c>
      <c r="M147" s="25" t="n"/>
      <c r="N147" s="1">
        <f>IF(AND(G147="Finished",I147&lt;&gt;""),IF(YEAR(I147)=Dashboard!$C$4,I147+ROW()/10000000,""),"")</f>
        <v/>
      </c>
      <c r="O147">
        <f>IF(B147="","",IFERROR(MATCH(D147,Settings!$B$6:$B$17,0),12))</f>
        <v/>
      </c>
      <c r="P147">
        <f>IF(AND(G147="Reading",B147&lt;&gt;""),IF(H147="",TODAY(),H147)+ROW()/10000000,"")</f>
        <v/>
      </c>
      <c r="Q147">
        <f>IF(AND(N147&lt;&gt;"",N(J147)=5),N147,"")</f>
        <v/>
      </c>
    </row>
    <row r="148">
      <c r="A148" s="1" t="n"/>
      <c r="B148" s="24" t="n"/>
      <c r="C148" s="25" t="n"/>
      <c r="D148" s="25" t="n"/>
      <c r="E148" s="26" t="n"/>
      <c r="F148" s="27" t="n"/>
      <c r="G148" s="26" t="n"/>
      <c r="H148" s="28" t="n"/>
      <c r="I148" s="28" t="n"/>
      <c r="J148" s="27" t="n"/>
      <c r="K148" s="16">
        <f>IF(OR(H148="",I148=""),"",I148-H148+1)</f>
        <v/>
      </c>
      <c r="L148" s="16">
        <f>IF(OR(K148="",N(F148)=0),"",F148/K148)</f>
        <v/>
      </c>
      <c r="M148" s="25" t="n"/>
      <c r="N148" s="1">
        <f>IF(AND(G148="Finished",I148&lt;&gt;""),IF(YEAR(I148)=Dashboard!$C$4,I148+ROW()/10000000,""),"")</f>
        <v/>
      </c>
      <c r="O148">
        <f>IF(B148="","",IFERROR(MATCH(D148,Settings!$B$6:$B$17,0),12))</f>
        <v/>
      </c>
      <c r="P148">
        <f>IF(AND(G148="Reading",B148&lt;&gt;""),IF(H148="",TODAY(),H148)+ROW()/10000000,"")</f>
        <v/>
      </c>
      <c r="Q148">
        <f>IF(AND(N148&lt;&gt;"",N(J148)=5),N148,"")</f>
        <v/>
      </c>
    </row>
    <row r="149">
      <c r="A149" s="1" t="n"/>
      <c r="B149" s="24" t="n"/>
      <c r="C149" s="25" t="n"/>
      <c r="D149" s="25" t="n"/>
      <c r="E149" s="26" t="n"/>
      <c r="F149" s="27" t="n"/>
      <c r="G149" s="26" t="n"/>
      <c r="H149" s="28" t="n"/>
      <c r="I149" s="28" t="n"/>
      <c r="J149" s="27" t="n"/>
      <c r="K149" s="16">
        <f>IF(OR(H149="",I149=""),"",I149-H149+1)</f>
        <v/>
      </c>
      <c r="L149" s="16">
        <f>IF(OR(K149="",N(F149)=0),"",F149/K149)</f>
        <v/>
      </c>
      <c r="M149" s="25" t="n"/>
      <c r="N149" s="1">
        <f>IF(AND(G149="Finished",I149&lt;&gt;""),IF(YEAR(I149)=Dashboard!$C$4,I149+ROW()/10000000,""),"")</f>
        <v/>
      </c>
      <c r="O149">
        <f>IF(B149="","",IFERROR(MATCH(D149,Settings!$B$6:$B$17,0),12))</f>
        <v/>
      </c>
      <c r="P149">
        <f>IF(AND(G149="Reading",B149&lt;&gt;""),IF(H149="",TODAY(),H149)+ROW()/10000000,"")</f>
        <v/>
      </c>
      <c r="Q149">
        <f>IF(AND(N149&lt;&gt;"",N(J149)=5),N149,"")</f>
        <v/>
      </c>
    </row>
    <row r="150">
      <c r="A150" s="1" t="n"/>
      <c r="B150" s="24" t="n"/>
      <c r="C150" s="25" t="n"/>
      <c r="D150" s="25" t="n"/>
      <c r="E150" s="26" t="n"/>
      <c r="F150" s="27" t="n"/>
      <c r="G150" s="26" t="n"/>
      <c r="H150" s="28" t="n"/>
      <c r="I150" s="28" t="n"/>
      <c r="J150" s="27" t="n"/>
      <c r="K150" s="16">
        <f>IF(OR(H150="",I150=""),"",I150-H150+1)</f>
        <v/>
      </c>
      <c r="L150" s="16">
        <f>IF(OR(K150="",N(F150)=0),"",F150/K150)</f>
        <v/>
      </c>
      <c r="M150" s="25" t="n"/>
      <c r="N150" s="1">
        <f>IF(AND(G150="Finished",I150&lt;&gt;""),IF(YEAR(I150)=Dashboard!$C$4,I150+ROW()/10000000,""),"")</f>
        <v/>
      </c>
      <c r="O150">
        <f>IF(B150="","",IFERROR(MATCH(D150,Settings!$B$6:$B$17,0),12))</f>
        <v/>
      </c>
      <c r="P150">
        <f>IF(AND(G150="Reading",B150&lt;&gt;""),IF(H150="",TODAY(),H150)+ROW()/10000000,"")</f>
        <v/>
      </c>
      <c r="Q150">
        <f>IF(AND(N150&lt;&gt;"",N(J150)=5),N150,"")</f>
        <v/>
      </c>
    </row>
    <row r="151">
      <c r="A151" s="1" t="n"/>
      <c r="B151" s="24" t="n"/>
      <c r="C151" s="25" t="n"/>
      <c r="D151" s="25" t="n"/>
      <c r="E151" s="26" t="n"/>
      <c r="F151" s="27" t="n"/>
      <c r="G151" s="26" t="n"/>
      <c r="H151" s="28" t="n"/>
      <c r="I151" s="28" t="n"/>
      <c r="J151" s="27" t="n"/>
      <c r="K151" s="16">
        <f>IF(OR(H151="",I151=""),"",I151-H151+1)</f>
        <v/>
      </c>
      <c r="L151" s="16">
        <f>IF(OR(K151="",N(F151)=0),"",F151/K151)</f>
        <v/>
      </c>
      <c r="M151" s="25" t="n"/>
      <c r="N151" s="1">
        <f>IF(AND(G151="Finished",I151&lt;&gt;""),IF(YEAR(I151)=Dashboard!$C$4,I151+ROW()/10000000,""),"")</f>
        <v/>
      </c>
      <c r="O151">
        <f>IF(B151="","",IFERROR(MATCH(D151,Settings!$B$6:$B$17,0),12))</f>
        <v/>
      </c>
      <c r="P151">
        <f>IF(AND(G151="Reading",B151&lt;&gt;""),IF(H151="",TODAY(),H151)+ROW()/10000000,"")</f>
        <v/>
      </c>
      <c r="Q151">
        <f>IF(AND(N151&lt;&gt;"",N(J151)=5),N151,"")</f>
        <v/>
      </c>
    </row>
    <row r="152">
      <c r="A152" s="1" t="n"/>
      <c r="B152" s="24" t="n"/>
      <c r="C152" s="25" t="n"/>
      <c r="D152" s="25" t="n"/>
      <c r="E152" s="26" t="n"/>
      <c r="F152" s="27" t="n"/>
      <c r="G152" s="26" t="n"/>
      <c r="H152" s="28" t="n"/>
      <c r="I152" s="28" t="n"/>
      <c r="J152" s="27" t="n"/>
      <c r="K152" s="16">
        <f>IF(OR(H152="",I152=""),"",I152-H152+1)</f>
        <v/>
      </c>
      <c r="L152" s="16">
        <f>IF(OR(K152="",N(F152)=0),"",F152/K152)</f>
        <v/>
      </c>
      <c r="M152" s="25" t="n"/>
      <c r="N152" s="1">
        <f>IF(AND(G152="Finished",I152&lt;&gt;""),IF(YEAR(I152)=Dashboard!$C$4,I152+ROW()/10000000,""),"")</f>
        <v/>
      </c>
      <c r="O152">
        <f>IF(B152="","",IFERROR(MATCH(D152,Settings!$B$6:$B$17,0),12))</f>
        <v/>
      </c>
      <c r="P152">
        <f>IF(AND(G152="Reading",B152&lt;&gt;""),IF(H152="",TODAY(),H152)+ROW()/10000000,"")</f>
        <v/>
      </c>
      <c r="Q152">
        <f>IF(AND(N152&lt;&gt;"",N(J152)=5),N152,"")</f>
        <v/>
      </c>
    </row>
    <row r="153">
      <c r="A153" s="1" t="n"/>
      <c r="B153" s="24" t="n"/>
      <c r="C153" s="25" t="n"/>
      <c r="D153" s="25" t="n"/>
      <c r="E153" s="26" t="n"/>
      <c r="F153" s="27" t="n"/>
      <c r="G153" s="26" t="n"/>
      <c r="H153" s="28" t="n"/>
      <c r="I153" s="28" t="n"/>
      <c r="J153" s="27" t="n"/>
      <c r="K153" s="16">
        <f>IF(OR(H153="",I153=""),"",I153-H153+1)</f>
        <v/>
      </c>
      <c r="L153" s="16">
        <f>IF(OR(K153="",N(F153)=0),"",F153/K153)</f>
        <v/>
      </c>
      <c r="M153" s="25" t="n"/>
      <c r="N153" s="1">
        <f>IF(AND(G153="Finished",I153&lt;&gt;""),IF(YEAR(I153)=Dashboard!$C$4,I153+ROW()/10000000,""),"")</f>
        <v/>
      </c>
      <c r="O153">
        <f>IF(B153="","",IFERROR(MATCH(D153,Settings!$B$6:$B$17,0),12))</f>
        <v/>
      </c>
      <c r="P153">
        <f>IF(AND(G153="Reading",B153&lt;&gt;""),IF(H153="",TODAY(),H153)+ROW()/10000000,"")</f>
        <v/>
      </c>
      <c r="Q153">
        <f>IF(AND(N153&lt;&gt;"",N(J153)=5),N153,"")</f>
        <v/>
      </c>
    </row>
    <row r="154">
      <c r="A154" s="1" t="n"/>
      <c r="B154" s="24" t="n"/>
      <c r="C154" s="25" t="n"/>
      <c r="D154" s="25" t="n"/>
      <c r="E154" s="26" t="n"/>
      <c r="F154" s="27" t="n"/>
      <c r="G154" s="26" t="n"/>
      <c r="H154" s="28" t="n"/>
      <c r="I154" s="28" t="n"/>
      <c r="J154" s="27" t="n"/>
      <c r="K154" s="16">
        <f>IF(OR(H154="",I154=""),"",I154-H154+1)</f>
        <v/>
      </c>
      <c r="L154" s="16">
        <f>IF(OR(K154="",N(F154)=0),"",F154/K154)</f>
        <v/>
      </c>
      <c r="M154" s="25" t="n"/>
      <c r="N154" s="1">
        <f>IF(AND(G154="Finished",I154&lt;&gt;""),IF(YEAR(I154)=Dashboard!$C$4,I154+ROW()/10000000,""),"")</f>
        <v/>
      </c>
      <c r="O154">
        <f>IF(B154="","",IFERROR(MATCH(D154,Settings!$B$6:$B$17,0),12))</f>
        <v/>
      </c>
      <c r="P154">
        <f>IF(AND(G154="Reading",B154&lt;&gt;""),IF(H154="",TODAY(),H154)+ROW()/10000000,"")</f>
        <v/>
      </c>
      <c r="Q154">
        <f>IF(AND(N154&lt;&gt;"",N(J154)=5),N154,"")</f>
        <v/>
      </c>
    </row>
    <row r="155">
      <c r="A155" s="1" t="n"/>
      <c r="B155" s="24" t="n"/>
      <c r="C155" s="25" t="n"/>
      <c r="D155" s="25" t="n"/>
      <c r="E155" s="26" t="n"/>
      <c r="F155" s="27" t="n"/>
      <c r="G155" s="26" t="n"/>
      <c r="H155" s="28" t="n"/>
      <c r="I155" s="28" t="n"/>
      <c r="J155" s="27" t="n"/>
      <c r="K155" s="16">
        <f>IF(OR(H155="",I155=""),"",I155-H155+1)</f>
        <v/>
      </c>
      <c r="L155" s="16">
        <f>IF(OR(K155="",N(F155)=0),"",F155/K155)</f>
        <v/>
      </c>
      <c r="M155" s="25" t="n"/>
      <c r="N155" s="1">
        <f>IF(AND(G155="Finished",I155&lt;&gt;""),IF(YEAR(I155)=Dashboard!$C$4,I155+ROW()/10000000,""),"")</f>
        <v/>
      </c>
      <c r="O155">
        <f>IF(B155="","",IFERROR(MATCH(D155,Settings!$B$6:$B$17,0),12))</f>
        <v/>
      </c>
      <c r="P155">
        <f>IF(AND(G155="Reading",B155&lt;&gt;""),IF(H155="",TODAY(),H155)+ROW()/10000000,"")</f>
        <v/>
      </c>
      <c r="Q155">
        <f>IF(AND(N155&lt;&gt;"",N(J155)=5),N155,"")</f>
        <v/>
      </c>
    </row>
    <row r="156">
      <c r="A156" s="1" t="n"/>
      <c r="B156" s="24" t="n"/>
      <c r="C156" s="25" t="n"/>
      <c r="D156" s="25" t="n"/>
      <c r="E156" s="26" t="n"/>
      <c r="F156" s="27" t="n"/>
      <c r="G156" s="26" t="n"/>
      <c r="H156" s="28" t="n"/>
      <c r="I156" s="28" t="n"/>
      <c r="J156" s="27" t="n"/>
      <c r="K156" s="16">
        <f>IF(OR(H156="",I156=""),"",I156-H156+1)</f>
        <v/>
      </c>
      <c r="L156" s="16">
        <f>IF(OR(K156="",N(F156)=0),"",F156/K156)</f>
        <v/>
      </c>
      <c r="M156" s="25" t="n"/>
      <c r="N156" s="1">
        <f>IF(AND(G156="Finished",I156&lt;&gt;""),IF(YEAR(I156)=Dashboard!$C$4,I156+ROW()/10000000,""),"")</f>
        <v/>
      </c>
      <c r="O156">
        <f>IF(B156="","",IFERROR(MATCH(D156,Settings!$B$6:$B$17,0),12))</f>
        <v/>
      </c>
      <c r="P156">
        <f>IF(AND(G156="Reading",B156&lt;&gt;""),IF(H156="",TODAY(),H156)+ROW()/10000000,"")</f>
        <v/>
      </c>
      <c r="Q156">
        <f>IF(AND(N156&lt;&gt;"",N(J156)=5),N156,"")</f>
        <v/>
      </c>
    </row>
    <row r="157">
      <c r="A157" s="1" t="n"/>
      <c r="B157" s="24" t="n"/>
      <c r="C157" s="25" t="n"/>
      <c r="D157" s="25" t="n"/>
      <c r="E157" s="26" t="n"/>
      <c r="F157" s="27" t="n"/>
      <c r="G157" s="26" t="n"/>
      <c r="H157" s="28" t="n"/>
      <c r="I157" s="28" t="n"/>
      <c r="J157" s="27" t="n"/>
      <c r="K157" s="16">
        <f>IF(OR(H157="",I157=""),"",I157-H157+1)</f>
        <v/>
      </c>
      <c r="L157" s="16">
        <f>IF(OR(K157="",N(F157)=0),"",F157/K157)</f>
        <v/>
      </c>
      <c r="M157" s="25" t="n"/>
      <c r="N157" s="1">
        <f>IF(AND(G157="Finished",I157&lt;&gt;""),IF(YEAR(I157)=Dashboard!$C$4,I157+ROW()/10000000,""),"")</f>
        <v/>
      </c>
      <c r="O157">
        <f>IF(B157="","",IFERROR(MATCH(D157,Settings!$B$6:$B$17,0),12))</f>
        <v/>
      </c>
      <c r="P157">
        <f>IF(AND(G157="Reading",B157&lt;&gt;""),IF(H157="",TODAY(),H157)+ROW()/10000000,"")</f>
        <v/>
      </c>
      <c r="Q157">
        <f>IF(AND(N157&lt;&gt;"",N(J157)=5),N157,"")</f>
        <v/>
      </c>
    </row>
    <row r="158">
      <c r="A158" s="1" t="n"/>
      <c r="B158" s="24" t="n"/>
      <c r="C158" s="25" t="n"/>
      <c r="D158" s="25" t="n"/>
      <c r="E158" s="26" t="n"/>
      <c r="F158" s="27" t="n"/>
      <c r="G158" s="26" t="n"/>
      <c r="H158" s="28" t="n"/>
      <c r="I158" s="28" t="n"/>
      <c r="J158" s="27" t="n"/>
      <c r="K158" s="16">
        <f>IF(OR(H158="",I158=""),"",I158-H158+1)</f>
        <v/>
      </c>
      <c r="L158" s="16">
        <f>IF(OR(K158="",N(F158)=0),"",F158/K158)</f>
        <v/>
      </c>
      <c r="M158" s="25" t="n"/>
      <c r="N158" s="1">
        <f>IF(AND(G158="Finished",I158&lt;&gt;""),IF(YEAR(I158)=Dashboard!$C$4,I158+ROW()/10000000,""),"")</f>
        <v/>
      </c>
      <c r="O158">
        <f>IF(B158="","",IFERROR(MATCH(D158,Settings!$B$6:$B$17,0),12))</f>
        <v/>
      </c>
      <c r="P158">
        <f>IF(AND(G158="Reading",B158&lt;&gt;""),IF(H158="",TODAY(),H158)+ROW()/10000000,"")</f>
        <v/>
      </c>
      <c r="Q158">
        <f>IF(AND(N158&lt;&gt;"",N(J158)=5),N158,"")</f>
        <v/>
      </c>
    </row>
    <row r="159">
      <c r="A159" s="1" t="n"/>
      <c r="B159" s="24" t="n"/>
      <c r="C159" s="25" t="n"/>
      <c r="D159" s="25" t="n"/>
      <c r="E159" s="26" t="n"/>
      <c r="F159" s="27" t="n"/>
      <c r="G159" s="26" t="n"/>
      <c r="H159" s="28" t="n"/>
      <c r="I159" s="28" t="n"/>
      <c r="J159" s="27" t="n"/>
      <c r="K159" s="16">
        <f>IF(OR(H159="",I159=""),"",I159-H159+1)</f>
        <v/>
      </c>
      <c r="L159" s="16">
        <f>IF(OR(K159="",N(F159)=0),"",F159/K159)</f>
        <v/>
      </c>
      <c r="M159" s="25" t="n"/>
      <c r="N159" s="1">
        <f>IF(AND(G159="Finished",I159&lt;&gt;""),IF(YEAR(I159)=Dashboard!$C$4,I159+ROW()/10000000,""),"")</f>
        <v/>
      </c>
      <c r="O159">
        <f>IF(B159="","",IFERROR(MATCH(D159,Settings!$B$6:$B$17,0),12))</f>
        <v/>
      </c>
      <c r="P159">
        <f>IF(AND(G159="Reading",B159&lt;&gt;""),IF(H159="",TODAY(),H159)+ROW()/10000000,"")</f>
        <v/>
      </c>
      <c r="Q159">
        <f>IF(AND(N159&lt;&gt;"",N(J159)=5),N159,"")</f>
        <v/>
      </c>
    </row>
    <row r="160">
      <c r="A160" s="1" t="n"/>
      <c r="B160" s="24" t="n"/>
      <c r="C160" s="25" t="n"/>
      <c r="D160" s="25" t="n"/>
      <c r="E160" s="26" t="n"/>
      <c r="F160" s="27" t="n"/>
      <c r="G160" s="26" t="n"/>
      <c r="H160" s="28" t="n"/>
      <c r="I160" s="28" t="n"/>
      <c r="J160" s="27" t="n"/>
      <c r="K160" s="16">
        <f>IF(OR(H160="",I160=""),"",I160-H160+1)</f>
        <v/>
      </c>
      <c r="L160" s="16">
        <f>IF(OR(K160="",N(F160)=0),"",F160/K160)</f>
        <v/>
      </c>
      <c r="M160" s="25" t="n"/>
      <c r="N160" s="1">
        <f>IF(AND(G160="Finished",I160&lt;&gt;""),IF(YEAR(I160)=Dashboard!$C$4,I160+ROW()/10000000,""),"")</f>
        <v/>
      </c>
      <c r="O160">
        <f>IF(B160="","",IFERROR(MATCH(D160,Settings!$B$6:$B$17,0),12))</f>
        <v/>
      </c>
      <c r="P160">
        <f>IF(AND(G160="Reading",B160&lt;&gt;""),IF(H160="",TODAY(),H160)+ROW()/10000000,"")</f>
        <v/>
      </c>
      <c r="Q160">
        <f>IF(AND(N160&lt;&gt;"",N(J160)=5),N160,"")</f>
        <v/>
      </c>
    </row>
    <row r="161">
      <c r="A161" s="1" t="n"/>
      <c r="B161" s="24" t="n"/>
      <c r="C161" s="25" t="n"/>
      <c r="D161" s="25" t="n"/>
      <c r="E161" s="26" t="n"/>
      <c r="F161" s="27" t="n"/>
      <c r="G161" s="26" t="n"/>
      <c r="H161" s="28" t="n"/>
      <c r="I161" s="28" t="n"/>
      <c r="J161" s="27" t="n"/>
      <c r="K161" s="16">
        <f>IF(OR(H161="",I161=""),"",I161-H161+1)</f>
        <v/>
      </c>
      <c r="L161" s="16">
        <f>IF(OR(K161="",N(F161)=0),"",F161/K161)</f>
        <v/>
      </c>
      <c r="M161" s="25" t="n"/>
      <c r="N161" s="1">
        <f>IF(AND(G161="Finished",I161&lt;&gt;""),IF(YEAR(I161)=Dashboard!$C$4,I161+ROW()/10000000,""),"")</f>
        <v/>
      </c>
      <c r="O161">
        <f>IF(B161="","",IFERROR(MATCH(D161,Settings!$B$6:$B$17,0),12))</f>
        <v/>
      </c>
      <c r="P161">
        <f>IF(AND(G161="Reading",B161&lt;&gt;""),IF(H161="",TODAY(),H161)+ROW()/10000000,"")</f>
        <v/>
      </c>
      <c r="Q161">
        <f>IF(AND(N161&lt;&gt;"",N(J161)=5),N161,"")</f>
        <v/>
      </c>
    </row>
    <row r="162">
      <c r="A162" s="1" t="n"/>
      <c r="B162" s="24" t="n"/>
      <c r="C162" s="25" t="n"/>
      <c r="D162" s="25" t="n"/>
      <c r="E162" s="26" t="n"/>
      <c r="F162" s="27" t="n"/>
      <c r="G162" s="26" t="n"/>
      <c r="H162" s="28" t="n"/>
      <c r="I162" s="28" t="n"/>
      <c r="J162" s="27" t="n"/>
      <c r="K162" s="16">
        <f>IF(OR(H162="",I162=""),"",I162-H162+1)</f>
        <v/>
      </c>
      <c r="L162" s="16">
        <f>IF(OR(K162="",N(F162)=0),"",F162/K162)</f>
        <v/>
      </c>
      <c r="M162" s="25" t="n"/>
      <c r="N162" s="1">
        <f>IF(AND(G162="Finished",I162&lt;&gt;""),IF(YEAR(I162)=Dashboard!$C$4,I162+ROW()/10000000,""),"")</f>
        <v/>
      </c>
      <c r="O162">
        <f>IF(B162="","",IFERROR(MATCH(D162,Settings!$B$6:$B$17,0),12))</f>
        <v/>
      </c>
      <c r="P162">
        <f>IF(AND(G162="Reading",B162&lt;&gt;""),IF(H162="",TODAY(),H162)+ROW()/10000000,"")</f>
        <v/>
      </c>
      <c r="Q162">
        <f>IF(AND(N162&lt;&gt;"",N(J162)=5),N162,"")</f>
        <v/>
      </c>
    </row>
    <row r="163">
      <c r="A163" s="1" t="n"/>
      <c r="B163" s="24" t="n"/>
      <c r="C163" s="25" t="n"/>
      <c r="D163" s="25" t="n"/>
      <c r="E163" s="26" t="n"/>
      <c r="F163" s="27" t="n"/>
      <c r="G163" s="26" t="n"/>
      <c r="H163" s="28" t="n"/>
      <c r="I163" s="28" t="n"/>
      <c r="J163" s="27" t="n"/>
      <c r="K163" s="16">
        <f>IF(OR(H163="",I163=""),"",I163-H163+1)</f>
        <v/>
      </c>
      <c r="L163" s="16">
        <f>IF(OR(K163="",N(F163)=0),"",F163/K163)</f>
        <v/>
      </c>
      <c r="M163" s="25" t="n"/>
      <c r="N163" s="1">
        <f>IF(AND(G163="Finished",I163&lt;&gt;""),IF(YEAR(I163)=Dashboard!$C$4,I163+ROW()/10000000,""),"")</f>
        <v/>
      </c>
      <c r="O163">
        <f>IF(B163="","",IFERROR(MATCH(D163,Settings!$B$6:$B$17,0),12))</f>
        <v/>
      </c>
      <c r="P163">
        <f>IF(AND(G163="Reading",B163&lt;&gt;""),IF(H163="",TODAY(),H163)+ROW()/10000000,"")</f>
        <v/>
      </c>
      <c r="Q163">
        <f>IF(AND(N163&lt;&gt;"",N(J163)=5),N163,"")</f>
        <v/>
      </c>
    </row>
    <row r="164">
      <c r="A164" s="1" t="n"/>
      <c r="B164" s="24" t="n"/>
      <c r="C164" s="25" t="n"/>
      <c r="D164" s="25" t="n"/>
      <c r="E164" s="26" t="n"/>
      <c r="F164" s="27" t="n"/>
      <c r="G164" s="26" t="n"/>
      <c r="H164" s="28" t="n"/>
      <c r="I164" s="28" t="n"/>
      <c r="J164" s="27" t="n"/>
      <c r="K164" s="16">
        <f>IF(OR(H164="",I164=""),"",I164-H164+1)</f>
        <v/>
      </c>
      <c r="L164" s="16">
        <f>IF(OR(K164="",N(F164)=0),"",F164/K164)</f>
        <v/>
      </c>
      <c r="M164" s="25" t="n"/>
      <c r="N164" s="1">
        <f>IF(AND(G164="Finished",I164&lt;&gt;""),IF(YEAR(I164)=Dashboard!$C$4,I164+ROW()/10000000,""),"")</f>
        <v/>
      </c>
      <c r="O164">
        <f>IF(B164="","",IFERROR(MATCH(D164,Settings!$B$6:$B$17,0),12))</f>
        <v/>
      </c>
      <c r="P164">
        <f>IF(AND(G164="Reading",B164&lt;&gt;""),IF(H164="",TODAY(),H164)+ROW()/10000000,"")</f>
        <v/>
      </c>
      <c r="Q164">
        <f>IF(AND(N164&lt;&gt;"",N(J164)=5),N164,"")</f>
        <v/>
      </c>
    </row>
    <row r="165">
      <c r="A165" s="1" t="n"/>
      <c r="B165" s="24" t="n"/>
      <c r="C165" s="25" t="n"/>
      <c r="D165" s="25" t="n"/>
      <c r="E165" s="26" t="n"/>
      <c r="F165" s="27" t="n"/>
      <c r="G165" s="26" t="n"/>
      <c r="H165" s="28" t="n"/>
      <c r="I165" s="28" t="n"/>
      <c r="J165" s="27" t="n"/>
      <c r="K165" s="16">
        <f>IF(OR(H165="",I165=""),"",I165-H165+1)</f>
        <v/>
      </c>
      <c r="L165" s="16">
        <f>IF(OR(K165="",N(F165)=0),"",F165/K165)</f>
        <v/>
      </c>
      <c r="M165" s="25" t="n"/>
      <c r="N165" s="1">
        <f>IF(AND(G165="Finished",I165&lt;&gt;""),IF(YEAR(I165)=Dashboard!$C$4,I165+ROW()/10000000,""),"")</f>
        <v/>
      </c>
      <c r="O165">
        <f>IF(B165="","",IFERROR(MATCH(D165,Settings!$B$6:$B$17,0),12))</f>
        <v/>
      </c>
      <c r="P165">
        <f>IF(AND(G165="Reading",B165&lt;&gt;""),IF(H165="",TODAY(),H165)+ROW()/10000000,"")</f>
        <v/>
      </c>
      <c r="Q165">
        <f>IF(AND(N165&lt;&gt;"",N(J165)=5),N165,"")</f>
        <v/>
      </c>
    </row>
    <row r="166">
      <c r="A166" s="1" t="n"/>
      <c r="B166" s="24" t="n"/>
      <c r="C166" s="25" t="n"/>
      <c r="D166" s="25" t="n"/>
      <c r="E166" s="26" t="n"/>
      <c r="F166" s="27" t="n"/>
      <c r="G166" s="26" t="n"/>
      <c r="H166" s="28" t="n"/>
      <c r="I166" s="28" t="n"/>
      <c r="J166" s="27" t="n"/>
      <c r="K166" s="16">
        <f>IF(OR(H166="",I166=""),"",I166-H166+1)</f>
        <v/>
      </c>
      <c r="L166" s="16">
        <f>IF(OR(K166="",N(F166)=0),"",F166/K166)</f>
        <v/>
      </c>
      <c r="M166" s="25" t="n"/>
      <c r="N166" s="1">
        <f>IF(AND(G166="Finished",I166&lt;&gt;""),IF(YEAR(I166)=Dashboard!$C$4,I166+ROW()/10000000,""),"")</f>
        <v/>
      </c>
      <c r="O166">
        <f>IF(B166="","",IFERROR(MATCH(D166,Settings!$B$6:$B$17,0),12))</f>
        <v/>
      </c>
      <c r="P166">
        <f>IF(AND(G166="Reading",B166&lt;&gt;""),IF(H166="",TODAY(),H166)+ROW()/10000000,"")</f>
        <v/>
      </c>
      <c r="Q166">
        <f>IF(AND(N166&lt;&gt;"",N(J166)=5),N166,"")</f>
        <v/>
      </c>
    </row>
    <row r="167">
      <c r="A167" s="1" t="n"/>
      <c r="B167" s="24" t="n"/>
      <c r="C167" s="25" t="n"/>
      <c r="D167" s="25" t="n"/>
      <c r="E167" s="26" t="n"/>
      <c r="F167" s="27" t="n"/>
      <c r="G167" s="26" t="n"/>
      <c r="H167" s="28" t="n"/>
      <c r="I167" s="28" t="n"/>
      <c r="J167" s="27" t="n"/>
      <c r="K167" s="16">
        <f>IF(OR(H167="",I167=""),"",I167-H167+1)</f>
        <v/>
      </c>
      <c r="L167" s="16">
        <f>IF(OR(K167="",N(F167)=0),"",F167/K167)</f>
        <v/>
      </c>
      <c r="M167" s="25" t="n"/>
      <c r="N167" s="1">
        <f>IF(AND(G167="Finished",I167&lt;&gt;""),IF(YEAR(I167)=Dashboard!$C$4,I167+ROW()/10000000,""),"")</f>
        <v/>
      </c>
      <c r="O167">
        <f>IF(B167="","",IFERROR(MATCH(D167,Settings!$B$6:$B$17,0),12))</f>
        <v/>
      </c>
      <c r="P167">
        <f>IF(AND(G167="Reading",B167&lt;&gt;""),IF(H167="",TODAY(),H167)+ROW()/10000000,"")</f>
        <v/>
      </c>
      <c r="Q167">
        <f>IF(AND(N167&lt;&gt;"",N(J167)=5),N167,"")</f>
        <v/>
      </c>
    </row>
    <row r="168">
      <c r="A168" s="1" t="n"/>
      <c r="B168" s="24" t="n"/>
      <c r="C168" s="25" t="n"/>
      <c r="D168" s="25" t="n"/>
      <c r="E168" s="26" t="n"/>
      <c r="F168" s="27" t="n"/>
      <c r="G168" s="26" t="n"/>
      <c r="H168" s="28" t="n"/>
      <c r="I168" s="28" t="n"/>
      <c r="J168" s="27" t="n"/>
      <c r="K168" s="16">
        <f>IF(OR(H168="",I168=""),"",I168-H168+1)</f>
        <v/>
      </c>
      <c r="L168" s="16">
        <f>IF(OR(K168="",N(F168)=0),"",F168/K168)</f>
        <v/>
      </c>
      <c r="M168" s="25" t="n"/>
      <c r="N168" s="1">
        <f>IF(AND(G168="Finished",I168&lt;&gt;""),IF(YEAR(I168)=Dashboard!$C$4,I168+ROW()/10000000,""),"")</f>
        <v/>
      </c>
      <c r="O168">
        <f>IF(B168="","",IFERROR(MATCH(D168,Settings!$B$6:$B$17,0),12))</f>
        <v/>
      </c>
      <c r="P168">
        <f>IF(AND(G168="Reading",B168&lt;&gt;""),IF(H168="",TODAY(),H168)+ROW()/10000000,"")</f>
        <v/>
      </c>
      <c r="Q168">
        <f>IF(AND(N168&lt;&gt;"",N(J168)=5),N168,"")</f>
        <v/>
      </c>
    </row>
    <row r="169">
      <c r="A169" s="1" t="n"/>
      <c r="B169" s="24" t="n"/>
      <c r="C169" s="25" t="n"/>
      <c r="D169" s="25" t="n"/>
      <c r="E169" s="26" t="n"/>
      <c r="F169" s="27" t="n"/>
      <c r="G169" s="26" t="n"/>
      <c r="H169" s="28" t="n"/>
      <c r="I169" s="28" t="n"/>
      <c r="J169" s="27" t="n"/>
      <c r="K169" s="16">
        <f>IF(OR(H169="",I169=""),"",I169-H169+1)</f>
        <v/>
      </c>
      <c r="L169" s="16">
        <f>IF(OR(K169="",N(F169)=0),"",F169/K169)</f>
        <v/>
      </c>
      <c r="M169" s="25" t="n"/>
      <c r="N169" s="1">
        <f>IF(AND(G169="Finished",I169&lt;&gt;""),IF(YEAR(I169)=Dashboard!$C$4,I169+ROW()/10000000,""),"")</f>
        <v/>
      </c>
      <c r="O169">
        <f>IF(B169="","",IFERROR(MATCH(D169,Settings!$B$6:$B$17,0),12))</f>
        <v/>
      </c>
      <c r="P169">
        <f>IF(AND(G169="Reading",B169&lt;&gt;""),IF(H169="",TODAY(),H169)+ROW()/10000000,"")</f>
        <v/>
      </c>
      <c r="Q169">
        <f>IF(AND(N169&lt;&gt;"",N(J169)=5),N169,"")</f>
        <v/>
      </c>
    </row>
    <row r="170">
      <c r="A170" s="1" t="n"/>
      <c r="B170" s="24" t="n"/>
      <c r="C170" s="25" t="n"/>
      <c r="D170" s="25" t="n"/>
      <c r="E170" s="26" t="n"/>
      <c r="F170" s="27" t="n"/>
      <c r="G170" s="26" t="n"/>
      <c r="H170" s="28" t="n"/>
      <c r="I170" s="28" t="n"/>
      <c r="J170" s="27" t="n"/>
      <c r="K170" s="16">
        <f>IF(OR(H170="",I170=""),"",I170-H170+1)</f>
        <v/>
      </c>
      <c r="L170" s="16">
        <f>IF(OR(K170="",N(F170)=0),"",F170/K170)</f>
        <v/>
      </c>
      <c r="M170" s="25" t="n"/>
      <c r="N170" s="1">
        <f>IF(AND(G170="Finished",I170&lt;&gt;""),IF(YEAR(I170)=Dashboard!$C$4,I170+ROW()/10000000,""),"")</f>
        <v/>
      </c>
      <c r="O170">
        <f>IF(B170="","",IFERROR(MATCH(D170,Settings!$B$6:$B$17,0),12))</f>
        <v/>
      </c>
      <c r="P170">
        <f>IF(AND(G170="Reading",B170&lt;&gt;""),IF(H170="",TODAY(),H170)+ROW()/10000000,"")</f>
        <v/>
      </c>
      <c r="Q170">
        <f>IF(AND(N170&lt;&gt;"",N(J170)=5),N170,"")</f>
        <v/>
      </c>
    </row>
    <row r="171">
      <c r="A171" s="1" t="n"/>
      <c r="B171" s="24" t="n"/>
      <c r="C171" s="25" t="n"/>
      <c r="D171" s="25" t="n"/>
      <c r="E171" s="26" t="n"/>
      <c r="F171" s="27" t="n"/>
      <c r="G171" s="26" t="n"/>
      <c r="H171" s="28" t="n"/>
      <c r="I171" s="28" t="n"/>
      <c r="J171" s="27" t="n"/>
      <c r="K171" s="16">
        <f>IF(OR(H171="",I171=""),"",I171-H171+1)</f>
        <v/>
      </c>
      <c r="L171" s="16">
        <f>IF(OR(K171="",N(F171)=0),"",F171/K171)</f>
        <v/>
      </c>
      <c r="M171" s="25" t="n"/>
      <c r="N171" s="1">
        <f>IF(AND(G171="Finished",I171&lt;&gt;""),IF(YEAR(I171)=Dashboard!$C$4,I171+ROW()/10000000,""),"")</f>
        <v/>
      </c>
      <c r="O171">
        <f>IF(B171="","",IFERROR(MATCH(D171,Settings!$B$6:$B$17,0),12))</f>
        <v/>
      </c>
      <c r="P171">
        <f>IF(AND(G171="Reading",B171&lt;&gt;""),IF(H171="",TODAY(),H171)+ROW()/10000000,"")</f>
        <v/>
      </c>
      <c r="Q171">
        <f>IF(AND(N171&lt;&gt;"",N(J171)=5),N171,"")</f>
        <v/>
      </c>
    </row>
    <row r="172">
      <c r="A172" s="1" t="n"/>
      <c r="B172" s="24" t="n"/>
      <c r="C172" s="25" t="n"/>
      <c r="D172" s="25" t="n"/>
      <c r="E172" s="26" t="n"/>
      <c r="F172" s="27" t="n"/>
      <c r="G172" s="26" t="n"/>
      <c r="H172" s="28" t="n"/>
      <c r="I172" s="28" t="n"/>
      <c r="J172" s="27" t="n"/>
      <c r="K172" s="16">
        <f>IF(OR(H172="",I172=""),"",I172-H172+1)</f>
        <v/>
      </c>
      <c r="L172" s="16">
        <f>IF(OR(K172="",N(F172)=0),"",F172/K172)</f>
        <v/>
      </c>
      <c r="M172" s="25" t="n"/>
      <c r="N172" s="1">
        <f>IF(AND(G172="Finished",I172&lt;&gt;""),IF(YEAR(I172)=Dashboard!$C$4,I172+ROW()/10000000,""),"")</f>
        <v/>
      </c>
      <c r="O172">
        <f>IF(B172="","",IFERROR(MATCH(D172,Settings!$B$6:$B$17,0),12))</f>
        <v/>
      </c>
      <c r="P172">
        <f>IF(AND(G172="Reading",B172&lt;&gt;""),IF(H172="",TODAY(),H172)+ROW()/10000000,"")</f>
        <v/>
      </c>
      <c r="Q172">
        <f>IF(AND(N172&lt;&gt;"",N(J172)=5),N172,"")</f>
        <v/>
      </c>
    </row>
    <row r="173">
      <c r="A173" s="1" t="n"/>
      <c r="B173" s="24" t="n"/>
      <c r="C173" s="25" t="n"/>
      <c r="D173" s="25" t="n"/>
      <c r="E173" s="26" t="n"/>
      <c r="F173" s="27" t="n"/>
      <c r="G173" s="26" t="n"/>
      <c r="H173" s="28" t="n"/>
      <c r="I173" s="28" t="n"/>
      <c r="J173" s="27" t="n"/>
      <c r="K173" s="16">
        <f>IF(OR(H173="",I173=""),"",I173-H173+1)</f>
        <v/>
      </c>
      <c r="L173" s="16">
        <f>IF(OR(K173="",N(F173)=0),"",F173/K173)</f>
        <v/>
      </c>
      <c r="M173" s="25" t="n"/>
      <c r="N173" s="1">
        <f>IF(AND(G173="Finished",I173&lt;&gt;""),IF(YEAR(I173)=Dashboard!$C$4,I173+ROW()/10000000,""),"")</f>
        <v/>
      </c>
      <c r="O173">
        <f>IF(B173="","",IFERROR(MATCH(D173,Settings!$B$6:$B$17,0),12))</f>
        <v/>
      </c>
      <c r="P173">
        <f>IF(AND(G173="Reading",B173&lt;&gt;""),IF(H173="",TODAY(),H173)+ROW()/10000000,"")</f>
        <v/>
      </c>
      <c r="Q173">
        <f>IF(AND(N173&lt;&gt;"",N(J173)=5),N173,"")</f>
        <v/>
      </c>
    </row>
    <row r="174">
      <c r="A174" s="1" t="n"/>
      <c r="B174" s="24" t="n"/>
      <c r="C174" s="25" t="n"/>
      <c r="D174" s="25" t="n"/>
      <c r="E174" s="26" t="n"/>
      <c r="F174" s="27" t="n"/>
      <c r="G174" s="26" t="n"/>
      <c r="H174" s="28" t="n"/>
      <c r="I174" s="28" t="n"/>
      <c r="J174" s="27" t="n"/>
      <c r="K174" s="16">
        <f>IF(OR(H174="",I174=""),"",I174-H174+1)</f>
        <v/>
      </c>
      <c r="L174" s="16">
        <f>IF(OR(K174="",N(F174)=0),"",F174/K174)</f>
        <v/>
      </c>
      <c r="M174" s="25" t="n"/>
      <c r="N174" s="1">
        <f>IF(AND(G174="Finished",I174&lt;&gt;""),IF(YEAR(I174)=Dashboard!$C$4,I174+ROW()/10000000,""),"")</f>
        <v/>
      </c>
      <c r="O174">
        <f>IF(B174="","",IFERROR(MATCH(D174,Settings!$B$6:$B$17,0),12))</f>
        <v/>
      </c>
      <c r="P174">
        <f>IF(AND(G174="Reading",B174&lt;&gt;""),IF(H174="",TODAY(),H174)+ROW()/10000000,"")</f>
        <v/>
      </c>
      <c r="Q174">
        <f>IF(AND(N174&lt;&gt;"",N(J174)=5),N174,"")</f>
        <v/>
      </c>
    </row>
    <row r="175">
      <c r="A175" s="1" t="n"/>
      <c r="B175" s="24" t="n"/>
      <c r="C175" s="25" t="n"/>
      <c r="D175" s="25" t="n"/>
      <c r="E175" s="26" t="n"/>
      <c r="F175" s="27" t="n"/>
      <c r="G175" s="26" t="n"/>
      <c r="H175" s="28" t="n"/>
      <c r="I175" s="28" t="n"/>
      <c r="J175" s="27" t="n"/>
      <c r="K175" s="16">
        <f>IF(OR(H175="",I175=""),"",I175-H175+1)</f>
        <v/>
      </c>
      <c r="L175" s="16">
        <f>IF(OR(K175="",N(F175)=0),"",F175/K175)</f>
        <v/>
      </c>
      <c r="M175" s="25" t="n"/>
      <c r="N175" s="1">
        <f>IF(AND(G175="Finished",I175&lt;&gt;""),IF(YEAR(I175)=Dashboard!$C$4,I175+ROW()/10000000,""),"")</f>
        <v/>
      </c>
      <c r="O175">
        <f>IF(B175="","",IFERROR(MATCH(D175,Settings!$B$6:$B$17,0),12))</f>
        <v/>
      </c>
      <c r="P175">
        <f>IF(AND(G175="Reading",B175&lt;&gt;""),IF(H175="",TODAY(),H175)+ROW()/10000000,"")</f>
        <v/>
      </c>
      <c r="Q175">
        <f>IF(AND(N175&lt;&gt;"",N(J175)=5),N175,"")</f>
        <v/>
      </c>
    </row>
    <row r="176">
      <c r="A176" s="1" t="n"/>
      <c r="B176" s="24" t="n"/>
      <c r="C176" s="25" t="n"/>
      <c r="D176" s="25" t="n"/>
      <c r="E176" s="26" t="n"/>
      <c r="F176" s="27" t="n"/>
      <c r="G176" s="26" t="n"/>
      <c r="H176" s="28" t="n"/>
      <c r="I176" s="28" t="n"/>
      <c r="J176" s="27" t="n"/>
      <c r="K176" s="16">
        <f>IF(OR(H176="",I176=""),"",I176-H176+1)</f>
        <v/>
      </c>
      <c r="L176" s="16">
        <f>IF(OR(K176="",N(F176)=0),"",F176/K176)</f>
        <v/>
      </c>
      <c r="M176" s="25" t="n"/>
      <c r="N176" s="1">
        <f>IF(AND(G176="Finished",I176&lt;&gt;""),IF(YEAR(I176)=Dashboard!$C$4,I176+ROW()/10000000,""),"")</f>
        <v/>
      </c>
      <c r="O176">
        <f>IF(B176="","",IFERROR(MATCH(D176,Settings!$B$6:$B$17,0),12))</f>
        <v/>
      </c>
      <c r="P176">
        <f>IF(AND(G176="Reading",B176&lt;&gt;""),IF(H176="",TODAY(),H176)+ROW()/10000000,"")</f>
        <v/>
      </c>
      <c r="Q176">
        <f>IF(AND(N176&lt;&gt;"",N(J176)=5),N176,"")</f>
        <v/>
      </c>
    </row>
    <row r="177">
      <c r="A177" s="1" t="n"/>
      <c r="B177" s="24" t="n"/>
      <c r="C177" s="25" t="n"/>
      <c r="D177" s="25" t="n"/>
      <c r="E177" s="26" t="n"/>
      <c r="F177" s="27" t="n"/>
      <c r="G177" s="26" t="n"/>
      <c r="H177" s="28" t="n"/>
      <c r="I177" s="28" t="n"/>
      <c r="J177" s="27" t="n"/>
      <c r="K177" s="16">
        <f>IF(OR(H177="",I177=""),"",I177-H177+1)</f>
        <v/>
      </c>
      <c r="L177" s="16">
        <f>IF(OR(K177="",N(F177)=0),"",F177/K177)</f>
        <v/>
      </c>
      <c r="M177" s="25" t="n"/>
      <c r="N177" s="1">
        <f>IF(AND(G177="Finished",I177&lt;&gt;""),IF(YEAR(I177)=Dashboard!$C$4,I177+ROW()/10000000,""),"")</f>
        <v/>
      </c>
      <c r="O177">
        <f>IF(B177="","",IFERROR(MATCH(D177,Settings!$B$6:$B$17,0),12))</f>
        <v/>
      </c>
      <c r="P177">
        <f>IF(AND(G177="Reading",B177&lt;&gt;""),IF(H177="",TODAY(),H177)+ROW()/10000000,"")</f>
        <v/>
      </c>
      <c r="Q177">
        <f>IF(AND(N177&lt;&gt;"",N(J177)=5),N177,"")</f>
        <v/>
      </c>
    </row>
    <row r="178">
      <c r="A178" s="1" t="n"/>
      <c r="B178" s="24" t="n"/>
      <c r="C178" s="25" t="n"/>
      <c r="D178" s="25" t="n"/>
      <c r="E178" s="26" t="n"/>
      <c r="F178" s="27" t="n"/>
      <c r="G178" s="26" t="n"/>
      <c r="H178" s="28" t="n"/>
      <c r="I178" s="28" t="n"/>
      <c r="J178" s="27" t="n"/>
      <c r="K178" s="16">
        <f>IF(OR(H178="",I178=""),"",I178-H178+1)</f>
        <v/>
      </c>
      <c r="L178" s="16">
        <f>IF(OR(K178="",N(F178)=0),"",F178/K178)</f>
        <v/>
      </c>
      <c r="M178" s="25" t="n"/>
      <c r="N178" s="1">
        <f>IF(AND(G178="Finished",I178&lt;&gt;""),IF(YEAR(I178)=Dashboard!$C$4,I178+ROW()/10000000,""),"")</f>
        <v/>
      </c>
      <c r="O178">
        <f>IF(B178="","",IFERROR(MATCH(D178,Settings!$B$6:$B$17,0),12))</f>
        <v/>
      </c>
      <c r="P178">
        <f>IF(AND(G178="Reading",B178&lt;&gt;""),IF(H178="",TODAY(),H178)+ROW()/10000000,"")</f>
        <v/>
      </c>
      <c r="Q178">
        <f>IF(AND(N178&lt;&gt;"",N(J178)=5),N178,"")</f>
        <v/>
      </c>
    </row>
    <row r="179">
      <c r="A179" s="1" t="n"/>
      <c r="B179" s="24" t="n"/>
      <c r="C179" s="25" t="n"/>
      <c r="D179" s="25" t="n"/>
      <c r="E179" s="26" t="n"/>
      <c r="F179" s="27" t="n"/>
      <c r="G179" s="26" t="n"/>
      <c r="H179" s="28" t="n"/>
      <c r="I179" s="28" t="n"/>
      <c r="J179" s="27" t="n"/>
      <c r="K179" s="16">
        <f>IF(OR(H179="",I179=""),"",I179-H179+1)</f>
        <v/>
      </c>
      <c r="L179" s="16">
        <f>IF(OR(K179="",N(F179)=0),"",F179/K179)</f>
        <v/>
      </c>
      <c r="M179" s="25" t="n"/>
      <c r="N179" s="1">
        <f>IF(AND(G179="Finished",I179&lt;&gt;""),IF(YEAR(I179)=Dashboard!$C$4,I179+ROW()/10000000,""),"")</f>
        <v/>
      </c>
      <c r="O179">
        <f>IF(B179="","",IFERROR(MATCH(D179,Settings!$B$6:$B$17,0),12))</f>
        <v/>
      </c>
      <c r="P179">
        <f>IF(AND(G179="Reading",B179&lt;&gt;""),IF(H179="",TODAY(),H179)+ROW()/10000000,"")</f>
        <v/>
      </c>
      <c r="Q179">
        <f>IF(AND(N179&lt;&gt;"",N(J179)=5),N179,"")</f>
        <v/>
      </c>
    </row>
    <row r="180">
      <c r="A180" s="1" t="n"/>
      <c r="B180" s="24" t="n"/>
      <c r="C180" s="25" t="n"/>
      <c r="D180" s="25" t="n"/>
      <c r="E180" s="26" t="n"/>
      <c r="F180" s="27" t="n"/>
      <c r="G180" s="26" t="n"/>
      <c r="H180" s="28" t="n"/>
      <c r="I180" s="28" t="n"/>
      <c r="J180" s="27" t="n"/>
      <c r="K180" s="16">
        <f>IF(OR(H180="",I180=""),"",I180-H180+1)</f>
        <v/>
      </c>
      <c r="L180" s="16">
        <f>IF(OR(K180="",N(F180)=0),"",F180/K180)</f>
        <v/>
      </c>
      <c r="M180" s="25" t="n"/>
      <c r="N180" s="1">
        <f>IF(AND(G180="Finished",I180&lt;&gt;""),IF(YEAR(I180)=Dashboard!$C$4,I180+ROW()/10000000,""),"")</f>
        <v/>
      </c>
      <c r="O180">
        <f>IF(B180="","",IFERROR(MATCH(D180,Settings!$B$6:$B$17,0),12))</f>
        <v/>
      </c>
      <c r="P180">
        <f>IF(AND(G180="Reading",B180&lt;&gt;""),IF(H180="",TODAY(),H180)+ROW()/10000000,"")</f>
        <v/>
      </c>
      <c r="Q180">
        <f>IF(AND(N180&lt;&gt;"",N(J180)=5),N180,"")</f>
        <v/>
      </c>
    </row>
    <row r="181">
      <c r="A181" s="1" t="n"/>
      <c r="B181" s="24" t="n"/>
      <c r="C181" s="25" t="n"/>
      <c r="D181" s="25" t="n"/>
      <c r="E181" s="26" t="n"/>
      <c r="F181" s="27" t="n"/>
      <c r="G181" s="26" t="n"/>
      <c r="H181" s="28" t="n"/>
      <c r="I181" s="28" t="n"/>
      <c r="J181" s="27" t="n"/>
      <c r="K181" s="16">
        <f>IF(OR(H181="",I181=""),"",I181-H181+1)</f>
        <v/>
      </c>
      <c r="L181" s="16">
        <f>IF(OR(K181="",N(F181)=0),"",F181/K181)</f>
        <v/>
      </c>
      <c r="M181" s="25" t="n"/>
      <c r="N181" s="1">
        <f>IF(AND(G181="Finished",I181&lt;&gt;""),IF(YEAR(I181)=Dashboard!$C$4,I181+ROW()/10000000,""),"")</f>
        <v/>
      </c>
      <c r="O181">
        <f>IF(B181="","",IFERROR(MATCH(D181,Settings!$B$6:$B$17,0),12))</f>
        <v/>
      </c>
      <c r="P181">
        <f>IF(AND(G181="Reading",B181&lt;&gt;""),IF(H181="",TODAY(),H181)+ROW()/10000000,"")</f>
        <v/>
      </c>
      <c r="Q181">
        <f>IF(AND(N181&lt;&gt;"",N(J181)=5),N181,"")</f>
        <v/>
      </c>
    </row>
    <row r="182">
      <c r="A182" s="1" t="n"/>
      <c r="B182" s="24" t="n"/>
      <c r="C182" s="25" t="n"/>
      <c r="D182" s="25" t="n"/>
      <c r="E182" s="26" t="n"/>
      <c r="F182" s="27" t="n"/>
      <c r="G182" s="26" t="n"/>
      <c r="H182" s="28" t="n"/>
      <c r="I182" s="28" t="n"/>
      <c r="J182" s="27" t="n"/>
      <c r="K182" s="16">
        <f>IF(OR(H182="",I182=""),"",I182-H182+1)</f>
        <v/>
      </c>
      <c r="L182" s="16">
        <f>IF(OR(K182="",N(F182)=0),"",F182/K182)</f>
        <v/>
      </c>
      <c r="M182" s="25" t="n"/>
      <c r="N182" s="1">
        <f>IF(AND(G182="Finished",I182&lt;&gt;""),IF(YEAR(I182)=Dashboard!$C$4,I182+ROW()/10000000,""),"")</f>
        <v/>
      </c>
      <c r="O182">
        <f>IF(B182="","",IFERROR(MATCH(D182,Settings!$B$6:$B$17,0),12))</f>
        <v/>
      </c>
      <c r="P182">
        <f>IF(AND(G182="Reading",B182&lt;&gt;""),IF(H182="",TODAY(),H182)+ROW()/10000000,"")</f>
        <v/>
      </c>
      <c r="Q182">
        <f>IF(AND(N182&lt;&gt;"",N(J182)=5),N182,"")</f>
        <v/>
      </c>
    </row>
    <row r="183">
      <c r="A183" s="1" t="n"/>
      <c r="B183" s="24" t="n"/>
      <c r="C183" s="25" t="n"/>
      <c r="D183" s="25" t="n"/>
      <c r="E183" s="26" t="n"/>
      <c r="F183" s="27" t="n"/>
      <c r="G183" s="26" t="n"/>
      <c r="H183" s="28" t="n"/>
      <c r="I183" s="28" t="n"/>
      <c r="J183" s="27" t="n"/>
      <c r="K183" s="16">
        <f>IF(OR(H183="",I183=""),"",I183-H183+1)</f>
        <v/>
      </c>
      <c r="L183" s="16">
        <f>IF(OR(K183="",N(F183)=0),"",F183/K183)</f>
        <v/>
      </c>
      <c r="M183" s="25" t="n"/>
      <c r="N183" s="1">
        <f>IF(AND(G183="Finished",I183&lt;&gt;""),IF(YEAR(I183)=Dashboard!$C$4,I183+ROW()/10000000,""),"")</f>
        <v/>
      </c>
      <c r="O183">
        <f>IF(B183="","",IFERROR(MATCH(D183,Settings!$B$6:$B$17,0),12))</f>
        <v/>
      </c>
      <c r="P183">
        <f>IF(AND(G183="Reading",B183&lt;&gt;""),IF(H183="",TODAY(),H183)+ROW()/10000000,"")</f>
        <v/>
      </c>
      <c r="Q183">
        <f>IF(AND(N183&lt;&gt;"",N(J183)=5),N183,"")</f>
        <v/>
      </c>
    </row>
    <row r="184">
      <c r="A184" s="1" t="n"/>
      <c r="B184" s="24" t="n"/>
      <c r="C184" s="25" t="n"/>
      <c r="D184" s="25" t="n"/>
      <c r="E184" s="26" t="n"/>
      <c r="F184" s="27" t="n"/>
      <c r="G184" s="26" t="n"/>
      <c r="H184" s="28" t="n"/>
      <c r="I184" s="28" t="n"/>
      <c r="J184" s="27" t="n"/>
      <c r="K184" s="16">
        <f>IF(OR(H184="",I184=""),"",I184-H184+1)</f>
        <v/>
      </c>
      <c r="L184" s="16">
        <f>IF(OR(K184="",N(F184)=0),"",F184/K184)</f>
        <v/>
      </c>
      <c r="M184" s="25" t="n"/>
      <c r="N184" s="1">
        <f>IF(AND(G184="Finished",I184&lt;&gt;""),IF(YEAR(I184)=Dashboard!$C$4,I184+ROW()/10000000,""),"")</f>
        <v/>
      </c>
      <c r="O184">
        <f>IF(B184="","",IFERROR(MATCH(D184,Settings!$B$6:$B$17,0),12))</f>
        <v/>
      </c>
      <c r="P184">
        <f>IF(AND(G184="Reading",B184&lt;&gt;""),IF(H184="",TODAY(),H184)+ROW()/10000000,"")</f>
        <v/>
      </c>
      <c r="Q184">
        <f>IF(AND(N184&lt;&gt;"",N(J184)=5),N184,"")</f>
        <v/>
      </c>
    </row>
    <row r="185">
      <c r="A185" s="1" t="n"/>
      <c r="B185" s="24" t="n"/>
      <c r="C185" s="25" t="n"/>
      <c r="D185" s="25" t="n"/>
      <c r="E185" s="26" t="n"/>
      <c r="F185" s="27" t="n"/>
      <c r="G185" s="26" t="n"/>
      <c r="H185" s="28" t="n"/>
      <c r="I185" s="28" t="n"/>
      <c r="J185" s="27" t="n"/>
      <c r="K185" s="16">
        <f>IF(OR(H185="",I185=""),"",I185-H185+1)</f>
        <v/>
      </c>
      <c r="L185" s="16">
        <f>IF(OR(K185="",N(F185)=0),"",F185/K185)</f>
        <v/>
      </c>
      <c r="M185" s="25" t="n"/>
      <c r="N185" s="1">
        <f>IF(AND(G185="Finished",I185&lt;&gt;""),IF(YEAR(I185)=Dashboard!$C$4,I185+ROW()/10000000,""),"")</f>
        <v/>
      </c>
      <c r="O185">
        <f>IF(B185="","",IFERROR(MATCH(D185,Settings!$B$6:$B$17,0),12))</f>
        <v/>
      </c>
      <c r="P185">
        <f>IF(AND(G185="Reading",B185&lt;&gt;""),IF(H185="",TODAY(),H185)+ROW()/10000000,"")</f>
        <v/>
      </c>
      <c r="Q185">
        <f>IF(AND(N185&lt;&gt;"",N(J185)=5),N185,"")</f>
        <v/>
      </c>
    </row>
    <row r="186">
      <c r="A186" s="1" t="n"/>
      <c r="B186" s="24" t="n"/>
      <c r="C186" s="25" t="n"/>
      <c r="D186" s="25" t="n"/>
      <c r="E186" s="26" t="n"/>
      <c r="F186" s="27" t="n"/>
      <c r="G186" s="26" t="n"/>
      <c r="H186" s="28" t="n"/>
      <c r="I186" s="28" t="n"/>
      <c r="J186" s="27" t="n"/>
      <c r="K186" s="16">
        <f>IF(OR(H186="",I186=""),"",I186-H186+1)</f>
        <v/>
      </c>
      <c r="L186" s="16">
        <f>IF(OR(K186="",N(F186)=0),"",F186/K186)</f>
        <v/>
      </c>
      <c r="M186" s="25" t="n"/>
      <c r="N186" s="1">
        <f>IF(AND(G186="Finished",I186&lt;&gt;""),IF(YEAR(I186)=Dashboard!$C$4,I186+ROW()/10000000,""),"")</f>
        <v/>
      </c>
      <c r="O186">
        <f>IF(B186="","",IFERROR(MATCH(D186,Settings!$B$6:$B$17,0),12))</f>
        <v/>
      </c>
      <c r="P186">
        <f>IF(AND(G186="Reading",B186&lt;&gt;""),IF(H186="",TODAY(),H186)+ROW()/10000000,"")</f>
        <v/>
      </c>
      <c r="Q186">
        <f>IF(AND(N186&lt;&gt;"",N(J186)=5),N186,"")</f>
        <v/>
      </c>
    </row>
    <row r="187">
      <c r="A187" s="1" t="n"/>
      <c r="B187" s="24" t="n"/>
      <c r="C187" s="25" t="n"/>
      <c r="D187" s="25" t="n"/>
      <c r="E187" s="26" t="n"/>
      <c r="F187" s="27" t="n"/>
      <c r="G187" s="26" t="n"/>
      <c r="H187" s="28" t="n"/>
      <c r="I187" s="28" t="n"/>
      <c r="J187" s="27" t="n"/>
      <c r="K187" s="16">
        <f>IF(OR(H187="",I187=""),"",I187-H187+1)</f>
        <v/>
      </c>
      <c r="L187" s="16">
        <f>IF(OR(K187="",N(F187)=0),"",F187/K187)</f>
        <v/>
      </c>
      <c r="M187" s="25" t="n"/>
      <c r="N187" s="1">
        <f>IF(AND(G187="Finished",I187&lt;&gt;""),IF(YEAR(I187)=Dashboard!$C$4,I187+ROW()/10000000,""),"")</f>
        <v/>
      </c>
      <c r="O187">
        <f>IF(B187="","",IFERROR(MATCH(D187,Settings!$B$6:$B$17,0),12))</f>
        <v/>
      </c>
      <c r="P187">
        <f>IF(AND(G187="Reading",B187&lt;&gt;""),IF(H187="",TODAY(),H187)+ROW()/10000000,"")</f>
        <v/>
      </c>
      <c r="Q187">
        <f>IF(AND(N187&lt;&gt;"",N(J187)=5),N187,"")</f>
        <v/>
      </c>
    </row>
    <row r="188">
      <c r="A188" s="1" t="n"/>
      <c r="B188" s="24" t="n"/>
      <c r="C188" s="25" t="n"/>
      <c r="D188" s="25" t="n"/>
      <c r="E188" s="26" t="n"/>
      <c r="F188" s="27" t="n"/>
      <c r="G188" s="26" t="n"/>
      <c r="H188" s="28" t="n"/>
      <c r="I188" s="28" t="n"/>
      <c r="J188" s="27" t="n"/>
      <c r="K188" s="16">
        <f>IF(OR(H188="",I188=""),"",I188-H188+1)</f>
        <v/>
      </c>
      <c r="L188" s="16">
        <f>IF(OR(K188="",N(F188)=0),"",F188/K188)</f>
        <v/>
      </c>
      <c r="M188" s="25" t="n"/>
      <c r="N188" s="1">
        <f>IF(AND(G188="Finished",I188&lt;&gt;""),IF(YEAR(I188)=Dashboard!$C$4,I188+ROW()/10000000,""),"")</f>
        <v/>
      </c>
      <c r="O188">
        <f>IF(B188="","",IFERROR(MATCH(D188,Settings!$B$6:$B$17,0),12))</f>
        <v/>
      </c>
      <c r="P188">
        <f>IF(AND(G188="Reading",B188&lt;&gt;""),IF(H188="",TODAY(),H188)+ROW()/10000000,"")</f>
        <v/>
      </c>
      <c r="Q188">
        <f>IF(AND(N188&lt;&gt;"",N(J188)=5),N188,"")</f>
        <v/>
      </c>
    </row>
    <row r="189">
      <c r="A189" s="1" t="n"/>
      <c r="B189" s="24" t="n"/>
      <c r="C189" s="25" t="n"/>
      <c r="D189" s="25" t="n"/>
      <c r="E189" s="26" t="n"/>
      <c r="F189" s="27" t="n"/>
      <c r="G189" s="26" t="n"/>
      <c r="H189" s="28" t="n"/>
      <c r="I189" s="28" t="n"/>
      <c r="J189" s="27" t="n"/>
      <c r="K189" s="16">
        <f>IF(OR(H189="",I189=""),"",I189-H189+1)</f>
        <v/>
      </c>
      <c r="L189" s="16">
        <f>IF(OR(K189="",N(F189)=0),"",F189/K189)</f>
        <v/>
      </c>
      <c r="M189" s="25" t="n"/>
      <c r="N189" s="1">
        <f>IF(AND(G189="Finished",I189&lt;&gt;""),IF(YEAR(I189)=Dashboard!$C$4,I189+ROW()/10000000,""),"")</f>
        <v/>
      </c>
      <c r="O189">
        <f>IF(B189="","",IFERROR(MATCH(D189,Settings!$B$6:$B$17,0),12))</f>
        <v/>
      </c>
      <c r="P189">
        <f>IF(AND(G189="Reading",B189&lt;&gt;""),IF(H189="",TODAY(),H189)+ROW()/10000000,"")</f>
        <v/>
      </c>
      <c r="Q189">
        <f>IF(AND(N189&lt;&gt;"",N(J189)=5),N189,"")</f>
        <v/>
      </c>
    </row>
    <row r="190">
      <c r="A190" s="1" t="n"/>
      <c r="B190" s="24" t="n"/>
      <c r="C190" s="25" t="n"/>
      <c r="D190" s="25" t="n"/>
      <c r="E190" s="26" t="n"/>
      <c r="F190" s="27" t="n"/>
      <c r="G190" s="26" t="n"/>
      <c r="H190" s="28" t="n"/>
      <c r="I190" s="28" t="n"/>
      <c r="J190" s="27" t="n"/>
      <c r="K190" s="16">
        <f>IF(OR(H190="",I190=""),"",I190-H190+1)</f>
        <v/>
      </c>
      <c r="L190" s="16">
        <f>IF(OR(K190="",N(F190)=0),"",F190/K190)</f>
        <v/>
      </c>
      <c r="M190" s="25" t="n"/>
      <c r="N190" s="1">
        <f>IF(AND(G190="Finished",I190&lt;&gt;""),IF(YEAR(I190)=Dashboard!$C$4,I190+ROW()/10000000,""),"")</f>
        <v/>
      </c>
      <c r="O190">
        <f>IF(B190="","",IFERROR(MATCH(D190,Settings!$B$6:$B$17,0),12))</f>
        <v/>
      </c>
      <c r="P190">
        <f>IF(AND(G190="Reading",B190&lt;&gt;""),IF(H190="",TODAY(),H190)+ROW()/10000000,"")</f>
        <v/>
      </c>
      <c r="Q190">
        <f>IF(AND(N190&lt;&gt;"",N(J190)=5),N190,"")</f>
        <v/>
      </c>
    </row>
    <row r="191">
      <c r="A191" s="1" t="n"/>
      <c r="B191" s="24" t="n"/>
      <c r="C191" s="25" t="n"/>
      <c r="D191" s="25" t="n"/>
      <c r="E191" s="26" t="n"/>
      <c r="F191" s="27" t="n"/>
      <c r="G191" s="26" t="n"/>
      <c r="H191" s="28" t="n"/>
      <c r="I191" s="28" t="n"/>
      <c r="J191" s="27" t="n"/>
      <c r="K191" s="16">
        <f>IF(OR(H191="",I191=""),"",I191-H191+1)</f>
        <v/>
      </c>
      <c r="L191" s="16">
        <f>IF(OR(K191="",N(F191)=0),"",F191/K191)</f>
        <v/>
      </c>
      <c r="M191" s="25" t="n"/>
      <c r="N191" s="1">
        <f>IF(AND(G191="Finished",I191&lt;&gt;""),IF(YEAR(I191)=Dashboard!$C$4,I191+ROW()/10000000,""),"")</f>
        <v/>
      </c>
      <c r="O191">
        <f>IF(B191="","",IFERROR(MATCH(D191,Settings!$B$6:$B$17,0),12))</f>
        <v/>
      </c>
      <c r="P191">
        <f>IF(AND(G191="Reading",B191&lt;&gt;""),IF(H191="",TODAY(),H191)+ROW()/10000000,"")</f>
        <v/>
      </c>
      <c r="Q191">
        <f>IF(AND(N191&lt;&gt;"",N(J191)=5),N191,"")</f>
        <v/>
      </c>
    </row>
    <row r="192">
      <c r="A192" s="1" t="n"/>
      <c r="B192" s="24" t="n"/>
      <c r="C192" s="25" t="n"/>
      <c r="D192" s="25" t="n"/>
      <c r="E192" s="26" t="n"/>
      <c r="F192" s="27" t="n"/>
      <c r="G192" s="26" t="n"/>
      <c r="H192" s="28" t="n"/>
      <c r="I192" s="28" t="n"/>
      <c r="J192" s="27" t="n"/>
      <c r="K192" s="16">
        <f>IF(OR(H192="",I192=""),"",I192-H192+1)</f>
        <v/>
      </c>
      <c r="L192" s="16">
        <f>IF(OR(K192="",N(F192)=0),"",F192/K192)</f>
        <v/>
      </c>
      <c r="M192" s="25" t="n"/>
      <c r="N192" s="1">
        <f>IF(AND(G192="Finished",I192&lt;&gt;""),IF(YEAR(I192)=Dashboard!$C$4,I192+ROW()/10000000,""),"")</f>
        <v/>
      </c>
      <c r="O192">
        <f>IF(B192="","",IFERROR(MATCH(D192,Settings!$B$6:$B$17,0),12))</f>
        <v/>
      </c>
      <c r="P192">
        <f>IF(AND(G192="Reading",B192&lt;&gt;""),IF(H192="",TODAY(),H192)+ROW()/10000000,"")</f>
        <v/>
      </c>
      <c r="Q192">
        <f>IF(AND(N192&lt;&gt;"",N(J192)=5),N192,"")</f>
        <v/>
      </c>
    </row>
    <row r="193">
      <c r="A193" s="1" t="n"/>
      <c r="B193" s="24" t="n"/>
      <c r="C193" s="25" t="n"/>
      <c r="D193" s="25" t="n"/>
      <c r="E193" s="26" t="n"/>
      <c r="F193" s="27" t="n"/>
      <c r="G193" s="26" t="n"/>
      <c r="H193" s="28" t="n"/>
      <c r="I193" s="28" t="n"/>
      <c r="J193" s="27" t="n"/>
      <c r="K193" s="16">
        <f>IF(OR(H193="",I193=""),"",I193-H193+1)</f>
        <v/>
      </c>
      <c r="L193" s="16">
        <f>IF(OR(K193="",N(F193)=0),"",F193/K193)</f>
        <v/>
      </c>
      <c r="M193" s="25" t="n"/>
      <c r="N193" s="1">
        <f>IF(AND(G193="Finished",I193&lt;&gt;""),IF(YEAR(I193)=Dashboard!$C$4,I193+ROW()/10000000,""),"")</f>
        <v/>
      </c>
      <c r="O193">
        <f>IF(B193="","",IFERROR(MATCH(D193,Settings!$B$6:$B$17,0),12))</f>
        <v/>
      </c>
      <c r="P193">
        <f>IF(AND(G193="Reading",B193&lt;&gt;""),IF(H193="",TODAY(),H193)+ROW()/10000000,"")</f>
        <v/>
      </c>
      <c r="Q193">
        <f>IF(AND(N193&lt;&gt;"",N(J193)=5),N193,"")</f>
        <v/>
      </c>
    </row>
    <row r="194">
      <c r="A194" s="1" t="n"/>
      <c r="B194" s="24" t="n"/>
      <c r="C194" s="25" t="n"/>
      <c r="D194" s="25" t="n"/>
      <c r="E194" s="26" t="n"/>
      <c r="F194" s="27" t="n"/>
      <c r="G194" s="26" t="n"/>
      <c r="H194" s="28" t="n"/>
      <c r="I194" s="28" t="n"/>
      <c r="J194" s="27" t="n"/>
      <c r="K194" s="16">
        <f>IF(OR(H194="",I194=""),"",I194-H194+1)</f>
        <v/>
      </c>
      <c r="L194" s="16">
        <f>IF(OR(K194="",N(F194)=0),"",F194/K194)</f>
        <v/>
      </c>
      <c r="M194" s="25" t="n"/>
      <c r="N194" s="1">
        <f>IF(AND(G194="Finished",I194&lt;&gt;""),IF(YEAR(I194)=Dashboard!$C$4,I194+ROW()/10000000,""),"")</f>
        <v/>
      </c>
      <c r="O194">
        <f>IF(B194="","",IFERROR(MATCH(D194,Settings!$B$6:$B$17,0),12))</f>
        <v/>
      </c>
      <c r="P194">
        <f>IF(AND(G194="Reading",B194&lt;&gt;""),IF(H194="",TODAY(),H194)+ROW()/10000000,"")</f>
        <v/>
      </c>
      <c r="Q194">
        <f>IF(AND(N194&lt;&gt;"",N(J194)=5),N194,"")</f>
        <v/>
      </c>
    </row>
    <row r="195">
      <c r="A195" s="1" t="n"/>
      <c r="B195" s="24" t="n"/>
      <c r="C195" s="25" t="n"/>
      <c r="D195" s="25" t="n"/>
      <c r="E195" s="26" t="n"/>
      <c r="F195" s="27" t="n"/>
      <c r="G195" s="26" t="n"/>
      <c r="H195" s="28" t="n"/>
      <c r="I195" s="28" t="n"/>
      <c r="J195" s="27" t="n"/>
      <c r="K195" s="16">
        <f>IF(OR(H195="",I195=""),"",I195-H195+1)</f>
        <v/>
      </c>
      <c r="L195" s="16">
        <f>IF(OR(K195="",N(F195)=0),"",F195/K195)</f>
        <v/>
      </c>
      <c r="M195" s="25" t="n"/>
      <c r="N195" s="1">
        <f>IF(AND(G195="Finished",I195&lt;&gt;""),IF(YEAR(I195)=Dashboard!$C$4,I195+ROW()/10000000,""),"")</f>
        <v/>
      </c>
      <c r="O195">
        <f>IF(B195="","",IFERROR(MATCH(D195,Settings!$B$6:$B$17,0),12))</f>
        <v/>
      </c>
      <c r="P195">
        <f>IF(AND(G195="Reading",B195&lt;&gt;""),IF(H195="",TODAY(),H195)+ROW()/10000000,"")</f>
        <v/>
      </c>
      <c r="Q195">
        <f>IF(AND(N195&lt;&gt;"",N(J195)=5),N195,"")</f>
        <v/>
      </c>
    </row>
    <row r="196">
      <c r="A196" s="1" t="n"/>
      <c r="B196" s="24" t="n"/>
      <c r="C196" s="25" t="n"/>
      <c r="D196" s="25" t="n"/>
      <c r="E196" s="26" t="n"/>
      <c r="F196" s="27" t="n"/>
      <c r="G196" s="26" t="n"/>
      <c r="H196" s="28" t="n"/>
      <c r="I196" s="28" t="n"/>
      <c r="J196" s="27" t="n"/>
      <c r="K196" s="16">
        <f>IF(OR(H196="",I196=""),"",I196-H196+1)</f>
        <v/>
      </c>
      <c r="L196" s="16">
        <f>IF(OR(K196="",N(F196)=0),"",F196/K196)</f>
        <v/>
      </c>
      <c r="M196" s="25" t="n"/>
      <c r="N196" s="1">
        <f>IF(AND(G196="Finished",I196&lt;&gt;""),IF(YEAR(I196)=Dashboard!$C$4,I196+ROW()/10000000,""),"")</f>
        <v/>
      </c>
      <c r="O196">
        <f>IF(B196="","",IFERROR(MATCH(D196,Settings!$B$6:$B$17,0),12))</f>
        <v/>
      </c>
      <c r="P196">
        <f>IF(AND(G196="Reading",B196&lt;&gt;""),IF(H196="",TODAY(),H196)+ROW()/10000000,"")</f>
        <v/>
      </c>
      <c r="Q196">
        <f>IF(AND(N196&lt;&gt;"",N(J196)=5),N196,"")</f>
        <v/>
      </c>
    </row>
    <row r="197">
      <c r="A197" s="1" t="n"/>
      <c r="B197" s="24" t="n"/>
      <c r="C197" s="25" t="n"/>
      <c r="D197" s="25" t="n"/>
      <c r="E197" s="26" t="n"/>
      <c r="F197" s="27" t="n"/>
      <c r="G197" s="26" t="n"/>
      <c r="H197" s="28" t="n"/>
      <c r="I197" s="28" t="n"/>
      <c r="J197" s="27" t="n"/>
      <c r="K197" s="16">
        <f>IF(OR(H197="",I197=""),"",I197-H197+1)</f>
        <v/>
      </c>
      <c r="L197" s="16">
        <f>IF(OR(K197="",N(F197)=0),"",F197/K197)</f>
        <v/>
      </c>
      <c r="M197" s="25" t="n"/>
      <c r="N197" s="1">
        <f>IF(AND(G197="Finished",I197&lt;&gt;""),IF(YEAR(I197)=Dashboard!$C$4,I197+ROW()/10000000,""),"")</f>
        <v/>
      </c>
      <c r="O197">
        <f>IF(B197="","",IFERROR(MATCH(D197,Settings!$B$6:$B$17,0),12))</f>
        <v/>
      </c>
      <c r="P197">
        <f>IF(AND(G197="Reading",B197&lt;&gt;""),IF(H197="",TODAY(),H197)+ROW()/10000000,"")</f>
        <v/>
      </c>
      <c r="Q197">
        <f>IF(AND(N197&lt;&gt;"",N(J197)=5),N197,"")</f>
        <v/>
      </c>
    </row>
    <row r="198">
      <c r="A198" s="1" t="n"/>
      <c r="B198" s="24" t="n"/>
      <c r="C198" s="25" t="n"/>
      <c r="D198" s="25" t="n"/>
      <c r="E198" s="26" t="n"/>
      <c r="F198" s="27" t="n"/>
      <c r="G198" s="26" t="n"/>
      <c r="H198" s="28" t="n"/>
      <c r="I198" s="28" t="n"/>
      <c r="J198" s="27" t="n"/>
      <c r="K198" s="16">
        <f>IF(OR(H198="",I198=""),"",I198-H198+1)</f>
        <v/>
      </c>
      <c r="L198" s="16">
        <f>IF(OR(K198="",N(F198)=0),"",F198/K198)</f>
        <v/>
      </c>
      <c r="M198" s="25" t="n"/>
      <c r="N198" s="1">
        <f>IF(AND(G198="Finished",I198&lt;&gt;""),IF(YEAR(I198)=Dashboard!$C$4,I198+ROW()/10000000,""),"")</f>
        <v/>
      </c>
      <c r="O198">
        <f>IF(B198="","",IFERROR(MATCH(D198,Settings!$B$6:$B$17,0),12))</f>
        <v/>
      </c>
      <c r="P198">
        <f>IF(AND(G198="Reading",B198&lt;&gt;""),IF(H198="",TODAY(),H198)+ROW()/10000000,"")</f>
        <v/>
      </c>
      <c r="Q198">
        <f>IF(AND(N198&lt;&gt;"",N(J198)=5),N198,"")</f>
        <v/>
      </c>
    </row>
    <row r="199">
      <c r="A199" s="1" t="n"/>
      <c r="B199" s="24" t="n"/>
      <c r="C199" s="25" t="n"/>
      <c r="D199" s="25" t="n"/>
      <c r="E199" s="26" t="n"/>
      <c r="F199" s="27" t="n"/>
      <c r="G199" s="26" t="n"/>
      <c r="H199" s="28" t="n"/>
      <c r="I199" s="28" t="n"/>
      <c r="J199" s="27" t="n"/>
      <c r="K199" s="16">
        <f>IF(OR(H199="",I199=""),"",I199-H199+1)</f>
        <v/>
      </c>
      <c r="L199" s="16">
        <f>IF(OR(K199="",N(F199)=0),"",F199/K199)</f>
        <v/>
      </c>
      <c r="M199" s="25" t="n"/>
      <c r="N199" s="1">
        <f>IF(AND(G199="Finished",I199&lt;&gt;""),IF(YEAR(I199)=Dashboard!$C$4,I199+ROW()/10000000,""),"")</f>
        <v/>
      </c>
      <c r="O199">
        <f>IF(B199="","",IFERROR(MATCH(D199,Settings!$B$6:$B$17,0),12))</f>
        <v/>
      </c>
      <c r="P199">
        <f>IF(AND(G199="Reading",B199&lt;&gt;""),IF(H199="",TODAY(),H199)+ROW()/10000000,"")</f>
        <v/>
      </c>
      <c r="Q199">
        <f>IF(AND(N199&lt;&gt;"",N(J199)=5),N199,"")</f>
        <v/>
      </c>
    </row>
    <row r="200">
      <c r="A200" s="1" t="n"/>
      <c r="B200" s="24" t="n"/>
      <c r="C200" s="25" t="n"/>
      <c r="D200" s="25" t="n"/>
      <c r="E200" s="26" t="n"/>
      <c r="F200" s="27" t="n"/>
      <c r="G200" s="26" t="n"/>
      <c r="H200" s="28" t="n"/>
      <c r="I200" s="28" t="n"/>
      <c r="J200" s="27" t="n"/>
      <c r="K200" s="16">
        <f>IF(OR(H200="",I200=""),"",I200-H200+1)</f>
        <v/>
      </c>
      <c r="L200" s="16">
        <f>IF(OR(K200="",N(F200)=0),"",F200/K200)</f>
        <v/>
      </c>
      <c r="M200" s="25" t="n"/>
      <c r="N200" s="1">
        <f>IF(AND(G200="Finished",I200&lt;&gt;""),IF(YEAR(I200)=Dashboard!$C$4,I200+ROW()/10000000,""),"")</f>
        <v/>
      </c>
      <c r="O200">
        <f>IF(B200="","",IFERROR(MATCH(D200,Settings!$B$6:$B$17,0),12))</f>
        <v/>
      </c>
      <c r="P200">
        <f>IF(AND(G200="Reading",B200&lt;&gt;""),IF(H200="",TODAY(),H200)+ROW()/10000000,"")</f>
        <v/>
      </c>
      <c r="Q200">
        <f>IF(AND(N200&lt;&gt;"",N(J200)=5),N200,"")</f>
        <v/>
      </c>
    </row>
    <row r="201">
      <c r="A201" s="1" t="n"/>
      <c r="B201" s="24" t="n"/>
      <c r="C201" s="25" t="n"/>
      <c r="D201" s="25" t="n"/>
      <c r="E201" s="26" t="n"/>
      <c r="F201" s="27" t="n"/>
      <c r="G201" s="26" t="n"/>
      <c r="H201" s="28" t="n"/>
      <c r="I201" s="28" t="n"/>
      <c r="J201" s="27" t="n"/>
      <c r="K201" s="16">
        <f>IF(OR(H201="",I201=""),"",I201-H201+1)</f>
        <v/>
      </c>
      <c r="L201" s="16">
        <f>IF(OR(K201="",N(F201)=0),"",F201/K201)</f>
        <v/>
      </c>
      <c r="M201" s="25" t="n"/>
      <c r="N201" s="1">
        <f>IF(AND(G201="Finished",I201&lt;&gt;""),IF(YEAR(I201)=Dashboard!$C$4,I201+ROW()/10000000,""),"")</f>
        <v/>
      </c>
      <c r="O201">
        <f>IF(B201="","",IFERROR(MATCH(D201,Settings!$B$6:$B$17,0),12))</f>
        <v/>
      </c>
      <c r="P201">
        <f>IF(AND(G201="Reading",B201&lt;&gt;""),IF(H201="",TODAY(),H201)+ROW()/10000000,"")</f>
        <v/>
      </c>
      <c r="Q201">
        <f>IF(AND(N201&lt;&gt;"",N(J201)=5),N201,"")</f>
        <v/>
      </c>
    </row>
    <row r="202">
      <c r="A202" s="1" t="n"/>
      <c r="B202" s="24" t="n"/>
      <c r="C202" s="25" t="n"/>
      <c r="D202" s="25" t="n"/>
      <c r="E202" s="26" t="n"/>
      <c r="F202" s="27" t="n"/>
      <c r="G202" s="26" t="n"/>
      <c r="H202" s="28" t="n"/>
      <c r="I202" s="28" t="n"/>
      <c r="J202" s="27" t="n"/>
      <c r="K202" s="16">
        <f>IF(OR(H202="",I202=""),"",I202-H202+1)</f>
        <v/>
      </c>
      <c r="L202" s="16">
        <f>IF(OR(K202="",N(F202)=0),"",F202/K202)</f>
        <v/>
      </c>
      <c r="M202" s="25" t="n"/>
      <c r="N202" s="1">
        <f>IF(AND(G202="Finished",I202&lt;&gt;""),IF(YEAR(I202)=Dashboard!$C$4,I202+ROW()/10000000,""),"")</f>
        <v/>
      </c>
      <c r="O202">
        <f>IF(B202="","",IFERROR(MATCH(D202,Settings!$B$6:$B$17,0),12))</f>
        <v/>
      </c>
      <c r="P202">
        <f>IF(AND(G202="Reading",B202&lt;&gt;""),IF(H202="",TODAY(),H202)+ROW()/10000000,"")</f>
        <v/>
      </c>
      <c r="Q202">
        <f>IF(AND(N202&lt;&gt;"",N(J202)=5),N202,"")</f>
        <v/>
      </c>
    </row>
    <row r="203">
      <c r="A203" s="1" t="n"/>
      <c r="B203" s="24" t="n"/>
      <c r="C203" s="25" t="n"/>
      <c r="D203" s="25" t="n"/>
      <c r="E203" s="26" t="n"/>
      <c r="F203" s="27" t="n"/>
      <c r="G203" s="26" t="n"/>
      <c r="H203" s="28" t="n"/>
      <c r="I203" s="28" t="n"/>
      <c r="J203" s="27" t="n"/>
      <c r="K203" s="16">
        <f>IF(OR(H203="",I203=""),"",I203-H203+1)</f>
        <v/>
      </c>
      <c r="L203" s="16">
        <f>IF(OR(K203="",N(F203)=0),"",F203/K203)</f>
        <v/>
      </c>
      <c r="M203" s="25" t="n"/>
      <c r="N203" s="1">
        <f>IF(AND(G203="Finished",I203&lt;&gt;""),IF(YEAR(I203)=Dashboard!$C$4,I203+ROW()/10000000,""),"")</f>
        <v/>
      </c>
      <c r="O203">
        <f>IF(B203="","",IFERROR(MATCH(D203,Settings!$B$6:$B$17,0),12))</f>
        <v/>
      </c>
      <c r="P203">
        <f>IF(AND(G203="Reading",B203&lt;&gt;""),IF(H203="",TODAY(),H203)+ROW()/10000000,"")</f>
        <v/>
      </c>
      <c r="Q203">
        <f>IF(AND(N203&lt;&gt;"",N(J203)=5),N203,"")</f>
        <v/>
      </c>
    </row>
    <row r="204">
      <c r="A204" s="1" t="n"/>
      <c r="B204" s="24" t="n"/>
      <c r="C204" s="25" t="n"/>
      <c r="D204" s="25" t="n"/>
      <c r="E204" s="26" t="n"/>
      <c r="F204" s="27" t="n"/>
      <c r="G204" s="26" t="n"/>
      <c r="H204" s="28" t="n"/>
      <c r="I204" s="28" t="n"/>
      <c r="J204" s="27" t="n"/>
      <c r="K204" s="16">
        <f>IF(OR(H204="",I204=""),"",I204-H204+1)</f>
        <v/>
      </c>
      <c r="L204" s="16">
        <f>IF(OR(K204="",N(F204)=0),"",F204/K204)</f>
        <v/>
      </c>
      <c r="M204" s="25" t="n"/>
      <c r="N204" s="1">
        <f>IF(AND(G204="Finished",I204&lt;&gt;""),IF(YEAR(I204)=Dashboard!$C$4,I204+ROW()/10000000,""),"")</f>
        <v/>
      </c>
      <c r="O204">
        <f>IF(B204="","",IFERROR(MATCH(D204,Settings!$B$6:$B$17,0),12))</f>
        <v/>
      </c>
      <c r="P204">
        <f>IF(AND(G204="Reading",B204&lt;&gt;""),IF(H204="",TODAY(),H204)+ROW()/10000000,"")</f>
        <v/>
      </c>
      <c r="Q204">
        <f>IF(AND(N204&lt;&gt;"",N(J204)=5),N204,"")</f>
        <v/>
      </c>
    </row>
    <row r="205">
      <c r="A205" s="1" t="n"/>
      <c r="B205" s="24" t="n"/>
      <c r="C205" s="25" t="n"/>
      <c r="D205" s="25" t="n"/>
      <c r="E205" s="26" t="n"/>
      <c r="F205" s="27" t="n"/>
      <c r="G205" s="26" t="n"/>
      <c r="H205" s="28" t="n"/>
      <c r="I205" s="28" t="n"/>
      <c r="J205" s="27" t="n"/>
      <c r="K205" s="16">
        <f>IF(OR(H205="",I205=""),"",I205-H205+1)</f>
        <v/>
      </c>
      <c r="L205" s="16">
        <f>IF(OR(K205="",N(F205)=0),"",F205/K205)</f>
        <v/>
      </c>
      <c r="M205" s="25" t="n"/>
      <c r="N205" s="1">
        <f>IF(AND(G205="Finished",I205&lt;&gt;""),IF(YEAR(I205)=Dashboard!$C$4,I205+ROW()/10000000,""),"")</f>
        <v/>
      </c>
      <c r="O205">
        <f>IF(B205="","",IFERROR(MATCH(D205,Settings!$B$6:$B$17,0),12))</f>
        <v/>
      </c>
      <c r="P205">
        <f>IF(AND(G205="Reading",B205&lt;&gt;""),IF(H205="",TODAY(),H205)+ROW()/10000000,"")</f>
        <v/>
      </c>
      <c r="Q205">
        <f>IF(AND(N205&lt;&gt;"",N(J205)=5),N205,"")</f>
        <v/>
      </c>
    </row>
    <row r="206">
      <c r="A206" s="1" t="n"/>
      <c r="B206" s="24" t="n"/>
      <c r="C206" s="25" t="n"/>
      <c r="D206" s="25" t="n"/>
      <c r="E206" s="26" t="n"/>
      <c r="F206" s="27" t="n"/>
      <c r="G206" s="26" t="n"/>
      <c r="H206" s="28" t="n"/>
      <c r="I206" s="28" t="n"/>
      <c r="J206" s="27" t="n"/>
      <c r="K206" s="16">
        <f>IF(OR(H206="",I206=""),"",I206-H206+1)</f>
        <v/>
      </c>
      <c r="L206" s="16">
        <f>IF(OR(K206="",N(F206)=0),"",F206/K206)</f>
        <v/>
      </c>
      <c r="M206" s="25" t="n"/>
      <c r="N206" s="1">
        <f>IF(AND(G206="Finished",I206&lt;&gt;""),IF(YEAR(I206)=Dashboard!$C$4,I206+ROW()/10000000,""),"")</f>
        <v/>
      </c>
      <c r="O206">
        <f>IF(B206="","",IFERROR(MATCH(D206,Settings!$B$6:$B$17,0),12))</f>
        <v/>
      </c>
      <c r="P206">
        <f>IF(AND(G206="Reading",B206&lt;&gt;""),IF(H206="",TODAY(),H206)+ROW()/10000000,"")</f>
        <v/>
      </c>
      <c r="Q206">
        <f>IF(AND(N206&lt;&gt;"",N(J206)=5),N206,"")</f>
        <v/>
      </c>
    </row>
    <row r="207">
      <c r="A207" s="1" t="n"/>
      <c r="B207" s="24" t="n"/>
      <c r="C207" s="25" t="n"/>
      <c r="D207" s="25" t="n"/>
      <c r="E207" s="26" t="n"/>
      <c r="F207" s="27" t="n"/>
      <c r="G207" s="26" t="n"/>
      <c r="H207" s="28" t="n"/>
      <c r="I207" s="28" t="n"/>
      <c r="J207" s="27" t="n"/>
      <c r="K207" s="16">
        <f>IF(OR(H207="",I207=""),"",I207-H207+1)</f>
        <v/>
      </c>
      <c r="L207" s="16">
        <f>IF(OR(K207="",N(F207)=0),"",F207/K207)</f>
        <v/>
      </c>
      <c r="M207" s="25" t="n"/>
      <c r="N207" s="1">
        <f>IF(AND(G207="Finished",I207&lt;&gt;""),IF(YEAR(I207)=Dashboard!$C$4,I207+ROW()/10000000,""),"")</f>
        <v/>
      </c>
      <c r="O207">
        <f>IF(B207="","",IFERROR(MATCH(D207,Settings!$B$6:$B$17,0),12))</f>
        <v/>
      </c>
      <c r="P207">
        <f>IF(AND(G207="Reading",B207&lt;&gt;""),IF(H207="",TODAY(),H207)+ROW()/10000000,"")</f>
        <v/>
      </c>
      <c r="Q207">
        <f>IF(AND(N207&lt;&gt;"",N(J207)=5),N207,"")</f>
        <v/>
      </c>
    </row>
    <row r="208">
      <c r="A208" s="1" t="n"/>
      <c r="B208" s="24" t="n"/>
      <c r="C208" s="25" t="n"/>
      <c r="D208" s="25" t="n"/>
      <c r="E208" s="26" t="n"/>
      <c r="F208" s="27" t="n"/>
      <c r="G208" s="26" t="n"/>
      <c r="H208" s="28" t="n"/>
      <c r="I208" s="28" t="n"/>
      <c r="J208" s="27" t="n"/>
      <c r="K208" s="16">
        <f>IF(OR(H208="",I208=""),"",I208-H208+1)</f>
        <v/>
      </c>
      <c r="L208" s="16">
        <f>IF(OR(K208="",N(F208)=0),"",F208/K208)</f>
        <v/>
      </c>
      <c r="M208" s="25" t="n"/>
      <c r="N208" s="1">
        <f>IF(AND(G208="Finished",I208&lt;&gt;""),IF(YEAR(I208)=Dashboard!$C$4,I208+ROW()/10000000,""),"")</f>
        <v/>
      </c>
      <c r="O208">
        <f>IF(B208="","",IFERROR(MATCH(D208,Settings!$B$6:$B$17,0),12))</f>
        <v/>
      </c>
      <c r="P208">
        <f>IF(AND(G208="Reading",B208&lt;&gt;""),IF(H208="",TODAY(),H208)+ROW()/10000000,"")</f>
        <v/>
      </c>
      <c r="Q208">
        <f>IF(AND(N208&lt;&gt;"",N(J208)=5),N208,"")</f>
        <v/>
      </c>
    </row>
    <row r="209">
      <c r="A209" s="1" t="n"/>
      <c r="B209" s="24" t="n"/>
      <c r="C209" s="25" t="n"/>
      <c r="D209" s="25" t="n"/>
      <c r="E209" s="26" t="n"/>
      <c r="F209" s="27" t="n"/>
      <c r="G209" s="26" t="n"/>
      <c r="H209" s="28" t="n"/>
      <c r="I209" s="28" t="n"/>
      <c r="J209" s="27" t="n"/>
      <c r="K209" s="16">
        <f>IF(OR(H209="",I209=""),"",I209-H209+1)</f>
        <v/>
      </c>
      <c r="L209" s="16">
        <f>IF(OR(K209="",N(F209)=0),"",F209/K209)</f>
        <v/>
      </c>
      <c r="M209" s="25" t="n"/>
      <c r="N209" s="1">
        <f>IF(AND(G209="Finished",I209&lt;&gt;""),IF(YEAR(I209)=Dashboard!$C$4,I209+ROW()/10000000,""),"")</f>
        <v/>
      </c>
      <c r="O209">
        <f>IF(B209="","",IFERROR(MATCH(D209,Settings!$B$6:$B$17,0),12))</f>
        <v/>
      </c>
      <c r="P209">
        <f>IF(AND(G209="Reading",B209&lt;&gt;""),IF(H209="",TODAY(),H209)+ROW()/10000000,"")</f>
        <v/>
      </c>
      <c r="Q209">
        <f>IF(AND(N209&lt;&gt;"",N(J209)=5),N209,"")</f>
        <v/>
      </c>
    </row>
    <row r="210">
      <c r="A210" s="1" t="n"/>
      <c r="B210" s="24" t="n"/>
      <c r="C210" s="25" t="n"/>
      <c r="D210" s="25" t="n"/>
      <c r="E210" s="26" t="n"/>
      <c r="F210" s="27" t="n"/>
      <c r="G210" s="26" t="n"/>
      <c r="H210" s="28" t="n"/>
      <c r="I210" s="28" t="n"/>
      <c r="J210" s="27" t="n"/>
      <c r="K210" s="16">
        <f>IF(OR(H210="",I210=""),"",I210-H210+1)</f>
        <v/>
      </c>
      <c r="L210" s="16">
        <f>IF(OR(K210="",N(F210)=0),"",F210/K210)</f>
        <v/>
      </c>
      <c r="M210" s="25" t="n"/>
      <c r="N210" s="1">
        <f>IF(AND(G210="Finished",I210&lt;&gt;""),IF(YEAR(I210)=Dashboard!$C$4,I210+ROW()/10000000,""),"")</f>
        <v/>
      </c>
      <c r="O210">
        <f>IF(B210="","",IFERROR(MATCH(D210,Settings!$B$6:$B$17,0),12))</f>
        <v/>
      </c>
      <c r="P210">
        <f>IF(AND(G210="Reading",B210&lt;&gt;""),IF(H210="",TODAY(),H210)+ROW()/10000000,"")</f>
        <v/>
      </c>
      <c r="Q210">
        <f>IF(AND(N210&lt;&gt;"",N(J210)=5),N210,"")</f>
        <v/>
      </c>
    </row>
    <row r="211">
      <c r="A211" s="1" t="n"/>
      <c r="B211" s="24" t="n"/>
      <c r="C211" s="25" t="n"/>
      <c r="D211" s="25" t="n"/>
      <c r="E211" s="26" t="n"/>
      <c r="F211" s="27" t="n"/>
      <c r="G211" s="26" t="n"/>
      <c r="H211" s="28" t="n"/>
      <c r="I211" s="28" t="n"/>
      <c r="J211" s="27" t="n"/>
      <c r="K211" s="16">
        <f>IF(OR(H211="",I211=""),"",I211-H211+1)</f>
        <v/>
      </c>
      <c r="L211" s="16">
        <f>IF(OR(K211="",N(F211)=0),"",F211/K211)</f>
        <v/>
      </c>
      <c r="M211" s="25" t="n"/>
      <c r="N211" s="1">
        <f>IF(AND(G211="Finished",I211&lt;&gt;""),IF(YEAR(I211)=Dashboard!$C$4,I211+ROW()/10000000,""),"")</f>
        <v/>
      </c>
      <c r="O211">
        <f>IF(B211="","",IFERROR(MATCH(D211,Settings!$B$6:$B$17,0),12))</f>
        <v/>
      </c>
      <c r="P211">
        <f>IF(AND(G211="Reading",B211&lt;&gt;""),IF(H211="",TODAY(),H211)+ROW()/10000000,"")</f>
        <v/>
      </c>
      <c r="Q211">
        <f>IF(AND(N211&lt;&gt;"",N(J211)=5),N211,"")</f>
        <v/>
      </c>
    </row>
    <row r="212">
      <c r="A212" s="1" t="n"/>
      <c r="B212" s="24" t="n"/>
      <c r="C212" s="25" t="n"/>
      <c r="D212" s="25" t="n"/>
      <c r="E212" s="26" t="n"/>
      <c r="F212" s="27" t="n"/>
      <c r="G212" s="26" t="n"/>
      <c r="H212" s="28" t="n"/>
      <c r="I212" s="28" t="n"/>
      <c r="J212" s="27" t="n"/>
      <c r="K212" s="16">
        <f>IF(OR(H212="",I212=""),"",I212-H212+1)</f>
        <v/>
      </c>
      <c r="L212" s="16">
        <f>IF(OR(K212="",N(F212)=0),"",F212/K212)</f>
        <v/>
      </c>
      <c r="M212" s="25" t="n"/>
      <c r="N212" s="1">
        <f>IF(AND(G212="Finished",I212&lt;&gt;""),IF(YEAR(I212)=Dashboard!$C$4,I212+ROW()/10000000,""),"")</f>
        <v/>
      </c>
      <c r="O212">
        <f>IF(B212="","",IFERROR(MATCH(D212,Settings!$B$6:$B$17,0),12))</f>
        <v/>
      </c>
      <c r="P212">
        <f>IF(AND(G212="Reading",B212&lt;&gt;""),IF(H212="",TODAY(),H212)+ROW()/10000000,"")</f>
        <v/>
      </c>
      <c r="Q212">
        <f>IF(AND(N212&lt;&gt;"",N(J212)=5),N212,"")</f>
        <v/>
      </c>
    </row>
    <row r="213">
      <c r="A213" s="1" t="n"/>
      <c r="B213" s="24" t="n"/>
      <c r="C213" s="25" t="n"/>
      <c r="D213" s="25" t="n"/>
      <c r="E213" s="26" t="n"/>
      <c r="F213" s="27" t="n"/>
      <c r="G213" s="26" t="n"/>
      <c r="H213" s="28" t="n"/>
      <c r="I213" s="28" t="n"/>
      <c r="J213" s="27" t="n"/>
      <c r="K213" s="16">
        <f>IF(OR(H213="",I213=""),"",I213-H213+1)</f>
        <v/>
      </c>
      <c r="L213" s="16">
        <f>IF(OR(K213="",N(F213)=0),"",F213/K213)</f>
        <v/>
      </c>
      <c r="M213" s="25" t="n"/>
      <c r="N213" s="1">
        <f>IF(AND(G213="Finished",I213&lt;&gt;""),IF(YEAR(I213)=Dashboard!$C$4,I213+ROW()/10000000,""),"")</f>
        <v/>
      </c>
      <c r="O213">
        <f>IF(B213="","",IFERROR(MATCH(D213,Settings!$B$6:$B$17,0),12))</f>
        <v/>
      </c>
      <c r="P213">
        <f>IF(AND(G213="Reading",B213&lt;&gt;""),IF(H213="",TODAY(),H213)+ROW()/10000000,"")</f>
        <v/>
      </c>
      <c r="Q213">
        <f>IF(AND(N213&lt;&gt;"",N(J213)=5),N213,"")</f>
        <v/>
      </c>
    </row>
    <row r="214">
      <c r="A214" s="1" t="n"/>
      <c r="B214" s="24" t="n"/>
      <c r="C214" s="25" t="n"/>
      <c r="D214" s="25" t="n"/>
      <c r="E214" s="26" t="n"/>
      <c r="F214" s="27" t="n"/>
      <c r="G214" s="26" t="n"/>
      <c r="H214" s="28" t="n"/>
      <c r="I214" s="28" t="n"/>
      <c r="J214" s="27" t="n"/>
      <c r="K214" s="16">
        <f>IF(OR(H214="",I214=""),"",I214-H214+1)</f>
        <v/>
      </c>
      <c r="L214" s="16">
        <f>IF(OR(K214="",N(F214)=0),"",F214/K214)</f>
        <v/>
      </c>
      <c r="M214" s="25" t="n"/>
      <c r="N214" s="1">
        <f>IF(AND(G214="Finished",I214&lt;&gt;""),IF(YEAR(I214)=Dashboard!$C$4,I214+ROW()/10000000,""),"")</f>
        <v/>
      </c>
      <c r="O214">
        <f>IF(B214="","",IFERROR(MATCH(D214,Settings!$B$6:$B$17,0),12))</f>
        <v/>
      </c>
      <c r="P214">
        <f>IF(AND(G214="Reading",B214&lt;&gt;""),IF(H214="",TODAY(),H214)+ROW()/10000000,"")</f>
        <v/>
      </c>
      <c r="Q214">
        <f>IF(AND(N214&lt;&gt;"",N(J214)=5),N214,"")</f>
        <v/>
      </c>
    </row>
    <row r="215">
      <c r="A215" s="1" t="n"/>
      <c r="B215" s="24" t="n"/>
      <c r="C215" s="25" t="n"/>
      <c r="D215" s="25" t="n"/>
      <c r="E215" s="26" t="n"/>
      <c r="F215" s="27" t="n"/>
      <c r="G215" s="26" t="n"/>
      <c r="H215" s="28" t="n"/>
      <c r="I215" s="28" t="n"/>
      <c r="J215" s="27" t="n"/>
      <c r="K215" s="16">
        <f>IF(OR(H215="",I215=""),"",I215-H215+1)</f>
        <v/>
      </c>
      <c r="L215" s="16">
        <f>IF(OR(K215="",N(F215)=0),"",F215/K215)</f>
        <v/>
      </c>
      <c r="M215" s="25" t="n"/>
      <c r="N215" s="1">
        <f>IF(AND(G215="Finished",I215&lt;&gt;""),IF(YEAR(I215)=Dashboard!$C$4,I215+ROW()/10000000,""),"")</f>
        <v/>
      </c>
      <c r="O215">
        <f>IF(B215="","",IFERROR(MATCH(D215,Settings!$B$6:$B$17,0),12))</f>
        <v/>
      </c>
      <c r="P215">
        <f>IF(AND(G215="Reading",B215&lt;&gt;""),IF(H215="",TODAY(),H215)+ROW()/10000000,"")</f>
        <v/>
      </c>
      <c r="Q215">
        <f>IF(AND(N215&lt;&gt;"",N(J215)=5),N215,"")</f>
        <v/>
      </c>
    </row>
    <row r="216">
      <c r="A216" s="1" t="n"/>
      <c r="B216" s="24" t="n"/>
      <c r="C216" s="25" t="n"/>
      <c r="D216" s="25" t="n"/>
      <c r="E216" s="26" t="n"/>
      <c r="F216" s="27" t="n"/>
      <c r="G216" s="26" t="n"/>
      <c r="H216" s="28" t="n"/>
      <c r="I216" s="28" t="n"/>
      <c r="J216" s="27" t="n"/>
      <c r="K216" s="16">
        <f>IF(OR(H216="",I216=""),"",I216-H216+1)</f>
        <v/>
      </c>
      <c r="L216" s="16">
        <f>IF(OR(K216="",N(F216)=0),"",F216/K216)</f>
        <v/>
      </c>
      <c r="M216" s="25" t="n"/>
      <c r="N216" s="1">
        <f>IF(AND(G216="Finished",I216&lt;&gt;""),IF(YEAR(I216)=Dashboard!$C$4,I216+ROW()/10000000,""),"")</f>
        <v/>
      </c>
      <c r="O216">
        <f>IF(B216="","",IFERROR(MATCH(D216,Settings!$B$6:$B$17,0),12))</f>
        <v/>
      </c>
      <c r="P216">
        <f>IF(AND(G216="Reading",B216&lt;&gt;""),IF(H216="",TODAY(),H216)+ROW()/10000000,"")</f>
        <v/>
      </c>
      <c r="Q216">
        <f>IF(AND(N216&lt;&gt;"",N(J216)=5),N216,"")</f>
        <v/>
      </c>
    </row>
    <row r="217">
      <c r="A217" s="1" t="n"/>
      <c r="B217" s="24" t="n"/>
      <c r="C217" s="25" t="n"/>
      <c r="D217" s="25" t="n"/>
      <c r="E217" s="26" t="n"/>
      <c r="F217" s="27" t="n"/>
      <c r="G217" s="26" t="n"/>
      <c r="H217" s="28" t="n"/>
      <c r="I217" s="28" t="n"/>
      <c r="J217" s="27" t="n"/>
      <c r="K217" s="16">
        <f>IF(OR(H217="",I217=""),"",I217-H217+1)</f>
        <v/>
      </c>
      <c r="L217" s="16">
        <f>IF(OR(K217="",N(F217)=0),"",F217/K217)</f>
        <v/>
      </c>
      <c r="M217" s="25" t="n"/>
      <c r="N217" s="1">
        <f>IF(AND(G217="Finished",I217&lt;&gt;""),IF(YEAR(I217)=Dashboard!$C$4,I217+ROW()/10000000,""),"")</f>
        <v/>
      </c>
      <c r="O217">
        <f>IF(B217="","",IFERROR(MATCH(D217,Settings!$B$6:$B$17,0),12))</f>
        <v/>
      </c>
      <c r="P217">
        <f>IF(AND(G217="Reading",B217&lt;&gt;""),IF(H217="",TODAY(),H217)+ROW()/10000000,"")</f>
        <v/>
      </c>
      <c r="Q217">
        <f>IF(AND(N217&lt;&gt;"",N(J217)=5),N217,"")</f>
        <v/>
      </c>
    </row>
    <row r="218">
      <c r="A218" s="1" t="n"/>
      <c r="B218" s="24" t="n"/>
      <c r="C218" s="25" t="n"/>
      <c r="D218" s="25" t="n"/>
      <c r="E218" s="26" t="n"/>
      <c r="F218" s="27" t="n"/>
      <c r="G218" s="26" t="n"/>
      <c r="H218" s="28" t="n"/>
      <c r="I218" s="28" t="n"/>
      <c r="J218" s="27" t="n"/>
      <c r="K218" s="16">
        <f>IF(OR(H218="",I218=""),"",I218-H218+1)</f>
        <v/>
      </c>
      <c r="L218" s="16">
        <f>IF(OR(K218="",N(F218)=0),"",F218/K218)</f>
        <v/>
      </c>
      <c r="M218" s="25" t="n"/>
      <c r="N218" s="1">
        <f>IF(AND(G218="Finished",I218&lt;&gt;""),IF(YEAR(I218)=Dashboard!$C$4,I218+ROW()/10000000,""),"")</f>
        <v/>
      </c>
      <c r="O218">
        <f>IF(B218="","",IFERROR(MATCH(D218,Settings!$B$6:$B$17,0),12))</f>
        <v/>
      </c>
      <c r="P218">
        <f>IF(AND(G218="Reading",B218&lt;&gt;""),IF(H218="",TODAY(),H218)+ROW()/10000000,"")</f>
        <v/>
      </c>
      <c r="Q218">
        <f>IF(AND(N218&lt;&gt;"",N(J218)=5),N218,"")</f>
        <v/>
      </c>
    </row>
    <row r="219">
      <c r="A219" s="1" t="n"/>
      <c r="B219" s="24" t="n"/>
      <c r="C219" s="25" t="n"/>
      <c r="D219" s="25" t="n"/>
      <c r="E219" s="26" t="n"/>
      <c r="F219" s="27" t="n"/>
      <c r="G219" s="26" t="n"/>
      <c r="H219" s="28" t="n"/>
      <c r="I219" s="28" t="n"/>
      <c r="J219" s="27" t="n"/>
      <c r="K219" s="16">
        <f>IF(OR(H219="",I219=""),"",I219-H219+1)</f>
        <v/>
      </c>
      <c r="L219" s="16">
        <f>IF(OR(K219="",N(F219)=0),"",F219/K219)</f>
        <v/>
      </c>
      <c r="M219" s="25" t="n"/>
      <c r="N219" s="1">
        <f>IF(AND(G219="Finished",I219&lt;&gt;""),IF(YEAR(I219)=Dashboard!$C$4,I219+ROW()/10000000,""),"")</f>
        <v/>
      </c>
      <c r="O219">
        <f>IF(B219="","",IFERROR(MATCH(D219,Settings!$B$6:$B$17,0),12))</f>
        <v/>
      </c>
      <c r="P219">
        <f>IF(AND(G219="Reading",B219&lt;&gt;""),IF(H219="",TODAY(),H219)+ROW()/10000000,"")</f>
        <v/>
      </c>
      <c r="Q219">
        <f>IF(AND(N219&lt;&gt;"",N(J219)=5),N219,"")</f>
        <v/>
      </c>
    </row>
    <row r="220">
      <c r="A220" s="1" t="n"/>
      <c r="B220" s="24" t="n"/>
      <c r="C220" s="25" t="n"/>
      <c r="D220" s="25" t="n"/>
      <c r="E220" s="26" t="n"/>
      <c r="F220" s="27" t="n"/>
      <c r="G220" s="26" t="n"/>
      <c r="H220" s="28" t="n"/>
      <c r="I220" s="28" t="n"/>
      <c r="J220" s="27" t="n"/>
      <c r="K220" s="16">
        <f>IF(OR(H220="",I220=""),"",I220-H220+1)</f>
        <v/>
      </c>
      <c r="L220" s="16">
        <f>IF(OR(K220="",N(F220)=0),"",F220/K220)</f>
        <v/>
      </c>
      <c r="M220" s="25" t="n"/>
      <c r="N220" s="1">
        <f>IF(AND(G220="Finished",I220&lt;&gt;""),IF(YEAR(I220)=Dashboard!$C$4,I220+ROW()/10000000,""),"")</f>
        <v/>
      </c>
      <c r="O220">
        <f>IF(B220="","",IFERROR(MATCH(D220,Settings!$B$6:$B$17,0),12))</f>
        <v/>
      </c>
      <c r="P220">
        <f>IF(AND(G220="Reading",B220&lt;&gt;""),IF(H220="",TODAY(),H220)+ROW()/10000000,"")</f>
        <v/>
      </c>
      <c r="Q220">
        <f>IF(AND(N220&lt;&gt;"",N(J220)=5),N220,"")</f>
        <v/>
      </c>
    </row>
    <row r="221">
      <c r="A221" s="1" t="n"/>
      <c r="B221" s="24" t="n"/>
      <c r="C221" s="25" t="n"/>
      <c r="D221" s="25" t="n"/>
      <c r="E221" s="26" t="n"/>
      <c r="F221" s="27" t="n"/>
      <c r="G221" s="26" t="n"/>
      <c r="H221" s="28" t="n"/>
      <c r="I221" s="28" t="n"/>
      <c r="J221" s="27" t="n"/>
      <c r="K221" s="16">
        <f>IF(OR(H221="",I221=""),"",I221-H221+1)</f>
        <v/>
      </c>
      <c r="L221" s="16">
        <f>IF(OR(K221="",N(F221)=0),"",F221/K221)</f>
        <v/>
      </c>
      <c r="M221" s="25" t="n"/>
      <c r="N221" s="1">
        <f>IF(AND(G221="Finished",I221&lt;&gt;""),IF(YEAR(I221)=Dashboard!$C$4,I221+ROW()/10000000,""),"")</f>
        <v/>
      </c>
      <c r="O221">
        <f>IF(B221="","",IFERROR(MATCH(D221,Settings!$B$6:$B$17,0),12))</f>
        <v/>
      </c>
      <c r="P221">
        <f>IF(AND(G221="Reading",B221&lt;&gt;""),IF(H221="",TODAY(),H221)+ROW()/10000000,"")</f>
        <v/>
      </c>
      <c r="Q221">
        <f>IF(AND(N221&lt;&gt;"",N(J221)=5),N221,"")</f>
        <v/>
      </c>
    </row>
    <row r="222">
      <c r="A222" s="1" t="n"/>
      <c r="B222" s="24" t="n"/>
      <c r="C222" s="25" t="n"/>
      <c r="D222" s="25" t="n"/>
      <c r="E222" s="26" t="n"/>
      <c r="F222" s="27" t="n"/>
      <c r="G222" s="26" t="n"/>
      <c r="H222" s="28" t="n"/>
      <c r="I222" s="28" t="n"/>
      <c r="J222" s="27" t="n"/>
      <c r="K222" s="16">
        <f>IF(OR(H222="",I222=""),"",I222-H222+1)</f>
        <v/>
      </c>
      <c r="L222" s="16">
        <f>IF(OR(K222="",N(F222)=0),"",F222/K222)</f>
        <v/>
      </c>
      <c r="M222" s="25" t="n"/>
      <c r="N222" s="1">
        <f>IF(AND(G222="Finished",I222&lt;&gt;""),IF(YEAR(I222)=Dashboard!$C$4,I222+ROW()/10000000,""),"")</f>
        <v/>
      </c>
      <c r="O222">
        <f>IF(B222="","",IFERROR(MATCH(D222,Settings!$B$6:$B$17,0),12))</f>
        <v/>
      </c>
      <c r="P222">
        <f>IF(AND(G222="Reading",B222&lt;&gt;""),IF(H222="",TODAY(),H222)+ROW()/10000000,"")</f>
        <v/>
      </c>
      <c r="Q222">
        <f>IF(AND(N222&lt;&gt;"",N(J222)=5),N222,"")</f>
        <v/>
      </c>
    </row>
    <row r="223">
      <c r="A223" s="1" t="n"/>
      <c r="B223" s="24" t="n"/>
      <c r="C223" s="25" t="n"/>
      <c r="D223" s="25" t="n"/>
      <c r="E223" s="26" t="n"/>
      <c r="F223" s="27" t="n"/>
      <c r="G223" s="26" t="n"/>
      <c r="H223" s="28" t="n"/>
      <c r="I223" s="28" t="n"/>
      <c r="J223" s="27" t="n"/>
      <c r="K223" s="16">
        <f>IF(OR(H223="",I223=""),"",I223-H223+1)</f>
        <v/>
      </c>
      <c r="L223" s="16">
        <f>IF(OR(K223="",N(F223)=0),"",F223/K223)</f>
        <v/>
      </c>
      <c r="M223" s="25" t="n"/>
      <c r="N223" s="1">
        <f>IF(AND(G223="Finished",I223&lt;&gt;""),IF(YEAR(I223)=Dashboard!$C$4,I223+ROW()/10000000,""),"")</f>
        <v/>
      </c>
      <c r="O223">
        <f>IF(B223="","",IFERROR(MATCH(D223,Settings!$B$6:$B$17,0),12))</f>
        <v/>
      </c>
      <c r="P223">
        <f>IF(AND(G223="Reading",B223&lt;&gt;""),IF(H223="",TODAY(),H223)+ROW()/10000000,"")</f>
        <v/>
      </c>
      <c r="Q223">
        <f>IF(AND(N223&lt;&gt;"",N(J223)=5),N223,"")</f>
        <v/>
      </c>
    </row>
    <row r="224">
      <c r="A224" s="1" t="n"/>
      <c r="B224" s="24" t="n"/>
      <c r="C224" s="25" t="n"/>
      <c r="D224" s="25" t="n"/>
      <c r="E224" s="26" t="n"/>
      <c r="F224" s="27" t="n"/>
      <c r="G224" s="26" t="n"/>
      <c r="H224" s="28" t="n"/>
      <c r="I224" s="28" t="n"/>
      <c r="J224" s="27" t="n"/>
      <c r="K224" s="16">
        <f>IF(OR(H224="",I224=""),"",I224-H224+1)</f>
        <v/>
      </c>
      <c r="L224" s="16">
        <f>IF(OR(K224="",N(F224)=0),"",F224/K224)</f>
        <v/>
      </c>
      <c r="M224" s="25" t="n"/>
      <c r="N224" s="1">
        <f>IF(AND(G224="Finished",I224&lt;&gt;""),IF(YEAR(I224)=Dashboard!$C$4,I224+ROW()/10000000,""),"")</f>
        <v/>
      </c>
      <c r="O224">
        <f>IF(B224="","",IFERROR(MATCH(D224,Settings!$B$6:$B$17,0),12))</f>
        <v/>
      </c>
      <c r="P224">
        <f>IF(AND(G224="Reading",B224&lt;&gt;""),IF(H224="",TODAY(),H224)+ROW()/10000000,"")</f>
        <v/>
      </c>
      <c r="Q224">
        <f>IF(AND(N224&lt;&gt;"",N(J224)=5),N224,"")</f>
        <v/>
      </c>
    </row>
    <row r="225">
      <c r="A225" s="1" t="n"/>
      <c r="B225" s="24" t="n"/>
      <c r="C225" s="25" t="n"/>
      <c r="D225" s="25" t="n"/>
      <c r="E225" s="26" t="n"/>
      <c r="F225" s="27" t="n"/>
      <c r="G225" s="26" t="n"/>
      <c r="H225" s="28" t="n"/>
      <c r="I225" s="28" t="n"/>
      <c r="J225" s="27" t="n"/>
      <c r="K225" s="16">
        <f>IF(OR(H225="",I225=""),"",I225-H225+1)</f>
        <v/>
      </c>
      <c r="L225" s="16">
        <f>IF(OR(K225="",N(F225)=0),"",F225/K225)</f>
        <v/>
      </c>
      <c r="M225" s="25" t="n"/>
      <c r="N225" s="1">
        <f>IF(AND(G225="Finished",I225&lt;&gt;""),IF(YEAR(I225)=Dashboard!$C$4,I225+ROW()/10000000,""),"")</f>
        <v/>
      </c>
      <c r="O225">
        <f>IF(B225="","",IFERROR(MATCH(D225,Settings!$B$6:$B$17,0),12))</f>
        <v/>
      </c>
      <c r="P225">
        <f>IF(AND(G225="Reading",B225&lt;&gt;""),IF(H225="",TODAY(),H225)+ROW()/10000000,"")</f>
        <v/>
      </c>
      <c r="Q225">
        <f>IF(AND(N225&lt;&gt;"",N(J225)=5),N225,"")</f>
        <v/>
      </c>
    </row>
    <row r="226">
      <c r="A226" s="1" t="n"/>
      <c r="B226" s="24" t="n"/>
      <c r="C226" s="25" t="n"/>
      <c r="D226" s="25" t="n"/>
      <c r="E226" s="26" t="n"/>
      <c r="F226" s="27" t="n"/>
      <c r="G226" s="26" t="n"/>
      <c r="H226" s="28" t="n"/>
      <c r="I226" s="28" t="n"/>
      <c r="J226" s="27" t="n"/>
      <c r="K226" s="16">
        <f>IF(OR(H226="",I226=""),"",I226-H226+1)</f>
        <v/>
      </c>
      <c r="L226" s="16">
        <f>IF(OR(K226="",N(F226)=0),"",F226/K226)</f>
        <v/>
      </c>
      <c r="M226" s="25" t="n"/>
      <c r="N226" s="1">
        <f>IF(AND(G226="Finished",I226&lt;&gt;""),IF(YEAR(I226)=Dashboard!$C$4,I226+ROW()/10000000,""),"")</f>
        <v/>
      </c>
      <c r="O226">
        <f>IF(B226="","",IFERROR(MATCH(D226,Settings!$B$6:$B$17,0),12))</f>
        <v/>
      </c>
      <c r="P226">
        <f>IF(AND(G226="Reading",B226&lt;&gt;""),IF(H226="",TODAY(),H226)+ROW()/10000000,"")</f>
        <v/>
      </c>
      <c r="Q226">
        <f>IF(AND(N226&lt;&gt;"",N(J226)=5),N226,"")</f>
        <v/>
      </c>
    </row>
    <row r="227">
      <c r="A227" s="1" t="n"/>
      <c r="B227" s="24" t="n"/>
      <c r="C227" s="25" t="n"/>
      <c r="D227" s="25" t="n"/>
      <c r="E227" s="26" t="n"/>
      <c r="F227" s="27" t="n"/>
      <c r="G227" s="26" t="n"/>
      <c r="H227" s="28" t="n"/>
      <c r="I227" s="28" t="n"/>
      <c r="J227" s="27" t="n"/>
      <c r="K227" s="16">
        <f>IF(OR(H227="",I227=""),"",I227-H227+1)</f>
        <v/>
      </c>
      <c r="L227" s="16">
        <f>IF(OR(K227="",N(F227)=0),"",F227/K227)</f>
        <v/>
      </c>
      <c r="M227" s="25" t="n"/>
      <c r="N227" s="1">
        <f>IF(AND(G227="Finished",I227&lt;&gt;""),IF(YEAR(I227)=Dashboard!$C$4,I227+ROW()/10000000,""),"")</f>
        <v/>
      </c>
      <c r="O227">
        <f>IF(B227="","",IFERROR(MATCH(D227,Settings!$B$6:$B$17,0),12))</f>
        <v/>
      </c>
      <c r="P227">
        <f>IF(AND(G227="Reading",B227&lt;&gt;""),IF(H227="",TODAY(),H227)+ROW()/10000000,"")</f>
        <v/>
      </c>
      <c r="Q227">
        <f>IF(AND(N227&lt;&gt;"",N(J227)=5),N227,"")</f>
        <v/>
      </c>
    </row>
    <row r="228">
      <c r="A228" s="1" t="n"/>
      <c r="B228" s="24" t="n"/>
      <c r="C228" s="25" t="n"/>
      <c r="D228" s="25" t="n"/>
      <c r="E228" s="26" t="n"/>
      <c r="F228" s="27" t="n"/>
      <c r="G228" s="26" t="n"/>
      <c r="H228" s="28" t="n"/>
      <c r="I228" s="28" t="n"/>
      <c r="J228" s="27" t="n"/>
      <c r="K228" s="16">
        <f>IF(OR(H228="",I228=""),"",I228-H228+1)</f>
        <v/>
      </c>
      <c r="L228" s="16">
        <f>IF(OR(K228="",N(F228)=0),"",F228/K228)</f>
        <v/>
      </c>
      <c r="M228" s="25" t="n"/>
      <c r="N228" s="1">
        <f>IF(AND(G228="Finished",I228&lt;&gt;""),IF(YEAR(I228)=Dashboard!$C$4,I228+ROW()/10000000,""),"")</f>
        <v/>
      </c>
      <c r="O228">
        <f>IF(B228="","",IFERROR(MATCH(D228,Settings!$B$6:$B$17,0),12))</f>
        <v/>
      </c>
      <c r="P228">
        <f>IF(AND(G228="Reading",B228&lt;&gt;""),IF(H228="",TODAY(),H228)+ROW()/10000000,"")</f>
        <v/>
      </c>
      <c r="Q228">
        <f>IF(AND(N228&lt;&gt;"",N(J228)=5),N228,"")</f>
        <v/>
      </c>
    </row>
    <row r="229">
      <c r="A229" s="1" t="n"/>
      <c r="B229" s="24" t="n"/>
      <c r="C229" s="25" t="n"/>
      <c r="D229" s="25" t="n"/>
      <c r="E229" s="26" t="n"/>
      <c r="F229" s="27" t="n"/>
      <c r="G229" s="26" t="n"/>
      <c r="H229" s="28" t="n"/>
      <c r="I229" s="28" t="n"/>
      <c r="J229" s="27" t="n"/>
      <c r="K229" s="16">
        <f>IF(OR(H229="",I229=""),"",I229-H229+1)</f>
        <v/>
      </c>
      <c r="L229" s="16">
        <f>IF(OR(K229="",N(F229)=0),"",F229/K229)</f>
        <v/>
      </c>
      <c r="M229" s="25" t="n"/>
      <c r="N229" s="1">
        <f>IF(AND(G229="Finished",I229&lt;&gt;""),IF(YEAR(I229)=Dashboard!$C$4,I229+ROW()/10000000,""),"")</f>
        <v/>
      </c>
      <c r="O229">
        <f>IF(B229="","",IFERROR(MATCH(D229,Settings!$B$6:$B$17,0),12))</f>
        <v/>
      </c>
      <c r="P229">
        <f>IF(AND(G229="Reading",B229&lt;&gt;""),IF(H229="",TODAY(),H229)+ROW()/10000000,"")</f>
        <v/>
      </c>
      <c r="Q229">
        <f>IF(AND(N229&lt;&gt;"",N(J229)=5),N229,"")</f>
        <v/>
      </c>
    </row>
    <row r="230">
      <c r="A230" s="1" t="n"/>
      <c r="B230" s="24" t="n"/>
      <c r="C230" s="25" t="n"/>
      <c r="D230" s="25" t="n"/>
      <c r="E230" s="26" t="n"/>
      <c r="F230" s="27" t="n"/>
      <c r="G230" s="26" t="n"/>
      <c r="H230" s="28" t="n"/>
      <c r="I230" s="28" t="n"/>
      <c r="J230" s="27" t="n"/>
      <c r="K230" s="16">
        <f>IF(OR(H230="",I230=""),"",I230-H230+1)</f>
        <v/>
      </c>
      <c r="L230" s="16">
        <f>IF(OR(K230="",N(F230)=0),"",F230/K230)</f>
        <v/>
      </c>
      <c r="M230" s="25" t="n"/>
      <c r="N230" s="1">
        <f>IF(AND(G230="Finished",I230&lt;&gt;""),IF(YEAR(I230)=Dashboard!$C$4,I230+ROW()/10000000,""),"")</f>
        <v/>
      </c>
      <c r="O230">
        <f>IF(B230="","",IFERROR(MATCH(D230,Settings!$B$6:$B$17,0),12))</f>
        <v/>
      </c>
      <c r="P230">
        <f>IF(AND(G230="Reading",B230&lt;&gt;""),IF(H230="",TODAY(),H230)+ROW()/10000000,"")</f>
        <v/>
      </c>
      <c r="Q230">
        <f>IF(AND(N230&lt;&gt;"",N(J230)=5),N230,"")</f>
        <v/>
      </c>
    </row>
    <row r="231">
      <c r="A231" s="1" t="n"/>
      <c r="B231" s="24" t="n"/>
      <c r="C231" s="25" t="n"/>
      <c r="D231" s="25" t="n"/>
      <c r="E231" s="26" t="n"/>
      <c r="F231" s="27" t="n"/>
      <c r="G231" s="26" t="n"/>
      <c r="H231" s="28" t="n"/>
      <c r="I231" s="28" t="n"/>
      <c r="J231" s="27" t="n"/>
      <c r="K231" s="16">
        <f>IF(OR(H231="",I231=""),"",I231-H231+1)</f>
        <v/>
      </c>
      <c r="L231" s="16">
        <f>IF(OR(K231="",N(F231)=0),"",F231/K231)</f>
        <v/>
      </c>
      <c r="M231" s="25" t="n"/>
      <c r="N231" s="1">
        <f>IF(AND(G231="Finished",I231&lt;&gt;""),IF(YEAR(I231)=Dashboard!$C$4,I231+ROW()/10000000,""),"")</f>
        <v/>
      </c>
      <c r="O231">
        <f>IF(B231="","",IFERROR(MATCH(D231,Settings!$B$6:$B$17,0),12))</f>
        <v/>
      </c>
      <c r="P231">
        <f>IF(AND(G231="Reading",B231&lt;&gt;""),IF(H231="",TODAY(),H231)+ROW()/10000000,"")</f>
        <v/>
      </c>
      <c r="Q231">
        <f>IF(AND(N231&lt;&gt;"",N(J231)=5),N231,"")</f>
        <v/>
      </c>
    </row>
    <row r="232">
      <c r="A232" s="1" t="n"/>
      <c r="B232" s="24" t="n"/>
      <c r="C232" s="25" t="n"/>
      <c r="D232" s="25" t="n"/>
      <c r="E232" s="26" t="n"/>
      <c r="F232" s="27" t="n"/>
      <c r="G232" s="26" t="n"/>
      <c r="H232" s="28" t="n"/>
      <c r="I232" s="28" t="n"/>
      <c r="J232" s="27" t="n"/>
      <c r="K232" s="16">
        <f>IF(OR(H232="",I232=""),"",I232-H232+1)</f>
        <v/>
      </c>
      <c r="L232" s="16">
        <f>IF(OR(K232="",N(F232)=0),"",F232/K232)</f>
        <v/>
      </c>
      <c r="M232" s="25" t="n"/>
      <c r="N232" s="1">
        <f>IF(AND(G232="Finished",I232&lt;&gt;""),IF(YEAR(I232)=Dashboard!$C$4,I232+ROW()/10000000,""),"")</f>
        <v/>
      </c>
      <c r="O232">
        <f>IF(B232="","",IFERROR(MATCH(D232,Settings!$B$6:$B$17,0),12))</f>
        <v/>
      </c>
      <c r="P232">
        <f>IF(AND(G232="Reading",B232&lt;&gt;""),IF(H232="",TODAY(),H232)+ROW()/10000000,"")</f>
        <v/>
      </c>
      <c r="Q232">
        <f>IF(AND(N232&lt;&gt;"",N(J232)=5),N232,"")</f>
        <v/>
      </c>
    </row>
    <row r="233">
      <c r="A233" s="1" t="n"/>
      <c r="B233" s="24" t="n"/>
      <c r="C233" s="25" t="n"/>
      <c r="D233" s="25" t="n"/>
      <c r="E233" s="26" t="n"/>
      <c r="F233" s="27" t="n"/>
      <c r="G233" s="26" t="n"/>
      <c r="H233" s="28" t="n"/>
      <c r="I233" s="28" t="n"/>
      <c r="J233" s="27" t="n"/>
      <c r="K233" s="16">
        <f>IF(OR(H233="",I233=""),"",I233-H233+1)</f>
        <v/>
      </c>
      <c r="L233" s="16">
        <f>IF(OR(K233="",N(F233)=0),"",F233/K233)</f>
        <v/>
      </c>
      <c r="M233" s="25" t="n"/>
      <c r="N233" s="1">
        <f>IF(AND(G233="Finished",I233&lt;&gt;""),IF(YEAR(I233)=Dashboard!$C$4,I233+ROW()/10000000,""),"")</f>
        <v/>
      </c>
      <c r="O233">
        <f>IF(B233="","",IFERROR(MATCH(D233,Settings!$B$6:$B$17,0),12))</f>
        <v/>
      </c>
      <c r="P233">
        <f>IF(AND(G233="Reading",B233&lt;&gt;""),IF(H233="",TODAY(),H233)+ROW()/10000000,"")</f>
        <v/>
      </c>
      <c r="Q233">
        <f>IF(AND(N233&lt;&gt;"",N(J233)=5),N233,"")</f>
        <v/>
      </c>
    </row>
    <row r="234">
      <c r="A234" s="1" t="n"/>
      <c r="B234" s="24" t="n"/>
      <c r="C234" s="25" t="n"/>
      <c r="D234" s="25" t="n"/>
      <c r="E234" s="26" t="n"/>
      <c r="F234" s="27" t="n"/>
      <c r="G234" s="26" t="n"/>
      <c r="H234" s="28" t="n"/>
      <c r="I234" s="28" t="n"/>
      <c r="J234" s="27" t="n"/>
      <c r="K234" s="16">
        <f>IF(OR(H234="",I234=""),"",I234-H234+1)</f>
        <v/>
      </c>
      <c r="L234" s="16">
        <f>IF(OR(K234="",N(F234)=0),"",F234/K234)</f>
        <v/>
      </c>
      <c r="M234" s="25" t="n"/>
      <c r="N234" s="1">
        <f>IF(AND(G234="Finished",I234&lt;&gt;""),IF(YEAR(I234)=Dashboard!$C$4,I234+ROW()/10000000,""),"")</f>
        <v/>
      </c>
      <c r="O234">
        <f>IF(B234="","",IFERROR(MATCH(D234,Settings!$B$6:$B$17,0),12))</f>
        <v/>
      </c>
      <c r="P234">
        <f>IF(AND(G234="Reading",B234&lt;&gt;""),IF(H234="",TODAY(),H234)+ROW()/10000000,"")</f>
        <v/>
      </c>
      <c r="Q234">
        <f>IF(AND(N234&lt;&gt;"",N(J234)=5),N234,"")</f>
        <v/>
      </c>
    </row>
    <row r="235">
      <c r="A235" s="1" t="n"/>
      <c r="B235" s="24" t="n"/>
      <c r="C235" s="25" t="n"/>
      <c r="D235" s="25" t="n"/>
      <c r="E235" s="26" t="n"/>
      <c r="F235" s="27" t="n"/>
      <c r="G235" s="26" t="n"/>
      <c r="H235" s="28" t="n"/>
      <c r="I235" s="28" t="n"/>
      <c r="J235" s="27" t="n"/>
      <c r="K235" s="16">
        <f>IF(OR(H235="",I235=""),"",I235-H235+1)</f>
        <v/>
      </c>
      <c r="L235" s="16">
        <f>IF(OR(K235="",N(F235)=0),"",F235/K235)</f>
        <v/>
      </c>
      <c r="M235" s="25" t="n"/>
      <c r="N235" s="1">
        <f>IF(AND(G235="Finished",I235&lt;&gt;""),IF(YEAR(I235)=Dashboard!$C$4,I235+ROW()/10000000,""),"")</f>
        <v/>
      </c>
      <c r="O235">
        <f>IF(B235="","",IFERROR(MATCH(D235,Settings!$B$6:$B$17,0),12))</f>
        <v/>
      </c>
      <c r="P235">
        <f>IF(AND(G235="Reading",B235&lt;&gt;""),IF(H235="",TODAY(),H235)+ROW()/10000000,"")</f>
        <v/>
      </c>
      <c r="Q235">
        <f>IF(AND(N235&lt;&gt;"",N(J235)=5),N235,"")</f>
        <v/>
      </c>
    </row>
    <row r="236">
      <c r="A236" s="1" t="n"/>
      <c r="B236" s="24" t="n"/>
      <c r="C236" s="25" t="n"/>
      <c r="D236" s="25" t="n"/>
      <c r="E236" s="26" t="n"/>
      <c r="F236" s="27" t="n"/>
      <c r="G236" s="26" t="n"/>
      <c r="H236" s="28" t="n"/>
      <c r="I236" s="28" t="n"/>
      <c r="J236" s="27" t="n"/>
      <c r="K236" s="16">
        <f>IF(OR(H236="",I236=""),"",I236-H236+1)</f>
        <v/>
      </c>
      <c r="L236" s="16">
        <f>IF(OR(K236="",N(F236)=0),"",F236/K236)</f>
        <v/>
      </c>
      <c r="M236" s="25" t="n"/>
      <c r="N236" s="1">
        <f>IF(AND(G236="Finished",I236&lt;&gt;""),IF(YEAR(I236)=Dashboard!$C$4,I236+ROW()/10000000,""),"")</f>
        <v/>
      </c>
      <c r="O236">
        <f>IF(B236="","",IFERROR(MATCH(D236,Settings!$B$6:$B$17,0),12))</f>
        <v/>
      </c>
      <c r="P236">
        <f>IF(AND(G236="Reading",B236&lt;&gt;""),IF(H236="",TODAY(),H236)+ROW()/10000000,"")</f>
        <v/>
      </c>
      <c r="Q236">
        <f>IF(AND(N236&lt;&gt;"",N(J236)=5),N236,"")</f>
        <v/>
      </c>
    </row>
    <row r="237">
      <c r="A237" s="1" t="n"/>
      <c r="B237" s="24" t="n"/>
      <c r="C237" s="25" t="n"/>
      <c r="D237" s="25" t="n"/>
      <c r="E237" s="26" t="n"/>
      <c r="F237" s="27" t="n"/>
      <c r="G237" s="26" t="n"/>
      <c r="H237" s="28" t="n"/>
      <c r="I237" s="28" t="n"/>
      <c r="J237" s="27" t="n"/>
      <c r="K237" s="16">
        <f>IF(OR(H237="",I237=""),"",I237-H237+1)</f>
        <v/>
      </c>
      <c r="L237" s="16">
        <f>IF(OR(K237="",N(F237)=0),"",F237/K237)</f>
        <v/>
      </c>
      <c r="M237" s="25" t="n"/>
      <c r="N237" s="1">
        <f>IF(AND(G237="Finished",I237&lt;&gt;""),IF(YEAR(I237)=Dashboard!$C$4,I237+ROW()/10000000,""),"")</f>
        <v/>
      </c>
      <c r="O237">
        <f>IF(B237="","",IFERROR(MATCH(D237,Settings!$B$6:$B$17,0),12))</f>
        <v/>
      </c>
      <c r="P237">
        <f>IF(AND(G237="Reading",B237&lt;&gt;""),IF(H237="",TODAY(),H237)+ROW()/10000000,"")</f>
        <v/>
      </c>
      <c r="Q237">
        <f>IF(AND(N237&lt;&gt;"",N(J237)=5),N237,"")</f>
        <v/>
      </c>
    </row>
    <row r="238">
      <c r="A238" s="1" t="n"/>
      <c r="B238" s="24" t="n"/>
      <c r="C238" s="25" t="n"/>
      <c r="D238" s="25" t="n"/>
      <c r="E238" s="26" t="n"/>
      <c r="F238" s="27" t="n"/>
      <c r="G238" s="26" t="n"/>
      <c r="H238" s="28" t="n"/>
      <c r="I238" s="28" t="n"/>
      <c r="J238" s="27" t="n"/>
      <c r="K238" s="16">
        <f>IF(OR(H238="",I238=""),"",I238-H238+1)</f>
        <v/>
      </c>
      <c r="L238" s="16">
        <f>IF(OR(K238="",N(F238)=0),"",F238/K238)</f>
        <v/>
      </c>
      <c r="M238" s="25" t="n"/>
      <c r="N238" s="1">
        <f>IF(AND(G238="Finished",I238&lt;&gt;""),IF(YEAR(I238)=Dashboard!$C$4,I238+ROW()/10000000,""),"")</f>
        <v/>
      </c>
      <c r="O238">
        <f>IF(B238="","",IFERROR(MATCH(D238,Settings!$B$6:$B$17,0),12))</f>
        <v/>
      </c>
      <c r="P238">
        <f>IF(AND(G238="Reading",B238&lt;&gt;""),IF(H238="",TODAY(),H238)+ROW()/10000000,"")</f>
        <v/>
      </c>
      <c r="Q238">
        <f>IF(AND(N238&lt;&gt;"",N(J238)=5),N238,"")</f>
        <v/>
      </c>
    </row>
    <row r="239">
      <c r="A239" s="1" t="n"/>
      <c r="B239" s="24" t="n"/>
      <c r="C239" s="25" t="n"/>
      <c r="D239" s="25" t="n"/>
      <c r="E239" s="26" t="n"/>
      <c r="F239" s="27" t="n"/>
      <c r="G239" s="26" t="n"/>
      <c r="H239" s="28" t="n"/>
      <c r="I239" s="28" t="n"/>
      <c r="J239" s="27" t="n"/>
      <c r="K239" s="16">
        <f>IF(OR(H239="",I239=""),"",I239-H239+1)</f>
        <v/>
      </c>
      <c r="L239" s="16">
        <f>IF(OR(K239="",N(F239)=0),"",F239/K239)</f>
        <v/>
      </c>
      <c r="M239" s="25" t="n"/>
      <c r="N239" s="1">
        <f>IF(AND(G239="Finished",I239&lt;&gt;""),IF(YEAR(I239)=Dashboard!$C$4,I239+ROW()/10000000,""),"")</f>
        <v/>
      </c>
      <c r="O239">
        <f>IF(B239="","",IFERROR(MATCH(D239,Settings!$B$6:$B$17,0),12))</f>
        <v/>
      </c>
      <c r="P239">
        <f>IF(AND(G239="Reading",B239&lt;&gt;""),IF(H239="",TODAY(),H239)+ROW()/10000000,"")</f>
        <v/>
      </c>
      <c r="Q239">
        <f>IF(AND(N239&lt;&gt;"",N(J239)=5),N239,"")</f>
        <v/>
      </c>
    </row>
    <row r="240">
      <c r="A240" s="1" t="n"/>
      <c r="B240" s="24" t="n"/>
      <c r="C240" s="25" t="n"/>
      <c r="D240" s="25" t="n"/>
      <c r="E240" s="26" t="n"/>
      <c r="F240" s="27" t="n"/>
      <c r="G240" s="26" t="n"/>
      <c r="H240" s="28" t="n"/>
      <c r="I240" s="28" t="n"/>
      <c r="J240" s="27" t="n"/>
      <c r="K240" s="16">
        <f>IF(OR(H240="",I240=""),"",I240-H240+1)</f>
        <v/>
      </c>
      <c r="L240" s="16">
        <f>IF(OR(K240="",N(F240)=0),"",F240/K240)</f>
        <v/>
      </c>
      <c r="M240" s="25" t="n"/>
      <c r="N240" s="1">
        <f>IF(AND(G240="Finished",I240&lt;&gt;""),IF(YEAR(I240)=Dashboard!$C$4,I240+ROW()/10000000,""),"")</f>
        <v/>
      </c>
      <c r="O240">
        <f>IF(B240="","",IFERROR(MATCH(D240,Settings!$B$6:$B$17,0),12))</f>
        <v/>
      </c>
      <c r="P240">
        <f>IF(AND(G240="Reading",B240&lt;&gt;""),IF(H240="",TODAY(),H240)+ROW()/10000000,"")</f>
        <v/>
      </c>
      <c r="Q240">
        <f>IF(AND(N240&lt;&gt;"",N(J240)=5),N240,"")</f>
        <v/>
      </c>
    </row>
    <row r="241">
      <c r="A241" s="1" t="n"/>
      <c r="B241" s="24" t="n"/>
      <c r="C241" s="25" t="n"/>
      <c r="D241" s="25" t="n"/>
      <c r="E241" s="26" t="n"/>
      <c r="F241" s="27" t="n"/>
      <c r="G241" s="26" t="n"/>
      <c r="H241" s="28" t="n"/>
      <c r="I241" s="28" t="n"/>
      <c r="J241" s="27" t="n"/>
      <c r="K241" s="16">
        <f>IF(OR(H241="",I241=""),"",I241-H241+1)</f>
        <v/>
      </c>
      <c r="L241" s="16">
        <f>IF(OR(K241="",N(F241)=0),"",F241/K241)</f>
        <v/>
      </c>
      <c r="M241" s="25" t="n"/>
      <c r="N241" s="1">
        <f>IF(AND(G241="Finished",I241&lt;&gt;""),IF(YEAR(I241)=Dashboard!$C$4,I241+ROW()/10000000,""),"")</f>
        <v/>
      </c>
      <c r="O241">
        <f>IF(B241="","",IFERROR(MATCH(D241,Settings!$B$6:$B$17,0),12))</f>
        <v/>
      </c>
      <c r="P241">
        <f>IF(AND(G241="Reading",B241&lt;&gt;""),IF(H241="",TODAY(),H241)+ROW()/10000000,"")</f>
        <v/>
      </c>
      <c r="Q241">
        <f>IF(AND(N241&lt;&gt;"",N(J241)=5),N241,"")</f>
        <v/>
      </c>
    </row>
    <row r="242">
      <c r="A242" s="1" t="n"/>
      <c r="B242" s="24" t="n"/>
      <c r="C242" s="25" t="n"/>
      <c r="D242" s="25" t="n"/>
      <c r="E242" s="26" t="n"/>
      <c r="F242" s="27" t="n"/>
      <c r="G242" s="26" t="n"/>
      <c r="H242" s="28" t="n"/>
      <c r="I242" s="28" t="n"/>
      <c r="J242" s="27" t="n"/>
      <c r="K242" s="16">
        <f>IF(OR(H242="",I242=""),"",I242-H242+1)</f>
        <v/>
      </c>
      <c r="L242" s="16">
        <f>IF(OR(K242="",N(F242)=0),"",F242/K242)</f>
        <v/>
      </c>
      <c r="M242" s="25" t="n"/>
      <c r="N242" s="1">
        <f>IF(AND(G242="Finished",I242&lt;&gt;""),IF(YEAR(I242)=Dashboard!$C$4,I242+ROW()/10000000,""),"")</f>
        <v/>
      </c>
      <c r="O242">
        <f>IF(B242="","",IFERROR(MATCH(D242,Settings!$B$6:$B$17,0),12))</f>
        <v/>
      </c>
      <c r="P242">
        <f>IF(AND(G242="Reading",B242&lt;&gt;""),IF(H242="",TODAY(),H242)+ROW()/10000000,"")</f>
        <v/>
      </c>
      <c r="Q242">
        <f>IF(AND(N242&lt;&gt;"",N(J242)=5),N242,"")</f>
        <v/>
      </c>
    </row>
    <row r="243">
      <c r="A243" s="1" t="n"/>
      <c r="B243" s="24" t="n"/>
      <c r="C243" s="25" t="n"/>
      <c r="D243" s="25" t="n"/>
      <c r="E243" s="26" t="n"/>
      <c r="F243" s="27" t="n"/>
      <c r="G243" s="26" t="n"/>
      <c r="H243" s="28" t="n"/>
      <c r="I243" s="28" t="n"/>
      <c r="J243" s="27" t="n"/>
      <c r="K243" s="16">
        <f>IF(OR(H243="",I243=""),"",I243-H243+1)</f>
        <v/>
      </c>
      <c r="L243" s="16">
        <f>IF(OR(K243="",N(F243)=0),"",F243/K243)</f>
        <v/>
      </c>
      <c r="M243" s="25" t="n"/>
      <c r="N243" s="1">
        <f>IF(AND(G243="Finished",I243&lt;&gt;""),IF(YEAR(I243)=Dashboard!$C$4,I243+ROW()/10000000,""),"")</f>
        <v/>
      </c>
      <c r="O243">
        <f>IF(B243="","",IFERROR(MATCH(D243,Settings!$B$6:$B$17,0),12))</f>
        <v/>
      </c>
      <c r="P243">
        <f>IF(AND(G243="Reading",B243&lt;&gt;""),IF(H243="",TODAY(),H243)+ROW()/10000000,"")</f>
        <v/>
      </c>
      <c r="Q243">
        <f>IF(AND(N243&lt;&gt;"",N(J243)=5),N243,"")</f>
        <v/>
      </c>
    </row>
    <row r="244">
      <c r="A244" s="1" t="n"/>
      <c r="B244" s="24" t="n"/>
      <c r="C244" s="25" t="n"/>
      <c r="D244" s="25" t="n"/>
      <c r="E244" s="26" t="n"/>
      <c r="F244" s="27" t="n"/>
      <c r="G244" s="26" t="n"/>
      <c r="H244" s="28" t="n"/>
      <c r="I244" s="28" t="n"/>
      <c r="J244" s="27" t="n"/>
      <c r="K244" s="16">
        <f>IF(OR(H244="",I244=""),"",I244-H244+1)</f>
        <v/>
      </c>
      <c r="L244" s="16">
        <f>IF(OR(K244="",N(F244)=0),"",F244/K244)</f>
        <v/>
      </c>
      <c r="M244" s="25" t="n"/>
      <c r="N244" s="1">
        <f>IF(AND(G244="Finished",I244&lt;&gt;""),IF(YEAR(I244)=Dashboard!$C$4,I244+ROW()/10000000,""),"")</f>
        <v/>
      </c>
      <c r="O244">
        <f>IF(B244="","",IFERROR(MATCH(D244,Settings!$B$6:$B$17,0),12))</f>
        <v/>
      </c>
      <c r="P244">
        <f>IF(AND(G244="Reading",B244&lt;&gt;""),IF(H244="",TODAY(),H244)+ROW()/10000000,"")</f>
        <v/>
      </c>
      <c r="Q244">
        <f>IF(AND(N244&lt;&gt;"",N(J244)=5),N244,"")</f>
        <v/>
      </c>
    </row>
    <row r="245">
      <c r="A245" s="1" t="n"/>
      <c r="B245" s="24" t="n"/>
      <c r="C245" s="25" t="n"/>
      <c r="D245" s="25" t="n"/>
      <c r="E245" s="26" t="n"/>
      <c r="F245" s="27" t="n"/>
      <c r="G245" s="26" t="n"/>
      <c r="H245" s="28" t="n"/>
      <c r="I245" s="28" t="n"/>
      <c r="J245" s="27" t="n"/>
      <c r="K245" s="16">
        <f>IF(OR(H245="",I245=""),"",I245-H245+1)</f>
        <v/>
      </c>
      <c r="L245" s="16">
        <f>IF(OR(K245="",N(F245)=0),"",F245/K245)</f>
        <v/>
      </c>
      <c r="M245" s="25" t="n"/>
      <c r="N245" s="1">
        <f>IF(AND(G245="Finished",I245&lt;&gt;""),IF(YEAR(I245)=Dashboard!$C$4,I245+ROW()/10000000,""),"")</f>
        <v/>
      </c>
      <c r="O245">
        <f>IF(B245="","",IFERROR(MATCH(D245,Settings!$B$6:$B$17,0),12))</f>
        <v/>
      </c>
      <c r="P245">
        <f>IF(AND(G245="Reading",B245&lt;&gt;""),IF(H245="",TODAY(),H245)+ROW()/10000000,"")</f>
        <v/>
      </c>
      <c r="Q245">
        <f>IF(AND(N245&lt;&gt;"",N(J245)=5),N245,"")</f>
        <v/>
      </c>
    </row>
    <row r="246">
      <c r="A246" s="1" t="n"/>
      <c r="B246" s="24" t="n"/>
      <c r="C246" s="25" t="n"/>
      <c r="D246" s="25" t="n"/>
      <c r="E246" s="26" t="n"/>
      <c r="F246" s="27" t="n"/>
      <c r="G246" s="26" t="n"/>
      <c r="H246" s="28" t="n"/>
      <c r="I246" s="28" t="n"/>
      <c r="J246" s="27" t="n"/>
      <c r="K246" s="16">
        <f>IF(OR(H246="",I246=""),"",I246-H246+1)</f>
        <v/>
      </c>
      <c r="L246" s="16">
        <f>IF(OR(K246="",N(F246)=0),"",F246/K246)</f>
        <v/>
      </c>
      <c r="M246" s="25" t="n"/>
      <c r="N246" s="1">
        <f>IF(AND(G246="Finished",I246&lt;&gt;""),IF(YEAR(I246)=Dashboard!$C$4,I246+ROW()/10000000,""),"")</f>
        <v/>
      </c>
      <c r="O246">
        <f>IF(B246="","",IFERROR(MATCH(D246,Settings!$B$6:$B$17,0),12))</f>
        <v/>
      </c>
      <c r="P246">
        <f>IF(AND(G246="Reading",B246&lt;&gt;""),IF(H246="",TODAY(),H246)+ROW()/10000000,"")</f>
        <v/>
      </c>
      <c r="Q246">
        <f>IF(AND(N246&lt;&gt;"",N(J246)=5),N246,"")</f>
        <v/>
      </c>
    </row>
    <row r="247">
      <c r="A247" s="1" t="n"/>
      <c r="B247" s="24" t="n"/>
      <c r="C247" s="25" t="n"/>
      <c r="D247" s="25" t="n"/>
      <c r="E247" s="26" t="n"/>
      <c r="F247" s="27" t="n"/>
      <c r="G247" s="26" t="n"/>
      <c r="H247" s="28" t="n"/>
      <c r="I247" s="28" t="n"/>
      <c r="J247" s="27" t="n"/>
      <c r="K247" s="16">
        <f>IF(OR(H247="",I247=""),"",I247-H247+1)</f>
        <v/>
      </c>
      <c r="L247" s="16">
        <f>IF(OR(K247="",N(F247)=0),"",F247/K247)</f>
        <v/>
      </c>
      <c r="M247" s="25" t="n"/>
      <c r="N247" s="1">
        <f>IF(AND(G247="Finished",I247&lt;&gt;""),IF(YEAR(I247)=Dashboard!$C$4,I247+ROW()/10000000,""),"")</f>
        <v/>
      </c>
      <c r="O247">
        <f>IF(B247="","",IFERROR(MATCH(D247,Settings!$B$6:$B$17,0),12))</f>
        <v/>
      </c>
      <c r="P247">
        <f>IF(AND(G247="Reading",B247&lt;&gt;""),IF(H247="",TODAY(),H247)+ROW()/10000000,"")</f>
        <v/>
      </c>
      <c r="Q247">
        <f>IF(AND(N247&lt;&gt;"",N(J247)=5),N247,"")</f>
        <v/>
      </c>
    </row>
    <row r="248">
      <c r="A248" s="1" t="n"/>
      <c r="B248" s="24" t="n"/>
      <c r="C248" s="25" t="n"/>
      <c r="D248" s="25" t="n"/>
      <c r="E248" s="26" t="n"/>
      <c r="F248" s="27" t="n"/>
      <c r="G248" s="26" t="n"/>
      <c r="H248" s="28" t="n"/>
      <c r="I248" s="28" t="n"/>
      <c r="J248" s="27" t="n"/>
      <c r="K248" s="16">
        <f>IF(OR(H248="",I248=""),"",I248-H248+1)</f>
        <v/>
      </c>
      <c r="L248" s="16">
        <f>IF(OR(K248="",N(F248)=0),"",F248/K248)</f>
        <v/>
      </c>
      <c r="M248" s="25" t="n"/>
      <c r="N248" s="1">
        <f>IF(AND(G248="Finished",I248&lt;&gt;""),IF(YEAR(I248)=Dashboard!$C$4,I248+ROW()/10000000,""),"")</f>
        <v/>
      </c>
      <c r="O248">
        <f>IF(B248="","",IFERROR(MATCH(D248,Settings!$B$6:$B$17,0),12))</f>
        <v/>
      </c>
      <c r="P248">
        <f>IF(AND(G248="Reading",B248&lt;&gt;""),IF(H248="",TODAY(),H248)+ROW()/10000000,"")</f>
        <v/>
      </c>
      <c r="Q248">
        <f>IF(AND(N248&lt;&gt;"",N(J248)=5),N248,"")</f>
        <v/>
      </c>
    </row>
    <row r="249">
      <c r="A249" s="1" t="n"/>
      <c r="B249" s="24" t="n"/>
      <c r="C249" s="25" t="n"/>
      <c r="D249" s="25" t="n"/>
      <c r="E249" s="26" t="n"/>
      <c r="F249" s="27" t="n"/>
      <c r="G249" s="26" t="n"/>
      <c r="H249" s="28" t="n"/>
      <c r="I249" s="28" t="n"/>
      <c r="J249" s="27" t="n"/>
      <c r="K249" s="16">
        <f>IF(OR(H249="",I249=""),"",I249-H249+1)</f>
        <v/>
      </c>
      <c r="L249" s="16">
        <f>IF(OR(K249="",N(F249)=0),"",F249/K249)</f>
        <v/>
      </c>
      <c r="M249" s="25" t="n"/>
      <c r="N249" s="1">
        <f>IF(AND(G249="Finished",I249&lt;&gt;""),IF(YEAR(I249)=Dashboard!$C$4,I249+ROW()/10000000,""),"")</f>
        <v/>
      </c>
      <c r="O249">
        <f>IF(B249="","",IFERROR(MATCH(D249,Settings!$B$6:$B$17,0),12))</f>
        <v/>
      </c>
      <c r="P249">
        <f>IF(AND(G249="Reading",B249&lt;&gt;""),IF(H249="",TODAY(),H249)+ROW()/10000000,"")</f>
        <v/>
      </c>
      <c r="Q249">
        <f>IF(AND(N249&lt;&gt;"",N(J249)=5),N249,"")</f>
        <v/>
      </c>
    </row>
    <row r="250">
      <c r="A250" s="1" t="n"/>
      <c r="B250" s="24" t="n"/>
      <c r="C250" s="25" t="n"/>
      <c r="D250" s="25" t="n"/>
      <c r="E250" s="26" t="n"/>
      <c r="F250" s="27" t="n"/>
      <c r="G250" s="26" t="n"/>
      <c r="H250" s="28" t="n"/>
      <c r="I250" s="28" t="n"/>
      <c r="J250" s="27" t="n"/>
      <c r="K250" s="16">
        <f>IF(OR(H250="",I250=""),"",I250-H250+1)</f>
        <v/>
      </c>
      <c r="L250" s="16">
        <f>IF(OR(K250="",N(F250)=0),"",F250/K250)</f>
        <v/>
      </c>
      <c r="M250" s="25" t="n"/>
      <c r="N250" s="1">
        <f>IF(AND(G250="Finished",I250&lt;&gt;""),IF(YEAR(I250)=Dashboard!$C$4,I250+ROW()/10000000,""),"")</f>
        <v/>
      </c>
      <c r="O250">
        <f>IF(B250="","",IFERROR(MATCH(D250,Settings!$B$6:$B$17,0),12))</f>
        <v/>
      </c>
      <c r="P250">
        <f>IF(AND(G250="Reading",B250&lt;&gt;""),IF(H250="",TODAY(),H250)+ROW()/10000000,"")</f>
        <v/>
      </c>
      <c r="Q250">
        <f>IF(AND(N250&lt;&gt;"",N(J250)=5),N250,"")</f>
        <v/>
      </c>
    </row>
    <row r="251">
      <c r="A251" s="1" t="n"/>
      <c r="B251" s="24" t="n"/>
      <c r="C251" s="25" t="n"/>
      <c r="D251" s="25" t="n"/>
      <c r="E251" s="26" t="n"/>
      <c r="F251" s="27" t="n"/>
      <c r="G251" s="26" t="n"/>
      <c r="H251" s="28" t="n"/>
      <c r="I251" s="28" t="n"/>
      <c r="J251" s="27" t="n"/>
      <c r="K251" s="16">
        <f>IF(OR(H251="",I251=""),"",I251-H251+1)</f>
        <v/>
      </c>
      <c r="L251" s="16">
        <f>IF(OR(K251="",N(F251)=0),"",F251/K251)</f>
        <v/>
      </c>
      <c r="M251" s="25" t="n"/>
      <c r="N251" s="1">
        <f>IF(AND(G251="Finished",I251&lt;&gt;""),IF(YEAR(I251)=Dashboard!$C$4,I251+ROW()/10000000,""),"")</f>
        <v/>
      </c>
      <c r="O251">
        <f>IF(B251="","",IFERROR(MATCH(D251,Settings!$B$6:$B$17,0),12))</f>
        <v/>
      </c>
      <c r="P251">
        <f>IF(AND(G251="Reading",B251&lt;&gt;""),IF(H251="",TODAY(),H251)+ROW()/10000000,"")</f>
        <v/>
      </c>
      <c r="Q251">
        <f>IF(AND(N251&lt;&gt;"",N(J251)=5),N251,"")</f>
        <v/>
      </c>
    </row>
    <row r="252">
      <c r="A252" s="1" t="n"/>
      <c r="B252" s="24" t="n"/>
      <c r="C252" s="25" t="n"/>
      <c r="D252" s="25" t="n"/>
      <c r="E252" s="26" t="n"/>
      <c r="F252" s="27" t="n"/>
      <c r="G252" s="26" t="n"/>
      <c r="H252" s="28" t="n"/>
      <c r="I252" s="28" t="n"/>
      <c r="J252" s="27" t="n"/>
      <c r="K252" s="16">
        <f>IF(OR(H252="",I252=""),"",I252-H252+1)</f>
        <v/>
      </c>
      <c r="L252" s="16">
        <f>IF(OR(K252="",N(F252)=0),"",F252/K252)</f>
        <v/>
      </c>
      <c r="M252" s="25" t="n"/>
      <c r="N252" s="1">
        <f>IF(AND(G252="Finished",I252&lt;&gt;""),IF(YEAR(I252)=Dashboard!$C$4,I252+ROW()/10000000,""),"")</f>
        <v/>
      </c>
      <c r="O252">
        <f>IF(B252="","",IFERROR(MATCH(D252,Settings!$B$6:$B$17,0),12))</f>
        <v/>
      </c>
      <c r="P252">
        <f>IF(AND(G252="Reading",B252&lt;&gt;""),IF(H252="",TODAY(),H252)+ROW()/10000000,"")</f>
        <v/>
      </c>
      <c r="Q252">
        <f>IF(AND(N252&lt;&gt;"",N(J252)=5),N252,"")</f>
        <v/>
      </c>
    </row>
    <row r="253">
      <c r="A253" s="1" t="n"/>
      <c r="B253" s="24" t="n"/>
      <c r="C253" s="25" t="n"/>
      <c r="D253" s="25" t="n"/>
      <c r="E253" s="26" t="n"/>
      <c r="F253" s="27" t="n"/>
      <c r="G253" s="26" t="n"/>
      <c r="H253" s="28" t="n"/>
      <c r="I253" s="28" t="n"/>
      <c r="J253" s="27" t="n"/>
      <c r="K253" s="16">
        <f>IF(OR(H253="",I253=""),"",I253-H253+1)</f>
        <v/>
      </c>
      <c r="L253" s="16">
        <f>IF(OR(K253="",N(F253)=0),"",F253/K253)</f>
        <v/>
      </c>
      <c r="M253" s="25" t="n"/>
      <c r="N253" s="1">
        <f>IF(AND(G253="Finished",I253&lt;&gt;""),IF(YEAR(I253)=Dashboard!$C$4,I253+ROW()/10000000,""),"")</f>
        <v/>
      </c>
      <c r="O253">
        <f>IF(B253="","",IFERROR(MATCH(D253,Settings!$B$6:$B$17,0),12))</f>
        <v/>
      </c>
      <c r="P253">
        <f>IF(AND(G253="Reading",B253&lt;&gt;""),IF(H253="",TODAY(),H253)+ROW()/10000000,"")</f>
        <v/>
      </c>
      <c r="Q253">
        <f>IF(AND(N253&lt;&gt;"",N(J253)=5),N253,"")</f>
        <v/>
      </c>
    </row>
    <row r="254">
      <c r="A254" s="1" t="n"/>
      <c r="B254" s="24" t="n"/>
      <c r="C254" s="25" t="n"/>
      <c r="D254" s="25" t="n"/>
      <c r="E254" s="26" t="n"/>
      <c r="F254" s="27" t="n"/>
      <c r="G254" s="26" t="n"/>
      <c r="H254" s="28" t="n"/>
      <c r="I254" s="28" t="n"/>
      <c r="J254" s="27" t="n"/>
      <c r="K254" s="16">
        <f>IF(OR(H254="",I254=""),"",I254-H254+1)</f>
        <v/>
      </c>
      <c r="L254" s="16">
        <f>IF(OR(K254="",N(F254)=0),"",F254/K254)</f>
        <v/>
      </c>
      <c r="M254" s="25" t="n"/>
      <c r="N254" s="1">
        <f>IF(AND(G254="Finished",I254&lt;&gt;""),IF(YEAR(I254)=Dashboard!$C$4,I254+ROW()/10000000,""),"")</f>
        <v/>
      </c>
      <c r="O254">
        <f>IF(B254="","",IFERROR(MATCH(D254,Settings!$B$6:$B$17,0),12))</f>
        <v/>
      </c>
      <c r="P254">
        <f>IF(AND(G254="Reading",B254&lt;&gt;""),IF(H254="",TODAY(),H254)+ROW()/10000000,"")</f>
        <v/>
      </c>
      <c r="Q254">
        <f>IF(AND(N254&lt;&gt;"",N(J254)=5),N254,"")</f>
        <v/>
      </c>
    </row>
    <row r="255">
      <c r="A255" s="1" t="n"/>
      <c r="B255" s="24" t="n"/>
      <c r="C255" s="25" t="n"/>
      <c r="D255" s="25" t="n"/>
      <c r="E255" s="26" t="n"/>
      <c r="F255" s="27" t="n"/>
      <c r="G255" s="26" t="n"/>
      <c r="H255" s="28" t="n"/>
      <c r="I255" s="28" t="n"/>
      <c r="J255" s="27" t="n"/>
      <c r="K255" s="16">
        <f>IF(OR(H255="",I255=""),"",I255-H255+1)</f>
        <v/>
      </c>
      <c r="L255" s="16">
        <f>IF(OR(K255="",N(F255)=0),"",F255/K255)</f>
        <v/>
      </c>
      <c r="M255" s="25" t="n"/>
      <c r="N255" s="1">
        <f>IF(AND(G255="Finished",I255&lt;&gt;""),IF(YEAR(I255)=Dashboard!$C$4,I255+ROW()/10000000,""),"")</f>
        <v/>
      </c>
      <c r="O255">
        <f>IF(B255="","",IFERROR(MATCH(D255,Settings!$B$6:$B$17,0),12))</f>
        <v/>
      </c>
      <c r="P255">
        <f>IF(AND(G255="Reading",B255&lt;&gt;""),IF(H255="",TODAY(),H255)+ROW()/10000000,"")</f>
        <v/>
      </c>
      <c r="Q255">
        <f>IF(AND(N255&lt;&gt;"",N(J255)=5),N255,"")</f>
        <v/>
      </c>
    </row>
    <row r="256">
      <c r="A256" s="1" t="n"/>
      <c r="B256" s="24" t="n"/>
      <c r="C256" s="25" t="n"/>
      <c r="D256" s="25" t="n"/>
      <c r="E256" s="26" t="n"/>
      <c r="F256" s="27" t="n"/>
      <c r="G256" s="26" t="n"/>
      <c r="H256" s="28" t="n"/>
      <c r="I256" s="28" t="n"/>
      <c r="J256" s="27" t="n"/>
      <c r="K256" s="16">
        <f>IF(OR(H256="",I256=""),"",I256-H256+1)</f>
        <v/>
      </c>
      <c r="L256" s="16">
        <f>IF(OR(K256="",N(F256)=0),"",F256/K256)</f>
        <v/>
      </c>
      <c r="M256" s="25" t="n"/>
      <c r="N256" s="1">
        <f>IF(AND(G256="Finished",I256&lt;&gt;""),IF(YEAR(I256)=Dashboard!$C$4,I256+ROW()/10000000,""),"")</f>
        <v/>
      </c>
      <c r="O256">
        <f>IF(B256="","",IFERROR(MATCH(D256,Settings!$B$6:$B$17,0),12))</f>
        <v/>
      </c>
      <c r="P256">
        <f>IF(AND(G256="Reading",B256&lt;&gt;""),IF(H256="",TODAY(),H256)+ROW()/10000000,"")</f>
        <v/>
      </c>
      <c r="Q256">
        <f>IF(AND(N256&lt;&gt;"",N(J256)=5),N256,"")</f>
        <v/>
      </c>
    </row>
    <row r="257">
      <c r="A257" s="1" t="n"/>
      <c r="B257" s="24" t="n"/>
      <c r="C257" s="25" t="n"/>
      <c r="D257" s="25" t="n"/>
      <c r="E257" s="26" t="n"/>
      <c r="F257" s="27" t="n"/>
      <c r="G257" s="26" t="n"/>
      <c r="H257" s="28" t="n"/>
      <c r="I257" s="28" t="n"/>
      <c r="J257" s="27" t="n"/>
      <c r="K257" s="16">
        <f>IF(OR(H257="",I257=""),"",I257-H257+1)</f>
        <v/>
      </c>
      <c r="L257" s="16">
        <f>IF(OR(K257="",N(F257)=0),"",F257/K257)</f>
        <v/>
      </c>
      <c r="M257" s="25" t="n"/>
      <c r="N257" s="1">
        <f>IF(AND(G257="Finished",I257&lt;&gt;""),IF(YEAR(I257)=Dashboard!$C$4,I257+ROW()/10000000,""),"")</f>
        <v/>
      </c>
      <c r="O257">
        <f>IF(B257="","",IFERROR(MATCH(D257,Settings!$B$6:$B$17,0),12))</f>
        <v/>
      </c>
      <c r="P257">
        <f>IF(AND(G257="Reading",B257&lt;&gt;""),IF(H257="",TODAY(),H257)+ROW()/10000000,"")</f>
        <v/>
      </c>
      <c r="Q257">
        <f>IF(AND(N257&lt;&gt;"",N(J257)=5),N257,"")</f>
        <v/>
      </c>
    </row>
    <row r="258">
      <c r="A258" s="1" t="n"/>
      <c r="B258" s="24" t="n"/>
      <c r="C258" s="25" t="n"/>
      <c r="D258" s="25" t="n"/>
      <c r="E258" s="26" t="n"/>
      <c r="F258" s="27" t="n"/>
      <c r="G258" s="26" t="n"/>
      <c r="H258" s="28" t="n"/>
      <c r="I258" s="28" t="n"/>
      <c r="J258" s="27" t="n"/>
      <c r="K258" s="16">
        <f>IF(OR(H258="",I258=""),"",I258-H258+1)</f>
        <v/>
      </c>
      <c r="L258" s="16">
        <f>IF(OR(K258="",N(F258)=0),"",F258/K258)</f>
        <v/>
      </c>
      <c r="M258" s="25" t="n"/>
      <c r="N258" s="1">
        <f>IF(AND(G258="Finished",I258&lt;&gt;""),IF(YEAR(I258)=Dashboard!$C$4,I258+ROW()/10000000,""),"")</f>
        <v/>
      </c>
      <c r="O258">
        <f>IF(B258="","",IFERROR(MATCH(D258,Settings!$B$6:$B$17,0),12))</f>
        <v/>
      </c>
      <c r="P258">
        <f>IF(AND(G258="Reading",B258&lt;&gt;""),IF(H258="",TODAY(),H258)+ROW()/10000000,"")</f>
        <v/>
      </c>
      <c r="Q258">
        <f>IF(AND(N258&lt;&gt;"",N(J258)=5),N258,"")</f>
        <v/>
      </c>
    </row>
    <row r="259">
      <c r="A259" s="1" t="n"/>
      <c r="B259" s="24" t="n"/>
      <c r="C259" s="25" t="n"/>
      <c r="D259" s="25" t="n"/>
      <c r="E259" s="26" t="n"/>
      <c r="F259" s="27" t="n"/>
      <c r="G259" s="26" t="n"/>
      <c r="H259" s="28" t="n"/>
      <c r="I259" s="28" t="n"/>
      <c r="J259" s="27" t="n"/>
      <c r="K259" s="16">
        <f>IF(OR(H259="",I259=""),"",I259-H259+1)</f>
        <v/>
      </c>
      <c r="L259" s="16">
        <f>IF(OR(K259="",N(F259)=0),"",F259/K259)</f>
        <v/>
      </c>
      <c r="M259" s="25" t="n"/>
      <c r="N259" s="1">
        <f>IF(AND(G259="Finished",I259&lt;&gt;""),IF(YEAR(I259)=Dashboard!$C$4,I259+ROW()/10000000,""),"")</f>
        <v/>
      </c>
      <c r="O259">
        <f>IF(B259="","",IFERROR(MATCH(D259,Settings!$B$6:$B$17,0),12))</f>
        <v/>
      </c>
      <c r="P259">
        <f>IF(AND(G259="Reading",B259&lt;&gt;""),IF(H259="",TODAY(),H259)+ROW()/10000000,"")</f>
        <v/>
      </c>
      <c r="Q259">
        <f>IF(AND(N259&lt;&gt;"",N(J259)=5),N259,"")</f>
        <v/>
      </c>
    </row>
    <row r="260">
      <c r="A260" s="1" t="n"/>
      <c r="B260" s="24" t="n"/>
      <c r="C260" s="25" t="n"/>
      <c r="D260" s="25" t="n"/>
      <c r="E260" s="26" t="n"/>
      <c r="F260" s="27" t="n"/>
      <c r="G260" s="26" t="n"/>
      <c r="H260" s="28" t="n"/>
      <c r="I260" s="28" t="n"/>
      <c r="J260" s="27" t="n"/>
      <c r="K260" s="16">
        <f>IF(OR(H260="",I260=""),"",I260-H260+1)</f>
        <v/>
      </c>
      <c r="L260" s="16">
        <f>IF(OR(K260="",N(F260)=0),"",F260/K260)</f>
        <v/>
      </c>
      <c r="M260" s="25" t="n"/>
      <c r="N260" s="1">
        <f>IF(AND(G260="Finished",I260&lt;&gt;""),IF(YEAR(I260)=Dashboard!$C$4,I260+ROW()/10000000,""),"")</f>
        <v/>
      </c>
      <c r="O260">
        <f>IF(B260="","",IFERROR(MATCH(D260,Settings!$B$6:$B$17,0),12))</f>
        <v/>
      </c>
      <c r="P260">
        <f>IF(AND(G260="Reading",B260&lt;&gt;""),IF(H260="",TODAY(),H260)+ROW()/10000000,"")</f>
        <v/>
      </c>
      <c r="Q260">
        <f>IF(AND(N260&lt;&gt;"",N(J260)=5),N260,"")</f>
        <v/>
      </c>
    </row>
    <row r="261">
      <c r="A261" s="1" t="n"/>
      <c r="B261" s="24" t="n"/>
      <c r="C261" s="25" t="n"/>
      <c r="D261" s="25" t="n"/>
      <c r="E261" s="26" t="n"/>
      <c r="F261" s="27" t="n"/>
      <c r="G261" s="26" t="n"/>
      <c r="H261" s="28" t="n"/>
      <c r="I261" s="28" t="n"/>
      <c r="J261" s="27" t="n"/>
      <c r="K261" s="16">
        <f>IF(OR(H261="",I261=""),"",I261-H261+1)</f>
        <v/>
      </c>
      <c r="L261" s="16">
        <f>IF(OR(K261="",N(F261)=0),"",F261/K261)</f>
        <v/>
      </c>
      <c r="M261" s="25" t="n"/>
      <c r="N261" s="1">
        <f>IF(AND(G261="Finished",I261&lt;&gt;""),IF(YEAR(I261)=Dashboard!$C$4,I261+ROW()/10000000,""),"")</f>
        <v/>
      </c>
      <c r="O261">
        <f>IF(B261="","",IFERROR(MATCH(D261,Settings!$B$6:$B$17,0),12))</f>
        <v/>
      </c>
      <c r="P261">
        <f>IF(AND(G261="Reading",B261&lt;&gt;""),IF(H261="",TODAY(),H261)+ROW()/10000000,"")</f>
        <v/>
      </c>
      <c r="Q261">
        <f>IF(AND(N261&lt;&gt;"",N(J261)=5),N261,"")</f>
        <v/>
      </c>
    </row>
    <row r="262">
      <c r="A262" s="1" t="n"/>
      <c r="B262" s="24" t="n"/>
      <c r="C262" s="25" t="n"/>
      <c r="D262" s="25" t="n"/>
      <c r="E262" s="26" t="n"/>
      <c r="F262" s="27" t="n"/>
      <c r="G262" s="26" t="n"/>
      <c r="H262" s="28" t="n"/>
      <c r="I262" s="28" t="n"/>
      <c r="J262" s="27" t="n"/>
      <c r="K262" s="16">
        <f>IF(OR(H262="",I262=""),"",I262-H262+1)</f>
        <v/>
      </c>
      <c r="L262" s="16">
        <f>IF(OR(K262="",N(F262)=0),"",F262/K262)</f>
        <v/>
      </c>
      <c r="M262" s="25" t="n"/>
      <c r="N262" s="1">
        <f>IF(AND(G262="Finished",I262&lt;&gt;""),IF(YEAR(I262)=Dashboard!$C$4,I262+ROW()/10000000,""),"")</f>
        <v/>
      </c>
      <c r="O262">
        <f>IF(B262="","",IFERROR(MATCH(D262,Settings!$B$6:$B$17,0),12))</f>
        <v/>
      </c>
      <c r="P262">
        <f>IF(AND(G262="Reading",B262&lt;&gt;""),IF(H262="",TODAY(),H262)+ROW()/10000000,"")</f>
        <v/>
      </c>
      <c r="Q262">
        <f>IF(AND(N262&lt;&gt;"",N(J262)=5),N262,"")</f>
        <v/>
      </c>
    </row>
    <row r="263">
      <c r="A263" s="1" t="n"/>
      <c r="B263" s="24" t="n"/>
      <c r="C263" s="25" t="n"/>
      <c r="D263" s="25" t="n"/>
      <c r="E263" s="26" t="n"/>
      <c r="F263" s="27" t="n"/>
      <c r="G263" s="26" t="n"/>
      <c r="H263" s="28" t="n"/>
      <c r="I263" s="28" t="n"/>
      <c r="J263" s="27" t="n"/>
      <c r="K263" s="16">
        <f>IF(OR(H263="",I263=""),"",I263-H263+1)</f>
        <v/>
      </c>
      <c r="L263" s="16">
        <f>IF(OR(K263="",N(F263)=0),"",F263/K263)</f>
        <v/>
      </c>
      <c r="M263" s="25" t="n"/>
      <c r="N263" s="1">
        <f>IF(AND(G263="Finished",I263&lt;&gt;""),IF(YEAR(I263)=Dashboard!$C$4,I263+ROW()/10000000,""),"")</f>
        <v/>
      </c>
      <c r="O263">
        <f>IF(B263="","",IFERROR(MATCH(D263,Settings!$B$6:$B$17,0),12))</f>
        <v/>
      </c>
      <c r="P263">
        <f>IF(AND(G263="Reading",B263&lt;&gt;""),IF(H263="",TODAY(),H263)+ROW()/10000000,"")</f>
        <v/>
      </c>
      <c r="Q263">
        <f>IF(AND(N263&lt;&gt;"",N(J263)=5),N263,"")</f>
        <v/>
      </c>
    </row>
    <row r="264">
      <c r="A264" s="1" t="n"/>
      <c r="B264" s="24" t="n"/>
      <c r="C264" s="25" t="n"/>
      <c r="D264" s="25" t="n"/>
      <c r="E264" s="26" t="n"/>
      <c r="F264" s="27" t="n"/>
      <c r="G264" s="26" t="n"/>
      <c r="H264" s="28" t="n"/>
      <c r="I264" s="28" t="n"/>
      <c r="J264" s="27" t="n"/>
      <c r="K264" s="16">
        <f>IF(OR(H264="",I264=""),"",I264-H264+1)</f>
        <v/>
      </c>
      <c r="L264" s="16">
        <f>IF(OR(K264="",N(F264)=0),"",F264/K264)</f>
        <v/>
      </c>
      <c r="M264" s="25" t="n"/>
      <c r="N264" s="1">
        <f>IF(AND(G264="Finished",I264&lt;&gt;""),IF(YEAR(I264)=Dashboard!$C$4,I264+ROW()/10000000,""),"")</f>
        <v/>
      </c>
      <c r="O264">
        <f>IF(B264="","",IFERROR(MATCH(D264,Settings!$B$6:$B$17,0),12))</f>
        <v/>
      </c>
      <c r="P264">
        <f>IF(AND(G264="Reading",B264&lt;&gt;""),IF(H264="",TODAY(),H264)+ROW()/10000000,"")</f>
        <v/>
      </c>
      <c r="Q264">
        <f>IF(AND(N264&lt;&gt;"",N(J264)=5),N264,"")</f>
        <v/>
      </c>
    </row>
    <row r="265">
      <c r="A265" s="1" t="n"/>
      <c r="B265" s="24" t="n"/>
      <c r="C265" s="25" t="n"/>
      <c r="D265" s="25" t="n"/>
      <c r="E265" s="26" t="n"/>
      <c r="F265" s="27" t="n"/>
      <c r="G265" s="26" t="n"/>
      <c r="H265" s="28" t="n"/>
      <c r="I265" s="28" t="n"/>
      <c r="J265" s="27" t="n"/>
      <c r="K265" s="16">
        <f>IF(OR(H265="",I265=""),"",I265-H265+1)</f>
        <v/>
      </c>
      <c r="L265" s="16">
        <f>IF(OR(K265="",N(F265)=0),"",F265/K265)</f>
        <v/>
      </c>
      <c r="M265" s="25" t="n"/>
      <c r="N265" s="1">
        <f>IF(AND(G265="Finished",I265&lt;&gt;""),IF(YEAR(I265)=Dashboard!$C$4,I265+ROW()/10000000,""),"")</f>
        <v/>
      </c>
      <c r="O265">
        <f>IF(B265="","",IFERROR(MATCH(D265,Settings!$B$6:$B$17,0),12))</f>
        <v/>
      </c>
      <c r="P265">
        <f>IF(AND(G265="Reading",B265&lt;&gt;""),IF(H265="",TODAY(),H265)+ROW()/10000000,"")</f>
        <v/>
      </c>
      <c r="Q265">
        <f>IF(AND(N265&lt;&gt;"",N(J265)=5),N265,"")</f>
        <v/>
      </c>
    </row>
    <row r="266">
      <c r="A266" s="1" t="n"/>
      <c r="B266" s="24" t="n"/>
      <c r="C266" s="25" t="n"/>
      <c r="D266" s="25" t="n"/>
      <c r="E266" s="26" t="n"/>
      <c r="F266" s="27" t="n"/>
      <c r="G266" s="26" t="n"/>
      <c r="H266" s="28" t="n"/>
      <c r="I266" s="28" t="n"/>
      <c r="J266" s="27" t="n"/>
      <c r="K266" s="16">
        <f>IF(OR(H266="",I266=""),"",I266-H266+1)</f>
        <v/>
      </c>
      <c r="L266" s="16">
        <f>IF(OR(K266="",N(F266)=0),"",F266/K266)</f>
        <v/>
      </c>
      <c r="M266" s="25" t="n"/>
      <c r="N266" s="1">
        <f>IF(AND(G266="Finished",I266&lt;&gt;""),IF(YEAR(I266)=Dashboard!$C$4,I266+ROW()/10000000,""),"")</f>
        <v/>
      </c>
      <c r="O266">
        <f>IF(B266="","",IFERROR(MATCH(D266,Settings!$B$6:$B$17,0),12))</f>
        <v/>
      </c>
      <c r="P266">
        <f>IF(AND(G266="Reading",B266&lt;&gt;""),IF(H266="",TODAY(),H266)+ROW()/10000000,"")</f>
        <v/>
      </c>
      <c r="Q266">
        <f>IF(AND(N266&lt;&gt;"",N(J266)=5),N266,"")</f>
        <v/>
      </c>
    </row>
    <row r="267">
      <c r="A267" s="1" t="n"/>
      <c r="B267" s="24" t="n"/>
      <c r="C267" s="25" t="n"/>
      <c r="D267" s="25" t="n"/>
      <c r="E267" s="26" t="n"/>
      <c r="F267" s="27" t="n"/>
      <c r="G267" s="26" t="n"/>
      <c r="H267" s="28" t="n"/>
      <c r="I267" s="28" t="n"/>
      <c r="J267" s="27" t="n"/>
      <c r="K267" s="16">
        <f>IF(OR(H267="",I267=""),"",I267-H267+1)</f>
        <v/>
      </c>
      <c r="L267" s="16">
        <f>IF(OR(K267="",N(F267)=0),"",F267/K267)</f>
        <v/>
      </c>
      <c r="M267" s="25" t="n"/>
      <c r="N267" s="1">
        <f>IF(AND(G267="Finished",I267&lt;&gt;""),IF(YEAR(I267)=Dashboard!$C$4,I267+ROW()/10000000,""),"")</f>
        <v/>
      </c>
      <c r="O267">
        <f>IF(B267="","",IFERROR(MATCH(D267,Settings!$B$6:$B$17,0),12))</f>
        <v/>
      </c>
      <c r="P267">
        <f>IF(AND(G267="Reading",B267&lt;&gt;""),IF(H267="",TODAY(),H267)+ROW()/10000000,"")</f>
        <v/>
      </c>
      <c r="Q267">
        <f>IF(AND(N267&lt;&gt;"",N(J267)=5),N267,"")</f>
        <v/>
      </c>
    </row>
    <row r="268">
      <c r="A268" s="1" t="n"/>
      <c r="B268" s="24" t="n"/>
      <c r="C268" s="25" t="n"/>
      <c r="D268" s="25" t="n"/>
      <c r="E268" s="26" t="n"/>
      <c r="F268" s="27" t="n"/>
      <c r="G268" s="26" t="n"/>
      <c r="H268" s="28" t="n"/>
      <c r="I268" s="28" t="n"/>
      <c r="J268" s="27" t="n"/>
      <c r="K268" s="16">
        <f>IF(OR(H268="",I268=""),"",I268-H268+1)</f>
        <v/>
      </c>
      <c r="L268" s="16">
        <f>IF(OR(K268="",N(F268)=0),"",F268/K268)</f>
        <v/>
      </c>
      <c r="M268" s="25" t="n"/>
      <c r="N268" s="1">
        <f>IF(AND(G268="Finished",I268&lt;&gt;""),IF(YEAR(I268)=Dashboard!$C$4,I268+ROW()/10000000,""),"")</f>
        <v/>
      </c>
      <c r="O268">
        <f>IF(B268="","",IFERROR(MATCH(D268,Settings!$B$6:$B$17,0),12))</f>
        <v/>
      </c>
      <c r="P268">
        <f>IF(AND(G268="Reading",B268&lt;&gt;""),IF(H268="",TODAY(),H268)+ROW()/10000000,"")</f>
        <v/>
      </c>
      <c r="Q268">
        <f>IF(AND(N268&lt;&gt;"",N(J268)=5),N268,"")</f>
        <v/>
      </c>
    </row>
    <row r="269">
      <c r="A269" s="1" t="n"/>
      <c r="B269" s="24" t="n"/>
      <c r="C269" s="25" t="n"/>
      <c r="D269" s="25" t="n"/>
      <c r="E269" s="26" t="n"/>
      <c r="F269" s="27" t="n"/>
      <c r="G269" s="26" t="n"/>
      <c r="H269" s="28" t="n"/>
      <c r="I269" s="28" t="n"/>
      <c r="J269" s="27" t="n"/>
      <c r="K269" s="16">
        <f>IF(OR(H269="",I269=""),"",I269-H269+1)</f>
        <v/>
      </c>
      <c r="L269" s="16">
        <f>IF(OR(K269="",N(F269)=0),"",F269/K269)</f>
        <v/>
      </c>
      <c r="M269" s="25" t="n"/>
      <c r="N269" s="1">
        <f>IF(AND(G269="Finished",I269&lt;&gt;""),IF(YEAR(I269)=Dashboard!$C$4,I269+ROW()/10000000,""),"")</f>
        <v/>
      </c>
      <c r="O269">
        <f>IF(B269="","",IFERROR(MATCH(D269,Settings!$B$6:$B$17,0),12))</f>
        <v/>
      </c>
      <c r="P269">
        <f>IF(AND(G269="Reading",B269&lt;&gt;""),IF(H269="",TODAY(),H269)+ROW()/10000000,"")</f>
        <v/>
      </c>
      <c r="Q269">
        <f>IF(AND(N269&lt;&gt;"",N(J269)=5),N269,"")</f>
        <v/>
      </c>
    </row>
    <row r="270">
      <c r="A270" s="1" t="n"/>
      <c r="B270" s="24" t="n"/>
      <c r="C270" s="25" t="n"/>
      <c r="D270" s="25" t="n"/>
      <c r="E270" s="26" t="n"/>
      <c r="F270" s="27" t="n"/>
      <c r="G270" s="26" t="n"/>
      <c r="H270" s="28" t="n"/>
      <c r="I270" s="28" t="n"/>
      <c r="J270" s="27" t="n"/>
      <c r="K270" s="16">
        <f>IF(OR(H270="",I270=""),"",I270-H270+1)</f>
        <v/>
      </c>
      <c r="L270" s="16">
        <f>IF(OR(K270="",N(F270)=0),"",F270/K270)</f>
        <v/>
      </c>
      <c r="M270" s="25" t="n"/>
      <c r="N270" s="1">
        <f>IF(AND(G270="Finished",I270&lt;&gt;""),IF(YEAR(I270)=Dashboard!$C$4,I270+ROW()/10000000,""),"")</f>
        <v/>
      </c>
      <c r="O270">
        <f>IF(B270="","",IFERROR(MATCH(D270,Settings!$B$6:$B$17,0),12))</f>
        <v/>
      </c>
      <c r="P270">
        <f>IF(AND(G270="Reading",B270&lt;&gt;""),IF(H270="",TODAY(),H270)+ROW()/10000000,"")</f>
        <v/>
      </c>
      <c r="Q270">
        <f>IF(AND(N270&lt;&gt;"",N(J270)=5),N270,"")</f>
        <v/>
      </c>
    </row>
    <row r="271">
      <c r="A271" s="1" t="n"/>
      <c r="B271" s="24" t="n"/>
      <c r="C271" s="25" t="n"/>
      <c r="D271" s="25" t="n"/>
      <c r="E271" s="26" t="n"/>
      <c r="F271" s="27" t="n"/>
      <c r="G271" s="26" t="n"/>
      <c r="H271" s="28" t="n"/>
      <c r="I271" s="28" t="n"/>
      <c r="J271" s="27" t="n"/>
      <c r="K271" s="16">
        <f>IF(OR(H271="",I271=""),"",I271-H271+1)</f>
        <v/>
      </c>
      <c r="L271" s="16">
        <f>IF(OR(K271="",N(F271)=0),"",F271/K271)</f>
        <v/>
      </c>
      <c r="M271" s="25" t="n"/>
      <c r="N271" s="1">
        <f>IF(AND(G271="Finished",I271&lt;&gt;""),IF(YEAR(I271)=Dashboard!$C$4,I271+ROW()/10000000,""),"")</f>
        <v/>
      </c>
      <c r="O271">
        <f>IF(B271="","",IFERROR(MATCH(D271,Settings!$B$6:$B$17,0),12))</f>
        <v/>
      </c>
      <c r="P271">
        <f>IF(AND(G271="Reading",B271&lt;&gt;""),IF(H271="",TODAY(),H271)+ROW()/10000000,"")</f>
        <v/>
      </c>
      <c r="Q271">
        <f>IF(AND(N271&lt;&gt;"",N(J271)=5),N271,"")</f>
        <v/>
      </c>
    </row>
    <row r="272">
      <c r="A272" s="1" t="n"/>
      <c r="B272" s="24" t="n"/>
      <c r="C272" s="25" t="n"/>
      <c r="D272" s="25" t="n"/>
      <c r="E272" s="26" t="n"/>
      <c r="F272" s="27" t="n"/>
      <c r="G272" s="26" t="n"/>
      <c r="H272" s="28" t="n"/>
      <c r="I272" s="28" t="n"/>
      <c r="J272" s="27" t="n"/>
      <c r="K272" s="16">
        <f>IF(OR(H272="",I272=""),"",I272-H272+1)</f>
        <v/>
      </c>
      <c r="L272" s="16">
        <f>IF(OR(K272="",N(F272)=0),"",F272/K272)</f>
        <v/>
      </c>
      <c r="M272" s="25" t="n"/>
      <c r="N272" s="1">
        <f>IF(AND(G272="Finished",I272&lt;&gt;""),IF(YEAR(I272)=Dashboard!$C$4,I272+ROW()/10000000,""),"")</f>
        <v/>
      </c>
      <c r="O272">
        <f>IF(B272="","",IFERROR(MATCH(D272,Settings!$B$6:$B$17,0),12))</f>
        <v/>
      </c>
      <c r="P272">
        <f>IF(AND(G272="Reading",B272&lt;&gt;""),IF(H272="",TODAY(),H272)+ROW()/10000000,"")</f>
        <v/>
      </c>
      <c r="Q272">
        <f>IF(AND(N272&lt;&gt;"",N(J272)=5),N272,"")</f>
        <v/>
      </c>
    </row>
    <row r="273">
      <c r="A273" s="1" t="n"/>
      <c r="B273" s="24" t="n"/>
      <c r="C273" s="25" t="n"/>
      <c r="D273" s="25" t="n"/>
      <c r="E273" s="26" t="n"/>
      <c r="F273" s="27" t="n"/>
      <c r="G273" s="26" t="n"/>
      <c r="H273" s="28" t="n"/>
      <c r="I273" s="28" t="n"/>
      <c r="J273" s="27" t="n"/>
      <c r="K273" s="16">
        <f>IF(OR(H273="",I273=""),"",I273-H273+1)</f>
        <v/>
      </c>
      <c r="L273" s="16">
        <f>IF(OR(K273="",N(F273)=0),"",F273/K273)</f>
        <v/>
      </c>
      <c r="M273" s="25" t="n"/>
      <c r="N273" s="1">
        <f>IF(AND(G273="Finished",I273&lt;&gt;""),IF(YEAR(I273)=Dashboard!$C$4,I273+ROW()/10000000,""),"")</f>
        <v/>
      </c>
      <c r="O273">
        <f>IF(B273="","",IFERROR(MATCH(D273,Settings!$B$6:$B$17,0),12))</f>
        <v/>
      </c>
      <c r="P273">
        <f>IF(AND(G273="Reading",B273&lt;&gt;""),IF(H273="",TODAY(),H273)+ROW()/10000000,"")</f>
        <v/>
      </c>
      <c r="Q273">
        <f>IF(AND(N273&lt;&gt;"",N(J273)=5),N273,"")</f>
        <v/>
      </c>
    </row>
    <row r="274">
      <c r="A274" s="1" t="n"/>
      <c r="B274" s="24" t="n"/>
      <c r="C274" s="25" t="n"/>
      <c r="D274" s="25" t="n"/>
      <c r="E274" s="26" t="n"/>
      <c r="F274" s="27" t="n"/>
      <c r="G274" s="26" t="n"/>
      <c r="H274" s="28" t="n"/>
      <c r="I274" s="28" t="n"/>
      <c r="J274" s="27" t="n"/>
      <c r="K274" s="16">
        <f>IF(OR(H274="",I274=""),"",I274-H274+1)</f>
        <v/>
      </c>
      <c r="L274" s="16">
        <f>IF(OR(K274="",N(F274)=0),"",F274/K274)</f>
        <v/>
      </c>
      <c r="M274" s="25" t="n"/>
      <c r="N274" s="1">
        <f>IF(AND(G274="Finished",I274&lt;&gt;""),IF(YEAR(I274)=Dashboard!$C$4,I274+ROW()/10000000,""),"")</f>
        <v/>
      </c>
      <c r="O274">
        <f>IF(B274="","",IFERROR(MATCH(D274,Settings!$B$6:$B$17,0),12))</f>
        <v/>
      </c>
      <c r="P274">
        <f>IF(AND(G274="Reading",B274&lt;&gt;""),IF(H274="",TODAY(),H274)+ROW()/10000000,"")</f>
        <v/>
      </c>
      <c r="Q274">
        <f>IF(AND(N274&lt;&gt;"",N(J274)=5),N274,"")</f>
        <v/>
      </c>
    </row>
    <row r="275">
      <c r="A275" s="1" t="n"/>
      <c r="B275" s="24" t="n"/>
      <c r="C275" s="25" t="n"/>
      <c r="D275" s="25" t="n"/>
      <c r="E275" s="26" t="n"/>
      <c r="F275" s="27" t="n"/>
      <c r="G275" s="26" t="n"/>
      <c r="H275" s="28" t="n"/>
      <c r="I275" s="28" t="n"/>
      <c r="J275" s="27" t="n"/>
      <c r="K275" s="16">
        <f>IF(OR(H275="",I275=""),"",I275-H275+1)</f>
        <v/>
      </c>
      <c r="L275" s="16">
        <f>IF(OR(K275="",N(F275)=0),"",F275/K275)</f>
        <v/>
      </c>
      <c r="M275" s="25" t="n"/>
      <c r="N275" s="1">
        <f>IF(AND(G275="Finished",I275&lt;&gt;""),IF(YEAR(I275)=Dashboard!$C$4,I275+ROW()/10000000,""),"")</f>
        <v/>
      </c>
      <c r="O275">
        <f>IF(B275="","",IFERROR(MATCH(D275,Settings!$B$6:$B$17,0),12))</f>
        <v/>
      </c>
      <c r="P275">
        <f>IF(AND(G275="Reading",B275&lt;&gt;""),IF(H275="",TODAY(),H275)+ROW()/10000000,"")</f>
        <v/>
      </c>
      <c r="Q275">
        <f>IF(AND(N275&lt;&gt;"",N(J275)=5),N275,"")</f>
        <v/>
      </c>
    </row>
    <row r="276">
      <c r="A276" s="1" t="n"/>
      <c r="B276" s="24" t="n"/>
      <c r="C276" s="25" t="n"/>
      <c r="D276" s="25" t="n"/>
      <c r="E276" s="26" t="n"/>
      <c r="F276" s="27" t="n"/>
      <c r="G276" s="26" t="n"/>
      <c r="H276" s="28" t="n"/>
      <c r="I276" s="28" t="n"/>
      <c r="J276" s="27" t="n"/>
      <c r="K276" s="16">
        <f>IF(OR(H276="",I276=""),"",I276-H276+1)</f>
        <v/>
      </c>
      <c r="L276" s="16">
        <f>IF(OR(K276="",N(F276)=0),"",F276/K276)</f>
        <v/>
      </c>
      <c r="M276" s="25" t="n"/>
      <c r="N276" s="1">
        <f>IF(AND(G276="Finished",I276&lt;&gt;""),IF(YEAR(I276)=Dashboard!$C$4,I276+ROW()/10000000,""),"")</f>
        <v/>
      </c>
      <c r="O276">
        <f>IF(B276="","",IFERROR(MATCH(D276,Settings!$B$6:$B$17,0),12))</f>
        <v/>
      </c>
      <c r="P276">
        <f>IF(AND(G276="Reading",B276&lt;&gt;""),IF(H276="",TODAY(),H276)+ROW()/10000000,"")</f>
        <v/>
      </c>
      <c r="Q276">
        <f>IF(AND(N276&lt;&gt;"",N(J276)=5),N276,"")</f>
        <v/>
      </c>
    </row>
    <row r="277">
      <c r="A277" s="1" t="n"/>
      <c r="B277" s="24" t="n"/>
      <c r="C277" s="25" t="n"/>
      <c r="D277" s="25" t="n"/>
      <c r="E277" s="26" t="n"/>
      <c r="F277" s="27" t="n"/>
      <c r="G277" s="26" t="n"/>
      <c r="H277" s="28" t="n"/>
      <c r="I277" s="28" t="n"/>
      <c r="J277" s="27" t="n"/>
      <c r="K277" s="16">
        <f>IF(OR(H277="",I277=""),"",I277-H277+1)</f>
        <v/>
      </c>
      <c r="L277" s="16">
        <f>IF(OR(K277="",N(F277)=0),"",F277/K277)</f>
        <v/>
      </c>
      <c r="M277" s="25" t="n"/>
      <c r="N277" s="1">
        <f>IF(AND(G277="Finished",I277&lt;&gt;""),IF(YEAR(I277)=Dashboard!$C$4,I277+ROW()/10000000,""),"")</f>
        <v/>
      </c>
      <c r="O277">
        <f>IF(B277="","",IFERROR(MATCH(D277,Settings!$B$6:$B$17,0),12))</f>
        <v/>
      </c>
      <c r="P277">
        <f>IF(AND(G277="Reading",B277&lt;&gt;""),IF(H277="",TODAY(),H277)+ROW()/10000000,"")</f>
        <v/>
      </c>
      <c r="Q277">
        <f>IF(AND(N277&lt;&gt;"",N(J277)=5),N277,"")</f>
        <v/>
      </c>
    </row>
    <row r="278">
      <c r="A278" s="1" t="n"/>
      <c r="B278" s="24" t="n"/>
      <c r="C278" s="25" t="n"/>
      <c r="D278" s="25" t="n"/>
      <c r="E278" s="26" t="n"/>
      <c r="F278" s="27" t="n"/>
      <c r="G278" s="26" t="n"/>
      <c r="H278" s="28" t="n"/>
      <c r="I278" s="28" t="n"/>
      <c r="J278" s="27" t="n"/>
      <c r="K278" s="16">
        <f>IF(OR(H278="",I278=""),"",I278-H278+1)</f>
        <v/>
      </c>
      <c r="L278" s="16">
        <f>IF(OR(K278="",N(F278)=0),"",F278/K278)</f>
        <v/>
      </c>
      <c r="M278" s="25" t="n"/>
      <c r="N278" s="1">
        <f>IF(AND(G278="Finished",I278&lt;&gt;""),IF(YEAR(I278)=Dashboard!$C$4,I278+ROW()/10000000,""),"")</f>
        <v/>
      </c>
      <c r="O278">
        <f>IF(B278="","",IFERROR(MATCH(D278,Settings!$B$6:$B$17,0),12))</f>
        <v/>
      </c>
      <c r="P278">
        <f>IF(AND(G278="Reading",B278&lt;&gt;""),IF(H278="",TODAY(),H278)+ROW()/10000000,"")</f>
        <v/>
      </c>
      <c r="Q278">
        <f>IF(AND(N278&lt;&gt;"",N(J278)=5),N278,"")</f>
        <v/>
      </c>
    </row>
    <row r="279">
      <c r="A279" s="1" t="n"/>
      <c r="B279" s="24" t="n"/>
      <c r="C279" s="25" t="n"/>
      <c r="D279" s="25" t="n"/>
      <c r="E279" s="26" t="n"/>
      <c r="F279" s="27" t="n"/>
      <c r="G279" s="26" t="n"/>
      <c r="H279" s="28" t="n"/>
      <c r="I279" s="28" t="n"/>
      <c r="J279" s="27" t="n"/>
      <c r="K279" s="16">
        <f>IF(OR(H279="",I279=""),"",I279-H279+1)</f>
        <v/>
      </c>
      <c r="L279" s="16">
        <f>IF(OR(K279="",N(F279)=0),"",F279/K279)</f>
        <v/>
      </c>
      <c r="M279" s="25" t="n"/>
      <c r="N279" s="1">
        <f>IF(AND(G279="Finished",I279&lt;&gt;""),IF(YEAR(I279)=Dashboard!$C$4,I279+ROW()/10000000,""),"")</f>
        <v/>
      </c>
      <c r="O279">
        <f>IF(B279="","",IFERROR(MATCH(D279,Settings!$B$6:$B$17,0),12))</f>
        <v/>
      </c>
      <c r="P279">
        <f>IF(AND(G279="Reading",B279&lt;&gt;""),IF(H279="",TODAY(),H279)+ROW()/10000000,"")</f>
        <v/>
      </c>
      <c r="Q279">
        <f>IF(AND(N279&lt;&gt;"",N(J279)=5),N279,"")</f>
        <v/>
      </c>
    </row>
    <row r="280">
      <c r="A280" s="1" t="n"/>
      <c r="B280" s="24" t="n"/>
      <c r="C280" s="25" t="n"/>
      <c r="D280" s="25" t="n"/>
      <c r="E280" s="26" t="n"/>
      <c r="F280" s="27" t="n"/>
      <c r="G280" s="26" t="n"/>
      <c r="H280" s="28" t="n"/>
      <c r="I280" s="28" t="n"/>
      <c r="J280" s="27" t="n"/>
      <c r="K280" s="16">
        <f>IF(OR(H280="",I280=""),"",I280-H280+1)</f>
        <v/>
      </c>
      <c r="L280" s="16">
        <f>IF(OR(K280="",N(F280)=0),"",F280/K280)</f>
        <v/>
      </c>
      <c r="M280" s="25" t="n"/>
      <c r="N280" s="1">
        <f>IF(AND(G280="Finished",I280&lt;&gt;""),IF(YEAR(I280)=Dashboard!$C$4,I280+ROW()/10000000,""),"")</f>
        <v/>
      </c>
      <c r="O280">
        <f>IF(B280="","",IFERROR(MATCH(D280,Settings!$B$6:$B$17,0),12))</f>
        <v/>
      </c>
      <c r="P280">
        <f>IF(AND(G280="Reading",B280&lt;&gt;""),IF(H280="",TODAY(),H280)+ROW()/10000000,"")</f>
        <v/>
      </c>
      <c r="Q280">
        <f>IF(AND(N280&lt;&gt;"",N(J280)=5),N280,"")</f>
        <v/>
      </c>
    </row>
    <row r="281">
      <c r="A281" s="1" t="n"/>
      <c r="B281" s="24" t="n"/>
      <c r="C281" s="25" t="n"/>
      <c r="D281" s="25" t="n"/>
      <c r="E281" s="26" t="n"/>
      <c r="F281" s="27" t="n"/>
      <c r="G281" s="26" t="n"/>
      <c r="H281" s="28" t="n"/>
      <c r="I281" s="28" t="n"/>
      <c r="J281" s="27" t="n"/>
      <c r="K281" s="16">
        <f>IF(OR(H281="",I281=""),"",I281-H281+1)</f>
        <v/>
      </c>
      <c r="L281" s="16">
        <f>IF(OR(K281="",N(F281)=0),"",F281/K281)</f>
        <v/>
      </c>
      <c r="M281" s="25" t="n"/>
      <c r="N281" s="1">
        <f>IF(AND(G281="Finished",I281&lt;&gt;""),IF(YEAR(I281)=Dashboard!$C$4,I281+ROW()/10000000,""),"")</f>
        <v/>
      </c>
      <c r="O281">
        <f>IF(B281="","",IFERROR(MATCH(D281,Settings!$B$6:$B$17,0),12))</f>
        <v/>
      </c>
      <c r="P281">
        <f>IF(AND(G281="Reading",B281&lt;&gt;""),IF(H281="",TODAY(),H281)+ROW()/10000000,"")</f>
        <v/>
      </c>
      <c r="Q281">
        <f>IF(AND(N281&lt;&gt;"",N(J281)=5),N281,"")</f>
        <v/>
      </c>
    </row>
    <row r="282">
      <c r="A282" s="1" t="n"/>
      <c r="B282" s="24" t="n"/>
      <c r="C282" s="25" t="n"/>
      <c r="D282" s="25" t="n"/>
      <c r="E282" s="26" t="n"/>
      <c r="F282" s="27" t="n"/>
      <c r="G282" s="26" t="n"/>
      <c r="H282" s="28" t="n"/>
      <c r="I282" s="28" t="n"/>
      <c r="J282" s="27" t="n"/>
      <c r="K282" s="16">
        <f>IF(OR(H282="",I282=""),"",I282-H282+1)</f>
        <v/>
      </c>
      <c r="L282" s="16">
        <f>IF(OR(K282="",N(F282)=0),"",F282/K282)</f>
        <v/>
      </c>
      <c r="M282" s="25" t="n"/>
      <c r="N282" s="1">
        <f>IF(AND(G282="Finished",I282&lt;&gt;""),IF(YEAR(I282)=Dashboard!$C$4,I282+ROW()/10000000,""),"")</f>
        <v/>
      </c>
      <c r="O282">
        <f>IF(B282="","",IFERROR(MATCH(D282,Settings!$B$6:$B$17,0),12))</f>
        <v/>
      </c>
      <c r="P282">
        <f>IF(AND(G282="Reading",B282&lt;&gt;""),IF(H282="",TODAY(),H282)+ROW()/10000000,"")</f>
        <v/>
      </c>
      <c r="Q282">
        <f>IF(AND(N282&lt;&gt;"",N(J282)=5),N282,"")</f>
        <v/>
      </c>
    </row>
    <row r="283">
      <c r="A283" s="1" t="n"/>
      <c r="B283" s="24" t="n"/>
      <c r="C283" s="25" t="n"/>
      <c r="D283" s="25" t="n"/>
      <c r="E283" s="26" t="n"/>
      <c r="F283" s="27" t="n"/>
      <c r="G283" s="26" t="n"/>
      <c r="H283" s="28" t="n"/>
      <c r="I283" s="28" t="n"/>
      <c r="J283" s="27" t="n"/>
      <c r="K283" s="16">
        <f>IF(OR(H283="",I283=""),"",I283-H283+1)</f>
        <v/>
      </c>
      <c r="L283" s="16">
        <f>IF(OR(K283="",N(F283)=0),"",F283/K283)</f>
        <v/>
      </c>
      <c r="M283" s="25" t="n"/>
      <c r="N283" s="1">
        <f>IF(AND(G283="Finished",I283&lt;&gt;""),IF(YEAR(I283)=Dashboard!$C$4,I283+ROW()/10000000,""),"")</f>
        <v/>
      </c>
      <c r="O283">
        <f>IF(B283="","",IFERROR(MATCH(D283,Settings!$B$6:$B$17,0),12))</f>
        <v/>
      </c>
      <c r="P283">
        <f>IF(AND(G283="Reading",B283&lt;&gt;""),IF(H283="",TODAY(),H283)+ROW()/10000000,"")</f>
        <v/>
      </c>
      <c r="Q283">
        <f>IF(AND(N283&lt;&gt;"",N(J283)=5),N283,"")</f>
        <v/>
      </c>
    </row>
    <row r="284">
      <c r="A284" s="1" t="n"/>
      <c r="B284" s="24" t="n"/>
      <c r="C284" s="25" t="n"/>
      <c r="D284" s="25" t="n"/>
      <c r="E284" s="26" t="n"/>
      <c r="F284" s="27" t="n"/>
      <c r="G284" s="26" t="n"/>
      <c r="H284" s="28" t="n"/>
      <c r="I284" s="28" t="n"/>
      <c r="J284" s="27" t="n"/>
      <c r="K284" s="16">
        <f>IF(OR(H284="",I284=""),"",I284-H284+1)</f>
        <v/>
      </c>
      <c r="L284" s="16">
        <f>IF(OR(K284="",N(F284)=0),"",F284/K284)</f>
        <v/>
      </c>
      <c r="M284" s="25" t="n"/>
      <c r="N284" s="1">
        <f>IF(AND(G284="Finished",I284&lt;&gt;""),IF(YEAR(I284)=Dashboard!$C$4,I284+ROW()/10000000,""),"")</f>
        <v/>
      </c>
      <c r="O284">
        <f>IF(B284="","",IFERROR(MATCH(D284,Settings!$B$6:$B$17,0),12))</f>
        <v/>
      </c>
      <c r="P284">
        <f>IF(AND(G284="Reading",B284&lt;&gt;""),IF(H284="",TODAY(),H284)+ROW()/10000000,"")</f>
        <v/>
      </c>
      <c r="Q284">
        <f>IF(AND(N284&lt;&gt;"",N(J284)=5),N284,"")</f>
        <v/>
      </c>
    </row>
    <row r="285">
      <c r="A285" s="1" t="n"/>
      <c r="B285" s="24" t="n"/>
      <c r="C285" s="25" t="n"/>
      <c r="D285" s="25" t="n"/>
      <c r="E285" s="26" t="n"/>
      <c r="F285" s="27" t="n"/>
      <c r="G285" s="26" t="n"/>
      <c r="H285" s="28" t="n"/>
      <c r="I285" s="28" t="n"/>
      <c r="J285" s="27" t="n"/>
      <c r="K285" s="16">
        <f>IF(OR(H285="",I285=""),"",I285-H285+1)</f>
        <v/>
      </c>
      <c r="L285" s="16">
        <f>IF(OR(K285="",N(F285)=0),"",F285/K285)</f>
        <v/>
      </c>
      <c r="M285" s="25" t="n"/>
      <c r="N285" s="1">
        <f>IF(AND(G285="Finished",I285&lt;&gt;""),IF(YEAR(I285)=Dashboard!$C$4,I285+ROW()/10000000,""),"")</f>
        <v/>
      </c>
      <c r="O285">
        <f>IF(B285="","",IFERROR(MATCH(D285,Settings!$B$6:$B$17,0),12))</f>
        <v/>
      </c>
      <c r="P285">
        <f>IF(AND(G285="Reading",B285&lt;&gt;""),IF(H285="",TODAY(),H285)+ROW()/10000000,"")</f>
        <v/>
      </c>
      <c r="Q285">
        <f>IF(AND(N285&lt;&gt;"",N(J285)=5),N285,"")</f>
        <v/>
      </c>
    </row>
    <row r="286">
      <c r="A286" s="1" t="n"/>
      <c r="B286" s="24" t="n"/>
      <c r="C286" s="25" t="n"/>
      <c r="D286" s="25" t="n"/>
      <c r="E286" s="26" t="n"/>
      <c r="F286" s="27" t="n"/>
      <c r="G286" s="26" t="n"/>
      <c r="H286" s="28" t="n"/>
      <c r="I286" s="28" t="n"/>
      <c r="J286" s="27" t="n"/>
      <c r="K286" s="16">
        <f>IF(OR(H286="",I286=""),"",I286-H286+1)</f>
        <v/>
      </c>
      <c r="L286" s="16">
        <f>IF(OR(K286="",N(F286)=0),"",F286/K286)</f>
        <v/>
      </c>
      <c r="M286" s="25" t="n"/>
      <c r="N286" s="1">
        <f>IF(AND(G286="Finished",I286&lt;&gt;""),IF(YEAR(I286)=Dashboard!$C$4,I286+ROW()/10000000,""),"")</f>
        <v/>
      </c>
      <c r="O286">
        <f>IF(B286="","",IFERROR(MATCH(D286,Settings!$B$6:$B$17,0),12))</f>
        <v/>
      </c>
      <c r="P286">
        <f>IF(AND(G286="Reading",B286&lt;&gt;""),IF(H286="",TODAY(),H286)+ROW()/10000000,"")</f>
        <v/>
      </c>
      <c r="Q286">
        <f>IF(AND(N286&lt;&gt;"",N(J286)=5),N286,"")</f>
        <v/>
      </c>
    </row>
    <row r="287">
      <c r="A287" s="1" t="n"/>
      <c r="B287" s="24" t="n"/>
      <c r="C287" s="25" t="n"/>
      <c r="D287" s="25" t="n"/>
      <c r="E287" s="26" t="n"/>
      <c r="F287" s="27" t="n"/>
      <c r="G287" s="26" t="n"/>
      <c r="H287" s="28" t="n"/>
      <c r="I287" s="28" t="n"/>
      <c r="J287" s="27" t="n"/>
      <c r="K287" s="16">
        <f>IF(OR(H287="",I287=""),"",I287-H287+1)</f>
        <v/>
      </c>
      <c r="L287" s="16">
        <f>IF(OR(K287="",N(F287)=0),"",F287/K287)</f>
        <v/>
      </c>
      <c r="M287" s="25" t="n"/>
      <c r="N287" s="1">
        <f>IF(AND(G287="Finished",I287&lt;&gt;""),IF(YEAR(I287)=Dashboard!$C$4,I287+ROW()/10000000,""),"")</f>
        <v/>
      </c>
      <c r="O287">
        <f>IF(B287="","",IFERROR(MATCH(D287,Settings!$B$6:$B$17,0),12))</f>
        <v/>
      </c>
      <c r="P287">
        <f>IF(AND(G287="Reading",B287&lt;&gt;""),IF(H287="",TODAY(),H287)+ROW()/10000000,"")</f>
        <v/>
      </c>
      <c r="Q287">
        <f>IF(AND(N287&lt;&gt;"",N(J287)=5),N287,"")</f>
        <v/>
      </c>
    </row>
    <row r="288">
      <c r="A288" s="1" t="n"/>
      <c r="B288" s="24" t="n"/>
      <c r="C288" s="25" t="n"/>
      <c r="D288" s="25" t="n"/>
      <c r="E288" s="26" t="n"/>
      <c r="F288" s="27" t="n"/>
      <c r="G288" s="26" t="n"/>
      <c r="H288" s="28" t="n"/>
      <c r="I288" s="28" t="n"/>
      <c r="J288" s="27" t="n"/>
      <c r="K288" s="16">
        <f>IF(OR(H288="",I288=""),"",I288-H288+1)</f>
        <v/>
      </c>
      <c r="L288" s="16">
        <f>IF(OR(K288="",N(F288)=0),"",F288/K288)</f>
        <v/>
      </c>
      <c r="M288" s="25" t="n"/>
      <c r="N288" s="1">
        <f>IF(AND(G288="Finished",I288&lt;&gt;""),IF(YEAR(I288)=Dashboard!$C$4,I288+ROW()/10000000,""),"")</f>
        <v/>
      </c>
      <c r="O288">
        <f>IF(B288="","",IFERROR(MATCH(D288,Settings!$B$6:$B$17,0),12))</f>
        <v/>
      </c>
      <c r="P288">
        <f>IF(AND(G288="Reading",B288&lt;&gt;""),IF(H288="",TODAY(),H288)+ROW()/10000000,"")</f>
        <v/>
      </c>
      <c r="Q288">
        <f>IF(AND(N288&lt;&gt;"",N(J288)=5),N288,"")</f>
        <v/>
      </c>
    </row>
    <row r="289">
      <c r="A289" s="1" t="n"/>
      <c r="B289" s="24" t="n"/>
      <c r="C289" s="25" t="n"/>
      <c r="D289" s="25" t="n"/>
      <c r="E289" s="26" t="n"/>
      <c r="F289" s="27" t="n"/>
      <c r="G289" s="26" t="n"/>
      <c r="H289" s="28" t="n"/>
      <c r="I289" s="28" t="n"/>
      <c r="J289" s="27" t="n"/>
      <c r="K289" s="16">
        <f>IF(OR(H289="",I289=""),"",I289-H289+1)</f>
        <v/>
      </c>
      <c r="L289" s="16">
        <f>IF(OR(K289="",N(F289)=0),"",F289/K289)</f>
        <v/>
      </c>
      <c r="M289" s="25" t="n"/>
      <c r="N289" s="1">
        <f>IF(AND(G289="Finished",I289&lt;&gt;""),IF(YEAR(I289)=Dashboard!$C$4,I289+ROW()/10000000,""),"")</f>
        <v/>
      </c>
      <c r="O289">
        <f>IF(B289="","",IFERROR(MATCH(D289,Settings!$B$6:$B$17,0),12))</f>
        <v/>
      </c>
      <c r="P289">
        <f>IF(AND(G289="Reading",B289&lt;&gt;""),IF(H289="",TODAY(),H289)+ROW()/10000000,"")</f>
        <v/>
      </c>
      <c r="Q289">
        <f>IF(AND(N289&lt;&gt;"",N(J289)=5),N289,"")</f>
        <v/>
      </c>
    </row>
    <row r="290">
      <c r="A290" s="1" t="n"/>
      <c r="B290" s="24" t="n"/>
      <c r="C290" s="25" t="n"/>
      <c r="D290" s="25" t="n"/>
      <c r="E290" s="26" t="n"/>
      <c r="F290" s="27" t="n"/>
      <c r="G290" s="26" t="n"/>
      <c r="H290" s="28" t="n"/>
      <c r="I290" s="28" t="n"/>
      <c r="J290" s="27" t="n"/>
      <c r="K290" s="16">
        <f>IF(OR(H290="",I290=""),"",I290-H290+1)</f>
        <v/>
      </c>
      <c r="L290" s="16">
        <f>IF(OR(K290="",N(F290)=0),"",F290/K290)</f>
        <v/>
      </c>
      <c r="M290" s="25" t="n"/>
      <c r="N290" s="1">
        <f>IF(AND(G290="Finished",I290&lt;&gt;""),IF(YEAR(I290)=Dashboard!$C$4,I290+ROW()/10000000,""),"")</f>
        <v/>
      </c>
      <c r="O290">
        <f>IF(B290="","",IFERROR(MATCH(D290,Settings!$B$6:$B$17,0),12))</f>
        <v/>
      </c>
      <c r="P290">
        <f>IF(AND(G290="Reading",B290&lt;&gt;""),IF(H290="",TODAY(),H290)+ROW()/10000000,"")</f>
        <v/>
      </c>
      <c r="Q290">
        <f>IF(AND(N290&lt;&gt;"",N(J290)=5),N290,"")</f>
        <v/>
      </c>
    </row>
    <row r="291">
      <c r="A291" s="1" t="n"/>
      <c r="B291" s="24" t="n"/>
      <c r="C291" s="25" t="n"/>
      <c r="D291" s="25" t="n"/>
      <c r="E291" s="26" t="n"/>
      <c r="F291" s="27" t="n"/>
      <c r="G291" s="26" t="n"/>
      <c r="H291" s="28" t="n"/>
      <c r="I291" s="28" t="n"/>
      <c r="J291" s="27" t="n"/>
      <c r="K291" s="16">
        <f>IF(OR(H291="",I291=""),"",I291-H291+1)</f>
        <v/>
      </c>
      <c r="L291" s="16">
        <f>IF(OR(K291="",N(F291)=0),"",F291/K291)</f>
        <v/>
      </c>
      <c r="M291" s="25" t="n"/>
      <c r="N291" s="1">
        <f>IF(AND(G291="Finished",I291&lt;&gt;""),IF(YEAR(I291)=Dashboard!$C$4,I291+ROW()/10000000,""),"")</f>
        <v/>
      </c>
      <c r="O291">
        <f>IF(B291="","",IFERROR(MATCH(D291,Settings!$B$6:$B$17,0),12))</f>
        <v/>
      </c>
      <c r="P291">
        <f>IF(AND(G291="Reading",B291&lt;&gt;""),IF(H291="",TODAY(),H291)+ROW()/10000000,"")</f>
        <v/>
      </c>
      <c r="Q291">
        <f>IF(AND(N291&lt;&gt;"",N(J291)=5),N291,"")</f>
        <v/>
      </c>
    </row>
    <row r="292">
      <c r="A292" s="1" t="n"/>
      <c r="B292" s="24" t="n"/>
      <c r="C292" s="25" t="n"/>
      <c r="D292" s="25" t="n"/>
      <c r="E292" s="26" t="n"/>
      <c r="F292" s="27" t="n"/>
      <c r="G292" s="26" t="n"/>
      <c r="H292" s="28" t="n"/>
      <c r="I292" s="28" t="n"/>
      <c r="J292" s="27" t="n"/>
      <c r="K292" s="16">
        <f>IF(OR(H292="",I292=""),"",I292-H292+1)</f>
        <v/>
      </c>
      <c r="L292" s="16">
        <f>IF(OR(K292="",N(F292)=0),"",F292/K292)</f>
        <v/>
      </c>
      <c r="M292" s="25" t="n"/>
      <c r="N292" s="1">
        <f>IF(AND(G292="Finished",I292&lt;&gt;""),IF(YEAR(I292)=Dashboard!$C$4,I292+ROW()/10000000,""),"")</f>
        <v/>
      </c>
      <c r="O292">
        <f>IF(B292="","",IFERROR(MATCH(D292,Settings!$B$6:$B$17,0),12))</f>
        <v/>
      </c>
      <c r="P292">
        <f>IF(AND(G292="Reading",B292&lt;&gt;""),IF(H292="",TODAY(),H292)+ROW()/10000000,"")</f>
        <v/>
      </c>
      <c r="Q292">
        <f>IF(AND(N292&lt;&gt;"",N(J292)=5),N292,"")</f>
        <v/>
      </c>
    </row>
    <row r="293">
      <c r="A293" s="1" t="n"/>
      <c r="B293" s="24" t="n"/>
      <c r="C293" s="25" t="n"/>
      <c r="D293" s="25" t="n"/>
      <c r="E293" s="26" t="n"/>
      <c r="F293" s="27" t="n"/>
      <c r="G293" s="26" t="n"/>
      <c r="H293" s="28" t="n"/>
      <c r="I293" s="28" t="n"/>
      <c r="J293" s="27" t="n"/>
      <c r="K293" s="16">
        <f>IF(OR(H293="",I293=""),"",I293-H293+1)</f>
        <v/>
      </c>
      <c r="L293" s="16">
        <f>IF(OR(K293="",N(F293)=0),"",F293/K293)</f>
        <v/>
      </c>
      <c r="M293" s="25" t="n"/>
      <c r="N293" s="1">
        <f>IF(AND(G293="Finished",I293&lt;&gt;""),IF(YEAR(I293)=Dashboard!$C$4,I293+ROW()/10000000,""),"")</f>
        <v/>
      </c>
      <c r="O293">
        <f>IF(B293="","",IFERROR(MATCH(D293,Settings!$B$6:$B$17,0),12))</f>
        <v/>
      </c>
      <c r="P293">
        <f>IF(AND(G293="Reading",B293&lt;&gt;""),IF(H293="",TODAY(),H293)+ROW()/10000000,"")</f>
        <v/>
      </c>
      <c r="Q293">
        <f>IF(AND(N293&lt;&gt;"",N(J293)=5),N293,"")</f>
        <v/>
      </c>
    </row>
    <row r="294">
      <c r="A294" s="1" t="n"/>
      <c r="B294" s="24" t="n"/>
      <c r="C294" s="25" t="n"/>
      <c r="D294" s="25" t="n"/>
      <c r="E294" s="26" t="n"/>
      <c r="F294" s="27" t="n"/>
      <c r="G294" s="26" t="n"/>
      <c r="H294" s="28" t="n"/>
      <c r="I294" s="28" t="n"/>
      <c r="J294" s="27" t="n"/>
      <c r="K294" s="16">
        <f>IF(OR(H294="",I294=""),"",I294-H294+1)</f>
        <v/>
      </c>
      <c r="L294" s="16">
        <f>IF(OR(K294="",N(F294)=0),"",F294/K294)</f>
        <v/>
      </c>
      <c r="M294" s="25" t="n"/>
      <c r="N294" s="1">
        <f>IF(AND(G294="Finished",I294&lt;&gt;""),IF(YEAR(I294)=Dashboard!$C$4,I294+ROW()/10000000,""),"")</f>
        <v/>
      </c>
      <c r="O294">
        <f>IF(B294="","",IFERROR(MATCH(D294,Settings!$B$6:$B$17,0),12))</f>
        <v/>
      </c>
      <c r="P294">
        <f>IF(AND(G294="Reading",B294&lt;&gt;""),IF(H294="",TODAY(),H294)+ROW()/10000000,"")</f>
        <v/>
      </c>
      <c r="Q294">
        <f>IF(AND(N294&lt;&gt;"",N(J294)=5),N294,"")</f>
        <v/>
      </c>
    </row>
    <row r="295">
      <c r="A295" s="1" t="n"/>
      <c r="B295" s="24" t="n"/>
      <c r="C295" s="25" t="n"/>
      <c r="D295" s="25" t="n"/>
      <c r="E295" s="26" t="n"/>
      <c r="F295" s="27" t="n"/>
      <c r="G295" s="26" t="n"/>
      <c r="H295" s="28" t="n"/>
      <c r="I295" s="28" t="n"/>
      <c r="J295" s="27" t="n"/>
      <c r="K295" s="16">
        <f>IF(OR(H295="",I295=""),"",I295-H295+1)</f>
        <v/>
      </c>
      <c r="L295" s="16">
        <f>IF(OR(K295="",N(F295)=0),"",F295/K295)</f>
        <v/>
      </c>
      <c r="M295" s="25" t="n"/>
      <c r="N295" s="1">
        <f>IF(AND(G295="Finished",I295&lt;&gt;""),IF(YEAR(I295)=Dashboard!$C$4,I295+ROW()/10000000,""),"")</f>
        <v/>
      </c>
      <c r="O295">
        <f>IF(B295="","",IFERROR(MATCH(D295,Settings!$B$6:$B$17,0),12))</f>
        <v/>
      </c>
      <c r="P295">
        <f>IF(AND(G295="Reading",B295&lt;&gt;""),IF(H295="",TODAY(),H295)+ROW()/10000000,"")</f>
        <v/>
      </c>
      <c r="Q295">
        <f>IF(AND(N295&lt;&gt;"",N(J295)=5),N295,"")</f>
        <v/>
      </c>
    </row>
    <row r="296">
      <c r="A296" s="1" t="n"/>
      <c r="B296" s="24" t="n"/>
      <c r="C296" s="25" t="n"/>
      <c r="D296" s="25" t="n"/>
      <c r="E296" s="26" t="n"/>
      <c r="F296" s="27" t="n"/>
      <c r="G296" s="26" t="n"/>
      <c r="H296" s="28" t="n"/>
      <c r="I296" s="28" t="n"/>
      <c r="J296" s="27" t="n"/>
      <c r="K296" s="16">
        <f>IF(OR(H296="",I296=""),"",I296-H296+1)</f>
        <v/>
      </c>
      <c r="L296" s="16">
        <f>IF(OR(K296="",N(F296)=0),"",F296/K296)</f>
        <v/>
      </c>
      <c r="M296" s="25" t="n"/>
      <c r="N296" s="1">
        <f>IF(AND(G296="Finished",I296&lt;&gt;""),IF(YEAR(I296)=Dashboard!$C$4,I296+ROW()/10000000,""),"")</f>
        <v/>
      </c>
      <c r="O296">
        <f>IF(B296="","",IFERROR(MATCH(D296,Settings!$B$6:$B$17,0),12))</f>
        <v/>
      </c>
      <c r="P296">
        <f>IF(AND(G296="Reading",B296&lt;&gt;""),IF(H296="",TODAY(),H296)+ROW()/10000000,"")</f>
        <v/>
      </c>
      <c r="Q296">
        <f>IF(AND(N296&lt;&gt;"",N(J296)=5),N296,"")</f>
        <v/>
      </c>
    </row>
    <row r="297">
      <c r="A297" s="1" t="n"/>
      <c r="B297" s="24" t="n"/>
      <c r="C297" s="25" t="n"/>
      <c r="D297" s="25" t="n"/>
      <c r="E297" s="26" t="n"/>
      <c r="F297" s="27" t="n"/>
      <c r="G297" s="26" t="n"/>
      <c r="H297" s="28" t="n"/>
      <c r="I297" s="28" t="n"/>
      <c r="J297" s="27" t="n"/>
      <c r="K297" s="16">
        <f>IF(OR(H297="",I297=""),"",I297-H297+1)</f>
        <v/>
      </c>
      <c r="L297" s="16">
        <f>IF(OR(K297="",N(F297)=0),"",F297/K297)</f>
        <v/>
      </c>
      <c r="M297" s="25" t="n"/>
      <c r="N297" s="1">
        <f>IF(AND(G297="Finished",I297&lt;&gt;""),IF(YEAR(I297)=Dashboard!$C$4,I297+ROW()/10000000,""),"")</f>
        <v/>
      </c>
      <c r="O297">
        <f>IF(B297="","",IFERROR(MATCH(D297,Settings!$B$6:$B$17,0),12))</f>
        <v/>
      </c>
      <c r="P297">
        <f>IF(AND(G297="Reading",B297&lt;&gt;""),IF(H297="",TODAY(),H297)+ROW()/10000000,"")</f>
        <v/>
      </c>
      <c r="Q297">
        <f>IF(AND(N297&lt;&gt;"",N(J297)=5),N297,"")</f>
        <v/>
      </c>
    </row>
    <row r="298">
      <c r="A298" s="1" t="n"/>
      <c r="B298" s="24" t="n"/>
      <c r="C298" s="25" t="n"/>
      <c r="D298" s="25" t="n"/>
      <c r="E298" s="26" t="n"/>
      <c r="F298" s="27" t="n"/>
      <c r="G298" s="26" t="n"/>
      <c r="H298" s="28" t="n"/>
      <c r="I298" s="28" t="n"/>
      <c r="J298" s="27" t="n"/>
      <c r="K298" s="16">
        <f>IF(OR(H298="",I298=""),"",I298-H298+1)</f>
        <v/>
      </c>
      <c r="L298" s="16">
        <f>IF(OR(K298="",N(F298)=0),"",F298/K298)</f>
        <v/>
      </c>
      <c r="M298" s="25" t="n"/>
      <c r="N298" s="1">
        <f>IF(AND(G298="Finished",I298&lt;&gt;""),IF(YEAR(I298)=Dashboard!$C$4,I298+ROW()/10000000,""),"")</f>
        <v/>
      </c>
      <c r="O298">
        <f>IF(B298="","",IFERROR(MATCH(D298,Settings!$B$6:$B$17,0),12))</f>
        <v/>
      </c>
      <c r="P298">
        <f>IF(AND(G298="Reading",B298&lt;&gt;""),IF(H298="",TODAY(),H298)+ROW()/10000000,"")</f>
        <v/>
      </c>
      <c r="Q298">
        <f>IF(AND(N298&lt;&gt;"",N(J298)=5),N298,"")</f>
        <v/>
      </c>
    </row>
    <row r="299">
      <c r="A299" s="1" t="n"/>
      <c r="B299" s="24" t="n"/>
      <c r="C299" s="25" t="n"/>
      <c r="D299" s="25" t="n"/>
      <c r="E299" s="26" t="n"/>
      <c r="F299" s="27" t="n"/>
      <c r="G299" s="26" t="n"/>
      <c r="H299" s="28" t="n"/>
      <c r="I299" s="28" t="n"/>
      <c r="J299" s="27" t="n"/>
      <c r="K299" s="16">
        <f>IF(OR(H299="",I299=""),"",I299-H299+1)</f>
        <v/>
      </c>
      <c r="L299" s="16">
        <f>IF(OR(K299="",N(F299)=0),"",F299/K299)</f>
        <v/>
      </c>
      <c r="M299" s="25" t="n"/>
      <c r="N299" s="1">
        <f>IF(AND(G299="Finished",I299&lt;&gt;""),IF(YEAR(I299)=Dashboard!$C$4,I299+ROW()/10000000,""),"")</f>
        <v/>
      </c>
      <c r="O299">
        <f>IF(B299="","",IFERROR(MATCH(D299,Settings!$B$6:$B$17,0),12))</f>
        <v/>
      </c>
      <c r="P299">
        <f>IF(AND(G299="Reading",B299&lt;&gt;""),IF(H299="",TODAY(),H299)+ROW()/10000000,"")</f>
        <v/>
      </c>
      <c r="Q299">
        <f>IF(AND(N299&lt;&gt;"",N(J299)=5),N299,"")</f>
        <v/>
      </c>
    </row>
    <row r="300">
      <c r="A300" s="1" t="n"/>
      <c r="B300" s="24" t="n"/>
      <c r="C300" s="25" t="n"/>
      <c r="D300" s="25" t="n"/>
      <c r="E300" s="26" t="n"/>
      <c r="F300" s="27" t="n"/>
      <c r="G300" s="26" t="n"/>
      <c r="H300" s="28" t="n"/>
      <c r="I300" s="28" t="n"/>
      <c r="J300" s="27" t="n"/>
      <c r="K300" s="16">
        <f>IF(OR(H300="",I300=""),"",I300-H300+1)</f>
        <v/>
      </c>
      <c r="L300" s="16">
        <f>IF(OR(K300="",N(F300)=0),"",F300/K300)</f>
        <v/>
      </c>
      <c r="M300" s="25" t="n"/>
      <c r="N300" s="1">
        <f>IF(AND(G300="Finished",I300&lt;&gt;""),IF(YEAR(I300)=Dashboard!$C$4,I300+ROW()/10000000,""),"")</f>
        <v/>
      </c>
      <c r="O300">
        <f>IF(B300="","",IFERROR(MATCH(D300,Settings!$B$6:$B$17,0),12))</f>
        <v/>
      </c>
      <c r="P300">
        <f>IF(AND(G300="Reading",B300&lt;&gt;""),IF(H300="",TODAY(),H300)+ROW()/10000000,"")</f>
        <v/>
      </c>
      <c r="Q300">
        <f>IF(AND(N300&lt;&gt;"",N(J300)=5),N300,"")</f>
        <v/>
      </c>
    </row>
    <row r="301">
      <c r="A301" s="1" t="n"/>
      <c r="B301" s="24" t="n"/>
      <c r="C301" s="25" t="n"/>
      <c r="D301" s="25" t="n"/>
      <c r="E301" s="26" t="n"/>
      <c r="F301" s="27" t="n"/>
      <c r="G301" s="26" t="n"/>
      <c r="H301" s="28" t="n"/>
      <c r="I301" s="28" t="n"/>
      <c r="J301" s="27" t="n"/>
      <c r="K301" s="16">
        <f>IF(OR(H301="",I301=""),"",I301-H301+1)</f>
        <v/>
      </c>
      <c r="L301" s="16">
        <f>IF(OR(K301="",N(F301)=0),"",F301/K301)</f>
        <v/>
      </c>
      <c r="M301" s="25" t="n"/>
      <c r="N301" s="1">
        <f>IF(AND(G301="Finished",I301&lt;&gt;""),IF(YEAR(I301)=Dashboard!$C$4,I301+ROW()/10000000,""),"")</f>
        <v/>
      </c>
      <c r="O301">
        <f>IF(B301="","",IFERROR(MATCH(D301,Settings!$B$6:$B$17,0),12))</f>
        <v/>
      </c>
      <c r="P301">
        <f>IF(AND(G301="Reading",B301&lt;&gt;""),IF(H301="",TODAY(),H301)+ROW()/10000000,"")</f>
        <v/>
      </c>
      <c r="Q301">
        <f>IF(AND(N301&lt;&gt;"",N(J301)=5),N301,"")</f>
        <v/>
      </c>
    </row>
    <row r="302">
      <c r="A302" s="1" t="n"/>
      <c r="B302" s="24" t="n"/>
      <c r="C302" s="25" t="n"/>
      <c r="D302" s="25" t="n"/>
      <c r="E302" s="26" t="n"/>
      <c r="F302" s="27" t="n"/>
      <c r="G302" s="26" t="n"/>
      <c r="H302" s="28" t="n"/>
      <c r="I302" s="28" t="n"/>
      <c r="J302" s="27" t="n"/>
      <c r="K302" s="16">
        <f>IF(OR(H302="",I302=""),"",I302-H302+1)</f>
        <v/>
      </c>
      <c r="L302" s="16">
        <f>IF(OR(K302="",N(F302)=0),"",F302/K302)</f>
        <v/>
      </c>
      <c r="M302" s="25" t="n"/>
      <c r="N302" s="1">
        <f>IF(AND(G302="Finished",I302&lt;&gt;""),IF(YEAR(I302)=Dashboard!$C$4,I302+ROW()/10000000,""),"")</f>
        <v/>
      </c>
      <c r="O302">
        <f>IF(B302="","",IFERROR(MATCH(D302,Settings!$B$6:$B$17,0),12))</f>
        <v/>
      </c>
      <c r="P302">
        <f>IF(AND(G302="Reading",B302&lt;&gt;""),IF(H302="",TODAY(),H302)+ROW()/10000000,"")</f>
        <v/>
      </c>
      <c r="Q302">
        <f>IF(AND(N302&lt;&gt;"",N(J302)=5),N302,"")</f>
        <v/>
      </c>
    </row>
    <row r="303">
      <c r="A303" s="1" t="n"/>
      <c r="B303" s="24" t="n"/>
      <c r="C303" s="25" t="n"/>
      <c r="D303" s="25" t="n"/>
      <c r="E303" s="26" t="n"/>
      <c r="F303" s="27" t="n"/>
      <c r="G303" s="26" t="n"/>
      <c r="H303" s="28" t="n"/>
      <c r="I303" s="28" t="n"/>
      <c r="J303" s="27" t="n"/>
      <c r="K303" s="16">
        <f>IF(OR(H303="",I303=""),"",I303-H303+1)</f>
        <v/>
      </c>
      <c r="L303" s="16">
        <f>IF(OR(K303="",N(F303)=0),"",F303/K303)</f>
        <v/>
      </c>
      <c r="M303" s="25" t="n"/>
      <c r="N303" s="1">
        <f>IF(AND(G303="Finished",I303&lt;&gt;""),IF(YEAR(I303)=Dashboard!$C$4,I303+ROW()/10000000,""),"")</f>
        <v/>
      </c>
      <c r="O303">
        <f>IF(B303="","",IFERROR(MATCH(D303,Settings!$B$6:$B$17,0),12))</f>
        <v/>
      </c>
      <c r="P303">
        <f>IF(AND(G303="Reading",B303&lt;&gt;""),IF(H303="",TODAY(),H303)+ROW()/10000000,"")</f>
        <v/>
      </c>
      <c r="Q303">
        <f>IF(AND(N303&lt;&gt;"",N(J303)=5),N303,"")</f>
        <v/>
      </c>
    </row>
    <row r="304">
      <c r="A304" s="1" t="n"/>
      <c r="B304" s="24" t="n"/>
      <c r="C304" s="25" t="n"/>
      <c r="D304" s="25" t="n"/>
      <c r="E304" s="26" t="n"/>
      <c r="F304" s="27" t="n"/>
      <c r="G304" s="26" t="n"/>
      <c r="H304" s="28" t="n"/>
      <c r="I304" s="28" t="n"/>
      <c r="J304" s="27" t="n"/>
      <c r="K304" s="16">
        <f>IF(OR(H304="",I304=""),"",I304-H304+1)</f>
        <v/>
      </c>
      <c r="L304" s="16">
        <f>IF(OR(K304="",N(F304)=0),"",F304/K304)</f>
        <v/>
      </c>
      <c r="M304" s="25" t="n"/>
      <c r="N304" s="1">
        <f>IF(AND(G304="Finished",I304&lt;&gt;""),IF(YEAR(I304)=Dashboard!$C$4,I304+ROW()/10000000,""),"")</f>
        <v/>
      </c>
      <c r="O304">
        <f>IF(B304="","",IFERROR(MATCH(D304,Settings!$B$6:$B$17,0),12))</f>
        <v/>
      </c>
      <c r="P304">
        <f>IF(AND(G304="Reading",B304&lt;&gt;""),IF(H304="",TODAY(),H304)+ROW()/10000000,"")</f>
        <v/>
      </c>
      <c r="Q304">
        <f>IF(AND(N304&lt;&gt;"",N(J304)=5),N304,"")</f>
        <v/>
      </c>
    </row>
    <row r="305">
      <c r="A305" s="1" t="n"/>
      <c r="B305" s="24" t="n"/>
      <c r="C305" s="25" t="n"/>
      <c r="D305" s="25" t="n"/>
      <c r="E305" s="26" t="n"/>
      <c r="F305" s="27" t="n"/>
      <c r="G305" s="26" t="n"/>
      <c r="H305" s="28" t="n"/>
      <c r="I305" s="28" t="n"/>
      <c r="J305" s="27" t="n"/>
      <c r="K305" s="16">
        <f>IF(OR(H305="",I305=""),"",I305-H305+1)</f>
        <v/>
      </c>
      <c r="L305" s="16">
        <f>IF(OR(K305="",N(F305)=0),"",F305/K305)</f>
        <v/>
      </c>
      <c r="M305" s="25" t="n"/>
      <c r="N305" s="1">
        <f>IF(AND(G305="Finished",I305&lt;&gt;""),IF(YEAR(I305)=Dashboard!$C$4,I305+ROW()/10000000,""),"")</f>
        <v/>
      </c>
      <c r="O305">
        <f>IF(B305="","",IFERROR(MATCH(D305,Settings!$B$6:$B$17,0),12))</f>
        <v/>
      </c>
      <c r="P305">
        <f>IF(AND(G305="Reading",B305&lt;&gt;""),IF(H305="",TODAY(),H305)+ROW()/10000000,"")</f>
        <v/>
      </c>
      <c r="Q305">
        <f>IF(AND(N305&lt;&gt;"",N(J305)=5),N305,"")</f>
        <v/>
      </c>
    </row>
    <row r="306">
      <c r="A306" s="1" t="n"/>
      <c r="B306" s="24" t="n"/>
      <c r="C306" s="25" t="n"/>
      <c r="D306" s="25" t="n"/>
      <c r="E306" s="26" t="n"/>
      <c r="F306" s="27" t="n"/>
      <c r="G306" s="26" t="n"/>
      <c r="H306" s="28" t="n"/>
      <c r="I306" s="28" t="n"/>
      <c r="J306" s="27" t="n"/>
      <c r="K306" s="16">
        <f>IF(OR(H306="",I306=""),"",I306-H306+1)</f>
        <v/>
      </c>
      <c r="L306" s="16">
        <f>IF(OR(K306="",N(F306)=0),"",F306/K306)</f>
        <v/>
      </c>
      <c r="M306" s="25" t="n"/>
      <c r="N306" s="1">
        <f>IF(AND(G306="Finished",I306&lt;&gt;""),IF(YEAR(I306)=Dashboard!$C$4,I306+ROW()/10000000,""),"")</f>
        <v/>
      </c>
      <c r="O306">
        <f>IF(B306="","",IFERROR(MATCH(D306,Settings!$B$6:$B$17,0),12))</f>
        <v/>
      </c>
      <c r="P306">
        <f>IF(AND(G306="Reading",B306&lt;&gt;""),IF(H306="",TODAY(),H306)+ROW()/10000000,"")</f>
        <v/>
      </c>
      <c r="Q306">
        <f>IF(AND(N306&lt;&gt;"",N(J306)=5),N306,"")</f>
        <v/>
      </c>
    </row>
    <row r="307">
      <c r="A307" s="1" t="n"/>
      <c r="B307" s="24" t="n"/>
      <c r="C307" s="25" t="n"/>
      <c r="D307" s="25" t="n"/>
      <c r="E307" s="26" t="n"/>
      <c r="F307" s="27" t="n"/>
      <c r="G307" s="26" t="n"/>
      <c r="H307" s="28" t="n"/>
      <c r="I307" s="28" t="n"/>
      <c r="J307" s="27" t="n"/>
      <c r="K307" s="16">
        <f>IF(OR(H307="",I307=""),"",I307-H307+1)</f>
        <v/>
      </c>
      <c r="L307" s="16">
        <f>IF(OR(K307="",N(F307)=0),"",F307/K307)</f>
        <v/>
      </c>
      <c r="M307" s="25" t="n"/>
      <c r="N307" s="1">
        <f>IF(AND(G307="Finished",I307&lt;&gt;""),IF(YEAR(I307)=Dashboard!$C$4,I307+ROW()/10000000,""),"")</f>
        <v/>
      </c>
      <c r="O307">
        <f>IF(B307="","",IFERROR(MATCH(D307,Settings!$B$6:$B$17,0),12))</f>
        <v/>
      </c>
      <c r="P307">
        <f>IF(AND(G307="Reading",B307&lt;&gt;""),IF(H307="",TODAY(),H307)+ROW()/10000000,"")</f>
        <v/>
      </c>
      <c r="Q307">
        <f>IF(AND(N307&lt;&gt;"",N(J307)=5),N307,"")</f>
        <v/>
      </c>
    </row>
    <row r="308">
      <c r="A308" s="1" t="n"/>
      <c r="B308" s="24" t="n"/>
      <c r="C308" s="25" t="n"/>
      <c r="D308" s="25" t="n"/>
      <c r="E308" s="26" t="n"/>
      <c r="F308" s="27" t="n"/>
      <c r="G308" s="26" t="n"/>
      <c r="H308" s="28" t="n"/>
      <c r="I308" s="28" t="n"/>
      <c r="J308" s="27" t="n"/>
      <c r="K308" s="16">
        <f>IF(OR(H308="",I308=""),"",I308-H308+1)</f>
        <v/>
      </c>
      <c r="L308" s="16">
        <f>IF(OR(K308="",N(F308)=0),"",F308/K308)</f>
        <v/>
      </c>
      <c r="M308" s="25" t="n"/>
      <c r="N308" s="1">
        <f>IF(AND(G308="Finished",I308&lt;&gt;""),IF(YEAR(I308)=Dashboard!$C$4,I308+ROW()/10000000,""),"")</f>
        <v/>
      </c>
      <c r="O308">
        <f>IF(B308="","",IFERROR(MATCH(D308,Settings!$B$6:$B$17,0),12))</f>
        <v/>
      </c>
      <c r="P308">
        <f>IF(AND(G308="Reading",B308&lt;&gt;""),IF(H308="",TODAY(),H308)+ROW()/10000000,"")</f>
        <v/>
      </c>
      <c r="Q308">
        <f>IF(AND(N308&lt;&gt;"",N(J308)=5),N308,"")</f>
        <v/>
      </c>
    </row>
    <row r="309">
      <c r="A309" s="1" t="n"/>
      <c r="B309" s="24" t="n"/>
      <c r="C309" s="25" t="n"/>
      <c r="D309" s="25" t="n"/>
      <c r="E309" s="26" t="n"/>
      <c r="F309" s="27" t="n"/>
      <c r="G309" s="26" t="n"/>
      <c r="H309" s="28" t="n"/>
      <c r="I309" s="28" t="n"/>
      <c r="J309" s="27" t="n"/>
      <c r="K309" s="16">
        <f>IF(OR(H309="",I309=""),"",I309-H309+1)</f>
        <v/>
      </c>
      <c r="L309" s="16">
        <f>IF(OR(K309="",N(F309)=0),"",F309/K309)</f>
        <v/>
      </c>
      <c r="M309" s="25" t="n"/>
      <c r="N309" s="1">
        <f>IF(AND(G309="Finished",I309&lt;&gt;""),IF(YEAR(I309)=Dashboard!$C$4,I309+ROW()/10000000,""),"")</f>
        <v/>
      </c>
      <c r="O309">
        <f>IF(B309="","",IFERROR(MATCH(D309,Settings!$B$6:$B$17,0),12))</f>
        <v/>
      </c>
      <c r="P309">
        <f>IF(AND(G309="Reading",B309&lt;&gt;""),IF(H309="",TODAY(),H309)+ROW()/10000000,"")</f>
        <v/>
      </c>
      <c r="Q309">
        <f>IF(AND(N309&lt;&gt;"",N(J309)=5),N309,"")</f>
        <v/>
      </c>
    </row>
    <row r="310">
      <c r="A310" s="1" t="n"/>
      <c r="B310" s="24" t="n"/>
      <c r="C310" s="25" t="n"/>
      <c r="D310" s="25" t="n"/>
      <c r="E310" s="26" t="n"/>
      <c r="F310" s="27" t="n"/>
      <c r="G310" s="26" t="n"/>
      <c r="H310" s="28" t="n"/>
      <c r="I310" s="28" t="n"/>
      <c r="J310" s="27" t="n"/>
      <c r="K310" s="16">
        <f>IF(OR(H310="",I310=""),"",I310-H310+1)</f>
        <v/>
      </c>
      <c r="L310" s="16">
        <f>IF(OR(K310="",N(F310)=0),"",F310/K310)</f>
        <v/>
      </c>
      <c r="M310" s="25" t="n"/>
      <c r="N310" s="1">
        <f>IF(AND(G310="Finished",I310&lt;&gt;""),IF(YEAR(I310)=Dashboard!$C$4,I310+ROW()/10000000,""),"")</f>
        <v/>
      </c>
      <c r="O310">
        <f>IF(B310="","",IFERROR(MATCH(D310,Settings!$B$6:$B$17,0),12))</f>
        <v/>
      </c>
      <c r="P310">
        <f>IF(AND(G310="Reading",B310&lt;&gt;""),IF(H310="",TODAY(),H310)+ROW()/10000000,"")</f>
        <v/>
      </c>
      <c r="Q310">
        <f>IF(AND(N310&lt;&gt;"",N(J310)=5),N310,"")</f>
        <v/>
      </c>
    </row>
    <row r="311">
      <c r="A311" s="1" t="n"/>
      <c r="B311" s="24" t="n"/>
      <c r="C311" s="25" t="n"/>
      <c r="D311" s="25" t="n"/>
      <c r="E311" s="26" t="n"/>
      <c r="F311" s="27" t="n"/>
      <c r="G311" s="26" t="n"/>
      <c r="H311" s="28" t="n"/>
      <c r="I311" s="28" t="n"/>
      <c r="J311" s="27" t="n"/>
      <c r="K311" s="16">
        <f>IF(OR(H311="",I311=""),"",I311-H311+1)</f>
        <v/>
      </c>
      <c r="L311" s="16">
        <f>IF(OR(K311="",N(F311)=0),"",F311/K311)</f>
        <v/>
      </c>
      <c r="M311" s="25" t="n"/>
      <c r="N311" s="1">
        <f>IF(AND(G311="Finished",I311&lt;&gt;""),IF(YEAR(I311)=Dashboard!$C$4,I311+ROW()/10000000,""),"")</f>
        <v/>
      </c>
      <c r="O311">
        <f>IF(B311="","",IFERROR(MATCH(D311,Settings!$B$6:$B$17,0),12))</f>
        <v/>
      </c>
      <c r="P311">
        <f>IF(AND(G311="Reading",B311&lt;&gt;""),IF(H311="",TODAY(),H311)+ROW()/10000000,"")</f>
        <v/>
      </c>
      <c r="Q311">
        <f>IF(AND(N311&lt;&gt;"",N(J311)=5),N311,"")</f>
        <v/>
      </c>
    </row>
    <row r="312">
      <c r="A312" s="1" t="n"/>
      <c r="B312" s="24" t="n"/>
      <c r="C312" s="25" t="n"/>
      <c r="D312" s="25" t="n"/>
      <c r="E312" s="26" t="n"/>
      <c r="F312" s="27" t="n"/>
      <c r="G312" s="26" t="n"/>
      <c r="H312" s="28" t="n"/>
      <c r="I312" s="28" t="n"/>
      <c r="J312" s="27" t="n"/>
      <c r="K312" s="16">
        <f>IF(OR(H312="",I312=""),"",I312-H312+1)</f>
        <v/>
      </c>
      <c r="L312" s="16">
        <f>IF(OR(K312="",N(F312)=0),"",F312/K312)</f>
        <v/>
      </c>
      <c r="M312" s="25" t="n"/>
      <c r="N312" s="1">
        <f>IF(AND(G312="Finished",I312&lt;&gt;""),IF(YEAR(I312)=Dashboard!$C$4,I312+ROW()/10000000,""),"")</f>
        <v/>
      </c>
      <c r="O312">
        <f>IF(B312="","",IFERROR(MATCH(D312,Settings!$B$6:$B$17,0),12))</f>
        <v/>
      </c>
      <c r="P312">
        <f>IF(AND(G312="Reading",B312&lt;&gt;""),IF(H312="",TODAY(),H312)+ROW()/10000000,"")</f>
        <v/>
      </c>
      <c r="Q312">
        <f>IF(AND(N312&lt;&gt;"",N(J312)=5),N312,"")</f>
        <v/>
      </c>
    </row>
    <row r="313">
      <c r="A313" s="1" t="n"/>
      <c r="B313" s="24" t="n"/>
      <c r="C313" s="25" t="n"/>
      <c r="D313" s="25" t="n"/>
      <c r="E313" s="26" t="n"/>
      <c r="F313" s="27" t="n"/>
      <c r="G313" s="26" t="n"/>
      <c r="H313" s="28" t="n"/>
      <c r="I313" s="28" t="n"/>
      <c r="J313" s="27" t="n"/>
      <c r="K313" s="16">
        <f>IF(OR(H313="",I313=""),"",I313-H313+1)</f>
        <v/>
      </c>
      <c r="L313" s="16">
        <f>IF(OR(K313="",N(F313)=0),"",F313/K313)</f>
        <v/>
      </c>
      <c r="M313" s="25" t="n"/>
      <c r="N313" s="1">
        <f>IF(AND(G313="Finished",I313&lt;&gt;""),IF(YEAR(I313)=Dashboard!$C$4,I313+ROW()/10000000,""),"")</f>
        <v/>
      </c>
      <c r="O313">
        <f>IF(B313="","",IFERROR(MATCH(D313,Settings!$B$6:$B$17,0),12))</f>
        <v/>
      </c>
      <c r="P313">
        <f>IF(AND(G313="Reading",B313&lt;&gt;""),IF(H313="",TODAY(),H313)+ROW()/10000000,"")</f>
        <v/>
      </c>
      <c r="Q313">
        <f>IF(AND(N313&lt;&gt;"",N(J313)=5),N313,"")</f>
        <v/>
      </c>
    </row>
    <row r="314">
      <c r="A314" s="1" t="n"/>
      <c r="B314" s="24" t="n"/>
      <c r="C314" s="25" t="n"/>
      <c r="D314" s="25" t="n"/>
      <c r="E314" s="26" t="n"/>
      <c r="F314" s="27" t="n"/>
      <c r="G314" s="26" t="n"/>
      <c r="H314" s="28" t="n"/>
      <c r="I314" s="28" t="n"/>
      <c r="J314" s="27" t="n"/>
      <c r="K314" s="16">
        <f>IF(OR(H314="",I314=""),"",I314-H314+1)</f>
        <v/>
      </c>
      <c r="L314" s="16">
        <f>IF(OR(K314="",N(F314)=0),"",F314/K314)</f>
        <v/>
      </c>
      <c r="M314" s="25" t="n"/>
      <c r="N314" s="1">
        <f>IF(AND(G314="Finished",I314&lt;&gt;""),IF(YEAR(I314)=Dashboard!$C$4,I314+ROW()/10000000,""),"")</f>
        <v/>
      </c>
      <c r="O314">
        <f>IF(B314="","",IFERROR(MATCH(D314,Settings!$B$6:$B$17,0),12))</f>
        <v/>
      </c>
      <c r="P314">
        <f>IF(AND(G314="Reading",B314&lt;&gt;""),IF(H314="",TODAY(),H314)+ROW()/10000000,"")</f>
        <v/>
      </c>
      <c r="Q314">
        <f>IF(AND(N314&lt;&gt;"",N(J314)=5),N314,"")</f>
        <v/>
      </c>
    </row>
    <row r="315">
      <c r="A315" s="1" t="n"/>
      <c r="B315" s="24" t="n"/>
      <c r="C315" s="25" t="n"/>
      <c r="D315" s="25" t="n"/>
      <c r="E315" s="26" t="n"/>
      <c r="F315" s="27" t="n"/>
      <c r="G315" s="26" t="n"/>
      <c r="H315" s="28" t="n"/>
      <c r="I315" s="28" t="n"/>
      <c r="J315" s="27" t="n"/>
      <c r="K315" s="16">
        <f>IF(OR(H315="",I315=""),"",I315-H315+1)</f>
        <v/>
      </c>
      <c r="L315" s="16">
        <f>IF(OR(K315="",N(F315)=0),"",F315/K315)</f>
        <v/>
      </c>
      <c r="M315" s="25" t="n"/>
      <c r="N315" s="1">
        <f>IF(AND(G315="Finished",I315&lt;&gt;""),IF(YEAR(I315)=Dashboard!$C$4,I315+ROW()/10000000,""),"")</f>
        <v/>
      </c>
      <c r="O315">
        <f>IF(B315="","",IFERROR(MATCH(D315,Settings!$B$6:$B$17,0),12))</f>
        <v/>
      </c>
      <c r="P315">
        <f>IF(AND(G315="Reading",B315&lt;&gt;""),IF(H315="",TODAY(),H315)+ROW()/10000000,"")</f>
        <v/>
      </c>
      <c r="Q315">
        <f>IF(AND(N315&lt;&gt;"",N(J315)=5),N315,"")</f>
        <v/>
      </c>
    </row>
    <row r="316">
      <c r="A316" s="1" t="n"/>
      <c r="B316" s="24" t="n"/>
      <c r="C316" s="25" t="n"/>
      <c r="D316" s="25" t="n"/>
      <c r="E316" s="26" t="n"/>
      <c r="F316" s="27" t="n"/>
      <c r="G316" s="26" t="n"/>
      <c r="H316" s="28" t="n"/>
      <c r="I316" s="28" t="n"/>
      <c r="J316" s="27" t="n"/>
      <c r="K316" s="16">
        <f>IF(OR(H316="",I316=""),"",I316-H316+1)</f>
        <v/>
      </c>
      <c r="L316" s="16">
        <f>IF(OR(K316="",N(F316)=0),"",F316/K316)</f>
        <v/>
      </c>
      <c r="M316" s="25" t="n"/>
      <c r="N316" s="1">
        <f>IF(AND(G316="Finished",I316&lt;&gt;""),IF(YEAR(I316)=Dashboard!$C$4,I316+ROW()/10000000,""),"")</f>
        <v/>
      </c>
      <c r="O316">
        <f>IF(B316="","",IFERROR(MATCH(D316,Settings!$B$6:$B$17,0),12))</f>
        <v/>
      </c>
      <c r="P316">
        <f>IF(AND(G316="Reading",B316&lt;&gt;""),IF(H316="",TODAY(),H316)+ROW()/10000000,"")</f>
        <v/>
      </c>
      <c r="Q316">
        <f>IF(AND(N316&lt;&gt;"",N(J316)=5),N316,"")</f>
        <v/>
      </c>
    </row>
    <row r="317">
      <c r="A317" s="1" t="n"/>
      <c r="B317" s="24" t="n"/>
      <c r="C317" s="25" t="n"/>
      <c r="D317" s="25" t="n"/>
      <c r="E317" s="26" t="n"/>
      <c r="F317" s="27" t="n"/>
      <c r="G317" s="26" t="n"/>
      <c r="H317" s="28" t="n"/>
      <c r="I317" s="28" t="n"/>
      <c r="J317" s="27" t="n"/>
      <c r="K317" s="16">
        <f>IF(OR(H317="",I317=""),"",I317-H317+1)</f>
        <v/>
      </c>
      <c r="L317" s="16">
        <f>IF(OR(K317="",N(F317)=0),"",F317/K317)</f>
        <v/>
      </c>
      <c r="M317" s="25" t="n"/>
      <c r="N317" s="1">
        <f>IF(AND(G317="Finished",I317&lt;&gt;""),IF(YEAR(I317)=Dashboard!$C$4,I317+ROW()/10000000,""),"")</f>
        <v/>
      </c>
      <c r="O317">
        <f>IF(B317="","",IFERROR(MATCH(D317,Settings!$B$6:$B$17,0),12))</f>
        <v/>
      </c>
      <c r="P317">
        <f>IF(AND(G317="Reading",B317&lt;&gt;""),IF(H317="",TODAY(),H317)+ROW()/10000000,"")</f>
        <v/>
      </c>
      <c r="Q317">
        <f>IF(AND(N317&lt;&gt;"",N(J317)=5),N317,"")</f>
        <v/>
      </c>
    </row>
    <row r="318">
      <c r="A318" s="1" t="n"/>
      <c r="B318" s="24" t="n"/>
      <c r="C318" s="25" t="n"/>
      <c r="D318" s="25" t="n"/>
      <c r="E318" s="26" t="n"/>
      <c r="F318" s="27" t="n"/>
      <c r="G318" s="26" t="n"/>
      <c r="H318" s="28" t="n"/>
      <c r="I318" s="28" t="n"/>
      <c r="J318" s="27" t="n"/>
      <c r="K318" s="16">
        <f>IF(OR(H318="",I318=""),"",I318-H318+1)</f>
        <v/>
      </c>
      <c r="L318" s="16">
        <f>IF(OR(K318="",N(F318)=0),"",F318/K318)</f>
        <v/>
      </c>
      <c r="M318" s="25" t="n"/>
      <c r="N318" s="1">
        <f>IF(AND(G318="Finished",I318&lt;&gt;""),IF(YEAR(I318)=Dashboard!$C$4,I318+ROW()/10000000,""),"")</f>
        <v/>
      </c>
      <c r="O318">
        <f>IF(B318="","",IFERROR(MATCH(D318,Settings!$B$6:$B$17,0),12))</f>
        <v/>
      </c>
      <c r="P318">
        <f>IF(AND(G318="Reading",B318&lt;&gt;""),IF(H318="",TODAY(),H318)+ROW()/10000000,"")</f>
        <v/>
      </c>
      <c r="Q318">
        <f>IF(AND(N318&lt;&gt;"",N(J318)=5),N318,"")</f>
        <v/>
      </c>
    </row>
    <row r="319">
      <c r="A319" s="1" t="n"/>
      <c r="B319" s="24" t="n"/>
      <c r="C319" s="25" t="n"/>
      <c r="D319" s="25" t="n"/>
      <c r="E319" s="26" t="n"/>
      <c r="F319" s="27" t="n"/>
      <c r="G319" s="26" t="n"/>
      <c r="H319" s="28" t="n"/>
      <c r="I319" s="28" t="n"/>
      <c r="J319" s="27" t="n"/>
      <c r="K319" s="16">
        <f>IF(OR(H319="",I319=""),"",I319-H319+1)</f>
        <v/>
      </c>
      <c r="L319" s="16">
        <f>IF(OR(K319="",N(F319)=0),"",F319/K319)</f>
        <v/>
      </c>
      <c r="M319" s="25" t="n"/>
      <c r="N319" s="1">
        <f>IF(AND(G319="Finished",I319&lt;&gt;""),IF(YEAR(I319)=Dashboard!$C$4,I319+ROW()/10000000,""),"")</f>
        <v/>
      </c>
      <c r="O319">
        <f>IF(B319="","",IFERROR(MATCH(D319,Settings!$B$6:$B$17,0),12))</f>
        <v/>
      </c>
      <c r="P319">
        <f>IF(AND(G319="Reading",B319&lt;&gt;""),IF(H319="",TODAY(),H319)+ROW()/10000000,"")</f>
        <v/>
      </c>
      <c r="Q319">
        <f>IF(AND(N319&lt;&gt;"",N(J319)=5),N319,"")</f>
        <v/>
      </c>
    </row>
    <row r="320">
      <c r="A320" s="1" t="n"/>
      <c r="B320" s="24" t="n"/>
      <c r="C320" s="25" t="n"/>
      <c r="D320" s="25" t="n"/>
      <c r="E320" s="26" t="n"/>
      <c r="F320" s="27" t="n"/>
      <c r="G320" s="26" t="n"/>
      <c r="H320" s="28" t="n"/>
      <c r="I320" s="28" t="n"/>
      <c r="J320" s="27" t="n"/>
      <c r="K320" s="16">
        <f>IF(OR(H320="",I320=""),"",I320-H320+1)</f>
        <v/>
      </c>
      <c r="L320" s="16">
        <f>IF(OR(K320="",N(F320)=0),"",F320/K320)</f>
        <v/>
      </c>
      <c r="M320" s="25" t="n"/>
      <c r="N320" s="1">
        <f>IF(AND(G320="Finished",I320&lt;&gt;""),IF(YEAR(I320)=Dashboard!$C$4,I320+ROW()/10000000,""),"")</f>
        <v/>
      </c>
      <c r="O320">
        <f>IF(B320="","",IFERROR(MATCH(D320,Settings!$B$6:$B$17,0),12))</f>
        <v/>
      </c>
      <c r="P320">
        <f>IF(AND(G320="Reading",B320&lt;&gt;""),IF(H320="",TODAY(),H320)+ROW()/10000000,"")</f>
        <v/>
      </c>
      <c r="Q320">
        <f>IF(AND(N320&lt;&gt;"",N(J320)=5),N320,"")</f>
        <v/>
      </c>
    </row>
    <row r="321">
      <c r="A321" s="1" t="n"/>
      <c r="B321" s="24" t="n"/>
      <c r="C321" s="25" t="n"/>
      <c r="D321" s="25" t="n"/>
      <c r="E321" s="26" t="n"/>
      <c r="F321" s="27" t="n"/>
      <c r="G321" s="26" t="n"/>
      <c r="H321" s="28" t="n"/>
      <c r="I321" s="28" t="n"/>
      <c r="J321" s="27" t="n"/>
      <c r="K321" s="16">
        <f>IF(OR(H321="",I321=""),"",I321-H321+1)</f>
        <v/>
      </c>
      <c r="L321" s="16">
        <f>IF(OR(K321="",N(F321)=0),"",F321/K321)</f>
        <v/>
      </c>
      <c r="M321" s="25" t="n"/>
      <c r="N321" s="1">
        <f>IF(AND(G321="Finished",I321&lt;&gt;""),IF(YEAR(I321)=Dashboard!$C$4,I321+ROW()/10000000,""),"")</f>
        <v/>
      </c>
      <c r="O321">
        <f>IF(B321="","",IFERROR(MATCH(D321,Settings!$B$6:$B$17,0),12))</f>
        <v/>
      </c>
      <c r="P321">
        <f>IF(AND(G321="Reading",B321&lt;&gt;""),IF(H321="",TODAY(),H321)+ROW()/10000000,"")</f>
        <v/>
      </c>
      <c r="Q321">
        <f>IF(AND(N321&lt;&gt;"",N(J321)=5),N321,"")</f>
        <v/>
      </c>
    </row>
    <row r="322">
      <c r="A322" s="1" t="n"/>
      <c r="B322" s="24" t="n"/>
      <c r="C322" s="25" t="n"/>
      <c r="D322" s="25" t="n"/>
      <c r="E322" s="26" t="n"/>
      <c r="F322" s="27" t="n"/>
      <c r="G322" s="26" t="n"/>
      <c r="H322" s="28" t="n"/>
      <c r="I322" s="28" t="n"/>
      <c r="J322" s="27" t="n"/>
      <c r="K322" s="16">
        <f>IF(OR(H322="",I322=""),"",I322-H322+1)</f>
        <v/>
      </c>
      <c r="L322" s="16">
        <f>IF(OR(K322="",N(F322)=0),"",F322/K322)</f>
        <v/>
      </c>
      <c r="M322" s="25" t="n"/>
      <c r="N322" s="1">
        <f>IF(AND(G322="Finished",I322&lt;&gt;""),IF(YEAR(I322)=Dashboard!$C$4,I322+ROW()/10000000,""),"")</f>
        <v/>
      </c>
      <c r="O322">
        <f>IF(B322="","",IFERROR(MATCH(D322,Settings!$B$6:$B$17,0),12))</f>
        <v/>
      </c>
      <c r="P322">
        <f>IF(AND(G322="Reading",B322&lt;&gt;""),IF(H322="",TODAY(),H322)+ROW()/10000000,"")</f>
        <v/>
      </c>
      <c r="Q322">
        <f>IF(AND(N322&lt;&gt;"",N(J322)=5),N322,"")</f>
        <v/>
      </c>
    </row>
    <row r="323">
      <c r="A323" s="1" t="n"/>
      <c r="B323" s="24" t="n"/>
      <c r="C323" s="25" t="n"/>
      <c r="D323" s="25" t="n"/>
      <c r="E323" s="26" t="n"/>
      <c r="F323" s="27" t="n"/>
      <c r="G323" s="26" t="n"/>
      <c r="H323" s="28" t="n"/>
      <c r="I323" s="28" t="n"/>
      <c r="J323" s="27" t="n"/>
      <c r="K323" s="16">
        <f>IF(OR(H323="",I323=""),"",I323-H323+1)</f>
        <v/>
      </c>
      <c r="L323" s="16">
        <f>IF(OR(K323="",N(F323)=0),"",F323/K323)</f>
        <v/>
      </c>
      <c r="M323" s="25" t="n"/>
      <c r="N323" s="1">
        <f>IF(AND(G323="Finished",I323&lt;&gt;""),IF(YEAR(I323)=Dashboard!$C$4,I323+ROW()/10000000,""),"")</f>
        <v/>
      </c>
      <c r="O323">
        <f>IF(B323="","",IFERROR(MATCH(D323,Settings!$B$6:$B$17,0),12))</f>
        <v/>
      </c>
      <c r="P323">
        <f>IF(AND(G323="Reading",B323&lt;&gt;""),IF(H323="",TODAY(),H323)+ROW()/10000000,"")</f>
        <v/>
      </c>
      <c r="Q323">
        <f>IF(AND(N323&lt;&gt;"",N(J323)=5),N323,"")</f>
        <v/>
      </c>
    </row>
    <row r="324">
      <c r="A324" s="1" t="n"/>
      <c r="B324" s="24" t="n"/>
      <c r="C324" s="25" t="n"/>
      <c r="D324" s="25" t="n"/>
      <c r="E324" s="26" t="n"/>
      <c r="F324" s="27" t="n"/>
      <c r="G324" s="26" t="n"/>
      <c r="H324" s="28" t="n"/>
      <c r="I324" s="28" t="n"/>
      <c r="J324" s="27" t="n"/>
      <c r="K324" s="16">
        <f>IF(OR(H324="",I324=""),"",I324-H324+1)</f>
        <v/>
      </c>
      <c r="L324" s="16">
        <f>IF(OR(K324="",N(F324)=0),"",F324/K324)</f>
        <v/>
      </c>
      <c r="M324" s="25" t="n"/>
      <c r="N324" s="1">
        <f>IF(AND(G324="Finished",I324&lt;&gt;""),IF(YEAR(I324)=Dashboard!$C$4,I324+ROW()/10000000,""),"")</f>
        <v/>
      </c>
      <c r="O324">
        <f>IF(B324="","",IFERROR(MATCH(D324,Settings!$B$6:$B$17,0),12))</f>
        <v/>
      </c>
      <c r="P324">
        <f>IF(AND(G324="Reading",B324&lt;&gt;""),IF(H324="",TODAY(),H324)+ROW()/10000000,"")</f>
        <v/>
      </c>
      <c r="Q324">
        <f>IF(AND(N324&lt;&gt;"",N(J324)=5),N324,"")</f>
        <v/>
      </c>
    </row>
    <row r="325">
      <c r="A325" s="1" t="n"/>
      <c r="B325" s="24" t="n"/>
      <c r="C325" s="25" t="n"/>
      <c r="D325" s="25" t="n"/>
      <c r="E325" s="26" t="n"/>
      <c r="F325" s="27" t="n"/>
      <c r="G325" s="26" t="n"/>
      <c r="H325" s="28" t="n"/>
      <c r="I325" s="28" t="n"/>
      <c r="J325" s="27" t="n"/>
      <c r="K325" s="16">
        <f>IF(OR(H325="",I325=""),"",I325-H325+1)</f>
        <v/>
      </c>
      <c r="L325" s="16">
        <f>IF(OR(K325="",N(F325)=0),"",F325/K325)</f>
        <v/>
      </c>
      <c r="M325" s="25" t="n"/>
      <c r="N325" s="1">
        <f>IF(AND(G325="Finished",I325&lt;&gt;""),IF(YEAR(I325)=Dashboard!$C$4,I325+ROW()/10000000,""),"")</f>
        <v/>
      </c>
      <c r="O325">
        <f>IF(B325="","",IFERROR(MATCH(D325,Settings!$B$6:$B$17,0),12))</f>
        <v/>
      </c>
      <c r="P325">
        <f>IF(AND(G325="Reading",B325&lt;&gt;""),IF(H325="",TODAY(),H325)+ROW()/10000000,"")</f>
        <v/>
      </c>
      <c r="Q325">
        <f>IF(AND(N325&lt;&gt;"",N(J325)=5),N325,"")</f>
        <v/>
      </c>
    </row>
    <row r="326">
      <c r="A326" s="1" t="n"/>
      <c r="B326" s="24" t="n"/>
      <c r="C326" s="25" t="n"/>
      <c r="D326" s="25" t="n"/>
      <c r="E326" s="26" t="n"/>
      <c r="F326" s="27" t="n"/>
      <c r="G326" s="26" t="n"/>
      <c r="H326" s="28" t="n"/>
      <c r="I326" s="28" t="n"/>
      <c r="J326" s="27" t="n"/>
      <c r="K326" s="16">
        <f>IF(OR(H326="",I326=""),"",I326-H326+1)</f>
        <v/>
      </c>
      <c r="L326" s="16">
        <f>IF(OR(K326="",N(F326)=0),"",F326/K326)</f>
        <v/>
      </c>
      <c r="M326" s="25" t="n"/>
      <c r="N326" s="1">
        <f>IF(AND(G326="Finished",I326&lt;&gt;""),IF(YEAR(I326)=Dashboard!$C$4,I326+ROW()/10000000,""),"")</f>
        <v/>
      </c>
      <c r="O326">
        <f>IF(B326="","",IFERROR(MATCH(D326,Settings!$B$6:$B$17,0),12))</f>
        <v/>
      </c>
      <c r="P326">
        <f>IF(AND(G326="Reading",B326&lt;&gt;""),IF(H326="",TODAY(),H326)+ROW()/10000000,"")</f>
        <v/>
      </c>
      <c r="Q326">
        <f>IF(AND(N326&lt;&gt;"",N(J326)=5),N326,"")</f>
        <v/>
      </c>
    </row>
    <row r="327">
      <c r="A327" s="1" t="n"/>
      <c r="B327" s="24" t="n"/>
      <c r="C327" s="25" t="n"/>
      <c r="D327" s="25" t="n"/>
      <c r="E327" s="26" t="n"/>
      <c r="F327" s="27" t="n"/>
      <c r="G327" s="26" t="n"/>
      <c r="H327" s="28" t="n"/>
      <c r="I327" s="28" t="n"/>
      <c r="J327" s="27" t="n"/>
      <c r="K327" s="16">
        <f>IF(OR(H327="",I327=""),"",I327-H327+1)</f>
        <v/>
      </c>
      <c r="L327" s="16">
        <f>IF(OR(K327="",N(F327)=0),"",F327/K327)</f>
        <v/>
      </c>
      <c r="M327" s="25" t="n"/>
      <c r="N327" s="1">
        <f>IF(AND(G327="Finished",I327&lt;&gt;""),IF(YEAR(I327)=Dashboard!$C$4,I327+ROW()/10000000,""),"")</f>
        <v/>
      </c>
      <c r="O327">
        <f>IF(B327="","",IFERROR(MATCH(D327,Settings!$B$6:$B$17,0),12))</f>
        <v/>
      </c>
      <c r="P327">
        <f>IF(AND(G327="Reading",B327&lt;&gt;""),IF(H327="",TODAY(),H327)+ROW()/10000000,"")</f>
        <v/>
      </c>
      <c r="Q327">
        <f>IF(AND(N327&lt;&gt;"",N(J327)=5),N327,"")</f>
        <v/>
      </c>
    </row>
    <row r="328">
      <c r="A328" s="1" t="n"/>
      <c r="B328" s="24" t="n"/>
      <c r="C328" s="25" t="n"/>
      <c r="D328" s="25" t="n"/>
      <c r="E328" s="26" t="n"/>
      <c r="F328" s="27" t="n"/>
      <c r="G328" s="26" t="n"/>
      <c r="H328" s="28" t="n"/>
      <c r="I328" s="28" t="n"/>
      <c r="J328" s="27" t="n"/>
      <c r="K328" s="16">
        <f>IF(OR(H328="",I328=""),"",I328-H328+1)</f>
        <v/>
      </c>
      <c r="L328" s="16">
        <f>IF(OR(K328="",N(F328)=0),"",F328/K328)</f>
        <v/>
      </c>
      <c r="M328" s="25" t="n"/>
      <c r="N328" s="1">
        <f>IF(AND(G328="Finished",I328&lt;&gt;""),IF(YEAR(I328)=Dashboard!$C$4,I328+ROW()/10000000,""),"")</f>
        <v/>
      </c>
      <c r="O328">
        <f>IF(B328="","",IFERROR(MATCH(D328,Settings!$B$6:$B$17,0),12))</f>
        <v/>
      </c>
      <c r="P328">
        <f>IF(AND(G328="Reading",B328&lt;&gt;""),IF(H328="",TODAY(),H328)+ROW()/10000000,"")</f>
        <v/>
      </c>
      <c r="Q328">
        <f>IF(AND(N328&lt;&gt;"",N(J328)=5),N328,"")</f>
        <v/>
      </c>
    </row>
    <row r="329">
      <c r="A329" s="1" t="n"/>
      <c r="B329" s="24" t="n"/>
      <c r="C329" s="25" t="n"/>
      <c r="D329" s="25" t="n"/>
      <c r="E329" s="26" t="n"/>
      <c r="F329" s="27" t="n"/>
      <c r="G329" s="26" t="n"/>
      <c r="H329" s="28" t="n"/>
      <c r="I329" s="28" t="n"/>
      <c r="J329" s="27" t="n"/>
      <c r="K329" s="16">
        <f>IF(OR(H329="",I329=""),"",I329-H329+1)</f>
        <v/>
      </c>
      <c r="L329" s="16">
        <f>IF(OR(K329="",N(F329)=0),"",F329/K329)</f>
        <v/>
      </c>
      <c r="M329" s="25" t="n"/>
      <c r="N329" s="1">
        <f>IF(AND(G329="Finished",I329&lt;&gt;""),IF(YEAR(I329)=Dashboard!$C$4,I329+ROW()/10000000,""),"")</f>
        <v/>
      </c>
      <c r="O329">
        <f>IF(B329="","",IFERROR(MATCH(D329,Settings!$B$6:$B$17,0),12))</f>
        <v/>
      </c>
      <c r="P329">
        <f>IF(AND(G329="Reading",B329&lt;&gt;""),IF(H329="",TODAY(),H329)+ROW()/10000000,"")</f>
        <v/>
      </c>
      <c r="Q329">
        <f>IF(AND(N329&lt;&gt;"",N(J329)=5),N329,"")</f>
        <v/>
      </c>
    </row>
    <row r="330">
      <c r="A330" s="1" t="n"/>
      <c r="B330" s="24" t="n"/>
      <c r="C330" s="25" t="n"/>
      <c r="D330" s="25" t="n"/>
      <c r="E330" s="26" t="n"/>
      <c r="F330" s="27" t="n"/>
      <c r="G330" s="26" t="n"/>
      <c r="H330" s="28" t="n"/>
      <c r="I330" s="28" t="n"/>
      <c r="J330" s="27" t="n"/>
      <c r="K330" s="16">
        <f>IF(OR(H330="",I330=""),"",I330-H330+1)</f>
        <v/>
      </c>
      <c r="L330" s="16">
        <f>IF(OR(K330="",N(F330)=0),"",F330/K330)</f>
        <v/>
      </c>
      <c r="M330" s="25" t="n"/>
      <c r="N330" s="1">
        <f>IF(AND(G330="Finished",I330&lt;&gt;""),IF(YEAR(I330)=Dashboard!$C$4,I330+ROW()/10000000,""),"")</f>
        <v/>
      </c>
      <c r="O330">
        <f>IF(B330="","",IFERROR(MATCH(D330,Settings!$B$6:$B$17,0),12))</f>
        <v/>
      </c>
      <c r="P330">
        <f>IF(AND(G330="Reading",B330&lt;&gt;""),IF(H330="",TODAY(),H330)+ROW()/10000000,"")</f>
        <v/>
      </c>
      <c r="Q330">
        <f>IF(AND(N330&lt;&gt;"",N(J330)=5),N330,"")</f>
        <v/>
      </c>
    </row>
    <row r="331">
      <c r="A331" s="1" t="n"/>
      <c r="B331" s="24" t="n"/>
      <c r="C331" s="25" t="n"/>
      <c r="D331" s="25" t="n"/>
      <c r="E331" s="26" t="n"/>
      <c r="F331" s="27" t="n"/>
      <c r="G331" s="26" t="n"/>
      <c r="H331" s="28" t="n"/>
      <c r="I331" s="28" t="n"/>
      <c r="J331" s="27" t="n"/>
      <c r="K331" s="16">
        <f>IF(OR(H331="",I331=""),"",I331-H331+1)</f>
        <v/>
      </c>
      <c r="L331" s="16">
        <f>IF(OR(K331="",N(F331)=0),"",F331/K331)</f>
        <v/>
      </c>
      <c r="M331" s="25" t="n"/>
      <c r="N331" s="1">
        <f>IF(AND(G331="Finished",I331&lt;&gt;""),IF(YEAR(I331)=Dashboard!$C$4,I331+ROW()/10000000,""),"")</f>
        <v/>
      </c>
      <c r="O331">
        <f>IF(B331="","",IFERROR(MATCH(D331,Settings!$B$6:$B$17,0),12))</f>
        <v/>
      </c>
      <c r="P331">
        <f>IF(AND(G331="Reading",B331&lt;&gt;""),IF(H331="",TODAY(),H331)+ROW()/10000000,"")</f>
        <v/>
      </c>
      <c r="Q331">
        <f>IF(AND(N331&lt;&gt;"",N(J331)=5),N331,"")</f>
        <v/>
      </c>
    </row>
    <row r="332">
      <c r="A332" s="1" t="n"/>
      <c r="B332" s="24" t="n"/>
      <c r="C332" s="25" t="n"/>
      <c r="D332" s="25" t="n"/>
      <c r="E332" s="26" t="n"/>
      <c r="F332" s="27" t="n"/>
      <c r="G332" s="26" t="n"/>
      <c r="H332" s="28" t="n"/>
      <c r="I332" s="28" t="n"/>
      <c r="J332" s="27" t="n"/>
      <c r="K332" s="16">
        <f>IF(OR(H332="",I332=""),"",I332-H332+1)</f>
        <v/>
      </c>
      <c r="L332" s="16">
        <f>IF(OR(K332="",N(F332)=0),"",F332/K332)</f>
        <v/>
      </c>
      <c r="M332" s="25" t="n"/>
      <c r="N332" s="1">
        <f>IF(AND(G332="Finished",I332&lt;&gt;""),IF(YEAR(I332)=Dashboard!$C$4,I332+ROW()/10000000,""),"")</f>
        <v/>
      </c>
      <c r="O332">
        <f>IF(B332="","",IFERROR(MATCH(D332,Settings!$B$6:$B$17,0),12))</f>
        <v/>
      </c>
      <c r="P332">
        <f>IF(AND(G332="Reading",B332&lt;&gt;""),IF(H332="",TODAY(),H332)+ROW()/10000000,"")</f>
        <v/>
      </c>
      <c r="Q332">
        <f>IF(AND(N332&lt;&gt;"",N(J332)=5),N332,"")</f>
        <v/>
      </c>
    </row>
    <row r="333">
      <c r="A333" s="1" t="n"/>
      <c r="B333" s="24" t="n"/>
      <c r="C333" s="25" t="n"/>
      <c r="D333" s="25" t="n"/>
      <c r="E333" s="26" t="n"/>
      <c r="F333" s="27" t="n"/>
      <c r="G333" s="26" t="n"/>
      <c r="H333" s="28" t="n"/>
      <c r="I333" s="28" t="n"/>
      <c r="J333" s="27" t="n"/>
      <c r="K333" s="16">
        <f>IF(OR(H333="",I333=""),"",I333-H333+1)</f>
        <v/>
      </c>
      <c r="L333" s="16">
        <f>IF(OR(K333="",N(F333)=0),"",F333/K333)</f>
        <v/>
      </c>
      <c r="M333" s="25" t="n"/>
      <c r="N333" s="1">
        <f>IF(AND(G333="Finished",I333&lt;&gt;""),IF(YEAR(I333)=Dashboard!$C$4,I333+ROW()/10000000,""),"")</f>
        <v/>
      </c>
      <c r="O333">
        <f>IF(B333="","",IFERROR(MATCH(D333,Settings!$B$6:$B$17,0),12))</f>
        <v/>
      </c>
      <c r="P333">
        <f>IF(AND(G333="Reading",B333&lt;&gt;""),IF(H333="",TODAY(),H333)+ROW()/10000000,"")</f>
        <v/>
      </c>
      <c r="Q333">
        <f>IF(AND(N333&lt;&gt;"",N(J333)=5),N333,"")</f>
        <v/>
      </c>
    </row>
    <row r="334">
      <c r="A334" s="1" t="n"/>
      <c r="B334" s="24" t="n"/>
      <c r="C334" s="25" t="n"/>
      <c r="D334" s="25" t="n"/>
      <c r="E334" s="26" t="n"/>
      <c r="F334" s="27" t="n"/>
      <c r="G334" s="26" t="n"/>
      <c r="H334" s="28" t="n"/>
      <c r="I334" s="28" t="n"/>
      <c r="J334" s="27" t="n"/>
      <c r="K334" s="16">
        <f>IF(OR(H334="",I334=""),"",I334-H334+1)</f>
        <v/>
      </c>
      <c r="L334" s="16">
        <f>IF(OR(K334="",N(F334)=0),"",F334/K334)</f>
        <v/>
      </c>
      <c r="M334" s="25" t="n"/>
      <c r="N334" s="1">
        <f>IF(AND(G334="Finished",I334&lt;&gt;""),IF(YEAR(I334)=Dashboard!$C$4,I334+ROW()/10000000,""),"")</f>
        <v/>
      </c>
      <c r="O334">
        <f>IF(B334="","",IFERROR(MATCH(D334,Settings!$B$6:$B$17,0),12))</f>
        <v/>
      </c>
      <c r="P334">
        <f>IF(AND(G334="Reading",B334&lt;&gt;""),IF(H334="",TODAY(),H334)+ROW()/10000000,"")</f>
        <v/>
      </c>
      <c r="Q334">
        <f>IF(AND(N334&lt;&gt;"",N(J334)=5),N334,"")</f>
        <v/>
      </c>
    </row>
    <row r="335">
      <c r="A335" s="1" t="n"/>
      <c r="B335" s="24" t="n"/>
      <c r="C335" s="25" t="n"/>
      <c r="D335" s="25" t="n"/>
      <c r="E335" s="26" t="n"/>
      <c r="F335" s="27" t="n"/>
      <c r="G335" s="26" t="n"/>
      <c r="H335" s="28" t="n"/>
      <c r="I335" s="28" t="n"/>
      <c r="J335" s="27" t="n"/>
      <c r="K335" s="16">
        <f>IF(OR(H335="",I335=""),"",I335-H335+1)</f>
        <v/>
      </c>
      <c r="L335" s="16">
        <f>IF(OR(K335="",N(F335)=0),"",F335/K335)</f>
        <v/>
      </c>
      <c r="M335" s="25" t="n"/>
      <c r="N335" s="1">
        <f>IF(AND(G335="Finished",I335&lt;&gt;""),IF(YEAR(I335)=Dashboard!$C$4,I335+ROW()/10000000,""),"")</f>
        <v/>
      </c>
      <c r="O335">
        <f>IF(B335="","",IFERROR(MATCH(D335,Settings!$B$6:$B$17,0),12))</f>
        <v/>
      </c>
      <c r="P335">
        <f>IF(AND(G335="Reading",B335&lt;&gt;""),IF(H335="",TODAY(),H335)+ROW()/10000000,"")</f>
        <v/>
      </c>
      <c r="Q335">
        <f>IF(AND(N335&lt;&gt;"",N(J335)=5),N335,"")</f>
        <v/>
      </c>
    </row>
    <row r="336">
      <c r="A336" s="1" t="n"/>
      <c r="B336" s="24" t="n"/>
      <c r="C336" s="25" t="n"/>
      <c r="D336" s="25" t="n"/>
      <c r="E336" s="26" t="n"/>
      <c r="F336" s="27" t="n"/>
      <c r="G336" s="26" t="n"/>
      <c r="H336" s="28" t="n"/>
      <c r="I336" s="28" t="n"/>
      <c r="J336" s="27" t="n"/>
      <c r="K336" s="16">
        <f>IF(OR(H336="",I336=""),"",I336-H336+1)</f>
        <v/>
      </c>
      <c r="L336" s="16">
        <f>IF(OR(K336="",N(F336)=0),"",F336/K336)</f>
        <v/>
      </c>
      <c r="M336" s="25" t="n"/>
      <c r="N336" s="1">
        <f>IF(AND(G336="Finished",I336&lt;&gt;""),IF(YEAR(I336)=Dashboard!$C$4,I336+ROW()/10000000,""),"")</f>
        <v/>
      </c>
      <c r="O336">
        <f>IF(B336="","",IFERROR(MATCH(D336,Settings!$B$6:$B$17,0),12))</f>
        <v/>
      </c>
      <c r="P336">
        <f>IF(AND(G336="Reading",B336&lt;&gt;""),IF(H336="",TODAY(),H336)+ROW()/10000000,"")</f>
        <v/>
      </c>
      <c r="Q336">
        <f>IF(AND(N336&lt;&gt;"",N(J336)=5),N336,"")</f>
        <v/>
      </c>
    </row>
    <row r="337">
      <c r="A337" s="1" t="n"/>
      <c r="B337" s="24" t="n"/>
      <c r="C337" s="25" t="n"/>
      <c r="D337" s="25" t="n"/>
      <c r="E337" s="26" t="n"/>
      <c r="F337" s="27" t="n"/>
      <c r="G337" s="26" t="n"/>
      <c r="H337" s="28" t="n"/>
      <c r="I337" s="28" t="n"/>
      <c r="J337" s="27" t="n"/>
      <c r="K337" s="16">
        <f>IF(OR(H337="",I337=""),"",I337-H337+1)</f>
        <v/>
      </c>
      <c r="L337" s="16">
        <f>IF(OR(K337="",N(F337)=0),"",F337/K337)</f>
        <v/>
      </c>
      <c r="M337" s="25" t="n"/>
      <c r="N337" s="1">
        <f>IF(AND(G337="Finished",I337&lt;&gt;""),IF(YEAR(I337)=Dashboard!$C$4,I337+ROW()/10000000,""),"")</f>
        <v/>
      </c>
      <c r="O337">
        <f>IF(B337="","",IFERROR(MATCH(D337,Settings!$B$6:$B$17,0),12))</f>
        <v/>
      </c>
      <c r="P337">
        <f>IF(AND(G337="Reading",B337&lt;&gt;""),IF(H337="",TODAY(),H337)+ROW()/10000000,"")</f>
        <v/>
      </c>
      <c r="Q337">
        <f>IF(AND(N337&lt;&gt;"",N(J337)=5),N337,"")</f>
        <v/>
      </c>
    </row>
    <row r="338">
      <c r="A338" s="1" t="n"/>
      <c r="B338" s="24" t="n"/>
      <c r="C338" s="25" t="n"/>
      <c r="D338" s="25" t="n"/>
      <c r="E338" s="26" t="n"/>
      <c r="F338" s="27" t="n"/>
      <c r="G338" s="26" t="n"/>
      <c r="H338" s="28" t="n"/>
      <c r="I338" s="28" t="n"/>
      <c r="J338" s="27" t="n"/>
      <c r="K338" s="16">
        <f>IF(OR(H338="",I338=""),"",I338-H338+1)</f>
        <v/>
      </c>
      <c r="L338" s="16">
        <f>IF(OR(K338="",N(F338)=0),"",F338/K338)</f>
        <v/>
      </c>
      <c r="M338" s="25" t="n"/>
      <c r="N338" s="1">
        <f>IF(AND(G338="Finished",I338&lt;&gt;""),IF(YEAR(I338)=Dashboard!$C$4,I338+ROW()/10000000,""),"")</f>
        <v/>
      </c>
      <c r="O338">
        <f>IF(B338="","",IFERROR(MATCH(D338,Settings!$B$6:$B$17,0),12))</f>
        <v/>
      </c>
      <c r="P338">
        <f>IF(AND(G338="Reading",B338&lt;&gt;""),IF(H338="",TODAY(),H338)+ROW()/10000000,"")</f>
        <v/>
      </c>
      <c r="Q338">
        <f>IF(AND(N338&lt;&gt;"",N(J338)=5),N338,"")</f>
        <v/>
      </c>
    </row>
    <row r="339">
      <c r="A339" s="1" t="n"/>
      <c r="B339" s="24" t="n"/>
      <c r="C339" s="25" t="n"/>
      <c r="D339" s="25" t="n"/>
      <c r="E339" s="26" t="n"/>
      <c r="F339" s="27" t="n"/>
      <c r="G339" s="26" t="n"/>
      <c r="H339" s="28" t="n"/>
      <c r="I339" s="28" t="n"/>
      <c r="J339" s="27" t="n"/>
      <c r="K339" s="16">
        <f>IF(OR(H339="",I339=""),"",I339-H339+1)</f>
        <v/>
      </c>
      <c r="L339" s="16">
        <f>IF(OR(K339="",N(F339)=0),"",F339/K339)</f>
        <v/>
      </c>
      <c r="M339" s="25" t="n"/>
      <c r="N339" s="1">
        <f>IF(AND(G339="Finished",I339&lt;&gt;""),IF(YEAR(I339)=Dashboard!$C$4,I339+ROW()/10000000,""),"")</f>
        <v/>
      </c>
      <c r="O339">
        <f>IF(B339="","",IFERROR(MATCH(D339,Settings!$B$6:$B$17,0),12))</f>
        <v/>
      </c>
      <c r="P339">
        <f>IF(AND(G339="Reading",B339&lt;&gt;""),IF(H339="",TODAY(),H339)+ROW()/10000000,"")</f>
        <v/>
      </c>
      <c r="Q339">
        <f>IF(AND(N339&lt;&gt;"",N(J339)=5),N339,"")</f>
        <v/>
      </c>
    </row>
    <row r="340">
      <c r="A340" s="1" t="n"/>
      <c r="B340" s="24" t="n"/>
      <c r="C340" s="25" t="n"/>
      <c r="D340" s="25" t="n"/>
      <c r="E340" s="26" t="n"/>
      <c r="F340" s="27" t="n"/>
      <c r="G340" s="26" t="n"/>
      <c r="H340" s="28" t="n"/>
      <c r="I340" s="28" t="n"/>
      <c r="J340" s="27" t="n"/>
      <c r="K340" s="16">
        <f>IF(OR(H340="",I340=""),"",I340-H340+1)</f>
        <v/>
      </c>
      <c r="L340" s="16">
        <f>IF(OR(K340="",N(F340)=0),"",F340/K340)</f>
        <v/>
      </c>
      <c r="M340" s="25" t="n"/>
      <c r="N340" s="1">
        <f>IF(AND(G340="Finished",I340&lt;&gt;""),IF(YEAR(I340)=Dashboard!$C$4,I340+ROW()/10000000,""),"")</f>
        <v/>
      </c>
      <c r="O340">
        <f>IF(B340="","",IFERROR(MATCH(D340,Settings!$B$6:$B$17,0),12))</f>
        <v/>
      </c>
      <c r="P340">
        <f>IF(AND(G340="Reading",B340&lt;&gt;""),IF(H340="",TODAY(),H340)+ROW()/10000000,"")</f>
        <v/>
      </c>
      <c r="Q340">
        <f>IF(AND(N340&lt;&gt;"",N(J340)=5),N340,"")</f>
        <v/>
      </c>
    </row>
    <row r="341">
      <c r="A341" s="1" t="n"/>
      <c r="B341" s="24" t="n"/>
      <c r="C341" s="25" t="n"/>
      <c r="D341" s="25" t="n"/>
      <c r="E341" s="26" t="n"/>
      <c r="F341" s="27" t="n"/>
      <c r="G341" s="26" t="n"/>
      <c r="H341" s="28" t="n"/>
      <c r="I341" s="28" t="n"/>
      <c r="J341" s="27" t="n"/>
      <c r="K341" s="16">
        <f>IF(OR(H341="",I341=""),"",I341-H341+1)</f>
        <v/>
      </c>
      <c r="L341" s="16">
        <f>IF(OR(K341="",N(F341)=0),"",F341/K341)</f>
        <v/>
      </c>
      <c r="M341" s="25" t="n"/>
      <c r="N341" s="1">
        <f>IF(AND(G341="Finished",I341&lt;&gt;""),IF(YEAR(I341)=Dashboard!$C$4,I341+ROW()/10000000,""),"")</f>
        <v/>
      </c>
      <c r="O341">
        <f>IF(B341="","",IFERROR(MATCH(D341,Settings!$B$6:$B$17,0),12))</f>
        <v/>
      </c>
      <c r="P341">
        <f>IF(AND(G341="Reading",B341&lt;&gt;""),IF(H341="",TODAY(),H341)+ROW()/10000000,"")</f>
        <v/>
      </c>
      <c r="Q341">
        <f>IF(AND(N341&lt;&gt;"",N(J341)=5),N341,"")</f>
        <v/>
      </c>
    </row>
    <row r="342">
      <c r="A342" s="1" t="n"/>
      <c r="B342" s="24" t="n"/>
      <c r="C342" s="25" t="n"/>
      <c r="D342" s="25" t="n"/>
      <c r="E342" s="26" t="n"/>
      <c r="F342" s="27" t="n"/>
      <c r="G342" s="26" t="n"/>
      <c r="H342" s="28" t="n"/>
      <c r="I342" s="28" t="n"/>
      <c r="J342" s="27" t="n"/>
      <c r="K342" s="16">
        <f>IF(OR(H342="",I342=""),"",I342-H342+1)</f>
        <v/>
      </c>
      <c r="L342" s="16">
        <f>IF(OR(K342="",N(F342)=0),"",F342/K342)</f>
        <v/>
      </c>
      <c r="M342" s="25" t="n"/>
      <c r="N342" s="1">
        <f>IF(AND(G342="Finished",I342&lt;&gt;""),IF(YEAR(I342)=Dashboard!$C$4,I342+ROW()/10000000,""),"")</f>
        <v/>
      </c>
      <c r="O342">
        <f>IF(B342="","",IFERROR(MATCH(D342,Settings!$B$6:$B$17,0),12))</f>
        <v/>
      </c>
      <c r="P342">
        <f>IF(AND(G342="Reading",B342&lt;&gt;""),IF(H342="",TODAY(),H342)+ROW()/10000000,"")</f>
        <v/>
      </c>
      <c r="Q342">
        <f>IF(AND(N342&lt;&gt;"",N(J342)=5),N342,"")</f>
        <v/>
      </c>
    </row>
    <row r="343">
      <c r="A343" s="1" t="n"/>
      <c r="B343" s="24" t="n"/>
      <c r="C343" s="25" t="n"/>
      <c r="D343" s="25" t="n"/>
      <c r="E343" s="26" t="n"/>
      <c r="F343" s="27" t="n"/>
      <c r="G343" s="26" t="n"/>
      <c r="H343" s="28" t="n"/>
      <c r="I343" s="28" t="n"/>
      <c r="J343" s="27" t="n"/>
      <c r="K343" s="16">
        <f>IF(OR(H343="",I343=""),"",I343-H343+1)</f>
        <v/>
      </c>
      <c r="L343" s="16">
        <f>IF(OR(K343="",N(F343)=0),"",F343/K343)</f>
        <v/>
      </c>
      <c r="M343" s="25" t="n"/>
      <c r="N343" s="1">
        <f>IF(AND(G343="Finished",I343&lt;&gt;""),IF(YEAR(I343)=Dashboard!$C$4,I343+ROW()/10000000,""),"")</f>
        <v/>
      </c>
      <c r="O343">
        <f>IF(B343="","",IFERROR(MATCH(D343,Settings!$B$6:$B$17,0),12))</f>
        <v/>
      </c>
      <c r="P343">
        <f>IF(AND(G343="Reading",B343&lt;&gt;""),IF(H343="",TODAY(),H343)+ROW()/10000000,"")</f>
        <v/>
      </c>
      <c r="Q343">
        <f>IF(AND(N343&lt;&gt;"",N(J343)=5),N343,"")</f>
        <v/>
      </c>
    </row>
    <row r="344">
      <c r="A344" s="1" t="n"/>
      <c r="B344" s="24" t="n"/>
      <c r="C344" s="25" t="n"/>
      <c r="D344" s="25" t="n"/>
      <c r="E344" s="26" t="n"/>
      <c r="F344" s="27" t="n"/>
      <c r="G344" s="26" t="n"/>
      <c r="H344" s="28" t="n"/>
      <c r="I344" s="28" t="n"/>
      <c r="J344" s="27" t="n"/>
      <c r="K344" s="16">
        <f>IF(OR(H344="",I344=""),"",I344-H344+1)</f>
        <v/>
      </c>
      <c r="L344" s="16">
        <f>IF(OR(K344="",N(F344)=0),"",F344/K344)</f>
        <v/>
      </c>
      <c r="M344" s="25" t="n"/>
      <c r="N344" s="1">
        <f>IF(AND(G344="Finished",I344&lt;&gt;""),IF(YEAR(I344)=Dashboard!$C$4,I344+ROW()/10000000,""),"")</f>
        <v/>
      </c>
      <c r="O344">
        <f>IF(B344="","",IFERROR(MATCH(D344,Settings!$B$6:$B$17,0),12))</f>
        <v/>
      </c>
      <c r="P344">
        <f>IF(AND(G344="Reading",B344&lt;&gt;""),IF(H344="",TODAY(),H344)+ROW()/10000000,"")</f>
        <v/>
      </c>
      <c r="Q344">
        <f>IF(AND(N344&lt;&gt;"",N(J344)=5),N344,"")</f>
        <v/>
      </c>
    </row>
    <row r="345">
      <c r="A345" s="1" t="n"/>
      <c r="B345" s="24" t="n"/>
      <c r="C345" s="25" t="n"/>
      <c r="D345" s="25" t="n"/>
      <c r="E345" s="26" t="n"/>
      <c r="F345" s="27" t="n"/>
      <c r="G345" s="26" t="n"/>
      <c r="H345" s="28" t="n"/>
      <c r="I345" s="28" t="n"/>
      <c r="J345" s="27" t="n"/>
      <c r="K345" s="16">
        <f>IF(OR(H345="",I345=""),"",I345-H345+1)</f>
        <v/>
      </c>
      <c r="L345" s="16">
        <f>IF(OR(K345="",N(F345)=0),"",F345/K345)</f>
        <v/>
      </c>
      <c r="M345" s="25" t="n"/>
      <c r="N345" s="1">
        <f>IF(AND(G345="Finished",I345&lt;&gt;""),IF(YEAR(I345)=Dashboard!$C$4,I345+ROW()/10000000,""),"")</f>
        <v/>
      </c>
      <c r="O345">
        <f>IF(B345="","",IFERROR(MATCH(D345,Settings!$B$6:$B$17,0),12))</f>
        <v/>
      </c>
      <c r="P345">
        <f>IF(AND(G345="Reading",B345&lt;&gt;""),IF(H345="",TODAY(),H345)+ROW()/10000000,"")</f>
        <v/>
      </c>
      <c r="Q345">
        <f>IF(AND(N345&lt;&gt;"",N(J345)=5),N345,"")</f>
        <v/>
      </c>
    </row>
    <row r="346">
      <c r="A346" s="1" t="n"/>
      <c r="B346" s="24" t="n"/>
      <c r="C346" s="25" t="n"/>
      <c r="D346" s="25" t="n"/>
      <c r="E346" s="26" t="n"/>
      <c r="F346" s="27" t="n"/>
      <c r="G346" s="26" t="n"/>
      <c r="H346" s="28" t="n"/>
      <c r="I346" s="28" t="n"/>
      <c r="J346" s="27" t="n"/>
      <c r="K346" s="16">
        <f>IF(OR(H346="",I346=""),"",I346-H346+1)</f>
        <v/>
      </c>
      <c r="L346" s="16">
        <f>IF(OR(K346="",N(F346)=0),"",F346/K346)</f>
        <v/>
      </c>
      <c r="M346" s="25" t="n"/>
      <c r="N346" s="1">
        <f>IF(AND(G346="Finished",I346&lt;&gt;""),IF(YEAR(I346)=Dashboard!$C$4,I346+ROW()/10000000,""),"")</f>
        <v/>
      </c>
      <c r="O346">
        <f>IF(B346="","",IFERROR(MATCH(D346,Settings!$B$6:$B$17,0),12))</f>
        <v/>
      </c>
      <c r="P346">
        <f>IF(AND(G346="Reading",B346&lt;&gt;""),IF(H346="",TODAY(),H346)+ROW()/10000000,"")</f>
        <v/>
      </c>
      <c r="Q346">
        <f>IF(AND(N346&lt;&gt;"",N(J346)=5),N346,"")</f>
        <v/>
      </c>
    </row>
    <row r="347">
      <c r="A347" s="1" t="n"/>
      <c r="B347" s="24" t="n"/>
      <c r="C347" s="25" t="n"/>
      <c r="D347" s="25" t="n"/>
      <c r="E347" s="26" t="n"/>
      <c r="F347" s="27" t="n"/>
      <c r="G347" s="26" t="n"/>
      <c r="H347" s="28" t="n"/>
      <c r="I347" s="28" t="n"/>
      <c r="J347" s="27" t="n"/>
      <c r="K347" s="16">
        <f>IF(OR(H347="",I347=""),"",I347-H347+1)</f>
        <v/>
      </c>
      <c r="L347" s="16">
        <f>IF(OR(K347="",N(F347)=0),"",F347/K347)</f>
        <v/>
      </c>
      <c r="M347" s="25" t="n"/>
      <c r="N347" s="1">
        <f>IF(AND(G347="Finished",I347&lt;&gt;""),IF(YEAR(I347)=Dashboard!$C$4,I347+ROW()/10000000,""),"")</f>
        <v/>
      </c>
      <c r="O347">
        <f>IF(B347="","",IFERROR(MATCH(D347,Settings!$B$6:$B$17,0),12))</f>
        <v/>
      </c>
      <c r="P347">
        <f>IF(AND(G347="Reading",B347&lt;&gt;""),IF(H347="",TODAY(),H347)+ROW()/10000000,"")</f>
        <v/>
      </c>
      <c r="Q347">
        <f>IF(AND(N347&lt;&gt;"",N(J347)=5),N347,"")</f>
        <v/>
      </c>
    </row>
    <row r="348">
      <c r="A348" s="1" t="n"/>
      <c r="B348" s="24" t="n"/>
      <c r="C348" s="25" t="n"/>
      <c r="D348" s="25" t="n"/>
      <c r="E348" s="26" t="n"/>
      <c r="F348" s="27" t="n"/>
      <c r="G348" s="26" t="n"/>
      <c r="H348" s="28" t="n"/>
      <c r="I348" s="28" t="n"/>
      <c r="J348" s="27" t="n"/>
      <c r="K348" s="16">
        <f>IF(OR(H348="",I348=""),"",I348-H348+1)</f>
        <v/>
      </c>
      <c r="L348" s="16">
        <f>IF(OR(K348="",N(F348)=0),"",F348/K348)</f>
        <v/>
      </c>
      <c r="M348" s="25" t="n"/>
      <c r="N348" s="1">
        <f>IF(AND(G348="Finished",I348&lt;&gt;""),IF(YEAR(I348)=Dashboard!$C$4,I348+ROW()/10000000,""),"")</f>
        <v/>
      </c>
      <c r="O348">
        <f>IF(B348="","",IFERROR(MATCH(D348,Settings!$B$6:$B$17,0),12))</f>
        <v/>
      </c>
      <c r="P348">
        <f>IF(AND(G348="Reading",B348&lt;&gt;""),IF(H348="",TODAY(),H348)+ROW()/10000000,"")</f>
        <v/>
      </c>
      <c r="Q348">
        <f>IF(AND(N348&lt;&gt;"",N(J348)=5),N348,"")</f>
        <v/>
      </c>
    </row>
    <row r="349">
      <c r="A349" s="1" t="n"/>
      <c r="B349" s="24" t="n"/>
      <c r="C349" s="25" t="n"/>
      <c r="D349" s="25" t="n"/>
      <c r="E349" s="26" t="n"/>
      <c r="F349" s="27" t="n"/>
      <c r="G349" s="26" t="n"/>
      <c r="H349" s="28" t="n"/>
      <c r="I349" s="28" t="n"/>
      <c r="J349" s="27" t="n"/>
      <c r="K349" s="16">
        <f>IF(OR(H349="",I349=""),"",I349-H349+1)</f>
        <v/>
      </c>
      <c r="L349" s="16">
        <f>IF(OR(K349="",N(F349)=0),"",F349/K349)</f>
        <v/>
      </c>
      <c r="M349" s="25" t="n"/>
      <c r="N349" s="1">
        <f>IF(AND(G349="Finished",I349&lt;&gt;""),IF(YEAR(I349)=Dashboard!$C$4,I349+ROW()/10000000,""),"")</f>
        <v/>
      </c>
      <c r="O349">
        <f>IF(B349="","",IFERROR(MATCH(D349,Settings!$B$6:$B$17,0),12))</f>
        <v/>
      </c>
      <c r="P349">
        <f>IF(AND(G349="Reading",B349&lt;&gt;""),IF(H349="",TODAY(),H349)+ROW()/10000000,"")</f>
        <v/>
      </c>
      <c r="Q349">
        <f>IF(AND(N349&lt;&gt;"",N(J349)=5),N349,"")</f>
        <v/>
      </c>
    </row>
    <row r="350">
      <c r="A350" s="1" t="n"/>
      <c r="B350" s="24" t="n"/>
      <c r="C350" s="25" t="n"/>
      <c r="D350" s="25" t="n"/>
      <c r="E350" s="26" t="n"/>
      <c r="F350" s="27" t="n"/>
      <c r="G350" s="26" t="n"/>
      <c r="H350" s="28" t="n"/>
      <c r="I350" s="28" t="n"/>
      <c r="J350" s="27" t="n"/>
      <c r="K350" s="16">
        <f>IF(OR(H350="",I350=""),"",I350-H350+1)</f>
        <v/>
      </c>
      <c r="L350" s="16">
        <f>IF(OR(K350="",N(F350)=0),"",F350/K350)</f>
        <v/>
      </c>
      <c r="M350" s="25" t="n"/>
      <c r="N350" s="1">
        <f>IF(AND(G350="Finished",I350&lt;&gt;""),IF(YEAR(I350)=Dashboard!$C$4,I350+ROW()/10000000,""),"")</f>
        <v/>
      </c>
      <c r="O350">
        <f>IF(B350="","",IFERROR(MATCH(D350,Settings!$B$6:$B$17,0),12))</f>
        <v/>
      </c>
      <c r="P350">
        <f>IF(AND(G350="Reading",B350&lt;&gt;""),IF(H350="",TODAY(),H350)+ROW()/10000000,"")</f>
        <v/>
      </c>
      <c r="Q350">
        <f>IF(AND(N350&lt;&gt;"",N(J350)=5),N350,"")</f>
        <v/>
      </c>
    </row>
    <row r="351">
      <c r="A351" s="1" t="n"/>
      <c r="B351" s="24" t="n"/>
      <c r="C351" s="25" t="n"/>
      <c r="D351" s="25" t="n"/>
      <c r="E351" s="26" t="n"/>
      <c r="F351" s="27" t="n"/>
      <c r="G351" s="26" t="n"/>
      <c r="H351" s="28" t="n"/>
      <c r="I351" s="28" t="n"/>
      <c r="J351" s="27" t="n"/>
      <c r="K351" s="16">
        <f>IF(OR(H351="",I351=""),"",I351-H351+1)</f>
        <v/>
      </c>
      <c r="L351" s="16">
        <f>IF(OR(K351="",N(F351)=0),"",F351/K351)</f>
        <v/>
      </c>
      <c r="M351" s="25" t="n"/>
      <c r="N351" s="1">
        <f>IF(AND(G351="Finished",I351&lt;&gt;""),IF(YEAR(I351)=Dashboard!$C$4,I351+ROW()/10000000,""),"")</f>
        <v/>
      </c>
      <c r="O351">
        <f>IF(B351="","",IFERROR(MATCH(D351,Settings!$B$6:$B$17,0),12))</f>
        <v/>
      </c>
      <c r="P351">
        <f>IF(AND(G351="Reading",B351&lt;&gt;""),IF(H351="",TODAY(),H351)+ROW()/10000000,"")</f>
        <v/>
      </c>
      <c r="Q351">
        <f>IF(AND(N351&lt;&gt;"",N(J351)=5),N351,"")</f>
        <v/>
      </c>
    </row>
    <row r="352">
      <c r="A352" s="1" t="n"/>
      <c r="B352" s="24" t="n"/>
      <c r="C352" s="25" t="n"/>
      <c r="D352" s="25" t="n"/>
      <c r="E352" s="26" t="n"/>
      <c r="F352" s="27" t="n"/>
      <c r="G352" s="26" t="n"/>
      <c r="H352" s="28" t="n"/>
      <c r="I352" s="28" t="n"/>
      <c r="J352" s="27" t="n"/>
      <c r="K352" s="16">
        <f>IF(OR(H352="",I352=""),"",I352-H352+1)</f>
        <v/>
      </c>
      <c r="L352" s="16">
        <f>IF(OR(K352="",N(F352)=0),"",F352/K352)</f>
        <v/>
      </c>
      <c r="M352" s="25" t="n"/>
      <c r="N352" s="1">
        <f>IF(AND(G352="Finished",I352&lt;&gt;""),IF(YEAR(I352)=Dashboard!$C$4,I352+ROW()/10000000,""),"")</f>
        <v/>
      </c>
      <c r="O352">
        <f>IF(B352="","",IFERROR(MATCH(D352,Settings!$B$6:$B$17,0),12))</f>
        <v/>
      </c>
      <c r="P352">
        <f>IF(AND(G352="Reading",B352&lt;&gt;""),IF(H352="",TODAY(),H352)+ROW()/10000000,"")</f>
        <v/>
      </c>
      <c r="Q352">
        <f>IF(AND(N352&lt;&gt;"",N(J352)=5),N352,"")</f>
        <v/>
      </c>
    </row>
    <row r="353">
      <c r="A353" s="1" t="n"/>
      <c r="B353" s="24" t="n"/>
      <c r="C353" s="25" t="n"/>
      <c r="D353" s="25" t="n"/>
      <c r="E353" s="26" t="n"/>
      <c r="F353" s="27" t="n"/>
      <c r="G353" s="26" t="n"/>
      <c r="H353" s="28" t="n"/>
      <c r="I353" s="28" t="n"/>
      <c r="J353" s="27" t="n"/>
      <c r="K353" s="16">
        <f>IF(OR(H353="",I353=""),"",I353-H353+1)</f>
        <v/>
      </c>
      <c r="L353" s="16">
        <f>IF(OR(K353="",N(F353)=0),"",F353/K353)</f>
        <v/>
      </c>
      <c r="M353" s="25" t="n"/>
      <c r="N353" s="1">
        <f>IF(AND(G353="Finished",I353&lt;&gt;""),IF(YEAR(I353)=Dashboard!$C$4,I353+ROW()/10000000,""),"")</f>
        <v/>
      </c>
      <c r="O353">
        <f>IF(B353="","",IFERROR(MATCH(D353,Settings!$B$6:$B$17,0),12))</f>
        <v/>
      </c>
      <c r="P353">
        <f>IF(AND(G353="Reading",B353&lt;&gt;""),IF(H353="",TODAY(),H353)+ROW()/10000000,"")</f>
        <v/>
      </c>
      <c r="Q353">
        <f>IF(AND(N353&lt;&gt;"",N(J353)=5),N353,"")</f>
        <v/>
      </c>
    </row>
    <row r="354">
      <c r="A354" s="1" t="n"/>
      <c r="B354" s="24" t="n"/>
      <c r="C354" s="25" t="n"/>
      <c r="D354" s="25" t="n"/>
      <c r="E354" s="26" t="n"/>
      <c r="F354" s="27" t="n"/>
      <c r="G354" s="26" t="n"/>
      <c r="H354" s="28" t="n"/>
      <c r="I354" s="28" t="n"/>
      <c r="J354" s="27" t="n"/>
      <c r="K354" s="16">
        <f>IF(OR(H354="",I354=""),"",I354-H354+1)</f>
        <v/>
      </c>
      <c r="L354" s="16">
        <f>IF(OR(K354="",N(F354)=0),"",F354/K354)</f>
        <v/>
      </c>
      <c r="M354" s="25" t="n"/>
      <c r="N354" s="1">
        <f>IF(AND(G354="Finished",I354&lt;&gt;""),IF(YEAR(I354)=Dashboard!$C$4,I354+ROW()/10000000,""),"")</f>
        <v/>
      </c>
      <c r="O354">
        <f>IF(B354="","",IFERROR(MATCH(D354,Settings!$B$6:$B$17,0),12))</f>
        <v/>
      </c>
      <c r="P354">
        <f>IF(AND(G354="Reading",B354&lt;&gt;""),IF(H354="",TODAY(),H354)+ROW()/10000000,"")</f>
        <v/>
      </c>
      <c r="Q354">
        <f>IF(AND(N354&lt;&gt;"",N(J354)=5),N354,"")</f>
        <v/>
      </c>
    </row>
    <row r="355">
      <c r="A355" s="1" t="n"/>
      <c r="B355" s="24" t="n"/>
      <c r="C355" s="25" t="n"/>
      <c r="D355" s="25" t="n"/>
      <c r="E355" s="26" t="n"/>
      <c r="F355" s="27" t="n"/>
      <c r="G355" s="26" t="n"/>
      <c r="H355" s="28" t="n"/>
      <c r="I355" s="28" t="n"/>
      <c r="J355" s="27" t="n"/>
      <c r="K355" s="16">
        <f>IF(OR(H355="",I355=""),"",I355-H355+1)</f>
        <v/>
      </c>
      <c r="L355" s="16">
        <f>IF(OR(K355="",N(F355)=0),"",F355/K355)</f>
        <v/>
      </c>
      <c r="M355" s="25" t="n"/>
      <c r="N355" s="1">
        <f>IF(AND(G355="Finished",I355&lt;&gt;""),IF(YEAR(I355)=Dashboard!$C$4,I355+ROW()/10000000,""),"")</f>
        <v/>
      </c>
      <c r="O355">
        <f>IF(B355="","",IFERROR(MATCH(D355,Settings!$B$6:$B$17,0),12))</f>
        <v/>
      </c>
      <c r="P355">
        <f>IF(AND(G355="Reading",B355&lt;&gt;""),IF(H355="",TODAY(),H355)+ROW()/10000000,"")</f>
        <v/>
      </c>
      <c r="Q355">
        <f>IF(AND(N355&lt;&gt;"",N(J355)=5),N355,"")</f>
        <v/>
      </c>
    </row>
    <row r="356">
      <c r="A356" s="1" t="n"/>
      <c r="B356" s="24" t="n"/>
      <c r="C356" s="25" t="n"/>
      <c r="D356" s="25" t="n"/>
      <c r="E356" s="26" t="n"/>
      <c r="F356" s="27" t="n"/>
      <c r="G356" s="26" t="n"/>
      <c r="H356" s="28" t="n"/>
      <c r="I356" s="28" t="n"/>
      <c r="J356" s="27" t="n"/>
      <c r="K356" s="16">
        <f>IF(OR(H356="",I356=""),"",I356-H356+1)</f>
        <v/>
      </c>
      <c r="L356" s="16">
        <f>IF(OR(K356="",N(F356)=0),"",F356/K356)</f>
        <v/>
      </c>
      <c r="M356" s="25" t="n"/>
      <c r="N356" s="1">
        <f>IF(AND(G356="Finished",I356&lt;&gt;""),IF(YEAR(I356)=Dashboard!$C$4,I356+ROW()/10000000,""),"")</f>
        <v/>
      </c>
      <c r="O356">
        <f>IF(B356="","",IFERROR(MATCH(D356,Settings!$B$6:$B$17,0),12))</f>
        <v/>
      </c>
      <c r="P356">
        <f>IF(AND(G356="Reading",B356&lt;&gt;""),IF(H356="",TODAY(),H356)+ROW()/10000000,"")</f>
        <v/>
      </c>
      <c r="Q356">
        <f>IF(AND(N356&lt;&gt;"",N(J356)=5),N356,"")</f>
        <v/>
      </c>
    </row>
    <row r="357">
      <c r="A357" s="1" t="n"/>
      <c r="B357" s="24" t="n"/>
      <c r="C357" s="25" t="n"/>
      <c r="D357" s="25" t="n"/>
      <c r="E357" s="26" t="n"/>
      <c r="F357" s="27" t="n"/>
      <c r="G357" s="26" t="n"/>
      <c r="H357" s="28" t="n"/>
      <c r="I357" s="28" t="n"/>
      <c r="J357" s="27" t="n"/>
      <c r="K357" s="16">
        <f>IF(OR(H357="",I357=""),"",I357-H357+1)</f>
        <v/>
      </c>
      <c r="L357" s="16">
        <f>IF(OR(K357="",N(F357)=0),"",F357/K357)</f>
        <v/>
      </c>
      <c r="M357" s="25" t="n"/>
      <c r="N357" s="1">
        <f>IF(AND(G357="Finished",I357&lt;&gt;""),IF(YEAR(I357)=Dashboard!$C$4,I357+ROW()/10000000,""),"")</f>
        <v/>
      </c>
      <c r="O357">
        <f>IF(B357="","",IFERROR(MATCH(D357,Settings!$B$6:$B$17,0),12))</f>
        <v/>
      </c>
      <c r="P357">
        <f>IF(AND(G357="Reading",B357&lt;&gt;""),IF(H357="",TODAY(),H357)+ROW()/10000000,"")</f>
        <v/>
      </c>
      <c r="Q357">
        <f>IF(AND(N357&lt;&gt;"",N(J357)=5),N357,"")</f>
        <v/>
      </c>
    </row>
    <row r="358">
      <c r="A358" s="1" t="n"/>
      <c r="B358" s="24" t="n"/>
      <c r="C358" s="25" t="n"/>
      <c r="D358" s="25" t="n"/>
      <c r="E358" s="26" t="n"/>
      <c r="F358" s="27" t="n"/>
      <c r="G358" s="26" t="n"/>
      <c r="H358" s="28" t="n"/>
      <c r="I358" s="28" t="n"/>
      <c r="J358" s="27" t="n"/>
      <c r="K358" s="16">
        <f>IF(OR(H358="",I358=""),"",I358-H358+1)</f>
        <v/>
      </c>
      <c r="L358" s="16">
        <f>IF(OR(K358="",N(F358)=0),"",F358/K358)</f>
        <v/>
      </c>
      <c r="M358" s="25" t="n"/>
      <c r="N358" s="1">
        <f>IF(AND(G358="Finished",I358&lt;&gt;""),IF(YEAR(I358)=Dashboard!$C$4,I358+ROW()/10000000,""),"")</f>
        <v/>
      </c>
      <c r="O358">
        <f>IF(B358="","",IFERROR(MATCH(D358,Settings!$B$6:$B$17,0),12))</f>
        <v/>
      </c>
      <c r="P358">
        <f>IF(AND(G358="Reading",B358&lt;&gt;""),IF(H358="",TODAY(),H358)+ROW()/10000000,"")</f>
        <v/>
      </c>
      <c r="Q358">
        <f>IF(AND(N358&lt;&gt;"",N(J358)=5),N358,"")</f>
        <v/>
      </c>
    </row>
    <row r="359">
      <c r="A359" s="1" t="n"/>
      <c r="B359" s="24" t="n"/>
      <c r="C359" s="25" t="n"/>
      <c r="D359" s="25" t="n"/>
      <c r="E359" s="26" t="n"/>
      <c r="F359" s="27" t="n"/>
      <c r="G359" s="26" t="n"/>
      <c r="H359" s="28" t="n"/>
      <c r="I359" s="28" t="n"/>
      <c r="J359" s="27" t="n"/>
      <c r="K359" s="16">
        <f>IF(OR(H359="",I359=""),"",I359-H359+1)</f>
        <v/>
      </c>
      <c r="L359" s="16">
        <f>IF(OR(K359="",N(F359)=0),"",F359/K359)</f>
        <v/>
      </c>
      <c r="M359" s="25" t="n"/>
      <c r="N359" s="1">
        <f>IF(AND(G359="Finished",I359&lt;&gt;""),IF(YEAR(I359)=Dashboard!$C$4,I359+ROW()/10000000,""),"")</f>
        <v/>
      </c>
      <c r="O359">
        <f>IF(B359="","",IFERROR(MATCH(D359,Settings!$B$6:$B$17,0),12))</f>
        <v/>
      </c>
      <c r="P359">
        <f>IF(AND(G359="Reading",B359&lt;&gt;""),IF(H359="",TODAY(),H359)+ROW()/10000000,"")</f>
        <v/>
      </c>
      <c r="Q359">
        <f>IF(AND(N359&lt;&gt;"",N(J359)=5),N359,"")</f>
        <v/>
      </c>
    </row>
    <row r="360">
      <c r="A360" s="1" t="n"/>
      <c r="B360" s="24" t="n"/>
      <c r="C360" s="25" t="n"/>
      <c r="D360" s="25" t="n"/>
      <c r="E360" s="26" t="n"/>
      <c r="F360" s="27" t="n"/>
      <c r="G360" s="26" t="n"/>
      <c r="H360" s="28" t="n"/>
      <c r="I360" s="28" t="n"/>
      <c r="J360" s="27" t="n"/>
      <c r="K360" s="16">
        <f>IF(OR(H360="",I360=""),"",I360-H360+1)</f>
        <v/>
      </c>
      <c r="L360" s="16">
        <f>IF(OR(K360="",N(F360)=0),"",F360/K360)</f>
        <v/>
      </c>
      <c r="M360" s="25" t="n"/>
      <c r="N360" s="1">
        <f>IF(AND(G360="Finished",I360&lt;&gt;""),IF(YEAR(I360)=Dashboard!$C$4,I360+ROW()/10000000,""),"")</f>
        <v/>
      </c>
      <c r="O360">
        <f>IF(B360="","",IFERROR(MATCH(D360,Settings!$B$6:$B$17,0),12))</f>
        <v/>
      </c>
      <c r="P360">
        <f>IF(AND(G360="Reading",B360&lt;&gt;""),IF(H360="",TODAY(),H360)+ROW()/10000000,"")</f>
        <v/>
      </c>
      <c r="Q360">
        <f>IF(AND(N360&lt;&gt;"",N(J360)=5),N360,"")</f>
        <v/>
      </c>
    </row>
    <row r="361">
      <c r="A361" s="1" t="n"/>
      <c r="B361" s="24" t="n"/>
      <c r="C361" s="25" t="n"/>
      <c r="D361" s="25" t="n"/>
      <c r="E361" s="26" t="n"/>
      <c r="F361" s="27" t="n"/>
      <c r="G361" s="26" t="n"/>
      <c r="H361" s="28" t="n"/>
      <c r="I361" s="28" t="n"/>
      <c r="J361" s="27" t="n"/>
      <c r="K361" s="16">
        <f>IF(OR(H361="",I361=""),"",I361-H361+1)</f>
        <v/>
      </c>
      <c r="L361" s="16">
        <f>IF(OR(K361="",N(F361)=0),"",F361/K361)</f>
        <v/>
      </c>
      <c r="M361" s="25" t="n"/>
      <c r="N361" s="1">
        <f>IF(AND(G361="Finished",I361&lt;&gt;""),IF(YEAR(I361)=Dashboard!$C$4,I361+ROW()/10000000,""),"")</f>
        <v/>
      </c>
      <c r="O361">
        <f>IF(B361="","",IFERROR(MATCH(D361,Settings!$B$6:$B$17,0),12))</f>
        <v/>
      </c>
      <c r="P361">
        <f>IF(AND(G361="Reading",B361&lt;&gt;""),IF(H361="",TODAY(),H361)+ROW()/10000000,"")</f>
        <v/>
      </c>
      <c r="Q361">
        <f>IF(AND(N361&lt;&gt;"",N(J361)=5),N361,"")</f>
        <v/>
      </c>
    </row>
    <row r="362">
      <c r="A362" s="1" t="n"/>
      <c r="B362" s="24" t="n"/>
      <c r="C362" s="25" t="n"/>
      <c r="D362" s="25" t="n"/>
      <c r="E362" s="26" t="n"/>
      <c r="F362" s="27" t="n"/>
      <c r="G362" s="26" t="n"/>
      <c r="H362" s="28" t="n"/>
      <c r="I362" s="28" t="n"/>
      <c r="J362" s="27" t="n"/>
      <c r="K362" s="16">
        <f>IF(OR(H362="",I362=""),"",I362-H362+1)</f>
        <v/>
      </c>
      <c r="L362" s="16">
        <f>IF(OR(K362="",N(F362)=0),"",F362/K362)</f>
        <v/>
      </c>
      <c r="M362" s="25" t="n"/>
      <c r="N362" s="1">
        <f>IF(AND(G362="Finished",I362&lt;&gt;""),IF(YEAR(I362)=Dashboard!$C$4,I362+ROW()/10000000,""),"")</f>
        <v/>
      </c>
      <c r="O362">
        <f>IF(B362="","",IFERROR(MATCH(D362,Settings!$B$6:$B$17,0),12))</f>
        <v/>
      </c>
      <c r="P362">
        <f>IF(AND(G362="Reading",B362&lt;&gt;""),IF(H362="",TODAY(),H362)+ROW()/10000000,"")</f>
        <v/>
      </c>
      <c r="Q362">
        <f>IF(AND(N362&lt;&gt;"",N(J362)=5),N362,"")</f>
        <v/>
      </c>
    </row>
    <row r="363">
      <c r="A363" s="1" t="n"/>
      <c r="B363" s="24" t="n"/>
      <c r="C363" s="25" t="n"/>
      <c r="D363" s="25" t="n"/>
      <c r="E363" s="26" t="n"/>
      <c r="F363" s="27" t="n"/>
      <c r="G363" s="26" t="n"/>
      <c r="H363" s="28" t="n"/>
      <c r="I363" s="28" t="n"/>
      <c r="J363" s="27" t="n"/>
      <c r="K363" s="16">
        <f>IF(OR(H363="",I363=""),"",I363-H363+1)</f>
        <v/>
      </c>
      <c r="L363" s="16">
        <f>IF(OR(K363="",N(F363)=0),"",F363/K363)</f>
        <v/>
      </c>
      <c r="M363" s="25" t="n"/>
      <c r="N363" s="1">
        <f>IF(AND(G363="Finished",I363&lt;&gt;""),IF(YEAR(I363)=Dashboard!$C$4,I363+ROW()/10000000,""),"")</f>
        <v/>
      </c>
      <c r="O363">
        <f>IF(B363="","",IFERROR(MATCH(D363,Settings!$B$6:$B$17,0),12))</f>
        <v/>
      </c>
      <c r="P363">
        <f>IF(AND(G363="Reading",B363&lt;&gt;""),IF(H363="",TODAY(),H363)+ROW()/10000000,"")</f>
        <v/>
      </c>
      <c r="Q363">
        <f>IF(AND(N363&lt;&gt;"",N(J363)=5),N363,"")</f>
        <v/>
      </c>
    </row>
    <row r="364">
      <c r="A364" s="1" t="n"/>
      <c r="B364" s="24" t="n"/>
      <c r="C364" s="25" t="n"/>
      <c r="D364" s="25" t="n"/>
      <c r="E364" s="26" t="n"/>
      <c r="F364" s="27" t="n"/>
      <c r="G364" s="26" t="n"/>
      <c r="H364" s="28" t="n"/>
      <c r="I364" s="28" t="n"/>
      <c r="J364" s="27" t="n"/>
      <c r="K364" s="16">
        <f>IF(OR(H364="",I364=""),"",I364-H364+1)</f>
        <v/>
      </c>
      <c r="L364" s="16">
        <f>IF(OR(K364="",N(F364)=0),"",F364/K364)</f>
        <v/>
      </c>
      <c r="M364" s="25" t="n"/>
      <c r="N364" s="1">
        <f>IF(AND(G364="Finished",I364&lt;&gt;""),IF(YEAR(I364)=Dashboard!$C$4,I364+ROW()/10000000,""),"")</f>
        <v/>
      </c>
      <c r="O364">
        <f>IF(B364="","",IFERROR(MATCH(D364,Settings!$B$6:$B$17,0),12))</f>
        <v/>
      </c>
      <c r="P364">
        <f>IF(AND(G364="Reading",B364&lt;&gt;""),IF(H364="",TODAY(),H364)+ROW()/10000000,"")</f>
        <v/>
      </c>
      <c r="Q364">
        <f>IF(AND(N364&lt;&gt;"",N(J364)=5),N364,"")</f>
        <v/>
      </c>
    </row>
    <row r="365">
      <c r="A365" s="1" t="n"/>
      <c r="B365" s="24" t="n"/>
      <c r="C365" s="25" t="n"/>
      <c r="D365" s="25" t="n"/>
      <c r="E365" s="26" t="n"/>
      <c r="F365" s="27" t="n"/>
      <c r="G365" s="26" t="n"/>
      <c r="H365" s="28" t="n"/>
      <c r="I365" s="28" t="n"/>
      <c r="J365" s="27" t="n"/>
      <c r="K365" s="16">
        <f>IF(OR(H365="",I365=""),"",I365-H365+1)</f>
        <v/>
      </c>
      <c r="L365" s="16">
        <f>IF(OR(K365="",N(F365)=0),"",F365/K365)</f>
        <v/>
      </c>
      <c r="M365" s="25" t="n"/>
      <c r="N365" s="1">
        <f>IF(AND(G365="Finished",I365&lt;&gt;""),IF(YEAR(I365)=Dashboard!$C$4,I365+ROW()/10000000,""),"")</f>
        <v/>
      </c>
      <c r="O365">
        <f>IF(B365="","",IFERROR(MATCH(D365,Settings!$B$6:$B$17,0),12))</f>
        <v/>
      </c>
      <c r="P365">
        <f>IF(AND(G365="Reading",B365&lt;&gt;""),IF(H365="",TODAY(),H365)+ROW()/10000000,"")</f>
        <v/>
      </c>
      <c r="Q365">
        <f>IF(AND(N365&lt;&gt;"",N(J365)=5),N365,"")</f>
        <v/>
      </c>
    </row>
    <row r="366">
      <c r="A366" s="1" t="n"/>
      <c r="B366" s="24" t="n"/>
      <c r="C366" s="25" t="n"/>
      <c r="D366" s="25" t="n"/>
      <c r="E366" s="26" t="n"/>
      <c r="F366" s="27" t="n"/>
      <c r="G366" s="26" t="n"/>
      <c r="H366" s="28" t="n"/>
      <c r="I366" s="28" t="n"/>
      <c r="J366" s="27" t="n"/>
      <c r="K366" s="16">
        <f>IF(OR(H366="",I366=""),"",I366-H366+1)</f>
        <v/>
      </c>
      <c r="L366" s="16">
        <f>IF(OR(K366="",N(F366)=0),"",F366/K366)</f>
        <v/>
      </c>
      <c r="M366" s="25" t="n"/>
      <c r="N366" s="1">
        <f>IF(AND(G366="Finished",I366&lt;&gt;""),IF(YEAR(I366)=Dashboard!$C$4,I366+ROW()/10000000,""),"")</f>
        <v/>
      </c>
      <c r="O366">
        <f>IF(B366="","",IFERROR(MATCH(D366,Settings!$B$6:$B$17,0),12))</f>
        <v/>
      </c>
      <c r="P366">
        <f>IF(AND(G366="Reading",B366&lt;&gt;""),IF(H366="",TODAY(),H366)+ROW()/10000000,"")</f>
        <v/>
      </c>
      <c r="Q366">
        <f>IF(AND(N366&lt;&gt;"",N(J366)=5),N366,"")</f>
        <v/>
      </c>
    </row>
    <row r="367">
      <c r="A367" s="1" t="n"/>
      <c r="B367" s="24" t="n"/>
      <c r="C367" s="25" t="n"/>
      <c r="D367" s="25" t="n"/>
      <c r="E367" s="26" t="n"/>
      <c r="F367" s="27" t="n"/>
      <c r="G367" s="26" t="n"/>
      <c r="H367" s="28" t="n"/>
      <c r="I367" s="28" t="n"/>
      <c r="J367" s="27" t="n"/>
      <c r="K367" s="16">
        <f>IF(OR(H367="",I367=""),"",I367-H367+1)</f>
        <v/>
      </c>
      <c r="L367" s="16">
        <f>IF(OR(K367="",N(F367)=0),"",F367/K367)</f>
        <v/>
      </c>
      <c r="M367" s="25" t="n"/>
      <c r="N367" s="1">
        <f>IF(AND(G367="Finished",I367&lt;&gt;""),IF(YEAR(I367)=Dashboard!$C$4,I367+ROW()/10000000,""),"")</f>
        <v/>
      </c>
      <c r="O367">
        <f>IF(B367="","",IFERROR(MATCH(D367,Settings!$B$6:$B$17,0),12))</f>
        <v/>
      </c>
      <c r="P367">
        <f>IF(AND(G367="Reading",B367&lt;&gt;""),IF(H367="",TODAY(),H367)+ROW()/10000000,"")</f>
        <v/>
      </c>
      <c r="Q367">
        <f>IF(AND(N367&lt;&gt;"",N(J367)=5),N367,"")</f>
        <v/>
      </c>
    </row>
    <row r="368">
      <c r="A368" s="1" t="n"/>
      <c r="B368" s="24" t="n"/>
      <c r="C368" s="25" t="n"/>
      <c r="D368" s="25" t="n"/>
      <c r="E368" s="26" t="n"/>
      <c r="F368" s="27" t="n"/>
      <c r="G368" s="26" t="n"/>
      <c r="H368" s="28" t="n"/>
      <c r="I368" s="28" t="n"/>
      <c r="J368" s="27" t="n"/>
      <c r="K368" s="16">
        <f>IF(OR(H368="",I368=""),"",I368-H368+1)</f>
        <v/>
      </c>
      <c r="L368" s="16">
        <f>IF(OR(K368="",N(F368)=0),"",F368/K368)</f>
        <v/>
      </c>
      <c r="M368" s="25" t="n"/>
      <c r="N368" s="1">
        <f>IF(AND(G368="Finished",I368&lt;&gt;""),IF(YEAR(I368)=Dashboard!$C$4,I368+ROW()/10000000,""),"")</f>
        <v/>
      </c>
      <c r="O368">
        <f>IF(B368="","",IFERROR(MATCH(D368,Settings!$B$6:$B$17,0),12))</f>
        <v/>
      </c>
      <c r="P368">
        <f>IF(AND(G368="Reading",B368&lt;&gt;""),IF(H368="",TODAY(),H368)+ROW()/10000000,"")</f>
        <v/>
      </c>
      <c r="Q368">
        <f>IF(AND(N368&lt;&gt;"",N(J368)=5),N368,"")</f>
        <v/>
      </c>
    </row>
    <row r="369">
      <c r="A369" s="1" t="n"/>
      <c r="B369" s="24" t="n"/>
      <c r="C369" s="25" t="n"/>
      <c r="D369" s="25" t="n"/>
      <c r="E369" s="26" t="n"/>
      <c r="F369" s="27" t="n"/>
      <c r="G369" s="26" t="n"/>
      <c r="H369" s="28" t="n"/>
      <c r="I369" s="28" t="n"/>
      <c r="J369" s="27" t="n"/>
      <c r="K369" s="16">
        <f>IF(OR(H369="",I369=""),"",I369-H369+1)</f>
        <v/>
      </c>
      <c r="L369" s="16">
        <f>IF(OR(K369="",N(F369)=0),"",F369/K369)</f>
        <v/>
      </c>
      <c r="M369" s="25" t="n"/>
      <c r="N369" s="1">
        <f>IF(AND(G369="Finished",I369&lt;&gt;""),IF(YEAR(I369)=Dashboard!$C$4,I369+ROW()/10000000,""),"")</f>
        <v/>
      </c>
      <c r="O369">
        <f>IF(B369="","",IFERROR(MATCH(D369,Settings!$B$6:$B$17,0),12))</f>
        <v/>
      </c>
      <c r="P369">
        <f>IF(AND(G369="Reading",B369&lt;&gt;""),IF(H369="",TODAY(),H369)+ROW()/10000000,"")</f>
        <v/>
      </c>
      <c r="Q369">
        <f>IF(AND(N369&lt;&gt;"",N(J369)=5),N369,"")</f>
        <v/>
      </c>
    </row>
    <row r="370">
      <c r="A370" s="1" t="n"/>
      <c r="B370" s="24" t="n"/>
      <c r="C370" s="25" t="n"/>
      <c r="D370" s="25" t="n"/>
      <c r="E370" s="26" t="n"/>
      <c r="F370" s="27" t="n"/>
      <c r="G370" s="26" t="n"/>
      <c r="H370" s="28" t="n"/>
      <c r="I370" s="28" t="n"/>
      <c r="J370" s="27" t="n"/>
      <c r="K370" s="16">
        <f>IF(OR(H370="",I370=""),"",I370-H370+1)</f>
        <v/>
      </c>
      <c r="L370" s="16">
        <f>IF(OR(K370="",N(F370)=0),"",F370/K370)</f>
        <v/>
      </c>
      <c r="M370" s="25" t="n"/>
      <c r="N370" s="1">
        <f>IF(AND(G370="Finished",I370&lt;&gt;""),IF(YEAR(I370)=Dashboard!$C$4,I370+ROW()/10000000,""),"")</f>
        <v/>
      </c>
      <c r="O370">
        <f>IF(B370="","",IFERROR(MATCH(D370,Settings!$B$6:$B$17,0),12))</f>
        <v/>
      </c>
      <c r="P370">
        <f>IF(AND(G370="Reading",B370&lt;&gt;""),IF(H370="",TODAY(),H370)+ROW()/10000000,"")</f>
        <v/>
      </c>
      <c r="Q370">
        <f>IF(AND(N370&lt;&gt;"",N(J370)=5),N370,"")</f>
        <v/>
      </c>
    </row>
    <row r="371">
      <c r="A371" s="1" t="n"/>
      <c r="B371" s="24" t="n"/>
      <c r="C371" s="25" t="n"/>
      <c r="D371" s="25" t="n"/>
      <c r="E371" s="26" t="n"/>
      <c r="F371" s="27" t="n"/>
      <c r="G371" s="26" t="n"/>
      <c r="H371" s="28" t="n"/>
      <c r="I371" s="28" t="n"/>
      <c r="J371" s="27" t="n"/>
      <c r="K371" s="16">
        <f>IF(OR(H371="",I371=""),"",I371-H371+1)</f>
        <v/>
      </c>
      <c r="L371" s="16">
        <f>IF(OR(K371="",N(F371)=0),"",F371/K371)</f>
        <v/>
      </c>
      <c r="M371" s="25" t="n"/>
      <c r="N371" s="1">
        <f>IF(AND(G371="Finished",I371&lt;&gt;""),IF(YEAR(I371)=Dashboard!$C$4,I371+ROW()/10000000,""),"")</f>
        <v/>
      </c>
      <c r="O371">
        <f>IF(B371="","",IFERROR(MATCH(D371,Settings!$B$6:$B$17,0),12))</f>
        <v/>
      </c>
      <c r="P371">
        <f>IF(AND(G371="Reading",B371&lt;&gt;""),IF(H371="",TODAY(),H371)+ROW()/10000000,"")</f>
        <v/>
      </c>
      <c r="Q371">
        <f>IF(AND(N371&lt;&gt;"",N(J371)=5),N371,"")</f>
        <v/>
      </c>
    </row>
    <row r="372">
      <c r="A372" s="1" t="n"/>
      <c r="B372" s="24" t="n"/>
      <c r="C372" s="25" t="n"/>
      <c r="D372" s="25" t="n"/>
      <c r="E372" s="26" t="n"/>
      <c r="F372" s="27" t="n"/>
      <c r="G372" s="26" t="n"/>
      <c r="H372" s="28" t="n"/>
      <c r="I372" s="28" t="n"/>
      <c r="J372" s="27" t="n"/>
      <c r="K372" s="16">
        <f>IF(OR(H372="",I372=""),"",I372-H372+1)</f>
        <v/>
      </c>
      <c r="L372" s="16">
        <f>IF(OR(K372="",N(F372)=0),"",F372/K372)</f>
        <v/>
      </c>
      <c r="M372" s="25" t="n"/>
      <c r="N372" s="1">
        <f>IF(AND(G372="Finished",I372&lt;&gt;""),IF(YEAR(I372)=Dashboard!$C$4,I372+ROW()/10000000,""),"")</f>
        <v/>
      </c>
      <c r="O372">
        <f>IF(B372="","",IFERROR(MATCH(D372,Settings!$B$6:$B$17,0),12))</f>
        <v/>
      </c>
      <c r="P372">
        <f>IF(AND(G372="Reading",B372&lt;&gt;""),IF(H372="",TODAY(),H372)+ROW()/10000000,"")</f>
        <v/>
      </c>
      <c r="Q372">
        <f>IF(AND(N372&lt;&gt;"",N(J372)=5),N372,"")</f>
        <v/>
      </c>
    </row>
    <row r="373">
      <c r="A373" s="1" t="n"/>
      <c r="B373" s="24" t="n"/>
      <c r="C373" s="25" t="n"/>
      <c r="D373" s="25" t="n"/>
      <c r="E373" s="26" t="n"/>
      <c r="F373" s="27" t="n"/>
      <c r="G373" s="26" t="n"/>
      <c r="H373" s="28" t="n"/>
      <c r="I373" s="28" t="n"/>
      <c r="J373" s="27" t="n"/>
      <c r="K373" s="16">
        <f>IF(OR(H373="",I373=""),"",I373-H373+1)</f>
        <v/>
      </c>
      <c r="L373" s="16">
        <f>IF(OR(K373="",N(F373)=0),"",F373/K373)</f>
        <v/>
      </c>
      <c r="M373" s="25" t="n"/>
      <c r="N373" s="1">
        <f>IF(AND(G373="Finished",I373&lt;&gt;""),IF(YEAR(I373)=Dashboard!$C$4,I373+ROW()/10000000,""),"")</f>
        <v/>
      </c>
      <c r="O373">
        <f>IF(B373="","",IFERROR(MATCH(D373,Settings!$B$6:$B$17,0),12))</f>
        <v/>
      </c>
      <c r="P373">
        <f>IF(AND(G373="Reading",B373&lt;&gt;""),IF(H373="",TODAY(),H373)+ROW()/10000000,"")</f>
        <v/>
      </c>
      <c r="Q373">
        <f>IF(AND(N373&lt;&gt;"",N(J373)=5),N373,"")</f>
        <v/>
      </c>
    </row>
    <row r="374">
      <c r="A374" s="1" t="n"/>
      <c r="B374" s="24" t="n"/>
      <c r="C374" s="25" t="n"/>
      <c r="D374" s="25" t="n"/>
      <c r="E374" s="26" t="n"/>
      <c r="F374" s="27" t="n"/>
      <c r="G374" s="26" t="n"/>
      <c r="H374" s="28" t="n"/>
      <c r="I374" s="28" t="n"/>
      <c r="J374" s="27" t="n"/>
      <c r="K374" s="16">
        <f>IF(OR(H374="",I374=""),"",I374-H374+1)</f>
        <v/>
      </c>
      <c r="L374" s="16">
        <f>IF(OR(K374="",N(F374)=0),"",F374/K374)</f>
        <v/>
      </c>
      <c r="M374" s="25" t="n"/>
      <c r="N374" s="1">
        <f>IF(AND(G374="Finished",I374&lt;&gt;""),IF(YEAR(I374)=Dashboard!$C$4,I374+ROW()/10000000,""),"")</f>
        <v/>
      </c>
      <c r="O374">
        <f>IF(B374="","",IFERROR(MATCH(D374,Settings!$B$6:$B$17,0),12))</f>
        <v/>
      </c>
      <c r="P374">
        <f>IF(AND(G374="Reading",B374&lt;&gt;""),IF(H374="",TODAY(),H374)+ROW()/10000000,"")</f>
        <v/>
      </c>
      <c r="Q374">
        <f>IF(AND(N374&lt;&gt;"",N(J374)=5),N374,"")</f>
        <v/>
      </c>
    </row>
    <row r="375">
      <c r="A375" s="1" t="n"/>
      <c r="B375" s="24" t="n"/>
      <c r="C375" s="25" t="n"/>
      <c r="D375" s="25" t="n"/>
      <c r="E375" s="26" t="n"/>
      <c r="F375" s="27" t="n"/>
      <c r="G375" s="26" t="n"/>
      <c r="H375" s="28" t="n"/>
      <c r="I375" s="28" t="n"/>
      <c r="J375" s="27" t="n"/>
      <c r="K375" s="16">
        <f>IF(OR(H375="",I375=""),"",I375-H375+1)</f>
        <v/>
      </c>
      <c r="L375" s="16">
        <f>IF(OR(K375="",N(F375)=0),"",F375/K375)</f>
        <v/>
      </c>
      <c r="M375" s="25" t="n"/>
      <c r="N375" s="1">
        <f>IF(AND(G375="Finished",I375&lt;&gt;""),IF(YEAR(I375)=Dashboard!$C$4,I375+ROW()/10000000,""),"")</f>
        <v/>
      </c>
      <c r="O375">
        <f>IF(B375="","",IFERROR(MATCH(D375,Settings!$B$6:$B$17,0),12))</f>
        <v/>
      </c>
      <c r="P375">
        <f>IF(AND(G375="Reading",B375&lt;&gt;""),IF(H375="",TODAY(),H375)+ROW()/10000000,"")</f>
        <v/>
      </c>
      <c r="Q375">
        <f>IF(AND(N375&lt;&gt;"",N(J375)=5),N375,"")</f>
        <v/>
      </c>
    </row>
    <row r="376">
      <c r="A376" s="1" t="n"/>
      <c r="B376" s="24" t="n"/>
      <c r="C376" s="25" t="n"/>
      <c r="D376" s="25" t="n"/>
      <c r="E376" s="26" t="n"/>
      <c r="F376" s="27" t="n"/>
      <c r="G376" s="26" t="n"/>
      <c r="H376" s="28" t="n"/>
      <c r="I376" s="28" t="n"/>
      <c r="J376" s="27" t="n"/>
      <c r="K376" s="16">
        <f>IF(OR(H376="",I376=""),"",I376-H376+1)</f>
        <v/>
      </c>
      <c r="L376" s="16">
        <f>IF(OR(K376="",N(F376)=0),"",F376/K376)</f>
        <v/>
      </c>
      <c r="M376" s="25" t="n"/>
      <c r="N376" s="1">
        <f>IF(AND(G376="Finished",I376&lt;&gt;""),IF(YEAR(I376)=Dashboard!$C$4,I376+ROW()/10000000,""),"")</f>
        <v/>
      </c>
      <c r="O376">
        <f>IF(B376="","",IFERROR(MATCH(D376,Settings!$B$6:$B$17,0),12))</f>
        <v/>
      </c>
      <c r="P376">
        <f>IF(AND(G376="Reading",B376&lt;&gt;""),IF(H376="",TODAY(),H376)+ROW()/10000000,"")</f>
        <v/>
      </c>
      <c r="Q376">
        <f>IF(AND(N376&lt;&gt;"",N(J376)=5),N376,"")</f>
        <v/>
      </c>
    </row>
    <row r="377">
      <c r="A377" s="1" t="n"/>
      <c r="B377" s="24" t="n"/>
      <c r="C377" s="25" t="n"/>
      <c r="D377" s="25" t="n"/>
      <c r="E377" s="26" t="n"/>
      <c r="F377" s="27" t="n"/>
      <c r="G377" s="26" t="n"/>
      <c r="H377" s="28" t="n"/>
      <c r="I377" s="28" t="n"/>
      <c r="J377" s="27" t="n"/>
      <c r="K377" s="16">
        <f>IF(OR(H377="",I377=""),"",I377-H377+1)</f>
        <v/>
      </c>
      <c r="L377" s="16">
        <f>IF(OR(K377="",N(F377)=0),"",F377/K377)</f>
        <v/>
      </c>
      <c r="M377" s="25" t="n"/>
      <c r="N377" s="1">
        <f>IF(AND(G377="Finished",I377&lt;&gt;""),IF(YEAR(I377)=Dashboard!$C$4,I377+ROW()/10000000,""),"")</f>
        <v/>
      </c>
      <c r="O377">
        <f>IF(B377="","",IFERROR(MATCH(D377,Settings!$B$6:$B$17,0),12))</f>
        <v/>
      </c>
      <c r="P377">
        <f>IF(AND(G377="Reading",B377&lt;&gt;""),IF(H377="",TODAY(),H377)+ROW()/10000000,"")</f>
        <v/>
      </c>
      <c r="Q377">
        <f>IF(AND(N377&lt;&gt;"",N(J377)=5),N377,"")</f>
        <v/>
      </c>
    </row>
    <row r="378">
      <c r="A378" s="1" t="n"/>
      <c r="B378" s="24" t="n"/>
      <c r="C378" s="25" t="n"/>
      <c r="D378" s="25" t="n"/>
      <c r="E378" s="26" t="n"/>
      <c r="F378" s="27" t="n"/>
      <c r="G378" s="26" t="n"/>
      <c r="H378" s="28" t="n"/>
      <c r="I378" s="28" t="n"/>
      <c r="J378" s="27" t="n"/>
      <c r="K378" s="16">
        <f>IF(OR(H378="",I378=""),"",I378-H378+1)</f>
        <v/>
      </c>
      <c r="L378" s="16">
        <f>IF(OR(K378="",N(F378)=0),"",F378/K378)</f>
        <v/>
      </c>
      <c r="M378" s="25" t="n"/>
      <c r="N378" s="1">
        <f>IF(AND(G378="Finished",I378&lt;&gt;""),IF(YEAR(I378)=Dashboard!$C$4,I378+ROW()/10000000,""),"")</f>
        <v/>
      </c>
      <c r="O378">
        <f>IF(B378="","",IFERROR(MATCH(D378,Settings!$B$6:$B$17,0),12))</f>
        <v/>
      </c>
      <c r="P378">
        <f>IF(AND(G378="Reading",B378&lt;&gt;""),IF(H378="",TODAY(),H378)+ROW()/10000000,"")</f>
        <v/>
      </c>
      <c r="Q378">
        <f>IF(AND(N378&lt;&gt;"",N(J378)=5),N378,"")</f>
        <v/>
      </c>
    </row>
    <row r="379">
      <c r="A379" s="1" t="n"/>
      <c r="B379" s="24" t="n"/>
      <c r="C379" s="25" t="n"/>
      <c r="D379" s="25" t="n"/>
      <c r="E379" s="26" t="n"/>
      <c r="F379" s="27" t="n"/>
      <c r="G379" s="26" t="n"/>
      <c r="H379" s="28" t="n"/>
      <c r="I379" s="28" t="n"/>
      <c r="J379" s="27" t="n"/>
      <c r="K379" s="16">
        <f>IF(OR(H379="",I379=""),"",I379-H379+1)</f>
        <v/>
      </c>
      <c r="L379" s="16">
        <f>IF(OR(K379="",N(F379)=0),"",F379/K379)</f>
        <v/>
      </c>
      <c r="M379" s="25" t="n"/>
      <c r="N379" s="1">
        <f>IF(AND(G379="Finished",I379&lt;&gt;""),IF(YEAR(I379)=Dashboard!$C$4,I379+ROW()/10000000,""),"")</f>
        <v/>
      </c>
      <c r="O379">
        <f>IF(B379="","",IFERROR(MATCH(D379,Settings!$B$6:$B$17,0),12))</f>
        <v/>
      </c>
      <c r="P379">
        <f>IF(AND(G379="Reading",B379&lt;&gt;""),IF(H379="",TODAY(),H379)+ROW()/10000000,"")</f>
        <v/>
      </c>
      <c r="Q379">
        <f>IF(AND(N379&lt;&gt;"",N(J379)=5),N379,"")</f>
        <v/>
      </c>
    </row>
    <row r="380">
      <c r="A380" s="1" t="n"/>
      <c r="B380" s="24" t="n"/>
      <c r="C380" s="25" t="n"/>
      <c r="D380" s="25" t="n"/>
      <c r="E380" s="26" t="n"/>
      <c r="F380" s="27" t="n"/>
      <c r="G380" s="26" t="n"/>
      <c r="H380" s="28" t="n"/>
      <c r="I380" s="28" t="n"/>
      <c r="J380" s="27" t="n"/>
      <c r="K380" s="16">
        <f>IF(OR(H380="",I380=""),"",I380-H380+1)</f>
        <v/>
      </c>
      <c r="L380" s="16">
        <f>IF(OR(K380="",N(F380)=0),"",F380/K380)</f>
        <v/>
      </c>
      <c r="M380" s="25" t="n"/>
      <c r="N380" s="1">
        <f>IF(AND(G380="Finished",I380&lt;&gt;""),IF(YEAR(I380)=Dashboard!$C$4,I380+ROW()/10000000,""),"")</f>
        <v/>
      </c>
      <c r="O380">
        <f>IF(B380="","",IFERROR(MATCH(D380,Settings!$B$6:$B$17,0),12))</f>
        <v/>
      </c>
      <c r="P380">
        <f>IF(AND(G380="Reading",B380&lt;&gt;""),IF(H380="",TODAY(),H380)+ROW()/10000000,"")</f>
        <v/>
      </c>
      <c r="Q380">
        <f>IF(AND(N380&lt;&gt;"",N(J380)=5),N380,"")</f>
        <v/>
      </c>
    </row>
    <row r="381">
      <c r="A381" s="1" t="n"/>
      <c r="B381" s="24" t="n"/>
      <c r="C381" s="25" t="n"/>
      <c r="D381" s="25" t="n"/>
      <c r="E381" s="26" t="n"/>
      <c r="F381" s="27" t="n"/>
      <c r="G381" s="26" t="n"/>
      <c r="H381" s="28" t="n"/>
      <c r="I381" s="28" t="n"/>
      <c r="J381" s="27" t="n"/>
      <c r="K381" s="16">
        <f>IF(OR(H381="",I381=""),"",I381-H381+1)</f>
        <v/>
      </c>
      <c r="L381" s="16">
        <f>IF(OR(K381="",N(F381)=0),"",F381/K381)</f>
        <v/>
      </c>
      <c r="M381" s="25" t="n"/>
      <c r="N381" s="1">
        <f>IF(AND(G381="Finished",I381&lt;&gt;""),IF(YEAR(I381)=Dashboard!$C$4,I381+ROW()/10000000,""),"")</f>
        <v/>
      </c>
      <c r="O381">
        <f>IF(B381="","",IFERROR(MATCH(D381,Settings!$B$6:$B$17,0),12))</f>
        <v/>
      </c>
      <c r="P381">
        <f>IF(AND(G381="Reading",B381&lt;&gt;""),IF(H381="",TODAY(),H381)+ROW()/10000000,"")</f>
        <v/>
      </c>
      <c r="Q381">
        <f>IF(AND(N381&lt;&gt;"",N(J381)=5),N381,"")</f>
        <v/>
      </c>
    </row>
    <row r="382">
      <c r="A382" s="1" t="n"/>
      <c r="B382" s="24" t="n"/>
      <c r="C382" s="25" t="n"/>
      <c r="D382" s="25" t="n"/>
      <c r="E382" s="26" t="n"/>
      <c r="F382" s="27" t="n"/>
      <c r="G382" s="26" t="n"/>
      <c r="H382" s="28" t="n"/>
      <c r="I382" s="28" t="n"/>
      <c r="J382" s="27" t="n"/>
      <c r="K382" s="16">
        <f>IF(OR(H382="",I382=""),"",I382-H382+1)</f>
        <v/>
      </c>
      <c r="L382" s="16">
        <f>IF(OR(K382="",N(F382)=0),"",F382/K382)</f>
        <v/>
      </c>
      <c r="M382" s="25" t="n"/>
      <c r="N382" s="1">
        <f>IF(AND(G382="Finished",I382&lt;&gt;""),IF(YEAR(I382)=Dashboard!$C$4,I382+ROW()/10000000,""),"")</f>
        <v/>
      </c>
      <c r="O382">
        <f>IF(B382="","",IFERROR(MATCH(D382,Settings!$B$6:$B$17,0),12))</f>
        <v/>
      </c>
      <c r="P382">
        <f>IF(AND(G382="Reading",B382&lt;&gt;""),IF(H382="",TODAY(),H382)+ROW()/10000000,"")</f>
        <v/>
      </c>
      <c r="Q382">
        <f>IF(AND(N382&lt;&gt;"",N(J382)=5),N382,"")</f>
        <v/>
      </c>
    </row>
    <row r="383">
      <c r="A383" s="1" t="n"/>
      <c r="B383" s="24" t="n"/>
      <c r="C383" s="25" t="n"/>
      <c r="D383" s="25" t="n"/>
      <c r="E383" s="26" t="n"/>
      <c r="F383" s="27" t="n"/>
      <c r="G383" s="26" t="n"/>
      <c r="H383" s="28" t="n"/>
      <c r="I383" s="28" t="n"/>
      <c r="J383" s="27" t="n"/>
      <c r="K383" s="16">
        <f>IF(OR(H383="",I383=""),"",I383-H383+1)</f>
        <v/>
      </c>
      <c r="L383" s="16">
        <f>IF(OR(K383="",N(F383)=0),"",F383/K383)</f>
        <v/>
      </c>
      <c r="M383" s="25" t="n"/>
      <c r="N383" s="1">
        <f>IF(AND(G383="Finished",I383&lt;&gt;""),IF(YEAR(I383)=Dashboard!$C$4,I383+ROW()/10000000,""),"")</f>
        <v/>
      </c>
      <c r="O383">
        <f>IF(B383="","",IFERROR(MATCH(D383,Settings!$B$6:$B$17,0),12))</f>
        <v/>
      </c>
      <c r="P383">
        <f>IF(AND(G383="Reading",B383&lt;&gt;""),IF(H383="",TODAY(),H383)+ROW()/10000000,"")</f>
        <v/>
      </c>
      <c r="Q383">
        <f>IF(AND(N383&lt;&gt;"",N(J383)=5),N383,"")</f>
        <v/>
      </c>
    </row>
    <row r="384">
      <c r="A384" s="1" t="n"/>
      <c r="B384" s="24" t="n"/>
      <c r="C384" s="25" t="n"/>
      <c r="D384" s="25" t="n"/>
      <c r="E384" s="26" t="n"/>
      <c r="F384" s="27" t="n"/>
      <c r="G384" s="26" t="n"/>
      <c r="H384" s="28" t="n"/>
      <c r="I384" s="28" t="n"/>
      <c r="J384" s="27" t="n"/>
      <c r="K384" s="16">
        <f>IF(OR(H384="",I384=""),"",I384-H384+1)</f>
        <v/>
      </c>
      <c r="L384" s="16">
        <f>IF(OR(K384="",N(F384)=0),"",F384/K384)</f>
        <v/>
      </c>
      <c r="M384" s="25" t="n"/>
      <c r="N384" s="1">
        <f>IF(AND(G384="Finished",I384&lt;&gt;""),IF(YEAR(I384)=Dashboard!$C$4,I384+ROW()/10000000,""),"")</f>
        <v/>
      </c>
      <c r="O384">
        <f>IF(B384="","",IFERROR(MATCH(D384,Settings!$B$6:$B$17,0),12))</f>
        <v/>
      </c>
      <c r="P384">
        <f>IF(AND(G384="Reading",B384&lt;&gt;""),IF(H384="",TODAY(),H384)+ROW()/10000000,"")</f>
        <v/>
      </c>
      <c r="Q384">
        <f>IF(AND(N384&lt;&gt;"",N(J384)=5),N384,"")</f>
        <v/>
      </c>
    </row>
    <row r="385">
      <c r="A385" s="1" t="n"/>
      <c r="B385" s="24" t="n"/>
      <c r="C385" s="25" t="n"/>
      <c r="D385" s="25" t="n"/>
      <c r="E385" s="26" t="n"/>
      <c r="F385" s="27" t="n"/>
      <c r="G385" s="26" t="n"/>
      <c r="H385" s="28" t="n"/>
      <c r="I385" s="28" t="n"/>
      <c r="J385" s="27" t="n"/>
      <c r="K385" s="16">
        <f>IF(OR(H385="",I385=""),"",I385-H385+1)</f>
        <v/>
      </c>
      <c r="L385" s="16">
        <f>IF(OR(K385="",N(F385)=0),"",F385/K385)</f>
        <v/>
      </c>
      <c r="M385" s="25" t="n"/>
      <c r="N385" s="1">
        <f>IF(AND(G385="Finished",I385&lt;&gt;""),IF(YEAR(I385)=Dashboard!$C$4,I385+ROW()/10000000,""),"")</f>
        <v/>
      </c>
      <c r="O385">
        <f>IF(B385="","",IFERROR(MATCH(D385,Settings!$B$6:$B$17,0),12))</f>
        <v/>
      </c>
      <c r="P385">
        <f>IF(AND(G385="Reading",B385&lt;&gt;""),IF(H385="",TODAY(),H385)+ROW()/10000000,"")</f>
        <v/>
      </c>
      <c r="Q385">
        <f>IF(AND(N385&lt;&gt;"",N(J385)=5),N385,"")</f>
        <v/>
      </c>
    </row>
    <row r="386">
      <c r="A386" s="1" t="n"/>
      <c r="B386" s="24" t="n"/>
      <c r="C386" s="25" t="n"/>
      <c r="D386" s="25" t="n"/>
      <c r="E386" s="26" t="n"/>
      <c r="F386" s="27" t="n"/>
      <c r="G386" s="26" t="n"/>
      <c r="H386" s="28" t="n"/>
      <c r="I386" s="28" t="n"/>
      <c r="J386" s="27" t="n"/>
      <c r="K386" s="16">
        <f>IF(OR(H386="",I386=""),"",I386-H386+1)</f>
        <v/>
      </c>
      <c r="L386" s="16">
        <f>IF(OR(K386="",N(F386)=0),"",F386/K386)</f>
        <v/>
      </c>
      <c r="M386" s="25" t="n"/>
      <c r="N386" s="1">
        <f>IF(AND(G386="Finished",I386&lt;&gt;""),IF(YEAR(I386)=Dashboard!$C$4,I386+ROW()/10000000,""),"")</f>
        <v/>
      </c>
      <c r="O386">
        <f>IF(B386="","",IFERROR(MATCH(D386,Settings!$B$6:$B$17,0),12))</f>
        <v/>
      </c>
      <c r="P386">
        <f>IF(AND(G386="Reading",B386&lt;&gt;""),IF(H386="",TODAY(),H386)+ROW()/10000000,"")</f>
        <v/>
      </c>
      <c r="Q386">
        <f>IF(AND(N386&lt;&gt;"",N(J386)=5),N386,"")</f>
        <v/>
      </c>
    </row>
    <row r="387">
      <c r="A387" s="1" t="n"/>
      <c r="B387" s="24" t="n"/>
      <c r="C387" s="25" t="n"/>
      <c r="D387" s="25" t="n"/>
      <c r="E387" s="26" t="n"/>
      <c r="F387" s="27" t="n"/>
      <c r="G387" s="26" t="n"/>
      <c r="H387" s="28" t="n"/>
      <c r="I387" s="28" t="n"/>
      <c r="J387" s="27" t="n"/>
      <c r="K387" s="16">
        <f>IF(OR(H387="",I387=""),"",I387-H387+1)</f>
        <v/>
      </c>
      <c r="L387" s="16">
        <f>IF(OR(K387="",N(F387)=0),"",F387/K387)</f>
        <v/>
      </c>
      <c r="M387" s="25" t="n"/>
      <c r="N387" s="1">
        <f>IF(AND(G387="Finished",I387&lt;&gt;""),IF(YEAR(I387)=Dashboard!$C$4,I387+ROW()/10000000,""),"")</f>
        <v/>
      </c>
      <c r="O387">
        <f>IF(B387="","",IFERROR(MATCH(D387,Settings!$B$6:$B$17,0),12))</f>
        <v/>
      </c>
      <c r="P387">
        <f>IF(AND(G387="Reading",B387&lt;&gt;""),IF(H387="",TODAY(),H387)+ROW()/10000000,"")</f>
        <v/>
      </c>
      <c r="Q387">
        <f>IF(AND(N387&lt;&gt;"",N(J387)=5),N387,"")</f>
        <v/>
      </c>
    </row>
    <row r="388">
      <c r="A388" s="1" t="n"/>
      <c r="B388" s="24" t="n"/>
      <c r="C388" s="25" t="n"/>
      <c r="D388" s="25" t="n"/>
      <c r="E388" s="26" t="n"/>
      <c r="F388" s="27" t="n"/>
      <c r="G388" s="26" t="n"/>
      <c r="H388" s="28" t="n"/>
      <c r="I388" s="28" t="n"/>
      <c r="J388" s="27" t="n"/>
      <c r="K388" s="16">
        <f>IF(OR(H388="",I388=""),"",I388-H388+1)</f>
        <v/>
      </c>
      <c r="L388" s="16">
        <f>IF(OR(K388="",N(F388)=0),"",F388/K388)</f>
        <v/>
      </c>
      <c r="M388" s="25" t="n"/>
      <c r="N388" s="1">
        <f>IF(AND(G388="Finished",I388&lt;&gt;""),IF(YEAR(I388)=Dashboard!$C$4,I388+ROW()/10000000,""),"")</f>
        <v/>
      </c>
      <c r="O388">
        <f>IF(B388="","",IFERROR(MATCH(D388,Settings!$B$6:$B$17,0),12))</f>
        <v/>
      </c>
      <c r="P388">
        <f>IF(AND(G388="Reading",B388&lt;&gt;""),IF(H388="",TODAY(),H388)+ROW()/10000000,"")</f>
        <v/>
      </c>
      <c r="Q388">
        <f>IF(AND(N388&lt;&gt;"",N(J388)=5),N388,"")</f>
        <v/>
      </c>
    </row>
    <row r="389">
      <c r="A389" s="1" t="n"/>
      <c r="B389" s="24" t="n"/>
      <c r="C389" s="25" t="n"/>
      <c r="D389" s="25" t="n"/>
      <c r="E389" s="26" t="n"/>
      <c r="F389" s="27" t="n"/>
      <c r="G389" s="26" t="n"/>
      <c r="H389" s="28" t="n"/>
      <c r="I389" s="28" t="n"/>
      <c r="J389" s="27" t="n"/>
      <c r="K389" s="16">
        <f>IF(OR(H389="",I389=""),"",I389-H389+1)</f>
        <v/>
      </c>
      <c r="L389" s="16">
        <f>IF(OR(K389="",N(F389)=0),"",F389/K389)</f>
        <v/>
      </c>
      <c r="M389" s="25" t="n"/>
      <c r="N389" s="1">
        <f>IF(AND(G389="Finished",I389&lt;&gt;""),IF(YEAR(I389)=Dashboard!$C$4,I389+ROW()/10000000,""),"")</f>
        <v/>
      </c>
      <c r="O389">
        <f>IF(B389="","",IFERROR(MATCH(D389,Settings!$B$6:$B$17,0),12))</f>
        <v/>
      </c>
      <c r="P389">
        <f>IF(AND(G389="Reading",B389&lt;&gt;""),IF(H389="",TODAY(),H389)+ROW()/10000000,"")</f>
        <v/>
      </c>
      <c r="Q389">
        <f>IF(AND(N389&lt;&gt;"",N(J389)=5),N389,"")</f>
        <v/>
      </c>
    </row>
    <row r="390">
      <c r="A390" s="1" t="n"/>
      <c r="B390" s="24" t="n"/>
      <c r="C390" s="25" t="n"/>
      <c r="D390" s="25" t="n"/>
      <c r="E390" s="26" t="n"/>
      <c r="F390" s="27" t="n"/>
      <c r="G390" s="26" t="n"/>
      <c r="H390" s="28" t="n"/>
      <c r="I390" s="28" t="n"/>
      <c r="J390" s="27" t="n"/>
      <c r="K390" s="16">
        <f>IF(OR(H390="",I390=""),"",I390-H390+1)</f>
        <v/>
      </c>
      <c r="L390" s="16">
        <f>IF(OR(K390="",N(F390)=0),"",F390/K390)</f>
        <v/>
      </c>
      <c r="M390" s="25" t="n"/>
      <c r="N390" s="1">
        <f>IF(AND(G390="Finished",I390&lt;&gt;""),IF(YEAR(I390)=Dashboard!$C$4,I390+ROW()/10000000,""),"")</f>
        <v/>
      </c>
      <c r="O390">
        <f>IF(B390="","",IFERROR(MATCH(D390,Settings!$B$6:$B$17,0),12))</f>
        <v/>
      </c>
      <c r="P390">
        <f>IF(AND(G390="Reading",B390&lt;&gt;""),IF(H390="",TODAY(),H390)+ROW()/10000000,"")</f>
        <v/>
      </c>
      <c r="Q390">
        <f>IF(AND(N390&lt;&gt;"",N(J390)=5),N390,"")</f>
        <v/>
      </c>
    </row>
    <row r="391">
      <c r="A391" s="1" t="n"/>
      <c r="B391" s="24" t="n"/>
      <c r="C391" s="25" t="n"/>
      <c r="D391" s="25" t="n"/>
      <c r="E391" s="26" t="n"/>
      <c r="F391" s="27" t="n"/>
      <c r="G391" s="26" t="n"/>
      <c r="H391" s="28" t="n"/>
      <c r="I391" s="28" t="n"/>
      <c r="J391" s="27" t="n"/>
      <c r="K391" s="16">
        <f>IF(OR(H391="",I391=""),"",I391-H391+1)</f>
        <v/>
      </c>
      <c r="L391" s="16">
        <f>IF(OR(K391="",N(F391)=0),"",F391/K391)</f>
        <v/>
      </c>
      <c r="M391" s="25" t="n"/>
      <c r="N391" s="1">
        <f>IF(AND(G391="Finished",I391&lt;&gt;""),IF(YEAR(I391)=Dashboard!$C$4,I391+ROW()/10000000,""),"")</f>
        <v/>
      </c>
      <c r="O391">
        <f>IF(B391="","",IFERROR(MATCH(D391,Settings!$B$6:$B$17,0),12))</f>
        <v/>
      </c>
      <c r="P391">
        <f>IF(AND(G391="Reading",B391&lt;&gt;""),IF(H391="",TODAY(),H391)+ROW()/10000000,"")</f>
        <v/>
      </c>
      <c r="Q391">
        <f>IF(AND(N391&lt;&gt;"",N(J391)=5),N391,"")</f>
        <v/>
      </c>
    </row>
    <row r="392">
      <c r="A392" s="1" t="n"/>
      <c r="B392" s="24" t="n"/>
      <c r="C392" s="25" t="n"/>
      <c r="D392" s="25" t="n"/>
      <c r="E392" s="26" t="n"/>
      <c r="F392" s="27" t="n"/>
      <c r="G392" s="26" t="n"/>
      <c r="H392" s="28" t="n"/>
      <c r="I392" s="28" t="n"/>
      <c r="J392" s="27" t="n"/>
      <c r="K392" s="16">
        <f>IF(OR(H392="",I392=""),"",I392-H392+1)</f>
        <v/>
      </c>
      <c r="L392" s="16">
        <f>IF(OR(K392="",N(F392)=0),"",F392/K392)</f>
        <v/>
      </c>
      <c r="M392" s="25" t="n"/>
      <c r="N392" s="1">
        <f>IF(AND(G392="Finished",I392&lt;&gt;""),IF(YEAR(I392)=Dashboard!$C$4,I392+ROW()/10000000,""),"")</f>
        <v/>
      </c>
      <c r="O392">
        <f>IF(B392="","",IFERROR(MATCH(D392,Settings!$B$6:$B$17,0),12))</f>
        <v/>
      </c>
      <c r="P392">
        <f>IF(AND(G392="Reading",B392&lt;&gt;""),IF(H392="",TODAY(),H392)+ROW()/10000000,"")</f>
        <v/>
      </c>
      <c r="Q392">
        <f>IF(AND(N392&lt;&gt;"",N(J392)=5),N392,"")</f>
        <v/>
      </c>
    </row>
    <row r="393">
      <c r="A393" s="1" t="n"/>
      <c r="B393" s="24" t="n"/>
      <c r="C393" s="25" t="n"/>
      <c r="D393" s="25" t="n"/>
      <c r="E393" s="26" t="n"/>
      <c r="F393" s="27" t="n"/>
      <c r="G393" s="26" t="n"/>
      <c r="H393" s="28" t="n"/>
      <c r="I393" s="28" t="n"/>
      <c r="J393" s="27" t="n"/>
      <c r="K393" s="16">
        <f>IF(OR(H393="",I393=""),"",I393-H393+1)</f>
        <v/>
      </c>
      <c r="L393" s="16">
        <f>IF(OR(K393="",N(F393)=0),"",F393/K393)</f>
        <v/>
      </c>
      <c r="M393" s="25" t="n"/>
      <c r="N393" s="1">
        <f>IF(AND(G393="Finished",I393&lt;&gt;""),IF(YEAR(I393)=Dashboard!$C$4,I393+ROW()/10000000,""),"")</f>
        <v/>
      </c>
      <c r="O393">
        <f>IF(B393="","",IFERROR(MATCH(D393,Settings!$B$6:$B$17,0),12))</f>
        <v/>
      </c>
      <c r="P393">
        <f>IF(AND(G393="Reading",B393&lt;&gt;""),IF(H393="",TODAY(),H393)+ROW()/10000000,"")</f>
        <v/>
      </c>
      <c r="Q393">
        <f>IF(AND(N393&lt;&gt;"",N(J393)=5),N393,"")</f>
        <v/>
      </c>
    </row>
    <row r="394">
      <c r="A394" s="1" t="n"/>
      <c r="B394" s="24" t="n"/>
      <c r="C394" s="25" t="n"/>
      <c r="D394" s="25" t="n"/>
      <c r="E394" s="26" t="n"/>
      <c r="F394" s="27" t="n"/>
      <c r="G394" s="26" t="n"/>
      <c r="H394" s="28" t="n"/>
      <c r="I394" s="28" t="n"/>
      <c r="J394" s="27" t="n"/>
      <c r="K394" s="16">
        <f>IF(OR(H394="",I394=""),"",I394-H394+1)</f>
        <v/>
      </c>
      <c r="L394" s="16">
        <f>IF(OR(K394="",N(F394)=0),"",F394/K394)</f>
        <v/>
      </c>
      <c r="M394" s="25" t="n"/>
      <c r="N394" s="1">
        <f>IF(AND(G394="Finished",I394&lt;&gt;""),IF(YEAR(I394)=Dashboard!$C$4,I394+ROW()/10000000,""),"")</f>
        <v/>
      </c>
      <c r="O394">
        <f>IF(B394="","",IFERROR(MATCH(D394,Settings!$B$6:$B$17,0),12))</f>
        <v/>
      </c>
      <c r="P394">
        <f>IF(AND(G394="Reading",B394&lt;&gt;""),IF(H394="",TODAY(),H394)+ROW()/10000000,"")</f>
        <v/>
      </c>
      <c r="Q394">
        <f>IF(AND(N394&lt;&gt;"",N(J394)=5),N394,"")</f>
        <v/>
      </c>
    </row>
    <row r="395">
      <c r="A395" s="1" t="n"/>
      <c r="B395" s="24" t="n"/>
      <c r="C395" s="25" t="n"/>
      <c r="D395" s="25" t="n"/>
      <c r="E395" s="26" t="n"/>
      <c r="F395" s="27" t="n"/>
      <c r="G395" s="26" t="n"/>
      <c r="H395" s="28" t="n"/>
      <c r="I395" s="28" t="n"/>
      <c r="J395" s="27" t="n"/>
      <c r="K395" s="16">
        <f>IF(OR(H395="",I395=""),"",I395-H395+1)</f>
        <v/>
      </c>
      <c r="L395" s="16">
        <f>IF(OR(K395="",N(F395)=0),"",F395/K395)</f>
        <v/>
      </c>
      <c r="M395" s="25" t="n"/>
      <c r="N395" s="1">
        <f>IF(AND(G395="Finished",I395&lt;&gt;""),IF(YEAR(I395)=Dashboard!$C$4,I395+ROW()/10000000,""),"")</f>
        <v/>
      </c>
      <c r="O395">
        <f>IF(B395="","",IFERROR(MATCH(D395,Settings!$B$6:$B$17,0),12))</f>
        <v/>
      </c>
      <c r="P395">
        <f>IF(AND(G395="Reading",B395&lt;&gt;""),IF(H395="",TODAY(),H395)+ROW()/10000000,"")</f>
        <v/>
      </c>
      <c r="Q395">
        <f>IF(AND(N395&lt;&gt;"",N(J395)=5),N395,"")</f>
        <v/>
      </c>
    </row>
    <row r="396">
      <c r="A396" s="1" t="n"/>
      <c r="B396" s="24" t="n"/>
      <c r="C396" s="25" t="n"/>
      <c r="D396" s="25" t="n"/>
      <c r="E396" s="26" t="n"/>
      <c r="F396" s="27" t="n"/>
      <c r="G396" s="26" t="n"/>
      <c r="H396" s="28" t="n"/>
      <c r="I396" s="28" t="n"/>
      <c r="J396" s="27" t="n"/>
      <c r="K396" s="16">
        <f>IF(OR(H396="",I396=""),"",I396-H396+1)</f>
        <v/>
      </c>
      <c r="L396" s="16">
        <f>IF(OR(K396="",N(F396)=0),"",F396/K396)</f>
        <v/>
      </c>
      <c r="M396" s="25" t="n"/>
      <c r="N396" s="1">
        <f>IF(AND(G396="Finished",I396&lt;&gt;""),IF(YEAR(I396)=Dashboard!$C$4,I396+ROW()/10000000,""),"")</f>
        <v/>
      </c>
      <c r="O396">
        <f>IF(B396="","",IFERROR(MATCH(D396,Settings!$B$6:$B$17,0),12))</f>
        <v/>
      </c>
      <c r="P396">
        <f>IF(AND(G396="Reading",B396&lt;&gt;""),IF(H396="",TODAY(),H396)+ROW()/10000000,"")</f>
        <v/>
      </c>
      <c r="Q396">
        <f>IF(AND(N396&lt;&gt;"",N(J396)=5),N396,"")</f>
        <v/>
      </c>
    </row>
    <row r="397">
      <c r="A397" s="1" t="n"/>
      <c r="B397" s="24" t="n"/>
      <c r="C397" s="25" t="n"/>
      <c r="D397" s="25" t="n"/>
      <c r="E397" s="26" t="n"/>
      <c r="F397" s="27" t="n"/>
      <c r="G397" s="26" t="n"/>
      <c r="H397" s="28" t="n"/>
      <c r="I397" s="28" t="n"/>
      <c r="J397" s="27" t="n"/>
      <c r="K397" s="16">
        <f>IF(OR(H397="",I397=""),"",I397-H397+1)</f>
        <v/>
      </c>
      <c r="L397" s="16">
        <f>IF(OR(K397="",N(F397)=0),"",F397/K397)</f>
        <v/>
      </c>
      <c r="M397" s="25" t="n"/>
      <c r="N397" s="1">
        <f>IF(AND(G397="Finished",I397&lt;&gt;""),IF(YEAR(I397)=Dashboard!$C$4,I397+ROW()/10000000,""),"")</f>
        <v/>
      </c>
      <c r="O397">
        <f>IF(B397="","",IFERROR(MATCH(D397,Settings!$B$6:$B$17,0),12))</f>
        <v/>
      </c>
      <c r="P397">
        <f>IF(AND(G397="Reading",B397&lt;&gt;""),IF(H397="",TODAY(),H397)+ROW()/10000000,"")</f>
        <v/>
      </c>
      <c r="Q397">
        <f>IF(AND(N397&lt;&gt;"",N(J397)=5),N397,"")</f>
        <v/>
      </c>
    </row>
    <row r="398">
      <c r="A398" s="1" t="n"/>
      <c r="B398" s="24" t="n"/>
      <c r="C398" s="25" t="n"/>
      <c r="D398" s="25" t="n"/>
      <c r="E398" s="26" t="n"/>
      <c r="F398" s="27" t="n"/>
      <c r="G398" s="26" t="n"/>
      <c r="H398" s="28" t="n"/>
      <c r="I398" s="28" t="n"/>
      <c r="J398" s="27" t="n"/>
      <c r="K398" s="16">
        <f>IF(OR(H398="",I398=""),"",I398-H398+1)</f>
        <v/>
      </c>
      <c r="L398" s="16">
        <f>IF(OR(K398="",N(F398)=0),"",F398/K398)</f>
        <v/>
      </c>
      <c r="M398" s="25" t="n"/>
      <c r="N398" s="1">
        <f>IF(AND(G398="Finished",I398&lt;&gt;""),IF(YEAR(I398)=Dashboard!$C$4,I398+ROW()/10000000,""),"")</f>
        <v/>
      </c>
      <c r="O398">
        <f>IF(B398="","",IFERROR(MATCH(D398,Settings!$B$6:$B$17,0),12))</f>
        <v/>
      </c>
      <c r="P398">
        <f>IF(AND(G398="Reading",B398&lt;&gt;""),IF(H398="",TODAY(),H398)+ROW()/10000000,"")</f>
        <v/>
      </c>
      <c r="Q398">
        <f>IF(AND(N398&lt;&gt;"",N(J398)=5),N398,"")</f>
        <v/>
      </c>
    </row>
    <row r="399">
      <c r="A399" s="1" t="n"/>
      <c r="B399" s="24" t="n"/>
      <c r="C399" s="25" t="n"/>
      <c r="D399" s="25" t="n"/>
      <c r="E399" s="26" t="n"/>
      <c r="F399" s="27" t="n"/>
      <c r="G399" s="26" t="n"/>
      <c r="H399" s="28" t="n"/>
      <c r="I399" s="28" t="n"/>
      <c r="J399" s="27" t="n"/>
      <c r="K399" s="16">
        <f>IF(OR(H399="",I399=""),"",I399-H399+1)</f>
        <v/>
      </c>
      <c r="L399" s="16">
        <f>IF(OR(K399="",N(F399)=0),"",F399/K399)</f>
        <v/>
      </c>
      <c r="M399" s="25" t="n"/>
      <c r="N399" s="1">
        <f>IF(AND(G399="Finished",I399&lt;&gt;""),IF(YEAR(I399)=Dashboard!$C$4,I399+ROW()/10000000,""),"")</f>
        <v/>
      </c>
      <c r="O399">
        <f>IF(B399="","",IFERROR(MATCH(D399,Settings!$B$6:$B$17,0),12))</f>
        <v/>
      </c>
      <c r="P399">
        <f>IF(AND(G399="Reading",B399&lt;&gt;""),IF(H399="",TODAY(),H399)+ROW()/10000000,"")</f>
        <v/>
      </c>
      <c r="Q399">
        <f>IF(AND(N399&lt;&gt;"",N(J399)=5),N399,"")</f>
        <v/>
      </c>
    </row>
    <row r="400">
      <c r="A400" s="1" t="n"/>
      <c r="B400" s="24" t="n"/>
      <c r="C400" s="25" t="n"/>
      <c r="D400" s="25" t="n"/>
      <c r="E400" s="26" t="n"/>
      <c r="F400" s="27" t="n"/>
      <c r="G400" s="26" t="n"/>
      <c r="H400" s="28" t="n"/>
      <c r="I400" s="28" t="n"/>
      <c r="J400" s="27" t="n"/>
      <c r="K400" s="16">
        <f>IF(OR(H400="",I400=""),"",I400-H400+1)</f>
        <v/>
      </c>
      <c r="L400" s="16">
        <f>IF(OR(K400="",N(F400)=0),"",F400/K400)</f>
        <v/>
      </c>
      <c r="M400" s="25" t="n"/>
      <c r="N400" s="1">
        <f>IF(AND(G400="Finished",I400&lt;&gt;""),IF(YEAR(I400)=Dashboard!$C$4,I400+ROW()/10000000,""),"")</f>
        <v/>
      </c>
      <c r="O400">
        <f>IF(B400="","",IFERROR(MATCH(D400,Settings!$B$6:$B$17,0),12))</f>
        <v/>
      </c>
      <c r="P400">
        <f>IF(AND(G400="Reading",B400&lt;&gt;""),IF(H400="",TODAY(),H400)+ROW()/10000000,"")</f>
        <v/>
      </c>
      <c r="Q400">
        <f>IF(AND(N400&lt;&gt;"",N(J400)=5),N400,"")</f>
        <v/>
      </c>
    </row>
    <row r="401">
      <c r="A401" s="1" t="n"/>
      <c r="B401" s="24" t="n"/>
      <c r="C401" s="25" t="n"/>
      <c r="D401" s="25" t="n"/>
      <c r="E401" s="26" t="n"/>
      <c r="F401" s="27" t="n"/>
      <c r="G401" s="26" t="n"/>
      <c r="H401" s="28" t="n"/>
      <c r="I401" s="28" t="n"/>
      <c r="J401" s="27" t="n"/>
      <c r="K401" s="16">
        <f>IF(OR(H401="",I401=""),"",I401-H401+1)</f>
        <v/>
      </c>
      <c r="L401" s="16">
        <f>IF(OR(K401="",N(F401)=0),"",F401/K401)</f>
        <v/>
      </c>
      <c r="M401" s="25" t="n"/>
      <c r="N401" s="1">
        <f>IF(AND(G401="Finished",I401&lt;&gt;""),IF(YEAR(I401)=Dashboard!$C$4,I401+ROW()/10000000,""),"")</f>
        <v/>
      </c>
      <c r="O401">
        <f>IF(B401="","",IFERROR(MATCH(D401,Settings!$B$6:$B$17,0),12))</f>
        <v/>
      </c>
      <c r="P401">
        <f>IF(AND(G401="Reading",B401&lt;&gt;""),IF(H401="",TODAY(),H401)+ROW()/10000000,"")</f>
        <v/>
      </c>
      <c r="Q401">
        <f>IF(AND(N401&lt;&gt;"",N(J401)=5),N401,"")</f>
        <v/>
      </c>
    </row>
    <row r="402">
      <c r="A402" s="1" t="n"/>
      <c r="B402" s="24" t="n"/>
      <c r="C402" s="25" t="n"/>
      <c r="D402" s="25" t="n"/>
      <c r="E402" s="26" t="n"/>
      <c r="F402" s="27" t="n"/>
      <c r="G402" s="26" t="n"/>
      <c r="H402" s="28" t="n"/>
      <c r="I402" s="28" t="n"/>
      <c r="J402" s="27" t="n"/>
      <c r="K402" s="16">
        <f>IF(OR(H402="",I402=""),"",I402-H402+1)</f>
        <v/>
      </c>
      <c r="L402" s="16">
        <f>IF(OR(K402="",N(F402)=0),"",F402/K402)</f>
        <v/>
      </c>
      <c r="M402" s="25" t="n"/>
      <c r="N402" s="1">
        <f>IF(AND(G402="Finished",I402&lt;&gt;""),IF(YEAR(I402)=Dashboard!$C$4,I402+ROW()/10000000,""),"")</f>
        <v/>
      </c>
      <c r="O402">
        <f>IF(B402="","",IFERROR(MATCH(D402,Settings!$B$6:$B$17,0),12))</f>
        <v/>
      </c>
      <c r="P402">
        <f>IF(AND(G402="Reading",B402&lt;&gt;""),IF(H402="",TODAY(),H402)+ROW()/10000000,"")</f>
        <v/>
      </c>
      <c r="Q402">
        <f>IF(AND(N402&lt;&gt;"",N(J402)=5),N402,"")</f>
        <v/>
      </c>
    </row>
    <row r="403">
      <c r="A403" s="1" t="n"/>
      <c r="B403" s="24" t="n"/>
      <c r="C403" s="25" t="n"/>
      <c r="D403" s="25" t="n"/>
      <c r="E403" s="26" t="n"/>
      <c r="F403" s="27" t="n"/>
      <c r="G403" s="26" t="n"/>
      <c r="H403" s="28" t="n"/>
      <c r="I403" s="28" t="n"/>
      <c r="J403" s="27" t="n"/>
      <c r="K403" s="16">
        <f>IF(OR(H403="",I403=""),"",I403-H403+1)</f>
        <v/>
      </c>
      <c r="L403" s="16">
        <f>IF(OR(K403="",N(F403)=0),"",F403/K403)</f>
        <v/>
      </c>
      <c r="M403" s="25" t="n"/>
      <c r="N403" s="1">
        <f>IF(AND(G403="Finished",I403&lt;&gt;""),IF(YEAR(I403)=Dashboard!$C$4,I403+ROW()/10000000,""),"")</f>
        <v/>
      </c>
      <c r="O403">
        <f>IF(B403="","",IFERROR(MATCH(D403,Settings!$B$6:$B$17,0),12))</f>
        <v/>
      </c>
      <c r="P403">
        <f>IF(AND(G403="Reading",B403&lt;&gt;""),IF(H403="",TODAY(),H403)+ROW()/10000000,"")</f>
        <v/>
      </c>
      <c r="Q403">
        <f>IF(AND(N403&lt;&gt;"",N(J403)=5),N403,"")</f>
        <v/>
      </c>
    </row>
    <row r="404">
      <c r="A404" s="1" t="n"/>
      <c r="B404" s="24" t="n"/>
      <c r="C404" s="25" t="n"/>
      <c r="D404" s="25" t="n"/>
      <c r="E404" s="26" t="n"/>
      <c r="F404" s="27" t="n"/>
      <c r="G404" s="26" t="n"/>
      <c r="H404" s="28" t="n"/>
      <c r="I404" s="28" t="n"/>
      <c r="J404" s="27" t="n"/>
      <c r="K404" s="16">
        <f>IF(OR(H404="",I404=""),"",I404-H404+1)</f>
        <v/>
      </c>
      <c r="L404" s="16">
        <f>IF(OR(K404="",N(F404)=0),"",F404/K404)</f>
        <v/>
      </c>
      <c r="M404" s="25" t="n"/>
      <c r="N404" s="1">
        <f>IF(AND(G404="Finished",I404&lt;&gt;""),IF(YEAR(I404)=Dashboard!$C$4,I404+ROW()/10000000,""),"")</f>
        <v/>
      </c>
      <c r="O404">
        <f>IF(B404="","",IFERROR(MATCH(D404,Settings!$B$6:$B$17,0),12))</f>
        <v/>
      </c>
      <c r="P404">
        <f>IF(AND(G404="Reading",B404&lt;&gt;""),IF(H404="",TODAY(),H404)+ROW()/10000000,"")</f>
        <v/>
      </c>
      <c r="Q404">
        <f>IF(AND(N404&lt;&gt;"",N(J404)=5),N404,"")</f>
        <v/>
      </c>
    </row>
    <row r="405">
      <c r="A405" s="1" t="n"/>
      <c r="B405" s="24" t="n"/>
      <c r="C405" s="25" t="n"/>
      <c r="D405" s="25" t="n"/>
      <c r="E405" s="26" t="n"/>
      <c r="F405" s="27" t="n"/>
      <c r="G405" s="26" t="n"/>
      <c r="H405" s="28" t="n"/>
      <c r="I405" s="28" t="n"/>
      <c r="J405" s="27" t="n"/>
      <c r="K405" s="16">
        <f>IF(OR(H405="",I405=""),"",I405-H405+1)</f>
        <v/>
      </c>
      <c r="L405" s="16">
        <f>IF(OR(K405="",N(F405)=0),"",F405/K405)</f>
        <v/>
      </c>
      <c r="M405" s="25" t="n"/>
      <c r="N405" s="1">
        <f>IF(AND(G405="Finished",I405&lt;&gt;""),IF(YEAR(I405)=Dashboard!$C$4,I405+ROW()/10000000,""),"")</f>
        <v/>
      </c>
      <c r="O405">
        <f>IF(B405="","",IFERROR(MATCH(D405,Settings!$B$6:$B$17,0),12))</f>
        <v/>
      </c>
      <c r="P405">
        <f>IF(AND(G405="Reading",B405&lt;&gt;""),IF(H405="",TODAY(),H405)+ROW()/10000000,"")</f>
        <v/>
      </c>
      <c r="Q405">
        <f>IF(AND(N405&lt;&gt;"",N(J405)=5),N405,"")</f>
        <v/>
      </c>
    </row>
    <row r="406">
      <c r="A406" s="1" t="n"/>
      <c r="B406" s="24" t="n"/>
      <c r="C406" s="25" t="n"/>
      <c r="D406" s="25" t="n"/>
      <c r="E406" s="26" t="n"/>
      <c r="F406" s="27" t="n"/>
      <c r="G406" s="26" t="n"/>
      <c r="H406" s="28" t="n"/>
      <c r="I406" s="28" t="n"/>
      <c r="J406" s="27" t="n"/>
      <c r="K406" s="16">
        <f>IF(OR(H406="",I406=""),"",I406-H406+1)</f>
        <v/>
      </c>
      <c r="L406" s="16">
        <f>IF(OR(K406="",N(F406)=0),"",F406/K406)</f>
        <v/>
      </c>
      <c r="M406" s="25" t="n"/>
      <c r="N406" s="1">
        <f>IF(AND(G406="Finished",I406&lt;&gt;""),IF(YEAR(I406)=Dashboard!$C$4,I406+ROW()/10000000,""),"")</f>
        <v/>
      </c>
      <c r="O406">
        <f>IF(B406="","",IFERROR(MATCH(D406,Settings!$B$6:$B$17,0),12))</f>
        <v/>
      </c>
      <c r="P406">
        <f>IF(AND(G406="Reading",B406&lt;&gt;""),IF(H406="",TODAY(),H406)+ROW()/10000000,"")</f>
        <v/>
      </c>
      <c r="Q406">
        <f>IF(AND(N406&lt;&gt;"",N(J406)=5),N406,"")</f>
        <v/>
      </c>
    </row>
    <row r="407">
      <c r="A407" s="1" t="n"/>
      <c r="B407" s="24" t="n"/>
      <c r="C407" s="25" t="n"/>
      <c r="D407" s="25" t="n"/>
      <c r="E407" s="26" t="n"/>
      <c r="F407" s="27" t="n"/>
      <c r="G407" s="26" t="n"/>
      <c r="H407" s="28" t="n"/>
      <c r="I407" s="28" t="n"/>
      <c r="J407" s="27" t="n"/>
      <c r="K407" s="16">
        <f>IF(OR(H407="",I407=""),"",I407-H407+1)</f>
        <v/>
      </c>
      <c r="L407" s="16">
        <f>IF(OR(K407="",N(F407)=0),"",F407/K407)</f>
        <v/>
      </c>
      <c r="M407" s="25" t="n"/>
      <c r="N407" s="1">
        <f>IF(AND(G407="Finished",I407&lt;&gt;""),IF(YEAR(I407)=Dashboard!$C$4,I407+ROW()/10000000,""),"")</f>
        <v/>
      </c>
      <c r="O407">
        <f>IF(B407="","",IFERROR(MATCH(D407,Settings!$B$6:$B$17,0),12))</f>
        <v/>
      </c>
      <c r="P407">
        <f>IF(AND(G407="Reading",B407&lt;&gt;""),IF(H407="",TODAY(),H407)+ROW()/10000000,"")</f>
        <v/>
      </c>
      <c r="Q407">
        <f>IF(AND(N407&lt;&gt;"",N(J407)=5),N407,"")</f>
        <v/>
      </c>
    </row>
    <row r="408">
      <c r="A408" s="1" t="n"/>
      <c r="B408" s="24" t="n"/>
      <c r="C408" s="25" t="n"/>
      <c r="D408" s="25" t="n"/>
      <c r="E408" s="26" t="n"/>
      <c r="F408" s="27" t="n"/>
      <c r="G408" s="26" t="n"/>
      <c r="H408" s="28" t="n"/>
      <c r="I408" s="28" t="n"/>
      <c r="J408" s="27" t="n"/>
      <c r="K408" s="16">
        <f>IF(OR(H408="",I408=""),"",I408-H408+1)</f>
        <v/>
      </c>
      <c r="L408" s="16">
        <f>IF(OR(K408="",N(F408)=0),"",F408/K408)</f>
        <v/>
      </c>
      <c r="M408" s="25" t="n"/>
      <c r="N408" s="1">
        <f>IF(AND(G408="Finished",I408&lt;&gt;""),IF(YEAR(I408)=Dashboard!$C$4,I408+ROW()/10000000,""),"")</f>
        <v/>
      </c>
      <c r="O408">
        <f>IF(B408="","",IFERROR(MATCH(D408,Settings!$B$6:$B$17,0),12))</f>
        <v/>
      </c>
      <c r="P408">
        <f>IF(AND(G408="Reading",B408&lt;&gt;""),IF(H408="",TODAY(),H408)+ROW()/10000000,"")</f>
        <v/>
      </c>
      <c r="Q408">
        <f>IF(AND(N408&lt;&gt;"",N(J408)=5),N408,"")</f>
        <v/>
      </c>
    </row>
    <row r="409">
      <c r="A409" s="1" t="n"/>
      <c r="B409" s="24" t="n"/>
      <c r="C409" s="25" t="n"/>
      <c r="D409" s="25" t="n"/>
      <c r="E409" s="26" t="n"/>
      <c r="F409" s="27" t="n"/>
      <c r="G409" s="26" t="n"/>
      <c r="H409" s="28" t="n"/>
      <c r="I409" s="28" t="n"/>
      <c r="J409" s="27" t="n"/>
      <c r="K409" s="16">
        <f>IF(OR(H409="",I409=""),"",I409-H409+1)</f>
        <v/>
      </c>
      <c r="L409" s="16">
        <f>IF(OR(K409="",N(F409)=0),"",F409/K409)</f>
        <v/>
      </c>
      <c r="M409" s="25" t="n"/>
      <c r="N409" s="1">
        <f>IF(AND(G409="Finished",I409&lt;&gt;""),IF(YEAR(I409)=Dashboard!$C$4,I409+ROW()/10000000,""),"")</f>
        <v/>
      </c>
      <c r="O409">
        <f>IF(B409="","",IFERROR(MATCH(D409,Settings!$B$6:$B$17,0),12))</f>
        <v/>
      </c>
      <c r="P409">
        <f>IF(AND(G409="Reading",B409&lt;&gt;""),IF(H409="",TODAY(),H409)+ROW()/10000000,"")</f>
        <v/>
      </c>
      <c r="Q409">
        <f>IF(AND(N409&lt;&gt;"",N(J409)=5),N409,"")</f>
        <v/>
      </c>
    </row>
    <row r="410">
      <c r="A410" s="1" t="n"/>
      <c r="B410" s="24" t="n"/>
      <c r="C410" s="25" t="n"/>
      <c r="D410" s="25" t="n"/>
      <c r="E410" s="26" t="n"/>
      <c r="F410" s="27" t="n"/>
      <c r="G410" s="26" t="n"/>
      <c r="H410" s="28" t="n"/>
      <c r="I410" s="28" t="n"/>
      <c r="J410" s="27" t="n"/>
      <c r="K410" s="16">
        <f>IF(OR(H410="",I410=""),"",I410-H410+1)</f>
        <v/>
      </c>
      <c r="L410" s="16">
        <f>IF(OR(K410="",N(F410)=0),"",F410/K410)</f>
        <v/>
      </c>
      <c r="M410" s="25" t="n"/>
      <c r="N410" s="1">
        <f>IF(AND(G410="Finished",I410&lt;&gt;""),IF(YEAR(I410)=Dashboard!$C$4,I410+ROW()/10000000,""),"")</f>
        <v/>
      </c>
      <c r="O410">
        <f>IF(B410="","",IFERROR(MATCH(D410,Settings!$B$6:$B$17,0),12))</f>
        <v/>
      </c>
      <c r="P410">
        <f>IF(AND(G410="Reading",B410&lt;&gt;""),IF(H410="",TODAY(),H410)+ROW()/10000000,"")</f>
        <v/>
      </c>
      <c r="Q410">
        <f>IF(AND(N410&lt;&gt;"",N(J410)=5),N410,"")</f>
        <v/>
      </c>
    </row>
    <row r="411">
      <c r="A411" s="1" t="n"/>
      <c r="B411" s="24" t="n"/>
      <c r="C411" s="25" t="n"/>
      <c r="D411" s="25" t="n"/>
      <c r="E411" s="26" t="n"/>
      <c r="F411" s="27" t="n"/>
      <c r="G411" s="26" t="n"/>
      <c r="H411" s="28" t="n"/>
      <c r="I411" s="28" t="n"/>
      <c r="J411" s="27" t="n"/>
      <c r="K411" s="16">
        <f>IF(OR(H411="",I411=""),"",I411-H411+1)</f>
        <v/>
      </c>
      <c r="L411" s="16">
        <f>IF(OR(K411="",N(F411)=0),"",F411/K411)</f>
        <v/>
      </c>
      <c r="M411" s="25" t="n"/>
      <c r="N411" s="1">
        <f>IF(AND(G411="Finished",I411&lt;&gt;""),IF(YEAR(I411)=Dashboard!$C$4,I411+ROW()/10000000,""),"")</f>
        <v/>
      </c>
      <c r="O411">
        <f>IF(B411="","",IFERROR(MATCH(D411,Settings!$B$6:$B$17,0),12))</f>
        <v/>
      </c>
      <c r="P411">
        <f>IF(AND(G411="Reading",B411&lt;&gt;""),IF(H411="",TODAY(),H411)+ROW()/10000000,"")</f>
        <v/>
      </c>
      <c r="Q411">
        <f>IF(AND(N411&lt;&gt;"",N(J411)=5),N411,"")</f>
        <v/>
      </c>
    </row>
    <row r="412">
      <c r="A412" s="1" t="n"/>
      <c r="B412" s="24" t="n"/>
      <c r="C412" s="25" t="n"/>
      <c r="D412" s="25" t="n"/>
      <c r="E412" s="26" t="n"/>
      <c r="F412" s="27" t="n"/>
      <c r="G412" s="26" t="n"/>
      <c r="H412" s="28" t="n"/>
      <c r="I412" s="28" t="n"/>
      <c r="J412" s="27" t="n"/>
      <c r="K412" s="16">
        <f>IF(OR(H412="",I412=""),"",I412-H412+1)</f>
        <v/>
      </c>
      <c r="L412" s="16">
        <f>IF(OR(K412="",N(F412)=0),"",F412/K412)</f>
        <v/>
      </c>
      <c r="M412" s="25" t="n"/>
      <c r="N412" s="1">
        <f>IF(AND(G412="Finished",I412&lt;&gt;""),IF(YEAR(I412)=Dashboard!$C$4,I412+ROW()/10000000,""),"")</f>
        <v/>
      </c>
      <c r="O412">
        <f>IF(B412="","",IFERROR(MATCH(D412,Settings!$B$6:$B$17,0),12))</f>
        <v/>
      </c>
      <c r="P412">
        <f>IF(AND(G412="Reading",B412&lt;&gt;""),IF(H412="",TODAY(),H412)+ROW()/10000000,"")</f>
        <v/>
      </c>
      <c r="Q412">
        <f>IF(AND(N412&lt;&gt;"",N(J412)=5),N412,"")</f>
        <v/>
      </c>
    </row>
    <row r="413">
      <c r="A413" s="1" t="n"/>
      <c r="B413" s="24" t="n"/>
      <c r="C413" s="25" t="n"/>
      <c r="D413" s="25" t="n"/>
      <c r="E413" s="26" t="n"/>
      <c r="F413" s="27" t="n"/>
      <c r="G413" s="26" t="n"/>
      <c r="H413" s="28" t="n"/>
      <c r="I413" s="28" t="n"/>
      <c r="J413" s="27" t="n"/>
      <c r="K413" s="16">
        <f>IF(OR(H413="",I413=""),"",I413-H413+1)</f>
        <v/>
      </c>
      <c r="L413" s="16">
        <f>IF(OR(K413="",N(F413)=0),"",F413/K413)</f>
        <v/>
      </c>
      <c r="M413" s="25" t="n"/>
      <c r="N413" s="1">
        <f>IF(AND(G413="Finished",I413&lt;&gt;""),IF(YEAR(I413)=Dashboard!$C$4,I413+ROW()/10000000,""),"")</f>
        <v/>
      </c>
      <c r="O413">
        <f>IF(B413="","",IFERROR(MATCH(D413,Settings!$B$6:$B$17,0),12))</f>
        <v/>
      </c>
      <c r="P413">
        <f>IF(AND(G413="Reading",B413&lt;&gt;""),IF(H413="",TODAY(),H413)+ROW()/10000000,"")</f>
        <v/>
      </c>
      <c r="Q413">
        <f>IF(AND(N413&lt;&gt;"",N(J413)=5),N413,"")</f>
        <v/>
      </c>
    </row>
    <row r="414">
      <c r="A414" s="1" t="n"/>
      <c r="B414" s="24" t="n"/>
      <c r="C414" s="25" t="n"/>
      <c r="D414" s="25" t="n"/>
      <c r="E414" s="26" t="n"/>
      <c r="F414" s="27" t="n"/>
      <c r="G414" s="26" t="n"/>
      <c r="H414" s="28" t="n"/>
      <c r="I414" s="28" t="n"/>
      <c r="J414" s="27" t="n"/>
      <c r="K414" s="16">
        <f>IF(OR(H414="",I414=""),"",I414-H414+1)</f>
        <v/>
      </c>
      <c r="L414" s="16">
        <f>IF(OR(K414="",N(F414)=0),"",F414/K414)</f>
        <v/>
      </c>
      <c r="M414" s="25" t="n"/>
      <c r="N414" s="1">
        <f>IF(AND(G414="Finished",I414&lt;&gt;""),IF(YEAR(I414)=Dashboard!$C$4,I414+ROW()/10000000,""),"")</f>
        <v/>
      </c>
      <c r="O414">
        <f>IF(B414="","",IFERROR(MATCH(D414,Settings!$B$6:$B$17,0),12))</f>
        <v/>
      </c>
      <c r="P414">
        <f>IF(AND(G414="Reading",B414&lt;&gt;""),IF(H414="",TODAY(),H414)+ROW()/10000000,"")</f>
        <v/>
      </c>
      <c r="Q414">
        <f>IF(AND(N414&lt;&gt;"",N(J414)=5),N414,"")</f>
        <v/>
      </c>
    </row>
    <row r="415">
      <c r="A415" s="1" t="n"/>
      <c r="B415" s="24" t="n"/>
      <c r="C415" s="25" t="n"/>
      <c r="D415" s="25" t="n"/>
      <c r="E415" s="26" t="n"/>
      <c r="F415" s="27" t="n"/>
      <c r="G415" s="26" t="n"/>
      <c r="H415" s="28" t="n"/>
      <c r="I415" s="28" t="n"/>
      <c r="J415" s="27" t="n"/>
      <c r="K415" s="16">
        <f>IF(OR(H415="",I415=""),"",I415-H415+1)</f>
        <v/>
      </c>
      <c r="L415" s="16">
        <f>IF(OR(K415="",N(F415)=0),"",F415/K415)</f>
        <v/>
      </c>
      <c r="M415" s="25" t="n"/>
      <c r="N415" s="1">
        <f>IF(AND(G415="Finished",I415&lt;&gt;""),IF(YEAR(I415)=Dashboard!$C$4,I415+ROW()/10000000,""),"")</f>
        <v/>
      </c>
      <c r="O415">
        <f>IF(B415="","",IFERROR(MATCH(D415,Settings!$B$6:$B$17,0),12))</f>
        <v/>
      </c>
      <c r="P415">
        <f>IF(AND(G415="Reading",B415&lt;&gt;""),IF(H415="",TODAY(),H415)+ROW()/10000000,"")</f>
        <v/>
      </c>
      <c r="Q415">
        <f>IF(AND(N415&lt;&gt;"",N(J415)=5),N415,"")</f>
        <v/>
      </c>
    </row>
    <row r="416">
      <c r="A416" s="1" t="n"/>
      <c r="B416" s="24" t="n"/>
      <c r="C416" s="25" t="n"/>
      <c r="D416" s="25" t="n"/>
      <c r="E416" s="26" t="n"/>
      <c r="F416" s="27" t="n"/>
      <c r="G416" s="26" t="n"/>
      <c r="H416" s="28" t="n"/>
      <c r="I416" s="28" t="n"/>
      <c r="J416" s="27" t="n"/>
      <c r="K416" s="16">
        <f>IF(OR(H416="",I416=""),"",I416-H416+1)</f>
        <v/>
      </c>
      <c r="L416" s="16">
        <f>IF(OR(K416="",N(F416)=0),"",F416/K416)</f>
        <v/>
      </c>
      <c r="M416" s="25" t="n"/>
      <c r="N416" s="1">
        <f>IF(AND(G416="Finished",I416&lt;&gt;""),IF(YEAR(I416)=Dashboard!$C$4,I416+ROW()/10000000,""),"")</f>
        <v/>
      </c>
      <c r="O416">
        <f>IF(B416="","",IFERROR(MATCH(D416,Settings!$B$6:$B$17,0),12))</f>
        <v/>
      </c>
      <c r="P416">
        <f>IF(AND(G416="Reading",B416&lt;&gt;""),IF(H416="",TODAY(),H416)+ROW()/10000000,"")</f>
        <v/>
      </c>
      <c r="Q416">
        <f>IF(AND(N416&lt;&gt;"",N(J416)=5),N416,"")</f>
        <v/>
      </c>
    </row>
    <row r="417">
      <c r="A417" s="1" t="n"/>
      <c r="B417" s="24" t="n"/>
      <c r="C417" s="25" t="n"/>
      <c r="D417" s="25" t="n"/>
      <c r="E417" s="26" t="n"/>
      <c r="F417" s="27" t="n"/>
      <c r="G417" s="26" t="n"/>
      <c r="H417" s="28" t="n"/>
      <c r="I417" s="28" t="n"/>
      <c r="J417" s="27" t="n"/>
      <c r="K417" s="16">
        <f>IF(OR(H417="",I417=""),"",I417-H417+1)</f>
        <v/>
      </c>
      <c r="L417" s="16">
        <f>IF(OR(K417="",N(F417)=0),"",F417/K417)</f>
        <v/>
      </c>
      <c r="M417" s="25" t="n"/>
      <c r="N417" s="1">
        <f>IF(AND(G417="Finished",I417&lt;&gt;""),IF(YEAR(I417)=Dashboard!$C$4,I417+ROW()/10000000,""),"")</f>
        <v/>
      </c>
      <c r="O417">
        <f>IF(B417="","",IFERROR(MATCH(D417,Settings!$B$6:$B$17,0),12))</f>
        <v/>
      </c>
      <c r="P417">
        <f>IF(AND(G417="Reading",B417&lt;&gt;""),IF(H417="",TODAY(),H417)+ROW()/10000000,"")</f>
        <v/>
      </c>
      <c r="Q417">
        <f>IF(AND(N417&lt;&gt;"",N(J417)=5),N417,"")</f>
        <v/>
      </c>
    </row>
    <row r="418">
      <c r="A418" s="1" t="n"/>
      <c r="B418" s="24" t="n"/>
      <c r="C418" s="25" t="n"/>
      <c r="D418" s="25" t="n"/>
      <c r="E418" s="26" t="n"/>
      <c r="F418" s="27" t="n"/>
      <c r="G418" s="26" t="n"/>
      <c r="H418" s="28" t="n"/>
      <c r="I418" s="28" t="n"/>
      <c r="J418" s="27" t="n"/>
      <c r="K418" s="16">
        <f>IF(OR(H418="",I418=""),"",I418-H418+1)</f>
        <v/>
      </c>
      <c r="L418" s="16">
        <f>IF(OR(K418="",N(F418)=0),"",F418/K418)</f>
        <v/>
      </c>
      <c r="M418" s="25" t="n"/>
      <c r="N418" s="1">
        <f>IF(AND(G418="Finished",I418&lt;&gt;""),IF(YEAR(I418)=Dashboard!$C$4,I418+ROW()/10000000,""),"")</f>
        <v/>
      </c>
      <c r="O418">
        <f>IF(B418="","",IFERROR(MATCH(D418,Settings!$B$6:$B$17,0),12))</f>
        <v/>
      </c>
      <c r="P418">
        <f>IF(AND(G418="Reading",B418&lt;&gt;""),IF(H418="",TODAY(),H418)+ROW()/10000000,"")</f>
        <v/>
      </c>
      <c r="Q418">
        <f>IF(AND(N418&lt;&gt;"",N(J418)=5),N418,"")</f>
        <v/>
      </c>
    </row>
    <row r="419">
      <c r="A419" s="1" t="n"/>
      <c r="B419" s="24" t="n"/>
      <c r="C419" s="25" t="n"/>
      <c r="D419" s="25" t="n"/>
      <c r="E419" s="26" t="n"/>
      <c r="F419" s="27" t="n"/>
      <c r="G419" s="26" t="n"/>
      <c r="H419" s="28" t="n"/>
      <c r="I419" s="28" t="n"/>
      <c r="J419" s="27" t="n"/>
      <c r="K419" s="16">
        <f>IF(OR(H419="",I419=""),"",I419-H419+1)</f>
        <v/>
      </c>
      <c r="L419" s="16">
        <f>IF(OR(K419="",N(F419)=0),"",F419/K419)</f>
        <v/>
      </c>
      <c r="M419" s="25" t="n"/>
      <c r="N419" s="1">
        <f>IF(AND(G419="Finished",I419&lt;&gt;""),IF(YEAR(I419)=Dashboard!$C$4,I419+ROW()/10000000,""),"")</f>
        <v/>
      </c>
      <c r="O419">
        <f>IF(B419="","",IFERROR(MATCH(D419,Settings!$B$6:$B$17,0),12))</f>
        <v/>
      </c>
      <c r="P419">
        <f>IF(AND(G419="Reading",B419&lt;&gt;""),IF(H419="",TODAY(),H419)+ROW()/10000000,"")</f>
        <v/>
      </c>
      <c r="Q419">
        <f>IF(AND(N419&lt;&gt;"",N(J419)=5),N419,"")</f>
        <v/>
      </c>
    </row>
    <row r="420">
      <c r="A420" s="1" t="n"/>
      <c r="B420" s="24" t="n"/>
      <c r="C420" s="25" t="n"/>
      <c r="D420" s="25" t="n"/>
      <c r="E420" s="26" t="n"/>
      <c r="F420" s="27" t="n"/>
      <c r="G420" s="26" t="n"/>
      <c r="H420" s="28" t="n"/>
      <c r="I420" s="28" t="n"/>
      <c r="J420" s="27" t="n"/>
      <c r="K420" s="16">
        <f>IF(OR(H420="",I420=""),"",I420-H420+1)</f>
        <v/>
      </c>
      <c r="L420" s="16">
        <f>IF(OR(K420="",N(F420)=0),"",F420/K420)</f>
        <v/>
      </c>
      <c r="M420" s="25" t="n"/>
      <c r="N420" s="1">
        <f>IF(AND(G420="Finished",I420&lt;&gt;""),IF(YEAR(I420)=Dashboard!$C$4,I420+ROW()/10000000,""),"")</f>
        <v/>
      </c>
      <c r="O420">
        <f>IF(B420="","",IFERROR(MATCH(D420,Settings!$B$6:$B$17,0),12))</f>
        <v/>
      </c>
      <c r="P420">
        <f>IF(AND(G420="Reading",B420&lt;&gt;""),IF(H420="",TODAY(),H420)+ROW()/10000000,"")</f>
        <v/>
      </c>
      <c r="Q420">
        <f>IF(AND(N420&lt;&gt;"",N(J420)=5),N420,"")</f>
        <v/>
      </c>
    </row>
    <row r="421">
      <c r="A421" s="1" t="n"/>
      <c r="B421" s="24" t="n"/>
      <c r="C421" s="25" t="n"/>
      <c r="D421" s="25" t="n"/>
      <c r="E421" s="26" t="n"/>
      <c r="F421" s="27" t="n"/>
      <c r="G421" s="26" t="n"/>
      <c r="H421" s="28" t="n"/>
      <c r="I421" s="28" t="n"/>
      <c r="J421" s="27" t="n"/>
      <c r="K421" s="16">
        <f>IF(OR(H421="",I421=""),"",I421-H421+1)</f>
        <v/>
      </c>
      <c r="L421" s="16">
        <f>IF(OR(K421="",N(F421)=0),"",F421/K421)</f>
        <v/>
      </c>
      <c r="M421" s="25" t="n"/>
      <c r="N421" s="1">
        <f>IF(AND(G421="Finished",I421&lt;&gt;""),IF(YEAR(I421)=Dashboard!$C$4,I421+ROW()/10000000,""),"")</f>
        <v/>
      </c>
      <c r="O421">
        <f>IF(B421="","",IFERROR(MATCH(D421,Settings!$B$6:$B$17,0),12))</f>
        <v/>
      </c>
      <c r="P421">
        <f>IF(AND(G421="Reading",B421&lt;&gt;""),IF(H421="",TODAY(),H421)+ROW()/10000000,"")</f>
        <v/>
      </c>
      <c r="Q421">
        <f>IF(AND(N421&lt;&gt;"",N(J421)=5),N421,"")</f>
        <v/>
      </c>
    </row>
    <row r="422">
      <c r="A422" s="1" t="n"/>
      <c r="B422" s="24" t="n"/>
      <c r="C422" s="25" t="n"/>
      <c r="D422" s="25" t="n"/>
      <c r="E422" s="26" t="n"/>
      <c r="F422" s="27" t="n"/>
      <c r="G422" s="26" t="n"/>
      <c r="H422" s="28" t="n"/>
      <c r="I422" s="28" t="n"/>
      <c r="J422" s="27" t="n"/>
      <c r="K422" s="16">
        <f>IF(OR(H422="",I422=""),"",I422-H422+1)</f>
        <v/>
      </c>
      <c r="L422" s="16">
        <f>IF(OR(K422="",N(F422)=0),"",F422/K422)</f>
        <v/>
      </c>
      <c r="M422" s="25" t="n"/>
      <c r="N422" s="1">
        <f>IF(AND(G422="Finished",I422&lt;&gt;""),IF(YEAR(I422)=Dashboard!$C$4,I422+ROW()/10000000,""),"")</f>
        <v/>
      </c>
      <c r="O422">
        <f>IF(B422="","",IFERROR(MATCH(D422,Settings!$B$6:$B$17,0),12))</f>
        <v/>
      </c>
      <c r="P422">
        <f>IF(AND(G422="Reading",B422&lt;&gt;""),IF(H422="",TODAY(),H422)+ROW()/10000000,"")</f>
        <v/>
      </c>
      <c r="Q422">
        <f>IF(AND(N422&lt;&gt;"",N(J422)=5),N422,"")</f>
        <v/>
      </c>
    </row>
    <row r="423">
      <c r="A423" s="1" t="n"/>
      <c r="B423" s="24" t="n"/>
      <c r="C423" s="25" t="n"/>
      <c r="D423" s="25" t="n"/>
      <c r="E423" s="26" t="n"/>
      <c r="F423" s="27" t="n"/>
      <c r="G423" s="26" t="n"/>
      <c r="H423" s="28" t="n"/>
      <c r="I423" s="28" t="n"/>
      <c r="J423" s="27" t="n"/>
      <c r="K423" s="16">
        <f>IF(OR(H423="",I423=""),"",I423-H423+1)</f>
        <v/>
      </c>
      <c r="L423" s="16">
        <f>IF(OR(K423="",N(F423)=0),"",F423/K423)</f>
        <v/>
      </c>
      <c r="M423" s="25" t="n"/>
      <c r="N423" s="1">
        <f>IF(AND(G423="Finished",I423&lt;&gt;""),IF(YEAR(I423)=Dashboard!$C$4,I423+ROW()/10000000,""),"")</f>
        <v/>
      </c>
      <c r="O423">
        <f>IF(B423="","",IFERROR(MATCH(D423,Settings!$B$6:$B$17,0),12))</f>
        <v/>
      </c>
      <c r="P423">
        <f>IF(AND(G423="Reading",B423&lt;&gt;""),IF(H423="",TODAY(),H423)+ROW()/10000000,"")</f>
        <v/>
      </c>
      <c r="Q423">
        <f>IF(AND(N423&lt;&gt;"",N(J423)=5),N423,"")</f>
        <v/>
      </c>
    </row>
    <row r="424">
      <c r="A424" s="1" t="n"/>
      <c r="B424" s="24" t="n"/>
      <c r="C424" s="25" t="n"/>
      <c r="D424" s="25" t="n"/>
      <c r="E424" s="26" t="n"/>
      <c r="F424" s="27" t="n"/>
      <c r="G424" s="26" t="n"/>
      <c r="H424" s="28" t="n"/>
      <c r="I424" s="28" t="n"/>
      <c r="J424" s="27" t="n"/>
      <c r="K424" s="16">
        <f>IF(OR(H424="",I424=""),"",I424-H424+1)</f>
        <v/>
      </c>
      <c r="L424" s="16">
        <f>IF(OR(K424="",N(F424)=0),"",F424/K424)</f>
        <v/>
      </c>
      <c r="M424" s="25" t="n"/>
      <c r="N424" s="1">
        <f>IF(AND(G424="Finished",I424&lt;&gt;""),IF(YEAR(I424)=Dashboard!$C$4,I424+ROW()/10000000,""),"")</f>
        <v/>
      </c>
      <c r="O424">
        <f>IF(B424="","",IFERROR(MATCH(D424,Settings!$B$6:$B$17,0),12))</f>
        <v/>
      </c>
      <c r="P424">
        <f>IF(AND(G424="Reading",B424&lt;&gt;""),IF(H424="",TODAY(),H424)+ROW()/10000000,"")</f>
        <v/>
      </c>
      <c r="Q424">
        <f>IF(AND(N424&lt;&gt;"",N(J424)=5),N424,"")</f>
        <v/>
      </c>
    </row>
    <row r="425">
      <c r="A425" s="1" t="n"/>
      <c r="B425" s="24" t="n"/>
      <c r="C425" s="25" t="n"/>
      <c r="D425" s="25" t="n"/>
      <c r="E425" s="26" t="n"/>
      <c r="F425" s="27" t="n"/>
      <c r="G425" s="26" t="n"/>
      <c r="H425" s="28" t="n"/>
      <c r="I425" s="28" t="n"/>
      <c r="J425" s="27" t="n"/>
      <c r="K425" s="16">
        <f>IF(OR(H425="",I425=""),"",I425-H425+1)</f>
        <v/>
      </c>
      <c r="L425" s="16">
        <f>IF(OR(K425="",N(F425)=0),"",F425/K425)</f>
        <v/>
      </c>
      <c r="M425" s="25" t="n"/>
      <c r="N425" s="1">
        <f>IF(AND(G425="Finished",I425&lt;&gt;""),IF(YEAR(I425)=Dashboard!$C$4,I425+ROW()/10000000,""),"")</f>
        <v/>
      </c>
      <c r="O425">
        <f>IF(B425="","",IFERROR(MATCH(D425,Settings!$B$6:$B$17,0),12))</f>
        <v/>
      </c>
      <c r="P425">
        <f>IF(AND(G425="Reading",B425&lt;&gt;""),IF(H425="",TODAY(),H425)+ROW()/10000000,"")</f>
        <v/>
      </c>
      <c r="Q425">
        <f>IF(AND(N425&lt;&gt;"",N(J425)=5),N425,"")</f>
        <v/>
      </c>
    </row>
    <row r="426">
      <c r="A426" s="1" t="n"/>
      <c r="B426" s="24" t="n"/>
      <c r="C426" s="25" t="n"/>
      <c r="D426" s="25" t="n"/>
      <c r="E426" s="26" t="n"/>
      <c r="F426" s="27" t="n"/>
      <c r="G426" s="26" t="n"/>
      <c r="H426" s="28" t="n"/>
      <c r="I426" s="28" t="n"/>
      <c r="J426" s="27" t="n"/>
      <c r="K426" s="16">
        <f>IF(OR(H426="",I426=""),"",I426-H426+1)</f>
        <v/>
      </c>
      <c r="L426" s="16">
        <f>IF(OR(K426="",N(F426)=0),"",F426/K426)</f>
        <v/>
      </c>
      <c r="M426" s="25" t="n"/>
      <c r="N426" s="1">
        <f>IF(AND(G426="Finished",I426&lt;&gt;""),IF(YEAR(I426)=Dashboard!$C$4,I426+ROW()/10000000,""),"")</f>
        <v/>
      </c>
      <c r="O426">
        <f>IF(B426="","",IFERROR(MATCH(D426,Settings!$B$6:$B$17,0),12))</f>
        <v/>
      </c>
      <c r="P426">
        <f>IF(AND(G426="Reading",B426&lt;&gt;""),IF(H426="",TODAY(),H426)+ROW()/10000000,"")</f>
        <v/>
      </c>
      <c r="Q426">
        <f>IF(AND(N426&lt;&gt;"",N(J426)=5),N426,"")</f>
        <v/>
      </c>
    </row>
    <row r="427">
      <c r="A427" s="1" t="n"/>
      <c r="B427" s="24" t="n"/>
      <c r="C427" s="25" t="n"/>
      <c r="D427" s="25" t="n"/>
      <c r="E427" s="26" t="n"/>
      <c r="F427" s="27" t="n"/>
      <c r="G427" s="26" t="n"/>
      <c r="H427" s="28" t="n"/>
      <c r="I427" s="28" t="n"/>
      <c r="J427" s="27" t="n"/>
      <c r="K427" s="16">
        <f>IF(OR(H427="",I427=""),"",I427-H427+1)</f>
        <v/>
      </c>
      <c r="L427" s="16">
        <f>IF(OR(K427="",N(F427)=0),"",F427/K427)</f>
        <v/>
      </c>
      <c r="M427" s="25" t="n"/>
      <c r="N427" s="1">
        <f>IF(AND(G427="Finished",I427&lt;&gt;""),IF(YEAR(I427)=Dashboard!$C$4,I427+ROW()/10000000,""),"")</f>
        <v/>
      </c>
      <c r="O427">
        <f>IF(B427="","",IFERROR(MATCH(D427,Settings!$B$6:$B$17,0),12))</f>
        <v/>
      </c>
      <c r="P427">
        <f>IF(AND(G427="Reading",B427&lt;&gt;""),IF(H427="",TODAY(),H427)+ROW()/10000000,"")</f>
        <v/>
      </c>
      <c r="Q427">
        <f>IF(AND(N427&lt;&gt;"",N(J427)=5),N427,"")</f>
        <v/>
      </c>
    </row>
    <row r="428">
      <c r="A428" s="1" t="n"/>
      <c r="B428" s="24" t="n"/>
      <c r="C428" s="25" t="n"/>
      <c r="D428" s="25" t="n"/>
      <c r="E428" s="26" t="n"/>
      <c r="F428" s="27" t="n"/>
      <c r="G428" s="26" t="n"/>
      <c r="H428" s="28" t="n"/>
      <c r="I428" s="28" t="n"/>
      <c r="J428" s="27" t="n"/>
      <c r="K428" s="16">
        <f>IF(OR(H428="",I428=""),"",I428-H428+1)</f>
        <v/>
      </c>
      <c r="L428" s="16">
        <f>IF(OR(K428="",N(F428)=0),"",F428/K428)</f>
        <v/>
      </c>
      <c r="M428" s="25" t="n"/>
      <c r="N428" s="1">
        <f>IF(AND(G428="Finished",I428&lt;&gt;""),IF(YEAR(I428)=Dashboard!$C$4,I428+ROW()/10000000,""),"")</f>
        <v/>
      </c>
      <c r="O428">
        <f>IF(B428="","",IFERROR(MATCH(D428,Settings!$B$6:$B$17,0),12))</f>
        <v/>
      </c>
      <c r="P428">
        <f>IF(AND(G428="Reading",B428&lt;&gt;""),IF(H428="",TODAY(),H428)+ROW()/10000000,"")</f>
        <v/>
      </c>
      <c r="Q428">
        <f>IF(AND(N428&lt;&gt;"",N(J428)=5),N428,"")</f>
        <v/>
      </c>
    </row>
    <row r="429">
      <c r="A429" s="1" t="n"/>
      <c r="B429" s="24" t="n"/>
      <c r="C429" s="25" t="n"/>
      <c r="D429" s="25" t="n"/>
      <c r="E429" s="26" t="n"/>
      <c r="F429" s="27" t="n"/>
      <c r="G429" s="26" t="n"/>
      <c r="H429" s="28" t="n"/>
      <c r="I429" s="28" t="n"/>
      <c r="J429" s="27" t="n"/>
      <c r="K429" s="16">
        <f>IF(OR(H429="",I429=""),"",I429-H429+1)</f>
        <v/>
      </c>
      <c r="L429" s="16">
        <f>IF(OR(K429="",N(F429)=0),"",F429/K429)</f>
        <v/>
      </c>
      <c r="M429" s="25" t="n"/>
      <c r="N429" s="1">
        <f>IF(AND(G429="Finished",I429&lt;&gt;""),IF(YEAR(I429)=Dashboard!$C$4,I429+ROW()/10000000,""),"")</f>
        <v/>
      </c>
      <c r="O429">
        <f>IF(B429="","",IFERROR(MATCH(D429,Settings!$B$6:$B$17,0),12))</f>
        <v/>
      </c>
      <c r="P429">
        <f>IF(AND(G429="Reading",B429&lt;&gt;""),IF(H429="",TODAY(),H429)+ROW()/10000000,"")</f>
        <v/>
      </c>
      <c r="Q429">
        <f>IF(AND(N429&lt;&gt;"",N(J429)=5),N429,"")</f>
        <v/>
      </c>
    </row>
    <row r="430">
      <c r="A430" s="1" t="n"/>
      <c r="B430" s="24" t="n"/>
      <c r="C430" s="25" t="n"/>
      <c r="D430" s="25" t="n"/>
      <c r="E430" s="26" t="n"/>
      <c r="F430" s="27" t="n"/>
      <c r="G430" s="26" t="n"/>
      <c r="H430" s="28" t="n"/>
      <c r="I430" s="28" t="n"/>
      <c r="J430" s="27" t="n"/>
      <c r="K430" s="16">
        <f>IF(OR(H430="",I430=""),"",I430-H430+1)</f>
        <v/>
      </c>
      <c r="L430" s="16">
        <f>IF(OR(K430="",N(F430)=0),"",F430/K430)</f>
        <v/>
      </c>
      <c r="M430" s="25" t="n"/>
      <c r="N430" s="1">
        <f>IF(AND(G430="Finished",I430&lt;&gt;""),IF(YEAR(I430)=Dashboard!$C$4,I430+ROW()/10000000,""),"")</f>
        <v/>
      </c>
      <c r="O430">
        <f>IF(B430="","",IFERROR(MATCH(D430,Settings!$B$6:$B$17,0),12))</f>
        <v/>
      </c>
      <c r="P430">
        <f>IF(AND(G430="Reading",B430&lt;&gt;""),IF(H430="",TODAY(),H430)+ROW()/10000000,"")</f>
        <v/>
      </c>
      <c r="Q430">
        <f>IF(AND(N430&lt;&gt;"",N(J430)=5),N430,"")</f>
        <v/>
      </c>
    </row>
    <row r="431">
      <c r="A431" s="1" t="n"/>
      <c r="B431" s="24" t="n"/>
      <c r="C431" s="25" t="n"/>
      <c r="D431" s="25" t="n"/>
      <c r="E431" s="26" t="n"/>
      <c r="F431" s="27" t="n"/>
      <c r="G431" s="26" t="n"/>
      <c r="H431" s="28" t="n"/>
      <c r="I431" s="28" t="n"/>
      <c r="J431" s="27" t="n"/>
      <c r="K431" s="16">
        <f>IF(OR(H431="",I431=""),"",I431-H431+1)</f>
        <v/>
      </c>
      <c r="L431" s="16">
        <f>IF(OR(K431="",N(F431)=0),"",F431/K431)</f>
        <v/>
      </c>
      <c r="M431" s="25" t="n"/>
      <c r="N431" s="1">
        <f>IF(AND(G431="Finished",I431&lt;&gt;""),IF(YEAR(I431)=Dashboard!$C$4,I431+ROW()/10000000,""),"")</f>
        <v/>
      </c>
      <c r="O431">
        <f>IF(B431="","",IFERROR(MATCH(D431,Settings!$B$6:$B$17,0),12))</f>
        <v/>
      </c>
      <c r="P431">
        <f>IF(AND(G431="Reading",B431&lt;&gt;""),IF(H431="",TODAY(),H431)+ROW()/10000000,"")</f>
        <v/>
      </c>
      <c r="Q431">
        <f>IF(AND(N431&lt;&gt;"",N(J431)=5),N431,"")</f>
        <v/>
      </c>
    </row>
    <row r="432">
      <c r="A432" s="1" t="n"/>
      <c r="B432" s="24" t="n"/>
      <c r="C432" s="25" t="n"/>
      <c r="D432" s="25" t="n"/>
      <c r="E432" s="26" t="n"/>
      <c r="F432" s="27" t="n"/>
      <c r="G432" s="26" t="n"/>
      <c r="H432" s="28" t="n"/>
      <c r="I432" s="28" t="n"/>
      <c r="J432" s="27" t="n"/>
      <c r="K432" s="16">
        <f>IF(OR(H432="",I432=""),"",I432-H432+1)</f>
        <v/>
      </c>
      <c r="L432" s="16">
        <f>IF(OR(K432="",N(F432)=0),"",F432/K432)</f>
        <v/>
      </c>
      <c r="M432" s="25" t="n"/>
      <c r="N432" s="1">
        <f>IF(AND(G432="Finished",I432&lt;&gt;""),IF(YEAR(I432)=Dashboard!$C$4,I432+ROW()/10000000,""),"")</f>
        <v/>
      </c>
      <c r="O432">
        <f>IF(B432="","",IFERROR(MATCH(D432,Settings!$B$6:$B$17,0),12))</f>
        <v/>
      </c>
      <c r="P432">
        <f>IF(AND(G432="Reading",B432&lt;&gt;""),IF(H432="",TODAY(),H432)+ROW()/10000000,"")</f>
        <v/>
      </c>
      <c r="Q432">
        <f>IF(AND(N432&lt;&gt;"",N(J432)=5),N432,"")</f>
        <v/>
      </c>
    </row>
    <row r="433">
      <c r="A433" s="1" t="n"/>
      <c r="B433" s="24" t="n"/>
      <c r="C433" s="25" t="n"/>
      <c r="D433" s="25" t="n"/>
      <c r="E433" s="26" t="n"/>
      <c r="F433" s="27" t="n"/>
      <c r="G433" s="26" t="n"/>
      <c r="H433" s="28" t="n"/>
      <c r="I433" s="28" t="n"/>
      <c r="J433" s="27" t="n"/>
      <c r="K433" s="16">
        <f>IF(OR(H433="",I433=""),"",I433-H433+1)</f>
        <v/>
      </c>
      <c r="L433" s="16">
        <f>IF(OR(K433="",N(F433)=0),"",F433/K433)</f>
        <v/>
      </c>
      <c r="M433" s="25" t="n"/>
      <c r="N433" s="1">
        <f>IF(AND(G433="Finished",I433&lt;&gt;""),IF(YEAR(I433)=Dashboard!$C$4,I433+ROW()/10000000,""),"")</f>
        <v/>
      </c>
      <c r="O433">
        <f>IF(B433="","",IFERROR(MATCH(D433,Settings!$B$6:$B$17,0),12))</f>
        <v/>
      </c>
      <c r="P433">
        <f>IF(AND(G433="Reading",B433&lt;&gt;""),IF(H433="",TODAY(),H433)+ROW()/10000000,"")</f>
        <v/>
      </c>
      <c r="Q433">
        <f>IF(AND(N433&lt;&gt;"",N(J433)=5),N433,"")</f>
        <v/>
      </c>
    </row>
    <row r="434">
      <c r="A434" s="1" t="n"/>
      <c r="B434" s="24" t="n"/>
      <c r="C434" s="25" t="n"/>
      <c r="D434" s="25" t="n"/>
      <c r="E434" s="26" t="n"/>
      <c r="F434" s="27" t="n"/>
      <c r="G434" s="26" t="n"/>
      <c r="H434" s="28" t="n"/>
      <c r="I434" s="28" t="n"/>
      <c r="J434" s="27" t="n"/>
      <c r="K434" s="16">
        <f>IF(OR(H434="",I434=""),"",I434-H434+1)</f>
        <v/>
      </c>
      <c r="L434" s="16">
        <f>IF(OR(K434="",N(F434)=0),"",F434/K434)</f>
        <v/>
      </c>
      <c r="M434" s="25" t="n"/>
      <c r="N434" s="1">
        <f>IF(AND(G434="Finished",I434&lt;&gt;""),IF(YEAR(I434)=Dashboard!$C$4,I434+ROW()/10000000,""),"")</f>
        <v/>
      </c>
      <c r="O434">
        <f>IF(B434="","",IFERROR(MATCH(D434,Settings!$B$6:$B$17,0),12))</f>
        <v/>
      </c>
      <c r="P434">
        <f>IF(AND(G434="Reading",B434&lt;&gt;""),IF(H434="",TODAY(),H434)+ROW()/10000000,"")</f>
        <v/>
      </c>
      <c r="Q434">
        <f>IF(AND(N434&lt;&gt;"",N(J434)=5),N434,"")</f>
        <v/>
      </c>
    </row>
    <row r="435">
      <c r="A435" s="1" t="n"/>
      <c r="B435" s="24" t="n"/>
      <c r="C435" s="25" t="n"/>
      <c r="D435" s="25" t="n"/>
      <c r="E435" s="26" t="n"/>
      <c r="F435" s="27" t="n"/>
      <c r="G435" s="26" t="n"/>
      <c r="H435" s="28" t="n"/>
      <c r="I435" s="28" t="n"/>
      <c r="J435" s="27" t="n"/>
      <c r="K435" s="16">
        <f>IF(OR(H435="",I435=""),"",I435-H435+1)</f>
        <v/>
      </c>
      <c r="L435" s="16">
        <f>IF(OR(K435="",N(F435)=0),"",F435/K435)</f>
        <v/>
      </c>
      <c r="M435" s="25" t="n"/>
      <c r="N435" s="1">
        <f>IF(AND(G435="Finished",I435&lt;&gt;""),IF(YEAR(I435)=Dashboard!$C$4,I435+ROW()/10000000,""),"")</f>
        <v/>
      </c>
      <c r="O435">
        <f>IF(B435="","",IFERROR(MATCH(D435,Settings!$B$6:$B$17,0),12))</f>
        <v/>
      </c>
      <c r="P435">
        <f>IF(AND(G435="Reading",B435&lt;&gt;""),IF(H435="",TODAY(),H435)+ROW()/10000000,"")</f>
        <v/>
      </c>
      <c r="Q435">
        <f>IF(AND(N435&lt;&gt;"",N(J435)=5),N435,"")</f>
        <v/>
      </c>
    </row>
    <row r="436">
      <c r="A436" s="1" t="n"/>
      <c r="B436" s="24" t="n"/>
      <c r="C436" s="25" t="n"/>
      <c r="D436" s="25" t="n"/>
      <c r="E436" s="26" t="n"/>
      <c r="F436" s="27" t="n"/>
      <c r="G436" s="26" t="n"/>
      <c r="H436" s="28" t="n"/>
      <c r="I436" s="28" t="n"/>
      <c r="J436" s="27" t="n"/>
      <c r="K436" s="16">
        <f>IF(OR(H436="",I436=""),"",I436-H436+1)</f>
        <v/>
      </c>
      <c r="L436" s="16">
        <f>IF(OR(K436="",N(F436)=0),"",F436/K436)</f>
        <v/>
      </c>
      <c r="M436" s="25" t="n"/>
      <c r="N436" s="1">
        <f>IF(AND(G436="Finished",I436&lt;&gt;""),IF(YEAR(I436)=Dashboard!$C$4,I436+ROW()/10000000,""),"")</f>
        <v/>
      </c>
      <c r="O436">
        <f>IF(B436="","",IFERROR(MATCH(D436,Settings!$B$6:$B$17,0),12))</f>
        <v/>
      </c>
      <c r="P436">
        <f>IF(AND(G436="Reading",B436&lt;&gt;""),IF(H436="",TODAY(),H436)+ROW()/10000000,"")</f>
        <v/>
      </c>
      <c r="Q436">
        <f>IF(AND(N436&lt;&gt;"",N(J436)=5),N436,"")</f>
        <v/>
      </c>
    </row>
    <row r="437">
      <c r="A437" s="1" t="n"/>
      <c r="B437" s="24" t="n"/>
      <c r="C437" s="25" t="n"/>
      <c r="D437" s="25" t="n"/>
      <c r="E437" s="26" t="n"/>
      <c r="F437" s="27" t="n"/>
      <c r="G437" s="26" t="n"/>
      <c r="H437" s="28" t="n"/>
      <c r="I437" s="28" t="n"/>
      <c r="J437" s="27" t="n"/>
      <c r="K437" s="16">
        <f>IF(OR(H437="",I437=""),"",I437-H437+1)</f>
        <v/>
      </c>
      <c r="L437" s="16">
        <f>IF(OR(K437="",N(F437)=0),"",F437/K437)</f>
        <v/>
      </c>
      <c r="M437" s="25" t="n"/>
      <c r="N437" s="1">
        <f>IF(AND(G437="Finished",I437&lt;&gt;""),IF(YEAR(I437)=Dashboard!$C$4,I437+ROW()/10000000,""),"")</f>
        <v/>
      </c>
      <c r="O437">
        <f>IF(B437="","",IFERROR(MATCH(D437,Settings!$B$6:$B$17,0),12))</f>
        <v/>
      </c>
      <c r="P437">
        <f>IF(AND(G437="Reading",B437&lt;&gt;""),IF(H437="",TODAY(),H437)+ROW()/10000000,"")</f>
        <v/>
      </c>
      <c r="Q437">
        <f>IF(AND(N437&lt;&gt;"",N(J437)=5),N437,"")</f>
        <v/>
      </c>
    </row>
    <row r="438">
      <c r="A438" s="1" t="n"/>
      <c r="B438" s="24" t="n"/>
      <c r="C438" s="25" t="n"/>
      <c r="D438" s="25" t="n"/>
      <c r="E438" s="26" t="n"/>
      <c r="F438" s="27" t="n"/>
      <c r="G438" s="26" t="n"/>
      <c r="H438" s="28" t="n"/>
      <c r="I438" s="28" t="n"/>
      <c r="J438" s="27" t="n"/>
      <c r="K438" s="16">
        <f>IF(OR(H438="",I438=""),"",I438-H438+1)</f>
        <v/>
      </c>
      <c r="L438" s="16">
        <f>IF(OR(K438="",N(F438)=0),"",F438/K438)</f>
        <v/>
      </c>
      <c r="M438" s="25" t="n"/>
      <c r="N438" s="1">
        <f>IF(AND(G438="Finished",I438&lt;&gt;""),IF(YEAR(I438)=Dashboard!$C$4,I438+ROW()/10000000,""),"")</f>
        <v/>
      </c>
      <c r="O438">
        <f>IF(B438="","",IFERROR(MATCH(D438,Settings!$B$6:$B$17,0),12))</f>
        <v/>
      </c>
      <c r="P438">
        <f>IF(AND(G438="Reading",B438&lt;&gt;""),IF(H438="",TODAY(),H438)+ROW()/10000000,"")</f>
        <v/>
      </c>
      <c r="Q438">
        <f>IF(AND(N438&lt;&gt;"",N(J438)=5),N438,"")</f>
        <v/>
      </c>
    </row>
    <row r="439">
      <c r="A439" s="1" t="n"/>
      <c r="B439" s="24" t="n"/>
      <c r="C439" s="25" t="n"/>
      <c r="D439" s="25" t="n"/>
      <c r="E439" s="26" t="n"/>
      <c r="F439" s="27" t="n"/>
      <c r="G439" s="26" t="n"/>
      <c r="H439" s="28" t="n"/>
      <c r="I439" s="28" t="n"/>
      <c r="J439" s="27" t="n"/>
      <c r="K439" s="16">
        <f>IF(OR(H439="",I439=""),"",I439-H439+1)</f>
        <v/>
      </c>
      <c r="L439" s="16">
        <f>IF(OR(K439="",N(F439)=0),"",F439/K439)</f>
        <v/>
      </c>
      <c r="M439" s="25" t="n"/>
      <c r="N439" s="1">
        <f>IF(AND(G439="Finished",I439&lt;&gt;""),IF(YEAR(I439)=Dashboard!$C$4,I439+ROW()/10000000,""),"")</f>
        <v/>
      </c>
      <c r="O439">
        <f>IF(B439="","",IFERROR(MATCH(D439,Settings!$B$6:$B$17,0),12))</f>
        <v/>
      </c>
      <c r="P439">
        <f>IF(AND(G439="Reading",B439&lt;&gt;""),IF(H439="",TODAY(),H439)+ROW()/10000000,"")</f>
        <v/>
      </c>
      <c r="Q439">
        <f>IF(AND(N439&lt;&gt;"",N(J439)=5),N439,"")</f>
        <v/>
      </c>
    </row>
    <row r="440">
      <c r="A440" s="1" t="n"/>
      <c r="B440" s="24" t="n"/>
      <c r="C440" s="25" t="n"/>
      <c r="D440" s="25" t="n"/>
      <c r="E440" s="26" t="n"/>
      <c r="F440" s="27" t="n"/>
      <c r="G440" s="26" t="n"/>
      <c r="H440" s="28" t="n"/>
      <c r="I440" s="28" t="n"/>
      <c r="J440" s="27" t="n"/>
      <c r="K440" s="16">
        <f>IF(OR(H440="",I440=""),"",I440-H440+1)</f>
        <v/>
      </c>
      <c r="L440" s="16">
        <f>IF(OR(K440="",N(F440)=0),"",F440/K440)</f>
        <v/>
      </c>
      <c r="M440" s="25" t="n"/>
      <c r="N440" s="1">
        <f>IF(AND(G440="Finished",I440&lt;&gt;""),IF(YEAR(I440)=Dashboard!$C$4,I440+ROW()/10000000,""),"")</f>
        <v/>
      </c>
      <c r="O440">
        <f>IF(B440="","",IFERROR(MATCH(D440,Settings!$B$6:$B$17,0),12))</f>
        <v/>
      </c>
      <c r="P440">
        <f>IF(AND(G440="Reading",B440&lt;&gt;""),IF(H440="",TODAY(),H440)+ROW()/10000000,"")</f>
        <v/>
      </c>
      <c r="Q440">
        <f>IF(AND(N440&lt;&gt;"",N(J440)=5),N440,"")</f>
        <v/>
      </c>
    </row>
    <row r="441">
      <c r="A441" s="1" t="n"/>
      <c r="B441" s="24" t="n"/>
      <c r="C441" s="25" t="n"/>
      <c r="D441" s="25" t="n"/>
      <c r="E441" s="26" t="n"/>
      <c r="F441" s="27" t="n"/>
      <c r="G441" s="26" t="n"/>
      <c r="H441" s="28" t="n"/>
      <c r="I441" s="28" t="n"/>
      <c r="J441" s="27" t="n"/>
      <c r="K441" s="16">
        <f>IF(OR(H441="",I441=""),"",I441-H441+1)</f>
        <v/>
      </c>
      <c r="L441" s="16">
        <f>IF(OR(K441="",N(F441)=0),"",F441/K441)</f>
        <v/>
      </c>
      <c r="M441" s="25" t="n"/>
      <c r="N441" s="1">
        <f>IF(AND(G441="Finished",I441&lt;&gt;""),IF(YEAR(I441)=Dashboard!$C$4,I441+ROW()/10000000,""),"")</f>
        <v/>
      </c>
      <c r="O441">
        <f>IF(B441="","",IFERROR(MATCH(D441,Settings!$B$6:$B$17,0),12))</f>
        <v/>
      </c>
      <c r="P441">
        <f>IF(AND(G441="Reading",B441&lt;&gt;""),IF(H441="",TODAY(),H441)+ROW()/10000000,"")</f>
        <v/>
      </c>
      <c r="Q441">
        <f>IF(AND(N441&lt;&gt;"",N(J441)=5),N441,"")</f>
        <v/>
      </c>
    </row>
    <row r="442">
      <c r="A442" s="1" t="n"/>
      <c r="B442" s="24" t="n"/>
      <c r="C442" s="25" t="n"/>
      <c r="D442" s="25" t="n"/>
      <c r="E442" s="26" t="n"/>
      <c r="F442" s="27" t="n"/>
      <c r="G442" s="26" t="n"/>
      <c r="H442" s="28" t="n"/>
      <c r="I442" s="28" t="n"/>
      <c r="J442" s="27" t="n"/>
      <c r="K442" s="16">
        <f>IF(OR(H442="",I442=""),"",I442-H442+1)</f>
        <v/>
      </c>
      <c r="L442" s="16">
        <f>IF(OR(K442="",N(F442)=0),"",F442/K442)</f>
        <v/>
      </c>
      <c r="M442" s="25" t="n"/>
      <c r="N442" s="1">
        <f>IF(AND(G442="Finished",I442&lt;&gt;""),IF(YEAR(I442)=Dashboard!$C$4,I442+ROW()/10000000,""),"")</f>
        <v/>
      </c>
      <c r="O442">
        <f>IF(B442="","",IFERROR(MATCH(D442,Settings!$B$6:$B$17,0),12))</f>
        <v/>
      </c>
      <c r="P442">
        <f>IF(AND(G442="Reading",B442&lt;&gt;""),IF(H442="",TODAY(),H442)+ROW()/10000000,"")</f>
        <v/>
      </c>
      <c r="Q442">
        <f>IF(AND(N442&lt;&gt;"",N(J442)=5),N442,"")</f>
        <v/>
      </c>
    </row>
    <row r="443">
      <c r="A443" s="1" t="n"/>
      <c r="B443" s="24" t="n"/>
      <c r="C443" s="25" t="n"/>
      <c r="D443" s="25" t="n"/>
      <c r="E443" s="26" t="n"/>
      <c r="F443" s="27" t="n"/>
      <c r="G443" s="26" t="n"/>
      <c r="H443" s="28" t="n"/>
      <c r="I443" s="28" t="n"/>
      <c r="J443" s="27" t="n"/>
      <c r="K443" s="16">
        <f>IF(OR(H443="",I443=""),"",I443-H443+1)</f>
        <v/>
      </c>
      <c r="L443" s="16">
        <f>IF(OR(K443="",N(F443)=0),"",F443/K443)</f>
        <v/>
      </c>
      <c r="M443" s="25" t="n"/>
      <c r="N443" s="1">
        <f>IF(AND(G443="Finished",I443&lt;&gt;""),IF(YEAR(I443)=Dashboard!$C$4,I443+ROW()/10000000,""),"")</f>
        <v/>
      </c>
      <c r="O443">
        <f>IF(B443="","",IFERROR(MATCH(D443,Settings!$B$6:$B$17,0),12))</f>
        <v/>
      </c>
      <c r="P443">
        <f>IF(AND(G443="Reading",B443&lt;&gt;""),IF(H443="",TODAY(),H443)+ROW()/10000000,"")</f>
        <v/>
      </c>
      <c r="Q443">
        <f>IF(AND(N443&lt;&gt;"",N(J443)=5),N443,"")</f>
        <v/>
      </c>
    </row>
    <row r="444">
      <c r="A444" s="1" t="n"/>
      <c r="B444" s="24" t="n"/>
      <c r="C444" s="25" t="n"/>
      <c r="D444" s="25" t="n"/>
      <c r="E444" s="26" t="n"/>
      <c r="F444" s="27" t="n"/>
      <c r="G444" s="26" t="n"/>
      <c r="H444" s="28" t="n"/>
      <c r="I444" s="28" t="n"/>
      <c r="J444" s="27" t="n"/>
      <c r="K444" s="16">
        <f>IF(OR(H444="",I444=""),"",I444-H444+1)</f>
        <v/>
      </c>
      <c r="L444" s="16">
        <f>IF(OR(K444="",N(F444)=0),"",F444/K444)</f>
        <v/>
      </c>
      <c r="M444" s="25" t="n"/>
      <c r="N444" s="1">
        <f>IF(AND(G444="Finished",I444&lt;&gt;""),IF(YEAR(I444)=Dashboard!$C$4,I444+ROW()/10000000,""),"")</f>
        <v/>
      </c>
      <c r="O444">
        <f>IF(B444="","",IFERROR(MATCH(D444,Settings!$B$6:$B$17,0),12))</f>
        <v/>
      </c>
      <c r="P444">
        <f>IF(AND(G444="Reading",B444&lt;&gt;""),IF(H444="",TODAY(),H444)+ROW()/10000000,"")</f>
        <v/>
      </c>
      <c r="Q444">
        <f>IF(AND(N444&lt;&gt;"",N(J444)=5),N444,"")</f>
        <v/>
      </c>
    </row>
    <row r="445">
      <c r="A445" s="1" t="n"/>
      <c r="B445" s="24" t="n"/>
      <c r="C445" s="25" t="n"/>
      <c r="D445" s="25" t="n"/>
      <c r="E445" s="26" t="n"/>
      <c r="F445" s="27" t="n"/>
      <c r="G445" s="26" t="n"/>
      <c r="H445" s="28" t="n"/>
      <c r="I445" s="28" t="n"/>
      <c r="J445" s="27" t="n"/>
      <c r="K445" s="16">
        <f>IF(OR(H445="",I445=""),"",I445-H445+1)</f>
        <v/>
      </c>
      <c r="L445" s="16">
        <f>IF(OR(K445="",N(F445)=0),"",F445/K445)</f>
        <v/>
      </c>
      <c r="M445" s="25" t="n"/>
      <c r="N445" s="1">
        <f>IF(AND(G445="Finished",I445&lt;&gt;""),IF(YEAR(I445)=Dashboard!$C$4,I445+ROW()/10000000,""),"")</f>
        <v/>
      </c>
      <c r="O445">
        <f>IF(B445="","",IFERROR(MATCH(D445,Settings!$B$6:$B$17,0),12))</f>
        <v/>
      </c>
      <c r="P445">
        <f>IF(AND(G445="Reading",B445&lt;&gt;""),IF(H445="",TODAY(),H445)+ROW()/10000000,"")</f>
        <v/>
      </c>
      <c r="Q445">
        <f>IF(AND(N445&lt;&gt;"",N(J445)=5),N445,"")</f>
        <v/>
      </c>
    </row>
    <row r="446">
      <c r="A446" s="1" t="n"/>
      <c r="B446" s="24" t="n"/>
      <c r="C446" s="25" t="n"/>
      <c r="D446" s="25" t="n"/>
      <c r="E446" s="26" t="n"/>
      <c r="F446" s="27" t="n"/>
      <c r="G446" s="26" t="n"/>
      <c r="H446" s="28" t="n"/>
      <c r="I446" s="28" t="n"/>
      <c r="J446" s="27" t="n"/>
      <c r="K446" s="16">
        <f>IF(OR(H446="",I446=""),"",I446-H446+1)</f>
        <v/>
      </c>
      <c r="L446" s="16">
        <f>IF(OR(K446="",N(F446)=0),"",F446/K446)</f>
        <v/>
      </c>
      <c r="M446" s="25" t="n"/>
      <c r="N446" s="1">
        <f>IF(AND(G446="Finished",I446&lt;&gt;""),IF(YEAR(I446)=Dashboard!$C$4,I446+ROW()/10000000,""),"")</f>
        <v/>
      </c>
      <c r="O446">
        <f>IF(B446="","",IFERROR(MATCH(D446,Settings!$B$6:$B$17,0),12))</f>
        <v/>
      </c>
      <c r="P446">
        <f>IF(AND(G446="Reading",B446&lt;&gt;""),IF(H446="",TODAY(),H446)+ROW()/10000000,"")</f>
        <v/>
      </c>
      <c r="Q446">
        <f>IF(AND(N446&lt;&gt;"",N(J446)=5),N446,"")</f>
        <v/>
      </c>
    </row>
    <row r="447">
      <c r="A447" s="1" t="n"/>
      <c r="B447" s="24" t="n"/>
      <c r="C447" s="25" t="n"/>
      <c r="D447" s="25" t="n"/>
      <c r="E447" s="26" t="n"/>
      <c r="F447" s="27" t="n"/>
      <c r="G447" s="26" t="n"/>
      <c r="H447" s="28" t="n"/>
      <c r="I447" s="28" t="n"/>
      <c r="J447" s="27" t="n"/>
      <c r="K447" s="16">
        <f>IF(OR(H447="",I447=""),"",I447-H447+1)</f>
        <v/>
      </c>
      <c r="L447" s="16">
        <f>IF(OR(K447="",N(F447)=0),"",F447/K447)</f>
        <v/>
      </c>
      <c r="M447" s="25" t="n"/>
      <c r="N447" s="1">
        <f>IF(AND(G447="Finished",I447&lt;&gt;""),IF(YEAR(I447)=Dashboard!$C$4,I447+ROW()/10000000,""),"")</f>
        <v/>
      </c>
      <c r="O447">
        <f>IF(B447="","",IFERROR(MATCH(D447,Settings!$B$6:$B$17,0),12))</f>
        <v/>
      </c>
      <c r="P447">
        <f>IF(AND(G447="Reading",B447&lt;&gt;""),IF(H447="",TODAY(),H447)+ROW()/10000000,"")</f>
        <v/>
      </c>
      <c r="Q447">
        <f>IF(AND(N447&lt;&gt;"",N(J447)=5),N447,"")</f>
        <v/>
      </c>
    </row>
    <row r="448">
      <c r="A448" s="1" t="n"/>
      <c r="B448" s="24" t="n"/>
      <c r="C448" s="25" t="n"/>
      <c r="D448" s="25" t="n"/>
      <c r="E448" s="26" t="n"/>
      <c r="F448" s="27" t="n"/>
      <c r="G448" s="26" t="n"/>
      <c r="H448" s="28" t="n"/>
      <c r="I448" s="28" t="n"/>
      <c r="J448" s="27" t="n"/>
      <c r="K448" s="16">
        <f>IF(OR(H448="",I448=""),"",I448-H448+1)</f>
        <v/>
      </c>
      <c r="L448" s="16">
        <f>IF(OR(K448="",N(F448)=0),"",F448/K448)</f>
        <v/>
      </c>
      <c r="M448" s="25" t="n"/>
      <c r="N448" s="1">
        <f>IF(AND(G448="Finished",I448&lt;&gt;""),IF(YEAR(I448)=Dashboard!$C$4,I448+ROW()/10000000,""),"")</f>
        <v/>
      </c>
      <c r="O448">
        <f>IF(B448="","",IFERROR(MATCH(D448,Settings!$B$6:$B$17,0),12))</f>
        <v/>
      </c>
      <c r="P448">
        <f>IF(AND(G448="Reading",B448&lt;&gt;""),IF(H448="",TODAY(),H448)+ROW()/10000000,"")</f>
        <v/>
      </c>
      <c r="Q448">
        <f>IF(AND(N448&lt;&gt;"",N(J448)=5),N448,"")</f>
        <v/>
      </c>
    </row>
    <row r="449">
      <c r="A449" s="1" t="n"/>
      <c r="B449" s="24" t="n"/>
      <c r="C449" s="25" t="n"/>
      <c r="D449" s="25" t="n"/>
      <c r="E449" s="26" t="n"/>
      <c r="F449" s="27" t="n"/>
      <c r="G449" s="26" t="n"/>
      <c r="H449" s="28" t="n"/>
      <c r="I449" s="28" t="n"/>
      <c r="J449" s="27" t="n"/>
      <c r="K449" s="16">
        <f>IF(OR(H449="",I449=""),"",I449-H449+1)</f>
        <v/>
      </c>
      <c r="L449" s="16">
        <f>IF(OR(K449="",N(F449)=0),"",F449/K449)</f>
        <v/>
      </c>
      <c r="M449" s="25" t="n"/>
      <c r="N449" s="1">
        <f>IF(AND(G449="Finished",I449&lt;&gt;""),IF(YEAR(I449)=Dashboard!$C$4,I449+ROW()/10000000,""),"")</f>
        <v/>
      </c>
      <c r="O449">
        <f>IF(B449="","",IFERROR(MATCH(D449,Settings!$B$6:$B$17,0),12))</f>
        <v/>
      </c>
      <c r="P449">
        <f>IF(AND(G449="Reading",B449&lt;&gt;""),IF(H449="",TODAY(),H449)+ROW()/10000000,"")</f>
        <v/>
      </c>
      <c r="Q449">
        <f>IF(AND(N449&lt;&gt;"",N(J449)=5),N449,"")</f>
        <v/>
      </c>
    </row>
    <row r="450">
      <c r="A450" s="1" t="n"/>
      <c r="B450" s="24" t="n"/>
      <c r="C450" s="25" t="n"/>
      <c r="D450" s="25" t="n"/>
      <c r="E450" s="26" t="n"/>
      <c r="F450" s="27" t="n"/>
      <c r="G450" s="26" t="n"/>
      <c r="H450" s="28" t="n"/>
      <c r="I450" s="28" t="n"/>
      <c r="J450" s="27" t="n"/>
      <c r="K450" s="16">
        <f>IF(OR(H450="",I450=""),"",I450-H450+1)</f>
        <v/>
      </c>
      <c r="L450" s="16">
        <f>IF(OR(K450="",N(F450)=0),"",F450/K450)</f>
        <v/>
      </c>
      <c r="M450" s="25" t="n"/>
      <c r="N450" s="1">
        <f>IF(AND(G450="Finished",I450&lt;&gt;""),IF(YEAR(I450)=Dashboard!$C$4,I450+ROW()/10000000,""),"")</f>
        <v/>
      </c>
      <c r="O450">
        <f>IF(B450="","",IFERROR(MATCH(D450,Settings!$B$6:$B$17,0),12))</f>
        <v/>
      </c>
      <c r="P450">
        <f>IF(AND(G450="Reading",B450&lt;&gt;""),IF(H450="",TODAY(),H450)+ROW()/10000000,"")</f>
        <v/>
      </c>
      <c r="Q450">
        <f>IF(AND(N450&lt;&gt;"",N(J450)=5),N450,"")</f>
        <v/>
      </c>
    </row>
    <row r="451">
      <c r="A451" s="1" t="n"/>
      <c r="B451" s="24" t="n"/>
      <c r="C451" s="25" t="n"/>
      <c r="D451" s="25" t="n"/>
      <c r="E451" s="26" t="n"/>
      <c r="F451" s="27" t="n"/>
      <c r="G451" s="26" t="n"/>
      <c r="H451" s="28" t="n"/>
      <c r="I451" s="28" t="n"/>
      <c r="J451" s="27" t="n"/>
      <c r="K451" s="16">
        <f>IF(OR(H451="",I451=""),"",I451-H451+1)</f>
        <v/>
      </c>
      <c r="L451" s="16">
        <f>IF(OR(K451="",N(F451)=0),"",F451/K451)</f>
        <v/>
      </c>
      <c r="M451" s="25" t="n"/>
      <c r="N451" s="1">
        <f>IF(AND(G451="Finished",I451&lt;&gt;""),IF(YEAR(I451)=Dashboard!$C$4,I451+ROW()/10000000,""),"")</f>
        <v/>
      </c>
      <c r="O451">
        <f>IF(B451="","",IFERROR(MATCH(D451,Settings!$B$6:$B$17,0),12))</f>
        <v/>
      </c>
      <c r="P451">
        <f>IF(AND(G451="Reading",B451&lt;&gt;""),IF(H451="",TODAY(),H451)+ROW()/10000000,"")</f>
        <v/>
      </c>
      <c r="Q451">
        <f>IF(AND(N451&lt;&gt;"",N(J451)=5),N451,"")</f>
        <v/>
      </c>
    </row>
    <row r="452">
      <c r="A452" s="1" t="n"/>
      <c r="B452" s="24" t="n"/>
      <c r="C452" s="25" t="n"/>
      <c r="D452" s="25" t="n"/>
      <c r="E452" s="26" t="n"/>
      <c r="F452" s="27" t="n"/>
      <c r="G452" s="26" t="n"/>
      <c r="H452" s="28" t="n"/>
      <c r="I452" s="28" t="n"/>
      <c r="J452" s="27" t="n"/>
      <c r="K452" s="16">
        <f>IF(OR(H452="",I452=""),"",I452-H452+1)</f>
        <v/>
      </c>
      <c r="L452" s="16">
        <f>IF(OR(K452="",N(F452)=0),"",F452/K452)</f>
        <v/>
      </c>
      <c r="M452" s="25" t="n"/>
      <c r="N452" s="1">
        <f>IF(AND(G452="Finished",I452&lt;&gt;""),IF(YEAR(I452)=Dashboard!$C$4,I452+ROW()/10000000,""),"")</f>
        <v/>
      </c>
      <c r="O452">
        <f>IF(B452="","",IFERROR(MATCH(D452,Settings!$B$6:$B$17,0),12))</f>
        <v/>
      </c>
      <c r="P452">
        <f>IF(AND(G452="Reading",B452&lt;&gt;""),IF(H452="",TODAY(),H452)+ROW()/10000000,"")</f>
        <v/>
      </c>
      <c r="Q452">
        <f>IF(AND(N452&lt;&gt;"",N(J452)=5),N452,"")</f>
        <v/>
      </c>
    </row>
    <row r="453">
      <c r="A453" s="1" t="n"/>
      <c r="B453" s="24" t="n"/>
      <c r="C453" s="25" t="n"/>
      <c r="D453" s="25" t="n"/>
      <c r="E453" s="26" t="n"/>
      <c r="F453" s="27" t="n"/>
      <c r="G453" s="26" t="n"/>
      <c r="H453" s="28" t="n"/>
      <c r="I453" s="28" t="n"/>
      <c r="J453" s="27" t="n"/>
      <c r="K453" s="16">
        <f>IF(OR(H453="",I453=""),"",I453-H453+1)</f>
        <v/>
      </c>
      <c r="L453" s="16">
        <f>IF(OR(K453="",N(F453)=0),"",F453/K453)</f>
        <v/>
      </c>
      <c r="M453" s="25" t="n"/>
      <c r="N453" s="1">
        <f>IF(AND(G453="Finished",I453&lt;&gt;""),IF(YEAR(I453)=Dashboard!$C$4,I453+ROW()/10000000,""),"")</f>
        <v/>
      </c>
      <c r="O453">
        <f>IF(B453="","",IFERROR(MATCH(D453,Settings!$B$6:$B$17,0),12))</f>
        <v/>
      </c>
      <c r="P453">
        <f>IF(AND(G453="Reading",B453&lt;&gt;""),IF(H453="",TODAY(),H453)+ROW()/10000000,"")</f>
        <v/>
      </c>
      <c r="Q453">
        <f>IF(AND(N453&lt;&gt;"",N(J453)=5),N453,"")</f>
        <v/>
      </c>
    </row>
    <row r="454">
      <c r="A454" s="1" t="n"/>
      <c r="B454" s="24" t="n"/>
      <c r="C454" s="25" t="n"/>
      <c r="D454" s="25" t="n"/>
      <c r="E454" s="26" t="n"/>
      <c r="F454" s="27" t="n"/>
      <c r="G454" s="26" t="n"/>
      <c r="H454" s="28" t="n"/>
      <c r="I454" s="28" t="n"/>
      <c r="J454" s="27" t="n"/>
      <c r="K454" s="16">
        <f>IF(OR(H454="",I454=""),"",I454-H454+1)</f>
        <v/>
      </c>
      <c r="L454" s="16">
        <f>IF(OR(K454="",N(F454)=0),"",F454/K454)</f>
        <v/>
      </c>
      <c r="M454" s="25" t="n"/>
      <c r="N454" s="1">
        <f>IF(AND(G454="Finished",I454&lt;&gt;""),IF(YEAR(I454)=Dashboard!$C$4,I454+ROW()/10000000,""),"")</f>
        <v/>
      </c>
      <c r="O454">
        <f>IF(B454="","",IFERROR(MATCH(D454,Settings!$B$6:$B$17,0),12))</f>
        <v/>
      </c>
      <c r="P454">
        <f>IF(AND(G454="Reading",B454&lt;&gt;""),IF(H454="",TODAY(),H454)+ROW()/10000000,"")</f>
        <v/>
      </c>
      <c r="Q454">
        <f>IF(AND(N454&lt;&gt;"",N(J454)=5),N454,"")</f>
        <v/>
      </c>
    </row>
    <row r="455">
      <c r="A455" s="1" t="n"/>
      <c r="B455" s="24" t="n"/>
      <c r="C455" s="25" t="n"/>
      <c r="D455" s="25" t="n"/>
      <c r="E455" s="26" t="n"/>
      <c r="F455" s="27" t="n"/>
      <c r="G455" s="26" t="n"/>
      <c r="H455" s="28" t="n"/>
      <c r="I455" s="28" t="n"/>
      <c r="J455" s="27" t="n"/>
      <c r="K455" s="16">
        <f>IF(OR(H455="",I455=""),"",I455-H455+1)</f>
        <v/>
      </c>
      <c r="L455" s="16">
        <f>IF(OR(K455="",N(F455)=0),"",F455/K455)</f>
        <v/>
      </c>
      <c r="M455" s="25" t="n"/>
      <c r="N455" s="1">
        <f>IF(AND(G455="Finished",I455&lt;&gt;""),IF(YEAR(I455)=Dashboard!$C$4,I455+ROW()/10000000,""),"")</f>
        <v/>
      </c>
      <c r="O455">
        <f>IF(B455="","",IFERROR(MATCH(D455,Settings!$B$6:$B$17,0),12))</f>
        <v/>
      </c>
      <c r="P455">
        <f>IF(AND(G455="Reading",B455&lt;&gt;""),IF(H455="",TODAY(),H455)+ROW()/10000000,"")</f>
        <v/>
      </c>
      <c r="Q455">
        <f>IF(AND(N455&lt;&gt;"",N(J455)=5),N455,"")</f>
        <v/>
      </c>
    </row>
    <row r="456">
      <c r="A456" s="1" t="n"/>
      <c r="B456" s="24" t="n"/>
      <c r="C456" s="25" t="n"/>
      <c r="D456" s="25" t="n"/>
      <c r="E456" s="26" t="n"/>
      <c r="F456" s="27" t="n"/>
      <c r="G456" s="26" t="n"/>
      <c r="H456" s="28" t="n"/>
      <c r="I456" s="28" t="n"/>
      <c r="J456" s="27" t="n"/>
      <c r="K456" s="16">
        <f>IF(OR(H456="",I456=""),"",I456-H456+1)</f>
        <v/>
      </c>
      <c r="L456" s="16">
        <f>IF(OR(K456="",N(F456)=0),"",F456/K456)</f>
        <v/>
      </c>
      <c r="M456" s="25" t="n"/>
      <c r="N456" s="1">
        <f>IF(AND(G456="Finished",I456&lt;&gt;""),IF(YEAR(I456)=Dashboard!$C$4,I456+ROW()/10000000,""),"")</f>
        <v/>
      </c>
      <c r="O456">
        <f>IF(B456="","",IFERROR(MATCH(D456,Settings!$B$6:$B$17,0),12))</f>
        <v/>
      </c>
      <c r="P456">
        <f>IF(AND(G456="Reading",B456&lt;&gt;""),IF(H456="",TODAY(),H456)+ROW()/10000000,"")</f>
        <v/>
      </c>
      <c r="Q456">
        <f>IF(AND(N456&lt;&gt;"",N(J456)=5),N456,"")</f>
        <v/>
      </c>
    </row>
    <row r="457">
      <c r="A457" s="1" t="n"/>
      <c r="B457" s="24" t="n"/>
      <c r="C457" s="25" t="n"/>
      <c r="D457" s="25" t="n"/>
      <c r="E457" s="26" t="n"/>
      <c r="F457" s="27" t="n"/>
      <c r="G457" s="26" t="n"/>
      <c r="H457" s="28" t="n"/>
      <c r="I457" s="28" t="n"/>
      <c r="J457" s="27" t="n"/>
      <c r="K457" s="16">
        <f>IF(OR(H457="",I457=""),"",I457-H457+1)</f>
        <v/>
      </c>
      <c r="L457" s="16">
        <f>IF(OR(K457="",N(F457)=0),"",F457/K457)</f>
        <v/>
      </c>
      <c r="M457" s="25" t="n"/>
      <c r="N457" s="1">
        <f>IF(AND(G457="Finished",I457&lt;&gt;""),IF(YEAR(I457)=Dashboard!$C$4,I457+ROW()/10000000,""),"")</f>
        <v/>
      </c>
      <c r="O457">
        <f>IF(B457="","",IFERROR(MATCH(D457,Settings!$B$6:$B$17,0),12))</f>
        <v/>
      </c>
      <c r="P457">
        <f>IF(AND(G457="Reading",B457&lt;&gt;""),IF(H457="",TODAY(),H457)+ROW()/10000000,"")</f>
        <v/>
      </c>
      <c r="Q457">
        <f>IF(AND(N457&lt;&gt;"",N(J457)=5),N457,"")</f>
        <v/>
      </c>
    </row>
    <row r="458">
      <c r="A458" s="1" t="n"/>
      <c r="B458" s="24" t="n"/>
      <c r="C458" s="25" t="n"/>
      <c r="D458" s="25" t="n"/>
      <c r="E458" s="26" t="n"/>
      <c r="F458" s="27" t="n"/>
      <c r="G458" s="26" t="n"/>
      <c r="H458" s="28" t="n"/>
      <c r="I458" s="28" t="n"/>
      <c r="J458" s="27" t="n"/>
      <c r="K458" s="16">
        <f>IF(OR(H458="",I458=""),"",I458-H458+1)</f>
        <v/>
      </c>
      <c r="L458" s="16">
        <f>IF(OR(K458="",N(F458)=0),"",F458/K458)</f>
        <v/>
      </c>
      <c r="M458" s="25" t="n"/>
      <c r="N458" s="1">
        <f>IF(AND(G458="Finished",I458&lt;&gt;""),IF(YEAR(I458)=Dashboard!$C$4,I458+ROW()/10000000,""),"")</f>
        <v/>
      </c>
      <c r="O458">
        <f>IF(B458="","",IFERROR(MATCH(D458,Settings!$B$6:$B$17,0),12))</f>
        <v/>
      </c>
      <c r="P458">
        <f>IF(AND(G458="Reading",B458&lt;&gt;""),IF(H458="",TODAY(),H458)+ROW()/10000000,"")</f>
        <v/>
      </c>
      <c r="Q458">
        <f>IF(AND(N458&lt;&gt;"",N(J458)=5),N458,"")</f>
        <v/>
      </c>
    </row>
    <row r="459">
      <c r="A459" s="1" t="n"/>
      <c r="B459" s="24" t="n"/>
      <c r="C459" s="25" t="n"/>
      <c r="D459" s="25" t="n"/>
      <c r="E459" s="26" t="n"/>
      <c r="F459" s="27" t="n"/>
      <c r="G459" s="26" t="n"/>
      <c r="H459" s="28" t="n"/>
      <c r="I459" s="28" t="n"/>
      <c r="J459" s="27" t="n"/>
      <c r="K459" s="16">
        <f>IF(OR(H459="",I459=""),"",I459-H459+1)</f>
        <v/>
      </c>
      <c r="L459" s="16">
        <f>IF(OR(K459="",N(F459)=0),"",F459/K459)</f>
        <v/>
      </c>
      <c r="M459" s="25" t="n"/>
      <c r="N459" s="1">
        <f>IF(AND(G459="Finished",I459&lt;&gt;""),IF(YEAR(I459)=Dashboard!$C$4,I459+ROW()/10000000,""),"")</f>
        <v/>
      </c>
      <c r="O459">
        <f>IF(B459="","",IFERROR(MATCH(D459,Settings!$B$6:$B$17,0),12))</f>
        <v/>
      </c>
      <c r="P459">
        <f>IF(AND(G459="Reading",B459&lt;&gt;""),IF(H459="",TODAY(),H459)+ROW()/10000000,"")</f>
        <v/>
      </c>
      <c r="Q459">
        <f>IF(AND(N459&lt;&gt;"",N(J459)=5),N459,"")</f>
        <v/>
      </c>
    </row>
    <row r="460">
      <c r="A460" s="1" t="n"/>
      <c r="B460" s="24" t="n"/>
      <c r="C460" s="25" t="n"/>
      <c r="D460" s="25" t="n"/>
      <c r="E460" s="26" t="n"/>
      <c r="F460" s="27" t="n"/>
      <c r="G460" s="26" t="n"/>
      <c r="H460" s="28" t="n"/>
      <c r="I460" s="28" t="n"/>
      <c r="J460" s="27" t="n"/>
      <c r="K460" s="16">
        <f>IF(OR(H460="",I460=""),"",I460-H460+1)</f>
        <v/>
      </c>
      <c r="L460" s="16">
        <f>IF(OR(K460="",N(F460)=0),"",F460/K460)</f>
        <v/>
      </c>
      <c r="M460" s="25" t="n"/>
      <c r="N460" s="1">
        <f>IF(AND(G460="Finished",I460&lt;&gt;""),IF(YEAR(I460)=Dashboard!$C$4,I460+ROW()/10000000,""),"")</f>
        <v/>
      </c>
      <c r="O460">
        <f>IF(B460="","",IFERROR(MATCH(D460,Settings!$B$6:$B$17,0),12))</f>
        <v/>
      </c>
      <c r="P460">
        <f>IF(AND(G460="Reading",B460&lt;&gt;""),IF(H460="",TODAY(),H460)+ROW()/10000000,"")</f>
        <v/>
      </c>
      <c r="Q460">
        <f>IF(AND(N460&lt;&gt;"",N(J460)=5),N460,"")</f>
        <v/>
      </c>
    </row>
    <row r="461">
      <c r="A461" s="1" t="n"/>
      <c r="B461" s="24" t="n"/>
      <c r="C461" s="25" t="n"/>
      <c r="D461" s="25" t="n"/>
      <c r="E461" s="26" t="n"/>
      <c r="F461" s="27" t="n"/>
      <c r="G461" s="26" t="n"/>
      <c r="H461" s="28" t="n"/>
      <c r="I461" s="28" t="n"/>
      <c r="J461" s="27" t="n"/>
      <c r="K461" s="16">
        <f>IF(OR(H461="",I461=""),"",I461-H461+1)</f>
        <v/>
      </c>
      <c r="L461" s="16">
        <f>IF(OR(K461="",N(F461)=0),"",F461/K461)</f>
        <v/>
      </c>
      <c r="M461" s="25" t="n"/>
      <c r="N461" s="1">
        <f>IF(AND(G461="Finished",I461&lt;&gt;""),IF(YEAR(I461)=Dashboard!$C$4,I461+ROW()/10000000,""),"")</f>
        <v/>
      </c>
      <c r="O461">
        <f>IF(B461="","",IFERROR(MATCH(D461,Settings!$B$6:$B$17,0),12))</f>
        <v/>
      </c>
      <c r="P461">
        <f>IF(AND(G461="Reading",B461&lt;&gt;""),IF(H461="",TODAY(),H461)+ROW()/10000000,"")</f>
        <v/>
      </c>
      <c r="Q461">
        <f>IF(AND(N461&lt;&gt;"",N(J461)=5),N461,"")</f>
        <v/>
      </c>
    </row>
    <row r="462">
      <c r="A462" s="1" t="n"/>
      <c r="B462" s="24" t="n"/>
      <c r="C462" s="25" t="n"/>
      <c r="D462" s="25" t="n"/>
      <c r="E462" s="26" t="n"/>
      <c r="F462" s="27" t="n"/>
      <c r="G462" s="26" t="n"/>
      <c r="H462" s="28" t="n"/>
      <c r="I462" s="28" t="n"/>
      <c r="J462" s="27" t="n"/>
      <c r="K462" s="16">
        <f>IF(OR(H462="",I462=""),"",I462-H462+1)</f>
        <v/>
      </c>
      <c r="L462" s="16">
        <f>IF(OR(K462="",N(F462)=0),"",F462/K462)</f>
        <v/>
      </c>
      <c r="M462" s="25" t="n"/>
      <c r="N462" s="1">
        <f>IF(AND(G462="Finished",I462&lt;&gt;""),IF(YEAR(I462)=Dashboard!$C$4,I462+ROW()/10000000,""),"")</f>
        <v/>
      </c>
      <c r="O462">
        <f>IF(B462="","",IFERROR(MATCH(D462,Settings!$B$6:$B$17,0),12))</f>
        <v/>
      </c>
      <c r="P462">
        <f>IF(AND(G462="Reading",B462&lt;&gt;""),IF(H462="",TODAY(),H462)+ROW()/10000000,"")</f>
        <v/>
      </c>
      <c r="Q462">
        <f>IF(AND(N462&lt;&gt;"",N(J462)=5),N462,"")</f>
        <v/>
      </c>
    </row>
    <row r="463">
      <c r="A463" s="1" t="n"/>
      <c r="B463" s="24" t="n"/>
      <c r="C463" s="25" t="n"/>
      <c r="D463" s="25" t="n"/>
      <c r="E463" s="26" t="n"/>
      <c r="F463" s="27" t="n"/>
      <c r="G463" s="26" t="n"/>
      <c r="H463" s="28" t="n"/>
      <c r="I463" s="28" t="n"/>
      <c r="J463" s="27" t="n"/>
      <c r="K463" s="16">
        <f>IF(OR(H463="",I463=""),"",I463-H463+1)</f>
        <v/>
      </c>
      <c r="L463" s="16">
        <f>IF(OR(K463="",N(F463)=0),"",F463/K463)</f>
        <v/>
      </c>
      <c r="M463" s="25" t="n"/>
      <c r="N463" s="1">
        <f>IF(AND(G463="Finished",I463&lt;&gt;""),IF(YEAR(I463)=Dashboard!$C$4,I463+ROW()/10000000,""),"")</f>
        <v/>
      </c>
      <c r="O463">
        <f>IF(B463="","",IFERROR(MATCH(D463,Settings!$B$6:$B$17,0),12))</f>
        <v/>
      </c>
      <c r="P463">
        <f>IF(AND(G463="Reading",B463&lt;&gt;""),IF(H463="",TODAY(),H463)+ROW()/10000000,"")</f>
        <v/>
      </c>
      <c r="Q463">
        <f>IF(AND(N463&lt;&gt;"",N(J463)=5),N463,"")</f>
        <v/>
      </c>
    </row>
    <row r="464">
      <c r="A464" s="1" t="n"/>
      <c r="B464" s="24" t="n"/>
      <c r="C464" s="25" t="n"/>
      <c r="D464" s="25" t="n"/>
      <c r="E464" s="26" t="n"/>
      <c r="F464" s="27" t="n"/>
      <c r="G464" s="26" t="n"/>
      <c r="H464" s="28" t="n"/>
      <c r="I464" s="28" t="n"/>
      <c r="J464" s="27" t="n"/>
      <c r="K464" s="16">
        <f>IF(OR(H464="",I464=""),"",I464-H464+1)</f>
        <v/>
      </c>
      <c r="L464" s="16">
        <f>IF(OR(K464="",N(F464)=0),"",F464/K464)</f>
        <v/>
      </c>
      <c r="M464" s="25" t="n"/>
      <c r="N464" s="1">
        <f>IF(AND(G464="Finished",I464&lt;&gt;""),IF(YEAR(I464)=Dashboard!$C$4,I464+ROW()/10000000,""),"")</f>
        <v/>
      </c>
      <c r="O464">
        <f>IF(B464="","",IFERROR(MATCH(D464,Settings!$B$6:$B$17,0),12))</f>
        <v/>
      </c>
      <c r="P464">
        <f>IF(AND(G464="Reading",B464&lt;&gt;""),IF(H464="",TODAY(),H464)+ROW()/10000000,"")</f>
        <v/>
      </c>
      <c r="Q464">
        <f>IF(AND(N464&lt;&gt;"",N(J464)=5),N464,"")</f>
        <v/>
      </c>
    </row>
    <row r="465">
      <c r="A465" s="1" t="n"/>
      <c r="B465" s="24" t="n"/>
      <c r="C465" s="25" t="n"/>
      <c r="D465" s="25" t="n"/>
      <c r="E465" s="26" t="n"/>
      <c r="F465" s="27" t="n"/>
      <c r="G465" s="26" t="n"/>
      <c r="H465" s="28" t="n"/>
      <c r="I465" s="28" t="n"/>
      <c r="J465" s="27" t="n"/>
      <c r="K465" s="16">
        <f>IF(OR(H465="",I465=""),"",I465-H465+1)</f>
        <v/>
      </c>
      <c r="L465" s="16">
        <f>IF(OR(K465="",N(F465)=0),"",F465/K465)</f>
        <v/>
      </c>
      <c r="M465" s="25" t="n"/>
      <c r="N465" s="1">
        <f>IF(AND(G465="Finished",I465&lt;&gt;""),IF(YEAR(I465)=Dashboard!$C$4,I465+ROW()/10000000,""),"")</f>
        <v/>
      </c>
      <c r="O465">
        <f>IF(B465="","",IFERROR(MATCH(D465,Settings!$B$6:$B$17,0),12))</f>
        <v/>
      </c>
      <c r="P465">
        <f>IF(AND(G465="Reading",B465&lt;&gt;""),IF(H465="",TODAY(),H465)+ROW()/10000000,"")</f>
        <v/>
      </c>
      <c r="Q465">
        <f>IF(AND(N465&lt;&gt;"",N(J465)=5),N465,"")</f>
        <v/>
      </c>
    </row>
    <row r="466">
      <c r="A466" s="1" t="n"/>
      <c r="B466" s="24" t="n"/>
      <c r="C466" s="25" t="n"/>
      <c r="D466" s="25" t="n"/>
      <c r="E466" s="26" t="n"/>
      <c r="F466" s="27" t="n"/>
      <c r="G466" s="26" t="n"/>
      <c r="H466" s="28" t="n"/>
      <c r="I466" s="28" t="n"/>
      <c r="J466" s="27" t="n"/>
      <c r="K466" s="16">
        <f>IF(OR(H466="",I466=""),"",I466-H466+1)</f>
        <v/>
      </c>
      <c r="L466" s="16">
        <f>IF(OR(K466="",N(F466)=0),"",F466/K466)</f>
        <v/>
      </c>
      <c r="M466" s="25" t="n"/>
      <c r="N466" s="1">
        <f>IF(AND(G466="Finished",I466&lt;&gt;""),IF(YEAR(I466)=Dashboard!$C$4,I466+ROW()/10000000,""),"")</f>
        <v/>
      </c>
      <c r="O466">
        <f>IF(B466="","",IFERROR(MATCH(D466,Settings!$B$6:$B$17,0),12))</f>
        <v/>
      </c>
      <c r="P466">
        <f>IF(AND(G466="Reading",B466&lt;&gt;""),IF(H466="",TODAY(),H466)+ROW()/10000000,"")</f>
        <v/>
      </c>
      <c r="Q466">
        <f>IF(AND(N466&lt;&gt;"",N(J466)=5),N466,"")</f>
        <v/>
      </c>
    </row>
    <row r="467">
      <c r="A467" s="1" t="n"/>
      <c r="B467" s="24" t="n"/>
      <c r="C467" s="25" t="n"/>
      <c r="D467" s="25" t="n"/>
      <c r="E467" s="26" t="n"/>
      <c r="F467" s="27" t="n"/>
      <c r="G467" s="26" t="n"/>
      <c r="H467" s="28" t="n"/>
      <c r="I467" s="28" t="n"/>
      <c r="J467" s="27" t="n"/>
      <c r="K467" s="16">
        <f>IF(OR(H467="",I467=""),"",I467-H467+1)</f>
        <v/>
      </c>
      <c r="L467" s="16">
        <f>IF(OR(K467="",N(F467)=0),"",F467/K467)</f>
        <v/>
      </c>
      <c r="M467" s="25" t="n"/>
      <c r="N467" s="1">
        <f>IF(AND(G467="Finished",I467&lt;&gt;""),IF(YEAR(I467)=Dashboard!$C$4,I467+ROW()/10000000,""),"")</f>
        <v/>
      </c>
      <c r="O467">
        <f>IF(B467="","",IFERROR(MATCH(D467,Settings!$B$6:$B$17,0),12))</f>
        <v/>
      </c>
      <c r="P467">
        <f>IF(AND(G467="Reading",B467&lt;&gt;""),IF(H467="",TODAY(),H467)+ROW()/10000000,"")</f>
        <v/>
      </c>
      <c r="Q467">
        <f>IF(AND(N467&lt;&gt;"",N(J467)=5),N467,"")</f>
        <v/>
      </c>
    </row>
    <row r="468">
      <c r="A468" s="1" t="n"/>
      <c r="B468" s="24" t="n"/>
      <c r="C468" s="25" t="n"/>
      <c r="D468" s="25" t="n"/>
      <c r="E468" s="26" t="n"/>
      <c r="F468" s="27" t="n"/>
      <c r="G468" s="26" t="n"/>
      <c r="H468" s="28" t="n"/>
      <c r="I468" s="28" t="n"/>
      <c r="J468" s="27" t="n"/>
      <c r="K468" s="16">
        <f>IF(OR(H468="",I468=""),"",I468-H468+1)</f>
        <v/>
      </c>
      <c r="L468" s="16">
        <f>IF(OR(K468="",N(F468)=0),"",F468/K468)</f>
        <v/>
      </c>
      <c r="M468" s="25" t="n"/>
      <c r="N468" s="1">
        <f>IF(AND(G468="Finished",I468&lt;&gt;""),IF(YEAR(I468)=Dashboard!$C$4,I468+ROW()/10000000,""),"")</f>
        <v/>
      </c>
      <c r="O468">
        <f>IF(B468="","",IFERROR(MATCH(D468,Settings!$B$6:$B$17,0),12))</f>
        <v/>
      </c>
      <c r="P468">
        <f>IF(AND(G468="Reading",B468&lt;&gt;""),IF(H468="",TODAY(),H468)+ROW()/10000000,"")</f>
        <v/>
      </c>
      <c r="Q468">
        <f>IF(AND(N468&lt;&gt;"",N(J468)=5),N468,"")</f>
        <v/>
      </c>
    </row>
    <row r="469">
      <c r="A469" s="1" t="n"/>
      <c r="B469" s="24" t="n"/>
      <c r="C469" s="25" t="n"/>
      <c r="D469" s="25" t="n"/>
      <c r="E469" s="26" t="n"/>
      <c r="F469" s="27" t="n"/>
      <c r="G469" s="26" t="n"/>
      <c r="H469" s="28" t="n"/>
      <c r="I469" s="28" t="n"/>
      <c r="J469" s="27" t="n"/>
      <c r="K469" s="16">
        <f>IF(OR(H469="",I469=""),"",I469-H469+1)</f>
        <v/>
      </c>
      <c r="L469" s="16">
        <f>IF(OR(K469="",N(F469)=0),"",F469/K469)</f>
        <v/>
      </c>
      <c r="M469" s="25" t="n"/>
      <c r="N469" s="1">
        <f>IF(AND(G469="Finished",I469&lt;&gt;""),IF(YEAR(I469)=Dashboard!$C$4,I469+ROW()/10000000,""),"")</f>
        <v/>
      </c>
      <c r="O469">
        <f>IF(B469="","",IFERROR(MATCH(D469,Settings!$B$6:$B$17,0),12))</f>
        <v/>
      </c>
      <c r="P469">
        <f>IF(AND(G469="Reading",B469&lt;&gt;""),IF(H469="",TODAY(),H469)+ROW()/10000000,"")</f>
        <v/>
      </c>
      <c r="Q469">
        <f>IF(AND(N469&lt;&gt;"",N(J469)=5),N469,"")</f>
        <v/>
      </c>
    </row>
    <row r="470">
      <c r="A470" s="1" t="n"/>
      <c r="B470" s="24" t="n"/>
      <c r="C470" s="25" t="n"/>
      <c r="D470" s="25" t="n"/>
      <c r="E470" s="26" t="n"/>
      <c r="F470" s="27" t="n"/>
      <c r="G470" s="26" t="n"/>
      <c r="H470" s="28" t="n"/>
      <c r="I470" s="28" t="n"/>
      <c r="J470" s="27" t="n"/>
      <c r="K470" s="16">
        <f>IF(OR(H470="",I470=""),"",I470-H470+1)</f>
        <v/>
      </c>
      <c r="L470" s="16">
        <f>IF(OR(K470="",N(F470)=0),"",F470/K470)</f>
        <v/>
      </c>
      <c r="M470" s="25" t="n"/>
      <c r="N470" s="1">
        <f>IF(AND(G470="Finished",I470&lt;&gt;""),IF(YEAR(I470)=Dashboard!$C$4,I470+ROW()/10000000,""),"")</f>
        <v/>
      </c>
      <c r="O470">
        <f>IF(B470="","",IFERROR(MATCH(D470,Settings!$B$6:$B$17,0),12))</f>
        <v/>
      </c>
      <c r="P470">
        <f>IF(AND(G470="Reading",B470&lt;&gt;""),IF(H470="",TODAY(),H470)+ROW()/10000000,"")</f>
        <v/>
      </c>
      <c r="Q470">
        <f>IF(AND(N470&lt;&gt;"",N(J470)=5),N470,"")</f>
        <v/>
      </c>
    </row>
    <row r="471">
      <c r="A471" s="1" t="n"/>
      <c r="B471" s="24" t="n"/>
      <c r="C471" s="25" t="n"/>
      <c r="D471" s="25" t="n"/>
      <c r="E471" s="26" t="n"/>
      <c r="F471" s="27" t="n"/>
      <c r="G471" s="26" t="n"/>
      <c r="H471" s="28" t="n"/>
      <c r="I471" s="28" t="n"/>
      <c r="J471" s="27" t="n"/>
      <c r="K471" s="16">
        <f>IF(OR(H471="",I471=""),"",I471-H471+1)</f>
        <v/>
      </c>
      <c r="L471" s="16">
        <f>IF(OR(K471="",N(F471)=0),"",F471/K471)</f>
        <v/>
      </c>
      <c r="M471" s="25" t="n"/>
      <c r="N471" s="1">
        <f>IF(AND(G471="Finished",I471&lt;&gt;""),IF(YEAR(I471)=Dashboard!$C$4,I471+ROW()/10000000,""),"")</f>
        <v/>
      </c>
      <c r="O471">
        <f>IF(B471="","",IFERROR(MATCH(D471,Settings!$B$6:$B$17,0),12))</f>
        <v/>
      </c>
      <c r="P471">
        <f>IF(AND(G471="Reading",B471&lt;&gt;""),IF(H471="",TODAY(),H471)+ROW()/10000000,"")</f>
        <v/>
      </c>
      <c r="Q471">
        <f>IF(AND(N471&lt;&gt;"",N(J471)=5),N471,"")</f>
        <v/>
      </c>
    </row>
    <row r="472">
      <c r="A472" s="1" t="n"/>
      <c r="B472" s="24" t="n"/>
      <c r="C472" s="25" t="n"/>
      <c r="D472" s="25" t="n"/>
      <c r="E472" s="26" t="n"/>
      <c r="F472" s="27" t="n"/>
      <c r="G472" s="26" t="n"/>
      <c r="H472" s="28" t="n"/>
      <c r="I472" s="28" t="n"/>
      <c r="J472" s="27" t="n"/>
      <c r="K472" s="16">
        <f>IF(OR(H472="",I472=""),"",I472-H472+1)</f>
        <v/>
      </c>
      <c r="L472" s="16">
        <f>IF(OR(K472="",N(F472)=0),"",F472/K472)</f>
        <v/>
      </c>
      <c r="M472" s="25" t="n"/>
      <c r="N472" s="1">
        <f>IF(AND(G472="Finished",I472&lt;&gt;""),IF(YEAR(I472)=Dashboard!$C$4,I472+ROW()/10000000,""),"")</f>
        <v/>
      </c>
      <c r="O472">
        <f>IF(B472="","",IFERROR(MATCH(D472,Settings!$B$6:$B$17,0),12))</f>
        <v/>
      </c>
      <c r="P472">
        <f>IF(AND(G472="Reading",B472&lt;&gt;""),IF(H472="",TODAY(),H472)+ROW()/10000000,"")</f>
        <v/>
      </c>
      <c r="Q472">
        <f>IF(AND(N472&lt;&gt;"",N(J472)=5),N472,"")</f>
        <v/>
      </c>
    </row>
    <row r="473">
      <c r="A473" s="1" t="n"/>
      <c r="B473" s="24" t="n"/>
      <c r="C473" s="25" t="n"/>
      <c r="D473" s="25" t="n"/>
      <c r="E473" s="26" t="n"/>
      <c r="F473" s="27" t="n"/>
      <c r="G473" s="26" t="n"/>
      <c r="H473" s="28" t="n"/>
      <c r="I473" s="28" t="n"/>
      <c r="J473" s="27" t="n"/>
      <c r="K473" s="16">
        <f>IF(OR(H473="",I473=""),"",I473-H473+1)</f>
        <v/>
      </c>
      <c r="L473" s="16">
        <f>IF(OR(K473="",N(F473)=0),"",F473/K473)</f>
        <v/>
      </c>
      <c r="M473" s="25" t="n"/>
      <c r="N473" s="1">
        <f>IF(AND(G473="Finished",I473&lt;&gt;""),IF(YEAR(I473)=Dashboard!$C$4,I473+ROW()/10000000,""),"")</f>
        <v/>
      </c>
      <c r="O473">
        <f>IF(B473="","",IFERROR(MATCH(D473,Settings!$B$6:$B$17,0),12))</f>
        <v/>
      </c>
      <c r="P473">
        <f>IF(AND(G473="Reading",B473&lt;&gt;""),IF(H473="",TODAY(),H473)+ROW()/10000000,"")</f>
        <v/>
      </c>
      <c r="Q473">
        <f>IF(AND(N473&lt;&gt;"",N(J473)=5),N473,"")</f>
        <v/>
      </c>
    </row>
    <row r="474">
      <c r="A474" s="1" t="n"/>
      <c r="B474" s="24" t="n"/>
      <c r="C474" s="25" t="n"/>
      <c r="D474" s="25" t="n"/>
      <c r="E474" s="26" t="n"/>
      <c r="F474" s="27" t="n"/>
      <c r="G474" s="26" t="n"/>
      <c r="H474" s="28" t="n"/>
      <c r="I474" s="28" t="n"/>
      <c r="J474" s="27" t="n"/>
      <c r="K474" s="16">
        <f>IF(OR(H474="",I474=""),"",I474-H474+1)</f>
        <v/>
      </c>
      <c r="L474" s="16">
        <f>IF(OR(K474="",N(F474)=0),"",F474/K474)</f>
        <v/>
      </c>
      <c r="M474" s="25" t="n"/>
      <c r="N474" s="1">
        <f>IF(AND(G474="Finished",I474&lt;&gt;""),IF(YEAR(I474)=Dashboard!$C$4,I474+ROW()/10000000,""),"")</f>
        <v/>
      </c>
      <c r="O474">
        <f>IF(B474="","",IFERROR(MATCH(D474,Settings!$B$6:$B$17,0),12))</f>
        <v/>
      </c>
      <c r="P474">
        <f>IF(AND(G474="Reading",B474&lt;&gt;""),IF(H474="",TODAY(),H474)+ROW()/10000000,"")</f>
        <v/>
      </c>
      <c r="Q474">
        <f>IF(AND(N474&lt;&gt;"",N(J474)=5),N474,"")</f>
        <v/>
      </c>
    </row>
    <row r="475">
      <c r="A475" s="1" t="n"/>
      <c r="B475" s="24" t="n"/>
      <c r="C475" s="25" t="n"/>
      <c r="D475" s="25" t="n"/>
      <c r="E475" s="26" t="n"/>
      <c r="F475" s="27" t="n"/>
      <c r="G475" s="26" t="n"/>
      <c r="H475" s="28" t="n"/>
      <c r="I475" s="28" t="n"/>
      <c r="J475" s="27" t="n"/>
      <c r="K475" s="16">
        <f>IF(OR(H475="",I475=""),"",I475-H475+1)</f>
        <v/>
      </c>
      <c r="L475" s="16">
        <f>IF(OR(K475="",N(F475)=0),"",F475/K475)</f>
        <v/>
      </c>
      <c r="M475" s="25" t="n"/>
      <c r="N475" s="1">
        <f>IF(AND(G475="Finished",I475&lt;&gt;""),IF(YEAR(I475)=Dashboard!$C$4,I475+ROW()/10000000,""),"")</f>
        <v/>
      </c>
      <c r="O475">
        <f>IF(B475="","",IFERROR(MATCH(D475,Settings!$B$6:$B$17,0),12))</f>
        <v/>
      </c>
      <c r="P475">
        <f>IF(AND(G475="Reading",B475&lt;&gt;""),IF(H475="",TODAY(),H475)+ROW()/10000000,"")</f>
        <v/>
      </c>
      <c r="Q475">
        <f>IF(AND(N475&lt;&gt;"",N(J475)=5),N475,"")</f>
        <v/>
      </c>
    </row>
    <row r="476">
      <c r="A476" s="1" t="n"/>
      <c r="B476" s="24" t="n"/>
      <c r="C476" s="25" t="n"/>
      <c r="D476" s="25" t="n"/>
      <c r="E476" s="26" t="n"/>
      <c r="F476" s="27" t="n"/>
      <c r="G476" s="26" t="n"/>
      <c r="H476" s="28" t="n"/>
      <c r="I476" s="28" t="n"/>
      <c r="J476" s="27" t="n"/>
      <c r="K476" s="16">
        <f>IF(OR(H476="",I476=""),"",I476-H476+1)</f>
        <v/>
      </c>
      <c r="L476" s="16">
        <f>IF(OR(K476="",N(F476)=0),"",F476/K476)</f>
        <v/>
      </c>
      <c r="M476" s="25" t="n"/>
      <c r="N476" s="1">
        <f>IF(AND(G476="Finished",I476&lt;&gt;""),IF(YEAR(I476)=Dashboard!$C$4,I476+ROW()/10000000,""),"")</f>
        <v/>
      </c>
      <c r="O476">
        <f>IF(B476="","",IFERROR(MATCH(D476,Settings!$B$6:$B$17,0),12))</f>
        <v/>
      </c>
      <c r="P476">
        <f>IF(AND(G476="Reading",B476&lt;&gt;""),IF(H476="",TODAY(),H476)+ROW()/10000000,"")</f>
        <v/>
      </c>
      <c r="Q476">
        <f>IF(AND(N476&lt;&gt;"",N(J476)=5),N476,"")</f>
        <v/>
      </c>
    </row>
    <row r="477">
      <c r="A477" s="1" t="n"/>
      <c r="B477" s="24" t="n"/>
      <c r="C477" s="25" t="n"/>
      <c r="D477" s="25" t="n"/>
      <c r="E477" s="26" t="n"/>
      <c r="F477" s="27" t="n"/>
      <c r="G477" s="26" t="n"/>
      <c r="H477" s="28" t="n"/>
      <c r="I477" s="28" t="n"/>
      <c r="J477" s="27" t="n"/>
      <c r="K477" s="16">
        <f>IF(OR(H477="",I477=""),"",I477-H477+1)</f>
        <v/>
      </c>
      <c r="L477" s="16">
        <f>IF(OR(K477="",N(F477)=0),"",F477/K477)</f>
        <v/>
      </c>
      <c r="M477" s="25" t="n"/>
      <c r="N477" s="1">
        <f>IF(AND(G477="Finished",I477&lt;&gt;""),IF(YEAR(I477)=Dashboard!$C$4,I477+ROW()/10000000,""),"")</f>
        <v/>
      </c>
      <c r="O477">
        <f>IF(B477="","",IFERROR(MATCH(D477,Settings!$B$6:$B$17,0),12))</f>
        <v/>
      </c>
      <c r="P477">
        <f>IF(AND(G477="Reading",B477&lt;&gt;""),IF(H477="",TODAY(),H477)+ROW()/10000000,"")</f>
        <v/>
      </c>
      <c r="Q477">
        <f>IF(AND(N477&lt;&gt;"",N(J477)=5),N477,"")</f>
        <v/>
      </c>
    </row>
    <row r="478">
      <c r="A478" s="1" t="n"/>
      <c r="B478" s="24" t="n"/>
      <c r="C478" s="25" t="n"/>
      <c r="D478" s="25" t="n"/>
      <c r="E478" s="26" t="n"/>
      <c r="F478" s="27" t="n"/>
      <c r="G478" s="26" t="n"/>
      <c r="H478" s="28" t="n"/>
      <c r="I478" s="28" t="n"/>
      <c r="J478" s="27" t="n"/>
      <c r="K478" s="16">
        <f>IF(OR(H478="",I478=""),"",I478-H478+1)</f>
        <v/>
      </c>
      <c r="L478" s="16">
        <f>IF(OR(K478="",N(F478)=0),"",F478/K478)</f>
        <v/>
      </c>
      <c r="M478" s="25" t="n"/>
      <c r="N478" s="1">
        <f>IF(AND(G478="Finished",I478&lt;&gt;""),IF(YEAR(I478)=Dashboard!$C$4,I478+ROW()/10000000,""),"")</f>
        <v/>
      </c>
      <c r="O478">
        <f>IF(B478="","",IFERROR(MATCH(D478,Settings!$B$6:$B$17,0),12))</f>
        <v/>
      </c>
      <c r="P478">
        <f>IF(AND(G478="Reading",B478&lt;&gt;""),IF(H478="",TODAY(),H478)+ROW()/10000000,"")</f>
        <v/>
      </c>
      <c r="Q478">
        <f>IF(AND(N478&lt;&gt;"",N(J478)=5),N478,"")</f>
        <v/>
      </c>
    </row>
    <row r="479">
      <c r="A479" s="1" t="n"/>
      <c r="B479" s="24" t="n"/>
      <c r="C479" s="25" t="n"/>
      <c r="D479" s="25" t="n"/>
      <c r="E479" s="26" t="n"/>
      <c r="F479" s="27" t="n"/>
      <c r="G479" s="26" t="n"/>
      <c r="H479" s="28" t="n"/>
      <c r="I479" s="28" t="n"/>
      <c r="J479" s="27" t="n"/>
      <c r="K479" s="16">
        <f>IF(OR(H479="",I479=""),"",I479-H479+1)</f>
        <v/>
      </c>
      <c r="L479" s="16">
        <f>IF(OR(K479="",N(F479)=0),"",F479/K479)</f>
        <v/>
      </c>
      <c r="M479" s="25" t="n"/>
      <c r="N479" s="1">
        <f>IF(AND(G479="Finished",I479&lt;&gt;""),IF(YEAR(I479)=Dashboard!$C$4,I479+ROW()/10000000,""),"")</f>
        <v/>
      </c>
      <c r="O479">
        <f>IF(B479="","",IFERROR(MATCH(D479,Settings!$B$6:$B$17,0),12))</f>
        <v/>
      </c>
      <c r="P479">
        <f>IF(AND(G479="Reading",B479&lt;&gt;""),IF(H479="",TODAY(),H479)+ROW()/10000000,"")</f>
        <v/>
      </c>
      <c r="Q479">
        <f>IF(AND(N479&lt;&gt;"",N(J479)=5),N479,"")</f>
        <v/>
      </c>
    </row>
    <row r="480">
      <c r="A480" s="1" t="n"/>
      <c r="B480" s="24" t="n"/>
      <c r="C480" s="25" t="n"/>
      <c r="D480" s="25" t="n"/>
      <c r="E480" s="26" t="n"/>
      <c r="F480" s="27" t="n"/>
      <c r="G480" s="26" t="n"/>
      <c r="H480" s="28" t="n"/>
      <c r="I480" s="28" t="n"/>
      <c r="J480" s="27" t="n"/>
      <c r="K480" s="16">
        <f>IF(OR(H480="",I480=""),"",I480-H480+1)</f>
        <v/>
      </c>
      <c r="L480" s="16">
        <f>IF(OR(K480="",N(F480)=0),"",F480/K480)</f>
        <v/>
      </c>
      <c r="M480" s="25" t="n"/>
      <c r="N480" s="1">
        <f>IF(AND(G480="Finished",I480&lt;&gt;""),IF(YEAR(I480)=Dashboard!$C$4,I480+ROW()/10000000,""),"")</f>
        <v/>
      </c>
      <c r="O480">
        <f>IF(B480="","",IFERROR(MATCH(D480,Settings!$B$6:$B$17,0),12))</f>
        <v/>
      </c>
      <c r="P480">
        <f>IF(AND(G480="Reading",B480&lt;&gt;""),IF(H480="",TODAY(),H480)+ROW()/10000000,"")</f>
        <v/>
      </c>
      <c r="Q480">
        <f>IF(AND(N480&lt;&gt;"",N(J480)=5),N480,"")</f>
        <v/>
      </c>
    </row>
    <row r="481">
      <c r="A481" s="1" t="n"/>
      <c r="B481" s="24" t="n"/>
      <c r="C481" s="25" t="n"/>
      <c r="D481" s="25" t="n"/>
      <c r="E481" s="26" t="n"/>
      <c r="F481" s="27" t="n"/>
      <c r="G481" s="26" t="n"/>
      <c r="H481" s="28" t="n"/>
      <c r="I481" s="28" t="n"/>
      <c r="J481" s="27" t="n"/>
      <c r="K481" s="16">
        <f>IF(OR(H481="",I481=""),"",I481-H481+1)</f>
        <v/>
      </c>
      <c r="L481" s="16">
        <f>IF(OR(K481="",N(F481)=0),"",F481/K481)</f>
        <v/>
      </c>
      <c r="M481" s="25" t="n"/>
      <c r="N481" s="1">
        <f>IF(AND(G481="Finished",I481&lt;&gt;""),IF(YEAR(I481)=Dashboard!$C$4,I481+ROW()/10000000,""),"")</f>
        <v/>
      </c>
      <c r="O481">
        <f>IF(B481="","",IFERROR(MATCH(D481,Settings!$B$6:$B$17,0),12))</f>
        <v/>
      </c>
      <c r="P481">
        <f>IF(AND(G481="Reading",B481&lt;&gt;""),IF(H481="",TODAY(),H481)+ROW()/10000000,"")</f>
        <v/>
      </c>
      <c r="Q481">
        <f>IF(AND(N481&lt;&gt;"",N(J481)=5),N481,"")</f>
        <v/>
      </c>
    </row>
    <row r="482">
      <c r="A482" s="1" t="n"/>
      <c r="B482" s="24" t="n"/>
      <c r="C482" s="25" t="n"/>
      <c r="D482" s="25" t="n"/>
      <c r="E482" s="26" t="n"/>
      <c r="F482" s="27" t="n"/>
      <c r="G482" s="26" t="n"/>
      <c r="H482" s="28" t="n"/>
      <c r="I482" s="28" t="n"/>
      <c r="J482" s="27" t="n"/>
      <c r="K482" s="16">
        <f>IF(OR(H482="",I482=""),"",I482-H482+1)</f>
        <v/>
      </c>
      <c r="L482" s="16">
        <f>IF(OR(K482="",N(F482)=0),"",F482/K482)</f>
        <v/>
      </c>
      <c r="M482" s="25" t="n"/>
      <c r="N482" s="1">
        <f>IF(AND(G482="Finished",I482&lt;&gt;""),IF(YEAR(I482)=Dashboard!$C$4,I482+ROW()/10000000,""),"")</f>
        <v/>
      </c>
      <c r="O482">
        <f>IF(B482="","",IFERROR(MATCH(D482,Settings!$B$6:$B$17,0),12))</f>
        <v/>
      </c>
      <c r="P482">
        <f>IF(AND(G482="Reading",B482&lt;&gt;""),IF(H482="",TODAY(),H482)+ROW()/10000000,"")</f>
        <v/>
      </c>
      <c r="Q482">
        <f>IF(AND(N482&lt;&gt;"",N(J482)=5),N482,"")</f>
        <v/>
      </c>
    </row>
    <row r="483">
      <c r="A483" s="1" t="n"/>
      <c r="B483" s="24" t="n"/>
      <c r="C483" s="25" t="n"/>
      <c r="D483" s="25" t="n"/>
      <c r="E483" s="26" t="n"/>
      <c r="F483" s="27" t="n"/>
      <c r="G483" s="26" t="n"/>
      <c r="H483" s="28" t="n"/>
      <c r="I483" s="28" t="n"/>
      <c r="J483" s="27" t="n"/>
      <c r="K483" s="16">
        <f>IF(OR(H483="",I483=""),"",I483-H483+1)</f>
        <v/>
      </c>
      <c r="L483" s="16">
        <f>IF(OR(K483="",N(F483)=0),"",F483/K483)</f>
        <v/>
      </c>
      <c r="M483" s="25" t="n"/>
      <c r="N483" s="1">
        <f>IF(AND(G483="Finished",I483&lt;&gt;""),IF(YEAR(I483)=Dashboard!$C$4,I483+ROW()/10000000,""),"")</f>
        <v/>
      </c>
      <c r="O483">
        <f>IF(B483="","",IFERROR(MATCH(D483,Settings!$B$6:$B$17,0),12))</f>
        <v/>
      </c>
      <c r="P483">
        <f>IF(AND(G483="Reading",B483&lt;&gt;""),IF(H483="",TODAY(),H483)+ROW()/10000000,"")</f>
        <v/>
      </c>
      <c r="Q483">
        <f>IF(AND(N483&lt;&gt;"",N(J483)=5),N483,"")</f>
        <v/>
      </c>
    </row>
    <row r="484">
      <c r="A484" s="1" t="n"/>
      <c r="B484" s="24" t="n"/>
      <c r="C484" s="25" t="n"/>
      <c r="D484" s="25" t="n"/>
      <c r="E484" s="26" t="n"/>
      <c r="F484" s="27" t="n"/>
      <c r="G484" s="26" t="n"/>
      <c r="H484" s="28" t="n"/>
      <c r="I484" s="28" t="n"/>
      <c r="J484" s="27" t="n"/>
      <c r="K484" s="16">
        <f>IF(OR(H484="",I484=""),"",I484-H484+1)</f>
        <v/>
      </c>
      <c r="L484" s="16">
        <f>IF(OR(K484="",N(F484)=0),"",F484/K484)</f>
        <v/>
      </c>
      <c r="M484" s="25" t="n"/>
      <c r="N484" s="1">
        <f>IF(AND(G484="Finished",I484&lt;&gt;""),IF(YEAR(I484)=Dashboard!$C$4,I484+ROW()/10000000,""),"")</f>
        <v/>
      </c>
      <c r="O484">
        <f>IF(B484="","",IFERROR(MATCH(D484,Settings!$B$6:$B$17,0),12))</f>
        <v/>
      </c>
      <c r="P484">
        <f>IF(AND(G484="Reading",B484&lt;&gt;""),IF(H484="",TODAY(),H484)+ROW()/10000000,"")</f>
        <v/>
      </c>
      <c r="Q484">
        <f>IF(AND(N484&lt;&gt;"",N(J484)=5),N484,"")</f>
        <v/>
      </c>
    </row>
    <row r="485">
      <c r="A485" s="1" t="n"/>
      <c r="B485" s="24" t="n"/>
      <c r="C485" s="25" t="n"/>
      <c r="D485" s="25" t="n"/>
      <c r="E485" s="26" t="n"/>
      <c r="F485" s="27" t="n"/>
      <c r="G485" s="26" t="n"/>
      <c r="H485" s="28" t="n"/>
      <c r="I485" s="28" t="n"/>
      <c r="J485" s="27" t="n"/>
      <c r="K485" s="16">
        <f>IF(OR(H485="",I485=""),"",I485-H485+1)</f>
        <v/>
      </c>
      <c r="L485" s="16">
        <f>IF(OR(K485="",N(F485)=0),"",F485/K485)</f>
        <v/>
      </c>
      <c r="M485" s="25" t="n"/>
      <c r="N485" s="1">
        <f>IF(AND(G485="Finished",I485&lt;&gt;""),IF(YEAR(I485)=Dashboard!$C$4,I485+ROW()/10000000,""),"")</f>
        <v/>
      </c>
      <c r="O485">
        <f>IF(B485="","",IFERROR(MATCH(D485,Settings!$B$6:$B$17,0),12))</f>
        <v/>
      </c>
      <c r="P485">
        <f>IF(AND(G485="Reading",B485&lt;&gt;""),IF(H485="",TODAY(),H485)+ROW()/10000000,"")</f>
        <v/>
      </c>
      <c r="Q485">
        <f>IF(AND(N485&lt;&gt;"",N(J485)=5),N485,"")</f>
        <v/>
      </c>
    </row>
    <row r="486">
      <c r="A486" s="1" t="n"/>
      <c r="B486" s="24" t="n"/>
      <c r="C486" s="25" t="n"/>
      <c r="D486" s="25" t="n"/>
      <c r="E486" s="26" t="n"/>
      <c r="F486" s="27" t="n"/>
      <c r="G486" s="26" t="n"/>
      <c r="H486" s="28" t="n"/>
      <c r="I486" s="28" t="n"/>
      <c r="J486" s="27" t="n"/>
      <c r="K486" s="16">
        <f>IF(OR(H486="",I486=""),"",I486-H486+1)</f>
        <v/>
      </c>
      <c r="L486" s="16">
        <f>IF(OR(K486="",N(F486)=0),"",F486/K486)</f>
        <v/>
      </c>
      <c r="M486" s="25" t="n"/>
      <c r="N486" s="1">
        <f>IF(AND(G486="Finished",I486&lt;&gt;""),IF(YEAR(I486)=Dashboard!$C$4,I486+ROW()/10000000,""),"")</f>
        <v/>
      </c>
      <c r="O486">
        <f>IF(B486="","",IFERROR(MATCH(D486,Settings!$B$6:$B$17,0),12))</f>
        <v/>
      </c>
      <c r="P486">
        <f>IF(AND(G486="Reading",B486&lt;&gt;""),IF(H486="",TODAY(),H486)+ROW()/10000000,"")</f>
        <v/>
      </c>
      <c r="Q486">
        <f>IF(AND(N486&lt;&gt;"",N(J486)=5),N486,"")</f>
        <v/>
      </c>
    </row>
    <row r="487">
      <c r="A487" s="1" t="n"/>
      <c r="B487" s="24" t="n"/>
      <c r="C487" s="25" t="n"/>
      <c r="D487" s="25" t="n"/>
      <c r="E487" s="26" t="n"/>
      <c r="F487" s="27" t="n"/>
      <c r="G487" s="26" t="n"/>
      <c r="H487" s="28" t="n"/>
      <c r="I487" s="28" t="n"/>
      <c r="J487" s="27" t="n"/>
      <c r="K487" s="16">
        <f>IF(OR(H487="",I487=""),"",I487-H487+1)</f>
        <v/>
      </c>
      <c r="L487" s="16">
        <f>IF(OR(K487="",N(F487)=0),"",F487/K487)</f>
        <v/>
      </c>
      <c r="M487" s="25" t="n"/>
      <c r="N487" s="1">
        <f>IF(AND(G487="Finished",I487&lt;&gt;""),IF(YEAR(I487)=Dashboard!$C$4,I487+ROW()/10000000,""),"")</f>
        <v/>
      </c>
      <c r="O487">
        <f>IF(B487="","",IFERROR(MATCH(D487,Settings!$B$6:$B$17,0),12))</f>
        <v/>
      </c>
      <c r="P487">
        <f>IF(AND(G487="Reading",B487&lt;&gt;""),IF(H487="",TODAY(),H487)+ROW()/10000000,"")</f>
        <v/>
      </c>
      <c r="Q487">
        <f>IF(AND(N487&lt;&gt;"",N(J487)=5),N487,"")</f>
        <v/>
      </c>
    </row>
    <row r="488">
      <c r="A488" s="1" t="n"/>
      <c r="B488" s="24" t="n"/>
      <c r="C488" s="25" t="n"/>
      <c r="D488" s="25" t="n"/>
      <c r="E488" s="26" t="n"/>
      <c r="F488" s="27" t="n"/>
      <c r="G488" s="26" t="n"/>
      <c r="H488" s="28" t="n"/>
      <c r="I488" s="28" t="n"/>
      <c r="J488" s="27" t="n"/>
      <c r="K488" s="16">
        <f>IF(OR(H488="",I488=""),"",I488-H488+1)</f>
        <v/>
      </c>
      <c r="L488" s="16">
        <f>IF(OR(K488="",N(F488)=0),"",F488/K488)</f>
        <v/>
      </c>
      <c r="M488" s="25" t="n"/>
      <c r="N488" s="1">
        <f>IF(AND(G488="Finished",I488&lt;&gt;""),IF(YEAR(I488)=Dashboard!$C$4,I488+ROW()/10000000,""),"")</f>
        <v/>
      </c>
      <c r="O488">
        <f>IF(B488="","",IFERROR(MATCH(D488,Settings!$B$6:$B$17,0),12))</f>
        <v/>
      </c>
      <c r="P488">
        <f>IF(AND(G488="Reading",B488&lt;&gt;""),IF(H488="",TODAY(),H488)+ROW()/10000000,"")</f>
        <v/>
      </c>
      <c r="Q488">
        <f>IF(AND(N488&lt;&gt;"",N(J488)=5),N488,"")</f>
        <v/>
      </c>
    </row>
    <row r="489">
      <c r="A489" s="1" t="n"/>
      <c r="B489" s="24" t="n"/>
      <c r="C489" s="25" t="n"/>
      <c r="D489" s="25" t="n"/>
      <c r="E489" s="26" t="n"/>
      <c r="F489" s="27" t="n"/>
      <c r="G489" s="26" t="n"/>
      <c r="H489" s="28" t="n"/>
      <c r="I489" s="28" t="n"/>
      <c r="J489" s="27" t="n"/>
      <c r="K489" s="16">
        <f>IF(OR(H489="",I489=""),"",I489-H489+1)</f>
        <v/>
      </c>
      <c r="L489" s="16">
        <f>IF(OR(K489="",N(F489)=0),"",F489/K489)</f>
        <v/>
      </c>
      <c r="M489" s="25" t="n"/>
      <c r="N489" s="1">
        <f>IF(AND(G489="Finished",I489&lt;&gt;""),IF(YEAR(I489)=Dashboard!$C$4,I489+ROW()/10000000,""),"")</f>
        <v/>
      </c>
      <c r="O489">
        <f>IF(B489="","",IFERROR(MATCH(D489,Settings!$B$6:$B$17,0),12))</f>
        <v/>
      </c>
      <c r="P489">
        <f>IF(AND(G489="Reading",B489&lt;&gt;""),IF(H489="",TODAY(),H489)+ROW()/10000000,"")</f>
        <v/>
      </c>
      <c r="Q489">
        <f>IF(AND(N489&lt;&gt;"",N(J489)=5),N489,"")</f>
        <v/>
      </c>
    </row>
    <row r="490">
      <c r="A490" s="1" t="n"/>
      <c r="B490" s="24" t="n"/>
      <c r="C490" s="25" t="n"/>
      <c r="D490" s="25" t="n"/>
      <c r="E490" s="26" t="n"/>
      <c r="F490" s="27" t="n"/>
      <c r="G490" s="26" t="n"/>
      <c r="H490" s="28" t="n"/>
      <c r="I490" s="28" t="n"/>
      <c r="J490" s="27" t="n"/>
      <c r="K490" s="16">
        <f>IF(OR(H490="",I490=""),"",I490-H490+1)</f>
        <v/>
      </c>
      <c r="L490" s="16">
        <f>IF(OR(K490="",N(F490)=0),"",F490/K490)</f>
        <v/>
      </c>
      <c r="M490" s="25" t="n"/>
      <c r="N490" s="1">
        <f>IF(AND(G490="Finished",I490&lt;&gt;""),IF(YEAR(I490)=Dashboard!$C$4,I490+ROW()/10000000,""),"")</f>
        <v/>
      </c>
      <c r="O490">
        <f>IF(B490="","",IFERROR(MATCH(D490,Settings!$B$6:$B$17,0),12))</f>
        <v/>
      </c>
      <c r="P490">
        <f>IF(AND(G490="Reading",B490&lt;&gt;""),IF(H490="",TODAY(),H490)+ROW()/10000000,"")</f>
        <v/>
      </c>
      <c r="Q490">
        <f>IF(AND(N490&lt;&gt;"",N(J490)=5),N490,"")</f>
        <v/>
      </c>
    </row>
    <row r="491">
      <c r="A491" s="1" t="n"/>
      <c r="B491" s="24" t="n"/>
      <c r="C491" s="25" t="n"/>
      <c r="D491" s="25" t="n"/>
      <c r="E491" s="26" t="n"/>
      <c r="F491" s="27" t="n"/>
      <c r="G491" s="26" t="n"/>
      <c r="H491" s="28" t="n"/>
      <c r="I491" s="28" t="n"/>
      <c r="J491" s="27" t="n"/>
      <c r="K491" s="16">
        <f>IF(OR(H491="",I491=""),"",I491-H491+1)</f>
        <v/>
      </c>
      <c r="L491" s="16">
        <f>IF(OR(K491="",N(F491)=0),"",F491/K491)</f>
        <v/>
      </c>
      <c r="M491" s="25" t="n"/>
      <c r="N491" s="1">
        <f>IF(AND(G491="Finished",I491&lt;&gt;""),IF(YEAR(I491)=Dashboard!$C$4,I491+ROW()/10000000,""),"")</f>
        <v/>
      </c>
      <c r="O491">
        <f>IF(B491="","",IFERROR(MATCH(D491,Settings!$B$6:$B$17,0),12))</f>
        <v/>
      </c>
      <c r="P491">
        <f>IF(AND(G491="Reading",B491&lt;&gt;""),IF(H491="",TODAY(),H491)+ROW()/10000000,"")</f>
        <v/>
      </c>
      <c r="Q491">
        <f>IF(AND(N491&lt;&gt;"",N(J491)=5),N491,"")</f>
        <v/>
      </c>
    </row>
    <row r="492">
      <c r="A492" s="1" t="n"/>
      <c r="B492" s="24" t="n"/>
      <c r="C492" s="25" t="n"/>
      <c r="D492" s="25" t="n"/>
      <c r="E492" s="26" t="n"/>
      <c r="F492" s="27" t="n"/>
      <c r="G492" s="26" t="n"/>
      <c r="H492" s="28" t="n"/>
      <c r="I492" s="28" t="n"/>
      <c r="J492" s="27" t="n"/>
      <c r="K492" s="16">
        <f>IF(OR(H492="",I492=""),"",I492-H492+1)</f>
        <v/>
      </c>
      <c r="L492" s="16">
        <f>IF(OR(K492="",N(F492)=0),"",F492/K492)</f>
        <v/>
      </c>
      <c r="M492" s="25" t="n"/>
      <c r="N492" s="1">
        <f>IF(AND(G492="Finished",I492&lt;&gt;""),IF(YEAR(I492)=Dashboard!$C$4,I492+ROW()/10000000,""),"")</f>
        <v/>
      </c>
      <c r="O492">
        <f>IF(B492="","",IFERROR(MATCH(D492,Settings!$B$6:$B$17,0),12))</f>
        <v/>
      </c>
      <c r="P492">
        <f>IF(AND(G492="Reading",B492&lt;&gt;""),IF(H492="",TODAY(),H492)+ROW()/10000000,"")</f>
        <v/>
      </c>
      <c r="Q492">
        <f>IF(AND(N492&lt;&gt;"",N(J492)=5),N492,"")</f>
        <v/>
      </c>
    </row>
    <row r="493">
      <c r="A493" s="1" t="n"/>
      <c r="B493" s="24" t="n"/>
      <c r="C493" s="25" t="n"/>
      <c r="D493" s="25" t="n"/>
      <c r="E493" s="26" t="n"/>
      <c r="F493" s="27" t="n"/>
      <c r="G493" s="26" t="n"/>
      <c r="H493" s="28" t="n"/>
      <c r="I493" s="28" t="n"/>
      <c r="J493" s="27" t="n"/>
      <c r="K493" s="16">
        <f>IF(OR(H493="",I493=""),"",I493-H493+1)</f>
        <v/>
      </c>
      <c r="L493" s="16">
        <f>IF(OR(K493="",N(F493)=0),"",F493/K493)</f>
        <v/>
      </c>
      <c r="M493" s="25" t="n"/>
      <c r="N493" s="1">
        <f>IF(AND(G493="Finished",I493&lt;&gt;""),IF(YEAR(I493)=Dashboard!$C$4,I493+ROW()/10000000,""),"")</f>
        <v/>
      </c>
      <c r="O493">
        <f>IF(B493="","",IFERROR(MATCH(D493,Settings!$B$6:$B$17,0),12))</f>
        <v/>
      </c>
      <c r="P493">
        <f>IF(AND(G493="Reading",B493&lt;&gt;""),IF(H493="",TODAY(),H493)+ROW()/10000000,"")</f>
        <v/>
      </c>
      <c r="Q493">
        <f>IF(AND(N493&lt;&gt;"",N(J493)=5),N493,"")</f>
        <v/>
      </c>
    </row>
    <row r="494">
      <c r="A494" s="1" t="n"/>
      <c r="B494" s="24" t="n"/>
      <c r="C494" s="25" t="n"/>
      <c r="D494" s="25" t="n"/>
      <c r="E494" s="26" t="n"/>
      <c r="F494" s="27" t="n"/>
      <c r="G494" s="26" t="n"/>
      <c r="H494" s="28" t="n"/>
      <c r="I494" s="28" t="n"/>
      <c r="J494" s="27" t="n"/>
      <c r="K494" s="16">
        <f>IF(OR(H494="",I494=""),"",I494-H494+1)</f>
        <v/>
      </c>
      <c r="L494" s="16">
        <f>IF(OR(K494="",N(F494)=0),"",F494/K494)</f>
        <v/>
      </c>
      <c r="M494" s="25" t="n"/>
      <c r="N494" s="1">
        <f>IF(AND(G494="Finished",I494&lt;&gt;""),IF(YEAR(I494)=Dashboard!$C$4,I494+ROW()/10000000,""),"")</f>
        <v/>
      </c>
      <c r="O494">
        <f>IF(B494="","",IFERROR(MATCH(D494,Settings!$B$6:$B$17,0),12))</f>
        <v/>
      </c>
      <c r="P494">
        <f>IF(AND(G494="Reading",B494&lt;&gt;""),IF(H494="",TODAY(),H494)+ROW()/10000000,"")</f>
        <v/>
      </c>
      <c r="Q494">
        <f>IF(AND(N494&lt;&gt;"",N(J494)=5),N494,"")</f>
        <v/>
      </c>
    </row>
    <row r="495">
      <c r="A495" s="1" t="n"/>
      <c r="B495" s="24" t="n"/>
      <c r="C495" s="25" t="n"/>
      <c r="D495" s="25" t="n"/>
      <c r="E495" s="26" t="n"/>
      <c r="F495" s="27" t="n"/>
      <c r="G495" s="26" t="n"/>
      <c r="H495" s="28" t="n"/>
      <c r="I495" s="28" t="n"/>
      <c r="J495" s="27" t="n"/>
      <c r="K495" s="16">
        <f>IF(OR(H495="",I495=""),"",I495-H495+1)</f>
        <v/>
      </c>
      <c r="L495" s="16">
        <f>IF(OR(K495="",N(F495)=0),"",F495/K495)</f>
        <v/>
      </c>
      <c r="M495" s="25" t="n"/>
      <c r="N495" s="1">
        <f>IF(AND(G495="Finished",I495&lt;&gt;""),IF(YEAR(I495)=Dashboard!$C$4,I495+ROW()/10000000,""),"")</f>
        <v/>
      </c>
      <c r="O495">
        <f>IF(B495="","",IFERROR(MATCH(D495,Settings!$B$6:$B$17,0),12))</f>
        <v/>
      </c>
      <c r="P495">
        <f>IF(AND(G495="Reading",B495&lt;&gt;""),IF(H495="",TODAY(),H495)+ROW()/10000000,"")</f>
        <v/>
      </c>
      <c r="Q495">
        <f>IF(AND(N495&lt;&gt;"",N(J495)=5),N495,"")</f>
        <v/>
      </c>
    </row>
    <row r="496">
      <c r="A496" s="1" t="n"/>
      <c r="B496" s="24" t="n"/>
      <c r="C496" s="25" t="n"/>
      <c r="D496" s="25" t="n"/>
      <c r="E496" s="26" t="n"/>
      <c r="F496" s="27" t="n"/>
      <c r="G496" s="26" t="n"/>
      <c r="H496" s="28" t="n"/>
      <c r="I496" s="28" t="n"/>
      <c r="J496" s="27" t="n"/>
      <c r="K496" s="16">
        <f>IF(OR(H496="",I496=""),"",I496-H496+1)</f>
        <v/>
      </c>
      <c r="L496" s="16">
        <f>IF(OR(K496="",N(F496)=0),"",F496/K496)</f>
        <v/>
      </c>
      <c r="M496" s="25" t="n"/>
      <c r="N496" s="1">
        <f>IF(AND(G496="Finished",I496&lt;&gt;""),IF(YEAR(I496)=Dashboard!$C$4,I496+ROW()/10000000,""),"")</f>
        <v/>
      </c>
      <c r="O496">
        <f>IF(B496="","",IFERROR(MATCH(D496,Settings!$B$6:$B$17,0),12))</f>
        <v/>
      </c>
      <c r="P496">
        <f>IF(AND(G496="Reading",B496&lt;&gt;""),IF(H496="",TODAY(),H496)+ROW()/10000000,"")</f>
        <v/>
      </c>
      <c r="Q496">
        <f>IF(AND(N496&lt;&gt;"",N(J496)=5),N496,"")</f>
        <v/>
      </c>
    </row>
    <row r="497">
      <c r="A497" s="1" t="n"/>
      <c r="B497" s="24" t="n"/>
      <c r="C497" s="25" t="n"/>
      <c r="D497" s="25" t="n"/>
      <c r="E497" s="26" t="n"/>
      <c r="F497" s="27" t="n"/>
      <c r="G497" s="26" t="n"/>
      <c r="H497" s="28" t="n"/>
      <c r="I497" s="28" t="n"/>
      <c r="J497" s="27" t="n"/>
      <c r="K497" s="16">
        <f>IF(OR(H497="",I497=""),"",I497-H497+1)</f>
        <v/>
      </c>
      <c r="L497" s="16">
        <f>IF(OR(K497="",N(F497)=0),"",F497/K497)</f>
        <v/>
      </c>
      <c r="M497" s="25" t="n"/>
      <c r="N497" s="1">
        <f>IF(AND(G497="Finished",I497&lt;&gt;""),IF(YEAR(I497)=Dashboard!$C$4,I497+ROW()/10000000,""),"")</f>
        <v/>
      </c>
      <c r="O497">
        <f>IF(B497="","",IFERROR(MATCH(D497,Settings!$B$6:$B$17,0),12))</f>
        <v/>
      </c>
      <c r="P497">
        <f>IF(AND(G497="Reading",B497&lt;&gt;""),IF(H497="",TODAY(),H497)+ROW()/10000000,"")</f>
        <v/>
      </c>
      <c r="Q497">
        <f>IF(AND(N497&lt;&gt;"",N(J497)=5),N497,"")</f>
        <v/>
      </c>
    </row>
    <row r="498">
      <c r="A498" s="1" t="n"/>
      <c r="B498" s="24" t="n"/>
      <c r="C498" s="25" t="n"/>
      <c r="D498" s="25" t="n"/>
      <c r="E498" s="26" t="n"/>
      <c r="F498" s="27" t="n"/>
      <c r="G498" s="26" t="n"/>
      <c r="H498" s="28" t="n"/>
      <c r="I498" s="28" t="n"/>
      <c r="J498" s="27" t="n"/>
      <c r="K498" s="16">
        <f>IF(OR(H498="",I498=""),"",I498-H498+1)</f>
        <v/>
      </c>
      <c r="L498" s="16">
        <f>IF(OR(K498="",N(F498)=0),"",F498/K498)</f>
        <v/>
      </c>
      <c r="M498" s="25" t="n"/>
      <c r="N498" s="1">
        <f>IF(AND(G498="Finished",I498&lt;&gt;""),IF(YEAR(I498)=Dashboard!$C$4,I498+ROW()/10000000,""),"")</f>
        <v/>
      </c>
      <c r="O498">
        <f>IF(B498="","",IFERROR(MATCH(D498,Settings!$B$6:$B$17,0),12))</f>
        <v/>
      </c>
      <c r="P498">
        <f>IF(AND(G498="Reading",B498&lt;&gt;""),IF(H498="",TODAY(),H498)+ROW()/10000000,"")</f>
        <v/>
      </c>
      <c r="Q498">
        <f>IF(AND(N498&lt;&gt;"",N(J498)=5),N498,"")</f>
        <v/>
      </c>
    </row>
    <row r="499">
      <c r="A499" s="1" t="n"/>
      <c r="B499" s="24" t="n"/>
      <c r="C499" s="25" t="n"/>
      <c r="D499" s="25" t="n"/>
      <c r="E499" s="26" t="n"/>
      <c r="F499" s="27" t="n"/>
      <c r="G499" s="26" t="n"/>
      <c r="H499" s="28" t="n"/>
      <c r="I499" s="28" t="n"/>
      <c r="J499" s="27" t="n"/>
      <c r="K499" s="16">
        <f>IF(OR(H499="",I499=""),"",I499-H499+1)</f>
        <v/>
      </c>
      <c r="L499" s="16">
        <f>IF(OR(K499="",N(F499)=0),"",F499/K499)</f>
        <v/>
      </c>
      <c r="M499" s="25" t="n"/>
      <c r="N499" s="1">
        <f>IF(AND(G499="Finished",I499&lt;&gt;""),IF(YEAR(I499)=Dashboard!$C$4,I499+ROW()/10000000,""),"")</f>
        <v/>
      </c>
      <c r="O499">
        <f>IF(B499="","",IFERROR(MATCH(D499,Settings!$B$6:$B$17,0),12))</f>
        <v/>
      </c>
      <c r="P499">
        <f>IF(AND(G499="Reading",B499&lt;&gt;""),IF(H499="",TODAY(),H499)+ROW()/10000000,"")</f>
        <v/>
      </c>
      <c r="Q499">
        <f>IF(AND(N499&lt;&gt;"",N(J499)=5),N499,"")</f>
        <v/>
      </c>
    </row>
    <row r="500">
      <c r="A500" s="1" t="n"/>
      <c r="B500" s="24" t="n"/>
      <c r="C500" s="25" t="n"/>
      <c r="D500" s="25" t="n"/>
      <c r="E500" s="26" t="n"/>
      <c r="F500" s="27" t="n"/>
      <c r="G500" s="26" t="n"/>
      <c r="H500" s="28" t="n"/>
      <c r="I500" s="28" t="n"/>
      <c r="J500" s="27" t="n"/>
      <c r="K500" s="16">
        <f>IF(OR(H500="",I500=""),"",I500-H500+1)</f>
        <v/>
      </c>
      <c r="L500" s="16">
        <f>IF(OR(K500="",N(F500)=0),"",F500/K500)</f>
        <v/>
      </c>
      <c r="M500" s="25" t="n"/>
      <c r="N500" s="1">
        <f>IF(AND(G500="Finished",I500&lt;&gt;""),IF(YEAR(I500)=Dashboard!$C$4,I500+ROW()/10000000,""),"")</f>
        <v/>
      </c>
      <c r="O500">
        <f>IF(B500="","",IFERROR(MATCH(D500,Settings!$B$6:$B$17,0),12))</f>
        <v/>
      </c>
      <c r="P500">
        <f>IF(AND(G500="Reading",B500&lt;&gt;""),IF(H500="",TODAY(),H500)+ROW()/10000000,"")</f>
        <v/>
      </c>
      <c r="Q500">
        <f>IF(AND(N500&lt;&gt;"",N(J500)=5),N500,"")</f>
        <v/>
      </c>
    </row>
    <row r="501">
      <c r="A501" s="1" t="n"/>
      <c r="B501" s="24" t="n"/>
      <c r="C501" s="25" t="n"/>
      <c r="D501" s="25" t="n"/>
      <c r="E501" s="26" t="n"/>
      <c r="F501" s="27" t="n"/>
      <c r="G501" s="26" t="n"/>
      <c r="H501" s="28" t="n"/>
      <c r="I501" s="28" t="n"/>
      <c r="J501" s="27" t="n"/>
      <c r="K501" s="16">
        <f>IF(OR(H501="",I501=""),"",I501-H501+1)</f>
        <v/>
      </c>
      <c r="L501" s="16">
        <f>IF(OR(K501="",N(F501)=0),"",F501/K501)</f>
        <v/>
      </c>
      <c r="M501" s="25" t="n"/>
      <c r="N501" s="1">
        <f>IF(AND(G501="Finished",I501&lt;&gt;""),IF(YEAR(I501)=Dashboard!$C$4,I501+ROW()/10000000,""),"")</f>
        <v/>
      </c>
      <c r="O501">
        <f>IF(B501="","",IFERROR(MATCH(D501,Settings!$B$6:$B$17,0),12))</f>
        <v/>
      </c>
      <c r="P501">
        <f>IF(AND(G501="Reading",B501&lt;&gt;""),IF(H501="",TODAY(),H501)+ROW()/10000000,"")</f>
        <v/>
      </c>
      <c r="Q501">
        <f>IF(AND(N501&lt;&gt;"",N(J501)=5),N501,"")</f>
        <v/>
      </c>
    </row>
    <row r="502">
      <c r="A502" s="1" t="n"/>
      <c r="B502" s="24" t="n"/>
      <c r="C502" s="25" t="n"/>
      <c r="D502" s="25" t="n"/>
      <c r="E502" s="26" t="n"/>
      <c r="F502" s="27" t="n"/>
      <c r="G502" s="26" t="n"/>
      <c r="H502" s="28" t="n"/>
      <c r="I502" s="28" t="n"/>
      <c r="J502" s="27" t="n"/>
      <c r="K502" s="16">
        <f>IF(OR(H502="",I502=""),"",I502-H502+1)</f>
        <v/>
      </c>
      <c r="L502" s="16">
        <f>IF(OR(K502="",N(F502)=0),"",F502/K502)</f>
        <v/>
      </c>
      <c r="M502" s="25" t="n"/>
      <c r="N502" s="1">
        <f>IF(AND(G502="Finished",I502&lt;&gt;""),IF(YEAR(I502)=Dashboard!$C$4,I502+ROW()/10000000,""),"")</f>
        <v/>
      </c>
      <c r="O502">
        <f>IF(B502="","",IFERROR(MATCH(D502,Settings!$B$6:$B$17,0),12))</f>
        <v/>
      </c>
      <c r="P502">
        <f>IF(AND(G502="Reading",B502&lt;&gt;""),IF(H502="",TODAY(),H502)+ROW()/10000000,"")</f>
        <v/>
      </c>
      <c r="Q502">
        <f>IF(AND(N502&lt;&gt;"",N(J502)=5),N502,"")</f>
        <v/>
      </c>
    </row>
    <row r="503">
      <c r="A503" s="1" t="n"/>
      <c r="B503" s="24" t="n"/>
      <c r="C503" s="25" t="n"/>
      <c r="D503" s="25" t="n"/>
      <c r="E503" s="26" t="n"/>
      <c r="F503" s="27" t="n"/>
      <c r="G503" s="26" t="n"/>
      <c r="H503" s="28" t="n"/>
      <c r="I503" s="28" t="n"/>
      <c r="J503" s="27" t="n"/>
      <c r="K503" s="16">
        <f>IF(OR(H503="",I503=""),"",I503-H503+1)</f>
        <v/>
      </c>
      <c r="L503" s="16">
        <f>IF(OR(K503="",N(F503)=0),"",F503/K503)</f>
        <v/>
      </c>
      <c r="M503" s="25" t="n"/>
      <c r="N503" s="1">
        <f>IF(AND(G503="Finished",I503&lt;&gt;""),IF(YEAR(I503)=Dashboard!$C$4,I503+ROW()/10000000,""),"")</f>
        <v/>
      </c>
      <c r="O503">
        <f>IF(B503="","",IFERROR(MATCH(D503,Settings!$B$6:$B$17,0),12))</f>
        <v/>
      </c>
      <c r="P503">
        <f>IF(AND(G503="Reading",B503&lt;&gt;""),IF(H503="",TODAY(),H503)+ROW()/10000000,"")</f>
        <v/>
      </c>
      <c r="Q503">
        <f>IF(AND(N503&lt;&gt;"",N(J503)=5),N503,"")</f>
        <v/>
      </c>
    </row>
    <row r="504">
      <c r="A504" s="1" t="n"/>
      <c r="B504" s="24" t="n"/>
      <c r="C504" s="25" t="n"/>
      <c r="D504" s="25" t="n"/>
      <c r="E504" s="26" t="n"/>
      <c r="F504" s="27" t="n"/>
      <c r="G504" s="26" t="n"/>
      <c r="H504" s="28" t="n"/>
      <c r="I504" s="28" t="n"/>
      <c r="J504" s="27" t="n"/>
      <c r="K504" s="16">
        <f>IF(OR(H504="",I504=""),"",I504-H504+1)</f>
        <v/>
      </c>
      <c r="L504" s="16">
        <f>IF(OR(K504="",N(F504)=0),"",F504/K504)</f>
        <v/>
      </c>
      <c r="M504" s="25" t="n"/>
      <c r="N504" s="1">
        <f>IF(AND(G504="Finished",I504&lt;&gt;""),IF(YEAR(I504)=Dashboard!$C$4,I504+ROW()/10000000,""),"")</f>
        <v/>
      </c>
      <c r="O504">
        <f>IF(B504="","",IFERROR(MATCH(D504,Settings!$B$6:$B$17,0),12))</f>
        <v/>
      </c>
      <c r="P504">
        <f>IF(AND(G504="Reading",B504&lt;&gt;""),IF(H504="",TODAY(),H504)+ROW()/10000000,"")</f>
        <v/>
      </c>
      <c r="Q504">
        <f>IF(AND(N504&lt;&gt;"",N(J504)=5),N504,"")</f>
        <v/>
      </c>
    </row>
    <row r="505">
      <c r="A505" s="1" t="n"/>
      <c r="B505" s="24" t="n"/>
      <c r="C505" s="25" t="n"/>
      <c r="D505" s="25" t="n"/>
      <c r="E505" s="26" t="n"/>
      <c r="F505" s="27" t="n"/>
      <c r="G505" s="26" t="n"/>
      <c r="H505" s="28" t="n"/>
      <c r="I505" s="28" t="n"/>
      <c r="J505" s="27" t="n"/>
      <c r="K505" s="16">
        <f>IF(OR(H505="",I505=""),"",I505-H505+1)</f>
        <v/>
      </c>
      <c r="L505" s="16">
        <f>IF(OR(K505="",N(F505)=0),"",F505/K505)</f>
        <v/>
      </c>
      <c r="M505" s="25" t="n"/>
      <c r="N505" s="1">
        <f>IF(AND(G505="Finished",I505&lt;&gt;""),IF(YEAR(I505)=Dashboard!$C$4,I505+ROW()/10000000,""),"")</f>
        <v/>
      </c>
      <c r="O505">
        <f>IF(B505="","",IFERROR(MATCH(D505,Settings!$B$6:$B$17,0),12))</f>
        <v/>
      </c>
      <c r="P505">
        <f>IF(AND(G505="Reading",B505&lt;&gt;""),IF(H505="",TODAY(),H505)+ROW()/10000000,"")</f>
        <v/>
      </c>
      <c r="Q505">
        <f>IF(AND(N505&lt;&gt;"",N(J505)=5),N505,"")</f>
        <v/>
      </c>
    </row>
    <row r="506">
      <c r="A506" s="1" t="n"/>
      <c r="B506" s="24" t="n"/>
      <c r="C506" s="25" t="n"/>
      <c r="D506" s="25" t="n"/>
      <c r="E506" s="26" t="n"/>
      <c r="F506" s="27" t="n"/>
      <c r="G506" s="26" t="n"/>
      <c r="H506" s="28" t="n"/>
      <c r="I506" s="28" t="n"/>
      <c r="J506" s="27" t="n"/>
      <c r="K506" s="16">
        <f>IF(OR(H506="",I506=""),"",I506-H506+1)</f>
        <v/>
      </c>
      <c r="L506" s="16">
        <f>IF(OR(K506="",N(F506)=0),"",F506/K506)</f>
        <v/>
      </c>
      <c r="M506" s="25" t="n"/>
      <c r="N506" s="1">
        <f>IF(AND(G506="Finished",I506&lt;&gt;""),IF(YEAR(I506)=Dashboard!$C$4,I506+ROW()/10000000,""),"")</f>
        <v/>
      </c>
      <c r="O506">
        <f>IF(B506="","",IFERROR(MATCH(D506,Settings!$B$6:$B$17,0),12))</f>
        <v/>
      </c>
      <c r="P506">
        <f>IF(AND(G506="Reading",B506&lt;&gt;""),IF(H506="",TODAY(),H506)+ROW()/10000000,"")</f>
        <v/>
      </c>
      <c r="Q506">
        <f>IF(AND(N506&lt;&gt;"",N(J506)=5),N506,"")</f>
        <v/>
      </c>
    </row>
    <row r="507">
      <c r="A507" s="1" t="n"/>
      <c r="B507" s="24" t="n"/>
      <c r="C507" s="25" t="n"/>
      <c r="D507" s="25" t="n"/>
      <c r="E507" s="26" t="n"/>
      <c r="F507" s="27" t="n"/>
      <c r="G507" s="26" t="n"/>
      <c r="H507" s="28" t="n"/>
      <c r="I507" s="28" t="n"/>
      <c r="J507" s="27" t="n"/>
      <c r="K507" s="16">
        <f>IF(OR(H507="",I507=""),"",I507-H507+1)</f>
        <v/>
      </c>
      <c r="L507" s="16">
        <f>IF(OR(K507="",N(F507)=0),"",F507/K507)</f>
        <v/>
      </c>
      <c r="M507" s="25" t="n"/>
      <c r="N507" s="1">
        <f>IF(AND(G507="Finished",I507&lt;&gt;""),IF(YEAR(I507)=Dashboard!$C$4,I507+ROW()/10000000,""),"")</f>
        <v/>
      </c>
      <c r="O507">
        <f>IF(B507="","",IFERROR(MATCH(D507,Settings!$B$6:$B$17,0),12))</f>
        <v/>
      </c>
      <c r="P507">
        <f>IF(AND(G507="Reading",B507&lt;&gt;""),IF(H507="",TODAY(),H507)+ROW()/10000000,"")</f>
        <v/>
      </c>
      <c r="Q507">
        <f>IF(AND(N507&lt;&gt;"",N(J507)=5),N507,"")</f>
        <v/>
      </c>
    </row>
    <row r="508">
      <c r="A508" s="1" t="n"/>
      <c r="B508" s="24" t="n"/>
      <c r="C508" s="25" t="n"/>
      <c r="D508" s="25" t="n"/>
      <c r="E508" s="26" t="n"/>
      <c r="F508" s="27" t="n"/>
      <c r="G508" s="26" t="n"/>
      <c r="H508" s="28" t="n"/>
      <c r="I508" s="28" t="n"/>
      <c r="J508" s="27" t="n"/>
      <c r="K508" s="16">
        <f>IF(OR(H508="",I508=""),"",I508-H508+1)</f>
        <v/>
      </c>
      <c r="L508" s="16">
        <f>IF(OR(K508="",N(F508)=0),"",F508/K508)</f>
        <v/>
      </c>
      <c r="M508" s="25" t="n"/>
      <c r="N508" s="1">
        <f>IF(AND(G508="Finished",I508&lt;&gt;""),IF(YEAR(I508)=Dashboard!$C$4,I508+ROW()/10000000,""),"")</f>
        <v/>
      </c>
      <c r="O508">
        <f>IF(B508="","",IFERROR(MATCH(D508,Settings!$B$6:$B$17,0),12))</f>
        <v/>
      </c>
      <c r="P508">
        <f>IF(AND(G508="Reading",B508&lt;&gt;""),IF(H508="",TODAY(),H508)+ROW()/10000000,"")</f>
        <v/>
      </c>
      <c r="Q508">
        <f>IF(AND(N508&lt;&gt;"",N(J508)=5),N508,"")</f>
        <v/>
      </c>
    </row>
    <row r="509">
      <c r="A509" s="1" t="n"/>
      <c r="B509" s="24" t="n"/>
      <c r="C509" s="25" t="n"/>
      <c r="D509" s="25" t="n"/>
      <c r="E509" s="26" t="n"/>
      <c r="F509" s="27" t="n"/>
      <c r="G509" s="26" t="n"/>
      <c r="H509" s="28" t="n"/>
      <c r="I509" s="28" t="n"/>
      <c r="J509" s="27" t="n"/>
      <c r="K509" s="16">
        <f>IF(OR(H509="",I509=""),"",I509-H509+1)</f>
        <v/>
      </c>
      <c r="L509" s="16">
        <f>IF(OR(K509="",N(F509)=0),"",F509/K509)</f>
        <v/>
      </c>
      <c r="M509" s="25" t="n"/>
      <c r="N509" s="1">
        <f>IF(AND(G509="Finished",I509&lt;&gt;""),IF(YEAR(I509)=Dashboard!$C$4,I509+ROW()/10000000,""),"")</f>
        <v/>
      </c>
      <c r="O509">
        <f>IF(B509="","",IFERROR(MATCH(D509,Settings!$B$6:$B$17,0),12))</f>
        <v/>
      </c>
      <c r="P509">
        <f>IF(AND(G509="Reading",B509&lt;&gt;""),IF(H509="",TODAY(),H509)+ROW()/10000000,"")</f>
        <v/>
      </c>
      <c r="Q509">
        <f>IF(AND(N509&lt;&gt;"",N(J509)=5),N509,"")</f>
        <v/>
      </c>
    </row>
    <row r="510">
      <c r="A510" s="1" t="n"/>
      <c r="B510" s="24" t="n"/>
      <c r="C510" s="25" t="n"/>
      <c r="D510" s="25" t="n"/>
      <c r="E510" s="26" t="n"/>
      <c r="F510" s="27" t="n"/>
      <c r="G510" s="26" t="n"/>
      <c r="H510" s="28" t="n"/>
      <c r="I510" s="28" t="n"/>
      <c r="J510" s="27" t="n"/>
      <c r="K510" s="16">
        <f>IF(OR(H510="",I510=""),"",I510-H510+1)</f>
        <v/>
      </c>
      <c r="L510" s="16">
        <f>IF(OR(K510="",N(F510)=0),"",F510/K510)</f>
        <v/>
      </c>
      <c r="M510" s="25" t="n"/>
      <c r="N510" s="1">
        <f>IF(AND(G510="Finished",I510&lt;&gt;""),IF(YEAR(I510)=Dashboard!$C$4,I510+ROW()/10000000,""),"")</f>
        <v/>
      </c>
      <c r="O510">
        <f>IF(B510="","",IFERROR(MATCH(D510,Settings!$B$6:$B$17,0),12))</f>
        <v/>
      </c>
      <c r="P510">
        <f>IF(AND(G510="Reading",B510&lt;&gt;""),IF(H510="",TODAY(),H510)+ROW()/10000000,"")</f>
        <v/>
      </c>
      <c r="Q510">
        <f>IF(AND(N510&lt;&gt;"",N(J510)=5),N510,"")</f>
        <v/>
      </c>
    </row>
    <row r="511">
      <c r="A511" s="1" t="n"/>
      <c r="B511" s="24" t="n"/>
      <c r="C511" s="25" t="n"/>
      <c r="D511" s="25" t="n"/>
      <c r="E511" s="26" t="n"/>
      <c r="F511" s="27" t="n"/>
      <c r="G511" s="26" t="n"/>
      <c r="H511" s="28" t="n"/>
      <c r="I511" s="28" t="n"/>
      <c r="J511" s="27" t="n"/>
      <c r="K511" s="16">
        <f>IF(OR(H511="",I511=""),"",I511-H511+1)</f>
        <v/>
      </c>
      <c r="L511" s="16">
        <f>IF(OR(K511="",N(F511)=0),"",F511/K511)</f>
        <v/>
      </c>
      <c r="M511" s="25" t="n"/>
      <c r="N511" s="1">
        <f>IF(AND(G511="Finished",I511&lt;&gt;""),IF(YEAR(I511)=Dashboard!$C$4,I511+ROW()/10000000,""),"")</f>
        <v/>
      </c>
      <c r="O511">
        <f>IF(B511="","",IFERROR(MATCH(D511,Settings!$B$6:$B$17,0),12))</f>
        <v/>
      </c>
      <c r="P511">
        <f>IF(AND(G511="Reading",B511&lt;&gt;""),IF(H511="",TODAY(),H511)+ROW()/10000000,"")</f>
        <v/>
      </c>
      <c r="Q511">
        <f>IF(AND(N511&lt;&gt;"",N(J511)=5),N511,"")</f>
        <v/>
      </c>
    </row>
    <row r="512">
      <c r="A512" s="1" t="n"/>
      <c r="B512" s="24" t="n"/>
      <c r="C512" s="25" t="n"/>
      <c r="D512" s="25" t="n"/>
      <c r="E512" s="26" t="n"/>
      <c r="F512" s="27" t="n"/>
      <c r="G512" s="26" t="n"/>
      <c r="H512" s="28" t="n"/>
      <c r="I512" s="28" t="n"/>
      <c r="J512" s="27" t="n"/>
      <c r="K512" s="16">
        <f>IF(OR(H512="",I512=""),"",I512-H512+1)</f>
        <v/>
      </c>
      <c r="L512" s="16">
        <f>IF(OR(K512="",N(F512)=0),"",F512/K512)</f>
        <v/>
      </c>
      <c r="M512" s="25" t="n"/>
      <c r="N512" s="1">
        <f>IF(AND(G512="Finished",I512&lt;&gt;""),IF(YEAR(I512)=Dashboard!$C$4,I512+ROW()/10000000,""),"")</f>
        <v/>
      </c>
      <c r="O512">
        <f>IF(B512="","",IFERROR(MATCH(D512,Settings!$B$6:$B$17,0),12))</f>
        <v/>
      </c>
      <c r="P512">
        <f>IF(AND(G512="Reading",B512&lt;&gt;""),IF(H512="",TODAY(),H512)+ROW()/10000000,"")</f>
        <v/>
      </c>
      <c r="Q512">
        <f>IF(AND(N512&lt;&gt;"",N(J512)=5),N512,"")</f>
        <v/>
      </c>
    </row>
    <row r="513">
      <c r="A513" s="1" t="n"/>
      <c r="B513" s="24" t="n"/>
      <c r="C513" s="25" t="n"/>
      <c r="D513" s="25" t="n"/>
      <c r="E513" s="26" t="n"/>
      <c r="F513" s="27" t="n"/>
      <c r="G513" s="26" t="n"/>
      <c r="H513" s="28" t="n"/>
      <c r="I513" s="28" t="n"/>
      <c r="J513" s="27" t="n"/>
      <c r="K513" s="16">
        <f>IF(OR(H513="",I513=""),"",I513-H513+1)</f>
        <v/>
      </c>
      <c r="L513" s="16">
        <f>IF(OR(K513="",N(F513)=0),"",F513/K513)</f>
        <v/>
      </c>
      <c r="M513" s="25" t="n"/>
      <c r="N513" s="1">
        <f>IF(AND(G513="Finished",I513&lt;&gt;""),IF(YEAR(I513)=Dashboard!$C$4,I513+ROW()/10000000,""),"")</f>
        <v/>
      </c>
      <c r="O513">
        <f>IF(B513="","",IFERROR(MATCH(D513,Settings!$B$6:$B$17,0),12))</f>
        <v/>
      </c>
      <c r="P513">
        <f>IF(AND(G513="Reading",B513&lt;&gt;""),IF(H513="",TODAY(),H513)+ROW()/10000000,"")</f>
        <v/>
      </c>
      <c r="Q513">
        <f>IF(AND(N513&lt;&gt;"",N(J513)=5),N513,"")</f>
        <v/>
      </c>
    </row>
    <row r="514">
      <c r="A514" s="1" t="n"/>
      <c r="B514" s="24" t="n"/>
      <c r="C514" s="25" t="n"/>
      <c r="D514" s="25" t="n"/>
      <c r="E514" s="26" t="n"/>
      <c r="F514" s="27" t="n"/>
      <c r="G514" s="26" t="n"/>
      <c r="H514" s="28" t="n"/>
      <c r="I514" s="28" t="n"/>
      <c r="J514" s="27" t="n"/>
      <c r="K514" s="16">
        <f>IF(OR(H514="",I514=""),"",I514-H514+1)</f>
        <v/>
      </c>
      <c r="L514" s="16">
        <f>IF(OR(K514="",N(F514)=0),"",F514/K514)</f>
        <v/>
      </c>
      <c r="M514" s="25" t="n"/>
      <c r="N514" s="1">
        <f>IF(AND(G514="Finished",I514&lt;&gt;""),IF(YEAR(I514)=Dashboard!$C$4,I514+ROW()/10000000,""),"")</f>
        <v/>
      </c>
      <c r="O514">
        <f>IF(B514="","",IFERROR(MATCH(D514,Settings!$B$6:$B$17,0),12))</f>
        <v/>
      </c>
      <c r="P514">
        <f>IF(AND(G514="Reading",B514&lt;&gt;""),IF(H514="",TODAY(),H514)+ROW()/10000000,"")</f>
        <v/>
      </c>
      <c r="Q514">
        <f>IF(AND(N514&lt;&gt;"",N(J514)=5),N514,"")</f>
        <v/>
      </c>
    </row>
    <row r="515">
      <c r="A515" s="1" t="n"/>
      <c r="B515" s="24" t="n"/>
      <c r="C515" s="25" t="n"/>
      <c r="D515" s="25" t="n"/>
      <c r="E515" s="26" t="n"/>
      <c r="F515" s="27" t="n"/>
      <c r="G515" s="26" t="n"/>
      <c r="H515" s="28" t="n"/>
      <c r="I515" s="28" t="n"/>
      <c r="J515" s="27" t="n"/>
      <c r="K515" s="16">
        <f>IF(OR(H515="",I515=""),"",I515-H515+1)</f>
        <v/>
      </c>
      <c r="L515" s="16">
        <f>IF(OR(K515="",N(F515)=0),"",F515/K515)</f>
        <v/>
      </c>
      <c r="M515" s="25" t="n"/>
      <c r="N515" s="1">
        <f>IF(AND(G515="Finished",I515&lt;&gt;""),IF(YEAR(I515)=Dashboard!$C$4,I515+ROW()/10000000,""),"")</f>
        <v/>
      </c>
      <c r="O515">
        <f>IF(B515="","",IFERROR(MATCH(D515,Settings!$B$6:$B$17,0),12))</f>
        <v/>
      </c>
      <c r="P515">
        <f>IF(AND(G515="Reading",B515&lt;&gt;""),IF(H515="",TODAY(),H515)+ROW()/10000000,"")</f>
        <v/>
      </c>
      <c r="Q515">
        <f>IF(AND(N515&lt;&gt;"",N(J515)=5),N515,"")</f>
        <v/>
      </c>
    </row>
    <row r="516">
      <c r="A516" s="1" t="n"/>
      <c r="B516" s="24" t="n"/>
      <c r="C516" s="25" t="n"/>
      <c r="D516" s="25" t="n"/>
      <c r="E516" s="26" t="n"/>
      <c r="F516" s="27" t="n"/>
      <c r="G516" s="26" t="n"/>
      <c r="H516" s="28" t="n"/>
      <c r="I516" s="28" t="n"/>
      <c r="J516" s="27" t="n"/>
      <c r="K516" s="16">
        <f>IF(OR(H516="",I516=""),"",I516-H516+1)</f>
        <v/>
      </c>
      <c r="L516" s="16">
        <f>IF(OR(K516="",N(F516)=0),"",F516/K516)</f>
        <v/>
      </c>
      <c r="M516" s="25" t="n"/>
      <c r="N516" s="1">
        <f>IF(AND(G516="Finished",I516&lt;&gt;""),IF(YEAR(I516)=Dashboard!$C$4,I516+ROW()/10000000,""),"")</f>
        <v/>
      </c>
      <c r="O516">
        <f>IF(B516="","",IFERROR(MATCH(D516,Settings!$B$6:$B$17,0),12))</f>
        <v/>
      </c>
      <c r="P516">
        <f>IF(AND(G516="Reading",B516&lt;&gt;""),IF(H516="",TODAY(),H516)+ROW()/10000000,"")</f>
        <v/>
      </c>
      <c r="Q516">
        <f>IF(AND(N516&lt;&gt;"",N(J516)=5),N516,"")</f>
        <v/>
      </c>
    </row>
    <row r="517">
      <c r="A517" s="1" t="n"/>
      <c r="B517" s="24" t="n"/>
      <c r="C517" s="25" t="n"/>
      <c r="D517" s="25" t="n"/>
      <c r="E517" s="26" t="n"/>
      <c r="F517" s="27" t="n"/>
      <c r="G517" s="26" t="n"/>
      <c r="H517" s="28" t="n"/>
      <c r="I517" s="28" t="n"/>
      <c r="J517" s="27" t="n"/>
      <c r="K517" s="16">
        <f>IF(OR(H517="",I517=""),"",I517-H517+1)</f>
        <v/>
      </c>
      <c r="L517" s="16">
        <f>IF(OR(K517="",N(F517)=0),"",F517/K517)</f>
        <v/>
      </c>
      <c r="M517" s="25" t="n"/>
      <c r="N517" s="1">
        <f>IF(AND(G517="Finished",I517&lt;&gt;""),IF(YEAR(I517)=Dashboard!$C$4,I517+ROW()/10000000,""),"")</f>
        <v/>
      </c>
      <c r="O517">
        <f>IF(B517="","",IFERROR(MATCH(D517,Settings!$B$6:$B$17,0),12))</f>
        <v/>
      </c>
      <c r="P517">
        <f>IF(AND(G517="Reading",B517&lt;&gt;""),IF(H517="",TODAY(),H517)+ROW()/10000000,"")</f>
        <v/>
      </c>
      <c r="Q517">
        <f>IF(AND(N517&lt;&gt;"",N(J517)=5),N517,"")</f>
        <v/>
      </c>
    </row>
    <row r="518">
      <c r="A518" s="1" t="n"/>
      <c r="B518" s="24" t="n"/>
      <c r="C518" s="25" t="n"/>
      <c r="D518" s="25" t="n"/>
      <c r="E518" s="26" t="n"/>
      <c r="F518" s="27" t="n"/>
      <c r="G518" s="26" t="n"/>
      <c r="H518" s="28" t="n"/>
      <c r="I518" s="28" t="n"/>
      <c r="J518" s="27" t="n"/>
      <c r="K518" s="16">
        <f>IF(OR(H518="",I518=""),"",I518-H518+1)</f>
        <v/>
      </c>
      <c r="L518" s="16">
        <f>IF(OR(K518="",N(F518)=0),"",F518/K518)</f>
        <v/>
      </c>
      <c r="M518" s="25" t="n"/>
      <c r="N518" s="1">
        <f>IF(AND(G518="Finished",I518&lt;&gt;""),IF(YEAR(I518)=Dashboard!$C$4,I518+ROW()/10000000,""),"")</f>
        <v/>
      </c>
      <c r="O518">
        <f>IF(B518="","",IFERROR(MATCH(D518,Settings!$B$6:$B$17,0),12))</f>
        <v/>
      </c>
      <c r="P518">
        <f>IF(AND(G518="Reading",B518&lt;&gt;""),IF(H518="",TODAY(),H518)+ROW()/10000000,"")</f>
        <v/>
      </c>
      <c r="Q518">
        <f>IF(AND(N518&lt;&gt;"",N(J518)=5),N518,"")</f>
        <v/>
      </c>
    </row>
    <row r="519">
      <c r="A519" s="1" t="n"/>
      <c r="B519" s="24" t="n"/>
      <c r="C519" s="25" t="n"/>
      <c r="D519" s="25" t="n"/>
      <c r="E519" s="26" t="n"/>
      <c r="F519" s="27" t="n"/>
      <c r="G519" s="26" t="n"/>
      <c r="H519" s="28" t="n"/>
      <c r="I519" s="28" t="n"/>
      <c r="J519" s="27" t="n"/>
      <c r="K519" s="16">
        <f>IF(OR(H519="",I519=""),"",I519-H519+1)</f>
        <v/>
      </c>
      <c r="L519" s="16">
        <f>IF(OR(K519="",N(F519)=0),"",F519/K519)</f>
        <v/>
      </c>
      <c r="M519" s="25" t="n"/>
      <c r="N519" s="1">
        <f>IF(AND(G519="Finished",I519&lt;&gt;""),IF(YEAR(I519)=Dashboard!$C$4,I519+ROW()/10000000,""),"")</f>
        <v/>
      </c>
      <c r="O519">
        <f>IF(B519="","",IFERROR(MATCH(D519,Settings!$B$6:$B$17,0),12))</f>
        <v/>
      </c>
      <c r="P519">
        <f>IF(AND(G519="Reading",B519&lt;&gt;""),IF(H519="",TODAY(),H519)+ROW()/10000000,"")</f>
        <v/>
      </c>
      <c r="Q519">
        <f>IF(AND(N519&lt;&gt;"",N(J519)=5),N519,"")</f>
        <v/>
      </c>
    </row>
    <row r="520">
      <c r="A520" s="1" t="n"/>
      <c r="B520" s="24" t="n"/>
      <c r="C520" s="25" t="n"/>
      <c r="D520" s="25" t="n"/>
      <c r="E520" s="26" t="n"/>
      <c r="F520" s="27" t="n"/>
      <c r="G520" s="26" t="n"/>
      <c r="H520" s="28" t="n"/>
      <c r="I520" s="28" t="n"/>
      <c r="J520" s="27" t="n"/>
      <c r="K520" s="16">
        <f>IF(OR(H520="",I520=""),"",I520-H520+1)</f>
        <v/>
      </c>
      <c r="L520" s="16">
        <f>IF(OR(K520="",N(F520)=0),"",F520/K520)</f>
        <v/>
      </c>
      <c r="M520" s="25" t="n"/>
      <c r="N520" s="1">
        <f>IF(AND(G520="Finished",I520&lt;&gt;""),IF(YEAR(I520)=Dashboard!$C$4,I520+ROW()/10000000,""),"")</f>
        <v/>
      </c>
      <c r="O520">
        <f>IF(B520="","",IFERROR(MATCH(D520,Settings!$B$6:$B$17,0),12))</f>
        <v/>
      </c>
      <c r="P520">
        <f>IF(AND(G520="Reading",B520&lt;&gt;""),IF(H520="",TODAY(),H520)+ROW()/10000000,"")</f>
        <v/>
      </c>
      <c r="Q520">
        <f>IF(AND(N520&lt;&gt;"",N(J520)=5),N520,"")</f>
        <v/>
      </c>
    </row>
    <row r="521">
      <c r="A521" s="1" t="n"/>
      <c r="B521" s="24" t="n"/>
      <c r="C521" s="25" t="n"/>
      <c r="D521" s="25" t="n"/>
      <c r="E521" s="26" t="n"/>
      <c r="F521" s="27" t="n"/>
      <c r="G521" s="26" t="n"/>
      <c r="H521" s="28" t="n"/>
      <c r="I521" s="28" t="n"/>
      <c r="J521" s="27" t="n"/>
      <c r="K521" s="16">
        <f>IF(OR(H521="",I521=""),"",I521-H521+1)</f>
        <v/>
      </c>
      <c r="L521" s="16">
        <f>IF(OR(K521="",N(F521)=0),"",F521/K521)</f>
        <v/>
      </c>
      <c r="M521" s="25" t="n"/>
      <c r="N521" s="1">
        <f>IF(AND(G521="Finished",I521&lt;&gt;""),IF(YEAR(I521)=Dashboard!$C$4,I521+ROW()/10000000,""),"")</f>
        <v/>
      </c>
      <c r="O521">
        <f>IF(B521="","",IFERROR(MATCH(D521,Settings!$B$6:$B$17,0),12))</f>
        <v/>
      </c>
      <c r="P521">
        <f>IF(AND(G521="Reading",B521&lt;&gt;""),IF(H521="",TODAY(),H521)+ROW()/10000000,"")</f>
        <v/>
      </c>
      <c r="Q521">
        <f>IF(AND(N521&lt;&gt;"",N(J521)=5),N521,"")</f>
        <v/>
      </c>
    </row>
    <row r="522">
      <c r="A522" s="1" t="n"/>
      <c r="B522" s="24" t="n"/>
      <c r="C522" s="25" t="n"/>
      <c r="D522" s="25" t="n"/>
      <c r="E522" s="26" t="n"/>
      <c r="F522" s="27" t="n"/>
      <c r="G522" s="26" t="n"/>
      <c r="H522" s="28" t="n"/>
      <c r="I522" s="28" t="n"/>
      <c r="J522" s="27" t="n"/>
      <c r="K522" s="16">
        <f>IF(OR(H522="",I522=""),"",I522-H522+1)</f>
        <v/>
      </c>
      <c r="L522" s="16">
        <f>IF(OR(K522="",N(F522)=0),"",F522/K522)</f>
        <v/>
      </c>
      <c r="M522" s="25" t="n"/>
      <c r="N522" s="1">
        <f>IF(AND(G522="Finished",I522&lt;&gt;""),IF(YEAR(I522)=Dashboard!$C$4,I522+ROW()/10000000,""),"")</f>
        <v/>
      </c>
      <c r="O522">
        <f>IF(B522="","",IFERROR(MATCH(D522,Settings!$B$6:$B$17,0),12))</f>
        <v/>
      </c>
      <c r="P522">
        <f>IF(AND(G522="Reading",B522&lt;&gt;""),IF(H522="",TODAY(),H522)+ROW()/10000000,"")</f>
        <v/>
      </c>
      <c r="Q522">
        <f>IF(AND(N522&lt;&gt;"",N(J522)=5),N522,"")</f>
        <v/>
      </c>
    </row>
    <row r="523">
      <c r="A523" s="1" t="n"/>
      <c r="B523" s="24" t="n"/>
      <c r="C523" s="25" t="n"/>
      <c r="D523" s="25" t="n"/>
      <c r="E523" s="26" t="n"/>
      <c r="F523" s="27" t="n"/>
      <c r="G523" s="26" t="n"/>
      <c r="H523" s="28" t="n"/>
      <c r="I523" s="28" t="n"/>
      <c r="J523" s="27" t="n"/>
      <c r="K523" s="16">
        <f>IF(OR(H523="",I523=""),"",I523-H523+1)</f>
        <v/>
      </c>
      <c r="L523" s="16">
        <f>IF(OR(K523="",N(F523)=0),"",F523/K523)</f>
        <v/>
      </c>
      <c r="M523" s="25" t="n"/>
      <c r="N523" s="1">
        <f>IF(AND(G523="Finished",I523&lt;&gt;""),IF(YEAR(I523)=Dashboard!$C$4,I523+ROW()/10000000,""),"")</f>
        <v/>
      </c>
      <c r="O523">
        <f>IF(B523="","",IFERROR(MATCH(D523,Settings!$B$6:$B$17,0),12))</f>
        <v/>
      </c>
      <c r="P523">
        <f>IF(AND(G523="Reading",B523&lt;&gt;""),IF(H523="",TODAY(),H523)+ROW()/10000000,"")</f>
        <v/>
      </c>
      <c r="Q523">
        <f>IF(AND(N523&lt;&gt;"",N(J523)=5),N523,"")</f>
        <v/>
      </c>
    </row>
    <row r="524">
      <c r="A524" s="1" t="n"/>
      <c r="B524" s="24" t="n"/>
      <c r="C524" s="25" t="n"/>
      <c r="D524" s="25" t="n"/>
      <c r="E524" s="26" t="n"/>
      <c r="F524" s="27" t="n"/>
      <c r="G524" s="26" t="n"/>
      <c r="H524" s="28" t="n"/>
      <c r="I524" s="28" t="n"/>
      <c r="J524" s="27" t="n"/>
      <c r="K524" s="16">
        <f>IF(OR(H524="",I524=""),"",I524-H524+1)</f>
        <v/>
      </c>
      <c r="L524" s="16">
        <f>IF(OR(K524="",N(F524)=0),"",F524/K524)</f>
        <v/>
      </c>
      <c r="M524" s="25" t="n"/>
      <c r="N524" s="1">
        <f>IF(AND(G524="Finished",I524&lt;&gt;""),IF(YEAR(I524)=Dashboard!$C$4,I524+ROW()/10000000,""),"")</f>
        <v/>
      </c>
      <c r="O524">
        <f>IF(B524="","",IFERROR(MATCH(D524,Settings!$B$6:$B$17,0),12))</f>
        <v/>
      </c>
      <c r="P524">
        <f>IF(AND(G524="Reading",B524&lt;&gt;""),IF(H524="",TODAY(),H524)+ROW()/10000000,"")</f>
        <v/>
      </c>
      <c r="Q524">
        <f>IF(AND(N524&lt;&gt;"",N(J524)=5),N524,"")</f>
        <v/>
      </c>
    </row>
    <row r="525">
      <c r="A525" s="1" t="n"/>
      <c r="B525" s="24" t="n"/>
      <c r="C525" s="25" t="n"/>
      <c r="D525" s="25" t="n"/>
      <c r="E525" s="26" t="n"/>
      <c r="F525" s="27" t="n"/>
      <c r="G525" s="26" t="n"/>
      <c r="H525" s="28" t="n"/>
      <c r="I525" s="28" t="n"/>
      <c r="J525" s="27" t="n"/>
      <c r="K525" s="16">
        <f>IF(OR(H525="",I525=""),"",I525-H525+1)</f>
        <v/>
      </c>
      <c r="L525" s="16">
        <f>IF(OR(K525="",N(F525)=0),"",F525/K525)</f>
        <v/>
      </c>
      <c r="M525" s="25" t="n"/>
      <c r="N525" s="1">
        <f>IF(AND(G525="Finished",I525&lt;&gt;""),IF(YEAR(I525)=Dashboard!$C$4,I525+ROW()/10000000,""),"")</f>
        <v/>
      </c>
      <c r="O525">
        <f>IF(B525="","",IFERROR(MATCH(D525,Settings!$B$6:$B$17,0),12))</f>
        <v/>
      </c>
      <c r="P525">
        <f>IF(AND(G525="Reading",B525&lt;&gt;""),IF(H525="",TODAY(),H525)+ROW()/10000000,"")</f>
        <v/>
      </c>
      <c r="Q525">
        <f>IF(AND(N525&lt;&gt;"",N(J525)=5),N525,"")</f>
        <v/>
      </c>
    </row>
    <row r="526">
      <c r="A526" s="1" t="n"/>
      <c r="B526" s="24" t="n"/>
      <c r="C526" s="25" t="n"/>
      <c r="D526" s="25" t="n"/>
      <c r="E526" s="26" t="n"/>
      <c r="F526" s="27" t="n"/>
      <c r="G526" s="26" t="n"/>
      <c r="H526" s="28" t="n"/>
      <c r="I526" s="28" t="n"/>
      <c r="J526" s="27" t="n"/>
      <c r="K526" s="16">
        <f>IF(OR(H526="",I526=""),"",I526-H526+1)</f>
        <v/>
      </c>
      <c r="L526" s="16">
        <f>IF(OR(K526="",N(F526)=0),"",F526/K526)</f>
        <v/>
      </c>
      <c r="M526" s="25" t="n"/>
      <c r="N526" s="1">
        <f>IF(AND(G526="Finished",I526&lt;&gt;""),IF(YEAR(I526)=Dashboard!$C$4,I526+ROW()/10000000,""),"")</f>
        <v/>
      </c>
      <c r="O526">
        <f>IF(B526="","",IFERROR(MATCH(D526,Settings!$B$6:$B$17,0),12))</f>
        <v/>
      </c>
      <c r="P526">
        <f>IF(AND(G526="Reading",B526&lt;&gt;""),IF(H526="",TODAY(),H526)+ROW()/10000000,"")</f>
        <v/>
      </c>
      <c r="Q526">
        <f>IF(AND(N526&lt;&gt;"",N(J526)=5),N526,"")</f>
        <v/>
      </c>
    </row>
    <row r="527">
      <c r="A527" s="1" t="n"/>
      <c r="B527" s="24" t="n"/>
      <c r="C527" s="25" t="n"/>
      <c r="D527" s="25" t="n"/>
      <c r="E527" s="26" t="n"/>
      <c r="F527" s="27" t="n"/>
      <c r="G527" s="26" t="n"/>
      <c r="H527" s="28" t="n"/>
      <c r="I527" s="28" t="n"/>
      <c r="J527" s="27" t="n"/>
      <c r="K527" s="16">
        <f>IF(OR(H527="",I527=""),"",I527-H527+1)</f>
        <v/>
      </c>
      <c r="L527" s="16">
        <f>IF(OR(K527="",N(F527)=0),"",F527/K527)</f>
        <v/>
      </c>
      <c r="M527" s="25" t="n"/>
      <c r="N527" s="1">
        <f>IF(AND(G527="Finished",I527&lt;&gt;""),IF(YEAR(I527)=Dashboard!$C$4,I527+ROW()/10000000,""),"")</f>
        <v/>
      </c>
      <c r="O527">
        <f>IF(B527="","",IFERROR(MATCH(D527,Settings!$B$6:$B$17,0),12))</f>
        <v/>
      </c>
      <c r="P527">
        <f>IF(AND(G527="Reading",B527&lt;&gt;""),IF(H527="",TODAY(),H527)+ROW()/10000000,"")</f>
        <v/>
      </c>
      <c r="Q527">
        <f>IF(AND(N527&lt;&gt;"",N(J527)=5),N527,"")</f>
        <v/>
      </c>
    </row>
    <row r="528">
      <c r="A528" s="1" t="n"/>
      <c r="B528" s="24" t="n"/>
      <c r="C528" s="25" t="n"/>
      <c r="D528" s="25" t="n"/>
      <c r="E528" s="26" t="n"/>
      <c r="F528" s="27" t="n"/>
      <c r="G528" s="26" t="n"/>
      <c r="H528" s="28" t="n"/>
      <c r="I528" s="28" t="n"/>
      <c r="J528" s="27" t="n"/>
      <c r="K528" s="16">
        <f>IF(OR(H528="",I528=""),"",I528-H528+1)</f>
        <v/>
      </c>
      <c r="L528" s="16">
        <f>IF(OR(K528="",N(F528)=0),"",F528/K528)</f>
        <v/>
      </c>
      <c r="M528" s="25" t="n"/>
      <c r="N528" s="1">
        <f>IF(AND(G528="Finished",I528&lt;&gt;""),IF(YEAR(I528)=Dashboard!$C$4,I528+ROW()/10000000,""),"")</f>
        <v/>
      </c>
      <c r="O528">
        <f>IF(B528="","",IFERROR(MATCH(D528,Settings!$B$6:$B$17,0),12))</f>
        <v/>
      </c>
      <c r="P528">
        <f>IF(AND(G528="Reading",B528&lt;&gt;""),IF(H528="",TODAY(),H528)+ROW()/10000000,"")</f>
        <v/>
      </c>
      <c r="Q528">
        <f>IF(AND(N528&lt;&gt;"",N(J528)=5),N528,"")</f>
        <v/>
      </c>
    </row>
    <row r="529">
      <c r="A529" s="1" t="n"/>
      <c r="B529" s="24" t="n"/>
      <c r="C529" s="25" t="n"/>
      <c r="D529" s="25" t="n"/>
      <c r="E529" s="26" t="n"/>
      <c r="F529" s="27" t="n"/>
      <c r="G529" s="26" t="n"/>
      <c r="H529" s="28" t="n"/>
      <c r="I529" s="28" t="n"/>
      <c r="J529" s="27" t="n"/>
      <c r="K529" s="16">
        <f>IF(OR(H529="",I529=""),"",I529-H529+1)</f>
        <v/>
      </c>
      <c r="L529" s="16">
        <f>IF(OR(K529="",N(F529)=0),"",F529/K529)</f>
        <v/>
      </c>
      <c r="M529" s="25" t="n"/>
      <c r="N529" s="1">
        <f>IF(AND(G529="Finished",I529&lt;&gt;""),IF(YEAR(I529)=Dashboard!$C$4,I529+ROW()/10000000,""),"")</f>
        <v/>
      </c>
      <c r="O529">
        <f>IF(B529="","",IFERROR(MATCH(D529,Settings!$B$6:$B$17,0),12))</f>
        <v/>
      </c>
      <c r="P529">
        <f>IF(AND(G529="Reading",B529&lt;&gt;""),IF(H529="",TODAY(),H529)+ROW()/10000000,"")</f>
        <v/>
      </c>
      <c r="Q529">
        <f>IF(AND(N529&lt;&gt;"",N(J529)=5),N529,"")</f>
        <v/>
      </c>
    </row>
    <row r="530">
      <c r="A530" s="1" t="n"/>
      <c r="B530" s="24" t="n"/>
      <c r="C530" s="25" t="n"/>
      <c r="D530" s="25" t="n"/>
      <c r="E530" s="26" t="n"/>
      <c r="F530" s="27" t="n"/>
      <c r="G530" s="26" t="n"/>
      <c r="H530" s="28" t="n"/>
      <c r="I530" s="28" t="n"/>
      <c r="J530" s="27" t="n"/>
      <c r="K530" s="16">
        <f>IF(OR(H530="",I530=""),"",I530-H530+1)</f>
        <v/>
      </c>
      <c r="L530" s="16">
        <f>IF(OR(K530="",N(F530)=0),"",F530/K530)</f>
        <v/>
      </c>
      <c r="M530" s="25" t="n"/>
      <c r="N530" s="1">
        <f>IF(AND(G530="Finished",I530&lt;&gt;""),IF(YEAR(I530)=Dashboard!$C$4,I530+ROW()/10000000,""),"")</f>
        <v/>
      </c>
      <c r="O530">
        <f>IF(B530="","",IFERROR(MATCH(D530,Settings!$B$6:$B$17,0),12))</f>
        <v/>
      </c>
      <c r="P530">
        <f>IF(AND(G530="Reading",B530&lt;&gt;""),IF(H530="",TODAY(),H530)+ROW()/10000000,"")</f>
        <v/>
      </c>
      <c r="Q530">
        <f>IF(AND(N530&lt;&gt;"",N(J530)=5),N530,"")</f>
        <v/>
      </c>
    </row>
    <row r="531">
      <c r="A531" s="1" t="n"/>
      <c r="B531" s="24" t="n"/>
      <c r="C531" s="25" t="n"/>
      <c r="D531" s="25" t="n"/>
      <c r="E531" s="26" t="n"/>
      <c r="F531" s="27" t="n"/>
      <c r="G531" s="26" t="n"/>
      <c r="H531" s="28" t="n"/>
      <c r="I531" s="28" t="n"/>
      <c r="J531" s="27" t="n"/>
      <c r="K531" s="16">
        <f>IF(OR(H531="",I531=""),"",I531-H531+1)</f>
        <v/>
      </c>
      <c r="L531" s="16">
        <f>IF(OR(K531="",N(F531)=0),"",F531/K531)</f>
        <v/>
      </c>
      <c r="M531" s="25" t="n"/>
      <c r="N531" s="1">
        <f>IF(AND(G531="Finished",I531&lt;&gt;""),IF(YEAR(I531)=Dashboard!$C$4,I531+ROW()/10000000,""),"")</f>
        <v/>
      </c>
      <c r="O531">
        <f>IF(B531="","",IFERROR(MATCH(D531,Settings!$B$6:$B$17,0),12))</f>
        <v/>
      </c>
      <c r="P531">
        <f>IF(AND(G531="Reading",B531&lt;&gt;""),IF(H531="",TODAY(),H531)+ROW()/10000000,"")</f>
        <v/>
      </c>
      <c r="Q531">
        <f>IF(AND(N531&lt;&gt;"",N(J531)=5),N531,"")</f>
        <v/>
      </c>
    </row>
    <row r="532">
      <c r="A532" s="1" t="n"/>
      <c r="B532" s="24" t="n"/>
      <c r="C532" s="25" t="n"/>
      <c r="D532" s="25" t="n"/>
      <c r="E532" s="26" t="n"/>
      <c r="F532" s="27" t="n"/>
      <c r="G532" s="26" t="n"/>
      <c r="H532" s="28" t="n"/>
      <c r="I532" s="28" t="n"/>
      <c r="J532" s="27" t="n"/>
      <c r="K532" s="16">
        <f>IF(OR(H532="",I532=""),"",I532-H532+1)</f>
        <v/>
      </c>
      <c r="L532" s="16">
        <f>IF(OR(K532="",N(F532)=0),"",F532/K532)</f>
        <v/>
      </c>
      <c r="M532" s="25" t="n"/>
      <c r="N532" s="1">
        <f>IF(AND(G532="Finished",I532&lt;&gt;""),IF(YEAR(I532)=Dashboard!$C$4,I532+ROW()/10000000,""),"")</f>
        <v/>
      </c>
      <c r="O532">
        <f>IF(B532="","",IFERROR(MATCH(D532,Settings!$B$6:$B$17,0),12))</f>
        <v/>
      </c>
      <c r="P532">
        <f>IF(AND(G532="Reading",B532&lt;&gt;""),IF(H532="",TODAY(),H532)+ROW()/10000000,"")</f>
        <v/>
      </c>
      <c r="Q532">
        <f>IF(AND(N532&lt;&gt;"",N(J532)=5),N532,"")</f>
        <v/>
      </c>
    </row>
    <row r="533">
      <c r="A533" s="1" t="n"/>
      <c r="B533" s="24" t="n"/>
      <c r="C533" s="25" t="n"/>
      <c r="D533" s="25" t="n"/>
      <c r="E533" s="26" t="n"/>
      <c r="F533" s="27" t="n"/>
      <c r="G533" s="26" t="n"/>
      <c r="H533" s="28" t="n"/>
      <c r="I533" s="28" t="n"/>
      <c r="J533" s="27" t="n"/>
      <c r="K533" s="16">
        <f>IF(OR(H533="",I533=""),"",I533-H533+1)</f>
        <v/>
      </c>
      <c r="L533" s="16">
        <f>IF(OR(K533="",N(F533)=0),"",F533/K533)</f>
        <v/>
      </c>
      <c r="M533" s="25" t="n"/>
      <c r="N533" s="1">
        <f>IF(AND(G533="Finished",I533&lt;&gt;""),IF(YEAR(I533)=Dashboard!$C$4,I533+ROW()/10000000,""),"")</f>
        <v/>
      </c>
      <c r="O533">
        <f>IF(B533="","",IFERROR(MATCH(D533,Settings!$B$6:$B$17,0),12))</f>
        <v/>
      </c>
      <c r="P533">
        <f>IF(AND(G533="Reading",B533&lt;&gt;""),IF(H533="",TODAY(),H533)+ROW()/10000000,"")</f>
        <v/>
      </c>
      <c r="Q533">
        <f>IF(AND(N533&lt;&gt;"",N(J533)=5),N533,"")</f>
        <v/>
      </c>
    </row>
    <row r="534">
      <c r="A534" s="1" t="n"/>
      <c r="B534" s="24" t="n"/>
      <c r="C534" s="25" t="n"/>
      <c r="D534" s="25" t="n"/>
      <c r="E534" s="26" t="n"/>
      <c r="F534" s="27" t="n"/>
      <c r="G534" s="26" t="n"/>
      <c r="H534" s="28" t="n"/>
      <c r="I534" s="28" t="n"/>
      <c r="J534" s="27" t="n"/>
      <c r="K534" s="16">
        <f>IF(OR(H534="",I534=""),"",I534-H534+1)</f>
        <v/>
      </c>
      <c r="L534" s="16">
        <f>IF(OR(K534="",N(F534)=0),"",F534/K534)</f>
        <v/>
      </c>
      <c r="M534" s="25" t="n"/>
      <c r="N534" s="1">
        <f>IF(AND(G534="Finished",I534&lt;&gt;""),IF(YEAR(I534)=Dashboard!$C$4,I534+ROW()/10000000,""),"")</f>
        <v/>
      </c>
      <c r="O534">
        <f>IF(B534="","",IFERROR(MATCH(D534,Settings!$B$6:$B$17,0),12))</f>
        <v/>
      </c>
      <c r="P534">
        <f>IF(AND(G534="Reading",B534&lt;&gt;""),IF(H534="",TODAY(),H534)+ROW()/10000000,"")</f>
        <v/>
      </c>
      <c r="Q534">
        <f>IF(AND(N534&lt;&gt;"",N(J534)=5),N534,"")</f>
        <v/>
      </c>
    </row>
    <row r="535">
      <c r="A535" s="1" t="n"/>
      <c r="B535" s="24" t="n"/>
      <c r="C535" s="25" t="n"/>
      <c r="D535" s="25" t="n"/>
      <c r="E535" s="26" t="n"/>
      <c r="F535" s="27" t="n"/>
      <c r="G535" s="26" t="n"/>
      <c r="H535" s="28" t="n"/>
      <c r="I535" s="28" t="n"/>
      <c r="J535" s="27" t="n"/>
      <c r="K535" s="16">
        <f>IF(OR(H535="",I535=""),"",I535-H535+1)</f>
        <v/>
      </c>
      <c r="L535" s="16">
        <f>IF(OR(K535="",N(F535)=0),"",F535/K535)</f>
        <v/>
      </c>
      <c r="M535" s="25" t="n"/>
      <c r="N535" s="1">
        <f>IF(AND(G535="Finished",I535&lt;&gt;""),IF(YEAR(I535)=Dashboard!$C$4,I535+ROW()/10000000,""),"")</f>
        <v/>
      </c>
      <c r="O535">
        <f>IF(B535="","",IFERROR(MATCH(D535,Settings!$B$6:$B$17,0),12))</f>
        <v/>
      </c>
      <c r="P535">
        <f>IF(AND(G535="Reading",B535&lt;&gt;""),IF(H535="",TODAY(),H535)+ROW()/10000000,"")</f>
        <v/>
      </c>
      <c r="Q535">
        <f>IF(AND(N535&lt;&gt;"",N(J535)=5),N535,"")</f>
        <v/>
      </c>
    </row>
    <row r="536">
      <c r="A536" s="1" t="n"/>
      <c r="B536" s="24" t="n"/>
      <c r="C536" s="25" t="n"/>
      <c r="D536" s="25" t="n"/>
      <c r="E536" s="26" t="n"/>
      <c r="F536" s="27" t="n"/>
      <c r="G536" s="26" t="n"/>
      <c r="H536" s="28" t="n"/>
      <c r="I536" s="28" t="n"/>
      <c r="J536" s="27" t="n"/>
      <c r="K536" s="16">
        <f>IF(OR(H536="",I536=""),"",I536-H536+1)</f>
        <v/>
      </c>
      <c r="L536" s="16">
        <f>IF(OR(K536="",N(F536)=0),"",F536/K536)</f>
        <v/>
      </c>
      <c r="M536" s="25" t="n"/>
      <c r="N536" s="1">
        <f>IF(AND(G536="Finished",I536&lt;&gt;""),IF(YEAR(I536)=Dashboard!$C$4,I536+ROW()/10000000,""),"")</f>
        <v/>
      </c>
      <c r="O536">
        <f>IF(B536="","",IFERROR(MATCH(D536,Settings!$B$6:$B$17,0),12))</f>
        <v/>
      </c>
      <c r="P536">
        <f>IF(AND(G536="Reading",B536&lt;&gt;""),IF(H536="",TODAY(),H536)+ROW()/10000000,"")</f>
        <v/>
      </c>
      <c r="Q536">
        <f>IF(AND(N536&lt;&gt;"",N(J536)=5),N536,"")</f>
        <v/>
      </c>
    </row>
    <row r="537">
      <c r="A537" s="1" t="n"/>
      <c r="B537" s="24" t="n"/>
      <c r="C537" s="25" t="n"/>
      <c r="D537" s="25" t="n"/>
      <c r="E537" s="26" t="n"/>
      <c r="F537" s="27" t="n"/>
      <c r="G537" s="26" t="n"/>
      <c r="H537" s="28" t="n"/>
      <c r="I537" s="28" t="n"/>
      <c r="J537" s="27" t="n"/>
      <c r="K537" s="16">
        <f>IF(OR(H537="",I537=""),"",I537-H537+1)</f>
        <v/>
      </c>
      <c r="L537" s="16">
        <f>IF(OR(K537="",N(F537)=0),"",F537/K537)</f>
        <v/>
      </c>
      <c r="M537" s="25" t="n"/>
      <c r="N537" s="1">
        <f>IF(AND(G537="Finished",I537&lt;&gt;""),IF(YEAR(I537)=Dashboard!$C$4,I537+ROW()/10000000,""),"")</f>
        <v/>
      </c>
      <c r="O537">
        <f>IF(B537="","",IFERROR(MATCH(D537,Settings!$B$6:$B$17,0),12))</f>
        <v/>
      </c>
      <c r="P537">
        <f>IF(AND(G537="Reading",B537&lt;&gt;""),IF(H537="",TODAY(),H537)+ROW()/10000000,"")</f>
        <v/>
      </c>
      <c r="Q537">
        <f>IF(AND(N537&lt;&gt;"",N(J537)=5),N537,"")</f>
        <v/>
      </c>
    </row>
    <row r="538">
      <c r="A538" s="1" t="n"/>
      <c r="B538" s="24" t="n"/>
      <c r="C538" s="25" t="n"/>
      <c r="D538" s="25" t="n"/>
      <c r="E538" s="26" t="n"/>
      <c r="F538" s="27" t="n"/>
      <c r="G538" s="26" t="n"/>
      <c r="H538" s="28" t="n"/>
      <c r="I538" s="28" t="n"/>
      <c r="J538" s="27" t="n"/>
      <c r="K538" s="16">
        <f>IF(OR(H538="",I538=""),"",I538-H538+1)</f>
        <v/>
      </c>
      <c r="L538" s="16">
        <f>IF(OR(K538="",N(F538)=0),"",F538/K538)</f>
        <v/>
      </c>
      <c r="M538" s="25" t="n"/>
      <c r="N538" s="1">
        <f>IF(AND(G538="Finished",I538&lt;&gt;""),IF(YEAR(I538)=Dashboard!$C$4,I538+ROW()/10000000,""),"")</f>
        <v/>
      </c>
      <c r="O538">
        <f>IF(B538="","",IFERROR(MATCH(D538,Settings!$B$6:$B$17,0),12))</f>
        <v/>
      </c>
      <c r="P538">
        <f>IF(AND(G538="Reading",B538&lt;&gt;""),IF(H538="",TODAY(),H538)+ROW()/10000000,"")</f>
        <v/>
      </c>
      <c r="Q538">
        <f>IF(AND(N538&lt;&gt;"",N(J538)=5),N538,"")</f>
        <v/>
      </c>
    </row>
    <row r="539">
      <c r="A539" s="1" t="n"/>
      <c r="B539" s="24" t="n"/>
      <c r="C539" s="25" t="n"/>
      <c r="D539" s="25" t="n"/>
      <c r="E539" s="26" t="n"/>
      <c r="F539" s="27" t="n"/>
      <c r="G539" s="26" t="n"/>
      <c r="H539" s="28" t="n"/>
      <c r="I539" s="28" t="n"/>
      <c r="J539" s="27" t="n"/>
      <c r="K539" s="16">
        <f>IF(OR(H539="",I539=""),"",I539-H539+1)</f>
        <v/>
      </c>
      <c r="L539" s="16">
        <f>IF(OR(K539="",N(F539)=0),"",F539/K539)</f>
        <v/>
      </c>
      <c r="M539" s="25" t="n"/>
      <c r="N539" s="1">
        <f>IF(AND(G539="Finished",I539&lt;&gt;""),IF(YEAR(I539)=Dashboard!$C$4,I539+ROW()/10000000,""),"")</f>
        <v/>
      </c>
      <c r="O539">
        <f>IF(B539="","",IFERROR(MATCH(D539,Settings!$B$6:$B$17,0),12))</f>
        <v/>
      </c>
      <c r="P539">
        <f>IF(AND(G539="Reading",B539&lt;&gt;""),IF(H539="",TODAY(),H539)+ROW()/10000000,"")</f>
        <v/>
      </c>
      <c r="Q539">
        <f>IF(AND(N539&lt;&gt;"",N(J539)=5),N539,"")</f>
        <v/>
      </c>
    </row>
    <row r="540">
      <c r="A540" s="1" t="n"/>
      <c r="B540" s="24" t="n"/>
      <c r="C540" s="25" t="n"/>
      <c r="D540" s="25" t="n"/>
      <c r="E540" s="26" t="n"/>
      <c r="F540" s="27" t="n"/>
      <c r="G540" s="26" t="n"/>
      <c r="H540" s="28" t="n"/>
      <c r="I540" s="28" t="n"/>
      <c r="J540" s="27" t="n"/>
      <c r="K540" s="16">
        <f>IF(OR(H540="",I540=""),"",I540-H540+1)</f>
        <v/>
      </c>
      <c r="L540" s="16">
        <f>IF(OR(K540="",N(F540)=0),"",F540/K540)</f>
        <v/>
      </c>
      <c r="M540" s="25" t="n"/>
      <c r="N540" s="1">
        <f>IF(AND(G540="Finished",I540&lt;&gt;""),IF(YEAR(I540)=Dashboard!$C$4,I540+ROW()/10000000,""),"")</f>
        <v/>
      </c>
      <c r="O540">
        <f>IF(B540="","",IFERROR(MATCH(D540,Settings!$B$6:$B$17,0),12))</f>
        <v/>
      </c>
      <c r="P540">
        <f>IF(AND(G540="Reading",B540&lt;&gt;""),IF(H540="",TODAY(),H540)+ROW()/10000000,"")</f>
        <v/>
      </c>
      <c r="Q540">
        <f>IF(AND(N540&lt;&gt;"",N(J540)=5),N540,"")</f>
        <v/>
      </c>
    </row>
    <row r="541">
      <c r="A541" s="1" t="n"/>
      <c r="B541" s="24" t="n"/>
      <c r="C541" s="25" t="n"/>
      <c r="D541" s="25" t="n"/>
      <c r="E541" s="26" t="n"/>
      <c r="F541" s="27" t="n"/>
      <c r="G541" s="26" t="n"/>
      <c r="H541" s="28" t="n"/>
      <c r="I541" s="28" t="n"/>
      <c r="J541" s="27" t="n"/>
      <c r="K541" s="16">
        <f>IF(OR(H541="",I541=""),"",I541-H541+1)</f>
        <v/>
      </c>
      <c r="L541" s="16">
        <f>IF(OR(K541="",N(F541)=0),"",F541/K541)</f>
        <v/>
      </c>
      <c r="M541" s="25" t="n"/>
      <c r="N541" s="1">
        <f>IF(AND(G541="Finished",I541&lt;&gt;""),IF(YEAR(I541)=Dashboard!$C$4,I541+ROW()/10000000,""),"")</f>
        <v/>
      </c>
      <c r="O541">
        <f>IF(B541="","",IFERROR(MATCH(D541,Settings!$B$6:$B$17,0),12))</f>
        <v/>
      </c>
      <c r="P541">
        <f>IF(AND(G541="Reading",B541&lt;&gt;""),IF(H541="",TODAY(),H541)+ROW()/10000000,"")</f>
        <v/>
      </c>
      <c r="Q541">
        <f>IF(AND(N541&lt;&gt;"",N(J541)=5),N541,"")</f>
        <v/>
      </c>
    </row>
    <row r="542">
      <c r="A542" s="1" t="n"/>
      <c r="B542" s="24" t="n"/>
      <c r="C542" s="25" t="n"/>
      <c r="D542" s="25" t="n"/>
      <c r="E542" s="26" t="n"/>
      <c r="F542" s="27" t="n"/>
      <c r="G542" s="26" t="n"/>
      <c r="H542" s="28" t="n"/>
      <c r="I542" s="28" t="n"/>
      <c r="J542" s="27" t="n"/>
      <c r="K542" s="16">
        <f>IF(OR(H542="",I542=""),"",I542-H542+1)</f>
        <v/>
      </c>
      <c r="L542" s="16">
        <f>IF(OR(K542="",N(F542)=0),"",F542/K542)</f>
        <v/>
      </c>
      <c r="M542" s="25" t="n"/>
      <c r="N542" s="1">
        <f>IF(AND(G542="Finished",I542&lt;&gt;""),IF(YEAR(I542)=Dashboard!$C$4,I542+ROW()/10000000,""),"")</f>
        <v/>
      </c>
      <c r="O542">
        <f>IF(B542="","",IFERROR(MATCH(D542,Settings!$B$6:$B$17,0),12))</f>
        <v/>
      </c>
      <c r="P542">
        <f>IF(AND(G542="Reading",B542&lt;&gt;""),IF(H542="",TODAY(),H542)+ROW()/10000000,"")</f>
        <v/>
      </c>
      <c r="Q542">
        <f>IF(AND(N542&lt;&gt;"",N(J542)=5),N542,"")</f>
        <v/>
      </c>
    </row>
    <row r="543">
      <c r="A543" s="1" t="n"/>
      <c r="B543" s="24" t="n"/>
      <c r="C543" s="25" t="n"/>
      <c r="D543" s="25" t="n"/>
      <c r="E543" s="26" t="n"/>
      <c r="F543" s="27" t="n"/>
      <c r="G543" s="26" t="n"/>
      <c r="H543" s="28" t="n"/>
      <c r="I543" s="28" t="n"/>
      <c r="J543" s="27" t="n"/>
      <c r="K543" s="16">
        <f>IF(OR(H543="",I543=""),"",I543-H543+1)</f>
        <v/>
      </c>
      <c r="L543" s="16">
        <f>IF(OR(K543="",N(F543)=0),"",F543/K543)</f>
        <v/>
      </c>
      <c r="M543" s="25" t="n"/>
      <c r="N543" s="1">
        <f>IF(AND(G543="Finished",I543&lt;&gt;""),IF(YEAR(I543)=Dashboard!$C$4,I543+ROW()/10000000,""),"")</f>
        <v/>
      </c>
      <c r="O543">
        <f>IF(B543="","",IFERROR(MATCH(D543,Settings!$B$6:$B$17,0),12))</f>
        <v/>
      </c>
      <c r="P543">
        <f>IF(AND(G543="Reading",B543&lt;&gt;""),IF(H543="",TODAY(),H543)+ROW()/10000000,"")</f>
        <v/>
      </c>
      <c r="Q543">
        <f>IF(AND(N543&lt;&gt;"",N(J543)=5),N543,"")</f>
        <v/>
      </c>
    </row>
    <row r="544">
      <c r="A544" s="1" t="n"/>
      <c r="B544" s="24" t="n"/>
      <c r="C544" s="25" t="n"/>
      <c r="D544" s="25" t="n"/>
      <c r="E544" s="26" t="n"/>
      <c r="F544" s="27" t="n"/>
      <c r="G544" s="26" t="n"/>
      <c r="H544" s="28" t="n"/>
      <c r="I544" s="28" t="n"/>
      <c r="J544" s="27" t="n"/>
      <c r="K544" s="16">
        <f>IF(OR(H544="",I544=""),"",I544-H544+1)</f>
        <v/>
      </c>
      <c r="L544" s="16">
        <f>IF(OR(K544="",N(F544)=0),"",F544/K544)</f>
        <v/>
      </c>
      <c r="M544" s="25" t="n"/>
      <c r="N544" s="1">
        <f>IF(AND(G544="Finished",I544&lt;&gt;""),IF(YEAR(I544)=Dashboard!$C$4,I544+ROW()/10000000,""),"")</f>
        <v/>
      </c>
      <c r="O544">
        <f>IF(B544="","",IFERROR(MATCH(D544,Settings!$B$6:$B$17,0),12))</f>
        <v/>
      </c>
      <c r="P544">
        <f>IF(AND(G544="Reading",B544&lt;&gt;""),IF(H544="",TODAY(),H544)+ROW()/10000000,"")</f>
        <v/>
      </c>
      <c r="Q544">
        <f>IF(AND(N544&lt;&gt;"",N(J544)=5),N544,"")</f>
        <v/>
      </c>
    </row>
    <row r="545">
      <c r="A545" s="1" t="n"/>
      <c r="B545" s="24" t="n"/>
      <c r="C545" s="25" t="n"/>
      <c r="D545" s="25" t="n"/>
      <c r="E545" s="26" t="n"/>
      <c r="F545" s="27" t="n"/>
      <c r="G545" s="26" t="n"/>
      <c r="H545" s="28" t="n"/>
      <c r="I545" s="28" t="n"/>
      <c r="J545" s="27" t="n"/>
      <c r="K545" s="16">
        <f>IF(OR(H545="",I545=""),"",I545-H545+1)</f>
        <v/>
      </c>
      <c r="L545" s="16">
        <f>IF(OR(K545="",N(F545)=0),"",F545/K545)</f>
        <v/>
      </c>
      <c r="M545" s="25" t="n"/>
      <c r="N545" s="1">
        <f>IF(AND(G545="Finished",I545&lt;&gt;""),IF(YEAR(I545)=Dashboard!$C$4,I545+ROW()/10000000,""),"")</f>
        <v/>
      </c>
      <c r="O545">
        <f>IF(B545="","",IFERROR(MATCH(D545,Settings!$B$6:$B$17,0),12))</f>
        <v/>
      </c>
      <c r="P545">
        <f>IF(AND(G545="Reading",B545&lt;&gt;""),IF(H545="",TODAY(),H545)+ROW()/10000000,"")</f>
        <v/>
      </c>
      <c r="Q545">
        <f>IF(AND(N545&lt;&gt;"",N(J545)=5),N545,"")</f>
        <v/>
      </c>
    </row>
    <row r="546">
      <c r="A546" s="1" t="n"/>
      <c r="B546" s="24" t="n"/>
      <c r="C546" s="25" t="n"/>
      <c r="D546" s="25" t="n"/>
      <c r="E546" s="26" t="n"/>
      <c r="F546" s="27" t="n"/>
      <c r="G546" s="26" t="n"/>
      <c r="H546" s="28" t="n"/>
      <c r="I546" s="28" t="n"/>
      <c r="J546" s="27" t="n"/>
      <c r="K546" s="16">
        <f>IF(OR(H546="",I546=""),"",I546-H546+1)</f>
        <v/>
      </c>
      <c r="L546" s="16">
        <f>IF(OR(K546="",N(F546)=0),"",F546/K546)</f>
        <v/>
      </c>
      <c r="M546" s="25" t="n"/>
      <c r="N546" s="1">
        <f>IF(AND(G546="Finished",I546&lt;&gt;""),IF(YEAR(I546)=Dashboard!$C$4,I546+ROW()/10000000,""),"")</f>
        <v/>
      </c>
      <c r="O546">
        <f>IF(B546="","",IFERROR(MATCH(D546,Settings!$B$6:$B$17,0),12))</f>
        <v/>
      </c>
      <c r="P546">
        <f>IF(AND(G546="Reading",B546&lt;&gt;""),IF(H546="",TODAY(),H546)+ROW()/10000000,"")</f>
        <v/>
      </c>
      <c r="Q546">
        <f>IF(AND(N546&lt;&gt;"",N(J546)=5),N546,"")</f>
        <v/>
      </c>
    </row>
    <row r="547">
      <c r="A547" s="1" t="n"/>
      <c r="B547" s="24" t="n"/>
      <c r="C547" s="25" t="n"/>
      <c r="D547" s="25" t="n"/>
      <c r="E547" s="26" t="n"/>
      <c r="F547" s="27" t="n"/>
      <c r="G547" s="26" t="n"/>
      <c r="H547" s="28" t="n"/>
      <c r="I547" s="28" t="n"/>
      <c r="J547" s="27" t="n"/>
      <c r="K547" s="16">
        <f>IF(OR(H547="",I547=""),"",I547-H547+1)</f>
        <v/>
      </c>
      <c r="L547" s="16">
        <f>IF(OR(K547="",N(F547)=0),"",F547/K547)</f>
        <v/>
      </c>
      <c r="M547" s="25" t="n"/>
      <c r="N547" s="1">
        <f>IF(AND(G547="Finished",I547&lt;&gt;""),IF(YEAR(I547)=Dashboard!$C$4,I547+ROW()/10000000,""),"")</f>
        <v/>
      </c>
      <c r="O547">
        <f>IF(B547="","",IFERROR(MATCH(D547,Settings!$B$6:$B$17,0),12))</f>
        <v/>
      </c>
      <c r="P547">
        <f>IF(AND(G547="Reading",B547&lt;&gt;""),IF(H547="",TODAY(),H547)+ROW()/10000000,"")</f>
        <v/>
      </c>
      <c r="Q547">
        <f>IF(AND(N547&lt;&gt;"",N(J547)=5),N547,"")</f>
        <v/>
      </c>
    </row>
    <row r="548">
      <c r="A548" s="1" t="n"/>
      <c r="B548" s="24" t="n"/>
      <c r="C548" s="25" t="n"/>
      <c r="D548" s="25" t="n"/>
      <c r="E548" s="26" t="n"/>
      <c r="F548" s="27" t="n"/>
      <c r="G548" s="26" t="n"/>
      <c r="H548" s="28" t="n"/>
      <c r="I548" s="28" t="n"/>
      <c r="J548" s="27" t="n"/>
      <c r="K548" s="16">
        <f>IF(OR(H548="",I548=""),"",I548-H548+1)</f>
        <v/>
      </c>
      <c r="L548" s="16">
        <f>IF(OR(K548="",N(F548)=0),"",F548/K548)</f>
        <v/>
      </c>
      <c r="M548" s="25" t="n"/>
      <c r="N548" s="1">
        <f>IF(AND(G548="Finished",I548&lt;&gt;""),IF(YEAR(I548)=Dashboard!$C$4,I548+ROW()/10000000,""),"")</f>
        <v/>
      </c>
      <c r="O548">
        <f>IF(B548="","",IFERROR(MATCH(D548,Settings!$B$6:$B$17,0),12))</f>
        <v/>
      </c>
      <c r="P548">
        <f>IF(AND(G548="Reading",B548&lt;&gt;""),IF(H548="",TODAY(),H548)+ROW()/10000000,"")</f>
        <v/>
      </c>
      <c r="Q548">
        <f>IF(AND(N548&lt;&gt;"",N(J548)=5),N548,"")</f>
        <v/>
      </c>
    </row>
    <row r="549">
      <c r="A549" s="1" t="n"/>
      <c r="B549" s="24" t="n"/>
      <c r="C549" s="25" t="n"/>
      <c r="D549" s="25" t="n"/>
      <c r="E549" s="26" t="n"/>
      <c r="F549" s="27" t="n"/>
      <c r="G549" s="26" t="n"/>
      <c r="H549" s="28" t="n"/>
      <c r="I549" s="28" t="n"/>
      <c r="J549" s="27" t="n"/>
      <c r="K549" s="16">
        <f>IF(OR(H549="",I549=""),"",I549-H549+1)</f>
        <v/>
      </c>
      <c r="L549" s="16">
        <f>IF(OR(K549="",N(F549)=0),"",F549/K549)</f>
        <v/>
      </c>
      <c r="M549" s="25" t="n"/>
      <c r="N549" s="1">
        <f>IF(AND(G549="Finished",I549&lt;&gt;""),IF(YEAR(I549)=Dashboard!$C$4,I549+ROW()/10000000,""),"")</f>
        <v/>
      </c>
      <c r="O549">
        <f>IF(B549="","",IFERROR(MATCH(D549,Settings!$B$6:$B$17,0),12))</f>
        <v/>
      </c>
      <c r="P549">
        <f>IF(AND(G549="Reading",B549&lt;&gt;""),IF(H549="",TODAY(),H549)+ROW()/10000000,"")</f>
        <v/>
      </c>
      <c r="Q549">
        <f>IF(AND(N549&lt;&gt;"",N(J549)=5),N549,"")</f>
        <v/>
      </c>
    </row>
    <row r="550">
      <c r="A550" s="1" t="n"/>
      <c r="B550" s="24" t="n"/>
      <c r="C550" s="25" t="n"/>
      <c r="D550" s="25" t="n"/>
      <c r="E550" s="26" t="n"/>
      <c r="F550" s="27" t="n"/>
      <c r="G550" s="26" t="n"/>
      <c r="H550" s="28" t="n"/>
      <c r="I550" s="28" t="n"/>
      <c r="J550" s="27" t="n"/>
      <c r="K550" s="16">
        <f>IF(OR(H550="",I550=""),"",I550-H550+1)</f>
        <v/>
      </c>
      <c r="L550" s="16">
        <f>IF(OR(K550="",N(F550)=0),"",F550/K550)</f>
        <v/>
      </c>
      <c r="M550" s="25" t="n"/>
      <c r="N550" s="1">
        <f>IF(AND(G550="Finished",I550&lt;&gt;""),IF(YEAR(I550)=Dashboard!$C$4,I550+ROW()/10000000,""),"")</f>
        <v/>
      </c>
      <c r="O550">
        <f>IF(B550="","",IFERROR(MATCH(D550,Settings!$B$6:$B$17,0),12))</f>
        <v/>
      </c>
      <c r="P550">
        <f>IF(AND(G550="Reading",B550&lt;&gt;""),IF(H550="",TODAY(),H550)+ROW()/10000000,"")</f>
        <v/>
      </c>
      <c r="Q550">
        <f>IF(AND(N550&lt;&gt;"",N(J550)=5),N550,"")</f>
        <v/>
      </c>
    </row>
    <row r="551">
      <c r="A551" s="1" t="n"/>
      <c r="B551" s="24" t="n"/>
      <c r="C551" s="25" t="n"/>
      <c r="D551" s="25" t="n"/>
      <c r="E551" s="26" t="n"/>
      <c r="F551" s="27" t="n"/>
      <c r="G551" s="26" t="n"/>
      <c r="H551" s="28" t="n"/>
      <c r="I551" s="28" t="n"/>
      <c r="J551" s="27" t="n"/>
      <c r="K551" s="16">
        <f>IF(OR(H551="",I551=""),"",I551-H551+1)</f>
        <v/>
      </c>
      <c r="L551" s="16">
        <f>IF(OR(K551="",N(F551)=0),"",F551/K551)</f>
        <v/>
      </c>
      <c r="M551" s="25" t="n"/>
      <c r="N551" s="1">
        <f>IF(AND(G551="Finished",I551&lt;&gt;""),IF(YEAR(I551)=Dashboard!$C$4,I551+ROW()/10000000,""),"")</f>
        <v/>
      </c>
      <c r="O551">
        <f>IF(B551="","",IFERROR(MATCH(D551,Settings!$B$6:$B$17,0),12))</f>
        <v/>
      </c>
      <c r="P551">
        <f>IF(AND(G551="Reading",B551&lt;&gt;""),IF(H551="",TODAY(),H551)+ROW()/10000000,"")</f>
        <v/>
      </c>
      <c r="Q551">
        <f>IF(AND(N551&lt;&gt;"",N(J551)=5),N551,"")</f>
        <v/>
      </c>
    </row>
    <row r="552">
      <c r="A552" s="1" t="n"/>
      <c r="B552" s="24" t="n"/>
      <c r="C552" s="25" t="n"/>
      <c r="D552" s="25" t="n"/>
      <c r="E552" s="26" t="n"/>
      <c r="F552" s="27" t="n"/>
      <c r="G552" s="26" t="n"/>
      <c r="H552" s="28" t="n"/>
      <c r="I552" s="28" t="n"/>
      <c r="J552" s="27" t="n"/>
      <c r="K552" s="16">
        <f>IF(OR(H552="",I552=""),"",I552-H552+1)</f>
        <v/>
      </c>
      <c r="L552" s="16">
        <f>IF(OR(K552="",N(F552)=0),"",F552/K552)</f>
        <v/>
      </c>
      <c r="M552" s="25" t="n"/>
      <c r="N552" s="1">
        <f>IF(AND(G552="Finished",I552&lt;&gt;""),IF(YEAR(I552)=Dashboard!$C$4,I552+ROW()/10000000,""),"")</f>
        <v/>
      </c>
      <c r="O552">
        <f>IF(B552="","",IFERROR(MATCH(D552,Settings!$B$6:$B$17,0),12))</f>
        <v/>
      </c>
      <c r="P552">
        <f>IF(AND(G552="Reading",B552&lt;&gt;""),IF(H552="",TODAY(),H552)+ROW()/10000000,"")</f>
        <v/>
      </c>
      <c r="Q552">
        <f>IF(AND(N552&lt;&gt;"",N(J552)=5),N552,"")</f>
        <v/>
      </c>
    </row>
    <row r="553">
      <c r="A553" s="1" t="n"/>
      <c r="B553" s="24" t="n"/>
      <c r="C553" s="25" t="n"/>
      <c r="D553" s="25" t="n"/>
      <c r="E553" s="26" t="n"/>
      <c r="F553" s="27" t="n"/>
      <c r="G553" s="26" t="n"/>
      <c r="H553" s="28" t="n"/>
      <c r="I553" s="28" t="n"/>
      <c r="J553" s="27" t="n"/>
      <c r="K553" s="16">
        <f>IF(OR(H553="",I553=""),"",I553-H553+1)</f>
        <v/>
      </c>
      <c r="L553" s="16">
        <f>IF(OR(K553="",N(F553)=0),"",F553/K553)</f>
        <v/>
      </c>
      <c r="M553" s="25" t="n"/>
      <c r="N553" s="1">
        <f>IF(AND(G553="Finished",I553&lt;&gt;""),IF(YEAR(I553)=Dashboard!$C$4,I553+ROW()/10000000,""),"")</f>
        <v/>
      </c>
      <c r="O553">
        <f>IF(B553="","",IFERROR(MATCH(D553,Settings!$B$6:$B$17,0),12))</f>
        <v/>
      </c>
      <c r="P553">
        <f>IF(AND(G553="Reading",B553&lt;&gt;""),IF(H553="",TODAY(),H553)+ROW()/10000000,"")</f>
        <v/>
      </c>
      <c r="Q553">
        <f>IF(AND(N553&lt;&gt;"",N(J553)=5),N553,"")</f>
        <v/>
      </c>
    </row>
    <row r="554">
      <c r="A554" s="1" t="n"/>
      <c r="B554" s="24" t="n"/>
      <c r="C554" s="25" t="n"/>
      <c r="D554" s="25" t="n"/>
      <c r="E554" s="26" t="n"/>
      <c r="F554" s="27" t="n"/>
      <c r="G554" s="26" t="n"/>
      <c r="H554" s="28" t="n"/>
      <c r="I554" s="28" t="n"/>
      <c r="J554" s="27" t="n"/>
      <c r="K554" s="16">
        <f>IF(OR(H554="",I554=""),"",I554-H554+1)</f>
        <v/>
      </c>
      <c r="L554" s="16">
        <f>IF(OR(K554="",N(F554)=0),"",F554/K554)</f>
        <v/>
      </c>
      <c r="M554" s="25" t="n"/>
      <c r="N554" s="1">
        <f>IF(AND(G554="Finished",I554&lt;&gt;""),IF(YEAR(I554)=Dashboard!$C$4,I554+ROW()/10000000,""),"")</f>
        <v/>
      </c>
      <c r="O554">
        <f>IF(B554="","",IFERROR(MATCH(D554,Settings!$B$6:$B$17,0),12))</f>
        <v/>
      </c>
      <c r="P554">
        <f>IF(AND(G554="Reading",B554&lt;&gt;""),IF(H554="",TODAY(),H554)+ROW()/10000000,"")</f>
        <v/>
      </c>
      <c r="Q554">
        <f>IF(AND(N554&lt;&gt;"",N(J554)=5),N554,"")</f>
        <v/>
      </c>
    </row>
    <row r="555">
      <c r="A555" s="1" t="n"/>
      <c r="B555" s="24" t="n"/>
      <c r="C555" s="25" t="n"/>
      <c r="D555" s="25" t="n"/>
      <c r="E555" s="26" t="n"/>
      <c r="F555" s="27" t="n"/>
      <c r="G555" s="26" t="n"/>
      <c r="H555" s="28" t="n"/>
      <c r="I555" s="28" t="n"/>
      <c r="J555" s="27" t="n"/>
      <c r="K555" s="16">
        <f>IF(OR(H555="",I555=""),"",I555-H555+1)</f>
        <v/>
      </c>
      <c r="L555" s="16">
        <f>IF(OR(K555="",N(F555)=0),"",F555/K555)</f>
        <v/>
      </c>
      <c r="M555" s="25" t="n"/>
      <c r="N555" s="1">
        <f>IF(AND(G555="Finished",I555&lt;&gt;""),IF(YEAR(I555)=Dashboard!$C$4,I555+ROW()/10000000,""),"")</f>
        <v/>
      </c>
      <c r="O555">
        <f>IF(B555="","",IFERROR(MATCH(D555,Settings!$B$6:$B$17,0),12))</f>
        <v/>
      </c>
      <c r="P555">
        <f>IF(AND(G555="Reading",B555&lt;&gt;""),IF(H555="",TODAY(),H555)+ROW()/10000000,"")</f>
        <v/>
      </c>
      <c r="Q555">
        <f>IF(AND(N555&lt;&gt;"",N(J555)=5),N555,"")</f>
        <v/>
      </c>
    </row>
    <row r="556">
      <c r="A556" s="1" t="n"/>
      <c r="B556" s="24" t="n"/>
      <c r="C556" s="25" t="n"/>
      <c r="D556" s="25" t="n"/>
      <c r="E556" s="26" t="n"/>
      <c r="F556" s="27" t="n"/>
      <c r="G556" s="26" t="n"/>
      <c r="H556" s="28" t="n"/>
      <c r="I556" s="28" t="n"/>
      <c r="J556" s="27" t="n"/>
      <c r="K556" s="16">
        <f>IF(OR(H556="",I556=""),"",I556-H556+1)</f>
        <v/>
      </c>
      <c r="L556" s="16">
        <f>IF(OR(K556="",N(F556)=0),"",F556/K556)</f>
        <v/>
      </c>
      <c r="M556" s="25" t="n"/>
      <c r="N556" s="1">
        <f>IF(AND(G556="Finished",I556&lt;&gt;""),IF(YEAR(I556)=Dashboard!$C$4,I556+ROW()/10000000,""),"")</f>
        <v/>
      </c>
      <c r="O556">
        <f>IF(B556="","",IFERROR(MATCH(D556,Settings!$B$6:$B$17,0),12))</f>
        <v/>
      </c>
      <c r="P556">
        <f>IF(AND(G556="Reading",B556&lt;&gt;""),IF(H556="",TODAY(),H556)+ROW()/10000000,"")</f>
        <v/>
      </c>
      <c r="Q556">
        <f>IF(AND(N556&lt;&gt;"",N(J556)=5),N556,"")</f>
        <v/>
      </c>
    </row>
    <row r="557">
      <c r="A557" s="1" t="n"/>
      <c r="B557" s="24" t="n"/>
      <c r="C557" s="25" t="n"/>
      <c r="D557" s="25" t="n"/>
      <c r="E557" s="26" t="n"/>
      <c r="F557" s="27" t="n"/>
      <c r="G557" s="26" t="n"/>
      <c r="H557" s="28" t="n"/>
      <c r="I557" s="28" t="n"/>
      <c r="J557" s="27" t="n"/>
      <c r="K557" s="16">
        <f>IF(OR(H557="",I557=""),"",I557-H557+1)</f>
        <v/>
      </c>
      <c r="L557" s="16">
        <f>IF(OR(K557="",N(F557)=0),"",F557/K557)</f>
        <v/>
      </c>
      <c r="M557" s="25" t="n"/>
      <c r="N557" s="1">
        <f>IF(AND(G557="Finished",I557&lt;&gt;""),IF(YEAR(I557)=Dashboard!$C$4,I557+ROW()/10000000,""),"")</f>
        <v/>
      </c>
      <c r="O557">
        <f>IF(B557="","",IFERROR(MATCH(D557,Settings!$B$6:$B$17,0),12))</f>
        <v/>
      </c>
      <c r="P557">
        <f>IF(AND(G557="Reading",B557&lt;&gt;""),IF(H557="",TODAY(),H557)+ROW()/10000000,"")</f>
        <v/>
      </c>
      <c r="Q557">
        <f>IF(AND(N557&lt;&gt;"",N(J557)=5),N557,"")</f>
        <v/>
      </c>
    </row>
    <row r="558">
      <c r="A558" s="1" t="n"/>
      <c r="B558" s="24" t="n"/>
      <c r="C558" s="25" t="n"/>
      <c r="D558" s="25" t="n"/>
      <c r="E558" s="26" t="n"/>
      <c r="F558" s="27" t="n"/>
      <c r="G558" s="26" t="n"/>
      <c r="H558" s="28" t="n"/>
      <c r="I558" s="28" t="n"/>
      <c r="J558" s="27" t="n"/>
      <c r="K558" s="16">
        <f>IF(OR(H558="",I558=""),"",I558-H558+1)</f>
        <v/>
      </c>
      <c r="L558" s="16">
        <f>IF(OR(K558="",N(F558)=0),"",F558/K558)</f>
        <v/>
      </c>
      <c r="M558" s="25" t="n"/>
      <c r="N558" s="1">
        <f>IF(AND(G558="Finished",I558&lt;&gt;""),IF(YEAR(I558)=Dashboard!$C$4,I558+ROW()/10000000,""),"")</f>
        <v/>
      </c>
      <c r="O558">
        <f>IF(B558="","",IFERROR(MATCH(D558,Settings!$B$6:$B$17,0),12))</f>
        <v/>
      </c>
      <c r="P558">
        <f>IF(AND(G558="Reading",B558&lt;&gt;""),IF(H558="",TODAY(),H558)+ROW()/10000000,"")</f>
        <v/>
      </c>
      <c r="Q558">
        <f>IF(AND(N558&lt;&gt;"",N(J558)=5),N558,"")</f>
        <v/>
      </c>
    </row>
    <row r="559">
      <c r="A559" s="1" t="n"/>
      <c r="B559" s="24" t="n"/>
      <c r="C559" s="25" t="n"/>
      <c r="D559" s="25" t="n"/>
      <c r="E559" s="26" t="n"/>
      <c r="F559" s="27" t="n"/>
      <c r="G559" s="26" t="n"/>
      <c r="H559" s="28" t="n"/>
      <c r="I559" s="28" t="n"/>
      <c r="J559" s="27" t="n"/>
      <c r="K559" s="16">
        <f>IF(OR(H559="",I559=""),"",I559-H559+1)</f>
        <v/>
      </c>
      <c r="L559" s="16">
        <f>IF(OR(K559="",N(F559)=0),"",F559/K559)</f>
        <v/>
      </c>
      <c r="M559" s="25" t="n"/>
      <c r="N559" s="1">
        <f>IF(AND(G559="Finished",I559&lt;&gt;""),IF(YEAR(I559)=Dashboard!$C$4,I559+ROW()/10000000,""),"")</f>
        <v/>
      </c>
      <c r="O559">
        <f>IF(B559="","",IFERROR(MATCH(D559,Settings!$B$6:$B$17,0),12))</f>
        <v/>
      </c>
      <c r="P559">
        <f>IF(AND(G559="Reading",B559&lt;&gt;""),IF(H559="",TODAY(),H559)+ROW()/10000000,"")</f>
        <v/>
      </c>
      <c r="Q559">
        <f>IF(AND(N559&lt;&gt;"",N(J559)=5),N559,"")</f>
        <v/>
      </c>
    </row>
    <row r="560">
      <c r="A560" s="1" t="n"/>
      <c r="B560" s="24" t="n"/>
      <c r="C560" s="25" t="n"/>
      <c r="D560" s="25" t="n"/>
      <c r="E560" s="26" t="n"/>
      <c r="F560" s="27" t="n"/>
      <c r="G560" s="26" t="n"/>
      <c r="H560" s="28" t="n"/>
      <c r="I560" s="28" t="n"/>
      <c r="J560" s="27" t="n"/>
      <c r="K560" s="16">
        <f>IF(OR(H560="",I560=""),"",I560-H560+1)</f>
        <v/>
      </c>
      <c r="L560" s="16">
        <f>IF(OR(K560="",N(F560)=0),"",F560/K560)</f>
        <v/>
      </c>
      <c r="M560" s="25" t="n"/>
      <c r="N560" s="1">
        <f>IF(AND(G560="Finished",I560&lt;&gt;""),IF(YEAR(I560)=Dashboard!$C$4,I560+ROW()/10000000,""),"")</f>
        <v/>
      </c>
      <c r="O560">
        <f>IF(B560="","",IFERROR(MATCH(D560,Settings!$B$6:$B$17,0),12))</f>
        <v/>
      </c>
      <c r="P560">
        <f>IF(AND(G560="Reading",B560&lt;&gt;""),IF(H560="",TODAY(),H560)+ROW()/10000000,"")</f>
        <v/>
      </c>
      <c r="Q560">
        <f>IF(AND(N560&lt;&gt;"",N(J560)=5),N560,"")</f>
        <v/>
      </c>
    </row>
    <row r="561">
      <c r="A561" s="1" t="n"/>
      <c r="B561" s="24" t="n"/>
      <c r="C561" s="25" t="n"/>
      <c r="D561" s="25" t="n"/>
      <c r="E561" s="26" t="n"/>
      <c r="F561" s="27" t="n"/>
      <c r="G561" s="26" t="n"/>
      <c r="H561" s="28" t="n"/>
      <c r="I561" s="28" t="n"/>
      <c r="J561" s="27" t="n"/>
      <c r="K561" s="16">
        <f>IF(OR(H561="",I561=""),"",I561-H561+1)</f>
        <v/>
      </c>
      <c r="L561" s="16">
        <f>IF(OR(K561="",N(F561)=0),"",F561/K561)</f>
        <v/>
      </c>
      <c r="M561" s="25" t="n"/>
      <c r="N561" s="1">
        <f>IF(AND(G561="Finished",I561&lt;&gt;""),IF(YEAR(I561)=Dashboard!$C$4,I561+ROW()/10000000,""),"")</f>
        <v/>
      </c>
      <c r="O561">
        <f>IF(B561="","",IFERROR(MATCH(D561,Settings!$B$6:$B$17,0),12))</f>
        <v/>
      </c>
      <c r="P561">
        <f>IF(AND(G561="Reading",B561&lt;&gt;""),IF(H561="",TODAY(),H561)+ROW()/10000000,"")</f>
        <v/>
      </c>
      <c r="Q561">
        <f>IF(AND(N561&lt;&gt;"",N(J561)=5),N561,"")</f>
        <v/>
      </c>
    </row>
    <row r="562">
      <c r="A562" s="1" t="n"/>
      <c r="B562" s="24" t="n"/>
      <c r="C562" s="25" t="n"/>
      <c r="D562" s="25" t="n"/>
      <c r="E562" s="26" t="n"/>
      <c r="F562" s="27" t="n"/>
      <c r="G562" s="26" t="n"/>
      <c r="H562" s="28" t="n"/>
      <c r="I562" s="28" t="n"/>
      <c r="J562" s="27" t="n"/>
      <c r="K562" s="16">
        <f>IF(OR(H562="",I562=""),"",I562-H562+1)</f>
        <v/>
      </c>
      <c r="L562" s="16">
        <f>IF(OR(K562="",N(F562)=0),"",F562/K562)</f>
        <v/>
      </c>
      <c r="M562" s="25" t="n"/>
      <c r="N562" s="1">
        <f>IF(AND(G562="Finished",I562&lt;&gt;""),IF(YEAR(I562)=Dashboard!$C$4,I562+ROW()/10000000,""),"")</f>
        <v/>
      </c>
      <c r="O562">
        <f>IF(B562="","",IFERROR(MATCH(D562,Settings!$B$6:$B$17,0),12))</f>
        <v/>
      </c>
      <c r="P562">
        <f>IF(AND(G562="Reading",B562&lt;&gt;""),IF(H562="",TODAY(),H562)+ROW()/10000000,"")</f>
        <v/>
      </c>
      <c r="Q562">
        <f>IF(AND(N562&lt;&gt;"",N(J562)=5),N562,"")</f>
        <v/>
      </c>
    </row>
    <row r="563">
      <c r="A563" s="1" t="n"/>
      <c r="B563" s="24" t="n"/>
      <c r="C563" s="25" t="n"/>
      <c r="D563" s="25" t="n"/>
      <c r="E563" s="26" t="n"/>
      <c r="F563" s="27" t="n"/>
      <c r="G563" s="26" t="n"/>
      <c r="H563" s="28" t="n"/>
      <c r="I563" s="28" t="n"/>
      <c r="J563" s="27" t="n"/>
      <c r="K563" s="16">
        <f>IF(OR(H563="",I563=""),"",I563-H563+1)</f>
        <v/>
      </c>
      <c r="L563" s="16">
        <f>IF(OR(K563="",N(F563)=0),"",F563/K563)</f>
        <v/>
      </c>
      <c r="M563" s="25" t="n"/>
      <c r="N563" s="1">
        <f>IF(AND(G563="Finished",I563&lt;&gt;""),IF(YEAR(I563)=Dashboard!$C$4,I563+ROW()/10000000,""),"")</f>
        <v/>
      </c>
      <c r="O563">
        <f>IF(B563="","",IFERROR(MATCH(D563,Settings!$B$6:$B$17,0),12))</f>
        <v/>
      </c>
      <c r="P563">
        <f>IF(AND(G563="Reading",B563&lt;&gt;""),IF(H563="",TODAY(),H563)+ROW()/10000000,"")</f>
        <v/>
      </c>
      <c r="Q563">
        <f>IF(AND(N563&lt;&gt;"",N(J563)=5),N563,"")</f>
        <v/>
      </c>
    </row>
    <row r="564">
      <c r="A564" s="1" t="n"/>
      <c r="B564" s="24" t="n"/>
      <c r="C564" s="25" t="n"/>
      <c r="D564" s="25" t="n"/>
      <c r="E564" s="26" t="n"/>
      <c r="F564" s="27" t="n"/>
      <c r="G564" s="26" t="n"/>
      <c r="H564" s="28" t="n"/>
      <c r="I564" s="28" t="n"/>
      <c r="J564" s="27" t="n"/>
      <c r="K564" s="16">
        <f>IF(OR(H564="",I564=""),"",I564-H564+1)</f>
        <v/>
      </c>
      <c r="L564" s="16">
        <f>IF(OR(K564="",N(F564)=0),"",F564/K564)</f>
        <v/>
      </c>
      <c r="M564" s="25" t="n"/>
      <c r="N564" s="1">
        <f>IF(AND(G564="Finished",I564&lt;&gt;""),IF(YEAR(I564)=Dashboard!$C$4,I564+ROW()/10000000,""),"")</f>
        <v/>
      </c>
      <c r="O564">
        <f>IF(B564="","",IFERROR(MATCH(D564,Settings!$B$6:$B$17,0),12))</f>
        <v/>
      </c>
      <c r="P564">
        <f>IF(AND(G564="Reading",B564&lt;&gt;""),IF(H564="",TODAY(),H564)+ROW()/10000000,"")</f>
        <v/>
      </c>
      <c r="Q564">
        <f>IF(AND(N564&lt;&gt;"",N(J564)=5),N564,"")</f>
        <v/>
      </c>
    </row>
    <row r="565">
      <c r="A565" s="1" t="n"/>
      <c r="B565" s="24" t="n"/>
      <c r="C565" s="25" t="n"/>
      <c r="D565" s="25" t="n"/>
      <c r="E565" s="26" t="n"/>
      <c r="F565" s="27" t="n"/>
      <c r="G565" s="26" t="n"/>
      <c r="H565" s="28" t="n"/>
      <c r="I565" s="28" t="n"/>
      <c r="J565" s="27" t="n"/>
      <c r="K565" s="16">
        <f>IF(OR(H565="",I565=""),"",I565-H565+1)</f>
        <v/>
      </c>
      <c r="L565" s="16">
        <f>IF(OR(K565="",N(F565)=0),"",F565/K565)</f>
        <v/>
      </c>
      <c r="M565" s="25" t="n"/>
      <c r="N565" s="1">
        <f>IF(AND(G565="Finished",I565&lt;&gt;""),IF(YEAR(I565)=Dashboard!$C$4,I565+ROW()/10000000,""),"")</f>
        <v/>
      </c>
      <c r="O565">
        <f>IF(B565="","",IFERROR(MATCH(D565,Settings!$B$6:$B$17,0),12))</f>
        <v/>
      </c>
      <c r="P565">
        <f>IF(AND(G565="Reading",B565&lt;&gt;""),IF(H565="",TODAY(),H565)+ROW()/10000000,"")</f>
        <v/>
      </c>
      <c r="Q565">
        <f>IF(AND(N565&lt;&gt;"",N(J565)=5),N565,"")</f>
        <v/>
      </c>
    </row>
    <row r="566">
      <c r="A566" s="1" t="n"/>
      <c r="B566" s="24" t="n"/>
      <c r="C566" s="25" t="n"/>
      <c r="D566" s="25" t="n"/>
      <c r="E566" s="26" t="n"/>
      <c r="F566" s="27" t="n"/>
      <c r="G566" s="26" t="n"/>
      <c r="H566" s="28" t="n"/>
      <c r="I566" s="28" t="n"/>
      <c r="J566" s="27" t="n"/>
      <c r="K566" s="16">
        <f>IF(OR(H566="",I566=""),"",I566-H566+1)</f>
        <v/>
      </c>
      <c r="L566" s="16">
        <f>IF(OR(K566="",N(F566)=0),"",F566/K566)</f>
        <v/>
      </c>
      <c r="M566" s="25" t="n"/>
      <c r="N566" s="1">
        <f>IF(AND(G566="Finished",I566&lt;&gt;""),IF(YEAR(I566)=Dashboard!$C$4,I566+ROW()/10000000,""),"")</f>
        <v/>
      </c>
      <c r="O566">
        <f>IF(B566="","",IFERROR(MATCH(D566,Settings!$B$6:$B$17,0),12))</f>
        <v/>
      </c>
      <c r="P566">
        <f>IF(AND(G566="Reading",B566&lt;&gt;""),IF(H566="",TODAY(),H566)+ROW()/10000000,"")</f>
        <v/>
      </c>
      <c r="Q566">
        <f>IF(AND(N566&lt;&gt;"",N(J566)=5),N566,"")</f>
        <v/>
      </c>
    </row>
    <row r="567">
      <c r="A567" s="1" t="n"/>
      <c r="B567" s="24" t="n"/>
      <c r="C567" s="25" t="n"/>
      <c r="D567" s="25" t="n"/>
      <c r="E567" s="26" t="n"/>
      <c r="F567" s="27" t="n"/>
      <c r="G567" s="26" t="n"/>
      <c r="H567" s="28" t="n"/>
      <c r="I567" s="28" t="n"/>
      <c r="J567" s="27" t="n"/>
      <c r="K567" s="16">
        <f>IF(OR(H567="",I567=""),"",I567-H567+1)</f>
        <v/>
      </c>
      <c r="L567" s="16">
        <f>IF(OR(K567="",N(F567)=0),"",F567/K567)</f>
        <v/>
      </c>
      <c r="M567" s="25" t="n"/>
      <c r="N567" s="1">
        <f>IF(AND(G567="Finished",I567&lt;&gt;""),IF(YEAR(I567)=Dashboard!$C$4,I567+ROW()/10000000,""),"")</f>
        <v/>
      </c>
      <c r="O567">
        <f>IF(B567="","",IFERROR(MATCH(D567,Settings!$B$6:$B$17,0),12))</f>
        <v/>
      </c>
      <c r="P567">
        <f>IF(AND(G567="Reading",B567&lt;&gt;""),IF(H567="",TODAY(),H567)+ROW()/10000000,"")</f>
        <v/>
      </c>
      <c r="Q567">
        <f>IF(AND(N567&lt;&gt;"",N(J567)=5),N567,"")</f>
        <v/>
      </c>
    </row>
    <row r="568">
      <c r="A568" s="1" t="n"/>
      <c r="B568" s="24" t="n"/>
      <c r="C568" s="25" t="n"/>
      <c r="D568" s="25" t="n"/>
      <c r="E568" s="26" t="n"/>
      <c r="F568" s="27" t="n"/>
      <c r="G568" s="26" t="n"/>
      <c r="H568" s="28" t="n"/>
      <c r="I568" s="28" t="n"/>
      <c r="J568" s="27" t="n"/>
      <c r="K568" s="16">
        <f>IF(OR(H568="",I568=""),"",I568-H568+1)</f>
        <v/>
      </c>
      <c r="L568" s="16">
        <f>IF(OR(K568="",N(F568)=0),"",F568/K568)</f>
        <v/>
      </c>
      <c r="M568" s="25" t="n"/>
      <c r="N568" s="1">
        <f>IF(AND(G568="Finished",I568&lt;&gt;""),IF(YEAR(I568)=Dashboard!$C$4,I568+ROW()/10000000,""),"")</f>
        <v/>
      </c>
      <c r="O568">
        <f>IF(B568="","",IFERROR(MATCH(D568,Settings!$B$6:$B$17,0),12))</f>
        <v/>
      </c>
      <c r="P568">
        <f>IF(AND(G568="Reading",B568&lt;&gt;""),IF(H568="",TODAY(),H568)+ROW()/10000000,"")</f>
        <v/>
      </c>
      <c r="Q568">
        <f>IF(AND(N568&lt;&gt;"",N(J568)=5),N568,"")</f>
        <v/>
      </c>
    </row>
    <row r="569">
      <c r="A569" s="1" t="n"/>
      <c r="B569" s="24" t="n"/>
      <c r="C569" s="25" t="n"/>
      <c r="D569" s="25" t="n"/>
      <c r="E569" s="26" t="n"/>
      <c r="F569" s="27" t="n"/>
      <c r="G569" s="26" t="n"/>
      <c r="H569" s="28" t="n"/>
      <c r="I569" s="28" t="n"/>
      <c r="J569" s="27" t="n"/>
      <c r="K569" s="16">
        <f>IF(OR(H569="",I569=""),"",I569-H569+1)</f>
        <v/>
      </c>
      <c r="L569" s="16">
        <f>IF(OR(K569="",N(F569)=0),"",F569/K569)</f>
        <v/>
      </c>
      <c r="M569" s="25" t="n"/>
      <c r="N569" s="1">
        <f>IF(AND(G569="Finished",I569&lt;&gt;""),IF(YEAR(I569)=Dashboard!$C$4,I569+ROW()/10000000,""),"")</f>
        <v/>
      </c>
      <c r="O569">
        <f>IF(B569="","",IFERROR(MATCH(D569,Settings!$B$6:$B$17,0),12))</f>
        <v/>
      </c>
      <c r="P569">
        <f>IF(AND(G569="Reading",B569&lt;&gt;""),IF(H569="",TODAY(),H569)+ROW()/10000000,"")</f>
        <v/>
      </c>
      <c r="Q569">
        <f>IF(AND(N569&lt;&gt;"",N(J569)=5),N569,"")</f>
        <v/>
      </c>
    </row>
    <row r="570">
      <c r="A570" s="1" t="n"/>
      <c r="B570" s="24" t="n"/>
      <c r="C570" s="25" t="n"/>
      <c r="D570" s="25" t="n"/>
      <c r="E570" s="26" t="n"/>
      <c r="F570" s="27" t="n"/>
      <c r="G570" s="26" t="n"/>
      <c r="H570" s="28" t="n"/>
      <c r="I570" s="28" t="n"/>
      <c r="J570" s="27" t="n"/>
      <c r="K570" s="16">
        <f>IF(OR(H570="",I570=""),"",I570-H570+1)</f>
        <v/>
      </c>
      <c r="L570" s="16">
        <f>IF(OR(K570="",N(F570)=0),"",F570/K570)</f>
        <v/>
      </c>
      <c r="M570" s="25" t="n"/>
      <c r="N570" s="1">
        <f>IF(AND(G570="Finished",I570&lt;&gt;""),IF(YEAR(I570)=Dashboard!$C$4,I570+ROW()/10000000,""),"")</f>
        <v/>
      </c>
      <c r="O570">
        <f>IF(B570="","",IFERROR(MATCH(D570,Settings!$B$6:$B$17,0),12))</f>
        <v/>
      </c>
      <c r="P570">
        <f>IF(AND(G570="Reading",B570&lt;&gt;""),IF(H570="",TODAY(),H570)+ROW()/10000000,"")</f>
        <v/>
      </c>
      <c r="Q570">
        <f>IF(AND(N570&lt;&gt;"",N(J570)=5),N570,"")</f>
        <v/>
      </c>
    </row>
    <row r="571">
      <c r="A571" s="1" t="n"/>
      <c r="B571" s="24" t="n"/>
      <c r="C571" s="25" t="n"/>
      <c r="D571" s="25" t="n"/>
      <c r="E571" s="26" t="n"/>
      <c r="F571" s="27" t="n"/>
      <c r="G571" s="26" t="n"/>
      <c r="H571" s="28" t="n"/>
      <c r="I571" s="28" t="n"/>
      <c r="J571" s="27" t="n"/>
      <c r="K571" s="16">
        <f>IF(OR(H571="",I571=""),"",I571-H571+1)</f>
        <v/>
      </c>
      <c r="L571" s="16">
        <f>IF(OR(K571="",N(F571)=0),"",F571/K571)</f>
        <v/>
      </c>
      <c r="M571" s="25" t="n"/>
      <c r="N571" s="1">
        <f>IF(AND(G571="Finished",I571&lt;&gt;""),IF(YEAR(I571)=Dashboard!$C$4,I571+ROW()/10000000,""),"")</f>
        <v/>
      </c>
      <c r="O571">
        <f>IF(B571="","",IFERROR(MATCH(D571,Settings!$B$6:$B$17,0),12))</f>
        <v/>
      </c>
      <c r="P571">
        <f>IF(AND(G571="Reading",B571&lt;&gt;""),IF(H571="",TODAY(),H571)+ROW()/10000000,"")</f>
        <v/>
      </c>
      <c r="Q571">
        <f>IF(AND(N571&lt;&gt;"",N(J571)=5),N571,"")</f>
        <v/>
      </c>
    </row>
    <row r="572">
      <c r="A572" s="1" t="n"/>
      <c r="B572" s="24" t="n"/>
      <c r="C572" s="25" t="n"/>
      <c r="D572" s="25" t="n"/>
      <c r="E572" s="26" t="n"/>
      <c r="F572" s="27" t="n"/>
      <c r="G572" s="26" t="n"/>
      <c r="H572" s="28" t="n"/>
      <c r="I572" s="28" t="n"/>
      <c r="J572" s="27" t="n"/>
      <c r="K572" s="16">
        <f>IF(OR(H572="",I572=""),"",I572-H572+1)</f>
        <v/>
      </c>
      <c r="L572" s="16">
        <f>IF(OR(K572="",N(F572)=0),"",F572/K572)</f>
        <v/>
      </c>
      <c r="M572" s="25" t="n"/>
      <c r="N572" s="1">
        <f>IF(AND(G572="Finished",I572&lt;&gt;""),IF(YEAR(I572)=Dashboard!$C$4,I572+ROW()/10000000,""),"")</f>
        <v/>
      </c>
      <c r="O572">
        <f>IF(B572="","",IFERROR(MATCH(D572,Settings!$B$6:$B$17,0),12))</f>
        <v/>
      </c>
      <c r="P572">
        <f>IF(AND(G572="Reading",B572&lt;&gt;""),IF(H572="",TODAY(),H572)+ROW()/10000000,"")</f>
        <v/>
      </c>
      <c r="Q572">
        <f>IF(AND(N572&lt;&gt;"",N(J572)=5),N572,"")</f>
        <v/>
      </c>
    </row>
    <row r="573">
      <c r="A573" s="1" t="n"/>
      <c r="B573" s="24" t="n"/>
      <c r="C573" s="25" t="n"/>
      <c r="D573" s="25" t="n"/>
      <c r="E573" s="26" t="n"/>
      <c r="F573" s="27" t="n"/>
      <c r="G573" s="26" t="n"/>
      <c r="H573" s="28" t="n"/>
      <c r="I573" s="28" t="n"/>
      <c r="J573" s="27" t="n"/>
      <c r="K573" s="16">
        <f>IF(OR(H573="",I573=""),"",I573-H573+1)</f>
        <v/>
      </c>
      <c r="L573" s="16">
        <f>IF(OR(K573="",N(F573)=0),"",F573/K573)</f>
        <v/>
      </c>
      <c r="M573" s="25" t="n"/>
      <c r="N573" s="1">
        <f>IF(AND(G573="Finished",I573&lt;&gt;""),IF(YEAR(I573)=Dashboard!$C$4,I573+ROW()/10000000,""),"")</f>
        <v/>
      </c>
      <c r="O573">
        <f>IF(B573="","",IFERROR(MATCH(D573,Settings!$B$6:$B$17,0),12))</f>
        <v/>
      </c>
      <c r="P573">
        <f>IF(AND(G573="Reading",B573&lt;&gt;""),IF(H573="",TODAY(),H573)+ROW()/10000000,"")</f>
        <v/>
      </c>
      <c r="Q573">
        <f>IF(AND(N573&lt;&gt;"",N(J573)=5),N573,"")</f>
        <v/>
      </c>
    </row>
    <row r="574">
      <c r="A574" s="1" t="n"/>
      <c r="B574" s="24" t="n"/>
      <c r="C574" s="25" t="n"/>
      <c r="D574" s="25" t="n"/>
      <c r="E574" s="26" t="n"/>
      <c r="F574" s="27" t="n"/>
      <c r="G574" s="26" t="n"/>
      <c r="H574" s="28" t="n"/>
      <c r="I574" s="28" t="n"/>
      <c r="J574" s="27" t="n"/>
      <c r="K574" s="16">
        <f>IF(OR(H574="",I574=""),"",I574-H574+1)</f>
        <v/>
      </c>
      <c r="L574" s="16">
        <f>IF(OR(K574="",N(F574)=0),"",F574/K574)</f>
        <v/>
      </c>
      <c r="M574" s="25" t="n"/>
      <c r="N574" s="1">
        <f>IF(AND(G574="Finished",I574&lt;&gt;""),IF(YEAR(I574)=Dashboard!$C$4,I574+ROW()/10000000,""),"")</f>
        <v/>
      </c>
      <c r="O574">
        <f>IF(B574="","",IFERROR(MATCH(D574,Settings!$B$6:$B$17,0),12))</f>
        <v/>
      </c>
      <c r="P574">
        <f>IF(AND(G574="Reading",B574&lt;&gt;""),IF(H574="",TODAY(),H574)+ROW()/10000000,"")</f>
        <v/>
      </c>
      <c r="Q574">
        <f>IF(AND(N574&lt;&gt;"",N(J574)=5),N574,"")</f>
        <v/>
      </c>
    </row>
    <row r="575">
      <c r="A575" s="1" t="n"/>
      <c r="B575" s="24" t="n"/>
      <c r="C575" s="25" t="n"/>
      <c r="D575" s="25" t="n"/>
      <c r="E575" s="26" t="n"/>
      <c r="F575" s="27" t="n"/>
      <c r="G575" s="26" t="n"/>
      <c r="H575" s="28" t="n"/>
      <c r="I575" s="28" t="n"/>
      <c r="J575" s="27" t="n"/>
      <c r="K575" s="16">
        <f>IF(OR(H575="",I575=""),"",I575-H575+1)</f>
        <v/>
      </c>
      <c r="L575" s="16">
        <f>IF(OR(K575="",N(F575)=0),"",F575/K575)</f>
        <v/>
      </c>
      <c r="M575" s="25" t="n"/>
      <c r="N575" s="1">
        <f>IF(AND(G575="Finished",I575&lt;&gt;""),IF(YEAR(I575)=Dashboard!$C$4,I575+ROW()/10000000,""),"")</f>
        <v/>
      </c>
      <c r="O575">
        <f>IF(B575="","",IFERROR(MATCH(D575,Settings!$B$6:$B$17,0),12))</f>
        <v/>
      </c>
      <c r="P575">
        <f>IF(AND(G575="Reading",B575&lt;&gt;""),IF(H575="",TODAY(),H575)+ROW()/10000000,"")</f>
        <v/>
      </c>
      <c r="Q575">
        <f>IF(AND(N575&lt;&gt;"",N(J575)=5),N575,"")</f>
        <v/>
      </c>
    </row>
    <row r="576">
      <c r="A576" s="1" t="n"/>
      <c r="B576" s="24" t="n"/>
      <c r="C576" s="25" t="n"/>
      <c r="D576" s="25" t="n"/>
      <c r="E576" s="26" t="n"/>
      <c r="F576" s="27" t="n"/>
      <c r="G576" s="26" t="n"/>
      <c r="H576" s="28" t="n"/>
      <c r="I576" s="28" t="n"/>
      <c r="J576" s="27" t="n"/>
      <c r="K576" s="16">
        <f>IF(OR(H576="",I576=""),"",I576-H576+1)</f>
        <v/>
      </c>
      <c r="L576" s="16">
        <f>IF(OR(K576="",N(F576)=0),"",F576/K576)</f>
        <v/>
      </c>
      <c r="M576" s="25" t="n"/>
      <c r="N576" s="1">
        <f>IF(AND(G576="Finished",I576&lt;&gt;""),IF(YEAR(I576)=Dashboard!$C$4,I576+ROW()/10000000,""),"")</f>
        <v/>
      </c>
      <c r="O576">
        <f>IF(B576="","",IFERROR(MATCH(D576,Settings!$B$6:$B$17,0),12))</f>
        <v/>
      </c>
      <c r="P576">
        <f>IF(AND(G576="Reading",B576&lt;&gt;""),IF(H576="",TODAY(),H576)+ROW()/10000000,"")</f>
        <v/>
      </c>
      <c r="Q576">
        <f>IF(AND(N576&lt;&gt;"",N(J576)=5),N576,"")</f>
        <v/>
      </c>
    </row>
    <row r="577">
      <c r="A577" s="1" t="n"/>
      <c r="B577" s="24" t="n"/>
      <c r="C577" s="25" t="n"/>
      <c r="D577" s="25" t="n"/>
      <c r="E577" s="26" t="n"/>
      <c r="F577" s="27" t="n"/>
      <c r="G577" s="26" t="n"/>
      <c r="H577" s="28" t="n"/>
      <c r="I577" s="28" t="n"/>
      <c r="J577" s="27" t="n"/>
      <c r="K577" s="16">
        <f>IF(OR(H577="",I577=""),"",I577-H577+1)</f>
        <v/>
      </c>
      <c r="L577" s="16">
        <f>IF(OR(K577="",N(F577)=0),"",F577/K577)</f>
        <v/>
      </c>
      <c r="M577" s="25" t="n"/>
      <c r="N577" s="1">
        <f>IF(AND(G577="Finished",I577&lt;&gt;""),IF(YEAR(I577)=Dashboard!$C$4,I577+ROW()/10000000,""),"")</f>
        <v/>
      </c>
      <c r="O577">
        <f>IF(B577="","",IFERROR(MATCH(D577,Settings!$B$6:$B$17,0),12))</f>
        <v/>
      </c>
      <c r="P577">
        <f>IF(AND(G577="Reading",B577&lt;&gt;""),IF(H577="",TODAY(),H577)+ROW()/10000000,"")</f>
        <v/>
      </c>
      <c r="Q577">
        <f>IF(AND(N577&lt;&gt;"",N(J577)=5),N577,"")</f>
        <v/>
      </c>
    </row>
    <row r="578">
      <c r="A578" s="1" t="n"/>
      <c r="B578" s="24" t="n"/>
      <c r="C578" s="25" t="n"/>
      <c r="D578" s="25" t="n"/>
      <c r="E578" s="26" t="n"/>
      <c r="F578" s="27" t="n"/>
      <c r="G578" s="26" t="n"/>
      <c r="H578" s="28" t="n"/>
      <c r="I578" s="28" t="n"/>
      <c r="J578" s="27" t="n"/>
      <c r="K578" s="16">
        <f>IF(OR(H578="",I578=""),"",I578-H578+1)</f>
        <v/>
      </c>
      <c r="L578" s="16">
        <f>IF(OR(K578="",N(F578)=0),"",F578/K578)</f>
        <v/>
      </c>
      <c r="M578" s="25" t="n"/>
      <c r="N578" s="1">
        <f>IF(AND(G578="Finished",I578&lt;&gt;""),IF(YEAR(I578)=Dashboard!$C$4,I578+ROW()/10000000,""),"")</f>
        <v/>
      </c>
      <c r="O578">
        <f>IF(B578="","",IFERROR(MATCH(D578,Settings!$B$6:$B$17,0),12))</f>
        <v/>
      </c>
      <c r="P578">
        <f>IF(AND(G578="Reading",B578&lt;&gt;""),IF(H578="",TODAY(),H578)+ROW()/10000000,"")</f>
        <v/>
      </c>
      <c r="Q578">
        <f>IF(AND(N578&lt;&gt;"",N(J578)=5),N578,"")</f>
        <v/>
      </c>
    </row>
    <row r="579">
      <c r="A579" s="1" t="n"/>
      <c r="B579" s="24" t="n"/>
      <c r="C579" s="25" t="n"/>
      <c r="D579" s="25" t="n"/>
      <c r="E579" s="26" t="n"/>
      <c r="F579" s="27" t="n"/>
      <c r="G579" s="26" t="n"/>
      <c r="H579" s="28" t="n"/>
      <c r="I579" s="28" t="n"/>
      <c r="J579" s="27" t="n"/>
      <c r="K579" s="16">
        <f>IF(OR(H579="",I579=""),"",I579-H579+1)</f>
        <v/>
      </c>
      <c r="L579" s="16">
        <f>IF(OR(K579="",N(F579)=0),"",F579/K579)</f>
        <v/>
      </c>
      <c r="M579" s="25" t="n"/>
      <c r="N579" s="1">
        <f>IF(AND(G579="Finished",I579&lt;&gt;""),IF(YEAR(I579)=Dashboard!$C$4,I579+ROW()/10000000,""),"")</f>
        <v/>
      </c>
      <c r="O579">
        <f>IF(B579="","",IFERROR(MATCH(D579,Settings!$B$6:$B$17,0),12))</f>
        <v/>
      </c>
      <c r="P579">
        <f>IF(AND(G579="Reading",B579&lt;&gt;""),IF(H579="",TODAY(),H579)+ROW()/10000000,"")</f>
        <v/>
      </c>
      <c r="Q579">
        <f>IF(AND(N579&lt;&gt;"",N(J579)=5),N579,"")</f>
        <v/>
      </c>
    </row>
    <row r="580">
      <c r="A580" s="1" t="n"/>
      <c r="B580" s="24" t="n"/>
      <c r="C580" s="25" t="n"/>
      <c r="D580" s="25" t="n"/>
      <c r="E580" s="26" t="n"/>
      <c r="F580" s="27" t="n"/>
      <c r="G580" s="26" t="n"/>
      <c r="H580" s="28" t="n"/>
      <c r="I580" s="28" t="n"/>
      <c r="J580" s="27" t="n"/>
      <c r="K580" s="16">
        <f>IF(OR(H580="",I580=""),"",I580-H580+1)</f>
        <v/>
      </c>
      <c r="L580" s="16">
        <f>IF(OR(K580="",N(F580)=0),"",F580/K580)</f>
        <v/>
      </c>
      <c r="M580" s="25" t="n"/>
      <c r="N580" s="1">
        <f>IF(AND(G580="Finished",I580&lt;&gt;""),IF(YEAR(I580)=Dashboard!$C$4,I580+ROW()/10000000,""),"")</f>
        <v/>
      </c>
      <c r="O580">
        <f>IF(B580="","",IFERROR(MATCH(D580,Settings!$B$6:$B$17,0),12))</f>
        <v/>
      </c>
      <c r="P580">
        <f>IF(AND(G580="Reading",B580&lt;&gt;""),IF(H580="",TODAY(),H580)+ROW()/10000000,"")</f>
        <v/>
      </c>
      <c r="Q580">
        <f>IF(AND(N580&lt;&gt;"",N(J580)=5),N580,"")</f>
        <v/>
      </c>
    </row>
    <row r="581">
      <c r="A581" s="1" t="n"/>
      <c r="B581" s="24" t="n"/>
      <c r="C581" s="25" t="n"/>
      <c r="D581" s="25" t="n"/>
      <c r="E581" s="26" t="n"/>
      <c r="F581" s="27" t="n"/>
      <c r="G581" s="26" t="n"/>
      <c r="H581" s="28" t="n"/>
      <c r="I581" s="28" t="n"/>
      <c r="J581" s="27" t="n"/>
      <c r="K581" s="16">
        <f>IF(OR(H581="",I581=""),"",I581-H581+1)</f>
        <v/>
      </c>
      <c r="L581" s="16">
        <f>IF(OR(K581="",N(F581)=0),"",F581/K581)</f>
        <v/>
      </c>
      <c r="M581" s="25" t="n"/>
      <c r="N581" s="1">
        <f>IF(AND(G581="Finished",I581&lt;&gt;""),IF(YEAR(I581)=Dashboard!$C$4,I581+ROW()/10000000,""),"")</f>
        <v/>
      </c>
      <c r="O581">
        <f>IF(B581="","",IFERROR(MATCH(D581,Settings!$B$6:$B$17,0),12))</f>
        <v/>
      </c>
      <c r="P581">
        <f>IF(AND(G581="Reading",B581&lt;&gt;""),IF(H581="",TODAY(),H581)+ROW()/10000000,"")</f>
        <v/>
      </c>
      <c r="Q581">
        <f>IF(AND(N581&lt;&gt;"",N(J581)=5),N581,"")</f>
        <v/>
      </c>
    </row>
    <row r="582">
      <c r="A582" s="1" t="n"/>
      <c r="B582" s="24" t="n"/>
      <c r="C582" s="25" t="n"/>
      <c r="D582" s="25" t="n"/>
      <c r="E582" s="26" t="n"/>
      <c r="F582" s="27" t="n"/>
      <c r="G582" s="26" t="n"/>
      <c r="H582" s="28" t="n"/>
      <c r="I582" s="28" t="n"/>
      <c r="J582" s="27" t="n"/>
      <c r="K582" s="16">
        <f>IF(OR(H582="",I582=""),"",I582-H582+1)</f>
        <v/>
      </c>
      <c r="L582" s="16">
        <f>IF(OR(K582="",N(F582)=0),"",F582/K582)</f>
        <v/>
      </c>
      <c r="M582" s="25" t="n"/>
      <c r="N582" s="1">
        <f>IF(AND(G582="Finished",I582&lt;&gt;""),IF(YEAR(I582)=Dashboard!$C$4,I582+ROW()/10000000,""),"")</f>
        <v/>
      </c>
      <c r="O582">
        <f>IF(B582="","",IFERROR(MATCH(D582,Settings!$B$6:$B$17,0),12))</f>
        <v/>
      </c>
      <c r="P582">
        <f>IF(AND(G582="Reading",B582&lt;&gt;""),IF(H582="",TODAY(),H582)+ROW()/10000000,"")</f>
        <v/>
      </c>
      <c r="Q582">
        <f>IF(AND(N582&lt;&gt;"",N(J582)=5),N582,"")</f>
        <v/>
      </c>
    </row>
    <row r="583">
      <c r="A583" s="1" t="n"/>
      <c r="B583" s="24" t="n"/>
      <c r="C583" s="25" t="n"/>
      <c r="D583" s="25" t="n"/>
      <c r="E583" s="26" t="n"/>
      <c r="F583" s="27" t="n"/>
      <c r="G583" s="26" t="n"/>
      <c r="H583" s="28" t="n"/>
      <c r="I583" s="28" t="n"/>
      <c r="J583" s="27" t="n"/>
      <c r="K583" s="16">
        <f>IF(OR(H583="",I583=""),"",I583-H583+1)</f>
        <v/>
      </c>
      <c r="L583" s="16">
        <f>IF(OR(K583="",N(F583)=0),"",F583/K583)</f>
        <v/>
      </c>
      <c r="M583" s="25" t="n"/>
      <c r="N583" s="1">
        <f>IF(AND(G583="Finished",I583&lt;&gt;""),IF(YEAR(I583)=Dashboard!$C$4,I583+ROW()/10000000,""),"")</f>
        <v/>
      </c>
      <c r="O583">
        <f>IF(B583="","",IFERROR(MATCH(D583,Settings!$B$6:$B$17,0),12))</f>
        <v/>
      </c>
      <c r="P583">
        <f>IF(AND(G583="Reading",B583&lt;&gt;""),IF(H583="",TODAY(),H583)+ROW()/10000000,"")</f>
        <v/>
      </c>
      <c r="Q583">
        <f>IF(AND(N583&lt;&gt;"",N(J583)=5),N583,"")</f>
        <v/>
      </c>
    </row>
    <row r="584">
      <c r="A584" s="1" t="n"/>
      <c r="B584" s="24" t="n"/>
      <c r="C584" s="25" t="n"/>
      <c r="D584" s="25" t="n"/>
      <c r="E584" s="26" t="n"/>
      <c r="F584" s="27" t="n"/>
      <c r="G584" s="26" t="n"/>
      <c r="H584" s="28" t="n"/>
      <c r="I584" s="28" t="n"/>
      <c r="J584" s="27" t="n"/>
      <c r="K584" s="16">
        <f>IF(OR(H584="",I584=""),"",I584-H584+1)</f>
        <v/>
      </c>
      <c r="L584" s="16">
        <f>IF(OR(K584="",N(F584)=0),"",F584/K584)</f>
        <v/>
      </c>
      <c r="M584" s="25" t="n"/>
      <c r="N584" s="1">
        <f>IF(AND(G584="Finished",I584&lt;&gt;""),IF(YEAR(I584)=Dashboard!$C$4,I584+ROW()/10000000,""),"")</f>
        <v/>
      </c>
      <c r="O584">
        <f>IF(B584="","",IFERROR(MATCH(D584,Settings!$B$6:$B$17,0),12))</f>
        <v/>
      </c>
      <c r="P584">
        <f>IF(AND(G584="Reading",B584&lt;&gt;""),IF(H584="",TODAY(),H584)+ROW()/10000000,"")</f>
        <v/>
      </c>
      <c r="Q584">
        <f>IF(AND(N584&lt;&gt;"",N(J584)=5),N584,"")</f>
        <v/>
      </c>
    </row>
    <row r="585">
      <c r="A585" s="1" t="n"/>
      <c r="B585" s="24" t="n"/>
      <c r="C585" s="25" t="n"/>
      <c r="D585" s="25" t="n"/>
      <c r="E585" s="26" t="n"/>
      <c r="F585" s="27" t="n"/>
      <c r="G585" s="26" t="n"/>
      <c r="H585" s="28" t="n"/>
      <c r="I585" s="28" t="n"/>
      <c r="J585" s="27" t="n"/>
      <c r="K585" s="16">
        <f>IF(OR(H585="",I585=""),"",I585-H585+1)</f>
        <v/>
      </c>
      <c r="L585" s="16">
        <f>IF(OR(K585="",N(F585)=0),"",F585/K585)</f>
        <v/>
      </c>
      <c r="M585" s="25" t="n"/>
      <c r="N585" s="1">
        <f>IF(AND(G585="Finished",I585&lt;&gt;""),IF(YEAR(I585)=Dashboard!$C$4,I585+ROW()/10000000,""),"")</f>
        <v/>
      </c>
      <c r="O585">
        <f>IF(B585="","",IFERROR(MATCH(D585,Settings!$B$6:$B$17,0),12))</f>
        <v/>
      </c>
      <c r="P585">
        <f>IF(AND(G585="Reading",B585&lt;&gt;""),IF(H585="",TODAY(),H585)+ROW()/10000000,"")</f>
        <v/>
      </c>
      <c r="Q585">
        <f>IF(AND(N585&lt;&gt;"",N(J585)=5),N585,"")</f>
        <v/>
      </c>
    </row>
    <row r="586">
      <c r="A586" s="1" t="n"/>
      <c r="B586" s="24" t="n"/>
      <c r="C586" s="25" t="n"/>
      <c r="D586" s="25" t="n"/>
      <c r="E586" s="26" t="n"/>
      <c r="F586" s="27" t="n"/>
      <c r="G586" s="26" t="n"/>
      <c r="H586" s="28" t="n"/>
      <c r="I586" s="28" t="n"/>
      <c r="J586" s="27" t="n"/>
      <c r="K586" s="16">
        <f>IF(OR(H586="",I586=""),"",I586-H586+1)</f>
        <v/>
      </c>
      <c r="L586" s="16">
        <f>IF(OR(K586="",N(F586)=0),"",F586/K586)</f>
        <v/>
      </c>
      <c r="M586" s="25" t="n"/>
      <c r="N586" s="1">
        <f>IF(AND(G586="Finished",I586&lt;&gt;""),IF(YEAR(I586)=Dashboard!$C$4,I586+ROW()/10000000,""),"")</f>
        <v/>
      </c>
      <c r="O586">
        <f>IF(B586="","",IFERROR(MATCH(D586,Settings!$B$6:$B$17,0),12))</f>
        <v/>
      </c>
      <c r="P586">
        <f>IF(AND(G586="Reading",B586&lt;&gt;""),IF(H586="",TODAY(),H586)+ROW()/10000000,"")</f>
        <v/>
      </c>
      <c r="Q586">
        <f>IF(AND(N586&lt;&gt;"",N(J586)=5),N586,"")</f>
        <v/>
      </c>
    </row>
    <row r="587">
      <c r="A587" s="1" t="n"/>
      <c r="B587" s="24" t="n"/>
      <c r="C587" s="25" t="n"/>
      <c r="D587" s="25" t="n"/>
      <c r="E587" s="26" t="n"/>
      <c r="F587" s="27" t="n"/>
      <c r="G587" s="26" t="n"/>
      <c r="H587" s="28" t="n"/>
      <c r="I587" s="28" t="n"/>
      <c r="J587" s="27" t="n"/>
      <c r="K587" s="16">
        <f>IF(OR(H587="",I587=""),"",I587-H587+1)</f>
        <v/>
      </c>
      <c r="L587" s="16">
        <f>IF(OR(K587="",N(F587)=0),"",F587/K587)</f>
        <v/>
      </c>
      <c r="M587" s="25" t="n"/>
      <c r="N587" s="1">
        <f>IF(AND(G587="Finished",I587&lt;&gt;""),IF(YEAR(I587)=Dashboard!$C$4,I587+ROW()/10000000,""),"")</f>
        <v/>
      </c>
      <c r="O587">
        <f>IF(B587="","",IFERROR(MATCH(D587,Settings!$B$6:$B$17,0),12))</f>
        <v/>
      </c>
      <c r="P587">
        <f>IF(AND(G587="Reading",B587&lt;&gt;""),IF(H587="",TODAY(),H587)+ROW()/10000000,"")</f>
        <v/>
      </c>
      <c r="Q587">
        <f>IF(AND(N587&lt;&gt;"",N(J587)=5),N587,"")</f>
        <v/>
      </c>
    </row>
    <row r="588">
      <c r="A588" s="1" t="n"/>
      <c r="B588" s="24" t="n"/>
      <c r="C588" s="25" t="n"/>
      <c r="D588" s="25" t="n"/>
      <c r="E588" s="26" t="n"/>
      <c r="F588" s="27" t="n"/>
      <c r="G588" s="26" t="n"/>
      <c r="H588" s="28" t="n"/>
      <c r="I588" s="28" t="n"/>
      <c r="J588" s="27" t="n"/>
      <c r="K588" s="16">
        <f>IF(OR(H588="",I588=""),"",I588-H588+1)</f>
        <v/>
      </c>
      <c r="L588" s="16">
        <f>IF(OR(K588="",N(F588)=0),"",F588/K588)</f>
        <v/>
      </c>
      <c r="M588" s="25" t="n"/>
      <c r="N588" s="1">
        <f>IF(AND(G588="Finished",I588&lt;&gt;""),IF(YEAR(I588)=Dashboard!$C$4,I588+ROW()/10000000,""),"")</f>
        <v/>
      </c>
      <c r="O588">
        <f>IF(B588="","",IFERROR(MATCH(D588,Settings!$B$6:$B$17,0),12))</f>
        <v/>
      </c>
      <c r="P588">
        <f>IF(AND(G588="Reading",B588&lt;&gt;""),IF(H588="",TODAY(),H588)+ROW()/10000000,"")</f>
        <v/>
      </c>
      <c r="Q588">
        <f>IF(AND(N588&lt;&gt;"",N(J588)=5),N588,"")</f>
        <v/>
      </c>
    </row>
    <row r="589">
      <c r="A589" s="1" t="n"/>
      <c r="B589" s="24" t="n"/>
      <c r="C589" s="25" t="n"/>
      <c r="D589" s="25" t="n"/>
      <c r="E589" s="26" t="n"/>
      <c r="F589" s="27" t="n"/>
      <c r="G589" s="26" t="n"/>
      <c r="H589" s="28" t="n"/>
      <c r="I589" s="28" t="n"/>
      <c r="J589" s="27" t="n"/>
      <c r="K589" s="16">
        <f>IF(OR(H589="",I589=""),"",I589-H589+1)</f>
        <v/>
      </c>
      <c r="L589" s="16">
        <f>IF(OR(K589="",N(F589)=0),"",F589/K589)</f>
        <v/>
      </c>
      <c r="M589" s="25" t="n"/>
      <c r="N589" s="1">
        <f>IF(AND(G589="Finished",I589&lt;&gt;""),IF(YEAR(I589)=Dashboard!$C$4,I589+ROW()/10000000,""),"")</f>
        <v/>
      </c>
      <c r="O589">
        <f>IF(B589="","",IFERROR(MATCH(D589,Settings!$B$6:$B$17,0),12))</f>
        <v/>
      </c>
      <c r="P589">
        <f>IF(AND(G589="Reading",B589&lt;&gt;""),IF(H589="",TODAY(),H589)+ROW()/10000000,"")</f>
        <v/>
      </c>
      <c r="Q589">
        <f>IF(AND(N589&lt;&gt;"",N(J589)=5),N589,"")</f>
        <v/>
      </c>
    </row>
    <row r="590">
      <c r="A590" s="1" t="n"/>
      <c r="B590" s="24" t="n"/>
      <c r="C590" s="25" t="n"/>
      <c r="D590" s="25" t="n"/>
      <c r="E590" s="26" t="n"/>
      <c r="F590" s="27" t="n"/>
      <c r="G590" s="26" t="n"/>
      <c r="H590" s="28" t="n"/>
      <c r="I590" s="28" t="n"/>
      <c r="J590" s="27" t="n"/>
      <c r="K590" s="16">
        <f>IF(OR(H590="",I590=""),"",I590-H590+1)</f>
        <v/>
      </c>
      <c r="L590" s="16">
        <f>IF(OR(K590="",N(F590)=0),"",F590/K590)</f>
        <v/>
      </c>
      <c r="M590" s="25" t="n"/>
      <c r="N590" s="1">
        <f>IF(AND(G590="Finished",I590&lt;&gt;""),IF(YEAR(I590)=Dashboard!$C$4,I590+ROW()/10000000,""),"")</f>
        <v/>
      </c>
      <c r="O590">
        <f>IF(B590="","",IFERROR(MATCH(D590,Settings!$B$6:$B$17,0),12))</f>
        <v/>
      </c>
      <c r="P590">
        <f>IF(AND(G590="Reading",B590&lt;&gt;""),IF(H590="",TODAY(),H590)+ROW()/10000000,"")</f>
        <v/>
      </c>
      <c r="Q590">
        <f>IF(AND(N590&lt;&gt;"",N(J590)=5),N590,"")</f>
        <v/>
      </c>
    </row>
    <row r="591">
      <c r="A591" s="1" t="n"/>
      <c r="B591" s="24" t="n"/>
      <c r="C591" s="25" t="n"/>
      <c r="D591" s="25" t="n"/>
      <c r="E591" s="26" t="n"/>
      <c r="F591" s="27" t="n"/>
      <c r="G591" s="26" t="n"/>
      <c r="H591" s="28" t="n"/>
      <c r="I591" s="28" t="n"/>
      <c r="J591" s="27" t="n"/>
      <c r="K591" s="16">
        <f>IF(OR(H591="",I591=""),"",I591-H591+1)</f>
        <v/>
      </c>
      <c r="L591" s="16">
        <f>IF(OR(K591="",N(F591)=0),"",F591/K591)</f>
        <v/>
      </c>
      <c r="M591" s="25" t="n"/>
      <c r="N591" s="1">
        <f>IF(AND(G591="Finished",I591&lt;&gt;""),IF(YEAR(I591)=Dashboard!$C$4,I591+ROW()/10000000,""),"")</f>
        <v/>
      </c>
      <c r="O591">
        <f>IF(B591="","",IFERROR(MATCH(D591,Settings!$B$6:$B$17,0),12))</f>
        <v/>
      </c>
      <c r="P591">
        <f>IF(AND(G591="Reading",B591&lt;&gt;""),IF(H591="",TODAY(),H591)+ROW()/10000000,"")</f>
        <v/>
      </c>
      <c r="Q591">
        <f>IF(AND(N591&lt;&gt;"",N(J591)=5),N591,"")</f>
        <v/>
      </c>
    </row>
    <row r="592">
      <c r="A592" s="1" t="n"/>
      <c r="B592" s="24" t="n"/>
      <c r="C592" s="25" t="n"/>
      <c r="D592" s="25" t="n"/>
      <c r="E592" s="26" t="n"/>
      <c r="F592" s="27" t="n"/>
      <c r="G592" s="26" t="n"/>
      <c r="H592" s="28" t="n"/>
      <c r="I592" s="28" t="n"/>
      <c r="J592" s="27" t="n"/>
      <c r="K592" s="16">
        <f>IF(OR(H592="",I592=""),"",I592-H592+1)</f>
        <v/>
      </c>
      <c r="L592" s="16">
        <f>IF(OR(K592="",N(F592)=0),"",F592/K592)</f>
        <v/>
      </c>
      <c r="M592" s="25" t="n"/>
      <c r="N592" s="1">
        <f>IF(AND(G592="Finished",I592&lt;&gt;""),IF(YEAR(I592)=Dashboard!$C$4,I592+ROW()/10000000,""),"")</f>
        <v/>
      </c>
      <c r="O592">
        <f>IF(B592="","",IFERROR(MATCH(D592,Settings!$B$6:$B$17,0),12))</f>
        <v/>
      </c>
      <c r="P592">
        <f>IF(AND(G592="Reading",B592&lt;&gt;""),IF(H592="",TODAY(),H592)+ROW()/10000000,"")</f>
        <v/>
      </c>
      <c r="Q592">
        <f>IF(AND(N592&lt;&gt;"",N(J592)=5),N592,"")</f>
        <v/>
      </c>
    </row>
    <row r="593">
      <c r="A593" s="1" t="n"/>
      <c r="B593" s="24" t="n"/>
      <c r="C593" s="25" t="n"/>
      <c r="D593" s="25" t="n"/>
      <c r="E593" s="26" t="n"/>
      <c r="F593" s="27" t="n"/>
      <c r="G593" s="26" t="n"/>
      <c r="H593" s="28" t="n"/>
      <c r="I593" s="28" t="n"/>
      <c r="J593" s="27" t="n"/>
      <c r="K593" s="16">
        <f>IF(OR(H593="",I593=""),"",I593-H593+1)</f>
        <v/>
      </c>
      <c r="L593" s="16">
        <f>IF(OR(K593="",N(F593)=0),"",F593/K593)</f>
        <v/>
      </c>
      <c r="M593" s="25" t="n"/>
      <c r="N593" s="1">
        <f>IF(AND(G593="Finished",I593&lt;&gt;""),IF(YEAR(I593)=Dashboard!$C$4,I593+ROW()/10000000,""),"")</f>
        <v/>
      </c>
      <c r="O593">
        <f>IF(B593="","",IFERROR(MATCH(D593,Settings!$B$6:$B$17,0),12))</f>
        <v/>
      </c>
      <c r="P593">
        <f>IF(AND(G593="Reading",B593&lt;&gt;""),IF(H593="",TODAY(),H593)+ROW()/10000000,"")</f>
        <v/>
      </c>
      <c r="Q593">
        <f>IF(AND(N593&lt;&gt;"",N(J593)=5),N593,"")</f>
        <v/>
      </c>
    </row>
    <row r="594">
      <c r="A594" s="1" t="n"/>
      <c r="B594" s="24" t="n"/>
      <c r="C594" s="25" t="n"/>
      <c r="D594" s="25" t="n"/>
      <c r="E594" s="26" t="n"/>
      <c r="F594" s="27" t="n"/>
      <c r="G594" s="26" t="n"/>
      <c r="H594" s="28" t="n"/>
      <c r="I594" s="28" t="n"/>
      <c r="J594" s="27" t="n"/>
      <c r="K594" s="16">
        <f>IF(OR(H594="",I594=""),"",I594-H594+1)</f>
        <v/>
      </c>
      <c r="L594" s="16">
        <f>IF(OR(K594="",N(F594)=0),"",F594/K594)</f>
        <v/>
      </c>
      <c r="M594" s="25" t="n"/>
      <c r="N594" s="1">
        <f>IF(AND(G594="Finished",I594&lt;&gt;""),IF(YEAR(I594)=Dashboard!$C$4,I594+ROW()/10000000,""),"")</f>
        <v/>
      </c>
      <c r="O594">
        <f>IF(B594="","",IFERROR(MATCH(D594,Settings!$B$6:$B$17,0),12))</f>
        <v/>
      </c>
      <c r="P594">
        <f>IF(AND(G594="Reading",B594&lt;&gt;""),IF(H594="",TODAY(),H594)+ROW()/10000000,"")</f>
        <v/>
      </c>
      <c r="Q594">
        <f>IF(AND(N594&lt;&gt;"",N(J594)=5),N594,"")</f>
        <v/>
      </c>
    </row>
    <row r="595">
      <c r="A595" s="1" t="n"/>
      <c r="B595" s="24" t="n"/>
      <c r="C595" s="25" t="n"/>
      <c r="D595" s="25" t="n"/>
      <c r="E595" s="26" t="n"/>
      <c r="F595" s="27" t="n"/>
      <c r="G595" s="26" t="n"/>
      <c r="H595" s="28" t="n"/>
      <c r="I595" s="28" t="n"/>
      <c r="J595" s="27" t="n"/>
      <c r="K595" s="16">
        <f>IF(OR(H595="",I595=""),"",I595-H595+1)</f>
        <v/>
      </c>
      <c r="L595" s="16">
        <f>IF(OR(K595="",N(F595)=0),"",F595/K595)</f>
        <v/>
      </c>
      <c r="M595" s="25" t="n"/>
      <c r="N595" s="1">
        <f>IF(AND(G595="Finished",I595&lt;&gt;""),IF(YEAR(I595)=Dashboard!$C$4,I595+ROW()/10000000,""),"")</f>
        <v/>
      </c>
      <c r="O595">
        <f>IF(B595="","",IFERROR(MATCH(D595,Settings!$B$6:$B$17,0),12))</f>
        <v/>
      </c>
      <c r="P595">
        <f>IF(AND(G595="Reading",B595&lt;&gt;""),IF(H595="",TODAY(),H595)+ROW()/10000000,"")</f>
        <v/>
      </c>
      <c r="Q595">
        <f>IF(AND(N595&lt;&gt;"",N(J595)=5),N595,"")</f>
        <v/>
      </c>
    </row>
    <row r="596">
      <c r="A596" s="1" t="n"/>
      <c r="B596" s="24" t="n"/>
      <c r="C596" s="25" t="n"/>
      <c r="D596" s="25" t="n"/>
      <c r="E596" s="26" t="n"/>
      <c r="F596" s="27" t="n"/>
      <c r="G596" s="26" t="n"/>
      <c r="H596" s="28" t="n"/>
      <c r="I596" s="28" t="n"/>
      <c r="J596" s="27" t="n"/>
      <c r="K596" s="16">
        <f>IF(OR(H596="",I596=""),"",I596-H596+1)</f>
        <v/>
      </c>
      <c r="L596" s="16">
        <f>IF(OR(K596="",N(F596)=0),"",F596/K596)</f>
        <v/>
      </c>
      <c r="M596" s="25" t="n"/>
      <c r="N596" s="1">
        <f>IF(AND(G596="Finished",I596&lt;&gt;""),IF(YEAR(I596)=Dashboard!$C$4,I596+ROW()/10000000,""),"")</f>
        <v/>
      </c>
      <c r="O596">
        <f>IF(B596="","",IFERROR(MATCH(D596,Settings!$B$6:$B$17,0),12))</f>
        <v/>
      </c>
      <c r="P596">
        <f>IF(AND(G596="Reading",B596&lt;&gt;""),IF(H596="",TODAY(),H596)+ROW()/10000000,"")</f>
        <v/>
      </c>
      <c r="Q596">
        <f>IF(AND(N596&lt;&gt;"",N(J596)=5),N596,"")</f>
        <v/>
      </c>
    </row>
    <row r="597">
      <c r="A597" s="1" t="n"/>
      <c r="B597" s="24" t="n"/>
      <c r="C597" s="25" t="n"/>
      <c r="D597" s="25" t="n"/>
      <c r="E597" s="26" t="n"/>
      <c r="F597" s="27" t="n"/>
      <c r="G597" s="26" t="n"/>
      <c r="H597" s="28" t="n"/>
      <c r="I597" s="28" t="n"/>
      <c r="J597" s="27" t="n"/>
      <c r="K597" s="16">
        <f>IF(OR(H597="",I597=""),"",I597-H597+1)</f>
        <v/>
      </c>
      <c r="L597" s="16">
        <f>IF(OR(K597="",N(F597)=0),"",F597/K597)</f>
        <v/>
      </c>
      <c r="M597" s="25" t="n"/>
      <c r="N597" s="1">
        <f>IF(AND(G597="Finished",I597&lt;&gt;""),IF(YEAR(I597)=Dashboard!$C$4,I597+ROW()/10000000,""),"")</f>
        <v/>
      </c>
      <c r="O597">
        <f>IF(B597="","",IFERROR(MATCH(D597,Settings!$B$6:$B$17,0),12))</f>
        <v/>
      </c>
      <c r="P597">
        <f>IF(AND(G597="Reading",B597&lt;&gt;""),IF(H597="",TODAY(),H597)+ROW()/10000000,"")</f>
        <v/>
      </c>
      <c r="Q597">
        <f>IF(AND(N597&lt;&gt;"",N(J597)=5),N597,"")</f>
        <v/>
      </c>
    </row>
    <row r="598">
      <c r="A598" s="1" t="n"/>
      <c r="B598" s="24" t="n"/>
      <c r="C598" s="25" t="n"/>
      <c r="D598" s="25" t="n"/>
      <c r="E598" s="26" t="n"/>
      <c r="F598" s="27" t="n"/>
      <c r="G598" s="26" t="n"/>
      <c r="H598" s="28" t="n"/>
      <c r="I598" s="28" t="n"/>
      <c r="J598" s="27" t="n"/>
      <c r="K598" s="16">
        <f>IF(OR(H598="",I598=""),"",I598-H598+1)</f>
        <v/>
      </c>
      <c r="L598" s="16">
        <f>IF(OR(K598="",N(F598)=0),"",F598/K598)</f>
        <v/>
      </c>
      <c r="M598" s="25" t="n"/>
      <c r="N598" s="1">
        <f>IF(AND(G598="Finished",I598&lt;&gt;""),IF(YEAR(I598)=Dashboard!$C$4,I598+ROW()/10000000,""),"")</f>
        <v/>
      </c>
      <c r="O598">
        <f>IF(B598="","",IFERROR(MATCH(D598,Settings!$B$6:$B$17,0),12))</f>
        <v/>
      </c>
      <c r="P598">
        <f>IF(AND(G598="Reading",B598&lt;&gt;""),IF(H598="",TODAY(),H598)+ROW()/10000000,"")</f>
        <v/>
      </c>
      <c r="Q598">
        <f>IF(AND(N598&lt;&gt;"",N(J598)=5),N598,"")</f>
        <v/>
      </c>
    </row>
    <row r="599">
      <c r="A599" s="1" t="n"/>
      <c r="B599" s="24" t="n"/>
      <c r="C599" s="25" t="n"/>
      <c r="D599" s="25" t="n"/>
      <c r="E599" s="26" t="n"/>
      <c r="F599" s="27" t="n"/>
      <c r="G599" s="26" t="n"/>
      <c r="H599" s="28" t="n"/>
      <c r="I599" s="28" t="n"/>
      <c r="J599" s="27" t="n"/>
      <c r="K599" s="16">
        <f>IF(OR(H599="",I599=""),"",I599-H599+1)</f>
        <v/>
      </c>
      <c r="L599" s="16">
        <f>IF(OR(K599="",N(F599)=0),"",F599/K599)</f>
        <v/>
      </c>
      <c r="M599" s="25" t="n"/>
      <c r="N599" s="1">
        <f>IF(AND(G599="Finished",I599&lt;&gt;""),IF(YEAR(I599)=Dashboard!$C$4,I599+ROW()/10000000,""),"")</f>
        <v/>
      </c>
      <c r="O599">
        <f>IF(B599="","",IFERROR(MATCH(D599,Settings!$B$6:$B$17,0),12))</f>
        <v/>
      </c>
      <c r="P599">
        <f>IF(AND(G599="Reading",B599&lt;&gt;""),IF(H599="",TODAY(),H599)+ROW()/10000000,"")</f>
        <v/>
      </c>
      <c r="Q599">
        <f>IF(AND(N599&lt;&gt;"",N(J599)=5),N599,"")</f>
        <v/>
      </c>
    </row>
    <row r="600">
      <c r="A600" s="1" t="n"/>
      <c r="B600" s="24" t="n"/>
      <c r="C600" s="25" t="n"/>
      <c r="D600" s="25" t="n"/>
      <c r="E600" s="26" t="n"/>
      <c r="F600" s="27" t="n"/>
      <c r="G600" s="26" t="n"/>
      <c r="H600" s="28" t="n"/>
      <c r="I600" s="28" t="n"/>
      <c r="J600" s="27" t="n"/>
      <c r="K600" s="16">
        <f>IF(OR(H600="",I600=""),"",I600-H600+1)</f>
        <v/>
      </c>
      <c r="L600" s="16">
        <f>IF(OR(K600="",N(F600)=0),"",F600/K600)</f>
        <v/>
      </c>
      <c r="M600" s="25" t="n"/>
      <c r="N600" s="1">
        <f>IF(AND(G600="Finished",I600&lt;&gt;""),IF(YEAR(I600)=Dashboard!$C$4,I600+ROW()/10000000,""),"")</f>
        <v/>
      </c>
      <c r="O600">
        <f>IF(B600="","",IFERROR(MATCH(D600,Settings!$B$6:$B$17,0),12))</f>
        <v/>
      </c>
      <c r="P600">
        <f>IF(AND(G600="Reading",B600&lt;&gt;""),IF(H600="",TODAY(),H600)+ROW()/10000000,"")</f>
        <v/>
      </c>
      <c r="Q600">
        <f>IF(AND(N600&lt;&gt;"",N(J600)=5),N600,"")</f>
        <v/>
      </c>
    </row>
    <row r="601">
      <c r="A601" s="1" t="n"/>
      <c r="B601" s="24" t="n"/>
      <c r="C601" s="25" t="n"/>
      <c r="D601" s="25" t="n"/>
      <c r="E601" s="26" t="n"/>
      <c r="F601" s="27" t="n"/>
      <c r="G601" s="26" t="n"/>
      <c r="H601" s="28" t="n"/>
      <c r="I601" s="28" t="n"/>
      <c r="J601" s="27" t="n"/>
      <c r="K601" s="16">
        <f>IF(OR(H601="",I601=""),"",I601-H601+1)</f>
        <v/>
      </c>
      <c r="L601" s="16">
        <f>IF(OR(K601="",N(F601)=0),"",F601/K601)</f>
        <v/>
      </c>
      <c r="M601" s="25" t="n"/>
      <c r="N601" s="1">
        <f>IF(AND(G601="Finished",I601&lt;&gt;""),IF(YEAR(I601)=Dashboard!$C$4,I601+ROW()/10000000,""),"")</f>
        <v/>
      </c>
      <c r="O601">
        <f>IF(B601="","",IFERROR(MATCH(D601,Settings!$B$6:$B$17,0),12))</f>
        <v/>
      </c>
      <c r="P601">
        <f>IF(AND(G601="Reading",B601&lt;&gt;""),IF(H601="",TODAY(),H601)+ROW()/10000000,"")</f>
        <v/>
      </c>
      <c r="Q601">
        <f>IF(AND(N601&lt;&gt;"",N(J601)=5),N601,"")</f>
        <v/>
      </c>
    </row>
    <row r="602">
      <c r="A602" s="1" t="n"/>
      <c r="B602" s="24" t="n"/>
      <c r="C602" s="25" t="n"/>
      <c r="D602" s="25" t="n"/>
      <c r="E602" s="26" t="n"/>
      <c r="F602" s="27" t="n"/>
      <c r="G602" s="26" t="n"/>
      <c r="H602" s="28" t="n"/>
      <c r="I602" s="28" t="n"/>
      <c r="J602" s="27" t="n"/>
      <c r="K602" s="16">
        <f>IF(OR(H602="",I602=""),"",I602-H602+1)</f>
        <v/>
      </c>
      <c r="L602" s="16">
        <f>IF(OR(K602="",N(F602)=0),"",F602/K602)</f>
        <v/>
      </c>
      <c r="M602" s="25" t="n"/>
      <c r="N602" s="1">
        <f>IF(AND(G602="Finished",I602&lt;&gt;""),IF(YEAR(I602)=Dashboard!$C$4,I602+ROW()/10000000,""),"")</f>
        <v/>
      </c>
      <c r="O602">
        <f>IF(B602="","",IFERROR(MATCH(D602,Settings!$B$6:$B$17,0),12))</f>
        <v/>
      </c>
      <c r="P602">
        <f>IF(AND(G602="Reading",B602&lt;&gt;""),IF(H602="",TODAY(),H602)+ROW()/10000000,"")</f>
        <v/>
      </c>
      <c r="Q602">
        <f>IF(AND(N602&lt;&gt;"",N(J602)=5),N602,"")</f>
        <v/>
      </c>
    </row>
    <row r="603">
      <c r="A603" s="1" t="n"/>
      <c r="B603" s="24" t="n"/>
      <c r="C603" s="25" t="n"/>
      <c r="D603" s="25" t="n"/>
      <c r="E603" s="26" t="n"/>
      <c r="F603" s="27" t="n"/>
      <c r="G603" s="26" t="n"/>
      <c r="H603" s="28" t="n"/>
      <c r="I603" s="28" t="n"/>
      <c r="J603" s="27" t="n"/>
      <c r="K603" s="16">
        <f>IF(OR(H603="",I603=""),"",I603-H603+1)</f>
        <v/>
      </c>
      <c r="L603" s="16">
        <f>IF(OR(K603="",N(F603)=0),"",F603/K603)</f>
        <v/>
      </c>
      <c r="M603" s="25" t="n"/>
      <c r="N603" s="1">
        <f>IF(AND(G603="Finished",I603&lt;&gt;""),IF(YEAR(I603)=Dashboard!$C$4,I603+ROW()/10000000,""),"")</f>
        <v/>
      </c>
      <c r="O603">
        <f>IF(B603="","",IFERROR(MATCH(D603,Settings!$B$6:$B$17,0),12))</f>
        <v/>
      </c>
      <c r="P603">
        <f>IF(AND(G603="Reading",B603&lt;&gt;""),IF(H603="",TODAY(),H603)+ROW()/10000000,"")</f>
        <v/>
      </c>
      <c r="Q603">
        <f>IF(AND(N603&lt;&gt;"",N(J603)=5),N603,"")</f>
        <v/>
      </c>
    </row>
    <row r="604">
      <c r="A604" s="1" t="n"/>
      <c r="B604" s="24" t="n"/>
      <c r="C604" s="25" t="n"/>
      <c r="D604" s="25" t="n"/>
      <c r="E604" s="26" t="n"/>
      <c r="F604" s="27" t="n"/>
      <c r="G604" s="26" t="n"/>
      <c r="H604" s="28" t="n"/>
      <c r="I604" s="28" t="n"/>
      <c r="J604" s="27" t="n"/>
      <c r="K604" s="16">
        <f>IF(OR(H604="",I604=""),"",I604-H604+1)</f>
        <v/>
      </c>
      <c r="L604" s="16">
        <f>IF(OR(K604="",N(F604)=0),"",F604/K604)</f>
        <v/>
      </c>
      <c r="M604" s="25" t="n"/>
      <c r="N604" s="1">
        <f>IF(AND(G604="Finished",I604&lt;&gt;""),IF(YEAR(I604)=Dashboard!$C$4,I604+ROW()/10000000,""),"")</f>
        <v/>
      </c>
      <c r="O604">
        <f>IF(B604="","",IFERROR(MATCH(D604,Settings!$B$6:$B$17,0),12))</f>
        <v/>
      </c>
      <c r="P604">
        <f>IF(AND(G604="Reading",B604&lt;&gt;""),IF(H604="",TODAY(),H604)+ROW()/10000000,"")</f>
        <v/>
      </c>
      <c r="Q604">
        <f>IF(AND(N604&lt;&gt;"",N(J604)=5),N604,"")</f>
        <v/>
      </c>
    </row>
    <row r="605">
      <c r="A605" s="1" t="n"/>
      <c r="B605" s="24" t="n"/>
      <c r="C605" s="25" t="n"/>
      <c r="D605" s="25" t="n"/>
      <c r="E605" s="26" t="n"/>
      <c r="F605" s="27" t="n"/>
      <c r="G605" s="26" t="n"/>
      <c r="H605" s="28" t="n"/>
      <c r="I605" s="28" t="n"/>
      <c r="J605" s="27" t="n"/>
      <c r="K605" s="16">
        <f>IF(OR(H605="",I605=""),"",I605-H605+1)</f>
        <v/>
      </c>
      <c r="L605" s="16">
        <f>IF(OR(K605="",N(F605)=0),"",F605/K605)</f>
        <v/>
      </c>
      <c r="M605" s="25" t="n"/>
      <c r="N605" s="1">
        <f>IF(AND(G605="Finished",I605&lt;&gt;""),IF(YEAR(I605)=Dashboard!$C$4,I605+ROW()/10000000,""),"")</f>
        <v/>
      </c>
      <c r="O605">
        <f>IF(B605="","",IFERROR(MATCH(D605,Settings!$B$6:$B$17,0),12))</f>
        <v/>
      </c>
      <c r="P605">
        <f>IF(AND(G605="Reading",B605&lt;&gt;""),IF(H605="",TODAY(),H605)+ROW()/10000000,"")</f>
        <v/>
      </c>
      <c r="Q605">
        <f>IF(AND(N605&lt;&gt;"",N(J605)=5),N605,"")</f>
        <v/>
      </c>
    </row>
    <row r="606">
      <c r="A606" s="1" t="n"/>
      <c r="B606" s="24" t="n"/>
      <c r="C606" s="25" t="n"/>
      <c r="D606" s="25" t="n"/>
      <c r="E606" s="26" t="n"/>
      <c r="F606" s="27" t="n"/>
      <c r="G606" s="26" t="n"/>
      <c r="H606" s="28" t="n"/>
      <c r="I606" s="28" t="n"/>
      <c r="J606" s="27" t="n"/>
      <c r="K606" s="16">
        <f>IF(OR(H606="",I606=""),"",I606-H606+1)</f>
        <v/>
      </c>
      <c r="L606" s="16">
        <f>IF(OR(K606="",N(F606)=0),"",F606/K606)</f>
        <v/>
      </c>
      <c r="M606" s="25" t="n"/>
      <c r="N606" s="1">
        <f>IF(AND(G606="Finished",I606&lt;&gt;""),IF(YEAR(I606)=Dashboard!$C$4,I606+ROW()/10000000,""),"")</f>
        <v/>
      </c>
      <c r="O606">
        <f>IF(B606="","",IFERROR(MATCH(D606,Settings!$B$6:$B$17,0),12))</f>
        <v/>
      </c>
      <c r="P606">
        <f>IF(AND(G606="Reading",B606&lt;&gt;""),IF(H606="",TODAY(),H606)+ROW()/10000000,"")</f>
        <v/>
      </c>
      <c r="Q606">
        <f>IF(AND(N606&lt;&gt;"",N(J606)=5),N606,"")</f>
        <v/>
      </c>
    </row>
    <row r="607">
      <c r="A607" s="1" t="n"/>
      <c r="B607" s="24" t="n"/>
      <c r="C607" s="25" t="n"/>
      <c r="D607" s="25" t="n"/>
      <c r="E607" s="26" t="n"/>
      <c r="F607" s="27" t="n"/>
      <c r="G607" s="26" t="n"/>
      <c r="H607" s="28" t="n"/>
      <c r="I607" s="28" t="n"/>
      <c r="J607" s="27" t="n"/>
      <c r="K607" s="16">
        <f>IF(OR(H607="",I607=""),"",I607-H607+1)</f>
        <v/>
      </c>
      <c r="L607" s="16">
        <f>IF(OR(K607="",N(F607)=0),"",F607/K607)</f>
        <v/>
      </c>
      <c r="M607" s="25" t="n"/>
      <c r="N607" s="1">
        <f>IF(AND(G607="Finished",I607&lt;&gt;""),IF(YEAR(I607)=Dashboard!$C$4,I607+ROW()/10000000,""),"")</f>
        <v/>
      </c>
      <c r="O607">
        <f>IF(B607="","",IFERROR(MATCH(D607,Settings!$B$6:$B$17,0),12))</f>
        <v/>
      </c>
      <c r="P607">
        <f>IF(AND(G607="Reading",B607&lt;&gt;""),IF(H607="",TODAY(),H607)+ROW()/10000000,"")</f>
        <v/>
      </c>
      <c r="Q607">
        <f>IF(AND(N607&lt;&gt;"",N(J607)=5),N607,"")</f>
        <v/>
      </c>
    </row>
    <row r="608">
      <c r="A608" s="1" t="n"/>
      <c r="B608" s="24" t="n"/>
      <c r="C608" s="25" t="n"/>
      <c r="D608" s="25" t="n"/>
      <c r="E608" s="26" t="n"/>
      <c r="F608" s="27" t="n"/>
      <c r="G608" s="26" t="n"/>
      <c r="H608" s="28" t="n"/>
      <c r="I608" s="28" t="n"/>
      <c r="J608" s="27" t="n"/>
      <c r="K608" s="16">
        <f>IF(OR(H608="",I608=""),"",I608-H608+1)</f>
        <v/>
      </c>
      <c r="L608" s="16">
        <f>IF(OR(K608="",N(F608)=0),"",F608/K608)</f>
        <v/>
      </c>
      <c r="M608" s="25" t="n"/>
      <c r="N608" s="1">
        <f>IF(AND(G608="Finished",I608&lt;&gt;""),IF(YEAR(I608)=Dashboard!$C$4,I608+ROW()/10000000,""),"")</f>
        <v/>
      </c>
      <c r="O608">
        <f>IF(B608="","",IFERROR(MATCH(D608,Settings!$B$6:$B$17,0),12))</f>
        <v/>
      </c>
      <c r="P608">
        <f>IF(AND(G608="Reading",B608&lt;&gt;""),IF(H608="",TODAY(),H608)+ROW()/10000000,"")</f>
        <v/>
      </c>
      <c r="Q608">
        <f>IF(AND(N608&lt;&gt;"",N(J608)=5),N608,"")</f>
        <v/>
      </c>
    </row>
    <row r="609">
      <c r="A609" s="1" t="n"/>
      <c r="B609" s="24" t="n"/>
      <c r="C609" s="25" t="n"/>
      <c r="D609" s="25" t="n"/>
      <c r="E609" s="26" t="n"/>
      <c r="F609" s="27" t="n"/>
      <c r="G609" s="26" t="n"/>
      <c r="H609" s="28" t="n"/>
      <c r="I609" s="28" t="n"/>
      <c r="J609" s="27" t="n"/>
      <c r="K609" s="16">
        <f>IF(OR(H609="",I609=""),"",I609-H609+1)</f>
        <v/>
      </c>
      <c r="L609" s="16">
        <f>IF(OR(K609="",N(F609)=0),"",F609/K609)</f>
        <v/>
      </c>
      <c r="M609" s="25" t="n"/>
      <c r="N609" s="1">
        <f>IF(AND(G609="Finished",I609&lt;&gt;""),IF(YEAR(I609)=Dashboard!$C$4,I609+ROW()/10000000,""),"")</f>
        <v/>
      </c>
      <c r="O609">
        <f>IF(B609="","",IFERROR(MATCH(D609,Settings!$B$6:$B$17,0),12))</f>
        <v/>
      </c>
      <c r="P609">
        <f>IF(AND(G609="Reading",B609&lt;&gt;""),IF(H609="",TODAY(),H609)+ROW()/10000000,"")</f>
        <v/>
      </c>
      <c r="Q609">
        <f>IF(AND(N609&lt;&gt;"",N(J609)=5),N609,"")</f>
        <v/>
      </c>
    </row>
    <row r="610">
      <c r="A610" s="1" t="n"/>
      <c r="B610" s="24" t="n"/>
      <c r="C610" s="25" t="n"/>
      <c r="D610" s="25" t="n"/>
      <c r="E610" s="26" t="n"/>
      <c r="F610" s="27" t="n"/>
      <c r="G610" s="26" t="n"/>
      <c r="H610" s="28" t="n"/>
      <c r="I610" s="28" t="n"/>
      <c r="J610" s="27" t="n"/>
      <c r="K610" s="16">
        <f>IF(OR(H610="",I610=""),"",I610-H610+1)</f>
        <v/>
      </c>
      <c r="L610" s="16">
        <f>IF(OR(K610="",N(F610)=0),"",F610/K610)</f>
        <v/>
      </c>
      <c r="M610" s="25" t="n"/>
      <c r="N610" s="1">
        <f>IF(AND(G610="Finished",I610&lt;&gt;""),IF(YEAR(I610)=Dashboard!$C$4,I610+ROW()/10000000,""),"")</f>
        <v/>
      </c>
      <c r="O610">
        <f>IF(B610="","",IFERROR(MATCH(D610,Settings!$B$6:$B$17,0),12))</f>
        <v/>
      </c>
      <c r="P610">
        <f>IF(AND(G610="Reading",B610&lt;&gt;""),IF(H610="",TODAY(),H610)+ROW()/10000000,"")</f>
        <v/>
      </c>
      <c r="Q610">
        <f>IF(AND(N610&lt;&gt;"",N(J610)=5),N610,"")</f>
        <v/>
      </c>
    </row>
    <row r="611">
      <c r="A611" s="1" t="n"/>
      <c r="B611" s="24" t="n"/>
      <c r="C611" s="25" t="n"/>
      <c r="D611" s="25" t="n"/>
      <c r="E611" s="26" t="n"/>
      <c r="F611" s="27" t="n"/>
      <c r="G611" s="26" t="n"/>
      <c r="H611" s="28" t="n"/>
      <c r="I611" s="28" t="n"/>
      <c r="J611" s="27" t="n"/>
      <c r="K611" s="16">
        <f>IF(OR(H611="",I611=""),"",I611-H611+1)</f>
        <v/>
      </c>
      <c r="L611" s="16">
        <f>IF(OR(K611="",N(F611)=0),"",F611/K611)</f>
        <v/>
      </c>
      <c r="M611" s="25" t="n"/>
      <c r="N611" s="1">
        <f>IF(AND(G611="Finished",I611&lt;&gt;""),IF(YEAR(I611)=Dashboard!$C$4,I611+ROW()/10000000,""),"")</f>
        <v/>
      </c>
      <c r="O611">
        <f>IF(B611="","",IFERROR(MATCH(D611,Settings!$B$6:$B$17,0),12))</f>
        <v/>
      </c>
      <c r="P611">
        <f>IF(AND(G611="Reading",B611&lt;&gt;""),IF(H611="",TODAY(),H611)+ROW()/10000000,"")</f>
        <v/>
      </c>
      <c r="Q611">
        <f>IF(AND(N611&lt;&gt;"",N(J611)=5),N611,"")</f>
        <v/>
      </c>
    </row>
    <row r="612">
      <c r="A612" s="1" t="n"/>
      <c r="B612" s="24" t="n"/>
      <c r="C612" s="25" t="n"/>
      <c r="D612" s="25" t="n"/>
      <c r="E612" s="26" t="n"/>
      <c r="F612" s="27" t="n"/>
      <c r="G612" s="26" t="n"/>
      <c r="H612" s="28" t="n"/>
      <c r="I612" s="28" t="n"/>
      <c r="J612" s="27" t="n"/>
      <c r="K612" s="16">
        <f>IF(OR(H612="",I612=""),"",I612-H612+1)</f>
        <v/>
      </c>
      <c r="L612" s="16">
        <f>IF(OR(K612="",N(F612)=0),"",F612/K612)</f>
        <v/>
      </c>
      <c r="M612" s="25" t="n"/>
      <c r="N612" s="1">
        <f>IF(AND(G612="Finished",I612&lt;&gt;""),IF(YEAR(I612)=Dashboard!$C$4,I612+ROW()/10000000,""),"")</f>
        <v/>
      </c>
      <c r="O612">
        <f>IF(B612="","",IFERROR(MATCH(D612,Settings!$B$6:$B$17,0),12))</f>
        <v/>
      </c>
      <c r="P612">
        <f>IF(AND(G612="Reading",B612&lt;&gt;""),IF(H612="",TODAY(),H612)+ROW()/10000000,"")</f>
        <v/>
      </c>
      <c r="Q612">
        <f>IF(AND(N612&lt;&gt;"",N(J612)=5),N612,"")</f>
        <v/>
      </c>
    </row>
    <row r="613">
      <c r="A613" s="1" t="n"/>
      <c r="B613" s="24" t="n"/>
      <c r="C613" s="25" t="n"/>
      <c r="D613" s="25" t="n"/>
      <c r="E613" s="26" t="n"/>
      <c r="F613" s="27" t="n"/>
      <c r="G613" s="26" t="n"/>
      <c r="H613" s="28" t="n"/>
      <c r="I613" s="28" t="n"/>
      <c r="J613" s="27" t="n"/>
      <c r="K613" s="16">
        <f>IF(OR(H613="",I613=""),"",I613-H613+1)</f>
        <v/>
      </c>
      <c r="L613" s="16">
        <f>IF(OR(K613="",N(F613)=0),"",F613/K613)</f>
        <v/>
      </c>
      <c r="M613" s="25" t="n"/>
      <c r="N613" s="1">
        <f>IF(AND(G613="Finished",I613&lt;&gt;""),IF(YEAR(I613)=Dashboard!$C$4,I613+ROW()/10000000,""),"")</f>
        <v/>
      </c>
      <c r="O613">
        <f>IF(B613="","",IFERROR(MATCH(D613,Settings!$B$6:$B$17,0),12))</f>
        <v/>
      </c>
      <c r="P613">
        <f>IF(AND(G613="Reading",B613&lt;&gt;""),IF(H613="",TODAY(),H613)+ROW()/10000000,"")</f>
        <v/>
      </c>
      <c r="Q613">
        <f>IF(AND(N613&lt;&gt;"",N(J613)=5),N613,"")</f>
        <v/>
      </c>
    </row>
    <row r="614">
      <c r="A614" s="1" t="n"/>
      <c r="B614" s="24" t="n"/>
      <c r="C614" s="25" t="n"/>
      <c r="D614" s="25" t="n"/>
      <c r="E614" s="26" t="n"/>
      <c r="F614" s="27" t="n"/>
      <c r="G614" s="26" t="n"/>
      <c r="H614" s="28" t="n"/>
      <c r="I614" s="28" t="n"/>
      <c r="J614" s="27" t="n"/>
      <c r="K614" s="16">
        <f>IF(OR(H614="",I614=""),"",I614-H614+1)</f>
        <v/>
      </c>
      <c r="L614" s="16">
        <f>IF(OR(K614="",N(F614)=0),"",F614/K614)</f>
        <v/>
      </c>
      <c r="M614" s="25" t="n"/>
      <c r="N614" s="1">
        <f>IF(AND(G614="Finished",I614&lt;&gt;""),IF(YEAR(I614)=Dashboard!$C$4,I614+ROW()/10000000,""),"")</f>
        <v/>
      </c>
      <c r="O614">
        <f>IF(B614="","",IFERROR(MATCH(D614,Settings!$B$6:$B$17,0),12))</f>
        <v/>
      </c>
      <c r="P614">
        <f>IF(AND(G614="Reading",B614&lt;&gt;""),IF(H614="",TODAY(),H614)+ROW()/10000000,"")</f>
        <v/>
      </c>
      <c r="Q614">
        <f>IF(AND(N614&lt;&gt;"",N(J614)=5),N614,"")</f>
        <v/>
      </c>
    </row>
    <row r="615">
      <c r="A615" s="1" t="n"/>
      <c r="B615" s="24" t="n"/>
      <c r="C615" s="25" t="n"/>
      <c r="D615" s="25" t="n"/>
      <c r="E615" s="26" t="n"/>
      <c r="F615" s="27" t="n"/>
      <c r="G615" s="26" t="n"/>
      <c r="H615" s="28" t="n"/>
      <c r="I615" s="28" t="n"/>
      <c r="J615" s="27" t="n"/>
      <c r="K615" s="16">
        <f>IF(OR(H615="",I615=""),"",I615-H615+1)</f>
        <v/>
      </c>
      <c r="L615" s="16">
        <f>IF(OR(K615="",N(F615)=0),"",F615/K615)</f>
        <v/>
      </c>
      <c r="M615" s="25" t="n"/>
      <c r="N615" s="1">
        <f>IF(AND(G615="Finished",I615&lt;&gt;""),IF(YEAR(I615)=Dashboard!$C$4,I615+ROW()/10000000,""),"")</f>
        <v/>
      </c>
      <c r="O615">
        <f>IF(B615="","",IFERROR(MATCH(D615,Settings!$B$6:$B$17,0),12))</f>
        <v/>
      </c>
      <c r="P615">
        <f>IF(AND(G615="Reading",B615&lt;&gt;""),IF(H615="",TODAY(),H615)+ROW()/10000000,"")</f>
        <v/>
      </c>
      <c r="Q615">
        <f>IF(AND(N615&lt;&gt;"",N(J615)=5),N615,"")</f>
        <v/>
      </c>
    </row>
    <row r="616">
      <c r="A616" s="1" t="n"/>
      <c r="B616" s="24" t="n"/>
      <c r="C616" s="25" t="n"/>
      <c r="D616" s="25" t="n"/>
      <c r="E616" s="26" t="n"/>
      <c r="F616" s="27" t="n"/>
      <c r="G616" s="26" t="n"/>
      <c r="H616" s="28" t="n"/>
      <c r="I616" s="28" t="n"/>
      <c r="J616" s="27" t="n"/>
      <c r="K616" s="16">
        <f>IF(OR(H616="",I616=""),"",I616-H616+1)</f>
        <v/>
      </c>
      <c r="L616" s="16">
        <f>IF(OR(K616="",N(F616)=0),"",F616/K616)</f>
        <v/>
      </c>
      <c r="M616" s="25" t="n"/>
      <c r="N616" s="1">
        <f>IF(AND(G616="Finished",I616&lt;&gt;""),IF(YEAR(I616)=Dashboard!$C$4,I616+ROW()/10000000,""),"")</f>
        <v/>
      </c>
      <c r="O616">
        <f>IF(B616="","",IFERROR(MATCH(D616,Settings!$B$6:$B$17,0),12))</f>
        <v/>
      </c>
      <c r="P616">
        <f>IF(AND(G616="Reading",B616&lt;&gt;""),IF(H616="",TODAY(),H616)+ROW()/10000000,"")</f>
        <v/>
      </c>
      <c r="Q616">
        <f>IF(AND(N616&lt;&gt;"",N(J616)=5),N616,"")</f>
        <v/>
      </c>
    </row>
    <row r="617">
      <c r="A617" s="1" t="n"/>
      <c r="B617" s="24" t="n"/>
      <c r="C617" s="25" t="n"/>
      <c r="D617" s="25" t="n"/>
      <c r="E617" s="26" t="n"/>
      <c r="F617" s="27" t="n"/>
      <c r="G617" s="26" t="n"/>
      <c r="H617" s="28" t="n"/>
      <c r="I617" s="28" t="n"/>
      <c r="J617" s="27" t="n"/>
      <c r="K617" s="16">
        <f>IF(OR(H617="",I617=""),"",I617-H617+1)</f>
        <v/>
      </c>
      <c r="L617" s="16">
        <f>IF(OR(K617="",N(F617)=0),"",F617/K617)</f>
        <v/>
      </c>
      <c r="M617" s="25" t="n"/>
      <c r="N617" s="1">
        <f>IF(AND(G617="Finished",I617&lt;&gt;""),IF(YEAR(I617)=Dashboard!$C$4,I617+ROW()/10000000,""),"")</f>
        <v/>
      </c>
      <c r="O617">
        <f>IF(B617="","",IFERROR(MATCH(D617,Settings!$B$6:$B$17,0),12))</f>
        <v/>
      </c>
      <c r="P617">
        <f>IF(AND(G617="Reading",B617&lt;&gt;""),IF(H617="",TODAY(),H617)+ROW()/10000000,"")</f>
        <v/>
      </c>
      <c r="Q617">
        <f>IF(AND(N617&lt;&gt;"",N(J617)=5),N617,"")</f>
        <v/>
      </c>
    </row>
    <row r="618">
      <c r="A618" s="1" t="n"/>
      <c r="B618" s="24" t="n"/>
      <c r="C618" s="25" t="n"/>
      <c r="D618" s="25" t="n"/>
      <c r="E618" s="26" t="n"/>
      <c r="F618" s="27" t="n"/>
      <c r="G618" s="26" t="n"/>
      <c r="H618" s="28" t="n"/>
      <c r="I618" s="28" t="n"/>
      <c r="J618" s="27" t="n"/>
      <c r="K618" s="16">
        <f>IF(OR(H618="",I618=""),"",I618-H618+1)</f>
        <v/>
      </c>
      <c r="L618" s="16">
        <f>IF(OR(K618="",N(F618)=0),"",F618/K618)</f>
        <v/>
      </c>
      <c r="M618" s="25" t="n"/>
      <c r="N618" s="1">
        <f>IF(AND(G618="Finished",I618&lt;&gt;""),IF(YEAR(I618)=Dashboard!$C$4,I618+ROW()/10000000,""),"")</f>
        <v/>
      </c>
      <c r="O618">
        <f>IF(B618="","",IFERROR(MATCH(D618,Settings!$B$6:$B$17,0),12))</f>
        <v/>
      </c>
      <c r="P618">
        <f>IF(AND(G618="Reading",B618&lt;&gt;""),IF(H618="",TODAY(),H618)+ROW()/10000000,"")</f>
        <v/>
      </c>
      <c r="Q618">
        <f>IF(AND(N618&lt;&gt;"",N(J618)=5),N618,"")</f>
        <v/>
      </c>
    </row>
    <row r="619">
      <c r="A619" s="1" t="n"/>
      <c r="B619" s="24" t="n"/>
      <c r="C619" s="25" t="n"/>
      <c r="D619" s="25" t="n"/>
      <c r="E619" s="26" t="n"/>
      <c r="F619" s="27" t="n"/>
      <c r="G619" s="26" t="n"/>
      <c r="H619" s="28" t="n"/>
      <c r="I619" s="28" t="n"/>
      <c r="J619" s="27" t="n"/>
      <c r="K619" s="16">
        <f>IF(OR(H619="",I619=""),"",I619-H619+1)</f>
        <v/>
      </c>
      <c r="L619" s="16">
        <f>IF(OR(K619="",N(F619)=0),"",F619/K619)</f>
        <v/>
      </c>
      <c r="M619" s="25" t="n"/>
      <c r="N619" s="1">
        <f>IF(AND(G619="Finished",I619&lt;&gt;""),IF(YEAR(I619)=Dashboard!$C$4,I619+ROW()/10000000,""),"")</f>
        <v/>
      </c>
      <c r="O619">
        <f>IF(B619="","",IFERROR(MATCH(D619,Settings!$B$6:$B$17,0),12))</f>
        <v/>
      </c>
      <c r="P619">
        <f>IF(AND(G619="Reading",B619&lt;&gt;""),IF(H619="",TODAY(),H619)+ROW()/10000000,"")</f>
        <v/>
      </c>
      <c r="Q619">
        <f>IF(AND(N619&lt;&gt;"",N(J619)=5),N619,"")</f>
        <v/>
      </c>
    </row>
    <row r="620">
      <c r="A620" s="1" t="n"/>
      <c r="B620" s="24" t="n"/>
      <c r="C620" s="25" t="n"/>
      <c r="D620" s="25" t="n"/>
      <c r="E620" s="26" t="n"/>
      <c r="F620" s="27" t="n"/>
      <c r="G620" s="26" t="n"/>
      <c r="H620" s="28" t="n"/>
      <c r="I620" s="28" t="n"/>
      <c r="J620" s="27" t="n"/>
      <c r="K620" s="16">
        <f>IF(OR(H620="",I620=""),"",I620-H620+1)</f>
        <v/>
      </c>
      <c r="L620" s="16">
        <f>IF(OR(K620="",N(F620)=0),"",F620/K620)</f>
        <v/>
      </c>
      <c r="M620" s="25" t="n"/>
      <c r="N620" s="1">
        <f>IF(AND(G620="Finished",I620&lt;&gt;""),IF(YEAR(I620)=Dashboard!$C$4,I620+ROW()/10000000,""),"")</f>
        <v/>
      </c>
      <c r="O620">
        <f>IF(B620="","",IFERROR(MATCH(D620,Settings!$B$6:$B$17,0),12))</f>
        <v/>
      </c>
      <c r="P620">
        <f>IF(AND(G620="Reading",B620&lt;&gt;""),IF(H620="",TODAY(),H620)+ROW()/10000000,"")</f>
        <v/>
      </c>
      <c r="Q620">
        <f>IF(AND(N620&lt;&gt;"",N(J620)=5),N620,"")</f>
        <v/>
      </c>
    </row>
    <row r="621">
      <c r="A621" s="1" t="n"/>
      <c r="B621" s="24" t="n"/>
      <c r="C621" s="25" t="n"/>
      <c r="D621" s="25" t="n"/>
      <c r="E621" s="26" t="n"/>
      <c r="F621" s="27" t="n"/>
      <c r="G621" s="26" t="n"/>
      <c r="H621" s="28" t="n"/>
      <c r="I621" s="28" t="n"/>
      <c r="J621" s="27" t="n"/>
      <c r="K621" s="16">
        <f>IF(OR(H621="",I621=""),"",I621-H621+1)</f>
        <v/>
      </c>
      <c r="L621" s="16">
        <f>IF(OR(K621="",N(F621)=0),"",F621/K621)</f>
        <v/>
      </c>
      <c r="M621" s="25" t="n"/>
      <c r="N621" s="1">
        <f>IF(AND(G621="Finished",I621&lt;&gt;""),IF(YEAR(I621)=Dashboard!$C$4,I621+ROW()/10000000,""),"")</f>
        <v/>
      </c>
      <c r="O621">
        <f>IF(B621="","",IFERROR(MATCH(D621,Settings!$B$6:$B$17,0),12))</f>
        <v/>
      </c>
      <c r="P621">
        <f>IF(AND(G621="Reading",B621&lt;&gt;""),IF(H621="",TODAY(),H621)+ROW()/10000000,"")</f>
        <v/>
      </c>
      <c r="Q621">
        <f>IF(AND(N621&lt;&gt;"",N(J621)=5),N621,"")</f>
        <v/>
      </c>
    </row>
    <row r="622">
      <c r="A622" s="1" t="n"/>
      <c r="B622" s="24" t="n"/>
      <c r="C622" s="25" t="n"/>
      <c r="D622" s="25" t="n"/>
      <c r="E622" s="26" t="n"/>
      <c r="F622" s="27" t="n"/>
      <c r="G622" s="26" t="n"/>
      <c r="H622" s="28" t="n"/>
      <c r="I622" s="28" t="n"/>
      <c r="J622" s="27" t="n"/>
      <c r="K622" s="16">
        <f>IF(OR(H622="",I622=""),"",I622-H622+1)</f>
        <v/>
      </c>
      <c r="L622" s="16">
        <f>IF(OR(K622="",N(F622)=0),"",F622/K622)</f>
        <v/>
      </c>
      <c r="M622" s="25" t="n"/>
      <c r="N622" s="1">
        <f>IF(AND(G622="Finished",I622&lt;&gt;""),IF(YEAR(I622)=Dashboard!$C$4,I622+ROW()/10000000,""),"")</f>
        <v/>
      </c>
      <c r="O622">
        <f>IF(B622="","",IFERROR(MATCH(D622,Settings!$B$6:$B$17,0),12))</f>
        <v/>
      </c>
      <c r="P622">
        <f>IF(AND(G622="Reading",B622&lt;&gt;""),IF(H622="",TODAY(),H622)+ROW()/10000000,"")</f>
        <v/>
      </c>
      <c r="Q622">
        <f>IF(AND(N622&lt;&gt;"",N(J622)=5),N622,"")</f>
        <v/>
      </c>
    </row>
    <row r="623">
      <c r="A623" s="1" t="n"/>
      <c r="B623" s="24" t="n"/>
      <c r="C623" s="25" t="n"/>
      <c r="D623" s="25" t="n"/>
      <c r="E623" s="26" t="n"/>
      <c r="F623" s="27" t="n"/>
      <c r="G623" s="26" t="n"/>
      <c r="H623" s="28" t="n"/>
      <c r="I623" s="28" t="n"/>
      <c r="J623" s="27" t="n"/>
      <c r="K623" s="16">
        <f>IF(OR(H623="",I623=""),"",I623-H623+1)</f>
        <v/>
      </c>
      <c r="L623" s="16">
        <f>IF(OR(K623="",N(F623)=0),"",F623/K623)</f>
        <v/>
      </c>
      <c r="M623" s="25" t="n"/>
      <c r="N623" s="1">
        <f>IF(AND(G623="Finished",I623&lt;&gt;""),IF(YEAR(I623)=Dashboard!$C$4,I623+ROW()/10000000,""),"")</f>
        <v/>
      </c>
      <c r="O623">
        <f>IF(B623="","",IFERROR(MATCH(D623,Settings!$B$6:$B$17,0),12))</f>
        <v/>
      </c>
      <c r="P623">
        <f>IF(AND(G623="Reading",B623&lt;&gt;""),IF(H623="",TODAY(),H623)+ROW()/10000000,"")</f>
        <v/>
      </c>
      <c r="Q623">
        <f>IF(AND(N623&lt;&gt;"",N(J623)=5),N623,"")</f>
        <v/>
      </c>
    </row>
    <row r="624">
      <c r="A624" s="1" t="n"/>
      <c r="B624" s="24" t="n"/>
      <c r="C624" s="25" t="n"/>
      <c r="D624" s="25" t="n"/>
      <c r="E624" s="26" t="n"/>
      <c r="F624" s="27" t="n"/>
      <c r="G624" s="26" t="n"/>
      <c r="H624" s="28" t="n"/>
      <c r="I624" s="28" t="n"/>
      <c r="J624" s="27" t="n"/>
      <c r="K624" s="16">
        <f>IF(OR(H624="",I624=""),"",I624-H624+1)</f>
        <v/>
      </c>
      <c r="L624" s="16">
        <f>IF(OR(K624="",N(F624)=0),"",F624/K624)</f>
        <v/>
      </c>
      <c r="M624" s="25" t="n"/>
      <c r="N624" s="1">
        <f>IF(AND(G624="Finished",I624&lt;&gt;""),IF(YEAR(I624)=Dashboard!$C$4,I624+ROW()/10000000,""),"")</f>
        <v/>
      </c>
      <c r="O624">
        <f>IF(B624="","",IFERROR(MATCH(D624,Settings!$B$6:$B$17,0),12))</f>
        <v/>
      </c>
      <c r="P624">
        <f>IF(AND(G624="Reading",B624&lt;&gt;""),IF(H624="",TODAY(),H624)+ROW()/10000000,"")</f>
        <v/>
      </c>
      <c r="Q624">
        <f>IF(AND(N624&lt;&gt;"",N(J624)=5),N624,"")</f>
        <v/>
      </c>
    </row>
    <row r="625">
      <c r="A625" s="1" t="n"/>
      <c r="B625" s="24" t="n"/>
      <c r="C625" s="25" t="n"/>
      <c r="D625" s="25" t="n"/>
      <c r="E625" s="26" t="n"/>
      <c r="F625" s="27" t="n"/>
      <c r="G625" s="26" t="n"/>
      <c r="H625" s="28" t="n"/>
      <c r="I625" s="28" t="n"/>
      <c r="J625" s="27" t="n"/>
      <c r="K625" s="16">
        <f>IF(OR(H625="",I625=""),"",I625-H625+1)</f>
        <v/>
      </c>
      <c r="L625" s="16">
        <f>IF(OR(K625="",N(F625)=0),"",F625/K625)</f>
        <v/>
      </c>
      <c r="M625" s="25" t="n"/>
      <c r="N625" s="1">
        <f>IF(AND(G625="Finished",I625&lt;&gt;""),IF(YEAR(I625)=Dashboard!$C$4,I625+ROW()/10000000,""),"")</f>
        <v/>
      </c>
      <c r="O625">
        <f>IF(B625="","",IFERROR(MATCH(D625,Settings!$B$6:$B$17,0),12))</f>
        <v/>
      </c>
      <c r="P625">
        <f>IF(AND(G625="Reading",B625&lt;&gt;""),IF(H625="",TODAY(),H625)+ROW()/10000000,"")</f>
        <v/>
      </c>
      <c r="Q625">
        <f>IF(AND(N625&lt;&gt;"",N(J625)=5),N625,"")</f>
        <v/>
      </c>
    </row>
    <row r="626">
      <c r="A626" s="1" t="n"/>
      <c r="B626" s="24" t="n"/>
      <c r="C626" s="25" t="n"/>
      <c r="D626" s="25" t="n"/>
      <c r="E626" s="26" t="n"/>
      <c r="F626" s="27" t="n"/>
      <c r="G626" s="26" t="n"/>
      <c r="H626" s="28" t="n"/>
      <c r="I626" s="28" t="n"/>
      <c r="J626" s="27" t="n"/>
      <c r="K626" s="16">
        <f>IF(OR(H626="",I626=""),"",I626-H626+1)</f>
        <v/>
      </c>
      <c r="L626" s="16">
        <f>IF(OR(K626="",N(F626)=0),"",F626/K626)</f>
        <v/>
      </c>
      <c r="M626" s="25" t="n"/>
      <c r="N626" s="1">
        <f>IF(AND(G626="Finished",I626&lt;&gt;""),IF(YEAR(I626)=Dashboard!$C$4,I626+ROW()/10000000,""),"")</f>
        <v/>
      </c>
      <c r="O626">
        <f>IF(B626="","",IFERROR(MATCH(D626,Settings!$B$6:$B$17,0),12))</f>
        <v/>
      </c>
      <c r="P626">
        <f>IF(AND(G626="Reading",B626&lt;&gt;""),IF(H626="",TODAY(),H626)+ROW()/10000000,"")</f>
        <v/>
      </c>
      <c r="Q626">
        <f>IF(AND(N626&lt;&gt;"",N(J626)=5),N626,"")</f>
        <v/>
      </c>
    </row>
    <row r="627">
      <c r="A627" s="1" t="n"/>
      <c r="B627" s="24" t="n"/>
      <c r="C627" s="25" t="n"/>
      <c r="D627" s="25" t="n"/>
      <c r="E627" s="26" t="n"/>
      <c r="F627" s="27" t="n"/>
      <c r="G627" s="26" t="n"/>
      <c r="H627" s="28" t="n"/>
      <c r="I627" s="28" t="n"/>
      <c r="J627" s="27" t="n"/>
      <c r="K627" s="16">
        <f>IF(OR(H627="",I627=""),"",I627-H627+1)</f>
        <v/>
      </c>
      <c r="L627" s="16">
        <f>IF(OR(K627="",N(F627)=0),"",F627/K627)</f>
        <v/>
      </c>
      <c r="M627" s="25" t="n"/>
      <c r="N627" s="1">
        <f>IF(AND(G627="Finished",I627&lt;&gt;""),IF(YEAR(I627)=Dashboard!$C$4,I627+ROW()/10000000,""),"")</f>
        <v/>
      </c>
      <c r="O627">
        <f>IF(B627="","",IFERROR(MATCH(D627,Settings!$B$6:$B$17,0),12))</f>
        <v/>
      </c>
      <c r="P627">
        <f>IF(AND(G627="Reading",B627&lt;&gt;""),IF(H627="",TODAY(),H627)+ROW()/10000000,"")</f>
        <v/>
      </c>
      <c r="Q627">
        <f>IF(AND(N627&lt;&gt;"",N(J627)=5),N627,"")</f>
        <v/>
      </c>
    </row>
    <row r="628">
      <c r="A628" s="1" t="n"/>
      <c r="B628" s="24" t="n"/>
      <c r="C628" s="25" t="n"/>
      <c r="D628" s="25" t="n"/>
      <c r="E628" s="26" t="n"/>
      <c r="F628" s="27" t="n"/>
      <c r="G628" s="26" t="n"/>
      <c r="H628" s="28" t="n"/>
      <c r="I628" s="28" t="n"/>
      <c r="J628" s="27" t="n"/>
      <c r="K628" s="16">
        <f>IF(OR(H628="",I628=""),"",I628-H628+1)</f>
        <v/>
      </c>
      <c r="L628" s="16">
        <f>IF(OR(K628="",N(F628)=0),"",F628/K628)</f>
        <v/>
      </c>
      <c r="M628" s="25" t="n"/>
      <c r="N628" s="1">
        <f>IF(AND(G628="Finished",I628&lt;&gt;""),IF(YEAR(I628)=Dashboard!$C$4,I628+ROW()/10000000,""),"")</f>
        <v/>
      </c>
      <c r="O628">
        <f>IF(B628="","",IFERROR(MATCH(D628,Settings!$B$6:$B$17,0),12))</f>
        <v/>
      </c>
      <c r="P628">
        <f>IF(AND(G628="Reading",B628&lt;&gt;""),IF(H628="",TODAY(),H628)+ROW()/10000000,"")</f>
        <v/>
      </c>
      <c r="Q628">
        <f>IF(AND(N628&lt;&gt;"",N(J628)=5),N628,"")</f>
        <v/>
      </c>
    </row>
    <row r="629">
      <c r="A629" s="1" t="n"/>
      <c r="B629" s="24" t="n"/>
      <c r="C629" s="25" t="n"/>
      <c r="D629" s="25" t="n"/>
      <c r="E629" s="26" t="n"/>
      <c r="F629" s="27" t="n"/>
      <c r="G629" s="26" t="n"/>
      <c r="H629" s="28" t="n"/>
      <c r="I629" s="28" t="n"/>
      <c r="J629" s="27" t="n"/>
      <c r="K629" s="16">
        <f>IF(OR(H629="",I629=""),"",I629-H629+1)</f>
        <v/>
      </c>
      <c r="L629" s="16">
        <f>IF(OR(K629="",N(F629)=0),"",F629/K629)</f>
        <v/>
      </c>
      <c r="M629" s="25" t="n"/>
      <c r="N629" s="1">
        <f>IF(AND(G629="Finished",I629&lt;&gt;""),IF(YEAR(I629)=Dashboard!$C$4,I629+ROW()/10000000,""),"")</f>
        <v/>
      </c>
      <c r="O629">
        <f>IF(B629="","",IFERROR(MATCH(D629,Settings!$B$6:$B$17,0),12))</f>
        <v/>
      </c>
      <c r="P629">
        <f>IF(AND(G629="Reading",B629&lt;&gt;""),IF(H629="",TODAY(),H629)+ROW()/10000000,"")</f>
        <v/>
      </c>
      <c r="Q629">
        <f>IF(AND(N629&lt;&gt;"",N(J629)=5),N629,"")</f>
        <v/>
      </c>
    </row>
    <row r="630">
      <c r="A630" s="1" t="n"/>
      <c r="B630" s="24" t="n"/>
      <c r="C630" s="25" t="n"/>
      <c r="D630" s="25" t="n"/>
      <c r="E630" s="26" t="n"/>
      <c r="F630" s="27" t="n"/>
      <c r="G630" s="26" t="n"/>
      <c r="H630" s="28" t="n"/>
      <c r="I630" s="28" t="n"/>
      <c r="J630" s="27" t="n"/>
      <c r="K630" s="16">
        <f>IF(OR(H630="",I630=""),"",I630-H630+1)</f>
        <v/>
      </c>
      <c r="L630" s="16">
        <f>IF(OR(K630="",N(F630)=0),"",F630/K630)</f>
        <v/>
      </c>
      <c r="M630" s="25" t="n"/>
      <c r="N630" s="1">
        <f>IF(AND(G630="Finished",I630&lt;&gt;""),IF(YEAR(I630)=Dashboard!$C$4,I630+ROW()/10000000,""),"")</f>
        <v/>
      </c>
      <c r="O630">
        <f>IF(B630="","",IFERROR(MATCH(D630,Settings!$B$6:$B$17,0),12))</f>
        <v/>
      </c>
      <c r="P630">
        <f>IF(AND(G630="Reading",B630&lt;&gt;""),IF(H630="",TODAY(),H630)+ROW()/10000000,"")</f>
        <v/>
      </c>
      <c r="Q630">
        <f>IF(AND(N630&lt;&gt;"",N(J630)=5),N630,"")</f>
        <v/>
      </c>
    </row>
    <row r="631">
      <c r="A631" s="1" t="n"/>
      <c r="B631" s="24" t="n"/>
      <c r="C631" s="25" t="n"/>
      <c r="D631" s="25" t="n"/>
      <c r="E631" s="26" t="n"/>
      <c r="F631" s="27" t="n"/>
      <c r="G631" s="26" t="n"/>
      <c r="H631" s="28" t="n"/>
      <c r="I631" s="28" t="n"/>
      <c r="J631" s="27" t="n"/>
      <c r="K631" s="16">
        <f>IF(OR(H631="",I631=""),"",I631-H631+1)</f>
        <v/>
      </c>
      <c r="L631" s="16">
        <f>IF(OR(K631="",N(F631)=0),"",F631/K631)</f>
        <v/>
      </c>
      <c r="M631" s="25" t="n"/>
      <c r="N631" s="1">
        <f>IF(AND(G631="Finished",I631&lt;&gt;""),IF(YEAR(I631)=Dashboard!$C$4,I631+ROW()/10000000,""),"")</f>
        <v/>
      </c>
      <c r="O631">
        <f>IF(B631="","",IFERROR(MATCH(D631,Settings!$B$6:$B$17,0),12))</f>
        <v/>
      </c>
      <c r="P631">
        <f>IF(AND(G631="Reading",B631&lt;&gt;""),IF(H631="",TODAY(),H631)+ROW()/10000000,"")</f>
        <v/>
      </c>
      <c r="Q631">
        <f>IF(AND(N631&lt;&gt;"",N(J631)=5),N631,"")</f>
        <v/>
      </c>
    </row>
    <row r="632">
      <c r="A632" s="1" t="n"/>
      <c r="B632" s="24" t="n"/>
      <c r="C632" s="25" t="n"/>
      <c r="D632" s="25" t="n"/>
      <c r="E632" s="26" t="n"/>
      <c r="F632" s="27" t="n"/>
      <c r="G632" s="26" t="n"/>
      <c r="H632" s="28" t="n"/>
      <c r="I632" s="28" t="n"/>
      <c r="J632" s="27" t="n"/>
      <c r="K632" s="16">
        <f>IF(OR(H632="",I632=""),"",I632-H632+1)</f>
        <v/>
      </c>
      <c r="L632" s="16">
        <f>IF(OR(K632="",N(F632)=0),"",F632/K632)</f>
        <v/>
      </c>
      <c r="M632" s="25" t="n"/>
      <c r="N632" s="1">
        <f>IF(AND(G632="Finished",I632&lt;&gt;""),IF(YEAR(I632)=Dashboard!$C$4,I632+ROW()/10000000,""),"")</f>
        <v/>
      </c>
      <c r="O632">
        <f>IF(B632="","",IFERROR(MATCH(D632,Settings!$B$6:$B$17,0),12))</f>
        <v/>
      </c>
      <c r="P632">
        <f>IF(AND(G632="Reading",B632&lt;&gt;""),IF(H632="",TODAY(),H632)+ROW()/10000000,"")</f>
        <v/>
      </c>
      <c r="Q632">
        <f>IF(AND(N632&lt;&gt;"",N(J632)=5),N632,"")</f>
        <v/>
      </c>
    </row>
    <row r="633">
      <c r="A633" s="1" t="n"/>
      <c r="B633" s="24" t="n"/>
      <c r="C633" s="25" t="n"/>
      <c r="D633" s="25" t="n"/>
      <c r="E633" s="26" t="n"/>
      <c r="F633" s="27" t="n"/>
      <c r="G633" s="26" t="n"/>
      <c r="H633" s="28" t="n"/>
      <c r="I633" s="28" t="n"/>
      <c r="J633" s="27" t="n"/>
      <c r="K633" s="16">
        <f>IF(OR(H633="",I633=""),"",I633-H633+1)</f>
        <v/>
      </c>
      <c r="L633" s="16">
        <f>IF(OR(K633="",N(F633)=0),"",F633/K633)</f>
        <v/>
      </c>
      <c r="M633" s="25" t="n"/>
      <c r="N633" s="1">
        <f>IF(AND(G633="Finished",I633&lt;&gt;""),IF(YEAR(I633)=Dashboard!$C$4,I633+ROW()/10000000,""),"")</f>
        <v/>
      </c>
      <c r="O633">
        <f>IF(B633="","",IFERROR(MATCH(D633,Settings!$B$6:$B$17,0),12))</f>
        <v/>
      </c>
      <c r="P633">
        <f>IF(AND(G633="Reading",B633&lt;&gt;""),IF(H633="",TODAY(),H633)+ROW()/10000000,"")</f>
        <v/>
      </c>
      <c r="Q633">
        <f>IF(AND(N633&lt;&gt;"",N(J633)=5),N633,"")</f>
        <v/>
      </c>
    </row>
    <row r="634">
      <c r="A634" s="1" t="n"/>
      <c r="B634" s="24" t="n"/>
      <c r="C634" s="25" t="n"/>
      <c r="D634" s="25" t="n"/>
      <c r="E634" s="26" t="n"/>
      <c r="F634" s="27" t="n"/>
      <c r="G634" s="26" t="n"/>
      <c r="H634" s="28" t="n"/>
      <c r="I634" s="28" t="n"/>
      <c r="J634" s="27" t="n"/>
      <c r="K634" s="16">
        <f>IF(OR(H634="",I634=""),"",I634-H634+1)</f>
        <v/>
      </c>
      <c r="L634" s="16">
        <f>IF(OR(K634="",N(F634)=0),"",F634/K634)</f>
        <v/>
      </c>
      <c r="M634" s="25" t="n"/>
      <c r="N634" s="1">
        <f>IF(AND(G634="Finished",I634&lt;&gt;""),IF(YEAR(I634)=Dashboard!$C$4,I634+ROW()/10000000,""),"")</f>
        <v/>
      </c>
      <c r="O634">
        <f>IF(B634="","",IFERROR(MATCH(D634,Settings!$B$6:$B$17,0),12))</f>
        <v/>
      </c>
      <c r="P634">
        <f>IF(AND(G634="Reading",B634&lt;&gt;""),IF(H634="",TODAY(),H634)+ROW()/10000000,"")</f>
        <v/>
      </c>
      <c r="Q634">
        <f>IF(AND(N634&lt;&gt;"",N(J634)=5),N634,"")</f>
        <v/>
      </c>
    </row>
    <row r="635">
      <c r="A635" s="1" t="n"/>
      <c r="B635" s="24" t="n"/>
      <c r="C635" s="25" t="n"/>
      <c r="D635" s="25" t="n"/>
      <c r="E635" s="26" t="n"/>
      <c r="F635" s="27" t="n"/>
      <c r="G635" s="26" t="n"/>
      <c r="H635" s="28" t="n"/>
      <c r="I635" s="28" t="n"/>
      <c r="J635" s="27" t="n"/>
      <c r="K635" s="16">
        <f>IF(OR(H635="",I635=""),"",I635-H635+1)</f>
        <v/>
      </c>
      <c r="L635" s="16">
        <f>IF(OR(K635="",N(F635)=0),"",F635/K635)</f>
        <v/>
      </c>
      <c r="M635" s="25" t="n"/>
      <c r="N635" s="1">
        <f>IF(AND(G635="Finished",I635&lt;&gt;""),IF(YEAR(I635)=Dashboard!$C$4,I635+ROW()/10000000,""),"")</f>
        <v/>
      </c>
      <c r="O635">
        <f>IF(B635="","",IFERROR(MATCH(D635,Settings!$B$6:$B$17,0),12))</f>
        <v/>
      </c>
      <c r="P635">
        <f>IF(AND(G635="Reading",B635&lt;&gt;""),IF(H635="",TODAY(),H635)+ROW()/10000000,"")</f>
        <v/>
      </c>
      <c r="Q635">
        <f>IF(AND(N635&lt;&gt;"",N(J635)=5),N635,"")</f>
        <v/>
      </c>
    </row>
    <row r="636">
      <c r="A636" s="1" t="n"/>
      <c r="B636" s="24" t="n"/>
      <c r="C636" s="25" t="n"/>
      <c r="D636" s="25" t="n"/>
      <c r="E636" s="26" t="n"/>
      <c r="F636" s="27" t="n"/>
      <c r="G636" s="26" t="n"/>
      <c r="H636" s="28" t="n"/>
      <c r="I636" s="28" t="n"/>
      <c r="J636" s="27" t="n"/>
      <c r="K636" s="16">
        <f>IF(OR(H636="",I636=""),"",I636-H636+1)</f>
        <v/>
      </c>
      <c r="L636" s="16">
        <f>IF(OR(K636="",N(F636)=0),"",F636/K636)</f>
        <v/>
      </c>
      <c r="M636" s="25" t="n"/>
      <c r="N636" s="1">
        <f>IF(AND(G636="Finished",I636&lt;&gt;""),IF(YEAR(I636)=Dashboard!$C$4,I636+ROW()/10000000,""),"")</f>
        <v/>
      </c>
      <c r="O636">
        <f>IF(B636="","",IFERROR(MATCH(D636,Settings!$B$6:$B$17,0),12))</f>
        <v/>
      </c>
      <c r="P636">
        <f>IF(AND(G636="Reading",B636&lt;&gt;""),IF(H636="",TODAY(),H636)+ROW()/10000000,"")</f>
        <v/>
      </c>
      <c r="Q636">
        <f>IF(AND(N636&lt;&gt;"",N(J636)=5),N636,"")</f>
        <v/>
      </c>
    </row>
    <row r="637">
      <c r="A637" s="1" t="n"/>
      <c r="B637" s="24" t="n"/>
      <c r="C637" s="25" t="n"/>
      <c r="D637" s="25" t="n"/>
      <c r="E637" s="26" t="n"/>
      <c r="F637" s="27" t="n"/>
      <c r="G637" s="26" t="n"/>
      <c r="H637" s="28" t="n"/>
      <c r="I637" s="28" t="n"/>
      <c r="J637" s="27" t="n"/>
      <c r="K637" s="16">
        <f>IF(OR(H637="",I637=""),"",I637-H637+1)</f>
        <v/>
      </c>
      <c r="L637" s="16">
        <f>IF(OR(K637="",N(F637)=0),"",F637/K637)</f>
        <v/>
      </c>
      <c r="M637" s="25" t="n"/>
      <c r="N637" s="1">
        <f>IF(AND(G637="Finished",I637&lt;&gt;""),IF(YEAR(I637)=Dashboard!$C$4,I637+ROW()/10000000,""),"")</f>
        <v/>
      </c>
      <c r="O637">
        <f>IF(B637="","",IFERROR(MATCH(D637,Settings!$B$6:$B$17,0),12))</f>
        <v/>
      </c>
      <c r="P637">
        <f>IF(AND(G637="Reading",B637&lt;&gt;""),IF(H637="",TODAY(),H637)+ROW()/10000000,"")</f>
        <v/>
      </c>
      <c r="Q637">
        <f>IF(AND(N637&lt;&gt;"",N(J637)=5),N637,"")</f>
        <v/>
      </c>
    </row>
    <row r="638">
      <c r="A638" s="1" t="n"/>
      <c r="B638" s="24" t="n"/>
      <c r="C638" s="25" t="n"/>
      <c r="D638" s="25" t="n"/>
      <c r="E638" s="26" t="n"/>
      <c r="F638" s="27" t="n"/>
      <c r="G638" s="26" t="n"/>
      <c r="H638" s="28" t="n"/>
      <c r="I638" s="28" t="n"/>
      <c r="J638" s="27" t="n"/>
      <c r="K638" s="16">
        <f>IF(OR(H638="",I638=""),"",I638-H638+1)</f>
        <v/>
      </c>
      <c r="L638" s="16">
        <f>IF(OR(K638="",N(F638)=0),"",F638/K638)</f>
        <v/>
      </c>
      <c r="M638" s="25" t="n"/>
      <c r="N638" s="1">
        <f>IF(AND(G638="Finished",I638&lt;&gt;""),IF(YEAR(I638)=Dashboard!$C$4,I638+ROW()/10000000,""),"")</f>
        <v/>
      </c>
      <c r="O638">
        <f>IF(B638="","",IFERROR(MATCH(D638,Settings!$B$6:$B$17,0),12))</f>
        <v/>
      </c>
      <c r="P638">
        <f>IF(AND(G638="Reading",B638&lt;&gt;""),IF(H638="",TODAY(),H638)+ROW()/10000000,"")</f>
        <v/>
      </c>
      <c r="Q638">
        <f>IF(AND(N638&lt;&gt;"",N(J638)=5),N638,"")</f>
        <v/>
      </c>
    </row>
    <row r="639">
      <c r="A639" s="1" t="n"/>
      <c r="B639" s="24" t="n"/>
      <c r="C639" s="25" t="n"/>
      <c r="D639" s="25" t="n"/>
      <c r="E639" s="26" t="n"/>
      <c r="F639" s="27" t="n"/>
      <c r="G639" s="26" t="n"/>
      <c r="H639" s="28" t="n"/>
      <c r="I639" s="28" t="n"/>
      <c r="J639" s="27" t="n"/>
      <c r="K639" s="16">
        <f>IF(OR(H639="",I639=""),"",I639-H639+1)</f>
        <v/>
      </c>
      <c r="L639" s="16">
        <f>IF(OR(K639="",N(F639)=0),"",F639/K639)</f>
        <v/>
      </c>
      <c r="M639" s="25" t="n"/>
      <c r="N639" s="1">
        <f>IF(AND(G639="Finished",I639&lt;&gt;""),IF(YEAR(I639)=Dashboard!$C$4,I639+ROW()/10000000,""),"")</f>
        <v/>
      </c>
      <c r="O639">
        <f>IF(B639="","",IFERROR(MATCH(D639,Settings!$B$6:$B$17,0),12))</f>
        <v/>
      </c>
      <c r="P639">
        <f>IF(AND(G639="Reading",B639&lt;&gt;""),IF(H639="",TODAY(),H639)+ROW()/10000000,"")</f>
        <v/>
      </c>
      <c r="Q639">
        <f>IF(AND(N639&lt;&gt;"",N(J639)=5),N639,"")</f>
        <v/>
      </c>
    </row>
    <row r="640">
      <c r="A640" s="1" t="n"/>
      <c r="B640" s="24" t="n"/>
      <c r="C640" s="25" t="n"/>
      <c r="D640" s="25" t="n"/>
      <c r="E640" s="26" t="n"/>
      <c r="F640" s="27" t="n"/>
      <c r="G640" s="26" t="n"/>
      <c r="H640" s="28" t="n"/>
      <c r="I640" s="28" t="n"/>
      <c r="J640" s="27" t="n"/>
      <c r="K640" s="16">
        <f>IF(OR(H640="",I640=""),"",I640-H640+1)</f>
        <v/>
      </c>
      <c r="L640" s="16">
        <f>IF(OR(K640="",N(F640)=0),"",F640/K640)</f>
        <v/>
      </c>
      <c r="M640" s="25" t="n"/>
      <c r="N640" s="1">
        <f>IF(AND(G640="Finished",I640&lt;&gt;""),IF(YEAR(I640)=Dashboard!$C$4,I640+ROW()/10000000,""),"")</f>
        <v/>
      </c>
      <c r="O640">
        <f>IF(B640="","",IFERROR(MATCH(D640,Settings!$B$6:$B$17,0),12))</f>
        <v/>
      </c>
      <c r="P640">
        <f>IF(AND(G640="Reading",B640&lt;&gt;""),IF(H640="",TODAY(),H640)+ROW()/10000000,"")</f>
        <v/>
      </c>
      <c r="Q640">
        <f>IF(AND(N640&lt;&gt;"",N(J640)=5),N640,"")</f>
        <v/>
      </c>
    </row>
    <row r="641">
      <c r="A641" s="1" t="n"/>
      <c r="B641" s="24" t="n"/>
      <c r="C641" s="25" t="n"/>
      <c r="D641" s="25" t="n"/>
      <c r="E641" s="26" t="n"/>
      <c r="F641" s="27" t="n"/>
      <c r="G641" s="26" t="n"/>
      <c r="H641" s="28" t="n"/>
      <c r="I641" s="28" t="n"/>
      <c r="J641" s="27" t="n"/>
      <c r="K641" s="16">
        <f>IF(OR(H641="",I641=""),"",I641-H641+1)</f>
        <v/>
      </c>
      <c r="L641" s="16">
        <f>IF(OR(K641="",N(F641)=0),"",F641/K641)</f>
        <v/>
      </c>
      <c r="M641" s="25" t="n"/>
      <c r="N641" s="1">
        <f>IF(AND(G641="Finished",I641&lt;&gt;""),IF(YEAR(I641)=Dashboard!$C$4,I641+ROW()/10000000,""),"")</f>
        <v/>
      </c>
      <c r="O641">
        <f>IF(B641="","",IFERROR(MATCH(D641,Settings!$B$6:$B$17,0),12))</f>
        <v/>
      </c>
      <c r="P641">
        <f>IF(AND(G641="Reading",B641&lt;&gt;""),IF(H641="",TODAY(),H641)+ROW()/10000000,"")</f>
        <v/>
      </c>
      <c r="Q641">
        <f>IF(AND(N641&lt;&gt;"",N(J641)=5),N641,"")</f>
        <v/>
      </c>
    </row>
    <row r="642">
      <c r="A642" s="1" t="n"/>
      <c r="B642" s="24" t="n"/>
      <c r="C642" s="25" t="n"/>
      <c r="D642" s="25" t="n"/>
      <c r="E642" s="26" t="n"/>
      <c r="F642" s="27" t="n"/>
      <c r="G642" s="26" t="n"/>
      <c r="H642" s="28" t="n"/>
      <c r="I642" s="28" t="n"/>
      <c r="J642" s="27" t="n"/>
      <c r="K642" s="16">
        <f>IF(OR(H642="",I642=""),"",I642-H642+1)</f>
        <v/>
      </c>
      <c r="L642" s="16">
        <f>IF(OR(K642="",N(F642)=0),"",F642/K642)</f>
        <v/>
      </c>
      <c r="M642" s="25" t="n"/>
      <c r="N642" s="1">
        <f>IF(AND(G642="Finished",I642&lt;&gt;""),IF(YEAR(I642)=Dashboard!$C$4,I642+ROW()/10000000,""),"")</f>
        <v/>
      </c>
      <c r="O642">
        <f>IF(B642="","",IFERROR(MATCH(D642,Settings!$B$6:$B$17,0),12))</f>
        <v/>
      </c>
      <c r="P642">
        <f>IF(AND(G642="Reading",B642&lt;&gt;""),IF(H642="",TODAY(),H642)+ROW()/10000000,"")</f>
        <v/>
      </c>
      <c r="Q642">
        <f>IF(AND(N642&lt;&gt;"",N(J642)=5),N642,"")</f>
        <v/>
      </c>
    </row>
    <row r="643">
      <c r="A643" s="1" t="n"/>
      <c r="B643" s="24" t="n"/>
      <c r="C643" s="25" t="n"/>
      <c r="D643" s="25" t="n"/>
      <c r="E643" s="26" t="n"/>
      <c r="F643" s="27" t="n"/>
      <c r="G643" s="26" t="n"/>
      <c r="H643" s="28" t="n"/>
      <c r="I643" s="28" t="n"/>
      <c r="J643" s="27" t="n"/>
      <c r="K643" s="16">
        <f>IF(OR(H643="",I643=""),"",I643-H643+1)</f>
        <v/>
      </c>
      <c r="L643" s="16">
        <f>IF(OR(K643="",N(F643)=0),"",F643/K643)</f>
        <v/>
      </c>
      <c r="M643" s="25" t="n"/>
      <c r="N643" s="1">
        <f>IF(AND(G643="Finished",I643&lt;&gt;""),IF(YEAR(I643)=Dashboard!$C$4,I643+ROW()/10000000,""),"")</f>
        <v/>
      </c>
      <c r="O643">
        <f>IF(B643="","",IFERROR(MATCH(D643,Settings!$B$6:$B$17,0),12))</f>
        <v/>
      </c>
      <c r="P643">
        <f>IF(AND(G643="Reading",B643&lt;&gt;""),IF(H643="",TODAY(),H643)+ROW()/10000000,"")</f>
        <v/>
      </c>
      <c r="Q643">
        <f>IF(AND(N643&lt;&gt;"",N(J643)=5),N643,"")</f>
        <v/>
      </c>
    </row>
    <row r="644">
      <c r="A644" s="1" t="n"/>
      <c r="B644" s="24" t="n"/>
      <c r="C644" s="25" t="n"/>
      <c r="D644" s="25" t="n"/>
      <c r="E644" s="26" t="n"/>
      <c r="F644" s="27" t="n"/>
      <c r="G644" s="26" t="n"/>
      <c r="H644" s="28" t="n"/>
      <c r="I644" s="28" t="n"/>
      <c r="J644" s="27" t="n"/>
      <c r="K644" s="16">
        <f>IF(OR(H644="",I644=""),"",I644-H644+1)</f>
        <v/>
      </c>
      <c r="L644" s="16">
        <f>IF(OR(K644="",N(F644)=0),"",F644/K644)</f>
        <v/>
      </c>
      <c r="M644" s="25" t="n"/>
      <c r="N644" s="1">
        <f>IF(AND(G644="Finished",I644&lt;&gt;""),IF(YEAR(I644)=Dashboard!$C$4,I644+ROW()/10000000,""),"")</f>
        <v/>
      </c>
      <c r="O644">
        <f>IF(B644="","",IFERROR(MATCH(D644,Settings!$B$6:$B$17,0),12))</f>
        <v/>
      </c>
      <c r="P644">
        <f>IF(AND(G644="Reading",B644&lt;&gt;""),IF(H644="",TODAY(),H644)+ROW()/10000000,"")</f>
        <v/>
      </c>
      <c r="Q644">
        <f>IF(AND(N644&lt;&gt;"",N(J644)=5),N644,"")</f>
        <v/>
      </c>
    </row>
    <row r="645">
      <c r="A645" s="1" t="n"/>
      <c r="B645" s="24" t="n"/>
      <c r="C645" s="25" t="n"/>
      <c r="D645" s="25" t="n"/>
      <c r="E645" s="26" t="n"/>
      <c r="F645" s="27" t="n"/>
      <c r="G645" s="26" t="n"/>
      <c r="H645" s="28" t="n"/>
      <c r="I645" s="28" t="n"/>
      <c r="J645" s="27" t="n"/>
      <c r="K645" s="16">
        <f>IF(OR(H645="",I645=""),"",I645-H645+1)</f>
        <v/>
      </c>
      <c r="L645" s="16">
        <f>IF(OR(K645="",N(F645)=0),"",F645/K645)</f>
        <v/>
      </c>
      <c r="M645" s="25" t="n"/>
      <c r="N645" s="1">
        <f>IF(AND(G645="Finished",I645&lt;&gt;""),IF(YEAR(I645)=Dashboard!$C$4,I645+ROW()/10000000,""),"")</f>
        <v/>
      </c>
      <c r="O645">
        <f>IF(B645="","",IFERROR(MATCH(D645,Settings!$B$6:$B$17,0),12))</f>
        <v/>
      </c>
      <c r="P645">
        <f>IF(AND(G645="Reading",B645&lt;&gt;""),IF(H645="",TODAY(),H645)+ROW()/10000000,"")</f>
        <v/>
      </c>
      <c r="Q645">
        <f>IF(AND(N645&lt;&gt;"",N(J645)=5),N645,"")</f>
        <v/>
      </c>
    </row>
    <row r="646">
      <c r="A646" s="1" t="n"/>
      <c r="B646" s="24" t="n"/>
      <c r="C646" s="25" t="n"/>
      <c r="D646" s="25" t="n"/>
      <c r="E646" s="26" t="n"/>
      <c r="F646" s="27" t="n"/>
      <c r="G646" s="26" t="n"/>
      <c r="H646" s="28" t="n"/>
      <c r="I646" s="28" t="n"/>
      <c r="J646" s="27" t="n"/>
      <c r="K646" s="16">
        <f>IF(OR(H646="",I646=""),"",I646-H646+1)</f>
        <v/>
      </c>
      <c r="L646" s="16">
        <f>IF(OR(K646="",N(F646)=0),"",F646/K646)</f>
        <v/>
      </c>
      <c r="M646" s="25" t="n"/>
      <c r="N646" s="1">
        <f>IF(AND(G646="Finished",I646&lt;&gt;""),IF(YEAR(I646)=Dashboard!$C$4,I646+ROW()/10000000,""),"")</f>
        <v/>
      </c>
      <c r="O646">
        <f>IF(B646="","",IFERROR(MATCH(D646,Settings!$B$6:$B$17,0),12))</f>
        <v/>
      </c>
      <c r="P646">
        <f>IF(AND(G646="Reading",B646&lt;&gt;""),IF(H646="",TODAY(),H646)+ROW()/10000000,"")</f>
        <v/>
      </c>
      <c r="Q646">
        <f>IF(AND(N646&lt;&gt;"",N(J646)=5),N646,"")</f>
        <v/>
      </c>
    </row>
    <row r="647">
      <c r="A647" s="1" t="n"/>
      <c r="B647" s="24" t="n"/>
      <c r="C647" s="25" t="n"/>
      <c r="D647" s="25" t="n"/>
      <c r="E647" s="26" t="n"/>
      <c r="F647" s="27" t="n"/>
      <c r="G647" s="26" t="n"/>
      <c r="H647" s="28" t="n"/>
      <c r="I647" s="28" t="n"/>
      <c r="J647" s="27" t="n"/>
      <c r="K647" s="16">
        <f>IF(OR(H647="",I647=""),"",I647-H647+1)</f>
        <v/>
      </c>
      <c r="L647" s="16">
        <f>IF(OR(K647="",N(F647)=0),"",F647/K647)</f>
        <v/>
      </c>
      <c r="M647" s="25" t="n"/>
      <c r="N647" s="1">
        <f>IF(AND(G647="Finished",I647&lt;&gt;""),IF(YEAR(I647)=Dashboard!$C$4,I647+ROW()/10000000,""),"")</f>
        <v/>
      </c>
      <c r="O647">
        <f>IF(B647="","",IFERROR(MATCH(D647,Settings!$B$6:$B$17,0),12))</f>
        <v/>
      </c>
      <c r="P647">
        <f>IF(AND(G647="Reading",B647&lt;&gt;""),IF(H647="",TODAY(),H647)+ROW()/10000000,"")</f>
        <v/>
      </c>
      <c r="Q647">
        <f>IF(AND(N647&lt;&gt;"",N(J647)=5),N647,"")</f>
        <v/>
      </c>
    </row>
    <row r="648">
      <c r="A648" s="1" t="n"/>
      <c r="B648" s="24" t="n"/>
      <c r="C648" s="25" t="n"/>
      <c r="D648" s="25" t="n"/>
      <c r="E648" s="26" t="n"/>
      <c r="F648" s="27" t="n"/>
      <c r="G648" s="26" t="n"/>
      <c r="H648" s="28" t="n"/>
      <c r="I648" s="28" t="n"/>
      <c r="J648" s="27" t="n"/>
      <c r="K648" s="16">
        <f>IF(OR(H648="",I648=""),"",I648-H648+1)</f>
        <v/>
      </c>
      <c r="L648" s="16">
        <f>IF(OR(K648="",N(F648)=0),"",F648/K648)</f>
        <v/>
      </c>
      <c r="M648" s="25" t="n"/>
      <c r="N648" s="1">
        <f>IF(AND(G648="Finished",I648&lt;&gt;""),IF(YEAR(I648)=Dashboard!$C$4,I648+ROW()/10000000,""),"")</f>
        <v/>
      </c>
      <c r="O648">
        <f>IF(B648="","",IFERROR(MATCH(D648,Settings!$B$6:$B$17,0),12))</f>
        <v/>
      </c>
      <c r="P648">
        <f>IF(AND(G648="Reading",B648&lt;&gt;""),IF(H648="",TODAY(),H648)+ROW()/10000000,"")</f>
        <v/>
      </c>
      <c r="Q648">
        <f>IF(AND(N648&lt;&gt;"",N(J648)=5),N648,"")</f>
        <v/>
      </c>
    </row>
    <row r="649">
      <c r="A649" s="1" t="n"/>
      <c r="B649" s="24" t="n"/>
      <c r="C649" s="25" t="n"/>
      <c r="D649" s="25" t="n"/>
      <c r="E649" s="26" t="n"/>
      <c r="F649" s="27" t="n"/>
      <c r="G649" s="26" t="n"/>
      <c r="H649" s="28" t="n"/>
      <c r="I649" s="28" t="n"/>
      <c r="J649" s="27" t="n"/>
      <c r="K649" s="16">
        <f>IF(OR(H649="",I649=""),"",I649-H649+1)</f>
        <v/>
      </c>
      <c r="L649" s="16">
        <f>IF(OR(K649="",N(F649)=0),"",F649/K649)</f>
        <v/>
      </c>
      <c r="M649" s="25" t="n"/>
      <c r="N649" s="1">
        <f>IF(AND(G649="Finished",I649&lt;&gt;""),IF(YEAR(I649)=Dashboard!$C$4,I649+ROW()/10000000,""),"")</f>
        <v/>
      </c>
      <c r="O649">
        <f>IF(B649="","",IFERROR(MATCH(D649,Settings!$B$6:$B$17,0),12))</f>
        <v/>
      </c>
      <c r="P649">
        <f>IF(AND(G649="Reading",B649&lt;&gt;""),IF(H649="",TODAY(),H649)+ROW()/10000000,"")</f>
        <v/>
      </c>
      <c r="Q649">
        <f>IF(AND(N649&lt;&gt;"",N(J649)=5),N649,"")</f>
        <v/>
      </c>
    </row>
    <row r="650">
      <c r="A650" s="1" t="n"/>
      <c r="B650" s="24" t="n"/>
      <c r="C650" s="25" t="n"/>
      <c r="D650" s="25" t="n"/>
      <c r="E650" s="26" t="n"/>
      <c r="F650" s="27" t="n"/>
      <c r="G650" s="26" t="n"/>
      <c r="H650" s="28" t="n"/>
      <c r="I650" s="28" t="n"/>
      <c r="J650" s="27" t="n"/>
      <c r="K650" s="16">
        <f>IF(OR(H650="",I650=""),"",I650-H650+1)</f>
        <v/>
      </c>
      <c r="L650" s="16">
        <f>IF(OR(K650="",N(F650)=0),"",F650/K650)</f>
        <v/>
      </c>
      <c r="M650" s="25" t="n"/>
      <c r="N650" s="1">
        <f>IF(AND(G650="Finished",I650&lt;&gt;""),IF(YEAR(I650)=Dashboard!$C$4,I650+ROW()/10000000,""),"")</f>
        <v/>
      </c>
      <c r="O650">
        <f>IF(B650="","",IFERROR(MATCH(D650,Settings!$B$6:$B$17,0),12))</f>
        <v/>
      </c>
      <c r="P650">
        <f>IF(AND(G650="Reading",B650&lt;&gt;""),IF(H650="",TODAY(),H650)+ROW()/10000000,"")</f>
        <v/>
      </c>
      <c r="Q650">
        <f>IF(AND(N650&lt;&gt;"",N(J650)=5),N650,"")</f>
        <v/>
      </c>
    </row>
    <row r="651">
      <c r="A651" s="1" t="n"/>
      <c r="B651" s="24" t="n"/>
      <c r="C651" s="25" t="n"/>
      <c r="D651" s="25" t="n"/>
      <c r="E651" s="26" t="n"/>
      <c r="F651" s="27" t="n"/>
      <c r="G651" s="26" t="n"/>
      <c r="H651" s="28" t="n"/>
      <c r="I651" s="28" t="n"/>
      <c r="J651" s="27" t="n"/>
      <c r="K651" s="16">
        <f>IF(OR(H651="",I651=""),"",I651-H651+1)</f>
        <v/>
      </c>
      <c r="L651" s="16">
        <f>IF(OR(K651="",N(F651)=0),"",F651/K651)</f>
        <v/>
      </c>
      <c r="M651" s="25" t="n"/>
      <c r="N651" s="1">
        <f>IF(AND(G651="Finished",I651&lt;&gt;""),IF(YEAR(I651)=Dashboard!$C$4,I651+ROW()/10000000,""),"")</f>
        <v/>
      </c>
      <c r="O651">
        <f>IF(B651="","",IFERROR(MATCH(D651,Settings!$B$6:$B$17,0),12))</f>
        <v/>
      </c>
      <c r="P651">
        <f>IF(AND(G651="Reading",B651&lt;&gt;""),IF(H651="",TODAY(),H651)+ROW()/10000000,"")</f>
        <v/>
      </c>
      <c r="Q651">
        <f>IF(AND(N651&lt;&gt;"",N(J651)=5),N651,"")</f>
        <v/>
      </c>
    </row>
    <row r="652">
      <c r="A652" s="1" t="n"/>
      <c r="B652" s="24" t="n"/>
      <c r="C652" s="25" t="n"/>
      <c r="D652" s="25" t="n"/>
      <c r="E652" s="26" t="n"/>
      <c r="F652" s="27" t="n"/>
      <c r="G652" s="26" t="n"/>
      <c r="H652" s="28" t="n"/>
      <c r="I652" s="28" t="n"/>
      <c r="J652" s="27" t="n"/>
      <c r="K652" s="16">
        <f>IF(OR(H652="",I652=""),"",I652-H652+1)</f>
        <v/>
      </c>
      <c r="L652" s="16">
        <f>IF(OR(K652="",N(F652)=0),"",F652/K652)</f>
        <v/>
      </c>
      <c r="M652" s="25" t="n"/>
      <c r="N652" s="1">
        <f>IF(AND(G652="Finished",I652&lt;&gt;""),IF(YEAR(I652)=Dashboard!$C$4,I652+ROW()/10000000,""),"")</f>
        <v/>
      </c>
      <c r="O652">
        <f>IF(B652="","",IFERROR(MATCH(D652,Settings!$B$6:$B$17,0),12))</f>
        <v/>
      </c>
      <c r="P652">
        <f>IF(AND(G652="Reading",B652&lt;&gt;""),IF(H652="",TODAY(),H652)+ROW()/10000000,"")</f>
        <v/>
      </c>
      <c r="Q652">
        <f>IF(AND(N652&lt;&gt;"",N(J652)=5),N652,"")</f>
        <v/>
      </c>
    </row>
    <row r="653">
      <c r="A653" s="1" t="n"/>
      <c r="B653" s="24" t="n"/>
      <c r="C653" s="25" t="n"/>
      <c r="D653" s="25" t="n"/>
      <c r="E653" s="26" t="n"/>
      <c r="F653" s="27" t="n"/>
      <c r="G653" s="26" t="n"/>
      <c r="H653" s="28" t="n"/>
      <c r="I653" s="28" t="n"/>
      <c r="J653" s="27" t="n"/>
      <c r="K653" s="16">
        <f>IF(OR(H653="",I653=""),"",I653-H653+1)</f>
        <v/>
      </c>
      <c r="L653" s="16">
        <f>IF(OR(K653="",N(F653)=0),"",F653/K653)</f>
        <v/>
      </c>
      <c r="M653" s="25" t="n"/>
      <c r="N653" s="1">
        <f>IF(AND(G653="Finished",I653&lt;&gt;""),IF(YEAR(I653)=Dashboard!$C$4,I653+ROW()/10000000,""),"")</f>
        <v/>
      </c>
      <c r="O653">
        <f>IF(B653="","",IFERROR(MATCH(D653,Settings!$B$6:$B$17,0),12))</f>
        <v/>
      </c>
      <c r="P653">
        <f>IF(AND(G653="Reading",B653&lt;&gt;""),IF(H653="",TODAY(),H653)+ROW()/10000000,"")</f>
        <v/>
      </c>
      <c r="Q653">
        <f>IF(AND(N653&lt;&gt;"",N(J653)=5),N653,"")</f>
        <v/>
      </c>
    </row>
    <row r="654">
      <c r="A654" s="1" t="n"/>
      <c r="B654" s="24" t="n"/>
      <c r="C654" s="25" t="n"/>
      <c r="D654" s="25" t="n"/>
      <c r="E654" s="26" t="n"/>
      <c r="F654" s="27" t="n"/>
      <c r="G654" s="26" t="n"/>
      <c r="H654" s="28" t="n"/>
      <c r="I654" s="28" t="n"/>
      <c r="J654" s="27" t="n"/>
      <c r="K654" s="16">
        <f>IF(OR(H654="",I654=""),"",I654-H654+1)</f>
        <v/>
      </c>
      <c r="L654" s="16">
        <f>IF(OR(K654="",N(F654)=0),"",F654/K654)</f>
        <v/>
      </c>
      <c r="M654" s="25" t="n"/>
      <c r="N654" s="1">
        <f>IF(AND(G654="Finished",I654&lt;&gt;""),IF(YEAR(I654)=Dashboard!$C$4,I654+ROW()/10000000,""),"")</f>
        <v/>
      </c>
      <c r="O654">
        <f>IF(B654="","",IFERROR(MATCH(D654,Settings!$B$6:$B$17,0),12))</f>
        <v/>
      </c>
      <c r="P654">
        <f>IF(AND(G654="Reading",B654&lt;&gt;""),IF(H654="",TODAY(),H654)+ROW()/10000000,"")</f>
        <v/>
      </c>
      <c r="Q654">
        <f>IF(AND(N654&lt;&gt;"",N(J654)=5),N654,"")</f>
        <v/>
      </c>
    </row>
    <row r="655">
      <c r="A655" s="1" t="n"/>
      <c r="B655" s="24" t="n"/>
      <c r="C655" s="25" t="n"/>
      <c r="D655" s="25" t="n"/>
      <c r="E655" s="26" t="n"/>
      <c r="F655" s="27" t="n"/>
      <c r="G655" s="26" t="n"/>
      <c r="H655" s="28" t="n"/>
      <c r="I655" s="28" t="n"/>
      <c r="J655" s="27" t="n"/>
      <c r="K655" s="16">
        <f>IF(OR(H655="",I655=""),"",I655-H655+1)</f>
        <v/>
      </c>
      <c r="L655" s="16">
        <f>IF(OR(K655="",N(F655)=0),"",F655/K655)</f>
        <v/>
      </c>
      <c r="M655" s="25" t="n"/>
      <c r="N655" s="1">
        <f>IF(AND(G655="Finished",I655&lt;&gt;""),IF(YEAR(I655)=Dashboard!$C$4,I655+ROW()/10000000,""),"")</f>
        <v/>
      </c>
      <c r="O655">
        <f>IF(B655="","",IFERROR(MATCH(D655,Settings!$B$6:$B$17,0),12))</f>
        <v/>
      </c>
      <c r="P655">
        <f>IF(AND(G655="Reading",B655&lt;&gt;""),IF(H655="",TODAY(),H655)+ROW()/10000000,"")</f>
        <v/>
      </c>
      <c r="Q655">
        <f>IF(AND(N655&lt;&gt;"",N(J655)=5),N655,"")</f>
        <v/>
      </c>
    </row>
    <row r="656">
      <c r="A656" s="1" t="n"/>
      <c r="B656" s="24" t="n"/>
      <c r="C656" s="25" t="n"/>
      <c r="D656" s="25" t="n"/>
      <c r="E656" s="26" t="n"/>
      <c r="F656" s="27" t="n"/>
      <c r="G656" s="26" t="n"/>
      <c r="H656" s="28" t="n"/>
      <c r="I656" s="28" t="n"/>
      <c r="J656" s="27" t="n"/>
      <c r="K656" s="16">
        <f>IF(OR(H656="",I656=""),"",I656-H656+1)</f>
        <v/>
      </c>
      <c r="L656" s="16">
        <f>IF(OR(K656="",N(F656)=0),"",F656/K656)</f>
        <v/>
      </c>
      <c r="M656" s="25" t="n"/>
      <c r="N656" s="1">
        <f>IF(AND(G656="Finished",I656&lt;&gt;""),IF(YEAR(I656)=Dashboard!$C$4,I656+ROW()/10000000,""),"")</f>
        <v/>
      </c>
      <c r="O656">
        <f>IF(B656="","",IFERROR(MATCH(D656,Settings!$B$6:$B$17,0),12))</f>
        <v/>
      </c>
      <c r="P656">
        <f>IF(AND(G656="Reading",B656&lt;&gt;""),IF(H656="",TODAY(),H656)+ROW()/10000000,"")</f>
        <v/>
      </c>
      <c r="Q656">
        <f>IF(AND(N656&lt;&gt;"",N(J656)=5),N656,"")</f>
        <v/>
      </c>
    </row>
    <row r="657">
      <c r="A657" s="1" t="n"/>
      <c r="B657" s="24" t="n"/>
      <c r="C657" s="25" t="n"/>
      <c r="D657" s="25" t="n"/>
      <c r="E657" s="26" t="n"/>
      <c r="F657" s="27" t="n"/>
      <c r="G657" s="26" t="n"/>
      <c r="H657" s="28" t="n"/>
      <c r="I657" s="28" t="n"/>
      <c r="J657" s="27" t="n"/>
      <c r="K657" s="16">
        <f>IF(OR(H657="",I657=""),"",I657-H657+1)</f>
        <v/>
      </c>
      <c r="L657" s="16">
        <f>IF(OR(K657="",N(F657)=0),"",F657/K657)</f>
        <v/>
      </c>
      <c r="M657" s="25" t="n"/>
      <c r="N657" s="1">
        <f>IF(AND(G657="Finished",I657&lt;&gt;""),IF(YEAR(I657)=Dashboard!$C$4,I657+ROW()/10000000,""),"")</f>
        <v/>
      </c>
      <c r="O657">
        <f>IF(B657="","",IFERROR(MATCH(D657,Settings!$B$6:$B$17,0),12))</f>
        <v/>
      </c>
      <c r="P657">
        <f>IF(AND(G657="Reading",B657&lt;&gt;""),IF(H657="",TODAY(),H657)+ROW()/10000000,"")</f>
        <v/>
      </c>
      <c r="Q657">
        <f>IF(AND(N657&lt;&gt;"",N(J657)=5),N657,"")</f>
        <v/>
      </c>
    </row>
    <row r="658">
      <c r="A658" s="1" t="n"/>
      <c r="B658" s="24" t="n"/>
      <c r="C658" s="25" t="n"/>
      <c r="D658" s="25" t="n"/>
      <c r="E658" s="26" t="n"/>
      <c r="F658" s="27" t="n"/>
      <c r="G658" s="26" t="n"/>
      <c r="H658" s="28" t="n"/>
      <c r="I658" s="28" t="n"/>
      <c r="J658" s="27" t="n"/>
      <c r="K658" s="16">
        <f>IF(OR(H658="",I658=""),"",I658-H658+1)</f>
        <v/>
      </c>
      <c r="L658" s="16">
        <f>IF(OR(K658="",N(F658)=0),"",F658/K658)</f>
        <v/>
      </c>
      <c r="M658" s="25" t="n"/>
      <c r="N658" s="1">
        <f>IF(AND(G658="Finished",I658&lt;&gt;""),IF(YEAR(I658)=Dashboard!$C$4,I658+ROW()/10000000,""),"")</f>
        <v/>
      </c>
      <c r="O658">
        <f>IF(B658="","",IFERROR(MATCH(D658,Settings!$B$6:$B$17,0),12))</f>
        <v/>
      </c>
      <c r="P658">
        <f>IF(AND(G658="Reading",B658&lt;&gt;""),IF(H658="",TODAY(),H658)+ROW()/10000000,"")</f>
        <v/>
      </c>
      <c r="Q658">
        <f>IF(AND(N658&lt;&gt;"",N(J658)=5),N658,"")</f>
        <v/>
      </c>
    </row>
    <row r="659">
      <c r="A659" s="1" t="n"/>
      <c r="B659" s="24" t="n"/>
      <c r="C659" s="25" t="n"/>
      <c r="D659" s="25" t="n"/>
      <c r="E659" s="26" t="n"/>
      <c r="F659" s="27" t="n"/>
      <c r="G659" s="26" t="n"/>
      <c r="H659" s="28" t="n"/>
      <c r="I659" s="28" t="n"/>
      <c r="J659" s="27" t="n"/>
      <c r="K659" s="16">
        <f>IF(OR(H659="",I659=""),"",I659-H659+1)</f>
        <v/>
      </c>
      <c r="L659" s="16">
        <f>IF(OR(K659="",N(F659)=0),"",F659/K659)</f>
        <v/>
      </c>
      <c r="M659" s="25" t="n"/>
      <c r="N659" s="1">
        <f>IF(AND(G659="Finished",I659&lt;&gt;""),IF(YEAR(I659)=Dashboard!$C$4,I659+ROW()/10000000,""),"")</f>
        <v/>
      </c>
      <c r="O659">
        <f>IF(B659="","",IFERROR(MATCH(D659,Settings!$B$6:$B$17,0),12))</f>
        <v/>
      </c>
      <c r="P659">
        <f>IF(AND(G659="Reading",B659&lt;&gt;""),IF(H659="",TODAY(),H659)+ROW()/10000000,"")</f>
        <v/>
      </c>
      <c r="Q659">
        <f>IF(AND(N659&lt;&gt;"",N(J659)=5),N659,"")</f>
        <v/>
      </c>
    </row>
    <row r="660">
      <c r="A660" s="1" t="n"/>
      <c r="B660" s="24" t="n"/>
      <c r="C660" s="25" t="n"/>
      <c r="D660" s="25" t="n"/>
      <c r="E660" s="26" t="n"/>
      <c r="F660" s="27" t="n"/>
      <c r="G660" s="26" t="n"/>
      <c r="H660" s="28" t="n"/>
      <c r="I660" s="28" t="n"/>
      <c r="J660" s="27" t="n"/>
      <c r="K660" s="16">
        <f>IF(OR(H660="",I660=""),"",I660-H660+1)</f>
        <v/>
      </c>
      <c r="L660" s="16">
        <f>IF(OR(K660="",N(F660)=0),"",F660/K660)</f>
        <v/>
      </c>
      <c r="M660" s="25" t="n"/>
      <c r="N660" s="1">
        <f>IF(AND(G660="Finished",I660&lt;&gt;""),IF(YEAR(I660)=Dashboard!$C$4,I660+ROW()/10000000,""),"")</f>
        <v/>
      </c>
      <c r="O660">
        <f>IF(B660="","",IFERROR(MATCH(D660,Settings!$B$6:$B$17,0),12))</f>
        <v/>
      </c>
      <c r="P660">
        <f>IF(AND(G660="Reading",B660&lt;&gt;""),IF(H660="",TODAY(),H660)+ROW()/10000000,"")</f>
        <v/>
      </c>
      <c r="Q660">
        <f>IF(AND(N660&lt;&gt;"",N(J660)=5),N660,"")</f>
        <v/>
      </c>
    </row>
    <row r="661">
      <c r="A661" s="1" t="n"/>
      <c r="B661" s="24" t="n"/>
      <c r="C661" s="25" t="n"/>
      <c r="D661" s="25" t="n"/>
      <c r="E661" s="26" t="n"/>
      <c r="F661" s="27" t="n"/>
      <c r="G661" s="26" t="n"/>
      <c r="H661" s="28" t="n"/>
      <c r="I661" s="28" t="n"/>
      <c r="J661" s="27" t="n"/>
      <c r="K661" s="16">
        <f>IF(OR(H661="",I661=""),"",I661-H661+1)</f>
        <v/>
      </c>
      <c r="L661" s="16">
        <f>IF(OR(K661="",N(F661)=0),"",F661/K661)</f>
        <v/>
      </c>
      <c r="M661" s="25" t="n"/>
      <c r="N661" s="1">
        <f>IF(AND(G661="Finished",I661&lt;&gt;""),IF(YEAR(I661)=Dashboard!$C$4,I661+ROW()/10000000,""),"")</f>
        <v/>
      </c>
      <c r="O661">
        <f>IF(B661="","",IFERROR(MATCH(D661,Settings!$B$6:$B$17,0),12))</f>
        <v/>
      </c>
      <c r="P661">
        <f>IF(AND(G661="Reading",B661&lt;&gt;""),IF(H661="",TODAY(),H661)+ROW()/10000000,"")</f>
        <v/>
      </c>
      <c r="Q661">
        <f>IF(AND(N661&lt;&gt;"",N(J661)=5),N661,"")</f>
        <v/>
      </c>
    </row>
    <row r="662">
      <c r="A662" s="1" t="n"/>
      <c r="B662" s="24" t="n"/>
      <c r="C662" s="25" t="n"/>
      <c r="D662" s="25" t="n"/>
      <c r="E662" s="26" t="n"/>
      <c r="F662" s="27" t="n"/>
      <c r="G662" s="26" t="n"/>
      <c r="H662" s="28" t="n"/>
      <c r="I662" s="28" t="n"/>
      <c r="J662" s="27" t="n"/>
      <c r="K662" s="16">
        <f>IF(OR(H662="",I662=""),"",I662-H662+1)</f>
        <v/>
      </c>
      <c r="L662" s="16">
        <f>IF(OR(K662="",N(F662)=0),"",F662/K662)</f>
        <v/>
      </c>
      <c r="M662" s="25" t="n"/>
      <c r="N662" s="1">
        <f>IF(AND(G662="Finished",I662&lt;&gt;""),IF(YEAR(I662)=Dashboard!$C$4,I662+ROW()/10000000,""),"")</f>
        <v/>
      </c>
      <c r="O662">
        <f>IF(B662="","",IFERROR(MATCH(D662,Settings!$B$6:$B$17,0),12))</f>
        <v/>
      </c>
      <c r="P662">
        <f>IF(AND(G662="Reading",B662&lt;&gt;""),IF(H662="",TODAY(),H662)+ROW()/10000000,"")</f>
        <v/>
      </c>
      <c r="Q662">
        <f>IF(AND(N662&lt;&gt;"",N(J662)=5),N662,"")</f>
        <v/>
      </c>
    </row>
    <row r="663">
      <c r="A663" s="1" t="n"/>
      <c r="B663" s="24" t="n"/>
      <c r="C663" s="25" t="n"/>
      <c r="D663" s="25" t="n"/>
      <c r="E663" s="26" t="n"/>
      <c r="F663" s="27" t="n"/>
      <c r="G663" s="26" t="n"/>
      <c r="H663" s="28" t="n"/>
      <c r="I663" s="28" t="n"/>
      <c r="J663" s="27" t="n"/>
      <c r="K663" s="16">
        <f>IF(OR(H663="",I663=""),"",I663-H663+1)</f>
        <v/>
      </c>
      <c r="L663" s="16">
        <f>IF(OR(K663="",N(F663)=0),"",F663/K663)</f>
        <v/>
      </c>
      <c r="M663" s="25" t="n"/>
      <c r="N663" s="1">
        <f>IF(AND(G663="Finished",I663&lt;&gt;""),IF(YEAR(I663)=Dashboard!$C$4,I663+ROW()/10000000,""),"")</f>
        <v/>
      </c>
      <c r="O663">
        <f>IF(B663="","",IFERROR(MATCH(D663,Settings!$B$6:$B$17,0),12))</f>
        <v/>
      </c>
      <c r="P663">
        <f>IF(AND(G663="Reading",B663&lt;&gt;""),IF(H663="",TODAY(),H663)+ROW()/10000000,"")</f>
        <v/>
      </c>
      <c r="Q663">
        <f>IF(AND(N663&lt;&gt;"",N(J663)=5),N663,"")</f>
        <v/>
      </c>
    </row>
    <row r="664">
      <c r="A664" s="1" t="n"/>
      <c r="B664" s="24" t="n"/>
      <c r="C664" s="25" t="n"/>
      <c r="D664" s="25" t="n"/>
      <c r="E664" s="26" t="n"/>
      <c r="F664" s="27" t="n"/>
      <c r="G664" s="26" t="n"/>
      <c r="H664" s="28" t="n"/>
      <c r="I664" s="28" t="n"/>
      <c r="J664" s="27" t="n"/>
      <c r="K664" s="16">
        <f>IF(OR(H664="",I664=""),"",I664-H664+1)</f>
        <v/>
      </c>
      <c r="L664" s="16">
        <f>IF(OR(K664="",N(F664)=0),"",F664/K664)</f>
        <v/>
      </c>
      <c r="M664" s="25" t="n"/>
      <c r="N664" s="1">
        <f>IF(AND(G664="Finished",I664&lt;&gt;""),IF(YEAR(I664)=Dashboard!$C$4,I664+ROW()/10000000,""),"")</f>
        <v/>
      </c>
      <c r="O664">
        <f>IF(B664="","",IFERROR(MATCH(D664,Settings!$B$6:$B$17,0),12))</f>
        <v/>
      </c>
      <c r="P664">
        <f>IF(AND(G664="Reading",B664&lt;&gt;""),IF(H664="",TODAY(),H664)+ROW()/10000000,"")</f>
        <v/>
      </c>
      <c r="Q664">
        <f>IF(AND(N664&lt;&gt;"",N(J664)=5),N664,"")</f>
        <v/>
      </c>
    </row>
    <row r="665">
      <c r="A665" s="1" t="n"/>
      <c r="B665" s="24" t="n"/>
      <c r="C665" s="25" t="n"/>
      <c r="D665" s="25" t="n"/>
      <c r="E665" s="26" t="n"/>
      <c r="F665" s="27" t="n"/>
      <c r="G665" s="26" t="n"/>
      <c r="H665" s="28" t="n"/>
      <c r="I665" s="28" t="n"/>
      <c r="J665" s="27" t="n"/>
      <c r="K665" s="16">
        <f>IF(OR(H665="",I665=""),"",I665-H665+1)</f>
        <v/>
      </c>
      <c r="L665" s="16">
        <f>IF(OR(K665="",N(F665)=0),"",F665/K665)</f>
        <v/>
      </c>
      <c r="M665" s="25" t="n"/>
      <c r="N665" s="1">
        <f>IF(AND(G665="Finished",I665&lt;&gt;""),IF(YEAR(I665)=Dashboard!$C$4,I665+ROW()/10000000,""),"")</f>
        <v/>
      </c>
      <c r="O665">
        <f>IF(B665="","",IFERROR(MATCH(D665,Settings!$B$6:$B$17,0),12))</f>
        <v/>
      </c>
      <c r="P665">
        <f>IF(AND(G665="Reading",B665&lt;&gt;""),IF(H665="",TODAY(),H665)+ROW()/10000000,"")</f>
        <v/>
      </c>
      <c r="Q665">
        <f>IF(AND(N665&lt;&gt;"",N(J665)=5),N665,"")</f>
        <v/>
      </c>
    </row>
    <row r="666">
      <c r="A666" s="1" t="n"/>
      <c r="B666" s="24" t="n"/>
      <c r="C666" s="25" t="n"/>
      <c r="D666" s="25" t="n"/>
      <c r="E666" s="26" t="n"/>
      <c r="F666" s="27" t="n"/>
      <c r="G666" s="26" t="n"/>
      <c r="H666" s="28" t="n"/>
      <c r="I666" s="28" t="n"/>
      <c r="J666" s="27" t="n"/>
      <c r="K666" s="16">
        <f>IF(OR(H666="",I666=""),"",I666-H666+1)</f>
        <v/>
      </c>
      <c r="L666" s="16">
        <f>IF(OR(K666="",N(F666)=0),"",F666/K666)</f>
        <v/>
      </c>
      <c r="M666" s="25" t="n"/>
      <c r="N666" s="1">
        <f>IF(AND(G666="Finished",I666&lt;&gt;""),IF(YEAR(I666)=Dashboard!$C$4,I666+ROW()/10000000,""),"")</f>
        <v/>
      </c>
      <c r="O666">
        <f>IF(B666="","",IFERROR(MATCH(D666,Settings!$B$6:$B$17,0),12))</f>
        <v/>
      </c>
      <c r="P666">
        <f>IF(AND(G666="Reading",B666&lt;&gt;""),IF(H666="",TODAY(),H666)+ROW()/10000000,"")</f>
        <v/>
      </c>
      <c r="Q666">
        <f>IF(AND(N666&lt;&gt;"",N(J666)=5),N666,"")</f>
        <v/>
      </c>
    </row>
    <row r="667">
      <c r="A667" s="1" t="n"/>
      <c r="B667" s="24" t="n"/>
      <c r="C667" s="25" t="n"/>
      <c r="D667" s="25" t="n"/>
      <c r="E667" s="26" t="n"/>
      <c r="F667" s="27" t="n"/>
      <c r="G667" s="26" t="n"/>
      <c r="H667" s="28" t="n"/>
      <c r="I667" s="28" t="n"/>
      <c r="J667" s="27" t="n"/>
      <c r="K667" s="16">
        <f>IF(OR(H667="",I667=""),"",I667-H667+1)</f>
        <v/>
      </c>
      <c r="L667" s="16">
        <f>IF(OR(K667="",N(F667)=0),"",F667/K667)</f>
        <v/>
      </c>
      <c r="M667" s="25" t="n"/>
      <c r="N667" s="1">
        <f>IF(AND(G667="Finished",I667&lt;&gt;""),IF(YEAR(I667)=Dashboard!$C$4,I667+ROW()/10000000,""),"")</f>
        <v/>
      </c>
      <c r="O667">
        <f>IF(B667="","",IFERROR(MATCH(D667,Settings!$B$6:$B$17,0),12))</f>
        <v/>
      </c>
      <c r="P667">
        <f>IF(AND(G667="Reading",B667&lt;&gt;""),IF(H667="",TODAY(),H667)+ROW()/10000000,"")</f>
        <v/>
      </c>
      <c r="Q667">
        <f>IF(AND(N667&lt;&gt;"",N(J667)=5),N667,"")</f>
        <v/>
      </c>
    </row>
    <row r="668">
      <c r="A668" s="1" t="n"/>
      <c r="B668" s="24" t="n"/>
      <c r="C668" s="25" t="n"/>
      <c r="D668" s="25" t="n"/>
      <c r="E668" s="26" t="n"/>
      <c r="F668" s="27" t="n"/>
      <c r="G668" s="26" t="n"/>
      <c r="H668" s="28" t="n"/>
      <c r="I668" s="28" t="n"/>
      <c r="J668" s="27" t="n"/>
      <c r="K668" s="16">
        <f>IF(OR(H668="",I668=""),"",I668-H668+1)</f>
        <v/>
      </c>
      <c r="L668" s="16">
        <f>IF(OR(K668="",N(F668)=0),"",F668/K668)</f>
        <v/>
      </c>
      <c r="M668" s="25" t="n"/>
      <c r="N668" s="1">
        <f>IF(AND(G668="Finished",I668&lt;&gt;""),IF(YEAR(I668)=Dashboard!$C$4,I668+ROW()/10000000,""),"")</f>
        <v/>
      </c>
      <c r="O668">
        <f>IF(B668="","",IFERROR(MATCH(D668,Settings!$B$6:$B$17,0),12))</f>
        <v/>
      </c>
      <c r="P668">
        <f>IF(AND(G668="Reading",B668&lt;&gt;""),IF(H668="",TODAY(),H668)+ROW()/10000000,"")</f>
        <v/>
      </c>
      <c r="Q668">
        <f>IF(AND(N668&lt;&gt;"",N(J668)=5),N668,"")</f>
        <v/>
      </c>
    </row>
    <row r="669">
      <c r="A669" s="1" t="n"/>
      <c r="B669" s="24" t="n"/>
      <c r="C669" s="25" t="n"/>
      <c r="D669" s="25" t="n"/>
      <c r="E669" s="26" t="n"/>
      <c r="F669" s="27" t="n"/>
      <c r="G669" s="26" t="n"/>
      <c r="H669" s="28" t="n"/>
      <c r="I669" s="28" t="n"/>
      <c r="J669" s="27" t="n"/>
      <c r="K669" s="16">
        <f>IF(OR(H669="",I669=""),"",I669-H669+1)</f>
        <v/>
      </c>
      <c r="L669" s="16">
        <f>IF(OR(K669="",N(F669)=0),"",F669/K669)</f>
        <v/>
      </c>
      <c r="M669" s="25" t="n"/>
      <c r="N669" s="1">
        <f>IF(AND(G669="Finished",I669&lt;&gt;""),IF(YEAR(I669)=Dashboard!$C$4,I669+ROW()/10000000,""),"")</f>
        <v/>
      </c>
      <c r="O669">
        <f>IF(B669="","",IFERROR(MATCH(D669,Settings!$B$6:$B$17,0),12))</f>
        <v/>
      </c>
      <c r="P669">
        <f>IF(AND(G669="Reading",B669&lt;&gt;""),IF(H669="",TODAY(),H669)+ROW()/10000000,"")</f>
        <v/>
      </c>
      <c r="Q669">
        <f>IF(AND(N669&lt;&gt;"",N(J669)=5),N669,"")</f>
        <v/>
      </c>
    </row>
    <row r="670">
      <c r="A670" s="1" t="n"/>
      <c r="B670" s="24" t="n"/>
      <c r="C670" s="25" t="n"/>
      <c r="D670" s="25" t="n"/>
      <c r="E670" s="26" t="n"/>
      <c r="F670" s="27" t="n"/>
      <c r="G670" s="26" t="n"/>
      <c r="H670" s="28" t="n"/>
      <c r="I670" s="28" t="n"/>
      <c r="J670" s="27" t="n"/>
      <c r="K670" s="16">
        <f>IF(OR(H670="",I670=""),"",I670-H670+1)</f>
        <v/>
      </c>
      <c r="L670" s="16">
        <f>IF(OR(K670="",N(F670)=0),"",F670/K670)</f>
        <v/>
      </c>
      <c r="M670" s="25" t="n"/>
      <c r="N670" s="1">
        <f>IF(AND(G670="Finished",I670&lt;&gt;""),IF(YEAR(I670)=Dashboard!$C$4,I670+ROW()/10000000,""),"")</f>
        <v/>
      </c>
      <c r="O670">
        <f>IF(B670="","",IFERROR(MATCH(D670,Settings!$B$6:$B$17,0),12))</f>
        <v/>
      </c>
      <c r="P670">
        <f>IF(AND(G670="Reading",B670&lt;&gt;""),IF(H670="",TODAY(),H670)+ROW()/10000000,"")</f>
        <v/>
      </c>
      <c r="Q670">
        <f>IF(AND(N670&lt;&gt;"",N(J670)=5),N670,"")</f>
        <v/>
      </c>
    </row>
    <row r="671">
      <c r="A671" s="1" t="n"/>
      <c r="B671" s="24" t="n"/>
      <c r="C671" s="25" t="n"/>
      <c r="D671" s="25" t="n"/>
      <c r="E671" s="26" t="n"/>
      <c r="F671" s="27" t="n"/>
      <c r="G671" s="26" t="n"/>
      <c r="H671" s="28" t="n"/>
      <c r="I671" s="28" t="n"/>
      <c r="J671" s="27" t="n"/>
      <c r="K671" s="16">
        <f>IF(OR(H671="",I671=""),"",I671-H671+1)</f>
        <v/>
      </c>
      <c r="L671" s="16">
        <f>IF(OR(K671="",N(F671)=0),"",F671/K671)</f>
        <v/>
      </c>
      <c r="M671" s="25" t="n"/>
      <c r="N671" s="1">
        <f>IF(AND(G671="Finished",I671&lt;&gt;""),IF(YEAR(I671)=Dashboard!$C$4,I671+ROW()/10000000,""),"")</f>
        <v/>
      </c>
      <c r="O671">
        <f>IF(B671="","",IFERROR(MATCH(D671,Settings!$B$6:$B$17,0),12))</f>
        <v/>
      </c>
      <c r="P671">
        <f>IF(AND(G671="Reading",B671&lt;&gt;""),IF(H671="",TODAY(),H671)+ROW()/10000000,"")</f>
        <v/>
      </c>
      <c r="Q671">
        <f>IF(AND(N671&lt;&gt;"",N(J671)=5),N671,"")</f>
        <v/>
      </c>
    </row>
    <row r="672">
      <c r="A672" s="1" t="n"/>
      <c r="B672" s="24" t="n"/>
      <c r="C672" s="25" t="n"/>
      <c r="D672" s="25" t="n"/>
      <c r="E672" s="26" t="n"/>
      <c r="F672" s="27" t="n"/>
      <c r="G672" s="26" t="n"/>
      <c r="H672" s="28" t="n"/>
      <c r="I672" s="28" t="n"/>
      <c r="J672" s="27" t="n"/>
      <c r="K672" s="16">
        <f>IF(OR(H672="",I672=""),"",I672-H672+1)</f>
        <v/>
      </c>
      <c r="L672" s="16">
        <f>IF(OR(K672="",N(F672)=0),"",F672/K672)</f>
        <v/>
      </c>
      <c r="M672" s="25" t="n"/>
      <c r="N672" s="1">
        <f>IF(AND(G672="Finished",I672&lt;&gt;""),IF(YEAR(I672)=Dashboard!$C$4,I672+ROW()/10000000,""),"")</f>
        <v/>
      </c>
      <c r="O672">
        <f>IF(B672="","",IFERROR(MATCH(D672,Settings!$B$6:$B$17,0),12))</f>
        <v/>
      </c>
      <c r="P672">
        <f>IF(AND(G672="Reading",B672&lt;&gt;""),IF(H672="",TODAY(),H672)+ROW()/10000000,"")</f>
        <v/>
      </c>
      <c r="Q672">
        <f>IF(AND(N672&lt;&gt;"",N(J672)=5),N672,"")</f>
        <v/>
      </c>
    </row>
    <row r="673">
      <c r="A673" s="1" t="n"/>
      <c r="B673" s="24" t="n"/>
      <c r="C673" s="25" t="n"/>
      <c r="D673" s="25" t="n"/>
      <c r="E673" s="26" t="n"/>
      <c r="F673" s="27" t="n"/>
      <c r="G673" s="26" t="n"/>
      <c r="H673" s="28" t="n"/>
      <c r="I673" s="28" t="n"/>
      <c r="J673" s="27" t="n"/>
      <c r="K673" s="16">
        <f>IF(OR(H673="",I673=""),"",I673-H673+1)</f>
        <v/>
      </c>
      <c r="L673" s="16">
        <f>IF(OR(K673="",N(F673)=0),"",F673/K673)</f>
        <v/>
      </c>
      <c r="M673" s="25" t="n"/>
      <c r="N673" s="1">
        <f>IF(AND(G673="Finished",I673&lt;&gt;""),IF(YEAR(I673)=Dashboard!$C$4,I673+ROW()/10000000,""),"")</f>
        <v/>
      </c>
      <c r="O673">
        <f>IF(B673="","",IFERROR(MATCH(D673,Settings!$B$6:$B$17,0),12))</f>
        <v/>
      </c>
      <c r="P673">
        <f>IF(AND(G673="Reading",B673&lt;&gt;""),IF(H673="",TODAY(),H673)+ROW()/10000000,"")</f>
        <v/>
      </c>
      <c r="Q673">
        <f>IF(AND(N673&lt;&gt;"",N(J673)=5),N673,"")</f>
        <v/>
      </c>
    </row>
    <row r="674">
      <c r="A674" s="1" t="n"/>
      <c r="B674" s="24" t="n"/>
      <c r="C674" s="25" t="n"/>
      <c r="D674" s="25" t="n"/>
      <c r="E674" s="26" t="n"/>
      <c r="F674" s="27" t="n"/>
      <c r="G674" s="26" t="n"/>
      <c r="H674" s="28" t="n"/>
      <c r="I674" s="28" t="n"/>
      <c r="J674" s="27" t="n"/>
      <c r="K674" s="16">
        <f>IF(OR(H674="",I674=""),"",I674-H674+1)</f>
        <v/>
      </c>
      <c r="L674" s="16">
        <f>IF(OR(K674="",N(F674)=0),"",F674/K674)</f>
        <v/>
      </c>
      <c r="M674" s="25" t="n"/>
      <c r="N674" s="1">
        <f>IF(AND(G674="Finished",I674&lt;&gt;""),IF(YEAR(I674)=Dashboard!$C$4,I674+ROW()/10000000,""),"")</f>
        <v/>
      </c>
      <c r="O674">
        <f>IF(B674="","",IFERROR(MATCH(D674,Settings!$B$6:$B$17,0),12))</f>
        <v/>
      </c>
      <c r="P674">
        <f>IF(AND(G674="Reading",B674&lt;&gt;""),IF(H674="",TODAY(),H674)+ROW()/10000000,"")</f>
        <v/>
      </c>
      <c r="Q674">
        <f>IF(AND(N674&lt;&gt;"",N(J674)=5),N674,"")</f>
        <v/>
      </c>
    </row>
    <row r="675">
      <c r="A675" s="1" t="n"/>
      <c r="B675" s="24" t="n"/>
      <c r="C675" s="25" t="n"/>
      <c r="D675" s="25" t="n"/>
      <c r="E675" s="26" t="n"/>
      <c r="F675" s="27" t="n"/>
      <c r="G675" s="26" t="n"/>
      <c r="H675" s="28" t="n"/>
      <c r="I675" s="28" t="n"/>
      <c r="J675" s="27" t="n"/>
      <c r="K675" s="16">
        <f>IF(OR(H675="",I675=""),"",I675-H675+1)</f>
        <v/>
      </c>
      <c r="L675" s="16">
        <f>IF(OR(K675="",N(F675)=0),"",F675/K675)</f>
        <v/>
      </c>
      <c r="M675" s="25" t="n"/>
      <c r="N675" s="1">
        <f>IF(AND(G675="Finished",I675&lt;&gt;""),IF(YEAR(I675)=Dashboard!$C$4,I675+ROW()/10000000,""),"")</f>
        <v/>
      </c>
      <c r="O675">
        <f>IF(B675="","",IFERROR(MATCH(D675,Settings!$B$6:$B$17,0),12))</f>
        <v/>
      </c>
      <c r="P675">
        <f>IF(AND(G675="Reading",B675&lt;&gt;""),IF(H675="",TODAY(),H675)+ROW()/10000000,"")</f>
        <v/>
      </c>
      <c r="Q675">
        <f>IF(AND(N675&lt;&gt;"",N(J675)=5),N675,"")</f>
        <v/>
      </c>
    </row>
    <row r="676">
      <c r="A676" s="1" t="n"/>
      <c r="B676" s="24" t="n"/>
      <c r="C676" s="25" t="n"/>
      <c r="D676" s="25" t="n"/>
      <c r="E676" s="26" t="n"/>
      <c r="F676" s="27" t="n"/>
      <c r="G676" s="26" t="n"/>
      <c r="H676" s="28" t="n"/>
      <c r="I676" s="28" t="n"/>
      <c r="J676" s="27" t="n"/>
      <c r="K676" s="16">
        <f>IF(OR(H676="",I676=""),"",I676-H676+1)</f>
        <v/>
      </c>
      <c r="L676" s="16">
        <f>IF(OR(K676="",N(F676)=0),"",F676/K676)</f>
        <v/>
      </c>
      <c r="M676" s="25" t="n"/>
      <c r="N676" s="1">
        <f>IF(AND(G676="Finished",I676&lt;&gt;""),IF(YEAR(I676)=Dashboard!$C$4,I676+ROW()/10000000,""),"")</f>
        <v/>
      </c>
      <c r="O676">
        <f>IF(B676="","",IFERROR(MATCH(D676,Settings!$B$6:$B$17,0),12))</f>
        <v/>
      </c>
      <c r="P676">
        <f>IF(AND(G676="Reading",B676&lt;&gt;""),IF(H676="",TODAY(),H676)+ROW()/10000000,"")</f>
        <v/>
      </c>
      <c r="Q676">
        <f>IF(AND(N676&lt;&gt;"",N(J676)=5),N676,"")</f>
        <v/>
      </c>
    </row>
    <row r="677">
      <c r="A677" s="1" t="n"/>
      <c r="B677" s="24" t="n"/>
      <c r="C677" s="25" t="n"/>
      <c r="D677" s="25" t="n"/>
      <c r="E677" s="26" t="n"/>
      <c r="F677" s="27" t="n"/>
      <c r="G677" s="26" t="n"/>
      <c r="H677" s="28" t="n"/>
      <c r="I677" s="28" t="n"/>
      <c r="J677" s="27" t="n"/>
      <c r="K677" s="16">
        <f>IF(OR(H677="",I677=""),"",I677-H677+1)</f>
        <v/>
      </c>
      <c r="L677" s="16">
        <f>IF(OR(K677="",N(F677)=0),"",F677/K677)</f>
        <v/>
      </c>
      <c r="M677" s="25" t="n"/>
      <c r="N677" s="1">
        <f>IF(AND(G677="Finished",I677&lt;&gt;""),IF(YEAR(I677)=Dashboard!$C$4,I677+ROW()/10000000,""),"")</f>
        <v/>
      </c>
      <c r="O677">
        <f>IF(B677="","",IFERROR(MATCH(D677,Settings!$B$6:$B$17,0),12))</f>
        <v/>
      </c>
      <c r="P677">
        <f>IF(AND(G677="Reading",B677&lt;&gt;""),IF(H677="",TODAY(),H677)+ROW()/10000000,"")</f>
        <v/>
      </c>
      <c r="Q677">
        <f>IF(AND(N677&lt;&gt;"",N(J677)=5),N677,"")</f>
        <v/>
      </c>
    </row>
    <row r="678">
      <c r="A678" s="1" t="n"/>
      <c r="B678" s="24" t="n"/>
      <c r="C678" s="25" t="n"/>
      <c r="D678" s="25" t="n"/>
      <c r="E678" s="26" t="n"/>
      <c r="F678" s="27" t="n"/>
      <c r="G678" s="26" t="n"/>
      <c r="H678" s="28" t="n"/>
      <c r="I678" s="28" t="n"/>
      <c r="J678" s="27" t="n"/>
      <c r="K678" s="16">
        <f>IF(OR(H678="",I678=""),"",I678-H678+1)</f>
        <v/>
      </c>
      <c r="L678" s="16">
        <f>IF(OR(K678="",N(F678)=0),"",F678/K678)</f>
        <v/>
      </c>
      <c r="M678" s="25" t="n"/>
      <c r="N678" s="1">
        <f>IF(AND(G678="Finished",I678&lt;&gt;""),IF(YEAR(I678)=Dashboard!$C$4,I678+ROW()/10000000,""),"")</f>
        <v/>
      </c>
      <c r="O678">
        <f>IF(B678="","",IFERROR(MATCH(D678,Settings!$B$6:$B$17,0),12))</f>
        <v/>
      </c>
      <c r="P678">
        <f>IF(AND(G678="Reading",B678&lt;&gt;""),IF(H678="",TODAY(),H678)+ROW()/10000000,"")</f>
        <v/>
      </c>
      <c r="Q678">
        <f>IF(AND(N678&lt;&gt;"",N(J678)=5),N678,"")</f>
        <v/>
      </c>
    </row>
    <row r="679">
      <c r="A679" s="1" t="n"/>
      <c r="B679" s="24" t="n"/>
      <c r="C679" s="25" t="n"/>
      <c r="D679" s="25" t="n"/>
      <c r="E679" s="26" t="n"/>
      <c r="F679" s="27" t="n"/>
      <c r="G679" s="26" t="n"/>
      <c r="H679" s="28" t="n"/>
      <c r="I679" s="28" t="n"/>
      <c r="J679" s="27" t="n"/>
      <c r="K679" s="16">
        <f>IF(OR(H679="",I679=""),"",I679-H679+1)</f>
        <v/>
      </c>
      <c r="L679" s="16">
        <f>IF(OR(K679="",N(F679)=0),"",F679/K679)</f>
        <v/>
      </c>
      <c r="M679" s="25" t="n"/>
      <c r="N679" s="1">
        <f>IF(AND(G679="Finished",I679&lt;&gt;""),IF(YEAR(I679)=Dashboard!$C$4,I679+ROW()/10000000,""),"")</f>
        <v/>
      </c>
      <c r="O679">
        <f>IF(B679="","",IFERROR(MATCH(D679,Settings!$B$6:$B$17,0),12))</f>
        <v/>
      </c>
      <c r="P679">
        <f>IF(AND(G679="Reading",B679&lt;&gt;""),IF(H679="",TODAY(),H679)+ROW()/10000000,"")</f>
        <v/>
      </c>
      <c r="Q679">
        <f>IF(AND(N679&lt;&gt;"",N(J679)=5),N679,"")</f>
        <v/>
      </c>
    </row>
    <row r="680">
      <c r="A680" s="1" t="n"/>
      <c r="B680" s="24" t="n"/>
      <c r="C680" s="25" t="n"/>
      <c r="D680" s="25" t="n"/>
      <c r="E680" s="26" t="n"/>
      <c r="F680" s="27" t="n"/>
      <c r="G680" s="26" t="n"/>
      <c r="H680" s="28" t="n"/>
      <c r="I680" s="28" t="n"/>
      <c r="J680" s="27" t="n"/>
      <c r="K680" s="16">
        <f>IF(OR(H680="",I680=""),"",I680-H680+1)</f>
        <v/>
      </c>
      <c r="L680" s="16">
        <f>IF(OR(K680="",N(F680)=0),"",F680/K680)</f>
        <v/>
      </c>
      <c r="M680" s="25" t="n"/>
      <c r="N680" s="1">
        <f>IF(AND(G680="Finished",I680&lt;&gt;""),IF(YEAR(I680)=Dashboard!$C$4,I680+ROW()/10000000,""),"")</f>
        <v/>
      </c>
      <c r="O680">
        <f>IF(B680="","",IFERROR(MATCH(D680,Settings!$B$6:$B$17,0),12))</f>
        <v/>
      </c>
      <c r="P680">
        <f>IF(AND(G680="Reading",B680&lt;&gt;""),IF(H680="",TODAY(),H680)+ROW()/10000000,"")</f>
        <v/>
      </c>
      <c r="Q680">
        <f>IF(AND(N680&lt;&gt;"",N(J680)=5),N680,"")</f>
        <v/>
      </c>
    </row>
    <row r="681">
      <c r="A681" s="1" t="n"/>
      <c r="B681" s="24" t="n"/>
      <c r="C681" s="25" t="n"/>
      <c r="D681" s="25" t="n"/>
      <c r="E681" s="26" t="n"/>
      <c r="F681" s="27" t="n"/>
      <c r="G681" s="26" t="n"/>
      <c r="H681" s="28" t="n"/>
      <c r="I681" s="28" t="n"/>
      <c r="J681" s="27" t="n"/>
      <c r="K681" s="16">
        <f>IF(OR(H681="",I681=""),"",I681-H681+1)</f>
        <v/>
      </c>
      <c r="L681" s="16">
        <f>IF(OR(K681="",N(F681)=0),"",F681/K681)</f>
        <v/>
      </c>
      <c r="M681" s="25" t="n"/>
      <c r="N681" s="1">
        <f>IF(AND(G681="Finished",I681&lt;&gt;""),IF(YEAR(I681)=Dashboard!$C$4,I681+ROW()/10000000,""),"")</f>
        <v/>
      </c>
      <c r="O681">
        <f>IF(B681="","",IFERROR(MATCH(D681,Settings!$B$6:$B$17,0),12))</f>
        <v/>
      </c>
      <c r="P681">
        <f>IF(AND(G681="Reading",B681&lt;&gt;""),IF(H681="",TODAY(),H681)+ROW()/10000000,"")</f>
        <v/>
      </c>
      <c r="Q681">
        <f>IF(AND(N681&lt;&gt;"",N(J681)=5),N681,"")</f>
        <v/>
      </c>
    </row>
    <row r="682">
      <c r="A682" s="1" t="n"/>
      <c r="B682" s="24" t="n"/>
      <c r="C682" s="25" t="n"/>
      <c r="D682" s="25" t="n"/>
      <c r="E682" s="26" t="n"/>
      <c r="F682" s="27" t="n"/>
      <c r="G682" s="26" t="n"/>
      <c r="H682" s="28" t="n"/>
      <c r="I682" s="28" t="n"/>
      <c r="J682" s="27" t="n"/>
      <c r="K682" s="16">
        <f>IF(OR(H682="",I682=""),"",I682-H682+1)</f>
        <v/>
      </c>
      <c r="L682" s="16">
        <f>IF(OR(K682="",N(F682)=0),"",F682/K682)</f>
        <v/>
      </c>
      <c r="M682" s="25" t="n"/>
      <c r="N682" s="1">
        <f>IF(AND(G682="Finished",I682&lt;&gt;""),IF(YEAR(I682)=Dashboard!$C$4,I682+ROW()/10000000,""),"")</f>
        <v/>
      </c>
      <c r="O682">
        <f>IF(B682="","",IFERROR(MATCH(D682,Settings!$B$6:$B$17,0),12))</f>
        <v/>
      </c>
      <c r="P682">
        <f>IF(AND(G682="Reading",B682&lt;&gt;""),IF(H682="",TODAY(),H682)+ROW()/10000000,"")</f>
        <v/>
      </c>
      <c r="Q682">
        <f>IF(AND(N682&lt;&gt;"",N(J682)=5),N682,"")</f>
        <v/>
      </c>
    </row>
    <row r="683">
      <c r="A683" s="1" t="n"/>
      <c r="B683" s="24" t="n"/>
      <c r="C683" s="25" t="n"/>
      <c r="D683" s="25" t="n"/>
      <c r="E683" s="26" t="n"/>
      <c r="F683" s="27" t="n"/>
      <c r="G683" s="26" t="n"/>
      <c r="H683" s="28" t="n"/>
      <c r="I683" s="28" t="n"/>
      <c r="J683" s="27" t="n"/>
      <c r="K683" s="16">
        <f>IF(OR(H683="",I683=""),"",I683-H683+1)</f>
        <v/>
      </c>
      <c r="L683" s="16">
        <f>IF(OR(K683="",N(F683)=0),"",F683/K683)</f>
        <v/>
      </c>
      <c r="M683" s="25" t="n"/>
      <c r="N683" s="1">
        <f>IF(AND(G683="Finished",I683&lt;&gt;""),IF(YEAR(I683)=Dashboard!$C$4,I683+ROW()/10000000,""),"")</f>
        <v/>
      </c>
      <c r="O683">
        <f>IF(B683="","",IFERROR(MATCH(D683,Settings!$B$6:$B$17,0),12))</f>
        <v/>
      </c>
      <c r="P683">
        <f>IF(AND(G683="Reading",B683&lt;&gt;""),IF(H683="",TODAY(),H683)+ROW()/10000000,"")</f>
        <v/>
      </c>
      <c r="Q683">
        <f>IF(AND(N683&lt;&gt;"",N(J683)=5),N683,"")</f>
        <v/>
      </c>
    </row>
    <row r="684">
      <c r="A684" s="1" t="n"/>
      <c r="B684" s="24" t="n"/>
      <c r="C684" s="25" t="n"/>
      <c r="D684" s="25" t="n"/>
      <c r="E684" s="26" t="n"/>
      <c r="F684" s="27" t="n"/>
      <c r="G684" s="26" t="n"/>
      <c r="H684" s="28" t="n"/>
      <c r="I684" s="28" t="n"/>
      <c r="J684" s="27" t="n"/>
      <c r="K684" s="16">
        <f>IF(OR(H684="",I684=""),"",I684-H684+1)</f>
        <v/>
      </c>
      <c r="L684" s="16">
        <f>IF(OR(K684="",N(F684)=0),"",F684/K684)</f>
        <v/>
      </c>
      <c r="M684" s="25" t="n"/>
      <c r="N684" s="1">
        <f>IF(AND(G684="Finished",I684&lt;&gt;""),IF(YEAR(I684)=Dashboard!$C$4,I684+ROW()/10000000,""),"")</f>
        <v/>
      </c>
      <c r="O684">
        <f>IF(B684="","",IFERROR(MATCH(D684,Settings!$B$6:$B$17,0),12))</f>
        <v/>
      </c>
      <c r="P684">
        <f>IF(AND(G684="Reading",B684&lt;&gt;""),IF(H684="",TODAY(),H684)+ROW()/10000000,"")</f>
        <v/>
      </c>
      <c r="Q684">
        <f>IF(AND(N684&lt;&gt;"",N(J684)=5),N684,"")</f>
        <v/>
      </c>
    </row>
    <row r="685">
      <c r="A685" s="1" t="n"/>
      <c r="B685" s="24" t="n"/>
      <c r="C685" s="25" t="n"/>
      <c r="D685" s="25" t="n"/>
      <c r="E685" s="26" t="n"/>
      <c r="F685" s="27" t="n"/>
      <c r="G685" s="26" t="n"/>
      <c r="H685" s="28" t="n"/>
      <c r="I685" s="28" t="n"/>
      <c r="J685" s="27" t="n"/>
      <c r="K685" s="16">
        <f>IF(OR(H685="",I685=""),"",I685-H685+1)</f>
        <v/>
      </c>
      <c r="L685" s="16">
        <f>IF(OR(K685="",N(F685)=0),"",F685/K685)</f>
        <v/>
      </c>
      <c r="M685" s="25" t="n"/>
      <c r="N685" s="1">
        <f>IF(AND(G685="Finished",I685&lt;&gt;""),IF(YEAR(I685)=Dashboard!$C$4,I685+ROW()/10000000,""),"")</f>
        <v/>
      </c>
      <c r="O685">
        <f>IF(B685="","",IFERROR(MATCH(D685,Settings!$B$6:$B$17,0),12))</f>
        <v/>
      </c>
      <c r="P685">
        <f>IF(AND(G685="Reading",B685&lt;&gt;""),IF(H685="",TODAY(),H685)+ROW()/10000000,"")</f>
        <v/>
      </c>
      <c r="Q685">
        <f>IF(AND(N685&lt;&gt;"",N(J685)=5),N685,"")</f>
        <v/>
      </c>
    </row>
    <row r="686">
      <c r="A686" s="1" t="n"/>
      <c r="B686" s="24" t="n"/>
      <c r="C686" s="25" t="n"/>
      <c r="D686" s="25" t="n"/>
      <c r="E686" s="26" t="n"/>
      <c r="F686" s="27" t="n"/>
      <c r="G686" s="26" t="n"/>
      <c r="H686" s="28" t="n"/>
      <c r="I686" s="28" t="n"/>
      <c r="J686" s="27" t="n"/>
      <c r="K686" s="16">
        <f>IF(OR(H686="",I686=""),"",I686-H686+1)</f>
        <v/>
      </c>
      <c r="L686" s="16">
        <f>IF(OR(K686="",N(F686)=0),"",F686/K686)</f>
        <v/>
      </c>
      <c r="M686" s="25" t="n"/>
      <c r="N686" s="1">
        <f>IF(AND(G686="Finished",I686&lt;&gt;""),IF(YEAR(I686)=Dashboard!$C$4,I686+ROW()/10000000,""),"")</f>
        <v/>
      </c>
      <c r="O686">
        <f>IF(B686="","",IFERROR(MATCH(D686,Settings!$B$6:$B$17,0),12))</f>
        <v/>
      </c>
      <c r="P686">
        <f>IF(AND(G686="Reading",B686&lt;&gt;""),IF(H686="",TODAY(),H686)+ROW()/10000000,"")</f>
        <v/>
      </c>
      <c r="Q686">
        <f>IF(AND(N686&lt;&gt;"",N(J686)=5),N686,"")</f>
        <v/>
      </c>
    </row>
    <row r="687">
      <c r="A687" s="1" t="n"/>
      <c r="B687" s="24" t="n"/>
      <c r="C687" s="25" t="n"/>
      <c r="D687" s="25" t="n"/>
      <c r="E687" s="26" t="n"/>
      <c r="F687" s="27" t="n"/>
      <c r="G687" s="26" t="n"/>
      <c r="H687" s="28" t="n"/>
      <c r="I687" s="28" t="n"/>
      <c r="J687" s="27" t="n"/>
      <c r="K687" s="16">
        <f>IF(OR(H687="",I687=""),"",I687-H687+1)</f>
        <v/>
      </c>
      <c r="L687" s="16">
        <f>IF(OR(K687="",N(F687)=0),"",F687/K687)</f>
        <v/>
      </c>
      <c r="M687" s="25" t="n"/>
      <c r="N687" s="1">
        <f>IF(AND(G687="Finished",I687&lt;&gt;""),IF(YEAR(I687)=Dashboard!$C$4,I687+ROW()/10000000,""),"")</f>
        <v/>
      </c>
      <c r="O687">
        <f>IF(B687="","",IFERROR(MATCH(D687,Settings!$B$6:$B$17,0),12))</f>
        <v/>
      </c>
      <c r="P687">
        <f>IF(AND(G687="Reading",B687&lt;&gt;""),IF(H687="",TODAY(),H687)+ROW()/10000000,"")</f>
        <v/>
      </c>
      <c r="Q687">
        <f>IF(AND(N687&lt;&gt;"",N(J687)=5),N687,"")</f>
        <v/>
      </c>
    </row>
    <row r="688">
      <c r="A688" s="1" t="n"/>
      <c r="B688" s="24" t="n"/>
      <c r="C688" s="25" t="n"/>
      <c r="D688" s="25" t="n"/>
      <c r="E688" s="26" t="n"/>
      <c r="F688" s="27" t="n"/>
      <c r="G688" s="26" t="n"/>
      <c r="H688" s="28" t="n"/>
      <c r="I688" s="28" t="n"/>
      <c r="J688" s="27" t="n"/>
      <c r="K688" s="16">
        <f>IF(OR(H688="",I688=""),"",I688-H688+1)</f>
        <v/>
      </c>
      <c r="L688" s="16">
        <f>IF(OR(K688="",N(F688)=0),"",F688/K688)</f>
        <v/>
      </c>
      <c r="M688" s="25" t="n"/>
      <c r="N688" s="1">
        <f>IF(AND(G688="Finished",I688&lt;&gt;""),IF(YEAR(I688)=Dashboard!$C$4,I688+ROW()/10000000,""),"")</f>
        <v/>
      </c>
      <c r="O688">
        <f>IF(B688="","",IFERROR(MATCH(D688,Settings!$B$6:$B$17,0),12))</f>
        <v/>
      </c>
      <c r="P688">
        <f>IF(AND(G688="Reading",B688&lt;&gt;""),IF(H688="",TODAY(),H688)+ROW()/10000000,"")</f>
        <v/>
      </c>
      <c r="Q688">
        <f>IF(AND(N688&lt;&gt;"",N(J688)=5),N688,"")</f>
        <v/>
      </c>
    </row>
    <row r="689">
      <c r="A689" s="1" t="n"/>
      <c r="B689" s="24" t="n"/>
      <c r="C689" s="25" t="n"/>
      <c r="D689" s="25" t="n"/>
      <c r="E689" s="26" t="n"/>
      <c r="F689" s="27" t="n"/>
      <c r="G689" s="26" t="n"/>
      <c r="H689" s="28" t="n"/>
      <c r="I689" s="28" t="n"/>
      <c r="J689" s="27" t="n"/>
      <c r="K689" s="16">
        <f>IF(OR(H689="",I689=""),"",I689-H689+1)</f>
        <v/>
      </c>
      <c r="L689" s="16">
        <f>IF(OR(K689="",N(F689)=0),"",F689/K689)</f>
        <v/>
      </c>
      <c r="M689" s="25" t="n"/>
      <c r="N689" s="1">
        <f>IF(AND(G689="Finished",I689&lt;&gt;""),IF(YEAR(I689)=Dashboard!$C$4,I689+ROW()/10000000,""),"")</f>
        <v/>
      </c>
      <c r="O689">
        <f>IF(B689="","",IFERROR(MATCH(D689,Settings!$B$6:$B$17,0),12))</f>
        <v/>
      </c>
      <c r="P689">
        <f>IF(AND(G689="Reading",B689&lt;&gt;""),IF(H689="",TODAY(),H689)+ROW()/10000000,"")</f>
        <v/>
      </c>
      <c r="Q689">
        <f>IF(AND(N689&lt;&gt;"",N(J689)=5),N689,"")</f>
        <v/>
      </c>
    </row>
    <row r="690">
      <c r="A690" s="1" t="n"/>
      <c r="B690" s="24" t="n"/>
      <c r="C690" s="25" t="n"/>
      <c r="D690" s="25" t="n"/>
      <c r="E690" s="26" t="n"/>
      <c r="F690" s="27" t="n"/>
      <c r="G690" s="26" t="n"/>
      <c r="H690" s="28" t="n"/>
      <c r="I690" s="28" t="n"/>
      <c r="J690" s="27" t="n"/>
      <c r="K690" s="16">
        <f>IF(OR(H690="",I690=""),"",I690-H690+1)</f>
        <v/>
      </c>
      <c r="L690" s="16">
        <f>IF(OR(K690="",N(F690)=0),"",F690/K690)</f>
        <v/>
      </c>
      <c r="M690" s="25" t="n"/>
      <c r="N690" s="1">
        <f>IF(AND(G690="Finished",I690&lt;&gt;""),IF(YEAR(I690)=Dashboard!$C$4,I690+ROW()/10000000,""),"")</f>
        <v/>
      </c>
      <c r="O690">
        <f>IF(B690="","",IFERROR(MATCH(D690,Settings!$B$6:$B$17,0),12))</f>
        <v/>
      </c>
      <c r="P690">
        <f>IF(AND(G690="Reading",B690&lt;&gt;""),IF(H690="",TODAY(),H690)+ROW()/10000000,"")</f>
        <v/>
      </c>
      <c r="Q690">
        <f>IF(AND(N690&lt;&gt;"",N(J690)=5),N690,"")</f>
        <v/>
      </c>
    </row>
    <row r="691">
      <c r="A691" s="1" t="n"/>
      <c r="B691" s="24" t="n"/>
      <c r="C691" s="25" t="n"/>
      <c r="D691" s="25" t="n"/>
      <c r="E691" s="26" t="n"/>
      <c r="F691" s="27" t="n"/>
      <c r="G691" s="26" t="n"/>
      <c r="H691" s="28" t="n"/>
      <c r="I691" s="28" t="n"/>
      <c r="J691" s="27" t="n"/>
      <c r="K691" s="16">
        <f>IF(OR(H691="",I691=""),"",I691-H691+1)</f>
        <v/>
      </c>
      <c r="L691" s="16">
        <f>IF(OR(K691="",N(F691)=0),"",F691/K691)</f>
        <v/>
      </c>
      <c r="M691" s="25" t="n"/>
      <c r="N691" s="1">
        <f>IF(AND(G691="Finished",I691&lt;&gt;""),IF(YEAR(I691)=Dashboard!$C$4,I691+ROW()/10000000,""),"")</f>
        <v/>
      </c>
      <c r="O691">
        <f>IF(B691="","",IFERROR(MATCH(D691,Settings!$B$6:$B$17,0),12))</f>
        <v/>
      </c>
      <c r="P691">
        <f>IF(AND(G691="Reading",B691&lt;&gt;""),IF(H691="",TODAY(),H691)+ROW()/10000000,"")</f>
        <v/>
      </c>
      <c r="Q691">
        <f>IF(AND(N691&lt;&gt;"",N(J691)=5),N691,"")</f>
        <v/>
      </c>
    </row>
    <row r="692">
      <c r="A692" s="1" t="n"/>
      <c r="B692" s="24" t="n"/>
      <c r="C692" s="25" t="n"/>
      <c r="D692" s="25" t="n"/>
      <c r="E692" s="26" t="n"/>
      <c r="F692" s="27" t="n"/>
      <c r="G692" s="26" t="n"/>
      <c r="H692" s="28" t="n"/>
      <c r="I692" s="28" t="n"/>
      <c r="J692" s="27" t="n"/>
      <c r="K692" s="16">
        <f>IF(OR(H692="",I692=""),"",I692-H692+1)</f>
        <v/>
      </c>
      <c r="L692" s="16">
        <f>IF(OR(K692="",N(F692)=0),"",F692/K692)</f>
        <v/>
      </c>
      <c r="M692" s="25" t="n"/>
      <c r="N692" s="1">
        <f>IF(AND(G692="Finished",I692&lt;&gt;""),IF(YEAR(I692)=Dashboard!$C$4,I692+ROW()/10000000,""),"")</f>
        <v/>
      </c>
      <c r="O692">
        <f>IF(B692="","",IFERROR(MATCH(D692,Settings!$B$6:$B$17,0),12))</f>
        <v/>
      </c>
      <c r="P692">
        <f>IF(AND(G692="Reading",B692&lt;&gt;""),IF(H692="",TODAY(),H692)+ROW()/10000000,"")</f>
        <v/>
      </c>
      <c r="Q692">
        <f>IF(AND(N692&lt;&gt;"",N(J692)=5),N692,"")</f>
        <v/>
      </c>
    </row>
    <row r="693">
      <c r="A693" s="1" t="n"/>
      <c r="B693" s="24" t="n"/>
      <c r="C693" s="25" t="n"/>
      <c r="D693" s="25" t="n"/>
      <c r="E693" s="26" t="n"/>
      <c r="F693" s="27" t="n"/>
      <c r="G693" s="26" t="n"/>
      <c r="H693" s="28" t="n"/>
      <c r="I693" s="28" t="n"/>
      <c r="J693" s="27" t="n"/>
      <c r="K693" s="16">
        <f>IF(OR(H693="",I693=""),"",I693-H693+1)</f>
        <v/>
      </c>
      <c r="L693" s="16">
        <f>IF(OR(K693="",N(F693)=0),"",F693/K693)</f>
        <v/>
      </c>
      <c r="M693" s="25" t="n"/>
      <c r="N693" s="1">
        <f>IF(AND(G693="Finished",I693&lt;&gt;""),IF(YEAR(I693)=Dashboard!$C$4,I693+ROW()/10000000,""),"")</f>
        <v/>
      </c>
      <c r="O693">
        <f>IF(B693="","",IFERROR(MATCH(D693,Settings!$B$6:$B$17,0),12))</f>
        <v/>
      </c>
      <c r="P693">
        <f>IF(AND(G693="Reading",B693&lt;&gt;""),IF(H693="",TODAY(),H693)+ROW()/10000000,"")</f>
        <v/>
      </c>
      <c r="Q693">
        <f>IF(AND(N693&lt;&gt;"",N(J693)=5),N693,"")</f>
        <v/>
      </c>
    </row>
    <row r="694">
      <c r="A694" s="1" t="n"/>
      <c r="B694" s="24" t="n"/>
      <c r="C694" s="25" t="n"/>
      <c r="D694" s="25" t="n"/>
      <c r="E694" s="26" t="n"/>
      <c r="F694" s="27" t="n"/>
      <c r="G694" s="26" t="n"/>
      <c r="H694" s="28" t="n"/>
      <c r="I694" s="28" t="n"/>
      <c r="J694" s="27" t="n"/>
      <c r="K694" s="16">
        <f>IF(OR(H694="",I694=""),"",I694-H694+1)</f>
        <v/>
      </c>
      <c r="L694" s="16">
        <f>IF(OR(K694="",N(F694)=0),"",F694/K694)</f>
        <v/>
      </c>
      <c r="M694" s="25" t="n"/>
      <c r="N694" s="1">
        <f>IF(AND(G694="Finished",I694&lt;&gt;""),IF(YEAR(I694)=Dashboard!$C$4,I694+ROW()/10000000,""),"")</f>
        <v/>
      </c>
      <c r="O694">
        <f>IF(B694="","",IFERROR(MATCH(D694,Settings!$B$6:$B$17,0),12))</f>
        <v/>
      </c>
      <c r="P694">
        <f>IF(AND(G694="Reading",B694&lt;&gt;""),IF(H694="",TODAY(),H694)+ROW()/10000000,"")</f>
        <v/>
      </c>
      <c r="Q694">
        <f>IF(AND(N694&lt;&gt;"",N(J694)=5),N694,"")</f>
        <v/>
      </c>
    </row>
    <row r="695">
      <c r="A695" s="1" t="n"/>
      <c r="B695" s="24" t="n"/>
      <c r="C695" s="25" t="n"/>
      <c r="D695" s="25" t="n"/>
      <c r="E695" s="26" t="n"/>
      <c r="F695" s="27" t="n"/>
      <c r="G695" s="26" t="n"/>
      <c r="H695" s="28" t="n"/>
      <c r="I695" s="28" t="n"/>
      <c r="J695" s="27" t="n"/>
      <c r="K695" s="16">
        <f>IF(OR(H695="",I695=""),"",I695-H695+1)</f>
        <v/>
      </c>
      <c r="L695" s="16">
        <f>IF(OR(K695="",N(F695)=0),"",F695/K695)</f>
        <v/>
      </c>
      <c r="M695" s="25" t="n"/>
      <c r="N695" s="1">
        <f>IF(AND(G695="Finished",I695&lt;&gt;""),IF(YEAR(I695)=Dashboard!$C$4,I695+ROW()/10000000,""),"")</f>
        <v/>
      </c>
      <c r="O695">
        <f>IF(B695="","",IFERROR(MATCH(D695,Settings!$B$6:$B$17,0),12))</f>
        <v/>
      </c>
      <c r="P695">
        <f>IF(AND(G695="Reading",B695&lt;&gt;""),IF(H695="",TODAY(),H695)+ROW()/10000000,"")</f>
        <v/>
      </c>
      <c r="Q695">
        <f>IF(AND(N695&lt;&gt;"",N(J695)=5),N695,"")</f>
        <v/>
      </c>
    </row>
    <row r="696">
      <c r="A696" s="1" t="n"/>
      <c r="B696" s="24" t="n"/>
      <c r="C696" s="25" t="n"/>
      <c r="D696" s="25" t="n"/>
      <c r="E696" s="26" t="n"/>
      <c r="F696" s="27" t="n"/>
      <c r="G696" s="26" t="n"/>
      <c r="H696" s="28" t="n"/>
      <c r="I696" s="28" t="n"/>
      <c r="J696" s="27" t="n"/>
      <c r="K696" s="16">
        <f>IF(OR(H696="",I696=""),"",I696-H696+1)</f>
        <v/>
      </c>
      <c r="L696" s="16">
        <f>IF(OR(K696="",N(F696)=0),"",F696/K696)</f>
        <v/>
      </c>
      <c r="M696" s="25" t="n"/>
      <c r="N696" s="1">
        <f>IF(AND(G696="Finished",I696&lt;&gt;""),IF(YEAR(I696)=Dashboard!$C$4,I696+ROW()/10000000,""),"")</f>
        <v/>
      </c>
      <c r="O696">
        <f>IF(B696="","",IFERROR(MATCH(D696,Settings!$B$6:$B$17,0),12))</f>
        <v/>
      </c>
      <c r="P696">
        <f>IF(AND(G696="Reading",B696&lt;&gt;""),IF(H696="",TODAY(),H696)+ROW()/10000000,"")</f>
        <v/>
      </c>
      <c r="Q696">
        <f>IF(AND(N696&lt;&gt;"",N(J696)=5),N696,"")</f>
        <v/>
      </c>
    </row>
    <row r="697">
      <c r="A697" s="1" t="n"/>
      <c r="B697" s="24" t="n"/>
      <c r="C697" s="25" t="n"/>
      <c r="D697" s="25" t="n"/>
      <c r="E697" s="26" t="n"/>
      <c r="F697" s="27" t="n"/>
      <c r="G697" s="26" t="n"/>
      <c r="H697" s="28" t="n"/>
      <c r="I697" s="28" t="n"/>
      <c r="J697" s="27" t="n"/>
      <c r="K697" s="16">
        <f>IF(OR(H697="",I697=""),"",I697-H697+1)</f>
        <v/>
      </c>
      <c r="L697" s="16">
        <f>IF(OR(K697="",N(F697)=0),"",F697/K697)</f>
        <v/>
      </c>
      <c r="M697" s="25" t="n"/>
      <c r="N697" s="1">
        <f>IF(AND(G697="Finished",I697&lt;&gt;""),IF(YEAR(I697)=Dashboard!$C$4,I697+ROW()/10000000,""),"")</f>
        <v/>
      </c>
      <c r="O697">
        <f>IF(B697="","",IFERROR(MATCH(D697,Settings!$B$6:$B$17,0),12))</f>
        <v/>
      </c>
      <c r="P697">
        <f>IF(AND(G697="Reading",B697&lt;&gt;""),IF(H697="",TODAY(),H697)+ROW()/10000000,"")</f>
        <v/>
      </c>
      <c r="Q697">
        <f>IF(AND(N697&lt;&gt;"",N(J697)=5),N697,"")</f>
        <v/>
      </c>
    </row>
    <row r="698">
      <c r="A698" s="1" t="n"/>
      <c r="B698" s="24" t="n"/>
      <c r="C698" s="25" t="n"/>
      <c r="D698" s="25" t="n"/>
      <c r="E698" s="26" t="n"/>
      <c r="F698" s="27" t="n"/>
      <c r="G698" s="26" t="n"/>
      <c r="H698" s="28" t="n"/>
      <c r="I698" s="28" t="n"/>
      <c r="J698" s="27" t="n"/>
      <c r="K698" s="16">
        <f>IF(OR(H698="",I698=""),"",I698-H698+1)</f>
        <v/>
      </c>
      <c r="L698" s="16">
        <f>IF(OR(K698="",N(F698)=0),"",F698/K698)</f>
        <v/>
      </c>
      <c r="M698" s="25" t="n"/>
      <c r="N698" s="1">
        <f>IF(AND(G698="Finished",I698&lt;&gt;""),IF(YEAR(I698)=Dashboard!$C$4,I698+ROW()/10000000,""),"")</f>
        <v/>
      </c>
      <c r="O698">
        <f>IF(B698="","",IFERROR(MATCH(D698,Settings!$B$6:$B$17,0),12))</f>
        <v/>
      </c>
      <c r="P698">
        <f>IF(AND(G698="Reading",B698&lt;&gt;""),IF(H698="",TODAY(),H698)+ROW()/10000000,"")</f>
        <v/>
      </c>
      <c r="Q698">
        <f>IF(AND(N698&lt;&gt;"",N(J698)=5),N698,"")</f>
        <v/>
      </c>
    </row>
    <row r="699">
      <c r="A699" s="1" t="n"/>
      <c r="B699" s="24" t="n"/>
      <c r="C699" s="25" t="n"/>
      <c r="D699" s="25" t="n"/>
      <c r="E699" s="26" t="n"/>
      <c r="F699" s="27" t="n"/>
      <c r="G699" s="26" t="n"/>
      <c r="H699" s="28" t="n"/>
      <c r="I699" s="28" t="n"/>
      <c r="J699" s="27" t="n"/>
      <c r="K699" s="16">
        <f>IF(OR(H699="",I699=""),"",I699-H699+1)</f>
        <v/>
      </c>
      <c r="L699" s="16">
        <f>IF(OR(K699="",N(F699)=0),"",F699/K699)</f>
        <v/>
      </c>
      <c r="M699" s="25" t="n"/>
      <c r="N699" s="1">
        <f>IF(AND(G699="Finished",I699&lt;&gt;""),IF(YEAR(I699)=Dashboard!$C$4,I699+ROW()/10000000,""),"")</f>
        <v/>
      </c>
      <c r="O699">
        <f>IF(B699="","",IFERROR(MATCH(D699,Settings!$B$6:$B$17,0),12))</f>
        <v/>
      </c>
      <c r="P699">
        <f>IF(AND(G699="Reading",B699&lt;&gt;""),IF(H699="",TODAY(),H699)+ROW()/10000000,"")</f>
        <v/>
      </c>
      <c r="Q699">
        <f>IF(AND(N699&lt;&gt;"",N(J699)=5),N699,"")</f>
        <v/>
      </c>
    </row>
    <row r="700">
      <c r="A700" s="1" t="n"/>
      <c r="B700" s="24" t="n"/>
      <c r="C700" s="25" t="n"/>
      <c r="D700" s="25" t="n"/>
      <c r="E700" s="26" t="n"/>
      <c r="F700" s="27" t="n"/>
      <c r="G700" s="26" t="n"/>
      <c r="H700" s="28" t="n"/>
      <c r="I700" s="28" t="n"/>
      <c r="J700" s="27" t="n"/>
      <c r="K700" s="16">
        <f>IF(OR(H700="",I700=""),"",I700-H700+1)</f>
        <v/>
      </c>
      <c r="L700" s="16">
        <f>IF(OR(K700="",N(F700)=0),"",F700/K700)</f>
        <v/>
      </c>
      <c r="M700" s="25" t="n"/>
      <c r="N700" s="1">
        <f>IF(AND(G700="Finished",I700&lt;&gt;""),IF(YEAR(I700)=Dashboard!$C$4,I700+ROW()/10000000,""),"")</f>
        <v/>
      </c>
      <c r="O700">
        <f>IF(B700="","",IFERROR(MATCH(D700,Settings!$B$6:$B$17,0),12))</f>
        <v/>
      </c>
      <c r="P700">
        <f>IF(AND(G700="Reading",B700&lt;&gt;""),IF(H700="",TODAY(),H700)+ROW()/10000000,"")</f>
        <v/>
      </c>
      <c r="Q700">
        <f>IF(AND(N700&lt;&gt;"",N(J700)=5),N700,"")</f>
        <v/>
      </c>
    </row>
    <row r="701">
      <c r="A701" s="1" t="n"/>
      <c r="B701" s="24" t="n"/>
      <c r="C701" s="25" t="n"/>
      <c r="D701" s="25" t="n"/>
      <c r="E701" s="26" t="n"/>
      <c r="F701" s="27" t="n"/>
      <c r="G701" s="26" t="n"/>
      <c r="H701" s="28" t="n"/>
      <c r="I701" s="28" t="n"/>
      <c r="J701" s="27" t="n"/>
      <c r="K701" s="16">
        <f>IF(OR(H701="",I701=""),"",I701-H701+1)</f>
        <v/>
      </c>
      <c r="L701" s="16">
        <f>IF(OR(K701="",N(F701)=0),"",F701/K701)</f>
        <v/>
      </c>
      <c r="M701" s="25" t="n"/>
      <c r="N701" s="1">
        <f>IF(AND(G701="Finished",I701&lt;&gt;""),IF(YEAR(I701)=Dashboard!$C$4,I701+ROW()/10000000,""),"")</f>
        <v/>
      </c>
      <c r="O701">
        <f>IF(B701="","",IFERROR(MATCH(D701,Settings!$B$6:$B$17,0),12))</f>
        <v/>
      </c>
      <c r="P701">
        <f>IF(AND(G701="Reading",B701&lt;&gt;""),IF(H701="",TODAY(),H701)+ROW()/10000000,"")</f>
        <v/>
      </c>
      <c r="Q701">
        <f>IF(AND(N701&lt;&gt;"",N(J701)=5),N701,"")</f>
        <v/>
      </c>
    </row>
    <row r="702">
      <c r="A702" s="1" t="n"/>
      <c r="B702" s="24" t="n"/>
      <c r="C702" s="25" t="n"/>
      <c r="D702" s="25" t="n"/>
      <c r="E702" s="26" t="n"/>
      <c r="F702" s="27" t="n"/>
      <c r="G702" s="26" t="n"/>
      <c r="H702" s="28" t="n"/>
      <c r="I702" s="28" t="n"/>
      <c r="J702" s="27" t="n"/>
      <c r="K702" s="16">
        <f>IF(OR(H702="",I702=""),"",I702-H702+1)</f>
        <v/>
      </c>
      <c r="L702" s="16">
        <f>IF(OR(K702="",N(F702)=0),"",F702/K702)</f>
        <v/>
      </c>
      <c r="M702" s="25" t="n"/>
      <c r="N702" s="1">
        <f>IF(AND(G702="Finished",I702&lt;&gt;""),IF(YEAR(I702)=Dashboard!$C$4,I702+ROW()/10000000,""),"")</f>
        <v/>
      </c>
      <c r="O702">
        <f>IF(B702="","",IFERROR(MATCH(D702,Settings!$B$6:$B$17,0),12))</f>
        <v/>
      </c>
      <c r="P702">
        <f>IF(AND(G702="Reading",B702&lt;&gt;""),IF(H702="",TODAY(),H702)+ROW()/10000000,"")</f>
        <v/>
      </c>
      <c r="Q702">
        <f>IF(AND(N702&lt;&gt;"",N(J702)=5),N702,"")</f>
        <v/>
      </c>
    </row>
    <row r="703">
      <c r="A703" s="1" t="n"/>
      <c r="B703" s="24" t="n"/>
      <c r="C703" s="25" t="n"/>
      <c r="D703" s="25" t="n"/>
      <c r="E703" s="26" t="n"/>
      <c r="F703" s="27" t="n"/>
      <c r="G703" s="26" t="n"/>
      <c r="H703" s="28" t="n"/>
      <c r="I703" s="28" t="n"/>
      <c r="J703" s="27" t="n"/>
      <c r="K703" s="16">
        <f>IF(OR(H703="",I703=""),"",I703-H703+1)</f>
        <v/>
      </c>
      <c r="L703" s="16">
        <f>IF(OR(K703="",N(F703)=0),"",F703/K703)</f>
        <v/>
      </c>
      <c r="M703" s="25" t="n"/>
      <c r="N703" s="1">
        <f>IF(AND(G703="Finished",I703&lt;&gt;""),IF(YEAR(I703)=Dashboard!$C$4,I703+ROW()/10000000,""),"")</f>
        <v/>
      </c>
      <c r="O703">
        <f>IF(B703="","",IFERROR(MATCH(D703,Settings!$B$6:$B$17,0),12))</f>
        <v/>
      </c>
      <c r="P703">
        <f>IF(AND(G703="Reading",B703&lt;&gt;""),IF(H703="",TODAY(),H703)+ROW()/10000000,"")</f>
        <v/>
      </c>
      <c r="Q703">
        <f>IF(AND(N703&lt;&gt;"",N(J703)=5),N703,"")</f>
        <v/>
      </c>
    </row>
    <row r="704">
      <c r="A704" s="1" t="n"/>
      <c r="B704" s="24" t="n"/>
      <c r="C704" s="25" t="n"/>
      <c r="D704" s="25" t="n"/>
      <c r="E704" s="26" t="n"/>
      <c r="F704" s="27" t="n"/>
      <c r="G704" s="26" t="n"/>
      <c r="H704" s="28" t="n"/>
      <c r="I704" s="28" t="n"/>
      <c r="J704" s="27" t="n"/>
      <c r="K704" s="16">
        <f>IF(OR(H704="",I704=""),"",I704-H704+1)</f>
        <v/>
      </c>
      <c r="L704" s="16">
        <f>IF(OR(K704="",N(F704)=0),"",F704/K704)</f>
        <v/>
      </c>
      <c r="M704" s="25" t="n"/>
      <c r="N704" s="1">
        <f>IF(AND(G704="Finished",I704&lt;&gt;""),IF(YEAR(I704)=Dashboard!$C$4,I704+ROW()/10000000,""),"")</f>
        <v/>
      </c>
      <c r="O704">
        <f>IF(B704="","",IFERROR(MATCH(D704,Settings!$B$6:$B$17,0),12))</f>
        <v/>
      </c>
      <c r="P704">
        <f>IF(AND(G704="Reading",B704&lt;&gt;""),IF(H704="",TODAY(),H704)+ROW()/10000000,"")</f>
        <v/>
      </c>
      <c r="Q704">
        <f>IF(AND(N704&lt;&gt;"",N(J704)=5),N704,"")</f>
        <v/>
      </c>
    </row>
    <row r="705">
      <c r="A705" s="1" t="n"/>
      <c r="B705" s="24" t="n"/>
      <c r="C705" s="25" t="n"/>
      <c r="D705" s="25" t="n"/>
      <c r="E705" s="26" t="n"/>
      <c r="F705" s="27" t="n"/>
      <c r="G705" s="26" t="n"/>
      <c r="H705" s="28" t="n"/>
      <c r="I705" s="28" t="n"/>
      <c r="J705" s="27" t="n"/>
      <c r="K705" s="16">
        <f>IF(OR(H705="",I705=""),"",I705-H705+1)</f>
        <v/>
      </c>
      <c r="L705" s="16">
        <f>IF(OR(K705="",N(F705)=0),"",F705/K705)</f>
        <v/>
      </c>
      <c r="M705" s="25" t="n"/>
      <c r="N705" s="1">
        <f>IF(AND(G705="Finished",I705&lt;&gt;""),IF(YEAR(I705)=Dashboard!$C$4,I705+ROW()/10000000,""),"")</f>
        <v/>
      </c>
      <c r="O705">
        <f>IF(B705="","",IFERROR(MATCH(D705,Settings!$B$6:$B$17,0),12))</f>
        <v/>
      </c>
      <c r="P705">
        <f>IF(AND(G705="Reading",B705&lt;&gt;""),IF(H705="",TODAY(),H705)+ROW()/10000000,"")</f>
        <v/>
      </c>
      <c r="Q705">
        <f>IF(AND(N705&lt;&gt;"",N(J705)=5),N705,"")</f>
        <v/>
      </c>
    </row>
    <row r="706">
      <c r="A706" s="1" t="n"/>
      <c r="B706" s="24" t="n"/>
      <c r="C706" s="25" t="n"/>
      <c r="D706" s="25" t="n"/>
      <c r="E706" s="26" t="n"/>
      <c r="F706" s="27" t="n"/>
      <c r="G706" s="26" t="n"/>
      <c r="H706" s="28" t="n"/>
      <c r="I706" s="28" t="n"/>
      <c r="J706" s="27" t="n"/>
      <c r="K706" s="16">
        <f>IF(OR(H706="",I706=""),"",I706-H706+1)</f>
        <v/>
      </c>
      <c r="L706" s="16">
        <f>IF(OR(K706="",N(F706)=0),"",F706/K706)</f>
        <v/>
      </c>
      <c r="M706" s="25" t="n"/>
      <c r="N706" s="1">
        <f>IF(AND(G706="Finished",I706&lt;&gt;""),IF(YEAR(I706)=Dashboard!$C$4,I706+ROW()/10000000,""),"")</f>
        <v/>
      </c>
      <c r="O706">
        <f>IF(B706="","",IFERROR(MATCH(D706,Settings!$B$6:$B$17,0),12))</f>
        <v/>
      </c>
      <c r="P706">
        <f>IF(AND(G706="Reading",B706&lt;&gt;""),IF(H706="",TODAY(),H706)+ROW()/10000000,"")</f>
        <v/>
      </c>
      <c r="Q706">
        <f>IF(AND(N706&lt;&gt;"",N(J706)=5),N706,"")</f>
        <v/>
      </c>
    </row>
    <row r="707">
      <c r="A707" s="1" t="n"/>
      <c r="B707" s="24" t="n"/>
      <c r="C707" s="25" t="n"/>
      <c r="D707" s="25" t="n"/>
      <c r="E707" s="26" t="n"/>
      <c r="F707" s="27" t="n"/>
      <c r="G707" s="26" t="n"/>
      <c r="H707" s="28" t="n"/>
      <c r="I707" s="28" t="n"/>
      <c r="J707" s="27" t="n"/>
      <c r="K707" s="16">
        <f>IF(OR(H707="",I707=""),"",I707-H707+1)</f>
        <v/>
      </c>
      <c r="L707" s="16">
        <f>IF(OR(K707="",N(F707)=0),"",F707/K707)</f>
        <v/>
      </c>
      <c r="M707" s="25" t="n"/>
      <c r="N707" s="1">
        <f>IF(AND(G707="Finished",I707&lt;&gt;""),IF(YEAR(I707)=Dashboard!$C$4,I707+ROW()/10000000,""),"")</f>
        <v/>
      </c>
      <c r="O707">
        <f>IF(B707="","",IFERROR(MATCH(D707,Settings!$B$6:$B$17,0),12))</f>
        <v/>
      </c>
      <c r="P707">
        <f>IF(AND(G707="Reading",B707&lt;&gt;""),IF(H707="",TODAY(),H707)+ROW()/10000000,"")</f>
        <v/>
      </c>
      <c r="Q707">
        <f>IF(AND(N707&lt;&gt;"",N(J707)=5),N707,"")</f>
        <v/>
      </c>
    </row>
    <row r="708">
      <c r="A708" s="1" t="n"/>
      <c r="B708" s="24" t="n"/>
      <c r="C708" s="25" t="n"/>
      <c r="D708" s="25" t="n"/>
      <c r="E708" s="26" t="n"/>
      <c r="F708" s="27" t="n"/>
      <c r="G708" s="26" t="n"/>
      <c r="H708" s="28" t="n"/>
      <c r="I708" s="28" t="n"/>
      <c r="J708" s="27" t="n"/>
      <c r="K708" s="16">
        <f>IF(OR(H708="",I708=""),"",I708-H708+1)</f>
        <v/>
      </c>
      <c r="L708" s="16">
        <f>IF(OR(K708="",N(F708)=0),"",F708/K708)</f>
        <v/>
      </c>
      <c r="M708" s="25" t="n"/>
      <c r="N708" s="1">
        <f>IF(AND(G708="Finished",I708&lt;&gt;""),IF(YEAR(I708)=Dashboard!$C$4,I708+ROW()/10000000,""),"")</f>
        <v/>
      </c>
      <c r="O708">
        <f>IF(B708="","",IFERROR(MATCH(D708,Settings!$B$6:$B$17,0),12))</f>
        <v/>
      </c>
      <c r="P708">
        <f>IF(AND(G708="Reading",B708&lt;&gt;""),IF(H708="",TODAY(),H708)+ROW()/10000000,"")</f>
        <v/>
      </c>
      <c r="Q708">
        <f>IF(AND(N708&lt;&gt;"",N(J708)=5),N708,"")</f>
        <v/>
      </c>
    </row>
    <row r="709">
      <c r="A709" s="1" t="n"/>
      <c r="B709" s="24" t="n"/>
      <c r="C709" s="25" t="n"/>
      <c r="D709" s="25" t="n"/>
      <c r="E709" s="26" t="n"/>
      <c r="F709" s="27" t="n"/>
      <c r="G709" s="26" t="n"/>
      <c r="H709" s="28" t="n"/>
      <c r="I709" s="28" t="n"/>
      <c r="J709" s="27" t="n"/>
      <c r="K709" s="16">
        <f>IF(OR(H709="",I709=""),"",I709-H709+1)</f>
        <v/>
      </c>
      <c r="L709" s="16">
        <f>IF(OR(K709="",N(F709)=0),"",F709/K709)</f>
        <v/>
      </c>
      <c r="M709" s="25" t="n"/>
      <c r="N709" s="1">
        <f>IF(AND(G709="Finished",I709&lt;&gt;""),IF(YEAR(I709)=Dashboard!$C$4,I709+ROW()/10000000,""),"")</f>
        <v/>
      </c>
      <c r="O709">
        <f>IF(B709="","",IFERROR(MATCH(D709,Settings!$B$6:$B$17,0),12))</f>
        <v/>
      </c>
      <c r="P709">
        <f>IF(AND(G709="Reading",B709&lt;&gt;""),IF(H709="",TODAY(),H709)+ROW()/10000000,"")</f>
        <v/>
      </c>
      <c r="Q709">
        <f>IF(AND(N709&lt;&gt;"",N(J709)=5),N709,"")</f>
        <v/>
      </c>
    </row>
    <row r="710">
      <c r="A710" s="1" t="n"/>
      <c r="B710" s="24" t="n"/>
      <c r="C710" s="25" t="n"/>
      <c r="D710" s="25" t="n"/>
      <c r="E710" s="26" t="n"/>
      <c r="F710" s="27" t="n"/>
      <c r="G710" s="26" t="n"/>
      <c r="H710" s="28" t="n"/>
      <c r="I710" s="28" t="n"/>
      <c r="J710" s="27" t="n"/>
      <c r="K710" s="16">
        <f>IF(OR(H710="",I710=""),"",I710-H710+1)</f>
        <v/>
      </c>
      <c r="L710" s="16">
        <f>IF(OR(K710="",N(F710)=0),"",F710/K710)</f>
        <v/>
      </c>
      <c r="M710" s="25" t="n"/>
      <c r="N710" s="1">
        <f>IF(AND(G710="Finished",I710&lt;&gt;""),IF(YEAR(I710)=Dashboard!$C$4,I710+ROW()/10000000,""),"")</f>
        <v/>
      </c>
      <c r="O710">
        <f>IF(B710="","",IFERROR(MATCH(D710,Settings!$B$6:$B$17,0),12))</f>
        <v/>
      </c>
      <c r="P710">
        <f>IF(AND(G710="Reading",B710&lt;&gt;""),IF(H710="",TODAY(),H710)+ROW()/10000000,"")</f>
        <v/>
      </c>
      <c r="Q710">
        <f>IF(AND(N710&lt;&gt;"",N(J710)=5),N710,"")</f>
        <v/>
      </c>
    </row>
    <row r="711">
      <c r="A711" s="1" t="n"/>
      <c r="B711" s="24" t="n"/>
      <c r="C711" s="25" t="n"/>
      <c r="D711" s="25" t="n"/>
      <c r="E711" s="26" t="n"/>
      <c r="F711" s="27" t="n"/>
      <c r="G711" s="26" t="n"/>
      <c r="H711" s="28" t="n"/>
      <c r="I711" s="28" t="n"/>
      <c r="J711" s="27" t="n"/>
      <c r="K711" s="16">
        <f>IF(OR(H711="",I711=""),"",I711-H711+1)</f>
        <v/>
      </c>
      <c r="L711" s="16">
        <f>IF(OR(K711="",N(F711)=0),"",F711/K711)</f>
        <v/>
      </c>
      <c r="M711" s="25" t="n"/>
      <c r="N711" s="1">
        <f>IF(AND(G711="Finished",I711&lt;&gt;""),IF(YEAR(I711)=Dashboard!$C$4,I711+ROW()/10000000,""),"")</f>
        <v/>
      </c>
      <c r="O711">
        <f>IF(B711="","",IFERROR(MATCH(D711,Settings!$B$6:$B$17,0),12))</f>
        <v/>
      </c>
      <c r="P711">
        <f>IF(AND(G711="Reading",B711&lt;&gt;""),IF(H711="",TODAY(),H711)+ROW()/10000000,"")</f>
        <v/>
      </c>
      <c r="Q711">
        <f>IF(AND(N711&lt;&gt;"",N(J711)=5),N711,"")</f>
        <v/>
      </c>
    </row>
    <row r="712">
      <c r="A712" s="1" t="n"/>
      <c r="B712" s="24" t="n"/>
      <c r="C712" s="25" t="n"/>
      <c r="D712" s="25" t="n"/>
      <c r="E712" s="26" t="n"/>
      <c r="F712" s="27" t="n"/>
      <c r="G712" s="26" t="n"/>
      <c r="H712" s="28" t="n"/>
      <c r="I712" s="28" t="n"/>
      <c r="J712" s="27" t="n"/>
      <c r="K712" s="16">
        <f>IF(OR(H712="",I712=""),"",I712-H712+1)</f>
        <v/>
      </c>
      <c r="L712" s="16">
        <f>IF(OR(K712="",N(F712)=0),"",F712/K712)</f>
        <v/>
      </c>
      <c r="M712" s="25" t="n"/>
      <c r="N712" s="1">
        <f>IF(AND(G712="Finished",I712&lt;&gt;""),IF(YEAR(I712)=Dashboard!$C$4,I712+ROW()/10000000,""),"")</f>
        <v/>
      </c>
      <c r="O712">
        <f>IF(B712="","",IFERROR(MATCH(D712,Settings!$B$6:$B$17,0),12))</f>
        <v/>
      </c>
      <c r="P712">
        <f>IF(AND(G712="Reading",B712&lt;&gt;""),IF(H712="",TODAY(),H712)+ROW()/10000000,"")</f>
        <v/>
      </c>
      <c r="Q712">
        <f>IF(AND(N712&lt;&gt;"",N(J712)=5),N712,"")</f>
        <v/>
      </c>
    </row>
    <row r="713">
      <c r="A713" s="1" t="n"/>
      <c r="B713" s="24" t="n"/>
      <c r="C713" s="25" t="n"/>
      <c r="D713" s="25" t="n"/>
      <c r="E713" s="26" t="n"/>
      <c r="F713" s="27" t="n"/>
      <c r="G713" s="26" t="n"/>
      <c r="H713" s="28" t="n"/>
      <c r="I713" s="28" t="n"/>
      <c r="J713" s="27" t="n"/>
      <c r="K713" s="16">
        <f>IF(OR(H713="",I713=""),"",I713-H713+1)</f>
        <v/>
      </c>
      <c r="L713" s="16">
        <f>IF(OR(K713="",N(F713)=0),"",F713/K713)</f>
        <v/>
      </c>
      <c r="M713" s="25" t="n"/>
      <c r="N713" s="1">
        <f>IF(AND(G713="Finished",I713&lt;&gt;""),IF(YEAR(I713)=Dashboard!$C$4,I713+ROW()/10000000,""),"")</f>
        <v/>
      </c>
      <c r="O713">
        <f>IF(B713="","",IFERROR(MATCH(D713,Settings!$B$6:$B$17,0),12))</f>
        <v/>
      </c>
      <c r="P713">
        <f>IF(AND(G713="Reading",B713&lt;&gt;""),IF(H713="",TODAY(),H713)+ROW()/10000000,"")</f>
        <v/>
      </c>
      <c r="Q713">
        <f>IF(AND(N713&lt;&gt;"",N(J713)=5),N713,"")</f>
        <v/>
      </c>
    </row>
    <row r="714">
      <c r="A714" s="1" t="n"/>
      <c r="B714" s="24" t="n"/>
      <c r="C714" s="25" t="n"/>
      <c r="D714" s="25" t="n"/>
      <c r="E714" s="26" t="n"/>
      <c r="F714" s="27" t="n"/>
      <c r="G714" s="26" t="n"/>
      <c r="H714" s="28" t="n"/>
      <c r="I714" s="28" t="n"/>
      <c r="J714" s="27" t="n"/>
      <c r="K714" s="16">
        <f>IF(OR(H714="",I714=""),"",I714-H714+1)</f>
        <v/>
      </c>
      <c r="L714" s="16">
        <f>IF(OR(K714="",N(F714)=0),"",F714/K714)</f>
        <v/>
      </c>
      <c r="M714" s="25" t="n"/>
      <c r="N714" s="1">
        <f>IF(AND(G714="Finished",I714&lt;&gt;""),IF(YEAR(I714)=Dashboard!$C$4,I714+ROW()/10000000,""),"")</f>
        <v/>
      </c>
      <c r="O714">
        <f>IF(B714="","",IFERROR(MATCH(D714,Settings!$B$6:$B$17,0),12))</f>
        <v/>
      </c>
      <c r="P714">
        <f>IF(AND(G714="Reading",B714&lt;&gt;""),IF(H714="",TODAY(),H714)+ROW()/10000000,"")</f>
        <v/>
      </c>
      <c r="Q714">
        <f>IF(AND(N714&lt;&gt;"",N(J714)=5),N714,"")</f>
        <v/>
      </c>
    </row>
    <row r="715">
      <c r="A715" s="1" t="n"/>
      <c r="B715" s="24" t="n"/>
      <c r="C715" s="25" t="n"/>
      <c r="D715" s="25" t="n"/>
      <c r="E715" s="26" t="n"/>
      <c r="F715" s="27" t="n"/>
      <c r="G715" s="26" t="n"/>
      <c r="H715" s="28" t="n"/>
      <c r="I715" s="28" t="n"/>
      <c r="J715" s="27" t="n"/>
      <c r="K715" s="16">
        <f>IF(OR(H715="",I715=""),"",I715-H715+1)</f>
        <v/>
      </c>
      <c r="L715" s="16">
        <f>IF(OR(K715="",N(F715)=0),"",F715/K715)</f>
        <v/>
      </c>
      <c r="M715" s="25" t="n"/>
      <c r="N715" s="1">
        <f>IF(AND(G715="Finished",I715&lt;&gt;""),IF(YEAR(I715)=Dashboard!$C$4,I715+ROW()/10000000,""),"")</f>
        <v/>
      </c>
      <c r="O715">
        <f>IF(B715="","",IFERROR(MATCH(D715,Settings!$B$6:$B$17,0),12))</f>
        <v/>
      </c>
      <c r="P715">
        <f>IF(AND(G715="Reading",B715&lt;&gt;""),IF(H715="",TODAY(),H715)+ROW()/10000000,"")</f>
        <v/>
      </c>
      <c r="Q715">
        <f>IF(AND(N715&lt;&gt;"",N(J715)=5),N715,"")</f>
        <v/>
      </c>
    </row>
    <row r="716">
      <c r="A716" s="1" t="n"/>
      <c r="B716" s="24" t="n"/>
      <c r="C716" s="25" t="n"/>
      <c r="D716" s="25" t="n"/>
      <c r="E716" s="26" t="n"/>
      <c r="F716" s="27" t="n"/>
      <c r="G716" s="26" t="n"/>
      <c r="H716" s="28" t="n"/>
      <c r="I716" s="28" t="n"/>
      <c r="J716" s="27" t="n"/>
      <c r="K716" s="16">
        <f>IF(OR(H716="",I716=""),"",I716-H716+1)</f>
        <v/>
      </c>
      <c r="L716" s="16">
        <f>IF(OR(K716="",N(F716)=0),"",F716/K716)</f>
        <v/>
      </c>
      <c r="M716" s="25" t="n"/>
      <c r="N716" s="1">
        <f>IF(AND(G716="Finished",I716&lt;&gt;""),IF(YEAR(I716)=Dashboard!$C$4,I716+ROW()/10000000,""),"")</f>
        <v/>
      </c>
      <c r="O716">
        <f>IF(B716="","",IFERROR(MATCH(D716,Settings!$B$6:$B$17,0),12))</f>
        <v/>
      </c>
      <c r="P716">
        <f>IF(AND(G716="Reading",B716&lt;&gt;""),IF(H716="",TODAY(),H716)+ROW()/10000000,"")</f>
        <v/>
      </c>
      <c r="Q716">
        <f>IF(AND(N716&lt;&gt;"",N(J716)=5),N716,"")</f>
        <v/>
      </c>
    </row>
    <row r="717">
      <c r="A717" s="1" t="n"/>
      <c r="B717" s="24" t="n"/>
      <c r="C717" s="25" t="n"/>
      <c r="D717" s="25" t="n"/>
      <c r="E717" s="26" t="n"/>
      <c r="F717" s="27" t="n"/>
      <c r="G717" s="26" t="n"/>
      <c r="H717" s="28" t="n"/>
      <c r="I717" s="28" t="n"/>
      <c r="J717" s="27" t="n"/>
      <c r="K717" s="16">
        <f>IF(OR(H717="",I717=""),"",I717-H717+1)</f>
        <v/>
      </c>
      <c r="L717" s="16">
        <f>IF(OR(K717="",N(F717)=0),"",F717/K717)</f>
        <v/>
      </c>
      <c r="M717" s="25" t="n"/>
      <c r="N717" s="1">
        <f>IF(AND(G717="Finished",I717&lt;&gt;""),IF(YEAR(I717)=Dashboard!$C$4,I717+ROW()/10000000,""),"")</f>
        <v/>
      </c>
      <c r="O717">
        <f>IF(B717="","",IFERROR(MATCH(D717,Settings!$B$6:$B$17,0),12))</f>
        <v/>
      </c>
      <c r="P717">
        <f>IF(AND(G717="Reading",B717&lt;&gt;""),IF(H717="",TODAY(),H717)+ROW()/10000000,"")</f>
        <v/>
      </c>
      <c r="Q717">
        <f>IF(AND(N717&lt;&gt;"",N(J717)=5),N717,"")</f>
        <v/>
      </c>
    </row>
    <row r="718">
      <c r="A718" s="1" t="n"/>
      <c r="B718" s="24" t="n"/>
      <c r="C718" s="25" t="n"/>
      <c r="D718" s="25" t="n"/>
      <c r="E718" s="26" t="n"/>
      <c r="F718" s="27" t="n"/>
      <c r="G718" s="26" t="n"/>
      <c r="H718" s="28" t="n"/>
      <c r="I718" s="28" t="n"/>
      <c r="J718" s="27" t="n"/>
      <c r="K718" s="16">
        <f>IF(OR(H718="",I718=""),"",I718-H718+1)</f>
        <v/>
      </c>
      <c r="L718" s="16">
        <f>IF(OR(K718="",N(F718)=0),"",F718/K718)</f>
        <v/>
      </c>
      <c r="M718" s="25" t="n"/>
      <c r="N718" s="1">
        <f>IF(AND(G718="Finished",I718&lt;&gt;""),IF(YEAR(I718)=Dashboard!$C$4,I718+ROW()/10000000,""),"")</f>
        <v/>
      </c>
      <c r="O718">
        <f>IF(B718="","",IFERROR(MATCH(D718,Settings!$B$6:$B$17,0),12))</f>
        <v/>
      </c>
      <c r="P718">
        <f>IF(AND(G718="Reading",B718&lt;&gt;""),IF(H718="",TODAY(),H718)+ROW()/10000000,"")</f>
        <v/>
      </c>
      <c r="Q718">
        <f>IF(AND(N718&lt;&gt;"",N(J718)=5),N718,"")</f>
        <v/>
      </c>
    </row>
    <row r="719">
      <c r="A719" s="1" t="n"/>
      <c r="B719" s="24" t="n"/>
      <c r="C719" s="25" t="n"/>
      <c r="D719" s="25" t="n"/>
      <c r="E719" s="26" t="n"/>
      <c r="F719" s="27" t="n"/>
      <c r="G719" s="26" t="n"/>
      <c r="H719" s="28" t="n"/>
      <c r="I719" s="28" t="n"/>
      <c r="J719" s="27" t="n"/>
      <c r="K719" s="16">
        <f>IF(OR(H719="",I719=""),"",I719-H719+1)</f>
        <v/>
      </c>
      <c r="L719" s="16">
        <f>IF(OR(K719="",N(F719)=0),"",F719/K719)</f>
        <v/>
      </c>
      <c r="M719" s="25" t="n"/>
      <c r="N719" s="1">
        <f>IF(AND(G719="Finished",I719&lt;&gt;""),IF(YEAR(I719)=Dashboard!$C$4,I719+ROW()/10000000,""),"")</f>
        <v/>
      </c>
      <c r="O719">
        <f>IF(B719="","",IFERROR(MATCH(D719,Settings!$B$6:$B$17,0),12))</f>
        <v/>
      </c>
      <c r="P719">
        <f>IF(AND(G719="Reading",B719&lt;&gt;""),IF(H719="",TODAY(),H719)+ROW()/10000000,"")</f>
        <v/>
      </c>
      <c r="Q719">
        <f>IF(AND(N719&lt;&gt;"",N(J719)=5),N719,"")</f>
        <v/>
      </c>
    </row>
    <row r="720">
      <c r="A720" s="1" t="n"/>
      <c r="B720" s="24" t="n"/>
      <c r="C720" s="25" t="n"/>
      <c r="D720" s="25" t="n"/>
      <c r="E720" s="26" t="n"/>
      <c r="F720" s="27" t="n"/>
      <c r="G720" s="26" t="n"/>
      <c r="H720" s="28" t="n"/>
      <c r="I720" s="28" t="n"/>
      <c r="J720" s="27" t="n"/>
      <c r="K720" s="16">
        <f>IF(OR(H720="",I720=""),"",I720-H720+1)</f>
        <v/>
      </c>
      <c r="L720" s="16">
        <f>IF(OR(K720="",N(F720)=0),"",F720/K720)</f>
        <v/>
      </c>
      <c r="M720" s="25" t="n"/>
      <c r="N720" s="1">
        <f>IF(AND(G720="Finished",I720&lt;&gt;""),IF(YEAR(I720)=Dashboard!$C$4,I720+ROW()/10000000,""),"")</f>
        <v/>
      </c>
      <c r="O720">
        <f>IF(B720="","",IFERROR(MATCH(D720,Settings!$B$6:$B$17,0),12))</f>
        <v/>
      </c>
      <c r="P720">
        <f>IF(AND(G720="Reading",B720&lt;&gt;""),IF(H720="",TODAY(),H720)+ROW()/10000000,"")</f>
        <v/>
      </c>
      <c r="Q720">
        <f>IF(AND(N720&lt;&gt;"",N(J720)=5),N720,"")</f>
        <v/>
      </c>
    </row>
    <row r="721">
      <c r="A721" s="1" t="n"/>
      <c r="B721" s="24" t="n"/>
      <c r="C721" s="25" t="n"/>
      <c r="D721" s="25" t="n"/>
      <c r="E721" s="26" t="n"/>
      <c r="F721" s="27" t="n"/>
      <c r="G721" s="26" t="n"/>
      <c r="H721" s="28" t="n"/>
      <c r="I721" s="28" t="n"/>
      <c r="J721" s="27" t="n"/>
      <c r="K721" s="16">
        <f>IF(OR(H721="",I721=""),"",I721-H721+1)</f>
        <v/>
      </c>
      <c r="L721" s="16">
        <f>IF(OR(K721="",N(F721)=0),"",F721/K721)</f>
        <v/>
      </c>
      <c r="M721" s="25" t="n"/>
      <c r="N721" s="1">
        <f>IF(AND(G721="Finished",I721&lt;&gt;""),IF(YEAR(I721)=Dashboard!$C$4,I721+ROW()/10000000,""),"")</f>
        <v/>
      </c>
      <c r="O721">
        <f>IF(B721="","",IFERROR(MATCH(D721,Settings!$B$6:$B$17,0),12))</f>
        <v/>
      </c>
      <c r="P721">
        <f>IF(AND(G721="Reading",B721&lt;&gt;""),IF(H721="",TODAY(),H721)+ROW()/10000000,"")</f>
        <v/>
      </c>
      <c r="Q721">
        <f>IF(AND(N721&lt;&gt;"",N(J721)=5),N721,"")</f>
        <v/>
      </c>
    </row>
    <row r="722">
      <c r="A722" s="1" t="n"/>
      <c r="B722" s="24" t="n"/>
      <c r="C722" s="25" t="n"/>
      <c r="D722" s="25" t="n"/>
      <c r="E722" s="26" t="n"/>
      <c r="F722" s="27" t="n"/>
      <c r="G722" s="26" t="n"/>
      <c r="H722" s="28" t="n"/>
      <c r="I722" s="28" t="n"/>
      <c r="J722" s="27" t="n"/>
      <c r="K722" s="16">
        <f>IF(OR(H722="",I722=""),"",I722-H722+1)</f>
        <v/>
      </c>
      <c r="L722" s="16">
        <f>IF(OR(K722="",N(F722)=0),"",F722/K722)</f>
        <v/>
      </c>
      <c r="M722" s="25" t="n"/>
      <c r="N722" s="1">
        <f>IF(AND(G722="Finished",I722&lt;&gt;""),IF(YEAR(I722)=Dashboard!$C$4,I722+ROW()/10000000,""),"")</f>
        <v/>
      </c>
      <c r="O722">
        <f>IF(B722="","",IFERROR(MATCH(D722,Settings!$B$6:$B$17,0),12))</f>
        <v/>
      </c>
      <c r="P722">
        <f>IF(AND(G722="Reading",B722&lt;&gt;""),IF(H722="",TODAY(),H722)+ROW()/10000000,"")</f>
        <v/>
      </c>
      <c r="Q722">
        <f>IF(AND(N722&lt;&gt;"",N(J722)=5),N722,"")</f>
        <v/>
      </c>
    </row>
    <row r="723">
      <c r="A723" s="1" t="n"/>
      <c r="B723" s="24" t="n"/>
      <c r="C723" s="25" t="n"/>
      <c r="D723" s="25" t="n"/>
      <c r="E723" s="26" t="n"/>
      <c r="F723" s="27" t="n"/>
      <c r="G723" s="26" t="n"/>
      <c r="H723" s="28" t="n"/>
      <c r="I723" s="28" t="n"/>
      <c r="J723" s="27" t="n"/>
      <c r="K723" s="16">
        <f>IF(OR(H723="",I723=""),"",I723-H723+1)</f>
        <v/>
      </c>
      <c r="L723" s="16">
        <f>IF(OR(K723="",N(F723)=0),"",F723/K723)</f>
        <v/>
      </c>
      <c r="M723" s="25" t="n"/>
      <c r="N723" s="1">
        <f>IF(AND(G723="Finished",I723&lt;&gt;""),IF(YEAR(I723)=Dashboard!$C$4,I723+ROW()/10000000,""),"")</f>
        <v/>
      </c>
      <c r="O723">
        <f>IF(B723="","",IFERROR(MATCH(D723,Settings!$B$6:$B$17,0),12))</f>
        <v/>
      </c>
      <c r="P723">
        <f>IF(AND(G723="Reading",B723&lt;&gt;""),IF(H723="",TODAY(),H723)+ROW()/10000000,"")</f>
        <v/>
      </c>
      <c r="Q723">
        <f>IF(AND(N723&lt;&gt;"",N(J723)=5),N723,"")</f>
        <v/>
      </c>
    </row>
    <row r="724">
      <c r="A724" s="1" t="n"/>
      <c r="B724" s="24" t="n"/>
      <c r="C724" s="25" t="n"/>
      <c r="D724" s="25" t="n"/>
      <c r="E724" s="26" t="n"/>
      <c r="F724" s="27" t="n"/>
      <c r="G724" s="26" t="n"/>
      <c r="H724" s="28" t="n"/>
      <c r="I724" s="28" t="n"/>
      <c r="J724" s="27" t="n"/>
      <c r="K724" s="16">
        <f>IF(OR(H724="",I724=""),"",I724-H724+1)</f>
        <v/>
      </c>
      <c r="L724" s="16">
        <f>IF(OR(K724="",N(F724)=0),"",F724/K724)</f>
        <v/>
      </c>
      <c r="M724" s="25" t="n"/>
      <c r="N724" s="1">
        <f>IF(AND(G724="Finished",I724&lt;&gt;""),IF(YEAR(I724)=Dashboard!$C$4,I724+ROW()/10000000,""),"")</f>
        <v/>
      </c>
      <c r="O724">
        <f>IF(B724="","",IFERROR(MATCH(D724,Settings!$B$6:$B$17,0),12))</f>
        <v/>
      </c>
      <c r="P724">
        <f>IF(AND(G724="Reading",B724&lt;&gt;""),IF(H724="",TODAY(),H724)+ROW()/10000000,"")</f>
        <v/>
      </c>
      <c r="Q724">
        <f>IF(AND(N724&lt;&gt;"",N(J724)=5),N724,"")</f>
        <v/>
      </c>
    </row>
    <row r="725">
      <c r="A725" s="1" t="n"/>
      <c r="B725" s="24" t="n"/>
      <c r="C725" s="25" t="n"/>
      <c r="D725" s="25" t="n"/>
      <c r="E725" s="26" t="n"/>
      <c r="F725" s="27" t="n"/>
      <c r="G725" s="26" t="n"/>
      <c r="H725" s="28" t="n"/>
      <c r="I725" s="28" t="n"/>
      <c r="J725" s="27" t="n"/>
      <c r="K725" s="16">
        <f>IF(OR(H725="",I725=""),"",I725-H725+1)</f>
        <v/>
      </c>
      <c r="L725" s="16">
        <f>IF(OR(K725="",N(F725)=0),"",F725/K725)</f>
        <v/>
      </c>
      <c r="M725" s="25" t="n"/>
      <c r="N725" s="1">
        <f>IF(AND(G725="Finished",I725&lt;&gt;""),IF(YEAR(I725)=Dashboard!$C$4,I725+ROW()/10000000,""),"")</f>
        <v/>
      </c>
      <c r="O725">
        <f>IF(B725="","",IFERROR(MATCH(D725,Settings!$B$6:$B$17,0),12))</f>
        <v/>
      </c>
      <c r="P725">
        <f>IF(AND(G725="Reading",B725&lt;&gt;""),IF(H725="",TODAY(),H725)+ROW()/10000000,"")</f>
        <v/>
      </c>
      <c r="Q725">
        <f>IF(AND(N725&lt;&gt;"",N(J725)=5),N725,"")</f>
        <v/>
      </c>
    </row>
    <row r="726">
      <c r="A726" s="1" t="n"/>
      <c r="B726" s="24" t="n"/>
      <c r="C726" s="25" t="n"/>
      <c r="D726" s="25" t="n"/>
      <c r="E726" s="26" t="n"/>
      <c r="F726" s="27" t="n"/>
      <c r="G726" s="26" t="n"/>
      <c r="H726" s="28" t="n"/>
      <c r="I726" s="28" t="n"/>
      <c r="J726" s="27" t="n"/>
      <c r="K726" s="16">
        <f>IF(OR(H726="",I726=""),"",I726-H726+1)</f>
        <v/>
      </c>
      <c r="L726" s="16">
        <f>IF(OR(K726="",N(F726)=0),"",F726/K726)</f>
        <v/>
      </c>
      <c r="M726" s="25" t="n"/>
      <c r="N726" s="1">
        <f>IF(AND(G726="Finished",I726&lt;&gt;""),IF(YEAR(I726)=Dashboard!$C$4,I726+ROW()/10000000,""),"")</f>
        <v/>
      </c>
      <c r="O726">
        <f>IF(B726="","",IFERROR(MATCH(D726,Settings!$B$6:$B$17,0),12))</f>
        <v/>
      </c>
      <c r="P726">
        <f>IF(AND(G726="Reading",B726&lt;&gt;""),IF(H726="",TODAY(),H726)+ROW()/10000000,"")</f>
        <v/>
      </c>
      <c r="Q726">
        <f>IF(AND(N726&lt;&gt;"",N(J726)=5),N726,"")</f>
        <v/>
      </c>
    </row>
    <row r="727">
      <c r="A727" s="1" t="n"/>
      <c r="B727" s="24" t="n"/>
      <c r="C727" s="25" t="n"/>
      <c r="D727" s="25" t="n"/>
      <c r="E727" s="26" t="n"/>
      <c r="F727" s="27" t="n"/>
      <c r="G727" s="26" t="n"/>
      <c r="H727" s="28" t="n"/>
      <c r="I727" s="28" t="n"/>
      <c r="J727" s="27" t="n"/>
      <c r="K727" s="16">
        <f>IF(OR(H727="",I727=""),"",I727-H727+1)</f>
        <v/>
      </c>
      <c r="L727" s="16">
        <f>IF(OR(K727="",N(F727)=0),"",F727/K727)</f>
        <v/>
      </c>
      <c r="M727" s="25" t="n"/>
      <c r="N727" s="1">
        <f>IF(AND(G727="Finished",I727&lt;&gt;""),IF(YEAR(I727)=Dashboard!$C$4,I727+ROW()/10000000,""),"")</f>
        <v/>
      </c>
      <c r="O727">
        <f>IF(B727="","",IFERROR(MATCH(D727,Settings!$B$6:$B$17,0),12))</f>
        <v/>
      </c>
      <c r="P727">
        <f>IF(AND(G727="Reading",B727&lt;&gt;""),IF(H727="",TODAY(),H727)+ROW()/10000000,"")</f>
        <v/>
      </c>
      <c r="Q727">
        <f>IF(AND(N727&lt;&gt;"",N(J727)=5),N727,"")</f>
        <v/>
      </c>
    </row>
    <row r="728">
      <c r="A728" s="1" t="n"/>
      <c r="B728" s="24" t="n"/>
      <c r="C728" s="25" t="n"/>
      <c r="D728" s="25" t="n"/>
      <c r="E728" s="26" t="n"/>
      <c r="F728" s="27" t="n"/>
      <c r="G728" s="26" t="n"/>
      <c r="H728" s="28" t="n"/>
      <c r="I728" s="28" t="n"/>
      <c r="J728" s="27" t="n"/>
      <c r="K728" s="16">
        <f>IF(OR(H728="",I728=""),"",I728-H728+1)</f>
        <v/>
      </c>
      <c r="L728" s="16">
        <f>IF(OR(K728="",N(F728)=0),"",F728/K728)</f>
        <v/>
      </c>
      <c r="M728" s="25" t="n"/>
      <c r="N728" s="1">
        <f>IF(AND(G728="Finished",I728&lt;&gt;""),IF(YEAR(I728)=Dashboard!$C$4,I728+ROW()/10000000,""),"")</f>
        <v/>
      </c>
      <c r="O728">
        <f>IF(B728="","",IFERROR(MATCH(D728,Settings!$B$6:$B$17,0),12))</f>
        <v/>
      </c>
      <c r="P728">
        <f>IF(AND(G728="Reading",B728&lt;&gt;""),IF(H728="",TODAY(),H728)+ROW()/10000000,"")</f>
        <v/>
      </c>
      <c r="Q728">
        <f>IF(AND(N728&lt;&gt;"",N(J728)=5),N728,"")</f>
        <v/>
      </c>
    </row>
    <row r="729">
      <c r="A729" s="1" t="n"/>
      <c r="B729" s="24" t="n"/>
      <c r="C729" s="25" t="n"/>
      <c r="D729" s="25" t="n"/>
      <c r="E729" s="26" t="n"/>
      <c r="F729" s="27" t="n"/>
      <c r="G729" s="26" t="n"/>
      <c r="H729" s="28" t="n"/>
      <c r="I729" s="28" t="n"/>
      <c r="J729" s="27" t="n"/>
      <c r="K729" s="16">
        <f>IF(OR(H729="",I729=""),"",I729-H729+1)</f>
        <v/>
      </c>
      <c r="L729" s="16">
        <f>IF(OR(K729="",N(F729)=0),"",F729/K729)</f>
        <v/>
      </c>
      <c r="M729" s="25" t="n"/>
      <c r="N729" s="1">
        <f>IF(AND(G729="Finished",I729&lt;&gt;""),IF(YEAR(I729)=Dashboard!$C$4,I729+ROW()/10000000,""),"")</f>
        <v/>
      </c>
      <c r="O729">
        <f>IF(B729="","",IFERROR(MATCH(D729,Settings!$B$6:$B$17,0),12))</f>
        <v/>
      </c>
      <c r="P729">
        <f>IF(AND(G729="Reading",B729&lt;&gt;""),IF(H729="",TODAY(),H729)+ROW()/10000000,"")</f>
        <v/>
      </c>
      <c r="Q729">
        <f>IF(AND(N729&lt;&gt;"",N(J729)=5),N729,"")</f>
        <v/>
      </c>
    </row>
    <row r="730">
      <c r="A730" s="1" t="n"/>
      <c r="B730" s="24" t="n"/>
      <c r="C730" s="25" t="n"/>
      <c r="D730" s="25" t="n"/>
      <c r="E730" s="26" t="n"/>
      <c r="F730" s="27" t="n"/>
      <c r="G730" s="26" t="n"/>
      <c r="H730" s="28" t="n"/>
      <c r="I730" s="28" t="n"/>
      <c r="J730" s="27" t="n"/>
      <c r="K730" s="16">
        <f>IF(OR(H730="",I730=""),"",I730-H730+1)</f>
        <v/>
      </c>
      <c r="L730" s="16">
        <f>IF(OR(K730="",N(F730)=0),"",F730/K730)</f>
        <v/>
      </c>
      <c r="M730" s="25" t="n"/>
      <c r="N730" s="1">
        <f>IF(AND(G730="Finished",I730&lt;&gt;""),IF(YEAR(I730)=Dashboard!$C$4,I730+ROW()/10000000,""),"")</f>
        <v/>
      </c>
      <c r="O730">
        <f>IF(B730="","",IFERROR(MATCH(D730,Settings!$B$6:$B$17,0),12))</f>
        <v/>
      </c>
      <c r="P730">
        <f>IF(AND(G730="Reading",B730&lt;&gt;""),IF(H730="",TODAY(),H730)+ROW()/10000000,"")</f>
        <v/>
      </c>
      <c r="Q730">
        <f>IF(AND(N730&lt;&gt;"",N(J730)=5),N730,"")</f>
        <v/>
      </c>
    </row>
    <row r="731">
      <c r="A731" s="1" t="n"/>
      <c r="B731" s="24" t="n"/>
      <c r="C731" s="25" t="n"/>
      <c r="D731" s="25" t="n"/>
      <c r="E731" s="26" t="n"/>
      <c r="F731" s="27" t="n"/>
      <c r="G731" s="26" t="n"/>
      <c r="H731" s="28" t="n"/>
      <c r="I731" s="28" t="n"/>
      <c r="J731" s="27" t="n"/>
      <c r="K731" s="16">
        <f>IF(OR(H731="",I731=""),"",I731-H731+1)</f>
        <v/>
      </c>
      <c r="L731" s="16">
        <f>IF(OR(K731="",N(F731)=0),"",F731/K731)</f>
        <v/>
      </c>
      <c r="M731" s="25" t="n"/>
      <c r="N731" s="1">
        <f>IF(AND(G731="Finished",I731&lt;&gt;""),IF(YEAR(I731)=Dashboard!$C$4,I731+ROW()/10000000,""),"")</f>
        <v/>
      </c>
      <c r="O731">
        <f>IF(B731="","",IFERROR(MATCH(D731,Settings!$B$6:$B$17,0),12))</f>
        <v/>
      </c>
      <c r="P731">
        <f>IF(AND(G731="Reading",B731&lt;&gt;""),IF(H731="",TODAY(),H731)+ROW()/10000000,"")</f>
        <v/>
      </c>
      <c r="Q731">
        <f>IF(AND(N731&lt;&gt;"",N(J731)=5),N731,"")</f>
        <v/>
      </c>
    </row>
    <row r="732">
      <c r="A732" s="1" t="n"/>
      <c r="B732" s="24" t="n"/>
      <c r="C732" s="25" t="n"/>
      <c r="D732" s="25" t="n"/>
      <c r="E732" s="26" t="n"/>
      <c r="F732" s="27" t="n"/>
      <c r="G732" s="26" t="n"/>
      <c r="H732" s="28" t="n"/>
      <c r="I732" s="28" t="n"/>
      <c r="J732" s="27" t="n"/>
      <c r="K732" s="16">
        <f>IF(OR(H732="",I732=""),"",I732-H732+1)</f>
        <v/>
      </c>
      <c r="L732" s="16">
        <f>IF(OR(K732="",N(F732)=0),"",F732/K732)</f>
        <v/>
      </c>
      <c r="M732" s="25" t="n"/>
      <c r="N732" s="1">
        <f>IF(AND(G732="Finished",I732&lt;&gt;""),IF(YEAR(I732)=Dashboard!$C$4,I732+ROW()/10000000,""),"")</f>
        <v/>
      </c>
      <c r="O732">
        <f>IF(B732="","",IFERROR(MATCH(D732,Settings!$B$6:$B$17,0),12))</f>
        <v/>
      </c>
      <c r="P732">
        <f>IF(AND(G732="Reading",B732&lt;&gt;""),IF(H732="",TODAY(),H732)+ROW()/10000000,"")</f>
        <v/>
      </c>
      <c r="Q732">
        <f>IF(AND(N732&lt;&gt;"",N(J732)=5),N732,"")</f>
        <v/>
      </c>
    </row>
    <row r="733">
      <c r="A733" s="1" t="n"/>
      <c r="B733" s="24" t="n"/>
      <c r="C733" s="25" t="n"/>
      <c r="D733" s="25" t="n"/>
      <c r="E733" s="26" t="n"/>
      <c r="F733" s="27" t="n"/>
      <c r="G733" s="26" t="n"/>
      <c r="H733" s="28" t="n"/>
      <c r="I733" s="28" t="n"/>
      <c r="J733" s="27" t="n"/>
      <c r="K733" s="16">
        <f>IF(OR(H733="",I733=""),"",I733-H733+1)</f>
        <v/>
      </c>
      <c r="L733" s="16">
        <f>IF(OR(K733="",N(F733)=0),"",F733/K733)</f>
        <v/>
      </c>
      <c r="M733" s="25" t="n"/>
      <c r="N733" s="1">
        <f>IF(AND(G733="Finished",I733&lt;&gt;""),IF(YEAR(I733)=Dashboard!$C$4,I733+ROW()/10000000,""),"")</f>
        <v/>
      </c>
      <c r="O733">
        <f>IF(B733="","",IFERROR(MATCH(D733,Settings!$B$6:$B$17,0),12))</f>
        <v/>
      </c>
      <c r="P733">
        <f>IF(AND(G733="Reading",B733&lt;&gt;""),IF(H733="",TODAY(),H733)+ROW()/10000000,"")</f>
        <v/>
      </c>
      <c r="Q733">
        <f>IF(AND(N733&lt;&gt;"",N(J733)=5),N733,"")</f>
        <v/>
      </c>
    </row>
    <row r="734">
      <c r="A734" s="1" t="n"/>
      <c r="B734" s="24" t="n"/>
      <c r="C734" s="25" t="n"/>
      <c r="D734" s="25" t="n"/>
      <c r="E734" s="26" t="n"/>
      <c r="F734" s="27" t="n"/>
      <c r="G734" s="26" t="n"/>
      <c r="H734" s="28" t="n"/>
      <c r="I734" s="28" t="n"/>
      <c r="J734" s="27" t="n"/>
      <c r="K734" s="16">
        <f>IF(OR(H734="",I734=""),"",I734-H734+1)</f>
        <v/>
      </c>
      <c r="L734" s="16">
        <f>IF(OR(K734="",N(F734)=0),"",F734/K734)</f>
        <v/>
      </c>
      <c r="M734" s="25" t="n"/>
      <c r="N734" s="1">
        <f>IF(AND(G734="Finished",I734&lt;&gt;""),IF(YEAR(I734)=Dashboard!$C$4,I734+ROW()/10000000,""),"")</f>
        <v/>
      </c>
      <c r="O734">
        <f>IF(B734="","",IFERROR(MATCH(D734,Settings!$B$6:$B$17,0),12))</f>
        <v/>
      </c>
      <c r="P734">
        <f>IF(AND(G734="Reading",B734&lt;&gt;""),IF(H734="",TODAY(),H734)+ROW()/10000000,"")</f>
        <v/>
      </c>
      <c r="Q734">
        <f>IF(AND(N734&lt;&gt;"",N(J734)=5),N734,"")</f>
        <v/>
      </c>
    </row>
    <row r="735">
      <c r="A735" s="1" t="n"/>
      <c r="B735" s="24" t="n"/>
      <c r="C735" s="25" t="n"/>
      <c r="D735" s="25" t="n"/>
      <c r="E735" s="26" t="n"/>
      <c r="F735" s="27" t="n"/>
      <c r="G735" s="26" t="n"/>
      <c r="H735" s="28" t="n"/>
      <c r="I735" s="28" t="n"/>
      <c r="J735" s="27" t="n"/>
      <c r="K735" s="16">
        <f>IF(OR(H735="",I735=""),"",I735-H735+1)</f>
        <v/>
      </c>
      <c r="L735" s="16">
        <f>IF(OR(K735="",N(F735)=0),"",F735/K735)</f>
        <v/>
      </c>
      <c r="M735" s="25" t="n"/>
      <c r="N735" s="1">
        <f>IF(AND(G735="Finished",I735&lt;&gt;""),IF(YEAR(I735)=Dashboard!$C$4,I735+ROW()/10000000,""),"")</f>
        <v/>
      </c>
      <c r="O735">
        <f>IF(B735="","",IFERROR(MATCH(D735,Settings!$B$6:$B$17,0),12))</f>
        <v/>
      </c>
      <c r="P735">
        <f>IF(AND(G735="Reading",B735&lt;&gt;""),IF(H735="",TODAY(),H735)+ROW()/10000000,"")</f>
        <v/>
      </c>
      <c r="Q735">
        <f>IF(AND(N735&lt;&gt;"",N(J735)=5),N735,"")</f>
        <v/>
      </c>
    </row>
    <row r="736">
      <c r="A736" s="1" t="n"/>
      <c r="B736" s="24" t="n"/>
      <c r="C736" s="25" t="n"/>
      <c r="D736" s="25" t="n"/>
      <c r="E736" s="26" t="n"/>
      <c r="F736" s="27" t="n"/>
      <c r="G736" s="26" t="n"/>
      <c r="H736" s="28" t="n"/>
      <c r="I736" s="28" t="n"/>
      <c r="J736" s="27" t="n"/>
      <c r="K736" s="16">
        <f>IF(OR(H736="",I736=""),"",I736-H736+1)</f>
        <v/>
      </c>
      <c r="L736" s="16">
        <f>IF(OR(K736="",N(F736)=0),"",F736/K736)</f>
        <v/>
      </c>
      <c r="M736" s="25" t="n"/>
      <c r="N736" s="1">
        <f>IF(AND(G736="Finished",I736&lt;&gt;""),IF(YEAR(I736)=Dashboard!$C$4,I736+ROW()/10000000,""),"")</f>
        <v/>
      </c>
      <c r="O736">
        <f>IF(B736="","",IFERROR(MATCH(D736,Settings!$B$6:$B$17,0),12))</f>
        <v/>
      </c>
      <c r="P736">
        <f>IF(AND(G736="Reading",B736&lt;&gt;""),IF(H736="",TODAY(),H736)+ROW()/10000000,"")</f>
        <v/>
      </c>
      <c r="Q736">
        <f>IF(AND(N736&lt;&gt;"",N(J736)=5),N736,"")</f>
        <v/>
      </c>
    </row>
    <row r="737">
      <c r="A737" s="1" t="n"/>
      <c r="B737" s="24" t="n"/>
      <c r="C737" s="25" t="n"/>
      <c r="D737" s="25" t="n"/>
      <c r="E737" s="26" t="n"/>
      <c r="F737" s="27" t="n"/>
      <c r="G737" s="26" t="n"/>
      <c r="H737" s="28" t="n"/>
      <c r="I737" s="28" t="n"/>
      <c r="J737" s="27" t="n"/>
      <c r="K737" s="16">
        <f>IF(OR(H737="",I737=""),"",I737-H737+1)</f>
        <v/>
      </c>
      <c r="L737" s="16">
        <f>IF(OR(K737="",N(F737)=0),"",F737/K737)</f>
        <v/>
      </c>
      <c r="M737" s="25" t="n"/>
      <c r="N737" s="1">
        <f>IF(AND(G737="Finished",I737&lt;&gt;""),IF(YEAR(I737)=Dashboard!$C$4,I737+ROW()/10000000,""),"")</f>
        <v/>
      </c>
      <c r="O737">
        <f>IF(B737="","",IFERROR(MATCH(D737,Settings!$B$6:$B$17,0),12))</f>
        <v/>
      </c>
      <c r="P737">
        <f>IF(AND(G737="Reading",B737&lt;&gt;""),IF(H737="",TODAY(),H737)+ROW()/10000000,"")</f>
        <v/>
      </c>
      <c r="Q737">
        <f>IF(AND(N737&lt;&gt;"",N(J737)=5),N737,"")</f>
        <v/>
      </c>
    </row>
    <row r="738">
      <c r="A738" s="1" t="n"/>
      <c r="B738" s="24" t="n"/>
      <c r="C738" s="25" t="n"/>
      <c r="D738" s="25" t="n"/>
      <c r="E738" s="26" t="n"/>
      <c r="F738" s="27" t="n"/>
      <c r="G738" s="26" t="n"/>
      <c r="H738" s="28" t="n"/>
      <c r="I738" s="28" t="n"/>
      <c r="J738" s="27" t="n"/>
      <c r="K738" s="16">
        <f>IF(OR(H738="",I738=""),"",I738-H738+1)</f>
        <v/>
      </c>
      <c r="L738" s="16">
        <f>IF(OR(K738="",N(F738)=0),"",F738/K738)</f>
        <v/>
      </c>
      <c r="M738" s="25" t="n"/>
      <c r="N738" s="1">
        <f>IF(AND(G738="Finished",I738&lt;&gt;""),IF(YEAR(I738)=Dashboard!$C$4,I738+ROW()/10000000,""),"")</f>
        <v/>
      </c>
      <c r="O738">
        <f>IF(B738="","",IFERROR(MATCH(D738,Settings!$B$6:$B$17,0),12))</f>
        <v/>
      </c>
      <c r="P738">
        <f>IF(AND(G738="Reading",B738&lt;&gt;""),IF(H738="",TODAY(),H738)+ROW()/10000000,"")</f>
        <v/>
      </c>
      <c r="Q738">
        <f>IF(AND(N738&lt;&gt;"",N(J738)=5),N738,"")</f>
        <v/>
      </c>
    </row>
    <row r="739">
      <c r="A739" s="1" t="n"/>
      <c r="B739" s="24" t="n"/>
      <c r="C739" s="25" t="n"/>
      <c r="D739" s="25" t="n"/>
      <c r="E739" s="26" t="n"/>
      <c r="F739" s="27" t="n"/>
      <c r="G739" s="26" t="n"/>
      <c r="H739" s="28" t="n"/>
      <c r="I739" s="28" t="n"/>
      <c r="J739" s="27" t="n"/>
      <c r="K739" s="16">
        <f>IF(OR(H739="",I739=""),"",I739-H739+1)</f>
        <v/>
      </c>
      <c r="L739" s="16">
        <f>IF(OR(K739="",N(F739)=0),"",F739/K739)</f>
        <v/>
      </c>
      <c r="M739" s="25" t="n"/>
      <c r="N739" s="1">
        <f>IF(AND(G739="Finished",I739&lt;&gt;""),IF(YEAR(I739)=Dashboard!$C$4,I739+ROW()/10000000,""),"")</f>
        <v/>
      </c>
      <c r="O739">
        <f>IF(B739="","",IFERROR(MATCH(D739,Settings!$B$6:$B$17,0),12))</f>
        <v/>
      </c>
      <c r="P739">
        <f>IF(AND(G739="Reading",B739&lt;&gt;""),IF(H739="",TODAY(),H739)+ROW()/10000000,"")</f>
        <v/>
      </c>
      <c r="Q739">
        <f>IF(AND(N739&lt;&gt;"",N(J739)=5),N739,"")</f>
        <v/>
      </c>
    </row>
    <row r="740">
      <c r="A740" s="1" t="n"/>
      <c r="B740" s="24" t="n"/>
      <c r="C740" s="25" t="n"/>
      <c r="D740" s="25" t="n"/>
      <c r="E740" s="26" t="n"/>
      <c r="F740" s="27" t="n"/>
      <c r="G740" s="26" t="n"/>
      <c r="H740" s="28" t="n"/>
      <c r="I740" s="28" t="n"/>
      <c r="J740" s="27" t="n"/>
      <c r="K740" s="16">
        <f>IF(OR(H740="",I740=""),"",I740-H740+1)</f>
        <v/>
      </c>
      <c r="L740" s="16">
        <f>IF(OR(K740="",N(F740)=0),"",F740/K740)</f>
        <v/>
      </c>
      <c r="M740" s="25" t="n"/>
      <c r="N740" s="1">
        <f>IF(AND(G740="Finished",I740&lt;&gt;""),IF(YEAR(I740)=Dashboard!$C$4,I740+ROW()/10000000,""),"")</f>
        <v/>
      </c>
      <c r="O740">
        <f>IF(B740="","",IFERROR(MATCH(D740,Settings!$B$6:$B$17,0),12))</f>
        <v/>
      </c>
      <c r="P740">
        <f>IF(AND(G740="Reading",B740&lt;&gt;""),IF(H740="",TODAY(),H740)+ROW()/10000000,"")</f>
        <v/>
      </c>
      <c r="Q740">
        <f>IF(AND(N740&lt;&gt;"",N(J740)=5),N740,"")</f>
        <v/>
      </c>
    </row>
    <row r="741">
      <c r="A741" s="1" t="n"/>
      <c r="B741" s="24" t="n"/>
      <c r="C741" s="25" t="n"/>
      <c r="D741" s="25" t="n"/>
      <c r="E741" s="26" t="n"/>
      <c r="F741" s="27" t="n"/>
      <c r="G741" s="26" t="n"/>
      <c r="H741" s="28" t="n"/>
      <c r="I741" s="28" t="n"/>
      <c r="J741" s="27" t="n"/>
      <c r="K741" s="16">
        <f>IF(OR(H741="",I741=""),"",I741-H741+1)</f>
        <v/>
      </c>
      <c r="L741" s="16">
        <f>IF(OR(K741="",N(F741)=0),"",F741/K741)</f>
        <v/>
      </c>
      <c r="M741" s="25" t="n"/>
      <c r="N741" s="1">
        <f>IF(AND(G741="Finished",I741&lt;&gt;""),IF(YEAR(I741)=Dashboard!$C$4,I741+ROW()/10000000,""),"")</f>
        <v/>
      </c>
      <c r="O741">
        <f>IF(B741="","",IFERROR(MATCH(D741,Settings!$B$6:$B$17,0),12))</f>
        <v/>
      </c>
      <c r="P741">
        <f>IF(AND(G741="Reading",B741&lt;&gt;""),IF(H741="",TODAY(),H741)+ROW()/10000000,"")</f>
        <v/>
      </c>
      <c r="Q741">
        <f>IF(AND(N741&lt;&gt;"",N(J741)=5),N741,"")</f>
        <v/>
      </c>
    </row>
    <row r="742">
      <c r="A742" s="1" t="n"/>
      <c r="B742" s="24" t="n"/>
      <c r="C742" s="25" t="n"/>
      <c r="D742" s="25" t="n"/>
      <c r="E742" s="26" t="n"/>
      <c r="F742" s="27" t="n"/>
      <c r="G742" s="26" t="n"/>
      <c r="H742" s="28" t="n"/>
      <c r="I742" s="28" t="n"/>
      <c r="J742" s="27" t="n"/>
      <c r="K742" s="16">
        <f>IF(OR(H742="",I742=""),"",I742-H742+1)</f>
        <v/>
      </c>
      <c r="L742" s="16">
        <f>IF(OR(K742="",N(F742)=0),"",F742/K742)</f>
        <v/>
      </c>
      <c r="M742" s="25" t="n"/>
      <c r="N742" s="1">
        <f>IF(AND(G742="Finished",I742&lt;&gt;""),IF(YEAR(I742)=Dashboard!$C$4,I742+ROW()/10000000,""),"")</f>
        <v/>
      </c>
      <c r="O742">
        <f>IF(B742="","",IFERROR(MATCH(D742,Settings!$B$6:$B$17,0),12))</f>
        <v/>
      </c>
      <c r="P742">
        <f>IF(AND(G742="Reading",B742&lt;&gt;""),IF(H742="",TODAY(),H742)+ROW()/10000000,"")</f>
        <v/>
      </c>
      <c r="Q742">
        <f>IF(AND(N742&lt;&gt;"",N(J742)=5),N742,"")</f>
        <v/>
      </c>
    </row>
    <row r="743">
      <c r="A743" s="1" t="n"/>
      <c r="B743" s="24" t="n"/>
      <c r="C743" s="25" t="n"/>
      <c r="D743" s="25" t="n"/>
      <c r="E743" s="26" t="n"/>
      <c r="F743" s="27" t="n"/>
      <c r="G743" s="26" t="n"/>
      <c r="H743" s="28" t="n"/>
      <c r="I743" s="28" t="n"/>
      <c r="J743" s="27" t="n"/>
      <c r="K743" s="16">
        <f>IF(OR(H743="",I743=""),"",I743-H743+1)</f>
        <v/>
      </c>
      <c r="L743" s="16">
        <f>IF(OR(K743="",N(F743)=0),"",F743/K743)</f>
        <v/>
      </c>
      <c r="M743" s="25" t="n"/>
      <c r="N743" s="1">
        <f>IF(AND(G743="Finished",I743&lt;&gt;""),IF(YEAR(I743)=Dashboard!$C$4,I743+ROW()/10000000,""),"")</f>
        <v/>
      </c>
      <c r="O743">
        <f>IF(B743="","",IFERROR(MATCH(D743,Settings!$B$6:$B$17,0),12))</f>
        <v/>
      </c>
      <c r="P743">
        <f>IF(AND(G743="Reading",B743&lt;&gt;""),IF(H743="",TODAY(),H743)+ROW()/10000000,"")</f>
        <v/>
      </c>
      <c r="Q743">
        <f>IF(AND(N743&lt;&gt;"",N(J743)=5),N743,"")</f>
        <v/>
      </c>
    </row>
    <row r="744">
      <c r="A744" s="1" t="n"/>
      <c r="B744" s="24" t="n"/>
      <c r="C744" s="25" t="n"/>
      <c r="D744" s="25" t="n"/>
      <c r="E744" s="26" t="n"/>
      <c r="F744" s="27" t="n"/>
      <c r="G744" s="26" t="n"/>
      <c r="H744" s="28" t="n"/>
      <c r="I744" s="28" t="n"/>
      <c r="J744" s="27" t="n"/>
      <c r="K744" s="16">
        <f>IF(OR(H744="",I744=""),"",I744-H744+1)</f>
        <v/>
      </c>
      <c r="L744" s="16">
        <f>IF(OR(K744="",N(F744)=0),"",F744/K744)</f>
        <v/>
      </c>
      <c r="M744" s="25" t="n"/>
      <c r="N744" s="1">
        <f>IF(AND(G744="Finished",I744&lt;&gt;""),IF(YEAR(I744)=Dashboard!$C$4,I744+ROW()/10000000,""),"")</f>
        <v/>
      </c>
      <c r="O744">
        <f>IF(B744="","",IFERROR(MATCH(D744,Settings!$B$6:$B$17,0),12))</f>
        <v/>
      </c>
      <c r="P744">
        <f>IF(AND(G744="Reading",B744&lt;&gt;""),IF(H744="",TODAY(),H744)+ROW()/10000000,"")</f>
        <v/>
      </c>
      <c r="Q744">
        <f>IF(AND(N744&lt;&gt;"",N(J744)=5),N744,"")</f>
        <v/>
      </c>
    </row>
    <row r="745">
      <c r="A745" s="1" t="n"/>
      <c r="B745" s="24" t="n"/>
      <c r="C745" s="25" t="n"/>
      <c r="D745" s="25" t="n"/>
      <c r="E745" s="26" t="n"/>
      <c r="F745" s="27" t="n"/>
      <c r="G745" s="26" t="n"/>
      <c r="H745" s="28" t="n"/>
      <c r="I745" s="28" t="n"/>
      <c r="J745" s="27" t="n"/>
      <c r="K745" s="16">
        <f>IF(OR(H745="",I745=""),"",I745-H745+1)</f>
        <v/>
      </c>
      <c r="L745" s="16">
        <f>IF(OR(K745="",N(F745)=0),"",F745/K745)</f>
        <v/>
      </c>
      <c r="M745" s="25" t="n"/>
      <c r="N745" s="1">
        <f>IF(AND(G745="Finished",I745&lt;&gt;""),IF(YEAR(I745)=Dashboard!$C$4,I745+ROW()/10000000,""),"")</f>
        <v/>
      </c>
      <c r="O745">
        <f>IF(B745="","",IFERROR(MATCH(D745,Settings!$B$6:$B$17,0),12))</f>
        <v/>
      </c>
      <c r="P745">
        <f>IF(AND(G745="Reading",B745&lt;&gt;""),IF(H745="",TODAY(),H745)+ROW()/10000000,"")</f>
        <v/>
      </c>
      <c r="Q745">
        <f>IF(AND(N745&lt;&gt;"",N(J745)=5),N745,"")</f>
        <v/>
      </c>
    </row>
    <row r="746">
      <c r="A746" s="1" t="n"/>
      <c r="B746" s="24" t="n"/>
      <c r="C746" s="25" t="n"/>
      <c r="D746" s="25" t="n"/>
      <c r="E746" s="26" t="n"/>
      <c r="F746" s="27" t="n"/>
      <c r="G746" s="26" t="n"/>
      <c r="H746" s="28" t="n"/>
      <c r="I746" s="28" t="n"/>
      <c r="J746" s="27" t="n"/>
      <c r="K746" s="16">
        <f>IF(OR(H746="",I746=""),"",I746-H746+1)</f>
        <v/>
      </c>
      <c r="L746" s="16">
        <f>IF(OR(K746="",N(F746)=0),"",F746/K746)</f>
        <v/>
      </c>
      <c r="M746" s="25" t="n"/>
      <c r="N746" s="1">
        <f>IF(AND(G746="Finished",I746&lt;&gt;""),IF(YEAR(I746)=Dashboard!$C$4,I746+ROW()/10000000,""),"")</f>
        <v/>
      </c>
      <c r="O746">
        <f>IF(B746="","",IFERROR(MATCH(D746,Settings!$B$6:$B$17,0),12))</f>
        <v/>
      </c>
      <c r="P746">
        <f>IF(AND(G746="Reading",B746&lt;&gt;""),IF(H746="",TODAY(),H746)+ROW()/10000000,"")</f>
        <v/>
      </c>
      <c r="Q746">
        <f>IF(AND(N746&lt;&gt;"",N(J746)=5),N746,"")</f>
        <v/>
      </c>
    </row>
    <row r="747">
      <c r="A747" s="1" t="n"/>
      <c r="B747" s="24" t="n"/>
      <c r="C747" s="25" t="n"/>
      <c r="D747" s="25" t="n"/>
      <c r="E747" s="26" t="n"/>
      <c r="F747" s="27" t="n"/>
      <c r="G747" s="26" t="n"/>
      <c r="H747" s="28" t="n"/>
      <c r="I747" s="28" t="n"/>
      <c r="J747" s="27" t="n"/>
      <c r="K747" s="16">
        <f>IF(OR(H747="",I747=""),"",I747-H747+1)</f>
        <v/>
      </c>
      <c r="L747" s="16">
        <f>IF(OR(K747="",N(F747)=0),"",F747/K747)</f>
        <v/>
      </c>
      <c r="M747" s="25" t="n"/>
      <c r="N747" s="1">
        <f>IF(AND(G747="Finished",I747&lt;&gt;""),IF(YEAR(I747)=Dashboard!$C$4,I747+ROW()/10000000,""),"")</f>
        <v/>
      </c>
      <c r="O747">
        <f>IF(B747="","",IFERROR(MATCH(D747,Settings!$B$6:$B$17,0),12))</f>
        <v/>
      </c>
      <c r="P747">
        <f>IF(AND(G747="Reading",B747&lt;&gt;""),IF(H747="",TODAY(),H747)+ROW()/10000000,"")</f>
        <v/>
      </c>
      <c r="Q747">
        <f>IF(AND(N747&lt;&gt;"",N(J747)=5),N747,"")</f>
        <v/>
      </c>
    </row>
    <row r="748">
      <c r="A748" s="1" t="n"/>
      <c r="B748" s="24" t="n"/>
      <c r="C748" s="25" t="n"/>
      <c r="D748" s="25" t="n"/>
      <c r="E748" s="26" t="n"/>
      <c r="F748" s="27" t="n"/>
      <c r="G748" s="26" t="n"/>
      <c r="H748" s="28" t="n"/>
      <c r="I748" s="28" t="n"/>
      <c r="J748" s="27" t="n"/>
      <c r="K748" s="16">
        <f>IF(OR(H748="",I748=""),"",I748-H748+1)</f>
        <v/>
      </c>
      <c r="L748" s="16">
        <f>IF(OR(K748="",N(F748)=0),"",F748/K748)</f>
        <v/>
      </c>
      <c r="M748" s="25" t="n"/>
      <c r="N748" s="1">
        <f>IF(AND(G748="Finished",I748&lt;&gt;""),IF(YEAR(I748)=Dashboard!$C$4,I748+ROW()/10000000,""),"")</f>
        <v/>
      </c>
      <c r="O748">
        <f>IF(B748="","",IFERROR(MATCH(D748,Settings!$B$6:$B$17,0),12))</f>
        <v/>
      </c>
      <c r="P748">
        <f>IF(AND(G748="Reading",B748&lt;&gt;""),IF(H748="",TODAY(),H748)+ROW()/10000000,"")</f>
        <v/>
      </c>
      <c r="Q748">
        <f>IF(AND(N748&lt;&gt;"",N(J748)=5),N748,"")</f>
        <v/>
      </c>
    </row>
    <row r="749">
      <c r="A749" s="1" t="n"/>
      <c r="B749" s="24" t="n"/>
      <c r="C749" s="25" t="n"/>
      <c r="D749" s="25" t="n"/>
      <c r="E749" s="26" t="n"/>
      <c r="F749" s="27" t="n"/>
      <c r="G749" s="26" t="n"/>
      <c r="H749" s="28" t="n"/>
      <c r="I749" s="28" t="n"/>
      <c r="J749" s="27" t="n"/>
      <c r="K749" s="16">
        <f>IF(OR(H749="",I749=""),"",I749-H749+1)</f>
        <v/>
      </c>
      <c r="L749" s="16">
        <f>IF(OR(K749="",N(F749)=0),"",F749/K749)</f>
        <v/>
      </c>
      <c r="M749" s="25" t="n"/>
      <c r="N749" s="1">
        <f>IF(AND(G749="Finished",I749&lt;&gt;""),IF(YEAR(I749)=Dashboard!$C$4,I749+ROW()/10000000,""),"")</f>
        <v/>
      </c>
      <c r="O749">
        <f>IF(B749="","",IFERROR(MATCH(D749,Settings!$B$6:$B$17,0),12))</f>
        <v/>
      </c>
      <c r="P749">
        <f>IF(AND(G749="Reading",B749&lt;&gt;""),IF(H749="",TODAY(),H749)+ROW()/10000000,"")</f>
        <v/>
      </c>
      <c r="Q749">
        <f>IF(AND(N749&lt;&gt;"",N(J749)=5),N749,"")</f>
        <v/>
      </c>
    </row>
    <row r="750">
      <c r="A750" s="1" t="n"/>
      <c r="B750" s="24" t="n"/>
      <c r="C750" s="25" t="n"/>
      <c r="D750" s="25" t="n"/>
      <c r="E750" s="26" t="n"/>
      <c r="F750" s="27" t="n"/>
      <c r="G750" s="26" t="n"/>
      <c r="H750" s="28" t="n"/>
      <c r="I750" s="28" t="n"/>
      <c r="J750" s="27" t="n"/>
      <c r="K750" s="16">
        <f>IF(OR(H750="",I750=""),"",I750-H750+1)</f>
        <v/>
      </c>
      <c r="L750" s="16">
        <f>IF(OR(K750="",N(F750)=0),"",F750/K750)</f>
        <v/>
      </c>
      <c r="M750" s="25" t="n"/>
      <c r="N750" s="1">
        <f>IF(AND(G750="Finished",I750&lt;&gt;""),IF(YEAR(I750)=Dashboard!$C$4,I750+ROW()/10000000,""),"")</f>
        <v/>
      </c>
      <c r="O750">
        <f>IF(B750="","",IFERROR(MATCH(D750,Settings!$B$6:$B$17,0),12))</f>
        <v/>
      </c>
      <c r="P750">
        <f>IF(AND(G750="Reading",B750&lt;&gt;""),IF(H750="",TODAY(),H750)+ROW()/10000000,"")</f>
        <v/>
      </c>
      <c r="Q750">
        <f>IF(AND(N750&lt;&gt;"",N(J750)=5),N750,"")</f>
        <v/>
      </c>
    </row>
    <row r="751">
      <c r="A751" s="1" t="n"/>
      <c r="B751" s="24" t="n"/>
      <c r="C751" s="25" t="n"/>
      <c r="D751" s="25" t="n"/>
      <c r="E751" s="26" t="n"/>
      <c r="F751" s="27" t="n"/>
      <c r="G751" s="26" t="n"/>
      <c r="H751" s="28" t="n"/>
      <c r="I751" s="28" t="n"/>
      <c r="J751" s="27" t="n"/>
      <c r="K751" s="16">
        <f>IF(OR(H751="",I751=""),"",I751-H751+1)</f>
        <v/>
      </c>
      <c r="L751" s="16">
        <f>IF(OR(K751="",N(F751)=0),"",F751/K751)</f>
        <v/>
      </c>
      <c r="M751" s="25" t="n"/>
      <c r="N751" s="1">
        <f>IF(AND(G751="Finished",I751&lt;&gt;""),IF(YEAR(I751)=Dashboard!$C$4,I751+ROW()/10000000,""),"")</f>
        <v/>
      </c>
      <c r="O751">
        <f>IF(B751="","",IFERROR(MATCH(D751,Settings!$B$6:$B$17,0),12))</f>
        <v/>
      </c>
      <c r="P751">
        <f>IF(AND(G751="Reading",B751&lt;&gt;""),IF(H751="",TODAY(),H751)+ROW()/10000000,"")</f>
        <v/>
      </c>
      <c r="Q751">
        <f>IF(AND(N751&lt;&gt;"",N(J751)=5),N751,"")</f>
        <v/>
      </c>
    </row>
    <row r="752">
      <c r="A752" s="1" t="n"/>
      <c r="B752" s="24" t="n"/>
      <c r="C752" s="25" t="n"/>
      <c r="D752" s="25" t="n"/>
      <c r="E752" s="26" t="n"/>
      <c r="F752" s="27" t="n"/>
      <c r="G752" s="26" t="n"/>
      <c r="H752" s="28" t="n"/>
      <c r="I752" s="28" t="n"/>
      <c r="J752" s="27" t="n"/>
      <c r="K752" s="16">
        <f>IF(OR(H752="",I752=""),"",I752-H752+1)</f>
        <v/>
      </c>
      <c r="L752" s="16">
        <f>IF(OR(K752="",N(F752)=0),"",F752/K752)</f>
        <v/>
      </c>
      <c r="M752" s="25" t="n"/>
      <c r="N752" s="1">
        <f>IF(AND(G752="Finished",I752&lt;&gt;""),IF(YEAR(I752)=Dashboard!$C$4,I752+ROW()/10000000,""),"")</f>
        <v/>
      </c>
      <c r="O752">
        <f>IF(B752="","",IFERROR(MATCH(D752,Settings!$B$6:$B$17,0),12))</f>
        <v/>
      </c>
      <c r="P752">
        <f>IF(AND(G752="Reading",B752&lt;&gt;""),IF(H752="",TODAY(),H752)+ROW()/10000000,"")</f>
        <v/>
      </c>
      <c r="Q752">
        <f>IF(AND(N752&lt;&gt;"",N(J752)=5),N752,"")</f>
        <v/>
      </c>
    </row>
    <row r="753">
      <c r="A753" s="1" t="n"/>
      <c r="B753" s="24" t="n"/>
      <c r="C753" s="25" t="n"/>
      <c r="D753" s="25" t="n"/>
      <c r="E753" s="26" t="n"/>
      <c r="F753" s="27" t="n"/>
      <c r="G753" s="26" t="n"/>
      <c r="H753" s="28" t="n"/>
      <c r="I753" s="28" t="n"/>
      <c r="J753" s="27" t="n"/>
      <c r="K753" s="16">
        <f>IF(OR(H753="",I753=""),"",I753-H753+1)</f>
        <v/>
      </c>
      <c r="L753" s="16">
        <f>IF(OR(K753="",N(F753)=0),"",F753/K753)</f>
        <v/>
      </c>
      <c r="M753" s="25" t="n"/>
      <c r="N753" s="1">
        <f>IF(AND(G753="Finished",I753&lt;&gt;""),IF(YEAR(I753)=Dashboard!$C$4,I753+ROW()/10000000,""),"")</f>
        <v/>
      </c>
      <c r="O753">
        <f>IF(B753="","",IFERROR(MATCH(D753,Settings!$B$6:$B$17,0),12))</f>
        <v/>
      </c>
      <c r="P753">
        <f>IF(AND(G753="Reading",B753&lt;&gt;""),IF(H753="",TODAY(),H753)+ROW()/10000000,"")</f>
        <v/>
      </c>
      <c r="Q753">
        <f>IF(AND(N753&lt;&gt;"",N(J753)=5),N753,"")</f>
        <v/>
      </c>
    </row>
    <row r="754">
      <c r="A754" s="1" t="n"/>
      <c r="B754" s="24" t="n"/>
      <c r="C754" s="25" t="n"/>
      <c r="D754" s="25" t="n"/>
      <c r="E754" s="26" t="n"/>
      <c r="F754" s="27" t="n"/>
      <c r="G754" s="26" t="n"/>
      <c r="H754" s="28" t="n"/>
      <c r="I754" s="28" t="n"/>
      <c r="J754" s="27" t="n"/>
      <c r="K754" s="16">
        <f>IF(OR(H754="",I754=""),"",I754-H754+1)</f>
        <v/>
      </c>
      <c r="L754" s="16">
        <f>IF(OR(K754="",N(F754)=0),"",F754/K754)</f>
        <v/>
      </c>
      <c r="M754" s="25" t="n"/>
      <c r="N754" s="1">
        <f>IF(AND(G754="Finished",I754&lt;&gt;""),IF(YEAR(I754)=Dashboard!$C$4,I754+ROW()/10000000,""),"")</f>
        <v/>
      </c>
      <c r="O754">
        <f>IF(B754="","",IFERROR(MATCH(D754,Settings!$B$6:$B$17,0),12))</f>
        <v/>
      </c>
      <c r="P754">
        <f>IF(AND(G754="Reading",B754&lt;&gt;""),IF(H754="",TODAY(),H754)+ROW()/10000000,"")</f>
        <v/>
      </c>
      <c r="Q754">
        <f>IF(AND(N754&lt;&gt;"",N(J754)=5),N754,"")</f>
        <v/>
      </c>
    </row>
    <row r="755">
      <c r="A755" s="1" t="n"/>
      <c r="B755" s="24" t="n"/>
      <c r="C755" s="25" t="n"/>
      <c r="D755" s="25" t="n"/>
      <c r="E755" s="26" t="n"/>
      <c r="F755" s="27" t="n"/>
      <c r="G755" s="26" t="n"/>
      <c r="H755" s="28" t="n"/>
      <c r="I755" s="28" t="n"/>
      <c r="J755" s="27" t="n"/>
      <c r="K755" s="16">
        <f>IF(OR(H755="",I755=""),"",I755-H755+1)</f>
        <v/>
      </c>
      <c r="L755" s="16">
        <f>IF(OR(K755="",N(F755)=0),"",F755/K755)</f>
        <v/>
      </c>
      <c r="M755" s="25" t="n"/>
      <c r="N755" s="1">
        <f>IF(AND(G755="Finished",I755&lt;&gt;""),IF(YEAR(I755)=Dashboard!$C$4,I755+ROW()/10000000,""),"")</f>
        <v/>
      </c>
      <c r="O755">
        <f>IF(B755="","",IFERROR(MATCH(D755,Settings!$B$6:$B$17,0),12))</f>
        <v/>
      </c>
      <c r="P755">
        <f>IF(AND(G755="Reading",B755&lt;&gt;""),IF(H755="",TODAY(),H755)+ROW()/10000000,"")</f>
        <v/>
      </c>
      <c r="Q755">
        <f>IF(AND(N755&lt;&gt;"",N(J755)=5),N755,"")</f>
        <v/>
      </c>
    </row>
    <row r="756">
      <c r="A756" s="1" t="n"/>
      <c r="B756" s="24" t="n"/>
      <c r="C756" s="25" t="n"/>
      <c r="D756" s="25" t="n"/>
      <c r="E756" s="26" t="n"/>
      <c r="F756" s="27" t="n"/>
      <c r="G756" s="26" t="n"/>
      <c r="H756" s="28" t="n"/>
      <c r="I756" s="28" t="n"/>
      <c r="J756" s="27" t="n"/>
      <c r="K756" s="16">
        <f>IF(OR(H756="",I756=""),"",I756-H756+1)</f>
        <v/>
      </c>
      <c r="L756" s="16">
        <f>IF(OR(K756="",N(F756)=0),"",F756/K756)</f>
        <v/>
      </c>
      <c r="M756" s="25" t="n"/>
      <c r="N756" s="1">
        <f>IF(AND(G756="Finished",I756&lt;&gt;""),IF(YEAR(I756)=Dashboard!$C$4,I756+ROW()/10000000,""),"")</f>
        <v/>
      </c>
      <c r="O756">
        <f>IF(B756="","",IFERROR(MATCH(D756,Settings!$B$6:$B$17,0),12))</f>
        <v/>
      </c>
      <c r="P756">
        <f>IF(AND(G756="Reading",B756&lt;&gt;""),IF(H756="",TODAY(),H756)+ROW()/10000000,"")</f>
        <v/>
      </c>
      <c r="Q756">
        <f>IF(AND(N756&lt;&gt;"",N(J756)=5),N756,"")</f>
        <v/>
      </c>
    </row>
    <row r="757">
      <c r="A757" s="1" t="n"/>
      <c r="B757" s="24" t="n"/>
      <c r="C757" s="25" t="n"/>
      <c r="D757" s="25" t="n"/>
      <c r="E757" s="26" t="n"/>
      <c r="F757" s="27" t="n"/>
      <c r="G757" s="26" t="n"/>
      <c r="H757" s="28" t="n"/>
      <c r="I757" s="28" t="n"/>
      <c r="J757" s="27" t="n"/>
      <c r="K757" s="16">
        <f>IF(OR(H757="",I757=""),"",I757-H757+1)</f>
        <v/>
      </c>
      <c r="L757" s="16">
        <f>IF(OR(K757="",N(F757)=0),"",F757/K757)</f>
        <v/>
      </c>
      <c r="M757" s="25" t="n"/>
      <c r="N757" s="1">
        <f>IF(AND(G757="Finished",I757&lt;&gt;""),IF(YEAR(I757)=Dashboard!$C$4,I757+ROW()/10000000,""),"")</f>
        <v/>
      </c>
      <c r="O757">
        <f>IF(B757="","",IFERROR(MATCH(D757,Settings!$B$6:$B$17,0),12))</f>
        <v/>
      </c>
      <c r="P757">
        <f>IF(AND(G757="Reading",B757&lt;&gt;""),IF(H757="",TODAY(),H757)+ROW()/10000000,"")</f>
        <v/>
      </c>
      <c r="Q757">
        <f>IF(AND(N757&lt;&gt;"",N(J757)=5),N757,"")</f>
        <v/>
      </c>
    </row>
    <row r="758">
      <c r="A758" s="1" t="n"/>
      <c r="B758" s="24" t="n"/>
      <c r="C758" s="25" t="n"/>
      <c r="D758" s="25" t="n"/>
      <c r="E758" s="26" t="n"/>
      <c r="F758" s="27" t="n"/>
      <c r="G758" s="26" t="n"/>
      <c r="H758" s="28" t="n"/>
      <c r="I758" s="28" t="n"/>
      <c r="J758" s="27" t="n"/>
      <c r="K758" s="16">
        <f>IF(OR(H758="",I758=""),"",I758-H758+1)</f>
        <v/>
      </c>
      <c r="L758" s="16">
        <f>IF(OR(K758="",N(F758)=0),"",F758/K758)</f>
        <v/>
      </c>
      <c r="M758" s="25" t="n"/>
      <c r="N758" s="1">
        <f>IF(AND(G758="Finished",I758&lt;&gt;""),IF(YEAR(I758)=Dashboard!$C$4,I758+ROW()/10000000,""),"")</f>
        <v/>
      </c>
      <c r="O758">
        <f>IF(B758="","",IFERROR(MATCH(D758,Settings!$B$6:$B$17,0),12))</f>
        <v/>
      </c>
      <c r="P758">
        <f>IF(AND(G758="Reading",B758&lt;&gt;""),IF(H758="",TODAY(),H758)+ROW()/10000000,"")</f>
        <v/>
      </c>
      <c r="Q758">
        <f>IF(AND(N758&lt;&gt;"",N(J758)=5),N758,"")</f>
        <v/>
      </c>
    </row>
    <row r="759">
      <c r="A759" s="1" t="n"/>
      <c r="B759" s="24" t="n"/>
      <c r="C759" s="25" t="n"/>
      <c r="D759" s="25" t="n"/>
      <c r="E759" s="26" t="n"/>
      <c r="F759" s="27" t="n"/>
      <c r="G759" s="26" t="n"/>
      <c r="H759" s="28" t="n"/>
      <c r="I759" s="28" t="n"/>
      <c r="J759" s="27" t="n"/>
      <c r="K759" s="16">
        <f>IF(OR(H759="",I759=""),"",I759-H759+1)</f>
        <v/>
      </c>
      <c r="L759" s="16">
        <f>IF(OR(K759="",N(F759)=0),"",F759/K759)</f>
        <v/>
      </c>
      <c r="M759" s="25" t="n"/>
      <c r="N759" s="1">
        <f>IF(AND(G759="Finished",I759&lt;&gt;""),IF(YEAR(I759)=Dashboard!$C$4,I759+ROW()/10000000,""),"")</f>
        <v/>
      </c>
      <c r="O759">
        <f>IF(B759="","",IFERROR(MATCH(D759,Settings!$B$6:$B$17,0),12))</f>
        <v/>
      </c>
      <c r="P759">
        <f>IF(AND(G759="Reading",B759&lt;&gt;""),IF(H759="",TODAY(),H759)+ROW()/10000000,"")</f>
        <v/>
      </c>
      <c r="Q759">
        <f>IF(AND(N759&lt;&gt;"",N(J759)=5),N759,"")</f>
        <v/>
      </c>
    </row>
    <row r="760">
      <c r="A760" s="1" t="n"/>
      <c r="B760" s="24" t="n"/>
      <c r="C760" s="25" t="n"/>
      <c r="D760" s="25" t="n"/>
      <c r="E760" s="26" t="n"/>
      <c r="F760" s="27" t="n"/>
      <c r="G760" s="26" t="n"/>
      <c r="H760" s="28" t="n"/>
      <c r="I760" s="28" t="n"/>
      <c r="J760" s="27" t="n"/>
      <c r="K760" s="16">
        <f>IF(OR(H760="",I760=""),"",I760-H760+1)</f>
        <v/>
      </c>
      <c r="L760" s="16">
        <f>IF(OR(K760="",N(F760)=0),"",F760/K760)</f>
        <v/>
      </c>
      <c r="M760" s="25" t="n"/>
      <c r="N760" s="1">
        <f>IF(AND(G760="Finished",I760&lt;&gt;""),IF(YEAR(I760)=Dashboard!$C$4,I760+ROW()/10000000,""),"")</f>
        <v/>
      </c>
      <c r="O760">
        <f>IF(B760="","",IFERROR(MATCH(D760,Settings!$B$6:$B$17,0),12))</f>
        <v/>
      </c>
      <c r="P760">
        <f>IF(AND(G760="Reading",B760&lt;&gt;""),IF(H760="",TODAY(),H760)+ROW()/10000000,"")</f>
        <v/>
      </c>
      <c r="Q760">
        <f>IF(AND(N760&lt;&gt;"",N(J760)=5),N760,"")</f>
        <v/>
      </c>
    </row>
    <row r="761">
      <c r="A761" s="1" t="n"/>
      <c r="B761" s="24" t="n"/>
      <c r="C761" s="25" t="n"/>
      <c r="D761" s="25" t="n"/>
      <c r="E761" s="26" t="n"/>
      <c r="F761" s="27" t="n"/>
      <c r="G761" s="26" t="n"/>
      <c r="H761" s="28" t="n"/>
      <c r="I761" s="28" t="n"/>
      <c r="J761" s="27" t="n"/>
      <c r="K761" s="16">
        <f>IF(OR(H761="",I761=""),"",I761-H761+1)</f>
        <v/>
      </c>
      <c r="L761" s="16">
        <f>IF(OR(K761="",N(F761)=0),"",F761/K761)</f>
        <v/>
      </c>
      <c r="M761" s="25" t="n"/>
      <c r="N761" s="1">
        <f>IF(AND(G761="Finished",I761&lt;&gt;""),IF(YEAR(I761)=Dashboard!$C$4,I761+ROW()/10000000,""),"")</f>
        <v/>
      </c>
      <c r="O761">
        <f>IF(B761="","",IFERROR(MATCH(D761,Settings!$B$6:$B$17,0),12))</f>
        <v/>
      </c>
      <c r="P761">
        <f>IF(AND(G761="Reading",B761&lt;&gt;""),IF(H761="",TODAY(),H761)+ROW()/10000000,"")</f>
        <v/>
      </c>
      <c r="Q761">
        <f>IF(AND(N761&lt;&gt;"",N(J761)=5),N761,"")</f>
        <v/>
      </c>
    </row>
    <row r="762">
      <c r="A762" s="1" t="n"/>
      <c r="B762" s="24" t="n"/>
      <c r="C762" s="25" t="n"/>
      <c r="D762" s="25" t="n"/>
      <c r="E762" s="26" t="n"/>
      <c r="F762" s="27" t="n"/>
      <c r="G762" s="26" t="n"/>
      <c r="H762" s="28" t="n"/>
      <c r="I762" s="28" t="n"/>
      <c r="J762" s="27" t="n"/>
      <c r="K762" s="16">
        <f>IF(OR(H762="",I762=""),"",I762-H762+1)</f>
        <v/>
      </c>
      <c r="L762" s="16">
        <f>IF(OR(K762="",N(F762)=0),"",F762/K762)</f>
        <v/>
      </c>
      <c r="M762" s="25" t="n"/>
      <c r="N762" s="1">
        <f>IF(AND(G762="Finished",I762&lt;&gt;""),IF(YEAR(I762)=Dashboard!$C$4,I762+ROW()/10000000,""),"")</f>
        <v/>
      </c>
      <c r="O762">
        <f>IF(B762="","",IFERROR(MATCH(D762,Settings!$B$6:$B$17,0),12))</f>
        <v/>
      </c>
      <c r="P762">
        <f>IF(AND(G762="Reading",B762&lt;&gt;""),IF(H762="",TODAY(),H762)+ROW()/10000000,"")</f>
        <v/>
      </c>
      <c r="Q762">
        <f>IF(AND(N762&lt;&gt;"",N(J762)=5),N762,"")</f>
        <v/>
      </c>
    </row>
    <row r="763">
      <c r="A763" s="1" t="n"/>
      <c r="B763" s="24" t="n"/>
      <c r="C763" s="25" t="n"/>
      <c r="D763" s="25" t="n"/>
      <c r="E763" s="26" t="n"/>
      <c r="F763" s="27" t="n"/>
      <c r="G763" s="26" t="n"/>
      <c r="H763" s="28" t="n"/>
      <c r="I763" s="28" t="n"/>
      <c r="J763" s="27" t="n"/>
      <c r="K763" s="16">
        <f>IF(OR(H763="",I763=""),"",I763-H763+1)</f>
        <v/>
      </c>
      <c r="L763" s="16">
        <f>IF(OR(K763="",N(F763)=0),"",F763/K763)</f>
        <v/>
      </c>
      <c r="M763" s="25" t="n"/>
      <c r="N763" s="1">
        <f>IF(AND(G763="Finished",I763&lt;&gt;""),IF(YEAR(I763)=Dashboard!$C$4,I763+ROW()/10000000,""),"")</f>
        <v/>
      </c>
      <c r="O763">
        <f>IF(B763="","",IFERROR(MATCH(D763,Settings!$B$6:$B$17,0),12))</f>
        <v/>
      </c>
      <c r="P763">
        <f>IF(AND(G763="Reading",B763&lt;&gt;""),IF(H763="",TODAY(),H763)+ROW()/10000000,"")</f>
        <v/>
      </c>
      <c r="Q763">
        <f>IF(AND(N763&lt;&gt;"",N(J763)=5),N763,"")</f>
        <v/>
      </c>
    </row>
    <row r="764">
      <c r="A764" s="1" t="n"/>
      <c r="B764" s="24" t="n"/>
      <c r="C764" s="25" t="n"/>
      <c r="D764" s="25" t="n"/>
      <c r="E764" s="26" t="n"/>
      <c r="F764" s="27" t="n"/>
      <c r="G764" s="26" t="n"/>
      <c r="H764" s="28" t="n"/>
      <c r="I764" s="28" t="n"/>
      <c r="J764" s="27" t="n"/>
      <c r="K764" s="16">
        <f>IF(OR(H764="",I764=""),"",I764-H764+1)</f>
        <v/>
      </c>
      <c r="L764" s="16">
        <f>IF(OR(K764="",N(F764)=0),"",F764/K764)</f>
        <v/>
      </c>
      <c r="M764" s="25" t="n"/>
      <c r="N764" s="1">
        <f>IF(AND(G764="Finished",I764&lt;&gt;""),IF(YEAR(I764)=Dashboard!$C$4,I764+ROW()/10000000,""),"")</f>
        <v/>
      </c>
      <c r="O764">
        <f>IF(B764="","",IFERROR(MATCH(D764,Settings!$B$6:$B$17,0),12))</f>
        <v/>
      </c>
      <c r="P764">
        <f>IF(AND(G764="Reading",B764&lt;&gt;""),IF(H764="",TODAY(),H764)+ROW()/10000000,"")</f>
        <v/>
      </c>
      <c r="Q764">
        <f>IF(AND(N764&lt;&gt;"",N(J764)=5),N764,"")</f>
        <v/>
      </c>
    </row>
    <row r="765">
      <c r="A765" s="1" t="n"/>
      <c r="B765" s="24" t="n"/>
      <c r="C765" s="25" t="n"/>
      <c r="D765" s="25" t="n"/>
      <c r="E765" s="26" t="n"/>
      <c r="F765" s="27" t="n"/>
      <c r="G765" s="26" t="n"/>
      <c r="H765" s="28" t="n"/>
      <c r="I765" s="28" t="n"/>
      <c r="J765" s="27" t="n"/>
      <c r="K765" s="16">
        <f>IF(OR(H765="",I765=""),"",I765-H765+1)</f>
        <v/>
      </c>
      <c r="L765" s="16">
        <f>IF(OR(K765="",N(F765)=0),"",F765/K765)</f>
        <v/>
      </c>
      <c r="M765" s="25" t="n"/>
      <c r="N765" s="1">
        <f>IF(AND(G765="Finished",I765&lt;&gt;""),IF(YEAR(I765)=Dashboard!$C$4,I765+ROW()/10000000,""),"")</f>
        <v/>
      </c>
      <c r="O765">
        <f>IF(B765="","",IFERROR(MATCH(D765,Settings!$B$6:$B$17,0),12))</f>
        <v/>
      </c>
      <c r="P765">
        <f>IF(AND(G765="Reading",B765&lt;&gt;""),IF(H765="",TODAY(),H765)+ROW()/10000000,"")</f>
        <v/>
      </c>
      <c r="Q765">
        <f>IF(AND(N765&lt;&gt;"",N(J765)=5),N765,"")</f>
        <v/>
      </c>
    </row>
    <row r="766">
      <c r="A766" s="1" t="n"/>
      <c r="B766" s="24" t="n"/>
      <c r="C766" s="25" t="n"/>
      <c r="D766" s="25" t="n"/>
      <c r="E766" s="26" t="n"/>
      <c r="F766" s="27" t="n"/>
      <c r="G766" s="26" t="n"/>
      <c r="H766" s="28" t="n"/>
      <c r="I766" s="28" t="n"/>
      <c r="J766" s="27" t="n"/>
      <c r="K766" s="16">
        <f>IF(OR(H766="",I766=""),"",I766-H766+1)</f>
        <v/>
      </c>
      <c r="L766" s="16">
        <f>IF(OR(K766="",N(F766)=0),"",F766/K766)</f>
        <v/>
      </c>
      <c r="M766" s="25" t="n"/>
      <c r="N766" s="1">
        <f>IF(AND(G766="Finished",I766&lt;&gt;""),IF(YEAR(I766)=Dashboard!$C$4,I766+ROW()/10000000,""),"")</f>
        <v/>
      </c>
      <c r="O766">
        <f>IF(B766="","",IFERROR(MATCH(D766,Settings!$B$6:$B$17,0),12))</f>
        <v/>
      </c>
      <c r="P766">
        <f>IF(AND(G766="Reading",B766&lt;&gt;""),IF(H766="",TODAY(),H766)+ROW()/10000000,"")</f>
        <v/>
      </c>
      <c r="Q766">
        <f>IF(AND(N766&lt;&gt;"",N(J766)=5),N766,"")</f>
        <v/>
      </c>
    </row>
    <row r="767">
      <c r="A767" s="1" t="n"/>
      <c r="B767" s="24" t="n"/>
      <c r="C767" s="25" t="n"/>
      <c r="D767" s="25" t="n"/>
      <c r="E767" s="26" t="n"/>
      <c r="F767" s="27" t="n"/>
      <c r="G767" s="26" t="n"/>
      <c r="H767" s="28" t="n"/>
      <c r="I767" s="28" t="n"/>
      <c r="J767" s="27" t="n"/>
      <c r="K767" s="16">
        <f>IF(OR(H767="",I767=""),"",I767-H767+1)</f>
        <v/>
      </c>
      <c r="L767" s="16">
        <f>IF(OR(K767="",N(F767)=0),"",F767/K767)</f>
        <v/>
      </c>
      <c r="M767" s="25" t="n"/>
      <c r="N767" s="1">
        <f>IF(AND(G767="Finished",I767&lt;&gt;""),IF(YEAR(I767)=Dashboard!$C$4,I767+ROW()/10000000,""),"")</f>
        <v/>
      </c>
      <c r="O767">
        <f>IF(B767="","",IFERROR(MATCH(D767,Settings!$B$6:$B$17,0),12))</f>
        <v/>
      </c>
      <c r="P767">
        <f>IF(AND(G767="Reading",B767&lt;&gt;""),IF(H767="",TODAY(),H767)+ROW()/10000000,"")</f>
        <v/>
      </c>
      <c r="Q767">
        <f>IF(AND(N767&lt;&gt;"",N(J767)=5),N767,"")</f>
        <v/>
      </c>
    </row>
    <row r="768">
      <c r="A768" s="1" t="n"/>
      <c r="B768" s="24" t="n"/>
      <c r="C768" s="25" t="n"/>
      <c r="D768" s="25" t="n"/>
      <c r="E768" s="26" t="n"/>
      <c r="F768" s="27" t="n"/>
      <c r="G768" s="26" t="n"/>
      <c r="H768" s="28" t="n"/>
      <c r="I768" s="28" t="n"/>
      <c r="J768" s="27" t="n"/>
      <c r="K768" s="16">
        <f>IF(OR(H768="",I768=""),"",I768-H768+1)</f>
        <v/>
      </c>
      <c r="L768" s="16">
        <f>IF(OR(K768="",N(F768)=0),"",F768/K768)</f>
        <v/>
      </c>
      <c r="M768" s="25" t="n"/>
      <c r="N768" s="1">
        <f>IF(AND(G768="Finished",I768&lt;&gt;""),IF(YEAR(I768)=Dashboard!$C$4,I768+ROW()/10000000,""),"")</f>
        <v/>
      </c>
      <c r="O768">
        <f>IF(B768="","",IFERROR(MATCH(D768,Settings!$B$6:$B$17,0),12))</f>
        <v/>
      </c>
      <c r="P768">
        <f>IF(AND(G768="Reading",B768&lt;&gt;""),IF(H768="",TODAY(),H768)+ROW()/10000000,"")</f>
        <v/>
      </c>
      <c r="Q768">
        <f>IF(AND(N768&lt;&gt;"",N(J768)=5),N768,"")</f>
        <v/>
      </c>
    </row>
    <row r="769">
      <c r="A769" s="1" t="n"/>
      <c r="B769" s="24" t="n"/>
      <c r="C769" s="25" t="n"/>
      <c r="D769" s="25" t="n"/>
      <c r="E769" s="26" t="n"/>
      <c r="F769" s="27" t="n"/>
      <c r="G769" s="26" t="n"/>
      <c r="H769" s="28" t="n"/>
      <c r="I769" s="28" t="n"/>
      <c r="J769" s="27" t="n"/>
      <c r="K769" s="16">
        <f>IF(OR(H769="",I769=""),"",I769-H769+1)</f>
        <v/>
      </c>
      <c r="L769" s="16">
        <f>IF(OR(K769="",N(F769)=0),"",F769/K769)</f>
        <v/>
      </c>
      <c r="M769" s="25" t="n"/>
      <c r="N769" s="1">
        <f>IF(AND(G769="Finished",I769&lt;&gt;""),IF(YEAR(I769)=Dashboard!$C$4,I769+ROW()/10000000,""),"")</f>
        <v/>
      </c>
      <c r="O769">
        <f>IF(B769="","",IFERROR(MATCH(D769,Settings!$B$6:$B$17,0),12))</f>
        <v/>
      </c>
      <c r="P769">
        <f>IF(AND(G769="Reading",B769&lt;&gt;""),IF(H769="",TODAY(),H769)+ROW()/10000000,"")</f>
        <v/>
      </c>
      <c r="Q769">
        <f>IF(AND(N769&lt;&gt;"",N(J769)=5),N769,"")</f>
        <v/>
      </c>
    </row>
    <row r="770">
      <c r="A770" s="1" t="n"/>
      <c r="B770" s="24" t="n"/>
      <c r="C770" s="25" t="n"/>
      <c r="D770" s="25" t="n"/>
      <c r="E770" s="26" t="n"/>
      <c r="F770" s="27" t="n"/>
      <c r="G770" s="26" t="n"/>
      <c r="H770" s="28" t="n"/>
      <c r="I770" s="28" t="n"/>
      <c r="J770" s="27" t="n"/>
      <c r="K770" s="16">
        <f>IF(OR(H770="",I770=""),"",I770-H770+1)</f>
        <v/>
      </c>
      <c r="L770" s="16">
        <f>IF(OR(K770="",N(F770)=0),"",F770/K770)</f>
        <v/>
      </c>
      <c r="M770" s="25" t="n"/>
      <c r="N770" s="1">
        <f>IF(AND(G770="Finished",I770&lt;&gt;""),IF(YEAR(I770)=Dashboard!$C$4,I770+ROW()/10000000,""),"")</f>
        <v/>
      </c>
      <c r="O770">
        <f>IF(B770="","",IFERROR(MATCH(D770,Settings!$B$6:$B$17,0),12))</f>
        <v/>
      </c>
      <c r="P770">
        <f>IF(AND(G770="Reading",B770&lt;&gt;""),IF(H770="",TODAY(),H770)+ROW()/10000000,"")</f>
        <v/>
      </c>
      <c r="Q770">
        <f>IF(AND(N770&lt;&gt;"",N(J770)=5),N770,"")</f>
        <v/>
      </c>
    </row>
    <row r="771">
      <c r="A771" s="1" t="n"/>
      <c r="B771" s="24" t="n"/>
      <c r="C771" s="25" t="n"/>
      <c r="D771" s="25" t="n"/>
      <c r="E771" s="26" t="n"/>
      <c r="F771" s="27" t="n"/>
      <c r="G771" s="26" t="n"/>
      <c r="H771" s="28" t="n"/>
      <c r="I771" s="28" t="n"/>
      <c r="J771" s="27" t="n"/>
      <c r="K771" s="16">
        <f>IF(OR(H771="",I771=""),"",I771-H771+1)</f>
        <v/>
      </c>
      <c r="L771" s="16">
        <f>IF(OR(K771="",N(F771)=0),"",F771/K771)</f>
        <v/>
      </c>
      <c r="M771" s="25" t="n"/>
      <c r="N771" s="1">
        <f>IF(AND(G771="Finished",I771&lt;&gt;""),IF(YEAR(I771)=Dashboard!$C$4,I771+ROW()/10000000,""),"")</f>
        <v/>
      </c>
      <c r="O771">
        <f>IF(B771="","",IFERROR(MATCH(D771,Settings!$B$6:$B$17,0),12))</f>
        <v/>
      </c>
      <c r="P771">
        <f>IF(AND(G771="Reading",B771&lt;&gt;""),IF(H771="",TODAY(),H771)+ROW()/10000000,"")</f>
        <v/>
      </c>
      <c r="Q771">
        <f>IF(AND(N771&lt;&gt;"",N(J771)=5),N771,"")</f>
        <v/>
      </c>
    </row>
    <row r="772">
      <c r="A772" s="1" t="n"/>
      <c r="B772" s="24" t="n"/>
      <c r="C772" s="25" t="n"/>
      <c r="D772" s="25" t="n"/>
      <c r="E772" s="26" t="n"/>
      <c r="F772" s="27" t="n"/>
      <c r="G772" s="26" t="n"/>
      <c r="H772" s="28" t="n"/>
      <c r="I772" s="28" t="n"/>
      <c r="J772" s="27" t="n"/>
      <c r="K772" s="16">
        <f>IF(OR(H772="",I772=""),"",I772-H772+1)</f>
        <v/>
      </c>
      <c r="L772" s="16">
        <f>IF(OR(K772="",N(F772)=0),"",F772/K772)</f>
        <v/>
      </c>
      <c r="M772" s="25" t="n"/>
      <c r="N772" s="1">
        <f>IF(AND(G772="Finished",I772&lt;&gt;""),IF(YEAR(I772)=Dashboard!$C$4,I772+ROW()/10000000,""),"")</f>
        <v/>
      </c>
      <c r="O772">
        <f>IF(B772="","",IFERROR(MATCH(D772,Settings!$B$6:$B$17,0),12))</f>
        <v/>
      </c>
      <c r="P772">
        <f>IF(AND(G772="Reading",B772&lt;&gt;""),IF(H772="",TODAY(),H772)+ROW()/10000000,"")</f>
        <v/>
      </c>
      <c r="Q772">
        <f>IF(AND(N772&lt;&gt;"",N(J772)=5),N772,"")</f>
        <v/>
      </c>
    </row>
    <row r="773">
      <c r="A773" s="1" t="n"/>
      <c r="B773" s="24" t="n"/>
      <c r="C773" s="25" t="n"/>
      <c r="D773" s="25" t="n"/>
      <c r="E773" s="26" t="n"/>
      <c r="F773" s="27" t="n"/>
      <c r="G773" s="26" t="n"/>
      <c r="H773" s="28" t="n"/>
      <c r="I773" s="28" t="n"/>
      <c r="J773" s="27" t="n"/>
      <c r="K773" s="16">
        <f>IF(OR(H773="",I773=""),"",I773-H773+1)</f>
        <v/>
      </c>
      <c r="L773" s="16">
        <f>IF(OR(K773="",N(F773)=0),"",F773/K773)</f>
        <v/>
      </c>
      <c r="M773" s="25" t="n"/>
      <c r="N773" s="1">
        <f>IF(AND(G773="Finished",I773&lt;&gt;""),IF(YEAR(I773)=Dashboard!$C$4,I773+ROW()/10000000,""),"")</f>
        <v/>
      </c>
      <c r="O773">
        <f>IF(B773="","",IFERROR(MATCH(D773,Settings!$B$6:$B$17,0),12))</f>
        <v/>
      </c>
      <c r="P773">
        <f>IF(AND(G773="Reading",B773&lt;&gt;""),IF(H773="",TODAY(),H773)+ROW()/10000000,"")</f>
        <v/>
      </c>
      <c r="Q773">
        <f>IF(AND(N773&lt;&gt;"",N(J773)=5),N773,"")</f>
        <v/>
      </c>
    </row>
    <row r="774">
      <c r="A774" s="1" t="n"/>
      <c r="B774" s="24" t="n"/>
      <c r="C774" s="25" t="n"/>
      <c r="D774" s="25" t="n"/>
      <c r="E774" s="26" t="n"/>
      <c r="F774" s="27" t="n"/>
      <c r="G774" s="26" t="n"/>
      <c r="H774" s="28" t="n"/>
      <c r="I774" s="28" t="n"/>
      <c r="J774" s="27" t="n"/>
      <c r="K774" s="16">
        <f>IF(OR(H774="",I774=""),"",I774-H774+1)</f>
        <v/>
      </c>
      <c r="L774" s="16">
        <f>IF(OR(K774="",N(F774)=0),"",F774/K774)</f>
        <v/>
      </c>
      <c r="M774" s="25" t="n"/>
      <c r="N774" s="1">
        <f>IF(AND(G774="Finished",I774&lt;&gt;""),IF(YEAR(I774)=Dashboard!$C$4,I774+ROW()/10000000,""),"")</f>
        <v/>
      </c>
      <c r="O774">
        <f>IF(B774="","",IFERROR(MATCH(D774,Settings!$B$6:$B$17,0),12))</f>
        <v/>
      </c>
      <c r="P774">
        <f>IF(AND(G774="Reading",B774&lt;&gt;""),IF(H774="",TODAY(),H774)+ROW()/10000000,"")</f>
        <v/>
      </c>
      <c r="Q774">
        <f>IF(AND(N774&lt;&gt;"",N(J774)=5),N774,"")</f>
        <v/>
      </c>
    </row>
    <row r="775">
      <c r="A775" s="1" t="n"/>
      <c r="B775" s="24" t="n"/>
      <c r="C775" s="25" t="n"/>
      <c r="D775" s="25" t="n"/>
      <c r="E775" s="26" t="n"/>
      <c r="F775" s="27" t="n"/>
      <c r="G775" s="26" t="n"/>
      <c r="H775" s="28" t="n"/>
      <c r="I775" s="28" t="n"/>
      <c r="J775" s="27" t="n"/>
      <c r="K775" s="16">
        <f>IF(OR(H775="",I775=""),"",I775-H775+1)</f>
        <v/>
      </c>
      <c r="L775" s="16">
        <f>IF(OR(K775="",N(F775)=0),"",F775/K775)</f>
        <v/>
      </c>
      <c r="M775" s="25" t="n"/>
      <c r="N775" s="1">
        <f>IF(AND(G775="Finished",I775&lt;&gt;""),IF(YEAR(I775)=Dashboard!$C$4,I775+ROW()/10000000,""),"")</f>
        <v/>
      </c>
      <c r="O775">
        <f>IF(B775="","",IFERROR(MATCH(D775,Settings!$B$6:$B$17,0),12))</f>
        <v/>
      </c>
      <c r="P775">
        <f>IF(AND(G775="Reading",B775&lt;&gt;""),IF(H775="",TODAY(),H775)+ROW()/10000000,"")</f>
        <v/>
      </c>
      <c r="Q775">
        <f>IF(AND(N775&lt;&gt;"",N(J775)=5),N775,"")</f>
        <v/>
      </c>
    </row>
    <row r="776">
      <c r="A776" s="1" t="n"/>
      <c r="B776" s="24" t="n"/>
      <c r="C776" s="25" t="n"/>
      <c r="D776" s="25" t="n"/>
      <c r="E776" s="26" t="n"/>
      <c r="F776" s="27" t="n"/>
      <c r="G776" s="26" t="n"/>
      <c r="H776" s="28" t="n"/>
      <c r="I776" s="28" t="n"/>
      <c r="J776" s="27" t="n"/>
      <c r="K776" s="16">
        <f>IF(OR(H776="",I776=""),"",I776-H776+1)</f>
        <v/>
      </c>
      <c r="L776" s="16">
        <f>IF(OR(K776="",N(F776)=0),"",F776/K776)</f>
        <v/>
      </c>
      <c r="M776" s="25" t="n"/>
      <c r="N776" s="1">
        <f>IF(AND(G776="Finished",I776&lt;&gt;""),IF(YEAR(I776)=Dashboard!$C$4,I776+ROW()/10000000,""),"")</f>
        <v/>
      </c>
      <c r="O776">
        <f>IF(B776="","",IFERROR(MATCH(D776,Settings!$B$6:$B$17,0),12))</f>
        <v/>
      </c>
      <c r="P776">
        <f>IF(AND(G776="Reading",B776&lt;&gt;""),IF(H776="",TODAY(),H776)+ROW()/10000000,"")</f>
        <v/>
      </c>
      <c r="Q776">
        <f>IF(AND(N776&lt;&gt;"",N(J776)=5),N776,"")</f>
        <v/>
      </c>
    </row>
    <row r="777">
      <c r="A777" s="1" t="n"/>
      <c r="B777" s="24" t="n"/>
      <c r="C777" s="25" t="n"/>
      <c r="D777" s="25" t="n"/>
      <c r="E777" s="26" t="n"/>
      <c r="F777" s="27" t="n"/>
      <c r="G777" s="26" t="n"/>
      <c r="H777" s="28" t="n"/>
      <c r="I777" s="28" t="n"/>
      <c r="J777" s="27" t="n"/>
      <c r="K777" s="16">
        <f>IF(OR(H777="",I777=""),"",I777-H777+1)</f>
        <v/>
      </c>
      <c r="L777" s="16">
        <f>IF(OR(K777="",N(F777)=0),"",F777/K777)</f>
        <v/>
      </c>
      <c r="M777" s="25" t="n"/>
      <c r="N777" s="1">
        <f>IF(AND(G777="Finished",I777&lt;&gt;""),IF(YEAR(I777)=Dashboard!$C$4,I777+ROW()/10000000,""),"")</f>
        <v/>
      </c>
      <c r="O777">
        <f>IF(B777="","",IFERROR(MATCH(D777,Settings!$B$6:$B$17,0),12))</f>
        <v/>
      </c>
      <c r="P777">
        <f>IF(AND(G777="Reading",B777&lt;&gt;""),IF(H777="",TODAY(),H777)+ROW()/10000000,"")</f>
        <v/>
      </c>
      <c r="Q777">
        <f>IF(AND(N777&lt;&gt;"",N(J777)=5),N777,"")</f>
        <v/>
      </c>
    </row>
    <row r="778">
      <c r="A778" s="1" t="n"/>
      <c r="B778" s="24" t="n"/>
      <c r="C778" s="25" t="n"/>
      <c r="D778" s="25" t="n"/>
      <c r="E778" s="26" t="n"/>
      <c r="F778" s="27" t="n"/>
      <c r="G778" s="26" t="n"/>
      <c r="H778" s="28" t="n"/>
      <c r="I778" s="28" t="n"/>
      <c r="J778" s="27" t="n"/>
      <c r="K778" s="16">
        <f>IF(OR(H778="",I778=""),"",I778-H778+1)</f>
        <v/>
      </c>
      <c r="L778" s="16">
        <f>IF(OR(K778="",N(F778)=0),"",F778/K778)</f>
        <v/>
      </c>
      <c r="M778" s="25" t="n"/>
      <c r="N778" s="1">
        <f>IF(AND(G778="Finished",I778&lt;&gt;""),IF(YEAR(I778)=Dashboard!$C$4,I778+ROW()/10000000,""),"")</f>
        <v/>
      </c>
      <c r="O778">
        <f>IF(B778="","",IFERROR(MATCH(D778,Settings!$B$6:$B$17,0),12))</f>
        <v/>
      </c>
      <c r="P778">
        <f>IF(AND(G778="Reading",B778&lt;&gt;""),IF(H778="",TODAY(),H778)+ROW()/10000000,"")</f>
        <v/>
      </c>
      <c r="Q778">
        <f>IF(AND(N778&lt;&gt;"",N(J778)=5),N778,"")</f>
        <v/>
      </c>
    </row>
    <row r="779">
      <c r="A779" s="1" t="n"/>
      <c r="B779" s="24" t="n"/>
      <c r="C779" s="25" t="n"/>
      <c r="D779" s="25" t="n"/>
      <c r="E779" s="26" t="n"/>
      <c r="F779" s="27" t="n"/>
      <c r="G779" s="26" t="n"/>
      <c r="H779" s="28" t="n"/>
      <c r="I779" s="28" t="n"/>
      <c r="J779" s="27" t="n"/>
      <c r="K779" s="16">
        <f>IF(OR(H779="",I779=""),"",I779-H779+1)</f>
        <v/>
      </c>
      <c r="L779" s="16">
        <f>IF(OR(K779="",N(F779)=0),"",F779/K779)</f>
        <v/>
      </c>
      <c r="M779" s="25" t="n"/>
      <c r="N779" s="1">
        <f>IF(AND(G779="Finished",I779&lt;&gt;""),IF(YEAR(I779)=Dashboard!$C$4,I779+ROW()/10000000,""),"")</f>
        <v/>
      </c>
      <c r="O779">
        <f>IF(B779="","",IFERROR(MATCH(D779,Settings!$B$6:$B$17,0),12))</f>
        <v/>
      </c>
      <c r="P779">
        <f>IF(AND(G779="Reading",B779&lt;&gt;""),IF(H779="",TODAY(),H779)+ROW()/10000000,"")</f>
        <v/>
      </c>
      <c r="Q779">
        <f>IF(AND(N779&lt;&gt;"",N(J779)=5),N779,"")</f>
        <v/>
      </c>
    </row>
    <row r="780">
      <c r="A780" s="1" t="n"/>
      <c r="B780" s="24" t="n"/>
      <c r="C780" s="25" t="n"/>
      <c r="D780" s="25" t="n"/>
      <c r="E780" s="26" t="n"/>
      <c r="F780" s="27" t="n"/>
      <c r="G780" s="26" t="n"/>
      <c r="H780" s="28" t="n"/>
      <c r="I780" s="28" t="n"/>
      <c r="J780" s="27" t="n"/>
      <c r="K780" s="16">
        <f>IF(OR(H780="",I780=""),"",I780-H780+1)</f>
        <v/>
      </c>
      <c r="L780" s="16">
        <f>IF(OR(K780="",N(F780)=0),"",F780/K780)</f>
        <v/>
      </c>
      <c r="M780" s="25" t="n"/>
      <c r="N780" s="1">
        <f>IF(AND(G780="Finished",I780&lt;&gt;""),IF(YEAR(I780)=Dashboard!$C$4,I780+ROW()/10000000,""),"")</f>
        <v/>
      </c>
      <c r="O780">
        <f>IF(B780="","",IFERROR(MATCH(D780,Settings!$B$6:$B$17,0),12))</f>
        <v/>
      </c>
      <c r="P780">
        <f>IF(AND(G780="Reading",B780&lt;&gt;""),IF(H780="",TODAY(),H780)+ROW()/10000000,"")</f>
        <v/>
      </c>
      <c r="Q780">
        <f>IF(AND(N780&lt;&gt;"",N(J780)=5),N780,"")</f>
        <v/>
      </c>
    </row>
    <row r="781">
      <c r="A781" s="1" t="n"/>
      <c r="B781" s="24" t="n"/>
      <c r="C781" s="25" t="n"/>
      <c r="D781" s="25" t="n"/>
      <c r="E781" s="26" t="n"/>
      <c r="F781" s="27" t="n"/>
      <c r="G781" s="26" t="n"/>
      <c r="H781" s="28" t="n"/>
      <c r="I781" s="28" t="n"/>
      <c r="J781" s="27" t="n"/>
      <c r="K781" s="16">
        <f>IF(OR(H781="",I781=""),"",I781-H781+1)</f>
        <v/>
      </c>
      <c r="L781" s="16">
        <f>IF(OR(K781="",N(F781)=0),"",F781/K781)</f>
        <v/>
      </c>
      <c r="M781" s="25" t="n"/>
      <c r="N781" s="1">
        <f>IF(AND(G781="Finished",I781&lt;&gt;""),IF(YEAR(I781)=Dashboard!$C$4,I781+ROW()/10000000,""),"")</f>
        <v/>
      </c>
      <c r="O781">
        <f>IF(B781="","",IFERROR(MATCH(D781,Settings!$B$6:$B$17,0),12))</f>
        <v/>
      </c>
      <c r="P781">
        <f>IF(AND(G781="Reading",B781&lt;&gt;""),IF(H781="",TODAY(),H781)+ROW()/10000000,"")</f>
        <v/>
      </c>
      <c r="Q781">
        <f>IF(AND(N781&lt;&gt;"",N(J781)=5),N781,"")</f>
        <v/>
      </c>
    </row>
    <row r="782">
      <c r="A782" s="1" t="n"/>
      <c r="B782" s="24" t="n"/>
      <c r="C782" s="25" t="n"/>
      <c r="D782" s="25" t="n"/>
      <c r="E782" s="26" t="n"/>
      <c r="F782" s="27" t="n"/>
      <c r="G782" s="26" t="n"/>
      <c r="H782" s="28" t="n"/>
      <c r="I782" s="28" t="n"/>
      <c r="J782" s="27" t="n"/>
      <c r="K782" s="16">
        <f>IF(OR(H782="",I782=""),"",I782-H782+1)</f>
        <v/>
      </c>
      <c r="L782" s="16">
        <f>IF(OR(K782="",N(F782)=0),"",F782/K782)</f>
        <v/>
      </c>
      <c r="M782" s="25" t="n"/>
      <c r="N782" s="1">
        <f>IF(AND(G782="Finished",I782&lt;&gt;""),IF(YEAR(I782)=Dashboard!$C$4,I782+ROW()/10000000,""),"")</f>
        <v/>
      </c>
      <c r="O782">
        <f>IF(B782="","",IFERROR(MATCH(D782,Settings!$B$6:$B$17,0),12))</f>
        <v/>
      </c>
      <c r="P782">
        <f>IF(AND(G782="Reading",B782&lt;&gt;""),IF(H782="",TODAY(),H782)+ROW()/10000000,"")</f>
        <v/>
      </c>
      <c r="Q782">
        <f>IF(AND(N782&lt;&gt;"",N(J782)=5),N782,"")</f>
        <v/>
      </c>
    </row>
    <row r="783">
      <c r="A783" s="1" t="n"/>
      <c r="B783" s="24" t="n"/>
      <c r="C783" s="25" t="n"/>
      <c r="D783" s="25" t="n"/>
      <c r="E783" s="26" t="n"/>
      <c r="F783" s="27" t="n"/>
      <c r="G783" s="26" t="n"/>
      <c r="H783" s="28" t="n"/>
      <c r="I783" s="28" t="n"/>
      <c r="J783" s="27" t="n"/>
      <c r="K783" s="16">
        <f>IF(OR(H783="",I783=""),"",I783-H783+1)</f>
        <v/>
      </c>
      <c r="L783" s="16">
        <f>IF(OR(K783="",N(F783)=0),"",F783/K783)</f>
        <v/>
      </c>
      <c r="M783" s="25" t="n"/>
      <c r="N783" s="1">
        <f>IF(AND(G783="Finished",I783&lt;&gt;""),IF(YEAR(I783)=Dashboard!$C$4,I783+ROW()/10000000,""),"")</f>
        <v/>
      </c>
      <c r="O783">
        <f>IF(B783="","",IFERROR(MATCH(D783,Settings!$B$6:$B$17,0),12))</f>
        <v/>
      </c>
      <c r="P783">
        <f>IF(AND(G783="Reading",B783&lt;&gt;""),IF(H783="",TODAY(),H783)+ROW()/10000000,"")</f>
        <v/>
      </c>
      <c r="Q783">
        <f>IF(AND(N783&lt;&gt;"",N(J783)=5),N783,"")</f>
        <v/>
      </c>
    </row>
    <row r="784">
      <c r="A784" s="1" t="n"/>
      <c r="B784" s="24" t="n"/>
      <c r="C784" s="25" t="n"/>
      <c r="D784" s="25" t="n"/>
      <c r="E784" s="26" t="n"/>
      <c r="F784" s="27" t="n"/>
      <c r="G784" s="26" t="n"/>
      <c r="H784" s="28" t="n"/>
      <c r="I784" s="28" t="n"/>
      <c r="J784" s="27" t="n"/>
      <c r="K784" s="16">
        <f>IF(OR(H784="",I784=""),"",I784-H784+1)</f>
        <v/>
      </c>
      <c r="L784" s="16">
        <f>IF(OR(K784="",N(F784)=0),"",F784/K784)</f>
        <v/>
      </c>
      <c r="M784" s="25" t="n"/>
      <c r="N784" s="1">
        <f>IF(AND(G784="Finished",I784&lt;&gt;""),IF(YEAR(I784)=Dashboard!$C$4,I784+ROW()/10000000,""),"")</f>
        <v/>
      </c>
      <c r="O784">
        <f>IF(B784="","",IFERROR(MATCH(D784,Settings!$B$6:$B$17,0),12))</f>
        <v/>
      </c>
      <c r="P784">
        <f>IF(AND(G784="Reading",B784&lt;&gt;""),IF(H784="",TODAY(),H784)+ROW()/10000000,"")</f>
        <v/>
      </c>
      <c r="Q784">
        <f>IF(AND(N784&lt;&gt;"",N(J784)=5),N784,"")</f>
        <v/>
      </c>
    </row>
    <row r="785">
      <c r="A785" s="1" t="n"/>
      <c r="B785" s="24" t="n"/>
      <c r="C785" s="25" t="n"/>
      <c r="D785" s="25" t="n"/>
      <c r="E785" s="26" t="n"/>
      <c r="F785" s="27" t="n"/>
      <c r="G785" s="26" t="n"/>
      <c r="H785" s="28" t="n"/>
      <c r="I785" s="28" t="n"/>
      <c r="J785" s="27" t="n"/>
      <c r="K785" s="16">
        <f>IF(OR(H785="",I785=""),"",I785-H785+1)</f>
        <v/>
      </c>
      <c r="L785" s="16">
        <f>IF(OR(K785="",N(F785)=0),"",F785/K785)</f>
        <v/>
      </c>
      <c r="M785" s="25" t="n"/>
      <c r="N785" s="1">
        <f>IF(AND(G785="Finished",I785&lt;&gt;""),IF(YEAR(I785)=Dashboard!$C$4,I785+ROW()/10000000,""),"")</f>
        <v/>
      </c>
      <c r="O785">
        <f>IF(B785="","",IFERROR(MATCH(D785,Settings!$B$6:$B$17,0),12))</f>
        <v/>
      </c>
      <c r="P785">
        <f>IF(AND(G785="Reading",B785&lt;&gt;""),IF(H785="",TODAY(),H785)+ROW()/10000000,"")</f>
        <v/>
      </c>
      <c r="Q785">
        <f>IF(AND(N785&lt;&gt;"",N(J785)=5),N785,"")</f>
        <v/>
      </c>
    </row>
    <row r="786">
      <c r="A786" s="1" t="n"/>
      <c r="B786" s="24" t="n"/>
      <c r="C786" s="25" t="n"/>
      <c r="D786" s="25" t="n"/>
      <c r="E786" s="26" t="n"/>
      <c r="F786" s="27" t="n"/>
      <c r="G786" s="26" t="n"/>
      <c r="H786" s="28" t="n"/>
      <c r="I786" s="28" t="n"/>
      <c r="J786" s="27" t="n"/>
      <c r="K786" s="16">
        <f>IF(OR(H786="",I786=""),"",I786-H786+1)</f>
        <v/>
      </c>
      <c r="L786" s="16">
        <f>IF(OR(K786="",N(F786)=0),"",F786/K786)</f>
        <v/>
      </c>
      <c r="M786" s="25" t="n"/>
      <c r="N786" s="1">
        <f>IF(AND(G786="Finished",I786&lt;&gt;""),IF(YEAR(I786)=Dashboard!$C$4,I786+ROW()/10000000,""),"")</f>
        <v/>
      </c>
      <c r="O786">
        <f>IF(B786="","",IFERROR(MATCH(D786,Settings!$B$6:$B$17,0),12))</f>
        <v/>
      </c>
      <c r="P786">
        <f>IF(AND(G786="Reading",B786&lt;&gt;""),IF(H786="",TODAY(),H786)+ROW()/10000000,"")</f>
        <v/>
      </c>
      <c r="Q786">
        <f>IF(AND(N786&lt;&gt;"",N(J786)=5),N786,"")</f>
        <v/>
      </c>
    </row>
    <row r="787">
      <c r="A787" s="1" t="n"/>
      <c r="B787" s="24" t="n"/>
      <c r="C787" s="25" t="n"/>
      <c r="D787" s="25" t="n"/>
      <c r="E787" s="26" t="n"/>
      <c r="F787" s="27" t="n"/>
      <c r="G787" s="26" t="n"/>
      <c r="H787" s="28" t="n"/>
      <c r="I787" s="28" t="n"/>
      <c r="J787" s="27" t="n"/>
      <c r="K787" s="16">
        <f>IF(OR(H787="",I787=""),"",I787-H787+1)</f>
        <v/>
      </c>
      <c r="L787" s="16">
        <f>IF(OR(K787="",N(F787)=0),"",F787/K787)</f>
        <v/>
      </c>
      <c r="M787" s="25" t="n"/>
      <c r="N787" s="1">
        <f>IF(AND(G787="Finished",I787&lt;&gt;""),IF(YEAR(I787)=Dashboard!$C$4,I787+ROW()/10000000,""),"")</f>
        <v/>
      </c>
      <c r="O787">
        <f>IF(B787="","",IFERROR(MATCH(D787,Settings!$B$6:$B$17,0),12))</f>
        <v/>
      </c>
      <c r="P787">
        <f>IF(AND(G787="Reading",B787&lt;&gt;""),IF(H787="",TODAY(),H787)+ROW()/10000000,"")</f>
        <v/>
      </c>
      <c r="Q787">
        <f>IF(AND(N787&lt;&gt;"",N(J787)=5),N787,"")</f>
        <v/>
      </c>
    </row>
    <row r="788">
      <c r="A788" s="1" t="n"/>
      <c r="B788" s="24" t="n"/>
      <c r="C788" s="25" t="n"/>
      <c r="D788" s="25" t="n"/>
      <c r="E788" s="26" t="n"/>
      <c r="F788" s="27" t="n"/>
      <c r="G788" s="26" t="n"/>
      <c r="H788" s="28" t="n"/>
      <c r="I788" s="28" t="n"/>
      <c r="J788" s="27" t="n"/>
      <c r="K788" s="16">
        <f>IF(OR(H788="",I788=""),"",I788-H788+1)</f>
        <v/>
      </c>
      <c r="L788" s="16">
        <f>IF(OR(K788="",N(F788)=0),"",F788/K788)</f>
        <v/>
      </c>
      <c r="M788" s="25" t="n"/>
      <c r="N788" s="1">
        <f>IF(AND(G788="Finished",I788&lt;&gt;""),IF(YEAR(I788)=Dashboard!$C$4,I788+ROW()/10000000,""),"")</f>
        <v/>
      </c>
      <c r="O788">
        <f>IF(B788="","",IFERROR(MATCH(D788,Settings!$B$6:$B$17,0),12))</f>
        <v/>
      </c>
      <c r="P788">
        <f>IF(AND(G788="Reading",B788&lt;&gt;""),IF(H788="",TODAY(),H788)+ROW()/10000000,"")</f>
        <v/>
      </c>
      <c r="Q788">
        <f>IF(AND(N788&lt;&gt;"",N(J788)=5),N788,"")</f>
        <v/>
      </c>
    </row>
    <row r="789">
      <c r="A789" s="1" t="n"/>
      <c r="B789" s="24" t="n"/>
      <c r="C789" s="25" t="n"/>
      <c r="D789" s="25" t="n"/>
      <c r="E789" s="26" t="n"/>
      <c r="F789" s="27" t="n"/>
      <c r="G789" s="26" t="n"/>
      <c r="H789" s="28" t="n"/>
      <c r="I789" s="28" t="n"/>
      <c r="J789" s="27" t="n"/>
      <c r="K789" s="16">
        <f>IF(OR(H789="",I789=""),"",I789-H789+1)</f>
        <v/>
      </c>
      <c r="L789" s="16">
        <f>IF(OR(K789="",N(F789)=0),"",F789/K789)</f>
        <v/>
      </c>
      <c r="M789" s="25" t="n"/>
      <c r="N789" s="1">
        <f>IF(AND(G789="Finished",I789&lt;&gt;""),IF(YEAR(I789)=Dashboard!$C$4,I789+ROW()/10000000,""),"")</f>
        <v/>
      </c>
      <c r="O789">
        <f>IF(B789="","",IFERROR(MATCH(D789,Settings!$B$6:$B$17,0),12))</f>
        <v/>
      </c>
      <c r="P789">
        <f>IF(AND(G789="Reading",B789&lt;&gt;""),IF(H789="",TODAY(),H789)+ROW()/10000000,"")</f>
        <v/>
      </c>
      <c r="Q789">
        <f>IF(AND(N789&lt;&gt;"",N(J789)=5),N789,"")</f>
        <v/>
      </c>
    </row>
    <row r="790">
      <c r="A790" s="1" t="n"/>
      <c r="B790" s="24" t="n"/>
      <c r="C790" s="25" t="n"/>
      <c r="D790" s="25" t="n"/>
      <c r="E790" s="26" t="n"/>
      <c r="F790" s="27" t="n"/>
      <c r="G790" s="26" t="n"/>
      <c r="H790" s="28" t="n"/>
      <c r="I790" s="28" t="n"/>
      <c r="J790" s="27" t="n"/>
      <c r="K790" s="16">
        <f>IF(OR(H790="",I790=""),"",I790-H790+1)</f>
        <v/>
      </c>
      <c r="L790" s="16">
        <f>IF(OR(K790="",N(F790)=0),"",F790/K790)</f>
        <v/>
      </c>
      <c r="M790" s="25" t="n"/>
      <c r="N790" s="1">
        <f>IF(AND(G790="Finished",I790&lt;&gt;""),IF(YEAR(I790)=Dashboard!$C$4,I790+ROW()/10000000,""),"")</f>
        <v/>
      </c>
      <c r="O790">
        <f>IF(B790="","",IFERROR(MATCH(D790,Settings!$B$6:$B$17,0),12))</f>
        <v/>
      </c>
      <c r="P790">
        <f>IF(AND(G790="Reading",B790&lt;&gt;""),IF(H790="",TODAY(),H790)+ROW()/10000000,"")</f>
        <v/>
      </c>
      <c r="Q790">
        <f>IF(AND(N790&lt;&gt;"",N(J790)=5),N790,"")</f>
        <v/>
      </c>
    </row>
    <row r="791">
      <c r="A791" s="1" t="n"/>
      <c r="B791" s="24" t="n"/>
      <c r="C791" s="25" t="n"/>
      <c r="D791" s="25" t="n"/>
      <c r="E791" s="26" t="n"/>
      <c r="F791" s="27" t="n"/>
      <c r="G791" s="26" t="n"/>
      <c r="H791" s="28" t="n"/>
      <c r="I791" s="28" t="n"/>
      <c r="J791" s="27" t="n"/>
      <c r="K791" s="16">
        <f>IF(OR(H791="",I791=""),"",I791-H791+1)</f>
        <v/>
      </c>
      <c r="L791" s="16">
        <f>IF(OR(K791="",N(F791)=0),"",F791/K791)</f>
        <v/>
      </c>
      <c r="M791" s="25" t="n"/>
      <c r="N791" s="1">
        <f>IF(AND(G791="Finished",I791&lt;&gt;""),IF(YEAR(I791)=Dashboard!$C$4,I791+ROW()/10000000,""),"")</f>
        <v/>
      </c>
      <c r="O791">
        <f>IF(B791="","",IFERROR(MATCH(D791,Settings!$B$6:$B$17,0),12))</f>
        <v/>
      </c>
      <c r="P791">
        <f>IF(AND(G791="Reading",B791&lt;&gt;""),IF(H791="",TODAY(),H791)+ROW()/10000000,"")</f>
        <v/>
      </c>
      <c r="Q791">
        <f>IF(AND(N791&lt;&gt;"",N(J791)=5),N791,"")</f>
        <v/>
      </c>
    </row>
    <row r="792">
      <c r="A792" s="1" t="n"/>
      <c r="B792" s="24" t="n"/>
      <c r="C792" s="25" t="n"/>
      <c r="D792" s="25" t="n"/>
      <c r="E792" s="26" t="n"/>
      <c r="F792" s="27" t="n"/>
      <c r="G792" s="26" t="n"/>
      <c r="H792" s="28" t="n"/>
      <c r="I792" s="28" t="n"/>
      <c r="J792" s="27" t="n"/>
      <c r="K792" s="16">
        <f>IF(OR(H792="",I792=""),"",I792-H792+1)</f>
        <v/>
      </c>
      <c r="L792" s="16">
        <f>IF(OR(K792="",N(F792)=0),"",F792/K792)</f>
        <v/>
      </c>
      <c r="M792" s="25" t="n"/>
      <c r="N792" s="1">
        <f>IF(AND(G792="Finished",I792&lt;&gt;""),IF(YEAR(I792)=Dashboard!$C$4,I792+ROW()/10000000,""),"")</f>
        <v/>
      </c>
      <c r="O792">
        <f>IF(B792="","",IFERROR(MATCH(D792,Settings!$B$6:$B$17,0),12))</f>
        <v/>
      </c>
      <c r="P792">
        <f>IF(AND(G792="Reading",B792&lt;&gt;""),IF(H792="",TODAY(),H792)+ROW()/10000000,"")</f>
        <v/>
      </c>
      <c r="Q792">
        <f>IF(AND(N792&lt;&gt;"",N(J792)=5),N792,"")</f>
        <v/>
      </c>
    </row>
    <row r="793">
      <c r="A793" s="1" t="n"/>
      <c r="B793" s="24" t="n"/>
      <c r="C793" s="25" t="n"/>
      <c r="D793" s="25" t="n"/>
      <c r="E793" s="26" t="n"/>
      <c r="F793" s="27" t="n"/>
      <c r="G793" s="26" t="n"/>
      <c r="H793" s="28" t="n"/>
      <c r="I793" s="28" t="n"/>
      <c r="J793" s="27" t="n"/>
      <c r="K793" s="16">
        <f>IF(OR(H793="",I793=""),"",I793-H793+1)</f>
        <v/>
      </c>
      <c r="L793" s="16">
        <f>IF(OR(K793="",N(F793)=0),"",F793/K793)</f>
        <v/>
      </c>
      <c r="M793" s="25" t="n"/>
      <c r="N793" s="1">
        <f>IF(AND(G793="Finished",I793&lt;&gt;""),IF(YEAR(I793)=Dashboard!$C$4,I793+ROW()/10000000,""),"")</f>
        <v/>
      </c>
      <c r="O793">
        <f>IF(B793="","",IFERROR(MATCH(D793,Settings!$B$6:$B$17,0),12))</f>
        <v/>
      </c>
      <c r="P793">
        <f>IF(AND(G793="Reading",B793&lt;&gt;""),IF(H793="",TODAY(),H793)+ROW()/10000000,"")</f>
        <v/>
      </c>
      <c r="Q793">
        <f>IF(AND(N793&lt;&gt;"",N(J793)=5),N793,"")</f>
        <v/>
      </c>
    </row>
    <row r="794">
      <c r="A794" s="1" t="n"/>
      <c r="B794" s="24" t="n"/>
      <c r="C794" s="25" t="n"/>
      <c r="D794" s="25" t="n"/>
      <c r="E794" s="26" t="n"/>
      <c r="F794" s="27" t="n"/>
      <c r="G794" s="26" t="n"/>
      <c r="H794" s="28" t="n"/>
      <c r="I794" s="28" t="n"/>
      <c r="J794" s="27" t="n"/>
      <c r="K794" s="16">
        <f>IF(OR(H794="",I794=""),"",I794-H794+1)</f>
        <v/>
      </c>
      <c r="L794" s="16">
        <f>IF(OR(K794="",N(F794)=0),"",F794/K794)</f>
        <v/>
      </c>
      <c r="M794" s="25" t="n"/>
      <c r="N794" s="1">
        <f>IF(AND(G794="Finished",I794&lt;&gt;""),IF(YEAR(I794)=Dashboard!$C$4,I794+ROW()/10000000,""),"")</f>
        <v/>
      </c>
      <c r="O794">
        <f>IF(B794="","",IFERROR(MATCH(D794,Settings!$B$6:$B$17,0),12))</f>
        <v/>
      </c>
      <c r="P794">
        <f>IF(AND(G794="Reading",B794&lt;&gt;""),IF(H794="",TODAY(),H794)+ROW()/10000000,"")</f>
        <v/>
      </c>
      <c r="Q794">
        <f>IF(AND(N794&lt;&gt;"",N(J794)=5),N794,"")</f>
        <v/>
      </c>
    </row>
    <row r="795">
      <c r="A795" s="1" t="n"/>
      <c r="B795" s="24" t="n"/>
      <c r="C795" s="25" t="n"/>
      <c r="D795" s="25" t="n"/>
      <c r="E795" s="26" t="n"/>
      <c r="F795" s="27" t="n"/>
      <c r="G795" s="26" t="n"/>
      <c r="H795" s="28" t="n"/>
      <c r="I795" s="28" t="n"/>
      <c r="J795" s="27" t="n"/>
      <c r="K795" s="16">
        <f>IF(OR(H795="",I795=""),"",I795-H795+1)</f>
        <v/>
      </c>
      <c r="L795" s="16">
        <f>IF(OR(K795="",N(F795)=0),"",F795/K795)</f>
        <v/>
      </c>
      <c r="M795" s="25" t="n"/>
      <c r="N795" s="1">
        <f>IF(AND(G795="Finished",I795&lt;&gt;""),IF(YEAR(I795)=Dashboard!$C$4,I795+ROW()/10000000,""),"")</f>
        <v/>
      </c>
      <c r="O795">
        <f>IF(B795="","",IFERROR(MATCH(D795,Settings!$B$6:$B$17,0),12))</f>
        <v/>
      </c>
      <c r="P795">
        <f>IF(AND(G795="Reading",B795&lt;&gt;""),IF(H795="",TODAY(),H795)+ROW()/10000000,"")</f>
        <v/>
      </c>
      <c r="Q795">
        <f>IF(AND(N795&lt;&gt;"",N(J795)=5),N795,"")</f>
        <v/>
      </c>
    </row>
    <row r="796">
      <c r="A796" s="1" t="n"/>
      <c r="B796" s="24" t="n"/>
      <c r="C796" s="25" t="n"/>
      <c r="D796" s="25" t="n"/>
      <c r="E796" s="26" t="n"/>
      <c r="F796" s="27" t="n"/>
      <c r="G796" s="26" t="n"/>
      <c r="H796" s="28" t="n"/>
      <c r="I796" s="28" t="n"/>
      <c r="J796" s="27" t="n"/>
      <c r="K796" s="16">
        <f>IF(OR(H796="",I796=""),"",I796-H796+1)</f>
        <v/>
      </c>
      <c r="L796" s="16">
        <f>IF(OR(K796="",N(F796)=0),"",F796/K796)</f>
        <v/>
      </c>
      <c r="M796" s="25" t="n"/>
      <c r="N796" s="1">
        <f>IF(AND(G796="Finished",I796&lt;&gt;""),IF(YEAR(I796)=Dashboard!$C$4,I796+ROW()/10000000,""),"")</f>
        <v/>
      </c>
      <c r="O796">
        <f>IF(B796="","",IFERROR(MATCH(D796,Settings!$B$6:$B$17,0),12))</f>
        <v/>
      </c>
      <c r="P796">
        <f>IF(AND(G796="Reading",B796&lt;&gt;""),IF(H796="",TODAY(),H796)+ROW()/10000000,"")</f>
        <v/>
      </c>
      <c r="Q796">
        <f>IF(AND(N796&lt;&gt;"",N(J796)=5),N796,"")</f>
        <v/>
      </c>
    </row>
    <row r="797">
      <c r="A797" s="1" t="n"/>
      <c r="B797" s="24" t="n"/>
      <c r="C797" s="25" t="n"/>
      <c r="D797" s="25" t="n"/>
      <c r="E797" s="26" t="n"/>
      <c r="F797" s="27" t="n"/>
      <c r="G797" s="26" t="n"/>
      <c r="H797" s="28" t="n"/>
      <c r="I797" s="28" t="n"/>
      <c r="J797" s="27" t="n"/>
      <c r="K797" s="16">
        <f>IF(OR(H797="",I797=""),"",I797-H797+1)</f>
        <v/>
      </c>
      <c r="L797" s="16">
        <f>IF(OR(K797="",N(F797)=0),"",F797/K797)</f>
        <v/>
      </c>
      <c r="M797" s="25" t="n"/>
      <c r="N797" s="1">
        <f>IF(AND(G797="Finished",I797&lt;&gt;""),IF(YEAR(I797)=Dashboard!$C$4,I797+ROW()/10000000,""),"")</f>
        <v/>
      </c>
      <c r="O797">
        <f>IF(B797="","",IFERROR(MATCH(D797,Settings!$B$6:$B$17,0),12))</f>
        <v/>
      </c>
      <c r="P797">
        <f>IF(AND(G797="Reading",B797&lt;&gt;""),IF(H797="",TODAY(),H797)+ROW()/10000000,"")</f>
        <v/>
      </c>
      <c r="Q797">
        <f>IF(AND(N797&lt;&gt;"",N(J797)=5),N797,"")</f>
        <v/>
      </c>
    </row>
    <row r="798">
      <c r="A798" s="1" t="n"/>
      <c r="B798" s="24" t="n"/>
      <c r="C798" s="25" t="n"/>
      <c r="D798" s="25" t="n"/>
      <c r="E798" s="26" t="n"/>
      <c r="F798" s="27" t="n"/>
      <c r="G798" s="26" t="n"/>
      <c r="H798" s="28" t="n"/>
      <c r="I798" s="28" t="n"/>
      <c r="J798" s="27" t="n"/>
      <c r="K798" s="16">
        <f>IF(OR(H798="",I798=""),"",I798-H798+1)</f>
        <v/>
      </c>
      <c r="L798" s="16">
        <f>IF(OR(K798="",N(F798)=0),"",F798/K798)</f>
        <v/>
      </c>
      <c r="M798" s="25" t="n"/>
      <c r="N798" s="1">
        <f>IF(AND(G798="Finished",I798&lt;&gt;""),IF(YEAR(I798)=Dashboard!$C$4,I798+ROW()/10000000,""),"")</f>
        <v/>
      </c>
      <c r="O798">
        <f>IF(B798="","",IFERROR(MATCH(D798,Settings!$B$6:$B$17,0),12))</f>
        <v/>
      </c>
      <c r="P798">
        <f>IF(AND(G798="Reading",B798&lt;&gt;""),IF(H798="",TODAY(),H798)+ROW()/10000000,"")</f>
        <v/>
      </c>
      <c r="Q798">
        <f>IF(AND(N798&lt;&gt;"",N(J798)=5),N798,"")</f>
        <v/>
      </c>
    </row>
    <row r="799">
      <c r="A799" s="1" t="n"/>
      <c r="B799" s="24" t="n"/>
      <c r="C799" s="25" t="n"/>
      <c r="D799" s="25" t="n"/>
      <c r="E799" s="26" t="n"/>
      <c r="F799" s="27" t="n"/>
      <c r="G799" s="26" t="n"/>
      <c r="H799" s="28" t="n"/>
      <c r="I799" s="28" t="n"/>
      <c r="J799" s="27" t="n"/>
      <c r="K799" s="16">
        <f>IF(OR(H799="",I799=""),"",I799-H799+1)</f>
        <v/>
      </c>
      <c r="L799" s="16">
        <f>IF(OR(K799="",N(F799)=0),"",F799/K799)</f>
        <v/>
      </c>
      <c r="M799" s="25" t="n"/>
      <c r="N799" s="1">
        <f>IF(AND(G799="Finished",I799&lt;&gt;""),IF(YEAR(I799)=Dashboard!$C$4,I799+ROW()/10000000,""),"")</f>
        <v/>
      </c>
      <c r="O799">
        <f>IF(B799="","",IFERROR(MATCH(D799,Settings!$B$6:$B$17,0),12))</f>
        <v/>
      </c>
      <c r="P799">
        <f>IF(AND(G799="Reading",B799&lt;&gt;""),IF(H799="",TODAY(),H799)+ROW()/10000000,"")</f>
        <v/>
      </c>
      <c r="Q799">
        <f>IF(AND(N799&lt;&gt;"",N(J799)=5),N799,"")</f>
        <v/>
      </c>
    </row>
    <row r="800">
      <c r="A800" s="1" t="n"/>
      <c r="B800" s="24" t="n"/>
      <c r="C800" s="25" t="n"/>
      <c r="D800" s="25" t="n"/>
      <c r="E800" s="26" t="n"/>
      <c r="F800" s="27" t="n"/>
      <c r="G800" s="26" t="n"/>
      <c r="H800" s="28" t="n"/>
      <c r="I800" s="28" t="n"/>
      <c r="J800" s="27" t="n"/>
      <c r="K800" s="16">
        <f>IF(OR(H800="",I800=""),"",I800-H800+1)</f>
        <v/>
      </c>
      <c r="L800" s="16">
        <f>IF(OR(K800="",N(F800)=0),"",F800/K800)</f>
        <v/>
      </c>
      <c r="M800" s="25" t="n"/>
      <c r="N800" s="1">
        <f>IF(AND(G800="Finished",I800&lt;&gt;""),IF(YEAR(I800)=Dashboard!$C$4,I800+ROW()/10000000,""),"")</f>
        <v/>
      </c>
      <c r="O800">
        <f>IF(B800="","",IFERROR(MATCH(D800,Settings!$B$6:$B$17,0),12))</f>
        <v/>
      </c>
      <c r="P800">
        <f>IF(AND(G800="Reading",B800&lt;&gt;""),IF(H800="",TODAY(),H800)+ROW()/10000000,"")</f>
        <v/>
      </c>
      <c r="Q800">
        <f>IF(AND(N800&lt;&gt;"",N(J800)=5),N800,"")</f>
        <v/>
      </c>
    </row>
    <row r="801">
      <c r="A801" s="1" t="n"/>
      <c r="B801" s="24" t="n"/>
      <c r="C801" s="25" t="n"/>
      <c r="D801" s="25" t="n"/>
      <c r="E801" s="26" t="n"/>
      <c r="F801" s="27" t="n"/>
      <c r="G801" s="26" t="n"/>
      <c r="H801" s="28" t="n"/>
      <c r="I801" s="28" t="n"/>
      <c r="J801" s="27" t="n"/>
      <c r="K801" s="16">
        <f>IF(OR(H801="",I801=""),"",I801-H801+1)</f>
        <v/>
      </c>
      <c r="L801" s="16">
        <f>IF(OR(K801="",N(F801)=0),"",F801/K801)</f>
        <v/>
      </c>
      <c r="M801" s="25" t="n"/>
      <c r="N801" s="1">
        <f>IF(AND(G801="Finished",I801&lt;&gt;""),IF(YEAR(I801)=Dashboard!$C$4,I801+ROW()/10000000,""),"")</f>
        <v/>
      </c>
      <c r="O801">
        <f>IF(B801="","",IFERROR(MATCH(D801,Settings!$B$6:$B$17,0),12))</f>
        <v/>
      </c>
      <c r="P801">
        <f>IF(AND(G801="Reading",B801&lt;&gt;""),IF(H801="",TODAY(),H801)+ROW()/10000000,"")</f>
        <v/>
      </c>
      <c r="Q801">
        <f>IF(AND(N801&lt;&gt;"",N(J801)=5),N801,"")</f>
        <v/>
      </c>
    </row>
    <row r="802">
      <c r="A802" s="1" t="n"/>
      <c r="B802" s="24" t="n"/>
      <c r="C802" s="25" t="n"/>
      <c r="D802" s="25" t="n"/>
      <c r="E802" s="26" t="n"/>
      <c r="F802" s="27" t="n"/>
      <c r="G802" s="26" t="n"/>
      <c r="H802" s="28" t="n"/>
      <c r="I802" s="28" t="n"/>
      <c r="J802" s="27" t="n"/>
      <c r="K802" s="16">
        <f>IF(OR(H802="",I802=""),"",I802-H802+1)</f>
        <v/>
      </c>
      <c r="L802" s="16">
        <f>IF(OR(K802="",N(F802)=0),"",F802/K802)</f>
        <v/>
      </c>
      <c r="M802" s="25" t="n"/>
      <c r="N802" s="1">
        <f>IF(AND(G802="Finished",I802&lt;&gt;""),IF(YEAR(I802)=Dashboard!$C$4,I802+ROW()/10000000,""),"")</f>
        <v/>
      </c>
      <c r="O802">
        <f>IF(B802="","",IFERROR(MATCH(D802,Settings!$B$6:$B$17,0),12))</f>
        <v/>
      </c>
      <c r="P802">
        <f>IF(AND(G802="Reading",B802&lt;&gt;""),IF(H802="",TODAY(),H802)+ROW()/10000000,"")</f>
        <v/>
      </c>
      <c r="Q802">
        <f>IF(AND(N802&lt;&gt;"",N(J802)=5),N802,"")</f>
        <v/>
      </c>
    </row>
    <row r="803">
      <c r="A803" s="1" t="n"/>
      <c r="B803" s="24" t="n"/>
      <c r="C803" s="25" t="n"/>
      <c r="D803" s="25" t="n"/>
      <c r="E803" s="26" t="n"/>
      <c r="F803" s="27" t="n"/>
      <c r="G803" s="26" t="n"/>
      <c r="H803" s="28" t="n"/>
      <c r="I803" s="28" t="n"/>
      <c r="J803" s="27" t="n"/>
      <c r="K803" s="16">
        <f>IF(OR(H803="",I803=""),"",I803-H803+1)</f>
        <v/>
      </c>
      <c r="L803" s="16">
        <f>IF(OR(K803="",N(F803)=0),"",F803/K803)</f>
        <v/>
      </c>
      <c r="M803" s="25" t="n"/>
      <c r="N803" s="1">
        <f>IF(AND(G803="Finished",I803&lt;&gt;""),IF(YEAR(I803)=Dashboard!$C$4,I803+ROW()/10000000,""),"")</f>
        <v/>
      </c>
      <c r="O803">
        <f>IF(B803="","",IFERROR(MATCH(D803,Settings!$B$6:$B$17,0),12))</f>
        <v/>
      </c>
      <c r="P803">
        <f>IF(AND(G803="Reading",B803&lt;&gt;""),IF(H803="",TODAY(),H803)+ROW()/10000000,"")</f>
        <v/>
      </c>
      <c r="Q803">
        <f>IF(AND(N803&lt;&gt;"",N(J803)=5),N803,"")</f>
        <v/>
      </c>
    </row>
    <row r="804">
      <c r="A804" s="1" t="n"/>
      <c r="B804" s="24" t="n"/>
      <c r="C804" s="25" t="n"/>
      <c r="D804" s="25" t="n"/>
      <c r="E804" s="26" t="n"/>
      <c r="F804" s="27" t="n"/>
      <c r="G804" s="26" t="n"/>
      <c r="H804" s="28" t="n"/>
      <c r="I804" s="28" t="n"/>
      <c r="J804" s="27" t="n"/>
      <c r="K804" s="16">
        <f>IF(OR(H804="",I804=""),"",I804-H804+1)</f>
        <v/>
      </c>
      <c r="L804" s="16">
        <f>IF(OR(K804="",N(F804)=0),"",F804/K804)</f>
        <v/>
      </c>
      <c r="M804" s="25" t="n"/>
      <c r="N804" s="1">
        <f>IF(AND(G804="Finished",I804&lt;&gt;""),IF(YEAR(I804)=Dashboard!$C$4,I804+ROW()/10000000,""),"")</f>
        <v/>
      </c>
      <c r="O804">
        <f>IF(B804="","",IFERROR(MATCH(D804,Settings!$B$6:$B$17,0),12))</f>
        <v/>
      </c>
      <c r="P804">
        <f>IF(AND(G804="Reading",B804&lt;&gt;""),IF(H804="",TODAY(),H804)+ROW()/10000000,"")</f>
        <v/>
      </c>
      <c r="Q804">
        <f>IF(AND(N804&lt;&gt;"",N(J804)=5),N804,"")</f>
        <v/>
      </c>
    </row>
    <row r="805">
      <c r="A805" s="1" t="n"/>
      <c r="B805" s="24" t="n"/>
      <c r="C805" s="25" t="n"/>
      <c r="D805" s="25" t="n"/>
      <c r="E805" s="26" t="n"/>
      <c r="F805" s="27" t="n"/>
      <c r="G805" s="26" t="n"/>
      <c r="H805" s="28" t="n"/>
      <c r="I805" s="28" t="n"/>
      <c r="J805" s="27" t="n"/>
      <c r="K805" s="16">
        <f>IF(OR(H805="",I805=""),"",I805-H805+1)</f>
        <v/>
      </c>
      <c r="L805" s="16">
        <f>IF(OR(K805="",N(F805)=0),"",F805/K805)</f>
        <v/>
      </c>
      <c r="M805" s="25" t="n"/>
      <c r="N805" s="1">
        <f>IF(AND(G805="Finished",I805&lt;&gt;""),IF(YEAR(I805)=Dashboard!$C$4,I805+ROW()/10000000,""),"")</f>
        <v/>
      </c>
      <c r="O805">
        <f>IF(B805="","",IFERROR(MATCH(D805,Settings!$B$6:$B$17,0),12))</f>
        <v/>
      </c>
      <c r="P805">
        <f>IF(AND(G805="Reading",B805&lt;&gt;""),IF(H805="",TODAY(),H805)+ROW()/10000000,"")</f>
        <v/>
      </c>
      <c r="Q805">
        <f>IF(AND(N805&lt;&gt;"",N(J805)=5),N805,"")</f>
        <v/>
      </c>
    </row>
    <row r="806">
      <c r="A806" s="1" t="n"/>
      <c r="B806" s="24" t="n"/>
      <c r="C806" s="25" t="n"/>
      <c r="D806" s="25" t="n"/>
      <c r="E806" s="26" t="n"/>
      <c r="F806" s="27" t="n"/>
      <c r="G806" s="26" t="n"/>
      <c r="H806" s="28" t="n"/>
      <c r="I806" s="28" t="n"/>
      <c r="J806" s="27" t="n"/>
      <c r="K806" s="16">
        <f>IF(OR(H806="",I806=""),"",I806-H806+1)</f>
        <v/>
      </c>
      <c r="L806" s="16">
        <f>IF(OR(K806="",N(F806)=0),"",F806/K806)</f>
        <v/>
      </c>
      <c r="M806" s="25" t="n"/>
      <c r="N806" s="1">
        <f>IF(AND(G806="Finished",I806&lt;&gt;""),IF(YEAR(I806)=Dashboard!$C$4,I806+ROW()/10000000,""),"")</f>
        <v/>
      </c>
      <c r="O806">
        <f>IF(B806="","",IFERROR(MATCH(D806,Settings!$B$6:$B$17,0),12))</f>
        <v/>
      </c>
      <c r="P806">
        <f>IF(AND(G806="Reading",B806&lt;&gt;""),IF(H806="",TODAY(),H806)+ROW()/10000000,"")</f>
        <v/>
      </c>
      <c r="Q806">
        <f>IF(AND(N806&lt;&gt;"",N(J806)=5),N806,"")</f>
        <v/>
      </c>
    </row>
    <row r="807">
      <c r="A807" s="1" t="n"/>
      <c r="B807" s="24" t="n"/>
      <c r="C807" s="25" t="n"/>
      <c r="D807" s="25" t="n"/>
      <c r="E807" s="26" t="n"/>
      <c r="F807" s="27" t="n"/>
      <c r="G807" s="26" t="n"/>
      <c r="H807" s="28" t="n"/>
      <c r="I807" s="28" t="n"/>
      <c r="J807" s="27" t="n"/>
      <c r="K807" s="16">
        <f>IF(OR(H807="",I807=""),"",I807-H807+1)</f>
        <v/>
      </c>
      <c r="L807" s="16">
        <f>IF(OR(K807="",N(F807)=0),"",F807/K807)</f>
        <v/>
      </c>
      <c r="M807" s="25" t="n"/>
      <c r="N807" s="1">
        <f>IF(AND(G807="Finished",I807&lt;&gt;""),IF(YEAR(I807)=Dashboard!$C$4,I807+ROW()/10000000,""),"")</f>
        <v/>
      </c>
      <c r="O807">
        <f>IF(B807="","",IFERROR(MATCH(D807,Settings!$B$6:$B$17,0),12))</f>
        <v/>
      </c>
      <c r="P807">
        <f>IF(AND(G807="Reading",B807&lt;&gt;""),IF(H807="",TODAY(),H807)+ROW()/10000000,"")</f>
        <v/>
      </c>
      <c r="Q807">
        <f>IF(AND(N807&lt;&gt;"",N(J807)=5),N807,"")</f>
        <v/>
      </c>
    </row>
    <row r="808">
      <c r="A808" s="1" t="n"/>
      <c r="B808" s="24" t="n"/>
      <c r="C808" s="25" t="n"/>
      <c r="D808" s="25" t="n"/>
      <c r="E808" s="26" t="n"/>
      <c r="F808" s="27" t="n"/>
      <c r="G808" s="26" t="n"/>
      <c r="H808" s="28" t="n"/>
      <c r="I808" s="28" t="n"/>
      <c r="J808" s="27" t="n"/>
      <c r="K808" s="16">
        <f>IF(OR(H808="",I808=""),"",I808-H808+1)</f>
        <v/>
      </c>
      <c r="L808" s="16">
        <f>IF(OR(K808="",N(F808)=0),"",F808/K808)</f>
        <v/>
      </c>
      <c r="M808" s="25" t="n"/>
      <c r="N808" s="1">
        <f>IF(AND(G808="Finished",I808&lt;&gt;""),IF(YEAR(I808)=Dashboard!$C$4,I808+ROW()/10000000,""),"")</f>
        <v/>
      </c>
      <c r="O808">
        <f>IF(B808="","",IFERROR(MATCH(D808,Settings!$B$6:$B$17,0),12))</f>
        <v/>
      </c>
      <c r="P808">
        <f>IF(AND(G808="Reading",B808&lt;&gt;""),IF(H808="",TODAY(),H808)+ROW()/10000000,"")</f>
        <v/>
      </c>
      <c r="Q808">
        <f>IF(AND(N808&lt;&gt;"",N(J808)=5),N808,"")</f>
        <v/>
      </c>
    </row>
    <row r="809">
      <c r="A809" s="1" t="n"/>
      <c r="B809" s="24" t="n"/>
      <c r="C809" s="25" t="n"/>
      <c r="D809" s="25" t="n"/>
      <c r="E809" s="26" t="n"/>
      <c r="F809" s="27" t="n"/>
      <c r="G809" s="26" t="n"/>
      <c r="H809" s="28" t="n"/>
      <c r="I809" s="28" t="n"/>
      <c r="J809" s="27" t="n"/>
      <c r="K809" s="16">
        <f>IF(OR(H809="",I809=""),"",I809-H809+1)</f>
        <v/>
      </c>
      <c r="L809" s="16">
        <f>IF(OR(K809="",N(F809)=0),"",F809/K809)</f>
        <v/>
      </c>
      <c r="M809" s="25" t="n"/>
      <c r="N809" s="1">
        <f>IF(AND(G809="Finished",I809&lt;&gt;""),IF(YEAR(I809)=Dashboard!$C$4,I809+ROW()/10000000,""),"")</f>
        <v/>
      </c>
      <c r="O809">
        <f>IF(B809="","",IFERROR(MATCH(D809,Settings!$B$6:$B$17,0),12))</f>
        <v/>
      </c>
      <c r="P809">
        <f>IF(AND(G809="Reading",B809&lt;&gt;""),IF(H809="",TODAY(),H809)+ROW()/10000000,"")</f>
        <v/>
      </c>
      <c r="Q809">
        <f>IF(AND(N809&lt;&gt;"",N(J809)=5),N809,"")</f>
        <v/>
      </c>
    </row>
    <row r="810">
      <c r="A810" s="1" t="n"/>
      <c r="B810" s="24" t="n"/>
      <c r="C810" s="25" t="n"/>
      <c r="D810" s="25" t="n"/>
      <c r="E810" s="26" t="n"/>
      <c r="F810" s="27" t="n"/>
      <c r="G810" s="26" t="n"/>
      <c r="H810" s="28" t="n"/>
      <c r="I810" s="28" t="n"/>
      <c r="J810" s="27" t="n"/>
      <c r="K810" s="16">
        <f>IF(OR(H810="",I810=""),"",I810-H810+1)</f>
        <v/>
      </c>
      <c r="L810" s="16">
        <f>IF(OR(K810="",N(F810)=0),"",F810/K810)</f>
        <v/>
      </c>
      <c r="M810" s="25" t="n"/>
      <c r="N810" s="1">
        <f>IF(AND(G810="Finished",I810&lt;&gt;""),IF(YEAR(I810)=Dashboard!$C$4,I810+ROW()/10000000,""),"")</f>
        <v/>
      </c>
      <c r="O810">
        <f>IF(B810="","",IFERROR(MATCH(D810,Settings!$B$6:$B$17,0),12))</f>
        <v/>
      </c>
      <c r="P810">
        <f>IF(AND(G810="Reading",B810&lt;&gt;""),IF(H810="",TODAY(),H810)+ROW()/10000000,"")</f>
        <v/>
      </c>
      <c r="Q810">
        <f>IF(AND(N810&lt;&gt;"",N(J810)=5),N810,"")</f>
        <v/>
      </c>
    </row>
    <row r="811">
      <c r="A811" s="1" t="n"/>
      <c r="B811" s="24" t="n"/>
      <c r="C811" s="25" t="n"/>
      <c r="D811" s="25" t="n"/>
      <c r="E811" s="26" t="n"/>
      <c r="F811" s="27" t="n"/>
      <c r="G811" s="26" t="n"/>
      <c r="H811" s="28" t="n"/>
      <c r="I811" s="28" t="n"/>
      <c r="J811" s="27" t="n"/>
      <c r="K811" s="16">
        <f>IF(OR(H811="",I811=""),"",I811-H811+1)</f>
        <v/>
      </c>
      <c r="L811" s="16">
        <f>IF(OR(K811="",N(F811)=0),"",F811/K811)</f>
        <v/>
      </c>
      <c r="M811" s="25" t="n"/>
      <c r="N811" s="1">
        <f>IF(AND(G811="Finished",I811&lt;&gt;""),IF(YEAR(I811)=Dashboard!$C$4,I811+ROW()/10000000,""),"")</f>
        <v/>
      </c>
      <c r="O811">
        <f>IF(B811="","",IFERROR(MATCH(D811,Settings!$B$6:$B$17,0),12))</f>
        <v/>
      </c>
      <c r="P811">
        <f>IF(AND(G811="Reading",B811&lt;&gt;""),IF(H811="",TODAY(),H811)+ROW()/10000000,"")</f>
        <v/>
      </c>
      <c r="Q811">
        <f>IF(AND(N811&lt;&gt;"",N(J811)=5),N811,"")</f>
        <v/>
      </c>
    </row>
    <row r="812">
      <c r="A812" s="1" t="n"/>
      <c r="B812" s="24" t="n"/>
      <c r="C812" s="25" t="n"/>
      <c r="D812" s="25" t="n"/>
      <c r="E812" s="26" t="n"/>
      <c r="F812" s="27" t="n"/>
      <c r="G812" s="26" t="n"/>
      <c r="H812" s="28" t="n"/>
      <c r="I812" s="28" t="n"/>
      <c r="J812" s="27" t="n"/>
      <c r="K812" s="16">
        <f>IF(OR(H812="",I812=""),"",I812-H812+1)</f>
        <v/>
      </c>
      <c r="L812" s="16">
        <f>IF(OR(K812="",N(F812)=0),"",F812/K812)</f>
        <v/>
      </c>
      <c r="M812" s="25" t="n"/>
      <c r="N812" s="1">
        <f>IF(AND(G812="Finished",I812&lt;&gt;""),IF(YEAR(I812)=Dashboard!$C$4,I812+ROW()/10000000,""),"")</f>
        <v/>
      </c>
      <c r="O812">
        <f>IF(B812="","",IFERROR(MATCH(D812,Settings!$B$6:$B$17,0),12))</f>
        <v/>
      </c>
      <c r="P812">
        <f>IF(AND(G812="Reading",B812&lt;&gt;""),IF(H812="",TODAY(),H812)+ROW()/10000000,"")</f>
        <v/>
      </c>
      <c r="Q812">
        <f>IF(AND(N812&lt;&gt;"",N(J812)=5),N812,"")</f>
        <v/>
      </c>
    </row>
    <row r="813">
      <c r="A813" s="1" t="n"/>
      <c r="B813" s="24" t="n"/>
      <c r="C813" s="25" t="n"/>
      <c r="D813" s="25" t="n"/>
      <c r="E813" s="26" t="n"/>
      <c r="F813" s="27" t="n"/>
      <c r="G813" s="26" t="n"/>
      <c r="H813" s="28" t="n"/>
      <c r="I813" s="28" t="n"/>
      <c r="J813" s="27" t="n"/>
      <c r="K813" s="16">
        <f>IF(OR(H813="",I813=""),"",I813-H813+1)</f>
        <v/>
      </c>
      <c r="L813" s="16">
        <f>IF(OR(K813="",N(F813)=0),"",F813/K813)</f>
        <v/>
      </c>
      <c r="M813" s="25" t="n"/>
      <c r="N813" s="1">
        <f>IF(AND(G813="Finished",I813&lt;&gt;""),IF(YEAR(I813)=Dashboard!$C$4,I813+ROW()/10000000,""),"")</f>
        <v/>
      </c>
      <c r="O813">
        <f>IF(B813="","",IFERROR(MATCH(D813,Settings!$B$6:$B$17,0),12))</f>
        <v/>
      </c>
      <c r="P813">
        <f>IF(AND(G813="Reading",B813&lt;&gt;""),IF(H813="",TODAY(),H813)+ROW()/10000000,"")</f>
        <v/>
      </c>
      <c r="Q813">
        <f>IF(AND(N813&lt;&gt;"",N(J813)=5),N813,"")</f>
        <v/>
      </c>
    </row>
    <row r="814">
      <c r="A814" s="1" t="n"/>
      <c r="B814" s="24" t="n"/>
      <c r="C814" s="25" t="n"/>
      <c r="D814" s="25" t="n"/>
      <c r="E814" s="26" t="n"/>
      <c r="F814" s="27" t="n"/>
      <c r="G814" s="26" t="n"/>
      <c r="H814" s="28" t="n"/>
      <c r="I814" s="28" t="n"/>
      <c r="J814" s="27" t="n"/>
      <c r="K814" s="16">
        <f>IF(OR(H814="",I814=""),"",I814-H814+1)</f>
        <v/>
      </c>
      <c r="L814" s="16">
        <f>IF(OR(K814="",N(F814)=0),"",F814/K814)</f>
        <v/>
      </c>
      <c r="M814" s="25" t="n"/>
      <c r="N814" s="1">
        <f>IF(AND(G814="Finished",I814&lt;&gt;""),IF(YEAR(I814)=Dashboard!$C$4,I814+ROW()/10000000,""),"")</f>
        <v/>
      </c>
      <c r="O814">
        <f>IF(B814="","",IFERROR(MATCH(D814,Settings!$B$6:$B$17,0),12))</f>
        <v/>
      </c>
      <c r="P814">
        <f>IF(AND(G814="Reading",B814&lt;&gt;""),IF(H814="",TODAY(),H814)+ROW()/10000000,"")</f>
        <v/>
      </c>
      <c r="Q814">
        <f>IF(AND(N814&lt;&gt;"",N(J814)=5),N814,"")</f>
        <v/>
      </c>
    </row>
    <row r="815">
      <c r="A815" s="1" t="n"/>
      <c r="B815" s="24" t="n"/>
      <c r="C815" s="25" t="n"/>
      <c r="D815" s="25" t="n"/>
      <c r="E815" s="26" t="n"/>
      <c r="F815" s="27" t="n"/>
      <c r="G815" s="26" t="n"/>
      <c r="H815" s="28" t="n"/>
      <c r="I815" s="28" t="n"/>
      <c r="J815" s="27" t="n"/>
      <c r="K815" s="16">
        <f>IF(OR(H815="",I815=""),"",I815-H815+1)</f>
        <v/>
      </c>
      <c r="L815" s="16">
        <f>IF(OR(K815="",N(F815)=0),"",F815/K815)</f>
        <v/>
      </c>
      <c r="M815" s="25" t="n"/>
      <c r="N815" s="1">
        <f>IF(AND(G815="Finished",I815&lt;&gt;""),IF(YEAR(I815)=Dashboard!$C$4,I815+ROW()/10000000,""),"")</f>
        <v/>
      </c>
      <c r="O815">
        <f>IF(B815="","",IFERROR(MATCH(D815,Settings!$B$6:$B$17,0),12))</f>
        <v/>
      </c>
      <c r="P815">
        <f>IF(AND(G815="Reading",B815&lt;&gt;""),IF(H815="",TODAY(),H815)+ROW()/10000000,"")</f>
        <v/>
      </c>
      <c r="Q815">
        <f>IF(AND(N815&lt;&gt;"",N(J815)=5),N815,"")</f>
        <v/>
      </c>
    </row>
    <row r="816">
      <c r="A816" s="1" t="n"/>
      <c r="B816" s="24" t="n"/>
      <c r="C816" s="25" t="n"/>
      <c r="D816" s="25" t="n"/>
      <c r="E816" s="26" t="n"/>
      <c r="F816" s="27" t="n"/>
      <c r="G816" s="26" t="n"/>
      <c r="H816" s="28" t="n"/>
      <c r="I816" s="28" t="n"/>
      <c r="J816" s="27" t="n"/>
      <c r="K816" s="16">
        <f>IF(OR(H816="",I816=""),"",I816-H816+1)</f>
        <v/>
      </c>
      <c r="L816" s="16">
        <f>IF(OR(K816="",N(F816)=0),"",F816/K816)</f>
        <v/>
      </c>
      <c r="M816" s="25" t="n"/>
      <c r="N816" s="1">
        <f>IF(AND(G816="Finished",I816&lt;&gt;""),IF(YEAR(I816)=Dashboard!$C$4,I816+ROW()/10000000,""),"")</f>
        <v/>
      </c>
      <c r="O816">
        <f>IF(B816="","",IFERROR(MATCH(D816,Settings!$B$6:$B$17,0),12))</f>
        <v/>
      </c>
      <c r="P816">
        <f>IF(AND(G816="Reading",B816&lt;&gt;""),IF(H816="",TODAY(),H816)+ROW()/10000000,"")</f>
        <v/>
      </c>
      <c r="Q816">
        <f>IF(AND(N816&lt;&gt;"",N(J816)=5),N816,"")</f>
        <v/>
      </c>
    </row>
    <row r="817">
      <c r="A817" s="1" t="n"/>
      <c r="B817" s="24" t="n"/>
      <c r="C817" s="25" t="n"/>
      <c r="D817" s="25" t="n"/>
      <c r="E817" s="26" t="n"/>
      <c r="F817" s="27" t="n"/>
      <c r="G817" s="26" t="n"/>
      <c r="H817" s="28" t="n"/>
      <c r="I817" s="28" t="n"/>
      <c r="J817" s="27" t="n"/>
      <c r="K817" s="16">
        <f>IF(OR(H817="",I817=""),"",I817-H817+1)</f>
        <v/>
      </c>
      <c r="L817" s="16">
        <f>IF(OR(K817="",N(F817)=0),"",F817/K817)</f>
        <v/>
      </c>
      <c r="M817" s="25" t="n"/>
      <c r="N817" s="1">
        <f>IF(AND(G817="Finished",I817&lt;&gt;""),IF(YEAR(I817)=Dashboard!$C$4,I817+ROW()/10000000,""),"")</f>
        <v/>
      </c>
      <c r="O817">
        <f>IF(B817="","",IFERROR(MATCH(D817,Settings!$B$6:$B$17,0),12))</f>
        <v/>
      </c>
      <c r="P817">
        <f>IF(AND(G817="Reading",B817&lt;&gt;""),IF(H817="",TODAY(),H817)+ROW()/10000000,"")</f>
        <v/>
      </c>
      <c r="Q817">
        <f>IF(AND(N817&lt;&gt;"",N(J817)=5),N817,"")</f>
        <v/>
      </c>
    </row>
    <row r="818">
      <c r="A818" s="1" t="n"/>
      <c r="B818" s="24" t="n"/>
      <c r="C818" s="25" t="n"/>
      <c r="D818" s="25" t="n"/>
      <c r="E818" s="26" t="n"/>
      <c r="F818" s="27" t="n"/>
      <c r="G818" s="26" t="n"/>
      <c r="H818" s="28" t="n"/>
      <c r="I818" s="28" t="n"/>
      <c r="J818" s="27" t="n"/>
      <c r="K818" s="16">
        <f>IF(OR(H818="",I818=""),"",I818-H818+1)</f>
        <v/>
      </c>
      <c r="L818" s="16">
        <f>IF(OR(K818="",N(F818)=0),"",F818/K818)</f>
        <v/>
      </c>
      <c r="M818" s="25" t="n"/>
      <c r="N818" s="1">
        <f>IF(AND(G818="Finished",I818&lt;&gt;""),IF(YEAR(I818)=Dashboard!$C$4,I818+ROW()/10000000,""),"")</f>
        <v/>
      </c>
      <c r="O818">
        <f>IF(B818="","",IFERROR(MATCH(D818,Settings!$B$6:$B$17,0),12))</f>
        <v/>
      </c>
      <c r="P818">
        <f>IF(AND(G818="Reading",B818&lt;&gt;""),IF(H818="",TODAY(),H818)+ROW()/10000000,"")</f>
        <v/>
      </c>
      <c r="Q818">
        <f>IF(AND(N818&lt;&gt;"",N(J818)=5),N818,"")</f>
        <v/>
      </c>
    </row>
    <row r="819">
      <c r="A819" s="1" t="n"/>
      <c r="B819" s="24" t="n"/>
      <c r="C819" s="25" t="n"/>
      <c r="D819" s="25" t="n"/>
      <c r="E819" s="26" t="n"/>
      <c r="F819" s="27" t="n"/>
      <c r="G819" s="26" t="n"/>
      <c r="H819" s="28" t="n"/>
      <c r="I819" s="28" t="n"/>
      <c r="J819" s="27" t="n"/>
      <c r="K819" s="16">
        <f>IF(OR(H819="",I819=""),"",I819-H819+1)</f>
        <v/>
      </c>
      <c r="L819" s="16">
        <f>IF(OR(K819="",N(F819)=0),"",F819/K819)</f>
        <v/>
      </c>
      <c r="M819" s="25" t="n"/>
      <c r="N819" s="1">
        <f>IF(AND(G819="Finished",I819&lt;&gt;""),IF(YEAR(I819)=Dashboard!$C$4,I819+ROW()/10000000,""),"")</f>
        <v/>
      </c>
      <c r="O819">
        <f>IF(B819="","",IFERROR(MATCH(D819,Settings!$B$6:$B$17,0),12))</f>
        <v/>
      </c>
      <c r="P819">
        <f>IF(AND(G819="Reading",B819&lt;&gt;""),IF(H819="",TODAY(),H819)+ROW()/10000000,"")</f>
        <v/>
      </c>
      <c r="Q819">
        <f>IF(AND(N819&lt;&gt;"",N(J819)=5),N819,"")</f>
        <v/>
      </c>
    </row>
    <row r="820">
      <c r="A820" s="1" t="n"/>
      <c r="B820" s="24" t="n"/>
      <c r="C820" s="25" t="n"/>
      <c r="D820" s="25" t="n"/>
      <c r="E820" s="26" t="n"/>
      <c r="F820" s="27" t="n"/>
      <c r="G820" s="26" t="n"/>
      <c r="H820" s="28" t="n"/>
      <c r="I820" s="28" t="n"/>
      <c r="J820" s="27" t="n"/>
      <c r="K820" s="16">
        <f>IF(OR(H820="",I820=""),"",I820-H820+1)</f>
        <v/>
      </c>
      <c r="L820" s="16">
        <f>IF(OR(K820="",N(F820)=0),"",F820/K820)</f>
        <v/>
      </c>
      <c r="M820" s="25" t="n"/>
      <c r="N820" s="1">
        <f>IF(AND(G820="Finished",I820&lt;&gt;""),IF(YEAR(I820)=Dashboard!$C$4,I820+ROW()/10000000,""),"")</f>
        <v/>
      </c>
      <c r="O820">
        <f>IF(B820="","",IFERROR(MATCH(D820,Settings!$B$6:$B$17,0),12))</f>
        <v/>
      </c>
      <c r="P820">
        <f>IF(AND(G820="Reading",B820&lt;&gt;""),IF(H820="",TODAY(),H820)+ROW()/10000000,"")</f>
        <v/>
      </c>
      <c r="Q820">
        <f>IF(AND(N820&lt;&gt;"",N(J820)=5),N820,"")</f>
        <v/>
      </c>
    </row>
    <row r="821">
      <c r="A821" s="1" t="n"/>
      <c r="B821" s="24" t="n"/>
      <c r="C821" s="25" t="n"/>
      <c r="D821" s="25" t="n"/>
      <c r="E821" s="26" t="n"/>
      <c r="F821" s="27" t="n"/>
      <c r="G821" s="26" t="n"/>
      <c r="H821" s="28" t="n"/>
      <c r="I821" s="28" t="n"/>
      <c r="J821" s="27" t="n"/>
      <c r="K821" s="16">
        <f>IF(OR(H821="",I821=""),"",I821-H821+1)</f>
        <v/>
      </c>
      <c r="L821" s="16">
        <f>IF(OR(K821="",N(F821)=0),"",F821/K821)</f>
        <v/>
      </c>
      <c r="M821" s="25" t="n"/>
      <c r="N821" s="1">
        <f>IF(AND(G821="Finished",I821&lt;&gt;""),IF(YEAR(I821)=Dashboard!$C$4,I821+ROW()/10000000,""),"")</f>
        <v/>
      </c>
      <c r="O821">
        <f>IF(B821="","",IFERROR(MATCH(D821,Settings!$B$6:$B$17,0),12))</f>
        <v/>
      </c>
      <c r="P821">
        <f>IF(AND(G821="Reading",B821&lt;&gt;""),IF(H821="",TODAY(),H821)+ROW()/10000000,"")</f>
        <v/>
      </c>
      <c r="Q821">
        <f>IF(AND(N821&lt;&gt;"",N(J821)=5),N821,"")</f>
        <v/>
      </c>
    </row>
    <row r="822">
      <c r="A822" s="1" t="n"/>
      <c r="B822" s="24" t="n"/>
      <c r="C822" s="25" t="n"/>
      <c r="D822" s="25" t="n"/>
      <c r="E822" s="26" t="n"/>
      <c r="F822" s="27" t="n"/>
      <c r="G822" s="26" t="n"/>
      <c r="H822" s="28" t="n"/>
      <c r="I822" s="28" t="n"/>
      <c r="J822" s="27" t="n"/>
      <c r="K822" s="16">
        <f>IF(OR(H822="",I822=""),"",I822-H822+1)</f>
        <v/>
      </c>
      <c r="L822" s="16">
        <f>IF(OR(K822="",N(F822)=0),"",F822/K822)</f>
        <v/>
      </c>
      <c r="M822" s="25" t="n"/>
      <c r="N822" s="1">
        <f>IF(AND(G822="Finished",I822&lt;&gt;""),IF(YEAR(I822)=Dashboard!$C$4,I822+ROW()/10000000,""),"")</f>
        <v/>
      </c>
      <c r="O822">
        <f>IF(B822="","",IFERROR(MATCH(D822,Settings!$B$6:$B$17,0),12))</f>
        <v/>
      </c>
      <c r="P822">
        <f>IF(AND(G822="Reading",B822&lt;&gt;""),IF(H822="",TODAY(),H822)+ROW()/10000000,"")</f>
        <v/>
      </c>
      <c r="Q822">
        <f>IF(AND(N822&lt;&gt;"",N(J822)=5),N822,"")</f>
        <v/>
      </c>
    </row>
    <row r="823">
      <c r="A823" s="1" t="n"/>
      <c r="B823" s="24" t="n"/>
      <c r="C823" s="25" t="n"/>
      <c r="D823" s="25" t="n"/>
      <c r="E823" s="26" t="n"/>
      <c r="F823" s="27" t="n"/>
      <c r="G823" s="26" t="n"/>
      <c r="H823" s="28" t="n"/>
      <c r="I823" s="28" t="n"/>
      <c r="J823" s="27" t="n"/>
      <c r="K823" s="16">
        <f>IF(OR(H823="",I823=""),"",I823-H823+1)</f>
        <v/>
      </c>
      <c r="L823" s="16">
        <f>IF(OR(K823="",N(F823)=0),"",F823/K823)</f>
        <v/>
      </c>
      <c r="M823" s="25" t="n"/>
      <c r="N823" s="1">
        <f>IF(AND(G823="Finished",I823&lt;&gt;""),IF(YEAR(I823)=Dashboard!$C$4,I823+ROW()/10000000,""),"")</f>
        <v/>
      </c>
      <c r="O823">
        <f>IF(B823="","",IFERROR(MATCH(D823,Settings!$B$6:$B$17,0),12))</f>
        <v/>
      </c>
      <c r="P823">
        <f>IF(AND(G823="Reading",B823&lt;&gt;""),IF(H823="",TODAY(),H823)+ROW()/10000000,"")</f>
        <v/>
      </c>
      <c r="Q823">
        <f>IF(AND(N823&lt;&gt;"",N(J823)=5),N823,"")</f>
        <v/>
      </c>
    </row>
    <row r="824">
      <c r="A824" s="1" t="n"/>
      <c r="B824" s="24" t="n"/>
      <c r="C824" s="25" t="n"/>
      <c r="D824" s="25" t="n"/>
      <c r="E824" s="26" t="n"/>
      <c r="F824" s="27" t="n"/>
      <c r="G824" s="26" t="n"/>
      <c r="H824" s="28" t="n"/>
      <c r="I824" s="28" t="n"/>
      <c r="J824" s="27" t="n"/>
      <c r="K824" s="16">
        <f>IF(OR(H824="",I824=""),"",I824-H824+1)</f>
        <v/>
      </c>
      <c r="L824" s="16">
        <f>IF(OR(K824="",N(F824)=0),"",F824/K824)</f>
        <v/>
      </c>
      <c r="M824" s="25" t="n"/>
      <c r="N824" s="1">
        <f>IF(AND(G824="Finished",I824&lt;&gt;""),IF(YEAR(I824)=Dashboard!$C$4,I824+ROW()/10000000,""),"")</f>
        <v/>
      </c>
      <c r="O824">
        <f>IF(B824="","",IFERROR(MATCH(D824,Settings!$B$6:$B$17,0),12))</f>
        <v/>
      </c>
      <c r="P824">
        <f>IF(AND(G824="Reading",B824&lt;&gt;""),IF(H824="",TODAY(),H824)+ROW()/10000000,"")</f>
        <v/>
      </c>
      <c r="Q824">
        <f>IF(AND(N824&lt;&gt;"",N(J824)=5),N824,"")</f>
        <v/>
      </c>
    </row>
    <row r="825">
      <c r="A825" s="1" t="n"/>
      <c r="B825" s="24" t="n"/>
      <c r="C825" s="25" t="n"/>
      <c r="D825" s="25" t="n"/>
      <c r="E825" s="26" t="n"/>
      <c r="F825" s="27" t="n"/>
      <c r="G825" s="26" t="n"/>
      <c r="H825" s="28" t="n"/>
      <c r="I825" s="28" t="n"/>
      <c r="J825" s="27" t="n"/>
      <c r="K825" s="16">
        <f>IF(OR(H825="",I825=""),"",I825-H825+1)</f>
        <v/>
      </c>
      <c r="L825" s="16">
        <f>IF(OR(K825="",N(F825)=0),"",F825/K825)</f>
        <v/>
      </c>
      <c r="M825" s="25" t="n"/>
      <c r="N825" s="1">
        <f>IF(AND(G825="Finished",I825&lt;&gt;""),IF(YEAR(I825)=Dashboard!$C$4,I825+ROW()/10000000,""),"")</f>
        <v/>
      </c>
      <c r="O825">
        <f>IF(B825="","",IFERROR(MATCH(D825,Settings!$B$6:$B$17,0),12))</f>
        <v/>
      </c>
      <c r="P825">
        <f>IF(AND(G825="Reading",B825&lt;&gt;""),IF(H825="",TODAY(),H825)+ROW()/10000000,"")</f>
        <v/>
      </c>
      <c r="Q825">
        <f>IF(AND(N825&lt;&gt;"",N(J825)=5),N825,"")</f>
        <v/>
      </c>
    </row>
    <row r="826">
      <c r="A826" s="1" t="n"/>
      <c r="B826" s="24" t="n"/>
      <c r="C826" s="25" t="n"/>
      <c r="D826" s="25" t="n"/>
      <c r="E826" s="26" t="n"/>
      <c r="F826" s="27" t="n"/>
      <c r="G826" s="26" t="n"/>
      <c r="H826" s="28" t="n"/>
      <c r="I826" s="28" t="n"/>
      <c r="J826" s="27" t="n"/>
      <c r="K826" s="16">
        <f>IF(OR(H826="",I826=""),"",I826-H826+1)</f>
        <v/>
      </c>
      <c r="L826" s="16">
        <f>IF(OR(K826="",N(F826)=0),"",F826/K826)</f>
        <v/>
      </c>
      <c r="M826" s="25" t="n"/>
      <c r="N826" s="1">
        <f>IF(AND(G826="Finished",I826&lt;&gt;""),IF(YEAR(I826)=Dashboard!$C$4,I826+ROW()/10000000,""),"")</f>
        <v/>
      </c>
      <c r="O826">
        <f>IF(B826="","",IFERROR(MATCH(D826,Settings!$B$6:$B$17,0),12))</f>
        <v/>
      </c>
      <c r="P826">
        <f>IF(AND(G826="Reading",B826&lt;&gt;""),IF(H826="",TODAY(),H826)+ROW()/10000000,"")</f>
        <v/>
      </c>
      <c r="Q826">
        <f>IF(AND(N826&lt;&gt;"",N(J826)=5),N826,"")</f>
        <v/>
      </c>
    </row>
    <row r="827">
      <c r="A827" s="1" t="n"/>
      <c r="B827" s="24" t="n"/>
      <c r="C827" s="25" t="n"/>
      <c r="D827" s="25" t="n"/>
      <c r="E827" s="26" t="n"/>
      <c r="F827" s="27" t="n"/>
      <c r="G827" s="26" t="n"/>
      <c r="H827" s="28" t="n"/>
      <c r="I827" s="28" t="n"/>
      <c r="J827" s="27" t="n"/>
      <c r="K827" s="16">
        <f>IF(OR(H827="",I827=""),"",I827-H827+1)</f>
        <v/>
      </c>
      <c r="L827" s="16">
        <f>IF(OR(K827="",N(F827)=0),"",F827/K827)</f>
        <v/>
      </c>
      <c r="M827" s="25" t="n"/>
      <c r="N827" s="1">
        <f>IF(AND(G827="Finished",I827&lt;&gt;""),IF(YEAR(I827)=Dashboard!$C$4,I827+ROW()/10000000,""),"")</f>
        <v/>
      </c>
      <c r="O827">
        <f>IF(B827="","",IFERROR(MATCH(D827,Settings!$B$6:$B$17,0),12))</f>
        <v/>
      </c>
      <c r="P827">
        <f>IF(AND(G827="Reading",B827&lt;&gt;""),IF(H827="",TODAY(),H827)+ROW()/10000000,"")</f>
        <v/>
      </c>
      <c r="Q827">
        <f>IF(AND(N827&lt;&gt;"",N(J827)=5),N827,"")</f>
        <v/>
      </c>
    </row>
    <row r="828">
      <c r="A828" s="1" t="n"/>
      <c r="B828" s="24" t="n"/>
      <c r="C828" s="25" t="n"/>
      <c r="D828" s="25" t="n"/>
      <c r="E828" s="26" t="n"/>
      <c r="F828" s="27" t="n"/>
      <c r="G828" s="26" t="n"/>
      <c r="H828" s="28" t="n"/>
      <c r="I828" s="28" t="n"/>
      <c r="J828" s="27" t="n"/>
      <c r="K828" s="16">
        <f>IF(OR(H828="",I828=""),"",I828-H828+1)</f>
        <v/>
      </c>
      <c r="L828" s="16">
        <f>IF(OR(K828="",N(F828)=0),"",F828/K828)</f>
        <v/>
      </c>
      <c r="M828" s="25" t="n"/>
      <c r="N828" s="1">
        <f>IF(AND(G828="Finished",I828&lt;&gt;""),IF(YEAR(I828)=Dashboard!$C$4,I828+ROW()/10000000,""),"")</f>
        <v/>
      </c>
      <c r="O828">
        <f>IF(B828="","",IFERROR(MATCH(D828,Settings!$B$6:$B$17,0),12))</f>
        <v/>
      </c>
      <c r="P828">
        <f>IF(AND(G828="Reading",B828&lt;&gt;""),IF(H828="",TODAY(),H828)+ROW()/10000000,"")</f>
        <v/>
      </c>
      <c r="Q828">
        <f>IF(AND(N828&lt;&gt;"",N(J828)=5),N828,"")</f>
        <v/>
      </c>
    </row>
    <row r="829">
      <c r="A829" s="1" t="n"/>
      <c r="B829" s="24" t="n"/>
      <c r="C829" s="25" t="n"/>
      <c r="D829" s="25" t="n"/>
      <c r="E829" s="26" t="n"/>
      <c r="F829" s="27" t="n"/>
      <c r="G829" s="26" t="n"/>
      <c r="H829" s="28" t="n"/>
      <c r="I829" s="28" t="n"/>
      <c r="J829" s="27" t="n"/>
      <c r="K829" s="16">
        <f>IF(OR(H829="",I829=""),"",I829-H829+1)</f>
        <v/>
      </c>
      <c r="L829" s="16">
        <f>IF(OR(K829="",N(F829)=0),"",F829/K829)</f>
        <v/>
      </c>
      <c r="M829" s="25" t="n"/>
      <c r="N829" s="1">
        <f>IF(AND(G829="Finished",I829&lt;&gt;""),IF(YEAR(I829)=Dashboard!$C$4,I829+ROW()/10000000,""),"")</f>
        <v/>
      </c>
      <c r="O829">
        <f>IF(B829="","",IFERROR(MATCH(D829,Settings!$B$6:$B$17,0),12))</f>
        <v/>
      </c>
      <c r="P829">
        <f>IF(AND(G829="Reading",B829&lt;&gt;""),IF(H829="",TODAY(),H829)+ROW()/10000000,"")</f>
        <v/>
      </c>
      <c r="Q829">
        <f>IF(AND(N829&lt;&gt;"",N(J829)=5),N829,"")</f>
        <v/>
      </c>
    </row>
    <row r="830">
      <c r="A830" s="1" t="n"/>
      <c r="B830" s="24" t="n"/>
      <c r="C830" s="25" t="n"/>
      <c r="D830" s="25" t="n"/>
      <c r="E830" s="26" t="n"/>
      <c r="F830" s="27" t="n"/>
      <c r="G830" s="26" t="n"/>
      <c r="H830" s="28" t="n"/>
      <c r="I830" s="28" t="n"/>
      <c r="J830" s="27" t="n"/>
      <c r="K830" s="16">
        <f>IF(OR(H830="",I830=""),"",I830-H830+1)</f>
        <v/>
      </c>
      <c r="L830" s="16">
        <f>IF(OR(K830="",N(F830)=0),"",F830/K830)</f>
        <v/>
      </c>
      <c r="M830" s="25" t="n"/>
      <c r="N830" s="1">
        <f>IF(AND(G830="Finished",I830&lt;&gt;""),IF(YEAR(I830)=Dashboard!$C$4,I830+ROW()/10000000,""),"")</f>
        <v/>
      </c>
      <c r="O830">
        <f>IF(B830="","",IFERROR(MATCH(D830,Settings!$B$6:$B$17,0),12))</f>
        <v/>
      </c>
      <c r="P830">
        <f>IF(AND(G830="Reading",B830&lt;&gt;""),IF(H830="",TODAY(),H830)+ROW()/10000000,"")</f>
        <v/>
      </c>
      <c r="Q830">
        <f>IF(AND(N830&lt;&gt;"",N(J830)=5),N830,"")</f>
        <v/>
      </c>
    </row>
    <row r="831">
      <c r="A831" s="1" t="n"/>
      <c r="B831" s="24" t="n"/>
      <c r="C831" s="25" t="n"/>
      <c r="D831" s="25" t="n"/>
      <c r="E831" s="26" t="n"/>
      <c r="F831" s="27" t="n"/>
      <c r="G831" s="26" t="n"/>
      <c r="H831" s="28" t="n"/>
      <c r="I831" s="28" t="n"/>
      <c r="J831" s="27" t="n"/>
      <c r="K831" s="16">
        <f>IF(OR(H831="",I831=""),"",I831-H831+1)</f>
        <v/>
      </c>
      <c r="L831" s="16">
        <f>IF(OR(K831="",N(F831)=0),"",F831/K831)</f>
        <v/>
      </c>
      <c r="M831" s="25" t="n"/>
      <c r="N831" s="1">
        <f>IF(AND(G831="Finished",I831&lt;&gt;""),IF(YEAR(I831)=Dashboard!$C$4,I831+ROW()/10000000,""),"")</f>
        <v/>
      </c>
      <c r="O831">
        <f>IF(B831="","",IFERROR(MATCH(D831,Settings!$B$6:$B$17,0),12))</f>
        <v/>
      </c>
      <c r="P831">
        <f>IF(AND(G831="Reading",B831&lt;&gt;""),IF(H831="",TODAY(),H831)+ROW()/10000000,"")</f>
        <v/>
      </c>
      <c r="Q831">
        <f>IF(AND(N831&lt;&gt;"",N(J831)=5),N831,"")</f>
        <v/>
      </c>
    </row>
    <row r="832">
      <c r="A832" s="1" t="n"/>
      <c r="B832" s="24" t="n"/>
      <c r="C832" s="25" t="n"/>
      <c r="D832" s="25" t="n"/>
      <c r="E832" s="26" t="n"/>
      <c r="F832" s="27" t="n"/>
      <c r="G832" s="26" t="n"/>
      <c r="H832" s="28" t="n"/>
      <c r="I832" s="28" t="n"/>
      <c r="J832" s="27" t="n"/>
      <c r="K832" s="16">
        <f>IF(OR(H832="",I832=""),"",I832-H832+1)</f>
        <v/>
      </c>
      <c r="L832" s="16">
        <f>IF(OR(K832="",N(F832)=0),"",F832/K832)</f>
        <v/>
      </c>
      <c r="M832" s="25" t="n"/>
      <c r="N832" s="1">
        <f>IF(AND(G832="Finished",I832&lt;&gt;""),IF(YEAR(I832)=Dashboard!$C$4,I832+ROW()/10000000,""),"")</f>
        <v/>
      </c>
      <c r="O832">
        <f>IF(B832="","",IFERROR(MATCH(D832,Settings!$B$6:$B$17,0),12))</f>
        <v/>
      </c>
      <c r="P832">
        <f>IF(AND(G832="Reading",B832&lt;&gt;""),IF(H832="",TODAY(),H832)+ROW()/10000000,"")</f>
        <v/>
      </c>
      <c r="Q832">
        <f>IF(AND(N832&lt;&gt;"",N(J832)=5),N832,"")</f>
        <v/>
      </c>
    </row>
    <row r="833">
      <c r="A833" s="1" t="n"/>
      <c r="B833" s="24" t="n"/>
      <c r="C833" s="25" t="n"/>
      <c r="D833" s="25" t="n"/>
      <c r="E833" s="26" t="n"/>
      <c r="F833" s="27" t="n"/>
      <c r="G833" s="26" t="n"/>
      <c r="H833" s="28" t="n"/>
      <c r="I833" s="28" t="n"/>
      <c r="J833" s="27" t="n"/>
      <c r="K833" s="16">
        <f>IF(OR(H833="",I833=""),"",I833-H833+1)</f>
        <v/>
      </c>
      <c r="L833" s="16">
        <f>IF(OR(K833="",N(F833)=0),"",F833/K833)</f>
        <v/>
      </c>
      <c r="M833" s="25" t="n"/>
      <c r="N833" s="1">
        <f>IF(AND(G833="Finished",I833&lt;&gt;""),IF(YEAR(I833)=Dashboard!$C$4,I833+ROW()/10000000,""),"")</f>
        <v/>
      </c>
      <c r="O833">
        <f>IF(B833="","",IFERROR(MATCH(D833,Settings!$B$6:$B$17,0),12))</f>
        <v/>
      </c>
      <c r="P833">
        <f>IF(AND(G833="Reading",B833&lt;&gt;""),IF(H833="",TODAY(),H833)+ROW()/10000000,"")</f>
        <v/>
      </c>
      <c r="Q833">
        <f>IF(AND(N833&lt;&gt;"",N(J833)=5),N833,"")</f>
        <v/>
      </c>
    </row>
    <row r="834">
      <c r="A834" s="1" t="n"/>
      <c r="B834" s="24" t="n"/>
      <c r="C834" s="25" t="n"/>
      <c r="D834" s="25" t="n"/>
      <c r="E834" s="26" t="n"/>
      <c r="F834" s="27" t="n"/>
      <c r="G834" s="26" t="n"/>
      <c r="H834" s="28" t="n"/>
      <c r="I834" s="28" t="n"/>
      <c r="J834" s="27" t="n"/>
      <c r="K834" s="16">
        <f>IF(OR(H834="",I834=""),"",I834-H834+1)</f>
        <v/>
      </c>
      <c r="L834" s="16">
        <f>IF(OR(K834="",N(F834)=0),"",F834/K834)</f>
        <v/>
      </c>
      <c r="M834" s="25" t="n"/>
      <c r="N834" s="1">
        <f>IF(AND(G834="Finished",I834&lt;&gt;""),IF(YEAR(I834)=Dashboard!$C$4,I834+ROW()/10000000,""),"")</f>
        <v/>
      </c>
      <c r="O834">
        <f>IF(B834="","",IFERROR(MATCH(D834,Settings!$B$6:$B$17,0),12))</f>
        <v/>
      </c>
      <c r="P834">
        <f>IF(AND(G834="Reading",B834&lt;&gt;""),IF(H834="",TODAY(),H834)+ROW()/10000000,"")</f>
        <v/>
      </c>
      <c r="Q834">
        <f>IF(AND(N834&lt;&gt;"",N(J834)=5),N834,"")</f>
        <v/>
      </c>
    </row>
    <row r="835">
      <c r="A835" s="1" t="n"/>
      <c r="B835" s="24" t="n"/>
      <c r="C835" s="25" t="n"/>
      <c r="D835" s="25" t="n"/>
      <c r="E835" s="26" t="n"/>
      <c r="F835" s="27" t="n"/>
      <c r="G835" s="26" t="n"/>
      <c r="H835" s="28" t="n"/>
      <c r="I835" s="28" t="n"/>
      <c r="J835" s="27" t="n"/>
      <c r="K835" s="16">
        <f>IF(OR(H835="",I835=""),"",I835-H835+1)</f>
        <v/>
      </c>
      <c r="L835" s="16">
        <f>IF(OR(K835="",N(F835)=0),"",F835/K835)</f>
        <v/>
      </c>
      <c r="M835" s="25" t="n"/>
      <c r="N835" s="1">
        <f>IF(AND(G835="Finished",I835&lt;&gt;""),IF(YEAR(I835)=Dashboard!$C$4,I835+ROW()/10000000,""),"")</f>
        <v/>
      </c>
      <c r="O835">
        <f>IF(B835="","",IFERROR(MATCH(D835,Settings!$B$6:$B$17,0),12))</f>
        <v/>
      </c>
      <c r="P835">
        <f>IF(AND(G835="Reading",B835&lt;&gt;""),IF(H835="",TODAY(),H835)+ROW()/10000000,"")</f>
        <v/>
      </c>
      <c r="Q835">
        <f>IF(AND(N835&lt;&gt;"",N(J835)=5),N835,"")</f>
        <v/>
      </c>
    </row>
    <row r="836">
      <c r="A836" s="1" t="n"/>
      <c r="B836" s="24" t="n"/>
      <c r="C836" s="25" t="n"/>
      <c r="D836" s="25" t="n"/>
      <c r="E836" s="26" t="n"/>
      <c r="F836" s="27" t="n"/>
      <c r="G836" s="26" t="n"/>
      <c r="H836" s="28" t="n"/>
      <c r="I836" s="28" t="n"/>
      <c r="J836" s="27" t="n"/>
      <c r="K836" s="16">
        <f>IF(OR(H836="",I836=""),"",I836-H836+1)</f>
        <v/>
      </c>
      <c r="L836" s="16">
        <f>IF(OR(K836="",N(F836)=0),"",F836/K836)</f>
        <v/>
      </c>
      <c r="M836" s="25" t="n"/>
      <c r="N836" s="1">
        <f>IF(AND(G836="Finished",I836&lt;&gt;""),IF(YEAR(I836)=Dashboard!$C$4,I836+ROW()/10000000,""),"")</f>
        <v/>
      </c>
      <c r="O836">
        <f>IF(B836="","",IFERROR(MATCH(D836,Settings!$B$6:$B$17,0),12))</f>
        <v/>
      </c>
      <c r="P836">
        <f>IF(AND(G836="Reading",B836&lt;&gt;""),IF(H836="",TODAY(),H836)+ROW()/10000000,"")</f>
        <v/>
      </c>
      <c r="Q836">
        <f>IF(AND(N836&lt;&gt;"",N(J836)=5),N836,"")</f>
        <v/>
      </c>
    </row>
    <row r="837">
      <c r="A837" s="1" t="n"/>
      <c r="B837" s="24" t="n"/>
      <c r="C837" s="25" t="n"/>
      <c r="D837" s="25" t="n"/>
      <c r="E837" s="26" t="n"/>
      <c r="F837" s="27" t="n"/>
      <c r="G837" s="26" t="n"/>
      <c r="H837" s="28" t="n"/>
      <c r="I837" s="28" t="n"/>
      <c r="J837" s="27" t="n"/>
      <c r="K837" s="16">
        <f>IF(OR(H837="",I837=""),"",I837-H837+1)</f>
        <v/>
      </c>
      <c r="L837" s="16">
        <f>IF(OR(K837="",N(F837)=0),"",F837/K837)</f>
        <v/>
      </c>
      <c r="M837" s="25" t="n"/>
      <c r="N837" s="1">
        <f>IF(AND(G837="Finished",I837&lt;&gt;""),IF(YEAR(I837)=Dashboard!$C$4,I837+ROW()/10000000,""),"")</f>
        <v/>
      </c>
      <c r="O837">
        <f>IF(B837="","",IFERROR(MATCH(D837,Settings!$B$6:$B$17,0),12))</f>
        <v/>
      </c>
      <c r="P837">
        <f>IF(AND(G837="Reading",B837&lt;&gt;""),IF(H837="",TODAY(),H837)+ROW()/10000000,"")</f>
        <v/>
      </c>
      <c r="Q837">
        <f>IF(AND(N837&lt;&gt;"",N(J837)=5),N837,"")</f>
        <v/>
      </c>
    </row>
    <row r="838">
      <c r="A838" s="1" t="n"/>
      <c r="B838" s="24" t="n"/>
      <c r="C838" s="25" t="n"/>
      <c r="D838" s="25" t="n"/>
      <c r="E838" s="26" t="n"/>
      <c r="F838" s="27" t="n"/>
      <c r="G838" s="26" t="n"/>
      <c r="H838" s="28" t="n"/>
      <c r="I838" s="28" t="n"/>
      <c r="J838" s="27" t="n"/>
      <c r="K838" s="16">
        <f>IF(OR(H838="",I838=""),"",I838-H838+1)</f>
        <v/>
      </c>
      <c r="L838" s="16">
        <f>IF(OR(K838="",N(F838)=0),"",F838/K838)</f>
        <v/>
      </c>
      <c r="M838" s="25" t="n"/>
      <c r="N838" s="1">
        <f>IF(AND(G838="Finished",I838&lt;&gt;""),IF(YEAR(I838)=Dashboard!$C$4,I838+ROW()/10000000,""),"")</f>
        <v/>
      </c>
      <c r="O838">
        <f>IF(B838="","",IFERROR(MATCH(D838,Settings!$B$6:$B$17,0),12))</f>
        <v/>
      </c>
      <c r="P838">
        <f>IF(AND(G838="Reading",B838&lt;&gt;""),IF(H838="",TODAY(),H838)+ROW()/10000000,"")</f>
        <v/>
      </c>
      <c r="Q838">
        <f>IF(AND(N838&lt;&gt;"",N(J838)=5),N838,"")</f>
        <v/>
      </c>
    </row>
    <row r="839">
      <c r="A839" s="1" t="n"/>
      <c r="B839" s="24" t="n"/>
      <c r="C839" s="25" t="n"/>
      <c r="D839" s="25" t="n"/>
      <c r="E839" s="26" t="n"/>
      <c r="F839" s="27" t="n"/>
      <c r="G839" s="26" t="n"/>
      <c r="H839" s="28" t="n"/>
      <c r="I839" s="28" t="n"/>
      <c r="J839" s="27" t="n"/>
      <c r="K839" s="16">
        <f>IF(OR(H839="",I839=""),"",I839-H839+1)</f>
        <v/>
      </c>
      <c r="L839" s="16">
        <f>IF(OR(K839="",N(F839)=0),"",F839/K839)</f>
        <v/>
      </c>
      <c r="M839" s="25" t="n"/>
      <c r="N839" s="1">
        <f>IF(AND(G839="Finished",I839&lt;&gt;""),IF(YEAR(I839)=Dashboard!$C$4,I839+ROW()/10000000,""),"")</f>
        <v/>
      </c>
      <c r="O839">
        <f>IF(B839="","",IFERROR(MATCH(D839,Settings!$B$6:$B$17,0),12))</f>
        <v/>
      </c>
      <c r="P839">
        <f>IF(AND(G839="Reading",B839&lt;&gt;""),IF(H839="",TODAY(),H839)+ROW()/10000000,"")</f>
        <v/>
      </c>
      <c r="Q839">
        <f>IF(AND(N839&lt;&gt;"",N(J839)=5),N839,"")</f>
        <v/>
      </c>
    </row>
    <row r="840">
      <c r="A840" s="1" t="n"/>
      <c r="B840" s="24" t="n"/>
      <c r="C840" s="25" t="n"/>
      <c r="D840" s="25" t="n"/>
      <c r="E840" s="26" t="n"/>
      <c r="F840" s="27" t="n"/>
      <c r="G840" s="26" t="n"/>
      <c r="H840" s="28" t="n"/>
      <c r="I840" s="28" t="n"/>
      <c r="J840" s="27" t="n"/>
      <c r="K840" s="16">
        <f>IF(OR(H840="",I840=""),"",I840-H840+1)</f>
        <v/>
      </c>
      <c r="L840" s="16">
        <f>IF(OR(K840="",N(F840)=0),"",F840/K840)</f>
        <v/>
      </c>
      <c r="M840" s="25" t="n"/>
      <c r="N840" s="1">
        <f>IF(AND(G840="Finished",I840&lt;&gt;""),IF(YEAR(I840)=Dashboard!$C$4,I840+ROW()/10000000,""),"")</f>
        <v/>
      </c>
      <c r="O840">
        <f>IF(B840="","",IFERROR(MATCH(D840,Settings!$B$6:$B$17,0),12))</f>
        <v/>
      </c>
      <c r="P840">
        <f>IF(AND(G840="Reading",B840&lt;&gt;""),IF(H840="",TODAY(),H840)+ROW()/10000000,"")</f>
        <v/>
      </c>
      <c r="Q840">
        <f>IF(AND(N840&lt;&gt;"",N(J840)=5),N840,"")</f>
        <v/>
      </c>
    </row>
    <row r="841">
      <c r="A841" s="1" t="n"/>
      <c r="B841" s="24" t="n"/>
      <c r="C841" s="25" t="n"/>
      <c r="D841" s="25" t="n"/>
      <c r="E841" s="26" t="n"/>
      <c r="F841" s="27" t="n"/>
      <c r="G841" s="26" t="n"/>
      <c r="H841" s="28" t="n"/>
      <c r="I841" s="28" t="n"/>
      <c r="J841" s="27" t="n"/>
      <c r="K841" s="16">
        <f>IF(OR(H841="",I841=""),"",I841-H841+1)</f>
        <v/>
      </c>
      <c r="L841" s="16">
        <f>IF(OR(K841="",N(F841)=0),"",F841/K841)</f>
        <v/>
      </c>
      <c r="M841" s="25" t="n"/>
      <c r="N841" s="1">
        <f>IF(AND(G841="Finished",I841&lt;&gt;""),IF(YEAR(I841)=Dashboard!$C$4,I841+ROW()/10000000,""),"")</f>
        <v/>
      </c>
      <c r="O841">
        <f>IF(B841="","",IFERROR(MATCH(D841,Settings!$B$6:$B$17,0),12))</f>
        <v/>
      </c>
      <c r="P841">
        <f>IF(AND(G841="Reading",B841&lt;&gt;""),IF(H841="",TODAY(),H841)+ROW()/10000000,"")</f>
        <v/>
      </c>
      <c r="Q841">
        <f>IF(AND(N841&lt;&gt;"",N(J841)=5),N841,"")</f>
        <v/>
      </c>
    </row>
    <row r="842">
      <c r="A842" s="1" t="n"/>
      <c r="B842" s="24" t="n"/>
      <c r="C842" s="25" t="n"/>
      <c r="D842" s="25" t="n"/>
      <c r="E842" s="26" t="n"/>
      <c r="F842" s="27" t="n"/>
      <c r="G842" s="26" t="n"/>
      <c r="H842" s="28" t="n"/>
      <c r="I842" s="28" t="n"/>
      <c r="J842" s="27" t="n"/>
      <c r="K842" s="16">
        <f>IF(OR(H842="",I842=""),"",I842-H842+1)</f>
        <v/>
      </c>
      <c r="L842" s="16">
        <f>IF(OR(K842="",N(F842)=0),"",F842/K842)</f>
        <v/>
      </c>
      <c r="M842" s="25" t="n"/>
      <c r="N842" s="1">
        <f>IF(AND(G842="Finished",I842&lt;&gt;""),IF(YEAR(I842)=Dashboard!$C$4,I842+ROW()/10000000,""),"")</f>
        <v/>
      </c>
      <c r="O842">
        <f>IF(B842="","",IFERROR(MATCH(D842,Settings!$B$6:$B$17,0),12))</f>
        <v/>
      </c>
      <c r="P842">
        <f>IF(AND(G842="Reading",B842&lt;&gt;""),IF(H842="",TODAY(),H842)+ROW()/10000000,"")</f>
        <v/>
      </c>
      <c r="Q842">
        <f>IF(AND(N842&lt;&gt;"",N(J842)=5),N842,"")</f>
        <v/>
      </c>
    </row>
    <row r="843">
      <c r="A843" s="1" t="n"/>
      <c r="B843" s="24" t="n"/>
      <c r="C843" s="25" t="n"/>
      <c r="D843" s="25" t="n"/>
      <c r="E843" s="26" t="n"/>
      <c r="F843" s="27" t="n"/>
      <c r="G843" s="26" t="n"/>
      <c r="H843" s="28" t="n"/>
      <c r="I843" s="28" t="n"/>
      <c r="J843" s="27" t="n"/>
      <c r="K843" s="16">
        <f>IF(OR(H843="",I843=""),"",I843-H843+1)</f>
        <v/>
      </c>
      <c r="L843" s="16">
        <f>IF(OR(K843="",N(F843)=0),"",F843/K843)</f>
        <v/>
      </c>
      <c r="M843" s="25" t="n"/>
      <c r="N843" s="1">
        <f>IF(AND(G843="Finished",I843&lt;&gt;""),IF(YEAR(I843)=Dashboard!$C$4,I843+ROW()/10000000,""),"")</f>
        <v/>
      </c>
      <c r="O843">
        <f>IF(B843="","",IFERROR(MATCH(D843,Settings!$B$6:$B$17,0),12))</f>
        <v/>
      </c>
      <c r="P843">
        <f>IF(AND(G843="Reading",B843&lt;&gt;""),IF(H843="",TODAY(),H843)+ROW()/10000000,"")</f>
        <v/>
      </c>
      <c r="Q843">
        <f>IF(AND(N843&lt;&gt;"",N(J843)=5),N843,"")</f>
        <v/>
      </c>
    </row>
    <row r="844">
      <c r="A844" s="1" t="n"/>
      <c r="B844" s="24" t="n"/>
      <c r="C844" s="25" t="n"/>
      <c r="D844" s="25" t="n"/>
      <c r="E844" s="26" t="n"/>
      <c r="F844" s="27" t="n"/>
      <c r="G844" s="26" t="n"/>
      <c r="H844" s="28" t="n"/>
      <c r="I844" s="28" t="n"/>
      <c r="J844" s="27" t="n"/>
      <c r="K844" s="16">
        <f>IF(OR(H844="",I844=""),"",I844-H844+1)</f>
        <v/>
      </c>
      <c r="L844" s="16">
        <f>IF(OR(K844="",N(F844)=0),"",F844/K844)</f>
        <v/>
      </c>
      <c r="M844" s="25" t="n"/>
      <c r="N844" s="1">
        <f>IF(AND(G844="Finished",I844&lt;&gt;""),IF(YEAR(I844)=Dashboard!$C$4,I844+ROW()/10000000,""),"")</f>
        <v/>
      </c>
      <c r="O844">
        <f>IF(B844="","",IFERROR(MATCH(D844,Settings!$B$6:$B$17,0),12))</f>
        <v/>
      </c>
      <c r="P844">
        <f>IF(AND(G844="Reading",B844&lt;&gt;""),IF(H844="",TODAY(),H844)+ROW()/10000000,"")</f>
        <v/>
      </c>
      <c r="Q844">
        <f>IF(AND(N844&lt;&gt;"",N(J844)=5),N844,"")</f>
        <v/>
      </c>
    </row>
    <row r="845">
      <c r="A845" s="1" t="n"/>
      <c r="B845" s="24" t="n"/>
      <c r="C845" s="25" t="n"/>
      <c r="D845" s="25" t="n"/>
      <c r="E845" s="26" t="n"/>
      <c r="F845" s="27" t="n"/>
      <c r="G845" s="26" t="n"/>
      <c r="H845" s="28" t="n"/>
      <c r="I845" s="28" t="n"/>
      <c r="J845" s="27" t="n"/>
      <c r="K845" s="16">
        <f>IF(OR(H845="",I845=""),"",I845-H845+1)</f>
        <v/>
      </c>
      <c r="L845" s="16">
        <f>IF(OR(K845="",N(F845)=0),"",F845/K845)</f>
        <v/>
      </c>
      <c r="M845" s="25" t="n"/>
      <c r="N845" s="1">
        <f>IF(AND(G845="Finished",I845&lt;&gt;""),IF(YEAR(I845)=Dashboard!$C$4,I845+ROW()/10000000,""),"")</f>
        <v/>
      </c>
      <c r="O845">
        <f>IF(B845="","",IFERROR(MATCH(D845,Settings!$B$6:$B$17,0),12))</f>
        <v/>
      </c>
      <c r="P845">
        <f>IF(AND(G845="Reading",B845&lt;&gt;""),IF(H845="",TODAY(),H845)+ROW()/10000000,"")</f>
        <v/>
      </c>
      <c r="Q845">
        <f>IF(AND(N845&lt;&gt;"",N(J845)=5),N845,"")</f>
        <v/>
      </c>
    </row>
    <row r="846">
      <c r="A846" s="1" t="n"/>
      <c r="B846" s="24" t="n"/>
      <c r="C846" s="25" t="n"/>
      <c r="D846" s="25" t="n"/>
      <c r="E846" s="26" t="n"/>
      <c r="F846" s="27" t="n"/>
      <c r="G846" s="26" t="n"/>
      <c r="H846" s="28" t="n"/>
      <c r="I846" s="28" t="n"/>
      <c r="J846" s="27" t="n"/>
      <c r="K846" s="16">
        <f>IF(OR(H846="",I846=""),"",I846-H846+1)</f>
        <v/>
      </c>
      <c r="L846" s="16">
        <f>IF(OR(K846="",N(F846)=0),"",F846/K846)</f>
        <v/>
      </c>
      <c r="M846" s="25" t="n"/>
      <c r="N846" s="1">
        <f>IF(AND(G846="Finished",I846&lt;&gt;""),IF(YEAR(I846)=Dashboard!$C$4,I846+ROW()/10000000,""),"")</f>
        <v/>
      </c>
      <c r="O846">
        <f>IF(B846="","",IFERROR(MATCH(D846,Settings!$B$6:$B$17,0),12))</f>
        <v/>
      </c>
      <c r="P846">
        <f>IF(AND(G846="Reading",B846&lt;&gt;""),IF(H846="",TODAY(),H846)+ROW()/10000000,"")</f>
        <v/>
      </c>
      <c r="Q846">
        <f>IF(AND(N846&lt;&gt;"",N(J846)=5),N846,"")</f>
        <v/>
      </c>
    </row>
    <row r="847">
      <c r="A847" s="1" t="n"/>
      <c r="B847" s="24" t="n"/>
      <c r="C847" s="25" t="n"/>
      <c r="D847" s="25" t="n"/>
      <c r="E847" s="26" t="n"/>
      <c r="F847" s="27" t="n"/>
      <c r="G847" s="26" t="n"/>
      <c r="H847" s="28" t="n"/>
      <c r="I847" s="28" t="n"/>
      <c r="J847" s="27" t="n"/>
      <c r="K847" s="16">
        <f>IF(OR(H847="",I847=""),"",I847-H847+1)</f>
        <v/>
      </c>
      <c r="L847" s="16">
        <f>IF(OR(K847="",N(F847)=0),"",F847/K847)</f>
        <v/>
      </c>
      <c r="M847" s="25" t="n"/>
      <c r="N847" s="1">
        <f>IF(AND(G847="Finished",I847&lt;&gt;""),IF(YEAR(I847)=Dashboard!$C$4,I847+ROW()/10000000,""),"")</f>
        <v/>
      </c>
      <c r="O847">
        <f>IF(B847="","",IFERROR(MATCH(D847,Settings!$B$6:$B$17,0),12))</f>
        <v/>
      </c>
      <c r="P847">
        <f>IF(AND(G847="Reading",B847&lt;&gt;""),IF(H847="",TODAY(),H847)+ROW()/10000000,"")</f>
        <v/>
      </c>
      <c r="Q847">
        <f>IF(AND(N847&lt;&gt;"",N(J847)=5),N847,"")</f>
        <v/>
      </c>
    </row>
    <row r="848">
      <c r="A848" s="1" t="n"/>
      <c r="B848" s="24" t="n"/>
      <c r="C848" s="25" t="n"/>
      <c r="D848" s="25" t="n"/>
      <c r="E848" s="26" t="n"/>
      <c r="F848" s="27" t="n"/>
      <c r="G848" s="26" t="n"/>
      <c r="H848" s="28" t="n"/>
      <c r="I848" s="28" t="n"/>
      <c r="J848" s="27" t="n"/>
      <c r="K848" s="16">
        <f>IF(OR(H848="",I848=""),"",I848-H848+1)</f>
        <v/>
      </c>
      <c r="L848" s="16">
        <f>IF(OR(K848="",N(F848)=0),"",F848/K848)</f>
        <v/>
      </c>
      <c r="M848" s="25" t="n"/>
      <c r="N848" s="1">
        <f>IF(AND(G848="Finished",I848&lt;&gt;""),IF(YEAR(I848)=Dashboard!$C$4,I848+ROW()/10000000,""),"")</f>
        <v/>
      </c>
      <c r="O848">
        <f>IF(B848="","",IFERROR(MATCH(D848,Settings!$B$6:$B$17,0),12))</f>
        <v/>
      </c>
      <c r="P848">
        <f>IF(AND(G848="Reading",B848&lt;&gt;""),IF(H848="",TODAY(),H848)+ROW()/10000000,"")</f>
        <v/>
      </c>
      <c r="Q848">
        <f>IF(AND(N848&lt;&gt;"",N(J848)=5),N848,"")</f>
        <v/>
      </c>
    </row>
    <row r="849">
      <c r="A849" s="1" t="n"/>
      <c r="B849" s="24" t="n"/>
      <c r="C849" s="25" t="n"/>
      <c r="D849" s="25" t="n"/>
      <c r="E849" s="26" t="n"/>
      <c r="F849" s="27" t="n"/>
      <c r="G849" s="26" t="n"/>
      <c r="H849" s="28" t="n"/>
      <c r="I849" s="28" t="n"/>
      <c r="J849" s="27" t="n"/>
      <c r="K849" s="16">
        <f>IF(OR(H849="",I849=""),"",I849-H849+1)</f>
        <v/>
      </c>
      <c r="L849" s="16">
        <f>IF(OR(K849="",N(F849)=0),"",F849/K849)</f>
        <v/>
      </c>
      <c r="M849" s="25" t="n"/>
      <c r="N849" s="1">
        <f>IF(AND(G849="Finished",I849&lt;&gt;""),IF(YEAR(I849)=Dashboard!$C$4,I849+ROW()/10000000,""),"")</f>
        <v/>
      </c>
      <c r="O849">
        <f>IF(B849="","",IFERROR(MATCH(D849,Settings!$B$6:$B$17,0),12))</f>
        <v/>
      </c>
      <c r="P849">
        <f>IF(AND(G849="Reading",B849&lt;&gt;""),IF(H849="",TODAY(),H849)+ROW()/10000000,"")</f>
        <v/>
      </c>
      <c r="Q849">
        <f>IF(AND(N849&lt;&gt;"",N(J849)=5),N849,"")</f>
        <v/>
      </c>
    </row>
    <row r="850">
      <c r="A850" s="1" t="n"/>
      <c r="B850" s="24" t="n"/>
      <c r="C850" s="25" t="n"/>
      <c r="D850" s="25" t="n"/>
      <c r="E850" s="26" t="n"/>
      <c r="F850" s="27" t="n"/>
      <c r="G850" s="26" t="n"/>
      <c r="H850" s="28" t="n"/>
      <c r="I850" s="28" t="n"/>
      <c r="J850" s="27" t="n"/>
      <c r="K850" s="16">
        <f>IF(OR(H850="",I850=""),"",I850-H850+1)</f>
        <v/>
      </c>
      <c r="L850" s="16">
        <f>IF(OR(K850="",N(F850)=0),"",F850/K850)</f>
        <v/>
      </c>
      <c r="M850" s="25" t="n"/>
      <c r="N850" s="1">
        <f>IF(AND(G850="Finished",I850&lt;&gt;""),IF(YEAR(I850)=Dashboard!$C$4,I850+ROW()/10000000,""),"")</f>
        <v/>
      </c>
      <c r="O850">
        <f>IF(B850="","",IFERROR(MATCH(D850,Settings!$B$6:$B$17,0),12))</f>
        <v/>
      </c>
      <c r="P850">
        <f>IF(AND(G850="Reading",B850&lt;&gt;""),IF(H850="",TODAY(),H850)+ROW()/10000000,"")</f>
        <v/>
      </c>
      <c r="Q850">
        <f>IF(AND(N850&lt;&gt;"",N(J850)=5),N850,"")</f>
        <v/>
      </c>
    </row>
    <row r="851">
      <c r="A851" s="1" t="n"/>
      <c r="B851" s="24" t="n"/>
      <c r="C851" s="25" t="n"/>
      <c r="D851" s="25" t="n"/>
      <c r="E851" s="26" t="n"/>
      <c r="F851" s="27" t="n"/>
      <c r="G851" s="26" t="n"/>
      <c r="H851" s="28" t="n"/>
      <c r="I851" s="28" t="n"/>
      <c r="J851" s="27" t="n"/>
      <c r="K851" s="16">
        <f>IF(OR(H851="",I851=""),"",I851-H851+1)</f>
        <v/>
      </c>
      <c r="L851" s="16">
        <f>IF(OR(K851="",N(F851)=0),"",F851/K851)</f>
        <v/>
      </c>
      <c r="M851" s="25" t="n"/>
      <c r="N851" s="1">
        <f>IF(AND(G851="Finished",I851&lt;&gt;""),IF(YEAR(I851)=Dashboard!$C$4,I851+ROW()/10000000,""),"")</f>
        <v/>
      </c>
      <c r="O851">
        <f>IF(B851="","",IFERROR(MATCH(D851,Settings!$B$6:$B$17,0),12))</f>
        <v/>
      </c>
      <c r="P851">
        <f>IF(AND(G851="Reading",B851&lt;&gt;""),IF(H851="",TODAY(),H851)+ROW()/10000000,"")</f>
        <v/>
      </c>
      <c r="Q851">
        <f>IF(AND(N851&lt;&gt;"",N(J851)=5),N851,"")</f>
        <v/>
      </c>
    </row>
    <row r="852">
      <c r="A852" s="1" t="n"/>
      <c r="B852" s="24" t="n"/>
      <c r="C852" s="25" t="n"/>
      <c r="D852" s="25" t="n"/>
      <c r="E852" s="26" t="n"/>
      <c r="F852" s="27" t="n"/>
      <c r="G852" s="26" t="n"/>
      <c r="H852" s="28" t="n"/>
      <c r="I852" s="28" t="n"/>
      <c r="J852" s="27" t="n"/>
      <c r="K852" s="16">
        <f>IF(OR(H852="",I852=""),"",I852-H852+1)</f>
        <v/>
      </c>
      <c r="L852" s="16">
        <f>IF(OR(K852="",N(F852)=0),"",F852/K852)</f>
        <v/>
      </c>
      <c r="M852" s="25" t="n"/>
      <c r="N852" s="1">
        <f>IF(AND(G852="Finished",I852&lt;&gt;""),IF(YEAR(I852)=Dashboard!$C$4,I852+ROW()/10000000,""),"")</f>
        <v/>
      </c>
      <c r="O852">
        <f>IF(B852="","",IFERROR(MATCH(D852,Settings!$B$6:$B$17,0),12))</f>
        <v/>
      </c>
      <c r="P852">
        <f>IF(AND(G852="Reading",B852&lt;&gt;""),IF(H852="",TODAY(),H852)+ROW()/10000000,"")</f>
        <v/>
      </c>
      <c r="Q852">
        <f>IF(AND(N852&lt;&gt;"",N(J852)=5),N852,"")</f>
        <v/>
      </c>
    </row>
    <row r="853">
      <c r="A853" s="1" t="n"/>
      <c r="B853" s="24" t="n"/>
      <c r="C853" s="25" t="n"/>
      <c r="D853" s="25" t="n"/>
      <c r="E853" s="26" t="n"/>
      <c r="F853" s="27" t="n"/>
      <c r="G853" s="26" t="n"/>
      <c r="H853" s="28" t="n"/>
      <c r="I853" s="28" t="n"/>
      <c r="J853" s="27" t="n"/>
      <c r="K853" s="16">
        <f>IF(OR(H853="",I853=""),"",I853-H853+1)</f>
        <v/>
      </c>
      <c r="L853" s="16">
        <f>IF(OR(K853="",N(F853)=0),"",F853/K853)</f>
        <v/>
      </c>
      <c r="M853" s="25" t="n"/>
      <c r="N853" s="1">
        <f>IF(AND(G853="Finished",I853&lt;&gt;""),IF(YEAR(I853)=Dashboard!$C$4,I853+ROW()/10000000,""),"")</f>
        <v/>
      </c>
      <c r="O853">
        <f>IF(B853="","",IFERROR(MATCH(D853,Settings!$B$6:$B$17,0),12))</f>
        <v/>
      </c>
      <c r="P853">
        <f>IF(AND(G853="Reading",B853&lt;&gt;""),IF(H853="",TODAY(),H853)+ROW()/10000000,"")</f>
        <v/>
      </c>
      <c r="Q853">
        <f>IF(AND(N853&lt;&gt;"",N(J853)=5),N853,"")</f>
        <v/>
      </c>
    </row>
    <row r="854">
      <c r="A854" s="1" t="n"/>
      <c r="B854" s="24" t="n"/>
      <c r="C854" s="25" t="n"/>
      <c r="D854" s="25" t="n"/>
      <c r="E854" s="26" t="n"/>
      <c r="F854" s="27" t="n"/>
      <c r="G854" s="26" t="n"/>
      <c r="H854" s="28" t="n"/>
      <c r="I854" s="28" t="n"/>
      <c r="J854" s="27" t="n"/>
      <c r="K854" s="16">
        <f>IF(OR(H854="",I854=""),"",I854-H854+1)</f>
        <v/>
      </c>
      <c r="L854" s="16">
        <f>IF(OR(K854="",N(F854)=0),"",F854/K854)</f>
        <v/>
      </c>
      <c r="M854" s="25" t="n"/>
      <c r="N854" s="1">
        <f>IF(AND(G854="Finished",I854&lt;&gt;""),IF(YEAR(I854)=Dashboard!$C$4,I854+ROW()/10000000,""),"")</f>
        <v/>
      </c>
      <c r="O854">
        <f>IF(B854="","",IFERROR(MATCH(D854,Settings!$B$6:$B$17,0),12))</f>
        <v/>
      </c>
      <c r="P854">
        <f>IF(AND(G854="Reading",B854&lt;&gt;""),IF(H854="",TODAY(),H854)+ROW()/10000000,"")</f>
        <v/>
      </c>
      <c r="Q854">
        <f>IF(AND(N854&lt;&gt;"",N(J854)=5),N854,"")</f>
        <v/>
      </c>
    </row>
    <row r="855">
      <c r="A855" s="1" t="n"/>
      <c r="B855" s="24" t="n"/>
      <c r="C855" s="25" t="n"/>
      <c r="D855" s="25" t="n"/>
      <c r="E855" s="26" t="n"/>
      <c r="F855" s="27" t="n"/>
      <c r="G855" s="26" t="n"/>
      <c r="H855" s="28" t="n"/>
      <c r="I855" s="28" t="n"/>
      <c r="J855" s="27" t="n"/>
      <c r="K855" s="16">
        <f>IF(OR(H855="",I855=""),"",I855-H855+1)</f>
        <v/>
      </c>
      <c r="L855" s="16">
        <f>IF(OR(K855="",N(F855)=0),"",F855/K855)</f>
        <v/>
      </c>
      <c r="M855" s="25" t="n"/>
      <c r="N855" s="1">
        <f>IF(AND(G855="Finished",I855&lt;&gt;""),IF(YEAR(I855)=Dashboard!$C$4,I855+ROW()/10000000,""),"")</f>
        <v/>
      </c>
      <c r="O855">
        <f>IF(B855="","",IFERROR(MATCH(D855,Settings!$B$6:$B$17,0),12))</f>
        <v/>
      </c>
      <c r="P855">
        <f>IF(AND(G855="Reading",B855&lt;&gt;""),IF(H855="",TODAY(),H855)+ROW()/10000000,"")</f>
        <v/>
      </c>
      <c r="Q855">
        <f>IF(AND(N855&lt;&gt;"",N(J855)=5),N855,"")</f>
        <v/>
      </c>
    </row>
    <row r="856">
      <c r="A856" s="1" t="n"/>
      <c r="B856" s="24" t="n"/>
      <c r="C856" s="25" t="n"/>
      <c r="D856" s="25" t="n"/>
      <c r="E856" s="26" t="n"/>
      <c r="F856" s="27" t="n"/>
      <c r="G856" s="26" t="n"/>
      <c r="H856" s="28" t="n"/>
      <c r="I856" s="28" t="n"/>
      <c r="J856" s="27" t="n"/>
      <c r="K856" s="16">
        <f>IF(OR(H856="",I856=""),"",I856-H856+1)</f>
        <v/>
      </c>
      <c r="L856" s="16">
        <f>IF(OR(K856="",N(F856)=0),"",F856/K856)</f>
        <v/>
      </c>
      <c r="M856" s="25" t="n"/>
      <c r="N856" s="1">
        <f>IF(AND(G856="Finished",I856&lt;&gt;""),IF(YEAR(I856)=Dashboard!$C$4,I856+ROW()/10000000,""),"")</f>
        <v/>
      </c>
      <c r="O856">
        <f>IF(B856="","",IFERROR(MATCH(D856,Settings!$B$6:$B$17,0),12))</f>
        <v/>
      </c>
      <c r="P856">
        <f>IF(AND(G856="Reading",B856&lt;&gt;""),IF(H856="",TODAY(),H856)+ROW()/10000000,"")</f>
        <v/>
      </c>
      <c r="Q856">
        <f>IF(AND(N856&lt;&gt;"",N(J856)=5),N856,"")</f>
        <v/>
      </c>
    </row>
    <row r="857">
      <c r="A857" s="1" t="n"/>
      <c r="B857" s="24" t="n"/>
      <c r="C857" s="25" t="n"/>
      <c r="D857" s="25" t="n"/>
      <c r="E857" s="26" t="n"/>
      <c r="F857" s="27" t="n"/>
      <c r="G857" s="26" t="n"/>
      <c r="H857" s="28" t="n"/>
      <c r="I857" s="28" t="n"/>
      <c r="J857" s="27" t="n"/>
      <c r="K857" s="16">
        <f>IF(OR(H857="",I857=""),"",I857-H857+1)</f>
        <v/>
      </c>
      <c r="L857" s="16">
        <f>IF(OR(K857="",N(F857)=0),"",F857/K857)</f>
        <v/>
      </c>
      <c r="M857" s="25" t="n"/>
      <c r="N857" s="1">
        <f>IF(AND(G857="Finished",I857&lt;&gt;""),IF(YEAR(I857)=Dashboard!$C$4,I857+ROW()/10000000,""),"")</f>
        <v/>
      </c>
      <c r="O857">
        <f>IF(B857="","",IFERROR(MATCH(D857,Settings!$B$6:$B$17,0),12))</f>
        <v/>
      </c>
      <c r="P857">
        <f>IF(AND(G857="Reading",B857&lt;&gt;""),IF(H857="",TODAY(),H857)+ROW()/10000000,"")</f>
        <v/>
      </c>
      <c r="Q857">
        <f>IF(AND(N857&lt;&gt;"",N(J857)=5),N857,"")</f>
        <v/>
      </c>
    </row>
    <row r="858">
      <c r="A858" s="1" t="n"/>
      <c r="B858" s="24" t="n"/>
      <c r="C858" s="25" t="n"/>
      <c r="D858" s="25" t="n"/>
      <c r="E858" s="26" t="n"/>
      <c r="F858" s="27" t="n"/>
      <c r="G858" s="26" t="n"/>
      <c r="H858" s="28" t="n"/>
      <c r="I858" s="28" t="n"/>
      <c r="J858" s="27" t="n"/>
      <c r="K858" s="16">
        <f>IF(OR(H858="",I858=""),"",I858-H858+1)</f>
        <v/>
      </c>
      <c r="L858" s="16">
        <f>IF(OR(K858="",N(F858)=0),"",F858/K858)</f>
        <v/>
      </c>
      <c r="M858" s="25" t="n"/>
      <c r="N858" s="1">
        <f>IF(AND(G858="Finished",I858&lt;&gt;""),IF(YEAR(I858)=Dashboard!$C$4,I858+ROW()/10000000,""),"")</f>
        <v/>
      </c>
      <c r="O858">
        <f>IF(B858="","",IFERROR(MATCH(D858,Settings!$B$6:$B$17,0),12))</f>
        <v/>
      </c>
      <c r="P858">
        <f>IF(AND(G858="Reading",B858&lt;&gt;""),IF(H858="",TODAY(),H858)+ROW()/10000000,"")</f>
        <v/>
      </c>
      <c r="Q858">
        <f>IF(AND(N858&lt;&gt;"",N(J858)=5),N858,"")</f>
        <v/>
      </c>
    </row>
    <row r="859">
      <c r="A859" s="1" t="n"/>
      <c r="B859" s="24" t="n"/>
      <c r="C859" s="25" t="n"/>
      <c r="D859" s="25" t="n"/>
      <c r="E859" s="26" t="n"/>
      <c r="F859" s="27" t="n"/>
      <c r="G859" s="26" t="n"/>
      <c r="H859" s="28" t="n"/>
      <c r="I859" s="28" t="n"/>
      <c r="J859" s="27" t="n"/>
      <c r="K859" s="16">
        <f>IF(OR(H859="",I859=""),"",I859-H859+1)</f>
        <v/>
      </c>
      <c r="L859" s="16">
        <f>IF(OR(K859="",N(F859)=0),"",F859/K859)</f>
        <v/>
      </c>
      <c r="M859" s="25" t="n"/>
      <c r="N859" s="1">
        <f>IF(AND(G859="Finished",I859&lt;&gt;""),IF(YEAR(I859)=Dashboard!$C$4,I859+ROW()/10000000,""),"")</f>
        <v/>
      </c>
      <c r="O859">
        <f>IF(B859="","",IFERROR(MATCH(D859,Settings!$B$6:$B$17,0),12))</f>
        <v/>
      </c>
      <c r="P859">
        <f>IF(AND(G859="Reading",B859&lt;&gt;""),IF(H859="",TODAY(),H859)+ROW()/10000000,"")</f>
        <v/>
      </c>
      <c r="Q859">
        <f>IF(AND(N859&lt;&gt;"",N(J859)=5),N859,"")</f>
        <v/>
      </c>
    </row>
    <row r="860">
      <c r="A860" s="1" t="n"/>
      <c r="B860" s="24" t="n"/>
      <c r="C860" s="25" t="n"/>
      <c r="D860" s="25" t="n"/>
      <c r="E860" s="26" t="n"/>
      <c r="F860" s="27" t="n"/>
      <c r="G860" s="26" t="n"/>
      <c r="H860" s="28" t="n"/>
      <c r="I860" s="28" t="n"/>
      <c r="J860" s="27" t="n"/>
      <c r="K860" s="16">
        <f>IF(OR(H860="",I860=""),"",I860-H860+1)</f>
        <v/>
      </c>
      <c r="L860" s="16">
        <f>IF(OR(K860="",N(F860)=0),"",F860/K860)</f>
        <v/>
      </c>
      <c r="M860" s="25" t="n"/>
      <c r="N860" s="1">
        <f>IF(AND(G860="Finished",I860&lt;&gt;""),IF(YEAR(I860)=Dashboard!$C$4,I860+ROW()/10000000,""),"")</f>
        <v/>
      </c>
      <c r="O860">
        <f>IF(B860="","",IFERROR(MATCH(D860,Settings!$B$6:$B$17,0),12))</f>
        <v/>
      </c>
      <c r="P860">
        <f>IF(AND(G860="Reading",B860&lt;&gt;""),IF(H860="",TODAY(),H860)+ROW()/10000000,"")</f>
        <v/>
      </c>
      <c r="Q860">
        <f>IF(AND(N860&lt;&gt;"",N(J860)=5),N860,"")</f>
        <v/>
      </c>
    </row>
    <row r="861">
      <c r="A861" s="1" t="n"/>
      <c r="B861" s="24" t="n"/>
      <c r="C861" s="25" t="n"/>
      <c r="D861" s="25" t="n"/>
      <c r="E861" s="26" t="n"/>
      <c r="F861" s="27" t="n"/>
      <c r="G861" s="26" t="n"/>
      <c r="H861" s="28" t="n"/>
      <c r="I861" s="28" t="n"/>
      <c r="J861" s="27" t="n"/>
      <c r="K861" s="16">
        <f>IF(OR(H861="",I861=""),"",I861-H861+1)</f>
        <v/>
      </c>
      <c r="L861" s="16">
        <f>IF(OR(K861="",N(F861)=0),"",F861/K861)</f>
        <v/>
      </c>
      <c r="M861" s="25" t="n"/>
      <c r="N861" s="1">
        <f>IF(AND(G861="Finished",I861&lt;&gt;""),IF(YEAR(I861)=Dashboard!$C$4,I861+ROW()/10000000,""),"")</f>
        <v/>
      </c>
      <c r="O861">
        <f>IF(B861="","",IFERROR(MATCH(D861,Settings!$B$6:$B$17,0),12))</f>
        <v/>
      </c>
      <c r="P861">
        <f>IF(AND(G861="Reading",B861&lt;&gt;""),IF(H861="",TODAY(),H861)+ROW()/10000000,"")</f>
        <v/>
      </c>
      <c r="Q861">
        <f>IF(AND(N861&lt;&gt;"",N(J861)=5),N861,"")</f>
        <v/>
      </c>
    </row>
    <row r="862">
      <c r="A862" s="1" t="n"/>
      <c r="B862" s="24" t="n"/>
      <c r="C862" s="25" t="n"/>
      <c r="D862" s="25" t="n"/>
      <c r="E862" s="26" t="n"/>
      <c r="F862" s="27" t="n"/>
      <c r="G862" s="26" t="n"/>
      <c r="H862" s="28" t="n"/>
      <c r="I862" s="28" t="n"/>
      <c r="J862" s="27" t="n"/>
      <c r="K862" s="16">
        <f>IF(OR(H862="",I862=""),"",I862-H862+1)</f>
        <v/>
      </c>
      <c r="L862" s="16">
        <f>IF(OR(K862="",N(F862)=0),"",F862/K862)</f>
        <v/>
      </c>
      <c r="M862" s="25" t="n"/>
      <c r="N862" s="1">
        <f>IF(AND(G862="Finished",I862&lt;&gt;""),IF(YEAR(I862)=Dashboard!$C$4,I862+ROW()/10000000,""),"")</f>
        <v/>
      </c>
      <c r="O862">
        <f>IF(B862="","",IFERROR(MATCH(D862,Settings!$B$6:$B$17,0),12))</f>
        <v/>
      </c>
      <c r="P862">
        <f>IF(AND(G862="Reading",B862&lt;&gt;""),IF(H862="",TODAY(),H862)+ROW()/10000000,"")</f>
        <v/>
      </c>
      <c r="Q862">
        <f>IF(AND(N862&lt;&gt;"",N(J862)=5),N862,"")</f>
        <v/>
      </c>
    </row>
    <row r="863">
      <c r="A863" s="1" t="n"/>
      <c r="B863" s="24" t="n"/>
      <c r="C863" s="25" t="n"/>
      <c r="D863" s="25" t="n"/>
      <c r="E863" s="26" t="n"/>
      <c r="F863" s="27" t="n"/>
      <c r="G863" s="26" t="n"/>
      <c r="H863" s="28" t="n"/>
      <c r="I863" s="28" t="n"/>
      <c r="J863" s="27" t="n"/>
      <c r="K863" s="16">
        <f>IF(OR(H863="",I863=""),"",I863-H863+1)</f>
        <v/>
      </c>
      <c r="L863" s="16">
        <f>IF(OR(K863="",N(F863)=0),"",F863/K863)</f>
        <v/>
      </c>
      <c r="M863" s="25" t="n"/>
      <c r="N863" s="1">
        <f>IF(AND(G863="Finished",I863&lt;&gt;""),IF(YEAR(I863)=Dashboard!$C$4,I863+ROW()/10000000,""),"")</f>
        <v/>
      </c>
      <c r="O863">
        <f>IF(B863="","",IFERROR(MATCH(D863,Settings!$B$6:$B$17,0),12))</f>
        <v/>
      </c>
      <c r="P863">
        <f>IF(AND(G863="Reading",B863&lt;&gt;""),IF(H863="",TODAY(),H863)+ROW()/10000000,"")</f>
        <v/>
      </c>
      <c r="Q863">
        <f>IF(AND(N863&lt;&gt;"",N(J863)=5),N863,"")</f>
        <v/>
      </c>
    </row>
    <row r="864">
      <c r="A864" s="1" t="n"/>
      <c r="B864" s="24" t="n"/>
      <c r="C864" s="25" t="n"/>
      <c r="D864" s="25" t="n"/>
      <c r="E864" s="26" t="n"/>
      <c r="F864" s="27" t="n"/>
      <c r="G864" s="26" t="n"/>
      <c r="H864" s="28" t="n"/>
      <c r="I864" s="28" t="n"/>
      <c r="J864" s="27" t="n"/>
      <c r="K864" s="16">
        <f>IF(OR(H864="",I864=""),"",I864-H864+1)</f>
        <v/>
      </c>
      <c r="L864" s="16">
        <f>IF(OR(K864="",N(F864)=0),"",F864/K864)</f>
        <v/>
      </c>
      <c r="M864" s="25" t="n"/>
      <c r="N864" s="1">
        <f>IF(AND(G864="Finished",I864&lt;&gt;""),IF(YEAR(I864)=Dashboard!$C$4,I864+ROW()/10000000,""),"")</f>
        <v/>
      </c>
      <c r="O864">
        <f>IF(B864="","",IFERROR(MATCH(D864,Settings!$B$6:$B$17,0),12))</f>
        <v/>
      </c>
      <c r="P864">
        <f>IF(AND(G864="Reading",B864&lt;&gt;""),IF(H864="",TODAY(),H864)+ROW()/10000000,"")</f>
        <v/>
      </c>
      <c r="Q864">
        <f>IF(AND(N864&lt;&gt;"",N(J864)=5),N864,"")</f>
        <v/>
      </c>
    </row>
    <row r="865">
      <c r="A865" s="1" t="n"/>
      <c r="B865" s="24" t="n"/>
      <c r="C865" s="25" t="n"/>
      <c r="D865" s="25" t="n"/>
      <c r="E865" s="26" t="n"/>
      <c r="F865" s="27" t="n"/>
      <c r="G865" s="26" t="n"/>
      <c r="H865" s="28" t="n"/>
      <c r="I865" s="28" t="n"/>
      <c r="J865" s="27" t="n"/>
      <c r="K865" s="16">
        <f>IF(OR(H865="",I865=""),"",I865-H865+1)</f>
        <v/>
      </c>
      <c r="L865" s="16">
        <f>IF(OR(K865="",N(F865)=0),"",F865/K865)</f>
        <v/>
      </c>
      <c r="M865" s="25" t="n"/>
      <c r="N865" s="1">
        <f>IF(AND(G865="Finished",I865&lt;&gt;""),IF(YEAR(I865)=Dashboard!$C$4,I865+ROW()/10000000,""),"")</f>
        <v/>
      </c>
      <c r="O865">
        <f>IF(B865="","",IFERROR(MATCH(D865,Settings!$B$6:$B$17,0),12))</f>
        <v/>
      </c>
      <c r="P865">
        <f>IF(AND(G865="Reading",B865&lt;&gt;""),IF(H865="",TODAY(),H865)+ROW()/10000000,"")</f>
        <v/>
      </c>
      <c r="Q865">
        <f>IF(AND(N865&lt;&gt;"",N(J865)=5),N865,"")</f>
        <v/>
      </c>
    </row>
    <row r="866">
      <c r="A866" s="1" t="n"/>
      <c r="B866" s="24" t="n"/>
      <c r="C866" s="25" t="n"/>
      <c r="D866" s="25" t="n"/>
      <c r="E866" s="26" t="n"/>
      <c r="F866" s="27" t="n"/>
      <c r="G866" s="26" t="n"/>
      <c r="H866" s="28" t="n"/>
      <c r="I866" s="28" t="n"/>
      <c r="J866" s="27" t="n"/>
      <c r="K866" s="16">
        <f>IF(OR(H866="",I866=""),"",I866-H866+1)</f>
        <v/>
      </c>
      <c r="L866" s="16">
        <f>IF(OR(K866="",N(F866)=0),"",F866/K866)</f>
        <v/>
      </c>
      <c r="M866" s="25" t="n"/>
      <c r="N866" s="1">
        <f>IF(AND(G866="Finished",I866&lt;&gt;""),IF(YEAR(I866)=Dashboard!$C$4,I866+ROW()/10000000,""),"")</f>
        <v/>
      </c>
      <c r="O866">
        <f>IF(B866="","",IFERROR(MATCH(D866,Settings!$B$6:$B$17,0),12))</f>
        <v/>
      </c>
      <c r="P866">
        <f>IF(AND(G866="Reading",B866&lt;&gt;""),IF(H866="",TODAY(),H866)+ROW()/10000000,"")</f>
        <v/>
      </c>
      <c r="Q866">
        <f>IF(AND(N866&lt;&gt;"",N(J866)=5),N866,"")</f>
        <v/>
      </c>
    </row>
    <row r="867">
      <c r="A867" s="1" t="n"/>
      <c r="B867" s="24" t="n"/>
      <c r="C867" s="25" t="n"/>
      <c r="D867" s="25" t="n"/>
      <c r="E867" s="26" t="n"/>
      <c r="F867" s="27" t="n"/>
      <c r="G867" s="26" t="n"/>
      <c r="H867" s="28" t="n"/>
      <c r="I867" s="28" t="n"/>
      <c r="J867" s="27" t="n"/>
      <c r="K867" s="16">
        <f>IF(OR(H867="",I867=""),"",I867-H867+1)</f>
        <v/>
      </c>
      <c r="L867" s="16">
        <f>IF(OR(K867="",N(F867)=0),"",F867/K867)</f>
        <v/>
      </c>
      <c r="M867" s="25" t="n"/>
      <c r="N867" s="1">
        <f>IF(AND(G867="Finished",I867&lt;&gt;""),IF(YEAR(I867)=Dashboard!$C$4,I867+ROW()/10000000,""),"")</f>
        <v/>
      </c>
      <c r="O867">
        <f>IF(B867="","",IFERROR(MATCH(D867,Settings!$B$6:$B$17,0),12))</f>
        <v/>
      </c>
      <c r="P867">
        <f>IF(AND(G867="Reading",B867&lt;&gt;""),IF(H867="",TODAY(),H867)+ROW()/10000000,"")</f>
        <v/>
      </c>
      <c r="Q867">
        <f>IF(AND(N867&lt;&gt;"",N(J867)=5),N867,"")</f>
        <v/>
      </c>
    </row>
    <row r="868">
      <c r="A868" s="1" t="n"/>
      <c r="B868" s="24" t="n"/>
      <c r="C868" s="25" t="n"/>
      <c r="D868" s="25" t="n"/>
      <c r="E868" s="26" t="n"/>
      <c r="F868" s="27" t="n"/>
      <c r="G868" s="26" t="n"/>
      <c r="H868" s="28" t="n"/>
      <c r="I868" s="28" t="n"/>
      <c r="J868" s="27" t="n"/>
      <c r="K868" s="16">
        <f>IF(OR(H868="",I868=""),"",I868-H868+1)</f>
        <v/>
      </c>
      <c r="L868" s="16">
        <f>IF(OR(K868="",N(F868)=0),"",F868/K868)</f>
        <v/>
      </c>
      <c r="M868" s="25" t="n"/>
      <c r="N868" s="1">
        <f>IF(AND(G868="Finished",I868&lt;&gt;""),IF(YEAR(I868)=Dashboard!$C$4,I868+ROW()/10000000,""),"")</f>
        <v/>
      </c>
      <c r="O868">
        <f>IF(B868="","",IFERROR(MATCH(D868,Settings!$B$6:$B$17,0),12))</f>
        <v/>
      </c>
      <c r="P868">
        <f>IF(AND(G868="Reading",B868&lt;&gt;""),IF(H868="",TODAY(),H868)+ROW()/10000000,"")</f>
        <v/>
      </c>
      <c r="Q868">
        <f>IF(AND(N868&lt;&gt;"",N(J868)=5),N868,"")</f>
        <v/>
      </c>
    </row>
    <row r="869">
      <c r="A869" s="1" t="n"/>
      <c r="B869" s="24" t="n"/>
      <c r="C869" s="25" t="n"/>
      <c r="D869" s="25" t="n"/>
      <c r="E869" s="26" t="n"/>
      <c r="F869" s="27" t="n"/>
      <c r="G869" s="26" t="n"/>
      <c r="H869" s="28" t="n"/>
      <c r="I869" s="28" t="n"/>
      <c r="J869" s="27" t="n"/>
      <c r="K869" s="16">
        <f>IF(OR(H869="",I869=""),"",I869-H869+1)</f>
        <v/>
      </c>
      <c r="L869" s="16">
        <f>IF(OR(K869="",N(F869)=0),"",F869/K869)</f>
        <v/>
      </c>
      <c r="M869" s="25" t="n"/>
      <c r="N869" s="1">
        <f>IF(AND(G869="Finished",I869&lt;&gt;""),IF(YEAR(I869)=Dashboard!$C$4,I869+ROW()/10000000,""),"")</f>
        <v/>
      </c>
      <c r="O869">
        <f>IF(B869="","",IFERROR(MATCH(D869,Settings!$B$6:$B$17,0),12))</f>
        <v/>
      </c>
      <c r="P869">
        <f>IF(AND(G869="Reading",B869&lt;&gt;""),IF(H869="",TODAY(),H869)+ROW()/10000000,"")</f>
        <v/>
      </c>
      <c r="Q869">
        <f>IF(AND(N869&lt;&gt;"",N(J869)=5),N869,"")</f>
        <v/>
      </c>
    </row>
    <row r="870">
      <c r="A870" s="1" t="n"/>
      <c r="B870" s="24" t="n"/>
      <c r="C870" s="25" t="n"/>
      <c r="D870" s="25" t="n"/>
      <c r="E870" s="26" t="n"/>
      <c r="F870" s="27" t="n"/>
      <c r="G870" s="26" t="n"/>
      <c r="H870" s="28" t="n"/>
      <c r="I870" s="28" t="n"/>
      <c r="J870" s="27" t="n"/>
      <c r="K870" s="16">
        <f>IF(OR(H870="",I870=""),"",I870-H870+1)</f>
        <v/>
      </c>
      <c r="L870" s="16">
        <f>IF(OR(K870="",N(F870)=0),"",F870/K870)</f>
        <v/>
      </c>
      <c r="M870" s="25" t="n"/>
      <c r="N870" s="1">
        <f>IF(AND(G870="Finished",I870&lt;&gt;""),IF(YEAR(I870)=Dashboard!$C$4,I870+ROW()/10000000,""),"")</f>
        <v/>
      </c>
      <c r="O870">
        <f>IF(B870="","",IFERROR(MATCH(D870,Settings!$B$6:$B$17,0),12))</f>
        <v/>
      </c>
      <c r="P870">
        <f>IF(AND(G870="Reading",B870&lt;&gt;""),IF(H870="",TODAY(),H870)+ROW()/10000000,"")</f>
        <v/>
      </c>
      <c r="Q870">
        <f>IF(AND(N870&lt;&gt;"",N(J870)=5),N870,"")</f>
        <v/>
      </c>
    </row>
    <row r="871">
      <c r="A871" s="1" t="n"/>
      <c r="B871" s="24" t="n"/>
      <c r="C871" s="25" t="n"/>
      <c r="D871" s="25" t="n"/>
      <c r="E871" s="26" t="n"/>
      <c r="F871" s="27" t="n"/>
      <c r="G871" s="26" t="n"/>
      <c r="H871" s="28" t="n"/>
      <c r="I871" s="28" t="n"/>
      <c r="J871" s="27" t="n"/>
      <c r="K871" s="16">
        <f>IF(OR(H871="",I871=""),"",I871-H871+1)</f>
        <v/>
      </c>
      <c r="L871" s="16">
        <f>IF(OR(K871="",N(F871)=0),"",F871/K871)</f>
        <v/>
      </c>
      <c r="M871" s="25" t="n"/>
      <c r="N871" s="1">
        <f>IF(AND(G871="Finished",I871&lt;&gt;""),IF(YEAR(I871)=Dashboard!$C$4,I871+ROW()/10000000,""),"")</f>
        <v/>
      </c>
      <c r="O871">
        <f>IF(B871="","",IFERROR(MATCH(D871,Settings!$B$6:$B$17,0),12))</f>
        <v/>
      </c>
      <c r="P871">
        <f>IF(AND(G871="Reading",B871&lt;&gt;""),IF(H871="",TODAY(),H871)+ROW()/10000000,"")</f>
        <v/>
      </c>
      <c r="Q871">
        <f>IF(AND(N871&lt;&gt;"",N(J871)=5),N871,"")</f>
        <v/>
      </c>
    </row>
    <row r="872">
      <c r="A872" s="1" t="n"/>
      <c r="B872" s="24" t="n"/>
      <c r="C872" s="25" t="n"/>
      <c r="D872" s="25" t="n"/>
      <c r="E872" s="26" t="n"/>
      <c r="F872" s="27" t="n"/>
      <c r="G872" s="26" t="n"/>
      <c r="H872" s="28" t="n"/>
      <c r="I872" s="28" t="n"/>
      <c r="J872" s="27" t="n"/>
      <c r="K872" s="16">
        <f>IF(OR(H872="",I872=""),"",I872-H872+1)</f>
        <v/>
      </c>
      <c r="L872" s="16">
        <f>IF(OR(K872="",N(F872)=0),"",F872/K872)</f>
        <v/>
      </c>
      <c r="M872" s="25" t="n"/>
      <c r="N872" s="1">
        <f>IF(AND(G872="Finished",I872&lt;&gt;""),IF(YEAR(I872)=Dashboard!$C$4,I872+ROW()/10000000,""),"")</f>
        <v/>
      </c>
      <c r="O872">
        <f>IF(B872="","",IFERROR(MATCH(D872,Settings!$B$6:$B$17,0),12))</f>
        <v/>
      </c>
      <c r="P872">
        <f>IF(AND(G872="Reading",B872&lt;&gt;""),IF(H872="",TODAY(),H872)+ROW()/10000000,"")</f>
        <v/>
      </c>
      <c r="Q872">
        <f>IF(AND(N872&lt;&gt;"",N(J872)=5),N872,"")</f>
        <v/>
      </c>
    </row>
    <row r="873">
      <c r="A873" s="1" t="n"/>
      <c r="B873" s="24" t="n"/>
      <c r="C873" s="25" t="n"/>
      <c r="D873" s="25" t="n"/>
      <c r="E873" s="26" t="n"/>
      <c r="F873" s="27" t="n"/>
      <c r="G873" s="26" t="n"/>
      <c r="H873" s="28" t="n"/>
      <c r="I873" s="28" t="n"/>
      <c r="J873" s="27" t="n"/>
      <c r="K873" s="16">
        <f>IF(OR(H873="",I873=""),"",I873-H873+1)</f>
        <v/>
      </c>
      <c r="L873" s="16">
        <f>IF(OR(K873="",N(F873)=0),"",F873/K873)</f>
        <v/>
      </c>
      <c r="M873" s="25" t="n"/>
      <c r="N873" s="1">
        <f>IF(AND(G873="Finished",I873&lt;&gt;""),IF(YEAR(I873)=Dashboard!$C$4,I873+ROW()/10000000,""),"")</f>
        <v/>
      </c>
      <c r="O873">
        <f>IF(B873="","",IFERROR(MATCH(D873,Settings!$B$6:$B$17,0),12))</f>
        <v/>
      </c>
      <c r="P873">
        <f>IF(AND(G873="Reading",B873&lt;&gt;""),IF(H873="",TODAY(),H873)+ROW()/10000000,"")</f>
        <v/>
      </c>
      <c r="Q873">
        <f>IF(AND(N873&lt;&gt;"",N(J873)=5),N873,"")</f>
        <v/>
      </c>
    </row>
    <row r="874">
      <c r="A874" s="1" t="n"/>
      <c r="B874" s="24" t="n"/>
      <c r="C874" s="25" t="n"/>
      <c r="D874" s="25" t="n"/>
      <c r="E874" s="26" t="n"/>
      <c r="F874" s="27" t="n"/>
      <c r="G874" s="26" t="n"/>
      <c r="H874" s="28" t="n"/>
      <c r="I874" s="28" t="n"/>
      <c r="J874" s="27" t="n"/>
      <c r="K874" s="16">
        <f>IF(OR(H874="",I874=""),"",I874-H874+1)</f>
        <v/>
      </c>
      <c r="L874" s="16">
        <f>IF(OR(K874="",N(F874)=0),"",F874/K874)</f>
        <v/>
      </c>
      <c r="M874" s="25" t="n"/>
      <c r="N874" s="1">
        <f>IF(AND(G874="Finished",I874&lt;&gt;""),IF(YEAR(I874)=Dashboard!$C$4,I874+ROW()/10000000,""),"")</f>
        <v/>
      </c>
      <c r="O874">
        <f>IF(B874="","",IFERROR(MATCH(D874,Settings!$B$6:$B$17,0),12))</f>
        <v/>
      </c>
      <c r="P874">
        <f>IF(AND(G874="Reading",B874&lt;&gt;""),IF(H874="",TODAY(),H874)+ROW()/10000000,"")</f>
        <v/>
      </c>
      <c r="Q874">
        <f>IF(AND(N874&lt;&gt;"",N(J874)=5),N874,"")</f>
        <v/>
      </c>
    </row>
    <row r="875">
      <c r="A875" s="1" t="n"/>
      <c r="B875" s="24" t="n"/>
      <c r="C875" s="25" t="n"/>
      <c r="D875" s="25" t="n"/>
      <c r="E875" s="26" t="n"/>
      <c r="F875" s="27" t="n"/>
      <c r="G875" s="26" t="n"/>
      <c r="H875" s="28" t="n"/>
      <c r="I875" s="28" t="n"/>
      <c r="J875" s="27" t="n"/>
      <c r="K875" s="16">
        <f>IF(OR(H875="",I875=""),"",I875-H875+1)</f>
        <v/>
      </c>
      <c r="L875" s="16">
        <f>IF(OR(K875="",N(F875)=0),"",F875/K875)</f>
        <v/>
      </c>
      <c r="M875" s="25" t="n"/>
      <c r="N875" s="1">
        <f>IF(AND(G875="Finished",I875&lt;&gt;""),IF(YEAR(I875)=Dashboard!$C$4,I875+ROW()/10000000,""),"")</f>
        <v/>
      </c>
      <c r="O875">
        <f>IF(B875="","",IFERROR(MATCH(D875,Settings!$B$6:$B$17,0),12))</f>
        <v/>
      </c>
      <c r="P875">
        <f>IF(AND(G875="Reading",B875&lt;&gt;""),IF(H875="",TODAY(),H875)+ROW()/10000000,"")</f>
        <v/>
      </c>
      <c r="Q875">
        <f>IF(AND(N875&lt;&gt;"",N(J875)=5),N875,"")</f>
        <v/>
      </c>
    </row>
    <row r="876">
      <c r="A876" s="1" t="n"/>
      <c r="B876" s="24" t="n"/>
      <c r="C876" s="25" t="n"/>
      <c r="D876" s="25" t="n"/>
      <c r="E876" s="26" t="n"/>
      <c r="F876" s="27" t="n"/>
      <c r="G876" s="26" t="n"/>
      <c r="H876" s="28" t="n"/>
      <c r="I876" s="28" t="n"/>
      <c r="J876" s="27" t="n"/>
      <c r="K876" s="16">
        <f>IF(OR(H876="",I876=""),"",I876-H876+1)</f>
        <v/>
      </c>
      <c r="L876" s="16">
        <f>IF(OR(K876="",N(F876)=0),"",F876/K876)</f>
        <v/>
      </c>
      <c r="M876" s="25" t="n"/>
      <c r="N876" s="1">
        <f>IF(AND(G876="Finished",I876&lt;&gt;""),IF(YEAR(I876)=Dashboard!$C$4,I876+ROW()/10000000,""),"")</f>
        <v/>
      </c>
      <c r="O876">
        <f>IF(B876="","",IFERROR(MATCH(D876,Settings!$B$6:$B$17,0),12))</f>
        <v/>
      </c>
      <c r="P876">
        <f>IF(AND(G876="Reading",B876&lt;&gt;""),IF(H876="",TODAY(),H876)+ROW()/10000000,"")</f>
        <v/>
      </c>
      <c r="Q876">
        <f>IF(AND(N876&lt;&gt;"",N(J876)=5),N876,"")</f>
        <v/>
      </c>
    </row>
    <row r="877">
      <c r="A877" s="1" t="n"/>
      <c r="B877" s="24" t="n"/>
      <c r="C877" s="25" t="n"/>
      <c r="D877" s="25" t="n"/>
      <c r="E877" s="26" t="n"/>
      <c r="F877" s="27" t="n"/>
      <c r="G877" s="26" t="n"/>
      <c r="H877" s="28" t="n"/>
      <c r="I877" s="28" t="n"/>
      <c r="J877" s="27" t="n"/>
      <c r="K877" s="16">
        <f>IF(OR(H877="",I877=""),"",I877-H877+1)</f>
        <v/>
      </c>
      <c r="L877" s="16">
        <f>IF(OR(K877="",N(F877)=0),"",F877/K877)</f>
        <v/>
      </c>
      <c r="M877" s="25" t="n"/>
      <c r="N877" s="1">
        <f>IF(AND(G877="Finished",I877&lt;&gt;""),IF(YEAR(I877)=Dashboard!$C$4,I877+ROW()/10000000,""),"")</f>
        <v/>
      </c>
      <c r="O877">
        <f>IF(B877="","",IFERROR(MATCH(D877,Settings!$B$6:$B$17,0),12))</f>
        <v/>
      </c>
      <c r="P877">
        <f>IF(AND(G877="Reading",B877&lt;&gt;""),IF(H877="",TODAY(),H877)+ROW()/10000000,"")</f>
        <v/>
      </c>
      <c r="Q877">
        <f>IF(AND(N877&lt;&gt;"",N(J877)=5),N877,"")</f>
        <v/>
      </c>
    </row>
    <row r="878">
      <c r="A878" s="1" t="n"/>
      <c r="B878" s="24" t="n"/>
      <c r="C878" s="25" t="n"/>
      <c r="D878" s="25" t="n"/>
      <c r="E878" s="26" t="n"/>
      <c r="F878" s="27" t="n"/>
      <c r="G878" s="26" t="n"/>
      <c r="H878" s="28" t="n"/>
      <c r="I878" s="28" t="n"/>
      <c r="J878" s="27" t="n"/>
      <c r="K878" s="16">
        <f>IF(OR(H878="",I878=""),"",I878-H878+1)</f>
        <v/>
      </c>
      <c r="L878" s="16">
        <f>IF(OR(K878="",N(F878)=0),"",F878/K878)</f>
        <v/>
      </c>
      <c r="M878" s="25" t="n"/>
      <c r="N878" s="1">
        <f>IF(AND(G878="Finished",I878&lt;&gt;""),IF(YEAR(I878)=Dashboard!$C$4,I878+ROW()/10000000,""),"")</f>
        <v/>
      </c>
      <c r="O878">
        <f>IF(B878="","",IFERROR(MATCH(D878,Settings!$B$6:$B$17,0),12))</f>
        <v/>
      </c>
      <c r="P878">
        <f>IF(AND(G878="Reading",B878&lt;&gt;""),IF(H878="",TODAY(),H878)+ROW()/10000000,"")</f>
        <v/>
      </c>
      <c r="Q878">
        <f>IF(AND(N878&lt;&gt;"",N(J878)=5),N878,"")</f>
        <v/>
      </c>
    </row>
    <row r="879">
      <c r="A879" s="1" t="n"/>
      <c r="B879" s="24" t="n"/>
      <c r="C879" s="25" t="n"/>
      <c r="D879" s="25" t="n"/>
      <c r="E879" s="26" t="n"/>
      <c r="F879" s="27" t="n"/>
      <c r="G879" s="26" t="n"/>
      <c r="H879" s="28" t="n"/>
      <c r="I879" s="28" t="n"/>
      <c r="J879" s="27" t="n"/>
      <c r="K879" s="16">
        <f>IF(OR(H879="",I879=""),"",I879-H879+1)</f>
        <v/>
      </c>
      <c r="L879" s="16">
        <f>IF(OR(K879="",N(F879)=0),"",F879/K879)</f>
        <v/>
      </c>
      <c r="M879" s="25" t="n"/>
      <c r="N879" s="1">
        <f>IF(AND(G879="Finished",I879&lt;&gt;""),IF(YEAR(I879)=Dashboard!$C$4,I879+ROW()/10000000,""),"")</f>
        <v/>
      </c>
      <c r="O879">
        <f>IF(B879="","",IFERROR(MATCH(D879,Settings!$B$6:$B$17,0),12))</f>
        <v/>
      </c>
      <c r="P879">
        <f>IF(AND(G879="Reading",B879&lt;&gt;""),IF(H879="",TODAY(),H879)+ROW()/10000000,"")</f>
        <v/>
      </c>
      <c r="Q879">
        <f>IF(AND(N879&lt;&gt;"",N(J879)=5),N879,"")</f>
        <v/>
      </c>
    </row>
    <row r="880">
      <c r="A880" s="1" t="n"/>
      <c r="B880" s="24" t="n"/>
      <c r="C880" s="25" t="n"/>
      <c r="D880" s="25" t="n"/>
      <c r="E880" s="26" t="n"/>
      <c r="F880" s="27" t="n"/>
      <c r="G880" s="26" t="n"/>
      <c r="H880" s="28" t="n"/>
      <c r="I880" s="28" t="n"/>
      <c r="J880" s="27" t="n"/>
      <c r="K880" s="16">
        <f>IF(OR(H880="",I880=""),"",I880-H880+1)</f>
        <v/>
      </c>
      <c r="L880" s="16">
        <f>IF(OR(K880="",N(F880)=0),"",F880/K880)</f>
        <v/>
      </c>
      <c r="M880" s="25" t="n"/>
      <c r="N880" s="1">
        <f>IF(AND(G880="Finished",I880&lt;&gt;""),IF(YEAR(I880)=Dashboard!$C$4,I880+ROW()/10000000,""),"")</f>
        <v/>
      </c>
      <c r="O880">
        <f>IF(B880="","",IFERROR(MATCH(D880,Settings!$B$6:$B$17,0),12))</f>
        <v/>
      </c>
      <c r="P880">
        <f>IF(AND(G880="Reading",B880&lt;&gt;""),IF(H880="",TODAY(),H880)+ROW()/10000000,"")</f>
        <v/>
      </c>
      <c r="Q880">
        <f>IF(AND(N880&lt;&gt;"",N(J880)=5),N880,"")</f>
        <v/>
      </c>
    </row>
    <row r="881">
      <c r="A881" s="1" t="n"/>
      <c r="B881" s="24" t="n"/>
      <c r="C881" s="25" t="n"/>
      <c r="D881" s="25" t="n"/>
      <c r="E881" s="26" t="n"/>
      <c r="F881" s="27" t="n"/>
      <c r="G881" s="26" t="n"/>
      <c r="H881" s="28" t="n"/>
      <c r="I881" s="28" t="n"/>
      <c r="J881" s="27" t="n"/>
      <c r="K881" s="16">
        <f>IF(OR(H881="",I881=""),"",I881-H881+1)</f>
        <v/>
      </c>
      <c r="L881" s="16">
        <f>IF(OR(K881="",N(F881)=0),"",F881/K881)</f>
        <v/>
      </c>
      <c r="M881" s="25" t="n"/>
      <c r="N881" s="1">
        <f>IF(AND(G881="Finished",I881&lt;&gt;""),IF(YEAR(I881)=Dashboard!$C$4,I881+ROW()/10000000,""),"")</f>
        <v/>
      </c>
      <c r="O881">
        <f>IF(B881="","",IFERROR(MATCH(D881,Settings!$B$6:$B$17,0),12))</f>
        <v/>
      </c>
      <c r="P881">
        <f>IF(AND(G881="Reading",B881&lt;&gt;""),IF(H881="",TODAY(),H881)+ROW()/10000000,"")</f>
        <v/>
      </c>
      <c r="Q881">
        <f>IF(AND(N881&lt;&gt;"",N(J881)=5),N881,"")</f>
        <v/>
      </c>
    </row>
    <row r="882">
      <c r="A882" s="1" t="n"/>
      <c r="B882" s="24" t="n"/>
      <c r="C882" s="25" t="n"/>
      <c r="D882" s="25" t="n"/>
      <c r="E882" s="26" t="n"/>
      <c r="F882" s="27" t="n"/>
      <c r="G882" s="26" t="n"/>
      <c r="H882" s="28" t="n"/>
      <c r="I882" s="28" t="n"/>
      <c r="J882" s="27" t="n"/>
      <c r="K882" s="16">
        <f>IF(OR(H882="",I882=""),"",I882-H882+1)</f>
        <v/>
      </c>
      <c r="L882" s="16">
        <f>IF(OR(K882="",N(F882)=0),"",F882/K882)</f>
        <v/>
      </c>
      <c r="M882" s="25" t="n"/>
      <c r="N882" s="1">
        <f>IF(AND(G882="Finished",I882&lt;&gt;""),IF(YEAR(I882)=Dashboard!$C$4,I882+ROW()/10000000,""),"")</f>
        <v/>
      </c>
      <c r="O882">
        <f>IF(B882="","",IFERROR(MATCH(D882,Settings!$B$6:$B$17,0),12))</f>
        <v/>
      </c>
      <c r="P882">
        <f>IF(AND(G882="Reading",B882&lt;&gt;""),IF(H882="",TODAY(),H882)+ROW()/10000000,"")</f>
        <v/>
      </c>
      <c r="Q882">
        <f>IF(AND(N882&lt;&gt;"",N(J882)=5),N882,"")</f>
        <v/>
      </c>
    </row>
    <row r="883">
      <c r="A883" s="1" t="n"/>
      <c r="B883" s="24" t="n"/>
      <c r="C883" s="25" t="n"/>
      <c r="D883" s="25" t="n"/>
      <c r="E883" s="26" t="n"/>
      <c r="F883" s="27" t="n"/>
      <c r="G883" s="26" t="n"/>
      <c r="H883" s="28" t="n"/>
      <c r="I883" s="28" t="n"/>
      <c r="J883" s="27" t="n"/>
      <c r="K883" s="16">
        <f>IF(OR(H883="",I883=""),"",I883-H883+1)</f>
        <v/>
      </c>
      <c r="L883" s="16">
        <f>IF(OR(K883="",N(F883)=0),"",F883/K883)</f>
        <v/>
      </c>
      <c r="M883" s="25" t="n"/>
      <c r="N883" s="1">
        <f>IF(AND(G883="Finished",I883&lt;&gt;""),IF(YEAR(I883)=Dashboard!$C$4,I883+ROW()/10000000,""),"")</f>
        <v/>
      </c>
      <c r="O883">
        <f>IF(B883="","",IFERROR(MATCH(D883,Settings!$B$6:$B$17,0),12))</f>
        <v/>
      </c>
      <c r="P883">
        <f>IF(AND(G883="Reading",B883&lt;&gt;""),IF(H883="",TODAY(),H883)+ROW()/10000000,"")</f>
        <v/>
      </c>
      <c r="Q883">
        <f>IF(AND(N883&lt;&gt;"",N(J883)=5),N883,"")</f>
        <v/>
      </c>
    </row>
    <row r="884">
      <c r="A884" s="1" t="n"/>
      <c r="B884" s="24" t="n"/>
      <c r="C884" s="25" t="n"/>
      <c r="D884" s="25" t="n"/>
      <c r="E884" s="26" t="n"/>
      <c r="F884" s="27" t="n"/>
      <c r="G884" s="26" t="n"/>
      <c r="H884" s="28" t="n"/>
      <c r="I884" s="28" t="n"/>
      <c r="J884" s="27" t="n"/>
      <c r="K884" s="16">
        <f>IF(OR(H884="",I884=""),"",I884-H884+1)</f>
        <v/>
      </c>
      <c r="L884" s="16">
        <f>IF(OR(K884="",N(F884)=0),"",F884/K884)</f>
        <v/>
      </c>
      <c r="M884" s="25" t="n"/>
      <c r="N884" s="1">
        <f>IF(AND(G884="Finished",I884&lt;&gt;""),IF(YEAR(I884)=Dashboard!$C$4,I884+ROW()/10000000,""),"")</f>
        <v/>
      </c>
      <c r="O884">
        <f>IF(B884="","",IFERROR(MATCH(D884,Settings!$B$6:$B$17,0),12))</f>
        <v/>
      </c>
      <c r="P884">
        <f>IF(AND(G884="Reading",B884&lt;&gt;""),IF(H884="",TODAY(),H884)+ROW()/10000000,"")</f>
        <v/>
      </c>
      <c r="Q884">
        <f>IF(AND(N884&lt;&gt;"",N(J884)=5),N884,"")</f>
        <v/>
      </c>
    </row>
    <row r="885">
      <c r="A885" s="1" t="n"/>
      <c r="B885" s="24" t="n"/>
      <c r="C885" s="25" t="n"/>
      <c r="D885" s="25" t="n"/>
      <c r="E885" s="26" t="n"/>
      <c r="F885" s="27" t="n"/>
      <c r="G885" s="26" t="n"/>
      <c r="H885" s="28" t="n"/>
      <c r="I885" s="28" t="n"/>
      <c r="J885" s="27" t="n"/>
      <c r="K885" s="16">
        <f>IF(OR(H885="",I885=""),"",I885-H885+1)</f>
        <v/>
      </c>
      <c r="L885" s="16">
        <f>IF(OR(K885="",N(F885)=0),"",F885/K885)</f>
        <v/>
      </c>
      <c r="M885" s="25" t="n"/>
      <c r="N885" s="1">
        <f>IF(AND(G885="Finished",I885&lt;&gt;""),IF(YEAR(I885)=Dashboard!$C$4,I885+ROW()/10000000,""),"")</f>
        <v/>
      </c>
      <c r="O885">
        <f>IF(B885="","",IFERROR(MATCH(D885,Settings!$B$6:$B$17,0),12))</f>
        <v/>
      </c>
      <c r="P885">
        <f>IF(AND(G885="Reading",B885&lt;&gt;""),IF(H885="",TODAY(),H885)+ROW()/10000000,"")</f>
        <v/>
      </c>
      <c r="Q885">
        <f>IF(AND(N885&lt;&gt;"",N(J885)=5),N885,"")</f>
        <v/>
      </c>
    </row>
    <row r="886">
      <c r="A886" s="1" t="n"/>
      <c r="B886" s="24" t="n"/>
      <c r="C886" s="25" t="n"/>
      <c r="D886" s="25" t="n"/>
      <c r="E886" s="26" t="n"/>
      <c r="F886" s="27" t="n"/>
      <c r="G886" s="26" t="n"/>
      <c r="H886" s="28" t="n"/>
      <c r="I886" s="28" t="n"/>
      <c r="J886" s="27" t="n"/>
      <c r="K886" s="16">
        <f>IF(OR(H886="",I886=""),"",I886-H886+1)</f>
        <v/>
      </c>
      <c r="L886" s="16">
        <f>IF(OR(K886="",N(F886)=0),"",F886/K886)</f>
        <v/>
      </c>
      <c r="M886" s="25" t="n"/>
      <c r="N886" s="1">
        <f>IF(AND(G886="Finished",I886&lt;&gt;""),IF(YEAR(I886)=Dashboard!$C$4,I886+ROW()/10000000,""),"")</f>
        <v/>
      </c>
      <c r="O886">
        <f>IF(B886="","",IFERROR(MATCH(D886,Settings!$B$6:$B$17,0),12))</f>
        <v/>
      </c>
      <c r="P886">
        <f>IF(AND(G886="Reading",B886&lt;&gt;""),IF(H886="",TODAY(),H886)+ROW()/10000000,"")</f>
        <v/>
      </c>
      <c r="Q886">
        <f>IF(AND(N886&lt;&gt;"",N(J886)=5),N886,"")</f>
        <v/>
      </c>
    </row>
    <row r="887">
      <c r="A887" s="1" t="n"/>
      <c r="B887" s="24" t="n"/>
      <c r="C887" s="25" t="n"/>
      <c r="D887" s="25" t="n"/>
      <c r="E887" s="26" t="n"/>
      <c r="F887" s="27" t="n"/>
      <c r="G887" s="26" t="n"/>
      <c r="H887" s="28" t="n"/>
      <c r="I887" s="28" t="n"/>
      <c r="J887" s="27" t="n"/>
      <c r="K887" s="16">
        <f>IF(OR(H887="",I887=""),"",I887-H887+1)</f>
        <v/>
      </c>
      <c r="L887" s="16">
        <f>IF(OR(K887="",N(F887)=0),"",F887/K887)</f>
        <v/>
      </c>
      <c r="M887" s="25" t="n"/>
      <c r="N887" s="1">
        <f>IF(AND(G887="Finished",I887&lt;&gt;""),IF(YEAR(I887)=Dashboard!$C$4,I887+ROW()/10000000,""),"")</f>
        <v/>
      </c>
      <c r="O887">
        <f>IF(B887="","",IFERROR(MATCH(D887,Settings!$B$6:$B$17,0),12))</f>
        <v/>
      </c>
      <c r="P887">
        <f>IF(AND(G887="Reading",B887&lt;&gt;""),IF(H887="",TODAY(),H887)+ROW()/10000000,"")</f>
        <v/>
      </c>
      <c r="Q887">
        <f>IF(AND(N887&lt;&gt;"",N(J887)=5),N887,"")</f>
        <v/>
      </c>
    </row>
    <row r="888">
      <c r="A888" s="1" t="n"/>
      <c r="B888" s="24" t="n"/>
      <c r="C888" s="25" t="n"/>
      <c r="D888" s="25" t="n"/>
      <c r="E888" s="26" t="n"/>
      <c r="F888" s="27" t="n"/>
      <c r="G888" s="26" t="n"/>
      <c r="H888" s="28" t="n"/>
      <c r="I888" s="28" t="n"/>
      <c r="J888" s="27" t="n"/>
      <c r="K888" s="16">
        <f>IF(OR(H888="",I888=""),"",I888-H888+1)</f>
        <v/>
      </c>
      <c r="L888" s="16">
        <f>IF(OR(K888="",N(F888)=0),"",F888/K888)</f>
        <v/>
      </c>
      <c r="M888" s="25" t="n"/>
      <c r="N888" s="1">
        <f>IF(AND(G888="Finished",I888&lt;&gt;""),IF(YEAR(I888)=Dashboard!$C$4,I888+ROW()/10000000,""),"")</f>
        <v/>
      </c>
      <c r="O888">
        <f>IF(B888="","",IFERROR(MATCH(D888,Settings!$B$6:$B$17,0),12))</f>
        <v/>
      </c>
      <c r="P888">
        <f>IF(AND(G888="Reading",B888&lt;&gt;""),IF(H888="",TODAY(),H888)+ROW()/10000000,"")</f>
        <v/>
      </c>
      <c r="Q888">
        <f>IF(AND(N888&lt;&gt;"",N(J888)=5),N888,"")</f>
        <v/>
      </c>
    </row>
    <row r="889">
      <c r="A889" s="1" t="n"/>
      <c r="B889" s="24" t="n"/>
      <c r="C889" s="25" t="n"/>
      <c r="D889" s="25" t="n"/>
      <c r="E889" s="26" t="n"/>
      <c r="F889" s="27" t="n"/>
      <c r="G889" s="26" t="n"/>
      <c r="H889" s="28" t="n"/>
      <c r="I889" s="28" t="n"/>
      <c r="J889" s="27" t="n"/>
      <c r="K889" s="16">
        <f>IF(OR(H889="",I889=""),"",I889-H889+1)</f>
        <v/>
      </c>
      <c r="L889" s="16">
        <f>IF(OR(K889="",N(F889)=0),"",F889/K889)</f>
        <v/>
      </c>
      <c r="M889" s="25" t="n"/>
      <c r="N889" s="1">
        <f>IF(AND(G889="Finished",I889&lt;&gt;""),IF(YEAR(I889)=Dashboard!$C$4,I889+ROW()/10000000,""),"")</f>
        <v/>
      </c>
      <c r="O889">
        <f>IF(B889="","",IFERROR(MATCH(D889,Settings!$B$6:$B$17,0),12))</f>
        <v/>
      </c>
      <c r="P889">
        <f>IF(AND(G889="Reading",B889&lt;&gt;""),IF(H889="",TODAY(),H889)+ROW()/10000000,"")</f>
        <v/>
      </c>
      <c r="Q889">
        <f>IF(AND(N889&lt;&gt;"",N(J889)=5),N889,"")</f>
        <v/>
      </c>
    </row>
    <row r="890">
      <c r="A890" s="1" t="n"/>
      <c r="B890" s="24" t="n"/>
      <c r="C890" s="25" t="n"/>
      <c r="D890" s="25" t="n"/>
      <c r="E890" s="26" t="n"/>
      <c r="F890" s="27" t="n"/>
      <c r="G890" s="26" t="n"/>
      <c r="H890" s="28" t="n"/>
      <c r="I890" s="28" t="n"/>
      <c r="J890" s="27" t="n"/>
      <c r="K890" s="16">
        <f>IF(OR(H890="",I890=""),"",I890-H890+1)</f>
        <v/>
      </c>
      <c r="L890" s="16">
        <f>IF(OR(K890="",N(F890)=0),"",F890/K890)</f>
        <v/>
      </c>
      <c r="M890" s="25" t="n"/>
      <c r="N890" s="1">
        <f>IF(AND(G890="Finished",I890&lt;&gt;""),IF(YEAR(I890)=Dashboard!$C$4,I890+ROW()/10000000,""),"")</f>
        <v/>
      </c>
      <c r="O890">
        <f>IF(B890="","",IFERROR(MATCH(D890,Settings!$B$6:$B$17,0),12))</f>
        <v/>
      </c>
      <c r="P890">
        <f>IF(AND(G890="Reading",B890&lt;&gt;""),IF(H890="",TODAY(),H890)+ROW()/10000000,"")</f>
        <v/>
      </c>
      <c r="Q890">
        <f>IF(AND(N890&lt;&gt;"",N(J890)=5),N890,"")</f>
        <v/>
      </c>
    </row>
    <row r="891">
      <c r="A891" s="1" t="n"/>
      <c r="B891" s="24" t="n"/>
      <c r="C891" s="25" t="n"/>
      <c r="D891" s="25" t="n"/>
      <c r="E891" s="26" t="n"/>
      <c r="F891" s="27" t="n"/>
      <c r="G891" s="26" t="n"/>
      <c r="H891" s="28" t="n"/>
      <c r="I891" s="28" t="n"/>
      <c r="J891" s="27" t="n"/>
      <c r="K891" s="16">
        <f>IF(OR(H891="",I891=""),"",I891-H891+1)</f>
        <v/>
      </c>
      <c r="L891" s="16">
        <f>IF(OR(K891="",N(F891)=0),"",F891/K891)</f>
        <v/>
      </c>
      <c r="M891" s="25" t="n"/>
      <c r="N891" s="1">
        <f>IF(AND(G891="Finished",I891&lt;&gt;""),IF(YEAR(I891)=Dashboard!$C$4,I891+ROW()/10000000,""),"")</f>
        <v/>
      </c>
      <c r="O891">
        <f>IF(B891="","",IFERROR(MATCH(D891,Settings!$B$6:$B$17,0),12))</f>
        <v/>
      </c>
      <c r="P891">
        <f>IF(AND(G891="Reading",B891&lt;&gt;""),IF(H891="",TODAY(),H891)+ROW()/10000000,"")</f>
        <v/>
      </c>
      <c r="Q891">
        <f>IF(AND(N891&lt;&gt;"",N(J891)=5),N891,"")</f>
        <v/>
      </c>
    </row>
    <row r="892">
      <c r="A892" s="1" t="n"/>
      <c r="B892" s="24" t="n"/>
      <c r="C892" s="25" t="n"/>
      <c r="D892" s="25" t="n"/>
      <c r="E892" s="26" t="n"/>
      <c r="F892" s="27" t="n"/>
      <c r="G892" s="26" t="n"/>
      <c r="H892" s="28" t="n"/>
      <c r="I892" s="28" t="n"/>
      <c r="J892" s="27" t="n"/>
      <c r="K892" s="16">
        <f>IF(OR(H892="",I892=""),"",I892-H892+1)</f>
        <v/>
      </c>
      <c r="L892" s="16">
        <f>IF(OR(K892="",N(F892)=0),"",F892/K892)</f>
        <v/>
      </c>
      <c r="M892" s="25" t="n"/>
      <c r="N892" s="1">
        <f>IF(AND(G892="Finished",I892&lt;&gt;""),IF(YEAR(I892)=Dashboard!$C$4,I892+ROW()/10000000,""),"")</f>
        <v/>
      </c>
      <c r="O892">
        <f>IF(B892="","",IFERROR(MATCH(D892,Settings!$B$6:$B$17,0),12))</f>
        <v/>
      </c>
      <c r="P892">
        <f>IF(AND(G892="Reading",B892&lt;&gt;""),IF(H892="",TODAY(),H892)+ROW()/10000000,"")</f>
        <v/>
      </c>
      <c r="Q892">
        <f>IF(AND(N892&lt;&gt;"",N(J892)=5),N892,"")</f>
        <v/>
      </c>
    </row>
    <row r="893">
      <c r="A893" s="1" t="n"/>
      <c r="B893" s="24" t="n"/>
      <c r="C893" s="25" t="n"/>
      <c r="D893" s="25" t="n"/>
      <c r="E893" s="26" t="n"/>
      <c r="F893" s="27" t="n"/>
      <c r="G893" s="26" t="n"/>
      <c r="H893" s="28" t="n"/>
      <c r="I893" s="28" t="n"/>
      <c r="J893" s="27" t="n"/>
      <c r="K893" s="16">
        <f>IF(OR(H893="",I893=""),"",I893-H893+1)</f>
        <v/>
      </c>
      <c r="L893" s="16">
        <f>IF(OR(K893="",N(F893)=0),"",F893/K893)</f>
        <v/>
      </c>
      <c r="M893" s="25" t="n"/>
      <c r="N893" s="1">
        <f>IF(AND(G893="Finished",I893&lt;&gt;""),IF(YEAR(I893)=Dashboard!$C$4,I893+ROW()/10000000,""),"")</f>
        <v/>
      </c>
      <c r="O893">
        <f>IF(B893="","",IFERROR(MATCH(D893,Settings!$B$6:$B$17,0),12))</f>
        <v/>
      </c>
      <c r="P893">
        <f>IF(AND(G893="Reading",B893&lt;&gt;""),IF(H893="",TODAY(),H893)+ROW()/10000000,"")</f>
        <v/>
      </c>
      <c r="Q893">
        <f>IF(AND(N893&lt;&gt;"",N(J893)=5),N893,"")</f>
        <v/>
      </c>
    </row>
    <row r="894">
      <c r="A894" s="1" t="n"/>
      <c r="B894" s="24" t="n"/>
      <c r="C894" s="25" t="n"/>
      <c r="D894" s="25" t="n"/>
      <c r="E894" s="26" t="n"/>
      <c r="F894" s="27" t="n"/>
      <c r="G894" s="26" t="n"/>
      <c r="H894" s="28" t="n"/>
      <c r="I894" s="28" t="n"/>
      <c r="J894" s="27" t="n"/>
      <c r="K894" s="16">
        <f>IF(OR(H894="",I894=""),"",I894-H894+1)</f>
        <v/>
      </c>
      <c r="L894" s="16">
        <f>IF(OR(K894="",N(F894)=0),"",F894/K894)</f>
        <v/>
      </c>
      <c r="M894" s="25" t="n"/>
      <c r="N894" s="1">
        <f>IF(AND(G894="Finished",I894&lt;&gt;""),IF(YEAR(I894)=Dashboard!$C$4,I894+ROW()/10000000,""),"")</f>
        <v/>
      </c>
      <c r="O894">
        <f>IF(B894="","",IFERROR(MATCH(D894,Settings!$B$6:$B$17,0),12))</f>
        <v/>
      </c>
      <c r="P894">
        <f>IF(AND(G894="Reading",B894&lt;&gt;""),IF(H894="",TODAY(),H894)+ROW()/10000000,"")</f>
        <v/>
      </c>
      <c r="Q894">
        <f>IF(AND(N894&lt;&gt;"",N(J894)=5),N894,"")</f>
        <v/>
      </c>
    </row>
    <row r="895">
      <c r="A895" s="1" t="n"/>
      <c r="B895" s="24" t="n"/>
      <c r="C895" s="25" t="n"/>
      <c r="D895" s="25" t="n"/>
      <c r="E895" s="26" t="n"/>
      <c r="F895" s="27" t="n"/>
      <c r="G895" s="26" t="n"/>
      <c r="H895" s="28" t="n"/>
      <c r="I895" s="28" t="n"/>
      <c r="J895" s="27" t="n"/>
      <c r="K895" s="16">
        <f>IF(OR(H895="",I895=""),"",I895-H895+1)</f>
        <v/>
      </c>
      <c r="L895" s="16">
        <f>IF(OR(K895="",N(F895)=0),"",F895/K895)</f>
        <v/>
      </c>
      <c r="M895" s="25" t="n"/>
      <c r="N895" s="1">
        <f>IF(AND(G895="Finished",I895&lt;&gt;""),IF(YEAR(I895)=Dashboard!$C$4,I895+ROW()/10000000,""),"")</f>
        <v/>
      </c>
      <c r="O895">
        <f>IF(B895="","",IFERROR(MATCH(D895,Settings!$B$6:$B$17,0),12))</f>
        <v/>
      </c>
      <c r="P895">
        <f>IF(AND(G895="Reading",B895&lt;&gt;""),IF(H895="",TODAY(),H895)+ROW()/10000000,"")</f>
        <v/>
      </c>
      <c r="Q895">
        <f>IF(AND(N895&lt;&gt;"",N(J895)=5),N895,"")</f>
        <v/>
      </c>
    </row>
    <row r="896">
      <c r="A896" s="1" t="n"/>
      <c r="B896" s="24" t="n"/>
      <c r="C896" s="25" t="n"/>
      <c r="D896" s="25" t="n"/>
      <c r="E896" s="26" t="n"/>
      <c r="F896" s="27" t="n"/>
      <c r="G896" s="26" t="n"/>
      <c r="H896" s="28" t="n"/>
      <c r="I896" s="28" t="n"/>
      <c r="J896" s="27" t="n"/>
      <c r="K896" s="16">
        <f>IF(OR(H896="",I896=""),"",I896-H896+1)</f>
        <v/>
      </c>
      <c r="L896" s="16">
        <f>IF(OR(K896="",N(F896)=0),"",F896/K896)</f>
        <v/>
      </c>
      <c r="M896" s="25" t="n"/>
      <c r="N896" s="1">
        <f>IF(AND(G896="Finished",I896&lt;&gt;""),IF(YEAR(I896)=Dashboard!$C$4,I896+ROW()/10000000,""),"")</f>
        <v/>
      </c>
      <c r="O896">
        <f>IF(B896="","",IFERROR(MATCH(D896,Settings!$B$6:$B$17,0),12))</f>
        <v/>
      </c>
      <c r="P896">
        <f>IF(AND(G896="Reading",B896&lt;&gt;""),IF(H896="",TODAY(),H896)+ROW()/10000000,"")</f>
        <v/>
      </c>
      <c r="Q896">
        <f>IF(AND(N896&lt;&gt;"",N(J896)=5),N896,"")</f>
        <v/>
      </c>
    </row>
    <row r="897">
      <c r="A897" s="1" t="n"/>
      <c r="B897" s="24" t="n"/>
      <c r="C897" s="25" t="n"/>
      <c r="D897" s="25" t="n"/>
      <c r="E897" s="26" t="n"/>
      <c r="F897" s="27" t="n"/>
      <c r="G897" s="26" t="n"/>
      <c r="H897" s="28" t="n"/>
      <c r="I897" s="28" t="n"/>
      <c r="J897" s="27" t="n"/>
      <c r="K897" s="16">
        <f>IF(OR(H897="",I897=""),"",I897-H897+1)</f>
        <v/>
      </c>
      <c r="L897" s="16">
        <f>IF(OR(K897="",N(F897)=0),"",F897/K897)</f>
        <v/>
      </c>
      <c r="M897" s="25" t="n"/>
      <c r="N897" s="1">
        <f>IF(AND(G897="Finished",I897&lt;&gt;""),IF(YEAR(I897)=Dashboard!$C$4,I897+ROW()/10000000,""),"")</f>
        <v/>
      </c>
      <c r="O897">
        <f>IF(B897="","",IFERROR(MATCH(D897,Settings!$B$6:$B$17,0),12))</f>
        <v/>
      </c>
      <c r="P897">
        <f>IF(AND(G897="Reading",B897&lt;&gt;""),IF(H897="",TODAY(),H897)+ROW()/10000000,"")</f>
        <v/>
      </c>
      <c r="Q897">
        <f>IF(AND(N897&lt;&gt;"",N(J897)=5),N897,"")</f>
        <v/>
      </c>
    </row>
    <row r="898">
      <c r="A898" s="1" t="n"/>
      <c r="B898" s="24" t="n"/>
      <c r="C898" s="25" t="n"/>
      <c r="D898" s="25" t="n"/>
      <c r="E898" s="26" t="n"/>
      <c r="F898" s="27" t="n"/>
      <c r="G898" s="26" t="n"/>
      <c r="H898" s="28" t="n"/>
      <c r="I898" s="28" t="n"/>
      <c r="J898" s="27" t="n"/>
      <c r="K898" s="16">
        <f>IF(OR(H898="",I898=""),"",I898-H898+1)</f>
        <v/>
      </c>
      <c r="L898" s="16">
        <f>IF(OR(K898="",N(F898)=0),"",F898/K898)</f>
        <v/>
      </c>
      <c r="M898" s="25" t="n"/>
      <c r="N898" s="1">
        <f>IF(AND(G898="Finished",I898&lt;&gt;""),IF(YEAR(I898)=Dashboard!$C$4,I898+ROW()/10000000,""),"")</f>
        <v/>
      </c>
      <c r="O898">
        <f>IF(B898="","",IFERROR(MATCH(D898,Settings!$B$6:$B$17,0),12))</f>
        <v/>
      </c>
      <c r="P898">
        <f>IF(AND(G898="Reading",B898&lt;&gt;""),IF(H898="",TODAY(),H898)+ROW()/10000000,"")</f>
        <v/>
      </c>
      <c r="Q898">
        <f>IF(AND(N898&lt;&gt;"",N(J898)=5),N898,"")</f>
        <v/>
      </c>
    </row>
    <row r="899">
      <c r="A899" s="1" t="n"/>
      <c r="B899" s="24" t="n"/>
      <c r="C899" s="25" t="n"/>
      <c r="D899" s="25" t="n"/>
      <c r="E899" s="26" t="n"/>
      <c r="F899" s="27" t="n"/>
      <c r="G899" s="26" t="n"/>
      <c r="H899" s="28" t="n"/>
      <c r="I899" s="28" t="n"/>
      <c r="J899" s="27" t="n"/>
      <c r="K899" s="16">
        <f>IF(OR(H899="",I899=""),"",I899-H899+1)</f>
        <v/>
      </c>
      <c r="L899" s="16">
        <f>IF(OR(K899="",N(F899)=0),"",F899/K899)</f>
        <v/>
      </c>
      <c r="M899" s="25" t="n"/>
      <c r="N899" s="1">
        <f>IF(AND(G899="Finished",I899&lt;&gt;""),IF(YEAR(I899)=Dashboard!$C$4,I899+ROW()/10000000,""),"")</f>
        <v/>
      </c>
      <c r="O899">
        <f>IF(B899="","",IFERROR(MATCH(D899,Settings!$B$6:$B$17,0),12))</f>
        <v/>
      </c>
      <c r="P899">
        <f>IF(AND(G899="Reading",B899&lt;&gt;""),IF(H899="",TODAY(),H899)+ROW()/10000000,"")</f>
        <v/>
      </c>
      <c r="Q899">
        <f>IF(AND(N899&lt;&gt;"",N(J899)=5),N899,"")</f>
        <v/>
      </c>
    </row>
    <row r="900">
      <c r="A900" s="1" t="n"/>
      <c r="B900" s="24" t="n"/>
      <c r="C900" s="25" t="n"/>
      <c r="D900" s="25" t="n"/>
      <c r="E900" s="26" t="n"/>
      <c r="F900" s="27" t="n"/>
      <c r="G900" s="26" t="n"/>
      <c r="H900" s="28" t="n"/>
      <c r="I900" s="28" t="n"/>
      <c r="J900" s="27" t="n"/>
      <c r="K900" s="16">
        <f>IF(OR(H900="",I900=""),"",I900-H900+1)</f>
        <v/>
      </c>
      <c r="L900" s="16">
        <f>IF(OR(K900="",N(F900)=0),"",F900/K900)</f>
        <v/>
      </c>
      <c r="M900" s="25" t="n"/>
      <c r="N900" s="1">
        <f>IF(AND(G900="Finished",I900&lt;&gt;""),IF(YEAR(I900)=Dashboard!$C$4,I900+ROW()/10000000,""),"")</f>
        <v/>
      </c>
      <c r="O900">
        <f>IF(B900="","",IFERROR(MATCH(D900,Settings!$B$6:$B$17,0),12))</f>
        <v/>
      </c>
      <c r="P900">
        <f>IF(AND(G900="Reading",B900&lt;&gt;""),IF(H900="",TODAY(),H900)+ROW()/10000000,"")</f>
        <v/>
      </c>
      <c r="Q900">
        <f>IF(AND(N900&lt;&gt;"",N(J900)=5),N900,"")</f>
        <v/>
      </c>
    </row>
    <row r="901">
      <c r="A901" s="1" t="n"/>
      <c r="B901" s="24" t="n"/>
      <c r="C901" s="25" t="n"/>
      <c r="D901" s="25" t="n"/>
      <c r="E901" s="26" t="n"/>
      <c r="F901" s="27" t="n"/>
      <c r="G901" s="26" t="n"/>
      <c r="H901" s="28" t="n"/>
      <c r="I901" s="28" t="n"/>
      <c r="J901" s="27" t="n"/>
      <c r="K901" s="16">
        <f>IF(OR(H901="",I901=""),"",I901-H901+1)</f>
        <v/>
      </c>
      <c r="L901" s="16">
        <f>IF(OR(K901="",N(F901)=0),"",F901/K901)</f>
        <v/>
      </c>
      <c r="M901" s="25" t="n"/>
      <c r="N901" s="1">
        <f>IF(AND(G901="Finished",I901&lt;&gt;""),IF(YEAR(I901)=Dashboard!$C$4,I901+ROW()/10000000,""),"")</f>
        <v/>
      </c>
      <c r="O901">
        <f>IF(B901="","",IFERROR(MATCH(D901,Settings!$B$6:$B$17,0),12))</f>
        <v/>
      </c>
      <c r="P901">
        <f>IF(AND(G901="Reading",B901&lt;&gt;""),IF(H901="",TODAY(),H901)+ROW()/10000000,"")</f>
        <v/>
      </c>
      <c r="Q901">
        <f>IF(AND(N901&lt;&gt;"",N(J901)=5),N901,"")</f>
        <v/>
      </c>
    </row>
    <row r="902">
      <c r="A902" s="1" t="n"/>
      <c r="B902" s="24" t="n"/>
      <c r="C902" s="25" t="n"/>
      <c r="D902" s="25" t="n"/>
      <c r="E902" s="26" t="n"/>
      <c r="F902" s="27" t="n"/>
      <c r="G902" s="26" t="n"/>
      <c r="H902" s="28" t="n"/>
      <c r="I902" s="28" t="n"/>
      <c r="J902" s="27" t="n"/>
      <c r="K902" s="16">
        <f>IF(OR(H902="",I902=""),"",I902-H902+1)</f>
        <v/>
      </c>
      <c r="L902" s="16">
        <f>IF(OR(K902="",N(F902)=0),"",F902/K902)</f>
        <v/>
      </c>
      <c r="M902" s="25" t="n"/>
      <c r="N902" s="1">
        <f>IF(AND(G902="Finished",I902&lt;&gt;""),IF(YEAR(I902)=Dashboard!$C$4,I902+ROW()/10000000,""),"")</f>
        <v/>
      </c>
      <c r="O902">
        <f>IF(B902="","",IFERROR(MATCH(D902,Settings!$B$6:$B$17,0),12))</f>
        <v/>
      </c>
      <c r="P902">
        <f>IF(AND(G902="Reading",B902&lt;&gt;""),IF(H902="",TODAY(),H902)+ROW()/10000000,"")</f>
        <v/>
      </c>
      <c r="Q902">
        <f>IF(AND(N902&lt;&gt;"",N(J902)=5),N902,"")</f>
        <v/>
      </c>
    </row>
    <row r="903">
      <c r="A903" s="1" t="n"/>
      <c r="B903" s="24" t="n"/>
      <c r="C903" s="25" t="n"/>
      <c r="D903" s="25" t="n"/>
      <c r="E903" s="26" t="n"/>
      <c r="F903" s="27" t="n"/>
      <c r="G903" s="26" t="n"/>
      <c r="H903" s="28" t="n"/>
      <c r="I903" s="28" t="n"/>
      <c r="J903" s="27" t="n"/>
      <c r="K903" s="16">
        <f>IF(OR(H903="",I903=""),"",I903-H903+1)</f>
        <v/>
      </c>
      <c r="L903" s="16">
        <f>IF(OR(K903="",N(F903)=0),"",F903/K903)</f>
        <v/>
      </c>
      <c r="M903" s="25" t="n"/>
      <c r="N903" s="1">
        <f>IF(AND(G903="Finished",I903&lt;&gt;""),IF(YEAR(I903)=Dashboard!$C$4,I903+ROW()/10000000,""),"")</f>
        <v/>
      </c>
      <c r="O903">
        <f>IF(B903="","",IFERROR(MATCH(D903,Settings!$B$6:$B$17,0),12))</f>
        <v/>
      </c>
      <c r="P903">
        <f>IF(AND(G903="Reading",B903&lt;&gt;""),IF(H903="",TODAY(),H903)+ROW()/10000000,"")</f>
        <v/>
      </c>
      <c r="Q903">
        <f>IF(AND(N903&lt;&gt;"",N(J903)=5),N903,"")</f>
        <v/>
      </c>
    </row>
    <row r="904">
      <c r="A904" s="1" t="n"/>
      <c r="B904" s="24" t="n"/>
      <c r="C904" s="25" t="n"/>
      <c r="D904" s="25" t="n"/>
      <c r="E904" s="26" t="n"/>
      <c r="F904" s="27" t="n"/>
      <c r="G904" s="26" t="n"/>
      <c r="H904" s="28" t="n"/>
      <c r="I904" s="28" t="n"/>
      <c r="J904" s="27" t="n"/>
      <c r="K904" s="16">
        <f>IF(OR(H904="",I904=""),"",I904-H904+1)</f>
        <v/>
      </c>
      <c r="L904" s="16">
        <f>IF(OR(K904="",N(F904)=0),"",F904/K904)</f>
        <v/>
      </c>
      <c r="M904" s="25" t="n"/>
      <c r="N904" s="1">
        <f>IF(AND(G904="Finished",I904&lt;&gt;""),IF(YEAR(I904)=Dashboard!$C$4,I904+ROW()/10000000,""),"")</f>
        <v/>
      </c>
      <c r="O904">
        <f>IF(B904="","",IFERROR(MATCH(D904,Settings!$B$6:$B$17,0),12))</f>
        <v/>
      </c>
      <c r="P904">
        <f>IF(AND(G904="Reading",B904&lt;&gt;""),IF(H904="",TODAY(),H904)+ROW()/10000000,"")</f>
        <v/>
      </c>
      <c r="Q904">
        <f>IF(AND(N904&lt;&gt;"",N(J904)=5),N904,"")</f>
        <v/>
      </c>
    </row>
    <row r="905">
      <c r="A905" s="1" t="n"/>
      <c r="B905" s="24" t="n"/>
      <c r="C905" s="25" t="n"/>
      <c r="D905" s="25" t="n"/>
      <c r="E905" s="26" t="n"/>
      <c r="F905" s="27" t="n"/>
      <c r="G905" s="26" t="n"/>
      <c r="H905" s="28" t="n"/>
      <c r="I905" s="28" t="n"/>
      <c r="J905" s="27" t="n"/>
      <c r="K905" s="16">
        <f>IF(OR(H905="",I905=""),"",I905-H905+1)</f>
        <v/>
      </c>
      <c r="L905" s="16">
        <f>IF(OR(K905="",N(F905)=0),"",F905/K905)</f>
        <v/>
      </c>
      <c r="M905" s="25" t="n"/>
      <c r="N905" s="1">
        <f>IF(AND(G905="Finished",I905&lt;&gt;""),IF(YEAR(I905)=Dashboard!$C$4,I905+ROW()/10000000,""),"")</f>
        <v/>
      </c>
      <c r="O905">
        <f>IF(B905="","",IFERROR(MATCH(D905,Settings!$B$6:$B$17,0),12))</f>
        <v/>
      </c>
      <c r="P905">
        <f>IF(AND(G905="Reading",B905&lt;&gt;""),IF(H905="",TODAY(),H905)+ROW()/10000000,"")</f>
        <v/>
      </c>
      <c r="Q905">
        <f>IF(AND(N905&lt;&gt;"",N(J905)=5),N905,"")</f>
        <v/>
      </c>
    </row>
    <row r="906">
      <c r="A906" s="1" t="n"/>
      <c r="B906" s="24" t="n"/>
      <c r="C906" s="25" t="n"/>
      <c r="D906" s="25" t="n"/>
      <c r="E906" s="26" t="n"/>
      <c r="F906" s="27" t="n"/>
      <c r="G906" s="26" t="n"/>
      <c r="H906" s="28" t="n"/>
      <c r="I906" s="28" t="n"/>
      <c r="J906" s="27" t="n"/>
      <c r="K906" s="16">
        <f>IF(OR(H906="",I906=""),"",I906-H906+1)</f>
        <v/>
      </c>
      <c r="L906" s="16">
        <f>IF(OR(K906="",N(F906)=0),"",F906/K906)</f>
        <v/>
      </c>
      <c r="M906" s="25" t="n"/>
      <c r="N906" s="1">
        <f>IF(AND(G906="Finished",I906&lt;&gt;""),IF(YEAR(I906)=Dashboard!$C$4,I906+ROW()/10000000,""),"")</f>
        <v/>
      </c>
      <c r="O906">
        <f>IF(B906="","",IFERROR(MATCH(D906,Settings!$B$6:$B$17,0),12))</f>
        <v/>
      </c>
      <c r="P906">
        <f>IF(AND(G906="Reading",B906&lt;&gt;""),IF(H906="",TODAY(),H906)+ROW()/10000000,"")</f>
        <v/>
      </c>
      <c r="Q906">
        <f>IF(AND(N906&lt;&gt;"",N(J906)=5),N906,"")</f>
        <v/>
      </c>
    </row>
    <row r="907">
      <c r="A907" s="1" t="n"/>
      <c r="B907" s="24" t="n"/>
      <c r="C907" s="25" t="n"/>
      <c r="D907" s="25" t="n"/>
      <c r="E907" s="26" t="n"/>
      <c r="F907" s="27" t="n"/>
      <c r="G907" s="26" t="n"/>
      <c r="H907" s="28" t="n"/>
      <c r="I907" s="28" t="n"/>
      <c r="J907" s="27" t="n"/>
      <c r="K907" s="16">
        <f>IF(OR(H907="",I907=""),"",I907-H907+1)</f>
        <v/>
      </c>
      <c r="L907" s="16">
        <f>IF(OR(K907="",N(F907)=0),"",F907/K907)</f>
        <v/>
      </c>
      <c r="M907" s="25" t="n"/>
      <c r="N907" s="1">
        <f>IF(AND(G907="Finished",I907&lt;&gt;""),IF(YEAR(I907)=Dashboard!$C$4,I907+ROW()/10000000,""),"")</f>
        <v/>
      </c>
      <c r="O907">
        <f>IF(B907="","",IFERROR(MATCH(D907,Settings!$B$6:$B$17,0),12))</f>
        <v/>
      </c>
      <c r="P907">
        <f>IF(AND(G907="Reading",B907&lt;&gt;""),IF(H907="",TODAY(),H907)+ROW()/10000000,"")</f>
        <v/>
      </c>
      <c r="Q907">
        <f>IF(AND(N907&lt;&gt;"",N(J907)=5),N907,"")</f>
        <v/>
      </c>
    </row>
    <row r="908">
      <c r="A908" s="1" t="n"/>
      <c r="B908" s="24" t="n"/>
      <c r="C908" s="25" t="n"/>
      <c r="D908" s="25" t="n"/>
      <c r="E908" s="26" t="n"/>
      <c r="F908" s="27" t="n"/>
      <c r="G908" s="26" t="n"/>
      <c r="H908" s="28" t="n"/>
      <c r="I908" s="28" t="n"/>
      <c r="J908" s="27" t="n"/>
      <c r="K908" s="16">
        <f>IF(OR(H908="",I908=""),"",I908-H908+1)</f>
        <v/>
      </c>
      <c r="L908" s="16">
        <f>IF(OR(K908="",N(F908)=0),"",F908/K908)</f>
        <v/>
      </c>
      <c r="M908" s="25" t="n"/>
      <c r="N908" s="1">
        <f>IF(AND(G908="Finished",I908&lt;&gt;""),IF(YEAR(I908)=Dashboard!$C$4,I908+ROW()/10000000,""),"")</f>
        <v/>
      </c>
      <c r="O908">
        <f>IF(B908="","",IFERROR(MATCH(D908,Settings!$B$6:$B$17,0),12))</f>
        <v/>
      </c>
      <c r="P908">
        <f>IF(AND(G908="Reading",B908&lt;&gt;""),IF(H908="",TODAY(),H908)+ROW()/10000000,"")</f>
        <v/>
      </c>
      <c r="Q908">
        <f>IF(AND(N908&lt;&gt;"",N(J908)=5),N908,"")</f>
        <v/>
      </c>
    </row>
    <row r="909">
      <c r="A909" s="1" t="n"/>
      <c r="B909" s="24" t="n"/>
      <c r="C909" s="25" t="n"/>
      <c r="D909" s="25" t="n"/>
      <c r="E909" s="26" t="n"/>
      <c r="F909" s="27" t="n"/>
      <c r="G909" s="26" t="n"/>
      <c r="H909" s="28" t="n"/>
      <c r="I909" s="28" t="n"/>
      <c r="J909" s="27" t="n"/>
      <c r="K909" s="16">
        <f>IF(OR(H909="",I909=""),"",I909-H909+1)</f>
        <v/>
      </c>
      <c r="L909" s="16">
        <f>IF(OR(K909="",N(F909)=0),"",F909/K909)</f>
        <v/>
      </c>
      <c r="M909" s="25" t="n"/>
      <c r="N909" s="1">
        <f>IF(AND(G909="Finished",I909&lt;&gt;""),IF(YEAR(I909)=Dashboard!$C$4,I909+ROW()/10000000,""),"")</f>
        <v/>
      </c>
      <c r="O909">
        <f>IF(B909="","",IFERROR(MATCH(D909,Settings!$B$6:$B$17,0),12))</f>
        <v/>
      </c>
      <c r="P909">
        <f>IF(AND(G909="Reading",B909&lt;&gt;""),IF(H909="",TODAY(),H909)+ROW()/10000000,"")</f>
        <v/>
      </c>
      <c r="Q909">
        <f>IF(AND(N909&lt;&gt;"",N(J909)=5),N909,"")</f>
        <v/>
      </c>
    </row>
    <row r="910">
      <c r="A910" s="1" t="n"/>
      <c r="B910" s="24" t="n"/>
      <c r="C910" s="25" t="n"/>
      <c r="D910" s="25" t="n"/>
      <c r="E910" s="26" t="n"/>
      <c r="F910" s="27" t="n"/>
      <c r="G910" s="26" t="n"/>
      <c r="H910" s="28" t="n"/>
      <c r="I910" s="28" t="n"/>
      <c r="J910" s="27" t="n"/>
      <c r="K910" s="16">
        <f>IF(OR(H910="",I910=""),"",I910-H910+1)</f>
        <v/>
      </c>
      <c r="L910" s="16">
        <f>IF(OR(K910="",N(F910)=0),"",F910/K910)</f>
        <v/>
      </c>
      <c r="M910" s="25" t="n"/>
      <c r="N910" s="1">
        <f>IF(AND(G910="Finished",I910&lt;&gt;""),IF(YEAR(I910)=Dashboard!$C$4,I910+ROW()/10000000,""),"")</f>
        <v/>
      </c>
      <c r="O910">
        <f>IF(B910="","",IFERROR(MATCH(D910,Settings!$B$6:$B$17,0),12))</f>
        <v/>
      </c>
      <c r="P910">
        <f>IF(AND(G910="Reading",B910&lt;&gt;""),IF(H910="",TODAY(),H910)+ROW()/10000000,"")</f>
        <v/>
      </c>
      <c r="Q910">
        <f>IF(AND(N910&lt;&gt;"",N(J910)=5),N910,"")</f>
        <v/>
      </c>
    </row>
    <row r="911">
      <c r="A911" s="1" t="n"/>
      <c r="B911" s="24" t="n"/>
      <c r="C911" s="25" t="n"/>
      <c r="D911" s="25" t="n"/>
      <c r="E911" s="26" t="n"/>
      <c r="F911" s="27" t="n"/>
      <c r="G911" s="26" t="n"/>
      <c r="H911" s="28" t="n"/>
      <c r="I911" s="28" t="n"/>
      <c r="J911" s="27" t="n"/>
      <c r="K911" s="16">
        <f>IF(OR(H911="",I911=""),"",I911-H911+1)</f>
        <v/>
      </c>
      <c r="L911" s="16">
        <f>IF(OR(K911="",N(F911)=0),"",F911/K911)</f>
        <v/>
      </c>
      <c r="M911" s="25" t="n"/>
      <c r="N911" s="1">
        <f>IF(AND(G911="Finished",I911&lt;&gt;""),IF(YEAR(I911)=Dashboard!$C$4,I911+ROW()/10000000,""),"")</f>
        <v/>
      </c>
      <c r="O911">
        <f>IF(B911="","",IFERROR(MATCH(D911,Settings!$B$6:$B$17,0),12))</f>
        <v/>
      </c>
      <c r="P911">
        <f>IF(AND(G911="Reading",B911&lt;&gt;""),IF(H911="",TODAY(),H911)+ROW()/10000000,"")</f>
        <v/>
      </c>
      <c r="Q911">
        <f>IF(AND(N911&lt;&gt;"",N(J911)=5),N911,"")</f>
        <v/>
      </c>
    </row>
    <row r="912">
      <c r="A912" s="1" t="n"/>
      <c r="B912" s="24" t="n"/>
      <c r="C912" s="25" t="n"/>
      <c r="D912" s="25" t="n"/>
      <c r="E912" s="26" t="n"/>
      <c r="F912" s="27" t="n"/>
      <c r="G912" s="26" t="n"/>
      <c r="H912" s="28" t="n"/>
      <c r="I912" s="28" t="n"/>
      <c r="J912" s="27" t="n"/>
      <c r="K912" s="16">
        <f>IF(OR(H912="",I912=""),"",I912-H912+1)</f>
        <v/>
      </c>
      <c r="L912" s="16">
        <f>IF(OR(K912="",N(F912)=0),"",F912/K912)</f>
        <v/>
      </c>
      <c r="M912" s="25" t="n"/>
      <c r="N912" s="1">
        <f>IF(AND(G912="Finished",I912&lt;&gt;""),IF(YEAR(I912)=Dashboard!$C$4,I912+ROW()/10000000,""),"")</f>
        <v/>
      </c>
      <c r="O912">
        <f>IF(B912="","",IFERROR(MATCH(D912,Settings!$B$6:$B$17,0),12))</f>
        <v/>
      </c>
      <c r="P912">
        <f>IF(AND(G912="Reading",B912&lt;&gt;""),IF(H912="",TODAY(),H912)+ROW()/10000000,"")</f>
        <v/>
      </c>
      <c r="Q912">
        <f>IF(AND(N912&lt;&gt;"",N(J912)=5),N912,"")</f>
        <v/>
      </c>
    </row>
    <row r="913">
      <c r="A913" s="1" t="n"/>
      <c r="B913" s="24" t="n"/>
      <c r="C913" s="25" t="n"/>
      <c r="D913" s="25" t="n"/>
      <c r="E913" s="26" t="n"/>
      <c r="F913" s="27" t="n"/>
      <c r="G913" s="26" t="n"/>
      <c r="H913" s="28" t="n"/>
      <c r="I913" s="28" t="n"/>
      <c r="J913" s="27" t="n"/>
      <c r="K913" s="16">
        <f>IF(OR(H913="",I913=""),"",I913-H913+1)</f>
        <v/>
      </c>
      <c r="L913" s="16">
        <f>IF(OR(K913="",N(F913)=0),"",F913/K913)</f>
        <v/>
      </c>
      <c r="M913" s="25" t="n"/>
      <c r="N913" s="1">
        <f>IF(AND(G913="Finished",I913&lt;&gt;""),IF(YEAR(I913)=Dashboard!$C$4,I913+ROW()/10000000,""),"")</f>
        <v/>
      </c>
      <c r="O913">
        <f>IF(B913="","",IFERROR(MATCH(D913,Settings!$B$6:$B$17,0),12))</f>
        <v/>
      </c>
      <c r="P913">
        <f>IF(AND(G913="Reading",B913&lt;&gt;""),IF(H913="",TODAY(),H913)+ROW()/10000000,"")</f>
        <v/>
      </c>
      <c r="Q913">
        <f>IF(AND(N913&lt;&gt;"",N(J913)=5),N913,"")</f>
        <v/>
      </c>
    </row>
    <row r="914">
      <c r="A914" s="1" t="n"/>
      <c r="B914" s="24" t="n"/>
      <c r="C914" s="25" t="n"/>
      <c r="D914" s="25" t="n"/>
      <c r="E914" s="26" t="n"/>
      <c r="F914" s="27" t="n"/>
      <c r="G914" s="26" t="n"/>
      <c r="H914" s="28" t="n"/>
      <c r="I914" s="28" t="n"/>
      <c r="J914" s="27" t="n"/>
      <c r="K914" s="16">
        <f>IF(OR(H914="",I914=""),"",I914-H914+1)</f>
        <v/>
      </c>
      <c r="L914" s="16">
        <f>IF(OR(K914="",N(F914)=0),"",F914/K914)</f>
        <v/>
      </c>
      <c r="M914" s="25" t="n"/>
      <c r="N914" s="1">
        <f>IF(AND(G914="Finished",I914&lt;&gt;""),IF(YEAR(I914)=Dashboard!$C$4,I914+ROW()/10000000,""),"")</f>
        <v/>
      </c>
      <c r="O914">
        <f>IF(B914="","",IFERROR(MATCH(D914,Settings!$B$6:$B$17,0),12))</f>
        <v/>
      </c>
      <c r="P914">
        <f>IF(AND(G914="Reading",B914&lt;&gt;""),IF(H914="",TODAY(),H914)+ROW()/10000000,"")</f>
        <v/>
      </c>
      <c r="Q914">
        <f>IF(AND(N914&lt;&gt;"",N(J914)=5),N914,"")</f>
        <v/>
      </c>
    </row>
    <row r="915">
      <c r="A915" s="1" t="n"/>
      <c r="B915" s="24" t="n"/>
      <c r="C915" s="25" t="n"/>
      <c r="D915" s="25" t="n"/>
      <c r="E915" s="26" t="n"/>
      <c r="F915" s="27" t="n"/>
      <c r="G915" s="26" t="n"/>
      <c r="H915" s="28" t="n"/>
      <c r="I915" s="28" t="n"/>
      <c r="J915" s="27" t="n"/>
      <c r="K915" s="16">
        <f>IF(OR(H915="",I915=""),"",I915-H915+1)</f>
        <v/>
      </c>
      <c r="L915" s="16">
        <f>IF(OR(K915="",N(F915)=0),"",F915/K915)</f>
        <v/>
      </c>
      <c r="M915" s="25" t="n"/>
      <c r="N915" s="1">
        <f>IF(AND(G915="Finished",I915&lt;&gt;""),IF(YEAR(I915)=Dashboard!$C$4,I915+ROW()/10000000,""),"")</f>
        <v/>
      </c>
      <c r="O915">
        <f>IF(B915="","",IFERROR(MATCH(D915,Settings!$B$6:$B$17,0),12))</f>
        <v/>
      </c>
      <c r="P915">
        <f>IF(AND(G915="Reading",B915&lt;&gt;""),IF(H915="",TODAY(),H915)+ROW()/10000000,"")</f>
        <v/>
      </c>
      <c r="Q915">
        <f>IF(AND(N915&lt;&gt;"",N(J915)=5),N915,"")</f>
        <v/>
      </c>
    </row>
    <row r="916">
      <c r="A916" s="1" t="n"/>
      <c r="B916" s="24" t="n"/>
      <c r="C916" s="25" t="n"/>
      <c r="D916" s="25" t="n"/>
      <c r="E916" s="26" t="n"/>
      <c r="F916" s="27" t="n"/>
      <c r="G916" s="26" t="n"/>
      <c r="H916" s="28" t="n"/>
      <c r="I916" s="28" t="n"/>
      <c r="J916" s="27" t="n"/>
      <c r="K916" s="16">
        <f>IF(OR(H916="",I916=""),"",I916-H916+1)</f>
        <v/>
      </c>
      <c r="L916" s="16">
        <f>IF(OR(K916="",N(F916)=0),"",F916/K916)</f>
        <v/>
      </c>
      <c r="M916" s="25" t="n"/>
      <c r="N916" s="1">
        <f>IF(AND(G916="Finished",I916&lt;&gt;""),IF(YEAR(I916)=Dashboard!$C$4,I916+ROW()/10000000,""),"")</f>
        <v/>
      </c>
      <c r="O916">
        <f>IF(B916="","",IFERROR(MATCH(D916,Settings!$B$6:$B$17,0),12))</f>
        <v/>
      </c>
      <c r="P916">
        <f>IF(AND(G916="Reading",B916&lt;&gt;""),IF(H916="",TODAY(),H916)+ROW()/10000000,"")</f>
        <v/>
      </c>
      <c r="Q916">
        <f>IF(AND(N916&lt;&gt;"",N(J916)=5),N916,"")</f>
        <v/>
      </c>
    </row>
    <row r="917">
      <c r="A917" s="1" t="n"/>
      <c r="B917" s="24" t="n"/>
      <c r="C917" s="25" t="n"/>
      <c r="D917" s="25" t="n"/>
      <c r="E917" s="26" t="n"/>
      <c r="F917" s="27" t="n"/>
      <c r="G917" s="26" t="n"/>
      <c r="H917" s="28" t="n"/>
      <c r="I917" s="28" t="n"/>
      <c r="J917" s="27" t="n"/>
      <c r="K917" s="16">
        <f>IF(OR(H917="",I917=""),"",I917-H917+1)</f>
        <v/>
      </c>
      <c r="L917" s="16">
        <f>IF(OR(K917="",N(F917)=0),"",F917/K917)</f>
        <v/>
      </c>
      <c r="M917" s="25" t="n"/>
      <c r="N917" s="1">
        <f>IF(AND(G917="Finished",I917&lt;&gt;""),IF(YEAR(I917)=Dashboard!$C$4,I917+ROW()/10000000,""),"")</f>
        <v/>
      </c>
      <c r="O917">
        <f>IF(B917="","",IFERROR(MATCH(D917,Settings!$B$6:$B$17,0),12))</f>
        <v/>
      </c>
      <c r="P917">
        <f>IF(AND(G917="Reading",B917&lt;&gt;""),IF(H917="",TODAY(),H917)+ROW()/10000000,"")</f>
        <v/>
      </c>
      <c r="Q917">
        <f>IF(AND(N917&lt;&gt;"",N(J917)=5),N917,"")</f>
        <v/>
      </c>
    </row>
    <row r="918">
      <c r="A918" s="1" t="n"/>
      <c r="B918" s="24" t="n"/>
      <c r="C918" s="25" t="n"/>
      <c r="D918" s="25" t="n"/>
      <c r="E918" s="26" t="n"/>
      <c r="F918" s="27" t="n"/>
      <c r="G918" s="26" t="n"/>
      <c r="H918" s="28" t="n"/>
      <c r="I918" s="28" t="n"/>
      <c r="J918" s="27" t="n"/>
      <c r="K918" s="16">
        <f>IF(OR(H918="",I918=""),"",I918-H918+1)</f>
        <v/>
      </c>
      <c r="L918" s="16">
        <f>IF(OR(K918="",N(F918)=0),"",F918/K918)</f>
        <v/>
      </c>
      <c r="M918" s="25" t="n"/>
      <c r="N918" s="1">
        <f>IF(AND(G918="Finished",I918&lt;&gt;""),IF(YEAR(I918)=Dashboard!$C$4,I918+ROW()/10000000,""),"")</f>
        <v/>
      </c>
      <c r="O918">
        <f>IF(B918="","",IFERROR(MATCH(D918,Settings!$B$6:$B$17,0),12))</f>
        <v/>
      </c>
      <c r="P918">
        <f>IF(AND(G918="Reading",B918&lt;&gt;""),IF(H918="",TODAY(),H918)+ROW()/10000000,"")</f>
        <v/>
      </c>
      <c r="Q918">
        <f>IF(AND(N918&lt;&gt;"",N(J918)=5),N918,"")</f>
        <v/>
      </c>
    </row>
    <row r="919">
      <c r="A919" s="1" t="n"/>
      <c r="B919" s="24" t="n"/>
      <c r="C919" s="25" t="n"/>
      <c r="D919" s="25" t="n"/>
      <c r="E919" s="26" t="n"/>
      <c r="F919" s="27" t="n"/>
      <c r="G919" s="26" t="n"/>
      <c r="H919" s="28" t="n"/>
      <c r="I919" s="28" t="n"/>
      <c r="J919" s="27" t="n"/>
      <c r="K919" s="16">
        <f>IF(OR(H919="",I919=""),"",I919-H919+1)</f>
        <v/>
      </c>
      <c r="L919" s="16">
        <f>IF(OR(K919="",N(F919)=0),"",F919/K919)</f>
        <v/>
      </c>
      <c r="M919" s="25" t="n"/>
      <c r="N919" s="1">
        <f>IF(AND(G919="Finished",I919&lt;&gt;""),IF(YEAR(I919)=Dashboard!$C$4,I919+ROW()/10000000,""),"")</f>
        <v/>
      </c>
      <c r="O919">
        <f>IF(B919="","",IFERROR(MATCH(D919,Settings!$B$6:$B$17,0),12))</f>
        <v/>
      </c>
      <c r="P919">
        <f>IF(AND(G919="Reading",B919&lt;&gt;""),IF(H919="",TODAY(),H919)+ROW()/10000000,"")</f>
        <v/>
      </c>
      <c r="Q919">
        <f>IF(AND(N919&lt;&gt;"",N(J919)=5),N919,"")</f>
        <v/>
      </c>
    </row>
    <row r="920">
      <c r="A920" s="1" t="n"/>
      <c r="B920" s="24" t="n"/>
      <c r="C920" s="25" t="n"/>
      <c r="D920" s="25" t="n"/>
      <c r="E920" s="26" t="n"/>
      <c r="F920" s="27" t="n"/>
      <c r="G920" s="26" t="n"/>
      <c r="H920" s="28" t="n"/>
      <c r="I920" s="28" t="n"/>
      <c r="J920" s="27" t="n"/>
      <c r="K920" s="16">
        <f>IF(OR(H920="",I920=""),"",I920-H920+1)</f>
        <v/>
      </c>
      <c r="L920" s="16">
        <f>IF(OR(K920="",N(F920)=0),"",F920/K920)</f>
        <v/>
      </c>
      <c r="M920" s="25" t="n"/>
      <c r="N920" s="1">
        <f>IF(AND(G920="Finished",I920&lt;&gt;""),IF(YEAR(I920)=Dashboard!$C$4,I920+ROW()/10000000,""),"")</f>
        <v/>
      </c>
      <c r="O920">
        <f>IF(B920="","",IFERROR(MATCH(D920,Settings!$B$6:$B$17,0),12))</f>
        <v/>
      </c>
      <c r="P920">
        <f>IF(AND(G920="Reading",B920&lt;&gt;""),IF(H920="",TODAY(),H920)+ROW()/10000000,"")</f>
        <v/>
      </c>
      <c r="Q920">
        <f>IF(AND(N920&lt;&gt;"",N(J920)=5),N920,"")</f>
        <v/>
      </c>
    </row>
    <row r="921">
      <c r="A921" s="1" t="n"/>
      <c r="B921" s="24" t="n"/>
      <c r="C921" s="25" t="n"/>
      <c r="D921" s="25" t="n"/>
      <c r="E921" s="26" t="n"/>
      <c r="F921" s="27" t="n"/>
      <c r="G921" s="26" t="n"/>
      <c r="H921" s="28" t="n"/>
      <c r="I921" s="28" t="n"/>
      <c r="J921" s="27" t="n"/>
      <c r="K921" s="16">
        <f>IF(OR(H921="",I921=""),"",I921-H921+1)</f>
        <v/>
      </c>
      <c r="L921" s="16">
        <f>IF(OR(K921="",N(F921)=0),"",F921/K921)</f>
        <v/>
      </c>
      <c r="M921" s="25" t="n"/>
      <c r="N921" s="1">
        <f>IF(AND(G921="Finished",I921&lt;&gt;""),IF(YEAR(I921)=Dashboard!$C$4,I921+ROW()/10000000,""),"")</f>
        <v/>
      </c>
      <c r="O921">
        <f>IF(B921="","",IFERROR(MATCH(D921,Settings!$B$6:$B$17,0),12))</f>
        <v/>
      </c>
      <c r="P921">
        <f>IF(AND(G921="Reading",B921&lt;&gt;""),IF(H921="",TODAY(),H921)+ROW()/10000000,"")</f>
        <v/>
      </c>
      <c r="Q921">
        <f>IF(AND(N921&lt;&gt;"",N(J921)=5),N921,"")</f>
        <v/>
      </c>
    </row>
    <row r="922">
      <c r="A922" s="1" t="n"/>
      <c r="B922" s="24" t="n"/>
      <c r="C922" s="25" t="n"/>
      <c r="D922" s="25" t="n"/>
      <c r="E922" s="26" t="n"/>
      <c r="F922" s="27" t="n"/>
      <c r="G922" s="26" t="n"/>
      <c r="H922" s="28" t="n"/>
      <c r="I922" s="28" t="n"/>
      <c r="J922" s="27" t="n"/>
      <c r="K922" s="16">
        <f>IF(OR(H922="",I922=""),"",I922-H922+1)</f>
        <v/>
      </c>
      <c r="L922" s="16">
        <f>IF(OR(K922="",N(F922)=0),"",F922/K922)</f>
        <v/>
      </c>
      <c r="M922" s="25" t="n"/>
      <c r="N922" s="1">
        <f>IF(AND(G922="Finished",I922&lt;&gt;""),IF(YEAR(I922)=Dashboard!$C$4,I922+ROW()/10000000,""),"")</f>
        <v/>
      </c>
      <c r="O922">
        <f>IF(B922="","",IFERROR(MATCH(D922,Settings!$B$6:$B$17,0),12))</f>
        <v/>
      </c>
      <c r="P922">
        <f>IF(AND(G922="Reading",B922&lt;&gt;""),IF(H922="",TODAY(),H922)+ROW()/10000000,"")</f>
        <v/>
      </c>
      <c r="Q922">
        <f>IF(AND(N922&lt;&gt;"",N(J922)=5),N922,"")</f>
        <v/>
      </c>
    </row>
    <row r="923">
      <c r="A923" s="1" t="n"/>
      <c r="B923" s="24" t="n"/>
      <c r="C923" s="25" t="n"/>
      <c r="D923" s="25" t="n"/>
      <c r="E923" s="26" t="n"/>
      <c r="F923" s="27" t="n"/>
      <c r="G923" s="26" t="n"/>
      <c r="H923" s="28" t="n"/>
      <c r="I923" s="28" t="n"/>
      <c r="J923" s="27" t="n"/>
      <c r="K923" s="16">
        <f>IF(OR(H923="",I923=""),"",I923-H923+1)</f>
        <v/>
      </c>
      <c r="L923" s="16">
        <f>IF(OR(K923="",N(F923)=0),"",F923/K923)</f>
        <v/>
      </c>
      <c r="M923" s="25" t="n"/>
      <c r="N923" s="1">
        <f>IF(AND(G923="Finished",I923&lt;&gt;""),IF(YEAR(I923)=Dashboard!$C$4,I923+ROW()/10000000,""),"")</f>
        <v/>
      </c>
      <c r="O923">
        <f>IF(B923="","",IFERROR(MATCH(D923,Settings!$B$6:$B$17,0),12))</f>
        <v/>
      </c>
      <c r="P923">
        <f>IF(AND(G923="Reading",B923&lt;&gt;""),IF(H923="",TODAY(),H923)+ROW()/10000000,"")</f>
        <v/>
      </c>
      <c r="Q923">
        <f>IF(AND(N923&lt;&gt;"",N(J923)=5),N923,"")</f>
        <v/>
      </c>
    </row>
    <row r="924">
      <c r="A924" s="1" t="n"/>
      <c r="B924" s="24" t="n"/>
      <c r="C924" s="25" t="n"/>
      <c r="D924" s="25" t="n"/>
      <c r="E924" s="26" t="n"/>
      <c r="F924" s="27" t="n"/>
      <c r="G924" s="26" t="n"/>
      <c r="H924" s="28" t="n"/>
      <c r="I924" s="28" t="n"/>
      <c r="J924" s="27" t="n"/>
      <c r="K924" s="16">
        <f>IF(OR(H924="",I924=""),"",I924-H924+1)</f>
        <v/>
      </c>
      <c r="L924" s="16">
        <f>IF(OR(K924="",N(F924)=0),"",F924/K924)</f>
        <v/>
      </c>
      <c r="M924" s="25" t="n"/>
      <c r="N924" s="1">
        <f>IF(AND(G924="Finished",I924&lt;&gt;""),IF(YEAR(I924)=Dashboard!$C$4,I924+ROW()/10000000,""),"")</f>
        <v/>
      </c>
      <c r="O924">
        <f>IF(B924="","",IFERROR(MATCH(D924,Settings!$B$6:$B$17,0),12))</f>
        <v/>
      </c>
      <c r="P924">
        <f>IF(AND(G924="Reading",B924&lt;&gt;""),IF(H924="",TODAY(),H924)+ROW()/10000000,"")</f>
        <v/>
      </c>
      <c r="Q924">
        <f>IF(AND(N924&lt;&gt;"",N(J924)=5),N924,"")</f>
        <v/>
      </c>
    </row>
    <row r="925">
      <c r="A925" s="1" t="n"/>
      <c r="B925" s="24" t="n"/>
      <c r="C925" s="25" t="n"/>
      <c r="D925" s="25" t="n"/>
      <c r="E925" s="26" t="n"/>
      <c r="F925" s="27" t="n"/>
      <c r="G925" s="26" t="n"/>
      <c r="H925" s="28" t="n"/>
      <c r="I925" s="28" t="n"/>
      <c r="J925" s="27" t="n"/>
      <c r="K925" s="16">
        <f>IF(OR(H925="",I925=""),"",I925-H925+1)</f>
        <v/>
      </c>
      <c r="L925" s="16">
        <f>IF(OR(K925="",N(F925)=0),"",F925/K925)</f>
        <v/>
      </c>
      <c r="M925" s="25" t="n"/>
      <c r="N925" s="1">
        <f>IF(AND(G925="Finished",I925&lt;&gt;""),IF(YEAR(I925)=Dashboard!$C$4,I925+ROW()/10000000,""),"")</f>
        <v/>
      </c>
      <c r="O925">
        <f>IF(B925="","",IFERROR(MATCH(D925,Settings!$B$6:$B$17,0),12))</f>
        <v/>
      </c>
      <c r="P925">
        <f>IF(AND(G925="Reading",B925&lt;&gt;""),IF(H925="",TODAY(),H925)+ROW()/10000000,"")</f>
        <v/>
      </c>
      <c r="Q925">
        <f>IF(AND(N925&lt;&gt;"",N(J925)=5),N925,"")</f>
        <v/>
      </c>
    </row>
    <row r="926">
      <c r="A926" s="1" t="n"/>
      <c r="B926" s="24" t="n"/>
      <c r="C926" s="25" t="n"/>
      <c r="D926" s="25" t="n"/>
      <c r="E926" s="26" t="n"/>
      <c r="F926" s="27" t="n"/>
      <c r="G926" s="26" t="n"/>
      <c r="H926" s="28" t="n"/>
      <c r="I926" s="28" t="n"/>
      <c r="J926" s="27" t="n"/>
      <c r="K926" s="16">
        <f>IF(OR(H926="",I926=""),"",I926-H926+1)</f>
        <v/>
      </c>
      <c r="L926" s="16">
        <f>IF(OR(K926="",N(F926)=0),"",F926/K926)</f>
        <v/>
      </c>
      <c r="M926" s="25" t="n"/>
      <c r="N926" s="1">
        <f>IF(AND(G926="Finished",I926&lt;&gt;""),IF(YEAR(I926)=Dashboard!$C$4,I926+ROW()/10000000,""),"")</f>
        <v/>
      </c>
      <c r="O926">
        <f>IF(B926="","",IFERROR(MATCH(D926,Settings!$B$6:$B$17,0),12))</f>
        <v/>
      </c>
      <c r="P926">
        <f>IF(AND(G926="Reading",B926&lt;&gt;""),IF(H926="",TODAY(),H926)+ROW()/10000000,"")</f>
        <v/>
      </c>
      <c r="Q926">
        <f>IF(AND(N926&lt;&gt;"",N(J926)=5),N926,"")</f>
        <v/>
      </c>
    </row>
    <row r="927">
      <c r="A927" s="1" t="n"/>
      <c r="B927" s="24" t="n"/>
      <c r="C927" s="25" t="n"/>
      <c r="D927" s="25" t="n"/>
      <c r="E927" s="26" t="n"/>
      <c r="F927" s="27" t="n"/>
      <c r="G927" s="26" t="n"/>
      <c r="H927" s="28" t="n"/>
      <c r="I927" s="28" t="n"/>
      <c r="J927" s="27" t="n"/>
      <c r="K927" s="16">
        <f>IF(OR(H927="",I927=""),"",I927-H927+1)</f>
        <v/>
      </c>
      <c r="L927" s="16">
        <f>IF(OR(K927="",N(F927)=0),"",F927/K927)</f>
        <v/>
      </c>
      <c r="M927" s="25" t="n"/>
      <c r="N927" s="1">
        <f>IF(AND(G927="Finished",I927&lt;&gt;""),IF(YEAR(I927)=Dashboard!$C$4,I927+ROW()/10000000,""),"")</f>
        <v/>
      </c>
      <c r="O927">
        <f>IF(B927="","",IFERROR(MATCH(D927,Settings!$B$6:$B$17,0),12))</f>
        <v/>
      </c>
      <c r="P927">
        <f>IF(AND(G927="Reading",B927&lt;&gt;""),IF(H927="",TODAY(),H927)+ROW()/10000000,"")</f>
        <v/>
      </c>
      <c r="Q927">
        <f>IF(AND(N927&lt;&gt;"",N(J927)=5),N927,"")</f>
        <v/>
      </c>
    </row>
    <row r="928">
      <c r="A928" s="1" t="n"/>
      <c r="B928" s="24" t="n"/>
      <c r="C928" s="25" t="n"/>
      <c r="D928" s="25" t="n"/>
      <c r="E928" s="26" t="n"/>
      <c r="F928" s="27" t="n"/>
      <c r="G928" s="26" t="n"/>
      <c r="H928" s="28" t="n"/>
      <c r="I928" s="28" t="n"/>
      <c r="J928" s="27" t="n"/>
      <c r="K928" s="16">
        <f>IF(OR(H928="",I928=""),"",I928-H928+1)</f>
        <v/>
      </c>
      <c r="L928" s="16">
        <f>IF(OR(K928="",N(F928)=0),"",F928/K928)</f>
        <v/>
      </c>
      <c r="M928" s="25" t="n"/>
      <c r="N928" s="1">
        <f>IF(AND(G928="Finished",I928&lt;&gt;""),IF(YEAR(I928)=Dashboard!$C$4,I928+ROW()/10000000,""),"")</f>
        <v/>
      </c>
      <c r="O928">
        <f>IF(B928="","",IFERROR(MATCH(D928,Settings!$B$6:$B$17,0),12))</f>
        <v/>
      </c>
      <c r="P928">
        <f>IF(AND(G928="Reading",B928&lt;&gt;""),IF(H928="",TODAY(),H928)+ROW()/10000000,"")</f>
        <v/>
      </c>
      <c r="Q928">
        <f>IF(AND(N928&lt;&gt;"",N(J928)=5),N928,"")</f>
        <v/>
      </c>
    </row>
    <row r="929">
      <c r="A929" s="1" t="n"/>
      <c r="B929" s="24" t="n"/>
      <c r="C929" s="25" t="n"/>
      <c r="D929" s="25" t="n"/>
      <c r="E929" s="26" t="n"/>
      <c r="F929" s="27" t="n"/>
      <c r="G929" s="26" t="n"/>
      <c r="H929" s="28" t="n"/>
      <c r="I929" s="28" t="n"/>
      <c r="J929" s="27" t="n"/>
      <c r="K929" s="16">
        <f>IF(OR(H929="",I929=""),"",I929-H929+1)</f>
        <v/>
      </c>
      <c r="L929" s="16">
        <f>IF(OR(K929="",N(F929)=0),"",F929/K929)</f>
        <v/>
      </c>
      <c r="M929" s="25" t="n"/>
      <c r="N929" s="1">
        <f>IF(AND(G929="Finished",I929&lt;&gt;""),IF(YEAR(I929)=Dashboard!$C$4,I929+ROW()/10000000,""),"")</f>
        <v/>
      </c>
      <c r="O929">
        <f>IF(B929="","",IFERROR(MATCH(D929,Settings!$B$6:$B$17,0),12))</f>
        <v/>
      </c>
      <c r="P929">
        <f>IF(AND(G929="Reading",B929&lt;&gt;""),IF(H929="",TODAY(),H929)+ROW()/10000000,"")</f>
        <v/>
      </c>
      <c r="Q929">
        <f>IF(AND(N929&lt;&gt;"",N(J929)=5),N929,"")</f>
        <v/>
      </c>
    </row>
    <row r="930">
      <c r="A930" s="1" t="n"/>
      <c r="B930" s="24" t="n"/>
      <c r="C930" s="25" t="n"/>
      <c r="D930" s="25" t="n"/>
      <c r="E930" s="26" t="n"/>
      <c r="F930" s="27" t="n"/>
      <c r="G930" s="26" t="n"/>
      <c r="H930" s="28" t="n"/>
      <c r="I930" s="28" t="n"/>
      <c r="J930" s="27" t="n"/>
      <c r="K930" s="16">
        <f>IF(OR(H930="",I930=""),"",I930-H930+1)</f>
        <v/>
      </c>
      <c r="L930" s="16">
        <f>IF(OR(K930="",N(F930)=0),"",F930/K930)</f>
        <v/>
      </c>
      <c r="M930" s="25" t="n"/>
      <c r="N930" s="1">
        <f>IF(AND(G930="Finished",I930&lt;&gt;""),IF(YEAR(I930)=Dashboard!$C$4,I930+ROW()/10000000,""),"")</f>
        <v/>
      </c>
      <c r="O930">
        <f>IF(B930="","",IFERROR(MATCH(D930,Settings!$B$6:$B$17,0),12))</f>
        <v/>
      </c>
      <c r="P930">
        <f>IF(AND(G930="Reading",B930&lt;&gt;""),IF(H930="",TODAY(),H930)+ROW()/10000000,"")</f>
        <v/>
      </c>
      <c r="Q930">
        <f>IF(AND(N930&lt;&gt;"",N(J930)=5),N930,"")</f>
        <v/>
      </c>
    </row>
    <row r="931">
      <c r="A931" s="1" t="n"/>
      <c r="B931" s="24" t="n"/>
      <c r="C931" s="25" t="n"/>
      <c r="D931" s="25" t="n"/>
      <c r="E931" s="26" t="n"/>
      <c r="F931" s="27" t="n"/>
      <c r="G931" s="26" t="n"/>
      <c r="H931" s="28" t="n"/>
      <c r="I931" s="28" t="n"/>
      <c r="J931" s="27" t="n"/>
      <c r="K931" s="16">
        <f>IF(OR(H931="",I931=""),"",I931-H931+1)</f>
        <v/>
      </c>
      <c r="L931" s="16">
        <f>IF(OR(K931="",N(F931)=0),"",F931/K931)</f>
        <v/>
      </c>
      <c r="M931" s="25" t="n"/>
      <c r="N931" s="1">
        <f>IF(AND(G931="Finished",I931&lt;&gt;""),IF(YEAR(I931)=Dashboard!$C$4,I931+ROW()/10000000,""),"")</f>
        <v/>
      </c>
      <c r="O931">
        <f>IF(B931="","",IFERROR(MATCH(D931,Settings!$B$6:$B$17,0),12))</f>
        <v/>
      </c>
      <c r="P931">
        <f>IF(AND(G931="Reading",B931&lt;&gt;""),IF(H931="",TODAY(),H931)+ROW()/10000000,"")</f>
        <v/>
      </c>
      <c r="Q931">
        <f>IF(AND(N931&lt;&gt;"",N(J931)=5),N931,"")</f>
        <v/>
      </c>
    </row>
    <row r="932">
      <c r="A932" s="1" t="n"/>
      <c r="B932" s="24" t="n"/>
      <c r="C932" s="25" t="n"/>
      <c r="D932" s="25" t="n"/>
      <c r="E932" s="26" t="n"/>
      <c r="F932" s="27" t="n"/>
      <c r="G932" s="26" t="n"/>
      <c r="H932" s="28" t="n"/>
      <c r="I932" s="28" t="n"/>
      <c r="J932" s="27" t="n"/>
      <c r="K932" s="16">
        <f>IF(OR(H932="",I932=""),"",I932-H932+1)</f>
        <v/>
      </c>
      <c r="L932" s="16">
        <f>IF(OR(K932="",N(F932)=0),"",F932/K932)</f>
        <v/>
      </c>
      <c r="M932" s="25" t="n"/>
      <c r="N932" s="1">
        <f>IF(AND(G932="Finished",I932&lt;&gt;""),IF(YEAR(I932)=Dashboard!$C$4,I932+ROW()/10000000,""),"")</f>
        <v/>
      </c>
      <c r="O932">
        <f>IF(B932="","",IFERROR(MATCH(D932,Settings!$B$6:$B$17,0),12))</f>
        <v/>
      </c>
      <c r="P932">
        <f>IF(AND(G932="Reading",B932&lt;&gt;""),IF(H932="",TODAY(),H932)+ROW()/10000000,"")</f>
        <v/>
      </c>
      <c r="Q932">
        <f>IF(AND(N932&lt;&gt;"",N(J932)=5),N932,"")</f>
        <v/>
      </c>
    </row>
    <row r="933">
      <c r="A933" s="1" t="n"/>
      <c r="B933" s="24" t="n"/>
      <c r="C933" s="25" t="n"/>
      <c r="D933" s="25" t="n"/>
      <c r="E933" s="26" t="n"/>
      <c r="F933" s="27" t="n"/>
      <c r="G933" s="26" t="n"/>
      <c r="H933" s="28" t="n"/>
      <c r="I933" s="28" t="n"/>
      <c r="J933" s="27" t="n"/>
      <c r="K933" s="16">
        <f>IF(OR(H933="",I933=""),"",I933-H933+1)</f>
        <v/>
      </c>
      <c r="L933" s="16">
        <f>IF(OR(K933="",N(F933)=0),"",F933/K933)</f>
        <v/>
      </c>
      <c r="M933" s="25" t="n"/>
      <c r="N933" s="1">
        <f>IF(AND(G933="Finished",I933&lt;&gt;""),IF(YEAR(I933)=Dashboard!$C$4,I933+ROW()/10000000,""),"")</f>
        <v/>
      </c>
      <c r="O933">
        <f>IF(B933="","",IFERROR(MATCH(D933,Settings!$B$6:$B$17,0),12))</f>
        <v/>
      </c>
      <c r="P933">
        <f>IF(AND(G933="Reading",B933&lt;&gt;""),IF(H933="",TODAY(),H933)+ROW()/10000000,"")</f>
        <v/>
      </c>
      <c r="Q933">
        <f>IF(AND(N933&lt;&gt;"",N(J933)=5),N933,"")</f>
        <v/>
      </c>
    </row>
    <row r="934">
      <c r="A934" s="1" t="n"/>
      <c r="B934" s="24" t="n"/>
      <c r="C934" s="25" t="n"/>
      <c r="D934" s="25" t="n"/>
      <c r="E934" s="26" t="n"/>
      <c r="F934" s="27" t="n"/>
      <c r="G934" s="26" t="n"/>
      <c r="H934" s="28" t="n"/>
      <c r="I934" s="28" t="n"/>
      <c r="J934" s="27" t="n"/>
      <c r="K934" s="16">
        <f>IF(OR(H934="",I934=""),"",I934-H934+1)</f>
        <v/>
      </c>
      <c r="L934" s="16">
        <f>IF(OR(K934="",N(F934)=0),"",F934/K934)</f>
        <v/>
      </c>
      <c r="M934" s="25" t="n"/>
      <c r="N934" s="1">
        <f>IF(AND(G934="Finished",I934&lt;&gt;""),IF(YEAR(I934)=Dashboard!$C$4,I934+ROW()/10000000,""),"")</f>
        <v/>
      </c>
      <c r="O934">
        <f>IF(B934="","",IFERROR(MATCH(D934,Settings!$B$6:$B$17,0),12))</f>
        <v/>
      </c>
      <c r="P934">
        <f>IF(AND(G934="Reading",B934&lt;&gt;""),IF(H934="",TODAY(),H934)+ROW()/10000000,"")</f>
        <v/>
      </c>
      <c r="Q934">
        <f>IF(AND(N934&lt;&gt;"",N(J934)=5),N934,"")</f>
        <v/>
      </c>
    </row>
    <row r="935">
      <c r="A935" s="1" t="n"/>
      <c r="B935" s="24" t="n"/>
      <c r="C935" s="25" t="n"/>
      <c r="D935" s="25" t="n"/>
      <c r="E935" s="26" t="n"/>
      <c r="F935" s="27" t="n"/>
      <c r="G935" s="26" t="n"/>
      <c r="H935" s="28" t="n"/>
      <c r="I935" s="28" t="n"/>
      <c r="J935" s="27" t="n"/>
      <c r="K935" s="16">
        <f>IF(OR(H935="",I935=""),"",I935-H935+1)</f>
        <v/>
      </c>
      <c r="L935" s="16">
        <f>IF(OR(K935="",N(F935)=0),"",F935/K935)</f>
        <v/>
      </c>
      <c r="M935" s="25" t="n"/>
      <c r="N935" s="1">
        <f>IF(AND(G935="Finished",I935&lt;&gt;""),IF(YEAR(I935)=Dashboard!$C$4,I935+ROW()/10000000,""),"")</f>
        <v/>
      </c>
      <c r="O935">
        <f>IF(B935="","",IFERROR(MATCH(D935,Settings!$B$6:$B$17,0),12))</f>
        <v/>
      </c>
      <c r="P935">
        <f>IF(AND(G935="Reading",B935&lt;&gt;""),IF(H935="",TODAY(),H935)+ROW()/10000000,"")</f>
        <v/>
      </c>
      <c r="Q935">
        <f>IF(AND(N935&lt;&gt;"",N(J935)=5),N935,"")</f>
        <v/>
      </c>
    </row>
    <row r="936">
      <c r="A936" s="1" t="n"/>
      <c r="B936" s="24" t="n"/>
      <c r="C936" s="25" t="n"/>
      <c r="D936" s="25" t="n"/>
      <c r="E936" s="26" t="n"/>
      <c r="F936" s="27" t="n"/>
      <c r="G936" s="26" t="n"/>
      <c r="H936" s="28" t="n"/>
      <c r="I936" s="28" t="n"/>
      <c r="J936" s="27" t="n"/>
      <c r="K936" s="16">
        <f>IF(OR(H936="",I936=""),"",I936-H936+1)</f>
        <v/>
      </c>
      <c r="L936" s="16">
        <f>IF(OR(K936="",N(F936)=0),"",F936/K936)</f>
        <v/>
      </c>
      <c r="M936" s="25" t="n"/>
      <c r="N936" s="1">
        <f>IF(AND(G936="Finished",I936&lt;&gt;""),IF(YEAR(I936)=Dashboard!$C$4,I936+ROW()/10000000,""),"")</f>
        <v/>
      </c>
      <c r="O936">
        <f>IF(B936="","",IFERROR(MATCH(D936,Settings!$B$6:$B$17,0),12))</f>
        <v/>
      </c>
      <c r="P936">
        <f>IF(AND(G936="Reading",B936&lt;&gt;""),IF(H936="",TODAY(),H936)+ROW()/10000000,"")</f>
        <v/>
      </c>
      <c r="Q936">
        <f>IF(AND(N936&lt;&gt;"",N(J936)=5),N936,"")</f>
        <v/>
      </c>
    </row>
    <row r="937">
      <c r="A937" s="1" t="n"/>
      <c r="B937" s="24" t="n"/>
      <c r="C937" s="25" t="n"/>
      <c r="D937" s="25" t="n"/>
      <c r="E937" s="26" t="n"/>
      <c r="F937" s="27" t="n"/>
      <c r="G937" s="26" t="n"/>
      <c r="H937" s="28" t="n"/>
      <c r="I937" s="28" t="n"/>
      <c r="J937" s="27" t="n"/>
      <c r="K937" s="16">
        <f>IF(OR(H937="",I937=""),"",I937-H937+1)</f>
        <v/>
      </c>
      <c r="L937" s="16">
        <f>IF(OR(K937="",N(F937)=0),"",F937/K937)</f>
        <v/>
      </c>
      <c r="M937" s="25" t="n"/>
      <c r="N937" s="1">
        <f>IF(AND(G937="Finished",I937&lt;&gt;""),IF(YEAR(I937)=Dashboard!$C$4,I937+ROW()/10000000,""),"")</f>
        <v/>
      </c>
      <c r="O937">
        <f>IF(B937="","",IFERROR(MATCH(D937,Settings!$B$6:$B$17,0),12))</f>
        <v/>
      </c>
      <c r="P937">
        <f>IF(AND(G937="Reading",B937&lt;&gt;""),IF(H937="",TODAY(),H937)+ROW()/10000000,"")</f>
        <v/>
      </c>
      <c r="Q937">
        <f>IF(AND(N937&lt;&gt;"",N(J937)=5),N937,"")</f>
        <v/>
      </c>
    </row>
    <row r="938">
      <c r="A938" s="1" t="n"/>
      <c r="B938" s="24" t="n"/>
      <c r="C938" s="25" t="n"/>
      <c r="D938" s="25" t="n"/>
      <c r="E938" s="26" t="n"/>
      <c r="F938" s="27" t="n"/>
      <c r="G938" s="26" t="n"/>
      <c r="H938" s="28" t="n"/>
      <c r="I938" s="28" t="n"/>
      <c r="J938" s="27" t="n"/>
      <c r="K938" s="16">
        <f>IF(OR(H938="",I938=""),"",I938-H938+1)</f>
        <v/>
      </c>
      <c r="L938" s="16">
        <f>IF(OR(K938="",N(F938)=0),"",F938/K938)</f>
        <v/>
      </c>
      <c r="M938" s="25" t="n"/>
      <c r="N938" s="1">
        <f>IF(AND(G938="Finished",I938&lt;&gt;""),IF(YEAR(I938)=Dashboard!$C$4,I938+ROW()/10000000,""),"")</f>
        <v/>
      </c>
      <c r="O938">
        <f>IF(B938="","",IFERROR(MATCH(D938,Settings!$B$6:$B$17,0),12))</f>
        <v/>
      </c>
      <c r="P938">
        <f>IF(AND(G938="Reading",B938&lt;&gt;""),IF(H938="",TODAY(),H938)+ROW()/10000000,"")</f>
        <v/>
      </c>
      <c r="Q938">
        <f>IF(AND(N938&lt;&gt;"",N(J938)=5),N938,"")</f>
        <v/>
      </c>
    </row>
    <row r="939">
      <c r="A939" s="1" t="n"/>
      <c r="B939" s="24" t="n"/>
      <c r="C939" s="25" t="n"/>
      <c r="D939" s="25" t="n"/>
      <c r="E939" s="26" t="n"/>
      <c r="F939" s="27" t="n"/>
      <c r="G939" s="26" t="n"/>
      <c r="H939" s="28" t="n"/>
      <c r="I939" s="28" t="n"/>
      <c r="J939" s="27" t="n"/>
      <c r="K939" s="16">
        <f>IF(OR(H939="",I939=""),"",I939-H939+1)</f>
        <v/>
      </c>
      <c r="L939" s="16">
        <f>IF(OR(K939="",N(F939)=0),"",F939/K939)</f>
        <v/>
      </c>
      <c r="M939" s="25" t="n"/>
      <c r="N939" s="1">
        <f>IF(AND(G939="Finished",I939&lt;&gt;""),IF(YEAR(I939)=Dashboard!$C$4,I939+ROW()/10000000,""),"")</f>
        <v/>
      </c>
      <c r="O939">
        <f>IF(B939="","",IFERROR(MATCH(D939,Settings!$B$6:$B$17,0),12))</f>
        <v/>
      </c>
      <c r="P939">
        <f>IF(AND(G939="Reading",B939&lt;&gt;""),IF(H939="",TODAY(),H939)+ROW()/10000000,"")</f>
        <v/>
      </c>
      <c r="Q939">
        <f>IF(AND(N939&lt;&gt;"",N(J939)=5),N939,"")</f>
        <v/>
      </c>
    </row>
    <row r="940">
      <c r="A940" s="1" t="n"/>
      <c r="B940" s="24" t="n"/>
      <c r="C940" s="25" t="n"/>
      <c r="D940" s="25" t="n"/>
      <c r="E940" s="26" t="n"/>
      <c r="F940" s="27" t="n"/>
      <c r="G940" s="26" t="n"/>
      <c r="H940" s="28" t="n"/>
      <c r="I940" s="28" t="n"/>
      <c r="J940" s="27" t="n"/>
      <c r="K940" s="16">
        <f>IF(OR(H940="",I940=""),"",I940-H940+1)</f>
        <v/>
      </c>
      <c r="L940" s="16">
        <f>IF(OR(K940="",N(F940)=0),"",F940/K940)</f>
        <v/>
      </c>
      <c r="M940" s="25" t="n"/>
      <c r="N940" s="1">
        <f>IF(AND(G940="Finished",I940&lt;&gt;""),IF(YEAR(I940)=Dashboard!$C$4,I940+ROW()/10000000,""),"")</f>
        <v/>
      </c>
      <c r="O940">
        <f>IF(B940="","",IFERROR(MATCH(D940,Settings!$B$6:$B$17,0),12))</f>
        <v/>
      </c>
      <c r="P940">
        <f>IF(AND(G940="Reading",B940&lt;&gt;""),IF(H940="",TODAY(),H940)+ROW()/10000000,"")</f>
        <v/>
      </c>
      <c r="Q940">
        <f>IF(AND(N940&lt;&gt;"",N(J940)=5),N940,"")</f>
        <v/>
      </c>
    </row>
    <row r="941">
      <c r="A941" s="1" t="n"/>
      <c r="B941" s="24" t="n"/>
      <c r="C941" s="25" t="n"/>
      <c r="D941" s="25" t="n"/>
      <c r="E941" s="26" t="n"/>
      <c r="F941" s="27" t="n"/>
      <c r="G941" s="26" t="n"/>
      <c r="H941" s="28" t="n"/>
      <c r="I941" s="28" t="n"/>
      <c r="J941" s="27" t="n"/>
      <c r="K941" s="16">
        <f>IF(OR(H941="",I941=""),"",I941-H941+1)</f>
        <v/>
      </c>
      <c r="L941" s="16">
        <f>IF(OR(K941="",N(F941)=0),"",F941/K941)</f>
        <v/>
      </c>
      <c r="M941" s="25" t="n"/>
      <c r="N941" s="1">
        <f>IF(AND(G941="Finished",I941&lt;&gt;""),IF(YEAR(I941)=Dashboard!$C$4,I941+ROW()/10000000,""),"")</f>
        <v/>
      </c>
      <c r="O941">
        <f>IF(B941="","",IFERROR(MATCH(D941,Settings!$B$6:$B$17,0),12))</f>
        <v/>
      </c>
      <c r="P941">
        <f>IF(AND(G941="Reading",B941&lt;&gt;""),IF(H941="",TODAY(),H941)+ROW()/10000000,"")</f>
        <v/>
      </c>
      <c r="Q941">
        <f>IF(AND(N941&lt;&gt;"",N(J941)=5),N941,"")</f>
        <v/>
      </c>
    </row>
    <row r="942">
      <c r="A942" s="1" t="n"/>
      <c r="B942" s="24" t="n"/>
      <c r="C942" s="25" t="n"/>
      <c r="D942" s="25" t="n"/>
      <c r="E942" s="26" t="n"/>
      <c r="F942" s="27" t="n"/>
      <c r="G942" s="26" t="n"/>
      <c r="H942" s="28" t="n"/>
      <c r="I942" s="28" t="n"/>
      <c r="J942" s="27" t="n"/>
      <c r="K942" s="16">
        <f>IF(OR(H942="",I942=""),"",I942-H942+1)</f>
        <v/>
      </c>
      <c r="L942" s="16">
        <f>IF(OR(K942="",N(F942)=0),"",F942/K942)</f>
        <v/>
      </c>
      <c r="M942" s="25" t="n"/>
      <c r="N942" s="1">
        <f>IF(AND(G942="Finished",I942&lt;&gt;""),IF(YEAR(I942)=Dashboard!$C$4,I942+ROW()/10000000,""),"")</f>
        <v/>
      </c>
      <c r="O942">
        <f>IF(B942="","",IFERROR(MATCH(D942,Settings!$B$6:$B$17,0),12))</f>
        <v/>
      </c>
      <c r="P942">
        <f>IF(AND(G942="Reading",B942&lt;&gt;""),IF(H942="",TODAY(),H942)+ROW()/10000000,"")</f>
        <v/>
      </c>
      <c r="Q942">
        <f>IF(AND(N942&lt;&gt;"",N(J942)=5),N942,"")</f>
        <v/>
      </c>
    </row>
    <row r="943">
      <c r="A943" s="1" t="n"/>
      <c r="B943" s="24" t="n"/>
      <c r="C943" s="25" t="n"/>
      <c r="D943" s="25" t="n"/>
      <c r="E943" s="26" t="n"/>
      <c r="F943" s="27" t="n"/>
      <c r="G943" s="26" t="n"/>
      <c r="H943" s="28" t="n"/>
      <c r="I943" s="28" t="n"/>
      <c r="J943" s="27" t="n"/>
      <c r="K943" s="16">
        <f>IF(OR(H943="",I943=""),"",I943-H943+1)</f>
        <v/>
      </c>
      <c r="L943" s="16">
        <f>IF(OR(K943="",N(F943)=0),"",F943/K943)</f>
        <v/>
      </c>
      <c r="M943" s="25" t="n"/>
      <c r="N943" s="1">
        <f>IF(AND(G943="Finished",I943&lt;&gt;""),IF(YEAR(I943)=Dashboard!$C$4,I943+ROW()/10000000,""),"")</f>
        <v/>
      </c>
      <c r="O943">
        <f>IF(B943="","",IFERROR(MATCH(D943,Settings!$B$6:$B$17,0),12))</f>
        <v/>
      </c>
      <c r="P943">
        <f>IF(AND(G943="Reading",B943&lt;&gt;""),IF(H943="",TODAY(),H943)+ROW()/10000000,"")</f>
        <v/>
      </c>
      <c r="Q943">
        <f>IF(AND(N943&lt;&gt;"",N(J943)=5),N943,"")</f>
        <v/>
      </c>
    </row>
    <row r="944">
      <c r="A944" s="1" t="n"/>
      <c r="B944" s="24" t="n"/>
      <c r="C944" s="25" t="n"/>
      <c r="D944" s="25" t="n"/>
      <c r="E944" s="26" t="n"/>
      <c r="F944" s="27" t="n"/>
      <c r="G944" s="26" t="n"/>
      <c r="H944" s="28" t="n"/>
      <c r="I944" s="28" t="n"/>
      <c r="J944" s="27" t="n"/>
      <c r="K944" s="16">
        <f>IF(OR(H944="",I944=""),"",I944-H944+1)</f>
        <v/>
      </c>
      <c r="L944" s="16">
        <f>IF(OR(K944="",N(F944)=0),"",F944/K944)</f>
        <v/>
      </c>
      <c r="M944" s="25" t="n"/>
      <c r="N944" s="1">
        <f>IF(AND(G944="Finished",I944&lt;&gt;""),IF(YEAR(I944)=Dashboard!$C$4,I944+ROW()/10000000,""),"")</f>
        <v/>
      </c>
      <c r="O944">
        <f>IF(B944="","",IFERROR(MATCH(D944,Settings!$B$6:$B$17,0),12))</f>
        <v/>
      </c>
      <c r="P944">
        <f>IF(AND(G944="Reading",B944&lt;&gt;""),IF(H944="",TODAY(),H944)+ROW()/10000000,"")</f>
        <v/>
      </c>
      <c r="Q944">
        <f>IF(AND(N944&lt;&gt;"",N(J944)=5),N944,"")</f>
        <v/>
      </c>
    </row>
    <row r="945">
      <c r="A945" s="1" t="n"/>
      <c r="B945" s="24" t="n"/>
      <c r="C945" s="25" t="n"/>
      <c r="D945" s="25" t="n"/>
      <c r="E945" s="26" t="n"/>
      <c r="F945" s="27" t="n"/>
      <c r="G945" s="26" t="n"/>
      <c r="H945" s="28" t="n"/>
      <c r="I945" s="28" t="n"/>
      <c r="J945" s="27" t="n"/>
      <c r="K945" s="16">
        <f>IF(OR(H945="",I945=""),"",I945-H945+1)</f>
        <v/>
      </c>
      <c r="L945" s="16">
        <f>IF(OR(K945="",N(F945)=0),"",F945/K945)</f>
        <v/>
      </c>
      <c r="M945" s="25" t="n"/>
      <c r="N945" s="1">
        <f>IF(AND(G945="Finished",I945&lt;&gt;""),IF(YEAR(I945)=Dashboard!$C$4,I945+ROW()/10000000,""),"")</f>
        <v/>
      </c>
      <c r="O945">
        <f>IF(B945="","",IFERROR(MATCH(D945,Settings!$B$6:$B$17,0),12))</f>
        <v/>
      </c>
      <c r="P945">
        <f>IF(AND(G945="Reading",B945&lt;&gt;""),IF(H945="",TODAY(),H945)+ROW()/10000000,"")</f>
        <v/>
      </c>
      <c r="Q945">
        <f>IF(AND(N945&lt;&gt;"",N(J945)=5),N945,"")</f>
        <v/>
      </c>
    </row>
    <row r="946">
      <c r="A946" s="1" t="n"/>
      <c r="B946" s="24" t="n"/>
      <c r="C946" s="25" t="n"/>
      <c r="D946" s="25" t="n"/>
      <c r="E946" s="26" t="n"/>
      <c r="F946" s="27" t="n"/>
      <c r="G946" s="26" t="n"/>
      <c r="H946" s="28" t="n"/>
      <c r="I946" s="28" t="n"/>
      <c r="J946" s="27" t="n"/>
      <c r="K946" s="16">
        <f>IF(OR(H946="",I946=""),"",I946-H946+1)</f>
        <v/>
      </c>
      <c r="L946" s="16">
        <f>IF(OR(K946="",N(F946)=0),"",F946/K946)</f>
        <v/>
      </c>
      <c r="M946" s="25" t="n"/>
      <c r="N946" s="1">
        <f>IF(AND(G946="Finished",I946&lt;&gt;""),IF(YEAR(I946)=Dashboard!$C$4,I946+ROW()/10000000,""),"")</f>
        <v/>
      </c>
      <c r="O946">
        <f>IF(B946="","",IFERROR(MATCH(D946,Settings!$B$6:$B$17,0),12))</f>
        <v/>
      </c>
      <c r="P946">
        <f>IF(AND(G946="Reading",B946&lt;&gt;""),IF(H946="",TODAY(),H946)+ROW()/10000000,"")</f>
        <v/>
      </c>
      <c r="Q946">
        <f>IF(AND(N946&lt;&gt;"",N(J946)=5),N946,"")</f>
        <v/>
      </c>
    </row>
    <row r="947">
      <c r="A947" s="1" t="n"/>
      <c r="B947" s="24" t="n"/>
      <c r="C947" s="25" t="n"/>
      <c r="D947" s="25" t="n"/>
      <c r="E947" s="26" t="n"/>
      <c r="F947" s="27" t="n"/>
      <c r="G947" s="26" t="n"/>
      <c r="H947" s="28" t="n"/>
      <c r="I947" s="28" t="n"/>
      <c r="J947" s="27" t="n"/>
      <c r="K947" s="16">
        <f>IF(OR(H947="",I947=""),"",I947-H947+1)</f>
        <v/>
      </c>
      <c r="L947" s="16">
        <f>IF(OR(K947="",N(F947)=0),"",F947/K947)</f>
        <v/>
      </c>
      <c r="M947" s="25" t="n"/>
      <c r="N947" s="1">
        <f>IF(AND(G947="Finished",I947&lt;&gt;""),IF(YEAR(I947)=Dashboard!$C$4,I947+ROW()/10000000,""),"")</f>
        <v/>
      </c>
      <c r="O947">
        <f>IF(B947="","",IFERROR(MATCH(D947,Settings!$B$6:$B$17,0),12))</f>
        <v/>
      </c>
      <c r="P947">
        <f>IF(AND(G947="Reading",B947&lt;&gt;""),IF(H947="",TODAY(),H947)+ROW()/10000000,"")</f>
        <v/>
      </c>
      <c r="Q947">
        <f>IF(AND(N947&lt;&gt;"",N(J947)=5),N947,"")</f>
        <v/>
      </c>
    </row>
    <row r="948">
      <c r="A948" s="1" t="n"/>
      <c r="B948" s="24" t="n"/>
      <c r="C948" s="25" t="n"/>
      <c r="D948" s="25" t="n"/>
      <c r="E948" s="26" t="n"/>
      <c r="F948" s="27" t="n"/>
      <c r="G948" s="26" t="n"/>
      <c r="H948" s="28" t="n"/>
      <c r="I948" s="28" t="n"/>
      <c r="J948" s="27" t="n"/>
      <c r="K948" s="16">
        <f>IF(OR(H948="",I948=""),"",I948-H948+1)</f>
        <v/>
      </c>
      <c r="L948" s="16">
        <f>IF(OR(K948="",N(F948)=0),"",F948/K948)</f>
        <v/>
      </c>
      <c r="M948" s="25" t="n"/>
      <c r="N948" s="1">
        <f>IF(AND(G948="Finished",I948&lt;&gt;""),IF(YEAR(I948)=Dashboard!$C$4,I948+ROW()/10000000,""),"")</f>
        <v/>
      </c>
      <c r="O948">
        <f>IF(B948="","",IFERROR(MATCH(D948,Settings!$B$6:$B$17,0),12))</f>
        <v/>
      </c>
      <c r="P948">
        <f>IF(AND(G948="Reading",B948&lt;&gt;""),IF(H948="",TODAY(),H948)+ROW()/10000000,"")</f>
        <v/>
      </c>
      <c r="Q948">
        <f>IF(AND(N948&lt;&gt;"",N(J948)=5),N948,"")</f>
        <v/>
      </c>
    </row>
    <row r="949">
      <c r="A949" s="1" t="n"/>
      <c r="B949" s="24" t="n"/>
      <c r="C949" s="25" t="n"/>
      <c r="D949" s="25" t="n"/>
      <c r="E949" s="26" t="n"/>
      <c r="F949" s="27" t="n"/>
      <c r="G949" s="26" t="n"/>
      <c r="H949" s="28" t="n"/>
      <c r="I949" s="28" t="n"/>
      <c r="J949" s="27" t="n"/>
      <c r="K949" s="16">
        <f>IF(OR(H949="",I949=""),"",I949-H949+1)</f>
        <v/>
      </c>
      <c r="L949" s="16">
        <f>IF(OR(K949="",N(F949)=0),"",F949/K949)</f>
        <v/>
      </c>
      <c r="M949" s="25" t="n"/>
      <c r="N949" s="1">
        <f>IF(AND(G949="Finished",I949&lt;&gt;""),IF(YEAR(I949)=Dashboard!$C$4,I949+ROW()/10000000,""),"")</f>
        <v/>
      </c>
      <c r="O949">
        <f>IF(B949="","",IFERROR(MATCH(D949,Settings!$B$6:$B$17,0),12))</f>
        <v/>
      </c>
      <c r="P949">
        <f>IF(AND(G949="Reading",B949&lt;&gt;""),IF(H949="",TODAY(),H949)+ROW()/10000000,"")</f>
        <v/>
      </c>
      <c r="Q949">
        <f>IF(AND(N949&lt;&gt;"",N(J949)=5),N949,"")</f>
        <v/>
      </c>
    </row>
    <row r="950">
      <c r="A950" s="1" t="n"/>
      <c r="B950" s="24" t="n"/>
      <c r="C950" s="25" t="n"/>
      <c r="D950" s="25" t="n"/>
      <c r="E950" s="26" t="n"/>
      <c r="F950" s="27" t="n"/>
      <c r="G950" s="26" t="n"/>
      <c r="H950" s="28" t="n"/>
      <c r="I950" s="28" t="n"/>
      <c r="J950" s="27" t="n"/>
      <c r="K950" s="16">
        <f>IF(OR(H950="",I950=""),"",I950-H950+1)</f>
        <v/>
      </c>
      <c r="L950" s="16">
        <f>IF(OR(K950="",N(F950)=0),"",F950/K950)</f>
        <v/>
      </c>
      <c r="M950" s="25" t="n"/>
      <c r="N950" s="1">
        <f>IF(AND(G950="Finished",I950&lt;&gt;""),IF(YEAR(I950)=Dashboard!$C$4,I950+ROW()/10000000,""),"")</f>
        <v/>
      </c>
      <c r="O950">
        <f>IF(B950="","",IFERROR(MATCH(D950,Settings!$B$6:$B$17,0),12))</f>
        <v/>
      </c>
      <c r="P950">
        <f>IF(AND(G950="Reading",B950&lt;&gt;""),IF(H950="",TODAY(),H950)+ROW()/10000000,"")</f>
        <v/>
      </c>
      <c r="Q950">
        <f>IF(AND(N950&lt;&gt;"",N(J950)=5),N950,"")</f>
        <v/>
      </c>
    </row>
    <row r="951">
      <c r="A951" s="1" t="n"/>
      <c r="B951" s="24" t="n"/>
      <c r="C951" s="25" t="n"/>
      <c r="D951" s="25" t="n"/>
      <c r="E951" s="26" t="n"/>
      <c r="F951" s="27" t="n"/>
      <c r="G951" s="26" t="n"/>
      <c r="H951" s="28" t="n"/>
      <c r="I951" s="28" t="n"/>
      <c r="J951" s="27" t="n"/>
      <c r="K951" s="16">
        <f>IF(OR(H951="",I951=""),"",I951-H951+1)</f>
        <v/>
      </c>
      <c r="L951" s="16">
        <f>IF(OR(K951="",N(F951)=0),"",F951/K951)</f>
        <v/>
      </c>
      <c r="M951" s="25" t="n"/>
      <c r="N951" s="1">
        <f>IF(AND(G951="Finished",I951&lt;&gt;""),IF(YEAR(I951)=Dashboard!$C$4,I951+ROW()/10000000,""),"")</f>
        <v/>
      </c>
      <c r="O951">
        <f>IF(B951="","",IFERROR(MATCH(D951,Settings!$B$6:$B$17,0),12))</f>
        <v/>
      </c>
      <c r="P951">
        <f>IF(AND(G951="Reading",B951&lt;&gt;""),IF(H951="",TODAY(),H951)+ROW()/10000000,"")</f>
        <v/>
      </c>
      <c r="Q951">
        <f>IF(AND(N951&lt;&gt;"",N(J951)=5),N951,"")</f>
        <v/>
      </c>
    </row>
    <row r="952">
      <c r="A952" s="1" t="n"/>
      <c r="B952" s="24" t="n"/>
      <c r="C952" s="25" t="n"/>
      <c r="D952" s="25" t="n"/>
      <c r="E952" s="26" t="n"/>
      <c r="F952" s="27" t="n"/>
      <c r="G952" s="26" t="n"/>
      <c r="H952" s="28" t="n"/>
      <c r="I952" s="28" t="n"/>
      <c r="J952" s="27" t="n"/>
      <c r="K952" s="16">
        <f>IF(OR(H952="",I952=""),"",I952-H952+1)</f>
        <v/>
      </c>
      <c r="L952" s="16">
        <f>IF(OR(K952="",N(F952)=0),"",F952/K952)</f>
        <v/>
      </c>
      <c r="M952" s="25" t="n"/>
      <c r="N952" s="1">
        <f>IF(AND(G952="Finished",I952&lt;&gt;""),IF(YEAR(I952)=Dashboard!$C$4,I952+ROW()/10000000,""),"")</f>
        <v/>
      </c>
      <c r="O952">
        <f>IF(B952="","",IFERROR(MATCH(D952,Settings!$B$6:$B$17,0),12))</f>
        <v/>
      </c>
      <c r="P952">
        <f>IF(AND(G952="Reading",B952&lt;&gt;""),IF(H952="",TODAY(),H952)+ROW()/10000000,"")</f>
        <v/>
      </c>
      <c r="Q952">
        <f>IF(AND(N952&lt;&gt;"",N(J952)=5),N952,"")</f>
        <v/>
      </c>
    </row>
    <row r="953">
      <c r="A953" s="1" t="n"/>
      <c r="B953" s="24" t="n"/>
      <c r="C953" s="25" t="n"/>
      <c r="D953" s="25" t="n"/>
      <c r="E953" s="26" t="n"/>
      <c r="F953" s="27" t="n"/>
      <c r="G953" s="26" t="n"/>
      <c r="H953" s="28" t="n"/>
      <c r="I953" s="28" t="n"/>
      <c r="J953" s="27" t="n"/>
      <c r="K953" s="16">
        <f>IF(OR(H953="",I953=""),"",I953-H953+1)</f>
        <v/>
      </c>
      <c r="L953" s="16">
        <f>IF(OR(K953="",N(F953)=0),"",F953/K953)</f>
        <v/>
      </c>
      <c r="M953" s="25" t="n"/>
      <c r="N953" s="1">
        <f>IF(AND(G953="Finished",I953&lt;&gt;""),IF(YEAR(I953)=Dashboard!$C$4,I953+ROW()/10000000,""),"")</f>
        <v/>
      </c>
      <c r="O953">
        <f>IF(B953="","",IFERROR(MATCH(D953,Settings!$B$6:$B$17,0),12))</f>
        <v/>
      </c>
      <c r="P953">
        <f>IF(AND(G953="Reading",B953&lt;&gt;""),IF(H953="",TODAY(),H953)+ROW()/10000000,"")</f>
        <v/>
      </c>
      <c r="Q953">
        <f>IF(AND(N953&lt;&gt;"",N(J953)=5),N953,"")</f>
        <v/>
      </c>
    </row>
    <row r="954">
      <c r="A954" s="1" t="n"/>
      <c r="B954" s="24" t="n"/>
      <c r="C954" s="25" t="n"/>
      <c r="D954" s="25" t="n"/>
      <c r="E954" s="26" t="n"/>
      <c r="F954" s="27" t="n"/>
      <c r="G954" s="26" t="n"/>
      <c r="H954" s="28" t="n"/>
      <c r="I954" s="28" t="n"/>
      <c r="J954" s="27" t="n"/>
      <c r="K954" s="16">
        <f>IF(OR(H954="",I954=""),"",I954-H954+1)</f>
        <v/>
      </c>
      <c r="L954" s="16">
        <f>IF(OR(K954="",N(F954)=0),"",F954/K954)</f>
        <v/>
      </c>
      <c r="M954" s="25" t="n"/>
      <c r="N954" s="1">
        <f>IF(AND(G954="Finished",I954&lt;&gt;""),IF(YEAR(I954)=Dashboard!$C$4,I954+ROW()/10000000,""),"")</f>
        <v/>
      </c>
      <c r="O954">
        <f>IF(B954="","",IFERROR(MATCH(D954,Settings!$B$6:$B$17,0),12))</f>
        <v/>
      </c>
      <c r="P954">
        <f>IF(AND(G954="Reading",B954&lt;&gt;""),IF(H954="",TODAY(),H954)+ROW()/10000000,"")</f>
        <v/>
      </c>
      <c r="Q954">
        <f>IF(AND(N954&lt;&gt;"",N(J954)=5),N954,"")</f>
        <v/>
      </c>
    </row>
    <row r="955">
      <c r="A955" s="1" t="n"/>
      <c r="B955" s="24" t="n"/>
      <c r="C955" s="25" t="n"/>
      <c r="D955" s="25" t="n"/>
      <c r="E955" s="26" t="n"/>
      <c r="F955" s="27" t="n"/>
      <c r="G955" s="26" t="n"/>
      <c r="H955" s="28" t="n"/>
      <c r="I955" s="28" t="n"/>
      <c r="J955" s="27" t="n"/>
      <c r="K955" s="16">
        <f>IF(OR(H955="",I955=""),"",I955-H955+1)</f>
        <v/>
      </c>
      <c r="L955" s="16">
        <f>IF(OR(K955="",N(F955)=0),"",F955/K955)</f>
        <v/>
      </c>
      <c r="M955" s="25" t="n"/>
      <c r="N955" s="1">
        <f>IF(AND(G955="Finished",I955&lt;&gt;""),IF(YEAR(I955)=Dashboard!$C$4,I955+ROW()/10000000,""),"")</f>
        <v/>
      </c>
      <c r="O955">
        <f>IF(B955="","",IFERROR(MATCH(D955,Settings!$B$6:$B$17,0),12))</f>
        <v/>
      </c>
      <c r="P955">
        <f>IF(AND(G955="Reading",B955&lt;&gt;""),IF(H955="",TODAY(),H955)+ROW()/10000000,"")</f>
        <v/>
      </c>
      <c r="Q955">
        <f>IF(AND(N955&lt;&gt;"",N(J955)=5),N955,"")</f>
        <v/>
      </c>
    </row>
    <row r="956">
      <c r="A956" s="1" t="n"/>
      <c r="B956" s="24" t="n"/>
      <c r="C956" s="25" t="n"/>
      <c r="D956" s="25" t="n"/>
      <c r="E956" s="26" t="n"/>
      <c r="F956" s="27" t="n"/>
      <c r="G956" s="26" t="n"/>
      <c r="H956" s="28" t="n"/>
      <c r="I956" s="28" t="n"/>
      <c r="J956" s="27" t="n"/>
      <c r="K956" s="16">
        <f>IF(OR(H956="",I956=""),"",I956-H956+1)</f>
        <v/>
      </c>
      <c r="L956" s="16">
        <f>IF(OR(K956="",N(F956)=0),"",F956/K956)</f>
        <v/>
      </c>
      <c r="M956" s="25" t="n"/>
      <c r="N956" s="1">
        <f>IF(AND(G956="Finished",I956&lt;&gt;""),IF(YEAR(I956)=Dashboard!$C$4,I956+ROW()/10000000,""),"")</f>
        <v/>
      </c>
      <c r="O956">
        <f>IF(B956="","",IFERROR(MATCH(D956,Settings!$B$6:$B$17,0),12))</f>
        <v/>
      </c>
      <c r="P956">
        <f>IF(AND(G956="Reading",B956&lt;&gt;""),IF(H956="",TODAY(),H956)+ROW()/10000000,"")</f>
        <v/>
      </c>
      <c r="Q956">
        <f>IF(AND(N956&lt;&gt;"",N(J956)=5),N956,"")</f>
        <v/>
      </c>
    </row>
    <row r="957">
      <c r="A957" s="1" t="n"/>
      <c r="B957" s="24" t="n"/>
      <c r="C957" s="25" t="n"/>
      <c r="D957" s="25" t="n"/>
      <c r="E957" s="26" t="n"/>
      <c r="F957" s="27" t="n"/>
      <c r="G957" s="26" t="n"/>
      <c r="H957" s="28" t="n"/>
      <c r="I957" s="28" t="n"/>
      <c r="J957" s="27" t="n"/>
      <c r="K957" s="16">
        <f>IF(OR(H957="",I957=""),"",I957-H957+1)</f>
        <v/>
      </c>
      <c r="L957" s="16">
        <f>IF(OR(K957="",N(F957)=0),"",F957/K957)</f>
        <v/>
      </c>
      <c r="M957" s="25" t="n"/>
      <c r="N957" s="1">
        <f>IF(AND(G957="Finished",I957&lt;&gt;""),IF(YEAR(I957)=Dashboard!$C$4,I957+ROW()/10000000,""),"")</f>
        <v/>
      </c>
      <c r="O957">
        <f>IF(B957="","",IFERROR(MATCH(D957,Settings!$B$6:$B$17,0),12))</f>
        <v/>
      </c>
      <c r="P957">
        <f>IF(AND(G957="Reading",B957&lt;&gt;""),IF(H957="",TODAY(),H957)+ROW()/10000000,"")</f>
        <v/>
      </c>
      <c r="Q957">
        <f>IF(AND(N957&lt;&gt;"",N(J957)=5),N957,"")</f>
        <v/>
      </c>
    </row>
    <row r="958">
      <c r="A958" s="1" t="n"/>
      <c r="B958" s="24" t="n"/>
      <c r="C958" s="25" t="n"/>
      <c r="D958" s="25" t="n"/>
      <c r="E958" s="26" t="n"/>
      <c r="F958" s="27" t="n"/>
      <c r="G958" s="26" t="n"/>
      <c r="H958" s="28" t="n"/>
      <c r="I958" s="28" t="n"/>
      <c r="J958" s="27" t="n"/>
      <c r="K958" s="16">
        <f>IF(OR(H958="",I958=""),"",I958-H958+1)</f>
        <v/>
      </c>
      <c r="L958" s="16">
        <f>IF(OR(K958="",N(F958)=0),"",F958/K958)</f>
        <v/>
      </c>
      <c r="M958" s="25" t="n"/>
      <c r="N958" s="1">
        <f>IF(AND(G958="Finished",I958&lt;&gt;""),IF(YEAR(I958)=Dashboard!$C$4,I958+ROW()/10000000,""),"")</f>
        <v/>
      </c>
      <c r="O958">
        <f>IF(B958="","",IFERROR(MATCH(D958,Settings!$B$6:$B$17,0),12))</f>
        <v/>
      </c>
      <c r="P958">
        <f>IF(AND(G958="Reading",B958&lt;&gt;""),IF(H958="",TODAY(),H958)+ROW()/10000000,"")</f>
        <v/>
      </c>
      <c r="Q958">
        <f>IF(AND(N958&lt;&gt;"",N(J958)=5),N958,"")</f>
        <v/>
      </c>
    </row>
    <row r="959">
      <c r="A959" s="1" t="n"/>
      <c r="B959" s="24" t="n"/>
      <c r="C959" s="25" t="n"/>
      <c r="D959" s="25" t="n"/>
      <c r="E959" s="26" t="n"/>
      <c r="F959" s="27" t="n"/>
      <c r="G959" s="26" t="n"/>
      <c r="H959" s="28" t="n"/>
      <c r="I959" s="28" t="n"/>
      <c r="J959" s="27" t="n"/>
      <c r="K959" s="16">
        <f>IF(OR(H959="",I959=""),"",I959-H959+1)</f>
        <v/>
      </c>
      <c r="L959" s="16">
        <f>IF(OR(K959="",N(F959)=0),"",F959/K959)</f>
        <v/>
      </c>
      <c r="M959" s="25" t="n"/>
      <c r="N959" s="1">
        <f>IF(AND(G959="Finished",I959&lt;&gt;""),IF(YEAR(I959)=Dashboard!$C$4,I959+ROW()/10000000,""),"")</f>
        <v/>
      </c>
      <c r="O959">
        <f>IF(B959="","",IFERROR(MATCH(D959,Settings!$B$6:$B$17,0),12))</f>
        <v/>
      </c>
      <c r="P959">
        <f>IF(AND(G959="Reading",B959&lt;&gt;""),IF(H959="",TODAY(),H959)+ROW()/10000000,"")</f>
        <v/>
      </c>
      <c r="Q959">
        <f>IF(AND(N959&lt;&gt;"",N(J959)=5),N959,"")</f>
        <v/>
      </c>
    </row>
    <row r="960">
      <c r="A960" s="1" t="n"/>
      <c r="B960" s="24" t="n"/>
      <c r="C960" s="25" t="n"/>
      <c r="D960" s="25" t="n"/>
      <c r="E960" s="26" t="n"/>
      <c r="F960" s="27" t="n"/>
      <c r="G960" s="26" t="n"/>
      <c r="H960" s="28" t="n"/>
      <c r="I960" s="28" t="n"/>
      <c r="J960" s="27" t="n"/>
      <c r="K960" s="16">
        <f>IF(OR(H960="",I960=""),"",I960-H960+1)</f>
        <v/>
      </c>
      <c r="L960" s="16">
        <f>IF(OR(K960="",N(F960)=0),"",F960/K960)</f>
        <v/>
      </c>
      <c r="M960" s="25" t="n"/>
      <c r="N960" s="1">
        <f>IF(AND(G960="Finished",I960&lt;&gt;""),IF(YEAR(I960)=Dashboard!$C$4,I960+ROW()/10000000,""),"")</f>
        <v/>
      </c>
      <c r="O960">
        <f>IF(B960="","",IFERROR(MATCH(D960,Settings!$B$6:$B$17,0),12))</f>
        <v/>
      </c>
      <c r="P960">
        <f>IF(AND(G960="Reading",B960&lt;&gt;""),IF(H960="",TODAY(),H960)+ROW()/10000000,"")</f>
        <v/>
      </c>
      <c r="Q960">
        <f>IF(AND(N960&lt;&gt;"",N(J960)=5),N960,"")</f>
        <v/>
      </c>
    </row>
    <row r="961">
      <c r="A961" s="1" t="n"/>
      <c r="B961" s="24" t="n"/>
      <c r="C961" s="25" t="n"/>
      <c r="D961" s="25" t="n"/>
      <c r="E961" s="26" t="n"/>
      <c r="F961" s="27" t="n"/>
      <c r="G961" s="26" t="n"/>
      <c r="H961" s="28" t="n"/>
      <c r="I961" s="28" t="n"/>
      <c r="J961" s="27" t="n"/>
      <c r="K961" s="16">
        <f>IF(OR(H961="",I961=""),"",I961-H961+1)</f>
        <v/>
      </c>
      <c r="L961" s="16">
        <f>IF(OR(K961="",N(F961)=0),"",F961/K961)</f>
        <v/>
      </c>
      <c r="M961" s="25" t="n"/>
      <c r="N961" s="1">
        <f>IF(AND(G961="Finished",I961&lt;&gt;""),IF(YEAR(I961)=Dashboard!$C$4,I961+ROW()/10000000,""),"")</f>
        <v/>
      </c>
      <c r="O961">
        <f>IF(B961="","",IFERROR(MATCH(D961,Settings!$B$6:$B$17,0),12))</f>
        <v/>
      </c>
      <c r="P961">
        <f>IF(AND(G961="Reading",B961&lt;&gt;""),IF(H961="",TODAY(),H961)+ROW()/10000000,"")</f>
        <v/>
      </c>
      <c r="Q961">
        <f>IF(AND(N961&lt;&gt;"",N(J961)=5),N961,"")</f>
        <v/>
      </c>
    </row>
    <row r="962">
      <c r="A962" s="1" t="n"/>
      <c r="B962" s="24" t="n"/>
      <c r="C962" s="25" t="n"/>
      <c r="D962" s="25" t="n"/>
      <c r="E962" s="26" t="n"/>
      <c r="F962" s="27" t="n"/>
      <c r="G962" s="26" t="n"/>
      <c r="H962" s="28" t="n"/>
      <c r="I962" s="28" t="n"/>
      <c r="J962" s="27" t="n"/>
      <c r="K962" s="16">
        <f>IF(OR(H962="",I962=""),"",I962-H962+1)</f>
        <v/>
      </c>
      <c r="L962" s="16">
        <f>IF(OR(K962="",N(F962)=0),"",F962/K962)</f>
        <v/>
      </c>
      <c r="M962" s="25" t="n"/>
      <c r="N962" s="1">
        <f>IF(AND(G962="Finished",I962&lt;&gt;""),IF(YEAR(I962)=Dashboard!$C$4,I962+ROW()/10000000,""),"")</f>
        <v/>
      </c>
      <c r="O962">
        <f>IF(B962="","",IFERROR(MATCH(D962,Settings!$B$6:$B$17,0),12))</f>
        <v/>
      </c>
      <c r="P962">
        <f>IF(AND(G962="Reading",B962&lt;&gt;""),IF(H962="",TODAY(),H962)+ROW()/10000000,"")</f>
        <v/>
      </c>
      <c r="Q962">
        <f>IF(AND(N962&lt;&gt;"",N(J962)=5),N962,"")</f>
        <v/>
      </c>
    </row>
    <row r="963">
      <c r="A963" s="1" t="n"/>
      <c r="B963" s="24" t="n"/>
      <c r="C963" s="25" t="n"/>
      <c r="D963" s="25" t="n"/>
      <c r="E963" s="26" t="n"/>
      <c r="F963" s="27" t="n"/>
      <c r="G963" s="26" t="n"/>
      <c r="H963" s="28" t="n"/>
      <c r="I963" s="28" t="n"/>
      <c r="J963" s="27" t="n"/>
      <c r="K963" s="16">
        <f>IF(OR(H963="",I963=""),"",I963-H963+1)</f>
        <v/>
      </c>
      <c r="L963" s="16">
        <f>IF(OR(K963="",N(F963)=0),"",F963/K963)</f>
        <v/>
      </c>
      <c r="M963" s="25" t="n"/>
      <c r="N963" s="1">
        <f>IF(AND(G963="Finished",I963&lt;&gt;""),IF(YEAR(I963)=Dashboard!$C$4,I963+ROW()/10000000,""),"")</f>
        <v/>
      </c>
      <c r="O963">
        <f>IF(B963="","",IFERROR(MATCH(D963,Settings!$B$6:$B$17,0),12))</f>
        <v/>
      </c>
      <c r="P963">
        <f>IF(AND(G963="Reading",B963&lt;&gt;""),IF(H963="",TODAY(),H963)+ROW()/10000000,"")</f>
        <v/>
      </c>
      <c r="Q963">
        <f>IF(AND(N963&lt;&gt;"",N(J963)=5),N963,"")</f>
        <v/>
      </c>
    </row>
    <row r="964">
      <c r="A964" s="1" t="n"/>
      <c r="B964" s="24" t="n"/>
      <c r="C964" s="25" t="n"/>
      <c r="D964" s="25" t="n"/>
      <c r="E964" s="26" t="n"/>
      <c r="F964" s="27" t="n"/>
      <c r="G964" s="26" t="n"/>
      <c r="H964" s="28" t="n"/>
      <c r="I964" s="28" t="n"/>
      <c r="J964" s="27" t="n"/>
      <c r="K964" s="16">
        <f>IF(OR(H964="",I964=""),"",I964-H964+1)</f>
        <v/>
      </c>
      <c r="L964" s="16">
        <f>IF(OR(K964="",N(F964)=0),"",F964/K964)</f>
        <v/>
      </c>
      <c r="M964" s="25" t="n"/>
      <c r="N964" s="1">
        <f>IF(AND(G964="Finished",I964&lt;&gt;""),IF(YEAR(I964)=Dashboard!$C$4,I964+ROW()/10000000,""),"")</f>
        <v/>
      </c>
      <c r="O964">
        <f>IF(B964="","",IFERROR(MATCH(D964,Settings!$B$6:$B$17,0),12))</f>
        <v/>
      </c>
      <c r="P964">
        <f>IF(AND(G964="Reading",B964&lt;&gt;""),IF(H964="",TODAY(),H964)+ROW()/10000000,"")</f>
        <v/>
      </c>
      <c r="Q964">
        <f>IF(AND(N964&lt;&gt;"",N(J964)=5),N964,"")</f>
        <v/>
      </c>
    </row>
    <row r="965">
      <c r="A965" s="1" t="n"/>
      <c r="B965" s="24" t="n"/>
      <c r="C965" s="25" t="n"/>
      <c r="D965" s="25" t="n"/>
      <c r="E965" s="26" t="n"/>
      <c r="F965" s="27" t="n"/>
      <c r="G965" s="26" t="n"/>
      <c r="H965" s="28" t="n"/>
      <c r="I965" s="28" t="n"/>
      <c r="J965" s="27" t="n"/>
      <c r="K965" s="16">
        <f>IF(OR(H965="",I965=""),"",I965-H965+1)</f>
        <v/>
      </c>
      <c r="L965" s="16">
        <f>IF(OR(K965="",N(F965)=0),"",F965/K965)</f>
        <v/>
      </c>
      <c r="M965" s="25" t="n"/>
      <c r="N965" s="1">
        <f>IF(AND(G965="Finished",I965&lt;&gt;""),IF(YEAR(I965)=Dashboard!$C$4,I965+ROW()/10000000,""),"")</f>
        <v/>
      </c>
      <c r="O965">
        <f>IF(B965="","",IFERROR(MATCH(D965,Settings!$B$6:$B$17,0),12))</f>
        <v/>
      </c>
      <c r="P965">
        <f>IF(AND(G965="Reading",B965&lt;&gt;""),IF(H965="",TODAY(),H965)+ROW()/10000000,"")</f>
        <v/>
      </c>
      <c r="Q965">
        <f>IF(AND(N965&lt;&gt;"",N(J965)=5),N965,"")</f>
        <v/>
      </c>
    </row>
    <row r="966">
      <c r="A966" s="1" t="n"/>
      <c r="B966" s="24" t="n"/>
      <c r="C966" s="25" t="n"/>
      <c r="D966" s="25" t="n"/>
      <c r="E966" s="26" t="n"/>
      <c r="F966" s="27" t="n"/>
      <c r="G966" s="26" t="n"/>
      <c r="H966" s="28" t="n"/>
      <c r="I966" s="28" t="n"/>
      <c r="J966" s="27" t="n"/>
      <c r="K966" s="16">
        <f>IF(OR(H966="",I966=""),"",I966-H966+1)</f>
        <v/>
      </c>
      <c r="L966" s="16">
        <f>IF(OR(K966="",N(F966)=0),"",F966/K966)</f>
        <v/>
      </c>
      <c r="M966" s="25" t="n"/>
      <c r="N966" s="1">
        <f>IF(AND(G966="Finished",I966&lt;&gt;""),IF(YEAR(I966)=Dashboard!$C$4,I966+ROW()/10000000,""),"")</f>
        <v/>
      </c>
      <c r="O966">
        <f>IF(B966="","",IFERROR(MATCH(D966,Settings!$B$6:$B$17,0),12))</f>
        <v/>
      </c>
      <c r="P966">
        <f>IF(AND(G966="Reading",B966&lt;&gt;""),IF(H966="",TODAY(),H966)+ROW()/10000000,"")</f>
        <v/>
      </c>
      <c r="Q966">
        <f>IF(AND(N966&lt;&gt;"",N(J966)=5),N966,"")</f>
        <v/>
      </c>
    </row>
    <row r="967">
      <c r="A967" s="1" t="n"/>
      <c r="B967" s="24" t="n"/>
      <c r="C967" s="25" t="n"/>
      <c r="D967" s="25" t="n"/>
      <c r="E967" s="26" t="n"/>
      <c r="F967" s="27" t="n"/>
      <c r="G967" s="26" t="n"/>
      <c r="H967" s="28" t="n"/>
      <c r="I967" s="28" t="n"/>
      <c r="J967" s="27" t="n"/>
      <c r="K967" s="16">
        <f>IF(OR(H967="",I967=""),"",I967-H967+1)</f>
        <v/>
      </c>
      <c r="L967" s="16">
        <f>IF(OR(K967="",N(F967)=0),"",F967/K967)</f>
        <v/>
      </c>
      <c r="M967" s="25" t="n"/>
      <c r="N967" s="1">
        <f>IF(AND(G967="Finished",I967&lt;&gt;""),IF(YEAR(I967)=Dashboard!$C$4,I967+ROW()/10000000,""),"")</f>
        <v/>
      </c>
      <c r="O967">
        <f>IF(B967="","",IFERROR(MATCH(D967,Settings!$B$6:$B$17,0),12))</f>
        <v/>
      </c>
      <c r="P967">
        <f>IF(AND(G967="Reading",B967&lt;&gt;""),IF(H967="",TODAY(),H967)+ROW()/10000000,"")</f>
        <v/>
      </c>
      <c r="Q967">
        <f>IF(AND(N967&lt;&gt;"",N(J967)=5),N967,"")</f>
        <v/>
      </c>
    </row>
    <row r="968">
      <c r="A968" s="1" t="n"/>
      <c r="B968" s="24" t="n"/>
      <c r="C968" s="25" t="n"/>
      <c r="D968" s="25" t="n"/>
      <c r="E968" s="26" t="n"/>
      <c r="F968" s="27" t="n"/>
      <c r="G968" s="26" t="n"/>
      <c r="H968" s="28" t="n"/>
      <c r="I968" s="28" t="n"/>
      <c r="J968" s="27" t="n"/>
      <c r="K968" s="16">
        <f>IF(OR(H968="",I968=""),"",I968-H968+1)</f>
        <v/>
      </c>
      <c r="L968" s="16">
        <f>IF(OR(K968="",N(F968)=0),"",F968/K968)</f>
        <v/>
      </c>
      <c r="M968" s="25" t="n"/>
      <c r="N968" s="1">
        <f>IF(AND(G968="Finished",I968&lt;&gt;""),IF(YEAR(I968)=Dashboard!$C$4,I968+ROW()/10000000,""),"")</f>
        <v/>
      </c>
      <c r="O968">
        <f>IF(B968="","",IFERROR(MATCH(D968,Settings!$B$6:$B$17,0),12))</f>
        <v/>
      </c>
      <c r="P968">
        <f>IF(AND(G968="Reading",B968&lt;&gt;""),IF(H968="",TODAY(),H968)+ROW()/10000000,"")</f>
        <v/>
      </c>
      <c r="Q968">
        <f>IF(AND(N968&lt;&gt;"",N(J968)=5),N968,"")</f>
        <v/>
      </c>
    </row>
    <row r="969">
      <c r="A969" s="1" t="n"/>
      <c r="B969" s="24" t="n"/>
      <c r="C969" s="25" t="n"/>
      <c r="D969" s="25" t="n"/>
      <c r="E969" s="26" t="n"/>
      <c r="F969" s="27" t="n"/>
      <c r="G969" s="26" t="n"/>
      <c r="H969" s="28" t="n"/>
      <c r="I969" s="28" t="n"/>
      <c r="J969" s="27" t="n"/>
      <c r="K969" s="16">
        <f>IF(OR(H969="",I969=""),"",I969-H969+1)</f>
        <v/>
      </c>
      <c r="L969" s="16">
        <f>IF(OR(K969="",N(F969)=0),"",F969/K969)</f>
        <v/>
      </c>
      <c r="M969" s="25" t="n"/>
      <c r="N969" s="1">
        <f>IF(AND(G969="Finished",I969&lt;&gt;""),IF(YEAR(I969)=Dashboard!$C$4,I969+ROW()/10000000,""),"")</f>
        <v/>
      </c>
      <c r="O969">
        <f>IF(B969="","",IFERROR(MATCH(D969,Settings!$B$6:$B$17,0),12))</f>
        <v/>
      </c>
      <c r="P969">
        <f>IF(AND(G969="Reading",B969&lt;&gt;""),IF(H969="",TODAY(),H969)+ROW()/10000000,"")</f>
        <v/>
      </c>
      <c r="Q969">
        <f>IF(AND(N969&lt;&gt;"",N(J969)=5),N969,"")</f>
        <v/>
      </c>
    </row>
    <row r="970">
      <c r="A970" s="1" t="n"/>
      <c r="B970" s="24" t="n"/>
      <c r="C970" s="25" t="n"/>
      <c r="D970" s="25" t="n"/>
      <c r="E970" s="26" t="n"/>
      <c r="F970" s="27" t="n"/>
      <c r="G970" s="26" t="n"/>
      <c r="H970" s="28" t="n"/>
      <c r="I970" s="28" t="n"/>
      <c r="J970" s="27" t="n"/>
      <c r="K970" s="16">
        <f>IF(OR(H970="",I970=""),"",I970-H970+1)</f>
        <v/>
      </c>
      <c r="L970" s="16">
        <f>IF(OR(K970="",N(F970)=0),"",F970/K970)</f>
        <v/>
      </c>
      <c r="M970" s="25" t="n"/>
      <c r="N970" s="1">
        <f>IF(AND(G970="Finished",I970&lt;&gt;""),IF(YEAR(I970)=Dashboard!$C$4,I970+ROW()/10000000,""),"")</f>
        <v/>
      </c>
      <c r="O970">
        <f>IF(B970="","",IFERROR(MATCH(D970,Settings!$B$6:$B$17,0),12))</f>
        <v/>
      </c>
      <c r="P970">
        <f>IF(AND(G970="Reading",B970&lt;&gt;""),IF(H970="",TODAY(),H970)+ROW()/10000000,"")</f>
        <v/>
      </c>
      <c r="Q970">
        <f>IF(AND(N970&lt;&gt;"",N(J970)=5),N970,"")</f>
        <v/>
      </c>
    </row>
    <row r="971">
      <c r="A971" s="1" t="n"/>
      <c r="B971" s="24" t="n"/>
      <c r="C971" s="25" t="n"/>
      <c r="D971" s="25" t="n"/>
      <c r="E971" s="26" t="n"/>
      <c r="F971" s="27" t="n"/>
      <c r="G971" s="26" t="n"/>
      <c r="H971" s="28" t="n"/>
      <c r="I971" s="28" t="n"/>
      <c r="J971" s="27" t="n"/>
      <c r="K971" s="16">
        <f>IF(OR(H971="",I971=""),"",I971-H971+1)</f>
        <v/>
      </c>
      <c r="L971" s="16">
        <f>IF(OR(K971="",N(F971)=0),"",F971/K971)</f>
        <v/>
      </c>
      <c r="M971" s="25" t="n"/>
      <c r="N971" s="1">
        <f>IF(AND(G971="Finished",I971&lt;&gt;""),IF(YEAR(I971)=Dashboard!$C$4,I971+ROW()/10000000,""),"")</f>
        <v/>
      </c>
      <c r="O971">
        <f>IF(B971="","",IFERROR(MATCH(D971,Settings!$B$6:$B$17,0),12))</f>
        <v/>
      </c>
      <c r="P971">
        <f>IF(AND(G971="Reading",B971&lt;&gt;""),IF(H971="",TODAY(),H971)+ROW()/10000000,"")</f>
        <v/>
      </c>
      <c r="Q971">
        <f>IF(AND(N971&lt;&gt;"",N(J971)=5),N971,"")</f>
        <v/>
      </c>
    </row>
    <row r="972">
      <c r="A972" s="1" t="n"/>
      <c r="B972" s="24" t="n"/>
      <c r="C972" s="25" t="n"/>
      <c r="D972" s="25" t="n"/>
      <c r="E972" s="26" t="n"/>
      <c r="F972" s="27" t="n"/>
      <c r="G972" s="26" t="n"/>
      <c r="H972" s="28" t="n"/>
      <c r="I972" s="28" t="n"/>
      <c r="J972" s="27" t="n"/>
      <c r="K972" s="16">
        <f>IF(OR(H972="",I972=""),"",I972-H972+1)</f>
        <v/>
      </c>
      <c r="L972" s="16">
        <f>IF(OR(K972="",N(F972)=0),"",F972/K972)</f>
        <v/>
      </c>
      <c r="M972" s="25" t="n"/>
      <c r="N972" s="1">
        <f>IF(AND(G972="Finished",I972&lt;&gt;""),IF(YEAR(I972)=Dashboard!$C$4,I972+ROW()/10000000,""),"")</f>
        <v/>
      </c>
      <c r="O972">
        <f>IF(B972="","",IFERROR(MATCH(D972,Settings!$B$6:$B$17,0),12))</f>
        <v/>
      </c>
      <c r="P972">
        <f>IF(AND(G972="Reading",B972&lt;&gt;""),IF(H972="",TODAY(),H972)+ROW()/10000000,"")</f>
        <v/>
      </c>
      <c r="Q972">
        <f>IF(AND(N972&lt;&gt;"",N(J972)=5),N972,"")</f>
        <v/>
      </c>
    </row>
    <row r="973">
      <c r="A973" s="1" t="n"/>
      <c r="B973" s="24" t="n"/>
      <c r="C973" s="25" t="n"/>
      <c r="D973" s="25" t="n"/>
      <c r="E973" s="26" t="n"/>
      <c r="F973" s="27" t="n"/>
      <c r="G973" s="26" t="n"/>
      <c r="H973" s="28" t="n"/>
      <c r="I973" s="28" t="n"/>
      <c r="J973" s="27" t="n"/>
      <c r="K973" s="16">
        <f>IF(OR(H973="",I973=""),"",I973-H973+1)</f>
        <v/>
      </c>
      <c r="L973" s="16">
        <f>IF(OR(K973="",N(F973)=0),"",F973/K973)</f>
        <v/>
      </c>
      <c r="M973" s="25" t="n"/>
      <c r="N973" s="1">
        <f>IF(AND(G973="Finished",I973&lt;&gt;""),IF(YEAR(I973)=Dashboard!$C$4,I973+ROW()/10000000,""),"")</f>
        <v/>
      </c>
      <c r="O973">
        <f>IF(B973="","",IFERROR(MATCH(D973,Settings!$B$6:$B$17,0),12))</f>
        <v/>
      </c>
      <c r="P973">
        <f>IF(AND(G973="Reading",B973&lt;&gt;""),IF(H973="",TODAY(),H973)+ROW()/10000000,"")</f>
        <v/>
      </c>
      <c r="Q973">
        <f>IF(AND(N973&lt;&gt;"",N(J973)=5),N973,"")</f>
        <v/>
      </c>
    </row>
    <row r="974">
      <c r="A974" s="1" t="n"/>
      <c r="B974" s="24" t="n"/>
      <c r="C974" s="25" t="n"/>
      <c r="D974" s="25" t="n"/>
      <c r="E974" s="26" t="n"/>
      <c r="F974" s="27" t="n"/>
      <c r="G974" s="26" t="n"/>
      <c r="H974" s="28" t="n"/>
      <c r="I974" s="28" t="n"/>
      <c r="J974" s="27" t="n"/>
      <c r="K974" s="16">
        <f>IF(OR(H974="",I974=""),"",I974-H974+1)</f>
        <v/>
      </c>
      <c r="L974" s="16">
        <f>IF(OR(K974="",N(F974)=0),"",F974/K974)</f>
        <v/>
      </c>
      <c r="M974" s="25" t="n"/>
      <c r="N974" s="1">
        <f>IF(AND(G974="Finished",I974&lt;&gt;""),IF(YEAR(I974)=Dashboard!$C$4,I974+ROW()/10000000,""),"")</f>
        <v/>
      </c>
      <c r="O974">
        <f>IF(B974="","",IFERROR(MATCH(D974,Settings!$B$6:$B$17,0),12))</f>
        <v/>
      </c>
      <c r="P974">
        <f>IF(AND(G974="Reading",B974&lt;&gt;""),IF(H974="",TODAY(),H974)+ROW()/10000000,"")</f>
        <v/>
      </c>
      <c r="Q974">
        <f>IF(AND(N974&lt;&gt;"",N(J974)=5),N974,"")</f>
        <v/>
      </c>
    </row>
    <row r="975">
      <c r="A975" s="1" t="n"/>
      <c r="B975" s="24" t="n"/>
      <c r="C975" s="25" t="n"/>
      <c r="D975" s="25" t="n"/>
      <c r="E975" s="26" t="n"/>
      <c r="F975" s="27" t="n"/>
      <c r="G975" s="26" t="n"/>
      <c r="H975" s="28" t="n"/>
      <c r="I975" s="28" t="n"/>
      <c r="J975" s="27" t="n"/>
      <c r="K975" s="16">
        <f>IF(OR(H975="",I975=""),"",I975-H975+1)</f>
        <v/>
      </c>
      <c r="L975" s="16">
        <f>IF(OR(K975="",N(F975)=0),"",F975/K975)</f>
        <v/>
      </c>
      <c r="M975" s="25" t="n"/>
      <c r="N975" s="1">
        <f>IF(AND(G975="Finished",I975&lt;&gt;""),IF(YEAR(I975)=Dashboard!$C$4,I975+ROW()/10000000,""),"")</f>
        <v/>
      </c>
      <c r="O975">
        <f>IF(B975="","",IFERROR(MATCH(D975,Settings!$B$6:$B$17,0),12))</f>
        <v/>
      </c>
      <c r="P975">
        <f>IF(AND(G975="Reading",B975&lt;&gt;""),IF(H975="",TODAY(),H975)+ROW()/10000000,"")</f>
        <v/>
      </c>
      <c r="Q975">
        <f>IF(AND(N975&lt;&gt;"",N(J975)=5),N975,"")</f>
        <v/>
      </c>
    </row>
    <row r="976">
      <c r="A976" s="1" t="n"/>
      <c r="B976" s="24" t="n"/>
      <c r="C976" s="25" t="n"/>
      <c r="D976" s="25" t="n"/>
      <c r="E976" s="26" t="n"/>
      <c r="F976" s="27" t="n"/>
      <c r="G976" s="26" t="n"/>
      <c r="H976" s="28" t="n"/>
      <c r="I976" s="28" t="n"/>
      <c r="J976" s="27" t="n"/>
      <c r="K976" s="16">
        <f>IF(OR(H976="",I976=""),"",I976-H976+1)</f>
        <v/>
      </c>
      <c r="L976" s="16">
        <f>IF(OR(K976="",N(F976)=0),"",F976/K976)</f>
        <v/>
      </c>
      <c r="M976" s="25" t="n"/>
      <c r="N976" s="1">
        <f>IF(AND(G976="Finished",I976&lt;&gt;""),IF(YEAR(I976)=Dashboard!$C$4,I976+ROW()/10000000,""),"")</f>
        <v/>
      </c>
      <c r="O976">
        <f>IF(B976="","",IFERROR(MATCH(D976,Settings!$B$6:$B$17,0),12))</f>
        <v/>
      </c>
      <c r="P976">
        <f>IF(AND(G976="Reading",B976&lt;&gt;""),IF(H976="",TODAY(),H976)+ROW()/10000000,"")</f>
        <v/>
      </c>
      <c r="Q976">
        <f>IF(AND(N976&lt;&gt;"",N(J976)=5),N976,"")</f>
        <v/>
      </c>
    </row>
    <row r="977">
      <c r="A977" s="1" t="n"/>
      <c r="B977" s="24" t="n"/>
      <c r="C977" s="25" t="n"/>
      <c r="D977" s="25" t="n"/>
      <c r="E977" s="26" t="n"/>
      <c r="F977" s="27" t="n"/>
      <c r="G977" s="26" t="n"/>
      <c r="H977" s="28" t="n"/>
      <c r="I977" s="28" t="n"/>
      <c r="J977" s="27" t="n"/>
      <c r="K977" s="16">
        <f>IF(OR(H977="",I977=""),"",I977-H977+1)</f>
        <v/>
      </c>
      <c r="L977" s="16">
        <f>IF(OR(K977="",N(F977)=0),"",F977/K977)</f>
        <v/>
      </c>
      <c r="M977" s="25" t="n"/>
      <c r="N977" s="1">
        <f>IF(AND(G977="Finished",I977&lt;&gt;""),IF(YEAR(I977)=Dashboard!$C$4,I977+ROW()/10000000,""),"")</f>
        <v/>
      </c>
      <c r="O977">
        <f>IF(B977="","",IFERROR(MATCH(D977,Settings!$B$6:$B$17,0),12))</f>
        <v/>
      </c>
      <c r="P977">
        <f>IF(AND(G977="Reading",B977&lt;&gt;""),IF(H977="",TODAY(),H977)+ROW()/10000000,"")</f>
        <v/>
      </c>
      <c r="Q977">
        <f>IF(AND(N977&lt;&gt;"",N(J977)=5),N977,"")</f>
        <v/>
      </c>
    </row>
    <row r="978">
      <c r="A978" s="1" t="n"/>
      <c r="B978" s="24" t="n"/>
      <c r="C978" s="25" t="n"/>
      <c r="D978" s="25" t="n"/>
      <c r="E978" s="26" t="n"/>
      <c r="F978" s="27" t="n"/>
      <c r="G978" s="26" t="n"/>
      <c r="H978" s="28" t="n"/>
      <c r="I978" s="28" t="n"/>
      <c r="J978" s="27" t="n"/>
      <c r="K978" s="16">
        <f>IF(OR(H978="",I978=""),"",I978-H978+1)</f>
        <v/>
      </c>
      <c r="L978" s="16">
        <f>IF(OR(K978="",N(F978)=0),"",F978/K978)</f>
        <v/>
      </c>
      <c r="M978" s="25" t="n"/>
      <c r="N978" s="1">
        <f>IF(AND(G978="Finished",I978&lt;&gt;""),IF(YEAR(I978)=Dashboard!$C$4,I978+ROW()/10000000,""),"")</f>
        <v/>
      </c>
      <c r="O978">
        <f>IF(B978="","",IFERROR(MATCH(D978,Settings!$B$6:$B$17,0),12))</f>
        <v/>
      </c>
      <c r="P978">
        <f>IF(AND(G978="Reading",B978&lt;&gt;""),IF(H978="",TODAY(),H978)+ROW()/10000000,"")</f>
        <v/>
      </c>
      <c r="Q978">
        <f>IF(AND(N978&lt;&gt;"",N(J978)=5),N978,"")</f>
        <v/>
      </c>
    </row>
    <row r="979">
      <c r="A979" s="1" t="n"/>
      <c r="B979" s="24" t="n"/>
      <c r="C979" s="25" t="n"/>
      <c r="D979" s="25" t="n"/>
      <c r="E979" s="26" t="n"/>
      <c r="F979" s="27" t="n"/>
      <c r="G979" s="26" t="n"/>
      <c r="H979" s="28" t="n"/>
      <c r="I979" s="28" t="n"/>
      <c r="J979" s="27" t="n"/>
      <c r="K979" s="16">
        <f>IF(OR(H979="",I979=""),"",I979-H979+1)</f>
        <v/>
      </c>
      <c r="L979" s="16">
        <f>IF(OR(K979="",N(F979)=0),"",F979/K979)</f>
        <v/>
      </c>
      <c r="M979" s="25" t="n"/>
      <c r="N979" s="1">
        <f>IF(AND(G979="Finished",I979&lt;&gt;""),IF(YEAR(I979)=Dashboard!$C$4,I979+ROW()/10000000,""),"")</f>
        <v/>
      </c>
      <c r="O979">
        <f>IF(B979="","",IFERROR(MATCH(D979,Settings!$B$6:$B$17,0),12))</f>
        <v/>
      </c>
      <c r="P979">
        <f>IF(AND(G979="Reading",B979&lt;&gt;""),IF(H979="",TODAY(),H979)+ROW()/10000000,"")</f>
        <v/>
      </c>
      <c r="Q979">
        <f>IF(AND(N979&lt;&gt;"",N(J979)=5),N979,"")</f>
        <v/>
      </c>
    </row>
    <row r="980">
      <c r="A980" s="1" t="n"/>
      <c r="B980" s="24" t="n"/>
      <c r="C980" s="25" t="n"/>
      <c r="D980" s="25" t="n"/>
      <c r="E980" s="26" t="n"/>
      <c r="F980" s="27" t="n"/>
      <c r="G980" s="26" t="n"/>
      <c r="H980" s="28" t="n"/>
      <c r="I980" s="28" t="n"/>
      <c r="J980" s="27" t="n"/>
      <c r="K980" s="16">
        <f>IF(OR(H980="",I980=""),"",I980-H980+1)</f>
        <v/>
      </c>
      <c r="L980" s="16">
        <f>IF(OR(K980="",N(F980)=0),"",F980/K980)</f>
        <v/>
      </c>
      <c r="M980" s="25" t="n"/>
      <c r="N980" s="1">
        <f>IF(AND(G980="Finished",I980&lt;&gt;""),IF(YEAR(I980)=Dashboard!$C$4,I980+ROW()/10000000,""),"")</f>
        <v/>
      </c>
      <c r="O980">
        <f>IF(B980="","",IFERROR(MATCH(D980,Settings!$B$6:$B$17,0),12))</f>
        <v/>
      </c>
      <c r="P980">
        <f>IF(AND(G980="Reading",B980&lt;&gt;""),IF(H980="",TODAY(),H980)+ROW()/10000000,"")</f>
        <v/>
      </c>
      <c r="Q980">
        <f>IF(AND(N980&lt;&gt;"",N(J980)=5),N980,"")</f>
        <v/>
      </c>
    </row>
    <row r="981">
      <c r="A981" s="1" t="n"/>
      <c r="B981" s="24" t="n"/>
      <c r="C981" s="25" t="n"/>
      <c r="D981" s="25" t="n"/>
      <c r="E981" s="26" t="n"/>
      <c r="F981" s="27" t="n"/>
      <c r="G981" s="26" t="n"/>
      <c r="H981" s="28" t="n"/>
      <c r="I981" s="28" t="n"/>
      <c r="J981" s="27" t="n"/>
      <c r="K981" s="16">
        <f>IF(OR(H981="",I981=""),"",I981-H981+1)</f>
        <v/>
      </c>
      <c r="L981" s="16">
        <f>IF(OR(K981="",N(F981)=0),"",F981/K981)</f>
        <v/>
      </c>
      <c r="M981" s="25" t="n"/>
      <c r="N981" s="1">
        <f>IF(AND(G981="Finished",I981&lt;&gt;""),IF(YEAR(I981)=Dashboard!$C$4,I981+ROW()/10000000,""),"")</f>
        <v/>
      </c>
      <c r="O981">
        <f>IF(B981="","",IFERROR(MATCH(D981,Settings!$B$6:$B$17,0),12))</f>
        <v/>
      </c>
      <c r="P981">
        <f>IF(AND(G981="Reading",B981&lt;&gt;""),IF(H981="",TODAY(),H981)+ROW()/10000000,"")</f>
        <v/>
      </c>
      <c r="Q981">
        <f>IF(AND(N981&lt;&gt;"",N(J981)=5),N981,"")</f>
        <v/>
      </c>
    </row>
    <row r="982">
      <c r="A982" s="1" t="n"/>
      <c r="B982" s="24" t="n"/>
      <c r="C982" s="25" t="n"/>
      <c r="D982" s="25" t="n"/>
      <c r="E982" s="26" t="n"/>
      <c r="F982" s="27" t="n"/>
      <c r="G982" s="26" t="n"/>
      <c r="H982" s="28" t="n"/>
      <c r="I982" s="28" t="n"/>
      <c r="J982" s="27" t="n"/>
      <c r="K982" s="16">
        <f>IF(OR(H982="",I982=""),"",I982-H982+1)</f>
        <v/>
      </c>
      <c r="L982" s="16">
        <f>IF(OR(K982="",N(F982)=0),"",F982/K982)</f>
        <v/>
      </c>
      <c r="M982" s="25" t="n"/>
      <c r="N982" s="1">
        <f>IF(AND(G982="Finished",I982&lt;&gt;""),IF(YEAR(I982)=Dashboard!$C$4,I982+ROW()/10000000,""),"")</f>
        <v/>
      </c>
      <c r="O982">
        <f>IF(B982="","",IFERROR(MATCH(D982,Settings!$B$6:$B$17,0),12))</f>
        <v/>
      </c>
      <c r="P982">
        <f>IF(AND(G982="Reading",B982&lt;&gt;""),IF(H982="",TODAY(),H982)+ROW()/10000000,"")</f>
        <v/>
      </c>
      <c r="Q982">
        <f>IF(AND(N982&lt;&gt;"",N(J982)=5),N982,"")</f>
        <v/>
      </c>
    </row>
    <row r="983">
      <c r="A983" s="1" t="n"/>
      <c r="B983" s="24" t="n"/>
      <c r="C983" s="25" t="n"/>
      <c r="D983" s="25" t="n"/>
      <c r="E983" s="26" t="n"/>
      <c r="F983" s="27" t="n"/>
      <c r="G983" s="26" t="n"/>
      <c r="H983" s="28" t="n"/>
      <c r="I983" s="28" t="n"/>
      <c r="J983" s="27" t="n"/>
      <c r="K983" s="16">
        <f>IF(OR(H983="",I983=""),"",I983-H983+1)</f>
        <v/>
      </c>
      <c r="L983" s="16">
        <f>IF(OR(K983="",N(F983)=0),"",F983/K983)</f>
        <v/>
      </c>
      <c r="M983" s="25" t="n"/>
      <c r="N983" s="1">
        <f>IF(AND(G983="Finished",I983&lt;&gt;""),IF(YEAR(I983)=Dashboard!$C$4,I983+ROW()/10000000,""),"")</f>
        <v/>
      </c>
      <c r="O983">
        <f>IF(B983="","",IFERROR(MATCH(D983,Settings!$B$6:$B$17,0),12))</f>
        <v/>
      </c>
      <c r="P983">
        <f>IF(AND(G983="Reading",B983&lt;&gt;""),IF(H983="",TODAY(),H983)+ROW()/10000000,"")</f>
        <v/>
      </c>
      <c r="Q983">
        <f>IF(AND(N983&lt;&gt;"",N(J983)=5),N983,"")</f>
        <v/>
      </c>
    </row>
    <row r="984">
      <c r="A984" s="1" t="n"/>
      <c r="B984" s="24" t="n"/>
      <c r="C984" s="25" t="n"/>
      <c r="D984" s="25" t="n"/>
      <c r="E984" s="26" t="n"/>
      <c r="F984" s="27" t="n"/>
      <c r="G984" s="26" t="n"/>
      <c r="H984" s="28" t="n"/>
      <c r="I984" s="28" t="n"/>
      <c r="J984" s="27" t="n"/>
      <c r="K984" s="16">
        <f>IF(OR(H984="",I984=""),"",I984-H984+1)</f>
        <v/>
      </c>
      <c r="L984" s="16">
        <f>IF(OR(K984="",N(F984)=0),"",F984/K984)</f>
        <v/>
      </c>
      <c r="M984" s="25" t="n"/>
      <c r="N984" s="1">
        <f>IF(AND(G984="Finished",I984&lt;&gt;""),IF(YEAR(I984)=Dashboard!$C$4,I984+ROW()/10000000,""),"")</f>
        <v/>
      </c>
      <c r="O984">
        <f>IF(B984="","",IFERROR(MATCH(D984,Settings!$B$6:$B$17,0),12))</f>
        <v/>
      </c>
      <c r="P984">
        <f>IF(AND(G984="Reading",B984&lt;&gt;""),IF(H984="",TODAY(),H984)+ROW()/10000000,"")</f>
        <v/>
      </c>
      <c r="Q984">
        <f>IF(AND(N984&lt;&gt;"",N(J984)=5),N984,"")</f>
        <v/>
      </c>
    </row>
    <row r="985">
      <c r="A985" s="1" t="n"/>
      <c r="B985" s="24" t="n"/>
      <c r="C985" s="25" t="n"/>
      <c r="D985" s="25" t="n"/>
      <c r="E985" s="26" t="n"/>
      <c r="F985" s="27" t="n"/>
      <c r="G985" s="26" t="n"/>
      <c r="H985" s="28" t="n"/>
      <c r="I985" s="28" t="n"/>
      <c r="J985" s="27" t="n"/>
      <c r="K985" s="16">
        <f>IF(OR(H985="",I985=""),"",I985-H985+1)</f>
        <v/>
      </c>
      <c r="L985" s="16">
        <f>IF(OR(K985="",N(F985)=0),"",F985/K985)</f>
        <v/>
      </c>
      <c r="M985" s="25" t="n"/>
      <c r="N985" s="1">
        <f>IF(AND(G985="Finished",I985&lt;&gt;""),IF(YEAR(I985)=Dashboard!$C$4,I985+ROW()/10000000,""),"")</f>
        <v/>
      </c>
      <c r="O985">
        <f>IF(B985="","",IFERROR(MATCH(D985,Settings!$B$6:$B$17,0),12))</f>
        <v/>
      </c>
      <c r="P985">
        <f>IF(AND(G985="Reading",B985&lt;&gt;""),IF(H985="",TODAY(),H985)+ROW()/10000000,"")</f>
        <v/>
      </c>
      <c r="Q985">
        <f>IF(AND(N985&lt;&gt;"",N(J985)=5),N985,"")</f>
        <v/>
      </c>
    </row>
    <row r="986">
      <c r="A986" s="1" t="n"/>
      <c r="B986" s="24" t="n"/>
      <c r="C986" s="25" t="n"/>
      <c r="D986" s="25" t="n"/>
      <c r="E986" s="26" t="n"/>
      <c r="F986" s="27" t="n"/>
      <c r="G986" s="26" t="n"/>
      <c r="H986" s="28" t="n"/>
      <c r="I986" s="28" t="n"/>
      <c r="J986" s="27" t="n"/>
      <c r="K986" s="16">
        <f>IF(OR(H986="",I986=""),"",I986-H986+1)</f>
        <v/>
      </c>
      <c r="L986" s="16">
        <f>IF(OR(K986="",N(F986)=0),"",F986/K986)</f>
        <v/>
      </c>
      <c r="M986" s="25" t="n"/>
      <c r="N986" s="1">
        <f>IF(AND(G986="Finished",I986&lt;&gt;""),IF(YEAR(I986)=Dashboard!$C$4,I986+ROW()/10000000,""),"")</f>
        <v/>
      </c>
      <c r="O986">
        <f>IF(B986="","",IFERROR(MATCH(D986,Settings!$B$6:$B$17,0),12))</f>
        <v/>
      </c>
      <c r="P986">
        <f>IF(AND(G986="Reading",B986&lt;&gt;""),IF(H986="",TODAY(),H986)+ROW()/10000000,"")</f>
        <v/>
      </c>
      <c r="Q986">
        <f>IF(AND(N986&lt;&gt;"",N(J986)=5),N986,"")</f>
        <v/>
      </c>
    </row>
    <row r="987">
      <c r="A987" s="1" t="n"/>
      <c r="B987" s="24" t="n"/>
      <c r="C987" s="25" t="n"/>
      <c r="D987" s="25" t="n"/>
      <c r="E987" s="26" t="n"/>
      <c r="F987" s="27" t="n"/>
      <c r="G987" s="26" t="n"/>
      <c r="H987" s="28" t="n"/>
      <c r="I987" s="28" t="n"/>
      <c r="J987" s="27" t="n"/>
      <c r="K987" s="16">
        <f>IF(OR(H987="",I987=""),"",I987-H987+1)</f>
        <v/>
      </c>
      <c r="L987" s="16">
        <f>IF(OR(K987="",N(F987)=0),"",F987/K987)</f>
        <v/>
      </c>
      <c r="M987" s="25" t="n"/>
      <c r="N987" s="1">
        <f>IF(AND(G987="Finished",I987&lt;&gt;""),IF(YEAR(I987)=Dashboard!$C$4,I987+ROW()/10000000,""),"")</f>
        <v/>
      </c>
      <c r="O987">
        <f>IF(B987="","",IFERROR(MATCH(D987,Settings!$B$6:$B$17,0),12))</f>
        <v/>
      </c>
      <c r="P987">
        <f>IF(AND(G987="Reading",B987&lt;&gt;""),IF(H987="",TODAY(),H987)+ROW()/10000000,"")</f>
        <v/>
      </c>
      <c r="Q987">
        <f>IF(AND(N987&lt;&gt;"",N(J987)=5),N987,"")</f>
        <v/>
      </c>
    </row>
    <row r="988">
      <c r="A988" s="1" t="n"/>
      <c r="B988" s="24" t="n"/>
      <c r="C988" s="25" t="n"/>
      <c r="D988" s="25" t="n"/>
      <c r="E988" s="26" t="n"/>
      <c r="F988" s="27" t="n"/>
      <c r="G988" s="26" t="n"/>
      <c r="H988" s="28" t="n"/>
      <c r="I988" s="28" t="n"/>
      <c r="J988" s="27" t="n"/>
      <c r="K988" s="16">
        <f>IF(OR(H988="",I988=""),"",I988-H988+1)</f>
        <v/>
      </c>
      <c r="L988" s="16">
        <f>IF(OR(K988="",N(F988)=0),"",F988/K988)</f>
        <v/>
      </c>
      <c r="M988" s="25" t="n"/>
      <c r="N988" s="1">
        <f>IF(AND(G988="Finished",I988&lt;&gt;""),IF(YEAR(I988)=Dashboard!$C$4,I988+ROW()/10000000,""),"")</f>
        <v/>
      </c>
      <c r="O988">
        <f>IF(B988="","",IFERROR(MATCH(D988,Settings!$B$6:$B$17,0),12))</f>
        <v/>
      </c>
      <c r="P988">
        <f>IF(AND(G988="Reading",B988&lt;&gt;""),IF(H988="",TODAY(),H988)+ROW()/10000000,"")</f>
        <v/>
      </c>
      <c r="Q988">
        <f>IF(AND(N988&lt;&gt;"",N(J988)=5),N988,"")</f>
        <v/>
      </c>
    </row>
    <row r="989">
      <c r="A989" s="1" t="n"/>
      <c r="B989" s="24" t="n"/>
      <c r="C989" s="25" t="n"/>
      <c r="D989" s="25" t="n"/>
      <c r="E989" s="26" t="n"/>
      <c r="F989" s="27" t="n"/>
      <c r="G989" s="26" t="n"/>
      <c r="H989" s="28" t="n"/>
      <c r="I989" s="28" t="n"/>
      <c r="J989" s="27" t="n"/>
      <c r="K989" s="16">
        <f>IF(OR(H989="",I989=""),"",I989-H989+1)</f>
        <v/>
      </c>
      <c r="L989" s="16">
        <f>IF(OR(K989="",N(F989)=0),"",F989/K989)</f>
        <v/>
      </c>
      <c r="M989" s="25" t="n"/>
      <c r="N989" s="1">
        <f>IF(AND(G989="Finished",I989&lt;&gt;""),IF(YEAR(I989)=Dashboard!$C$4,I989+ROW()/10000000,""),"")</f>
        <v/>
      </c>
      <c r="O989">
        <f>IF(B989="","",IFERROR(MATCH(D989,Settings!$B$6:$B$17,0),12))</f>
        <v/>
      </c>
      <c r="P989">
        <f>IF(AND(G989="Reading",B989&lt;&gt;""),IF(H989="",TODAY(),H989)+ROW()/10000000,"")</f>
        <v/>
      </c>
      <c r="Q989">
        <f>IF(AND(N989&lt;&gt;"",N(J989)=5),N989,"")</f>
        <v/>
      </c>
    </row>
    <row r="990">
      <c r="A990" s="1" t="n"/>
      <c r="B990" s="24" t="n"/>
      <c r="C990" s="25" t="n"/>
      <c r="D990" s="25" t="n"/>
      <c r="E990" s="26" t="n"/>
      <c r="F990" s="27" t="n"/>
      <c r="G990" s="26" t="n"/>
      <c r="H990" s="28" t="n"/>
      <c r="I990" s="28" t="n"/>
      <c r="J990" s="27" t="n"/>
      <c r="K990" s="16">
        <f>IF(OR(H990="",I990=""),"",I990-H990+1)</f>
        <v/>
      </c>
      <c r="L990" s="16">
        <f>IF(OR(K990="",N(F990)=0),"",F990/K990)</f>
        <v/>
      </c>
      <c r="M990" s="25" t="n"/>
      <c r="N990" s="1">
        <f>IF(AND(G990="Finished",I990&lt;&gt;""),IF(YEAR(I990)=Dashboard!$C$4,I990+ROW()/10000000,""),"")</f>
        <v/>
      </c>
      <c r="O990">
        <f>IF(B990="","",IFERROR(MATCH(D990,Settings!$B$6:$B$17,0),12))</f>
        <v/>
      </c>
      <c r="P990">
        <f>IF(AND(G990="Reading",B990&lt;&gt;""),IF(H990="",TODAY(),H990)+ROW()/10000000,"")</f>
        <v/>
      </c>
      <c r="Q990">
        <f>IF(AND(N990&lt;&gt;"",N(J990)=5),N990,"")</f>
        <v/>
      </c>
    </row>
    <row r="991">
      <c r="A991" s="1" t="n"/>
      <c r="B991" s="24" t="n"/>
      <c r="C991" s="25" t="n"/>
      <c r="D991" s="25" t="n"/>
      <c r="E991" s="26" t="n"/>
      <c r="F991" s="27" t="n"/>
      <c r="G991" s="26" t="n"/>
      <c r="H991" s="28" t="n"/>
      <c r="I991" s="28" t="n"/>
      <c r="J991" s="27" t="n"/>
      <c r="K991" s="16">
        <f>IF(OR(H991="",I991=""),"",I991-H991+1)</f>
        <v/>
      </c>
      <c r="L991" s="16">
        <f>IF(OR(K991="",N(F991)=0),"",F991/K991)</f>
        <v/>
      </c>
      <c r="M991" s="25" t="n"/>
      <c r="N991" s="1">
        <f>IF(AND(G991="Finished",I991&lt;&gt;""),IF(YEAR(I991)=Dashboard!$C$4,I991+ROW()/10000000,""),"")</f>
        <v/>
      </c>
      <c r="O991">
        <f>IF(B991="","",IFERROR(MATCH(D991,Settings!$B$6:$B$17,0),12))</f>
        <v/>
      </c>
      <c r="P991">
        <f>IF(AND(G991="Reading",B991&lt;&gt;""),IF(H991="",TODAY(),H991)+ROW()/10000000,"")</f>
        <v/>
      </c>
      <c r="Q991">
        <f>IF(AND(N991&lt;&gt;"",N(J991)=5),N991,"")</f>
        <v/>
      </c>
    </row>
    <row r="992">
      <c r="A992" s="1" t="n"/>
      <c r="B992" s="24" t="n"/>
      <c r="C992" s="25" t="n"/>
      <c r="D992" s="25" t="n"/>
      <c r="E992" s="26" t="n"/>
      <c r="F992" s="27" t="n"/>
      <c r="G992" s="26" t="n"/>
      <c r="H992" s="28" t="n"/>
      <c r="I992" s="28" t="n"/>
      <c r="J992" s="27" t="n"/>
      <c r="K992" s="16">
        <f>IF(OR(H992="",I992=""),"",I992-H992+1)</f>
        <v/>
      </c>
      <c r="L992" s="16">
        <f>IF(OR(K992="",N(F992)=0),"",F992/K992)</f>
        <v/>
      </c>
      <c r="M992" s="25" t="n"/>
      <c r="N992" s="1">
        <f>IF(AND(G992="Finished",I992&lt;&gt;""),IF(YEAR(I992)=Dashboard!$C$4,I992+ROW()/10000000,""),"")</f>
        <v/>
      </c>
      <c r="O992">
        <f>IF(B992="","",IFERROR(MATCH(D992,Settings!$B$6:$B$17,0),12))</f>
        <v/>
      </c>
      <c r="P992">
        <f>IF(AND(G992="Reading",B992&lt;&gt;""),IF(H992="",TODAY(),H992)+ROW()/10000000,"")</f>
        <v/>
      </c>
      <c r="Q992">
        <f>IF(AND(N992&lt;&gt;"",N(J992)=5),N992,"")</f>
        <v/>
      </c>
    </row>
    <row r="993">
      <c r="A993" s="1" t="n"/>
      <c r="B993" s="24" t="n"/>
      <c r="C993" s="25" t="n"/>
      <c r="D993" s="25" t="n"/>
      <c r="E993" s="26" t="n"/>
      <c r="F993" s="27" t="n"/>
      <c r="G993" s="26" t="n"/>
      <c r="H993" s="28" t="n"/>
      <c r="I993" s="28" t="n"/>
      <c r="J993" s="27" t="n"/>
      <c r="K993" s="16">
        <f>IF(OR(H993="",I993=""),"",I993-H993+1)</f>
        <v/>
      </c>
      <c r="L993" s="16">
        <f>IF(OR(K993="",N(F993)=0),"",F993/K993)</f>
        <v/>
      </c>
      <c r="M993" s="25" t="n"/>
      <c r="N993" s="1">
        <f>IF(AND(G993="Finished",I993&lt;&gt;""),IF(YEAR(I993)=Dashboard!$C$4,I993+ROW()/10000000,""),"")</f>
        <v/>
      </c>
      <c r="O993">
        <f>IF(B993="","",IFERROR(MATCH(D993,Settings!$B$6:$B$17,0),12))</f>
        <v/>
      </c>
      <c r="P993">
        <f>IF(AND(G993="Reading",B993&lt;&gt;""),IF(H993="",TODAY(),H993)+ROW()/10000000,"")</f>
        <v/>
      </c>
      <c r="Q993">
        <f>IF(AND(N993&lt;&gt;"",N(J993)=5),N993,"")</f>
        <v/>
      </c>
    </row>
    <row r="994">
      <c r="A994" s="1" t="n"/>
      <c r="B994" s="24" t="n"/>
      <c r="C994" s="25" t="n"/>
      <c r="D994" s="25" t="n"/>
      <c r="E994" s="26" t="n"/>
      <c r="F994" s="27" t="n"/>
      <c r="G994" s="26" t="n"/>
      <c r="H994" s="28" t="n"/>
      <c r="I994" s="28" t="n"/>
      <c r="J994" s="27" t="n"/>
      <c r="K994" s="16">
        <f>IF(OR(H994="",I994=""),"",I994-H994+1)</f>
        <v/>
      </c>
      <c r="L994" s="16">
        <f>IF(OR(K994="",N(F994)=0),"",F994/K994)</f>
        <v/>
      </c>
      <c r="M994" s="25" t="n"/>
      <c r="N994" s="1">
        <f>IF(AND(G994="Finished",I994&lt;&gt;""),IF(YEAR(I994)=Dashboard!$C$4,I994+ROW()/10000000,""),"")</f>
        <v/>
      </c>
      <c r="O994">
        <f>IF(B994="","",IFERROR(MATCH(D994,Settings!$B$6:$B$17,0),12))</f>
        <v/>
      </c>
      <c r="P994">
        <f>IF(AND(G994="Reading",B994&lt;&gt;""),IF(H994="",TODAY(),H994)+ROW()/10000000,"")</f>
        <v/>
      </c>
      <c r="Q994">
        <f>IF(AND(N994&lt;&gt;"",N(J994)=5),N994,"")</f>
        <v/>
      </c>
    </row>
    <row r="995">
      <c r="A995" s="1" t="n"/>
      <c r="B995" s="24" t="n"/>
      <c r="C995" s="25" t="n"/>
      <c r="D995" s="25" t="n"/>
      <c r="E995" s="26" t="n"/>
      <c r="F995" s="27" t="n"/>
      <c r="G995" s="26" t="n"/>
      <c r="H995" s="28" t="n"/>
      <c r="I995" s="28" t="n"/>
      <c r="J995" s="27" t="n"/>
      <c r="K995" s="16">
        <f>IF(OR(H995="",I995=""),"",I995-H995+1)</f>
        <v/>
      </c>
      <c r="L995" s="16">
        <f>IF(OR(K995="",N(F995)=0),"",F995/K995)</f>
        <v/>
      </c>
      <c r="M995" s="25" t="n"/>
      <c r="N995" s="1">
        <f>IF(AND(G995="Finished",I995&lt;&gt;""),IF(YEAR(I995)=Dashboard!$C$4,I995+ROW()/10000000,""),"")</f>
        <v/>
      </c>
      <c r="O995">
        <f>IF(B995="","",IFERROR(MATCH(D995,Settings!$B$6:$B$17,0),12))</f>
        <v/>
      </c>
      <c r="P995">
        <f>IF(AND(G995="Reading",B995&lt;&gt;""),IF(H995="",TODAY(),H995)+ROW()/10000000,"")</f>
        <v/>
      </c>
      <c r="Q995">
        <f>IF(AND(N995&lt;&gt;"",N(J995)=5),N995,"")</f>
        <v/>
      </c>
    </row>
    <row r="996">
      <c r="A996" s="1" t="n"/>
      <c r="B996" s="24" t="n"/>
      <c r="C996" s="25" t="n"/>
      <c r="D996" s="25" t="n"/>
      <c r="E996" s="26" t="n"/>
      <c r="F996" s="27" t="n"/>
      <c r="G996" s="26" t="n"/>
      <c r="H996" s="28" t="n"/>
      <c r="I996" s="28" t="n"/>
      <c r="J996" s="27" t="n"/>
      <c r="K996" s="16">
        <f>IF(OR(H996="",I996=""),"",I996-H996+1)</f>
        <v/>
      </c>
      <c r="L996" s="16">
        <f>IF(OR(K996="",N(F996)=0),"",F996/K996)</f>
        <v/>
      </c>
      <c r="M996" s="25" t="n"/>
      <c r="N996" s="1">
        <f>IF(AND(G996="Finished",I996&lt;&gt;""),IF(YEAR(I996)=Dashboard!$C$4,I996+ROW()/10000000,""),"")</f>
        <v/>
      </c>
      <c r="O996">
        <f>IF(B996="","",IFERROR(MATCH(D996,Settings!$B$6:$B$17,0),12))</f>
        <v/>
      </c>
      <c r="P996">
        <f>IF(AND(G996="Reading",B996&lt;&gt;""),IF(H996="",TODAY(),H996)+ROW()/10000000,"")</f>
        <v/>
      </c>
      <c r="Q996">
        <f>IF(AND(N996&lt;&gt;"",N(J996)=5),N996,"")</f>
        <v/>
      </c>
    </row>
    <row r="997">
      <c r="A997" s="1" t="n"/>
      <c r="B997" s="24" t="n"/>
      <c r="C997" s="25" t="n"/>
      <c r="D997" s="25" t="n"/>
      <c r="E997" s="26" t="n"/>
      <c r="F997" s="27" t="n"/>
      <c r="G997" s="26" t="n"/>
      <c r="H997" s="28" t="n"/>
      <c r="I997" s="28" t="n"/>
      <c r="J997" s="27" t="n"/>
      <c r="K997" s="16">
        <f>IF(OR(H997="",I997=""),"",I997-H997+1)</f>
        <v/>
      </c>
      <c r="L997" s="16">
        <f>IF(OR(K997="",N(F997)=0),"",F997/K997)</f>
        <v/>
      </c>
      <c r="M997" s="25" t="n"/>
      <c r="N997" s="1">
        <f>IF(AND(G997="Finished",I997&lt;&gt;""),IF(YEAR(I997)=Dashboard!$C$4,I997+ROW()/10000000,""),"")</f>
        <v/>
      </c>
      <c r="O997">
        <f>IF(B997="","",IFERROR(MATCH(D997,Settings!$B$6:$B$17,0),12))</f>
        <v/>
      </c>
      <c r="P997">
        <f>IF(AND(G997="Reading",B997&lt;&gt;""),IF(H997="",TODAY(),H997)+ROW()/10000000,"")</f>
        <v/>
      </c>
      <c r="Q997">
        <f>IF(AND(N997&lt;&gt;"",N(J997)=5),N997,"")</f>
        <v/>
      </c>
    </row>
    <row r="998">
      <c r="A998" s="1" t="n"/>
      <c r="B998" s="24" t="n"/>
      <c r="C998" s="25" t="n"/>
      <c r="D998" s="25" t="n"/>
      <c r="E998" s="26" t="n"/>
      <c r="F998" s="27" t="n"/>
      <c r="G998" s="26" t="n"/>
      <c r="H998" s="28" t="n"/>
      <c r="I998" s="28" t="n"/>
      <c r="J998" s="27" t="n"/>
      <c r="K998" s="16">
        <f>IF(OR(H998="",I998=""),"",I998-H998+1)</f>
        <v/>
      </c>
      <c r="L998" s="16">
        <f>IF(OR(K998="",N(F998)=0),"",F998/K998)</f>
        <v/>
      </c>
      <c r="M998" s="25" t="n"/>
      <c r="N998" s="1">
        <f>IF(AND(G998="Finished",I998&lt;&gt;""),IF(YEAR(I998)=Dashboard!$C$4,I998+ROW()/10000000,""),"")</f>
        <v/>
      </c>
      <c r="O998">
        <f>IF(B998="","",IFERROR(MATCH(D998,Settings!$B$6:$B$17,0),12))</f>
        <v/>
      </c>
      <c r="P998">
        <f>IF(AND(G998="Reading",B998&lt;&gt;""),IF(H998="",TODAY(),H998)+ROW()/10000000,"")</f>
        <v/>
      </c>
      <c r="Q998">
        <f>IF(AND(N998&lt;&gt;"",N(J998)=5),N998,"")</f>
        <v/>
      </c>
    </row>
    <row r="999">
      <c r="A999" s="1" t="n"/>
      <c r="B999" s="24" t="n"/>
      <c r="C999" s="25" t="n"/>
      <c r="D999" s="25" t="n"/>
      <c r="E999" s="26" t="n"/>
      <c r="F999" s="27" t="n"/>
      <c r="G999" s="26" t="n"/>
      <c r="H999" s="28" t="n"/>
      <c r="I999" s="28" t="n"/>
      <c r="J999" s="27" t="n"/>
      <c r="K999" s="16">
        <f>IF(OR(H999="",I999=""),"",I999-H999+1)</f>
        <v/>
      </c>
      <c r="L999" s="16">
        <f>IF(OR(K999="",N(F999)=0),"",F999/K999)</f>
        <v/>
      </c>
      <c r="M999" s="25" t="n"/>
      <c r="N999" s="1">
        <f>IF(AND(G999="Finished",I999&lt;&gt;""),IF(YEAR(I999)=Dashboard!$C$4,I999+ROW()/10000000,""),"")</f>
        <v/>
      </c>
      <c r="O999">
        <f>IF(B999="","",IFERROR(MATCH(D999,Settings!$B$6:$B$17,0),12))</f>
        <v/>
      </c>
      <c r="P999">
        <f>IF(AND(G999="Reading",B999&lt;&gt;""),IF(H999="",TODAY(),H999)+ROW()/10000000,"")</f>
        <v/>
      </c>
      <c r="Q999">
        <f>IF(AND(N999&lt;&gt;"",N(J999)=5),N999,"")</f>
        <v/>
      </c>
    </row>
    <row r="1000">
      <c r="A1000" s="1" t="n"/>
      <c r="B1000" s="24" t="n"/>
      <c r="C1000" s="25" t="n"/>
      <c r="D1000" s="25" t="n"/>
      <c r="E1000" s="26" t="n"/>
      <c r="F1000" s="27" t="n"/>
      <c r="G1000" s="26" t="n"/>
      <c r="H1000" s="28" t="n"/>
      <c r="I1000" s="28" t="n"/>
      <c r="J1000" s="27" t="n"/>
      <c r="K1000" s="16">
        <f>IF(OR(H1000="",I1000=""),"",I1000-H1000+1)</f>
        <v/>
      </c>
      <c r="L1000" s="16">
        <f>IF(OR(K1000="",N(F1000)=0),"",F1000/K1000)</f>
        <v/>
      </c>
      <c r="M1000" s="25" t="n"/>
      <c r="N1000" s="1">
        <f>IF(AND(G1000="Finished",I1000&lt;&gt;""),IF(YEAR(I1000)=Dashboard!$C$4,I1000+ROW()/10000000,""),"")</f>
        <v/>
      </c>
      <c r="O1000">
        <f>IF(B1000="","",IFERROR(MATCH(D1000,Settings!$B$6:$B$17,0),12))</f>
        <v/>
      </c>
      <c r="P1000">
        <f>IF(AND(G1000="Reading",B1000&lt;&gt;""),IF(H1000="",TODAY(),H1000)+ROW()/10000000,"")</f>
        <v/>
      </c>
      <c r="Q1000">
        <f>IF(AND(N1000&lt;&gt;"",N(J1000)=5),N1000,"")</f>
        <v/>
      </c>
    </row>
    <row r="1001">
      <c r="A1001" s="1" t="n"/>
      <c r="B1001" s="24" t="n"/>
      <c r="C1001" s="25" t="n"/>
      <c r="D1001" s="25" t="n"/>
      <c r="E1001" s="26" t="n"/>
      <c r="F1001" s="27" t="n"/>
      <c r="G1001" s="26" t="n"/>
      <c r="H1001" s="28" t="n"/>
      <c r="I1001" s="28" t="n"/>
      <c r="J1001" s="27" t="n"/>
      <c r="K1001" s="16">
        <f>IF(OR(H1001="",I1001=""),"",I1001-H1001+1)</f>
        <v/>
      </c>
      <c r="L1001" s="16">
        <f>IF(OR(K1001="",N(F1001)=0),"",F1001/K1001)</f>
        <v/>
      </c>
      <c r="M1001" s="25" t="n"/>
      <c r="N1001" s="1">
        <f>IF(AND(G1001="Finished",I1001&lt;&gt;""),IF(YEAR(I1001)=Dashboard!$C$4,I1001+ROW()/10000000,""),"")</f>
        <v/>
      </c>
      <c r="O1001">
        <f>IF(B1001="","",IFERROR(MATCH(D1001,Settings!$B$6:$B$17,0),12))</f>
        <v/>
      </c>
      <c r="P1001">
        <f>IF(AND(G1001="Reading",B1001&lt;&gt;""),IF(H1001="",TODAY(),H1001)+ROW()/10000000,"")</f>
        <v/>
      </c>
      <c r="Q1001">
        <f>IF(AND(N1001&lt;&gt;"",N(J1001)=5),N1001,"")</f>
        <v/>
      </c>
    </row>
    <row r="1002">
      <c r="A1002" s="1" t="n"/>
      <c r="B1002" s="24" t="n"/>
      <c r="C1002" s="25" t="n"/>
      <c r="D1002" s="25" t="n"/>
      <c r="E1002" s="26" t="n"/>
      <c r="F1002" s="27" t="n"/>
      <c r="G1002" s="26" t="n"/>
      <c r="H1002" s="28" t="n"/>
      <c r="I1002" s="28" t="n"/>
      <c r="J1002" s="27" t="n"/>
      <c r="K1002" s="16">
        <f>IF(OR(H1002="",I1002=""),"",I1002-H1002+1)</f>
        <v/>
      </c>
      <c r="L1002" s="16">
        <f>IF(OR(K1002="",N(F1002)=0),"",F1002/K1002)</f>
        <v/>
      </c>
      <c r="M1002" s="25" t="n"/>
      <c r="N1002" s="1">
        <f>IF(AND(G1002="Finished",I1002&lt;&gt;""),IF(YEAR(I1002)=Dashboard!$C$4,I1002+ROW()/10000000,""),"")</f>
        <v/>
      </c>
      <c r="O1002">
        <f>IF(B1002="","",IFERROR(MATCH(D1002,Settings!$B$6:$B$17,0),12))</f>
        <v/>
      </c>
      <c r="P1002">
        <f>IF(AND(G1002="Reading",B1002&lt;&gt;""),IF(H1002="",TODAY(),H1002)+ROW()/10000000,"")</f>
        <v/>
      </c>
      <c r="Q1002">
        <f>IF(AND(N1002&lt;&gt;"",N(J1002)=5),N1002,"")</f>
        <v/>
      </c>
    </row>
    <row r="1003">
      <c r="A1003" s="1" t="n"/>
      <c r="B1003" s="24" t="n"/>
      <c r="C1003" s="25" t="n"/>
      <c r="D1003" s="25" t="n"/>
      <c r="E1003" s="26" t="n"/>
      <c r="F1003" s="27" t="n"/>
      <c r="G1003" s="26" t="n"/>
      <c r="H1003" s="28" t="n"/>
      <c r="I1003" s="28" t="n"/>
      <c r="J1003" s="27" t="n"/>
      <c r="K1003" s="16">
        <f>IF(OR(H1003="",I1003=""),"",I1003-H1003+1)</f>
        <v/>
      </c>
      <c r="L1003" s="16">
        <f>IF(OR(K1003="",N(F1003)=0),"",F1003/K1003)</f>
        <v/>
      </c>
      <c r="M1003" s="25" t="n"/>
      <c r="N1003" s="1">
        <f>IF(AND(G1003="Finished",I1003&lt;&gt;""),IF(YEAR(I1003)=Dashboard!$C$4,I1003+ROW()/10000000,""),"")</f>
        <v/>
      </c>
      <c r="O1003">
        <f>IF(B1003="","",IFERROR(MATCH(D1003,Settings!$B$6:$B$17,0),12))</f>
        <v/>
      </c>
      <c r="P1003">
        <f>IF(AND(G1003="Reading",B1003&lt;&gt;""),IF(H1003="",TODAY(),H1003)+ROW()/10000000,"")</f>
        <v/>
      </c>
      <c r="Q1003">
        <f>IF(AND(N1003&lt;&gt;"",N(J1003)=5),N1003,"")</f>
        <v/>
      </c>
    </row>
    <row r="1004">
      <c r="A1004" s="1" t="n"/>
      <c r="B1004" s="24" t="n"/>
      <c r="C1004" s="25" t="n"/>
      <c r="D1004" s="25" t="n"/>
      <c r="E1004" s="26" t="n"/>
      <c r="F1004" s="27" t="n"/>
      <c r="G1004" s="26" t="n"/>
      <c r="H1004" s="28" t="n"/>
      <c r="I1004" s="28" t="n"/>
      <c r="J1004" s="27" t="n"/>
      <c r="K1004" s="16">
        <f>IF(OR(H1004="",I1004=""),"",I1004-H1004+1)</f>
        <v/>
      </c>
      <c r="L1004" s="16">
        <f>IF(OR(K1004="",N(F1004)=0),"",F1004/K1004)</f>
        <v/>
      </c>
      <c r="M1004" s="25" t="n"/>
      <c r="N1004" s="1">
        <f>IF(AND(G1004="Finished",I1004&lt;&gt;""),IF(YEAR(I1004)=Dashboard!$C$4,I1004+ROW()/10000000,""),"")</f>
        <v/>
      </c>
      <c r="O1004">
        <f>IF(B1004="","",IFERROR(MATCH(D1004,Settings!$B$6:$B$17,0),12))</f>
        <v/>
      </c>
      <c r="P1004">
        <f>IF(AND(G1004="Reading",B1004&lt;&gt;""),IF(H1004="",TODAY(),H1004)+ROW()/10000000,"")</f>
        <v/>
      </c>
      <c r="Q1004">
        <f>IF(AND(N1004&lt;&gt;"",N(J1004)=5),N1004,"")</f>
        <v/>
      </c>
    </row>
    <row r="1005">
      <c r="A1005" s="1" t="n"/>
      <c r="B1005" s="24" t="n"/>
      <c r="C1005" s="25" t="n"/>
      <c r="D1005" s="25" t="n"/>
      <c r="E1005" s="26" t="n"/>
      <c r="F1005" s="27" t="n"/>
      <c r="G1005" s="26" t="n"/>
      <c r="H1005" s="28" t="n"/>
      <c r="I1005" s="28" t="n"/>
      <c r="J1005" s="27" t="n"/>
      <c r="K1005" s="16">
        <f>IF(OR(H1005="",I1005=""),"",I1005-H1005+1)</f>
        <v/>
      </c>
      <c r="L1005" s="16">
        <f>IF(OR(K1005="",N(F1005)=0),"",F1005/K1005)</f>
        <v/>
      </c>
      <c r="M1005" s="25" t="n"/>
      <c r="N1005" s="1">
        <f>IF(AND(G1005="Finished",I1005&lt;&gt;""),IF(YEAR(I1005)=Dashboard!$C$4,I1005+ROW()/10000000,""),"")</f>
        <v/>
      </c>
      <c r="O1005">
        <f>IF(B1005="","",IFERROR(MATCH(D1005,Settings!$B$6:$B$17,0),12))</f>
        <v/>
      </c>
      <c r="P1005">
        <f>IF(AND(G1005="Reading",B1005&lt;&gt;""),IF(H1005="",TODAY(),H1005)+ROW()/10000000,"")</f>
        <v/>
      </c>
      <c r="Q1005">
        <f>IF(AND(N1005&lt;&gt;"",N(J1005)=5),N1005,"")</f>
        <v/>
      </c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</row>
  </sheetData>
  <conditionalFormatting sqref="G6:G1005">
    <cfRule type="expression" priority="1" dxfId="1">
      <formula>G6="Finished"</formula>
    </cfRule>
    <cfRule type="expression" priority="2" dxfId="14">
      <formula>G6="Reading"</formula>
    </cfRule>
    <cfRule type="expression" priority="3" dxfId="15">
      <formula>G6="Did not finish"</formula>
    </cfRule>
  </conditionalFormatting>
  <conditionalFormatting sqref="J6:J1005">
    <cfRule type="expression" priority="4" dxfId="16">
      <formula>N(J6)=5</formula>
    </cfRule>
  </conditionalFormatting>
  <dataValidations count="4">
    <dataValidation sqref="D6:D1005" showDropDown="0" showInputMessage="0" showErrorMessage="1" allowBlank="1" type="list">
      <formula1>=Settings!$B$6:$B$17</formula1>
    </dataValidation>
    <dataValidation sqref="E6:E1005" showDropDown="0" showInputMessage="0" showErrorMessage="1" allowBlank="1" type="list">
      <formula1>"Paper,Ebook,Audio"</formula1>
    </dataValidation>
    <dataValidation sqref="G6:G1005" showDropDown="0" showInputMessage="0" showErrorMessage="1" allowBlank="1" type="list">
      <formula1>"Want to read,Reading,Finished,Did not finish"</formula1>
    </dataValidation>
    <dataValidation sqref="J6:J1005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R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.6" customWidth="1" min="2" max="2"/>
    <col width="4.6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3" customWidth="1" min="22" max="22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32" customHeight="1">
      <c r="A2" s="1" t="n"/>
      <c r="B2" s="2">
        <f>"Bookshelf "&amp;Dashboard!$C$4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>
      <c r="A3" s="1" t="n"/>
      <c r="B3" s="3" t="inlineStr">
        <is>
          <t>Every book you finish in the year on the Dashboard, in the order you finished them and in the colour of its genre. The shelves hold 100 books.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 ht="26" customHeight="1">
      <c r="A4" s="1" t="n"/>
      <c r="B4" s="29">
        <f>COUNT(Books!$N$6:$N$1005)&amp;IF(COUNT(Books!$N$6:$N$1005)=1," book"," books")&amp;" in "&amp;Dashboard!$C$4</f>
        <v/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</row>
    <row r="5" ht="132" customHeight="1">
      <c r="A5" s="1" t="n"/>
      <c r="B5" s="30">
        <f>IF(B7="","",INDEX(Books!$B$6:$B$1005,MATCH(B7,Books!$N$6:$N$1005,0)))</f>
        <v/>
      </c>
      <c r="C5" s="30">
        <f>IF(C7="","",INDEX(Books!$B$6:$B$1005,MATCH(C7,Books!$N$6:$N$1005,0)))</f>
        <v/>
      </c>
      <c r="D5" s="30">
        <f>IF(D7="","",INDEX(Books!$B$6:$B$1005,MATCH(D7,Books!$N$6:$N$1005,0)))</f>
        <v/>
      </c>
      <c r="E5" s="30">
        <f>IF(E7="","",INDEX(Books!$B$6:$B$1005,MATCH(E7,Books!$N$6:$N$1005,0)))</f>
        <v/>
      </c>
      <c r="F5" s="30">
        <f>IF(F7="","",INDEX(Books!$B$6:$B$1005,MATCH(F7,Books!$N$6:$N$1005,0)))</f>
        <v/>
      </c>
      <c r="G5" s="30">
        <f>IF(G7="","",INDEX(Books!$B$6:$B$1005,MATCH(G7,Books!$N$6:$N$1005,0)))</f>
        <v/>
      </c>
      <c r="H5" s="30">
        <f>IF(H7="","",INDEX(Books!$B$6:$B$1005,MATCH(H7,Books!$N$6:$N$1005,0)))</f>
        <v/>
      </c>
      <c r="I5" s="30">
        <f>IF(I7="","",INDEX(Books!$B$6:$B$1005,MATCH(I7,Books!$N$6:$N$1005,0)))</f>
        <v/>
      </c>
      <c r="J5" s="30">
        <f>IF(J7="","",INDEX(Books!$B$6:$B$1005,MATCH(J7,Books!$N$6:$N$1005,0)))</f>
        <v/>
      </c>
      <c r="K5" s="30">
        <f>IF(K7="","",INDEX(Books!$B$6:$B$1005,MATCH(K7,Books!$N$6:$N$1005,0)))</f>
        <v/>
      </c>
      <c r="L5" s="30">
        <f>IF(L7="","",INDEX(Books!$B$6:$B$1005,MATCH(L7,Books!$N$6:$N$1005,0)))</f>
        <v/>
      </c>
      <c r="M5" s="30">
        <f>IF(M7="","",INDEX(Books!$B$6:$B$1005,MATCH(M7,Books!$N$6:$N$1005,0)))</f>
        <v/>
      </c>
      <c r="N5" s="30">
        <f>IF(N7="","",INDEX(Books!$B$6:$B$1005,MATCH(N7,Books!$N$6:$N$1005,0)))</f>
        <v/>
      </c>
      <c r="O5" s="30">
        <f>IF(O7="","",INDEX(Books!$B$6:$B$1005,MATCH(O7,Books!$N$6:$N$1005,0)))</f>
        <v/>
      </c>
      <c r="P5" s="30">
        <f>IF(P7="","",INDEX(Books!$B$6:$B$1005,MATCH(P7,Books!$N$6:$N$1005,0)))</f>
        <v/>
      </c>
      <c r="Q5" s="30">
        <f>IF(Q7="","",INDEX(Books!$B$6:$B$1005,MATCH(Q7,Books!$N$6:$N$1005,0)))</f>
        <v/>
      </c>
      <c r="R5" s="30">
        <f>IF(R7="","",INDEX(Books!$B$6:$B$1005,MATCH(R7,Books!$N$6:$N$1005,0)))</f>
        <v/>
      </c>
      <c r="S5" s="30">
        <f>IF(S7="","",INDEX(Books!$B$6:$B$1005,MATCH(S7,Books!$N$6:$N$1005,0)))</f>
        <v/>
      </c>
      <c r="T5" s="30">
        <f>IF(T7="","",INDEX(Books!$B$6:$B$1005,MATCH(T7,Books!$N$6:$N$1005,0)))</f>
        <v/>
      </c>
      <c r="U5" s="30">
        <f>IF(U7="","",INDEX(Books!$B$6:$B$1005,MATCH(U7,Books!$N$6:$N$1005,0)))</f>
        <v/>
      </c>
      <c r="V5" s="1" t="n"/>
      <c r="W5" s="1" t="n"/>
    </row>
    <row r="6" ht="7" customHeight="1">
      <c r="A6" s="1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1" t="n"/>
    </row>
    <row r="7" hidden="1">
      <c r="A7" s="1" t="n"/>
      <c r="B7" s="1">
        <f>IFERROR(SMALL(Books!$N$6:$N$1005,1),"")</f>
        <v/>
      </c>
      <c r="C7" s="1">
        <f>IFERROR(SMALL(Books!$N$6:$N$1005,2),"")</f>
        <v/>
      </c>
      <c r="D7" s="1">
        <f>IFERROR(SMALL(Books!$N$6:$N$1005,3),"")</f>
        <v/>
      </c>
      <c r="E7" s="1">
        <f>IFERROR(SMALL(Books!$N$6:$N$1005,4),"")</f>
        <v/>
      </c>
      <c r="F7" s="1">
        <f>IFERROR(SMALL(Books!$N$6:$N$1005,5),"")</f>
        <v/>
      </c>
      <c r="G7" s="1">
        <f>IFERROR(SMALL(Books!$N$6:$N$1005,6),"")</f>
        <v/>
      </c>
      <c r="H7" s="1">
        <f>IFERROR(SMALL(Books!$N$6:$N$1005,7),"")</f>
        <v/>
      </c>
      <c r="I7" s="1">
        <f>IFERROR(SMALL(Books!$N$6:$N$1005,8),"")</f>
        <v/>
      </c>
      <c r="J7" s="1">
        <f>IFERROR(SMALL(Books!$N$6:$N$1005,9),"")</f>
        <v/>
      </c>
      <c r="K7" s="1">
        <f>IFERROR(SMALL(Books!$N$6:$N$1005,10),"")</f>
        <v/>
      </c>
      <c r="L7" s="1">
        <f>IFERROR(SMALL(Books!$N$6:$N$1005,11),"")</f>
        <v/>
      </c>
      <c r="M7" s="1">
        <f>IFERROR(SMALL(Books!$N$6:$N$1005,12),"")</f>
        <v/>
      </c>
      <c r="N7" s="1">
        <f>IFERROR(SMALL(Books!$N$6:$N$1005,13),"")</f>
        <v/>
      </c>
      <c r="O7" s="1">
        <f>IFERROR(SMALL(Books!$N$6:$N$1005,14),"")</f>
        <v/>
      </c>
      <c r="P7" s="1">
        <f>IFERROR(SMALL(Books!$N$6:$N$1005,15),"")</f>
        <v/>
      </c>
      <c r="Q7" s="1">
        <f>IFERROR(SMALL(Books!$N$6:$N$1005,16),"")</f>
        <v/>
      </c>
      <c r="R7" s="1">
        <f>IFERROR(SMALL(Books!$N$6:$N$1005,17),"")</f>
        <v/>
      </c>
      <c r="S7" s="1">
        <f>IFERROR(SMALL(Books!$N$6:$N$1005,18),"")</f>
        <v/>
      </c>
      <c r="T7" s="1">
        <f>IFERROR(SMALL(Books!$N$6:$N$1005,19),"")</f>
        <v/>
      </c>
      <c r="U7" s="1">
        <f>IFERROR(SMALL(Books!$N$6:$N$1005,20),"")</f>
        <v/>
      </c>
      <c r="V7" s="1" t="n"/>
      <c r="W7" s="1" t="n"/>
      <c r="Y7">
        <f>IF(B7="",0,INDEX(Books!$O$6:$O$1005,MATCH(B7,Books!$N$6:$N$1005,0)))</f>
        <v/>
      </c>
      <c r="Z7">
        <f>IF(C7="",0,INDEX(Books!$O$6:$O$1005,MATCH(C7,Books!$N$6:$N$1005,0)))</f>
        <v/>
      </c>
      <c r="AA7">
        <f>IF(D7="",0,INDEX(Books!$O$6:$O$1005,MATCH(D7,Books!$N$6:$N$1005,0)))</f>
        <v/>
      </c>
      <c r="AB7">
        <f>IF(E7="",0,INDEX(Books!$O$6:$O$1005,MATCH(E7,Books!$N$6:$N$1005,0)))</f>
        <v/>
      </c>
      <c r="AC7">
        <f>IF(F7="",0,INDEX(Books!$O$6:$O$1005,MATCH(F7,Books!$N$6:$N$1005,0)))</f>
        <v/>
      </c>
      <c r="AD7">
        <f>IF(G7="",0,INDEX(Books!$O$6:$O$1005,MATCH(G7,Books!$N$6:$N$1005,0)))</f>
        <v/>
      </c>
      <c r="AE7">
        <f>IF(H7="",0,INDEX(Books!$O$6:$O$1005,MATCH(H7,Books!$N$6:$N$1005,0)))</f>
        <v/>
      </c>
      <c r="AF7">
        <f>IF(I7="",0,INDEX(Books!$O$6:$O$1005,MATCH(I7,Books!$N$6:$N$1005,0)))</f>
        <v/>
      </c>
      <c r="AG7">
        <f>IF(J7="",0,INDEX(Books!$O$6:$O$1005,MATCH(J7,Books!$N$6:$N$1005,0)))</f>
        <v/>
      </c>
      <c r="AH7">
        <f>IF(K7="",0,INDEX(Books!$O$6:$O$1005,MATCH(K7,Books!$N$6:$N$1005,0)))</f>
        <v/>
      </c>
      <c r="AI7">
        <f>IF(L7="",0,INDEX(Books!$O$6:$O$1005,MATCH(L7,Books!$N$6:$N$1005,0)))</f>
        <v/>
      </c>
      <c r="AJ7">
        <f>IF(M7="",0,INDEX(Books!$O$6:$O$1005,MATCH(M7,Books!$N$6:$N$1005,0)))</f>
        <v/>
      </c>
      <c r="AK7">
        <f>IF(N7="",0,INDEX(Books!$O$6:$O$1005,MATCH(N7,Books!$N$6:$N$1005,0)))</f>
        <v/>
      </c>
      <c r="AL7">
        <f>IF(O7="",0,INDEX(Books!$O$6:$O$1005,MATCH(O7,Books!$N$6:$N$1005,0)))</f>
        <v/>
      </c>
      <c r="AM7">
        <f>IF(P7="",0,INDEX(Books!$O$6:$O$1005,MATCH(P7,Books!$N$6:$N$1005,0)))</f>
        <v/>
      </c>
      <c r="AN7">
        <f>IF(Q7="",0,INDEX(Books!$O$6:$O$1005,MATCH(Q7,Books!$N$6:$N$1005,0)))</f>
        <v/>
      </c>
      <c r="AO7">
        <f>IF(R7="",0,INDEX(Books!$O$6:$O$1005,MATCH(R7,Books!$N$6:$N$1005,0)))</f>
        <v/>
      </c>
      <c r="AP7">
        <f>IF(S7="",0,INDEX(Books!$O$6:$O$1005,MATCH(S7,Books!$N$6:$N$1005,0)))</f>
        <v/>
      </c>
      <c r="AQ7">
        <f>IF(T7="",0,INDEX(Books!$O$6:$O$1005,MATCH(T7,Books!$N$6:$N$1005,0)))</f>
        <v/>
      </c>
      <c r="AR7">
        <f>IF(U7="",0,INDEX(Books!$O$6:$O$1005,MATCH(U7,Books!$N$6:$N$1005,0)))</f>
        <v/>
      </c>
    </row>
    <row r="8" ht="10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</row>
    <row r="9" ht="132" customHeight="1">
      <c r="A9" s="1" t="n"/>
      <c r="B9" s="30">
        <f>IF(B11="","",INDEX(Books!$B$6:$B$1005,MATCH(B11,Books!$N$6:$N$1005,0)))</f>
        <v/>
      </c>
      <c r="C9" s="30">
        <f>IF(C11="","",INDEX(Books!$B$6:$B$1005,MATCH(C11,Books!$N$6:$N$1005,0)))</f>
        <v/>
      </c>
      <c r="D9" s="30">
        <f>IF(D11="","",INDEX(Books!$B$6:$B$1005,MATCH(D11,Books!$N$6:$N$1005,0)))</f>
        <v/>
      </c>
      <c r="E9" s="30">
        <f>IF(E11="","",INDEX(Books!$B$6:$B$1005,MATCH(E11,Books!$N$6:$N$1005,0)))</f>
        <v/>
      </c>
      <c r="F9" s="30">
        <f>IF(F11="","",INDEX(Books!$B$6:$B$1005,MATCH(F11,Books!$N$6:$N$1005,0)))</f>
        <v/>
      </c>
      <c r="G9" s="30">
        <f>IF(G11="","",INDEX(Books!$B$6:$B$1005,MATCH(G11,Books!$N$6:$N$1005,0)))</f>
        <v/>
      </c>
      <c r="H9" s="30">
        <f>IF(H11="","",INDEX(Books!$B$6:$B$1005,MATCH(H11,Books!$N$6:$N$1005,0)))</f>
        <v/>
      </c>
      <c r="I9" s="30">
        <f>IF(I11="","",INDEX(Books!$B$6:$B$1005,MATCH(I11,Books!$N$6:$N$1005,0)))</f>
        <v/>
      </c>
      <c r="J9" s="30">
        <f>IF(J11="","",INDEX(Books!$B$6:$B$1005,MATCH(J11,Books!$N$6:$N$1005,0)))</f>
        <v/>
      </c>
      <c r="K9" s="30">
        <f>IF(K11="","",INDEX(Books!$B$6:$B$1005,MATCH(K11,Books!$N$6:$N$1005,0)))</f>
        <v/>
      </c>
      <c r="L9" s="30">
        <f>IF(L11="","",INDEX(Books!$B$6:$B$1005,MATCH(L11,Books!$N$6:$N$1005,0)))</f>
        <v/>
      </c>
      <c r="M9" s="30">
        <f>IF(M11="","",INDEX(Books!$B$6:$B$1005,MATCH(M11,Books!$N$6:$N$1005,0)))</f>
        <v/>
      </c>
      <c r="N9" s="30">
        <f>IF(N11="","",INDEX(Books!$B$6:$B$1005,MATCH(N11,Books!$N$6:$N$1005,0)))</f>
        <v/>
      </c>
      <c r="O9" s="30">
        <f>IF(O11="","",INDEX(Books!$B$6:$B$1005,MATCH(O11,Books!$N$6:$N$1005,0)))</f>
        <v/>
      </c>
      <c r="P9" s="30">
        <f>IF(P11="","",INDEX(Books!$B$6:$B$1005,MATCH(P11,Books!$N$6:$N$1005,0)))</f>
        <v/>
      </c>
      <c r="Q9" s="30">
        <f>IF(Q11="","",INDEX(Books!$B$6:$B$1005,MATCH(Q11,Books!$N$6:$N$1005,0)))</f>
        <v/>
      </c>
      <c r="R9" s="30">
        <f>IF(R11="","",INDEX(Books!$B$6:$B$1005,MATCH(R11,Books!$N$6:$N$1005,0)))</f>
        <v/>
      </c>
      <c r="S9" s="30">
        <f>IF(S11="","",INDEX(Books!$B$6:$B$1005,MATCH(S11,Books!$N$6:$N$1005,0)))</f>
        <v/>
      </c>
      <c r="T9" s="30">
        <f>IF(T11="","",INDEX(Books!$B$6:$B$1005,MATCH(T11,Books!$N$6:$N$1005,0)))</f>
        <v/>
      </c>
      <c r="U9" s="30">
        <f>IF(U11="","",INDEX(Books!$B$6:$B$1005,MATCH(U11,Books!$N$6:$N$1005,0)))</f>
        <v/>
      </c>
      <c r="V9" s="1" t="n"/>
      <c r="W9" s="1" t="n"/>
    </row>
    <row r="10" ht="7" customHeight="1">
      <c r="A10" s="1" t="n"/>
      <c r="B10" s="31" t="n"/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  <c r="V10" s="31" t="n"/>
      <c r="W10" s="1" t="n"/>
    </row>
    <row r="11" hidden="1">
      <c r="A11" s="1" t="n"/>
      <c r="B11" s="1">
        <f>IFERROR(SMALL(Books!$N$6:$N$1005,21),"")</f>
        <v/>
      </c>
      <c r="C11" s="1">
        <f>IFERROR(SMALL(Books!$N$6:$N$1005,22),"")</f>
        <v/>
      </c>
      <c r="D11" s="1">
        <f>IFERROR(SMALL(Books!$N$6:$N$1005,23),"")</f>
        <v/>
      </c>
      <c r="E11" s="1">
        <f>IFERROR(SMALL(Books!$N$6:$N$1005,24),"")</f>
        <v/>
      </c>
      <c r="F11" s="1">
        <f>IFERROR(SMALL(Books!$N$6:$N$1005,25),"")</f>
        <v/>
      </c>
      <c r="G11" s="1">
        <f>IFERROR(SMALL(Books!$N$6:$N$1005,26),"")</f>
        <v/>
      </c>
      <c r="H11" s="1">
        <f>IFERROR(SMALL(Books!$N$6:$N$1005,27),"")</f>
        <v/>
      </c>
      <c r="I11" s="1">
        <f>IFERROR(SMALL(Books!$N$6:$N$1005,28),"")</f>
        <v/>
      </c>
      <c r="J11" s="1">
        <f>IFERROR(SMALL(Books!$N$6:$N$1005,29),"")</f>
        <v/>
      </c>
      <c r="K11" s="1">
        <f>IFERROR(SMALL(Books!$N$6:$N$1005,30),"")</f>
        <v/>
      </c>
      <c r="L11" s="1">
        <f>IFERROR(SMALL(Books!$N$6:$N$1005,31),"")</f>
        <v/>
      </c>
      <c r="M11" s="1">
        <f>IFERROR(SMALL(Books!$N$6:$N$1005,32),"")</f>
        <v/>
      </c>
      <c r="N11" s="1">
        <f>IFERROR(SMALL(Books!$N$6:$N$1005,33),"")</f>
        <v/>
      </c>
      <c r="O11" s="1">
        <f>IFERROR(SMALL(Books!$N$6:$N$1005,34),"")</f>
        <v/>
      </c>
      <c r="P11" s="1">
        <f>IFERROR(SMALL(Books!$N$6:$N$1005,35),"")</f>
        <v/>
      </c>
      <c r="Q11" s="1">
        <f>IFERROR(SMALL(Books!$N$6:$N$1005,36),"")</f>
        <v/>
      </c>
      <c r="R11" s="1">
        <f>IFERROR(SMALL(Books!$N$6:$N$1005,37),"")</f>
        <v/>
      </c>
      <c r="S11" s="1">
        <f>IFERROR(SMALL(Books!$N$6:$N$1005,38),"")</f>
        <v/>
      </c>
      <c r="T11" s="1">
        <f>IFERROR(SMALL(Books!$N$6:$N$1005,39),"")</f>
        <v/>
      </c>
      <c r="U11" s="1">
        <f>IFERROR(SMALL(Books!$N$6:$N$1005,40),"")</f>
        <v/>
      </c>
      <c r="V11" s="1" t="n"/>
      <c r="W11" s="1" t="n"/>
      <c r="Y11">
        <f>IF(B11="",0,INDEX(Books!$O$6:$O$1005,MATCH(B11,Books!$N$6:$N$1005,0)))</f>
        <v/>
      </c>
      <c r="Z11">
        <f>IF(C11="",0,INDEX(Books!$O$6:$O$1005,MATCH(C11,Books!$N$6:$N$1005,0)))</f>
        <v/>
      </c>
      <c r="AA11">
        <f>IF(D11="",0,INDEX(Books!$O$6:$O$1005,MATCH(D11,Books!$N$6:$N$1005,0)))</f>
        <v/>
      </c>
      <c r="AB11">
        <f>IF(E11="",0,INDEX(Books!$O$6:$O$1005,MATCH(E11,Books!$N$6:$N$1005,0)))</f>
        <v/>
      </c>
      <c r="AC11">
        <f>IF(F11="",0,INDEX(Books!$O$6:$O$1005,MATCH(F11,Books!$N$6:$N$1005,0)))</f>
        <v/>
      </c>
      <c r="AD11">
        <f>IF(G11="",0,INDEX(Books!$O$6:$O$1005,MATCH(G11,Books!$N$6:$N$1005,0)))</f>
        <v/>
      </c>
      <c r="AE11">
        <f>IF(H11="",0,INDEX(Books!$O$6:$O$1005,MATCH(H11,Books!$N$6:$N$1005,0)))</f>
        <v/>
      </c>
      <c r="AF11">
        <f>IF(I11="",0,INDEX(Books!$O$6:$O$1005,MATCH(I11,Books!$N$6:$N$1005,0)))</f>
        <v/>
      </c>
      <c r="AG11">
        <f>IF(J11="",0,INDEX(Books!$O$6:$O$1005,MATCH(J11,Books!$N$6:$N$1005,0)))</f>
        <v/>
      </c>
      <c r="AH11">
        <f>IF(K11="",0,INDEX(Books!$O$6:$O$1005,MATCH(K11,Books!$N$6:$N$1005,0)))</f>
        <v/>
      </c>
      <c r="AI11">
        <f>IF(L11="",0,INDEX(Books!$O$6:$O$1005,MATCH(L11,Books!$N$6:$N$1005,0)))</f>
        <v/>
      </c>
      <c r="AJ11">
        <f>IF(M11="",0,INDEX(Books!$O$6:$O$1005,MATCH(M11,Books!$N$6:$N$1005,0)))</f>
        <v/>
      </c>
      <c r="AK11">
        <f>IF(N11="",0,INDEX(Books!$O$6:$O$1005,MATCH(N11,Books!$N$6:$N$1005,0)))</f>
        <v/>
      </c>
      <c r="AL11">
        <f>IF(O11="",0,INDEX(Books!$O$6:$O$1005,MATCH(O11,Books!$N$6:$N$1005,0)))</f>
        <v/>
      </c>
      <c r="AM11">
        <f>IF(P11="",0,INDEX(Books!$O$6:$O$1005,MATCH(P11,Books!$N$6:$N$1005,0)))</f>
        <v/>
      </c>
      <c r="AN11">
        <f>IF(Q11="",0,INDEX(Books!$O$6:$O$1005,MATCH(Q11,Books!$N$6:$N$1005,0)))</f>
        <v/>
      </c>
      <c r="AO11">
        <f>IF(R11="",0,INDEX(Books!$O$6:$O$1005,MATCH(R11,Books!$N$6:$N$1005,0)))</f>
        <v/>
      </c>
      <c r="AP11">
        <f>IF(S11="",0,INDEX(Books!$O$6:$O$1005,MATCH(S11,Books!$N$6:$N$1005,0)))</f>
        <v/>
      </c>
      <c r="AQ11">
        <f>IF(T11="",0,INDEX(Books!$O$6:$O$1005,MATCH(T11,Books!$N$6:$N$1005,0)))</f>
        <v/>
      </c>
      <c r="AR11">
        <f>IF(U11="",0,INDEX(Books!$O$6:$O$1005,MATCH(U11,Books!$N$6:$N$1005,0)))</f>
        <v/>
      </c>
    </row>
    <row r="12" ht="10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</row>
    <row r="13" ht="132" customHeight="1">
      <c r="A13" s="1" t="n"/>
      <c r="B13" s="30">
        <f>IF(B15="","",INDEX(Books!$B$6:$B$1005,MATCH(B15,Books!$N$6:$N$1005,0)))</f>
        <v/>
      </c>
      <c r="C13" s="30">
        <f>IF(C15="","",INDEX(Books!$B$6:$B$1005,MATCH(C15,Books!$N$6:$N$1005,0)))</f>
        <v/>
      </c>
      <c r="D13" s="30">
        <f>IF(D15="","",INDEX(Books!$B$6:$B$1005,MATCH(D15,Books!$N$6:$N$1005,0)))</f>
        <v/>
      </c>
      <c r="E13" s="30">
        <f>IF(E15="","",INDEX(Books!$B$6:$B$1005,MATCH(E15,Books!$N$6:$N$1005,0)))</f>
        <v/>
      </c>
      <c r="F13" s="30">
        <f>IF(F15="","",INDEX(Books!$B$6:$B$1005,MATCH(F15,Books!$N$6:$N$1005,0)))</f>
        <v/>
      </c>
      <c r="G13" s="30">
        <f>IF(G15="","",INDEX(Books!$B$6:$B$1005,MATCH(G15,Books!$N$6:$N$1005,0)))</f>
        <v/>
      </c>
      <c r="H13" s="30">
        <f>IF(H15="","",INDEX(Books!$B$6:$B$1005,MATCH(H15,Books!$N$6:$N$1005,0)))</f>
        <v/>
      </c>
      <c r="I13" s="30">
        <f>IF(I15="","",INDEX(Books!$B$6:$B$1005,MATCH(I15,Books!$N$6:$N$1005,0)))</f>
        <v/>
      </c>
      <c r="J13" s="30">
        <f>IF(J15="","",INDEX(Books!$B$6:$B$1005,MATCH(J15,Books!$N$6:$N$1005,0)))</f>
        <v/>
      </c>
      <c r="K13" s="30">
        <f>IF(K15="","",INDEX(Books!$B$6:$B$1005,MATCH(K15,Books!$N$6:$N$1005,0)))</f>
        <v/>
      </c>
      <c r="L13" s="30">
        <f>IF(L15="","",INDEX(Books!$B$6:$B$1005,MATCH(L15,Books!$N$6:$N$1005,0)))</f>
        <v/>
      </c>
      <c r="M13" s="30">
        <f>IF(M15="","",INDEX(Books!$B$6:$B$1005,MATCH(M15,Books!$N$6:$N$1005,0)))</f>
        <v/>
      </c>
      <c r="N13" s="30">
        <f>IF(N15="","",INDEX(Books!$B$6:$B$1005,MATCH(N15,Books!$N$6:$N$1005,0)))</f>
        <v/>
      </c>
      <c r="O13" s="30">
        <f>IF(O15="","",INDEX(Books!$B$6:$B$1005,MATCH(O15,Books!$N$6:$N$1005,0)))</f>
        <v/>
      </c>
      <c r="P13" s="30">
        <f>IF(P15="","",INDEX(Books!$B$6:$B$1005,MATCH(P15,Books!$N$6:$N$1005,0)))</f>
        <v/>
      </c>
      <c r="Q13" s="30">
        <f>IF(Q15="","",INDEX(Books!$B$6:$B$1005,MATCH(Q15,Books!$N$6:$N$1005,0)))</f>
        <v/>
      </c>
      <c r="R13" s="30">
        <f>IF(R15="","",INDEX(Books!$B$6:$B$1005,MATCH(R15,Books!$N$6:$N$1005,0)))</f>
        <v/>
      </c>
      <c r="S13" s="30">
        <f>IF(S15="","",INDEX(Books!$B$6:$B$1005,MATCH(S15,Books!$N$6:$N$1005,0)))</f>
        <v/>
      </c>
      <c r="T13" s="30">
        <f>IF(T15="","",INDEX(Books!$B$6:$B$1005,MATCH(T15,Books!$N$6:$N$1005,0)))</f>
        <v/>
      </c>
      <c r="U13" s="30">
        <f>IF(U15="","",INDEX(Books!$B$6:$B$1005,MATCH(U15,Books!$N$6:$N$1005,0)))</f>
        <v/>
      </c>
      <c r="V13" s="1" t="n"/>
      <c r="W13" s="1" t="n"/>
    </row>
    <row r="14" ht="7" customHeight="1">
      <c r="A14" s="1" t="n"/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W14" s="1" t="n"/>
    </row>
    <row r="15" hidden="1">
      <c r="A15" s="1" t="n"/>
      <c r="B15" s="1">
        <f>IFERROR(SMALL(Books!$N$6:$N$1005,41),"")</f>
        <v/>
      </c>
      <c r="C15" s="1">
        <f>IFERROR(SMALL(Books!$N$6:$N$1005,42),"")</f>
        <v/>
      </c>
      <c r="D15" s="1">
        <f>IFERROR(SMALL(Books!$N$6:$N$1005,43),"")</f>
        <v/>
      </c>
      <c r="E15" s="1">
        <f>IFERROR(SMALL(Books!$N$6:$N$1005,44),"")</f>
        <v/>
      </c>
      <c r="F15" s="1">
        <f>IFERROR(SMALL(Books!$N$6:$N$1005,45),"")</f>
        <v/>
      </c>
      <c r="G15" s="1">
        <f>IFERROR(SMALL(Books!$N$6:$N$1005,46),"")</f>
        <v/>
      </c>
      <c r="H15" s="1">
        <f>IFERROR(SMALL(Books!$N$6:$N$1005,47),"")</f>
        <v/>
      </c>
      <c r="I15" s="1">
        <f>IFERROR(SMALL(Books!$N$6:$N$1005,48),"")</f>
        <v/>
      </c>
      <c r="J15" s="1">
        <f>IFERROR(SMALL(Books!$N$6:$N$1005,49),"")</f>
        <v/>
      </c>
      <c r="K15" s="1">
        <f>IFERROR(SMALL(Books!$N$6:$N$1005,50),"")</f>
        <v/>
      </c>
      <c r="L15" s="1">
        <f>IFERROR(SMALL(Books!$N$6:$N$1005,51),"")</f>
        <v/>
      </c>
      <c r="M15" s="1">
        <f>IFERROR(SMALL(Books!$N$6:$N$1005,52),"")</f>
        <v/>
      </c>
      <c r="N15" s="1">
        <f>IFERROR(SMALL(Books!$N$6:$N$1005,53),"")</f>
        <v/>
      </c>
      <c r="O15" s="1">
        <f>IFERROR(SMALL(Books!$N$6:$N$1005,54),"")</f>
        <v/>
      </c>
      <c r="P15" s="1">
        <f>IFERROR(SMALL(Books!$N$6:$N$1005,55),"")</f>
        <v/>
      </c>
      <c r="Q15" s="1">
        <f>IFERROR(SMALL(Books!$N$6:$N$1005,56),"")</f>
        <v/>
      </c>
      <c r="R15" s="1">
        <f>IFERROR(SMALL(Books!$N$6:$N$1005,57),"")</f>
        <v/>
      </c>
      <c r="S15" s="1">
        <f>IFERROR(SMALL(Books!$N$6:$N$1005,58),"")</f>
        <v/>
      </c>
      <c r="T15" s="1">
        <f>IFERROR(SMALL(Books!$N$6:$N$1005,59),"")</f>
        <v/>
      </c>
      <c r="U15" s="1">
        <f>IFERROR(SMALL(Books!$N$6:$N$1005,60),"")</f>
        <v/>
      </c>
      <c r="V15" s="1" t="n"/>
      <c r="W15" s="1" t="n"/>
      <c r="Y15">
        <f>IF(B15="",0,INDEX(Books!$O$6:$O$1005,MATCH(B15,Books!$N$6:$N$1005,0)))</f>
        <v/>
      </c>
      <c r="Z15">
        <f>IF(C15="",0,INDEX(Books!$O$6:$O$1005,MATCH(C15,Books!$N$6:$N$1005,0)))</f>
        <v/>
      </c>
      <c r="AA15">
        <f>IF(D15="",0,INDEX(Books!$O$6:$O$1005,MATCH(D15,Books!$N$6:$N$1005,0)))</f>
        <v/>
      </c>
      <c r="AB15">
        <f>IF(E15="",0,INDEX(Books!$O$6:$O$1005,MATCH(E15,Books!$N$6:$N$1005,0)))</f>
        <v/>
      </c>
      <c r="AC15">
        <f>IF(F15="",0,INDEX(Books!$O$6:$O$1005,MATCH(F15,Books!$N$6:$N$1005,0)))</f>
        <v/>
      </c>
      <c r="AD15">
        <f>IF(G15="",0,INDEX(Books!$O$6:$O$1005,MATCH(G15,Books!$N$6:$N$1005,0)))</f>
        <v/>
      </c>
      <c r="AE15">
        <f>IF(H15="",0,INDEX(Books!$O$6:$O$1005,MATCH(H15,Books!$N$6:$N$1005,0)))</f>
        <v/>
      </c>
      <c r="AF15">
        <f>IF(I15="",0,INDEX(Books!$O$6:$O$1005,MATCH(I15,Books!$N$6:$N$1005,0)))</f>
        <v/>
      </c>
      <c r="AG15">
        <f>IF(J15="",0,INDEX(Books!$O$6:$O$1005,MATCH(J15,Books!$N$6:$N$1005,0)))</f>
        <v/>
      </c>
      <c r="AH15">
        <f>IF(K15="",0,INDEX(Books!$O$6:$O$1005,MATCH(K15,Books!$N$6:$N$1005,0)))</f>
        <v/>
      </c>
      <c r="AI15">
        <f>IF(L15="",0,INDEX(Books!$O$6:$O$1005,MATCH(L15,Books!$N$6:$N$1005,0)))</f>
        <v/>
      </c>
      <c r="AJ15">
        <f>IF(M15="",0,INDEX(Books!$O$6:$O$1005,MATCH(M15,Books!$N$6:$N$1005,0)))</f>
        <v/>
      </c>
      <c r="AK15">
        <f>IF(N15="",0,INDEX(Books!$O$6:$O$1005,MATCH(N15,Books!$N$6:$N$1005,0)))</f>
        <v/>
      </c>
      <c r="AL15">
        <f>IF(O15="",0,INDEX(Books!$O$6:$O$1005,MATCH(O15,Books!$N$6:$N$1005,0)))</f>
        <v/>
      </c>
      <c r="AM15">
        <f>IF(P15="",0,INDEX(Books!$O$6:$O$1005,MATCH(P15,Books!$N$6:$N$1005,0)))</f>
        <v/>
      </c>
      <c r="AN15">
        <f>IF(Q15="",0,INDEX(Books!$O$6:$O$1005,MATCH(Q15,Books!$N$6:$N$1005,0)))</f>
        <v/>
      </c>
      <c r="AO15">
        <f>IF(R15="",0,INDEX(Books!$O$6:$O$1005,MATCH(R15,Books!$N$6:$N$1005,0)))</f>
        <v/>
      </c>
      <c r="AP15">
        <f>IF(S15="",0,INDEX(Books!$O$6:$O$1005,MATCH(S15,Books!$N$6:$N$1005,0)))</f>
        <v/>
      </c>
      <c r="AQ15">
        <f>IF(T15="",0,INDEX(Books!$O$6:$O$1005,MATCH(T15,Books!$N$6:$N$1005,0)))</f>
        <v/>
      </c>
      <c r="AR15">
        <f>IF(U15="",0,INDEX(Books!$O$6:$O$1005,MATCH(U15,Books!$N$6:$N$1005,0)))</f>
        <v/>
      </c>
    </row>
    <row r="16" ht="10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</row>
    <row r="17" ht="132" customHeight="1">
      <c r="A17" s="1" t="n"/>
      <c r="B17" s="30">
        <f>IF(B19="","",INDEX(Books!$B$6:$B$1005,MATCH(B19,Books!$N$6:$N$1005,0)))</f>
        <v/>
      </c>
      <c r="C17" s="30">
        <f>IF(C19="","",INDEX(Books!$B$6:$B$1005,MATCH(C19,Books!$N$6:$N$1005,0)))</f>
        <v/>
      </c>
      <c r="D17" s="30">
        <f>IF(D19="","",INDEX(Books!$B$6:$B$1005,MATCH(D19,Books!$N$6:$N$1005,0)))</f>
        <v/>
      </c>
      <c r="E17" s="30">
        <f>IF(E19="","",INDEX(Books!$B$6:$B$1005,MATCH(E19,Books!$N$6:$N$1005,0)))</f>
        <v/>
      </c>
      <c r="F17" s="30">
        <f>IF(F19="","",INDEX(Books!$B$6:$B$1005,MATCH(F19,Books!$N$6:$N$1005,0)))</f>
        <v/>
      </c>
      <c r="G17" s="30">
        <f>IF(G19="","",INDEX(Books!$B$6:$B$1005,MATCH(G19,Books!$N$6:$N$1005,0)))</f>
        <v/>
      </c>
      <c r="H17" s="30">
        <f>IF(H19="","",INDEX(Books!$B$6:$B$1005,MATCH(H19,Books!$N$6:$N$1005,0)))</f>
        <v/>
      </c>
      <c r="I17" s="30">
        <f>IF(I19="","",INDEX(Books!$B$6:$B$1005,MATCH(I19,Books!$N$6:$N$1005,0)))</f>
        <v/>
      </c>
      <c r="J17" s="30">
        <f>IF(J19="","",INDEX(Books!$B$6:$B$1005,MATCH(J19,Books!$N$6:$N$1005,0)))</f>
        <v/>
      </c>
      <c r="K17" s="30">
        <f>IF(K19="","",INDEX(Books!$B$6:$B$1005,MATCH(K19,Books!$N$6:$N$1005,0)))</f>
        <v/>
      </c>
      <c r="L17" s="30">
        <f>IF(L19="","",INDEX(Books!$B$6:$B$1005,MATCH(L19,Books!$N$6:$N$1005,0)))</f>
        <v/>
      </c>
      <c r="M17" s="30">
        <f>IF(M19="","",INDEX(Books!$B$6:$B$1005,MATCH(M19,Books!$N$6:$N$1005,0)))</f>
        <v/>
      </c>
      <c r="N17" s="30">
        <f>IF(N19="","",INDEX(Books!$B$6:$B$1005,MATCH(N19,Books!$N$6:$N$1005,0)))</f>
        <v/>
      </c>
      <c r="O17" s="30">
        <f>IF(O19="","",INDEX(Books!$B$6:$B$1005,MATCH(O19,Books!$N$6:$N$1005,0)))</f>
        <v/>
      </c>
      <c r="P17" s="30">
        <f>IF(P19="","",INDEX(Books!$B$6:$B$1005,MATCH(P19,Books!$N$6:$N$1005,0)))</f>
        <v/>
      </c>
      <c r="Q17" s="30">
        <f>IF(Q19="","",INDEX(Books!$B$6:$B$1005,MATCH(Q19,Books!$N$6:$N$1005,0)))</f>
        <v/>
      </c>
      <c r="R17" s="30">
        <f>IF(R19="","",INDEX(Books!$B$6:$B$1005,MATCH(R19,Books!$N$6:$N$1005,0)))</f>
        <v/>
      </c>
      <c r="S17" s="30">
        <f>IF(S19="","",INDEX(Books!$B$6:$B$1005,MATCH(S19,Books!$N$6:$N$1005,0)))</f>
        <v/>
      </c>
      <c r="T17" s="30">
        <f>IF(T19="","",INDEX(Books!$B$6:$B$1005,MATCH(T19,Books!$N$6:$N$1005,0)))</f>
        <v/>
      </c>
      <c r="U17" s="30">
        <f>IF(U19="","",INDEX(Books!$B$6:$B$1005,MATCH(U19,Books!$N$6:$N$1005,0)))</f>
        <v/>
      </c>
      <c r="V17" s="1" t="n"/>
      <c r="W17" s="1" t="n"/>
    </row>
    <row r="18" ht="7" customHeight="1">
      <c r="A18" s="1" t="n"/>
      <c r="B18" s="31" t="n"/>
      <c r="C18" s="31" t="n"/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  <c r="O18" s="31" t="n"/>
      <c r="P18" s="31" t="n"/>
      <c r="Q18" s="31" t="n"/>
      <c r="R18" s="31" t="n"/>
      <c r="S18" s="31" t="n"/>
      <c r="T18" s="31" t="n"/>
      <c r="U18" s="31" t="n"/>
      <c r="V18" s="31" t="n"/>
      <c r="W18" s="1" t="n"/>
    </row>
    <row r="19" hidden="1">
      <c r="A19" s="1" t="n"/>
      <c r="B19" s="1">
        <f>IFERROR(SMALL(Books!$N$6:$N$1005,61),"")</f>
        <v/>
      </c>
      <c r="C19" s="1">
        <f>IFERROR(SMALL(Books!$N$6:$N$1005,62),"")</f>
        <v/>
      </c>
      <c r="D19" s="1">
        <f>IFERROR(SMALL(Books!$N$6:$N$1005,63),"")</f>
        <v/>
      </c>
      <c r="E19" s="1">
        <f>IFERROR(SMALL(Books!$N$6:$N$1005,64),"")</f>
        <v/>
      </c>
      <c r="F19" s="1">
        <f>IFERROR(SMALL(Books!$N$6:$N$1005,65),"")</f>
        <v/>
      </c>
      <c r="G19" s="1">
        <f>IFERROR(SMALL(Books!$N$6:$N$1005,66),"")</f>
        <v/>
      </c>
      <c r="H19" s="1">
        <f>IFERROR(SMALL(Books!$N$6:$N$1005,67),"")</f>
        <v/>
      </c>
      <c r="I19" s="1">
        <f>IFERROR(SMALL(Books!$N$6:$N$1005,68),"")</f>
        <v/>
      </c>
      <c r="J19" s="1">
        <f>IFERROR(SMALL(Books!$N$6:$N$1005,69),"")</f>
        <v/>
      </c>
      <c r="K19" s="1">
        <f>IFERROR(SMALL(Books!$N$6:$N$1005,70),"")</f>
        <v/>
      </c>
      <c r="L19" s="1">
        <f>IFERROR(SMALL(Books!$N$6:$N$1005,71),"")</f>
        <v/>
      </c>
      <c r="M19" s="1">
        <f>IFERROR(SMALL(Books!$N$6:$N$1005,72),"")</f>
        <v/>
      </c>
      <c r="N19" s="1">
        <f>IFERROR(SMALL(Books!$N$6:$N$1005,73),"")</f>
        <v/>
      </c>
      <c r="O19" s="1">
        <f>IFERROR(SMALL(Books!$N$6:$N$1005,74),"")</f>
        <v/>
      </c>
      <c r="P19" s="1">
        <f>IFERROR(SMALL(Books!$N$6:$N$1005,75),"")</f>
        <v/>
      </c>
      <c r="Q19" s="1">
        <f>IFERROR(SMALL(Books!$N$6:$N$1005,76),"")</f>
        <v/>
      </c>
      <c r="R19" s="1">
        <f>IFERROR(SMALL(Books!$N$6:$N$1005,77),"")</f>
        <v/>
      </c>
      <c r="S19" s="1">
        <f>IFERROR(SMALL(Books!$N$6:$N$1005,78),"")</f>
        <v/>
      </c>
      <c r="T19" s="1">
        <f>IFERROR(SMALL(Books!$N$6:$N$1005,79),"")</f>
        <v/>
      </c>
      <c r="U19" s="1">
        <f>IFERROR(SMALL(Books!$N$6:$N$1005,80),"")</f>
        <v/>
      </c>
      <c r="V19" s="1" t="n"/>
      <c r="W19" s="1" t="n"/>
      <c r="Y19">
        <f>IF(B19="",0,INDEX(Books!$O$6:$O$1005,MATCH(B19,Books!$N$6:$N$1005,0)))</f>
        <v/>
      </c>
      <c r="Z19">
        <f>IF(C19="",0,INDEX(Books!$O$6:$O$1005,MATCH(C19,Books!$N$6:$N$1005,0)))</f>
        <v/>
      </c>
      <c r="AA19">
        <f>IF(D19="",0,INDEX(Books!$O$6:$O$1005,MATCH(D19,Books!$N$6:$N$1005,0)))</f>
        <v/>
      </c>
      <c r="AB19">
        <f>IF(E19="",0,INDEX(Books!$O$6:$O$1005,MATCH(E19,Books!$N$6:$N$1005,0)))</f>
        <v/>
      </c>
      <c r="AC19">
        <f>IF(F19="",0,INDEX(Books!$O$6:$O$1005,MATCH(F19,Books!$N$6:$N$1005,0)))</f>
        <v/>
      </c>
      <c r="AD19">
        <f>IF(G19="",0,INDEX(Books!$O$6:$O$1005,MATCH(G19,Books!$N$6:$N$1005,0)))</f>
        <v/>
      </c>
      <c r="AE19">
        <f>IF(H19="",0,INDEX(Books!$O$6:$O$1005,MATCH(H19,Books!$N$6:$N$1005,0)))</f>
        <v/>
      </c>
      <c r="AF19">
        <f>IF(I19="",0,INDEX(Books!$O$6:$O$1005,MATCH(I19,Books!$N$6:$N$1005,0)))</f>
        <v/>
      </c>
      <c r="AG19">
        <f>IF(J19="",0,INDEX(Books!$O$6:$O$1005,MATCH(J19,Books!$N$6:$N$1005,0)))</f>
        <v/>
      </c>
      <c r="AH19">
        <f>IF(K19="",0,INDEX(Books!$O$6:$O$1005,MATCH(K19,Books!$N$6:$N$1005,0)))</f>
        <v/>
      </c>
      <c r="AI19">
        <f>IF(L19="",0,INDEX(Books!$O$6:$O$1005,MATCH(L19,Books!$N$6:$N$1005,0)))</f>
        <v/>
      </c>
      <c r="AJ19">
        <f>IF(M19="",0,INDEX(Books!$O$6:$O$1005,MATCH(M19,Books!$N$6:$N$1005,0)))</f>
        <v/>
      </c>
      <c r="AK19">
        <f>IF(N19="",0,INDEX(Books!$O$6:$O$1005,MATCH(N19,Books!$N$6:$N$1005,0)))</f>
        <v/>
      </c>
      <c r="AL19">
        <f>IF(O19="",0,INDEX(Books!$O$6:$O$1005,MATCH(O19,Books!$N$6:$N$1005,0)))</f>
        <v/>
      </c>
      <c r="AM19">
        <f>IF(P19="",0,INDEX(Books!$O$6:$O$1005,MATCH(P19,Books!$N$6:$N$1005,0)))</f>
        <v/>
      </c>
      <c r="AN19">
        <f>IF(Q19="",0,INDEX(Books!$O$6:$O$1005,MATCH(Q19,Books!$N$6:$N$1005,0)))</f>
        <v/>
      </c>
      <c r="AO19">
        <f>IF(R19="",0,INDEX(Books!$O$6:$O$1005,MATCH(R19,Books!$N$6:$N$1005,0)))</f>
        <v/>
      </c>
      <c r="AP19">
        <f>IF(S19="",0,INDEX(Books!$O$6:$O$1005,MATCH(S19,Books!$N$6:$N$1005,0)))</f>
        <v/>
      </c>
      <c r="AQ19">
        <f>IF(T19="",0,INDEX(Books!$O$6:$O$1005,MATCH(T19,Books!$N$6:$N$1005,0)))</f>
        <v/>
      </c>
      <c r="AR19">
        <f>IF(U19="",0,INDEX(Books!$O$6:$O$1005,MATCH(U19,Books!$N$6:$N$1005,0)))</f>
        <v/>
      </c>
    </row>
    <row r="20" ht="10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</row>
    <row r="21" ht="132" customHeight="1">
      <c r="A21" s="1" t="n"/>
      <c r="B21" s="30">
        <f>IF(B23="","",INDEX(Books!$B$6:$B$1005,MATCH(B23,Books!$N$6:$N$1005,0)))</f>
        <v/>
      </c>
      <c r="C21" s="30">
        <f>IF(C23="","",INDEX(Books!$B$6:$B$1005,MATCH(C23,Books!$N$6:$N$1005,0)))</f>
        <v/>
      </c>
      <c r="D21" s="30">
        <f>IF(D23="","",INDEX(Books!$B$6:$B$1005,MATCH(D23,Books!$N$6:$N$1005,0)))</f>
        <v/>
      </c>
      <c r="E21" s="30">
        <f>IF(E23="","",INDEX(Books!$B$6:$B$1005,MATCH(E23,Books!$N$6:$N$1005,0)))</f>
        <v/>
      </c>
      <c r="F21" s="30">
        <f>IF(F23="","",INDEX(Books!$B$6:$B$1005,MATCH(F23,Books!$N$6:$N$1005,0)))</f>
        <v/>
      </c>
      <c r="G21" s="30">
        <f>IF(G23="","",INDEX(Books!$B$6:$B$1005,MATCH(G23,Books!$N$6:$N$1005,0)))</f>
        <v/>
      </c>
      <c r="H21" s="30">
        <f>IF(H23="","",INDEX(Books!$B$6:$B$1005,MATCH(H23,Books!$N$6:$N$1005,0)))</f>
        <v/>
      </c>
      <c r="I21" s="30">
        <f>IF(I23="","",INDEX(Books!$B$6:$B$1005,MATCH(I23,Books!$N$6:$N$1005,0)))</f>
        <v/>
      </c>
      <c r="J21" s="30">
        <f>IF(J23="","",INDEX(Books!$B$6:$B$1005,MATCH(J23,Books!$N$6:$N$1005,0)))</f>
        <v/>
      </c>
      <c r="K21" s="30">
        <f>IF(K23="","",INDEX(Books!$B$6:$B$1005,MATCH(K23,Books!$N$6:$N$1005,0)))</f>
        <v/>
      </c>
      <c r="L21" s="30">
        <f>IF(L23="","",INDEX(Books!$B$6:$B$1005,MATCH(L23,Books!$N$6:$N$1005,0)))</f>
        <v/>
      </c>
      <c r="M21" s="30">
        <f>IF(M23="","",INDEX(Books!$B$6:$B$1005,MATCH(M23,Books!$N$6:$N$1005,0)))</f>
        <v/>
      </c>
      <c r="N21" s="30">
        <f>IF(N23="","",INDEX(Books!$B$6:$B$1005,MATCH(N23,Books!$N$6:$N$1005,0)))</f>
        <v/>
      </c>
      <c r="O21" s="30">
        <f>IF(O23="","",INDEX(Books!$B$6:$B$1005,MATCH(O23,Books!$N$6:$N$1005,0)))</f>
        <v/>
      </c>
      <c r="P21" s="30">
        <f>IF(P23="","",INDEX(Books!$B$6:$B$1005,MATCH(P23,Books!$N$6:$N$1005,0)))</f>
        <v/>
      </c>
      <c r="Q21" s="30">
        <f>IF(Q23="","",INDEX(Books!$B$6:$B$1005,MATCH(Q23,Books!$N$6:$N$1005,0)))</f>
        <v/>
      </c>
      <c r="R21" s="30">
        <f>IF(R23="","",INDEX(Books!$B$6:$B$1005,MATCH(R23,Books!$N$6:$N$1005,0)))</f>
        <v/>
      </c>
      <c r="S21" s="30">
        <f>IF(S23="","",INDEX(Books!$B$6:$B$1005,MATCH(S23,Books!$N$6:$N$1005,0)))</f>
        <v/>
      </c>
      <c r="T21" s="30">
        <f>IF(T23="","",INDEX(Books!$B$6:$B$1005,MATCH(T23,Books!$N$6:$N$1005,0)))</f>
        <v/>
      </c>
      <c r="U21" s="30">
        <f>IF(U23="","",INDEX(Books!$B$6:$B$1005,MATCH(U23,Books!$N$6:$N$1005,0)))</f>
        <v/>
      </c>
      <c r="V21" s="1" t="n"/>
      <c r="W21" s="1" t="n"/>
    </row>
    <row r="22" ht="7" customHeight="1">
      <c r="A22" s="1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W22" s="1" t="n"/>
    </row>
    <row r="23" hidden="1">
      <c r="A23" s="1" t="n"/>
      <c r="B23" s="1">
        <f>IFERROR(SMALL(Books!$N$6:$N$1005,81),"")</f>
        <v/>
      </c>
      <c r="C23" s="1">
        <f>IFERROR(SMALL(Books!$N$6:$N$1005,82),"")</f>
        <v/>
      </c>
      <c r="D23" s="1">
        <f>IFERROR(SMALL(Books!$N$6:$N$1005,83),"")</f>
        <v/>
      </c>
      <c r="E23" s="1">
        <f>IFERROR(SMALL(Books!$N$6:$N$1005,84),"")</f>
        <v/>
      </c>
      <c r="F23" s="1">
        <f>IFERROR(SMALL(Books!$N$6:$N$1005,85),"")</f>
        <v/>
      </c>
      <c r="G23" s="1">
        <f>IFERROR(SMALL(Books!$N$6:$N$1005,86),"")</f>
        <v/>
      </c>
      <c r="H23" s="1">
        <f>IFERROR(SMALL(Books!$N$6:$N$1005,87),"")</f>
        <v/>
      </c>
      <c r="I23" s="1">
        <f>IFERROR(SMALL(Books!$N$6:$N$1005,88),"")</f>
        <v/>
      </c>
      <c r="J23" s="1">
        <f>IFERROR(SMALL(Books!$N$6:$N$1005,89),"")</f>
        <v/>
      </c>
      <c r="K23" s="1">
        <f>IFERROR(SMALL(Books!$N$6:$N$1005,90),"")</f>
        <v/>
      </c>
      <c r="L23" s="1">
        <f>IFERROR(SMALL(Books!$N$6:$N$1005,91),"")</f>
        <v/>
      </c>
      <c r="M23" s="1">
        <f>IFERROR(SMALL(Books!$N$6:$N$1005,92),"")</f>
        <v/>
      </c>
      <c r="N23" s="1">
        <f>IFERROR(SMALL(Books!$N$6:$N$1005,93),"")</f>
        <v/>
      </c>
      <c r="O23" s="1">
        <f>IFERROR(SMALL(Books!$N$6:$N$1005,94),"")</f>
        <v/>
      </c>
      <c r="P23" s="1">
        <f>IFERROR(SMALL(Books!$N$6:$N$1005,95),"")</f>
        <v/>
      </c>
      <c r="Q23" s="1">
        <f>IFERROR(SMALL(Books!$N$6:$N$1005,96),"")</f>
        <v/>
      </c>
      <c r="R23" s="1">
        <f>IFERROR(SMALL(Books!$N$6:$N$1005,97),"")</f>
        <v/>
      </c>
      <c r="S23" s="1">
        <f>IFERROR(SMALL(Books!$N$6:$N$1005,98),"")</f>
        <v/>
      </c>
      <c r="T23" s="1">
        <f>IFERROR(SMALL(Books!$N$6:$N$1005,99),"")</f>
        <v/>
      </c>
      <c r="U23" s="1">
        <f>IFERROR(SMALL(Books!$N$6:$N$1005,100),"")</f>
        <v/>
      </c>
      <c r="V23" s="1" t="n"/>
      <c r="W23" s="1" t="n"/>
      <c r="Y23">
        <f>IF(B23="",0,INDEX(Books!$O$6:$O$1005,MATCH(B23,Books!$N$6:$N$1005,0)))</f>
        <v/>
      </c>
      <c r="Z23">
        <f>IF(C23="",0,INDEX(Books!$O$6:$O$1005,MATCH(C23,Books!$N$6:$N$1005,0)))</f>
        <v/>
      </c>
      <c r="AA23">
        <f>IF(D23="",0,INDEX(Books!$O$6:$O$1005,MATCH(D23,Books!$N$6:$N$1005,0)))</f>
        <v/>
      </c>
      <c r="AB23">
        <f>IF(E23="",0,INDEX(Books!$O$6:$O$1005,MATCH(E23,Books!$N$6:$N$1005,0)))</f>
        <v/>
      </c>
      <c r="AC23">
        <f>IF(F23="",0,INDEX(Books!$O$6:$O$1005,MATCH(F23,Books!$N$6:$N$1005,0)))</f>
        <v/>
      </c>
      <c r="AD23">
        <f>IF(G23="",0,INDEX(Books!$O$6:$O$1005,MATCH(G23,Books!$N$6:$N$1005,0)))</f>
        <v/>
      </c>
      <c r="AE23">
        <f>IF(H23="",0,INDEX(Books!$O$6:$O$1005,MATCH(H23,Books!$N$6:$N$1005,0)))</f>
        <v/>
      </c>
      <c r="AF23">
        <f>IF(I23="",0,INDEX(Books!$O$6:$O$1005,MATCH(I23,Books!$N$6:$N$1005,0)))</f>
        <v/>
      </c>
      <c r="AG23">
        <f>IF(J23="",0,INDEX(Books!$O$6:$O$1005,MATCH(J23,Books!$N$6:$N$1005,0)))</f>
        <v/>
      </c>
      <c r="AH23">
        <f>IF(K23="",0,INDEX(Books!$O$6:$O$1005,MATCH(K23,Books!$N$6:$N$1005,0)))</f>
        <v/>
      </c>
      <c r="AI23">
        <f>IF(L23="",0,INDEX(Books!$O$6:$O$1005,MATCH(L23,Books!$N$6:$N$1005,0)))</f>
        <v/>
      </c>
      <c r="AJ23">
        <f>IF(M23="",0,INDEX(Books!$O$6:$O$1005,MATCH(M23,Books!$N$6:$N$1005,0)))</f>
        <v/>
      </c>
      <c r="AK23">
        <f>IF(N23="",0,INDEX(Books!$O$6:$O$1005,MATCH(N23,Books!$N$6:$N$1005,0)))</f>
        <v/>
      </c>
      <c r="AL23">
        <f>IF(O23="",0,INDEX(Books!$O$6:$O$1005,MATCH(O23,Books!$N$6:$N$1005,0)))</f>
        <v/>
      </c>
      <c r="AM23">
        <f>IF(P23="",0,INDEX(Books!$O$6:$O$1005,MATCH(P23,Books!$N$6:$N$1005,0)))</f>
        <v/>
      </c>
      <c r="AN23">
        <f>IF(Q23="",0,INDEX(Books!$O$6:$O$1005,MATCH(Q23,Books!$N$6:$N$1005,0)))</f>
        <v/>
      </c>
      <c r="AO23">
        <f>IF(R23="",0,INDEX(Books!$O$6:$O$1005,MATCH(R23,Books!$N$6:$N$1005,0)))</f>
        <v/>
      </c>
      <c r="AP23">
        <f>IF(S23="",0,INDEX(Books!$O$6:$O$1005,MATCH(S23,Books!$N$6:$N$1005,0)))</f>
        <v/>
      </c>
      <c r="AQ23">
        <f>IF(T23="",0,INDEX(Books!$O$6:$O$1005,MATCH(T23,Books!$N$6:$N$1005,0)))</f>
        <v/>
      </c>
      <c r="AR23">
        <f>IF(U23="",0,INDEX(Books!$O$6:$O$1005,MATCH(U23,Books!$N$6:$N$1005,0)))</f>
        <v/>
      </c>
    </row>
    <row r="24" ht="10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</row>
  </sheetData>
  <conditionalFormatting sqref="B5:U5">
    <cfRule type="expression" priority="1" dxfId="2">
      <formula>Y7=1</formula>
    </cfRule>
    <cfRule type="expression" priority="2" dxfId="3">
      <formula>Y7=2</formula>
    </cfRule>
    <cfRule type="expression" priority="3" dxfId="4">
      <formula>Y7=3</formula>
    </cfRule>
    <cfRule type="expression" priority="4" dxfId="5">
      <formula>Y7=4</formula>
    </cfRule>
    <cfRule type="expression" priority="5" dxfId="6">
      <formula>Y7=5</formula>
    </cfRule>
    <cfRule type="expression" priority="6" dxfId="7">
      <formula>Y7=6</formula>
    </cfRule>
    <cfRule type="expression" priority="7" dxfId="8">
      <formula>Y7=7</formula>
    </cfRule>
    <cfRule type="expression" priority="8" dxfId="9">
      <formula>Y7=8</formula>
    </cfRule>
    <cfRule type="expression" priority="9" dxfId="10">
      <formula>Y7=9</formula>
    </cfRule>
    <cfRule type="expression" priority="10" dxfId="11">
      <formula>Y7=10</formula>
    </cfRule>
    <cfRule type="expression" priority="11" dxfId="12">
      <formula>Y7=11</formula>
    </cfRule>
    <cfRule type="expression" priority="12" dxfId="13">
      <formula>Y7=12</formula>
    </cfRule>
  </conditionalFormatting>
  <conditionalFormatting sqref="B9:U9">
    <cfRule type="expression" priority="13" dxfId="2">
      <formula>Y11=1</formula>
    </cfRule>
    <cfRule type="expression" priority="14" dxfId="3">
      <formula>Y11=2</formula>
    </cfRule>
    <cfRule type="expression" priority="15" dxfId="4">
      <formula>Y11=3</formula>
    </cfRule>
    <cfRule type="expression" priority="16" dxfId="5">
      <formula>Y11=4</formula>
    </cfRule>
    <cfRule type="expression" priority="17" dxfId="6">
      <formula>Y11=5</formula>
    </cfRule>
    <cfRule type="expression" priority="18" dxfId="7">
      <formula>Y11=6</formula>
    </cfRule>
    <cfRule type="expression" priority="19" dxfId="8">
      <formula>Y11=7</formula>
    </cfRule>
    <cfRule type="expression" priority="20" dxfId="9">
      <formula>Y11=8</formula>
    </cfRule>
    <cfRule type="expression" priority="21" dxfId="10">
      <formula>Y11=9</formula>
    </cfRule>
    <cfRule type="expression" priority="22" dxfId="11">
      <formula>Y11=10</formula>
    </cfRule>
    <cfRule type="expression" priority="23" dxfId="12">
      <formula>Y11=11</formula>
    </cfRule>
    <cfRule type="expression" priority="24" dxfId="13">
      <formula>Y11=12</formula>
    </cfRule>
  </conditionalFormatting>
  <conditionalFormatting sqref="B13:U13">
    <cfRule type="expression" priority="25" dxfId="2">
      <formula>Y15=1</formula>
    </cfRule>
    <cfRule type="expression" priority="26" dxfId="3">
      <formula>Y15=2</formula>
    </cfRule>
    <cfRule type="expression" priority="27" dxfId="4">
      <formula>Y15=3</formula>
    </cfRule>
    <cfRule type="expression" priority="28" dxfId="5">
      <formula>Y15=4</formula>
    </cfRule>
    <cfRule type="expression" priority="29" dxfId="6">
      <formula>Y15=5</formula>
    </cfRule>
    <cfRule type="expression" priority="30" dxfId="7">
      <formula>Y15=6</formula>
    </cfRule>
    <cfRule type="expression" priority="31" dxfId="8">
      <formula>Y15=7</formula>
    </cfRule>
    <cfRule type="expression" priority="32" dxfId="9">
      <formula>Y15=8</formula>
    </cfRule>
    <cfRule type="expression" priority="33" dxfId="10">
      <formula>Y15=9</formula>
    </cfRule>
    <cfRule type="expression" priority="34" dxfId="11">
      <formula>Y15=10</formula>
    </cfRule>
    <cfRule type="expression" priority="35" dxfId="12">
      <formula>Y15=11</formula>
    </cfRule>
    <cfRule type="expression" priority="36" dxfId="13">
      <formula>Y15=12</formula>
    </cfRule>
  </conditionalFormatting>
  <conditionalFormatting sqref="B17:U17">
    <cfRule type="expression" priority="37" dxfId="2">
      <formula>Y19=1</formula>
    </cfRule>
    <cfRule type="expression" priority="38" dxfId="3">
      <formula>Y19=2</formula>
    </cfRule>
    <cfRule type="expression" priority="39" dxfId="4">
      <formula>Y19=3</formula>
    </cfRule>
    <cfRule type="expression" priority="40" dxfId="5">
      <formula>Y19=4</formula>
    </cfRule>
    <cfRule type="expression" priority="41" dxfId="6">
      <formula>Y19=5</formula>
    </cfRule>
    <cfRule type="expression" priority="42" dxfId="7">
      <formula>Y19=6</formula>
    </cfRule>
    <cfRule type="expression" priority="43" dxfId="8">
      <formula>Y19=7</formula>
    </cfRule>
    <cfRule type="expression" priority="44" dxfId="9">
      <formula>Y19=8</formula>
    </cfRule>
    <cfRule type="expression" priority="45" dxfId="10">
      <formula>Y19=9</formula>
    </cfRule>
    <cfRule type="expression" priority="46" dxfId="11">
      <formula>Y19=10</formula>
    </cfRule>
    <cfRule type="expression" priority="47" dxfId="12">
      <formula>Y19=11</formula>
    </cfRule>
    <cfRule type="expression" priority="48" dxfId="13">
      <formula>Y19=12</formula>
    </cfRule>
  </conditionalFormatting>
  <conditionalFormatting sqref="B21:U21">
    <cfRule type="expression" priority="49" dxfId="2">
      <formula>Y23=1</formula>
    </cfRule>
    <cfRule type="expression" priority="50" dxfId="3">
      <formula>Y23=2</formula>
    </cfRule>
    <cfRule type="expression" priority="51" dxfId="4">
      <formula>Y23=3</formula>
    </cfRule>
    <cfRule type="expression" priority="52" dxfId="5">
      <formula>Y23=4</formula>
    </cfRule>
    <cfRule type="expression" priority="53" dxfId="6">
      <formula>Y23=5</formula>
    </cfRule>
    <cfRule type="expression" priority="54" dxfId="7">
      <formula>Y23=6</formula>
    </cfRule>
    <cfRule type="expression" priority="55" dxfId="8">
      <formula>Y23=7</formula>
    </cfRule>
    <cfRule type="expression" priority="56" dxfId="9">
      <formula>Y23=8</formula>
    </cfRule>
    <cfRule type="expression" priority="57" dxfId="10">
      <formula>Y23=9</formula>
    </cfRule>
    <cfRule type="expression" priority="58" dxfId="11">
      <formula>Y23=10</formula>
    </cfRule>
    <cfRule type="expression" priority="59" dxfId="12">
      <formula>Y23=11</formula>
    </cfRule>
    <cfRule type="expression" priority="60" dxfId="13">
      <formula>Y23=12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8" customWidth="1" min="3" max="3"/>
    <col width="4" customWidth="1" min="4" max="4"/>
    <col width="60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  <c r="F2" s="1" t="n"/>
    </row>
    <row r="3">
      <c r="A3" s="1" t="n"/>
      <c r="B3" s="3" t="inlineStr">
        <is>
          <t>Your genres and their colours on the bookshelf.</t>
        </is>
      </c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 ht="30" customHeight="1">
      <c r="A5" s="1" t="n"/>
      <c r="B5" s="14" t="inlineStr">
        <is>
          <t>Genre</t>
        </is>
      </c>
      <c r="C5" s="14" t="inlineStr">
        <is>
          <t>Colour</t>
        </is>
      </c>
      <c r="D5" s="1" t="n"/>
      <c r="E5" s="1" t="n"/>
      <c r="F5" s="1" t="n"/>
    </row>
    <row r="6">
      <c r="A6" s="1" t="n"/>
      <c r="B6" s="24" t="inlineStr">
        <is>
          <t>Fiction</t>
        </is>
      </c>
      <c r="C6" s="32" t="n"/>
      <c r="D6" s="1" t="n"/>
      <c r="E6" s="33" t="inlineStr">
        <is>
          <t>Rename the genres to the ones you read. Each place on the list keeps its colour.</t>
        </is>
      </c>
      <c r="F6" s="1" t="n"/>
    </row>
    <row r="7">
      <c r="A7" s="1" t="n"/>
      <c r="B7" s="24" t="inlineStr">
        <is>
          <t>Fantasy</t>
        </is>
      </c>
      <c r="C7" s="34" t="n"/>
      <c r="D7" s="1" t="n"/>
      <c r="E7" s="33" t="inlineStr">
        <is>
          <t>A book with a genre that is not on the list gets the last colour.</t>
        </is>
      </c>
      <c r="F7" s="1" t="n"/>
    </row>
    <row r="8">
      <c r="A8" s="1" t="n"/>
      <c r="B8" s="24" t="inlineStr">
        <is>
          <t>Mystery</t>
        </is>
      </c>
      <c r="C8" s="35" t="n"/>
      <c r="D8" s="1" t="n"/>
      <c r="E8" s="1" t="n"/>
      <c r="F8" s="1" t="n"/>
    </row>
    <row r="9">
      <c r="A9" s="1" t="n"/>
      <c r="B9" s="24" t="inlineStr">
        <is>
          <t>Romance</t>
        </is>
      </c>
      <c r="C9" s="36" t="n"/>
      <c r="D9" s="1" t="n"/>
      <c r="E9" s="1" t="n"/>
      <c r="F9" s="1" t="n"/>
    </row>
    <row r="10">
      <c r="A10" s="1" t="n"/>
      <c r="B10" s="24" t="inlineStr">
        <is>
          <t>Science fiction</t>
        </is>
      </c>
      <c r="C10" s="37" t="n"/>
      <c r="D10" s="1" t="n"/>
      <c r="E10" s="1" t="n"/>
      <c r="F10" s="1" t="n"/>
    </row>
    <row r="11">
      <c r="A11" s="1" t="n"/>
      <c r="B11" s="24" t="inlineStr">
        <is>
          <t>Historical fiction</t>
        </is>
      </c>
      <c r="C11" s="38" t="n"/>
      <c r="D11" s="1" t="n"/>
      <c r="E11" s="1" t="n"/>
      <c r="F11" s="1" t="n"/>
    </row>
    <row r="12">
      <c r="A12" s="1" t="n"/>
      <c r="B12" s="24" t="inlineStr">
        <is>
          <t>Non-fiction</t>
        </is>
      </c>
      <c r="C12" s="39" t="n"/>
      <c r="D12" s="1" t="n"/>
      <c r="E12" s="1" t="n"/>
      <c r="F12" s="1" t="n"/>
    </row>
    <row r="13">
      <c r="A13" s="1" t="n"/>
      <c r="B13" s="24" t="inlineStr">
        <is>
          <t>Biography</t>
        </is>
      </c>
      <c r="C13" s="40" t="n"/>
      <c r="D13" s="1" t="n"/>
      <c r="E13" s="1" t="n"/>
      <c r="F13" s="1" t="n"/>
    </row>
    <row r="14">
      <c r="A14" s="1" t="n"/>
      <c r="B14" s="24" t="inlineStr">
        <is>
          <t>Self-help</t>
        </is>
      </c>
      <c r="C14" s="41" t="n"/>
      <c r="D14" s="1" t="n"/>
      <c r="E14" s="1" t="n"/>
      <c r="F14" s="1" t="n"/>
    </row>
    <row r="15">
      <c r="A15" s="1" t="n"/>
      <c r="B15" s="24" t="inlineStr">
        <is>
          <t>Poetry</t>
        </is>
      </c>
      <c r="C15" s="42" t="n"/>
      <c r="D15" s="1" t="n"/>
      <c r="E15" s="1" t="n"/>
      <c r="F15" s="1" t="n"/>
    </row>
    <row r="16">
      <c r="A16" s="1" t="n"/>
      <c r="B16" s="24" t="inlineStr">
        <is>
          <t>Classics</t>
        </is>
      </c>
      <c r="C16" s="43" t="n"/>
      <c r="D16" s="1" t="n"/>
      <c r="E16" s="1" t="n"/>
      <c r="F16" s="1" t="n"/>
    </row>
    <row r="17">
      <c r="A17" s="1" t="n"/>
      <c r="B17" s="24" t="inlineStr">
        <is>
          <t>Other</t>
        </is>
      </c>
      <c r="C17" s="44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45" t="inlineStr">
        <is>
          <t>1</t>
        </is>
      </c>
      <c r="C5" s="46" t="inlineStr">
        <is>
          <t>Dashboard: the year and how many books you want to read in it.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45" t="inlineStr">
        <is>
          <t>2</t>
        </is>
      </c>
      <c r="C7" s="46" t="inlineStr">
        <is>
          <t>Books: one line per book, with its author, genre, format and pages.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45" t="inlineStr">
        <is>
          <t>3</t>
        </is>
      </c>
      <c r="C9" s="46" t="inlineStr">
        <is>
          <t>When you start a book, set it to Reading with the date. When you finish, set Finished, the date and a rating.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45" t="inlineStr">
        <is>
          <t>4</t>
        </is>
      </c>
      <c r="C11" s="46" t="inlineStr">
        <is>
          <t>Books you want to read go in the same list, as Want to read.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45" t="inlineStr">
        <is>
          <t>5</t>
        </is>
      </c>
      <c r="C13" s="46" t="inlineStr">
        <is>
          <t>Dashboard and Bookshelf: your goal, your months and genres, and shelves for 100 books that fill up as you read.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Ahead or behind compares your finished books with where the goal says you should be today.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The example books and authors are made up. Delete them and add your own.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Works in Google Sheets and Microsoft Excel.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2026-09-28T14:19:30Z</dcterms:created>
  <dcterms:modified xsi:type="dcterms:W3CDTF">2026-09-28T14:19:31Z</dcterms:modified>
</cp:coreProperties>
</file>