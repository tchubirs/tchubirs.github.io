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alendar" sheetId="2" state="visible" r:id="rId2"/>
    <sheet name="Posts" sheetId="3" state="visible" r:id="rId3"/>
    <sheet name="Stats" sheetId="4" state="visible" r:id="rId4"/>
    <sheet name="Settings" sheetId="5" state="visible" r:id="rId5"/>
    <sheet name="Start He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mmm yyyy"/>
    <numFmt numFmtId="165" formatCode="mmmm yyyy"/>
    <numFmt numFmtId="166" formatCode="yyyy-mm-dd"/>
    <numFmt numFmtId="167" formatCode="DD MMM YYYY"/>
    <numFmt numFmtId="168" formatCode="0.0%"/>
    <numFmt numFmtId="169" formatCode="mmm yy"/>
    <numFmt numFmtId="170" formatCode="ddd d mmm"/>
    <numFmt numFmtId="171" formatCode="d mmm"/>
  </numFmts>
  <fonts count="15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1E2A2F"/>
      <sz val="11"/>
    </font>
    <font>
      <name val="Arial"/>
      <i val="1"/>
      <color rgb="006B7B80"/>
      <sz val="10"/>
    </font>
    <font>
      <name val="Arial"/>
      <b val="1"/>
      <color rgb="00FFFFFF"/>
      <sz val="11"/>
    </font>
    <font>
      <name val="Arial"/>
      <color rgb="001E2A2F"/>
      <sz val="11"/>
    </font>
    <font>
      <name val="Arial"/>
      <color rgb="001E2A2F"/>
      <sz val="9"/>
    </font>
    <font>
      <name val="Arial"/>
      <b val="1"/>
      <color rgb="00FFFFFF"/>
      <sz val="10"/>
    </font>
    <font>
      <name val="Arial"/>
      <b val="1"/>
      <color rgb="0015525A"/>
      <sz val="11"/>
    </font>
    <font>
      <name val="Arial"/>
      <b val="1"/>
      <color rgb="006B7B80"/>
      <sz val="10"/>
    </font>
    <font>
      <name val="Arial"/>
      <b val="1"/>
      <color rgb="001F6F78"/>
      <sz val="16"/>
    </font>
    <font>
      <name val="Arial"/>
      <b val="1"/>
      <color rgb="00B23B2E"/>
      <sz val="16"/>
    </font>
    <font>
      <name val="Arial"/>
      <b val="1"/>
      <color rgb="001F6F78"/>
      <sz val="18"/>
    </font>
    <font>
      <name val="Arial"/>
      <color rgb="001E2A2F"/>
      <sz val="13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2"/>
        <bgColor rgb="00FFF4C2"/>
      </patternFill>
    </fill>
    <fill>
      <patternFill patternType="solid">
        <fgColor rgb="001F6F78"/>
        <bgColor rgb="001F6F78"/>
      </patternFill>
    </fill>
  </fills>
  <borders count="2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0" fillId="2" borderId="1" pivotButton="0" quotePrefix="0" xfId="0"/>
    <xf numFmtId="1" fontId="11" fillId="2" borderId="1" applyAlignment="1" pivotButton="0" quotePrefix="0" xfId="0">
      <alignment horizontal="right"/>
    </xf>
    <xf numFmtId="1" fontId="12" fillId="2" borderId="1" applyAlignment="1" pivotButton="0" quotePrefix="0" xfId="0">
      <alignment horizontal="right"/>
    </xf>
    <xf numFmtId="3" fontId="11" fillId="2" borderId="1" applyAlignment="1" pivotButton="0" quotePrefix="0" xfId="0">
      <alignment horizontal="right"/>
    </xf>
    <xf numFmtId="168" fontId="11" fillId="2" borderId="1" applyAlignment="1" pivotButton="0" quotePrefix="0" xfId="0">
      <alignment horizontal="right"/>
    </xf>
    <xf numFmtId="0" fontId="5" fillId="4" borderId="1" applyAlignment="1" pivotButton="0" quotePrefix="0" xfId="0">
      <alignment horizontal="center" vertical="center" wrapText="1"/>
    </xf>
    <xf numFmtId="170" fontId="6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1" fontId="6" fillId="2" borderId="1" applyAlignment="1" pivotButton="0" quotePrefix="0" xfId="0">
      <alignment horizontal="center" vertical="center"/>
    </xf>
    <xf numFmtId="168" fontId="6" fillId="2" borderId="1" applyAlignment="1" pivotButton="0" quotePrefix="0" xfId="0">
      <alignment horizontal="center" vertical="center"/>
    </xf>
    <xf numFmtId="171" fontId="3" fillId="2" borderId="1" applyAlignment="1" pivotButton="0" quotePrefix="0" xfId="0">
      <alignment horizontal="center" vertical="center"/>
    </xf>
    <xf numFmtId="3" fontId="6" fillId="2" borderId="1" applyAlignment="1" pivotButton="0" quotePrefix="0" xfId="0">
      <alignment horizontal="center" vertical="center"/>
    </xf>
    <xf numFmtId="0" fontId="4" fillId="2" borderId="0" pivotButton="0" quotePrefix="0" xfId="0"/>
    <xf numFmtId="0" fontId="7" fillId="2" borderId="1" applyAlignment="1" pivotButton="0" quotePrefix="0" xfId="0">
      <alignment vertical="top" wrapText="1"/>
    </xf>
    <xf numFmtId="167" fontId="6" fillId="3" borderId="1" applyAlignment="1" pivotButton="0" quotePrefix="0" xfId="0">
      <alignment horizontal="center" vertical="center"/>
    </xf>
    <xf numFmtId="20" fontId="6" fillId="3" borderId="1" applyAlignment="1" pivotButton="0" quotePrefix="0" xfId="0">
      <alignment horizontal="center" vertical="center"/>
    </xf>
    <xf numFmtId="0" fontId="6" fillId="3" borderId="1" pivotButton="0" quotePrefix="0" xfId="0"/>
    <xf numFmtId="0" fontId="6" fillId="3" borderId="1" applyAlignment="1" pivotButton="0" quotePrefix="0" xfId="0">
      <alignment horizontal="center" vertical="center"/>
    </xf>
    <xf numFmtId="0" fontId="3" fillId="3" borderId="1" pivotButton="0" quotePrefix="0" xfId="0"/>
    <xf numFmtId="3" fontId="6" fillId="3" borderId="1" pivotButton="0" quotePrefix="0" xfId="0"/>
    <xf numFmtId="3" fontId="6" fillId="2" borderId="1" pivotButton="0" quotePrefix="0" xfId="0"/>
    <xf numFmtId="0" fontId="3" fillId="2" borderId="1" applyAlignment="1" pivotButton="0" quotePrefix="0" xfId="0">
      <alignment horizontal="center" vertical="center"/>
    </xf>
    <xf numFmtId="169" fontId="8" fillId="4" borderId="1" applyAlignment="1" pivotButton="0" quotePrefix="0" xfId="0">
      <alignment horizontal="center" vertical="center"/>
    </xf>
    <xf numFmtId="9" fontId="6" fillId="2" borderId="1" applyAlignment="1" pivotButton="0" quotePrefix="0" xfId="0">
      <alignment horizontal="center" vertical="center"/>
    </xf>
    <xf numFmtId="0" fontId="9" fillId="2" borderId="0" pivotButton="0" quotePrefix="0" xfId="0"/>
    <xf numFmtId="3" fontId="3" fillId="2" borderId="1" pivotButton="0" quotePrefix="0" xfId="0"/>
    <xf numFmtId="0" fontId="3" fillId="2" borderId="0" pivotButton="0" quotePrefix="0" xfId="0"/>
    <xf numFmtId="164" fontId="3" fillId="3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  <xf numFmtId="1" fontId="6" fillId="3" borderId="1" applyAlignment="1" pivotButton="0" quotePrefix="0" xfId="0">
      <alignment horizontal="center" vertical="center"/>
    </xf>
    <xf numFmtId="0" fontId="13" fillId="2" borderId="0" pivotButton="0" quotePrefix="0" xfId="0"/>
    <xf numFmtId="0" fontId="14" fillId="2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FE2B8"/>
          <bgColor rgb="00FFE2B8"/>
        </patternFill>
      </fill>
    </dxf>
    <dxf>
      <fill>
        <patternFill patternType="solid">
          <fgColor rgb="00F9C9C4"/>
          <bgColor rgb="00F9C9C4"/>
        </patternFill>
      </fill>
    </dxf>
    <dxf>
      <fill>
        <patternFill patternType="solid">
          <fgColor rgb="00E3F1EF"/>
          <bgColor rgb="00E3F1EF"/>
        </patternFill>
      </fill>
    </dxf>
    <dxf>
      <fill>
        <patternFill patternType="solid">
          <fgColor rgb="00D8F0DC"/>
          <bgColor rgb="00D8F0DC"/>
        </patternFill>
      </fill>
    </dxf>
    <dxf>
      <fill>
        <patternFill patternType="solid">
          <fgColor rgb="00E3E8FF"/>
          <bgColor rgb="00E3E8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Published each week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'Dashboard'!C19</f>
            </strRef>
          </tx>
          <spPr>
            <a:solidFill>
              <a:srgbClr val="1F6F78"/>
            </a:solidFill>
            <a:ln>
              <a:prstDash val="solid"/>
            </a:ln>
          </spPr>
          <cat>
            <numRef>
              <f>'Dashboard'!$B$20:$B$27</f>
            </numRef>
          </cat>
          <val>
            <numRef>
              <f>'Dashboard'!$C$20:$C$27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25</row>
      <rowOff>0</rowOff>
    </from>
    <ext cx="4140000" cy="223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30" customWidth="1" min="4" max="4"/>
    <col width="12" customWidth="1" min="5" max="5"/>
    <col width="3" customWidth="1" min="6" max="6"/>
    <col width="24" customWidth="1" min="7" max="7"/>
    <col width="12" customWidth="1" min="8" max="8"/>
    <col width="12" customWidth="1" min="9" max="9"/>
    <col width="12" customWidth="1" min="10" max="10"/>
    <col width="3" customWidth="1" min="11" max="11"/>
    <col hidden="1" width="13" customWidth="1" min="13" max="13"/>
    <col hidden="1" width="13" customWidth="1" min="14" max="14"/>
    <col hidden="1" width="13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>
        <f>TODAY()-WEEKDAY(TODAY(),3)</f>
        <v/>
      </c>
    </row>
    <row r="2" ht="32" customHeight="1">
      <c r="A2" s="1" t="n"/>
      <c r="B2" s="2" t="inlineStr">
        <is>
          <t>Content planner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>
        <f>MAX(Stats!C16:N16)</f>
        <v/>
      </c>
    </row>
    <row r="3">
      <c r="A3" s="1" t="n"/>
      <c r="B3" s="3">
        <f>"The week of "&amp;DAY($M$1)&amp;" "&amp;CHOOSE(MONTH($M$1),"Jan","Feb","Mar","Apr","May","Jun","Jul","Aug","Sep","Oct","Nov","Dec")&amp;", and "&amp;CHOOSE(MONTH(TODAY()),"January","February","March","April","May","June","July","August","September","October","November","December")&amp;" so far."</f>
        <v/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n"/>
      <c r="B4" s="4" t="inlineStr">
        <is>
          <t>This week</t>
        </is>
      </c>
      <c r="C4" s="4" t="inlineStr">
        <is>
          <t>Next 7 days</t>
        </is>
      </c>
      <c r="D4" s="4" t="inlineStr">
        <is>
          <t>Late</t>
        </is>
      </c>
      <c r="E4" s="4" t="inlineStr">
        <is>
          <t>Ideas</t>
        </is>
      </c>
      <c r="F4" s="1" t="n"/>
      <c r="G4" s="4" t="inlineStr">
        <is>
          <t>Published this month</t>
        </is>
      </c>
      <c r="H4" s="4" t="inlineStr">
        <is>
          <t>Reach this month</t>
        </is>
      </c>
      <c r="I4" s="4" t="inlineStr">
        <is>
          <t>Rate this month</t>
        </is>
      </c>
      <c r="J4" s="4" t="inlineStr">
        <is>
          <t>Followers</t>
        </is>
      </c>
      <c r="K4" s="1" t="n"/>
      <c r="L4" s="1" t="n"/>
    </row>
    <row r="5" ht="34" customHeight="1">
      <c r="A5" s="1" t="n"/>
      <c r="B5" s="5">
        <f>COUNTIFS(Posts!$B$6:$B$805,"&gt;="&amp;$M$1,Posts!$B$6:$B$805,"&lt;"&amp;($M$1+7))-COUNTIFS(Posts!$B$6:$B$805,"&gt;="&amp;$M$1,Posts!$B$6:$B$805,"&lt;"&amp;($M$1+7),Posts!$H$6:$H$805,"Idea")</f>
        <v/>
      </c>
      <c r="C5" s="5">
        <f>COUNTIFS(Posts!$B$6:$B$805,"&gt;="&amp;TODAY(),Posts!$B$6:$B$805,"&lt;"&amp;(TODAY()+7),Posts!$H$6:$H$805,"Scheduled")+COUNTIFS(Posts!$B$6:$B$805,"&gt;="&amp;TODAY(),Posts!$B$6:$B$805,"&lt;"&amp;(TODAY()+7),Posts!$H$6:$H$805,"Draft")</f>
        <v/>
      </c>
      <c r="D5" s="6">
        <f>SUM(Posts!$V$6:$V$805)</f>
        <v/>
      </c>
      <c r="E5" s="5">
        <f>COUNTIF(Posts!$H$6:$H$805,"Idea")</f>
        <v/>
      </c>
      <c r="F5" s="1" t="n"/>
      <c r="G5" s="5">
        <f>COUNTIFS(Posts!$H$6:$H$805,"Published",Posts!$T$6:$T$805,(YEAR(TODAY())*100+MONTH(TODAY())))</f>
        <v/>
      </c>
      <c r="H5" s="7">
        <f>SUMIFS(Posts!$J$6:$J$805,Posts!$H$6:$H$805,"Published",Posts!$T$6:$T$805,(YEAR(TODAY())*100+MONTH(TODAY())))</f>
        <v/>
      </c>
      <c r="I5" s="8">
        <f>IF(H5=0,"",SUMIFS(Posts!$O$6:$O$805,Posts!$H$6:$H$805,"Published",Posts!$T$6:$T$805,(YEAR(TODAY())*100+MONTH(TODAY())),Posts!$J$6:$J$805,"&gt;0")/H5)</f>
        <v/>
      </c>
      <c r="J5" s="7">
        <f>IF($M$2=0,"",INDEX(Stats!$C$15:$N$15,$M$2))</f>
        <v/>
      </c>
      <c r="K5" s="1" t="n"/>
      <c r="L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30" customHeight="1">
      <c r="A7" s="1" t="n"/>
      <c r="B7" s="9" t="inlineStr">
        <is>
          <t>Coming up</t>
        </is>
      </c>
      <c r="C7" s="9" t="inlineStr">
        <is>
          <t>Platform</t>
        </is>
      </c>
      <c r="D7" s="9" t="inlineStr">
        <is>
          <t>Post</t>
        </is>
      </c>
      <c r="E7" s="9" t="inlineStr">
        <is>
          <t>Status</t>
        </is>
      </c>
      <c r="F7" s="1" t="n"/>
      <c r="G7" s="9" t="inlineStr">
        <is>
          <t>Platform</t>
        </is>
      </c>
      <c r="H7" s="9" t="inlineStr">
        <is>
          <t>This week</t>
        </is>
      </c>
      <c r="I7" s="9" t="inlineStr">
        <is>
          <t>Goal a week</t>
        </is>
      </c>
      <c r="J7" s="9" t="inlineStr">
        <is>
          <t>Rate</t>
        </is>
      </c>
      <c r="K7" s="1" t="n"/>
      <c r="L7" s="1" t="n"/>
    </row>
    <row r="8" ht="18" customHeight="1">
      <c r="A8" s="1" t="n"/>
      <c r="B8" s="10">
        <f>IF(N8="","",INT(N8/10000000))</f>
        <v/>
      </c>
      <c r="C8" s="11">
        <f>IF(N8="","",IF(INDEX(Posts!$D$1:$D$805,MOD(N8,1000))="","",INDEX(Posts!$D$1:$D$805,MOD(N8,1000))))</f>
        <v/>
      </c>
      <c r="D8" s="12">
        <f>IF(N8="","",IF(INDEX(Posts!$G$1:$G$805,MOD(N8,1000))="",IF(INDEX(Posts!$E$1:$E$805,MOD(N8,1000))="","",INDEX(Posts!$E$1:$E$805,MOD(N8,1000))),INDEX(Posts!$G$1:$G$805,MOD(N8,1000))))</f>
        <v/>
      </c>
      <c r="E8" s="13">
        <f>IF(N8="","",IF(INDEX(Posts!$H$1:$H$805,MOD(N8,1000))="","",INDEX(Posts!$H$1:$H$805,MOD(N8,1000))))</f>
        <v/>
      </c>
      <c r="F8" s="14" t="n"/>
      <c r="G8" s="11">
        <f>IF(Settings!$B$10="","",Settings!$B$10)</f>
        <v/>
      </c>
      <c r="H8" s="15">
        <f>IF(G8="","",COUNTIFS(Posts!$D$6:$D$805,G8,Posts!$B$6:$B$805,"&gt;="&amp;$M$1,Posts!$B$6:$B$805,"&lt;"&amp;($M$1+7))-COUNTIFS(Posts!$D$6:$D$805,G8,Posts!$B$6:$B$805,"&gt;="&amp;$M$1,Posts!$B$6:$B$805,"&lt;"&amp;($M$1+7),Posts!$H$6:$H$805,"Idea"))</f>
        <v/>
      </c>
      <c r="I8" s="15">
        <f>IF(G8="","",N(Settings!$D$10))</f>
        <v/>
      </c>
      <c r="J8" s="16">
        <f>IF(G8="","",IF(SUMIFS(Posts!$J$6:$J$805,Posts!$D$6:$D$805,G8,Posts!$H$6:$H$805,"Published",Posts!$T$6:$T$805,(YEAR(TODAY())*100+MONTH(TODAY())))=0,"",SUMIFS(Posts!$O$6:$O$805,Posts!$D$6:$D$805,G8,Posts!$H$6:$H$805,"Published",Posts!$T$6:$T$805,(YEAR(TODAY())*100+MONTH(TODAY())),Posts!$J$6:$J$805,"&gt;0")/SUMIFS(Posts!$J$6:$J$805,Posts!$D$6:$D$805,G8,Posts!$H$6:$H$805,"Published",Posts!$T$6:$T$805,(YEAR(TODAY())*100+MONTH(TODAY())))))</f>
        <v/>
      </c>
      <c r="K8" s="1" t="n"/>
      <c r="L8" s="1" t="n"/>
      <c r="N8">
        <f>IFERROR(SMALL(Posts!$U$6:$U$805,1),"")</f>
        <v/>
      </c>
    </row>
    <row r="9" ht="18" customHeight="1">
      <c r="A9" s="1" t="n"/>
      <c r="B9" s="10">
        <f>IF(N9="","",INT(N9/10000000))</f>
        <v/>
      </c>
      <c r="C9" s="11">
        <f>IF(N9="","",IF(INDEX(Posts!$D$1:$D$805,MOD(N9,1000))="","",INDEX(Posts!$D$1:$D$805,MOD(N9,1000))))</f>
        <v/>
      </c>
      <c r="D9" s="12">
        <f>IF(N9="","",IF(INDEX(Posts!$G$1:$G$805,MOD(N9,1000))="",IF(INDEX(Posts!$E$1:$E$805,MOD(N9,1000))="","",INDEX(Posts!$E$1:$E$805,MOD(N9,1000))),INDEX(Posts!$G$1:$G$805,MOD(N9,1000))))</f>
        <v/>
      </c>
      <c r="E9" s="13">
        <f>IF(N9="","",IF(INDEX(Posts!$H$1:$H$805,MOD(N9,1000))="","",INDEX(Posts!$H$1:$H$805,MOD(N9,1000))))</f>
        <v/>
      </c>
      <c r="F9" s="14" t="n"/>
      <c r="G9" s="11">
        <f>IF(Settings!$B$11="","",Settings!$B$11)</f>
        <v/>
      </c>
      <c r="H9" s="15">
        <f>IF(G9="","",COUNTIFS(Posts!$D$6:$D$805,G9,Posts!$B$6:$B$805,"&gt;="&amp;$M$1,Posts!$B$6:$B$805,"&lt;"&amp;($M$1+7))-COUNTIFS(Posts!$D$6:$D$805,G9,Posts!$B$6:$B$805,"&gt;="&amp;$M$1,Posts!$B$6:$B$805,"&lt;"&amp;($M$1+7),Posts!$H$6:$H$805,"Idea"))</f>
        <v/>
      </c>
      <c r="I9" s="15">
        <f>IF(G9="","",N(Settings!$D$11))</f>
        <v/>
      </c>
      <c r="J9" s="16">
        <f>IF(G9="","",IF(SUMIFS(Posts!$J$6:$J$805,Posts!$D$6:$D$805,G9,Posts!$H$6:$H$805,"Published",Posts!$T$6:$T$805,(YEAR(TODAY())*100+MONTH(TODAY())))=0,"",SUMIFS(Posts!$O$6:$O$805,Posts!$D$6:$D$805,G9,Posts!$H$6:$H$805,"Published",Posts!$T$6:$T$805,(YEAR(TODAY())*100+MONTH(TODAY())),Posts!$J$6:$J$805,"&gt;0")/SUMIFS(Posts!$J$6:$J$805,Posts!$D$6:$D$805,G9,Posts!$H$6:$H$805,"Published",Posts!$T$6:$T$805,(YEAR(TODAY())*100+MONTH(TODAY())))))</f>
        <v/>
      </c>
      <c r="K9" s="1" t="n"/>
      <c r="L9" s="1" t="n"/>
      <c r="N9">
        <f>IFERROR(SMALL(Posts!$U$6:$U$805,2),"")</f>
        <v/>
      </c>
    </row>
    <row r="10" ht="18" customHeight="1">
      <c r="A10" s="1" t="n"/>
      <c r="B10" s="10">
        <f>IF(N10="","",INT(N10/10000000))</f>
        <v/>
      </c>
      <c r="C10" s="11">
        <f>IF(N10="","",IF(INDEX(Posts!$D$1:$D$805,MOD(N10,1000))="","",INDEX(Posts!$D$1:$D$805,MOD(N10,1000))))</f>
        <v/>
      </c>
      <c r="D10" s="12">
        <f>IF(N10="","",IF(INDEX(Posts!$G$1:$G$805,MOD(N10,1000))="",IF(INDEX(Posts!$E$1:$E$805,MOD(N10,1000))="","",INDEX(Posts!$E$1:$E$805,MOD(N10,1000))),INDEX(Posts!$G$1:$G$805,MOD(N10,1000))))</f>
        <v/>
      </c>
      <c r="E10" s="13">
        <f>IF(N10="","",IF(INDEX(Posts!$H$1:$H$805,MOD(N10,1000))="","",INDEX(Posts!$H$1:$H$805,MOD(N10,1000))))</f>
        <v/>
      </c>
      <c r="F10" s="14" t="n"/>
      <c r="G10" s="11">
        <f>IF(Settings!$B$12="","",Settings!$B$12)</f>
        <v/>
      </c>
      <c r="H10" s="15">
        <f>IF(G10="","",COUNTIFS(Posts!$D$6:$D$805,G10,Posts!$B$6:$B$805,"&gt;="&amp;$M$1,Posts!$B$6:$B$805,"&lt;"&amp;($M$1+7))-COUNTIFS(Posts!$D$6:$D$805,G10,Posts!$B$6:$B$805,"&gt;="&amp;$M$1,Posts!$B$6:$B$805,"&lt;"&amp;($M$1+7),Posts!$H$6:$H$805,"Idea"))</f>
        <v/>
      </c>
      <c r="I10" s="15">
        <f>IF(G10="","",N(Settings!$D$12))</f>
        <v/>
      </c>
      <c r="J10" s="16">
        <f>IF(G10="","",IF(SUMIFS(Posts!$J$6:$J$805,Posts!$D$6:$D$805,G10,Posts!$H$6:$H$805,"Published",Posts!$T$6:$T$805,(YEAR(TODAY())*100+MONTH(TODAY())))=0,"",SUMIFS(Posts!$O$6:$O$805,Posts!$D$6:$D$805,G10,Posts!$H$6:$H$805,"Published",Posts!$T$6:$T$805,(YEAR(TODAY())*100+MONTH(TODAY())),Posts!$J$6:$J$805,"&gt;0")/SUMIFS(Posts!$J$6:$J$805,Posts!$D$6:$D$805,G10,Posts!$H$6:$H$805,"Published",Posts!$T$6:$T$805,(YEAR(TODAY())*100+MONTH(TODAY())))))</f>
        <v/>
      </c>
      <c r="K10" s="1" t="n"/>
      <c r="L10" s="1" t="n"/>
      <c r="N10">
        <f>IFERROR(SMALL(Posts!$U$6:$U$805,3),"")</f>
        <v/>
      </c>
    </row>
    <row r="11" ht="18" customHeight="1">
      <c r="A11" s="1" t="n"/>
      <c r="B11" s="10">
        <f>IF(N11="","",INT(N11/10000000))</f>
        <v/>
      </c>
      <c r="C11" s="11">
        <f>IF(N11="","",IF(INDEX(Posts!$D$1:$D$805,MOD(N11,1000))="","",INDEX(Posts!$D$1:$D$805,MOD(N11,1000))))</f>
        <v/>
      </c>
      <c r="D11" s="12">
        <f>IF(N11="","",IF(INDEX(Posts!$G$1:$G$805,MOD(N11,1000))="",IF(INDEX(Posts!$E$1:$E$805,MOD(N11,1000))="","",INDEX(Posts!$E$1:$E$805,MOD(N11,1000))),INDEX(Posts!$G$1:$G$805,MOD(N11,1000))))</f>
        <v/>
      </c>
      <c r="E11" s="13">
        <f>IF(N11="","",IF(INDEX(Posts!$H$1:$H$805,MOD(N11,1000))="","",INDEX(Posts!$H$1:$H$805,MOD(N11,1000))))</f>
        <v/>
      </c>
      <c r="F11" s="14" t="n"/>
      <c r="G11" s="11">
        <f>IF(Settings!$B$13="","",Settings!$B$13)</f>
        <v/>
      </c>
      <c r="H11" s="15">
        <f>IF(G11="","",COUNTIFS(Posts!$D$6:$D$805,G11,Posts!$B$6:$B$805,"&gt;="&amp;$M$1,Posts!$B$6:$B$805,"&lt;"&amp;($M$1+7))-COUNTIFS(Posts!$D$6:$D$805,G11,Posts!$B$6:$B$805,"&gt;="&amp;$M$1,Posts!$B$6:$B$805,"&lt;"&amp;($M$1+7),Posts!$H$6:$H$805,"Idea"))</f>
        <v/>
      </c>
      <c r="I11" s="15">
        <f>IF(G11="","",N(Settings!$D$13))</f>
        <v/>
      </c>
      <c r="J11" s="16">
        <f>IF(G11="","",IF(SUMIFS(Posts!$J$6:$J$805,Posts!$D$6:$D$805,G11,Posts!$H$6:$H$805,"Published",Posts!$T$6:$T$805,(YEAR(TODAY())*100+MONTH(TODAY())))=0,"",SUMIFS(Posts!$O$6:$O$805,Posts!$D$6:$D$805,G11,Posts!$H$6:$H$805,"Published",Posts!$T$6:$T$805,(YEAR(TODAY())*100+MONTH(TODAY())),Posts!$J$6:$J$805,"&gt;0")/SUMIFS(Posts!$J$6:$J$805,Posts!$D$6:$D$805,G11,Posts!$H$6:$H$805,"Published",Posts!$T$6:$T$805,(YEAR(TODAY())*100+MONTH(TODAY())))))</f>
        <v/>
      </c>
      <c r="K11" s="1" t="n"/>
      <c r="L11" s="1" t="n"/>
      <c r="N11">
        <f>IFERROR(SMALL(Posts!$U$6:$U$805,4),"")</f>
        <v/>
      </c>
    </row>
    <row r="12" ht="18" customHeight="1">
      <c r="A12" s="1" t="n"/>
      <c r="B12" s="10">
        <f>IF(N12="","",INT(N12/10000000))</f>
        <v/>
      </c>
      <c r="C12" s="11">
        <f>IF(N12="","",IF(INDEX(Posts!$D$1:$D$805,MOD(N12,1000))="","",INDEX(Posts!$D$1:$D$805,MOD(N12,1000))))</f>
        <v/>
      </c>
      <c r="D12" s="12">
        <f>IF(N12="","",IF(INDEX(Posts!$G$1:$G$805,MOD(N12,1000))="",IF(INDEX(Posts!$E$1:$E$805,MOD(N12,1000))="","",INDEX(Posts!$E$1:$E$805,MOD(N12,1000))),INDEX(Posts!$G$1:$G$805,MOD(N12,1000))))</f>
        <v/>
      </c>
      <c r="E12" s="13">
        <f>IF(N12="","",IF(INDEX(Posts!$H$1:$H$805,MOD(N12,1000))="","",INDEX(Posts!$H$1:$H$805,MOD(N12,1000))))</f>
        <v/>
      </c>
      <c r="F12" s="14" t="n"/>
      <c r="G12" s="11">
        <f>IF(Settings!$B$14="","",Settings!$B$14)</f>
        <v/>
      </c>
      <c r="H12" s="15">
        <f>IF(G12="","",COUNTIFS(Posts!$D$6:$D$805,G12,Posts!$B$6:$B$805,"&gt;="&amp;$M$1,Posts!$B$6:$B$805,"&lt;"&amp;($M$1+7))-COUNTIFS(Posts!$D$6:$D$805,G12,Posts!$B$6:$B$805,"&gt;="&amp;$M$1,Posts!$B$6:$B$805,"&lt;"&amp;($M$1+7),Posts!$H$6:$H$805,"Idea"))</f>
        <v/>
      </c>
      <c r="I12" s="15">
        <f>IF(G12="","",N(Settings!$D$14))</f>
        <v/>
      </c>
      <c r="J12" s="16">
        <f>IF(G12="","",IF(SUMIFS(Posts!$J$6:$J$805,Posts!$D$6:$D$805,G12,Posts!$H$6:$H$805,"Published",Posts!$T$6:$T$805,(YEAR(TODAY())*100+MONTH(TODAY())))=0,"",SUMIFS(Posts!$O$6:$O$805,Posts!$D$6:$D$805,G12,Posts!$H$6:$H$805,"Published",Posts!$T$6:$T$805,(YEAR(TODAY())*100+MONTH(TODAY())),Posts!$J$6:$J$805,"&gt;0")/SUMIFS(Posts!$J$6:$J$805,Posts!$D$6:$D$805,G12,Posts!$H$6:$H$805,"Published",Posts!$T$6:$T$805,(YEAR(TODAY())*100+MONTH(TODAY())))))</f>
        <v/>
      </c>
      <c r="K12" s="1" t="n"/>
      <c r="L12" s="1" t="n"/>
      <c r="N12">
        <f>IFERROR(SMALL(Posts!$U$6:$U$805,5),"")</f>
        <v/>
      </c>
    </row>
    <row r="13" ht="18" customHeight="1">
      <c r="A13" s="1" t="n"/>
      <c r="B13" s="10">
        <f>IF(N13="","",INT(N13/10000000))</f>
        <v/>
      </c>
      <c r="C13" s="11">
        <f>IF(N13="","",IF(INDEX(Posts!$D$1:$D$805,MOD(N13,1000))="","",INDEX(Posts!$D$1:$D$805,MOD(N13,1000))))</f>
        <v/>
      </c>
      <c r="D13" s="12">
        <f>IF(N13="","",IF(INDEX(Posts!$G$1:$G$805,MOD(N13,1000))="",IF(INDEX(Posts!$E$1:$E$805,MOD(N13,1000))="","",INDEX(Posts!$E$1:$E$805,MOD(N13,1000))),INDEX(Posts!$G$1:$G$805,MOD(N13,1000))))</f>
        <v/>
      </c>
      <c r="E13" s="13">
        <f>IF(N13="","",IF(INDEX(Posts!$H$1:$H$805,MOD(N13,1000))="","",INDEX(Posts!$H$1:$H$805,MOD(N13,1000))))</f>
        <v/>
      </c>
      <c r="F13" s="14" t="n"/>
      <c r="G13" s="11">
        <f>IF(Settings!$B$15="","",Settings!$B$15)</f>
        <v/>
      </c>
      <c r="H13" s="15">
        <f>IF(G13="","",COUNTIFS(Posts!$D$6:$D$805,G13,Posts!$B$6:$B$805,"&gt;="&amp;$M$1,Posts!$B$6:$B$805,"&lt;"&amp;($M$1+7))-COUNTIFS(Posts!$D$6:$D$805,G13,Posts!$B$6:$B$805,"&gt;="&amp;$M$1,Posts!$B$6:$B$805,"&lt;"&amp;($M$1+7),Posts!$H$6:$H$805,"Idea"))</f>
        <v/>
      </c>
      <c r="I13" s="15">
        <f>IF(G13="","",N(Settings!$D$15))</f>
        <v/>
      </c>
      <c r="J13" s="16">
        <f>IF(G13="","",IF(SUMIFS(Posts!$J$6:$J$805,Posts!$D$6:$D$805,G13,Posts!$H$6:$H$805,"Published",Posts!$T$6:$T$805,(YEAR(TODAY())*100+MONTH(TODAY())))=0,"",SUMIFS(Posts!$O$6:$O$805,Posts!$D$6:$D$805,G13,Posts!$H$6:$H$805,"Published",Posts!$T$6:$T$805,(YEAR(TODAY())*100+MONTH(TODAY())),Posts!$J$6:$J$805,"&gt;0")/SUMIFS(Posts!$J$6:$J$805,Posts!$D$6:$D$805,G13,Posts!$H$6:$H$805,"Published",Posts!$T$6:$T$805,(YEAR(TODAY())*100+MONTH(TODAY())))))</f>
        <v/>
      </c>
      <c r="K13" s="1" t="n"/>
      <c r="L13" s="1" t="n"/>
      <c r="N13">
        <f>IFERROR(SMALL(Posts!$U$6:$U$805,6),"")</f>
        <v/>
      </c>
    </row>
    <row r="14" ht="18" customHeight="1">
      <c r="A14" s="1" t="n"/>
      <c r="B14" s="10">
        <f>IF(N14="","",INT(N14/10000000))</f>
        <v/>
      </c>
      <c r="C14" s="11">
        <f>IF(N14="","",IF(INDEX(Posts!$D$1:$D$805,MOD(N14,1000))="","",INDEX(Posts!$D$1:$D$805,MOD(N14,1000))))</f>
        <v/>
      </c>
      <c r="D14" s="12">
        <f>IF(N14="","",IF(INDEX(Posts!$G$1:$G$805,MOD(N14,1000))="",IF(INDEX(Posts!$E$1:$E$805,MOD(N14,1000))="","",INDEX(Posts!$E$1:$E$805,MOD(N14,1000))),INDEX(Posts!$G$1:$G$805,MOD(N14,1000))))</f>
        <v/>
      </c>
      <c r="E14" s="13">
        <f>IF(N14="","",IF(INDEX(Posts!$H$1:$H$805,MOD(N14,1000))="","",INDEX(Posts!$H$1:$H$805,MOD(N14,1000))))</f>
        <v/>
      </c>
      <c r="F14" s="14" t="n"/>
      <c r="G14" s="11">
        <f>IF(Settings!$B$16="","",Settings!$B$16)</f>
        <v/>
      </c>
      <c r="H14" s="15">
        <f>IF(G14="","",COUNTIFS(Posts!$D$6:$D$805,G14,Posts!$B$6:$B$805,"&gt;="&amp;$M$1,Posts!$B$6:$B$805,"&lt;"&amp;($M$1+7))-COUNTIFS(Posts!$D$6:$D$805,G14,Posts!$B$6:$B$805,"&gt;="&amp;$M$1,Posts!$B$6:$B$805,"&lt;"&amp;($M$1+7),Posts!$H$6:$H$805,"Idea"))</f>
        <v/>
      </c>
      <c r="I14" s="15">
        <f>IF(G14="","",N(Settings!$D$16))</f>
        <v/>
      </c>
      <c r="J14" s="16">
        <f>IF(G14="","",IF(SUMIFS(Posts!$J$6:$J$805,Posts!$D$6:$D$805,G14,Posts!$H$6:$H$805,"Published",Posts!$T$6:$T$805,(YEAR(TODAY())*100+MONTH(TODAY())))=0,"",SUMIFS(Posts!$O$6:$O$805,Posts!$D$6:$D$805,G14,Posts!$H$6:$H$805,"Published",Posts!$T$6:$T$805,(YEAR(TODAY())*100+MONTH(TODAY())),Posts!$J$6:$J$805,"&gt;0")/SUMIFS(Posts!$J$6:$J$805,Posts!$D$6:$D$805,G14,Posts!$H$6:$H$805,"Published",Posts!$T$6:$T$805,(YEAR(TODAY())*100+MONTH(TODAY())))))</f>
        <v/>
      </c>
      <c r="K14" s="1" t="n"/>
      <c r="L14" s="1" t="n"/>
      <c r="N14">
        <f>IFERROR(SMALL(Posts!$U$6:$U$805,7),"")</f>
        <v/>
      </c>
    </row>
    <row r="15" ht="18" customHeight="1">
      <c r="A15" s="1" t="n"/>
      <c r="B15" s="10">
        <f>IF(N15="","",INT(N15/10000000))</f>
        <v/>
      </c>
      <c r="C15" s="11">
        <f>IF(N15="","",IF(INDEX(Posts!$D$1:$D$805,MOD(N15,1000))="","",INDEX(Posts!$D$1:$D$805,MOD(N15,1000))))</f>
        <v/>
      </c>
      <c r="D15" s="12">
        <f>IF(N15="","",IF(INDEX(Posts!$G$1:$G$805,MOD(N15,1000))="",IF(INDEX(Posts!$E$1:$E$805,MOD(N15,1000))="","",INDEX(Posts!$E$1:$E$805,MOD(N15,1000))),INDEX(Posts!$G$1:$G$805,MOD(N15,1000))))</f>
        <v/>
      </c>
      <c r="E15" s="13">
        <f>IF(N15="","",IF(INDEX(Posts!$H$1:$H$805,MOD(N15,1000))="","",INDEX(Posts!$H$1:$H$805,MOD(N15,1000))))</f>
        <v/>
      </c>
      <c r="F15" s="14" t="n"/>
      <c r="G15" s="11">
        <f>IF(Settings!$B$17="","",Settings!$B$17)</f>
        <v/>
      </c>
      <c r="H15" s="15">
        <f>IF(G15="","",COUNTIFS(Posts!$D$6:$D$805,G15,Posts!$B$6:$B$805,"&gt;="&amp;$M$1,Posts!$B$6:$B$805,"&lt;"&amp;($M$1+7))-COUNTIFS(Posts!$D$6:$D$805,G15,Posts!$B$6:$B$805,"&gt;="&amp;$M$1,Posts!$B$6:$B$805,"&lt;"&amp;($M$1+7),Posts!$H$6:$H$805,"Idea"))</f>
        <v/>
      </c>
      <c r="I15" s="15">
        <f>IF(G15="","",N(Settings!$D$17))</f>
        <v/>
      </c>
      <c r="J15" s="16">
        <f>IF(G15="","",IF(SUMIFS(Posts!$J$6:$J$805,Posts!$D$6:$D$805,G15,Posts!$H$6:$H$805,"Published",Posts!$T$6:$T$805,(YEAR(TODAY())*100+MONTH(TODAY())))=0,"",SUMIFS(Posts!$O$6:$O$805,Posts!$D$6:$D$805,G15,Posts!$H$6:$H$805,"Published",Posts!$T$6:$T$805,(YEAR(TODAY())*100+MONTH(TODAY())),Posts!$J$6:$J$805,"&gt;0")/SUMIFS(Posts!$J$6:$J$805,Posts!$D$6:$D$805,G15,Posts!$H$6:$H$805,"Published",Posts!$T$6:$T$805,(YEAR(TODAY())*100+MONTH(TODAY())))))</f>
        <v/>
      </c>
      <c r="K15" s="1" t="n"/>
      <c r="L15" s="1" t="n"/>
      <c r="N15">
        <f>IFERROR(SMALL(Posts!$U$6:$U$805,8),"")</f>
        <v/>
      </c>
    </row>
    <row r="16" ht="18" customHeight="1">
      <c r="A16" s="1" t="n"/>
      <c r="B16" s="10">
        <f>IF(N16="","",INT(N16/10000000))</f>
        <v/>
      </c>
      <c r="C16" s="11">
        <f>IF(N16="","",IF(INDEX(Posts!$D$1:$D$805,MOD(N16,1000))="","",INDEX(Posts!$D$1:$D$805,MOD(N16,1000))))</f>
        <v/>
      </c>
      <c r="D16" s="12">
        <f>IF(N16="","",IF(INDEX(Posts!$G$1:$G$805,MOD(N16,1000))="",IF(INDEX(Posts!$E$1:$E$805,MOD(N16,1000))="","",INDEX(Posts!$E$1:$E$805,MOD(N16,1000))),INDEX(Posts!$G$1:$G$805,MOD(N16,1000))))</f>
        <v/>
      </c>
      <c r="E16" s="13">
        <f>IF(N16="","",IF(INDEX(Posts!$H$1:$H$805,MOD(N16,1000))="","",INDEX(Posts!$H$1:$H$805,MOD(N16,1000))))</f>
        <v/>
      </c>
      <c r="F16" s="14" t="n"/>
      <c r="G16" s="14" t="n"/>
      <c r="H16" s="14" t="n"/>
      <c r="I16" s="14" t="n"/>
      <c r="J16" s="14" t="n"/>
      <c r="K16" s="1" t="n"/>
      <c r="L16" s="1" t="n"/>
      <c r="N16">
        <f>IFERROR(SMALL(Posts!$U$6:$U$805,9),"")</f>
        <v/>
      </c>
    </row>
    <row r="17" ht="18" customHeight="1">
      <c r="A17" s="1" t="n"/>
      <c r="B17" s="10">
        <f>IF(N17="","",INT(N17/10000000))</f>
        <v/>
      </c>
      <c r="C17" s="11">
        <f>IF(N17="","",IF(INDEX(Posts!$D$1:$D$805,MOD(N17,1000))="","",INDEX(Posts!$D$1:$D$805,MOD(N17,1000))))</f>
        <v/>
      </c>
      <c r="D17" s="12">
        <f>IF(N17="","",IF(INDEX(Posts!$G$1:$G$805,MOD(N17,1000))="",IF(INDEX(Posts!$E$1:$E$805,MOD(N17,1000))="","",INDEX(Posts!$E$1:$E$805,MOD(N17,1000))),INDEX(Posts!$G$1:$G$805,MOD(N17,1000))))</f>
        <v/>
      </c>
      <c r="E17" s="13">
        <f>IF(N17="","",IF(INDEX(Posts!$H$1:$H$805,MOD(N17,1000))="","",INDEX(Posts!$H$1:$H$805,MOD(N17,1000))))</f>
        <v/>
      </c>
      <c r="F17" s="14" t="n"/>
      <c r="G17" s="14" t="n"/>
      <c r="H17" s="14" t="n"/>
      <c r="I17" s="14" t="n"/>
      <c r="J17" s="14" t="n"/>
      <c r="K17" s="1" t="n"/>
      <c r="L17" s="1" t="n"/>
      <c r="N17">
        <f>IFERROR(SMALL(Posts!$U$6:$U$805,10),"")</f>
        <v/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 ht="30" customHeight="1">
      <c r="A19" s="1" t="n"/>
      <c r="B19" s="9" t="inlineStr">
        <is>
          <t>Week of</t>
        </is>
      </c>
      <c r="C19" s="9" t="inlineStr">
        <is>
          <t>Published</t>
        </is>
      </c>
      <c r="D19" s="9" t="inlineStr">
        <is>
          <t>Reach</t>
        </is>
      </c>
      <c r="E19" s="1" t="n"/>
      <c r="F19" s="1" t="n"/>
      <c r="G19" s="9" t="inlineStr">
        <is>
          <t>Best this month</t>
        </is>
      </c>
      <c r="H19" s="9" t="inlineStr">
        <is>
          <t>Platform</t>
        </is>
      </c>
      <c r="I19" s="9" t="inlineStr">
        <is>
          <t>Interactions</t>
        </is>
      </c>
      <c r="J19" s="9" t="inlineStr">
        <is>
          <t>Rate</t>
        </is>
      </c>
      <c r="K19" s="1" t="n"/>
      <c r="L19" s="1" t="n"/>
    </row>
    <row r="20" ht="18" customHeight="1">
      <c r="A20" s="1" t="n"/>
      <c r="B20" s="17">
        <f>($M$1-49)</f>
        <v/>
      </c>
      <c r="C20" s="15">
        <f>COUNTIFS(Posts!$S$6:$S$805,B20,Posts!$H$6:$H$805,"Published")</f>
        <v/>
      </c>
      <c r="D20" s="18">
        <f>SUMIFS(Posts!$J$6:$J$805,Posts!$S$6:$S$805,B20,Posts!$H$6:$H$805,"Published")</f>
        <v/>
      </c>
      <c r="E20" s="14" t="n"/>
      <c r="F20" s="14" t="n"/>
      <c r="G20" s="11">
        <f>IF(O20="","",IF(INDEX(Posts!$G$1:$G$805,1000-MOD(O20,1000))="",IF(INDEX(Posts!$E$1:$E$805,1000-MOD(O20,1000))="","",INDEX(Posts!$E$1:$E$805,1000-MOD(O20,1000))),INDEX(Posts!$G$1:$G$805,1000-MOD(O20,1000))))</f>
        <v/>
      </c>
      <c r="H20" s="13">
        <f>IF(O20="","",IF(INDEX(Posts!$D$1:$D$805,1000-MOD(O20,1000))="","",INDEX(Posts!$D$1:$D$805,1000-MOD(O20,1000))))</f>
        <v/>
      </c>
      <c r="I20" s="18">
        <f>IF(O20="","",INDEX(Posts!$O$1:$O$805,1000-MOD(O20,1000)))</f>
        <v/>
      </c>
      <c r="J20" s="16">
        <f>IF(O20="","",IF(INDEX(Posts!$P$1:$P$805,1000-MOD(O20,1000))="","",INDEX(Posts!$P$1:$P$805,1000-MOD(O20,1000))))</f>
        <v/>
      </c>
      <c r="K20" s="1" t="n"/>
      <c r="L20" s="1" t="n"/>
      <c r="O20">
        <f>IFERROR(LARGE(Posts!$W$6:$W$805,1),"")</f>
        <v/>
      </c>
    </row>
    <row r="21" ht="18" customHeight="1">
      <c r="A21" s="1" t="n"/>
      <c r="B21" s="17">
        <f>($M$1-42)</f>
        <v/>
      </c>
      <c r="C21" s="15">
        <f>COUNTIFS(Posts!$S$6:$S$805,B21,Posts!$H$6:$H$805,"Published")</f>
        <v/>
      </c>
      <c r="D21" s="18">
        <f>SUMIFS(Posts!$J$6:$J$805,Posts!$S$6:$S$805,B21,Posts!$H$6:$H$805,"Published")</f>
        <v/>
      </c>
      <c r="E21" s="14" t="n"/>
      <c r="F21" s="14" t="n"/>
      <c r="G21" s="11">
        <f>IF(O21="","",IF(INDEX(Posts!$G$1:$G$805,1000-MOD(O21,1000))="",IF(INDEX(Posts!$E$1:$E$805,1000-MOD(O21,1000))="","",INDEX(Posts!$E$1:$E$805,1000-MOD(O21,1000))),INDEX(Posts!$G$1:$G$805,1000-MOD(O21,1000))))</f>
        <v/>
      </c>
      <c r="H21" s="13">
        <f>IF(O21="","",IF(INDEX(Posts!$D$1:$D$805,1000-MOD(O21,1000))="","",INDEX(Posts!$D$1:$D$805,1000-MOD(O21,1000))))</f>
        <v/>
      </c>
      <c r="I21" s="18">
        <f>IF(O21="","",INDEX(Posts!$O$1:$O$805,1000-MOD(O21,1000)))</f>
        <v/>
      </c>
      <c r="J21" s="16">
        <f>IF(O21="","",IF(INDEX(Posts!$P$1:$P$805,1000-MOD(O21,1000))="","",INDEX(Posts!$P$1:$P$805,1000-MOD(O21,1000))))</f>
        <v/>
      </c>
      <c r="K21" s="1" t="n"/>
      <c r="L21" s="1" t="n"/>
      <c r="O21">
        <f>IFERROR(LARGE(Posts!$W$6:$W$805,2),"")</f>
        <v/>
      </c>
    </row>
    <row r="22" ht="18" customHeight="1">
      <c r="A22" s="1" t="n"/>
      <c r="B22" s="17">
        <f>($M$1-35)</f>
        <v/>
      </c>
      <c r="C22" s="15">
        <f>COUNTIFS(Posts!$S$6:$S$805,B22,Posts!$H$6:$H$805,"Published")</f>
        <v/>
      </c>
      <c r="D22" s="18">
        <f>SUMIFS(Posts!$J$6:$J$805,Posts!$S$6:$S$805,B22,Posts!$H$6:$H$805,"Published")</f>
        <v/>
      </c>
      <c r="E22" s="14" t="n"/>
      <c r="F22" s="14" t="n"/>
      <c r="G22" s="11">
        <f>IF(O22="","",IF(INDEX(Posts!$G$1:$G$805,1000-MOD(O22,1000))="",IF(INDEX(Posts!$E$1:$E$805,1000-MOD(O22,1000))="","",INDEX(Posts!$E$1:$E$805,1000-MOD(O22,1000))),INDEX(Posts!$G$1:$G$805,1000-MOD(O22,1000))))</f>
        <v/>
      </c>
      <c r="H22" s="13">
        <f>IF(O22="","",IF(INDEX(Posts!$D$1:$D$805,1000-MOD(O22,1000))="","",INDEX(Posts!$D$1:$D$805,1000-MOD(O22,1000))))</f>
        <v/>
      </c>
      <c r="I22" s="18">
        <f>IF(O22="","",INDEX(Posts!$O$1:$O$805,1000-MOD(O22,1000)))</f>
        <v/>
      </c>
      <c r="J22" s="16">
        <f>IF(O22="","",IF(INDEX(Posts!$P$1:$P$805,1000-MOD(O22,1000))="","",INDEX(Posts!$P$1:$P$805,1000-MOD(O22,1000))))</f>
        <v/>
      </c>
      <c r="K22" s="1" t="n"/>
      <c r="L22" s="1" t="n"/>
      <c r="O22">
        <f>IFERROR(LARGE(Posts!$W$6:$W$805,3),"")</f>
        <v/>
      </c>
    </row>
    <row r="23" ht="18" customHeight="1">
      <c r="A23" s="1" t="n"/>
      <c r="B23" s="17">
        <f>($M$1-28)</f>
        <v/>
      </c>
      <c r="C23" s="15">
        <f>COUNTIFS(Posts!$S$6:$S$805,B23,Posts!$H$6:$H$805,"Published")</f>
        <v/>
      </c>
      <c r="D23" s="18">
        <f>SUMIFS(Posts!$J$6:$J$805,Posts!$S$6:$S$805,B23,Posts!$H$6:$H$805,"Published")</f>
        <v/>
      </c>
      <c r="E23" s="14" t="n"/>
      <c r="F23" s="14" t="n"/>
      <c r="G23" s="11">
        <f>IF(O23="","",IF(INDEX(Posts!$G$1:$G$805,1000-MOD(O23,1000))="",IF(INDEX(Posts!$E$1:$E$805,1000-MOD(O23,1000))="","",INDEX(Posts!$E$1:$E$805,1000-MOD(O23,1000))),INDEX(Posts!$G$1:$G$805,1000-MOD(O23,1000))))</f>
        <v/>
      </c>
      <c r="H23" s="13">
        <f>IF(O23="","",IF(INDEX(Posts!$D$1:$D$805,1000-MOD(O23,1000))="","",INDEX(Posts!$D$1:$D$805,1000-MOD(O23,1000))))</f>
        <v/>
      </c>
      <c r="I23" s="18">
        <f>IF(O23="","",INDEX(Posts!$O$1:$O$805,1000-MOD(O23,1000)))</f>
        <v/>
      </c>
      <c r="J23" s="16">
        <f>IF(O23="","",IF(INDEX(Posts!$P$1:$P$805,1000-MOD(O23,1000))="","",INDEX(Posts!$P$1:$P$805,1000-MOD(O23,1000))))</f>
        <v/>
      </c>
      <c r="K23" s="1" t="n"/>
      <c r="L23" s="1" t="n"/>
      <c r="O23">
        <f>IFERROR(LARGE(Posts!$W$6:$W$805,4),"")</f>
        <v/>
      </c>
    </row>
    <row r="24" ht="18" customHeight="1">
      <c r="A24" s="1" t="n"/>
      <c r="B24" s="17">
        <f>($M$1-21)</f>
        <v/>
      </c>
      <c r="C24" s="15">
        <f>COUNTIFS(Posts!$S$6:$S$805,B24,Posts!$H$6:$H$805,"Published")</f>
        <v/>
      </c>
      <c r="D24" s="18">
        <f>SUMIFS(Posts!$J$6:$J$805,Posts!$S$6:$S$805,B24,Posts!$H$6:$H$805,"Published")</f>
        <v/>
      </c>
      <c r="E24" s="14" t="n"/>
      <c r="F24" s="14" t="n"/>
      <c r="G24" s="11">
        <f>IF(O24="","",IF(INDEX(Posts!$G$1:$G$805,1000-MOD(O24,1000))="",IF(INDEX(Posts!$E$1:$E$805,1000-MOD(O24,1000))="","",INDEX(Posts!$E$1:$E$805,1000-MOD(O24,1000))),INDEX(Posts!$G$1:$G$805,1000-MOD(O24,1000))))</f>
        <v/>
      </c>
      <c r="H24" s="13">
        <f>IF(O24="","",IF(INDEX(Posts!$D$1:$D$805,1000-MOD(O24,1000))="","",INDEX(Posts!$D$1:$D$805,1000-MOD(O24,1000))))</f>
        <v/>
      </c>
      <c r="I24" s="18">
        <f>IF(O24="","",INDEX(Posts!$O$1:$O$805,1000-MOD(O24,1000)))</f>
        <v/>
      </c>
      <c r="J24" s="16">
        <f>IF(O24="","",IF(INDEX(Posts!$P$1:$P$805,1000-MOD(O24,1000))="","",INDEX(Posts!$P$1:$P$805,1000-MOD(O24,1000))))</f>
        <v/>
      </c>
      <c r="K24" s="1" t="n"/>
      <c r="L24" s="1" t="n"/>
      <c r="O24">
        <f>IFERROR(LARGE(Posts!$W$6:$W$805,5),"")</f>
        <v/>
      </c>
    </row>
    <row r="25" ht="18" customHeight="1">
      <c r="A25" s="1" t="n"/>
      <c r="B25" s="17">
        <f>($M$1-14)</f>
        <v/>
      </c>
      <c r="C25" s="15">
        <f>COUNTIFS(Posts!$S$6:$S$805,B25,Posts!$H$6:$H$805,"Published")</f>
        <v/>
      </c>
      <c r="D25" s="18">
        <f>SUMIFS(Posts!$J$6:$J$805,Posts!$S$6:$S$805,B25,Posts!$H$6:$H$805,"Published")</f>
        <v/>
      </c>
      <c r="E25" s="14" t="n"/>
      <c r="F25" s="14" t="n"/>
      <c r="G25" s="14" t="n"/>
      <c r="H25" s="14" t="n"/>
      <c r="I25" s="14" t="n"/>
      <c r="J25" s="14" t="n"/>
      <c r="K25" s="1" t="n"/>
      <c r="L25" s="1" t="n"/>
    </row>
    <row r="26" ht="18" customHeight="1">
      <c r="A26" s="1" t="n"/>
      <c r="B26" s="17">
        <f>($M$1-7)</f>
        <v/>
      </c>
      <c r="C26" s="15">
        <f>COUNTIFS(Posts!$S$6:$S$805,B26,Posts!$H$6:$H$805,"Published")</f>
        <v/>
      </c>
      <c r="D26" s="18">
        <f>SUMIFS(Posts!$J$6:$J$805,Posts!$S$6:$S$805,B26,Posts!$H$6:$H$805,"Published")</f>
        <v/>
      </c>
      <c r="E26" s="14" t="n"/>
      <c r="F26" s="14" t="n"/>
      <c r="G26" s="14" t="n"/>
      <c r="H26" s="14" t="n"/>
      <c r="I26" s="14" t="n"/>
      <c r="J26" s="14" t="n"/>
      <c r="K26" s="1" t="n"/>
      <c r="L26" s="1" t="n"/>
    </row>
    <row r="27" ht="18" customHeight="1">
      <c r="A27" s="1" t="n"/>
      <c r="B27" s="17">
        <f>($M$1-0)</f>
        <v/>
      </c>
      <c r="C27" s="15">
        <f>COUNTIFS(Posts!$S$6:$S$805,B27,Posts!$H$6:$H$805,"Published")</f>
        <v/>
      </c>
      <c r="D27" s="18">
        <f>SUMIFS(Posts!$J$6:$J$805,Posts!$S$6:$S$805,B27,Posts!$H$6:$H$805,"Published")</f>
        <v/>
      </c>
      <c r="E27" s="14" t="n"/>
      <c r="F27" s="14" t="n"/>
      <c r="G27" s="14" t="n"/>
      <c r="H27" s="14" t="n"/>
      <c r="I27" s="14" t="n"/>
      <c r="J27" s="14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</sheetData>
  <conditionalFormatting sqref="E8:E17">
    <cfRule type="expression" priority="1" dxfId="0">
      <formula>E8="Draft"</formula>
    </cfRule>
    <cfRule type="expression" priority="2" dxfId="1">
      <formula>E8="Idea"</formula>
    </cfRule>
  </conditionalFormatting>
  <conditionalFormatting sqref="H8:H15">
    <cfRule type="expression" priority="3" dxfId="0">
      <formula>AND(ISNUMBER(H8),H8&lt;N(I8))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L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AL1">
        <f>(Settings!$C$5-WEEKDAY(Settings!$C$5,3))</f>
        <v/>
      </c>
    </row>
    <row r="2" ht="32" customHeight="1">
      <c r="A2" s="1" t="n"/>
      <c r="B2" s="2">
        <f>CHOOSE(MONTH(Settings!$C$5),"January","February","March","April","May","June","July","August","September","October","November","December")&amp;" "&amp;YEAR(Settings!$C$5)</f>
        <v/>
      </c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19" t="inlineStr">
        <is>
          <t>The posts planned for each day, with the short name of the platform. Settings shows another month.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30" customHeight="1">
      <c r="A5" s="1" t="n"/>
      <c r="B5" s="9" t="inlineStr">
        <is>
          <t>Monday</t>
        </is>
      </c>
      <c r="C5" s="9" t="inlineStr">
        <is>
          <t>Tuesday</t>
        </is>
      </c>
      <c r="D5" s="9" t="inlineStr">
        <is>
          <t>Wednesday</t>
        </is>
      </c>
      <c r="E5" s="9" t="inlineStr">
        <is>
          <t>Thursday</t>
        </is>
      </c>
      <c r="F5" s="9" t="inlineStr">
        <is>
          <t>Friday</t>
        </is>
      </c>
      <c r="G5" s="9" t="inlineStr">
        <is>
          <t>Saturday</t>
        </is>
      </c>
      <c r="H5" s="9" t="inlineStr">
        <is>
          <t>Sunday</t>
        </is>
      </c>
      <c r="I5" s="1" t="n"/>
    </row>
    <row r="6" ht="74" customHeight="1">
      <c r="A6" s="1" t="n"/>
      <c r="B6" s="20">
        <f>IF(MONTH(((Settings!$C$5-WEEKDAY(Settings!$C$5,3))+0))&lt;&gt;MONTH(Settings!$C$5),"",DAY(((Settings!$C$5-WEEKDAY(Settings!$C$5,3))+0))&amp;IF(J6="","",CHAR(10)&amp;IF(IFERROR(INDEX(Settings!$C$10:$C$17,MATCH(INDEX(Posts!$D$1:$D$805,J6),Settings!$B$10:$B$17,0)),"")="",INDEX(Posts!$D$1:$D$805,J6),IFERROR(INDEX(Settings!$C$10:$C$17,MATCH(INDEX(Posts!$D$1:$D$805,J6),Settings!$B$10:$B$17,0)),""))&amp;": "&amp;IF(INDEX(Posts!$G$1:$G$805,J6)="",INDEX(Posts!$E$1:$E$805,J6),INDEX(Posts!$G$1:$G$805,J6)))&amp;IF(K6="","",CHAR(10)&amp;IF(IFERROR(INDEX(Settings!$C$10:$C$17,MATCH(INDEX(Posts!$D$1:$D$805,K6),Settings!$B$10:$B$17,0)),"")="",INDEX(Posts!$D$1:$D$805,K6),IFERROR(INDEX(Settings!$C$10:$C$17,MATCH(INDEX(Posts!$D$1:$D$805,K6),Settings!$B$10:$B$17,0)),""))&amp;": "&amp;IF(INDEX(Posts!$G$1:$G$805,K6)="",INDEX(Posts!$E$1:$E$805,K6),INDEX(Posts!$G$1:$G$805,K6)))&amp;IF(L6="","",CHAR(10)&amp;IF(IFERROR(INDEX(Settings!$C$10:$C$17,MATCH(INDEX(Posts!$D$1:$D$805,L6),Settings!$B$10:$B$17,0)),"")="",INDEX(Posts!$D$1:$D$805,L6),IFERROR(INDEX(Settings!$C$10:$C$17,MATCH(INDEX(Posts!$D$1:$D$805,L6),Settings!$B$10:$B$17,0)),""))&amp;": "&amp;IF(INDEX(Posts!$G$1:$G$805,L6)="",INDEX(Posts!$E$1:$E$805,L6),INDEX(Posts!$G$1:$G$805,L6)))&amp;IF(M6&gt;3,CHAR(10)&amp;"and "&amp;(M6-3)&amp;" more",""))</f>
        <v/>
      </c>
      <c r="C6" s="20">
        <f>IF(MONTH(((Settings!$C$5-WEEKDAY(Settings!$C$5,3))+1))&lt;&gt;MONTH(Settings!$C$5),"",DAY(((Settings!$C$5-WEEKDAY(Settings!$C$5,3))+1))&amp;IF(N6="","",CHAR(10)&amp;IF(IFERROR(INDEX(Settings!$C$10:$C$17,MATCH(INDEX(Posts!$D$1:$D$805,N6),Settings!$B$10:$B$17,0)),"")="",INDEX(Posts!$D$1:$D$805,N6),IFERROR(INDEX(Settings!$C$10:$C$17,MATCH(INDEX(Posts!$D$1:$D$805,N6),Settings!$B$10:$B$17,0)),""))&amp;": "&amp;IF(INDEX(Posts!$G$1:$G$805,N6)="",INDEX(Posts!$E$1:$E$805,N6),INDEX(Posts!$G$1:$G$805,N6)))&amp;IF(O6="","",CHAR(10)&amp;IF(IFERROR(INDEX(Settings!$C$10:$C$17,MATCH(INDEX(Posts!$D$1:$D$805,O6),Settings!$B$10:$B$17,0)),"")="",INDEX(Posts!$D$1:$D$805,O6),IFERROR(INDEX(Settings!$C$10:$C$17,MATCH(INDEX(Posts!$D$1:$D$805,O6),Settings!$B$10:$B$17,0)),""))&amp;": "&amp;IF(INDEX(Posts!$G$1:$G$805,O6)="",INDEX(Posts!$E$1:$E$805,O6),INDEX(Posts!$G$1:$G$805,O6)))&amp;IF(P6="","",CHAR(10)&amp;IF(IFERROR(INDEX(Settings!$C$10:$C$17,MATCH(INDEX(Posts!$D$1:$D$805,P6),Settings!$B$10:$B$17,0)),"")="",INDEX(Posts!$D$1:$D$805,P6),IFERROR(INDEX(Settings!$C$10:$C$17,MATCH(INDEX(Posts!$D$1:$D$805,P6),Settings!$B$10:$B$17,0)),""))&amp;": "&amp;IF(INDEX(Posts!$G$1:$G$805,P6)="",INDEX(Posts!$E$1:$E$805,P6),INDEX(Posts!$G$1:$G$805,P6)))&amp;IF(Q6&gt;3,CHAR(10)&amp;"and "&amp;(Q6-3)&amp;" more",""))</f>
        <v/>
      </c>
      <c r="D6" s="20">
        <f>IF(MONTH(((Settings!$C$5-WEEKDAY(Settings!$C$5,3))+2))&lt;&gt;MONTH(Settings!$C$5),"",DAY(((Settings!$C$5-WEEKDAY(Settings!$C$5,3))+2))&amp;IF(R6="","",CHAR(10)&amp;IF(IFERROR(INDEX(Settings!$C$10:$C$17,MATCH(INDEX(Posts!$D$1:$D$805,R6),Settings!$B$10:$B$17,0)),"")="",INDEX(Posts!$D$1:$D$805,R6),IFERROR(INDEX(Settings!$C$10:$C$17,MATCH(INDEX(Posts!$D$1:$D$805,R6),Settings!$B$10:$B$17,0)),""))&amp;": "&amp;IF(INDEX(Posts!$G$1:$G$805,R6)="",INDEX(Posts!$E$1:$E$805,R6),INDEX(Posts!$G$1:$G$805,R6)))&amp;IF(S6="","",CHAR(10)&amp;IF(IFERROR(INDEX(Settings!$C$10:$C$17,MATCH(INDEX(Posts!$D$1:$D$805,S6),Settings!$B$10:$B$17,0)),"")="",INDEX(Posts!$D$1:$D$805,S6),IFERROR(INDEX(Settings!$C$10:$C$17,MATCH(INDEX(Posts!$D$1:$D$805,S6),Settings!$B$10:$B$17,0)),""))&amp;": "&amp;IF(INDEX(Posts!$G$1:$G$805,S6)="",INDEX(Posts!$E$1:$E$805,S6),INDEX(Posts!$G$1:$G$805,S6)))&amp;IF(T6="","",CHAR(10)&amp;IF(IFERROR(INDEX(Settings!$C$10:$C$17,MATCH(INDEX(Posts!$D$1:$D$805,T6),Settings!$B$10:$B$17,0)),"")="",INDEX(Posts!$D$1:$D$805,T6),IFERROR(INDEX(Settings!$C$10:$C$17,MATCH(INDEX(Posts!$D$1:$D$805,T6),Settings!$B$10:$B$17,0)),""))&amp;": "&amp;IF(INDEX(Posts!$G$1:$G$805,T6)="",INDEX(Posts!$E$1:$E$805,T6),INDEX(Posts!$G$1:$G$805,T6)))&amp;IF(U6&gt;3,CHAR(10)&amp;"and "&amp;(U6-3)&amp;" more",""))</f>
        <v/>
      </c>
      <c r="E6" s="20">
        <f>IF(MONTH(((Settings!$C$5-WEEKDAY(Settings!$C$5,3))+3))&lt;&gt;MONTH(Settings!$C$5),"",DAY(((Settings!$C$5-WEEKDAY(Settings!$C$5,3))+3))&amp;IF(V6="","",CHAR(10)&amp;IF(IFERROR(INDEX(Settings!$C$10:$C$17,MATCH(INDEX(Posts!$D$1:$D$805,V6),Settings!$B$10:$B$17,0)),"")="",INDEX(Posts!$D$1:$D$805,V6),IFERROR(INDEX(Settings!$C$10:$C$17,MATCH(INDEX(Posts!$D$1:$D$805,V6),Settings!$B$10:$B$17,0)),""))&amp;": "&amp;IF(INDEX(Posts!$G$1:$G$805,V6)="",INDEX(Posts!$E$1:$E$805,V6),INDEX(Posts!$G$1:$G$805,V6)))&amp;IF(W6="","",CHAR(10)&amp;IF(IFERROR(INDEX(Settings!$C$10:$C$17,MATCH(INDEX(Posts!$D$1:$D$805,W6),Settings!$B$10:$B$17,0)),"")="",INDEX(Posts!$D$1:$D$805,W6),IFERROR(INDEX(Settings!$C$10:$C$17,MATCH(INDEX(Posts!$D$1:$D$805,W6),Settings!$B$10:$B$17,0)),""))&amp;": "&amp;IF(INDEX(Posts!$G$1:$G$805,W6)="",INDEX(Posts!$E$1:$E$805,W6),INDEX(Posts!$G$1:$G$805,W6)))&amp;IF(X6="","",CHAR(10)&amp;IF(IFERROR(INDEX(Settings!$C$10:$C$17,MATCH(INDEX(Posts!$D$1:$D$805,X6),Settings!$B$10:$B$17,0)),"")="",INDEX(Posts!$D$1:$D$805,X6),IFERROR(INDEX(Settings!$C$10:$C$17,MATCH(INDEX(Posts!$D$1:$D$805,X6),Settings!$B$10:$B$17,0)),""))&amp;": "&amp;IF(INDEX(Posts!$G$1:$G$805,X6)="",INDEX(Posts!$E$1:$E$805,X6),INDEX(Posts!$G$1:$G$805,X6)))&amp;IF(Y6&gt;3,CHAR(10)&amp;"and "&amp;(Y6-3)&amp;" more",""))</f>
        <v/>
      </c>
      <c r="F6" s="20">
        <f>IF(MONTH(((Settings!$C$5-WEEKDAY(Settings!$C$5,3))+4))&lt;&gt;MONTH(Settings!$C$5),"",DAY(((Settings!$C$5-WEEKDAY(Settings!$C$5,3))+4))&amp;IF(Z6="","",CHAR(10)&amp;IF(IFERROR(INDEX(Settings!$C$10:$C$17,MATCH(INDEX(Posts!$D$1:$D$805,Z6),Settings!$B$10:$B$17,0)),"")="",INDEX(Posts!$D$1:$D$805,Z6),IFERROR(INDEX(Settings!$C$10:$C$17,MATCH(INDEX(Posts!$D$1:$D$805,Z6),Settings!$B$10:$B$17,0)),""))&amp;": "&amp;IF(INDEX(Posts!$G$1:$G$805,Z6)="",INDEX(Posts!$E$1:$E$805,Z6),INDEX(Posts!$G$1:$G$805,Z6)))&amp;IF(AA6="","",CHAR(10)&amp;IF(IFERROR(INDEX(Settings!$C$10:$C$17,MATCH(INDEX(Posts!$D$1:$D$805,AA6),Settings!$B$10:$B$17,0)),"")="",INDEX(Posts!$D$1:$D$805,AA6),IFERROR(INDEX(Settings!$C$10:$C$17,MATCH(INDEX(Posts!$D$1:$D$805,AA6),Settings!$B$10:$B$17,0)),""))&amp;": "&amp;IF(INDEX(Posts!$G$1:$G$805,AA6)="",INDEX(Posts!$E$1:$E$805,AA6),INDEX(Posts!$G$1:$G$805,AA6)))&amp;IF(AB6="","",CHAR(10)&amp;IF(IFERROR(INDEX(Settings!$C$10:$C$17,MATCH(INDEX(Posts!$D$1:$D$805,AB6),Settings!$B$10:$B$17,0)),"")="",INDEX(Posts!$D$1:$D$805,AB6),IFERROR(INDEX(Settings!$C$10:$C$17,MATCH(INDEX(Posts!$D$1:$D$805,AB6),Settings!$B$10:$B$17,0)),""))&amp;": "&amp;IF(INDEX(Posts!$G$1:$G$805,AB6)="",INDEX(Posts!$E$1:$E$805,AB6),INDEX(Posts!$G$1:$G$805,AB6)))&amp;IF(AC6&gt;3,CHAR(10)&amp;"and "&amp;(AC6-3)&amp;" more",""))</f>
        <v/>
      </c>
      <c r="G6" s="20">
        <f>IF(MONTH(((Settings!$C$5-WEEKDAY(Settings!$C$5,3))+5))&lt;&gt;MONTH(Settings!$C$5),"",DAY(((Settings!$C$5-WEEKDAY(Settings!$C$5,3))+5))&amp;IF(AD6="","",CHAR(10)&amp;IF(IFERROR(INDEX(Settings!$C$10:$C$17,MATCH(INDEX(Posts!$D$1:$D$805,AD6),Settings!$B$10:$B$17,0)),"")="",INDEX(Posts!$D$1:$D$805,AD6),IFERROR(INDEX(Settings!$C$10:$C$17,MATCH(INDEX(Posts!$D$1:$D$805,AD6),Settings!$B$10:$B$17,0)),""))&amp;": "&amp;IF(INDEX(Posts!$G$1:$G$805,AD6)="",INDEX(Posts!$E$1:$E$805,AD6),INDEX(Posts!$G$1:$G$805,AD6)))&amp;IF(AE6="","",CHAR(10)&amp;IF(IFERROR(INDEX(Settings!$C$10:$C$17,MATCH(INDEX(Posts!$D$1:$D$805,AE6),Settings!$B$10:$B$17,0)),"")="",INDEX(Posts!$D$1:$D$805,AE6),IFERROR(INDEX(Settings!$C$10:$C$17,MATCH(INDEX(Posts!$D$1:$D$805,AE6),Settings!$B$10:$B$17,0)),""))&amp;": "&amp;IF(INDEX(Posts!$G$1:$G$805,AE6)="",INDEX(Posts!$E$1:$E$805,AE6),INDEX(Posts!$G$1:$G$805,AE6)))&amp;IF(AF6="","",CHAR(10)&amp;IF(IFERROR(INDEX(Settings!$C$10:$C$17,MATCH(INDEX(Posts!$D$1:$D$805,AF6),Settings!$B$10:$B$17,0)),"")="",INDEX(Posts!$D$1:$D$805,AF6),IFERROR(INDEX(Settings!$C$10:$C$17,MATCH(INDEX(Posts!$D$1:$D$805,AF6),Settings!$B$10:$B$17,0)),""))&amp;": "&amp;IF(INDEX(Posts!$G$1:$G$805,AF6)="",INDEX(Posts!$E$1:$E$805,AF6),INDEX(Posts!$G$1:$G$805,AF6)))&amp;IF(AG6&gt;3,CHAR(10)&amp;"and "&amp;(AG6-3)&amp;" more",""))</f>
        <v/>
      </c>
      <c r="H6" s="20">
        <f>IF(MONTH(((Settings!$C$5-WEEKDAY(Settings!$C$5,3))+6))&lt;&gt;MONTH(Settings!$C$5),"",DAY(((Settings!$C$5-WEEKDAY(Settings!$C$5,3))+6))&amp;IF(AH6="","",CHAR(10)&amp;IF(IFERROR(INDEX(Settings!$C$10:$C$17,MATCH(INDEX(Posts!$D$1:$D$805,AH6),Settings!$B$10:$B$17,0)),"")="",INDEX(Posts!$D$1:$D$805,AH6),IFERROR(INDEX(Settings!$C$10:$C$17,MATCH(INDEX(Posts!$D$1:$D$805,AH6),Settings!$B$10:$B$17,0)),""))&amp;": "&amp;IF(INDEX(Posts!$G$1:$G$805,AH6)="",INDEX(Posts!$E$1:$E$805,AH6),INDEX(Posts!$G$1:$G$805,AH6)))&amp;IF(AI6="","",CHAR(10)&amp;IF(IFERROR(INDEX(Settings!$C$10:$C$17,MATCH(INDEX(Posts!$D$1:$D$805,AI6),Settings!$B$10:$B$17,0)),"")="",INDEX(Posts!$D$1:$D$805,AI6),IFERROR(INDEX(Settings!$C$10:$C$17,MATCH(INDEX(Posts!$D$1:$D$805,AI6),Settings!$B$10:$B$17,0)),""))&amp;": "&amp;IF(INDEX(Posts!$G$1:$G$805,AI6)="",INDEX(Posts!$E$1:$E$805,AI6),INDEX(Posts!$G$1:$G$805,AI6)))&amp;IF(AJ6="","",CHAR(10)&amp;IF(IFERROR(INDEX(Settings!$C$10:$C$17,MATCH(INDEX(Posts!$D$1:$D$805,AJ6),Settings!$B$10:$B$17,0)),"")="",INDEX(Posts!$D$1:$D$805,AJ6),IFERROR(INDEX(Settings!$C$10:$C$17,MATCH(INDEX(Posts!$D$1:$D$805,AJ6),Settings!$B$10:$B$17,0)),""))&amp;": "&amp;IF(INDEX(Posts!$G$1:$G$805,AJ6)="",INDEX(Posts!$E$1:$E$805,AJ6),INDEX(Posts!$G$1:$G$805,AJ6)))&amp;IF(AK6&gt;3,CHAR(10)&amp;"and "&amp;(AK6-3)&amp;" more",""))</f>
        <v/>
      </c>
      <c r="I6" s="1" t="n"/>
      <c r="J6">
        <f>IFERROR(IF(INT(SMALL(Posts!$R$6:$R$805,COUNTIF(Posts!$R$6:$R$805,"&lt;"&amp;((Settings!$C$5-WEEKDAY(Settings!$C$5,3))+0)*10000000)+1)/10000000)=((Settings!$C$5-WEEKDAY(Settings!$C$5,3))+0),MOD(SMALL(Posts!$R$6:$R$805,COUNTIF(Posts!$R$6:$R$805,"&lt;"&amp;((Settings!$C$5-WEEKDAY(Settings!$C$5,3))+0)*10000000)+1),1000),""),"")</f>
        <v/>
      </c>
      <c r="K6">
        <f>IFERROR(IF(INT(SMALL(Posts!$R$6:$R$805,COUNTIF(Posts!$R$6:$R$805,"&lt;"&amp;((Settings!$C$5-WEEKDAY(Settings!$C$5,3))+0)*10000000)+2)/10000000)=((Settings!$C$5-WEEKDAY(Settings!$C$5,3))+0),MOD(SMALL(Posts!$R$6:$R$805,COUNTIF(Posts!$R$6:$R$805,"&lt;"&amp;((Settings!$C$5-WEEKDAY(Settings!$C$5,3))+0)*10000000)+2),1000),""),"")</f>
        <v/>
      </c>
      <c r="L6">
        <f>IFERROR(IF(INT(SMALL(Posts!$R$6:$R$805,COUNTIF(Posts!$R$6:$R$805,"&lt;"&amp;((Settings!$C$5-WEEKDAY(Settings!$C$5,3))+0)*10000000)+3)/10000000)=((Settings!$C$5-WEEKDAY(Settings!$C$5,3))+0),MOD(SMALL(Posts!$R$6:$R$805,COUNTIF(Posts!$R$6:$R$805,"&lt;"&amp;((Settings!$C$5-WEEKDAY(Settings!$C$5,3))+0)*10000000)+3),1000),""),"")</f>
        <v/>
      </c>
      <c r="M6">
        <f>COUNTIFS(Posts!$R$6:$R$805,"&gt;="&amp;((Settings!$C$5-WEEKDAY(Settings!$C$5,3))+0)*10000000,Posts!$R$6:$R$805,"&lt;"&amp;(((Settings!$C$5-WEEKDAY(Settings!$C$5,3))+0)+1)*10000000)</f>
        <v/>
      </c>
      <c r="N6">
        <f>IFERROR(IF(INT(SMALL(Posts!$R$6:$R$805,COUNTIF(Posts!$R$6:$R$805,"&lt;"&amp;((Settings!$C$5-WEEKDAY(Settings!$C$5,3))+1)*10000000)+1)/10000000)=((Settings!$C$5-WEEKDAY(Settings!$C$5,3))+1),MOD(SMALL(Posts!$R$6:$R$805,COUNTIF(Posts!$R$6:$R$805,"&lt;"&amp;((Settings!$C$5-WEEKDAY(Settings!$C$5,3))+1)*10000000)+1),1000),""),"")</f>
        <v/>
      </c>
      <c r="O6">
        <f>IFERROR(IF(INT(SMALL(Posts!$R$6:$R$805,COUNTIF(Posts!$R$6:$R$805,"&lt;"&amp;((Settings!$C$5-WEEKDAY(Settings!$C$5,3))+1)*10000000)+2)/10000000)=((Settings!$C$5-WEEKDAY(Settings!$C$5,3))+1),MOD(SMALL(Posts!$R$6:$R$805,COUNTIF(Posts!$R$6:$R$805,"&lt;"&amp;((Settings!$C$5-WEEKDAY(Settings!$C$5,3))+1)*10000000)+2),1000),""),"")</f>
        <v/>
      </c>
      <c r="P6">
        <f>IFERROR(IF(INT(SMALL(Posts!$R$6:$R$805,COUNTIF(Posts!$R$6:$R$805,"&lt;"&amp;((Settings!$C$5-WEEKDAY(Settings!$C$5,3))+1)*10000000)+3)/10000000)=((Settings!$C$5-WEEKDAY(Settings!$C$5,3))+1),MOD(SMALL(Posts!$R$6:$R$805,COUNTIF(Posts!$R$6:$R$805,"&lt;"&amp;((Settings!$C$5-WEEKDAY(Settings!$C$5,3))+1)*10000000)+3),1000),""),"")</f>
        <v/>
      </c>
      <c r="Q6">
        <f>COUNTIFS(Posts!$R$6:$R$805,"&gt;="&amp;((Settings!$C$5-WEEKDAY(Settings!$C$5,3))+1)*10000000,Posts!$R$6:$R$805,"&lt;"&amp;(((Settings!$C$5-WEEKDAY(Settings!$C$5,3))+1)+1)*10000000)</f>
        <v/>
      </c>
      <c r="R6">
        <f>IFERROR(IF(INT(SMALL(Posts!$R$6:$R$805,COUNTIF(Posts!$R$6:$R$805,"&lt;"&amp;((Settings!$C$5-WEEKDAY(Settings!$C$5,3))+2)*10000000)+1)/10000000)=((Settings!$C$5-WEEKDAY(Settings!$C$5,3))+2),MOD(SMALL(Posts!$R$6:$R$805,COUNTIF(Posts!$R$6:$R$805,"&lt;"&amp;((Settings!$C$5-WEEKDAY(Settings!$C$5,3))+2)*10000000)+1),1000),""),"")</f>
        <v/>
      </c>
      <c r="S6">
        <f>IFERROR(IF(INT(SMALL(Posts!$R$6:$R$805,COUNTIF(Posts!$R$6:$R$805,"&lt;"&amp;((Settings!$C$5-WEEKDAY(Settings!$C$5,3))+2)*10000000)+2)/10000000)=((Settings!$C$5-WEEKDAY(Settings!$C$5,3))+2),MOD(SMALL(Posts!$R$6:$R$805,COUNTIF(Posts!$R$6:$R$805,"&lt;"&amp;((Settings!$C$5-WEEKDAY(Settings!$C$5,3))+2)*10000000)+2),1000),""),"")</f>
        <v/>
      </c>
      <c r="T6">
        <f>IFERROR(IF(INT(SMALL(Posts!$R$6:$R$805,COUNTIF(Posts!$R$6:$R$805,"&lt;"&amp;((Settings!$C$5-WEEKDAY(Settings!$C$5,3))+2)*10000000)+3)/10000000)=((Settings!$C$5-WEEKDAY(Settings!$C$5,3))+2),MOD(SMALL(Posts!$R$6:$R$805,COUNTIF(Posts!$R$6:$R$805,"&lt;"&amp;((Settings!$C$5-WEEKDAY(Settings!$C$5,3))+2)*10000000)+3),1000),""),"")</f>
        <v/>
      </c>
      <c r="U6">
        <f>COUNTIFS(Posts!$R$6:$R$805,"&gt;="&amp;((Settings!$C$5-WEEKDAY(Settings!$C$5,3))+2)*10000000,Posts!$R$6:$R$805,"&lt;"&amp;(((Settings!$C$5-WEEKDAY(Settings!$C$5,3))+2)+1)*10000000)</f>
        <v/>
      </c>
      <c r="V6">
        <f>IFERROR(IF(INT(SMALL(Posts!$R$6:$R$805,COUNTIF(Posts!$R$6:$R$805,"&lt;"&amp;((Settings!$C$5-WEEKDAY(Settings!$C$5,3))+3)*10000000)+1)/10000000)=((Settings!$C$5-WEEKDAY(Settings!$C$5,3))+3),MOD(SMALL(Posts!$R$6:$R$805,COUNTIF(Posts!$R$6:$R$805,"&lt;"&amp;((Settings!$C$5-WEEKDAY(Settings!$C$5,3))+3)*10000000)+1),1000),""),"")</f>
        <v/>
      </c>
      <c r="W6">
        <f>IFERROR(IF(INT(SMALL(Posts!$R$6:$R$805,COUNTIF(Posts!$R$6:$R$805,"&lt;"&amp;((Settings!$C$5-WEEKDAY(Settings!$C$5,3))+3)*10000000)+2)/10000000)=((Settings!$C$5-WEEKDAY(Settings!$C$5,3))+3),MOD(SMALL(Posts!$R$6:$R$805,COUNTIF(Posts!$R$6:$R$805,"&lt;"&amp;((Settings!$C$5-WEEKDAY(Settings!$C$5,3))+3)*10000000)+2),1000),""),"")</f>
        <v/>
      </c>
      <c r="X6">
        <f>IFERROR(IF(INT(SMALL(Posts!$R$6:$R$805,COUNTIF(Posts!$R$6:$R$805,"&lt;"&amp;((Settings!$C$5-WEEKDAY(Settings!$C$5,3))+3)*10000000)+3)/10000000)=((Settings!$C$5-WEEKDAY(Settings!$C$5,3))+3),MOD(SMALL(Posts!$R$6:$R$805,COUNTIF(Posts!$R$6:$R$805,"&lt;"&amp;((Settings!$C$5-WEEKDAY(Settings!$C$5,3))+3)*10000000)+3),1000),""),"")</f>
        <v/>
      </c>
      <c r="Y6">
        <f>COUNTIFS(Posts!$R$6:$R$805,"&gt;="&amp;((Settings!$C$5-WEEKDAY(Settings!$C$5,3))+3)*10000000,Posts!$R$6:$R$805,"&lt;"&amp;(((Settings!$C$5-WEEKDAY(Settings!$C$5,3))+3)+1)*10000000)</f>
        <v/>
      </c>
      <c r="Z6">
        <f>IFERROR(IF(INT(SMALL(Posts!$R$6:$R$805,COUNTIF(Posts!$R$6:$R$805,"&lt;"&amp;((Settings!$C$5-WEEKDAY(Settings!$C$5,3))+4)*10000000)+1)/10000000)=((Settings!$C$5-WEEKDAY(Settings!$C$5,3))+4),MOD(SMALL(Posts!$R$6:$R$805,COUNTIF(Posts!$R$6:$R$805,"&lt;"&amp;((Settings!$C$5-WEEKDAY(Settings!$C$5,3))+4)*10000000)+1),1000),""),"")</f>
        <v/>
      </c>
      <c r="AA6">
        <f>IFERROR(IF(INT(SMALL(Posts!$R$6:$R$805,COUNTIF(Posts!$R$6:$R$805,"&lt;"&amp;((Settings!$C$5-WEEKDAY(Settings!$C$5,3))+4)*10000000)+2)/10000000)=((Settings!$C$5-WEEKDAY(Settings!$C$5,3))+4),MOD(SMALL(Posts!$R$6:$R$805,COUNTIF(Posts!$R$6:$R$805,"&lt;"&amp;((Settings!$C$5-WEEKDAY(Settings!$C$5,3))+4)*10000000)+2),1000),""),"")</f>
        <v/>
      </c>
      <c r="AB6">
        <f>IFERROR(IF(INT(SMALL(Posts!$R$6:$R$805,COUNTIF(Posts!$R$6:$R$805,"&lt;"&amp;((Settings!$C$5-WEEKDAY(Settings!$C$5,3))+4)*10000000)+3)/10000000)=((Settings!$C$5-WEEKDAY(Settings!$C$5,3))+4),MOD(SMALL(Posts!$R$6:$R$805,COUNTIF(Posts!$R$6:$R$805,"&lt;"&amp;((Settings!$C$5-WEEKDAY(Settings!$C$5,3))+4)*10000000)+3),1000),""),"")</f>
        <v/>
      </c>
      <c r="AC6">
        <f>COUNTIFS(Posts!$R$6:$R$805,"&gt;="&amp;((Settings!$C$5-WEEKDAY(Settings!$C$5,3))+4)*10000000,Posts!$R$6:$R$805,"&lt;"&amp;(((Settings!$C$5-WEEKDAY(Settings!$C$5,3))+4)+1)*10000000)</f>
        <v/>
      </c>
      <c r="AD6">
        <f>IFERROR(IF(INT(SMALL(Posts!$R$6:$R$805,COUNTIF(Posts!$R$6:$R$805,"&lt;"&amp;((Settings!$C$5-WEEKDAY(Settings!$C$5,3))+5)*10000000)+1)/10000000)=((Settings!$C$5-WEEKDAY(Settings!$C$5,3))+5),MOD(SMALL(Posts!$R$6:$R$805,COUNTIF(Posts!$R$6:$R$805,"&lt;"&amp;((Settings!$C$5-WEEKDAY(Settings!$C$5,3))+5)*10000000)+1),1000),""),"")</f>
        <v/>
      </c>
      <c r="AE6">
        <f>IFERROR(IF(INT(SMALL(Posts!$R$6:$R$805,COUNTIF(Posts!$R$6:$R$805,"&lt;"&amp;((Settings!$C$5-WEEKDAY(Settings!$C$5,3))+5)*10000000)+2)/10000000)=((Settings!$C$5-WEEKDAY(Settings!$C$5,3))+5),MOD(SMALL(Posts!$R$6:$R$805,COUNTIF(Posts!$R$6:$R$805,"&lt;"&amp;((Settings!$C$5-WEEKDAY(Settings!$C$5,3))+5)*10000000)+2),1000),""),"")</f>
        <v/>
      </c>
      <c r="AF6">
        <f>IFERROR(IF(INT(SMALL(Posts!$R$6:$R$805,COUNTIF(Posts!$R$6:$R$805,"&lt;"&amp;((Settings!$C$5-WEEKDAY(Settings!$C$5,3))+5)*10000000)+3)/10000000)=((Settings!$C$5-WEEKDAY(Settings!$C$5,3))+5),MOD(SMALL(Posts!$R$6:$R$805,COUNTIF(Posts!$R$6:$R$805,"&lt;"&amp;((Settings!$C$5-WEEKDAY(Settings!$C$5,3))+5)*10000000)+3),1000),""),"")</f>
        <v/>
      </c>
      <c r="AG6">
        <f>COUNTIFS(Posts!$R$6:$R$805,"&gt;="&amp;((Settings!$C$5-WEEKDAY(Settings!$C$5,3))+5)*10000000,Posts!$R$6:$R$805,"&lt;"&amp;(((Settings!$C$5-WEEKDAY(Settings!$C$5,3))+5)+1)*10000000)</f>
        <v/>
      </c>
      <c r="AH6">
        <f>IFERROR(IF(INT(SMALL(Posts!$R$6:$R$805,COUNTIF(Posts!$R$6:$R$805,"&lt;"&amp;((Settings!$C$5-WEEKDAY(Settings!$C$5,3))+6)*10000000)+1)/10000000)=((Settings!$C$5-WEEKDAY(Settings!$C$5,3))+6),MOD(SMALL(Posts!$R$6:$R$805,COUNTIF(Posts!$R$6:$R$805,"&lt;"&amp;((Settings!$C$5-WEEKDAY(Settings!$C$5,3))+6)*10000000)+1),1000),""),"")</f>
        <v/>
      </c>
      <c r="AI6">
        <f>IFERROR(IF(INT(SMALL(Posts!$R$6:$R$805,COUNTIF(Posts!$R$6:$R$805,"&lt;"&amp;((Settings!$C$5-WEEKDAY(Settings!$C$5,3))+6)*10000000)+2)/10000000)=((Settings!$C$5-WEEKDAY(Settings!$C$5,3))+6),MOD(SMALL(Posts!$R$6:$R$805,COUNTIF(Posts!$R$6:$R$805,"&lt;"&amp;((Settings!$C$5-WEEKDAY(Settings!$C$5,3))+6)*10000000)+2),1000),""),"")</f>
        <v/>
      </c>
      <c r="AJ6">
        <f>IFERROR(IF(INT(SMALL(Posts!$R$6:$R$805,COUNTIF(Posts!$R$6:$R$805,"&lt;"&amp;((Settings!$C$5-WEEKDAY(Settings!$C$5,3))+6)*10000000)+3)/10000000)=((Settings!$C$5-WEEKDAY(Settings!$C$5,3))+6),MOD(SMALL(Posts!$R$6:$R$805,COUNTIF(Posts!$R$6:$R$805,"&lt;"&amp;((Settings!$C$5-WEEKDAY(Settings!$C$5,3))+6)*10000000)+3),1000),""),"")</f>
        <v/>
      </c>
      <c r="AK6">
        <f>COUNTIFS(Posts!$R$6:$R$805,"&gt;="&amp;((Settings!$C$5-WEEKDAY(Settings!$C$5,3))+6)*10000000,Posts!$R$6:$R$805,"&lt;"&amp;(((Settings!$C$5-WEEKDAY(Settings!$C$5,3))+6)+1)*10000000)</f>
        <v/>
      </c>
    </row>
    <row r="7" ht="74" customHeight="1">
      <c r="A7" s="1" t="n"/>
      <c r="B7" s="20">
        <f>IF(MONTH(((Settings!$C$5-WEEKDAY(Settings!$C$5,3))+7))&lt;&gt;MONTH(Settings!$C$5),"",DAY(((Settings!$C$5-WEEKDAY(Settings!$C$5,3))+7))&amp;IF(J7="","",CHAR(10)&amp;IF(IFERROR(INDEX(Settings!$C$10:$C$17,MATCH(INDEX(Posts!$D$1:$D$805,J7),Settings!$B$10:$B$17,0)),"")="",INDEX(Posts!$D$1:$D$805,J7),IFERROR(INDEX(Settings!$C$10:$C$17,MATCH(INDEX(Posts!$D$1:$D$805,J7),Settings!$B$10:$B$17,0)),""))&amp;": "&amp;IF(INDEX(Posts!$G$1:$G$805,J7)="",INDEX(Posts!$E$1:$E$805,J7),INDEX(Posts!$G$1:$G$805,J7)))&amp;IF(K7="","",CHAR(10)&amp;IF(IFERROR(INDEX(Settings!$C$10:$C$17,MATCH(INDEX(Posts!$D$1:$D$805,K7),Settings!$B$10:$B$17,0)),"")="",INDEX(Posts!$D$1:$D$805,K7),IFERROR(INDEX(Settings!$C$10:$C$17,MATCH(INDEX(Posts!$D$1:$D$805,K7),Settings!$B$10:$B$17,0)),""))&amp;": "&amp;IF(INDEX(Posts!$G$1:$G$805,K7)="",INDEX(Posts!$E$1:$E$805,K7),INDEX(Posts!$G$1:$G$805,K7)))&amp;IF(L7="","",CHAR(10)&amp;IF(IFERROR(INDEX(Settings!$C$10:$C$17,MATCH(INDEX(Posts!$D$1:$D$805,L7),Settings!$B$10:$B$17,0)),"")="",INDEX(Posts!$D$1:$D$805,L7),IFERROR(INDEX(Settings!$C$10:$C$17,MATCH(INDEX(Posts!$D$1:$D$805,L7),Settings!$B$10:$B$17,0)),""))&amp;": "&amp;IF(INDEX(Posts!$G$1:$G$805,L7)="",INDEX(Posts!$E$1:$E$805,L7),INDEX(Posts!$G$1:$G$805,L7)))&amp;IF(M7&gt;3,CHAR(10)&amp;"and "&amp;(M7-3)&amp;" more",""))</f>
        <v/>
      </c>
      <c r="C7" s="20">
        <f>IF(MONTH(((Settings!$C$5-WEEKDAY(Settings!$C$5,3))+8))&lt;&gt;MONTH(Settings!$C$5),"",DAY(((Settings!$C$5-WEEKDAY(Settings!$C$5,3))+8))&amp;IF(N7="","",CHAR(10)&amp;IF(IFERROR(INDEX(Settings!$C$10:$C$17,MATCH(INDEX(Posts!$D$1:$D$805,N7),Settings!$B$10:$B$17,0)),"")="",INDEX(Posts!$D$1:$D$805,N7),IFERROR(INDEX(Settings!$C$10:$C$17,MATCH(INDEX(Posts!$D$1:$D$805,N7),Settings!$B$10:$B$17,0)),""))&amp;": "&amp;IF(INDEX(Posts!$G$1:$G$805,N7)="",INDEX(Posts!$E$1:$E$805,N7),INDEX(Posts!$G$1:$G$805,N7)))&amp;IF(O7="","",CHAR(10)&amp;IF(IFERROR(INDEX(Settings!$C$10:$C$17,MATCH(INDEX(Posts!$D$1:$D$805,O7),Settings!$B$10:$B$17,0)),"")="",INDEX(Posts!$D$1:$D$805,O7),IFERROR(INDEX(Settings!$C$10:$C$17,MATCH(INDEX(Posts!$D$1:$D$805,O7),Settings!$B$10:$B$17,0)),""))&amp;": "&amp;IF(INDEX(Posts!$G$1:$G$805,O7)="",INDEX(Posts!$E$1:$E$805,O7),INDEX(Posts!$G$1:$G$805,O7)))&amp;IF(P7="","",CHAR(10)&amp;IF(IFERROR(INDEX(Settings!$C$10:$C$17,MATCH(INDEX(Posts!$D$1:$D$805,P7),Settings!$B$10:$B$17,0)),"")="",INDEX(Posts!$D$1:$D$805,P7),IFERROR(INDEX(Settings!$C$10:$C$17,MATCH(INDEX(Posts!$D$1:$D$805,P7),Settings!$B$10:$B$17,0)),""))&amp;": "&amp;IF(INDEX(Posts!$G$1:$G$805,P7)="",INDEX(Posts!$E$1:$E$805,P7),INDEX(Posts!$G$1:$G$805,P7)))&amp;IF(Q7&gt;3,CHAR(10)&amp;"and "&amp;(Q7-3)&amp;" more",""))</f>
        <v/>
      </c>
      <c r="D7" s="20">
        <f>IF(MONTH(((Settings!$C$5-WEEKDAY(Settings!$C$5,3))+9))&lt;&gt;MONTH(Settings!$C$5),"",DAY(((Settings!$C$5-WEEKDAY(Settings!$C$5,3))+9))&amp;IF(R7="","",CHAR(10)&amp;IF(IFERROR(INDEX(Settings!$C$10:$C$17,MATCH(INDEX(Posts!$D$1:$D$805,R7),Settings!$B$10:$B$17,0)),"")="",INDEX(Posts!$D$1:$D$805,R7),IFERROR(INDEX(Settings!$C$10:$C$17,MATCH(INDEX(Posts!$D$1:$D$805,R7),Settings!$B$10:$B$17,0)),""))&amp;": "&amp;IF(INDEX(Posts!$G$1:$G$805,R7)="",INDEX(Posts!$E$1:$E$805,R7),INDEX(Posts!$G$1:$G$805,R7)))&amp;IF(S7="","",CHAR(10)&amp;IF(IFERROR(INDEX(Settings!$C$10:$C$17,MATCH(INDEX(Posts!$D$1:$D$805,S7),Settings!$B$10:$B$17,0)),"")="",INDEX(Posts!$D$1:$D$805,S7),IFERROR(INDEX(Settings!$C$10:$C$17,MATCH(INDEX(Posts!$D$1:$D$805,S7),Settings!$B$10:$B$17,0)),""))&amp;": "&amp;IF(INDEX(Posts!$G$1:$G$805,S7)="",INDEX(Posts!$E$1:$E$805,S7),INDEX(Posts!$G$1:$G$805,S7)))&amp;IF(T7="","",CHAR(10)&amp;IF(IFERROR(INDEX(Settings!$C$10:$C$17,MATCH(INDEX(Posts!$D$1:$D$805,T7),Settings!$B$10:$B$17,0)),"")="",INDEX(Posts!$D$1:$D$805,T7),IFERROR(INDEX(Settings!$C$10:$C$17,MATCH(INDEX(Posts!$D$1:$D$805,T7),Settings!$B$10:$B$17,0)),""))&amp;": "&amp;IF(INDEX(Posts!$G$1:$G$805,T7)="",INDEX(Posts!$E$1:$E$805,T7),INDEX(Posts!$G$1:$G$805,T7)))&amp;IF(U7&gt;3,CHAR(10)&amp;"and "&amp;(U7-3)&amp;" more",""))</f>
        <v/>
      </c>
      <c r="E7" s="20">
        <f>IF(MONTH(((Settings!$C$5-WEEKDAY(Settings!$C$5,3))+10))&lt;&gt;MONTH(Settings!$C$5),"",DAY(((Settings!$C$5-WEEKDAY(Settings!$C$5,3))+10))&amp;IF(V7="","",CHAR(10)&amp;IF(IFERROR(INDEX(Settings!$C$10:$C$17,MATCH(INDEX(Posts!$D$1:$D$805,V7),Settings!$B$10:$B$17,0)),"")="",INDEX(Posts!$D$1:$D$805,V7),IFERROR(INDEX(Settings!$C$10:$C$17,MATCH(INDEX(Posts!$D$1:$D$805,V7),Settings!$B$10:$B$17,0)),""))&amp;": "&amp;IF(INDEX(Posts!$G$1:$G$805,V7)="",INDEX(Posts!$E$1:$E$805,V7),INDEX(Posts!$G$1:$G$805,V7)))&amp;IF(W7="","",CHAR(10)&amp;IF(IFERROR(INDEX(Settings!$C$10:$C$17,MATCH(INDEX(Posts!$D$1:$D$805,W7),Settings!$B$10:$B$17,0)),"")="",INDEX(Posts!$D$1:$D$805,W7),IFERROR(INDEX(Settings!$C$10:$C$17,MATCH(INDEX(Posts!$D$1:$D$805,W7),Settings!$B$10:$B$17,0)),""))&amp;": "&amp;IF(INDEX(Posts!$G$1:$G$805,W7)="",INDEX(Posts!$E$1:$E$805,W7),INDEX(Posts!$G$1:$G$805,W7)))&amp;IF(X7="","",CHAR(10)&amp;IF(IFERROR(INDEX(Settings!$C$10:$C$17,MATCH(INDEX(Posts!$D$1:$D$805,X7),Settings!$B$10:$B$17,0)),"")="",INDEX(Posts!$D$1:$D$805,X7),IFERROR(INDEX(Settings!$C$10:$C$17,MATCH(INDEX(Posts!$D$1:$D$805,X7),Settings!$B$10:$B$17,0)),""))&amp;": "&amp;IF(INDEX(Posts!$G$1:$G$805,X7)="",INDEX(Posts!$E$1:$E$805,X7),INDEX(Posts!$G$1:$G$805,X7)))&amp;IF(Y7&gt;3,CHAR(10)&amp;"and "&amp;(Y7-3)&amp;" more",""))</f>
        <v/>
      </c>
      <c r="F7" s="20">
        <f>IF(MONTH(((Settings!$C$5-WEEKDAY(Settings!$C$5,3))+11))&lt;&gt;MONTH(Settings!$C$5),"",DAY(((Settings!$C$5-WEEKDAY(Settings!$C$5,3))+11))&amp;IF(Z7="","",CHAR(10)&amp;IF(IFERROR(INDEX(Settings!$C$10:$C$17,MATCH(INDEX(Posts!$D$1:$D$805,Z7),Settings!$B$10:$B$17,0)),"")="",INDEX(Posts!$D$1:$D$805,Z7),IFERROR(INDEX(Settings!$C$10:$C$17,MATCH(INDEX(Posts!$D$1:$D$805,Z7),Settings!$B$10:$B$17,0)),""))&amp;": "&amp;IF(INDEX(Posts!$G$1:$G$805,Z7)="",INDEX(Posts!$E$1:$E$805,Z7),INDEX(Posts!$G$1:$G$805,Z7)))&amp;IF(AA7="","",CHAR(10)&amp;IF(IFERROR(INDEX(Settings!$C$10:$C$17,MATCH(INDEX(Posts!$D$1:$D$805,AA7),Settings!$B$10:$B$17,0)),"")="",INDEX(Posts!$D$1:$D$805,AA7),IFERROR(INDEX(Settings!$C$10:$C$17,MATCH(INDEX(Posts!$D$1:$D$805,AA7),Settings!$B$10:$B$17,0)),""))&amp;": "&amp;IF(INDEX(Posts!$G$1:$G$805,AA7)="",INDEX(Posts!$E$1:$E$805,AA7),INDEX(Posts!$G$1:$G$805,AA7)))&amp;IF(AB7="","",CHAR(10)&amp;IF(IFERROR(INDEX(Settings!$C$10:$C$17,MATCH(INDEX(Posts!$D$1:$D$805,AB7),Settings!$B$10:$B$17,0)),"")="",INDEX(Posts!$D$1:$D$805,AB7),IFERROR(INDEX(Settings!$C$10:$C$17,MATCH(INDEX(Posts!$D$1:$D$805,AB7),Settings!$B$10:$B$17,0)),""))&amp;": "&amp;IF(INDEX(Posts!$G$1:$G$805,AB7)="",INDEX(Posts!$E$1:$E$805,AB7),INDEX(Posts!$G$1:$G$805,AB7)))&amp;IF(AC7&gt;3,CHAR(10)&amp;"and "&amp;(AC7-3)&amp;" more",""))</f>
        <v/>
      </c>
      <c r="G7" s="20">
        <f>IF(MONTH(((Settings!$C$5-WEEKDAY(Settings!$C$5,3))+12))&lt;&gt;MONTH(Settings!$C$5),"",DAY(((Settings!$C$5-WEEKDAY(Settings!$C$5,3))+12))&amp;IF(AD7="","",CHAR(10)&amp;IF(IFERROR(INDEX(Settings!$C$10:$C$17,MATCH(INDEX(Posts!$D$1:$D$805,AD7),Settings!$B$10:$B$17,0)),"")="",INDEX(Posts!$D$1:$D$805,AD7),IFERROR(INDEX(Settings!$C$10:$C$17,MATCH(INDEX(Posts!$D$1:$D$805,AD7),Settings!$B$10:$B$17,0)),""))&amp;": "&amp;IF(INDEX(Posts!$G$1:$G$805,AD7)="",INDEX(Posts!$E$1:$E$805,AD7),INDEX(Posts!$G$1:$G$805,AD7)))&amp;IF(AE7="","",CHAR(10)&amp;IF(IFERROR(INDEX(Settings!$C$10:$C$17,MATCH(INDEX(Posts!$D$1:$D$805,AE7),Settings!$B$10:$B$17,0)),"")="",INDEX(Posts!$D$1:$D$805,AE7),IFERROR(INDEX(Settings!$C$10:$C$17,MATCH(INDEX(Posts!$D$1:$D$805,AE7),Settings!$B$10:$B$17,0)),""))&amp;": "&amp;IF(INDEX(Posts!$G$1:$G$805,AE7)="",INDEX(Posts!$E$1:$E$805,AE7),INDEX(Posts!$G$1:$G$805,AE7)))&amp;IF(AF7="","",CHAR(10)&amp;IF(IFERROR(INDEX(Settings!$C$10:$C$17,MATCH(INDEX(Posts!$D$1:$D$805,AF7),Settings!$B$10:$B$17,0)),"")="",INDEX(Posts!$D$1:$D$805,AF7),IFERROR(INDEX(Settings!$C$10:$C$17,MATCH(INDEX(Posts!$D$1:$D$805,AF7),Settings!$B$10:$B$17,0)),""))&amp;": "&amp;IF(INDEX(Posts!$G$1:$G$805,AF7)="",INDEX(Posts!$E$1:$E$805,AF7),INDEX(Posts!$G$1:$G$805,AF7)))&amp;IF(AG7&gt;3,CHAR(10)&amp;"and "&amp;(AG7-3)&amp;" more",""))</f>
        <v/>
      </c>
      <c r="H7" s="20">
        <f>IF(MONTH(((Settings!$C$5-WEEKDAY(Settings!$C$5,3))+13))&lt;&gt;MONTH(Settings!$C$5),"",DAY(((Settings!$C$5-WEEKDAY(Settings!$C$5,3))+13))&amp;IF(AH7="","",CHAR(10)&amp;IF(IFERROR(INDEX(Settings!$C$10:$C$17,MATCH(INDEX(Posts!$D$1:$D$805,AH7),Settings!$B$10:$B$17,0)),"")="",INDEX(Posts!$D$1:$D$805,AH7),IFERROR(INDEX(Settings!$C$10:$C$17,MATCH(INDEX(Posts!$D$1:$D$805,AH7),Settings!$B$10:$B$17,0)),""))&amp;": "&amp;IF(INDEX(Posts!$G$1:$G$805,AH7)="",INDEX(Posts!$E$1:$E$805,AH7),INDEX(Posts!$G$1:$G$805,AH7)))&amp;IF(AI7="","",CHAR(10)&amp;IF(IFERROR(INDEX(Settings!$C$10:$C$17,MATCH(INDEX(Posts!$D$1:$D$805,AI7),Settings!$B$10:$B$17,0)),"")="",INDEX(Posts!$D$1:$D$805,AI7),IFERROR(INDEX(Settings!$C$10:$C$17,MATCH(INDEX(Posts!$D$1:$D$805,AI7),Settings!$B$10:$B$17,0)),""))&amp;": "&amp;IF(INDEX(Posts!$G$1:$G$805,AI7)="",INDEX(Posts!$E$1:$E$805,AI7),INDEX(Posts!$G$1:$G$805,AI7)))&amp;IF(AJ7="","",CHAR(10)&amp;IF(IFERROR(INDEX(Settings!$C$10:$C$17,MATCH(INDEX(Posts!$D$1:$D$805,AJ7),Settings!$B$10:$B$17,0)),"")="",INDEX(Posts!$D$1:$D$805,AJ7),IFERROR(INDEX(Settings!$C$10:$C$17,MATCH(INDEX(Posts!$D$1:$D$805,AJ7),Settings!$B$10:$B$17,0)),""))&amp;": "&amp;IF(INDEX(Posts!$G$1:$G$805,AJ7)="",INDEX(Posts!$E$1:$E$805,AJ7),INDEX(Posts!$G$1:$G$805,AJ7)))&amp;IF(AK7&gt;3,CHAR(10)&amp;"and "&amp;(AK7-3)&amp;" more",""))</f>
        <v/>
      </c>
      <c r="I7" s="1" t="n"/>
      <c r="J7">
        <f>IFERROR(IF(INT(SMALL(Posts!$R$6:$R$805,COUNTIF(Posts!$R$6:$R$805,"&lt;"&amp;((Settings!$C$5-WEEKDAY(Settings!$C$5,3))+7)*10000000)+1)/10000000)=((Settings!$C$5-WEEKDAY(Settings!$C$5,3))+7),MOD(SMALL(Posts!$R$6:$R$805,COUNTIF(Posts!$R$6:$R$805,"&lt;"&amp;((Settings!$C$5-WEEKDAY(Settings!$C$5,3))+7)*10000000)+1),1000),""),"")</f>
        <v/>
      </c>
      <c r="K7">
        <f>IFERROR(IF(INT(SMALL(Posts!$R$6:$R$805,COUNTIF(Posts!$R$6:$R$805,"&lt;"&amp;((Settings!$C$5-WEEKDAY(Settings!$C$5,3))+7)*10000000)+2)/10000000)=((Settings!$C$5-WEEKDAY(Settings!$C$5,3))+7),MOD(SMALL(Posts!$R$6:$R$805,COUNTIF(Posts!$R$6:$R$805,"&lt;"&amp;((Settings!$C$5-WEEKDAY(Settings!$C$5,3))+7)*10000000)+2),1000),""),"")</f>
        <v/>
      </c>
      <c r="L7">
        <f>IFERROR(IF(INT(SMALL(Posts!$R$6:$R$805,COUNTIF(Posts!$R$6:$R$805,"&lt;"&amp;((Settings!$C$5-WEEKDAY(Settings!$C$5,3))+7)*10000000)+3)/10000000)=((Settings!$C$5-WEEKDAY(Settings!$C$5,3))+7),MOD(SMALL(Posts!$R$6:$R$805,COUNTIF(Posts!$R$6:$R$805,"&lt;"&amp;((Settings!$C$5-WEEKDAY(Settings!$C$5,3))+7)*10000000)+3),1000),""),"")</f>
        <v/>
      </c>
      <c r="M7">
        <f>COUNTIFS(Posts!$R$6:$R$805,"&gt;="&amp;((Settings!$C$5-WEEKDAY(Settings!$C$5,3))+7)*10000000,Posts!$R$6:$R$805,"&lt;"&amp;(((Settings!$C$5-WEEKDAY(Settings!$C$5,3))+7)+1)*10000000)</f>
        <v/>
      </c>
      <c r="N7">
        <f>IFERROR(IF(INT(SMALL(Posts!$R$6:$R$805,COUNTIF(Posts!$R$6:$R$805,"&lt;"&amp;((Settings!$C$5-WEEKDAY(Settings!$C$5,3))+8)*10000000)+1)/10000000)=((Settings!$C$5-WEEKDAY(Settings!$C$5,3))+8),MOD(SMALL(Posts!$R$6:$R$805,COUNTIF(Posts!$R$6:$R$805,"&lt;"&amp;((Settings!$C$5-WEEKDAY(Settings!$C$5,3))+8)*10000000)+1),1000),""),"")</f>
        <v/>
      </c>
      <c r="O7">
        <f>IFERROR(IF(INT(SMALL(Posts!$R$6:$R$805,COUNTIF(Posts!$R$6:$R$805,"&lt;"&amp;((Settings!$C$5-WEEKDAY(Settings!$C$5,3))+8)*10000000)+2)/10000000)=((Settings!$C$5-WEEKDAY(Settings!$C$5,3))+8),MOD(SMALL(Posts!$R$6:$R$805,COUNTIF(Posts!$R$6:$R$805,"&lt;"&amp;((Settings!$C$5-WEEKDAY(Settings!$C$5,3))+8)*10000000)+2),1000),""),"")</f>
        <v/>
      </c>
      <c r="P7">
        <f>IFERROR(IF(INT(SMALL(Posts!$R$6:$R$805,COUNTIF(Posts!$R$6:$R$805,"&lt;"&amp;((Settings!$C$5-WEEKDAY(Settings!$C$5,3))+8)*10000000)+3)/10000000)=((Settings!$C$5-WEEKDAY(Settings!$C$5,3))+8),MOD(SMALL(Posts!$R$6:$R$805,COUNTIF(Posts!$R$6:$R$805,"&lt;"&amp;((Settings!$C$5-WEEKDAY(Settings!$C$5,3))+8)*10000000)+3),1000),""),"")</f>
        <v/>
      </c>
      <c r="Q7">
        <f>COUNTIFS(Posts!$R$6:$R$805,"&gt;="&amp;((Settings!$C$5-WEEKDAY(Settings!$C$5,3))+8)*10000000,Posts!$R$6:$R$805,"&lt;"&amp;(((Settings!$C$5-WEEKDAY(Settings!$C$5,3))+8)+1)*10000000)</f>
        <v/>
      </c>
      <c r="R7">
        <f>IFERROR(IF(INT(SMALL(Posts!$R$6:$R$805,COUNTIF(Posts!$R$6:$R$805,"&lt;"&amp;((Settings!$C$5-WEEKDAY(Settings!$C$5,3))+9)*10000000)+1)/10000000)=((Settings!$C$5-WEEKDAY(Settings!$C$5,3))+9),MOD(SMALL(Posts!$R$6:$R$805,COUNTIF(Posts!$R$6:$R$805,"&lt;"&amp;((Settings!$C$5-WEEKDAY(Settings!$C$5,3))+9)*10000000)+1),1000),""),"")</f>
        <v/>
      </c>
      <c r="S7">
        <f>IFERROR(IF(INT(SMALL(Posts!$R$6:$R$805,COUNTIF(Posts!$R$6:$R$805,"&lt;"&amp;((Settings!$C$5-WEEKDAY(Settings!$C$5,3))+9)*10000000)+2)/10000000)=((Settings!$C$5-WEEKDAY(Settings!$C$5,3))+9),MOD(SMALL(Posts!$R$6:$R$805,COUNTIF(Posts!$R$6:$R$805,"&lt;"&amp;((Settings!$C$5-WEEKDAY(Settings!$C$5,3))+9)*10000000)+2),1000),""),"")</f>
        <v/>
      </c>
      <c r="T7">
        <f>IFERROR(IF(INT(SMALL(Posts!$R$6:$R$805,COUNTIF(Posts!$R$6:$R$805,"&lt;"&amp;((Settings!$C$5-WEEKDAY(Settings!$C$5,3))+9)*10000000)+3)/10000000)=((Settings!$C$5-WEEKDAY(Settings!$C$5,3))+9),MOD(SMALL(Posts!$R$6:$R$805,COUNTIF(Posts!$R$6:$R$805,"&lt;"&amp;((Settings!$C$5-WEEKDAY(Settings!$C$5,3))+9)*10000000)+3),1000),""),"")</f>
        <v/>
      </c>
      <c r="U7">
        <f>COUNTIFS(Posts!$R$6:$R$805,"&gt;="&amp;((Settings!$C$5-WEEKDAY(Settings!$C$5,3))+9)*10000000,Posts!$R$6:$R$805,"&lt;"&amp;(((Settings!$C$5-WEEKDAY(Settings!$C$5,3))+9)+1)*10000000)</f>
        <v/>
      </c>
      <c r="V7">
        <f>IFERROR(IF(INT(SMALL(Posts!$R$6:$R$805,COUNTIF(Posts!$R$6:$R$805,"&lt;"&amp;((Settings!$C$5-WEEKDAY(Settings!$C$5,3))+10)*10000000)+1)/10000000)=((Settings!$C$5-WEEKDAY(Settings!$C$5,3))+10),MOD(SMALL(Posts!$R$6:$R$805,COUNTIF(Posts!$R$6:$R$805,"&lt;"&amp;((Settings!$C$5-WEEKDAY(Settings!$C$5,3))+10)*10000000)+1),1000),""),"")</f>
        <v/>
      </c>
      <c r="W7">
        <f>IFERROR(IF(INT(SMALL(Posts!$R$6:$R$805,COUNTIF(Posts!$R$6:$R$805,"&lt;"&amp;((Settings!$C$5-WEEKDAY(Settings!$C$5,3))+10)*10000000)+2)/10000000)=((Settings!$C$5-WEEKDAY(Settings!$C$5,3))+10),MOD(SMALL(Posts!$R$6:$R$805,COUNTIF(Posts!$R$6:$R$805,"&lt;"&amp;((Settings!$C$5-WEEKDAY(Settings!$C$5,3))+10)*10000000)+2),1000),""),"")</f>
        <v/>
      </c>
      <c r="X7">
        <f>IFERROR(IF(INT(SMALL(Posts!$R$6:$R$805,COUNTIF(Posts!$R$6:$R$805,"&lt;"&amp;((Settings!$C$5-WEEKDAY(Settings!$C$5,3))+10)*10000000)+3)/10000000)=((Settings!$C$5-WEEKDAY(Settings!$C$5,3))+10),MOD(SMALL(Posts!$R$6:$R$805,COUNTIF(Posts!$R$6:$R$805,"&lt;"&amp;((Settings!$C$5-WEEKDAY(Settings!$C$5,3))+10)*10000000)+3),1000),""),"")</f>
        <v/>
      </c>
      <c r="Y7">
        <f>COUNTIFS(Posts!$R$6:$R$805,"&gt;="&amp;((Settings!$C$5-WEEKDAY(Settings!$C$5,3))+10)*10000000,Posts!$R$6:$R$805,"&lt;"&amp;(((Settings!$C$5-WEEKDAY(Settings!$C$5,3))+10)+1)*10000000)</f>
        <v/>
      </c>
      <c r="Z7">
        <f>IFERROR(IF(INT(SMALL(Posts!$R$6:$R$805,COUNTIF(Posts!$R$6:$R$805,"&lt;"&amp;((Settings!$C$5-WEEKDAY(Settings!$C$5,3))+11)*10000000)+1)/10000000)=((Settings!$C$5-WEEKDAY(Settings!$C$5,3))+11),MOD(SMALL(Posts!$R$6:$R$805,COUNTIF(Posts!$R$6:$R$805,"&lt;"&amp;((Settings!$C$5-WEEKDAY(Settings!$C$5,3))+11)*10000000)+1),1000),""),"")</f>
        <v/>
      </c>
      <c r="AA7">
        <f>IFERROR(IF(INT(SMALL(Posts!$R$6:$R$805,COUNTIF(Posts!$R$6:$R$805,"&lt;"&amp;((Settings!$C$5-WEEKDAY(Settings!$C$5,3))+11)*10000000)+2)/10000000)=((Settings!$C$5-WEEKDAY(Settings!$C$5,3))+11),MOD(SMALL(Posts!$R$6:$R$805,COUNTIF(Posts!$R$6:$R$805,"&lt;"&amp;((Settings!$C$5-WEEKDAY(Settings!$C$5,3))+11)*10000000)+2),1000),""),"")</f>
        <v/>
      </c>
      <c r="AB7">
        <f>IFERROR(IF(INT(SMALL(Posts!$R$6:$R$805,COUNTIF(Posts!$R$6:$R$805,"&lt;"&amp;((Settings!$C$5-WEEKDAY(Settings!$C$5,3))+11)*10000000)+3)/10000000)=((Settings!$C$5-WEEKDAY(Settings!$C$5,3))+11),MOD(SMALL(Posts!$R$6:$R$805,COUNTIF(Posts!$R$6:$R$805,"&lt;"&amp;((Settings!$C$5-WEEKDAY(Settings!$C$5,3))+11)*10000000)+3),1000),""),"")</f>
        <v/>
      </c>
      <c r="AC7">
        <f>COUNTIFS(Posts!$R$6:$R$805,"&gt;="&amp;((Settings!$C$5-WEEKDAY(Settings!$C$5,3))+11)*10000000,Posts!$R$6:$R$805,"&lt;"&amp;(((Settings!$C$5-WEEKDAY(Settings!$C$5,3))+11)+1)*10000000)</f>
        <v/>
      </c>
      <c r="AD7">
        <f>IFERROR(IF(INT(SMALL(Posts!$R$6:$R$805,COUNTIF(Posts!$R$6:$R$805,"&lt;"&amp;((Settings!$C$5-WEEKDAY(Settings!$C$5,3))+12)*10000000)+1)/10000000)=((Settings!$C$5-WEEKDAY(Settings!$C$5,3))+12),MOD(SMALL(Posts!$R$6:$R$805,COUNTIF(Posts!$R$6:$R$805,"&lt;"&amp;((Settings!$C$5-WEEKDAY(Settings!$C$5,3))+12)*10000000)+1),1000),""),"")</f>
        <v/>
      </c>
      <c r="AE7">
        <f>IFERROR(IF(INT(SMALL(Posts!$R$6:$R$805,COUNTIF(Posts!$R$6:$R$805,"&lt;"&amp;((Settings!$C$5-WEEKDAY(Settings!$C$5,3))+12)*10000000)+2)/10000000)=((Settings!$C$5-WEEKDAY(Settings!$C$5,3))+12),MOD(SMALL(Posts!$R$6:$R$805,COUNTIF(Posts!$R$6:$R$805,"&lt;"&amp;((Settings!$C$5-WEEKDAY(Settings!$C$5,3))+12)*10000000)+2),1000),""),"")</f>
        <v/>
      </c>
      <c r="AF7">
        <f>IFERROR(IF(INT(SMALL(Posts!$R$6:$R$805,COUNTIF(Posts!$R$6:$R$805,"&lt;"&amp;((Settings!$C$5-WEEKDAY(Settings!$C$5,3))+12)*10000000)+3)/10000000)=((Settings!$C$5-WEEKDAY(Settings!$C$5,3))+12),MOD(SMALL(Posts!$R$6:$R$805,COUNTIF(Posts!$R$6:$R$805,"&lt;"&amp;((Settings!$C$5-WEEKDAY(Settings!$C$5,3))+12)*10000000)+3),1000),""),"")</f>
        <v/>
      </c>
      <c r="AG7">
        <f>COUNTIFS(Posts!$R$6:$R$805,"&gt;="&amp;((Settings!$C$5-WEEKDAY(Settings!$C$5,3))+12)*10000000,Posts!$R$6:$R$805,"&lt;"&amp;(((Settings!$C$5-WEEKDAY(Settings!$C$5,3))+12)+1)*10000000)</f>
        <v/>
      </c>
      <c r="AH7">
        <f>IFERROR(IF(INT(SMALL(Posts!$R$6:$R$805,COUNTIF(Posts!$R$6:$R$805,"&lt;"&amp;((Settings!$C$5-WEEKDAY(Settings!$C$5,3))+13)*10000000)+1)/10000000)=((Settings!$C$5-WEEKDAY(Settings!$C$5,3))+13),MOD(SMALL(Posts!$R$6:$R$805,COUNTIF(Posts!$R$6:$R$805,"&lt;"&amp;((Settings!$C$5-WEEKDAY(Settings!$C$5,3))+13)*10000000)+1),1000),""),"")</f>
        <v/>
      </c>
      <c r="AI7">
        <f>IFERROR(IF(INT(SMALL(Posts!$R$6:$R$805,COUNTIF(Posts!$R$6:$R$805,"&lt;"&amp;((Settings!$C$5-WEEKDAY(Settings!$C$5,3))+13)*10000000)+2)/10000000)=((Settings!$C$5-WEEKDAY(Settings!$C$5,3))+13),MOD(SMALL(Posts!$R$6:$R$805,COUNTIF(Posts!$R$6:$R$805,"&lt;"&amp;((Settings!$C$5-WEEKDAY(Settings!$C$5,3))+13)*10000000)+2),1000),""),"")</f>
        <v/>
      </c>
      <c r="AJ7">
        <f>IFERROR(IF(INT(SMALL(Posts!$R$6:$R$805,COUNTIF(Posts!$R$6:$R$805,"&lt;"&amp;((Settings!$C$5-WEEKDAY(Settings!$C$5,3))+13)*10000000)+3)/10000000)=((Settings!$C$5-WEEKDAY(Settings!$C$5,3))+13),MOD(SMALL(Posts!$R$6:$R$805,COUNTIF(Posts!$R$6:$R$805,"&lt;"&amp;((Settings!$C$5-WEEKDAY(Settings!$C$5,3))+13)*10000000)+3),1000),""),"")</f>
        <v/>
      </c>
      <c r="AK7">
        <f>COUNTIFS(Posts!$R$6:$R$805,"&gt;="&amp;((Settings!$C$5-WEEKDAY(Settings!$C$5,3))+13)*10000000,Posts!$R$6:$R$805,"&lt;"&amp;(((Settings!$C$5-WEEKDAY(Settings!$C$5,3))+13)+1)*10000000)</f>
        <v/>
      </c>
    </row>
    <row r="8" ht="74" customHeight="1">
      <c r="A8" s="1" t="n"/>
      <c r="B8" s="20">
        <f>IF(MONTH(((Settings!$C$5-WEEKDAY(Settings!$C$5,3))+14))&lt;&gt;MONTH(Settings!$C$5),"",DAY(((Settings!$C$5-WEEKDAY(Settings!$C$5,3))+14))&amp;IF(J8="","",CHAR(10)&amp;IF(IFERROR(INDEX(Settings!$C$10:$C$17,MATCH(INDEX(Posts!$D$1:$D$805,J8),Settings!$B$10:$B$17,0)),"")="",INDEX(Posts!$D$1:$D$805,J8),IFERROR(INDEX(Settings!$C$10:$C$17,MATCH(INDEX(Posts!$D$1:$D$805,J8),Settings!$B$10:$B$17,0)),""))&amp;": "&amp;IF(INDEX(Posts!$G$1:$G$805,J8)="",INDEX(Posts!$E$1:$E$805,J8),INDEX(Posts!$G$1:$G$805,J8)))&amp;IF(K8="","",CHAR(10)&amp;IF(IFERROR(INDEX(Settings!$C$10:$C$17,MATCH(INDEX(Posts!$D$1:$D$805,K8),Settings!$B$10:$B$17,0)),"")="",INDEX(Posts!$D$1:$D$805,K8),IFERROR(INDEX(Settings!$C$10:$C$17,MATCH(INDEX(Posts!$D$1:$D$805,K8),Settings!$B$10:$B$17,0)),""))&amp;": "&amp;IF(INDEX(Posts!$G$1:$G$805,K8)="",INDEX(Posts!$E$1:$E$805,K8),INDEX(Posts!$G$1:$G$805,K8)))&amp;IF(L8="","",CHAR(10)&amp;IF(IFERROR(INDEX(Settings!$C$10:$C$17,MATCH(INDEX(Posts!$D$1:$D$805,L8),Settings!$B$10:$B$17,0)),"")="",INDEX(Posts!$D$1:$D$805,L8),IFERROR(INDEX(Settings!$C$10:$C$17,MATCH(INDEX(Posts!$D$1:$D$805,L8),Settings!$B$10:$B$17,0)),""))&amp;": "&amp;IF(INDEX(Posts!$G$1:$G$805,L8)="",INDEX(Posts!$E$1:$E$805,L8),INDEX(Posts!$G$1:$G$805,L8)))&amp;IF(M8&gt;3,CHAR(10)&amp;"and "&amp;(M8-3)&amp;" more",""))</f>
        <v/>
      </c>
      <c r="C8" s="20">
        <f>IF(MONTH(((Settings!$C$5-WEEKDAY(Settings!$C$5,3))+15))&lt;&gt;MONTH(Settings!$C$5),"",DAY(((Settings!$C$5-WEEKDAY(Settings!$C$5,3))+15))&amp;IF(N8="","",CHAR(10)&amp;IF(IFERROR(INDEX(Settings!$C$10:$C$17,MATCH(INDEX(Posts!$D$1:$D$805,N8),Settings!$B$10:$B$17,0)),"")="",INDEX(Posts!$D$1:$D$805,N8),IFERROR(INDEX(Settings!$C$10:$C$17,MATCH(INDEX(Posts!$D$1:$D$805,N8),Settings!$B$10:$B$17,0)),""))&amp;": "&amp;IF(INDEX(Posts!$G$1:$G$805,N8)="",INDEX(Posts!$E$1:$E$805,N8),INDEX(Posts!$G$1:$G$805,N8)))&amp;IF(O8="","",CHAR(10)&amp;IF(IFERROR(INDEX(Settings!$C$10:$C$17,MATCH(INDEX(Posts!$D$1:$D$805,O8),Settings!$B$10:$B$17,0)),"")="",INDEX(Posts!$D$1:$D$805,O8),IFERROR(INDEX(Settings!$C$10:$C$17,MATCH(INDEX(Posts!$D$1:$D$805,O8),Settings!$B$10:$B$17,0)),""))&amp;": "&amp;IF(INDEX(Posts!$G$1:$G$805,O8)="",INDEX(Posts!$E$1:$E$805,O8),INDEX(Posts!$G$1:$G$805,O8)))&amp;IF(P8="","",CHAR(10)&amp;IF(IFERROR(INDEX(Settings!$C$10:$C$17,MATCH(INDEX(Posts!$D$1:$D$805,P8),Settings!$B$10:$B$17,0)),"")="",INDEX(Posts!$D$1:$D$805,P8),IFERROR(INDEX(Settings!$C$10:$C$17,MATCH(INDEX(Posts!$D$1:$D$805,P8),Settings!$B$10:$B$17,0)),""))&amp;": "&amp;IF(INDEX(Posts!$G$1:$G$805,P8)="",INDEX(Posts!$E$1:$E$805,P8),INDEX(Posts!$G$1:$G$805,P8)))&amp;IF(Q8&gt;3,CHAR(10)&amp;"and "&amp;(Q8-3)&amp;" more",""))</f>
        <v/>
      </c>
      <c r="D8" s="20">
        <f>IF(MONTH(((Settings!$C$5-WEEKDAY(Settings!$C$5,3))+16))&lt;&gt;MONTH(Settings!$C$5),"",DAY(((Settings!$C$5-WEEKDAY(Settings!$C$5,3))+16))&amp;IF(R8="","",CHAR(10)&amp;IF(IFERROR(INDEX(Settings!$C$10:$C$17,MATCH(INDEX(Posts!$D$1:$D$805,R8),Settings!$B$10:$B$17,0)),"")="",INDEX(Posts!$D$1:$D$805,R8),IFERROR(INDEX(Settings!$C$10:$C$17,MATCH(INDEX(Posts!$D$1:$D$805,R8),Settings!$B$10:$B$17,0)),""))&amp;": "&amp;IF(INDEX(Posts!$G$1:$G$805,R8)="",INDEX(Posts!$E$1:$E$805,R8),INDEX(Posts!$G$1:$G$805,R8)))&amp;IF(S8="","",CHAR(10)&amp;IF(IFERROR(INDEX(Settings!$C$10:$C$17,MATCH(INDEX(Posts!$D$1:$D$805,S8),Settings!$B$10:$B$17,0)),"")="",INDEX(Posts!$D$1:$D$805,S8),IFERROR(INDEX(Settings!$C$10:$C$17,MATCH(INDEX(Posts!$D$1:$D$805,S8),Settings!$B$10:$B$17,0)),""))&amp;": "&amp;IF(INDEX(Posts!$G$1:$G$805,S8)="",INDEX(Posts!$E$1:$E$805,S8),INDEX(Posts!$G$1:$G$805,S8)))&amp;IF(T8="","",CHAR(10)&amp;IF(IFERROR(INDEX(Settings!$C$10:$C$17,MATCH(INDEX(Posts!$D$1:$D$805,T8),Settings!$B$10:$B$17,0)),"")="",INDEX(Posts!$D$1:$D$805,T8),IFERROR(INDEX(Settings!$C$10:$C$17,MATCH(INDEX(Posts!$D$1:$D$805,T8),Settings!$B$10:$B$17,0)),""))&amp;": "&amp;IF(INDEX(Posts!$G$1:$G$805,T8)="",INDEX(Posts!$E$1:$E$805,T8),INDEX(Posts!$G$1:$G$805,T8)))&amp;IF(U8&gt;3,CHAR(10)&amp;"and "&amp;(U8-3)&amp;" more",""))</f>
        <v/>
      </c>
      <c r="E8" s="20">
        <f>IF(MONTH(((Settings!$C$5-WEEKDAY(Settings!$C$5,3))+17))&lt;&gt;MONTH(Settings!$C$5),"",DAY(((Settings!$C$5-WEEKDAY(Settings!$C$5,3))+17))&amp;IF(V8="","",CHAR(10)&amp;IF(IFERROR(INDEX(Settings!$C$10:$C$17,MATCH(INDEX(Posts!$D$1:$D$805,V8),Settings!$B$10:$B$17,0)),"")="",INDEX(Posts!$D$1:$D$805,V8),IFERROR(INDEX(Settings!$C$10:$C$17,MATCH(INDEX(Posts!$D$1:$D$805,V8),Settings!$B$10:$B$17,0)),""))&amp;": "&amp;IF(INDEX(Posts!$G$1:$G$805,V8)="",INDEX(Posts!$E$1:$E$805,V8),INDEX(Posts!$G$1:$G$805,V8)))&amp;IF(W8="","",CHAR(10)&amp;IF(IFERROR(INDEX(Settings!$C$10:$C$17,MATCH(INDEX(Posts!$D$1:$D$805,W8),Settings!$B$10:$B$17,0)),"")="",INDEX(Posts!$D$1:$D$805,W8),IFERROR(INDEX(Settings!$C$10:$C$17,MATCH(INDEX(Posts!$D$1:$D$805,W8),Settings!$B$10:$B$17,0)),""))&amp;": "&amp;IF(INDEX(Posts!$G$1:$G$805,W8)="",INDEX(Posts!$E$1:$E$805,W8),INDEX(Posts!$G$1:$G$805,W8)))&amp;IF(X8="","",CHAR(10)&amp;IF(IFERROR(INDEX(Settings!$C$10:$C$17,MATCH(INDEX(Posts!$D$1:$D$805,X8),Settings!$B$10:$B$17,0)),"")="",INDEX(Posts!$D$1:$D$805,X8),IFERROR(INDEX(Settings!$C$10:$C$17,MATCH(INDEX(Posts!$D$1:$D$805,X8),Settings!$B$10:$B$17,0)),""))&amp;": "&amp;IF(INDEX(Posts!$G$1:$G$805,X8)="",INDEX(Posts!$E$1:$E$805,X8),INDEX(Posts!$G$1:$G$805,X8)))&amp;IF(Y8&gt;3,CHAR(10)&amp;"and "&amp;(Y8-3)&amp;" more",""))</f>
        <v/>
      </c>
      <c r="F8" s="20">
        <f>IF(MONTH(((Settings!$C$5-WEEKDAY(Settings!$C$5,3))+18))&lt;&gt;MONTH(Settings!$C$5),"",DAY(((Settings!$C$5-WEEKDAY(Settings!$C$5,3))+18))&amp;IF(Z8="","",CHAR(10)&amp;IF(IFERROR(INDEX(Settings!$C$10:$C$17,MATCH(INDEX(Posts!$D$1:$D$805,Z8),Settings!$B$10:$B$17,0)),"")="",INDEX(Posts!$D$1:$D$805,Z8),IFERROR(INDEX(Settings!$C$10:$C$17,MATCH(INDEX(Posts!$D$1:$D$805,Z8),Settings!$B$10:$B$17,0)),""))&amp;": "&amp;IF(INDEX(Posts!$G$1:$G$805,Z8)="",INDEX(Posts!$E$1:$E$805,Z8),INDEX(Posts!$G$1:$G$805,Z8)))&amp;IF(AA8="","",CHAR(10)&amp;IF(IFERROR(INDEX(Settings!$C$10:$C$17,MATCH(INDEX(Posts!$D$1:$D$805,AA8),Settings!$B$10:$B$17,0)),"")="",INDEX(Posts!$D$1:$D$805,AA8),IFERROR(INDEX(Settings!$C$10:$C$17,MATCH(INDEX(Posts!$D$1:$D$805,AA8),Settings!$B$10:$B$17,0)),""))&amp;": "&amp;IF(INDEX(Posts!$G$1:$G$805,AA8)="",INDEX(Posts!$E$1:$E$805,AA8),INDEX(Posts!$G$1:$G$805,AA8)))&amp;IF(AB8="","",CHAR(10)&amp;IF(IFERROR(INDEX(Settings!$C$10:$C$17,MATCH(INDEX(Posts!$D$1:$D$805,AB8),Settings!$B$10:$B$17,0)),"")="",INDEX(Posts!$D$1:$D$805,AB8),IFERROR(INDEX(Settings!$C$10:$C$17,MATCH(INDEX(Posts!$D$1:$D$805,AB8),Settings!$B$10:$B$17,0)),""))&amp;": "&amp;IF(INDEX(Posts!$G$1:$G$805,AB8)="",INDEX(Posts!$E$1:$E$805,AB8),INDEX(Posts!$G$1:$G$805,AB8)))&amp;IF(AC8&gt;3,CHAR(10)&amp;"and "&amp;(AC8-3)&amp;" more",""))</f>
        <v/>
      </c>
      <c r="G8" s="20">
        <f>IF(MONTH(((Settings!$C$5-WEEKDAY(Settings!$C$5,3))+19))&lt;&gt;MONTH(Settings!$C$5),"",DAY(((Settings!$C$5-WEEKDAY(Settings!$C$5,3))+19))&amp;IF(AD8="","",CHAR(10)&amp;IF(IFERROR(INDEX(Settings!$C$10:$C$17,MATCH(INDEX(Posts!$D$1:$D$805,AD8),Settings!$B$10:$B$17,0)),"")="",INDEX(Posts!$D$1:$D$805,AD8),IFERROR(INDEX(Settings!$C$10:$C$17,MATCH(INDEX(Posts!$D$1:$D$805,AD8),Settings!$B$10:$B$17,0)),""))&amp;": "&amp;IF(INDEX(Posts!$G$1:$G$805,AD8)="",INDEX(Posts!$E$1:$E$805,AD8),INDEX(Posts!$G$1:$G$805,AD8)))&amp;IF(AE8="","",CHAR(10)&amp;IF(IFERROR(INDEX(Settings!$C$10:$C$17,MATCH(INDEX(Posts!$D$1:$D$805,AE8),Settings!$B$10:$B$17,0)),"")="",INDEX(Posts!$D$1:$D$805,AE8),IFERROR(INDEX(Settings!$C$10:$C$17,MATCH(INDEX(Posts!$D$1:$D$805,AE8),Settings!$B$10:$B$17,0)),""))&amp;": "&amp;IF(INDEX(Posts!$G$1:$G$805,AE8)="",INDEX(Posts!$E$1:$E$805,AE8),INDEX(Posts!$G$1:$G$805,AE8)))&amp;IF(AF8="","",CHAR(10)&amp;IF(IFERROR(INDEX(Settings!$C$10:$C$17,MATCH(INDEX(Posts!$D$1:$D$805,AF8),Settings!$B$10:$B$17,0)),"")="",INDEX(Posts!$D$1:$D$805,AF8),IFERROR(INDEX(Settings!$C$10:$C$17,MATCH(INDEX(Posts!$D$1:$D$805,AF8),Settings!$B$10:$B$17,0)),""))&amp;": "&amp;IF(INDEX(Posts!$G$1:$G$805,AF8)="",INDEX(Posts!$E$1:$E$805,AF8),INDEX(Posts!$G$1:$G$805,AF8)))&amp;IF(AG8&gt;3,CHAR(10)&amp;"and "&amp;(AG8-3)&amp;" more",""))</f>
        <v/>
      </c>
      <c r="H8" s="20">
        <f>IF(MONTH(((Settings!$C$5-WEEKDAY(Settings!$C$5,3))+20))&lt;&gt;MONTH(Settings!$C$5),"",DAY(((Settings!$C$5-WEEKDAY(Settings!$C$5,3))+20))&amp;IF(AH8="","",CHAR(10)&amp;IF(IFERROR(INDEX(Settings!$C$10:$C$17,MATCH(INDEX(Posts!$D$1:$D$805,AH8),Settings!$B$10:$B$17,0)),"")="",INDEX(Posts!$D$1:$D$805,AH8),IFERROR(INDEX(Settings!$C$10:$C$17,MATCH(INDEX(Posts!$D$1:$D$805,AH8),Settings!$B$10:$B$17,0)),""))&amp;": "&amp;IF(INDEX(Posts!$G$1:$G$805,AH8)="",INDEX(Posts!$E$1:$E$805,AH8),INDEX(Posts!$G$1:$G$805,AH8)))&amp;IF(AI8="","",CHAR(10)&amp;IF(IFERROR(INDEX(Settings!$C$10:$C$17,MATCH(INDEX(Posts!$D$1:$D$805,AI8),Settings!$B$10:$B$17,0)),"")="",INDEX(Posts!$D$1:$D$805,AI8),IFERROR(INDEX(Settings!$C$10:$C$17,MATCH(INDEX(Posts!$D$1:$D$805,AI8),Settings!$B$10:$B$17,0)),""))&amp;": "&amp;IF(INDEX(Posts!$G$1:$G$805,AI8)="",INDEX(Posts!$E$1:$E$805,AI8),INDEX(Posts!$G$1:$G$805,AI8)))&amp;IF(AJ8="","",CHAR(10)&amp;IF(IFERROR(INDEX(Settings!$C$10:$C$17,MATCH(INDEX(Posts!$D$1:$D$805,AJ8),Settings!$B$10:$B$17,0)),"")="",INDEX(Posts!$D$1:$D$805,AJ8),IFERROR(INDEX(Settings!$C$10:$C$17,MATCH(INDEX(Posts!$D$1:$D$805,AJ8),Settings!$B$10:$B$17,0)),""))&amp;": "&amp;IF(INDEX(Posts!$G$1:$G$805,AJ8)="",INDEX(Posts!$E$1:$E$805,AJ8),INDEX(Posts!$G$1:$G$805,AJ8)))&amp;IF(AK8&gt;3,CHAR(10)&amp;"and "&amp;(AK8-3)&amp;" more",""))</f>
        <v/>
      </c>
      <c r="I8" s="1" t="n"/>
      <c r="J8">
        <f>IFERROR(IF(INT(SMALL(Posts!$R$6:$R$805,COUNTIF(Posts!$R$6:$R$805,"&lt;"&amp;((Settings!$C$5-WEEKDAY(Settings!$C$5,3))+14)*10000000)+1)/10000000)=((Settings!$C$5-WEEKDAY(Settings!$C$5,3))+14),MOD(SMALL(Posts!$R$6:$R$805,COUNTIF(Posts!$R$6:$R$805,"&lt;"&amp;((Settings!$C$5-WEEKDAY(Settings!$C$5,3))+14)*10000000)+1),1000),""),"")</f>
        <v/>
      </c>
      <c r="K8">
        <f>IFERROR(IF(INT(SMALL(Posts!$R$6:$R$805,COUNTIF(Posts!$R$6:$R$805,"&lt;"&amp;((Settings!$C$5-WEEKDAY(Settings!$C$5,3))+14)*10000000)+2)/10000000)=((Settings!$C$5-WEEKDAY(Settings!$C$5,3))+14),MOD(SMALL(Posts!$R$6:$R$805,COUNTIF(Posts!$R$6:$R$805,"&lt;"&amp;((Settings!$C$5-WEEKDAY(Settings!$C$5,3))+14)*10000000)+2),1000),""),"")</f>
        <v/>
      </c>
      <c r="L8">
        <f>IFERROR(IF(INT(SMALL(Posts!$R$6:$R$805,COUNTIF(Posts!$R$6:$R$805,"&lt;"&amp;((Settings!$C$5-WEEKDAY(Settings!$C$5,3))+14)*10000000)+3)/10000000)=((Settings!$C$5-WEEKDAY(Settings!$C$5,3))+14),MOD(SMALL(Posts!$R$6:$R$805,COUNTIF(Posts!$R$6:$R$805,"&lt;"&amp;((Settings!$C$5-WEEKDAY(Settings!$C$5,3))+14)*10000000)+3),1000),""),"")</f>
        <v/>
      </c>
      <c r="M8">
        <f>COUNTIFS(Posts!$R$6:$R$805,"&gt;="&amp;((Settings!$C$5-WEEKDAY(Settings!$C$5,3))+14)*10000000,Posts!$R$6:$R$805,"&lt;"&amp;(((Settings!$C$5-WEEKDAY(Settings!$C$5,3))+14)+1)*10000000)</f>
        <v/>
      </c>
      <c r="N8">
        <f>IFERROR(IF(INT(SMALL(Posts!$R$6:$R$805,COUNTIF(Posts!$R$6:$R$805,"&lt;"&amp;((Settings!$C$5-WEEKDAY(Settings!$C$5,3))+15)*10000000)+1)/10000000)=((Settings!$C$5-WEEKDAY(Settings!$C$5,3))+15),MOD(SMALL(Posts!$R$6:$R$805,COUNTIF(Posts!$R$6:$R$805,"&lt;"&amp;((Settings!$C$5-WEEKDAY(Settings!$C$5,3))+15)*10000000)+1),1000),""),"")</f>
        <v/>
      </c>
      <c r="O8">
        <f>IFERROR(IF(INT(SMALL(Posts!$R$6:$R$805,COUNTIF(Posts!$R$6:$R$805,"&lt;"&amp;((Settings!$C$5-WEEKDAY(Settings!$C$5,3))+15)*10000000)+2)/10000000)=((Settings!$C$5-WEEKDAY(Settings!$C$5,3))+15),MOD(SMALL(Posts!$R$6:$R$805,COUNTIF(Posts!$R$6:$R$805,"&lt;"&amp;((Settings!$C$5-WEEKDAY(Settings!$C$5,3))+15)*10000000)+2),1000),""),"")</f>
        <v/>
      </c>
      <c r="P8">
        <f>IFERROR(IF(INT(SMALL(Posts!$R$6:$R$805,COUNTIF(Posts!$R$6:$R$805,"&lt;"&amp;((Settings!$C$5-WEEKDAY(Settings!$C$5,3))+15)*10000000)+3)/10000000)=((Settings!$C$5-WEEKDAY(Settings!$C$5,3))+15),MOD(SMALL(Posts!$R$6:$R$805,COUNTIF(Posts!$R$6:$R$805,"&lt;"&amp;((Settings!$C$5-WEEKDAY(Settings!$C$5,3))+15)*10000000)+3),1000),""),"")</f>
        <v/>
      </c>
      <c r="Q8">
        <f>COUNTIFS(Posts!$R$6:$R$805,"&gt;="&amp;((Settings!$C$5-WEEKDAY(Settings!$C$5,3))+15)*10000000,Posts!$R$6:$R$805,"&lt;"&amp;(((Settings!$C$5-WEEKDAY(Settings!$C$5,3))+15)+1)*10000000)</f>
        <v/>
      </c>
      <c r="R8">
        <f>IFERROR(IF(INT(SMALL(Posts!$R$6:$R$805,COUNTIF(Posts!$R$6:$R$805,"&lt;"&amp;((Settings!$C$5-WEEKDAY(Settings!$C$5,3))+16)*10000000)+1)/10000000)=((Settings!$C$5-WEEKDAY(Settings!$C$5,3))+16),MOD(SMALL(Posts!$R$6:$R$805,COUNTIF(Posts!$R$6:$R$805,"&lt;"&amp;((Settings!$C$5-WEEKDAY(Settings!$C$5,3))+16)*10000000)+1),1000),""),"")</f>
        <v/>
      </c>
      <c r="S8">
        <f>IFERROR(IF(INT(SMALL(Posts!$R$6:$R$805,COUNTIF(Posts!$R$6:$R$805,"&lt;"&amp;((Settings!$C$5-WEEKDAY(Settings!$C$5,3))+16)*10000000)+2)/10000000)=((Settings!$C$5-WEEKDAY(Settings!$C$5,3))+16),MOD(SMALL(Posts!$R$6:$R$805,COUNTIF(Posts!$R$6:$R$805,"&lt;"&amp;((Settings!$C$5-WEEKDAY(Settings!$C$5,3))+16)*10000000)+2),1000),""),"")</f>
        <v/>
      </c>
      <c r="T8">
        <f>IFERROR(IF(INT(SMALL(Posts!$R$6:$R$805,COUNTIF(Posts!$R$6:$R$805,"&lt;"&amp;((Settings!$C$5-WEEKDAY(Settings!$C$5,3))+16)*10000000)+3)/10000000)=((Settings!$C$5-WEEKDAY(Settings!$C$5,3))+16),MOD(SMALL(Posts!$R$6:$R$805,COUNTIF(Posts!$R$6:$R$805,"&lt;"&amp;((Settings!$C$5-WEEKDAY(Settings!$C$5,3))+16)*10000000)+3),1000),""),"")</f>
        <v/>
      </c>
      <c r="U8">
        <f>COUNTIFS(Posts!$R$6:$R$805,"&gt;="&amp;((Settings!$C$5-WEEKDAY(Settings!$C$5,3))+16)*10000000,Posts!$R$6:$R$805,"&lt;"&amp;(((Settings!$C$5-WEEKDAY(Settings!$C$5,3))+16)+1)*10000000)</f>
        <v/>
      </c>
      <c r="V8">
        <f>IFERROR(IF(INT(SMALL(Posts!$R$6:$R$805,COUNTIF(Posts!$R$6:$R$805,"&lt;"&amp;((Settings!$C$5-WEEKDAY(Settings!$C$5,3))+17)*10000000)+1)/10000000)=((Settings!$C$5-WEEKDAY(Settings!$C$5,3))+17),MOD(SMALL(Posts!$R$6:$R$805,COUNTIF(Posts!$R$6:$R$805,"&lt;"&amp;((Settings!$C$5-WEEKDAY(Settings!$C$5,3))+17)*10000000)+1),1000),""),"")</f>
        <v/>
      </c>
      <c r="W8">
        <f>IFERROR(IF(INT(SMALL(Posts!$R$6:$R$805,COUNTIF(Posts!$R$6:$R$805,"&lt;"&amp;((Settings!$C$5-WEEKDAY(Settings!$C$5,3))+17)*10000000)+2)/10000000)=((Settings!$C$5-WEEKDAY(Settings!$C$5,3))+17),MOD(SMALL(Posts!$R$6:$R$805,COUNTIF(Posts!$R$6:$R$805,"&lt;"&amp;((Settings!$C$5-WEEKDAY(Settings!$C$5,3))+17)*10000000)+2),1000),""),"")</f>
        <v/>
      </c>
      <c r="X8">
        <f>IFERROR(IF(INT(SMALL(Posts!$R$6:$R$805,COUNTIF(Posts!$R$6:$R$805,"&lt;"&amp;((Settings!$C$5-WEEKDAY(Settings!$C$5,3))+17)*10000000)+3)/10000000)=((Settings!$C$5-WEEKDAY(Settings!$C$5,3))+17),MOD(SMALL(Posts!$R$6:$R$805,COUNTIF(Posts!$R$6:$R$805,"&lt;"&amp;((Settings!$C$5-WEEKDAY(Settings!$C$5,3))+17)*10000000)+3),1000),""),"")</f>
        <v/>
      </c>
      <c r="Y8">
        <f>COUNTIFS(Posts!$R$6:$R$805,"&gt;="&amp;((Settings!$C$5-WEEKDAY(Settings!$C$5,3))+17)*10000000,Posts!$R$6:$R$805,"&lt;"&amp;(((Settings!$C$5-WEEKDAY(Settings!$C$5,3))+17)+1)*10000000)</f>
        <v/>
      </c>
      <c r="Z8">
        <f>IFERROR(IF(INT(SMALL(Posts!$R$6:$R$805,COUNTIF(Posts!$R$6:$R$805,"&lt;"&amp;((Settings!$C$5-WEEKDAY(Settings!$C$5,3))+18)*10000000)+1)/10000000)=((Settings!$C$5-WEEKDAY(Settings!$C$5,3))+18),MOD(SMALL(Posts!$R$6:$R$805,COUNTIF(Posts!$R$6:$R$805,"&lt;"&amp;((Settings!$C$5-WEEKDAY(Settings!$C$5,3))+18)*10000000)+1),1000),""),"")</f>
        <v/>
      </c>
      <c r="AA8">
        <f>IFERROR(IF(INT(SMALL(Posts!$R$6:$R$805,COUNTIF(Posts!$R$6:$R$805,"&lt;"&amp;((Settings!$C$5-WEEKDAY(Settings!$C$5,3))+18)*10000000)+2)/10000000)=((Settings!$C$5-WEEKDAY(Settings!$C$5,3))+18),MOD(SMALL(Posts!$R$6:$R$805,COUNTIF(Posts!$R$6:$R$805,"&lt;"&amp;((Settings!$C$5-WEEKDAY(Settings!$C$5,3))+18)*10000000)+2),1000),""),"")</f>
        <v/>
      </c>
      <c r="AB8">
        <f>IFERROR(IF(INT(SMALL(Posts!$R$6:$R$805,COUNTIF(Posts!$R$6:$R$805,"&lt;"&amp;((Settings!$C$5-WEEKDAY(Settings!$C$5,3))+18)*10000000)+3)/10000000)=((Settings!$C$5-WEEKDAY(Settings!$C$5,3))+18),MOD(SMALL(Posts!$R$6:$R$805,COUNTIF(Posts!$R$6:$R$805,"&lt;"&amp;((Settings!$C$5-WEEKDAY(Settings!$C$5,3))+18)*10000000)+3),1000),""),"")</f>
        <v/>
      </c>
      <c r="AC8">
        <f>COUNTIFS(Posts!$R$6:$R$805,"&gt;="&amp;((Settings!$C$5-WEEKDAY(Settings!$C$5,3))+18)*10000000,Posts!$R$6:$R$805,"&lt;"&amp;(((Settings!$C$5-WEEKDAY(Settings!$C$5,3))+18)+1)*10000000)</f>
        <v/>
      </c>
      <c r="AD8">
        <f>IFERROR(IF(INT(SMALL(Posts!$R$6:$R$805,COUNTIF(Posts!$R$6:$R$805,"&lt;"&amp;((Settings!$C$5-WEEKDAY(Settings!$C$5,3))+19)*10000000)+1)/10000000)=((Settings!$C$5-WEEKDAY(Settings!$C$5,3))+19),MOD(SMALL(Posts!$R$6:$R$805,COUNTIF(Posts!$R$6:$R$805,"&lt;"&amp;((Settings!$C$5-WEEKDAY(Settings!$C$5,3))+19)*10000000)+1),1000),""),"")</f>
        <v/>
      </c>
      <c r="AE8">
        <f>IFERROR(IF(INT(SMALL(Posts!$R$6:$R$805,COUNTIF(Posts!$R$6:$R$805,"&lt;"&amp;((Settings!$C$5-WEEKDAY(Settings!$C$5,3))+19)*10000000)+2)/10000000)=((Settings!$C$5-WEEKDAY(Settings!$C$5,3))+19),MOD(SMALL(Posts!$R$6:$R$805,COUNTIF(Posts!$R$6:$R$805,"&lt;"&amp;((Settings!$C$5-WEEKDAY(Settings!$C$5,3))+19)*10000000)+2),1000),""),"")</f>
        <v/>
      </c>
      <c r="AF8">
        <f>IFERROR(IF(INT(SMALL(Posts!$R$6:$R$805,COUNTIF(Posts!$R$6:$R$805,"&lt;"&amp;((Settings!$C$5-WEEKDAY(Settings!$C$5,3))+19)*10000000)+3)/10000000)=((Settings!$C$5-WEEKDAY(Settings!$C$5,3))+19),MOD(SMALL(Posts!$R$6:$R$805,COUNTIF(Posts!$R$6:$R$805,"&lt;"&amp;((Settings!$C$5-WEEKDAY(Settings!$C$5,3))+19)*10000000)+3),1000),""),"")</f>
        <v/>
      </c>
      <c r="AG8">
        <f>COUNTIFS(Posts!$R$6:$R$805,"&gt;="&amp;((Settings!$C$5-WEEKDAY(Settings!$C$5,3))+19)*10000000,Posts!$R$6:$R$805,"&lt;"&amp;(((Settings!$C$5-WEEKDAY(Settings!$C$5,3))+19)+1)*10000000)</f>
        <v/>
      </c>
      <c r="AH8">
        <f>IFERROR(IF(INT(SMALL(Posts!$R$6:$R$805,COUNTIF(Posts!$R$6:$R$805,"&lt;"&amp;((Settings!$C$5-WEEKDAY(Settings!$C$5,3))+20)*10000000)+1)/10000000)=((Settings!$C$5-WEEKDAY(Settings!$C$5,3))+20),MOD(SMALL(Posts!$R$6:$R$805,COUNTIF(Posts!$R$6:$R$805,"&lt;"&amp;((Settings!$C$5-WEEKDAY(Settings!$C$5,3))+20)*10000000)+1),1000),""),"")</f>
        <v/>
      </c>
      <c r="AI8">
        <f>IFERROR(IF(INT(SMALL(Posts!$R$6:$R$805,COUNTIF(Posts!$R$6:$R$805,"&lt;"&amp;((Settings!$C$5-WEEKDAY(Settings!$C$5,3))+20)*10000000)+2)/10000000)=((Settings!$C$5-WEEKDAY(Settings!$C$5,3))+20),MOD(SMALL(Posts!$R$6:$R$805,COUNTIF(Posts!$R$6:$R$805,"&lt;"&amp;((Settings!$C$5-WEEKDAY(Settings!$C$5,3))+20)*10000000)+2),1000),""),"")</f>
        <v/>
      </c>
      <c r="AJ8">
        <f>IFERROR(IF(INT(SMALL(Posts!$R$6:$R$805,COUNTIF(Posts!$R$6:$R$805,"&lt;"&amp;((Settings!$C$5-WEEKDAY(Settings!$C$5,3))+20)*10000000)+3)/10000000)=((Settings!$C$5-WEEKDAY(Settings!$C$5,3))+20),MOD(SMALL(Posts!$R$6:$R$805,COUNTIF(Posts!$R$6:$R$805,"&lt;"&amp;((Settings!$C$5-WEEKDAY(Settings!$C$5,3))+20)*10000000)+3),1000),""),"")</f>
        <v/>
      </c>
      <c r="AK8">
        <f>COUNTIFS(Posts!$R$6:$R$805,"&gt;="&amp;((Settings!$C$5-WEEKDAY(Settings!$C$5,3))+20)*10000000,Posts!$R$6:$R$805,"&lt;"&amp;(((Settings!$C$5-WEEKDAY(Settings!$C$5,3))+20)+1)*10000000)</f>
        <v/>
      </c>
    </row>
    <row r="9" ht="74" customHeight="1">
      <c r="A9" s="1" t="n"/>
      <c r="B9" s="20">
        <f>IF(MONTH(((Settings!$C$5-WEEKDAY(Settings!$C$5,3))+21))&lt;&gt;MONTH(Settings!$C$5),"",DAY(((Settings!$C$5-WEEKDAY(Settings!$C$5,3))+21))&amp;IF(J9="","",CHAR(10)&amp;IF(IFERROR(INDEX(Settings!$C$10:$C$17,MATCH(INDEX(Posts!$D$1:$D$805,J9),Settings!$B$10:$B$17,0)),"")="",INDEX(Posts!$D$1:$D$805,J9),IFERROR(INDEX(Settings!$C$10:$C$17,MATCH(INDEX(Posts!$D$1:$D$805,J9),Settings!$B$10:$B$17,0)),""))&amp;": "&amp;IF(INDEX(Posts!$G$1:$G$805,J9)="",INDEX(Posts!$E$1:$E$805,J9),INDEX(Posts!$G$1:$G$805,J9)))&amp;IF(K9="","",CHAR(10)&amp;IF(IFERROR(INDEX(Settings!$C$10:$C$17,MATCH(INDEX(Posts!$D$1:$D$805,K9),Settings!$B$10:$B$17,0)),"")="",INDEX(Posts!$D$1:$D$805,K9),IFERROR(INDEX(Settings!$C$10:$C$17,MATCH(INDEX(Posts!$D$1:$D$805,K9),Settings!$B$10:$B$17,0)),""))&amp;": "&amp;IF(INDEX(Posts!$G$1:$G$805,K9)="",INDEX(Posts!$E$1:$E$805,K9),INDEX(Posts!$G$1:$G$805,K9)))&amp;IF(L9="","",CHAR(10)&amp;IF(IFERROR(INDEX(Settings!$C$10:$C$17,MATCH(INDEX(Posts!$D$1:$D$805,L9),Settings!$B$10:$B$17,0)),"")="",INDEX(Posts!$D$1:$D$805,L9),IFERROR(INDEX(Settings!$C$10:$C$17,MATCH(INDEX(Posts!$D$1:$D$805,L9),Settings!$B$10:$B$17,0)),""))&amp;": "&amp;IF(INDEX(Posts!$G$1:$G$805,L9)="",INDEX(Posts!$E$1:$E$805,L9),INDEX(Posts!$G$1:$G$805,L9)))&amp;IF(M9&gt;3,CHAR(10)&amp;"and "&amp;(M9-3)&amp;" more",""))</f>
        <v/>
      </c>
      <c r="C9" s="20">
        <f>IF(MONTH(((Settings!$C$5-WEEKDAY(Settings!$C$5,3))+22))&lt;&gt;MONTH(Settings!$C$5),"",DAY(((Settings!$C$5-WEEKDAY(Settings!$C$5,3))+22))&amp;IF(N9="","",CHAR(10)&amp;IF(IFERROR(INDEX(Settings!$C$10:$C$17,MATCH(INDEX(Posts!$D$1:$D$805,N9),Settings!$B$10:$B$17,0)),"")="",INDEX(Posts!$D$1:$D$805,N9),IFERROR(INDEX(Settings!$C$10:$C$17,MATCH(INDEX(Posts!$D$1:$D$805,N9),Settings!$B$10:$B$17,0)),""))&amp;": "&amp;IF(INDEX(Posts!$G$1:$G$805,N9)="",INDEX(Posts!$E$1:$E$805,N9),INDEX(Posts!$G$1:$G$805,N9)))&amp;IF(O9="","",CHAR(10)&amp;IF(IFERROR(INDEX(Settings!$C$10:$C$17,MATCH(INDEX(Posts!$D$1:$D$805,O9),Settings!$B$10:$B$17,0)),"")="",INDEX(Posts!$D$1:$D$805,O9),IFERROR(INDEX(Settings!$C$10:$C$17,MATCH(INDEX(Posts!$D$1:$D$805,O9),Settings!$B$10:$B$17,0)),""))&amp;": "&amp;IF(INDEX(Posts!$G$1:$G$805,O9)="",INDEX(Posts!$E$1:$E$805,O9),INDEX(Posts!$G$1:$G$805,O9)))&amp;IF(P9="","",CHAR(10)&amp;IF(IFERROR(INDEX(Settings!$C$10:$C$17,MATCH(INDEX(Posts!$D$1:$D$805,P9),Settings!$B$10:$B$17,0)),"")="",INDEX(Posts!$D$1:$D$805,P9),IFERROR(INDEX(Settings!$C$10:$C$17,MATCH(INDEX(Posts!$D$1:$D$805,P9),Settings!$B$10:$B$17,0)),""))&amp;": "&amp;IF(INDEX(Posts!$G$1:$G$805,P9)="",INDEX(Posts!$E$1:$E$805,P9),INDEX(Posts!$G$1:$G$805,P9)))&amp;IF(Q9&gt;3,CHAR(10)&amp;"and "&amp;(Q9-3)&amp;" more",""))</f>
        <v/>
      </c>
      <c r="D9" s="20">
        <f>IF(MONTH(((Settings!$C$5-WEEKDAY(Settings!$C$5,3))+23))&lt;&gt;MONTH(Settings!$C$5),"",DAY(((Settings!$C$5-WEEKDAY(Settings!$C$5,3))+23))&amp;IF(R9="","",CHAR(10)&amp;IF(IFERROR(INDEX(Settings!$C$10:$C$17,MATCH(INDEX(Posts!$D$1:$D$805,R9),Settings!$B$10:$B$17,0)),"")="",INDEX(Posts!$D$1:$D$805,R9),IFERROR(INDEX(Settings!$C$10:$C$17,MATCH(INDEX(Posts!$D$1:$D$805,R9),Settings!$B$10:$B$17,0)),""))&amp;": "&amp;IF(INDEX(Posts!$G$1:$G$805,R9)="",INDEX(Posts!$E$1:$E$805,R9),INDEX(Posts!$G$1:$G$805,R9)))&amp;IF(S9="","",CHAR(10)&amp;IF(IFERROR(INDEX(Settings!$C$10:$C$17,MATCH(INDEX(Posts!$D$1:$D$805,S9),Settings!$B$10:$B$17,0)),"")="",INDEX(Posts!$D$1:$D$805,S9),IFERROR(INDEX(Settings!$C$10:$C$17,MATCH(INDEX(Posts!$D$1:$D$805,S9),Settings!$B$10:$B$17,0)),""))&amp;": "&amp;IF(INDEX(Posts!$G$1:$G$805,S9)="",INDEX(Posts!$E$1:$E$805,S9),INDEX(Posts!$G$1:$G$805,S9)))&amp;IF(T9="","",CHAR(10)&amp;IF(IFERROR(INDEX(Settings!$C$10:$C$17,MATCH(INDEX(Posts!$D$1:$D$805,T9),Settings!$B$10:$B$17,0)),"")="",INDEX(Posts!$D$1:$D$805,T9),IFERROR(INDEX(Settings!$C$10:$C$17,MATCH(INDEX(Posts!$D$1:$D$805,T9),Settings!$B$10:$B$17,0)),""))&amp;": "&amp;IF(INDEX(Posts!$G$1:$G$805,T9)="",INDEX(Posts!$E$1:$E$805,T9),INDEX(Posts!$G$1:$G$805,T9)))&amp;IF(U9&gt;3,CHAR(10)&amp;"and "&amp;(U9-3)&amp;" more",""))</f>
        <v/>
      </c>
      <c r="E9" s="20">
        <f>IF(MONTH(((Settings!$C$5-WEEKDAY(Settings!$C$5,3))+24))&lt;&gt;MONTH(Settings!$C$5),"",DAY(((Settings!$C$5-WEEKDAY(Settings!$C$5,3))+24))&amp;IF(V9="","",CHAR(10)&amp;IF(IFERROR(INDEX(Settings!$C$10:$C$17,MATCH(INDEX(Posts!$D$1:$D$805,V9),Settings!$B$10:$B$17,0)),"")="",INDEX(Posts!$D$1:$D$805,V9),IFERROR(INDEX(Settings!$C$10:$C$17,MATCH(INDEX(Posts!$D$1:$D$805,V9),Settings!$B$10:$B$17,0)),""))&amp;": "&amp;IF(INDEX(Posts!$G$1:$G$805,V9)="",INDEX(Posts!$E$1:$E$805,V9),INDEX(Posts!$G$1:$G$805,V9)))&amp;IF(W9="","",CHAR(10)&amp;IF(IFERROR(INDEX(Settings!$C$10:$C$17,MATCH(INDEX(Posts!$D$1:$D$805,W9),Settings!$B$10:$B$17,0)),"")="",INDEX(Posts!$D$1:$D$805,W9),IFERROR(INDEX(Settings!$C$10:$C$17,MATCH(INDEX(Posts!$D$1:$D$805,W9),Settings!$B$10:$B$17,0)),""))&amp;": "&amp;IF(INDEX(Posts!$G$1:$G$805,W9)="",INDEX(Posts!$E$1:$E$805,W9),INDEX(Posts!$G$1:$G$805,W9)))&amp;IF(X9="","",CHAR(10)&amp;IF(IFERROR(INDEX(Settings!$C$10:$C$17,MATCH(INDEX(Posts!$D$1:$D$805,X9),Settings!$B$10:$B$17,0)),"")="",INDEX(Posts!$D$1:$D$805,X9),IFERROR(INDEX(Settings!$C$10:$C$17,MATCH(INDEX(Posts!$D$1:$D$805,X9),Settings!$B$10:$B$17,0)),""))&amp;": "&amp;IF(INDEX(Posts!$G$1:$G$805,X9)="",INDEX(Posts!$E$1:$E$805,X9),INDEX(Posts!$G$1:$G$805,X9)))&amp;IF(Y9&gt;3,CHAR(10)&amp;"and "&amp;(Y9-3)&amp;" more",""))</f>
        <v/>
      </c>
      <c r="F9" s="20">
        <f>IF(MONTH(((Settings!$C$5-WEEKDAY(Settings!$C$5,3))+25))&lt;&gt;MONTH(Settings!$C$5),"",DAY(((Settings!$C$5-WEEKDAY(Settings!$C$5,3))+25))&amp;IF(Z9="","",CHAR(10)&amp;IF(IFERROR(INDEX(Settings!$C$10:$C$17,MATCH(INDEX(Posts!$D$1:$D$805,Z9),Settings!$B$10:$B$17,0)),"")="",INDEX(Posts!$D$1:$D$805,Z9),IFERROR(INDEX(Settings!$C$10:$C$17,MATCH(INDEX(Posts!$D$1:$D$805,Z9),Settings!$B$10:$B$17,0)),""))&amp;": "&amp;IF(INDEX(Posts!$G$1:$G$805,Z9)="",INDEX(Posts!$E$1:$E$805,Z9),INDEX(Posts!$G$1:$G$805,Z9)))&amp;IF(AA9="","",CHAR(10)&amp;IF(IFERROR(INDEX(Settings!$C$10:$C$17,MATCH(INDEX(Posts!$D$1:$D$805,AA9),Settings!$B$10:$B$17,0)),"")="",INDEX(Posts!$D$1:$D$805,AA9),IFERROR(INDEX(Settings!$C$10:$C$17,MATCH(INDEX(Posts!$D$1:$D$805,AA9),Settings!$B$10:$B$17,0)),""))&amp;": "&amp;IF(INDEX(Posts!$G$1:$G$805,AA9)="",INDEX(Posts!$E$1:$E$805,AA9),INDEX(Posts!$G$1:$G$805,AA9)))&amp;IF(AB9="","",CHAR(10)&amp;IF(IFERROR(INDEX(Settings!$C$10:$C$17,MATCH(INDEX(Posts!$D$1:$D$805,AB9),Settings!$B$10:$B$17,0)),"")="",INDEX(Posts!$D$1:$D$805,AB9),IFERROR(INDEX(Settings!$C$10:$C$17,MATCH(INDEX(Posts!$D$1:$D$805,AB9),Settings!$B$10:$B$17,0)),""))&amp;": "&amp;IF(INDEX(Posts!$G$1:$G$805,AB9)="",INDEX(Posts!$E$1:$E$805,AB9),INDEX(Posts!$G$1:$G$805,AB9)))&amp;IF(AC9&gt;3,CHAR(10)&amp;"and "&amp;(AC9-3)&amp;" more",""))</f>
        <v/>
      </c>
      <c r="G9" s="20">
        <f>IF(MONTH(((Settings!$C$5-WEEKDAY(Settings!$C$5,3))+26))&lt;&gt;MONTH(Settings!$C$5),"",DAY(((Settings!$C$5-WEEKDAY(Settings!$C$5,3))+26))&amp;IF(AD9="","",CHAR(10)&amp;IF(IFERROR(INDEX(Settings!$C$10:$C$17,MATCH(INDEX(Posts!$D$1:$D$805,AD9),Settings!$B$10:$B$17,0)),"")="",INDEX(Posts!$D$1:$D$805,AD9),IFERROR(INDEX(Settings!$C$10:$C$17,MATCH(INDEX(Posts!$D$1:$D$805,AD9),Settings!$B$10:$B$17,0)),""))&amp;": "&amp;IF(INDEX(Posts!$G$1:$G$805,AD9)="",INDEX(Posts!$E$1:$E$805,AD9),INDEX(Posts!$G$1:$G$805,AD9)))&amp;IF(AE9="","",CHAR(10)&amp;IF(IFERROR(INDEX(Settings!$C$10:$C$17,MATCH(INDEX(Posts!$D$1:$D$805,AE9),Settings!$B$10:$B$17,0)),"")="",INDEX(Posts!$D$1:$D$805,AE9),IFERROR(INDEX(Settings!$C$10:$C$17,MATCH(INDEX(Posts!$D$1:$D$805,AE9),Settings!$B$10:$B$17,0)),""))&amp;": "&amp;IF(INDEX(Posts!$G$1:$G$805,AE9)="",INDEX(Posts!$E$1:$E$805,AE9),INDEX(Posts!$G$1:$G$805,AE9)))&amp;IF(AF9="","",CHAR(10)&amp;IF(IFERROR(INDEX(Settings!$C$10:$C$17,MATCH(INDEX(Posts!$D$1:$D$805,AF9),Settings!$B$10:$B$17,0)),"")="",INDEX(Posts!$D$1:$D$805,AF9),IFERROR(INDEX(Settings!$C$10:$C$17,MATCH(INDEX(Posts!$D$1:$D$805,AF9),Settings!$B$10:$B$17,0)),""))&amp;": "&amp;IF(INDEX(Posts!$G$1:$G$805,AF9)="",INDEX(Posts!$E$1:$E$805,AF9),INDEX(Posts!$G$1:$G$805,AF9)))&amp;IF(AG9&gt;3,CHAR(10)&amp;"and "&amp;(AG9-3)&amp;" more",""))</f>
        <v/>
      </c>
      <c r="H9" s="20">
        <f>IF(MONTH(((Settings!$C$5-WEEKDAY(Settings!$C$5,3))+27))&lt;&gt;MONTH(Settings!$C$5),"",DAY(((Settings!$C$5-WEEKDAY(Settings!$C$5,3))+27))&amp;IF(AH9="","",CHAR(10)&amp;IF(IFERROR(INDEX(Settings!$C$10:$C$17,MATCH(INDEX(Posts!$D$1:$D$805,AH9),Settings!$B$10:$B$17,0)),"")="",INDEX(Posts!$D$1:$D$805,AH9),IFERROR(INDEX(Settings!$C$10:$C$17,MATCH(INDEX(Posts!$D$1:$D$805,AH9),Settings!$B$10:$B$17,0)),""))&amp;": "&amp;IF(INDEX(Posts!$G$1:$G$805,AH9)="",INDEX(Posts!$E$1:$E$805,AH9),INDEX(Posts!$G$1:$G$805,AH9)))&amp;IF(AI9="","",CHAR(10)&amp;IF(IFERROR(INDEX(Settings!$C$10:$C$17,MATCH(INDEX(Posts!$D$1:$D$805,AI9),Settings!$B$10:$B$17,0)),"")="",INDEX(Posts!$D$1:$D$805,AI9),IFERROR(INDEX(Settings!$C$10:$C$17,MATCH(INDEX(Posts!$D$1:$D$805,AI9),Settings!$B$10:$B$17,0)),""))&amp;": "&amp;IF(INDEX(Posts!$G$1:$G$805,AI9)="",INDEX(Posts!$E$1:$E$805,AI9),INDEX(Posts!$G$1:$G$805,AI9)))&amp;IF(AJ9="","",CHAR(10)&amp;IF(IFERROR(INDEX(Settings!$C$10:$C$17,MATCH(INDEX(Posts!$D$1:$D$805,AJ9),Settings!$B$10:$B$17,0)),"")="",INDEX(Posts!$D$1:$D$805,AJ9),IFERROR(INDEX(Settings!$C$10:$C$17,MATCH(INDEX(Posts!$D$1:$D$805,AJ9),Settings!$B$10:$B$17,0)),""))&amp;": "&amp;IF(INDEX(Posts!$G$1:$G$805,AJ9)="",INDEX(Posts!$E$1:$E$805,AJ9),INDEX(Posts!$G$1:$G$805,AJ9)))&amp;IF(AK9&gt;3,CHAR(10)&amp;"and "&amp;(AK9-3)&amp;" more",""))</f>
        <v/>
      </c>
      <c r="I9" s="1" t="n"/>
      <c r="J9">
        <f>IFERROR(IF(INT(SMALL(Posts!$R$6:$R$805,COUNTIF(Posts!$R$6:$R$805,"&lt;"&amp;((Settings!$C$5-WEEKDAY(Settings!$C$5,3))+21)*10000000)+1)/10000000)=((Settings!$C$5-WEEKDAY(Settings!$C$5,3))+21),MOD(SMALL(Posts!$R$6:$R$805,COUNTIF(Posts!$R$6:$R$805,"&lt;"&amp;((Settings!$C$5-WEEKDAY(Settings!$C$5,3))+21)*10000000)+1),1000),""),"")</f>
        <v/>
      </c>
      <c r="K9">
        <f>IFERROR(IF(INT(SMALL(Posts!$R$6:$R$805,COUNTIF(Posts!$R$6:$R$805,"&lt;"&amp;((Settings!$C$5-WEEKDAY(Settings!$C$5,3))+21)*10000000)+2)/10000000)=((Settings!$C$5-WEEKDAY(Settings!$C$5,3))+21),MOD(SMALL(Posts!$R$6:$R$805,COUNTIF(Posts!$R$6:$R$805,"&lt;"&amp;((Settings!$C$5-WEEKDAY(Settings!$C$5,3))+21)*10000000)+2),1000),""),"")</f>
        <v/>
      </c>
      <c r="L9">
        <f>IFERROR(IF(INT(SMALL(Posts!$R$6:$R$805,COUNTIF(Posts!$R$6:$R$805,"&lt;"&amp;((Settings!$C$5-WEEKDAY(Settings!$C$5,3))+21)*10000000)+3)/10000000)=((Settings!$C$5-WEEKDAY(Settings!$C$5,3))+21),MOD(SMALL(Posts!$R$6:$R$805,COUNTIF(Posts!$R$6:$R$805,"&lt;"&amp;((Settings!$C$5-WEEKDAY(Settings!$C$5,3))+21)*10000000)+3),1000),""),"")</f>
        <v/>
      </c>
      <c r="M9">
        <f>COUNTIFS(Posts!$R$6:$R$805,"&gt;="&amp;((Settings!$C$5-WEEKDAY(Settings!$C$5,3))+21)*10000000,Posts!$R$6:$R$805,"&lt;"&amp;(((Settings!$C$5-WEEKDAY(Settings!$C$5,3))+21)+1)*10000000)</f>
        <v/>
      </c>
      <c r="N9">
        <f>IFERROR(IF(INT(SMALL(Posts!$R$6:$R$805,COUNTIF(Posts!$R$6:$R$805,"&lt;"&amp;((Settings!$C$5-WEEKDAY(Settings!$C$5,3))+22)*10000000)+1)/10000000)=((Settings!$C$5-WEEKDAY(Settings!$C$5,3))+22),MOD(SMALL(Posts!$R$6:$R$805,COUNTIF(Posts!$R$6:$R$805,"&lt;"&amp;((Settings!$C$5-WEEKDAY(Settings!$C$5,3))+22)*10000000)+1),1000),""),"")</f>
        <v/>
      </c>
      <c r="O9">
        <f>IFERROR(IF(INT(SMALL(Posts!$R$6:$R$805,COUNTIF(Posts!$R$6:$R$805,"&lt;"&amp;((Settings!$C$5-WEEKDAY(Settings!$C$5,3))+22)*10000000)+2)/10000000)=((Settings!$C$5-WEEKDAY(Settings!$C$5,3))+22),MOD(SMALL(Posts!$R$6:$R$805,COUNTIF(Posts!$R$6:$R$805,"&lt;"&amp;((Settings!$C$5-WEEKDAY(Settings!$C$5,3))+22)*10000000)+2),1000),""),"")</f>
        <v/>
      </c>
      <c r="P9">
        <f>IFERROR(IF(INT(SMALL(Posts!$R$6:$R$805,COUNTIF(Posts!$R$6:$R$805,"&lt;"&amp;((Settings!$C$5-WEEKDAY(Settings!$C$5,3))+22)*10000000)+3)/10000000)=((Settings!$C$5-WEEKDAY(Settings!$C$5,3))+22),MOD(SMALL(Posts!$R$6:$R$805,COUNTIF(Posts!$R$6:$R$805,"&lt;"&amp;((Settings!$C$5-WEEKDAY(Settings!$C$5,3))+22)*10000000)+3),1000),""),"")</f>
        <v/>
      </c>
      <c r="Q9">
        <f>COUNTIFS(Posts!$R$6:$R$805,"&gt;="&amp;((Settings!$C$5-WEEKDAY(Settings!$C$5,3))+22)*10000000,Posts!$R$6:$R$805,"&lt;"&amp;(((Settings!$C$5-WEEKDAY(Settings!$C$5,3))+22)+1)*10000000)</f>
        <v/>
      </c>
      <c r="R9">
        <f>IFERROR(IF(INT(SMALL(Posts!$R$6:$R$805,COUNTIF(Posts!$R$6:$R$805,"&lt;"&amp;((Settings!$C$5-WEEKDAY(Settings!$C$5,3))+23)*10000000)+1)/10000000)=((Settings!$C$5-WEEKDAY(Settings!$C$5,3))+23),MOD(SMALL(Posts!$R$6:$R$805,COUNTIF(Posts!$R$6:$R$805,"&lt;"&amp;((Settings!$C$5-WEEKDAY(Settings!$C$5,3))+23)*10000000)+1),1000),""),"")</f>
        <v/>
      </c>
      <c r="S9">
        <f>IFERROR(IF(INT(SMALL(Posts!$R$6:$R$805,COUNTIF(Posts!$R$6:$R$805,"&lt;"&amp;((Settings!$C$5-WEEKDAY(Settings!$C$5,3))+23)*10000000)+2)/10000000)=((Settings!$C$5-WEEKDAY(Settings!$C$5,3))+23),MOD(SMALL(Posts!$R$6:$R$805,COUNTIF(Posts!$R$6:$R$805,"&lt;"&amp;((Settings!$C$5-WEEKDAY(Settings!$C$5,3))+23)*10000000)+2),1000),""),"")</f>
        <v/>
      </c>
      <c r="T9">
        <f>IFERROR(IF(INT(SMALL(Posts!$R$6:$R$805,COUNTIF(Posts!$R$6:$R$805,"&lt;"&amp;((Settings!$C$5-WEEKDAY(Settings!$C$5,3))+23)*10000000)+3)/10000000)=((Settings!$C$5-WEEKDAY(Settings!$C$5,3))+23),MOD(SMALL(Posts!$R$6:$R$805,COUNTIF(Posts!$R$6:$R$805,"&lt;"&amp;((Settings!$C$5-WEEKDAY(Settings!$C$5,3))+23)*10000000)+3),1000),""),"")</f>
        <v/>
      </c>
      <c r="U9">
        <f>COUNTIFS(Posts!$R$6:$R$805,"&gt;="&amp;((Settings!$C$5-WEEKDAY(Settings!$C$5,3))+23)*10000000,Posts!$R$6:$R$805,"&lt;"&amp;(((Settings!$C$5-WEEKDAY(Settings!$C$5,3))+23)+1)*10000000)</f>
        <v/>
      </c>
      <c r="V9">
        <f>IFERROR(IF(INT(SMALL(Posts!$R$6:$R$805,COUNTIF(Posts!$R$6:$R$805,"&lt;"&amp;((Settings!$C$5-WEEKDAY(Settings!$C$5,3))+24)*10000000)+1)/10000000)=((Settings!$C$5-WEEKDAY(Settings!$C$5,3))+24),MOD(SMALL(Posts!$R$6:$R$805,COUNTIF(Posts!$R$6:$R$805,"&lt;"&amp;((Settings!$C$5-WEEKDAY(Settings!$C$5,3))+24)*10000000)+1),1000),""),"")</f>
        <v/>
      </c>
      <c r="W9">
        <f>IFERROR(IF(INT(SMALL(Posts!$R$6:$R$805,COUNTIF(Posts!$R$6:$R$805,"&lt;"&amp;((Settings!$C$5-WEEKDAY(Settings!$C$5,3))+24)*10000000)+2)/10000000)=((Settings!$C$5-WEEKDAY(Settings!$C$5,3))+24),MOD(SMALL(Posts!$R$6:$R$805,COUNTIF(Posts!$R$6:$R$805,"&lt;"&amp;((Settings!$C$5-WEEKDAY(Settings!$C$5,3))+24)*10000000)+2),1000),""),"")</f>
        <v/>
      </c>
      <c r="X9">
        <f>IFERROR(IF(INT(SMALL(Posts!$R$6:$R$805,COUNTIF(Posts!$R$6:$R$805,"&lt;"&amp;((Settings!$C$5-WEEKDAY(Settings!$C$5,3))+24)*10000000)+3)/10000000)=((Settings!$C$5-WEEKDAY(Settings!$C$5,3))+24),MOD(SMALL(Posts!$R$6:$R$805,COUNTIF(Posts!$R$6:$R$805,"&lt;"&amp;((Settings!$C$5-WEEKDAY(Settings!$C$5,3))+24)*10000000)+3),1000),""),"")</f>
        <v/>
      </c>
      <c r="Y9">
        <f>COUNTIFS(Posts!$R$6:$R$805,"&gt;="&amp;((Settings!$C$5-WEEKDAY(Settings!$C$5,3))+24)*10000000,Posts!$R$6:$R$805,"&lt;"&amp;(((Settings!$C$5-WEEKDAY(Settings!$C$5,3))+24)+1)*10000000)</f>
        <v/>
      </c>
      <c r="Z9">
        <f>IFERROR(IF(INT(SMALL(Posts!$R$6:$R$805,COUNTIF(Posts!$R$6:$R$805,"&lt;"&amp;((Settings!$C$5-WEEKDAY(Settings!$C$5,3))+25)*10000000)+1)/10000000)=((Settings!$C$5-WEEKDAY(Settings!$C$5,3))+25),MOD(SMALL(Posts!$R$6:$R$805,COUNTIF(Posts!$R$6:$R$805,"&lt;"&amp;((Settings!$C$5-WEEKDAY(Settings!$C$5,3))+25)*10000000)+1),1000),""),"")</f>
        <v/>
      </c>
      <c r="AA9">
        <f>IFERROR(IF(INT(SMALL(Posts!$R$6:$R$805,COUNTIF(Posts!$R$6:$R$805,"&lt;"&amp;((Settings!$C$5-WEEKDAY(Settings!$C$5,3))+25)*10000000)+2)/10000000)=((Settings!$C$5-WEEKDAY(Settings!$C$5,3))+25),MOD(SMALL(Posts!$R$6:$R$805,COUNTIF(Posts!$R$6:$R$805,"&lt;"&amp;((Settings!$C$5-WEEKDAY(Settings!$C$5,3))+25)*10000000)+2),1000),""),"")</f>
        <v/>
      </c>
      <c r="AB9">
        <f>IFERROR(IF(INT(SMALL(Posts!$R$6:$R$805,COUNTIF(Posts!$R$6:$R$805,"&lt;"&amp;((Settings!$C$5-WEEKDAY(Settings!$C$5,3))+25)*10000000)+3)/10000000)=((Settings!$C$5-WEEKDAY(Settings!$C$5,3))+25),MOD(SMALL(Posts!$R$6:$R$805,COUNTIF(Posts!$R$6:$R$805,"&lt;"&amp;((Settings!$C$5-WEEKDAY(Settings!$C$5,3))+25)*10000000)+3),1000),""),"")</f>
        <v/>
      </c>
      <c r="AC9">
        <f>COUNTIFS(Posts!$R$6:$R$805,"&gt;="&amp;((Settings!$C$5-WEEKDAY(Settings!$C$5,3))+25)*10000000,Posts!$R$6:$R$805,"&lt;"&amp;(((Settings!$C$5-WEEKDAY(Settings!$C$5,3))+25)+1)*10000000)</f>
        <v/>
      </c>
      <c r="AD9">
        <f>IFERROR(IF(INT(SMALL(Posts!$R$6:$R$805,COUNTIF(Posts!$R$6:$R$805,"&lt;"&amp;((Settings!$C$5-WEEKDAY(Settings!$C$5,3))+26)*10000000)+1)/10000000)=((Settings!$C$5-WEEKDAY(Settings!$C$5,3))+26),MOD(SMALL(Posts!$R$6:$R$805,COUNTIF(Posts!$R$6:$R$805,"&lt;"&amp;((Settings!$C$5-WEEKDAY(Settings!$C$5,3))+26)*10000000)+1),1000),""),"")</f>
        <v/>
      </c>
      <c r="AE9">
        <f>IFERROR(IF(INT(SMALL(Posts!$R$6:$R$805,COUNTIF(Posts!$R$6:$R$805,"&lt;"&amp;((Settings!$C$5-WEEKDAY(Settings!$C$5,3))+26)*10000000)+2)/10000000)=((Settings!$C$5-WEEKDAY(Settings!$C$5,3))+26),MOD(SMALL(Posts!$R$6:$R$805,COUNTIF(Posts!$R$6:$R$805,"&lt;"&amp;((Settings!$C$5-WEEKDAY(Settings!$C$5,3))+26)*10000000)+2),1000),""),"")</f>
        <v/>
      </c>
      <c r="AF9">
        <f>IFERROR(IF(INT(SMALL(Posts!$R$6:$R$805,COUNTIF(Posts!$R$6:$R$805,"&lt;"&amp;((Settings!$C$5-WEEKDAY(Settings!$C$5,3))+26)*10000000)+3)/10000000)=((Settings!$C$5-WEEKDAY(Settings!$C$5,3))+26),MOD(SMALL(Posts!$R$6:$R$805,COUNTIF(Posts!$R$6:$R$805,"&lt;"&amp;((Settings!$C$5-WEEKDAY(Settings!$C$5,3))+26)*10000000)+3),1000),""),"")</f>
        <v/>
      </c>
      <c r="AG9">
        <f>COUNTIFS(Posts!$R$6:$R$805,"&gt;="&amp;((Settings!$C$5-WEEKDAY(Settings!$C$5,3))+26)*10000000,Posts!$R$6:$R$805,"&lt;"&amp;(((Settings!$C$5-WEEKDAY(Settings!$C$5,3))+26)+1)*10000000)</f>
        <v/>
      </c>
      <c r="AH9">
        <f>IFERROR(IF(INT(SMALL(Posts!$R$6:$R$805,COUNTIF(Posts!$R$6:$R$805,"&lt;"&amp;((Settings!$C$5-WEEKDAY(Settings!$C$5,3))+27)*10000000)+1)/10000000)=((Settings!$C$5-WEEKDAY(Settings!$C$5,3))+27),MOD(SMALL(Posts!$R$6:$R$805,COUNTIF(Posts!$R$6:$R$805,"&lt;"&amp;((Settings!$C$5-WEEKDAY(Settings!$C$5,3))+27)*10000000)+1),1000),""),"")</f>
        <v/>
      </c>
      <c r="AI9">
        <f>IFERROR(IF(INT(SMALL(Posts!$R$6:$R$805,COUNTIF(Posts!$R$6:$R$805,"&lt;"&amp;((Settings!$C$5-WEEKDAY(Settings!$C$5,3))+27)*10000000)+2)/10000000)=((Settings!$C$5-WEEKDAY(Settings!$C$5,3))+27),MOD(SMALL(Posts!$R$6:$R$805,COUNTIF(Posts!$R$6:$R$805,"&lt;"&amp;((Settings!$C$5-WEEKDAY(Settings!$C$5,3))+27)*10000000)+2),1000),""),"")</f>
        <v/>
      </c>
      <c r="AJ9">
        <f>IFERROR(IF(INT(SMALL(Posts!$R$6:$R$805,COUNTIF(Posts!$R$6:$R$805,"&lt;"&amp;((Settings!$C$5-WEEKDAY(Settings!$C$5,3))+27)*10000000)+3)/10000000)=((Settings!$C$5-WEEKDAY(Settings!$C$5,3))+27),MOD(SMALL(Posts!$R$6:$R$805,COUNTIF(Posts!$R$6:$R$805,"&lt;"&amp;((Settings!$C$5-WEEKDAY(Settings!$C$5,3))+27)*10000000)+3),1000),""),"")</f>
        <v/>
      </c>
      <c r="AK9">
        <f>COUNTIFS(Posts!$R$6:$R$805,"&gt;="&amp;((Settings!$C$5-WEEKDAY(Settings!$C$5,3))+27)*10000000,Posts!$R$6:$R$805,"&lt;"&amp;(((Settings!$C$5-WEEKDAY(Settings!$C$5,3))+27)+1)*10000000)</f>
        <v/>
      </c>
    </row>
    <row r="10" ht="74" customHeight="1">
      <c r="A10" s="1" t="n"/>
      <c r="B10" s="20">
        <f>IF(MONTH(((Settings!$C$5-WEEKDAY(Settings!$C$5,3))+28))&lt;&gt;MONTH(Settings!$C$5),"",DAY(((Settings!$C$5-WEEKDAY(Settings!$C$5,3))+28))&amp;IF(J10="","",CHAR(10)&amp;IF(IFERROR(INDEX(Settings!$C$10:$C$17,MATCH(INDEX(Posts!$D$1:$D$805,J10),Settings!$B$10:$B$17,0)),"")="",INDEX(Posts!$D$1:$D$805,J10),IFERROR(INDEX(Settings!$C$10:$C$17,MATCH(INDEX(Posts!$D$1:$D$805,J10),Settings!$B$10:$B$17,0)),""))&amp;": "&amp;IF(INDEX(Posts!$G$1:$G$805,J10)="",INDEX(Posts!$E$1:$E$805,J10),INDEX(Posts!$G$1:$G$805,J10)))&amp;IF(K10="","",CHAR(10)&amp;IF(IFERROR(INDEX(Settings!$C$10:$C$17,MATCH(INDEX(Posts!$D$1:$D$805,K10),Settings!$B$10:$B$17,0)),"")="",INDEX(Posts!$D$1:$D$805,K10),IFERROR(INDEX(Settings!$C$10:$C$17,MATCH(INDEX(Posts!$D$1:$D$805,K10),Settings!$B$10:$B$17,0)),""))&amp;": "&amp;IF(INDEX(Posts!$G$1:$G$805,K10)="",INDEX(Posts!$E$1:$E$805,K10),INDEX(Posts!$G$1:$G$805,K10)))&amp;IF(L10="","",CHAR(10)&amp;IF(IFERROR(INDEX(Settings!$C$10:$C$17,MATCH(INDEX(Posts!$D$1:$D$805,L10),Settings!$B$10:$B$17,0)),"")="",INDEX(Posts!$D$1:$D$805,L10),IFERROR(INDEX(Settings!$C$10:$C$17,MATCH(INDEX(Posts!$D$1:$D$805,L10),Settings!$B$10:$B$17,0)),""))&amp;": "&amp;IF(INDEX(Posts!$G$1:$G$805,L10)="",INDEX(Posts!$E$1:$E$805,L10),INDEX(Posts!$G$1:$G$805,L10)))&amp;IF(M10&gt;3,CHAR(10)&amp;"and "&amp;(M10-3)&amp;" more",""))</f>
        <v/>
      </c>
      <c r="C10" s="20">
        <f>IF(MONTH(((Settings!$C$5-WEEKDAY(Settings!$C$5,3))+29))&lt;&gt;MONTH(Settings!$C$5),"",DAY(((Settings!$C$5-WEEKDAY(Settings!$C$5,3))+29))&amp;IF(N10="","",CHAR(10)&amp;IF(IFERROR(INDEX(Settings!$C$10:$C$17,MATCH(INDEX(Posts!$D$1:$D$805,N10),Settings!$B$10:$B$17,0)),"")="",INDEX(Posts!$D$1:$D$805,N10),IFERROR(INDEX(Settings!$C$10:$C$17,MATCH(INDEX(Posts!$D$1:$D$805,N10),Settings!$B$10:$B$17,0)),""))&amp;": "&amp;IF(INDEX(Posts!$G$1:$G$805,N10)="",INDEX(Posts!$E$1:$E$805,N10),INDEX(Posts!$G$1:$G$805,N10)))&amp;IF(O10="","",CHAR(10)&amp;IF(IFERROR(INDEX(Settings!$C$10:$C$17,MATCH(INDEX(Posts!$D$1:$D$805,O10),Settings!$B$10:$B$17,0)),"")="",INDEX(Posts!$D$1:$D$805,O10),IFERROR(INDEX(Settings!$C$10:$C$17,MATCH(INDEX(Posts!$D$1:$D$805,O10),Settings!$B$10:$B$17,0)),""))&amp;": "&amp;IF(INDEX(Posts!$G$1:$G$805,O10)="",INDEX(Posts!$E$1:$E$805,O10),INDEX(Posts!$G$1:$G$805,O10)))&amp;IF(P10="","",CHAR(10)&amp;IF(IFERROR(INDEX(Settings!$C$10:$C$17,MATCH(INDEX(Posts!$D$1:$D$805,P10),Settings!$B$10:$B$17,0)),"")="",INDEX(Posts!$D$1:$D$805,P10),IFERROR(INDEX(Settings!$C$10:$C$17,MATCH(INDEX(Posts!$D$1:$D$805,P10),Settings!$B$10:$B$17,0)),""))&amp;": "&amp;IF(INDEX(Posts!$G$1:$G$805,P10)="",INDEX(Posts!$E$1:$E$805,P10),INDEX(Posts!$G$1:$G$805,P10)))&amp;IF(Q10&gt;3,CHAR(10)&amp;"and "&amp;(Q10-3)&amp;" more",""))</f>
        <v/>
      </c>
      <c r="D10" s="20">
        <f>IF(MONTH(((Settings!$C$5-WEEKDAY(Settings!$C$5,3))+30))&lt;&gt;MONTH(Settings!$C$5),"",DAY(((Settings!$C$5-WEEKDAY(Settings!$C$5,3))+30))&amp;IF(R10="","",CHAR(10)&amp;IF(IFERROR(INDEX(Settings!$C$10:$C$17,MATCH(INDEX(Posts!$D$1:$D$805,R10),Settings!$B$10:$B$17,0)),"")="",INDEX(Posts!$D$1:$D$805,R10),IFERROR(INDEX(Settings!$C$10:$C$17,MATCH(INDEX(Posts!$D$1:$D$805,R10),Settings!$B$10:$B$17,0)),""))&amp;": "&amp;IF(INDEX(Posts!$G$1:$G$805,R10)="",INDEX(Posts!$E$1:$E$805,R10),INDEX(Posts!$G$1:$G$805,R10)))&amp;IF(S10="","",CHAR(10)&amp;IF(IFERROR(INDEX(Settings!$C$10:$C$17,MATCH(INDEX(Posts!$D$1:$D$805,S10),Settings!$B$10:$B$17,0)),"")="",INDEX(Posts!$D$1:$D$805,S10),IFERROR(INDEX(Settings!$C$10:$C$17,MATCH(INDEX(Posts!$D$1:$D$805,S10),Settings!$B$10:$B$17,0)),""))&amp;": "&amp;IF(INDEX(Posts!$G$1:$G$805,S10)="",INDEX(Posts!$E$1:$E$805,S10),INDEX(Posts!$G$1:$G$805,S10)))&amp;IF(T10="","",CHAR(10)&amp;IF(IFERROR(INDEX(Settings!$C$10:$C$17,MATCH(INDEX(Posts!$D$1:$D$805,T10),Settings!$B$10:$B$17,0)),"")="",INDEX(Posts!$D$1:$D$805,T10),IFERROR(INDEX(Settings!$C$10:$C$17,MATCH(INDEX(Posts!$D$1:$D$805,T10),Settings!$B$10:$B$17,0)),""))&amp;": "&amp;IF(INDEX(Posts!$G$1:$G$805,T10)="",INDEX(Posts!$E$1:$E$805,T10),INDEX(Posts!$G$1:$G$805,T10)))&amp;IF(U10&gt;3,CHAR(10)&amp;"and "&amp;(U10-3)&amp;" more",""))</f>
        <v/>
      </c>
      <c r="E10" s="20">
        <f>IF(MONTH(((Settings!$C$5-WEEKDAY(Settings!$C$5,3))+31))&lt;&gt;MONTH(Settings!$C$5),"",DAY(((Settings!$C$5-WEEKDAY(Settings!$C$5,3))+31))&amp;IF(V10="","",CHAR(10)&amp;IF(IFERROR(INDEX(Settings!$C$10:$C$17,MATCH(INDEX(Posts!$D$1:$D$805,V10),Settings!$B$10:$B$17,0)),"")="",INDEX(Posts!$D$1:$D$805,V10),IFERROR(INDEX(Settings!$C$10:$C$17,MATCH(INDEX(Posts!$D$1:$D$805,V10),Settings!$B$10:$B$17,0)),""))&amp;": "&amp;IF(INDEX(Posts!$G$1:$G$805,V10)="",INDEX(Posts!$E$1:$E$805,V10),INDEX(Posts!$G$1:$G$805,V10)))&amp;IF(W10="","",CHAR(10)&amp;IF(IFERROR(INDEX(Settings!$C$10:$C$17,MATCH(INDEX(Posts!$D$1:$D$805,W10),Settings!$B$10:$B$17,0)),"")="",INDEX(Posts!$D$1:$D$805,W10),IFERROR(INDEX(Settings!$C$10:$C$17,MATCH(INDEX(Posts!$D$1:$D$805,W10),Settings!$B$10:$B$17,0)),""))&amp;": "&amp;IF(INDEX(Posts!$G$1:$G$805,W10)="",INDEX(Posts!$E$1:$E$805,W10),INDEX(Posts!$G$1:$G$805,W10)))&amp;IF(X10="","",CHAR(10)&amp;IF(IFERROR(INDEX(Settings!$C$10:$C$17,MATCH(INDEX(Posts!$D$1:$D$805,X10),Settings!$B$10:$B$17,0)),"")="",INDEX(Posts!$D$1:$D$805,X10),IFERROR(INDEX(Settings!$C$10:$C$17,MATCH(INDEX(Posts!$D$1:$D$805,X10),Settings!$B$10:$B$17,0)),""))&amp;": "&amp;IF(INDEX(Posts!$G$1:$G$805,X10)="",INDEX(Posts!$E$1:$E$805,X10),INDEX(Posts!$G$1:$G$805,X10)))&amp;IF(Y10&gt;3,CHAR(10)&amp;"and "&amp;(Y10-3)&amp;" more",""))</f>
        <v/>
      </c>
      <c r="F10" s="20">
        <f>IF(MONTH(((Settings!$C$5-WEEKDAY(Settings!$C$5,3))+32))&lt;&gt;MONTH(Settings!$C$5),"",DAY(((Settings!$C$5-WEEKDAY(Settings!$C$5,3))+32))&amp;IF(Z10="","",CHAR(10)&amp;IF(IFERROR(INDEX(Settings!$C$10:$C$17,MATCH(INDEX(Posts!$D$1:$D$805,Z10),Settings!$B$10:$B$17,0)),"")="",INDEX(Posts!$D$1:$D$805,Z10),IFERROR(INDEX(Settings!$C$10:$C$17,MATCH(INDEX(Posts!$D$1:$D$805,Z10),Settings!$B$10:$B$17,0)),""))&amp;": "&amp;IF(INDEX(Posts!$G$1:$G$805,Z10)="",INDEX(Posts!$E$1:$E$805,Z10),INDEX(Posts!$G$1:$G$805,Z10)))&amp;IF(AA10="","",CHAR(10)&amp;IF(IFERROR(INDEX(Settings!$C$10:$C$17,MATCH(INDEX(Posts!$D$1:$D$805,AA10),Settings!$B$10:$B$17,0)),"")="",INDEX(Posts!$D$1:$D$805,AA10),IFERROR(INDEX(Settings!$C$10:$C$17,MATCH(INDEX(Posts!$D$1:$D$805,AA10),Settings!$B$10:$B$17,0)),""))&amp;": "&amp;IF(INDEX(Posts!$G$1:$G$805,AA10)="",INDEX(Posts!$E$1:$E$805,AA10),INDEX(Posts!$G$1:$G$805,AA10)))&amp;IF(AB10="","",CHAR(10)&amp;IF(IFERROR(INDEX(Settings!$C$10:$C$17,MATCH(INDEX(Posts!$D$1:$D$805,AB10),Settings!$B$10:$B$17,0)),"")="",INDEX(Posts!$D$1:$D$805,AB10),IFERROR(INDEX(Settings!$C$10:$C$17,MATCH(INDEX(Posts!$D$1:$D$805,AB10),Settings!$B$10:$B$17,0)),""))&amp;": "&amp;IF(INDEX(Posts!$G$1:$G$805,AB10)="",INDEX(Posts!$E$1:$E$805,AB10),INDEX(Posts!$G$1:$G$805,AB10)))&amp;IF(AC10&gt;3,CHAR(10)&amp;"and "&amp;(AC10-3)&amp;" more",""))</f>
        <v/>
      </c>
      <c r="G10" s="20">
        <f>IF(MONTH(((Settings!$C$5-WEEKDAY(Settings!$C$5,3))+33))&lt;&gt;MONTH(Settings!$C$5),"",DAY(((Settings!$C$5-WEEKDAY(Settings!$C$5,3))+33))&amp;IF(AD10="","",CHAR(10)&amp;IF(IFERROR(INDEX(Settings!$C$10:$C$17,MATCH(INDEX(Posts!$D$1:$D$805,AD10),Settings!$B$10:$B$17,0)),"")="",INDEX(Posts!$D$1:$D$805,AD10),IFERROR(INDEX(Settings!$C$10:$C$17,MATCH(INDEX(Posts!$D$1:$D$805,AD10),Settings!$B$10:$B$17,0)),""))&amp;": "&amp;IF(INDEX(Posts!$G$1:$G$805,AD10)="",INDEX(Posts!$E$1:$E$805,AD10),INDEX(Posts!$G$1:$G$805,AD10)))&amp;IF(AE10="","",CHAR(10)&amp;IF(IFERROR(INDEX(Settings!$C$10:$C$17,MATCH(INDEX(Posts!$D$1:$D$805,AE10),Settings!$B$10:$B$17,0)),"")="",INDEX(Posts!$D$1:$D$805,AE10),IFERROR(INDEX(Settings!$C$10:$C$17,MATCH(INDEX(Posts!$D$1:$D$805,AE10),Settings!$B$10:$B$17,0)),""))&amp;": "&amp;IF(INDEX(Posts!$G$1:$G$805,AE10)="",INDEX(Posts!$E$1:$E$805,AE10),INDEX(Posts!$G$1:$G$805,AE10)))&amp;IF(AF10="","",CHAR(10)&amp;IF(IFERROR(INDEX(Settings!$C$10:$C$17,MATCH(INDEX(Posts!$D$1:$D$805,AF10),Settings!$B$10:$B$17,0)),"")="",INDEX(Posts!$D$1:$D$805,AF10),IFERROR(INDEX(Settings!$C$10:$C$17,MATCH(INDEX(Posts!$D$1:$D$805,AF10),Settings!$B$10:$B$17,0)),""))&amp;": "&amp;IF(INDEX(Posts!$G$1:$G$805,AF10)="",INDEX(Posts!$E$1:$E$805,AF10),INDEX(Posts!$G$1:$G$805,AF10)))&amp;IF(AG10&gt;3,CHAR(10)&amp;"and "&amp;(AG10-3)&amp;" more",""))</f>
        <v/>
      </c>
      <c r="H10" s="20">
        <f>IF(MONTH(((Settings!$C$5-WEEKDAY(Settings!$C$5,3))+34))&lt;&gt;MONTH(Settings!$C$5),"",DAY(((Settings!$C$5-WEEKDAY(Settings!$C$5,3))+34))&amp;IF(AH10="","",CHAR(10)&amp;IF(IFERROR(INDEX(Settings!$C$10:$C$17,MATCH(INDEX(Posts!$D$1:$D$805,AH10),Settings!$B$10:$B$17,0)),"")="",INDEX(Posts!$D$1:$D$805,AH10),IFERROR(INDEX(Settings!$C$10:$C$17,MATCH(INDEX(Posts!$D$1:$D$805,AH10),Settings!$B$10:$B$17,0)),""))&amp;": "&amp;IF(INDEX(Posts!$G$1:$G$805,AH10)="",INDEX(Posts!$E$1:$E$805,AH10),INDEX(Posts!$G$1:$G$805,AH10)))&amp;IF(AI10="","",CHAR(10)&amp;IF(IFERROR(INDEX(Settings!$C$10:$C$17,MATCH(INDEX(Posts!$D$1:$D$805,AI10),Settings!$B$10:$B$17,0)),"")="",INDEX(Posts!$D$1:$D$805,AI10),IFERROR(INDEX(Settings!$C$10:$C$17,MATCH(INDEX(Posts!$D$1:$D$805,AI10),Settings!$B$10:$B$17,0)),""))&amp;": "&amp;IF(INDEX(Posts!$G$1:$G$805,AI10)="",INDEX(Posts!$E$1:$E$805,AI10),INDEX(Posts!$G$1:$G$805,AI10)))&amp;IF(AJ10="","",CHAR(10)&amp;IF(IFERROR(INDEX(Settings!$C$10:$C$17,MATCH(INDEX(Posts!$D$1:$D$805,AJ10),Settings!$B$10:$B$17,0)),"")="",INDEX(Posts!$D$1:$D$805,AJ10),IFERROR(INDEX(Settings!$C$10:$C$17,MATCH(INDEX(Posts!$D$1:$D$805,AJ10),Settings!$B$10:$B$17,0)),""))&amp;": "&amp;IF(INDEX(Posts!$G$1:$G$805,AJ10)="",INDEX(Posts!$E$1:$E$805,AJ10),INDEX(Posts!$G$1:$G$805,AJ10)))&amp;IF(AK10&gt;3,CHAR(10)&amp;"and "&amp;(AK10-3)&amp;" more",""))</f>
        <v/>
      </c>
      <c r="I10" s="1" t="n"/>
      <c r="J10">
        <f>IFERROR(IF(INT(SMALL(Posts!$R$6:$R$805,COUNTIF(Posts!$R$6:$R$805,"&lt;"&amp;((Settings!$C$5-WEEKDAY(Settings!$C$5,3))+28)*10000000)+1)/10000000)=((Settings!$C$5-WEEKDAY(Settings!$C$5,3))+28),MOD(SMALL(Posts!$R$6:$R$805,COUNTIF(Posts!$R$6:$R$805,"&lt;"&amp;((Settings!$C$5-WEEKDAY(Settings!$C$5,3))+28)*10000000)+1),1000),""),"")</f>
        <v/>
      </c>
      <c r="K10">
        <f>IFERROR(IF(INT(SMALL(Posts!$R$6:$R$805,COUNTIF(Posts!$R$6:$R$805,"&lt;"&amp;((Settings!$C$5-WEEKDAY(Settings!$C$5,3))+28)*10000000)+2)/10000000)=((Settings!$C$5-WEEKDAY(Settings!$C$5,3))+28),MOD(SMALL(Posts!$R$6:$R$805,COUNTIF(Posts!$R$6:$R$805,"&lt;"&amp;((Settings!$C$5-WEEKDAY(Settings!$C$5,3))+28)*10000000)+2),1000),""),"")</f>
        <v/>
      </c>
      <c r="L10">
        <f>IFERROR(IF(INT(SMALL(Posts!$R$6:$R$805,COUNTIF(Posts!$R$6:$R$805,"&lt;"&amp;((Settings!$C$5-WEEKDAY(Settings!$C$5,3))+28)*10000000)+3)/10000000)=((Settings!$C$5-WEEKDAY(Settings!$C$5,3))+28),MOD(SMALL(Posts!$R$6:$R$805,COUNTIF(Posts!$R$6:$R$805,"&lt;"&amp;((Settings!$C$5-WEEKDAY(Settings!$C$5,3))+28)*10000000)+3),1000),""),"")</f>
        <v/>
      </c>
      <c r="M10">
        <f>COUNTIFS(Posts!$R$6:$R$805,"&gt;="&amp;((Settings!$C$5-WEEKDAY(Settings!$C$5,3))+28)*10000000,Posts!$R$6:$R$805,"&lt;"&amp;(((Settings!$C$5-WEEKDAY(Settings!$C$5,3))+28)+1)*10000000)</f>
        <v/>
      </c>
      <c r="N10">
        <f>IFERROR(IF(INT(SMALL(Posts!$R$6:$R$805,COUNTIF(Posts!$R$6:$R$805,"&lt;"&amp;((Settings!$C$5-WEEKDAY(Settings!$C$5,3))+29)*10000000)+1)/10000000)=((Settings!$C$5-WEEKDAY(Settings!$C$5,3))+29),MOD(SMALL(Posts!$R$6:$R$805,COUNTIF(Posts!$R$6:$R$805,"&lt;"&amp;((Settings!$C$5-WEEKDAY(Settings!$C$5,3))+29)*10000000)+1),1000),""),"")</f>
        <v/>
      </c>
      <c r="O10">
        <f>IFERROR(IF(INT(SMALL(Posts!$R$6:$R$805,COUNTIF(Posts!$R$6:$R$805,"&lt;"&amp;((Settings!$C$5-WEEKDAY(Settings!$C$5,3))+29)*10000000)+2)/10000000)=((Settings!$C$5-WEEKDAY(Settings!$C$5,3))+29),MOD(SMALL(Posts!$R$6:$R$805,COUNTIF(Posts!$R$6:$R$805,"&lt;"&amp;((Settings!$C$5-WEEKDAY(Settings!$C$5,3))+29)*10000000)+2),1000),""),"")</f>
        <v/>
      </c>
      <c r="P10">
        <f>IFERROR(IF(INT(SMALL(Posts!$R$6:$R$805,COUNTIF(Posts!$R$6:$R$805,"&lt;"&amp;((Settings!$C$5-WEEKDAY(Settings!$C$5,3))+29)*10000000)+3)/10000000)=((Settings!$C$5-WEEKDAY(Settings!$C$5,3))+29),MOD(SMALL(Posts!$R$6:$R$805,COUNTIF(Posts!$R$6:$R$805,"&lt;"&amp;((Settings!$C$5-WEEKDAY(Settings!$C$5,3))+29)*10000000)+3),1000),""),"")</f>
        <v/>
      </c>
      <c r="Q10">
        <f>COUNTIFS(Posts!$R$6:$R$805,"&gt;="&amp;((Settings!$C$5-WEEKDAY(Settings!$C$5,3))+29)*10000000,Posts!$R$6:$R$805,"&lt;"&amp;(((Settings!$C$5-WEEKDAY(Settings!$C$5,3))+29)+1)*10000000)</f>
        <v/>
      </c>
      <c r="R10">
        <f>IFERROR(IF(INT(SMALL(Posts!$R$6:$R$805,COUNTIF(Posts!$R$6:$R$805,"&lt;"&amp;((Settings!$C$5-WEEKDAY(Settings!$C$5,3))+30)*10000000)+1)/10000000)=((Settings!$C$5-WEEKDAY(Settings!$C$5,3))+30),MOD(SMALL(Posts!$R$6:$R$805,COUNTIF(Posts!$R$6:$R$805,"&lt;"&amp;((Settings!$C$5-WEEKDAY(Settings!$C$5,3))+30)*10000000)+1),1000),""),"")</f>
        <v/>
      </c>
      <c r="S10">
        <f>IFERROR(IF(INT(SMALL(Posts!$R$6:$R$805,COUNTIF(Posts!$R$6:$R$805,"&lt;"&amp;((Settings!$C$5-WEEKDAY(Settings!$C$5,3))+30)*10000000)+2)/10000000)=((Settings!$C$5-WEEKDAY(Settings!$C$5,3))+30),MOD(SMALL(Posts!$R$6:$R$805,COUNTIF(Posts!$R$6:$R$805,"&lt;"&amp;((Settings!$C$5-WEEKDAY(Settings!$C$5,3))+30)*10000000)+2),1000),""),"")</f>
        <v/>
      </c>
      <c r="T10">
        <f>IFERROR(IF(INT(SMALL(Posts!$R$6:$R$805,COUNTIF(Posts!$R$6:$R$805,"&lt;"&amp;((Settings!$C$5-WEEKDAY(Settings!$C$5,3))+30)*10000000)+3)/10000000)=((Settings!$C$5-WEEKDAY(Settings!$C$5,3))+30),MOD(SMALL(Posts!$R$6:$R$805,COUNTIF(Posts!$R$6:$R$805,"&lt;"&amp;((Settings!$C$5-WEEKDAY(Settings!$C$5,3))+30)*10000000)+3),1000),""),"")</f>
        <v/>
      </c>
      <c r="U10">
        <f>COUNTIFS(Posts!$R$6:$R$805,"&gt;="&amp;((Settings!$C$5-WEEKDAY(Settings!$C$5,3))+30)*10000000,Posts!$R$6:$R$805,"&lt;"&amp;(((Settings!$C$5-WEEKDAY(Settings!$C$5,3))+30)+1)*10000000)</f>
        <v/>
      </c>
      <c r="V10">
        <f>IFERROR(IF(INT(SMALL(Posts!$R$6:$R$805,COUNTIF(Posts!$R$6:$R$805,"&lt;"&amp;((Settings!$C$5-WEEKDAY(Settings!$C$5,3))+31)*10000000)+1)/10000000)=((Settings!$C$5-WEEKDAY(Settings!$C$5,3))+31),MOD(SMALL(Posts!$R$6:$R$805,COUNTIF(Posts!$R$6:$R$805,"&lt;"&amp;((Settings!$C$5-WEEKDAY(Settings!$C$5,3))+31)*10000000)+1),1000),""),"")</f>
        <v/>
      </c>
      <c r="W10">
        <f>IFERROR(IF(INT(SMALL(Posts!$R$6:$R$805,COUNTIF(Posts!$R$6:$R$805,"&lt;"&amp;((Settings!$C$5-WEEKDAY(Settings!$C$5,3))+31)*10000000)+2)/10000000)=((Settings!$C$5-WEEKDAY(Settings!$C$5,3))+31),MOD(SMALL(Posts!$R$6:$R$805,COUNTIF(Posts!$R$6:$R$805,"&lt;"&amp;((Settings!$C$5-WEEKDAY(Settings!$C$5,3))+31)*10000000)+2),1000),""),"")</f>
        <v/>
      </c>
      <c r="X10">
        <f>IFERROR(IF(INT(SMALL(Posts!$R$6:$R$805,COUNTIF(Posts!$R$6:$R$805,"&lt;"&amp;((Settings!$C$5-WEEKDAY(Settings!$C$5,3))+31)*10000000)+3)/10000000)=((Settings!$C$5-WEEKDAY(Settings!$C$5,3))+31),MOD(SMALL(Posts!$R$6:$R$805,COUNTIF(Posts!$R$6:$R$805,"&lt;"&amp;((Settings!$C$5-WEEKDAY(Settings!$C$5,3))+31)*10000000)+3),1000),""),"")</f>
        <v/>
      </c>
      <c r="Y10">
        <f>COUNTIFS(Posts!$R$6:$R$805,"&gt;="&amp;((Settings!$C$5-WEEKDAY(Settings!$C$5,3))+31)*10000000,Posts!$R$6:$R$805,"&lt;"&amp;(((Settings!$C$5-WEEKDAY(Settings!$C$5,3))+31)+1)*10000000)</f>
        <v/>
      </c>
      <c r="Z10">
        <f>IFERROR(IF(INT(SMALL(Posts!$R$6:$R$805,COUNTIF(Posts!$R$6:$R$805,"&lt;"&amp;((Settings!$C$5-WEEKDAY(Settings!$C$5,3))+32)*10000000)+1)/10000000)=((Settings!$C$5-WEEKDAY(Settings!$C$5,3))+32),MOD(SMALL(Posts!$R$6:$R$805,COUNTIF(Posts!$R$6:$R$805,"&lt;"&amp;((Settings!$C$5-WEEKDAY(Settings!$C$5,3))+32)*10000000)+1),1000),""),"")</f>
        <v/>
      </c>
      <c r="AA10">
        <f>IFERROR(IF(INT(SMALL(Posts!$R$6:$R$805,COUNTIF(Posts!$R$6:$R$805,"&lt;"&amp;((Settings!$C$5-WEEKDAY(Settings!$C$5,3))+32)*10000000)+2)/10000000)=((Settings!$C$5-WEEKDAY(Settings!$C$5,3))+32),MOD(SMALL(Posts!$R$6:$R$805,COUNTIF(Posts!$R$6:$R$805,"&lt;"&amp;((Settings!$C$5-WEEKDAY(Settings!$C$5,3))+32)*10000000)+2),1000),""),"")</f>
        <v/>
      </c>
      <c r="AB10">
        <f>IFERROR(IF(INT(SMALL(Posts!$R$6:$R$805,COUNTIF(Posts!$R$6:$R$805,"&lt;"&amp;((Settings!$C$5-WEEKDAY(Settings!$C$5,3))+32)*10000000)+3)/10000000)=((Settings!$C$5-WEEKDAY(Settings!$C$5,3))+32),MOD(SMALL(Posts!$R$6:$R$805,COUNTIF(Posts!$R$6:$R$805,"&lt;"&amp;((Settings!$C$5-WEEKDAY(Settings!$C$5,3))+32)*10000000)+3),1000),""),"")</f>
        <v/>
      </c>
      <c r="AC10">
        <f>COUNTIFS(Posts!$R$6:$R$805,"&gt;="&amp;((Settings!$C$5-WEEKDAY(Settings!$C$5,3))+32)*10000000,Posts!$R$6:$R$805,"&lt;"&amp;(((Settings!$C$5-WEEKDAY(Settings!$C$5,3))+32)+1)*10000000)</f>
        <v/>
      </c>
      <c r="AD10">
        <f>IFERROR(IF(INT(SMALL(Posts!$R$6:$R$805,COUNTIF(Posts!$R$6:$R$805,"&lt;"&amp;((Settings!$C$5-WEEKDAY(Settings!$C$5,3))+33)*10000000)+1)/10000000)=((Settings!$C$5-WEEKDAY(Settings!$C$5,3))+33),MOD(SMALL(Posts!$R$6:$R$805,COUNTIF(Posts!$R$6:$R$805,"&lt;"&amp;((Settings!$C$5-WEEKDAY(Settings!$C$5,3))+33)*10000000)+1),1000),""),"")</f>
        <v/>
      </c>
      <c r="AE10">
        <f>IFERROR(IF(INT(SMALL(Posts!$R$6:$R$805,COUNTIF(Posts!$R$6:$R$805,"&lt;"&amp;((Settings!$C$5-WEEKDAY(Settings!$C$5,3))+33)*10000000)+2)/10000000)=((Settings!$C$5-WEEKDAY(Settings!$C$5,3))+33),MOD(SMALL(Posts!$R$6:$R$805,COUNTIF(Posts!$R$6:$R$805,"&lt;"&amp;((Settings!$C$5-WEEKDAY(Settings!$C$5,3))+33)*10000000)+2),1000),""),"")</f>
        <v/>
      </c>
      <c r="AF10">
        <f>IFERROR(IF(INT(SMALL(Posts!$R$6:$R$805,COUNTIF(Posts!$R$6:$R$805,"&lt;"&amp;((Settings!$C$5-WEEKDAY(Settings!$C$5,3))+33)*10000000)+3)/10000000)=((Settings!$C$5-WEEKDAY(Settings!$C$5,3))+33),MOD(SMALL(Posts!$R$6:$R$805,COUNTIF(Posts!$R$6:$R$805,"&lt;"&amp;((Settings!$C$5-WEEKDAY(Settings!$C$5,3))+33)*10000000)+3),1000),""),"")</f>
        <v/>
      </c>
      <c r="AG10">
        <f>COUNTIFS(Posts!$R$6:$R$805,"&gt;="&amp;((Settings!$C$5-WEEKDAY(Settings!$C$5,3))+33)*10000000,Posts!$R$6:$R$805,"&lt;"&amp;(((Settings!$C$5-WEEKDAY(Settings!$C$5,3))+33)+1)*10000000)</f>
        <v/>
      </c>
      <c r="AH10">
        <f>IFERROR(IF(INT(SMALL(Posts!$R$6:$R$805,COUNTIF(Posts!$R$6:$R$805,"&lt;"&amp;((Settings!$C$5-WEEKDAY(Settings!$C$5,3))+34)*10000000)+1)/10000000)=((Settings!$C$5-WEEKDAY(Settings!$C$5,3))+34),MOD(SMALL(Posts!$R$6:$R$805,COUNTIF(Posts!$R$6:$R$805,"&lt;"&amp;((Settings!$C$5-WEEKDAY(Settings!$C$5,3))+34)*10000000)+1),1000),""),"")</f>
        <v/>
      </c>
      <c r="AI10">
        <f>IFERROR(IF(INT(SMALL(Posts!$R$6:$R$805,COUNTIF(Posts!$R$6:$R$805,"&lt;"&amp;((Settings!$C$5-WEEKDAY(Settings!$C$5,3))+34)*10000000)+2)/10000000)=((Settings!$C$5-WEEKDAY(Settings!$C$5,3))+34),MOD(SMALL(Posts!$R$6:$R$805,COUNTIF(Posts!$R$6:$R$805,"&lt;"&amp;((Settings!$C$5-WEEKDAY(Settings!$C$5,3))+34)*10000000)+2),1000),""),"")</f>
        <v/>
      </c>
      <c r="AJ10">
        <f>IFERROR(IF(INT(SMALL(Posts!$R$6:$R$805,COUNTIF(Posts!$R$6:$R$805,"&lt;"&amp;((Settings!$C$5-WEEKDAY(Settings!$C$5,3))+34)*10000000)+3)/10000000)=((Settings!$C$5-WEEKDAY(Settings!$C$5,3))+34),MOD(SMALL(Posts!$R$6:$R$805,COUNTIF(Posts!$R$6:$R$805,"&lt;"&amp;((Settings!$C$5-WEEKDAY(Settings!$C$5,3))+34)*10000000)+3),1000),""),"")</f>
        <v/>
      </c>
      <c r="AK10">
        <f>COUNTIFS(Posts!$R$6:$R$805,"&gt;="&amp;((Settings!$C$5-WEEKDAY(Settings!$C$5,3))+34)*10000000,Posts!$R$6:$R$805,"&lt;"&amp;(((Settings!$C$5-WEEKDAY(Settings!$C$5,3))+34)+1)*10000000)</f>
        <v/>
      </c>
    </row>
    <row r="11" ht="74" customHeight="1">
      <c r="A11" s="1" t="n"/>
      <c r="B11" s="20">
        <f>IF(MONTH(((Settings!$C$5-WEEKDAY(Settings!$C$5,3))+35))&lt;&gt;MONTH(Settings!$C$5),"",DAY(((Settings!$C$5-WEEKDAY(Settings!$C$5,3))+35))&amp;IF(J11="","",CHAR(10)&amp;IF(IFERROR(INDEX(Settings!$C$10:$C$17,MATCH(INDEX(Posts!$D$1:$D$805,J11),Settings!$B$10:$B$17,0)),"")="",INDEX(Posts!$D$1:$D$805,J11),IFERROR(INDEX(Settings!$C$10:$C$17,MATCH(INDEX(Posts!$D$1:$D$805,J11),Settings!$B$10:$B$17,0)),""))&amp;": "&amp;IF(INDEX(Posts!$G$1:$G$805,J11)="",INDEX(Posts!$E$1:$E$805,J11),INDEX(Posts!$G$1:$G$805,J11)))&amp;IF(K11="","",CHAR(10)&amp;IF(IFERROR(INDEX(Settings!$C$10:$C$17,MATCH(INDEX(Posts!$D$1:$D$805,K11),Settings!$B$10:$B$17,0)),"")="",INDEX(Posts!$D$1:$D$805,K11),IFERROR(INDEX(Settings!$C$10:$C$17,MATCH(INDEX(Posts!$D$1:$D$805,K11),Settings!$B$10:$B$17,0)),""))&amp;": "&amp;IF(INDEX(Posts!$G$1:$G$805,K11)="",INDEX(Posts!$E$1:$E$805,K11),INDEX(Posts!$G$1:$G$805,K11)))&amp;IF(L11="","",CHAR(10)&amp;IF(IFERROR(INDEX(Settings!$C$10:$C$17,MATCH(INDEX(Posts!$D$1:$D$805,L11),Settings!$B$10:$B$17,0)),"")="",INDEX(Posts!$D$1:$D$805,L11),IFERROR(INDEX(Settings!$C$10:$C$17,MATCH(INDEX(Posts!$D$1:$D$805,L11),Settings!$B$10:$B$17,0)),""))&amp;": "&amp;IF(INDEX(Posts!$G$1:$G$805,L11)="",INDEX(Posts!$E$1:$E$805,L11),INDEX(Posts!$G$1:$G$805,L11)))&amp;IF(M11&gt;3,CHAR(10)&amp;"and "&amp;(M11-3)&amp;" more",""))</f>
        <v/>
      </c>
      <c r="C11" s="20">
        <f>IF(MONTH(((Settings!$C$5-WEEKDAY(Settings!$C$5,3))+36))&lt;&gt;MONTH(Settings!$C$5),"",DAY(((Settings!$C$5-WEEKDAY(Settings!$C$5,3))+36))&amp;IF(N11="","",CHAR(10)&amp;IF(IFERROR(INDEX(Settings!$C$10:$C$17,MATCH(INDEX(Posts!$D$1:$D$805,N11),Settings!$B$10:$B$17,0)),"")="",INDEX(Posts!$D$1:$D$805,N11),IFERROR(INDEX(Settings!$C$10:$C$17,MATCH(INDEX(Posts!$D$1:$D$805,N11),Settings!$B$10:$B$17,0)),""))&amp;": "&amp;IF(INDEX(Posts!$G$1:$G$805,N11)="",INDEX(Posts!$E$1:$E$805,N11),INDEX(Posts!$G$1:$G$805,N11)))&amp;IF(O11="","",CHAR(10)&amp;IF(IFERROR(INDEX(Settings!$C$10:$C$17,MATCH(INDEX(Posts!$D$1:$D$805,O11),Settings!$B$10:$B$17,0)),"")="",INDEX(Posts!$D$1:$D$805,O11),IFERROR(INDEX(Settings!$C$10:$C$17,MATCH(INDEX(Posts!$D$1:$D$805,O11),Settings!$B$10:$B$17,0)),""))&amp;": "&amp;IF(INDEX(Posts!$G$1:$G$805,O11)="",INDEX(Posts!$E$1:$E$805,O11),INDEX(Posts!$G$1:$G$805,O11)))&amp;IF(P11="","",CHAR(10)&amp;IF(IFERROR(INDEX(Settings!$C$10:$C$17,MATCH(INDEX(Posts!$D$1:$D$805,P11),Settings!$B$10:$B$17,0)),"")="",INDEX(Posts!$D$1:$D$805,P11),IFERROR(INDEX(Settings!$C$10:$C$17,MATCH(INDEX(Posts!$D$1:$D$805,P11),Settings!$B$10:$B$17,0)),""))&amp;": "&amp;IF(INDEX(Posts!$G$1:$G$805,P11)="",INDEX(Posts!$E$1:$E$805,P11),INDEX(Posts!$G$1:$G$805,P11)))&amp;IF(Q11&gt;3,CHAR(10)&amp;"and "&amp;(Q11-3)&amp;" more",""))</f>
        <v/>
      </c>
      <c r="D11" s="20">
        <f>IF(MONTH(((Settings!$C$5-WEEKDAY(Settings!$C$5,3))+37))&lt;&gt;MONTH(Settings!$C$5),"",DAY(((Settings!$C$5-WEEKDAY(Settings!$C$5,3))+37))&amp;IF(R11="","",CHAR(10)&amp;IF(IFERROR(INDEX(Settings!$C$10:$C$17,MATCH(INDEX(Posts!$D$1:$D$805,R11),Settings!$B$10:$B$17,0)),"")="",INDEX(Posts!$D$1:$D$805,R11),IFERROR(INDEX(Settings!$C$10:$C$17,MATCH(INDEX(Posts!$D$1:$D$805,R11),Settings!$B$10:$B$17,0)),""))&amp;": "&amp;IF(INDEX(Posts!$G$1:$G$805,R11)="",INDEX(Posts!$E$1:$E$805,R11),INDEX(Posts!$G$1:$G$805,R11)))&amp;IF(S11="","",CHAR(10)&amp;IF(IFERROR(INDEX(Settings!$C$10:$C$17,MATCH(INDEX(Posts!$D$1:$D$805,S11),Settings!$B$10:$B$17,0)),"")="",INDEX(Posts!$D$1:$D$805,S11),IFERROR(INDEX(Settings!$C$10:$C$17,MATCH(INDEX(Posts!$D$1:$D$805,S11),Settings!$B$10:$B$17,0)),""))&amp;": "&amp;IF(INDEX(Posts!$G$1:$G$805,S11)="",INDEX(Posts!$E$1:$E$805,S11),INDEX(Posts!$G$1:$G$805,S11)))&amp;IF(T11="","",CHAR(10)&amp;IF(IFERROR(INDEX(Settings!$C$10:$C$17,MATCH(INDEX(Posts!$D$1:$D$805,T11),Settings!$B$10:$B$17,0)),"")="",INDEX(Posts!$D$1:$D$805,T11),IFERROR(INDEX(Settings!$C$10:$C$17,MATCH(INDEX(Posts!$D$1:$D$805,T11),Settings!$B$10:$B$17,0)),""))&amp;": "&amp;IF(INDEX(Posts!$G$1:$G$805,T11)="",INDEX(Posts!$E$1:$E$805,T11),INDEX(Posts!$G$1:$G$805,T11)))&amp;IF(U11&gt;3,CHAR(10)&amp;"and "&amp;(U11-3)&amp;" more",""))</f>
        <v/>
      </c>
      <c r="E11" s="20">
        <f>IF(MONTH(((Settings!$C$5-WEEKDAY(Settings!$C$5,3))+38))&lt;&gt;MONTH(Settings!$C$5),"",DAY(((Settings!$C$5-WEEKDAY(Settings!$C$5,3))+38))&amp;IF(V11="","",CHAR(10)&amp;IF(IFERROR(INDEX(Settings!$C$10:$C$17,MATCH(INDEX(Posts!$D$1:$D$805,V11),Settings!$B$10:$B$17,0)),"")="",INDEX(Posts!$D$1:$D$805,V11),IFERROR(INDEX(Settings!$C$10:$C$17,MATCH(INDEX(Posts!$D$1:$D$805,V11),Settings!$B$10:$B$17,0)),""))&amp;": "&amp;IF(INDEX(Posts!$G$1:$G$805,V11)="",INDEX(Posts!$E$1:$E$805,V11),INDEX(Posts!$G$1:$G$805,V11)))&amp;IF(W11="","",CHAR(10)&amp;IF(IFERROR(INDEX(Settings!$C$10:$C$17,MATCH(INDEX(Posts!$D$1:$D$805,W11),Settings!$B$10:$B$17,0)),"")="",INDEX(Posts!$D$1:$D$805,W11),IFERROR(INDEX(Settings!$C$10:$C$17,MATCH(INDEX(Posts!$D$1:$D$805,W11),Settings!$B$10:$B$17,0)),""))&amp;": "&amp;IF(INDEX(Posts!$G$1:$G$805,W11)="",INDEX(Posts!$E$1:$E$805,W11),INDEX(Posts!$G$1:$G$805,W11)))&amp;IF(X11="","",CHAR(10)&amp;IF(IFERROR(INDEX(Settings!$C$10:$C$17,MATCH(INDEX(Posts!$D$1:$D$805,X11),Settings!$B$10:$B$17,0)),"")="",INDEX(Posts!$D$1:$D$805,X11),IFERROR(INDEX(Settings!$C$10:$C$17,MATCH(INDEX(Posts!$D$1:$D$805,X11),Settings!$B$10:$B$17,0)),""))&amp;": "&amp;IF(INDEX(Posts!$G$1:$G$805,X11)="",INDEX(Posts!$E$1:$E$805,X11),INDEX(Posts!$G$1:$G$805,X11)))&amp;IF(Y11&gt;3,CHAR(10)&amp;"and "&amp;(Y11-3)&amp;" more",""))</f>
        <v/>
      </c>
      <c r="F11" s="20">
        <f>IF(MONTH(((Settings!$C$5-WEEKDAY(Settings!$C$5,3))+39))&lt;&gt;MONTH(Settings!$C$5),"",DAY(((Settings!$C$5-WEEKDAY(Settings!$C$5,3))+39))&amp;IF(Z11="","",CHAR(10)&amp;IF(IFERROR(INDEX(Settings!$C$10:$C$17,MATCH(INDEX(Posts!$D$1:$D$805,Z11),Settings!$B$10:$B$17,0)),"")="",INDEX(Posts!$D$1:$D$805,Z11),IFERROR(INDEX(Settings!$C$10:$C$17,MATCH(INDEX(Posts!$D$1:$D$805,Z11),Settings!$B$10:$B$17,0)),""))&amp;": "&amp;IF(INDEX(Posts!$G$1:$G$805,Z11)="",INDEX(Posts!$E$1:$E$805,Z11),INDEX(Posts!$G$1:$G$805,Z11)))&amp;IF(AA11="","",CHAR(10)&amp;IF(IFERROR(INDEX(Settings!$C$10:$C$17,MATCH(INDEX(Posts!$D$1:$D$805,AA11),Settings!$B$10:$B$17,0)),"")="",INDEX(Posts!$D$1:$D$805,AA11),IFERROR(INDEX(Settings!$C$10:$C$17,MATCH(INDEX(Posts!$D$1:$D$805,AA11),Settings!$B$10:$B$17,0)),""))&amp;": "&amp;IF(INDEX(Posts!$G$1:$G$805,AA11)="",INDEX(Posts!$E$1:$E$805,AA11),INDEX(Posts!$G$1:$G$805,AA11)))&amp;IF(AB11="","",CHAR(10)&amp;IF(IFERROR(INDEX(Settings!$C$10:$C$17,MATCH(INDEX(Posts!$D$1:$D$805,AB11),Settings!$B$10:$B$17,0)),"")="",INDEX(Posts!$D$1:$D$805,AB11),IFERROR(INDEX(Settings!$C$10:$C$17,MATCH(INDEX(Posts!$D$1:$D$805,AB11),Settings!$B$10:$B$17,0)),""))&amp;": "&amp;IF(INDEX(Posts!$G$1:$G$805,AB11)="",INDEX(Posts!$E$1:$E$805,AB11),INDEX(Posts!$G$1:$G$805,AB11)))&amp;IF(AC11&gt;3,CHAR(10)&amp;"and "&amp;(AC11-3)&amp;" more",""))</f>
        <v/>
      </c>
      <c r="G11" s="20">
        <f>IF(MONTH(((Settings!$C$5-WEEKDAY(Settings!$C$5,3))+40))&lt;&gt;MONTH(Settings!$C$5),"",DAY(((Settings!$C$5-WEEKDAY(Settings!$C$5,3))+40))&amp;IF(AD11="","",CHAR(10)&amp;IF(IFERROR(INDEX(Settings!$C$10:$C$17,MATCH(INDEX(Posts!$D$1:$D$805,AD11),Settings!$B$10:$B$17,0)),"")="",INDEX(Posts!$D$1:$D$805,AD11),IFERROR(INDEX(Settings!$C$10:$C$17,MATCH(INDEX(Posts!$D$1:$D$805,AD11),Settings!$B$10:$B$17,0)),""))&amp;": "&amp;IF(INDEX(Posts!$G$1:$G$805,AD11)="",INDEX(Posts!$E$1:$E$805,AD11),INDEX(Posts!$G$1:$G$805,AD11)))&amp;IF(AE11="","",CHAR(10)&amp;IF(IFERROR(INDEX(Settings!$C$10:$C$17,MATCH(INDEX(Posts!$D$1:$D$805,AE11),Settings!$B$10:$B$17,0)),"")="",INDEX(Posts!$D$1:$D$805,AE11),IFERROR(INDEX(Settings!$C$10:$C$17,MATCH(INDEX(Posts!$D$1:$D$805,AE11),Settings!$B$10:$B$17,0)),""))&amp;": "&amp;IF(INDEX(Posts!$G$1:$G$805,AE11)="",INDEX(Posts!$E$1:$E$805,AE11),INDEX(Posts!$G$1:$G$805,AE11)))&amp;IF(AF11="","",CHAR(10)&amp;IF(IFERROR(INDEX(Settings!$C$10:$C$17,MATCH(INDEX(Posts!$D$1:$D$805,AF11),Settings!$B$10:$B$17,0)),"")="",INDEX(Posts!$D$1:$D$805,AF11),IFERROR(INDEX(Settings!$C$10:$C$17,MATCH(INDEX(Posts!$D$1:$D$805,AF11),Settings!$B$10:$B$17,0)),""))&amp;": "&amp;IF(INDEX(Posts!$G$1:$G$805,AF11)="",INDEX(Posts!$E$1:$E$805,AF11),INDEX(Posts!$G$1:$G$805,AF11)))&amp;IF(AG11&gt;3,CHAR(10)&amp;"and "&amp;(AG11-3)&amp;" more",""))</f>
        <v/>
      </c>
      <c r="H11" s="20">
        <f>IF(MONTH(((Settings!$C$5-WEEKDAY(Settings!$C$5,3))+41))&lt;&gt;MONTH(Settings!$C$5),"",DAY(((Settings!$C$5-WEEKDAY(Settings!$C$5,3))+41))&amp;IF(AH11="","",CHAR(10)&amp;IF(IFERROR(INDEX(Settings!$C$10:$C$17,MATCH(INDEX(Posts!$D$1:$D$805,AH11),Settings!$B$10:$B$17,0)),"")="",INDEX(Posts!$D$1:$D$805,AH11),IFERROR(INDEX(Settings!$C$10:$C$17,MATCH(INDEX(Posts!$D$1:$D$805,AH11),Settings!$B$10:$B$17,0)),""))&amp;": "&amp;IF(INDEX(Posts!$G$1:$G$805,AH11)="",INDEX(Posts!$E$1:$E$805,AH11),INDEX(Posts!$G$1:$G$805,AH11)))&amp;IF(AI11="","",CHAR(10)&amp;IF(IFERROR(INDEX(Settings!$C$10:$C$17,MATCH(INDEX(Posts!$D$1:$D$805,AI11),Settings!$B$10:$B$17,0)),"")="",INDEX(Posts!$D$1:$D$805,AI11),IFERROR(INDEX(Settings!$C$10:$C$17,MATCH(INDEX(Posts!$D$1:$D$805,AI11),Settings!$B$10:$B$17,0)),""))&amp;": "&amp;IF(INDEX(Posts!$G$1:$G$805,AI11)="",INDEX(Posts!$E$1:$E$805,AI11),INDEX(Posts!$G$1:$G$805,AI11)))&amp;IF(AJ11="","",CHAR(10)&amp;IF(IFERROR(INDEX(Settings!$C$10:$C$17,MATCH(INDEX(Posts!$D$1:$D$805,AJ11),Settings!$B$10:$B$17,0)),"")="",INDEX(Posts!$D$1:$D$805,AJ11),IFERROR(INDEX(Settings!$C$10:$C$17,MATCH(INDEX(Posts!$D$1:$D$805,AJ11),Settings!$B$10:$B$17,0)),""))&amp;": "&amp;IF(INDEX(Posts!$G$1:$G$805,AJ11)="",INDEX(Posts!$E$1:$E$805,AJ11),INDEX(Posts!$G$1:$G$805,AJ11)))&amp;IF(AK11&gt;3,CHAR(10)&amp;"and "&amp;(AK11-3)&amp;" more",""))</f>
        <v/>
      </c>
      <c r="I11" s="1" t="n"/>
      <c r="J11">
        <f>IFERROR(IF(INT(SMALL(Posts!$R$6:$R$805,COUNTIF(Posts!$R$6:$R$805,"&lt;"&amp;((Settings!$C$5-WEEKDAY(Settings!$C$5,3))+35)*10000000)+1)/10000000)=((Settings!$C$5-WEEKDAY(Settings!$C$5,3))+35),MOD(SMALL(Posts!$R$6:$R$805,COUNTIF(Posts!$R$6:$R$805,"&lt;"&amp;((Settings!$C$5-WEEKDAY(Settings!$C$5,3))+35)*10000000)+1),1000),""),"")</f>
        <v/>
      </c>
      <c r="K11">
        <f>IFERROR(IF(INT(SMALL(Posts!$R$6:$R$805,COUNTIF(Posts!$R$6:$R$805,"&lt;"&amp;((Settings!$C$5-WEEKDAY(Settings!$C$5,3))+35)*10000000)+2)/10000000)=((Settings!$C$5-WEEKDAY(Settings!$C$5,3))+35),MOD(SMALL(Posts!$R$6:$R$805,COUNTIF(Posts!$R$6:$R$805,"&lt;"&amp;((Settings!$C$5-WEEKDAY(Settings!$C$5,3))+35)*10000000)+2),1000),""),"")</f>
        <v/>
      </c>
      <c r="L11">
        <f>IFERROR(IF(INT(SMALL(Posts!$R$6:$R$805,COUNTIF(Posts!$R$6:$R$805,"&lt;"&amp;((Settings!$C$5-WEEKDAY(Settings!$C$5,3))+35)*10000000)+3)/10000000)=((Settings!$C$5-WEEKDAY(Settings!$C$5,3))+35),MOD(SMALL(Posts!$R$6:$R$805,COUNTIF(Posts!$R$6:$R$805,"&lt;"&amp;((Settings!$C$5-WEEKDAY(Settings!$C$5,3))+35)*10000000)+3),1000),""),"")</f>
        <v/>
      </c>
      <c r="M11">
        <f>COUNTIFS(Posts!$R$6:$R$805,"&gt;="&amp;((Settings!$C$5-WEEKDAY(Settings!$C$5,3))+35)*10000000,Posts!$R$6:$R$805,"&lt;"&amp;(((Settings!$C$5-WEEKDAY(Settings!$C$5,3))+35)+1)*10000000)</f>
        <v/>
      </c>
      <c r="N11">
        <f>IFERROR(IF(INT(SMALL(Posts!$R$6:$R$805,COUNTIF(Posts!$R$6:$R$805,"&lt;"&amp;((Settings!$C$5-WEEKDAY(Settings!$C$5,3))+36)*10000000)+1)/10000000)=((Settings!$C$5-WEEKDAY(Settings!$C$5,3))+36),MOD(SMALL(Posts!$R$6:$R$805,COUNTIF(Posts!$R$6:$R$805,"&lt;"&amp;((Settings!$C$5-WEEKDAY(Settings!$C$5,3))+36)*10000000)+1),1000),""),"")</f>
        <v/>
      </c>
      <c r="O11">
        <f>IFERROR(IF(INT(SMALL(Posts!$R$6:$R$805,COUNTIF(Posts!$R$6:$R$805,"&lt;"&amp;((Settings!$C$5-WEEKDAY(Settings!$C$5,3))+36)*10000000)+2)/10000000)=((Settings!$C$5-WEEKDAY(Settings!$C$5,3))+36),MOD(SMALL(Posts!$R$6:$R$805,COUNTIF(Posts!$R$6:$R$805,"&lt;"&amp;((Settings!$C$5-WEEKDAY(Settings!$C$5,3))+36)*10000000)+2),1000),""),"")</f>
        <v/>
      </c>
      <c r="P11">
        <f>IFERROR(IF(INT(SMALL(Posts!$R$6:$R$805,COUNTIF(Posts!$R$6:$R$805,"&lt;"&amp;((Settings!$C$5-WEEKDAY(Settings!$C$5,3))+36)*10000000)+3)/10000000)=((Settings!$C$5-WEEKDAY(Settings!$C$5,3))+36),MOD(SMALL(Posts!$R$6:$R$805,COUNTIF(Posts!$R$6:$R$805,"&lt;"&amp;((Settings!$C$5-WEEKDAY(Settings!$C$5,3))+36)*10000000)+3),1000),""),"")</f>
        <v/>
      </c>
      <c r="Q11">
        <f>COUNTIFS(Posts!$R$6:$R$805,"&gt;="&amp;((Settings!$C$5-WEEKDAY(Settings!$C$5,3))+36)*10000000,Posts!$R$6:$R$805,"&lt;"&amp;(((Settings!$C$5-WEEKDAY(Settings!$C$5,3))+36)+1)*10000000)</f>
        <v/>
      </c>
      <c r="R11">
        <f>IFERROR(IF(INT(SMALL(Posts!$R$6:$R$805,COUNTIF(Posts!$R$6:$R$805,"&lt;"&amp;((Settings!$C$5-WEEKDAY(Settings!$C$5,3))+37)*10000000)+1)/10000000)=((Settings!$C$5-WEEKDAY(Settings!$C$5,3))+37),MOD(SMALL(Posts!$R$6:$R$805,COUNTIF(Posts!$R$6:$R$805,"&lt;"&amp;((Settings!$C$5-WEEKDAY(Settings!$C$5,3))+37)*10000000)+1),1000),""),"")</f>
        <v/>
      </c>
      <c r="S11">
        <f>IFERROR(IF(INT(SMALL(Posts!$R$6:$R$805,COUNTIF(Posts!$R$6:$R$805,"&lt;"&amp;((Settings!$C$5-WEEKDAY(Settings!$C$5,3))+37)*10000000)+2)/10000000)=((Settings!$C$5-WEEKDAY(Settings!$C$5,3))+37),MOD(SMALL(Posts!$R$6:$R$805,COUNTIF(Posts!$R$6:$R$805,"&lt;"&amp;((Settings!$C$5-WEEKDAY(Settings!$C$5,3))+37)*10000000)+2),1000),""),"")</f>
        <v/>
      </c>
      <c r="T11">
        <f>IFERROR(IF(INT(SMALL(Posts!$R$6:$R$805,COUNTIF(Posts!$R$6:$R$805,"&lt;"&amp;((Settings!$C$5-WEEKDAY(Settings!$C$5,3))+37)*10000000)+3)/10000000)=((Settings!$C$5-WEEKDAY(Settings!$C$5,3))+37),MOD(SMALL(Posts!$R$6:$R$805,COUNTIF(Posts!$R$6:$R$805,"&lt;"&amp;((Settings!$C$5-WEEKDAY(Settings!$C$5,3))+37)*10000000)+3),1000),""),"")</f>
        <v/>
      </c>
      <c r="U11">
        <f>COUNTIFS(Posts!$R$6:$R$805,"&gt;="&amp;((Settings!$C$5-WEEKDAY(Settings!$C$5,3))+37)*10000000,Posts!$R$6:$R$805,"&lt;"&amp;(((Settings!$C$5-WEEKDAY(Settings!$C$5,3))+37)+1)*10000000)</f>
        <v/>
      </c>
      <c r="V11">
        <f>IFERROR(IF(INT(SMALL(Posts!$R$6:$R$805,COUNTIF(Posts!$R$6:$R$805,"&lt;"&amp;((Settings!$C$5-WEEKDAY(Settings!$C$5,3))+38)*10000000)+1)/10000000)=((Settings!$C$5-WEEKDAY(Settings!$C$5,3))+38),MOD(SMALL(Posts!$R$6:$R$805,COUNTIF(Posts!$R$6:$R$805,"&lt;"&amp;((Settings!$C$5-WEEKDAY(Settings!$C$5,3))+38)*10000000)+1),1000),""),"")</f>
        <v/>
      </c>
      <c r="W11">
        <f>IFERROR(IF(INT(SMALL(Posts!$R$6:$R$805,COUNTIF(Posts!$R$6:$R$805,"&lt;"&amp;((Settings!$C$5-WEEKDAY(Settings!$C$5,3))+38)*10000000)+2)/10000000)=((Settings!$C$5-WEEKDAY(Settings!$C$5,3))+38),MOD(SMALL(Posts!$R$6:$R$805,COUNTIF(Posts!$R$6:$R$805,"&lt;"&amp;((Settings!$C$5-WEEKDAY(Settings!$C$5,3))+38)*10000000)+2),1000),""),"")</f>
        <v/>
      </c>
      <c r="X11">
        <f>IFERROR(IF(INT(SMALL(Posts!$R$6:$R$805,COUNTIF(Posts!$R$6:$R$805,"&lt;"&amp;((Settings!$C$5-WEEKDAY(Settings!$C$5,3))+38)*10000000)+3)/10000000)=((Settings!$C$5-WEEKDAY(Settings!$C$5,3))+38),MOD(SMALL(Posts!$R$6:$R$805,COUNTIF(Posts!$R$6:$R$805,"&lt;"&amp;((Settings!$C$5-WEEKDAY(Settings!$C$5,3))+38)*10000000)+3),1000),""),"")</f>
        <v/>
      </c>
      <c r="Y11">
        <f>COUNTIFS(Posts!$R$6:$R$805,"&gt;="&amp;((Settings!$C$5-WEEKDAY(Settings!$C$5,3))+38)*10000000,Posts!$R$6:$R$805,"&lt;"&amp;(((Settings!$C$5-WEEKDAY(Settings!$C$5,3))+38)+1)*10000000)</f>
        <v/>
      </c>
      <c r="Z11">
        <f>IFERROR(IF(INT(SMALL(Posts!$R$6:$R$805,COUNTIF(Posts!$R$6:$R$805,"&lt;"&amp;((Settings!$C$5-WEEKDAY(Settings!$C$5,3))+39)*10000000)+1)/10000000)=((Settings!$C$5-WEEKDAY(Settings!$C$5,3))+39),MOD(SMALL(Posts!$R$6:$R$805,COUNTIF(Posts!$R$6:$R$805,"&lt;"&amp;((Settings!$C$5-WEEKDAY(Settings!$C$5,3))+39)*10000000)+1),1000),""),"")</f>
        <v/>
      </c>
      <c r="AA11">
        <f>IFERROR(IF(INT(SMALL(Posts!$R$6:$R$805,COUNTIF(Posts!$R$6:$R$805,"&lt;"&amp;((Settings!$C$5-WEEKDAY(Settings!$C$5,3))+39)*10000000)+2)/10000000)=((Settings!$C$5-WEEKDAY(Settings!$C$5,3))+39),MOD(SMALL(Posts!$R$6:$R$805,COUNTIF(Posts!$R$6:$R$805,"&lt;"&amp;((Settings!$C$5-WEEKDAY(Settings!$C$5,3))+39)*10000000)+2),1000),""),"")</f>
        <v/>
      </c>
      <c r="AB11">
        <f>IFERROR(IF(INT(SMALL(Posts!$R$6:$R$805,COUNTIF(Posts!$R$6:$R$805,"&lt;"&amp;((Settings!$C$5-WEEKDAY(Settings!$C$5,3))+39)*10000000)+3)/10000000)=((Settings!$C$5-WEEKDAY(Settings!$C$5,3))+39),MOD(SMALL(Posts!$R$6:$R$805,COUNTIF(Posts!$R$6:$R$805,"&lt;"&amp;((Settings!$C$5-WEEKDAY(Settings!$C$5,3))+39)*10000000)+3),1000),""),"")</f>
        <v/>
      </c>
      <c r="AC11">
        <f>COUNTIFS(Posts!$R$6:$R$805,"&gt;="&amp;((Settings!$C$5-WEEKDAY(Settings!$C$5,3))+39)*10000000,Posts!$R$6:$R$805,"&lt;"&amp;(((Settings!$C$5-WEEKDAY(Settings!$C$5,3))+39)+1)*10000000)</f>
        <v/>
      </c>
      <c r="AD11">
        <f>IFERROR(IF(INT(SMALL(Posts!$R$6:$R$805,COUNTIF(Posts!$R$6:$R$805,"&lt;"&amp;((Settings!$C$5-WEEKDAY(Settings!$C$5,3))+40)*10000000)+1)/10000000)=((Settings!$C$5-WEEKDAY(Settings!$C$5,3))+40),MOD(SMALL(Posts!$R$6:$R$805,COUNTIF(Posts!$R$6:$R$805,"&lt;"&amp;((Settings!$C$5-WEEKDAY(Settings!$C$5,3))+40)*10000000)+1),1000),""),"")</f>
        <v/>
      </c>
      <c r="AE11">
        <f>IFERROR(IF(INT(SMALL(Posts!$R$6:$R$805,COUNTIF(Posts!$R$6:$R$805,"&lt;"&amp;((Settings!$C$5-WEEKDAY(Settings!$C$5,3))+40)*10000000)+2)/10000000)=((Settings!$C$5-WEEKDAY(Settings!$C$5,3))+40),MOD(SMALL(Posts!$R$6:$R$805,COUNTIF(Posts!$R$6:$R$805,"&lt;"&amp;((Settings!$C$5-WEEKDAY(Settings!$C$5,3))+40)*10000000)+2),1000),""),"")</f>
        <v/>
      </c>
      <c r="AF11">
        <f>IFERROR(IF(INT(SMALL(Posts!$R$6:$R$805,COUNTIF(Posts!$R$6:$R$805,"&lt;"&amp;((Settings!$C$5-WEEKDAY(Settings!$C$5,3))+40)*10000000)+3)/10000000)=((Settings!$C$5-WEEKDAY(Settings!$C$5,3))+40),MOD(SMALL(Posts!$R$6:$R$805,COUNTIF(Posts!$R$6:$R$805,"&lt;"&amp;((Settings!$C$5-WEEKDAY(Settings!$C$5,3))+40)*10000000)+3),1000),""),"")</f>
        <v/>
      </c>
      <c r="AG11">
        <f>COUNTIFS(Posts!$R$6:$R$805,"&gt;="&amp;((Settings!$C$5-WEEKDAY(Settings!$C$5,3))+40)*10000000,Posts!$R$6:$R$805,"&lt;"&amp;(((Settings!$C$5-WEEKDAY(Settings!$C$5,3))+40)+1)*10000000)</f>
        <v/>
      </c>
      <c r="AH11">
        <f>IFERROR(IF(INT(SMALL(Posts!$R$6:$R$805,COUNTIF(Posts!$R$6:$R$805,"&lt;"&amp;((Settings!$C$5-WEEKDAY(Settings!$C$5,3))+41)*10000000)+1)/10000000)=((Settings!$C$5-WEEKDAY(Settings!$C$5,3))+41),MOD(SMALL(Posts!$R$6:$R$805,COUNTIF(Posts!$R$6:$R$805,"&lt;"&amp;((Settings!$C$5-WEEKDAY(Settings!$C$5,3))+41)*10000000)+1),1000),""),"")</f>
        <v/>
      </c>
      <c r="AI11">
        <f>IFERROR(IF(INT(SMALL(Posts!$R$6:$R$805,COUNTIF(Posts!$R$6:$R$805,"&lt;"&amp;((Settings!$C$5-WEEKDAY(Settings!$C$5,3))+41)*10000000)+2)/10000000)=((Settings!$C$5-WEEKDAY(Settings!$C$5,3))+41),MOD(SMALL(Posts!$R$6:$R$805,COUNTIF(Posts!$R$6:$R$805,"&lt;"&amp;((Settings!$C$5-WEEKDAY(Settings!$C$5,3))+41)*10000000)+2),1000),""),"")</f>
        <v/>
      </c>
      <c r="AJ11">
        <f>IFERROR(IF(INT(SMALL(Posts!$R$6:$R$805,COUNTIF(Posts!$R$6:$R$805,"&lt;"&amp;((Settings!$C$5-WEEKDAY(Settings!$C$5,3))+41)*10000000)+3)/10000000)=((Settings!$C$5-WEEKDAY(Settings!$C$5,3))+41),MOD(SMALL(Posts!$R$6:$R$805,COUNTIF(Posts!$R$6:$R$805,"&lt;"&amp;((Settings!$C$5-WEEKDAY(Settings!$C$5,3))+41)*10000000)+3),1000),""),"")</f>
        <v/>
      </c>
      <c r="AK11">
        <f>COUNTIFS(Posts!$R$6:$R$805,"&gt;="&amp;((Settings!$C$5-WEEKDAY(Settings!$C$5,3))+41)*10000000,Posts!$R$6:$R$805,"&lt;"&amp;(((Settings!$C$5-WEEKDAY(Settings!$C$5,3))+41)+1)*10000000)</f>
        <v/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</row>
  </sheetData>
  <conditionalFormatting sqref="B6:H11">
    <cfRule type="expression" priority="1" dxfId="2">
      <formula>AND(B6&lt;&gt;"",$AL$1+(ROW(B6)-6)*7+(COLUMN(B6)-2)=TODAY())</formula>
    </cfRule>
  </conditionalFormatting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W80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12" customWidth="1" min="4" max="4"/>
    <col width="11" customWidth="1" min="5" max="5"/>
    <col width="17" customWidth="1" min="6" max="6"/>
    <col width="30" customWidth="1" min="7" max="7"/>
    <col width="11" customWidth="1" min="8" max="8"/>
    <col width="16" customWidth="1" min="9" max="9"/>
    <col width="10" customWidth="1" min="10" max="10"/>
    <col width="9" customWidth="1" min="11" max="11"/>
    <col width="10" customWidth="1" min="12" max="12"/>
    <col width="9" customWidth="1" min="13" max="13"/>
    <col width="9" customWidth="1" min="14" max="14"/>
    <col width="12" customWidth="1" min="15" max="15"/>
    <col width="9" customWidth="1" min="16" max="16"/>
    <col width="9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32" customHeight="1">
      <c r="A2" s="1" t="n"/>
      <c r="B2" s="2" t="inlineStr">
        <is>
          <t>Posts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>
      <c r="A3" s="1" t="n"/>
      <c r="B3" s="3" t="inlineStr">
        <is>
          <t>Every post, from the idea to the results. The status moves along as it goes.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 ht="30" customHeight="1">
      <c r="A5" s="1" t="n"/>
      <c r="B5" s="9" t="inlineStr">
        <is>
          <t>Date</t>
        </is>
      </c>
      <c r="C5" s="9" t="inlineStr">
        <is>
          <t>Time</t>
        </is>
      </c>
      <c r="D5" s="9" t="inlineStr">
        <is>
          <t>Platform</t>
        </is>
      </c>
      <c r="E5" s="9" t="inlineStr">
        <is>
          <t>Type</t>
        </is>
      </c>
      <c r="F5" s="9" t="inlineStr">
        <is>
          <t>Topic</t>
        </is>
      </c>
      <c r="G5" s="9" t="inlineStr">
        <is>
          <t>Post</t>
        </is>
      </c>
      <c r="H5" s="9" t="inlineStr">
        <is>
          <t>Status</t>
        </is>
      </c>
      <c r="I5" s="9" t="inlineStr">
        <is>
          <t>Link or note</t>
        </is>
      </c>
      <c r="J5" s="9" t="inlineStr">
        <is>
          <t>Reach</t>
        </is>
      </c>
      <c r="K5" s="9" t="inlineStr">
        <is>
          <t>Likes</t>
        </is>
      </c>
      <c r="L5" s="9" t="inlineStr">
        <is>
          <t>Comments</t>
        </is>
      </c>
      <c r="M5" s="9" t="inlineStr">
        <is>
          <t>Shares</t>
        </is>
      </c>
      <c r="N5" s="9" t="inlineStr">
        <is>
          <t>Saves</t>
        </is>
      </c>
      <c r="O5" s="9" t="inlineStr">
        <is>
          <t>Interactions</t>
        </is>
      </c>
      <c r="P5" s="9" t="inlineStr">
        <is>
          <t>Rate</t>
        </is>
      </c>
      <c r="Q5" s="9" t="inlineStr">
        <is>
          <t>Check</t>
        </is>
      </c>
      <c r="R5" s="1" t="n"/>
    </row>
    <row r="6">
      <c r="A6" s="1" t="n"/>
      <c r="B6" s="21" t="n">
        <v>46244</v>
      </c>
      <c r="C6" s="22" t="n">
        <v>0.5208333333333334</v>
      </c>
      <c r="D6" s="23" t="inlineStr">
        <is>
          <t>Instagram</t>
        </is>
      </c>
      <c r="E6" s="24" t="inlineStr">
        <is>
          <t>Reel</t>
        </is>
      </c>
      <c r="F6" s="23" t="inlineStr">
        <is>
          <t>How to</t>
        </is>
      </c>
      <c r="G6" s="25" t="inlineStr">
        <is>
          <t>Styling a shelf</t>
        </is>
      </c>
      <c r="H6" s="24" t="inlineStr">
        <is>
          <t>Published</t>
        </is>
      </c>
      <c r="I6" s="23" t="n"/>
      <c r="J6" s="26" t="n">
        <v>1911</v>
      </c>
      <c r="K6" s="26" t="n">
        <v>152</v>
      </c>
      <c r="L6" s="26" t="n">
        <v>28</v>
      </c>
      <c r="M6" s="26" t="n">
        <v>6</v>
      </c>
      <c r="N6" s="26" t="n">
        <v>24</v>
      </c>
      <c r="O6" s="27">
        <f>IF(COUNT(K6:N6)=0,"",SUM(K6:N6))</f>
        <v/>
      </c>
      <c r="P6" s="16">
        <f>IF(OR(O6="",N(J6)&lt;=0),"",O6/J6)</f>
        <v/>
      </c>
      <c r="Q6" s="28">
        <f>IF(V6=1,"Late","")</f>
        <v/>
      </c>
      <c r="R6" s="1">
        <f>IF(ISNUMBER(B6),INT(B6)*10000000+IF(ISNUMBER(C6),ROUND(MOD(C6,1)*1440,0),0)*1000+ROW(),"")</f>
        <v/>
      </c>
      <c r="S6">
        <f>IF(ISNUMBER(B6),INT(B6)-WEEKDAY(B6,3),"")</f>
        <v/>
      </c>
      <c r="T6">
        <f>IF(ISNUMBER(B6),YEAR(B6)*100+MONTH(B6),"")</f>
        <v/>
      </c>
      <c r="U6">
        <f>IF(AND(ISNUMBER(B6),H6&lt;&gt;"Published"),IF(INT(B6)&gt;=TODAY(),R6,""),"")</f>
        <v/>
      </c>
      <c r="V6">
        <f>IF(AND(ISNUMBER(B6),OR(H6="Draft",H6="Scheduled")),IF(INT(B6)&lt;TODAY(),1,0),0)</f>
        <v/>
      </c>
      <c r="W6">
        <f>IF(AND(H6="Published",N(O6)&gt;0),IF(T6=(YEAR(TODAY())*100+MONTH(TODAY())),ROUND(O6,0)*1000+1000-ROW(),""),"")</f>
        <v/>
      </c>
    </row>
    <row r="7">
      <c r="A7" s="1" t="n"/>
      <c r="B7" s="21" t="n">
        <v>46245</v>
      </c>
      <c r="C7" s="22" t="n">
        <v>0.375</v>
      </c>
      <c r="D7" s="23" t="inlineStr">
        <is>
          <t>Instagram</t>
        </is>
      </c>
      <c r="E7" s="24" t="inlineStr">
        <is>
          <t>Reel</t>
        </is>
      </c>
      <c r="F7" s="23" t="inlineStr">
        <is>
          <t>Customer stories</t>
        </is>
      </c>
      <c r="G7" s="25" t="inlineStr">
        <is>
          <t>Candle in a new home</t>
        </is>
      </c>
      <c r="H7" s="24" t="inlineStr">
        <is>
          <t>Published</t>
        </is>
      </c>
      <c r="I7" s="23" t="n"/>
      <c r="J7" s="26" t="n">
        <v>2276</v>
      </c>
      <c r="K7" s="26" t="n">
        <v>133</v>
      </c>
      <c r="L7" s="26" t="n">
        <v>11</v>
      </c>
      <c r="M7" s="26" t="n">
        <v>11</v>
      </c>
      <c r="N7" s="26" t="n">
        <v>16</v>
      </c>
      <c r="O7" s="27">
        <f>IF(COUNT(K7:N7)=0,"",SUM(K7:N7))</f>
        <v/>
      </c>
      <c r="P7" s="16">
        <f>IF(OR(O7="",N(J7)&lt;=0),"",O7/J7)</f>
        <v/>
      </c>
      <c r="Q7" s="28">
        <f>IF(V7=1,"Late","")</f>
        <v/>
      </c>
      <c r="R7" s="1">
        <f>IF(ISNUMBER(B7),INT(B7)*10000000+IF(ISNUMBER(C7),ROUND(MOD(C7,1)*1440,0),0)*1000+ROW(),"")</f>
        <v/>
      </c>
      <c r="S7">
        <f>IF(ISNUMBER(B7),INT(B7)-WEEKDAY(B7,3),"")</f>
        <v/>
      </c>
      <c r="T7">
        <f>IF(ISNUMBER(B7),YEAR(B7)*100+MONTH(B7),"")</f>
        <v/>
      </c>
      <c r="U7">
        <f>IF(AND(ISNUMBER(B7),H7&lt;&gt;"Published"),IF(INT(B7)&gt;=TODAY(),R7,""),"")</f>
        <v/>
      </c>
      <c r="V7">
        <f>IF(AND(ISNUMBER(B7),OR(H7="Draft",H7="Scheduled")),IF(INT(B7)&lt;TODAY(),1,0),0)</f>
        <v/>
      </c>
      <c r="W7">
        <f>IF(AND(H7="Published",N(O7)&gt;0),IF(T7=(YEAR(TODAY())*100+MONTH(TODAY())),ROUND(O7,0)*1000+1000-ROW(),""),"")</f>
        <v/>
      </c>
    </row>
    <row r="8">
      <c r="A8" s="1" t="n"/>
      <c r="B8" s="21" t="n">
        <v>46245</v>
      </c>
      <c r="C8" s="22" t="n">
        <v>0.5</v>
      </c>
      <c r="D8" s="23" t="inlineStr">
        <is>
          <t>Pinterest</t>
        </is>
      </c>
      <c r="E8" s="24" t="inlineStr">
        <is>
          <t>Pin</t>
        </is>
      </c>
      <c r="F8" s="23" t="inlineStr">
        <is>
          <t>How to</t>
        </is>
      </c>
      <c r="G8" s="25" t="inlineStr">
        <is>
          <t>How to trim a wick</t>
        </is>
      </c>
      <c r="H8" s="24" t="inlineStr">
        <is>
          <t>Published</t>
        </is>
      </c>
      <c r="I8" s="23" t="n"/>
      <c r="J8" s="26" t="n">
        <v>1684</v>
      </c>
      <c r="K8" s="26" t="n">
        <v>58</v>
      </c>
      <c r="L8" s="26" t="n">
        <v>7</v>
      </c>
      <c r="M8" s="26" t="n">
        <v>3</v>
      </c>
      <c r="N8" s="26" t="n">
        <v>10</v>
      </c>
      <c r="O8" s="27">
        <f>IF(COUNT(K8:N8)=0,"",SUM(K8:N8))</f>
        <v/>
      </c>
      <c r="P8" s="16">
        <f>IF(OR(O8="",N(J8)&lt;=0),"",O8/J8)</f>
        <v/>
      </c>
      <c r="Q8" s="28">
        <f>IF(V8=1,"Late","")</f>
        <v/>
      </c>
      <c r="R8" s="1">
        <f>IF(ISNUMBER(B8),INT(B8)*10000000+IF(ISNUMBER(C8),ROUND(MOD(C8,1)*1440,0),0)*1000+ROW(),"")</f>
        <v/>
      </c>
      <c r="S8">
        <f>IF(ISNUMBER(B8),INT(B8)-WEEKDAY(B8,3),"")</f>
        <v/>
      </c>
      <c r="T8">
        <f>IF(ISNUMBER(B8),YEAR(B8)*100+MONTH(B8),"")</f>
        <v/>
      </c>
      <c r="U8">
        <f>IF(AND(ISNUMBER(B8),H8&lt;&gt;"Published"),IF(INT(B8)&gt;=TODAY(),R8,""),"")</f>
        <v/>
      </c>
      <c r="V8">
        <f>IF(AND(ISNUMBER(B8),OR(H8="Draft",H8="Scheduled")),IF(INT(B8)&lt;TODAY(),1,0),0)</f>
        <v/>
      </c>
      <c r="W8">
        <f>IF(AND(H8="Published",N(O8)&gt;0),IF(T8=(YEAR(TODAY())*100+MONTH(TODAY())),ROUND(O8,0)*1000+1000-ROW(),""),"")</f>
        <v/>
      </c>
    </row>
    <row r="9">
      <c r="A9" s="1" t="n"/>
      <c r="B9" s="21" t="n">
        <v>46245</v>
      </c>
      <c r="C9" s="22" t="n">
        <v>0.5</v>
      </c>
      <c r="D9" s="23" t="inlineStr">
        <is>
          <t>Newsletter</t>
        </is>
      </c>
      <c r="E9" s="24" t="inlineStr">
        <is>
          <t>Email</t>
        </is>
      </c>
      <c r="F9" s="23" t="inlineStr">
        <is>
          <t>Tips</t>
        </is>
      </c>
      <c r="G9" s="25" t="inlineStr">
        <is>
          <t>Three cosy evening ideas</t>
        </is>
      </c>
      <c r="H9" s="24" t="inlineStr">
        <is>
          <t>Published</t>
        </is>
      </c>
      <c r="I9" s="23" t="inlineStr">
        <is>
          <t>Link in bio</t>
        </is>
      </c>
      <c r="J9" s="26" t="n">
        <v>565</v>
      </c>
      <c r="K9" s="26" t="n">
        <v>37</v>
      </c>
      <c r="L9" s="26" t="n">
        <v>2</v>
      </c>
      <c r="M9" s="26" t="n">
        <v>2</v>
      </c>
      <c r="N9" s="26" t="n">
        <v>10</v>
      </c>
      <c r="O9" s="27">
        <f>IF(COUNT(K9:N9)=0,"",SUM(K9:N9))</f>
        <v/>
      </c>
      <c r="P9" s="16">
        <f>IF(OR(O9="",N(J9)&lt;=0),"",O9/J9)</f>
        <v/>
      </c>
      <c r="Q9" s="28">
        <f>IF(V9=1,"Late","")</f>
        <v/>
      </c>
      <c r="R9" s="1">
        <f>IF(ISNUMBER(B9),INT(B9)*10000000+IF(ISNUMBER(C9),ROUND(MOD(C9,1)*1440,0),0)*1000+ROW(),"")</f>
        <v/>
      </c>
      <c r="S9">
        <f>IF(ISNUMBER(B9),INT(B9)-WEEKDAY(B9,3),"")</f>
        <v/>
      </c>
      <c r="T9">
        <f>IF(ISNUMBER(B9),YEAR(B9)*100+MONTH(B9),"")</f>
        <v/>
      </c>
      <c r="U9">
        <f>IF(AND(ISNUMBER(B9),H9&lt;&gt;"Published"),IF(INT(B9)&gt;=TODAY(),R9,""),"")</f>
        <v/>
      </c>
      <c r="V9">
        <f>IF(AND(ISNUMBER(B9),OR(H9="Draft",H9="Scheduled")),IF(INT(B9)&lt;TODAY(),1,0),0)</f>
        <v/>
      </c>
      <c r="W9">
        <f>IF(AND(H9="Published",N(O9)&gt;0),IF(T9=(YEAR(TODAY())*100+MONTH(TODAY())),ROUND(O9,0)*1000+1000-ROW(),""),"")</f>
        <v/>
      </c>
    </row>
    <row r="10">
      <c r="A10" s="1" t="n"/>
      <c r="B10" s="21" t="n">
        <v>46245</v>
      </c>
      <c r="C10" s="22" t="n">
        <v>0.7916666666666666</v>
      </c>
      <c r="D10" s="23" t="inlineStr">
        <is>
          <t>YouTube</t>
        </is>
      </c>
      <c r="E10" s="24" t="inlineStr">
        <is>
          <t>Video</t>
        </is>
      </c>
      <c r="F10" s="23" t="inlineStr">
        <is>
          <t>How to</t>
        </is>
      </c>
      <c r="G10" s="25" t="inlineStr">
        <is>
          <t>How to get an even burn</t>
        </is>
      </c>
      <c r="H10" s="24" t="inlineStr">
        <is>
          <t>Published</t>
        </is>
      </c>
      <c r="I10" s="23" t="n"/>
      <c r="J10" s="26" t="n">
        <v>684</v>
      </c>
      <c r="K10" s="26" t="n">
        <v>53</v>
      </c>
      <c r="L10" s="26" t="n">
        <v>8</v>
      </c>
      <c r="M10" s="26" t="n">
        <v>2</v>
      </c>
      <c r="N10" s="26" t="n">
        <v>7</v>
      </c>
      <c r="O10" s="27">
        <f>IF(COUNT(K10:N10)=0,"",SUM(K10:N10))</f>
        <v/>
      </c>
      <c r="P10" s="16">
        <f>IF(OR(O10="",N(J10)&lt;=0),"",O10/J10)</f>
        <v/>
      </c>
      <c r="Q10" s="28">
        <f>IF(V10=1,"Late","")</f>
        <v/>
      </c>
      <c r="R10" s="1">
        <f>IF(ISNUMBER(B10),INT(B10)*10000000+IF(ISNUMBER(C10),ROUND(MOD(C10,1)*1440,0),0)*1000+ROW(),"")</f>
        <v/>
      </c>
      <c r="S10">
        <f>IF(ISNUMBER(B10),INT(B10)-WEEKDAY(B10,3),"")</f>
        <v/>
      </c>
      <c r="T10">
        <f>IF(ISNUMBER(B10),YEAR(B10)*100+MONTH(B10),"")</f>
        <v/>
      </c>
      <c r="U10">
        <f>IF(AND(ISNUMBER(B10),H10&lt;&gt;"Published"),IF(INT(B10)&gt;=TODAY(),R10,""),"")</f>
        <v/>
      </c>
      <c r="V10">
        <f>IF(AND(ISNUMBER(B10),OR(H10="Draft",H10="Scheduled")),IF(INT(B10)&lt;TODAY(),1,0),0)</f>
        <v/>
      </c>
      <c r="W10">
        <f>IF(AND(H10="Published",N(O10)&gt;0),IF(T10=(YEAR(TODAY())*100+MONTH(TODAY())),ROUND(O10,0)*1000+1000-ROW(),""),"")</f>
        <v/>
      </c>
    </row>
    <row r="11">
      <c r="A11" s="1" t="n"/>
      <c r="B11" s="21" t="n">
        <v>46246</v>
      </c>
      <c r="C11" s="22" t="n">
        <v>0.5</v>
      </c>
      <c r="D11" s="23" t="inlineStr">
        <is>
          <t>TikTok</t>
        </is>
      </c>
      <c r="E11" s="24" t="inlineStr">
        <is>
          <t>Short</t>
        </is>
      </c>
      <c r="F11" s="23" t="inlineStr">
        <is>
          <t>Behind the scenes</t>
        </is>
      </c>
      <c r="G11" s="25" t="inlineStr">
        <is>
          <t>Studio tidy up</t>
        </is>
      </c>
      <c r="H11" s="24" t="inlineStr">
        <is>
          <t>Published</t>
        </is>
      </c>
      <c r="I11" s="23" t="n"/>
      <c r="J11" s="26" t="n">
        <v>3415</v>
      </c>
      <c r="K11" s="26" t="n">
        <v>130</v>
      </c>
      <c r="L11" s="26" t="n">
        <v>10</v>
      </c>
      <c r="M11" s="26" t="n">
        <v>5</v>
      </c>
      <c r="N11" s="26" t="n">
        <v>21</v>
      </c>
      <c r="O11" s="27">
        <f>IF(COUNT(K11:N11)=0,"",SUM(K11:N11))</f>
        <v/>
      </c>
      <c r="P11" s="16">
        <f>IF(OR(O11="",N(J11)&lt;=0),"",O11/J11)</f>
        <v/>
      </c>
      <c r="Q11" s="28">
        <f>IF(V11=1,"Late","")</f>
        <v/>
      </c>
      <c r="R11" s="1">
        <f>IF(ISNUMBER(B11),INT(B11)*10000000+IF(ISNUMBER(C11),ROUND(MOD(C11,1)*1440,0),0)*1000+ROW(),"")</f>
        <v/>
      </c>
      <c r="S11">
        <f>IF(ISNUMBER(B11),INT(B11)-WEEKDAY(B11,3),"")</f>
        <v/>
      </c>
      <c r="T11">
        <f>IF(ISNUMBER(B11),YEAR(B11)*100+MONTH(B11),"")</f>
        <v/>
      </c>
      <c r="U11">
        <f>IF(AND(ISNUMBER(B11),H11&lt;&gt;"Published"),IF(INT(B11)&gt;=TODAY(),R11,""),"")</f>
        <v/>
      </c>
      <c r="V11">
        <f>IF(AND(ISNUMBER(B11),OR(H11="Draft",H11="Scheduled")),IF(INT(B11)&lt;TODAY(),1,0),0)</f>
        <v/>
      </c>
      <c r="W11">
        <f>IF(AND(H11="Published",N(O11)&gt;0),IF(T11=(YEAR(TODAY())*100+MONTH(TODAY())),ROUND(O11,0)*1000+1000-ROW(),""),"")</f>
        <v/>
      </c>
    </row>
    <row r="12">
      <c r="A12" s="1" t="n"/>
      <c r="B12" s="21" t="n">
        <v>46247</v>
      </c>
      <c r="C12" s="22" t="n">
        <v>0.3958333333333333</v>
      </c>
      <c r="D12" s="23" t="inlineStr">
        <is>
          <t>Pinterest</t>
        </is>
      </c>
      <c r="E12" s="24" t="inlineStr">
        <is>
          <t>Pin</t>
        </is>
      </c>
      <c r="F12" s="23" t="inlineStr">
        <is>
          <t>New products</t>
        </is>
      </c>
      <c r="G12" s="25" t="inlineStr">
        <is>
          <t>Meet the new tin</t>
        </is>
      </c>
      <c r="H12" s="24" t="inlineStr">
        <is>
          <t>Published</t>
        </is>
      </c>
      <c r="I12" s="23" t="n"/>
      <c r="J12" s="26" t="n">
        <v>1710</v>
      </c>
      <c r="K12" s="26" t="n">
        <v>100</v>
      </c>
      <c r="L12" s="26" t="n">
        <v>7</v>
      </c>
      <c r="M12" s="26" t="n">
        <v>8</v>
      </c>
      <c r="N12" s="26" t="n">
        <v>6</v>
      </c>
      <c r="O12" s="27">
        <f>IF(COUNT(K12:N12)=0,"",SUM(K12:N12))</f>
        <v/>
      </c>
      <c r="P12" s="16">
        <f>IF(OR(O12="",N(J12)&lt;=0),"",O12/J12)</f>
        <v/>
      </c>
      <c r="Q12" s="28">
        <f>IF(V12=1,"Late","")</f>
        <v/>
      </c>
      <c r="R12" s="1">
        <f>IF(ISNUMBER(B12),INT(B12)*10000000+IF(ISNUMBER(C12),ROUND(MOD(C12,1)*1440,0),0)*1000+ROW(),"")</f>
        <v/>
      </c>
      <c r="S12">
        <f>IF(ISNUMBER(B12),INT(B12)-WEEKDAY(B12,3),"")</f>
        <v/>
      </c>
      <c r="T12">
        <f>IF(ISNUMBER(B12),YEAR(B12)*100+MONTH(B12),"")</f>
        <v/>
      </c>
      <c r="U12">
        <f>IF(AND(ISNUMBER(B12),H12&lt;&gt;"Published"),IF(INT(B12)&gt;=TODAY(),R12,""),"")</f>
        <v/>
      </c>
      <c r="V12">
        <f>IF(AND(ISNUMBER(B12),OR(H12="Draft",H12="Scheduled")),IF(INT(B12)&lt;TODAY(),1,0),0)</f>
        <v/>
      </c>
      <c r="W12">
        <f>IF(AND(H12="Published",N(O12)&gt;0),IF(T12=(YEAR(TODAY())*100+MONTH(TODAY())),ROUND(O12,0)*1000+1000-ROW(),""),"")</f>
        <v/>
      </c>
    </row>
    <row r="13">
      <c r="A13" s="1" t="n"/>
      <c r="B13" s="21" t="n">
        <v>46247</v>
      </c>
      <c r="C13" s="22" t="n">
        <v>0.5</v>
      </c>
      <c r="D13" s="23" t="inlineStr">
        <is>
          <t>Instagram</t>
        </is>
      </c>
      <c r="E13" s="24" t="inlineStr">
        <is>
          <t>Carousel</t>
        </is>
      </c>
      <c r="F13" s="23" t="inlineStr">
        <is>
          <t>Customer stories</t>
        </is>
      </c>
      <c r="G13" s="25" t="inlineStr">
        <is>
          <t>Your photos this month</t>
        </is>
      </c>
      <c r="H13" s="24" t="inlineStr">
        <is>
          <t>Published</t>
        </is>
      </c>
      <c r="I13" s="23" t="n"/>
      <c r="J13" s="26" t="n">
        <v>2195</v>
      </c>
      <c r="K13" s="26" t="n">
        <v>105</v>
      </c>
      <c r="L13" s="26" t="n">
        <v>20</v>
      </c>
      <c r="M13" s="26" t="n">
        <v>4</v>
      </c>
      <c r="N13" s="26" t="n">
        <v>21</v>
      </c>
      <c r="O13" s="27">
        <f>IF(COUNT(K13:N13)=0,"",SUM(K13:N13))</f>
        <v/>
      </c>
      <c r="P13" s="16">
        <f>IF(OR(O13="",N(J13)&lt;=0),"",O13/J13)</f>
        <v/>
      </c>
      <c r="Q13" s="28">
        <f>IF(V13=1,"Late","")</f>
        <v/>
      </c>
      <c r="R13" s="1">
        <f>IF(ISNUMBER(B13),INT(B13)*10000000+IF(ISNUMBER(C13),ROUND(MOD(C13,1)*1440,0),0)*1000+ROW(),"")</f>
        <v/>
      </c>
      <c r="S13">
        <f>IF(ISNUMBER(B13),INT(B13)-WEEKDAY(B13,3),"")</f>
        <v/>
      </c>
      <c r="T13">
        <f>IF(ISNUMBER(B13),YEAR(B13)*100+MONTH(B13),"")</f>
        <v/>
      </c>
      <c r="U13">
        <f>IF(AND(ISNUMBER(B13),H13&lt;&gt;"Published"),IF(INT(B13)&gt;=TODAY(),R13,""),"")</f>
        <v/>
      </c>
      <c r="V13">
        <f>IF(AND(ISNUMBER(B13),OR(H13="Draft",H13="Scheduled")),IF(INT(B13)&lt;TODAY(),1,0),0)</f>
        <v/>
      </c>
      <c r="W13">
        <f>IF(AND(H13="Published",N(O13)&gt;0),IF(T13=(YEAR(TODAY())*100+MONTH(TODAY())),ROUND(O13,0)*1000+1000-ROW(),""),"")</f>
        <v/>
      </c>
    </row>
    <row r="14">
      <c r="A14" s="1" t="n"/>
      <c r="B14" s="21" t="n">
        <v>46248</v>
      </c>
      <c r="C14" s="22" t="n">
        <v>0.7708333333333334</v>
      </c>
      <c r="D14" s="23" t="inlineStr">
        <is>
          <t>TikTok</t>
        </is>
      </c>
      <c r="E14" s="24" t="inlineStr">
        <is>
          <t>Short</t>
        </is>
      </c>
      <c r="F14" s="23" t="inlineStr">
        <is>
          <t>Customer stories</t>
        </is>
      </c>
      <c r="G14" s="25" t="inlineStr">
        <is>
          <t>Candle in a new home</t>
        </is>
      </c>
      <c r="H14" s="24" t="inlineStr">
        <is>
          <t>Published</t>
        </is>
      </c>
      <c r="I14" s="23" t="n"/>
      <c r="J14" s="26" t="n">
        <v>4628</v>
      </c>
      <c r="K14" s="26" t="n">
        <v>346</v>
      </c>
      <c r="L14" s="26" t="n">
        <v>69</v>
      </c>
      <c r="M14" s="26" t="n">
        <v>14</v>
      </c>
      <c r="N14" s="26" t="n">
        <v>100</v>
      </c>
      <c r="O14" s="27">
        <f>IF(COUNT(K14:N14)=0,"",SUM(K14:N14))</f>
        <v/>
      </c>
      <c r="P14" s="16">
        <f>IF(OR(O14="",N(J14)&lt;=0),"",O14/J14)</f>
        <v/>
      </c>
      <c r="Q14" s="28">
        <f>IF(V14=1,"Late","")</f>
        <v/>
      </c>
      <c r="R14" s="1">
        <f>IF(ISNUMBER(B14),INT(B14)*10000000+IF(ISNUMBER(C14),ROUND(MOD(C14,1)*1440,0),0)*1000+ROW(),"")</f>
        <v/>
      </c>
      <c r="S14">
        <f>IF(ISNUMBER(B14),INT(B14)-WEEKDAY(B14,3),"")</f>
        <v/>
      </c>
      <c r="T14">
        <f>IF(ISNUMBER(B14),YEAR(B14)*100+MONTH(B14),"")</f>
        <v/>
      </c>
      <c r="U14">
        <f>IF(AND(ISNUMBER(B14),H14&lt;&gt;"Published"),IF(INT(B14)&gt;=TODAY(),R14,""),"")</f>
        <v/>
      </c>
      <c r="V14">
        <f>IF(AND(ISNUMBER(B14),OR(H14="Draft",H14="Scheduled")),IF(INT(B14)&lt;TODAY(),1,0),0)</f>
        <v/>
      </c>
      <c r="W14">
        <f>IF(AND(H14="Published",N(O14)&gt;0),IF(T14=(YEAR(TODAY())*100+MONTH(TODAY())),ROUND(O14,0)*1000+1000-ROW(),""),"")</f>
        <v/>
      </c>
    </row>
    <row r="15">
      <c r="A15" s="1" t="n"/>
      <c r="B15" s="21" t="n">
        <v>46249</v>
      </c>
      <c r="C15" s="22" t="n">
        <v>0.75</v>
      </c>
      <c r="D15" s="23" t="inlineStr">
        <is>
          <t>Instagram</t>
        </is>
      </c>
      <c r="E15" s="24" t="inlineStr">
        <is>
          <t>Post</t>
        </is>
      </c>
      <c r="F15" s="23" t="inlineStr">
        <is>
          <t>Behind the scenes</t>
        </is>
      </c>
      <c r="G15" s="25" t="inlineStr">
        <is>
          <t>Packing orders</t>
        </is>
      </c>
      <c r="H15" s="24" t="inlineStr">
        <is>
          <t>Published</t>
        </is>
      </c>
      <c r="I15" s="23" t="n"/>
      <c r="J15" s="26" t="n">
        <v>1813</v>
      </c>
      <c r="K15" s="26" t="n">
        <v>42</v>
      </c>
      <c r="L15" s="26" t="n">
        <v>7</v>
      </c>
      <c r="M15" s="26" t="n">
        <v>3</v>
      </c>
      <c r="N15" s="26" t="n">
        <v>6</v>
      </c>
      <c r="O15" s="27">
        <f>IF(COUNT(K15:N15)=0,"",SUM(K15:N15))</f>
        <v/>
      </c>
      <c r="P15" s="16">
        <f>IF(OR(O15="",N(J15)&lt;=0),"",O15/J15)</f>
        <v/>
      </c>
      <c r="Q15" s="28">
        <f>IF(V15=1,"Late","")</f>
        <v/>
      </c>
      <c r="R15" s="1">
        <f>IF(ISNUMBER(B15),INT(B15)*10000000+IF(ISNUMBER(C15),ROUND(MOD(C15,1)*1440,0),0)*1000+ROW(),"")</f>
        <v/>
      </c>
      <c r="S15">
        <f>IF(ISNUMBER(B15),INT(B15)-WEEKDAY(B15,3),"")</f>
        <v/>
      </c>
      <c r="T15">
        <f>IF(ISNUMBER(B15),YEAR(B15)*100+MONTH(B15),"")</f>
        <v/>
      </c>
      <c r="U15">
        <f>IF(AND(ISNUMBER(B15),H15&lt;&gt;"Published"),IF(INT(B15)&gt;=TODAY(),R15,""),"")</f>
        <v/>
      </c>
      <c r="V15">
        <f>IF(AND(ISNUMBER(B15),OR(H15="Draft",H15="Scheduled")),IF(INT(B15)&lt;TODAY(),1,0),0)</f>
        <v/>
      </c>
      <c r="W15">
        <f>IF(AND(H15="Published",N(O15)&gt;0),IF(T15=(YEAR(TODAY())*100+MONTH(TODAY())),ROUND(O15,0)*1000+1000-ROW(),""),"")</f>
        <v/>
      </c>
    </row>
    <row r="16">
      <c r="A16" s="1" t="n"/>
      <c r="B16" s="21" t="n">
        <v>46249</v>
      </c>
      <c r="C16" s="22" t="n">
        <v>0.8125</v>
      </c>
      <c r="D16" s="23" t="inlineStr">
        <is>
          <t>Pinterest</t>
        </is>
      </c>
      <c r="E16" s="24" t="inlineStr">
        <is>
          <t>Pin</t>
        </is>
      </c>
      <c r="F16" s="23" t="inlineStr">
        <is>
          <t>New products</t>
        </is>
      </c>
      <c r="G16" s="25" t="inlineStr">
        <is>
          <t>Refill jars</t>
        </is>
      </c>
      <c r="H16" s="24" t="inlineStr">
        <is>
          <t>Published</t>
        </is>
      </c>
      <c r="I16" s="23" t="n"/>
      <c r="J16" s="26" t="n">
        <v>1359</v>
      </c>
      <c r="K16" s="26" t="n">
        <v>101</v>
      </c>
      <c r="L16" s="26" t="n">
        <v>13</v>
      </c>
      <c r="M16" s="26" t="n">
        <v>7</v>
      </c>
      <c r="N16" s="26" t="n">
        <v>11</v>
      </c>
      <c r="O16" s="27">
        <f>IF(COUNT(K16:N16)=0,"",SUM(K16:N16))</f>
        <v/>
      </c>
      <c r="P16" s="16">
        <f>IF(OR(O16="",N(J16)&lt;=0),"",O16/J16)</f>
        <v/>
      </c>
      <c r="Q16" s="28">
        <f>IF(V16=1,"Late","")</f>
        <v/>
      </c>
      <c r="R16" s="1">
        <f>IF(ISNUMBER(B16),INT(B16)*10000000+IF(ISNUMBER(C16),ROUND(MOD(C16,1)*1440,0),0)*1000+ROW(),"")</f>
        <v/>
      </c>
      <c r="S16">
        <f>IF(ISNUMBER(B16),INT(B16)-WEEKDAY(B16,3),"")</f>
        <v/>
      </c>
      <c r="T16">
        <f>IF(ISNUMBER(B16),YEAR(B16)*100+MONTH(B16),"")</f>
        <v/>
      </c>
      <c r="U16">
        <f>IF(AND(ISNUMBER(B16),H16&lt;&gt;"Published"),IF(INT(B16)&gt;=TODAY(),R16,""),"")</f>
        <v/>
      </c>
      <c r="V16">
        <f>IF(AND(ISNUMBER(B16),OR(H16="Draft",H16="Scheduled")),IF(INT(B16)&lt;TODAY(),1,0),0)</f>
        <v/>
      </c>
      <c r="W16">
        <f>IF(AND(H16="Published",N(O16)&gt;0),IF(T16=(YEAR(TODAY())*100+MONTH(TODAY())),ROUND(O16,0)*1000+1000-ROW(),""),"")</f>
        <v/>
      </c>
    </row>
    <row r="17">
      <c r="A17" s="1" t="n"/>
      <c r="B17" s="21" t="n">
        <v>46250</v>
      </c>
      <c r="C17" s="22" t="n">
        <v>0.5208333333333334</v>
      </c>
      <c r="D17" s="23" t="inlineStr">
        <is>
          <t>TikTok</t>
        </is>
      </c>
      <c r="E17" s="24" t="inlineStr">
        <is>
          <t>Short</t>
        </is>
      </c>
      <c r="F17" s="23" t="inlineStr">
        <is>
          <t>How to</t>
        </is>
      </c>
      <c r="G17" s="25" t="inlineStr">
        <is>
          <t>Care for your candle</t>
        </is>
      </c>
      <c r="H17" s="24" t="inlineStr">
        <is>
          <t>Published</t>
        </is>
      </c>
      <c r="I17" s="23" t="n"/>
      <c r="J17" s="26" t="n">
        <v>4612</v>
      </c>
      <c r="K17" s="26" t="n">
        <v>207</v>
      </c>
      <c r="L17" s="26" t="n">
        <v>29</v>
      </c>
      <c r="M17" s="26" t="n">
        <v>11</v>
      </c>
      <c r="N17" s="26" t="n">
        <v>37</v>
      </c>
      <c r="O17" s="27">
        <f>IF(COUNT(K17:N17)=0,"",SUM(K17:N17))</f>
        <v/>
      </c>
      <c r="P17" s="16">
        <f>IF(OR(O17="",N(J17)&lt;=0),"",O17/J17)</f>
        <v/>
      </c>
      <c r="Q17" s="28">
        <f>IF(V17=1,"Late","")</f>
        <v/>
      </c>
      <c r="R17" s="1">
        <f>IF(ISNUMBER(B17),INT(B17)*10000000+IF(ISNUMBER(C17),ROUND(MOD(C17,1)*1440,0),0)*1000+ROW(),"")</f>
        <v/>
      </c>
      <c r="S17">
        <f>IF(ISNUMBER(B17),INT(B17)-WEEKDAY(B17,3),"")</f>
        <v/>
      </c>
      <c r="T17">
        <f>IF(ISNUMBER(B17),YEAR(B17)*100+MONTH(B17),"")</f>
        <v/>
      </c>
      <c r="U17">
        <f>IF(AND(ISNUMBER(B17),H17&lt;&gt;"Published"),IF(INT(B17)&gt;=TODAY(),R17,""),"")</f>
        <v/>
      </c>
      <c r="V17">
        <f>IF(AND(ISNUMBER(B17),OR(H17="Draft",H17="Scheduled")),IF(INT(B17)&lt;TODAY(),1,0),0)</f>
        <v/>
      </c>
      <c r="W17">
        <f>IF(AND(H17="Published",N(O17)&gt;0),IF(T17=(YEAR(TODAY())*100+MONTH(TODAY())),ROUND(O17,0)*1000+1000-ROW(),""),"")</f>
        <v/>
      </c>
    </row>
    <row r="18">
      <c r="A18" s="1" t="n"/>
      <c r="B18" s="21" t="n">
        <v>46251</v>
      </c>
      <c r="C18" s="22" t="n">
        <v>0.5208333333333334</v>
      </c>
      <c r="D18" s="23" t="inlineStr">
        <is>
          <t>Instagram</t>
        </is>
      </c>
      <c r="E18" s="24" t="inlineStr">
        <is>
          <t>Reel</t>
        </is>
      </c>
      <c r="F18" s="23" t="inlineStr">
        <is>
          <t>Customer stories</t>
        </is>
      </c>
      <c r="G18" s="25" t="inlineStr">
        <is>
          <t>Your photos this month</t>
        </is>
      </c>
      <c r="H18" s="24" t="inlineStr">
        <is>
          <t>Published</t>
        </is>
      </c>
      <c r="I18" s="23" t="n"/>
      <c r="J18" s="26" t="n">
        <v>2242</v>
      </c>
      <c r="K18" s="26" t="n">
        <v>64</v>
      </c>
      <c r="L18" s="26" t="n">
        <v>7</v>
      </c>
      <c r="M18" s="26" t="n">
        <v>2</v>
      </c>
      <c r="N18" s="26" t="n">
        <v>16</v>
      </c>
      <c r="O18" s="27">
        <f>IF(COUNT(K18:N18)=0,"",SUM(K18:N18))</f>
        <v/>
      </c>
      <c r="P18" s="16">
        <f>IF(OR(O18="",N(J18)&lt;=0),"",O18/J18)</f>
        <v/>
      </c>
      <c r="Q18" s="28">
        <f>IF(V18=1,"Late","")</f>
        <v/>
      </c>
      <c r="R18" s="1">
        <f>IF(ISNUMBER(B18),INT(B18)*10000000+IF(ISNUMBER(C18),ROUND(MOD(C18,1)*1440,0),0)*1000+ROW(),"")</f>
        <v/>
      </c>
      <c r="S18">
        <f>IF(ISNUMBER(B18),INT(B18)-WEEKDAY(B18,3),"")</f>
        <v/>
      </c>
      <c r="T18">
        <f>IF(ISNUMBER(B18),YEAR(B18)*100+MONTH(B18),"")</f>
        <v/>
      </c>
      <c r="U18">
        <f>IF(AND(ISNUMBER(B18),H18&lt;&gt;"Published"),IF(INT(B18)&gt;=TODAY(),R18,""),"")</f>
        <v/>
      </c>
      <c r="V18">
        <f>IF(AND(ISNUMBER(B18),OR(H18="Draft",H18="Scheduled")),IF(INT(B18)&lt;TODAY(),1,0),0)</f>
        <v/>
      </c>
      <c r="W18">
        <f>IF(AND(H18="Published",N(O18)&gt;0),IF(T18=(YEAR(TODAY())*100+MONTH(TODAY())),ROUND(O18,0)*1000+1000-ROW(),""),"")</f>
        <v/>
      </c>
    </row>
    <row r="19">
      <c r="A19" s="1" t="n"/>
      <c r="B19" s="21" t="n">
        <v>46252</v>
      </c>
      <c r="C19" s="22" t="n">
        <v>0.3958333333333333</v>
      </c>
      <c r="D19" s="23" t="inlineStr">
        <is>
          <t>Instagram</t>
        </is>
      </c>
      <c r="E19" s="24" t="inlineStr">
        <is>
          <t>Post</t>
        </is>
      </c>
      <c r="F19" s="23" t="inlineStr">
        <is>
          <t>Behind the scenes</t>
        </is>
      </c>
      <c r="G19" s="25" t="inlineStr">
        <is>
          <t>Packing orders</t>
        </is>
      </c>
      <c r="H19" s="24" t="inlineStr">
        <is>
          <t>Published</t>
        </is>
      </c>
      <c r="I19" s="23" t="n"/>
      <c r="J19" s="26" t="n">
        <v>1377</v>
      </c>
      <c r="K19" s="26" t="n">
        <v>43</v>
      </c>
      <c r="L19" s="26" t="n">
        <v>6</v>
      </c>
      <c r="M19" s="26" t="n">
        <v>1</v>
      </c>
      <c r="N19" s="26" t="n">
        <v>10</v>
      </c>
      <c r="O19" s="27">
        <f>IF(COUNT(K19:N19)=0,"",SUM(K19:N19))</f>
        <v/>
      </c>
      <c r="P19" s="16">
        <f>IF(OR(O19="",N(J19)&lt;=0),"",O19/J19)</f>
        <v/>
      </c>
      <c r="Q19" s="28">
        <f>IF(V19=1,"Late","")</f>
        <v/>
      </c>
      <c r="R19" s="1">
        <f>IF(ISNUMBER(B19),INT(B19)*10000000+IF(ISNUMBER(C19),ROUND(MOD(C19,1)*1440,0),0)*1000+ROW(),"")</f>
        <v/>
      </c>
      <c r="S19">
        <f>IF(ISNUMBER(B19),INT(B19)-WEEKDAY(B19,3),"")</f>
        <v/>
      </c>
      <c r="T19">
        <f>IF(ISNUMBER(B19),YEAR(B19)*100+MONTH(B19),"")</f>
        <v/>
      </c>
      <c r="U19">
        <f>IF(AND(ISNUMBER(B19),H19&lt;&gt;"Published"),IF(INT(B19)&gt;=TODAY(),R19,""),"")</f>
        <v/>
      </c>
      <c r="V19">
        <f>IF(AND(ISNUMBER(B19),OR(H19="Draft",H19="Scheduled")),IF(INT(B19)&lt;TODAY(),1,0),0)</f>
        <v/>
      </c>
      <c r="W19">
        <f>IF(AND(H19="Published",N(O19)&gt;0),IF(T19=(YEAR(TODAY())*100+MONTH(TODAY())),ROUND(O19,0)*1000+1000-ROW(),""),"")</f>
        <v/>
      </c>
    </row>
    <row r="20">
      <c r="A20" s="1" t="n"/>
      <c r="B20" s="21" t="n">
        <v>46252</v>
      </c>
      <c r="C20" s="22" t="n">
        <v>0.3958333333333333</v>
      </c>
      <c r="D20" s="23" t="inlineStr">
        <is>
          <t>YouTube</t>
        </is>
      </c>
      <c r="E20" s="24" t="inlineStr">
        <is>
          <t>Video</t>
        </is>
      </c>
      <c r="F20" s="23" t="inlineStr">
        <is>
          <t>How to</t>
        </is>
      </c>
      <c r="G20" s="25" t="inlineStr">
        <is>
          <t>How to trim a wick</t>
        </is>
      </c>
      <c r="H20" s="24" t="inlineStr">
        <is>
          <t>Published</t>
        </is>
      </c>
      <c r="I20" s="23" t="n"/>
      <c r="J20" s="26" t="n">
        <v>957</v>
      </c>
      <c r="K20" s="26" t="n">
        <v>42</v>
      </c>
      <c r="L20" s="26" t="n">
        <v>8</v>
      </c>
      <c r="M20" s="26" t="n">
        <v>1</v>
      </c>
      <c r="N20" s="26" t="n">
        <v>9</v>
      </c>
      <c r="O20" s="27">
        <f>IF(COUNT(K20:N20)=0,"",SUM(K20:N20))</f>
        <v/>
      </c>
      <c r="P20" s="16">
        <f>IF(OR(O20="",N(J20)&lt;=0),"",O20/J20)</f>
        <v/>
      </c>
      <c r="Q20" s="28">
        <f>IF(V20=1,"Late","")</f>
        <v/>
      </c>
      <c r="R20" s="1">
        <f>IF(ISNUMBER(B20),INT(B20)*10000000+IF(ISNUMBER(C20),ROUND(MOD(C20,1)*1440,0),0)*1000+ROW(),"")</f>
        <v/>
      </c>
      <c r="S20">
        <f>IF(ISNUMBER(B20),INT(B20)-WEEKDAY(B20,3),"")</f>
        <v/>
      </c>
      <c r="T20">
        <f>IF(ISNUMBER(B20),YEAR(B20)*100+MONTH(B20),"")</f>
        <v/>
      </c>
      <c r="U20">
        <f>IF(AND(ISNUMBER(B20),H20&lt;&gt;"Published"),IF(INT(B20)&gt;=TODAY(),R20,""),"")</f>
        <v/>
      </c>
      <c r="V20">
        <f>IF(AND(ISNUMBER(B20),OR(H20="Draft",H20="Scheduled")),IF(INT(B20)&lt;TODAY(),1,0),0)</f>
        <v/>
      </c>
      <c r="W20">
        <f>IF(AND(H20="Published",N(O20)&gt;0),IF(T20=(YEAR(TODAY())*100+MONTH(TODAY())),ROUND(O20,0)*1000+1000-ROW(),""),"")</f>
        <v/>
      </c>
    </row>
    <row r="21">
      <c r="A21" s="1" t="n"/>
      <c r="B21" s="21" t="n">
        <v>46252</v>
      </c>
      <c r="C21" s="22" t="n">
        <v>0.5208333333333334</v>
      </c>
      <c r="D21" s="23" t="inlineStr">
        <is>
          <t>Pinterest</t>
        </is>
      </c>
      <c r="E21" s="24" t="inlineStr">
        <is>
          <t>Pin</t>
        </is>
      </c>
      <c r="F21" s="23" t="inlineStr">
        <is>
          <t>Tips</t>
        </is>
      </c>
      <c r="G21" s="25" t="inlineStr">
        <is>
          <t>Scent for small rooms</t>
        </is>
      </c>
      <c r="H21" s="24" t="inlineStr">
        <is>
          <t>Published</t>
        </is>
      </c>
      <c r="I21" s="23" t="n"/>
      <c r="J21" s="26" t="n">
        <v>1449</v>
      </c>
      <c r="K21" s="26" t="n">
        <v>72</v>
      </c>
      <c r="L21" s="26" t="n">
        <v>12</v>
      </c>
      <c r="M21" s="26" t="n">
        <v>4</v>
      </c>
      <c r="N21" s="26" t="n">
        <v>8</v>
      </c>
      <c r="O21" s="27">
        <f>IF(COUNT(K21:N21)=0,"",SUM(K21:N21))</f>
        <v/>
      </c>
      <c r="P21" s="16">
        <f>IF(OR(O21="",N(J21)&lt;=0),"",O21/J21)</f>
        <v/>
      </c>
      <c r="Q21" s="28">
        <f>IF(V21=1,"Late","")</f>
        <v/>
      </c>
      <c r="R21" s="1">
        <f>IF(ISNUMBER(B21),INT(B21)*10000000+IF(ISNUMBER(C21),ROUND(MOD(C21,1)*1440,0),0)*1000+ROW(),"")</f>
        <v/>
      </c>
      <c r="S21">
        <f>IF(ISNUMBER(B21),INT(B21)-WEEKDAY(B21,3),"")</f>
        <v/>
      </c>
      <c r="T21">
        <f>IF(ISNUMBER(B21),YEAR(B21)*100+MONTH(B21),"")</f>
        <v/>
      </c>
      <c r="U21">
        <f>IF(AND(ISNUMBER(B21),H21&lt;&gt;"Published"),IF(INT(B21)&gt;=TODAY(),R21,""),"")</f>
        <v/>
      </c>
      <c r="V21">
        <f>IF(AND(ISNUMBER(B21),OR(H21="Draft",H21="Scheduled")),IF(INT(B21)&lt;TODAY(),1,0),0)</f>
        <v/>
      </c>
      <c r="W21">
        <f>IF(AND(H21="Published",N(O21)&gt;0),IF(T21=(YEAR(TODAY())*100+MONTH(TODAY())),ROUND(O21,0)*1000+1000-ROW(),""),"")</f>
        <v/>
      </c>
    </row>
    <row r="22">
      <c r="A22" s="1" t="n"/>
      <c r="B22" s="21" t="n">
        <v>46252</v>
      </c>
      <c r="C22" s="22" t="n">
        <v>0.7916666666666666</v>
      </c>
      <c r="D22" s="23" t="inlineStr">
        <is>
          <t>Newsletter</t>
        </is>
      </c>
      <c r="E22" s="24" t="inlineStr">
        <is>
          <t>Email</t>
        </is>
      </c>
      <c r="F22" s="23" t="inlineStr">
        <is>
          <t>New products</t>
        </is>
      </c>
      <c r="G22" s="25" t="inlineStr">
        <is>
          <t>Refill jars</t>
        </is>
      </c>
      <c r="H22" s="24" t="inlineStr">
        <is>
          <t>Published</t>
        </is>
      </c>
      <c r="I22" s="23" t="n"/>
      <c r="J22" s="26" t="n">
        <v>592</v>
      </c>
      <c r="K22" s="26" t="n">
        <v>39</v>
      </c>
      <c r="L22" s="26" t="n">
        <v>7</v>
      </c>
      <c r="M22" s="26" t="n">
        <v>2</v>
      </c>
      <c r="N22" s="26" t="n">
        <v>3</v>
      </c>
      <c r="O22" s="27">
        <f>IF(COUNT(K22:N22)=0,"",SUM(K22:N22))</f>
        <v/>
      </c>
      <c r="P22" s="16">
        <f>IF(OR(O22="",N(J22)&lt;=0),"",O22/J22)</f>
        <v/>
      </c>
      <c r="Q22" s="28">
        <f>IF(V22=1,"Late","")</f>
        <v/>
      </c>
      <c r="R22" s="1">
        <f>IF(ISNUMBER(B22),INT(B22)*10000000+IF(ISNUMBER(C22),ROUND(MOD(C22,1)*1440,0),0)*1000+ROW(),"")</f>
        <v/>
      </c>
      <c r="S22">
        <f>IF(ISNUMBER(B22),INT(B22)-WEEKDAY(B22,3),"")</f>
        <v/>
      </c>
      <c r="T22">
        <f>IF(ISNUMBER(B22),YEAR(B22)*100+MONTH(B22),"")</f>
        <v/>
      </c>
      <c r="U22">
        <f>IF(AND(ISNUMBER(B22),H22&lt;&gt;"Published"),IF(INT(B22)&gt;=TODAY(),R22,""),"")</f>
        <v/>
      </c>
      <c r="V22">
        <f>IF(AND(ISNUMBER(B22),OR(H22="Draft",H22="Scheduled")),IF(INT(B22)&lt;TODAY(),1,0),0)</f>
        <v/>
      </c>
      <c r="W22">
        <f>IF(AND(H22="Published",N(O22)&gt;0),IF(T22=(YEAR(TODAY())*100+MONTH(TODAY())),ROUND(O22,0)*1000+1000-ROW(),""),"")</f>
        <v/>
      </c>
    </row>
    <row r="23">
      <c r="A23" s="1" t="n"/>
      <c r="B23" s="21" t="n">
        <v>46253</v>
      </c>
      <c r="C23" s="22" t="n">
        <v>0.375</v>
      </c>
      <c r="D23" s="23" t="inlineStr">
        <is>
          <t>TikTok</t>
        </is>
      </c>
      <c r="E23" s="24" t="inlineStr">
        <is>
          <t>Short</t>
        </is>
      </c>
      <c r="F23" s="23" t="inlineStr">
        <is>
          <t>Tips</t>
        </is>
      </c>
      <c r="G23" s="25" t="inlineStr">
        <is>
          <t>Three cosy evening ideas</t>
        </is>
      </c>
      <c r="H23" s="24" t="inlineStr">
        <is>
          <t>Published</t>
        </is>
      </c>
      <c r="I23" s="23" t="n"/>
      <c r="J23" s="26" t="n">
        <v>2304</v>
      </c>
      <c r="K23" s="26" t="n">
        <v>124</v>
      </c>
      <c r="L23" s="26" t="n">
        <v>13</v>
      </c>
      <c r="M23" s="26" t="n">
        <v>8</v>
      </c>
      <c r="N23" s="26" t="n">
        <v>17</v>
      </c>
      <c r="O23" s="27">
        <f>IF(COUNT(K23:N23)=0,"",SUM(K23:N23))</f>
        <v/>
      </c>
      <c r="P23" s="16">
        <f>IF(OR(O23="",N(J23)&lt;=0),"",O23/J23)</f>
        <v/>
      </c>
      <c r="Q23" s="28">
        <f>IF(V23=1,"Late","")</f>
        <v/>
      </c>
      <c r="R23" s="1">
        <f>IF(ISNUMBER(B23),INT(B23)*10000000+IF(ISNUMBER(C23),ROUND(MOD(C23,1)*1440,0),0)*1000+ROW(),"")</f>
        <v/>
      </c>
      <c r="S23">
        <f>IF(ISNUMBER(B23),INT(B23)-WEEKDAY(B23,3),"")</f>
        <v/>
      </c>
      <c r="T23">
        <f>IF(ISNUMBER(B23),YEAR(B23)*100+MONTH(B23),"")</f>
        <v/>
      </c>
      <c r="U23">
        <f>IF(AND(ISNUMBER(B23),H23&lt;&gt;"Published"),IF(INT(B23)&gt;=TODAY(),R23,""),"")</f>
        <v/>
      </c>
      <c r="V23">
        <f>IF(AND(ISNUMBER(B23),OR(H23="Draft",H23="Scheduled")),IF(INT(B23)&lt;TODAY(),1,0),0)</f>
        <v/>
      </c>
      <c r="W23">
        <f>IF(AND(H23="Published",N(O23)&gt;0),IF(T23=(YEAR(TODAY())*100+MONTH(TODAY())),ROUND(O23,0)*1000+1000-ROW(),""),"")</f>
        <v/>
      </c>
    </row>
    <row r="24">
      <c r="A24" s="1" t="n"/>
      <c r="B24" s="21" t="n">
        <v>46254</v>
      </c>
      <c r="C24" s="22" t="n">
        <v>0.375</v>
      </c>
      <c r="D24" s="23" t="inlineStr">
        <is>
          <t>Pinterest</t>
        </is>
      </c>
      <c r="E24" s="24" t="inlineStr">
        <is>
          <t>Pin</t>
        </is>
      </c>
      <c r="F24" s="23" t="inlineStr">
        <is>
          <t>Behind the scenes</t>
        </is>
      </c>
      <c r="G24" s="25" t="inlineStr">
        <is>
          <t>Pouring a new batch</t>
        </is>
      </c>
      <c r="H24" s="24" t="inlineStr">
        <is>
          <t>Published</t>
        </is>
      </c>
      <c r="I24" s="23" t="n"/>
      <c r="J24" s="26" t="n">
        <v>822</v>
      </c>
      <c r="K24" s="26" t="n">
        <v>51</v>
      </c>
      <c r="L24" s="26" t="n">
        <v>8</v>
      </c>
      <c r="M24" s="26" t="n">
        <v>2</v>
      </c>
      <c r="N24" s="26" t="n">
        <v>13</v>
      </c>
      <c r="O24" s="27">
        <f>IF(COUNT(K24:N24)=0,"",SUM(K24:N24))</f>
        <v/>
      </c>
      <c r="P24" s="16">
        <f>IF(OR(O24="",N(J24)&lt;=0),"",O24/J24)</f>
        <v/>
      </c>
      <c r="Q24" s="28">
        <f>IF(V24=1,"Late","")</f>
        <v/>
      </c>
      <c r="R24" s="1">
        <f>IF(ISNUMBER(B24),INT(B24)*10000000+IF(ISNUMBER(C24),ROUND(MOD(C24,1)*1440,0),0)*1000+ROW(),"")</f>
        <v/>
      </c>
      <c r="S24">
        <f>IF(ISNUMBER(B24),INT(B24)-WEEKDAY(B24,3),"")</f>
        <v/>
      </c>
      <c r="T24">
        <f>IF(ISNUMBER(B24),YEAR(B24)*100+MONTH(B24),"")</f>
        <v/>
      </c>
      <c r="U24">
        <f>IF(AND(ISNUMBER(B24),H24&lt;&gt;"Published"),IF(INT(B24)&gt;=TODAY(),R24,""),"")</f>
        <v/>
      </c>
      <c r="V24">
        <f>IF(AND(ISNUMBER(B24),OR(H24="Draft",H24="Scheduled")),IF(INT(B24)&lt;TODAY(),1,0),0)</f>
        <v/>
      </c>
      <c r="W24">
        <f>IF(AND(H24="Published",N(O24)&gt;0),IF(T24=(YEAR(TODAY())*100+MONTH(TODAY())),ROUND(O24,0)*1000+1000-ROW(),""),"")</f>
        <v/>
      </c>
    </row>
    <row r="25">
      <c r="A25" s="1" t="n"/>
      <c r="B25" s="21" t="n">
        <v>46254</v>
      </c>
      <c r="C25" s="22" t="n">
        <v>0.8125</v>
      </c>
      <c r="D25" s="23" t="inlineStr">
        <is>
          <t>Instagram</t>
        </is>
      </c>
      <c r="E25" s="24" t="inlineStr">
        <is>
          <t>Post</t>
        </is>
      </c>
      <c r="F25" s="23" t="inlineStr">
        <is>
          <t>How to</t>
        </is>
      </c>
      <c r="G25" s="25" t="inlineStr">
        <is>
          <t>Styling a shelf</t>
        </is>
      </c>
      <c r="H25" s="24" t="inlineStr">
        <is>
          <t>Published</t>
        </is>
      </c>
      <c r="I25" s="23" t="n"/>
      <c r="J25" s="26" t="n">
        <v>2315</v>
      </c>
      <c r="K25" s="26" t="n">
        <v>71</v>
      </c>
      <c r="L25" s="26" t="n">
        <v>4</v>
      </c>
      <c r="M25" s="26" t="n">
        <v>2</v>
      </c>
      <c r="N25" s="26" t="n">
        <v>20</v>
      </c>
      <c r="O25" s="27">
        <f>IF(COUNT(K25:N25)=0,"",SUM(K25:N25))</f>
        <v/>
      </c>
      <c r="P25" s="16">
        <f>IF(OR(O25="",N(J25)&lt;=0),"",O25/J25)</f>
        <v/>
      </c>
      <c r="Q25" s="28">
        <f>IF(V25=1,"Late","")</f>
        <v/>
      </c>
      <c r="R25" s="1">
        <f>IF(ISNUMBER(B25),INT(B25)*10000000+IF(ISNUMBER(C25),ROUND(MOD(C25,1)*1440,0),0)*1000+ROW(),"")</f>
        <v/>
      </c>
      <c r="S25">
        <f>IF(ISNUMBER(B25),INT(B25)-WEEKDAY(B25,3),"")</f>
        <v/>
      </c>
      <c r="T25">
        <f>IF(ISNUMBER(B25),YEAR(B25)*100+MONTH(B25),"")</f>
        <v/>
      </c>
      <c r="U25">
        <f>IF(AND(ISNUMBER(B25),H25&lt;&gt;"Published"),IF(INT(B25)&gt;=TODAY(),R25,""),"")</f>
        <v/>
      </c>
      <c r="V25">
        <f>IF(AND(ISNUMBER(B25),OR(H25="Draft",H25="Scheduled")),IF(INT(B25)&lt;TODAY(),1,0),0)</f>
        <v/>
      </c>
      <c r="W25">
        <f>IF(AND(H25="Published",N(O25)&gt;0),IF(T25=(YEAR(TODAY())*100+MONTH(TODAY())),ROUND(O25,0)*1000+1000-ROW(),""),"")</f>
        <v/>
      </c>
    </row>
    <row r="26">
      <c r="A26" s="1" t="n"/>
      <c r="B26" s="21" t="n">
        <v>46255</v>
      </c>
      <c r="C26" s="22" t="n">
        <v>0.5</v>
      </c>
      <c r="D26" s="23" t="inlineStr">
        <is>
          <t>TikTok</t>
        </is>
      </c>
      <c r="E26" s="24" t="inlineStr">
        <is>
          <t>Short</t>
        </is>
      </c>
      <c r="F26" s="23" t="inlineStr">
        <is>
          <t>How to</t>
        </is>
      </c>
      <c r="G26" s="25" t="inlineStr">
        <is>
          <t>How to trim a wick</t>
        </is>
      </c>
      <c r="H26" s="24" t="inlineStr">
        <is>
          <t>Published</t>
        </is>
      </c>
      <c r="I26" s="23" t="n"/>
      <c r="J26" s="26" t="n">
        <v>4287</v>
      </c>
      <c r="K26" s="26" t="n">
        <v>116</v>
      </c>
      <c r="L26" s="26" t="n">
        <v>7</v>
      </c>
      <c r="M26" s="26" t="n">
        <v>6</v>
      </c>
      <c r="N26" s="26" t="n">
        <v>8</v>
      </c>
      <c r="O26" s="27">
        <f>IF(COUNT(K26:N26)=0,"",SUM(K26:N26))</f>
        <v/>
      </c>
      <c r="P26" s="16">
        <f>IF(OR(O26="",N(J26)&lt;=0),"",O26/J26)</f>
        <v/>
      </c>
      <c r="Q26" s="28">
        <f>IF(V26=1,"Late","")</f>
        <v/>
      </c>
      <c r="R26" s="1">
        <f>IF(ISNUMBER(B26),INT(B26)*10000000+IF(ISNUMBER(C26),ROUND(MOD(C26,1)*1440,0),0)*1000+ROW(),"")</f>
        <v/>
      </c>
      <c r="S26">
        <f>IF(ISNUMBER(B26),INT(B26)-WEEKDAY(B26,3),"")</f>
        <v/>
      </c>
      <c r="T26">
        <f>IF(ISNUMBER(B26),YEAR(B26)*100+MONTH(B26),"")</f>
        <v/>
      </c>
      <c r="U26">
        <f>IF(AND(ISNUMBER(B26),H26&lt;&gt;"Published"),IF(INT(B26)&gt;=TODAY(),R26,""),"")</f>
        <v/>
      </c>
      <c r="V26">
        <f>IF(AND(ISNUMBER(B26),OR(H26="Draft",H26="Scheduled")),IF(INT(B26)&lt;TODAY(),1,0),0)</f>
        <v/>
      </c>
      <c r="W26">
        <f>IF(AND(H26="Published",N(O26)&gt;0),IF(T26=(YEAR(TODAY())*100+MONTH(TODAY())),ROUND(O26,0)*1000+1000-ROW(),""),"")</f>
        <v/>
      </c>
    </row>
    <row r="27">
      <c r="A27" s="1" t="n"/>
      <c r="B27" s="21" t="n">
        <v>46256</v>
      </c>
      <c r="C27" s="22" t="n">
        <v>0.5208333333333334</v>
      </c>
      <c r="D27" s="23" t="inlineStr">
        <is>
          <t>Pinterest</t>
        </is>
      </c>
      <c r="E27" s="24" t="inlineStr">
        <is>
          <t>Pin</t>
        </is>
      </c>
      <c r="F27" s="23" t="inlineStr">
        <is>
          <t>How to</t>
        </is>
      </c>
      <c r="G27" s="25" t="inlineStr">
        <is>
          <t>Care for your candle</t>
        </is>
      </c>
      <c r="H27" s="24" t="inlineStr">
        <is>
          <t>Published</t>
        </is>
      </c>
      <c r="I27" s="23" t="n"/>
      <c r="J27" s="26" t="n">
        <v>1300</v>
      </c>
      <c r="K27" s="26" t="n">
        <v>87</v>
      </c>
      <c r="L27" s="26" t="n">
        <v>5</v>
      </c>
      <c r="M27" s="26" t="n">
        <v>2</v>
      </c>
      <c r="N27" s="26" t="n">
        <v>7</v>
      </c>
      <c r="O27" s="27">
        <f>IF(COUNT(K27:N27)=0,"",SUM(K27:N27))</f>
        <v/>
      </c>
      <c r="P27" s="16">
        <f>IF(OR(O27="",N(J27)&lt;=0),"",O27/J27)</f>
        <v/>
      </c>
      <c r="Q27" s="28">
        <f>IF(V27=1,"Late","")</f>
        <v/>
      </c>
      <c r="R27" s="1">
        <f>IF(ISNUMBER(B27),INT(B27)*10000000+IF(ISNUMBER(C27),ROUND(MOD(C27,1)*1440,0),0)*1000+ROW(),"")</f>
        <v/>
      </c>
      <c r="S27">
        <f>IF(ISNUMBER(B27),INT(B27)-WEEKDAY(B27,3),"")</f>
        <v/>
      </c>
      <c r="T27">
        <f>IF(ISNUMBER(B27),YEAR(B27)*100+MONTH(B27),"")</f>
        <v/>
      </c>
      <c r="U27">
        <f>IF(AND(ISNUMBER(B27),H27&lt;&gt;"Published"),IF(INT(B27)&gt;=TODAY(),R27,""),"")</f>
        <v/>
      </c>
      <c r="V27">
        <f>IF(AND(ISNUMBER(B27),OR(H27="Draft",H27="Scheduled")),IF(INT(B27)&lt;TODAY(),1,0),0)</f>
        <v/>
      </c>
      <c r="W27">
        <f>IF(AND(H27="Published",N(O27)&gt;0),IF(T27=(YEAR(TODAY())*100+MONTH(TODAY())),ROUND(O27,0)*1000+1000-ROW(),""),"")</f>
        <v/>
      </c>
    </row>
    <row r="28">
      <c r="A28" s="1" t="n"/>
      <c r="B28" s="21" t="n">
        <v>46256</v>
      </c>
      <c r="C28" s="22" t="n">
        <v>0.7916666666666666</v>
      </c>
      <c r="D28" s="23" t="inlineStr">
        <is>
          <t>Instagram</t>
        </is>
      </c>
      <c r="E28" s="24" t="inlineStr">
        <is>
          <t>Story</t>
        </is>
      </c>
      <c r="F28" s="23" t="inlineStr">
        <is>
          <t>Customer stories</t>
        </is>
      </c>
      <c r="G28" s="25" t="inlineStr">
        <is>
          <t>A lovely review</t>
        </is>
      </c>
      <c r="H28" s="24" t="inlineStr">
        <is>
          <t>Published</t>
        </is>
      </c>
      <c r="I28" s="23" t="n"/>
      <c r="J28" s="26" t="n">
        <v>2158</v>
      </c>
      <c r="K28" s="26" t="n">
        <v>94</v>
      </c>
      <c r="L28" s="26" t="n">
        <v>13</v>
      </c>
      <c r="M28" s="26" t="n">
        <v>9</v>
      </c>
      <c r="N28" s="26" t="n">
        <v>25</v>
      </c>
      <c r="O28" s="27">
        <f>IF(COUNT(K28:N28)=0,"",SUM(K28:N28))</f>
        <v/>
      </c>
      <c r="P28" s="16">
        <f>IF(OR(O28="",N(J28)&lt;=0),"",O28/J28)</f>
        <v/>
      </c>
      <c r="Q28" s="28">
        <f>IF(V28=1,"Late","")</f>
        <v/>
      </c>
      <c r="R28" s="1">
        <f>IF(ISNUMBER(B28),INT(B28)*10000000+IF(ISNUMBER(C28),ROUND(MOD(C28,1)*1440,0),0)*1000+ROW(),"")</f>
        <v/>
      </c>
      <c r="S28">
        <f>IF(ISNUMBER(B28),INT(B28)-WEEKDAY(B28,3),"")</f>
        <v/>
      </c>
      <c r="T28">
        <f>IF(ISNUMBER(B28),YEAR(B28)*100+MONTH(B28),"")</f>
        <v/>
      </c>
      <c r="U28">
        <f>IF(AND(ISNUMBER(B28),H28&lt;&gt;"Published"),IF(INT(B28)&gt;=TODAY(),R28,""),"")</f>
        <v/>
      </c>
      <c r="V28">
        <f>IF(AND(ISNUMBER(B28),OR(H28="Draft",H28="Scheduled")),IF(INT(B28)&lt;TODAY(),1,0),0)</f>
        <v/>
      </c>
      <c r="W28">
        <f>IF(AND(H28="Published",N(O28)&gt;0),IF(T28=(YEAR(TODAY())*100+MONTH(TODAY())),ROUND(O28,0)*1000+1000-ROW(),""),"")</f>
        <v/>
      </c>
    </row>
    <row r="29">
      <c r="A29" s="1" t="n"/>
      <c r="B29" s="21" t="n">
        <v>46257</v>
      </c>
      <c r="C29" s="22" t="n">
        <v>0.75</v>
      </c>
      <c r="D29" s="23" t="inlineStr">
        <is>
          <t>TikTok</t>
        </is>
      </c>
      <c r="E29" s="24" t="inlineStr">
        <is>
          <t>Short</t>
        </is>
      </c>
      <c r="F29" s="23" t="inlineStr">
        <is>
          <t>Behind the scenes</t>
        </is>
      </c>
      <c r="G29" s="25" t="inlineStr">
        <is>
          <t>Packing orders</t>
        </is>
      </c>
      <c r="H29" s="24" t="inlineStr">
        <is>
          <t>Published</t>
        </is>
      </c>
      <c r="I29" s="23" t="n"/>
      <c r="J29" s="26" t="n">
        <v>3468</v>
      </c>
      <c r="K29" s="26" t="n">
        <v>181</v>
      </c>
      <c r="L29" s="26" t="n">
        <v>21</v>
      </c>
      <c r="M29" s="26" t="n">
        <v>12</v>
      </c>
      <c r="N29" s="26" t="n">
        <v>12</v>
      </c>
      <c r="O29" s="27">
        <f>IF(COUNT(K29:N29)=0,"",SUM(K29:N29))</f>
        <v/>
      </c>
      <c r="P29" s="16">
        <f>IF(OR(O29="",N(J29)&lt;=0),"",O29/J29)</f>
        <v/>
      </c>
      <c r="Q29" s="28">
        <f>IF(V29=1,"Late","")</f>
        <v/>
      </c>
      <c r="R29" s="1">
        <f>IF(ISNUMBER(B29),INT(B29)*10000000+IF(ISNUMBER(C29),ROUND(MOD(C29,1)*1440,0),0)*1000+ROW(),"")</f>
        <v/>
      </c>
      <c r="S29">
        <f>IF(ISNUMBER(B29),INT(B29)-WEEKDAY(B29,3),"")</f>
        <v/>
      </c>
      <c r="T29">
        <f>IF(ISNUMBER(B29),YEAR(B29)*100+MONTH(B29),"")</f>
        <v/>
      </c>
      <c r="U29">
        <f>IF(AND(ISNUMBER(B29),H29&lt;&gt;"Published"),IF(INT(B29)&gt;=TODAY(),R29,""),"")</f>
        <v/>
      </c>
      <c r="V29">
        <f>IF(AND(ISNUMBER(B29),OR(H29="Draft",H29="Scheduled")),IF(INT(B29)&lt;TODAY(),1,0),0)</f>
        <v/>
      </c>
      <c r="W29">
        <f>IF(AND(H29="Published",N(O29)&gt;0),IF(T29=(YEAR(TODAY())*100+MONTH(TODAY())),ROUND(O29,0)*1000+1000-ROW(),""),"")</f>
        <v/>
      </c>
    </row>
    <row r="30">
      <c r="A30" s="1" t="n"/>
      <c r="B30" s="21" t="n">
        <v>46258</v>
      </c>
      <c r="C30" s="22" t="n">
        <v>0.7708333333333334</v>
      </c>
      <c r="D30" s="23" t="inlineStr">
        <is>
          <t>Instagram</t>
        </is>
      </c>
      <c r="E30" s="24" t="inlineStr">
        <is>
          <t>Carousel</t>
        </is>
      </c>
      <c r="F30" s="23" t="inlineStr">
        <is>
          <t>How to</t>
        </is>
      </c>
      <c r="G30" s="25" t="inlineStr">
        <is>
          <t>Care for your candle</t>
        </is>
      </c>
      <c r="H30" s="24" t="inlineStr">
        <is>
          <t>Published</t>
        </is>
      </c>
      <c r="I30" s="23" t="n"/>
      <c r="J30" s="26" t="n">
        <v>1389</v>
      </c>
      <c r="K30" s="26" t="n">
        <v>77</v>
      </c>
      <c r="L30" s="26" t="n">
        <v>4</v>
      </c>
      <c r="M30" s="26" t="n">
        <v>7</v>
      </c>
      <c r="N30" s="26" t="n">
        <v>5</v>
      </c>
      <c r="O30" s="27">
        <f>IF(COUNT(K30:N30)=0,"",SUM(K30:N30))</f>
        <v/>
      </c>
      <c r="P30" s="16">
        <f>IF(OR(O30="",N(J30)&lt;=0),"",O30/J30)</f>
        <v/>
      </c>
      <c r="Q30" s="28">
        <f>IF(V30=1,"Late","")</f>
        <v/>
      </c>
      <c r="R30" s="1">
        <f>IF(ISNUMBER(B30),INT(B30)*10000000+IF(ISNUMBER(C30),ROUND(MOD(C30,1)*1440,0),0)*1000+ROW(),"")</f>
        <v/>
      </c>
      <c r="S30">
        <f>IF(ISNUMBER(B30),INT(B30)-WEEKDAY(B30,3),"")</f>
        <v/>
      </c>
      <c r="T30">
        <f>IF(ISNUMBER(B30),YEAR(B30)*100+MONTH(B30),"")</f>
        <v/>
      </c>
      <c r="U30">
        <f>IF(AND(ISNUMBER(B30),H30&lt;&gt;"Published"),IF(INT(B30)&gt;=TODAY(),R30,""),"")</f>
        <v/>
      </c>
      <c r="V30">
        <f>IF(AND(ISNUMBER(B30),OR(H30="Draft",H30="Scheduled")),IF(INT(B30)&lt;TODAY(),1,0),0)</f>
        <v/>
      </c>
      <c r="W30">
        <f>IF(AND(H30="Published",N(O30)&gt;0),IF(T30=(YEAR(TODAY())*100+MONTH(TODAY())),ROUND(O30,0)*1000+1000-ROW(),""),"")</f>
        <v/>
      </c>
    </row>
    <row r="31">
      <c r="A31" s="1" t="n"/>
      <c r="B31" s="21" t="n">
        <v>46259</v>
      </c>
      <c r="C31" s="22" t="n">
        <v>0.3958333333333333</v>
      </c>
      <c r="D31" s="23" t="inlineStr">
        <is>
          <t>YouTube</t>
        </is>
      </c>
      <c r="E31" s="24" t="inlineStr">
        <is>
          <t>Video</t>
        </is>
      </c>
      <c r="F31" s="23" t="inlineStr">
        <is>
          <t>Tips</t>
        </is>
      </c>
      <c r="G31" s="25" t="inlineStr">
        <is>
          <t>Three cosy evening ideas</t>
        </is>
      </c>
      <c r="H31" s="24" t="inlineStr">
        <is>
          <t>Published</t>
        </is>
      </c>
      <c r="I31" s="23" t="n"/>
      <c r="J31" s="26" t="n">
        <v>942</v>
      </c>
      <c r="K31" s="26" t="n">
        <v>40</v>
      </c>
      <c r="L31" s="26" t="n">
        <v>2</v>
      </c>
      <c r="M31" s="26" t="n">
        <v>4</v>
      </c>
      <c r="N31" s="26" t="n">
        <v>6</v>
      </c>
      <c r="O31" s="27">
        <f>IF(COUNT(K31:N31)=0,"",SUM(K31:N31))</f>
        <v/>
      </c>
      <c r="P31" s="16">
        <f>IF(OR(O31="",N(J31)&lt;=0),"",O31/J31)</f>
        <v/>
      </c>
      <c r="Q31" s="28">
        <f>IF(V31=1,"Late","")</f>
        <v/>
      </c>
      <c r="R31" s="1">
        <f>IF(ISNUMBER(B31),INT(B31)*10000000+IF(ISNUMBER(C31),ROUND(MOD(C31,1)*1440,0),0)*1000+ROW(),"")</f>
        <v/>
      </c>
      <c r="S31">
        <f>IF(ISNUMBER(B31),INT(B31)-WEEKDAY(B31,3),"")</f>
        <v/>
      </c>
      <c r="T31">
        <f>IF(ISNUMBER(B31),YEAR(B31)*100+MONTH(B31),"")</f>
        <v/>
      </c>
      <c r="U31">
        <f>IF(AND(ISNUMBER(B31),H31&lt;&gt;"Published"),IF(INT(B31)&gt;=TODAY(),R31,""),"")</f>
        <v/>
      </c>
      <c r="V31">
        <f>IF(AND(ISNUMBER(B31),OR(H31="Draft",H31="Scheduled")),IF(INT(B31)&lt;TODAY(),1,0),0)</f>
        <v/>
      </c>
      <c r="W31">
        <f>IF(AND(H31="Published",N(O31)&gt;0),IF(T31=(YEAR(TODAY())*100+MONTH(TODAY())),ROUND(O31,0)*1000+1000-ROW(),""),"")</f>
        <v/>
      </c>
    </row>
    <row r="32">
      <c r="A32" s="1" t="n"/>
      <c r="B32" s="21" t="n">
        <v>46259</v>
      </c>
      <c r="C32" s="22" t="n">
        <v>0.75</v>
      </c>
      <c r="D32" s="23" t="inlineStr">
        <is>
          <t>Instagram</t>
        </is>
      </c>
      <c r="E32" s="24" t="inlineStr">
        <is>
          <t>Post</t>
        </is>
      </c>
      <c r="F32" s="23" t="inlineStr">
        <is>
          <t>Customer stories</t>
        </is>
      </c>
      <c r="G32" s="25" t="inlineStr">
        <is>
          <t>Your photos this month</t>
        </is>
      </c>
      <c r="H32" s="24" t="inlineStr">
        <is>
          <t>Published</t>
        </is>
      </c>
      <c r="I32" s="23" t="n"/>
      <c r="J32" s="26" t="n">
        <v>2406</v>
      </c>
      <c r="K32" s="26" t="n">
        <v>102</v>
      </c>
      <c r="L32" s="26" t="n">
        <v>8</v>
      </c>
      <c r="M32" s="26" t="n">
        <v>7</v>
      </c>
      <c r="N32" s="26" t="n">
        <v>28</v>
      </c>
      <c r="O32" s="27">
        <f>IF(COUNT(K32:N32)=0,"",SUM(K32:N32))</f>
        <v/>
      </c>
      <c r="P32" s="16">
        <f>IF(OR(O32="",N(J32)&lt;=0),"",O32/J32)</f>
        <v/>
      </c>
      <c r="Q32" s="28">
        <f>IF(V32=1,"Late","")</f>
        <v/>
      </c>
      <c r="R32" s="1">
        <f>IF(ISNUMBER(B32),INT(B32)*10000000+IF(ISNUMBER(C32),ROUND(MOD(C32,1)*1440,0),0)*1000+ROW(),"")</f>
        <v/>
      </c>
      <c r="S32">
        <f>IF(ISNUMBER(B32),INT(B32)-WEEKDAY(B32,3),"")</f>
        <v/>
      </c>
      <c r="T32">
        <f>IF(ISNUMBER(B32),YEAR(B32)*100+MONTH(B32),"")</f>
        <v/>
      </c>
      <c r="U32">
        <f>IF(AND(ISNUMBER(B32),H32&lt;&gt;"Published"),IF(INT(B32)&gt;=TODAY(),R32,""),"")</f>
        <v/>
      </c>
      <c r="V32">
        <f>IF(AND(ISNUMBER(B32),OR(H32="Draft",H32="Scheduled")),IF(INT(B32)&lt;TODAY(),1,0),0)</f>
        <v/>
      </c>
      <c r="W32">
        <f>IF(AND(H32="Published",N(O32)&gt;0),IF(T32=(YEAR(TODAY())*100+MONTH(TODAY())),ROUND(O32,0)*1000+1000-ROW(),""),"")</f>
        <v/>
      </c>
    </row>
    <row r="33">
      <c r="A33" s="1" t="n"/>
      <c r="B33" s="21" t="n">
        <v>46259</v>
      </c>
      <c r="C33" s="22" t="n">
        <v>0.75</v>
      </c>
      <c r="D33" s="23" t="inlineStr">
        <is>
          <t>Pinterest</t>
        </is>
      </c>
      <c r="E33" s="24" t="inlineStr">
        <is>
          <t>Pin</t>
        </is>
      </c>
      <c r="F33" s="23" t="inlineStr">
        <is>
          <t>New products</t>
        </is>
      </c>
      <c r="G33" s="25" t="inlineStr">
        <is>
          <t>Meet the new tin</t>
        </is>
      </c>
      <c r="H33" s="24" t="inlineStr">
        <is>
          <t>Published</t>
        </is>
      </c>
      <c r="I33" s="23" t="n"/>
      <c r="J33" s="26" t="n">
        <v>1509</v>
      </c>
      <c r="K33" s="26" t="n">
        <v>63</v>
      </c>
      <c r="L33" s="26" t="n">
        <v>8</v>
      </c>
      <c r="M33" s="26" t="n">
        <v>6</v>
      </c>
      <c r="N33" s="26" t="n">
        <v>12</v>
      </c>
      <c r="O33" s="27">
        <f>IF(COUNT(K33:N33)=0,"",SUM(K33:N33))</f>
        <v/>
      </c>
      <c r="P33" s="16">
        <f>IF(OR(O33="",N(J33)&lt;=0),"",O33/J33)</f>
        <v/>
      </c>
      <c r="Q33" s="28">
        <f>IF(V33=1,"Late","")</f>
        <v/>
      </c>
      <c r="R33" s="1">
        <f>IF(ISNUMBER(B33),INT(B33)*10000000+IF(ISNUMBER(C33),ROUND(MOD(C33,1)*1440,0),0)*1000+ROW(),"")</f>
        <v/>
      </c>
      <c r="S33">
        <f>IF(ISNUMBER(B33),INT(B33)-WEEKDAY(B33,3),"")</f>
        <v/>
      </c>
      <c r="T33">
        <f>IF(ISNUMBER(B33),YEAR(B33)*100+MONTH(B33),"")</f>
        <v/>
      </c>
      <c r="U33">
        <f>IF(AND(ISNUMBER(B33),H33&lt;&gt;"Published"),IF(INT(B33)&gt;=TODAY(),R33,""),"")</f>
        <v/>
      </c>
      <c r="V33">
        <f>IF(AND(ISNUMBER(B33),OR(H33="Draft",H33="Scheduled")),IF(INT(B33)&lt;TODAY(),1,0),0)</f>
        <v/>
      </c>
      <c r="W33">
        <f>IF(AND(H33="Published",N(O33)&gt;0),IF(T33=(YEAR(TODAY())*100+MONTH(TODAY())),ROUND(O33,0)*1000+1000-ROW(),""),"")</f>
        <v/>
      </c>
    </row>
    <row r="34">
      <c r="A34" s="1" t="n"/>
      <c r="B34" s="21" t="n">
        <v>46259</v>
      </c>
      <c r="C34" s="22" t="n">
        <v>0.7916666666666666</v>
      </c>
      <c r="D34" s="23" t="inlineStr">
        <is>
          <t>Newsletter</t>
        </is>
      </c>
      <c r="E34" s="24" t="inlineStr">
        <is>
          <t>Email</t>
        </is>
      </c>
      <c r="F34" s="23" t="inlineStr">
        <is>
          <t>Tips</t>
        </is>
      </c>
      <c r="G34" s="25" t="inlineStr">
        <is>
          <t>Scent for small rooms</t>
        </is>
      </c>
      <c r="H34" s="24" t="inlineStr">
        <is>
          <t>Published</t>
        </is>
      </c>
      <c r="I34" s="23" t="n"/>
      <c r="J34" s="26" t="n">
        <v>821</v>
      </c>
      <c r="K34" s="26" t="n">
        <v>41</v>
      </c>
      <c r="L34" s="26" t="n">
        <v>5</v>
      </c>
      <c r="M34" s="26" t="n">
        <v>2</v>
      </c>
      <c r="N34" s="26" t="n">
        <v>3</v>
      </c>
      <c r="O34" s="27">
        <f>IF(COUNT(K34:N34)=0,"",SUM(K34:N34))</f>
        <v/>
      </c>
      <c r="P34" s="16">
        <f>IF(OR(O34="",N(J34)&lt;=0),"",O34/J34)</f>
        <v/>
      </c>
      <c r="Q34" s="28">
        <f>IF(V34=1,"Late","")</f>
        <v/>
      </c>
      <c r="R34" s="1">
        <f>IF(ISNUMBER(B34),INT(B34)*10000000+IF(ISNUMBER(C34),ROUND(MOD(C34,1)*1440,0),0)*1000+ROW(),"")</f>
        <v/>
      </c>
      <c r="S34">
        <f>IF(ISNUMBER(B34),INT(B34)-WEEKDAY(B34,3),"")</f>
        <v/>
      </c>
      <c r="T34">
        <f>IF(ISNUMBER(B34),YEAR(B34)*100+MONTH(B34),"")</f>
        <v/>
      </c>
      <c r="U34">
        <f>IF(AND(ISNUMBER(B34),H34&lt;&gt;"Published"),IF(INT(B34)&gt;=TODAY(),R34,""),"")</f>
        <v/>
      </c>
      <c r="V34">
        <f>IF(AND(ISNUMBER(B34),OR(H34="Draft",H34="Scheduled")),IF(INT(B34)&lt;TODAY(),1,0),0)</f>
        <v/>
      </c>
      <c r="W34">
        <f>IF(AND(H34="Published",N(O34)&gt;0),IF(T34=(YEAR(TODAY())*100+MONTH(TODAY())),ROUND(O34,0)*1000+1000-ROW(),""),"")</f>
        <v/>
      </c>
    </row>
    <row r="35">
      <c r="A35" s="1" t="n"/>
      <c r="B35" s="21" t="n">
        <v>46260</v>
      </c>
      <c r="C35" s="22" t="n">
        <v>0.5208333333333334</v>
      </c>
      <c r="D35" s="23" t="inlineStr">
        <is>
          <t>TikTok</t>
        </is>
      </c>
      <c r="E35" s="24" t="inlineStr">
        <is>
          <t>Short</t>
        </is>
      </c>
      <c r="F35" s="23" t="inlineStr">
        <is>
          <t>How to</t>
        </is>
      </c>
      <c r="G35" s="25" t="inlineStr">
        <is>
          <t>How to get an even burn</t>
        </is>
      </c>
      <c r="H35" s="24" t="inlineStr">
        <is>
          <t>Published</t>
        </is>
      </c>
      <c r="I35" s="23" t="n"/>
      <c r="J35" s="26" t="n">
        <v>3735</v>
      </c>
      <c r="K35" s="26" t="n">
        <v>91</v>
      </c>
      <c r="L35" s="26" t="n">
        <v>9</v>
      </c>
      <c r="M35" s="26" t="n">
        <v>2</v>
      </c>
      <c r="N35" s="26" t="n">
        <v>26</v>
      </c>
      <c r="O35" s="27">
        <f>IF(COUNT(K35:N35)=0,"",SUM(K35:N35))</f>
        <v/>
      </c>
      <c r="P35" s="16">
        <f>IF(OR(O35="",N(J35)&lt;=0),"",O35/J35)</f>
        <v/>
      </c>
      <c r="Q35" s="28">
        <f>IF(V35=1,"Late","")</f>
        <v/>
      </c>
      <c r="R35" s="1">
        <f>IF(ISNUMBER(B35),INT(B35)*10000000+IF(ISNUMBER(C35),ROUND(MOD(C35,1)*1440,0),0)*1000+ROW(),"")</f>
        <v/>
      </c>
      <c r="S35">
        <f>IF(ISNUMBER(B35),INT(B35)-WEEKDAY(B35,3),"")</f>
        <v/>
      </c>
      <c r="T35">
        <f>IF(ISNUMBER(B35),YEAR(B35)*100+MONTH(B35),"")</f>
        <v/>
      </c>
      <c r="U35">
        <f>IF(AND(ISNUMBER(B35),H35&lt;&gt;"Published"),IF(INT(B35)&gt;=TODAY(),R35,""),"")</f>
        <v/>
      </c>
      <c r="V35">
        <f>IF(AND(ISNUMBER(B35),OR(H35="Draft",H35="Scheduled")),IF(INT(B35)&lt;TODAY(),1,0),0)</f>
        <v/>
      </c>
      <c r="W35">
        <f>IF(AND(H35="Published",N(O35)&gt;0),IF(T35=(YEAR(TODAY())*100+MONTH(TODAY())),ROUND(O35,0)*1000+1000-ROW(),""),"")</f>
        <v/>
      </c>
    </row>
    <row r="36">
      <c r="A36" s="1" t="n"/>
      <c r="B36" s="21" t="n">
        <v>46261</v>
      </c>
      <c r="C36" s="22" t="n">
        <v>0.5</v>
      </c>
      <c r="D36" s="23" t="inlineStr">
        <is>
          <t>Pinterest</t>
        </is>
      </c>
      <c r="E36" s="24" t="inlineStr">
        <is>
          <t>Pin</t>
        </is>
      </c>
      <c r="F36" s="23" t="inlineStr">
        <is>
          <t>Customer stories</t>
        </is>
      </c>
      <c r="G36" s="25" t="inlineStr">
        <is>
          <t>Your photos this month</t>
        </is>
      </c>
      <c r="H36" s="24" t="inlineStr">
        <is>
          <t>Published</t>
        </is>
      </c>
      <c r="I36" s="23" t="n"/>
      <c r="J36" s="26" t="n">
        <v>1040</v>
      </c>
      <c r="K36" s="26" t="n">
        <v>40</v>
      </c>
      <c r="L36" s="26" t="n">
        <v>5</v>
      </c>
      <c r="M36" s="26" t="n">
        <v>3</v>
      </c>
      <c r="N36" s="26" t="n">
        <v>3</v>
      </c>
      <c r="O36" s="27">
        <f>IF(COUNT(K36:N36)=0,"",SUM(K36:N36))</f>
        <v/>
      </c>
      <c r="P36" s="16">
        <f>IF(OR(O36="",N(J36)&lt;=0),"",O36/J36)</f>
        <v/>
      </c>
      <c r="Q36" s="28">
        <f>IF(V36=1,"Late","")</f>
        <v/>
      </c>
      <c r="R36" s="1">
        <f>IF(ISNUMBER(B36),INT(B36)*10000000+IF(ISNUMBER(C36),ROUND(MOD(C36,1)*1440,0),0)*1000+ROW(),"")</f>
        <v/>
      </c>
      <c r="S36">
        <f>IF(ISNUMBER(B36),INT(B36)-WEEKDAY(B36,3),"")</f>
        <v/>
      </c>
      <c r="T36">
        <f>IF(ISNUMBER(B36),YEAR(B36)*100+MONTH(B36),"")</f>
        <v/>
      </c>
      <c r="U36">
        <f>IF(AND(ISNUMBER(B36),H36&lt;&gt;"Published"),IF(INT(B36)&gt;=TODAY(),R36,""),"")</f>
        <v/>
      </c>
      <c r="V36">
        <f>IF(AND(ISNUMBER(B36),OR(H36="Draft",H36="Scheduled")),IF(INT(B36)&lt;TODAY(),1,0),0)</f>
        <v/>
      </c>
      <c r="W36">
        <f>IF(AND(H36="Published",N(O36)&gt;0),IF(T36=(YEAR(TODAY())*100+MONTH(TODAY())),ROUND(O36,0)*1000+1000-ROW(),""),"")</f>
        <v/>
      </c>
    </row>
    <row r="37">
      <c r="A37" s="1" t="n"/>
      <c r="B37" s="21" t="n">
        <v>46261</v>
      </c>
      <c r="C37" s="22" t="n">
        <v>0.8125</v>
      </c>
      <c r="D37" s="23" t="inlineStr">
        <is>
          <t>Instagram</t>
        </is>
      </c>
      <c r="E37" s="24" t="inlineStr">
        <is>
          <t>Story</t>
        </is>
      </c>
      <c r="F37" s="23" t="inlineStr">
        <is>
          <t>Customer stories</t>
        </is>
      </c>
      <c r="G37" s="25" t="inlineStr">
        <is>
          <t>Your photos this month</t>
        </is>
      </c>
      <c r="H37" s="24" t="inlineStr">
        <is>
          <t>Published</t>
        </is>
      </c>
      <c r="I37" s="23" t="n"/>
      <c r="J37" s="26" t="n">
        <v>1950</v>
      </c>
      <c r="K37" s="26" t="n">
        <v>143</v>
      </c>
      <c r="L37" s="26" t="n">
        <v>12</v>
      </c>
      <c r="M37" s="26" t="n">
        <v>8</v>
      </c>
      <c r="N37" s="26" t="n">
        <v>16</v>
      </c>
      <c r="O37" s="27">
        <f>IF(COUNT(K37:N37)=0,"",SUM(K37:N37))</f>
        <v/>
      </c>
      <c r="P37" s="16">
        <f>IF(OR(O37="",N(J37)&lt;=0),"",O37/J37)</f>
        <v/>
      </c>
      <c r="Q37" s="28">
        <f>IF(V37=1,"Late","")</f>
        <v/>
      </c>
      <c r="R37" s="1">
        <f>IF(ISNUMBER(B37),INT(B37)*10000000+IF(ISNUMBER(C37),ROUND(MOD(C37,1)*1440,0),0)*1000+ROW(),"")</f>
        <v/>
      </c>
      <c r="S37">
        <f>IF(ISNUMBER(B37),INT(B37)-WEEKDAY(B37,3),"")</f>
        <v/>
      </c>
      <c r="T37">
        <f>IF(ISNUMBER(B37),YEAR(B37)*100+MONTH(B37),"")</f>
        <v/>
      </c>
      <c r="U37">
        <f>IF(AND(ISNUMBER(B37),H37&lt;&gt;"Published"),IF(INT(B37)&gt;=TODAY(),R37,""),"")</f>
        <v/>
      </c>
      <c r="V37">
        <f>IF(AND(ISNUMBER(B37),OR(H37="Draft",H37="Scheduled")),IF(INT(B37)&lt;TODAY(),1,0),0)</f>
        <v/>
      </c>
      <c r="W37">
        <f>IF(AND(H37="Published",N(O37)&gt;0),IF(T37=(YEAR(TODAY())*100+MONTH(TODAY())),ROUND(O37,0)*1000+1000-ROW(),""),"")</f>
        <v/>
      </c>
    </row>
    <row r="38">
      <c r="A38" s="1" t="n"/>
      <c r="B38" s="21" t="n">
        <v>46262</v>
      </c>
      <c r="C38" s="22" t="n">
        <v>0.7708333333333334</v>
      </c>
      <c r="D38" s="23" t="inlineStr">
        <is>
          <t>TikTok</t>
        </is>
      </c>
      <c r="E38" s="24" t="inlineStr">
        <is>
          <t>Short</t>
        </is>
      </c>
      <c r="F38" s="23" t="inlineStr">
        <is>
          <t>Tips</t>
        </is>
      </c>
      <c r="G38" s="25" t="inlineStr">
        <is>
          <t>Scent for small rooms</t>
        </is>
      </c>
      <c r="H38" s="24" t="inlineStr">
        <is>
          <t>Published</t>
        </is>
      </c>
      <c r="I38" s="23" t="n"/>
      <c r="J38" s="26" t="n">
        <v>3731</v>
      </c>
      <c r="K38" s="26" t="n">
        <v>135</v>
      </c>
      <c r="L38" s="26" t="n">
        <v>18</v>
      </c>
      <c r="M38" s="26" t="n">
        <v>4</v>
      </c>
      <c r="N38" s="26" t="n">
        <v>19</v>
      </c>
      <c r="O38" s="27">
        <f>IF(COUNT(K38:N38)=0,"",SUM(K38:N38))</f>
        <v/>
      </c>
      <c r="P38" s="16">
        <f>IF(OR(O38="",N(J38)&lt;=0),"",O38/J38)</f>
        <v/>
      </c>
      <c r="Q38" s="28">
        <f>IF(V38=1,"Late","")</f>
        <v/>
      </c>
      <c r="R38" s="1">
        <f>IF(ISNUMBER(B38),INT(B38)*10000000+IF(ISNUMBER(C38),ROUND(MOD(C38,1)*1440,0),0)*1000+ROW(),"")</f>
        <v/>
      </c>
      <c r="S38">
        <f>IF(ISNUMBER(B38),INT(B38)-WEEKDAY(B38,3),"")</f>
        <v/>
      </c>
      <c r="T38">
        <f>IF(ISNUMBER(B38),YEAR(B38)*100+MONTH(B38),"")</f>
        <v/>
      </c>
      <c r="U38">
        <f>IF(AND(ISNUMBER(B38),H38&lt;&gt;"Published"),IF(INT(B38)&gt;=TODAY(),R38,""),"")</f>
        <v/>
      </c>
      <c r="V38">
        <f>IF(AND(ISNUMBER(B38),OR(H38="Draft",H38="Scheduled")),IF(INT(B38)&lt;TODAY(),1,0),0)</f>
        <v/>
      </c>
      <c r="W38">
        <f>IF(AND(H38="Published",N(O38)&gt;0),IF(T38=(YEAR(TODAY())*100+MONTH(TODAY())),ROUND(O38,0)*1000+1000-ROW(),""),"")</f>
        <v/>
      </c>
    </row>
    <row r="39">
      <c r="A39" s="1" t="n"/>
      <c r="B39" s="21" t="n">
        <v>46263</v>
      </c>
      <c r="C39" s="22" t="n">
        <v>0.375</v>
      </c>
      <c r="D39" s="23" t="inlineStr">
        <is>
          <t>Pinterest</t>
        </is>
      </c>
      <c r="E39" s="24" t="inlineStr">
        <is>
          <t>Pin</t>
        </is>
      </c>
      <c r="F39" s="23" t="inlineStr">
        <is>
          <t>Behind the scenes</t>
        </is>
      </c>
      <c r="G39" s="25" t="inlineStr">
        <is>
          <t>Studio tidy up</t>
        </is>
      </c>
      <c r="H39" s="24" t="inlineStr">
        <is>
          <t>Published</t>
        </is>
      </c>
      <c r="I39" s="23" t="n"/>
      <c r="J39" s="26" t="n">
        <v>1037</v>
      </c>
      <c r="K39" s="26" t="n">
        <v>34</v>
      </c>
      <c r="L39" s="26" t="n">
        <v>5</v>
      </c>
      <c r="M39" s="26" t="n">
        <v>2</v>
      </c>
      <c r="N39" s="26" t="n">
        <v>8</v>
      </c>
      <c r="O39" s="27">
        <f>IF(COUNT(K39:N39)=0,"",SUM(K39:N39))</f>
        <v/>
      </c>
      <c r="P39" s="16">
        <f>IF(OR(O39="",N(J39)&lt;=0),"",O39/J39)</f>
        <v/>
      </c>
      <c r="Q39" s="28">
        <f>IF(V39=1,"Late","")</f>
        <v/>
      </c>
      <c r="R39" s="1">
        <f>IF(ISNUMBER(B39),INT(B39)*10000000+IF(ISNUMBER(C39),ROUND(MOD(C39,1)*1440,0),0)*1000+ROW(),"")</f>
        <v/>
      </c>
      <c r="S39">
        <f>IF(ISNUMBER(B39),INT(B39)-WEEKDAY(B39,3),"")</f>
        <v/>
      </c>
      <c r="T39">
        <f>IF(ISNUMBER(B39),YEAR(B39)*100+MONTH(B39),"")</f>
        <v/>
      </c>
      <c r="U39">
        <f>IF(AND(ISNUMBER(B39),H39&lt;&gt;"Published"),IF(INT(B39)&gt;=TODAY(),R39,""),"")</f>
        <v/>
      </c>
      <c r="V39">
        <f>IF(AND(ISNUMBER(B39),OR(H39="Draft",H39="Scheduled")),IF(INT(B39)&lt;TODAY(),1,0),0)</f>
        <v/>
      </c>
      <c r="W39">
        <f>IF(AND(H39="Published",N(O39)&gt;0),IF(T39=(YEAR(TODAY())*100+MONTH(TODAY())),ROUND(O39,0)*1000+1000-ROW(),""),"")</f>
        <v/>
      </c>
    </row>
    <row r="40">
      <c r="A40" s="1" t="n"/>
      <c r="B40" s="21" t="n">
        <v>46263</v>
      </c>
      <c r="C40" s="22" t="n">
        <v>0.7708333333333334</v>
      </c>
      <c r="D40" s="23" t="inlineStr">
        <is>
          <t>Instagram</t>
        </is>
      </c>
      <c r="E40" s="24" t="inlineStr">
        <is>
          <t>Carousel</t>
        </is>
      </c>
      <c r="F40" s="23" t="inlineStr">
        <is>
          <t>New products</t>
        </is>
      </c>
      <c r="G40" s="25" t="inlineStr">
        <is>
          <t>Meet the new tin</t>
        </is>
      </c>
      <c r="H40" s="24" t="inlineStr">
        <is>
          <t>Published</t>
        </is>
      </c>
      <c r="I40" s="23" t="n"/>
      <c r="J40" s="26" t="n">
        <v>1152</v>
      </c>
      <c r="K40" s="26" t="n">
        <v>79</v>
      </c>
      <c r="L40" s="26" t="n">
        <v>9</v>
      </c>
      <c r="M40" s="26" t="n">
        <v>3</v>
      </c>
      <c r="N40" s="26" t="n">
        <v>16</v>
      </c>
      <c r="O40" s="27">
        <f>IF(COUNT(K40:N40)=0,"",SUM(K40:N40))</f>
        <v/>
      </c>
      <c r="P40" s="16">
        <f>IF(OR(O40="",N(J40)&lt;=0),"",O40/J40)</f>
        <v/>
      </c>
      <c r="Q40" s="28">
        <f>IF(V40=1,"Late","")</f>
        <v/>
      </c>
      <c r="R40" s="1">
        <f>IF(ISNUMBER(B40),INT(B40)*10000000+IF(ISNUMBER(C40),ROUND(MOD(C40,1)*1440,0),0)*1000+ROW(),"")</f>
        <v/>
      </c>
      <c r="S40">
        <f>IF(ISNUMBER(B40),INT(B40)-WEEKDAY(B40,3),"")</f>
        <v/>
      </c>
      <c r="T40">
        <f>IF(ISNUMBER(B40),YEAR(B40)*100+MONTH(B40),"")</f>
        <v/>
      </c>
      <c r="U40">
        <f>IF(AND(ISNUMBER(B40),H40&lt;&gt;"Published"),IF(INT(B40)&gt;=TODAY(),R40,""),"")</f>
        <v/>
      </c>
      <c r="V40">
        <f>IF(AND(ISNUMBER(B40),OR(H40="Draft",H40="Scheduled")),IF(INT(B40)&lt;TODAY(),1,0),0)</f>
        <v/>
      </c>
      <c r="W40">
        <f>IF(AND(H40="Published",N(O40)&gt;0),IF(T40=(YEAR(TODAY())*100+MONTH(TODAY())),ROUND(O40,0)*1000+1000-ROW(),""),"")</f>
        <v/>
      </c>
    </row>
    <row r="41">
      <c r="A41" s="1" t="n"/>
      <c r="B41" s="21" t="n">
        <v>46264</v>
      </c>
      <c r="C41" s="22" t="n">
        <v>0.7916666666666666</v>
      </c>
      <c r="D41" s="23" t="inlineStr">
        <is>
          <t>TikTok</t>
        </is>
      </c>
      <c r="E41" s="24" t="inlineStr">
        <is>
          <t>Short</t>
        </is>
      </c>
      <c r="F41" s="23" t="inlineStr">
        <is>
          <t>Customer stories</t>
        </is>
      </c>
      <c r="G41" s="25" t="inlineStr">
        <is>
          <t>Your photos this month</t>
        </is>
      </c>
      <c r="H41" s="24" t="inlineStr">
        <is>
          <t>Published</t>
        </is>
      </c>
      <c r="I41" s="23" t="n"/>
      <c r="J41" s="26" t="n">
        <v>2633</v>
      </c>
      <c r="K41" s="26" t="n">
        <v>92</v>
      </c>
      <c r="L41" s="26" t="n">
        <v>11</v>
      </c>
      <c r="M41" s="26" t="n">
        <v>3</v>
      </c>
      <c r="N41" s="26" t="n">
        <v>21</v>
      </c>
      <c r="O41" s="27">
        <f>IF(COUNT(K41:N41)=0,"",SUM(K41:N41))</f>
        <v/>
      </c>
      <c r="P41" s="16">
        <f>IF(OR(O41="",N(J41)&lt;=0),"",O41/J41)</f>
        <v/>
      </c>
      <c r="Q41" s="28">
        <f>IF(V41=1,"Late","")</f>
        <v/>
      </c>
      <c r="R41" s="1">
        <f>IF(ISNUMBER(B41),INT(B41)*10000000+IF(ISNUMBER(C41),ROUND(MOD(C41,1)*1440,0),0)*1000+ROW(),"")</f>
        <v/>
      </c>
      <c r="S41">
        <f>IF(ISNUMBER(B41),INT(B41)-WEEKDAY(B41,3),"")</f>
        <v/>
      </c>
      <c r="T41">
        <f>IF(ISNUMBER(B41),YEAR(B41)*100+MONTH(B41),"")</f>
        <v/>
      </c>
      <c r="U41">
        <f>IF(AND(ISNUMBER(B41),H41&lt;&gt;"Published"),IF(INT(B41)&gt;=TODAY(),R41,""),"")</f>
        <v/>
      </c>
      <c r="V41">
        <f>IF(AND(ISNUMBER(B41),OR(H41="Draft",H41="Scheduled")),IF(INT(B41)&lt;TODAY(),1,0),0)</f>
        <v/>
      </c>
      <c r="W41">
        <f>IF(AND(H41="Published",N(O41)&gt;0),IF(T41=(YEAR(TODAY())*100+MONTH(TODAY())),ROUND(O41,0)*1000+1000-ROW(),""),"")</f>
        <v/>
      </c>
    </row>
    <row r="42">
      <c r="A42" s="1" t="n"/>
      <c r="B42" s="21" t="n">
        <v>46265</v>
      </c>
      <c r="C42" s="22" t="n">
        <v>0.3958333333333333</v>
      </c>
      <c r="D42" s="23" t="inlineStr">
        <is>
          <t>Instagram</t>
        </is>
      </c>
      <c r="E42" s="24" t="inlineStr">
        <is>
          <t>Carousel</t>
        </is>
      </c>
      <c r="F42" s="23" t="inlineStr">
        <is>
          <t>How to</t>
        </is>
      </c>
      <c r="G42" s="25" t="inlineStr">
        <is>
          <t>How to trim a wick</t>
        </is>
      </c>
      <c r="H42" s="24" t="inlineStr">
        <is>
          <t>Published</t>
        </is>
      </c>
      <c r="I42" s="23" t="n"/>
      <c r="J42" s="26" t="n">
        <v>2519</v>
      </c>
      <c r="K42" s="26" t="n">
        <v>163</v>
      </c>
      <c r="L42" s="26" t="n">
        <v>20</v>
      </c>
      <c r="M42" s="26" t="n">
        <v>8</v>
      </c>
      <c r="N42" s="26" t="n">
        <v>23</v>
      </c>
      <c r="O42" s="27">
        <f>IF(COUNT(K42:N42)=0,"",SUM(K42:N42))</f>
        <v/>
      </c>
      <c r="P42" s="16">
        <f>IF(OR(O42="",N(J42)&lt;=0),"",O42/J42)</f>
        <v/>
      </c>
      <c r="Q42" s="28">
        <f>IF(V42=1,"Late","")</f>
        <v/>
      </c>
      <c r="R42" s="1">
        <f>IF(ISNUMBER(B42),INT(B42)*10000000+IF(ISNUMBER(C42),ROUND(MOD(C42,1)*1440,0),0)*1000+ROW(),"")</f>
        <v/>
      </c>
      <c r="S42">
        <f>IF(ISNUMBER(B42),INT(B42)-WEEKDAY(B42,3),"")</f>
        <v/>
      </c>
      <c r="T42">
        <f>IF(ISNUMBER(B42),YEAR(B42)*100+MONTH(B42),"")</f>
        <v/>
      </c>
      <c r="U42">
        <f>IF(AND(ISNUMBER(B42),H42&lt;&gt;"Published"),IF(INT(B42)&gt;=TODAY(),R42,""),"")</f>
        <v/>
      </c>
      <c r="V42">
        <f>IF(AND(ISNUMBER(B42),OR(H42="Draft",H42="Scheduled")),IF(INT(B42)&lt;TODAY(),1,0),0)</f>
        <v/>
      </c>
      <c r="W42">
        <f>IF(AND(H42="Published",N(O42)&gt;0),IF(T42=(YEAR(TODAY())*100+MONTH(TODAY())),ROUND(O42,0)*1000+1000-ROW(),""),"")</f>
        <v/>
      </c>
    </row>
    <row r="43">
      <c r="A43" s="1" t="n"/>
      <c r="B43" s="21" t="n">
        <v>46266</v>
      </c>
      <c r="C43" s="22" t="n">
        <v>0.3958333333333333</v>
      </c>
      <c r="D43" s="23" t="inlineStr">
        <is>
          <t>Pinterest</t>
        </is>
      </c>
      <c r="E43" s="24" t="inlineStr">
        <is>
          <t>Pin</t>
        </is>
      </c>
      <c r="F43" s="23" t="inlineStr">
        <is>
          <t>New products</t>
        </is>
      </c>
      <c r="G43" s="25" t="inlineStr">
        <is>
          <t>Autumn scents are here</t>
        </is>
      </c>
      <c r="H43" s="24" t="inlineStr">
        <is>
          <t>Published</t>
        </is>
      </c>
      <c r="I43" s="23" t="n"/>
      <c r="J43" s="26" t="n">
        <v>1156</v>
      </c>
      <c r="K43" s="26" t="n">
        <v>69</v>
      </c>
      <c r="L43" s="26" t="n">
        <v>11</v>
      </c>
      <c r="M43" s="26" t="n">
        <v>2</v>
      </c>
      <c r="N43" s="26" t="n">
        <v>10</v>
      </c>
      <c r="O43" s="27">
        <f>IF(COUNT(K43:N43)=0,"",SUM(K43:N43))</f>
        <v/>
      </c>
      <c r="P43" s="16">
        <f>IF(OR(O43="",N(J43)&lt;=0),"",O43/J43)</f>
        <v/>
      </c>
      <c r="Q43" s="28">
        <f>IF(V43=1,"Late","")</f>
        <v/>
      </c>
      <c r="R43" s="1">
        <f>IF(ISNUMBER(B43),INT(B43)*10000000+IF(ISNUMBER(C43),ROUND(MOD(C43,1)*1440,0),0)*1000+ROW(),"")</f>
        <v/>
      </c>
      <c r="S43">
        <f>IF(ISNUMBER(B43),INT(B43)-WEEKDAY(B43,3),"")</f>
        <v/>
      </c>
      <c r="T43">
        <f>IF(ISNUMBER(B43),YEAR(B43)*100+MONTH(B43),"")</f>
        <v/>
      </c>
      <c r="U43">
        <f>IF(AND(ISNUMBER(B43),H43&lt;&gt;"Published"),IF(INT(B43)&gt;=TODAY(),R43,""),"")</f>
        <v/>
      </c>
      <c r="V43">
        <f>IF(AND(ISNUMBER(B43),OR(H43="Draft",H43="Scheduled")),IF(INT(B43)&lt;TODAY(),1,0),0)</f>
        <v/>
      </c>
      <c r="W43">
        <f>IF(AND(H43="Published",N(O43)&gt;0),IF(T43=(YEAR(TODAY())*100+MONTH(TODAY())),ROUND(O43,0)*1000+1000-ROW(),""),"")</f>
        <v/>
      </c>
    </row>
    <row r="44">
      <c r="A44" s="1" t="n"/>
      <c r="B44" s="21" t="n">
        <v>46266</v>
      </c>
      <c r="C44" s="22" t="n">
        <v>0.7708333333333334</v>
      </c>
      <c r="D44" s="23" t="inlineStr">
        <is>
          <t>YouTube</t>
        </is>
      </c>
      <c r="E44" s="24" t="inlineStr">
        <is>
          <t>Video</t>
        </is>
      </c>
      <c r="F44" s="23" t="inlineStr">
        <is>
          <t>How to</t>
        </is>
      </c>
      <c r="G44" s="25" t="inlineStr">
        <is>
          <t>How to get an even burn</t>
        </is>
      </c>
      <c r="H44" s="24" t="inlineStr">
        <is>
          <t>Published</t>
        </is>
      </c>
      <c r="I44" s="23" t="n"/>
      <c r="J44" s="26" t="n">
        <v>714</v>
      </c>
      <c r="K44" s="26" t="n">
        <v>38</v>
      </c>
      <c r="L44" s="26" t="n">
        <v>4</v>
      </c>
      <c r="M44" s="26" t="n">
        <v>3</v>
      </c>
      <c r="N44" s="26" t="n">
        <v>7</v>
      </c>
      <c r="O44" s="27">
        <f>IF(COUNT(K44:N44)=0,"",SUM(K44:N44))</f>
        <v/>
      </c>
      <c r="P44" s="16">
        <f>IF(OR(O44="",N(J44)&lt;=0),"",O44/J44)</f>
        <v/>
      </c>
      <c r="Q44" s="28">
        <f>IF(V44=1,"Late","")</f>
        <v/>
      </c>
      <c r="R44" s="1">
        <f>IF(ISNUMBER(B44),INT(B44)*10000000+IF(ISNUMBER(C44),ROUND(MOD(C44,1)*1440,0),0)*1000+ROW(),"")</f>
        <v/>
      </c>
      <c r="S44">
        <f>IF(ISNUMBER(B44),INT(B44)-WEEKDAY(B44,3),"")</f>
        <v/>
      </c>
      <c r="T44">
        <f>IF(ISNUMBER(B44),YEAR(B44)*100+MONTH(B44),"")</f>
        <v/>
      </c>
      <c r="U44">
        <f>IF(AND(ISNUMBER(B44),H44&lt;&gt;"Published"),IF(INT(B44)&gt;=TODAY(),R44,""),"")</f>
        <v/>
      </c>
      <c r="V44">
        <f>IF(AND(ISNUMBER(B44),OR(H44="Draft",H44="Scheduled")),IF(INT(B44)&lt;TODAY(),1,0),0)</f>
        <v/>
      </c>
      <c r="W44">
        <f>IF(AND(H44="Published",N(O44)&gt;0),IF(T44=(YEAR(TODAY())*100+MONTH(TODAY())),ROUND(O44,0)*1000+1000-ROW(),""),"")</f>
        <v/>
      </c>
    </row>
    <row r="45">
      <c r="A45" s="1" t="n"/>
      <c r="B45" s="21" t="n">
        <v>46266</v>
      </c>
      <c r="C45" s="22" t="n">
        <v>0.7916666666666666</v>
      </c>
      <c r="D45" s="23" t="inlineStr">
        <is>
          <t>Instagram</t>
        </is>
      </c>
      <c r="E45" s="24" t="inlineStr">
        <is>
          <t>Reel</t>
        </is>
      </c>
      <c r="F45" s="23" t="inlineStr">
        <is>
          <t>Behind the scenes</t>
        </is>
      </c>
      <c r="G45" s="25" t="inlineStr">
        <is>
          <t>Studio tidy up</t>
        </is>
      </c>
      <c r="H45" s="24" t="inlineStr">
        <is>
          <t>Published</t>
        </is>
      </c>
      <c r="I45" s="23" t="n"/>
      <c r="J45" s="26" t="n">
        <v>2399</v>
      </c>
      <c r="K45" s="26" t="n">
        <v>109</v>
      </c>
      <c r="L45" s="26" t="n">
        <v>7</v>
      </c>
      <c r="M45" s="26" t="n">
        <v>2</v>
      </c>
      <c r="N45" s="26" t="n">
        <v>21</v>
      </c>
      <c r="O45" s="27">
        <f>IF(COUNT(K45:N45)=0,"",SUM(K45:N45))</f>
        <v/>
      </c>
      <c r="P45" s="16">
        <f>IF(OR(O45="",N(J45)&lt;=0),"",O45/J45)</f>
        <v/>
      </c>
      <c r="Q45" s="28">
        <f>IF(V45=1,"Late","")</f>
        <v/>
      </c>
      <c r="R45" s="1">
        <f>IF(ISNUMBER(B45),INT(B45)*10000000+IF(ISNUMBER(C45),ROUND(MOD(C45,1)*1440,0),0)*1000+ROW(),"")</f>
        <v/>
      </c>
      <c r="S45">
        <f>IF(ISNUMBER(B45),INT(B45)-WEEKDAY(B45,3),"")</f>
        <v/>
      </c>
      <c r="T45">
        <f>IF(ISNUMBER(B45),YEAR(B45)*100+MONTH(B45),"")</f>
        <v/>
      </c>
      <c r="U45">
        <f>IF(AND(ISNUMBER(B45),H45&lt;&gt;"Published"),IF(INT(B45)&gt;=TODAY(),R45,""),"")</f>
        <v/>
      </c>
      <c r="V45">
        <f>IF(AND(ISNUMBER(B45),OR(H45="Draft",H45="Scheduled")),IF(INT(B45)&lt;TODAY(),1,0),0)</f>
        <v/>
      </c>
      <c r="W45">
        <f>IF(AND(H45="Published",N(O45)&gt;0),IF(T45=(YEAR(TODAY())*100+MONTH(TODAY())),ROUND(O45,0)*1000+1000-ROW(),""),"")</f>
        <v/>
      </c>
    </row>
    <row r="46">
      <c r="A46" s="1" t="n"/>
      <c r="B46" s="21" t="n">
        <v>46266</v>
      </c>
      <c r="C46" s="22" t="n">
        <v>0.8125</v>
      </c>
      <c r="D46" s="23" t="inlineStr">
        <is>
          <t>Newsletter</t>
        </is>
      </c>
      <c r="E46" s="24" t="inlineStr">
        <is>
          <t>Email</t>
        </is>
      </c>
      <c r="F46" s="23" t="inlineStr">
        <is>
          <t>Tips</t>
        </is>
      </c>
      <c r="G46" s="25" t="inlineStr">
        <is>
          <t>Three cosy evening ideas</t>
        </is>
      </c>
      <c r="H46" s="24" t="inlineStr">
        <is>
          <t>Published</t>
        </is>
      </c>
      <c r="I46" s="23" t="n"/>
      <c r="J46" s="26" t="n">
        <v>597</v>
      </c>
      <c r="K46" s="26" t="n">
        <v>32</v>
      </c>
      <c r="L46" s="26" t="n">
        <v>2</v>
      </c>
      <c r="M46" s="26" t="n">
        <v>3</v>
      </c>
      <c r="N46" s="26" t="n">
        <v>5</v>
      </c>
      <c r="O46" s="27">
        <f>IF(COUNT(K46:N46)=0,"",SUM(K46:N46))</f>
        <v/>
      </c>
      <c r="P46" s="16">
        <f>IF(OR(O46="",N(J46)&lt;=0),"",O46/J46)</f>
        <v/>
      </c>
      <c r="Q46" s="28">
        <f>IF(V46=1,"Late","")</f>
        <v/>
      </c>
      <c r="R46" s="1">
        <f>IF(ISNUMBER(B46),INT(B46)*10000000+IF(ISNUMBER(C46),ROUND(MOD(C46,1)*1440,0),0)*1000+ROW(),"")</f>
        <v/>
      </c>
      <c r="S46">
        <f>IF(ISNUMBER(B46),INT(B46)-WEEKDAY(B46,3),"")</f>
        <v/>
      </c>
      <c r="T46">
        <f>IF(ISNUMBER(B46),YEAR(B46)*100+MONTH(B46),"")</f>
        <v/>
      </c>
      <c r="U46">
        <f>IF(AND(ISNUMBER(B46),H46&lt;&gt;"Published"),IF(INT(B46)&gt;=TODAY(),R46,""),"")</f>
        <v/>
      </c>
      <c r="V46">
        <f>IF(AND(ISNUMBER(B46),OR(H46="Draft",H46="Scheduled")),IF(INT(B46)&lt;TODAY(),1,0),0)</f>
        <v/>
      </c>
      <c r="W46">
        <f>IF(AND(H46="Published",N(O46)&gt;0),IF(T46=(YEAR(TODAY())*100+MONTH(TODAY())),ROUND(O46,0)*1000+1000-ROW(),""),"")</f>
        <v/>
      </c>
    </row>
    <row r="47">
      <c r="A47" s="1" t="n"/>
      <c r="B47" s="21" t="n">
        <v>46267</v>
      </c>
      <c r="C47" s="22" t="n">
        <v>0.5208333333333334</v>
      </c>
      <c r="D47" s="23" t="inlineStr">
        <is>
          <t>TikTok</t>
        </is>
      </c>
      <c r="E47" s="24" t="inlineStr">
        <is>
          <t>Short</t>
        </is>
      </c>
      <c r="F47" s="23" t="inlineStr">
        <is>
          <t>New products</t>
        </is>
      </c>
      <c r="G47" s="25" t="inlineStr">
        <is>
          <t>Refill jars</t>
        </is>
      </c>
      <c r="H47" s="24" t="inlineStr">
        <is>
          <t>Published</t>
        </is>
      </c>
      <c r="I47" s="23" t="n"/>
      <c r="J47" s="26" t="n">
        <v>2916</v>
      </c>
      <c r="K47" s="26" t="n">
        <v>95</v>
      </c>
      <c r="L47" s="26" t="n">
        <v>13</v>
      </c>
      <c r="M47" s="26" t="n">
        <v>6</v>
      </c>
      <c r="N47" s="26" t="n">
        <v>19</v>
      </c>
      <c r="O47" s="27">
        <f>IF(COUNT(K47:N47)=0,"",SUM(K47:N47))</f>
        <v/>
      </c>
      <c r="P47" s="16">
        <f>IF(OR(O47="",N(J47)&lt;=0),"",O47/J47)</f>
        <v/>
      </c>
      <c r="Q47" s="28">
        <f>IF(V47=1,"Late","")</f>
        <v/>
      </c>
      <c r="R47" s="1">
        <f>IF(ISNUMBER(B47),INT(B47)*10000000+IF(ISNUMBER(C47),ROUND(MOD(C47,1)*1440,0),0)*1000+ROW(),"")</f>
        <v/>
      </c>
      <c r="S47">
        <f>IF(ISNUMBER(B47),INT(B47)-WEEKDAY(B47,3),"")</f>
        <v/>
      </c>
      <c r="T47">
        <f>IF(ISNUMBER(B47),YEAR(B47)*100+MONTH(B47),"")</f>
        <v/>
      </c>
      <c r="U47">
        <f>IF(AND(ISNUMBER(B47),H47&lt;&gt;"Published"),IF(INT(B47)&gt;=TODAY(),R47,""),"")</f>
        <v/>
      </c>
      <c r="V47">
        <f>IF(AND(ISNUMBER(B47),OR(H47="Draft",H47="Scheduled")),IF(INT(B47)&lt;TODAY(),1,0),0)</f>
        <v/>
      </c>
      <c r="W47">
        <f>IF(AND(H47="Published",N(O47)&gt;0),IF(T47=(YEAR(TODAY())*100+MONTH(TODAY())),ROUND(O47,0)*1000+1000-ROW(),""),"")</f>
        <v/>
      </c>
    </row>
    <row r="48">
      <c r="A48" s="1" t="n"/>
      <c r="B48" s="21" t="n">
        <v>46268</v>
      </c>
      <c r="C48" s="22" t="n">
        <v>0.375</v>
      </c>
      <c r="D48" s="23" t="inlineStr">
        <is>
          <t>Instagram</t>
        </is>
      </c>
      <c r="E48" s="24" t="inlineStr">
        <is>
          <t>Story</t>
        </is>
      </c>
      <c r="F48" s="23" t="inlineStr">
        <is>
          <t>Behind the scenes</t>
        </is>
      </c>
      <c r="G48" s="25" t="inlineStr">
        <is>
          <t>Testing a new wick</t>
        </is>
      </c>
      <c r="H48" s="24" t="inlineStr">
        <is>
          <t>Published</t>
        </is>
      </c>
      <c r="I48" s="23" t="n"/>
      <c r="J48" s="26" t="n">
        <v>2303</v>
      </c>
      <c r="K48" s="26" t="n">
        <v>50</v>
      </c>
      <c r="L48" s="26" t="n">
        <v>9</v>
      </c>
      <c r="M48" s="26" t="n">
        <v>4</v>
      </c>
      <c r="N48" s="26" t="n">
        <v>11</v>
      </c>
      <c r="O48" s="27">
        <f>IF(COUNT(K48:N48)=0,"",SUM(K48:N48))</f>
        <v/>
      </c>
      <c r="P48" s="16">
        <f>IF(OR(O48="",N(J48)&lt;=0),"",O48/J48)</f>
        <v/>
      </c>
      <c r="Q48" s="28">
        <f>IF(V48=1,"Late","")</f>
        <v/>
      </c>
      <c r="R48" s="1">
        <f>IF(ISNUMBER(B48),INT(B48)*10000000+IF(ISNUMBER(C48),ROUND(MOD(C48,1)*1440,0),0)*1000+ROW(),"")</f>
        <v/>
      </c>
      <c r="S48">
        <f>IF(ISNUMBER(B48),INT(B48)-WEEKDAY(B48,3),"")</f>
        <v/>
      </c>
      <c r="T48">
        <f>IF(ISNUMBER(B48),YEAR(B48)*100+MONTH(B48),"")</f>
        <v/>
      </c>
      <c r="U48">
        <f>IF(AND(ISNUMBER(B48),H48&lt;&gt;"Published"),IF(INT(B48)&gt;=TODAY(),R48,""),"")</f>
        <v/>
      </c>
      <c r="V48">
        <f>IF(AND(ISNUMBER(B48),OR(H48="Draft",H48="Scheduled")),IF(INT(B48)&lt;TODAY(),1,0),0)</f>
        <v/>
      </c>
      <c r="W48">
        <f>IF(AND(H48="Published",N(O48)&gt;0),IF(T48=(YEAR(TODAY())*100+MONTH(TODAY())),ROUND(O48,0)*1000+1000-ROW(),""),"")</f>
        <v/>
      </c>
    </row>
    <row r="49">
      <c r="A49" s="1" t="n"/>
      <c r="B49" s="21" t="n">
        <v>46268</v>
      </c>
      <c r="C49" s="22" t="n">
        <v>0.7708333333333334</v>
      </c>
      <c r="D49" s="23" t="inlineStr">
        <is>
          <t>Pinterest</t>
        </is>
      </c>
      <c r="E49" s="24" t="inlineStr">
        <is>
          <t>Pin</t>
        </is>
      </c>
      <c r="F49" s="23" t="inlineStr">
        <is>
          <t>How to</t>
        </is>
      </c>
      <c r="G49" s="25" t="inlineStr">
        <is>
          <t>How to get an even burn</t>
        </is>
      </c>
      <c r="H49" s="24" t="inlineStr">
        <is>
          <t>Published</t>
        </is>
      </c>
      <c r="I49" s="23" t="n"/>
      <c r="J49" s="26" t="n">
        <v>1268</v>
      </c>
      <c r="K49" s="26" t="n">
        <v>101</v>
      </c>
      <c r="L49" s="26" t="n">
        <v>18</v>
      </c>
      <c r="M49" s="26" t="n">
        <v>10</v>
      </c>
      <c r="N49" s="26" t="n">
        <v>5</v>
      </c>
      <c r="O49" s="27">
        <f>IF(COUNT(K49:N49)=0,"",SUM(K49:N49))</f>
        <v/>
      </c>
      <c r="P49" s="16">
        <f>IF(OR(O49="",N(J49)&lt;=0),"",O49/J49)</f>
        <v/>
      </c>
      <c r="Q49" s="28">
        <f>IF(V49=1,"Late","")</f>
        <v/>
      </c>
      <c r="R49" s="1">
        <f>IF(ISNUMBER(B49),INT(B49)*10000000+IF(ISNUMBER(C49),ROUND(MOD(C49,1)*1440,0),0)*1000+ROW(),"")</f>
        <v/>
      </c>
      <c r="S49">
        <f>IF(ISNUMBER(B49),INT(B49)-WEEKDAY(B49,3),"")</f>
        <v/>
      </c>
      <c r="T49">
        <f>IF(ISNUMBER(B49),YEAR(B49)*100+MONTH(B49),"")</f>
        <v/>
      </c>
      <c r="U49">
        <f>IF(AND(ISNUMBER(B49),H49&lt;&gt;"Published"),IF(INT(B49)&gt;=TODAY(),R49,""),"")</f>
        <v/>
      </c>
      <c r="V49">
        <f>IF(AND(ISNUMBER(B49),OR(H49="Draft",H49="Scheduled")),IF(INT(B49)&lt;TODAY(),1,0),0)</f>
        <v/>
      </c>
      <c r="W49">
        <f>IF(AND(H49="Published",N(O49)&gt;0),IF(T49=(YEAR(TODAY())*100+MONTH(TODAY())),ROUND(O49,0)*1000+1000-ROW(),""),"")</f>
        <v/>
      </c>
    </row>
    <row r="50">
      <c r="A50" s="1" t="n"/>
      <c r="B50" s="21" t="n">
        <v>46269</v>
      </c>
      <c r="C50" s="22" t="n">
        <v>0.5208333333333334</v>
      </c>
      <c r="D50" s="23" t="inlineStr">
        <is>
          <t>TikTok</t>
        </is>
      </c>
      <c r="E50" s="24" t="inlineStr">
        <is>
          <t>Short</t>
        </is>
      </c>
      <c r="F50" s="23" t="inlineStr">
        <is>
          <t>Tips</t>
        </is>
      </c>
      <c r="G50" s="25" t="inlineStr">
        <is>
          <t>Three cosy evening ideas</t>
        </is>
      </c>
      <c r="H50" s="24" t="inlineStr">
        <is>
          <t>Published</t>
        </is>
      </c>
      <c r="I50" s="23" t="n"/>
      <c r="J50" s="26" t="n">
        <v>3773</v>
      </c>
      <c r="K50" s="26" t="n">
        <v>243</v>
      </c>
      <c r="L50" s="26" t="n">
        <v>33</v>
      </c>
      <c r="M50" s="26" t="n">
        <v>8</v>
      </c>
      <c r="N50" s="26" t="n">
        <v>65</v>
      </c>
      <c r="O50" s="27">
        <f>IF(COUNT(K50:N50)=0,"",SUM(K50:N50))</f>
        <v/>
      </c>
      <c r="P50" s="16">
        <f>IF(OR(O50="",N(J50)&lt;=0),"",O50/J50)</f>
        <v/>
      </c>
      <c r="Q50" s="28">
        <f>IF(V50=1,"Late","")</f>
        <v/>
      </c>
      <c r="R50" s="1">
        <f>IF(ISNUMBER(B50),INT(B50)*10000000+IF(ISNUMBER(C50),ROUND(MOD(C50,1)*1440,0),0)*1000+ROW(),"")</f>
        <v/>
      </c>
      <c r="S50">
        <f>IF(ISNUMBER(B50),INT(B50)-WEEKDAY(B50,3),"")</f>
        <v/>
      </c>
      <c r="T50">
        <f>IF(ISNUMBER(B50),YEAR(B50)*100+MONTH(B50),"")</f>
        <v/>
      </c>
      <c r="U50">
        <f>IF(AND(ISNUMBER(B50),H50&lt;&gt;"Published"),IF(INT(B50)&gt;=TODAY(),R50,""),"")</f>
        <v/>
      </c>
      <c r="V50">
        <f>IF(AND(ISNUMBER(B50),OR(H50="Draft",H50="Scheduled")),IF(INT(B50)&lt;TODAY(),1,0),0)</f>
        <v/>
      </c>
      <c r="W50">
        <f>IF(AND(H50="Published",N(O50)&gt;0),IF(T50=(YEAR(TODAY())*100+MONTH(TODAY())),ROUND(O50,0)*1000+1000-ROW(),""),"")</f>
        <v/>
      </c>
    </row>
    <row r="51">
      <c r="A51" s="1" t="n"/>
      <c r="B51" s="21" t="n">
        <v>46270</v>
      </c>
      <c r="C51" s="22" t="n">
        <v>0.3958333333333333</v>
      </c>
      <c r="D51" s="23" t="inlineStr">
        <is>
          <t>Pinterest</t>
        </is>
      </c>
      <c r="E51" s="24" t="inlineStr">
        <is>
          <t>Pin</t>
        </is>
      </c>
      <c r="F51" s="23" t="inlineStr">
        <is>
          <t>Behind the scenes</t>
        </is>
      </c>
      <c r="G51" s="25" t="inlineStr">
        <is>
          <t>Studio tidy up</t>
        </is>
      </c>
      <c r="H51" s="24" t="inlineStr">
        <is>
          <t>Published</t>
        </is>
      </c>
      <c r="I51" s="23" t="n"/>
      <c r="J51" s="26" t="n">
        <v>856</v>
      </c>
      <c r="K51" s="26" t="n">
        <v>60</v>
      </c>
      <c r="L51" s="26" t="n">
        <v>4</v>
      </c>
      <c r="M51" s="26" t="n">
        <v>4</v>
      </c>
      <c r="N51" s="26" t="n">
        <v>5</v>
      </c>
      <c r="O51" s="27">
        <f>IF(COUNT(K51:N51)=0,"",SUM(K51:N51))</f>
        <v/>
      </c>
      <c r="P51" s="16">
        <f>IF(OR(O51="",N(J51)&lt;=0),"",O51/J51)</f>
        <v/>
      </c>
      <c r="Q51" s="28">
        <f>IF(V51=1,"Late","")</f>
        <v/>
      </c>
      <c r="R51" s="1">
        <f>IF(ISNUMBER(B51),INT(B51)*10000000+IF(ISNUMBER(C51),ROUND(MOD(C51,1)*1440,0),0)*1000+ROW(),"")</f>
        <v/>
      </c>
      <c r="S51">
        <f>IF(ISNUMBER(B51),INT(B51)-WEEKDAY(B51,3),"")</f>
        <v/>
      </c>
      <c r="T51">
        <f>IF(ISNUMBER(B51),YEAR(B51)*100+MONTH(B51),"")</f>
        <v/>
      </c>
      <c r="U51">
        <f>IF(AND(ISNUMBER(B51),H51&lt;&gt;"Published"),IF(INT(B51)&gt;=TODAY(),R51,""),"")</f>
        <v/>
      </c>
      <c r="V51">
        <f>IF(AND(ISNUMBER(B51),OR(H51="Draft",H51="Scheduled")),IF(INT(B51)&lt;TODAY(),1,0),0)</f>
        <v/>
      </c>
      <c r="W51">
        <f>IF(AND(H51="Published",N(O51)&gt;0),IF(T51=(YEAR(TODAY())*100+MONTH(TODAY())),ROUND(O51,0)*1000+1000-ROW(),""),"")</f>
        <v/>
      </c>
    </row>
    <row r="52">
      <c r="A52" s="1" t="n"/>
      <c r="B52" s="21" t="n">
        <v>46270</v>
      </c>
      <c r="C52" s="22" t="n">
        <v>0.7708333333333334</v>
      </c>
      <c r="D52" s="23" t="inlineStr">
        <is>
          <t>Instagram</t>
        </is>
      </c>
      <c r="E52" s="24" t="inlineStr">
        <is>
          <t>Carousel</t>
        </is>
      </c>
      <c r="F52" s="23" t="inlineStr">
        <is>
          <t>Customer stories</t>
        </is>
      </c>
      <c r="G52" s="25" t="inlineStr">
        <is>
          <t>Candle in a new home</t>
        </is>
      </c>
      <c r="H52" s="24" t="inlineStr">
        <is>
          <t>Published</t>
        </is>
      </c>
      <c r="I52" s="23" t="n"/>
      <c r="J52" s="26" t="n">
        <v>1081</v>
      </c>
      <c r="K52" s="26" t="n">
        <v>85</v>
      </c>
      <c r="L52" s="26" t="n">
        <v>10</v>
      </c>
      <c r="M52" s="26" t="n">
        <v>7</v>
      </c>
      <c r="N52" s="26" t="n">
        <v>21</v>
      </c>
      <c r="O52" s="27">
        <f>IF(COUNT(K52:N52)=0,"",SUM(K52:N52))</f>
        <v/>
      </c>
      <c r="P52" s="16">
        <f>IF(OR(O52="",N(J52)&lt;=0),"",O52/J52)</f>
        <v/>
      </c>
      <c r="Q52" s="28">
        <f>IF(V52=1,"Late","")</f>
        <v/>
      </c>
      <c r="R52" s="1">
        <f>IF(ISNUMBER(B52),INT(B52)*10000000+IF(ISNUMBER(C52),ROUND(MOD(C52,1)*1440,0),0)*1000+ROW(),"")</f>
        <v/>
      </c>
      <c r="S52">
        <f>IF(ISNUMBER(B52),INT(B52)-WEEKDAY(B52,3),"")</f>
        <v/>
      </c>
      <c r="T52">
        <f>IF(ISNUMBER(B52),YEAR(B52)*100+MONTH(B52),"")</f>
        <v/>
      </c>
      <c r="U52">
        <f>IF(AND(ISNUMBER(B52),H52&lt;&gt;"Published"),IF(INT(B52)&gt;=TODAY(),R52,""),"")</f>
        <v/>
      </c>
      <c r="V52">
        <f>IF(AND(ISNUMBER(B52),OR(H52="Draft",H52="Scheduled")),IF(INT(B52)&lt;TODAY(),1,0),0)</f>
        <v/>
      </c>
      <c r="W52">
        <f>IF(AND(H52="Published",N(O52)&gt;0),IF(T52=(YEAR(TODAY())*100+MONTH(TODAY())),ROUND(O52,0)*1000+1000-ROW(),""),"")</f>
        <v/>
      </c>
    </row>
    <row r="53">
      <c r="A53" s="1" t="n"/>
      <c r="B53" s="21" t="n">
        <v>46271</v>
      </c>
      <c r="C53" s="22" t="n">
        <v>0.75</v>
      </c>
      <c r="D53" s="23" t="inlineStr">
        <is>
          <t>TikTok</t>
        </is>
      </c>
      <c r="E53" s="24" t="inlineStr">
        <is>
          <t>Short</t>
        </is>
      </c>
      <c r="F53" s="23" t="inlineStr">
        <is>
          <t>How to</t>
        </is>
      </c>
      <c r="G53" s="25" t="inlineStr">
        <is>
          <t>How to get an even burn</t>
        </is>
      </c>
      <c r="H53" s="24" t="inlineStr">
        <is>
          <t>Published</t>
        </is>
      </c>
      <c r="I53" s="23" t="n"/>
      <c r="J53" s="26" t="n">
        <v>2328</v>
      </c>
      <c r="K53" s="26" t="n">
        <v>67</v>
      </c>
      <c r="L53" s="26" t="n">
        <v>11</v>
      </c>
      <c r="M53" s="26" t="n">
        <v>4</v>
      </c>
      <c r="N53" s="26" t="n">
        <v>11</v>
      </c>
      <c r="O53" s="27">
        <f>IF(COUNT(K53:N53)=0,"",SUM(K53:N53))</f>
        <v/>
      </c>
      <c r="P53" s="16">
        <f>IF(OR(O53="",N(J53)&lt;=0),"",O53/J53)</f>
        <v/>
      </c>
      <c r="Q53" s="28">
        <f>IF(V53=1,"Late","")</f>
        <v/>
      </c>
      <c r="R53" s="1">
        <f>IF(ISNUMBER(B53),INT(B53)*10000000+IF(ISNUMBER(C53),ROUND(MOD(C53,1)*1440,0),0)*1000+ROW(),"")</f>
        <v/>
      </c>
      <c r="S53">
        <f>IF(ISNUMBER(B53),INT(B53)-WEEKDAY(B53,3),"")</f>
        <v/>
      </c>
      <c r="T53">
        <f>IF(ISNUMBER(B53),YEAR(B53)*100+MONTH(B53),"")</f>
        <v/>
      </c>
      <c r="U53">
        <f>IF(AND(ISNUMBER(B53),H53&lt;&gt;"Published"),IF(INT(B53)&gt;=TODAY(),R53,""),"")</f>
        <v/>
      </c>
      <c r="V53">
        <f>IF(AND(ISNUMBER(B53),OR(H53="Draft",H53="Scheduled")),IF(INT(B53)&lt;TODAY(),1,0),0)</f>
        <v/>
      </c>
      <c r="W53">
        <f>IF(AND(H53="Published",N(O53)&gt;0),IF(T53=(YEAR(TODAY())*100+MONTH(TODAY())),ROUND(O53,0)*1000+1000-ROW(),""),"")</f>
        <v/>
      </c>
    </row>
    <row r="54">
      <c r="A54" s="1" t="n"/>
      <c r="B54" s="21" t="n">
        <v>46272</v>
      </c>
      <c r="C54" s="22" t="n">
        <v>0.8125</v>
      </c>
      <c r="D54" s="23" t="inlineStr">
        <is>
          <t>Instagram</t>
        </is>
      </c>
      <c r="E54" s="24" t="inlineStr">
        <is>
          <t>Carousel</t>
        </is>
      </c>
      <c r="F54" s="23" t="inlineStr">
        <is>
          <t>Behind the scenes</t>
        </is>
      </c>
      <c r="G54" s="25" t="inlineStr">
        <is>
          <t>A day at the market</t>
        </is>
      </c>
      <c r="H54" s="24" t="inlineStr">
        <is>
          <t>Published</t>
        </is>
      </c>
      <c r="I54" s="23" t="n"/>
      <c r="J54" s="26" t="n">
        <v>2547</v>
      </c>
      <c r="K54" s="26" t="n">
        <v>184</v>
      </c>
      <c r="L54" s="26" t="n">
        <v>36</v>
      </c>
      <c r="M54" s="26" t="n">
        <v>10</v>
      </c>
      <c r="N54" s="26" t="n">
        <v>43</v>
      </c>
      <c r="O54" s="27">
        <f>IF(COUNT(K54:N54)=0,"",SUM(K54:N54))</f>
        <v/>
      </c>
      <c r="P54" s="16">
        <f>IF(OR(O54="",N(J54)&lt;=0),"",O54/J54)</f>
        <v/>
      </c>
      <c r="Q54" s="28">
        <f>IF(V54=1,"Late","")</f>
        <v/>
      </c>
      <c r="R54" s="1">
        <f>IF(ISNUMBER(B54),INT(B54)*10000000+IF(ISNUMBER(C54),ROUND(MOD(C54,1)*1440,0),0)*1000+ROW(),"")</f>
        <v/>
      </c>
      <c r="S54">
        <f>IF(ISNUMBER(B54),INT(B54)-WEEKDAY(B54,3),"")</f>
        <v/>
      </c>
      <c r="T54">
        <f>IF(ISNUMBER(B54),YEAR(B54)*100+MONTH(B54),"")</f>
        <v/>
      </c>
      <c r="U54">
        <f>IF(AND(ISNUMBER(B54),H54&lt;&gt;"Published"),IF(INT(B54)&gt;=TODAY(),R54,""),"")</f>
        <v/>
      </c>
      <c r="V54">
        <f>IF(AND(ISNUMBER(B54),OR(H54="Draft",H54="Scheduled")),IF(INT(B54)&lt;TODAY(),1,0),0)</f>
        <v/>
      </c>
      <c r="W54">
        <f>IF(AND(H54="Published",N(O54)&gt;0),IF(T54=(YEAR(TODAY())*100+MONTH(TODAY())),ROUND(O54,0)*1000+1000-ROW(),""),"")</f>
        <v/>
      </c>
    </row>
    <row r="55">
      <c r="A55" s="1" t="n"/>
      <c r="B55" s="21" t="n">
        <v>46273</v>
      </c>
      <c r="C55" s="22" t="n">
        <v>0.75</v>
      </c>
      <c r="D55" s="23" t="inlineStr">
        <is>
          <t>Instagram</t>
        </is>
      </c>
      <c r="E55" s="24" t="inlineStr">
        <is>
          <t>Post</t>
        </is>
      </c>
      <c r="F55" s="23" t="inlineStr">
        <is>
          <t>Tips</t>
        </is>
      </c>
      <c r="G55" s="25" t="inlineStr">
        <is>
          <t>Reuse your jar</t>
        </is>
      </c>
      <c r="H55" s="24" t="inlineStr">
        <is>
          <t>Published</t>
        </is>
      </c>
      <c r="I55" s="23" t="n"/>
      <c r="J55" s="26" t="n">
        <v>2424</v>
      </c>
      <c r="K55" s="26" t="n">
        <v>49</v>
      </c>
      <c r="L55" s="26" t="n">
        <v>9</v>
      </c>
      <c r="M55" s="26" t="n">
        <v>4</v>
      </c>
      <c r="N55" s="26" t="n">
        <v>7</v>
      </c>
      <c r="O55" s="27">
        <f>IF(COUNT(K55:N55)=0,"",SUM(K55:N55))</f>
        <v/>
      </c>
      <c r="P55" s="16">
        <f>IF(OR(O55="",N(J55)&lt;=0),"",O55/J55)</f>
        <v/>
      </c>
      <c r="Q55" s="28">
        <f>IF(V55=1,"Late","")</f>
        <v/>
      </c>
      <c r="R55" s="1">
        <f>IF(ISNUMBER(B55),INT(B55)*10000000+IF(ISNUMBER(C55),ROUND(MOD(C55,1)*1440,0),0)*1000+ROW(),"")</f>
        <v/>
      </c>
      <c r="S55">
        <f>IF(ISNUMBER(B55),INT(B55)-WEEKDAY(B55,3),"")</f>
        <v/>
      </c>
      <c r="T55">
        <f>IF(ISNUMBER(B55),YEAR(B55)*100+MONTH(B55),"")</f>
        <v/>
      </c>
      <c r="U55">
        <f>IF(AND(ISNUMBER(B55),H55&lt;&gt;"Published"),IF(INT(B55)&gt;=TODAY(),R55,""),"")</f>
        <v/>
      </c>
      <c r="V55">
        <f>IF(AND(ISNUMBER(B55),OR(H55="Draft",H55="Scheduled")),IF(INT(B55)&lt;TODAY(),1,0),0)</f>
        <v/>
      </c>
      <c r="W55">
        <f>IF(AND(H55="Published",N(O55)&gt;0),IF(T55=(YEAR(TODAY())*100+MONTH(TODAY())),ROUND(O55,0)*1000+1000-ROW(),""),"")</f>
        <v/>
      </c>
    </row>
    <row r="56">
      <c r="A56" s="1" t="n"/>
      <c r="B56" s="21" t="n">
        <v>46273</v>
      </c>
      <c r="C56" s="22" t="n">
        <v>0.7708333333333334</v>
      </c>
      <c r="D56" s="23" t="inlineStr">
        <is>
          <t>YouTube</t>
        </is>
      </c>
      <c r="E56" s="24" t="inlineStr">
        <is>
          <t>Video</t>
        </is>
      </c>
      <c r="F56" s="23" t="inlineStr">
        <is>
          <t>How to</t>
        </is>
      </c>
      <c r="G56" s="25" t="inlineStr">
        <is>
          <t>Care for your candle</t>
        </is>
      </c>
      <c r="H56" s="24" t="inlineStr">
        <is>
          <t>Published</t>
        </is>
      </c>
      <c r="I56" s="23" t="n"/>
      <c r="J56" s="26" t="n">
        <v>651</v>
      </c>
      <c r="K56" s="26" t="n">
        <v>42</v>
      </c>
      <c r="L56" s="26" t="n">
        <v>7</v>
      </c>
      <c r="M56" s="26" t="n">
        <v>3</v>
      </c>
      <c r="N56" s="26" t="n">
        <v>10</v>
      </c>
      <c r="O56" s="27">
        <f>IF(COUNT(K56:N56)=0,"",SUM(K56:N56))</f>
        <v/>
      </c>
      <c r="P56" s="16">
        <f>IF(OR(O56="",N(J56)&lt;=0),"",O56/J56)</f>
        <v/>
      </c>
      <c r="Q56" s="28">
        <f>IF(V56=1,"Late","")</f>
        <v/>
      </c>
      <c r="R56" s="1">
        <f>IF(ISNUMBER(B56),INT(B56)*10000000+IF(ISNUMBER(C56),ROUND(MOD(C56,1)*1440,0),0)*1000+ROW(),"")</f>
        <v/>
      </c>
      <c r="S56">
        <f>IF(ISNUMBER(B56),INT(B56)-WEEKDAY(B56,3),"")</f>
        <v/>
      </c>
      <c r="T56">
        <f>IF(ISNUMBER(B56),YEAR(B56)*100+MONTH(B56),"")</f>
        <v/>
      </c>
      <c r="U56">
        <f>IF(AND(ISNUMBER(B56),H56&lt;&gt;"Published"),IF(INT(B56)&gt;=TODAY(),R56,""),"")</f>
        <v/>
      </c>
      <c r="V56">
        <f>IF(AND(ISNUMBER(B56),OR(H56="Draft",H56="Scheduled")),IF(INT(B56)&lt;TODAY(),1,0),0)</f>
        <v/>
      </c>
      <c r="W56">
        <f>IF(AND(H56="Published",N(O56)&gt;0),IF(T56=(YEAR(TODAY())*100+MONTH(TODAY())),ROUND(O56,0)*1000+1000-ROW(),""),"")</f>
        <v/>
      </c>
    </row>
    <row r="57">
      <c r="A57" s="1" t="n"/>
      <c r="B57" s="21" t="n">
        <v>46273</v>
      </c>
      <c r="C57" s="22" t="n">
        <v>0.7916666666666666</v>
      </c>
      <c r="D57" s="23" t="inlineStr">
        <is>
          <t>Pinterest</t>
        </is>
      </c>
      <c r="E57" s="24" t="inlineStr">
        <is>
          <t>Pin</t>
        </is>
      </c>
      <c r="F57" s="23" t="inlineStr">
        <is>
          <t>Tips</t>
        </is>
      </c>
      <c r="G57" s="25" t="inlineStr">
        <is>
          <t>Three cosy evening ideas</t>
        </is>
      </c>
      <c r="H57" s="24" t="inlineStr">
        <is>
          <t>Published</t>
        </is>
      </c>
      <c r="I57" s="23" t="n"/>
      <c r="J57" s="26" t="n">
        <v>1386</v>
      </c>
      <c r="K57" s="26" t="n">
        <v>70</v>
      </c>
      <c r="L57" s="26" t="n">
        <v>10</v>
      </c>
      <c r="M57" s="26" t="n">
        <v>5</v>
      </c>
      <c r="N57" s="26" t="n">
        <v>20</v>
      </c>
      <c r="O57" s="27">
        <f>IF(COUNT(K57:N57)=0,"",SUM(K57:N57))</f>
        <v/>
      </c>
      <c r="P57" s="16">
        <f>IF(OR(O57="",N(J57)&lt;=0),"",O57/J57)</f>
        <v/>
      </c>
      <c r="Q57" s="28">
        <f>IF(V57=1,"Late","")</f>
        <v/>
      </c>
      <c r="R57" s="1">
        <f>IF(ISNUMBER(B57),INT(B57)*10000000+IF(ISNUMBER(C57),ROUND(MOD(C57,1)*1440,0),0)*1000+ROW(),"")</f>
        <v/>
      </c>
      <c r="S57">
        <f>IF(ISNUMBER(B57),INT(B57)-WEEKDAY(B57,3),"")</f>
        <v/>
      </c>
      <c r="T57">
        <f>IF(ISNUMBER(B57),YEAR(B57)*100+MONTH(B57),"")</f>
        <v/>
      </c>
      <c r="U57">
        <f>IF(AND(ISNUMBER(B57),H57&lt;&gt;"Published"),IF(INT(B57)&gt;=TODAY(),R57,""),"")</f>
        <v/>
      </c>
      <c r="V57">
        <f>IF(AND(ISNUMBER(B57),OR(H57="Draft",H57="Scheduled")),IF(INT(B57)&lt;TODAY(),1,0),0)</f>
        <v/>
      </c>
      <c r="W57">
        <f>IF(AND(H57="Published",N(O57)&gt;0),IF(T57=(YEAR(TODAY())*100+MONTH(TODAY())),ROUND(O57,0)*1000+1000-ROW(),""),"")</f>
        <v/>
      </c>
    </row>
    <row r="58">
      <c r="A58" s="1" t="n"/>
      <c r="B58" s="21" t="n">
        <v>46273</v>
      </c>
      <c r="C58" s="22" t="n">
        <v>0.8125</v>
      </c>
      <c r="D58" s="23" t="inlineStr">
        <is>
          <t>Newsletter</t>
        </is>
      </c>
      <c r="E58" s="24" t="inlineStr">
        <is>
          <t>Email</t>
        </is>
      </c>
      <c r="F58" s="23" t="inlineStr">
        <is>
          <t>Behind the scenes</t>
        </is>
      </c>
      <c r="G58" s="25" t="inlineStr">
        <is>
          <t>Pouring a new batch</t>
        </is>
      </c>
      <c r="H58" s="24" t="inlineStr">
        <is>
          <t>Published</t>
        </is>
      </c>
      <c r="I58" s="23" t="n"/>
      <c r="J58" s="26" t="n">
        <v>761</v>
      </c>
      <c r="K58" s="26" t="n">
        <v>18</v>
      </c>
      <c r="L58" s="26" t="n">
        <v>1</v>
      </c>
      <c r="M58" s="26" t="n">
        <v>1</v>
      </c>
      <c r="N58" s="26" t="n">
        <v>5</v>
      </c>
      <c r="O58" s="27">
        <f>IF(COUNT(K58:N58)=0,"",SUM(K58:N58))</f>
        <v/>
      </c>
      <c r="P58" s="16">
        <f>IF(OR(O58="",N(J58)&lt;=0),"",O58/J58)</f>
        <v/>
      </c>
      <c r="Q58" s="28">
        <f>IF(V58=1,"Late","")</f>
        <v/>
      </c>
      <c r="R58" s="1">
        <f>IF(ISNUMBER(B58),INT(B58)*10000000+IF(ISNUMBER(C58),ROUND(MOD(C58,1)*1440,0),0)*1000+ROW(),"")</f>
        <v/>
      </c>
      <c r="S58">
        <f>IF(ISNUMBER(B58),INT(B58)-WEEKDAY(B58,3),"")</f>
        <v/>
      </c>
      <c r="T58">
        <f>IF(ISNUMBER(B58),YEAR(B58)*100+MONTH(B58),"")</f>
        <v/>
      </c>
      <c r="U58">
        <f>IF(AND(ISNUMBER(B58),H58&lt;&gt;"Published"),IF(INT(B58)&gt;=TODAY(),R58,""),"")</f>
        <v/>
      </c>
      <c r="V58">
        <f>IF(AND(ISNUMBER(B58),OR(H58="Draft",H58="Scheduled")),IF(INT(B58)&lt;TODAY(),1,0),0)</f>
        <v/>
      </c>
      <c r="W58">
        <f>IF(AND(H58="Published",N(O58)&gt;0),IF(T58=(YEAR(TODAY())*100+MONTH(TODAY())),ROUND(O58,0)*1000+1000-ROW(),""),"")</f>
        <v/>
      </c>
    </row>
    <row r="59">
      <c r="A59" s="1" t="n"/>
      <c r="B59" s="21" t="n">
        <v>46274</v>
      </c>
      <c r="C59" s="22" t="n">
        <v>0.7708333333333334</v>
      </c>
      <c r="D59" s="23" t="inlineStr">
        <is>
          <t>TikTok</t>
        </is>
      </c>
      <c r="E59" s="24" t="inlineStr">
        <is>
          <t>Short</t>
        </is>
      </c>
      <c r="F59" s="23" t="inlineStr">
        <is>
          <t>New products</t>
        </is>
      </c>
      <c r="G59" s="25" t="inlineStr">
        <is>
          <t>Gift box sneak peek</t>
        </is>
      </c>
      <c r="H59" s="24" t="inlineStr">
        <is>
          <t>Published</t>
        </is>
      </c>
      <c r="I59" s="23" t="n"/>
      <c r="J59" s="26" t="n">
        <v>5008</v>
      </c>
      <c r="K59" s="26" t="n">
        <v>301</v>
      </c>
      <c r="L59" s="26" t="n">
        <v>60</v>
      </c>
      <c r="M59" s="26" t="n">
        <v>29</v>
      </c>
      <c r="N59" s="26" t="n">
        <v>22</v>
      </c>
      <c r="O59" s="27">
        <f>IF(COUNT(K59:N59)=0,"",SUM(K59:N59))</f>
        <v/>
      </c>
      <c r="P59" s="16">
        <f>IF(OR(O59="",N(J59)&lt;=0),"",O59/J59)</f>
        <v/>
      </c>
      <c r="Q59" s="28">
        <f>IF(V59=1,"Late","")</f>
        <v/>
      </c>
      <c r="R59" s="1">
        <f>IF(ISNUMBER(B59),INT(B59)*10000000+IF(ISNUMBER(C59),ROUND(MOD(C59,1)*1440,0),0)*1000+ROW(),"")</f>
        <v/>
      </c>
      <c r="S59">
        <f>IF(ISNUMBER(B59),INT(B59)-WEEKDAY(B59,3),"")</f>
        <v/>
      </c>
      <c r="T59">
        <f>IF(ISNUMBER(B59),YEAR(B59)*100+MONTH(B59),"")</f>
        <v/>
      </c>
      <c r="U59">
        <f>IF(AND(ISNUMBER(B59),H59&lt;&gt;"Published"),IF(INT(B59)&gt;=TODAY(),R59,""),"")</f>
        <v/>
      </c>
      <c r="V59">
        <f>IF(AND(ISNUMBER(B59),OR(H59="Draft",H59="Scheduled")),IF(INT(B59)&lt;TODAY(),1,0),0)</f>
        <v/>
      </c>
      <c r="W59">
        <f>IF(AND(H59="Published",N(O59)&gt;0),IF(T59=(YEAR(TODAY())*100+MONTH(TODAY())),ROUND(O59,0)*1000+1000-ROW(),""),"")</f>
        <v/>
      </c>
    </row>
    <row r="60">
      <c r="A60" s="1" t="n"/>
      <c r="B60" s="21" t="n">
        <v>46275</v>
      </c>
      <c r="C60" s="22" t="n">
        <v>0.3958333333333333</v>
      </c>
      <c r="D60" s="23" t="inlineStr">
        <is>
          <t>Instagram</t>
        </is>
      </c>
      <c r="E60" s="24" t="inlineStr">
        <is>
          <t>Post</t>
        </is>
      </c>
      <c r="F60" s="23" t="inlineStr">
        <is>
          <t>Customer stories</t>
        </is>
      </c>
      <c r="G60" s="25" t="inlineStr">
        <is>
          <t>Your photos this month</t>
        </is>
      </c>
      <c r="H60" s="24" t="inlineStr">
        <is>
          <t>Published</t>
        </is>
      </c>
      <c r="I60" s="23" t="n"/>
      <c r="J60" s="26" t="n">
        <v>2820</v>
      </c>
      <c r="K60" s="26" t="n">
        <v>146</v>
      </c>
      <c r="L60" s="26" t="n">
        <v>23</v>
      </c>
      <c r="M60" s="26" t="n">
        <v>5</v>
      </c>
      <c r="N60" s="26" t="n">
        <v>20</v>
      </c>
      <c r="O60" s="27">
        <f>IF(COUNT(K60:N60)=0,"",SUM(K60:N60))</f>
        <v/>
      </c>
      <c r="P60" s="16">
        <f>IF(OR(O60="",N(J60)&lt;=0),"",O60/J60)</f>
        <v/>
      </c>
      <c r="Q60" s="28">
        <f>IF(V60=1,"Late","")</f>
        <v/>
      </c>
      <c r="R60" s="1">
        <f>IF(ISNUMBER(B60),INT(B60)*10000000+IF(ISNUMBER(C60),ROUND(MOD(C60,1)*1440,0),0)*1000+ROW(),"")</f>
        <v/>
      </c>
      <c r="S60">
        <f>IF(ISNUMBER(B60),INT(B60)-WEEKDAY(B60,3),"")</f>
        <v/>
      </c>
      <c r="T60">
        <f>IF(ISNUMBER(B60),YEAR(B60)*100+MONTH(B60),"")</f>
        <v/>
      </c>
      <c r="U60">
        <f>IF(AND(ISNUMBER(B60),H60&lt;&gt;"Published"),IF(INT(B60)&gt;=TODAY(),R60,""),"")</f>
        <v/>
      </c>
      <c r="V60">
        <f>IF(AND(ISNUMBER(B60),OR(H60="Draft",H60="Scheduled")),IF(INT(B60)&lt;TODAY(),1,0),0)</f>
        <v/>
      </c>
      <c r="W60">
        <f>IF(AND(H60="Published",N(O60)&gt;0),IF(T60=(YEAR(TODAY())*100+MONTH(TODAY())),ROUND(O60,0)*1000+1000-ROW(),""),"")</f>
        <v/>
      </c>
    </row>
    <row r="61">
      <c r="A61" s="1" t="n"/>
      <c r="B61" s="21" t="n">
        <v>46275</v>
      </c>
      <c r="C61" s="22" t="n">
        <v>0.3958333333333333</v>
      </c>
      <c r="D61" s="23" t="inlineStr">
        <is>
          <t>Pinterest</t>
        </is>
      </c>
      <c r="E61" s="24" t="inlineStr">
        <is>
          <t>Pin</t>
        </is>
      </c>
      <c r="F61" s="23" t="inlineStr">
        <is>
          <t>Behind the scenes</t>
        </is>
      </c>
      <c r="G61" s="25" t="inlineStr">
        <is>
          <t>A day at the market</t>
        </is>
      </c>
      <c r="H61" s="24" t="inlineStr">
        <is>
          <t>Published</t>
        </is>
      </c>
      <c r="I61" s="23" t="n"/>
      <c r="J61" s="26" t="n">
        <v>1692</v>
      </c>
      <c r="K61" s="26" t="n">
        <v>95</v>
      </c>
      <c r="L61" s="26" t="n">
        <v>15</v>
      </c>
      <c r="M61" s="26" t="n">
        <v>3</v>
      </c>
      <c r="N61" s="26" t="n">
        <v>5</v>
      </c>
      <c r="O61" s="27">
        <f>IF(COUNT(K61:N61)=0,"",SUM(K61:N61))</f>
        <v/>
      </c>
      <c r="P61" s="16">
        <f>IF(OR(O61="",N(J61)&lt;=0),"",O61/J61)</f>
        <v/>
      </c>
      <c r="Q61" s="28">
        <f>IF(V61=1,"Late","")</f>
        <v/>
      </c>
      <c r="R61" s="1">
        <f>IF(ISNUMBER(B61),INT(B61)*10000000+IF(ISNUMBER(C61),ROUND(MOD(C61,1)*1440,0),0)*1000+ROW(),"")</f>
        <v/>
      </c>
      <c r="S61">
        <f>IF(ISNUMBER(B61),INT(B61)-WEEKDAY(B61,3),"")</f>
        <v/>
      </c>
      <c r="T61">
        <f>IF(ISNUMBER(B61),YEAR(B61)*100+MONTH(B61),"")</f>
        <v/>
      </c>
      <c r="U61">
        <f>IF(AND(ISNUMBER(B61),H61&lt;&gt;"Published"),IF(INT(B61)&gt;=TODAY(),R61,""),"")</f>
        <v/>
      </c>
      <c r="V61">
        <f>IF(AND(ISNUMBER(B61),OR(H61="Draft",H61="Scheduled")),IF(INT(B61)&lt;TODAY(),1,0),0)</f>
        <v/>
      </c>
      <c r="W61">
        <f>IF(AND(H61="Published",N(O61)&gt;0),IF(T61=(YEAR(TODAY())*100+MONTH(TODAY())),ROUND(O61,0)*1000+1000-ROW(),""),"")</f>
        <v/>
      </c>
    </row>
    <row r="62">
      <c r="A62" s="1" t="n"/>
      <c r="B62" s="21" t="n">
        <v>46276</v>
      </c>
      <c r="C62" s="22" t="n">
        <v>0.75</v>
      </c>
      <c r="D62" s="23" t="inlineStr">
        <is>
          <t>TikTok</t>
        </is>
      </c>
      <c r="E62" s="24" t="inlineStr">
        <is>
          <t>Short</t>
        </is>
      </c>
      <c r="F62" s="23" t="inlineStr">
        <is>
          <t>Customer stories</t>
        </is>
      </c>
      <c r="G62" s="25" t="inlineStr">
        <is>
          <t>Candle in a new home</t>
        </is>
      </c>
      <c r="H62" s="24" t="inlineStr">
        <is>
          <t>Published</t>
        </is>
      </c>
      <c r="I62" s="23" t="n"/>
      <c r="J62" s="26" t="n">
        <v>2732</v>
      </c>
      <c r="K62" s="26" t="n">
        <v>71</v>
      </c>
      <c r="L62" s="26" t="n">
        <v>10</v>
      </c>
      <c r="M62" s="26" t="n">
        <v>2</v>
      </c>
      <c r="N62" s="26" t="n">
        <v>11</v>
      </c>
      <c r="O62" s="27">
        <f>IF(COUNT(K62:N62)=0,"",SUM(K62:N62))</f>
        <v/>
      </c>
      <c r="P62" s="16">
        <f>IF(OR(O62="",N(J62)&lt;=0),"",O62/J62)</f>
        <v/>
      </c>
      <c r="Q62" s="28">
        <f>IF(V62=1,"Late","")</f>
        <v/>
      </c>
      <c r="R62" s="1">
        <f>IF(ISNUMBER(B62),INT(B62)*10000000+IF(ISNUMBER(C62),ROUND(MOD(C62,1)*1440,0),0)*1000+ROW(),"")</f>
        <v/>
      </c>
      <c r="S62">
        <f>IF(ISNUMBER(B62),INT(B62)-WEEKDAY(B62,3),"")</f>
        <v/>
      </c>
      <c r="T62">
        <f>IF(ISNUMBER(B62),YEAR(B62)*100+MONTH(B62),"")</f>
        <v/>
      </c>
      <c r="U62">
        <f>IF(AND(ISNUMBER(B62),H62&lt;&gt;"Published"),IF(INT(B62)&gt;=TODAY(),R62,""),"")</f>
        <v/>
      </c>
      <c r="V62">
        <f>IF(AND(ISNUMBER(B62),OR(H62="Draft",H62="Scheduled")),IF(INT(B62)&lt;TODAY(),1,0),0)</f>
        <v/>
      </c>
      <c r="W62">
        <f>IF(AND(H62="Published",N(O62)&gt;0),IF(T62=(YEAR(TODAY())*100+MONTH(TODAY())),ROUND(O62,0)*1000+1000-ROW(),""),"")</f>
        <v/>
      </c>
    </row>
    <row r="63">
      <c r="A63" s="1" t="n"/>
      <c r="B63" s="21" t="n">
        <v>46277</v>
      </c>
      <c r="C63" s="22" t="n">
        <v>0.5208333333333334</v>
      </c>
      <c r="D63" s="23" t="inlineStr">
        <is>
          <t>Pinterest</t>
        </is>
      </c>
      <c r="E63" s="24" t="inlineStr">
        <is>
          <t>Pin</t>
        </is>
      </c>
      <c r="F63" s="23" t="inlineStr">
        <is>
          <t>Customer stories</t>
        </is>
      </c>
      <c r="G63" s="25" t="inlineStr">
        <is>
          <t>Candle in a new home</t>
        </is>
      </c>
      <c r="H63" s="24" t="inlineStr">
        <is>
          <t>Published</t>
        </is>
      </c>
      <c r="I63" s="23" t="n"/>
      <c r="J63" s="26" t="n">
        <v>1915</v>
      </c>
      <c r="K63" s="26" t="n">
        <v>49</v>
      </c>
      <c r="L63" s="26" t="n">
        <v>9</v>
      </c>
      <c r="M63" s="26" t="n">
        <v>3</v>
      </c>
      <c r="N63" s="26" t="n">
        <v>7</v>
      </c>
      <c r="O63" s="27">
        <f>IF(COUNT(K63:N63)=0,"",SUM(K63:N63))</f>
        <v/>
      </c>
      <c r="P63" s="16">
        <f>IF(OR(O63="",N(J63)&lt;=0),"",O63/J63)</f>
        <v/>
      </c>
      <c r="Q63" s="28">
        <f>IF(V63=1,"Late","")</f>
        <v/>
      </c>
      <c r="R63" s="1">
        <f>IF(ISNUMBER(B63),INT(B63)*10000000+IF(ISNUMBER(C63),ROUND(MOD(C63,1)*1440,0),0)*1000+ROW(),"")</f>
        <v/>
      </c>
      <c r="S63">
        <f>IF(ISNUMBER(B63),INT(B63)-WEEKDAY(B63,3),"")</f>
        <v/>
      </c>
      <c r="T63">
        <f>IF(ISNUMBER(B63),YEAR(B63)*100+MONTH(B63),"")</f>
        <v/>
      </c>
      <c r="U63">
        <f>IF(AND(ISNUMBER(B63),H63&lt;&gt;"Published"),IF(INT(B63)&gt;=TODAY(),R63,""),"")</f>
        <v/>
      </c>
      <c r="V63">
        <f>IF(AND(ISNUMBER(B63),OR(H63="Draft",H63="Scheduled")),IF(INT(B63)&lt;TODAY(),1,0),0)</f>
        <v/>
      </c>
      <c r="W63">
        <f>IF(AND(H63="Published",N(O63)&gt;0),IF(T63=(YEAR(TODAY())*100+MONTH(TODAY())),ROUND(O63,0)*1000+1000-ROW(),""),"")</f>
        <v/>
      </c>
    </row>
    <row r="64">
      <c r="A64" s="1" t="n"/>
      <c r="B64" s="21" t="n">
        <v>46277</v>
      </c>
      <c r="C64" s="22" t="n">
        <v>0.8125</v>
      </c>
      <c r="D64" s="23" t="inlineStr">
        <is>
          <t>Instagram</t>
        </is>
      </c>
      <c r="E64" s="24" t="inlineStr">
        <is>
          <t>Reel</t>
        </is>
      </c>
      <c r="F64" s="23" t="inlineStr">
        <is>
          <t>New products</t>
        </is>
      </c>
      <c r="G64" s="25" t="inlineStr">
        <is>
          <t>Gift box sneak peek</t>
        </is>
      </c>
      <c r="H64" s="24" t="inlineStr">
        <is>
          <t>Published</t>
        </is>
      </c>
      <c r="I64" s="23" t="n"/>
      <c r="J64" s="26" t="n">
        <v>2267</v>
      </c>
      <c r="K64" s="26" t="n">
        <v>82</v>
      </c>
      <c r="L64" s="26" t="n">
        <v>12</v>
      </c>
      <c r="M64" s="26" t="n">
        <v>3</v>
      </c>
      <c r="N64" s="26" t="n">
        <v>4</v>
      </c>
      <c r="O64" s="27">
        <f>IF(COUNT(K64:N64)=0,"",SUM(K64:N64))</f>
        <v/>
      </c>
      <c r="P64" s="16">
        <f>IF(OR(O64="",N(J64)&lt;=0),"",O64/J64)</f>
        <v/>
      </c>
      <c r="Q64" s="28">
        <f>IF(V64=1,"Late","")</f>
        <v/>
      </c>
      <c r="R64" s="1">
        <f>IF(ISNUMBER(B64),INT(B64)*10000000+IF(ISNUMBER(C64),ROUND(MOD(C64,1)*1440,0),0)*1000+ROW(),"")</f>
        <v/>
      </c>
      <c r="S64">
        <f>IF(ISNUMBER(B64),INT(B64)-WEEKDAY(B64,3),"")</f>
        <v/>
      </c>
      <c r="T64">
        <f>IF(ISNUMBER(B64),YEAR(B64)*100+MONTH(B64),"")</f>
        <v/>
      </c>
      <c r="U64">
        <f>IF(AND(ISNUMBER(B64),H64&lt;&gt;"Published"),IF(INT(B64)&gt;=TODAY(),R64,""),"")</f>
        <v/>
      </c>
      <c r="V64">
        <f>IF(AND(ISNUMBER(B64),OR(H64="Draft",H64="Scheduled")),IF(INT(B64)&lt;TODAY(),1,0),0)</f>
        <v/>
      </c>
      <c r="W64">
        <f>IF(AND(H64="Published",N(O64)&gt;0),IF(T64=(YEAR(TODAY())*100+MONTH(TODAY())),ROUND(O64,0)*1000+1000-ROW(),""),"")</f>
        <v/>
      </c>
    </row>
    <row r="65">
      <c r="A65" s="1" t="n"/>
      <c r="B65" s="21" t="n">
        <v>46278</v>
      </c>
      <c r="C65" s="22" t="n">
        <v>0.75</v>
      </c>
      <c r="D65" s="23" t="inlineStr">
        <is>
          <t>TikTok</t>
        </is>
      </c>
      <c r="E65" s="24" t="inlineStr">
        <is>
          <t>Short</t>
        </is>
      </c>
      <c r="F65" s="23" t="inlineStr">
        <is>
          <t>How to</t>
        </is>
      </c>
      <c r="G65" s="25" t="inlineStr">
        <is>
          <t>How to trim a wick</t>
        </is>
      </c>
      <c r="H65" s="24" t="inlineStr">
        <is>
          <t>Published</t>
        </is>
      </c>
      <c r="I65" s="23" t="n"/>
      <c r="J65" s="26" t="n">
        <v>2115</v>
      </c>
      <c r="K65" s="26" t="n">
        <v>86</v>
      </c>
      <c r="L65" s="26" t="n">
        <v>9</v>
      </c>
      <c r="M65" s="26" t="n">
        <v>6</v>
      </c>
      <c r="N65" s="26" t="n">
        <v>24</v>
      </c>
      <c r="O65" s="27">
        <f>IF(COUNT(K65:N65)=0,"",SUM(K65:N65))</f>
        <v/>
      </c>
      <c r="P65" s="16">
        <f>IF(OR(O65="",N(J65)&lt;=0),"",O65/J65)</f>
        <v/>
      </c>
      <c r="Q65" s="28">
        <f>IF(V65=1,"Late","")</f>
        <v/>
      </c>
      <c r="R65" s="1">
        <f>IF(ISNUMBER(B65),INT(B65)*10000000+IF(ISNUMBER(C65),ROUND(MOD(C65,1)*1440,0),0)*1000+ROW(),"")</f>
        <v/>
      </c>
      <c r="S65">
        <f>IF(ISNUMBER(B65),INT(B65)-WEEKDAY(B65,3),"")</f>
        <v/>
      </c>
      <c r="T65">
        <f>IF(ISNUMBER(B65),YEAR(B65)*100+MONTH(B65),"")</f>
        <v/>
      </c>
      <c r="U65">
        <f>IF(AND(ISNUMBER(B65),H65&lt;&gt;"Published"),IF(INT(B65)&gt;=TODAY(),R65,""),"")</f>
        <v/>
      </c>
      <c r="V65">
        <f>IF(AND(ISNUMBER(B65),OR(H65="Draft",H65="Scheduled")),IF(INT(B65)&lt;TODAY(),1,0),0)</f>
        <v/>
      </c>
      <c r="W65">
        <f>IF(AND(H65="Published",N(O65)&gt;0),IF(T65=(YEAR(TODAY())*100+MONTH(TODAY())),ROUND(O65,0)*1000+1000-ROW(),""),"")</f>
        <v/>
      </c>
    </row>
    <row r="66">
      <c r="A66" s="1" t="n"/>
      <c r="B66" s="21" t="n">
        <v>46279</v>
      </c>
      <c r="C66" s="22" t="n">
        <v>0.5208333333333334</v>
      </c>
      <c r="D66" s="23" t="inlineStr">
        <is>
          <t>Instagram</t>
        </is>
      </c>
      <c r="E66" s="24" t="inlineStr">
        <is>
          <t>Story</t>
        </is>
      </c>
      <c r="F66" s="23" t="inlineStr">
        <is>
          <t>Behind the scenes</t>
        </is>
      </c>
      <c r="G66" s="25" t="inlineStr">
        <is>
          <t>Packing orders</t>
        </is>
      </c>
      <c r="H66" s="24" t="inlineStr">
        <is>
          <t>Published</t>
        </is>
      </c>
      <c r="I66" s="23" t="n"/>
      <c r="J66" s="26" t="n">
        <v>1177</v>
      </c>
      <c r="K66" s="26" t="n">
        <v>68</v>
      </c>
      <c r="L66" s="26" t="n">
        <v>8</v>
      </c>
      <c r="M66" s="26" t="n">
        <v>2</v>
      </c>
      <c r="N66" s="26" t="n">
        <v>15</v>
      </c>
      <c r="O66" s="27">
        <f>IF(COUNT(K66:N66)=0,"",SUM(K66:N66))</f>
        <v/>
      </c>
      <c r="P66" s="16">
        <f>IF(OR(O66="",N(J66)&lt;=0),"",O66/J66)</f>
        <v/>
      </c>
      <c r="Q66" s="28">
        <f>IF(V66=1,"Late","")</f>
        <v/>
      </c>
      <c r="R66" s="1">
        <f>IF(ISNUMBER(B66),INT(B66)*10000000+IF(ISNUMBER(C66),ROUND(MOD(C66,1)*1440,0),0)*1000+ROW(),"")</f>
        <v/>
      </c>
      <c r="S66">
        <f>IF(ISNUMBER(B66),INT(B66)-WEEKDAY(B66,3),"")</f>
        <v/>
      </c>
      <c r="T66">
        <f>IF(ISNUMBER(B66),YEAR(B66)*100+MONTH(B66),"")</f>
        <v/>
      </c>
      <c r="U66">
        <f>IF(AND(ISNUMBER(B66),H66&lt;&gt;"Published"),IF(INT(B66)&gt;=TODAY(),R66,""),"")</f>
        <v/>
      </c>
      <c r="V66">
        <f>IF(AND(ISNUMBER(B66),OR(H66="Draft",H66="Scheduled")),IF(INT(B66)&lt;TODAY(),1,0),0)</f>
        <v/>
      </c>
      <c r="W66">
        <f>IF(AND(H66="Published",N(O66)&gt;0),IF(T66=(YEAR(TODAY())*100+MONTH(TODAY())),ROUND(O66,0)*1000+1000-ROW(),""),"")</f>
        <v/>
      </c>
    </row>
    <row r="67">
      <c r="A67" s="1" t="n"/>
      <c r="B67" s="21" t="n">
        <v>46280</v>
      </c>
      <c r="C67" s="22" t="n">
        <v>0.375</v>
      </c>
      <c r="D67" s="23" t="inlineStr">
        <is>
          <t>Pinterest</t>
        </is>
      </c>
      <c r="E67" s="24" t="inlineStr">
        <is>
          <t>Pin</t>
        </is>
      </c>
      <c r="F67" s="23" t="inlineStr">
        <is>
          <t>Customer stories</t>
        </is>
      </c>
      <c r="G67" s="25" t="inlineStr">
        <is>
          <t>Candle in a new home</t>
        </is>
      </c>
      <c r="H67" s="24" t="inlineStr">
        <is>
          <t>Published</t>
        </is>
      </c>
      <c r="I67" s="23" t="n"/>
      <c r="J67" s="26" t="n">
        <v>1585</v>
      </c>
      <c r="K67" s="26" t="n">
        <v>38</v>
      </c>
      <c r="L67" s="26" t="n">
        <v>4</v>
      </c>
      <c r="M67" s="26" t="n">
        <v>2</v>
      </c>
      <c r="N67" s="26" t="n">
        <v>10</v>
      </c>
      <c r="O67" s="27">
        <f>IF(COUNT(K67:N67)=0,"",SUM(K67:N67))</f>
        <v/>
      </c>
      <c r="P67" s="16">
        <f>IF(OR(O67="",N(J67)&lt;=0),"",O67/J67)</f>
        <v/>
      </c>
      <c r="Q67" s="28">
        <f>IF(V67=1,"Late","")</f>
        <v/>
      </c>
      <c r="R67" s="1">
        <f>IF(ISNUMBER(B67),INT(B67)*10000000+IF(ISNUMBER(C67),ROUND(MOD(C67,1)*1440,0),0)*1000+ROW(),"")</f>
        <v/>
      </c>
      <c r="S67">
        <f>IF(ISNUMBER(B67),INT(B67)-WEEKDAY(B67,3),"")</f>
        <v/>
      </c>
      <c r="T67">
        <f>IF(ISNUMBER(B67),YEAR(B67)*100+MONTH(B67),"")</f>
        <v/>
      </c>
      <c r="U67">
        <f>IF(AND(ISNUMBER(B67),H67&lt;&gt;"Published"),IF(INT(B67)&gt;=TODAY(),R67,""),"")</f>
        <v/>
      </c>
      <c r="V67">
        <f>IF(AND(ISNUMBER(B67),OR(H67="Draft",H67="Scheduled")),IF(INT(B67)&lt;TODAY(),1,0),0)</f>
        <v/>
      </c>
      <c r="W67">
        <f>IF(AND(H67="Published",N(O67)&gt;0),IF(T67=(YEAR(TODAY())*100+MONTH(TODAY())),ROUND(O67,0)*1000+1000-ROW(),""),"")</f>
        <v/>
      </c>
    </row>
    <row r="68">
      <c r="A68" s="1" t="n"/>
      <c r="B68" s="21" t="n">
        <v>46280</v>
      </c>
      <c r="C68" s="22" t="n">
        <v>0.7708333333333334</v>
      </c>
      <c r="D68" s="23" t="inlineStr">
        <is>
          <t>YouTube</t>
        </is>
      </c>
      <c r="E68" s="24" t="inlineStr">
        <is>
          <t>Video</t>
        </is>
      </c>
      <c r="F68" s="23" t="inlineStr">
        <is>
          <t>How to</t>
        </is>
      </c>
      <c r="G68" s="25" t="inlineStr">
        <is>
          <t>How to trim a wick</t>
        </is>
      </c>
      <c r="H68" s="24" t="inlineStr">
        <is>
          <t>Published</t>
        </is>
      </c>
      <c r="I68" s="23" t="n"/>
      <c r="J68" s="26" t="n">
        <v>751</v>
      </c>
      <c r="K68" s="26" t="n">
        <v>26</v>
      </c>
      <c r="L68" s="26" t="n">
        <v>3</v>
      </c>
      <c r="M68" s="26" t="n">
        <v>1</v>
      </c>
      <c r="N68" s="26" t="n">
        <v>4</v>
      </c>
      <c r="O68" s="27">
        <f>IF(COUNT(K68:N68)=0,"",SUM(K68:N68))</f>
        <v/>
      </c>
      <c r="P68" s="16">
        <f>IF(OR(O68="",N(J68)&lt;=0),"",O68/J68)</f>
        <v/>
      </c>
      <c r="Q68" s="28">
        <f>IF(V68=1,"Late","")</f>
        <v/>
      </c>
      <c r="R68" s="1">
        <f>IF(ISNUMBER(B68),INT(B68)*10000000+IF(ISNUMBER(C68),ROUND(MOD(C68,1)*1440,0),0)*1000+ROW(),"")</f>
        <v/>
      </c>
      <c r="S68">
        <f>IF(ISNUMBER(B68),INT(B68)-WEEKDAY(B68,3),"")</f>
        <v/>
      </c>
      <c r="T68">
        <f>IF(ISNUMBER(B68),YEAR(B68)*100+MONTH(B68),"")</f>
        <v/>
      </c>
      <c r="U68">
        <f>IF(AND(ISNUMBER(B68),H68&lt;&gt;"Published"),IF(INT(B68)&gt;=TODAY(),R68,""),"")</f>
        <v/>
      </c>
      <c r="V68">
        <f>IF(AND(ISNUMBER(B68),OR(H68="Draft",H68="Scheduled")),IF(INT(B68)&lt;TODAY(),1,0),0)</f>
        <v/>
      </c>
      <c r="W68">
        <f>IF(AND(H68="Published",N(O68)&gt;0),IF(T68=(YEAR(TODAY())*100+MONTH(TODAY())),ROUND(O68,0)*1000+1000-ROW(),""),"")</f>
        <v/>
      </c>
    </row>
    <row r="69">
      <c r="A69" s="1" t="n"/>
      <c r="B69" s="21" t="n">
        <v>46280</v>
      </c>
      <c r="C69" s="22" t="n">
        <v>0.7916666666666666</v>
      </c>
      <c r="D69" s="23" t="inlineStr">
        <is>
          <t>Instagram</t>
        </is>
      </c>
      <c r="E69" s="24" t="inlineStr">
        <is>
          <t>Post</t>
        </is>
      </c>
      <c r="F69" s="23" t="inlineStr">
        <is>
          <t>Behind the scenes</t>
        </is>
      </c>
      <c r="G69" s="25" t="inlineStr">
        <is>
          <t>A day at the market</t>
        </is>
      </c>
      <c r="H69" s="24" t="inlineStr">
        <is>
          <t>Published</t>
        </is>
      </c>
      <c r="I69" s="23" t="n"/>
      <c r="J69" s="26" t="n">
        <v>2545</v>
      </c>
      <c r="K69" s="26" t="n">
        <v>91</v>
      </c>
      <c r="L69" s="26" t="n">
        <v>12</v>
      </c>
      <c r="M69" s="26" t="n">
        <v>2</v>
      </c>
      <c r="N69" s="26" t="n">
        <v>23</v>
      </c>
      <c r="O69" s="27">
        <f>IF(COUNT(K69:N69)=0,"",SUM(K69:N69))</f>
        <v/>
      </c>
      <c r="P69" s="16">
        <f>IF(OR(O69="",N(J69)&lt;=0),"",O69/J69)</f>
        <v/>
      </c>
      <c r="Q69" s="28">
        <f>IF(V69=1,"Late","")</f>
        <v/>
      </c>
      <c r="R69" s="1">
        <f>IF(ISNUMBER(B69),INT(B69)*10000000+IF(ISNUMBER(C69),ROUND(MOD(C69,1)*1440,0),0)*1000+ROW(),"")</f>
        <v/>
      </c>
      <c r="S69">
        <f>IF(ISNUMBER(B69),INT(B69)-WEEKDAY(B69,3),"")</f>
        <v/>
      </c>
      <c r="T69">
        <f>IF(ISNUMBER(B69),YEAR(B69)*100+MONTH(B69),"")</f>
        <v/>
      </c>
      <c r="U69">
        <f>IF(AND(ISNUMBER(B69),H69&lt;&gt;"Published"),IF(INT(B69)&gt;=TODAY(),R69,""),"")</f>
        <v/>
      </c>
      <c r="V69">
        <f>IF(AND(ISNUMBER(B69),OR(H69="Draft",H69="Scheduled")),IF(INT(B69)&lt;TODAY(),1,0),0)</f>
        <v/>
      </c>
      <c r="W69">
        <f>IF(AND(H69="Published",N(O69)&gt;0),IF(T69=(YEAR(TODAY())*100+MONTH(TODAY())),ROUND(O69,0)*1000+1000-ROW(),""),"")</f>
        <v/>
      </c>
    </row>
    <row r="70">
      <c r="A70" s="1" t="n"/>
      <c r="B70" s="21" t="n">
        <v>46280</v>
      </c>
      <c r="C70" s="22" t="n">
        <v>0.7916666666666666</v>
      </c>
      <c r="D70" s="23" t="inlineStr">
        <is>
          <t>Newsletter</t>
        </is>
      </c>
      <c r="E70" s="24" t="inlineStr">
        <is>
          <t>Email</t>
        </is>
      </c>
      <c r="F70" s="23" t="inlineStr">
        <is>
          <t>Customer stories</t>
        </is>
      </c>
      <c r="G70" s="25" t="inlineStr">
        <is>
          <t>Candle in a new home</t>
        </is>
      </c>
      <c r="H70" s="24" t="inlineStr">
        <is>
          <t>Published</t>
        </is>
      </c>
      <c r="I70" s="23" t="n"/>
      <c r="J70" s="26" t="n">
        <v>701</v>
      </c>
      <c r="K70" s="26" t="n">
        <v>48</v>
      </c>
      <c r="L70" s="26" t="n">
        <v>8</v>
      </c>
      <c r="M70" s="26" t="n">
        <v>4</v>
      </c>
      <c r="N70" s="26" t="n">
        <v>8</v>
      </c>
      <c r="O70" s="27">
        <f>IF(COUNT(K70:N70)=0,"",SUM(K70:N70))</f>
        <v/>
      </c>
      <c r="P70" s="16">
        <f>IF(OR(O70="",N(J70)&lt;=0),"",O70/J70)</f>
        <v/>
      </c>
      <c r="Q70" s="28">
        <f>IF(V70=1,"Late","")</f>
        <v/>
      </c>
      <c r="R70" s="1">
        <f>IF(ISNUMBER(B70),INT(B70)*10000000+IF(ISNUMBER(C70),ROUND(MOD(C70,1)*1440,0),0)*1000+ROW(),"")</f>
        <v/>
      </c>
      <c r="S70">
        <f>IF(ISNUMBER(B70),INT(B70)-WEEKDAY(B70,3),"")</f>
        <v/>
      </c>
      <c r="T70">
        <f>IF(ISNUMBER(B70),YEAR(B70)*100+MONTH(B70),"")</f>
        <v/>
      </c>
      <c r="U70">
        <f>IF(AND(ISNUMBER(B70),H70&lt;&gt;"Published"),IF(INT(B70)&gt;=TODAY(),R70,""),"")</f>
        <v/>
      </c>
      <c r="V70">
        <f>IF(AND(ISNUMBER(B70),OR(H70="Draft",H70="Scheduled")),IF(INT(B70)&lt;TODAY(),1,0),0)</f>
        <v/>
      </c>
      <c r="W70">
        <f>IF(AND(H70="Published",N(O70)&gt;0),IF(T70=(YEAR(TODAY())*100+MONTH(TODAY())),ROUND(O70,0)*1000+1000-ROW(),""),"")</f>
        <v/>
      </c>
    </row>
    <row r="71">
      <c r="A71" s="1" t="n"/>
      <c r="B71" s="21" t="n">
        <v>46281</v>
      </c>
      <c r="C71" s="22" t="n">
        <v>0.75</v>
      </c>
      <c r="D71" s="23" t="inlineStr">
        <is>
          <t>TikTok</t>
        </is>
      </c>
      <c r="E71" s="24" t="inlineStr">
        <is>
          <t>Short</t>
        </is>
      </c>
      <c r="F71" s="23" t="inlineStr">
        <is>
          <t>Behind the scenes</t>
        </is>
      </c>
      <c r="G71" s="25" t="inlineStr">
        <is>
          <t>Studio tidy up</t>
        </is>
      </c>
      <c r="H71" s="24" t="inlineStr">
        <is>
          <t>Published</t>
        </is>
      </c>
      <c r="I71" s="23" t="n"/>
      <c r="J71" s="26" t="n">
        <v>4366</v>
      </c>
      <c r="K71" s="26" t="n">
        <v>179</v>
      </c>
      <c r="L71" s="26" t="n">
        <v>29</v>
      </c>
      <c r="M71" s="26" t="n">
        <v>9</v>
      </c>
      <c r="N71" s="26" t="n">
        <v>23</v>
      </c>
      <c r="O71" s="27">
        <f>IF(COUNT(K71:N71)=0,"",SUM(K71:N71))</f>
        <v/>
      </c>
      <c r="P71" s="16">
        <f>IF(OR(O71="",N(J71)&lt;=0),"",O71/J71)</f>
        <v/>
      </c>
      <c r="Q71" s="28">
        <f>IF(V71=1,"Late","")</f>
        <v/>
      </c>
      <c r="R71" s="1">
        <f>IF(ISNUMBER(B71),INT(B71)*10000000+IF(ISNUMBER(C71),ROUND(MOD(C71,1)*1440,0),0)*1000+ROW(),"")</f>
        <v/>
      </c>
      <c r="S71">
        <f>IF(ISNUMBER(B71),INT(B71)-WEEKDAY(B71,3),"")</f>
        <v/>
      </c>
      <c r="T71">
        <f>IF(ISNUMBER(B71),YEAR(B71)*100+MONTH(B71),"")</f>
        <v/>
      </c>
      <c r="U71">
        <f>IF(AND(ISNUMBER(B71),H71&lt;&gt;"Published"),IF(INT(B71)&gt;=TODAY(),R71,""),"")</f>
        <v/>
      </c>
      <c r="V71">
        <f>IF(AND(ISNUMBER(B71),OR(H71="Draft",H71="Scheduled")),IF(INT(B71)&lt;TODAY(),1,0),0)</f>
        <v/>
      </c>
      <c r="W71">
        <f>IF(AND(H71="Published",N(O71)&gt;0),IF(T71=(YEAR(TODAY())*100+MONTH(TODAY())),ROUND(O71,0)*1000+1000-ROW(),""),"")</f>
        <v/>
      </c>
    </row>
    <row r="72">
      <c r="A72" s="1" t="n"/>
      <c r="B72" s="21" t="n">
        <v>46282</v>
      </c>
      <c r="C72" s="22" t="n">
        <v>0.7708333333333334</v>
      </c>
      <c r="D72" s="23" t="inlineStr">
        <is>
          <t>Pinterest</t>
        </is>
      </c>
      <c r="E72" s="24" t="inlineStr">
        <is>
          <t>Pin</t>
        </is>
      </c>
      <c r="F72" s="23" t="inlineStr">
        <is>
          <t>How to</t>
        </is>
      </c>
      <c r="G72" s="25" t="inlineStr">
        <is>
          <t>How to get an even burn</t>
        </is>
      </c>
      <c r="H72" s="24" t="inlineStr">
        <is>
          <t>Published</t>
        </is>
      </c>
      <c r="I72" s="23" t="n"/>
      <c r="J72" s="26" t="n">
        <v>1625</v>
      </c>
      <c r="K72" s="26" t="n">
        <v>78</v>
      </c>
      <c r="L72" s="26" t="n">
        <v>13</v>
      </c>
      <c r="M72" s="26" t="n">
        <v>4</v>
      </c>
      <c r="N72" s="26" t="n">
        <v>19</v>
      </c>
      <c r="O72" s="27">
        <f>IF(COUNT(K72:N72)=0,"",SUM(K72:N72))</f>
        <v/>
      </c>
      <c r="P72" s="16">
        <f>IF(OR(O72="",N(J72)&lt;=0),"",O72/J72)</f>
        <v/>
      </c>
      <c r="Q72" s="28">
        <f>IF(V72=1,"Late","")</f>
        <v/>
      </c>
      <c r="R72" s="1">
        <f>IF(ISNUMBER(B72),INT(B72)*10000000+IF(ISNUMBER(C72),ROUND(MOD(C72,1)*1440,0),0)*1000+ROW(),"")</f>
        <v/>
      </c>
      <c r="S72">
        <f>IF(ISNUMBER(B72),INT(B72)-WEEKDAY(B72,3),"")</f>
        <v/>
      </c>
      <c r="T72">
        <f>IF(ISNUMBER(B72),YEAR(B72)*100+MONTH(B72),"")</f>
        <v/>
      </c>
      <c r="U72">
        <f>IF(AND(ISNUMBER(B72),H72&lt;&gt;"Published"),IF(INT(B72)&gt;=TODAY(),R72,""),"")</f>
        <v/>
      </c>
      <c r="V72">
        <f>IF(AND(ISNUMBER(B72),OR(H72="Draft",H72="Scheduled")),IF(INT(B72)&lt;TODAY(),1,0),0)</f>
        <v/>
      </c>
      <c r="W72">
        <f>IF(AND(H72="Published",N(O72)&gt;0),IF(T72=(YEAR(TODAY())*100+MONTH(TODAY())),ROUND(O72,0)*1000+1000-ROW(),""),"")</f>
        <v/>
      </c>
    </row>
    <row r="73">
      <c r="A73" s="1" t="n"/>
      <c r="B73" s="21" t="n">
        <v>46282</v>
      </c>
      <c r="C73" s="22" t="n">
        <v>0.8125</v>
      </c>
      <c r="D73" s="23" t="inlineStr">
        <is>
          <t>Instagram</t>
        </is>
      </c>
      <c r="E73" s="24" t="inlineStr">
        <is>
          <t>Reel</t>
        </is>
      </c>
      <c r="F73" s="23" t="inlineStr">
        <is>
          <t>Tips</t>
        </is>
      </c>
      <c r="G73" s="25" t="inlineStr">
        <is>
          <t>Scent for small rooms</t>
        </is>
      </c>
      <c r="H73" s="24" t="inlineStr">
        <is>
          <t>Published</t>
        </is>
      </c>
      <c r="I73" s="23" t="n"/>
      <c r="J73" s="26" t="n">
        <v>2200</v>
      </c>
      <c r="K73" s="26" t="n">
        <v>170</v>
      </c>
      <c r="L73" s="26" t="n">
        <v>31</v>
      </c>
      <c r="M73" s="26" t="n">
        <v>4</v>
      </c>
      <c r="N73" s="26" t="n">
        <v>16</v>
      </c>
      <c r="O73" s="27">
        <f>IF(COUNT(K73:N73)=0,"",SUM(K73:N73))</f>
        <v/>
      </c>
      <c r="P73" s="16">
        <f>IF(OR(O73="",N(J73)&lt;=0),"",O73/J73)</f>
        <v/>
      </c>
      <c r="Q73" s="28">
        <f>IF(V73=1,"Late","")</f>
        <v/>
      </c>
      <c r="R73" s="1">
        <f>IF(ISNUMBER(B73),INT(B73)*10000000+IF(ISNUMBER(C73),ROUND(MOD(C73,1)*1440,0),0)*1000+ROW(),"")</f>
        <v/>
      </c>
      <c r="S73">
        <f>IF(ISNUMBER(B73),INT(B73)-WEEKDAY(B73,3),"")</f>
        <v/>
      </c>
      <c r="T73">
        <f>IF(ISNUMBER(B73),YEAR(B73)*100+MONTH(B73),"")</f>
        <v/>
      </c>
      <c r="U73">
        <f>IF(AND(ISNUMBER(B73),H73&lt;&gt;"Published"),IF(INT(B73)&gt;=TODAY(),R73,""),"")</f>
        <v/>
      </c>
      <c r="V73">
        <f>IF(AND(ISNUMBER(B73),OR(H73="Draft",H73="Scheduled")),IF(INT(B73)&lt;TODAY(),1,0),0)</f>
        <v/>
      </c>
      <c r="W73">
        <f>IF(AND(H73="Published",N(O73)&gt;0),IF(T73=(YEAR(TODAY())*100+MONTH(TODAY())),ROUND(O73,0)*1000+1000-ROW(),""),"")</f>
        <v/>
      </c>
    </row>
    <row r="74">
      <c r="A74" s="1" t="n"/>
      <c r="B74" s="21" t="n">
        <v>46283</v>
      </c>
      <c r="C74" s="22" t="n">
        <v>0.7708333333333334</v>
      </c>
      <c r="D74" s="23" t="inlineStr">
        <is>
          <t>TikTok</t>
        </is>
      </c>
      <c r="E74" s="24" t="inlineStr">
        <is>
          <t>Short</t>
        </is>
      </c>
      <c r="F74" s="23" t="inlineStr">
        <is>
          <t>How to</t>
        </is>
      </c>
      <c r="G74" s="25" t="inlineStr">
        <is>
          <t>How to get an even burn</t>
        </is>
      </c>
      <c r="H74" s="24" t="inlineStr">
        <is>
          <t>Published</t>
        </is>
      </c>
      <c r="I74" s="23" t="n"/>
      <c r="J74" s="26" t="n">
        <v>4347</v>
      </c>
      <c r="K74" s="26" t="n">
        <v>326</v>
      </c>
      <c r="L74" s="26" t="n">
        <v>30</v>
      </c>
      <c r="M74" s="26" t="n">
        <v>25</v>
      </c>
      <c r="N74" s="26" t="n">
        <v>28</v>
      </c>
      <c r="O74" s="27">
        <f>IF(COUNT(K74:N74)=0,"",SUM(K74:N74))</f>
        <v/>
      </c>
      <c r="P74" s="16">
        <f>IF(OR(O74="",N(J74)&lt;=0),"",O74/J74)</f>
        <v/>
      </c>
      <c r="Q74" s="28">
        <f>IF(V74=1,"Late","")</f>
        <v/>
      </c>
      <c r="R74" s="1">
        <f>IF(ISNUMBER(B74),INT(B74)*10000000+IF(ISNUMBER(C74),ROUND(MOD(C74,1)*1440,0),0)*1000+ROW(),"")</f>
        <v/>
      </c>
      <c r="S74">
        <f>IF(ISNUMBER(B74),INT(B74)-WEEKDAY(B74,3),"")</f>
        <v/>
      </c>
      <c r="T74">
        <f>IF(ISNUMBER(B74),YEAR(B74)*100+MONTH(B74),"")</f>
        <v/>
      </c>
      <c r="U74">
        <f>IF(AND(ISNUMBER(B74),H74&lt;&gt;"Published"),IF(INT(B74)&gt;=TODAY(),R74,""),"")</f>
        <v/>
      </c>
      <c r="V74">
        <f>IF(AND(ISNUMBER(B74),OR(H74="Draft",H74="Scheduled")),IF(INT(B74)&lt;TODAY(),1,0),0)</f>
        <v/>
      </c>
      <c r="W74">
        <f>IF(AND(H74="Published",N(O74)&gt;0),IF(T74=(YEAR(TODAY())*100+MONTH(TODAY())),ROUND(O74,0)*1000+1000-ROW(),""),"")</f>
        <v/>
      </c>
    </row>
    <row r="75">
      <c r="A75" s="1" t="n"/>
      <c r="B75" s="21" t="n">
        <v>46284</v>
      </c>
      <c r="C75" s="22" t="n">
        <v>0.5208333333333334</v>
      </c>
      <c r="D75" s="23" t="inlineStr">
        <is>
          <t>Instagram</t>
        </is>
      </c>
      <c r="E75" s="24" t="inlineStr">
        <is>
          <t>Reel</t>
        </is>
      </c>
      <c r="F75" s="23" t="inlineStr">
        <is>
          <t>Customer stories</t>
        </is>
      </c>
      <c r="G75" s="25" t="inlineStr">
        <is>
          <t>Your photos this month</t>
        </is>
      </c>
      <c r="H75" s="24" t="inlineStr">
        <is>
          <t>Published</t>
        </is>
      </c>
      <c r="I75" s="23" t="n"/>
      <c r="J75" s="26" t="n">
        <v>2601</v>
      </c>
      <c r="K75" s="26" t="n">
        <v>185</v>
      </c>
      <c r="L75" s="26" t="n">
        <v>35</v>
      </c>
      <c r="M75" s="26" t="n">
        <v>5</v>
      </c>
      <c r="N75" s="26" t="n">
        <v>20</v>
      </c>
      <c r="O75" s="27">
        <f>IF(COUNT(K75:N75)=0,"",SUM(K75:N75))</f>
        <v/>
      </c>
      <c r="P75" s="16">
        <f>IF(OR(O75="",N(J75)&lt;=0),"",O75/J75)</f>
        <v/>
      </c>
      <c r="Q75" s="28">
        <f>IF(V75=1,"Late","")</f>
        <v/>
      </c>
      <c r="R75" s="1">
        <f>IF(ISNUMBER(B75),INT(B75)*10000000+IF(ISNUMBER(C75),ROUND(MOD(C75,1)*1440,0),0)*1000+ROW(),"")</f>
        <v/>
      </c>
      <c r="S75">
        <f>IF(ISNUMBER(B75),INT(B75)-WEEKDAY(B75,3),"")</f>
        <v/>
      </c>
      <c r="T75">
        <f>IF(ISNUMBER(B75),YEAR(B75)*100+MONTH(B75),"")</f>
        <v/>
      </c>
      <c r="U75">
        <f>IF(AND(ISNUMBER(B75),H75&lt;&gt;"Published"),IF(INT(B75)&gt;=TODAY(),R75,""),"")</f>
        <v/>
      </c>
      <c r="V75">
        <f>IF(AND(ISNUMBER(B75),OR(H75="Draft",H75="Scheduled")),IF(INT(B75)&lt;TODAY(),1,0),0)</f>
        <v/>
      </c>
      <c r="W75">
        <f>IF(AND(H75="Published",N(O75)&gt;0),IF(T75=(YEAR(TODAY())*100+MONTH(TODAY())),ROUND(O75,0)*1000+1000-ROW(),""),"")</f>
        <v/>
      </c>
    </row>
    <row r="76">
      <c r="A76" s="1" t="n"/>
      <c r="B76" s="21" t="n">
        <v>46284</v>
      </c>
      <c r="C76" s="22" t="n">
        <v>0.75</v>
      </c>
      <c r="D76" s="23" t="inlineStr">
        <is>
          <t>Pinterest</t>
        </is>
      </c>
      <c r="E76" s="24" t="inlineStr">
        <is>
          <t>Pin</t>
        </is>
      </c>
      <c r="F76" s="23" t="inlineStr">
        <is>
          <t>Behind the scenes</t>
        </is>
      </c>
      <c r="G76" s="25" t="inlineStr">
        <is>
          <t>Testing a new wick</t>
        </is>
      </c>
      <c r="H76" s="24" t="inlineStr">
        <is>
          <t>Published</t>
        </is>
      </c>
      <c r="I76" s="23" t="n"/>
      <c r="J76" s="26" t="n">
        <v>980</v>
      </c>
      <c r="K76" s="26" t="n">
        <v>23</v>
      </c>
      <c r="L76" s="26" t="n">
        <v>3</v>
      </c>
      <c r="M76" s="26" t="n">
        <v>1</v>
      </c>
      <c r="N76" s="26" t="n">
        <v>5</v>
      </c>
      <c r="O76" s="27">
        <f>IF(COUNT(K76:N76)=0,"",SUM(K76:N76))</f>
        <v/>
      </c>
      <c r="P76" s="16">
        <f>IF(OR(O76="",N(J76)&lt;=0),"",O76/J76)</f>
        <v/>
      </c>
      <c r="Q76" s="28">
        <f>IF(V76=1,"Late","")</f>
        <v/>
      </c>
      <c r="R76" s="1">
        <f>IF(ISNUMBER(B76),INT(B76)*10000000+IF(ISNUMBER(C76),ROUND(MOD(C76,1)*1440,0),0)*1000+ROW(),"")</f>
        <v/>
      </c>
      <c r="S76">
        <f>IF(ISNUMBER(B76),INT(B76)-WEEKDAY(B76,3),"")</f>
        <v/>
      </c>
      <c r="T76">
        <f>IF(ISNUMBER(B76),YEAR(B76)*100+MONTH(B76),"")</f>
        <v/>
      </c>
      <c r="U76">
        <f>IF(AND(ISNUMBER(B76),H76&lt;&gt;"Published"),IF(INT(B76)&gt;=TODAY(),R76,""),"")</f>
        <v/>
      </c>
      <c r="V76">
        <f>IF(AND(ISNUMBER(B76),OR(H76="Draft",H76="Scheduled")),IF(INT(B76)&lt;TODAY(),1,0),0)</f>
        <v/>
      </c>
      <c r="W76">
        <f>IF(AND(H76="Published",N(O76)&gt;0),IF(T76=(YEAR(TODAY())*100+MONTH(TODAY())),ROUND(O76,0)*1000+1000-ROW(),""),"")</f>
        <v/>
      </c>
    </row>
    <row r="77">
      <c r="A77" s="1" t="n"/>
      <c r="B77" s="21" t="n">
        <v>46285</v>
      </c>
      <c r="C77" s="22" t="n">
        <v>0.8125</v>
      </c>
      <c r="D77" s="23" t="inlineStr">
        <is>
          <t>TikTok</t>
        </is>
      </c>
      <c r="E77" s="24" t="inlineStr">
        <is>
          <t>Short</t>
        </is>
      </c>
      <c r="F77" s="23" t="inlineStr">
        <is>
          <t>How to</t>
        </is>
      </c>
      <c r="G77" s="25" t="inlineStr">
        <is>
          <t>Styling a shelf</t>
        </is>
      </c>
      <c r="H77" s="24" t="inlineStr">
        <is>
          <t>Published</t>
        </is>
      </c>
      <c r="I77" s="23" t="n"/>
      <c r="J77" s="26" t="n">
        <v>4346</v>
      </c>
      <c r="K77" s="26" t="n">
        <v>106</v>
      </c>
      <c r="L77" s="26" t="n">
        <v>13</v>
      </c>
      <c r="M77" s="26" t="n">
        <v>5</v>
      </c>
      <c r="N77" s="26" t="n">
        <v>24</v>
      </c>
      <c r="O77" s="27">
        <f>IF(COUNT(K77:N77)=0,"",SUM(K77:N77))</f>
        <v/>
      </c>
      <c r="P77" s="16">
        <f>IF(OR(O77="",N(J77)&lt;=0),"",O77/J77)</f>
        <v/>
      </c>
      <c r="Q77" s="28">
        <f>IF(V77=1,"Late","")</f>
        <v/>
      </c>
      <c r="R77" s="1">
        <f>IF(ISNUMBER(B77),INT(B77)*10000000+IF(ISNUMBER(C77),ROUND(MOD(C77,1)*1440,0),0)*1000+ROW(),"")</f>
        <v/>
      </c>
      <c r="S77">
        <f>IF(ISNUMBER(B77),INT(B77)-WEEKDAY(B77,3),"")</f>
        <v/>
      </c>
      <c r="T77">
        <f>IF(ISNUMBER(B77),YEAR(B77)*100+MONTH(B77),"")</f>
        <v/>
      </c>
      <c r="U77">
        <f>IF(AND(ISNUMBER(B77),H77&lt;&gt;"Published"),IF(INT(B77)&gt;=TODAY(),R77,""),"")</f>
        <v/>
      </c>
      <c r="V77">
        <f>IF(AND(ISNUMBER(B77),OR(H77="Draft",H77="Scheduled")),IF(INT(B77)&lt;TODAY(),1,0),0)</f>
        <v/>
      </c>
      <c r="W77">
        <f>IF(AND(H77="Published",N(O77)&gt;0),IF(T77=(YEAR(TODAY())*100+MONTH(TODAY())),ROUND(O77,0)*1000+1000-ROW(),""),"")</f>
        <v/>
      </c>
    </row>
    <row r="78">
      <c r="A78" s="1" t="n"/>
      <c r="B78" s="21" t="n">
        <v>46286</v>
      </c>
      <c r="C78" s="22" t="n">
        <v>0.375</v>
      </c>
      <c r="D78" s="23" t="inlineStr">
        <is>
          <t>Instagram</t>
        </is>
      </c>
      <c r="E78" s="24" t="inlineStr">
        <is>
          <t>Post</t>
        </is>
      </c>
      <c r="F78" s="23" t="inlineStr">
        <is>
          <t>Tips</t>
        </is>
      </c>
      <c r="G78" s="25" t="inlineStr">
        <is>
          <t>Three cosy evening ideas</t>
        </is>
      </c>
      <c r="H78" s="24" t="inlineStr">
        <is>
          <t>Published</t>
        </is>
      </c>
      <c r="I78" s="23" t="n"/>
      <c r="J78" s="26" t="n">
        <v>1131</v>
      </c>
      <c r="K78" s="26" t="n">
        <v>52</v>
      </c>
      <c r="L78" s="26" t="n">
        <v>4</v>
      </c>
      <c r="M78" s="26" t="n">
        <v>2</v>
      </c>
      <c r="N78" s="26" t="n">
        <v>7</v>
      </c>
      <c r="O78" s="27">
        <f>IF(COUNT(K78:N78)=0,"",SUM(K78:N78))</f>
        <v/>
      </c>
      <c r="P78" s="16">
        <f>IF(OR(O78="",N(J78)&lt;=0),"",O78/J78)</f>
        <v/>
      </c>
      <c r="Q78" s="28">
        <f>IF(V78=1,"Late","")</f>
        <v/>
      </c>
      <c r="R78" s="1">
        <f>IF(ISNUMBER(B78),INT(B78)*10000000+IF(ISNUMBER(C78),ROUND(MOD(C78,1)*1440,0),0)*1000+ROW(),"")</f>
        <v/>
      </c>
      <c r="S78">
        <f>IF(ISNUMBER(B78),INT(B78)-WEEKDAY(B78,3),"")</f>
        <v/>
      </c>
      <c r="T78">
        <f>IF(ISNUMBER(B78),YEAR(B78)*100+MONTH(B78),"")</f>
        <v/>
      </c>
      <c r="U78">
        <f>IF(AND(ISNUMBER(B78),H78&lt;&gt;"Published"),IF(INT(B78)&gt;=TODAY(),R78,""),"")</f>
        <v/>
      </c>
      <c r="V78">
        <f>IF(AND(ISNUMBER(B78),OR(H78="Draft",H78="Scheduled")),IF(INT(B78)&lt;TODAY(),1,0),0)</f>
        <v/>
      </c>
      <c r="W78">
        <f>IF(AND(H78="Published",N(O78)&gt;0),IF(T78=(YEAR(TODAY())*100+MONTH(TODAY())),ROUND(O78,0)*1000+1000-ROW(),""),"")</f>
        <v/>
      </c>
    </row>
    <row r="79">
      <c r="A79" s="1" t="n"/>
      <c r="B79" s="21" t="n">
        <v>46287</v>
      </c>
      <c r="C79" s="22" t="n">
        <v>0.3958333333333333</v>
      </c>
      <c r="D79" s="23" t="inlineStr">
        <is>
          <t>Instagram</t>
        </is>
      </c>
      <c r="E79" s="24" t="inlineStr">
        <is>
          <t>Reel</t>
        </is>
      </c>
      <c r="F79" s="23" t="inlineStr">
        <is>
          <t>Tips</t>
        </is>
      </c>
      <c r="G79" s="25" t="inlineStr">
        <is>
          <t>Scent for small rooms</t>
        </is>
      </c>
      <c r="H79" s="24" t="inlineStr">
        <is>
          <t>Published</t>
        </is>
      </c>
      <c r="I79" s="23" t="n"/>
      <c r="J79" s="26" t="n">
        <v>1151</v>
      </c>
      <c r="K79" s="26" t="n">
        <v>29</v>
      </c>
      <c r="L79" s="26" t="n">
        <v>3</v>
      </c>
      <c r="M79" s="26" t="n">
        <v>2</v>
      </c>
      <c r="N79" s="26" t="n">
        <v>4</v>
      </c>
      <c r="O79" s="27">
        <f>IF(COUNT(K79:N79)=0,"",SUM(K79:N79))</f>
        <v/>
      </c>
      <c r="P79" s="16">
        <f>IF(OR(O79="",N(J79)&lt;=0),"",O79/J79)</f>
        <v/>
      </c>
      <c r="Q79" s="28">
        <f>IF(V79=1,"Late","")</f>
        <v/>
      </c>
      <c r="R79" s="1">
        <f>IF(ISNUMBER(B79),INT(B79)*10000000+IF(ISNUMBER(C79),ROUND(MOD(C79,1)*1440,0),0)*1000+ROW(),"")</f>
        <v/>
      </c>
      <c r="S79">
        <f>IF(ISNUMBER(B79),INT(B79)-WEEKDAY(B79,3),"")</f>
        <v/>
      </c>
      <c r="T79">
        <f>IF(ISNUMBER(B79),YEAR(B79)*100+MONTH(B79),"")</f>
        <v/>
      </c>
      <c r="U79">
        <f>IF(AND(ISNUMBER(B79),H79&lt;&gt;"Published"),IF(INT(B79)&gt;=TODAY(),R79,""),"")</f>
        <v/>
      </c>
      <c r="V79">
        <f>IF(AND(ISNUMBER(B79),OR(H79="Draft",H79="Scheduled")),IF(INT(B79)&lt;TODAY(),1,0),0)</f>
        <v/>
      </c>
      <c r="W79">
        <f>IF(AND(H79="Published",N(O79)&gt;0),IF(T79=(YEAR(TODAY())*100+MONTH(TODAY())),ROUND(O79,0)*1000+1000-ROW(),""),"")</f>
        <v/>
      </c>
    </row>
    <row r="80">
      <c r="A80" s="1" t="n"/>
      <c r="B80" s="21" t="n">
        <v>46287</v>
      </c>
      <c r="C80" s="22" t="n">
        <v>0.5</v>
      </c>
      <c r="D80" s="23" t="inlineStr">
        <is>
          <t>Pinterest</t>
        </is>
      </c>
      <c r="E80" s="24" t="inlineStr">
        <is>
          <t>Pin</t>
        </is>
      </c>
      <c r="F80" s="23" t="inlineStr">
        <is>
          <t>Tips</t>
        </is>
      </c>
      <c r="G80" s="25" t="inlineStr">
        <is>
          <t>Scent for small rooms</t>
        </is>
      </c>
      <c r="H80" s="24" t="inlineStr">
        <is>
          <t>Published</t>
        </is>
      </c>
      <c r="I80" s="23" t="n"/>
      <c r="J80" s="26" t="n">
        <v>1870</v>
      </c>
      <c r="K80" s="26" t="n">
        <v>88</v>
      </c>
      <c r="L80" s="26" t="n">
        <v>13</v>
      </c>
      <c r="M80" s="26" t="n">
        <v>7</v>
      </c>
      <c r="N80" s="26" t="n">
        <v>7</v>
      </c>
      <c r="O80" s="27">
        <f>IF(COUNT(K80:N80)=0,"",SUM(K80:N80))</f>
        <v/>
      </c>
      <c r="P80" s="16">
        <f>IF(OR(O80="",N(J80)&lt;=0),"",O80/J80)</f>
        <v/>
      </c>
      <c r="Q80" s="28">
        <f>IF(V80=1,"Late","")</f>
        <v/>
      </c>
      <c r="R80" s="1">
        <f>IF(ISNUMBER(B80),INT(B80)*10000000+IF(ISNUMBER(C80),ROUND(MOD(C80,1)*1440,0),0)*1000+ROW(),"")</f>
        <v/>
      </c>
      <c r="S80">
        <f>IF(ISNUMBER(B80),INT(B80)-WEEKDAY(B80,3),"")</f>
        <v/>
      </c>
      <c r="T80">
        <f>IF(ISNUMBER(B80),YEAR(B80)*100+MONTH(B80),"")</f>
        <v/>
      </c>
      <c r="U80">
        <f>IF(AND(ISNUMBER(B80),H80&lt;&gt;"Published"),IF(INT(B80)&gt;=TODAY(),R80,""),"")</f>
        <v/>
      </c>
      <c r="V80">
        <f>IF(AND(ISNUMBER(B80),OR(H80="Draft",H80="Scheduled")),IF(INT(B80)&lt;TODAY(),1,0),0)</f>
        <v/>
      </c>
      <c r="W80">
        <f>IF(AND(H80="Published",N(O80)&gt;0),IF(T80=(YEAR(TODAY())*100+MONTH(TODAY())),ROUND(O80,0)*1000+1000-ROW(),""),"")</f>
        <v/>
      </c>
    </row>
    <row r="81">
      <c r="A81" s="1" t="n"/>
      <c r="B81" s="21" t="n">
        <v>46287</v>
      </c>
      <c r="C81" s="22" t="n">
        <v>0.7708333333333334</v>
      </c>
      <c r="D81" s="23" t="inlineStr">
        <is>
          <t>Newsletter</t>
        </is>
      </c>
      <c r="E81" s="24" t="inlineStr">
        <is>
          <t>Email</t>
        </is>
      </c>
      <c r="F81" s="23" t="inlineStr">
        <is>
          <t>How to</t>
        </is>
      </c>
      <c r="G81" s="25" t="inlineStr">
        <is>
          <t>Care for your candle</t>
        </is>
      </c>
      <c r="H81" s="24" t="inlineStr">
        <is>
          <t>Published</t>
        </is>
      </c>
      <c r="I81" s="23" t="n"/>
      <c r="J81" s="26" t="n">
        <v>911</v>
      </c>
      <c r="K81" s="26" t="n">
        <v>31</v>
      </c>
      <c r="L81" s="26" t="n">
        <v>6</v>
      </c>
      <c r="M81" s="26" t="n">
        <v>3</v>
      </c>
      <c r="N81" s="26" t="n">
        <v>2</v>
      </c>
      <c r="O81" s="27">
        <f>IF(COUNT(K81:N81)=0,"",SUM(K81:N81))</f>
        <v/>
      </c>
      <c r="P81" s="16">
        <f>IF(OR(O81="",N(J81)&lt;=0),"",O81/J81)</f>
        <v/>
      </c>
      <c r="Q81" s="28">
        <f>IF(V81=1,"Late","")</f>
        <v/>
      </c>
      <c r="R81" s="1">
        <f>IF(ISNUMBER(B81),INT(B81)*10000000+IF(ISNUMBER(C81),ROUND(MOD(C81,1)*1440,0),0)*1000+ROW(),"")</f>
        <v/>
      </c>
      <c r="S81">
        <f>IF(ISNUMBER(B81),INT(B81)-WEEKDAY(B81,3),"")</f>
        <v/>
      </c>
      <c r="T81">
        <f>IF(ISNUMBER(B81),YEAR(B81)*100+MONTH(B81),"")</f>
        <v/>
      </c>
      <c r="U81">
        <f>IF(AND(ISNUMBER(B81),H81&lt;&gt;"Published"),IF(INT(B81)&gt;=TODAY(),R81,""),"")</f>
        <v/>
      </c>
      <c r="V81">
        <f>IF(AND(ISNUMBER(B81),OR(H81="Draft",H81="Scheduled")),IF(INT(B81)&lt;TODAY(),1,0),0)</f>
        <v/>
      </c>
      <c r="W81">
        <f>IF(AND(H81="Published",N(O81)&gt;0),IF(T81=(YEAR(TODAY())*100+MONTH(TODAY())),ROUND(O81,0)*1000+1000-ROW(),""),"")</f>
        <v/>
      </c>
    </row>
    <row r="82">
      <c r="A82" s="1" t="n"/>
      <c r="B82" s="21" t="n">
        <v>46287</v>
      </c>
      <c r="C82" s="22" t="n">
        <v>0.8125</v>
      </c>
      <c r="D82" s="23" t="inlineStr">
        <is>
          <t>YouTube</t>
        </is>
      </c>
      <c r="E82" s="24" t="inlineStr">
        <is>
          <t>Video</t>
        </is>
      </c>
      <c r="F82" s="23" t="inlineStr">
        <is>
          <t>Behind the scenes</t>
        </is>
      </c>
      <c r="G82" s="25" t="inlineStr">
        <is>
          <t>Pouring a new batch</t>
        </is>
      </c>
      <c r="H82" s="24" t="inlineStr">
        <is>
          <t>Published</t>
        </is>
      </c>
      <c r="I82" s="23" t="n"/>
      <c r="J82" s="26" t="n">
        <v>858</v>
      </c>
      <c r="K82" s="26" t="n">
        <v>37</v>
      </c>
      <c r="L82" s="26" t="n">
        <v>3</v>
      </c>
      <c r="M82" s="26" t="n">
        <v>1</v>
      </c>
      <c r="N82" s="26" t="n">
        <v>4</v>
      </c>
      <c r="O82" s="27">
        <f>IF(COUNT(K82:N82)=0,"",SUM(K82:N82))</f>
        <v/>
      </c>
      <c r="P82" s="16">
        <f>IF(OR(O82="",N(J82)&lt;=0),"",O82/J82)</f>
        <v/>
      </c>
      <c r="Q82" s="28">
        <f>IF(V82=1,"Late","")</f>
        <v/>
      </c>
      <c r="R82" s="1">
        <f>IF(ISNUMBER(B82),INT(B82)*10000000+IF(ISNUMBER(C82),ROUND(MOD(C82,1)*1440,0),0)*1000+ROW(),"")</f>
        <v/>
      </c>
      <c r="S82">
        <f>IF(ISNUMBER(B82),INT(B82)-WEEKDAY(B82,3),"")</f>
        <v/>
      </c>
      <c r="T82">
        <f>IF(ISNUMBER(B82),YEAR(B82)*100+MONTH(B82),"")</f>
        <v/>
      </c>
      <c r="U82">
        <f>IF(AND(ISNUMBER(B82),H82&lt;&gt;"Published"),IF(INT(B82)&gt;=TODAY(),R82,""),"")</f>
        <v/>
      </c>
      <c r="V82">
        <f>IF(AND(ISNUMBER(B82),OR(H82="Draft",H82="Scheduled")),IF(INT(B82)&lt;TODAY(),1,0),0)</f>
        <v/>
      </c>
      <c r="W82">
        <f>IF(AND(H82="Published",N(O82)&gt;0),IF(T82=(YEAR(TODAY())*100+MONTH(TODAY())),ROUND(O82,0)*1000+1000-ROW(),""),"")</f>
        <v/>
      </c>
    </row>
    <row r="83">
      <c r="A83" s="1" t="n"/>
      <c r="B83" s="21" t="n">
        <v>46288</v>
      </c>
      <c r="C83" s="22" t="n">
        <v>0.75</v>
      </c>
      <c r="D83" s="23" t="inlineStr">
        <is>
          <t>TikTok</t>
        </is>
      </c>
      <c r="E83" s="24" t="inlineStr">
        <is>
          <t>Short</t>
        </is>
      </c>
      <c r="F83" s="23" t="inlineStr">
        <is>
          <t>Customer stories</t>
        </is>
      </c>
      <c r="G83" s="25" t="inlineStr">
        <is>
          <t>Your photos this month</t>
        </is>
      </c>
      <c r="H83" s="24" t="inlineStr">
        <is>
          <t>Published</t>
        </is>
      </c>
      <c r="I83" s="23" t="n"/>
      <c r="J83" s="26" t="n">
        <v>3714</v>
      </c>
      <c r="K83" s="26" t="n">
        <v>207</v>
      </c>
      <c r="L83" s="26" t="n">
        <v>19</v>
      </c>
      <c r="M83" s="26" t="n">
        <v>4</v>
      </c>
      <c r="N83" s="26" t="n">
        <v>31</v>
      </c>
      <c r="O83" s="27">
        <f>IF(COUNT(K83:N83)=0,"",SUM(K83:N83))</f>
        <v/>
      </c>
      <c r="P83" s="16">
        <f>IF(OR(O83="",N(J83)&lt;=0),"",O83/J83)</f>
        <v/>
      </c>
      <c r="Q83" s="28">
        <f>IF(V83=1,"Late","")</f>
        <v/>
      </c>
      <c r="R83" s="1">
        <f>IF(ISNUMBER(B83),INT(B83)*10000000+IF(ISNUMBER(C83),ROUND(MOD(C83,1)*1440,0),0)*1000+ROW(),"")</f>
        <v/>
      </c>
      <c r="S83">
        <f>IF(ISNUMBER(B83),INT(B83)-WEEKDAY(B83,3),"")</f>
        <v/>
      </c>
      <c r="T83">
        <f>IF(ISNUMBER(B83),YEAR(B83)*100+MONTH(B83),"")</f>
        <v/>
      </c>
      <c r="U83">
        <f>IF(AND(ISNUMBER(B83),H83&lt;&gt;"Published"),IF(INT(B83)&gt;=TODAY(),R83,""),"")</f>
        <v/>
      </c>
      <c r="V83">
        <f>IF(AND(ISNUMBER(B83),OR(H83="Draft",H83="Scheduled")),IF(INT(B83)&lt;TODAY(),1,0),0)</f>
        <v/>
      </c>
      <c r="W83">
        <f>IF(AND(H83="Published",N(O83)&gt;0),IF(T83=(YEAR(TODAY())*100+MONTH(TODAY())),ROUND(O83,0)*1000+1000-ROW(),""),"")</f>
        <v/>
      </c>
    </row>
    <row r="84">
      <c r="A84" s="1" t="n"/>
      <c r="B84" s="21" t="n">
        <v>46289</v>
      </c>
      <c r="C84" s="22" t="n">
        <v>0.5208333333333334</v>
      </c>
      <c r="D84" s="23" t="inlineStr">
        <is>
          <t>Instagram</t>
        </is>
      </c>
      <c r="E84" s="24" t="inlineStr">
        <is>
          <t>Reel</t>
        </is>
      </c>
      <c r="F84" s="23" t="inlineStr">
        <is>
          <t>New products</t>
        </is>
      </c>
      <c r="G84" s="25" t="inlineStr">
        <is>
          <t>Gift box sneak peek</t>
        </is>
      </c>
      <c r="H84" s="24" t="inlineStr">
        <is>
          <t>Published</t>
        </is>
      </c>
      <c r="I84" s="23" t="n"/>
      <c r="J84" s="26" t="n">
        <v>1542</v>
      </c>
      <c r="K84" s="26" t="n">
        <v>72</v>
      </c>
      <c r="L84" s="26" t="n">
        <v>10</v>
      </c>
      <c r="M84" s="26" t="n">
        <v>2</v>
      </c>
      <c r="N84" s="26" t="n">
        <v>6</v>
      </c>
      <c r="O84" s="27">
        <f>IF(COUNT(K84:N84)=0,"",SUM(K84:N84))</f>
        <v/>
      </c>
      <c r="P84" s="16">
        <f>IF(OR(O84="",N(J84)&lt;=0),"",O84/J84)</f>
        <v/>
      </c>
      <c r="Q84" s="28">
        <f>IF(V84=1,"Late","")</f>
        <v/>
      </c>
      <c r="R84" s="1">
        <f>IF(ISNUMBER(B84),INT(B84)*10000000+IF(ISNUMBER(C84),ROUND(MOD(C84,1)*1440,0),0)*1000+ROW(),"")</f>
        <v/>
      </c>
      <c r="S84">
        <f>IF(ISNUMBER(B84),INT(B84)-WEEKDAY(B84,3),"")</f>
        <v/>
      </c>
      <c r="T84">
        <f>IF(ISNUMBER(B84),YEAR(B84)*100+MONTH(B84),"")</f>
        <v/>
      </c>
      <c r="U84">
        <f>IF(AND(ISNUMBER(B84),H84&lt;&gt;"Published"),IF(INT(B84)&gt;=TODAY(),R84,""),"")</f>
        <v/>
      </c>
      <c r="V84">
        <f>IF(AND(ISNUMBER(B84),OR(H84="Draft",H84="Scheduled")),IF(INT(B84)&lt;TODAY(),1,0),0)</f>
        <v/>
      </c>
      <c r="W84">
        <f>IF(AND(H84="Published",N(O84)&gt;0),IF(T84=(YEAR(TODAY())*100+MONTH(TODAY())),ROUND(O84,0)*1000+1000-ROW(),""),"")</f>
        <v/>
      </c>
    </row>
    <row r="85">
      <c r="A85" s="1" t="n"/>
      <c r="B85" s="21" t="n">
        <v>46289</v>
      </c>
      <c r="C85" s="22" t="n">
        <v>0.75</v>
      </c>
      <c r="D85" s="23" t="inlineStr">
        <is>
          <t>Pinterest</t>
        </is>
      </c>
      <c r="E85" s="24" t="inlineStr">
        <is>
          <t>Pin</t>
        </is>
      </c>
      <c r="F85" s="23" t="inlineStr">
        <is>
          <t>New products</t>
        </is>
      </c>
      <c r="G85" s="25" t="inlineStr">
        <is>
          <t>Gift box sneak peek</t>
        </is>
      </c>
      <c r="H85" s="24" t="inlineStr">
        <is>
          <t>Published</t>
        </is>
      </c>
      <c r="I85" s="23" t="n"/>
      <c r="J85" s="26" t="n">
        <v>1379</v>
      </c>
      <c r="K85" s="26" t="n">
        <v>96</v>
      </c>
      <c r="L85" s="26" t="n">
        <v>14</v>
      </c>
      <c r="M85" s="26" t="n">
        <v>4</v>
      </c>
      <c r="N85" s="26" t="n">
        <v>22</v>
      </c>
      <c r="O85" s="27">
        <f>IF(COUNT(K85:N85)=0,"",SUM(K85:N85))</f>
        <v/>
      </c>
      <c r="P85" s="16">
        <f>IF(OR(O85="",N(J85)&lt;=0),"",O85/J85)</f>
        <v/>
      </c>
      <c r="Q85" s="28">
        <f>IF(V85=1,"Late","")</f>
        <v/>
      </c>
      <c r="R85" s="1">
        <f>IF(ISNUMBER(B85),INT(B85)*10000000+IF(ISNUMBER(C85),ROUND(MOD(C85,1)*1440,0),0)*1000+ROW(),"")</f>
        <v/>
      </c>
      <c r="S85">
        <f>IF(ISNUMBER(B85),INT(B85)-WEEKDAY(B85,3),"")</f>
        <v/>
      </c>
      <c r="T85">
        <f>IF(ISNUMBER(B85),YEAR(B85)*100+MONTH(B85),"")</f>
        <v/>
      </c>
      <c r="U85">
        <f>IF(AND(ISNUMBER(B85),H85&lt;&gt;"Published"),IF(INT(B85)&gt;=TODAY(),R85,""),"")</f>
        <v/>
      </c>
      <c r="V85">
        <f>IF(AND(ISNUMBER(B85),OR(H85="Draft",H85="Scheduled")),IF(INT(B85)&lt;TODAY(),1,0),0)</f>
        <v/>
      </c>
      <c r="W85">
        <f>IF(AND(H85="Published",N(O85)&gt;0),IF(T85=(YEAR(TODAY())*100+MONTH(TODAY())),ROUND(O85,0)*1000+1000-ROW(),""),"")</f>
        <v/>
      </c>
    </row>
    <row r="86">
      <c r="A86" s="1" t="n"/>
      <c r="B86" s="21" t="n">
        <v>46290</v>
      </c>
      <c r="C86" s="22" t="n">
        <v>0.3958333333333333</v>
      </c>
      <c r="D86" s="23" t="inlineStr">
        <is>
          <t>TikTok</t>
        </is>
      </c>
      <c r="E86" s="24" t="inlineStr">
        <is>
          <t>Short</t>
        </is>
      </c>
      <c r="F86" s="23" t="inlineStr">
        <is>
          <t>Behind the scenes</t>
        </is>
      </c>
      <c r="G86" s="25" t="inlineStr">
        <is>
          <t>Packing orders</t>
        </is>
      </c>
      <c r="H86" s="24" t="inlineStr">
        <is>
          <t>Scheduled</t>
        </is>
      </c>
      <c r="I86" s="23" t="n"/>
      <c r="J86" s="26" t="n"/>
      <c r="K86" s="26" t="n"/>
      <c r="L86" s="26" t="n"/>
      <c r="M86" s="26" t="n"/>
      <c r="N86" s="26" t="n"/>
      <c r="O86" s="27">
        <f>IF(COUNT(K86:N86)=0,"",SUM(K86:N86))</f>
        <v/>
      </c>
      <c r="P86" s="16">
        <f>IF(OR(O86="",N(J86)&lt;=0),"",O86/J86)</f>
        <v/>
      </c>
      <c r="Q86" s="28">
        <f>IF(V86=1,"Late","")</f>
        <v/>
      </c>
      <c r="R86" s="1">
        <f>IF(ISNUMBER(B86),INT(B86)*10000000+IF(ISNUMBER(C86),ROUND(MOD(C86,1)*1440,0),0)*1000+ROW(),"")</f>
        <v/>
      </c>
      <c r="S86">
        <f>IF(ISNUMBER(B86),INT(B86)-WEEKDAY(B86,3),"")</f>
        <v/>
      </c>
      <c r="T86">
        <f>IF(ISNUMBER(B86),YEAR(B86)*100+MONTH(B86),"")</f>
        <v/>
      </c>
      <c r="U86">
        <f>IF(AND(ISNUMBER(B86),H86&lt;&gt;"Published"),IF(INT(B86)&gt;=TODAY(),R86,""),"")</f>
        <v/>
      </c>
      <c r="V86">
        <f>IF(AND(ISNUMBER(B86),OR(H86="Draft",H86="Scheduled")),IF(INT(B86)&lt;TODAY(),1,0),0)</f>
        <v/>
      </c>
      <c r="W86">
        <f>IF(AND(H86="Published",N(O86)&gt;0),IF(T86=(YEAR(TODAY())*100+MONTH(TODAY())),ROUND(O86,0)*1000+1000-ROW(),""),"")</f>
        <v/>
      </c>
    </row>
    <row r="87">
      <c r="A87" s="1" t="n"/>
      <c r="B87" s="21" t="n">
        <v>46291</v>
      </c>
      <c r="C87" s="22" t="n">
        <v>0.5</v>
      </c>
      <c r="D87" s="23" t="inlineStr">
        <is>
          <t>Pinterest</t>
        </is>
      </c>
      <c r="E87" s="24" t="inlineStr">
        <is>
          <t>Pin</t>
        </is>
      </c>
      <c r="F87" s="23" t="inlineStr">
        <is>
          <t>Customer stories</t>
        </is>
      </c>
      <c r="G87" s="25" t="inlineStr">
        <is>
          <t>A lovely review</t>
        </is>
      </c>
      <c r="H87" s="24" t="inlineStr">
        <is>
          <t>Published</t>
        </is>
      </c>
      <c r="I87" s="23" t="n"/>
      <c r="J87" s="26" t="n">
        <v>1654</v>
      </c>
      <c r="K87" s="26" t="n">
        <v>128</v>
      </c>
      <c r="L87" s="26" t="n">
        <v>24</v>
      </c>
      <c r="M87" s="26" t="n">
        <v>11</v>
      </c>
      <c r="N87" s="26" t="n">
        <v>35</v>
      </c>
      <c r="O87" s="27">
        <f>IF(COUNT(K87:N87)=0,"",SUM(K87:N87))</f>
        <v/>
      </c>
      <c r="P87" s="16">
        <f>IF(OR(O87="",N(J87)&lt;=0),"",O87/J87)</f>
        <v/>
      </c>
      <c r="Q87" s="28">
        <f>IF(V87=1,"Late","")</f>
        <v/>
      </c>
      <c r="R87" s="1">
        <f>IF(ISNUMBER(B87),INT(B87)*10000000+IF(ISNUMBER(C87),ROUND(MOD(C87,1)*1440,0),0)*1000+ROW(),"")</f>
        <v/>
      </c>
      <c r="S87">
        <f>IF(ISNUMBER(B87),INT(B87)-WEEKDAY(B87,3),"")</f>
        <v/>
      </c>
      <c r="T87">
        <f>IF(ISNUMBER(B87),YEAR(B87)*100+MONTH(B87),"")</f>
        <v/>
      </c>
      <c r="U87">
        <f>IF(AND(ISNUMBER(B87),H87&lt;&gt;"Published"),IF(INT(B87)&gt;=TODAY(),R87,""),"")</f>
        <v/>
      </c>
      <c r="V87">
        <f>IF(AND(ISNUMBER(B87),OR(H87="Draft",H87="Scheduled")),IF(INT(B87)&lt;TODAY(),1,0),0)</f>
        <v/>
      </c>
      <c r="W87">
        <f>IF(AND(H87="Published",N(O87)&gt;0),IF(T87=(YEAR(TODAY())*100+MONTH(TODAY())),ROUND(O87,0)*1000+1000-ROW(),""),"")</f>
        <v/>
      </c>
    </row>
    <row r="88">
      <c r="A88" s="1" t="n"/>
      <c r="B88" s="21" t="n">
        <v>46291</v>
      </c>
      <c r="C88" s="22" t="n">
        <v>0.8125</v>
      </c>
      <c r="D88" s="23" t="inlineStr">
        <is>
          <t>Instagram</t>
        </is>
      </c>
      <c r="E88" s="24" t="inlineStr">
        <is>
          <t>Post</t>
        </is>
      </c>
      <c r="F88" s="23" t="inlineStr">
        <is>
          <t>Behind the scenes</t>
        </is>
      </c>
      <c r="G88" s="25" t="inlineStr">
        <is>
          <t>Testing a new wick</t>
        </is>
      </c>
      <c r="H88" s="24" t="inlineStr">
        <is>
          <t>Scheduled</t>
        </is>
      </c>
      <c r="I88" s="23" t="n"/>
      <c r="J88" s="26" t="n"/>
      <c r="K88" s="26" t="n"/>
      <c r="L88" s="26" t="n"/>
      <c r="M88" s="26" t="n"/>
      <c r="N88" s="26" t="n"/>
      <c r="O88" s="27">
        <f>IF(COUNT(K88:N88)=0,"",SUM(K88:N88))</f>
        <v/>
      </c>
      <c r="P88" s="16">
        <f>IF(OR(O88="",N(J88)&lt;=0),"",O88/J88)</f>
        <v/>
      </c>
      <c r="Q88" s="28">
        <f>IF(V88=1,"Late","")</f>
        <v/>
      </c>
      <c r="R88" s="1">
        <f>IF(ISNUMBER(B88),INT(B88)*10000000+IF(ISNUMBER(C88),ROUND(MOD(C88,1)*1440,0),0)*1000+ROW(),"")</f>
        <v/>
      </c>
      <c r="S88">
        <f>IF(ISNUMBER(B88),INT(B88)-WEEKDAY(B88,3),"")</f>
        <v/>
      </c>
      <c r="T88">
        <f>IF(ISNUMBER(B88),YEAR(B88)*100+MONTH(B88),"")</f>
        <v/>
      </c>
      <c r="U88">
        <f>IF(AND(ISNUMBER(B88),H88&lt;&gt;"Published"),IF(INT(B88)&gt;=TODAY(),R88,""),"")</f>
        <v/>
      </c>
      <c r="V88">
        <f>IF(AND(ISNUMBER(B88),OR(H88="Draft",H88="Scheduled")),IF(INT(B88)&lt;TODAY(),1,0),0)</f>
        <v/>
      </c>
      <c r="W88">
        <f>IF(AND(H88="Published",N(O88)&gt;0),IF(T88=(YEAR(TODAY())*100+MONTH(TODAY())),ROUND(O88,0)*1000+1000-ROW(),""),"")</f>
        <v/>
      </c>
    </row>
    <row r="89">
      <c r="A89" s="1" t="n"/>
      <c r="B89" s="21" t="n">
        <v>46292</v>
      </c>
      <c r="C89" s="22" t="n">
        <v>0.5208333333333334</v>
      </c>
      <c r="D89" s="23" t="inlineStr">
        <is>
          <t>TikTok</t>
        </is>
      </c>
      <c r="E89" s="24" t="inlineStr">
        <is>
          <t>Short</t>
        </is>
      </c>
      <c r="F89" s="23" t="inlineStr">
        <is>
          <t>Tips</t>
        </is>
      </c>
      <c r="G89" s="25" t="inlineStr">
        <is>
          <t>Scent for small rooms</t>
        </is>
      </c>
      <c r="H89" s="24" t="inlineStr">
        <is>
          <t>Published</t>
        </is>
      </c>
      <c r="I89" s="23" t="n"/>
      <c r="J89" s="26" t="n">
        <v>2034</v>
      </c>
      <c r="K89" s="26" t="n">
        <v>117</v>
      </c>
      <c r="L89" s="26" t="n">
        <v>17</v>
      </c>
      <c r="M89" s="26" t="n">
        <v>11</v>
      </c>
      <c r="N89" s="26" t="n">
        <v>25</v>
      </c>
      <c r="O89" s="27">
        <f>IF(COUNT(K89:N89)=0,"",SUM(K89:N89))</f>
        <v/>
      </c>
      <c r="P89" s="16">
        <f>IF(OR(O89="",N(J89)&lt;=0),"",O89/J89)</f>
        <v/>
      </c>
      <c r="Q89" s="28">
        <f>IF(V89=1,"Late","")</f>
        <v/>
      </c>
      <c r="R89" s="1">
        <f>IF(ISNUMBER(B89),INT(B89)*10000000+IF(ISNUMBER(C89),ROUND(MOD(C89,1)*1440,0),0)*1000+ROW(),"")</f>
        <v/>
      </c>
      <c r="S89">
        <f>IF(ISNUMBER(B89),INT(B89)-WEEKDAY(B89,3),"")</f>
        <v/>
      </c>
      <c r="T89">
        <f>IF(ISNUMBER(B89),YEAR(B89)*100+MONTH(B89),"")</f>
        <v/>
      </c>
      <c r="U89">
        <f>IF(AND(ISNUMBER(B89),H89&lt;&gt;"Published"),IF(INT(B89)&gt;=TODAY(),R89,""),"")</f>
        <v/>
      </c>
      <c r="V89">
        <f>IF(AND(ISNUMBER(B89),OR(H89="Draft",H89="Scheduled")),IF(INT(B89)&lt;TODAY(),1,0),0)</f>
        <v/>
      </c>
      <c r="W89">
        <f>IF(AND(H89="Published",N(O89)&gt;0),IF(T89=(YEAR(TODAY())*100+MONTH(TODAY())),ROUND(O89,0)*1000+1000-ROW(),""),"")</f>
        <v/>
      </c>
    </row>
    <row r="90">
      <c r="A90" s="1" t="n"/>
      <c r="B90" s="21" t="n">
        <v>46293</v>
      </c>
      <c r="C90" s="22" t="n">
        <v>0.75</v>
      </c>
      <c r="D90" s="23" t="inlineStr">
        <is>
          <t>Instagram</t>
        </is>
      </c>
      <c r="E90" s="24" t="inlineStr">
        <is>
          <t>Reel</t>
        </is>
      </c>
      <c r="F90" s="23" t="inlineStr">
        <is>
          <t>Behind the scenes</t>
        </is>
      </c>
      <c r="G90" s="25" t="inlineStr">
        <is>
          <t>A day at the market</t>
        </is>
      </c>
      <c r="H90" s="24" t="inlineStr">
        <is>
          <t>Scheduled</t>
        </is>
      </c>
      <c r="I90" s="23" t="n"/>
      <c r="J90" s="26" t="n"/>
      <c r="K90" s="26" t="n"/>
      <c r="L90" s="26" t="n"/>
      <c r="M90" s="26" t="n"/>
      <c r="N90" s="26" t="n"/>
      <c r="O90" s="27">
        <f>IF(COUNT(K90:N90)=0,"",SUM(K90:N90))</f>
        <v/>
      </c>
      <c r="P90" s="16">
        <f>IF(OR(O90="",N(J90)&lt;=0),"",O90/J90)</f>
        <v/>
      </c>
      <c r="Q90" s="28">
        <f>IF(V90=1,"Late","")</f>
        <v/>
      </c>
      <c r="R90" s="1">
        <f>IF(ISNUMBER(B90),INT(B90)*10000000+IF(ISNUMBER(C90),ROUND(MOD(C90,1)*1440,0),0)*1000+ROW(),"")</f>
        <v/>
      </c>
      <c r="S90">
        <f>IF(ISNUMBER(B90),INT(B90)-WEEKDAY(B90,3),"")</f>
        <v/>
      </c>
      <c r="T90">
        <f>IF(ISNUMBER(B90),YEAR(B90)*100+MONTH(B90),"")</f>
        <v/>
      </c>
      <c r="U90">
        <f>IF(AND(ISNUMBER(B90),H90&lt;&gt;"Published"),IF(INT(B90)&gt;=TODAY(),R90,""),"")</f>
        <v/>
      </c>
      <c r="V90">
        <f>IF(AND(ISNUMBER(B90),OR(H90="Draft",H90="Scheduled")),IF(INT(B90)&lt;TODAY(),1,0),0)</f>
        <v/>
      </c>
      <c r="W90">
        <f>IF(AND(H90="Published",N(O90)&gt;0),IF(T90=(YEAR(TODAY())*100+MONTH(TODAY())),ROUND(O90,0)*1000+1000-ROW(),""),"")</f>
        <v/>
      </c>
    </row>
    <row r="91">
      <c r="A91" s="1" t="n"/>
      <c r="B91" s="21" t="n">
        <v>46294</v>
      </c>
      <c r="C91" s="22" t="n">
        <v>0.375</v>
      </c>
      <c r="D91" s="23" t="inlineStr">
        <is>
          <t>Pinterest</t>
        </is>
      </c>
      <c r="E91" s="24" t="inlineStr">
        <is>
          <t>Pin</t>
        </is>
      </c>
      <c r="F91" s="23" t="inlineStr">
        <is>
          <t>Tips</t>
        </is>
      </c>
      <c r="G91" s="25" t="inlineStr">
        <is>
          <t>Scent for small rooms</t>
        </is>
      </c>
      <c r="H91" s="24" t="inlineStr">
        <is>
          <t>Scheduled</t>
        </is>
      </c>
      <c r="I91" s="23" t="n"/>
      <c r="J91" s="26" t="n"/>
      <c r="K91" s="26" t="n"/>
      <c r="L91" s="26" t="n"/>
      <c r="M91" s="26" t="n"/>
      <c r="N91" s="26" t="n"/>
      <c r="O91" s="27">
        <f>IF(COUNT(K91:N91)=0,"",SUM(K91:N91))</f>
        <v/>
      </c>
      <c r="P91" s="16">
        <f>IF(OR(O91="",N(J91)&lt;=0),"",O91/J91)</f>
        <v/>
      </c>
      <c r="Q91" s="28">
        <f>IF(V91=1,"Late","")</f>
        <v/>
      </c>
      <c r="R91" s="1">
        <f>IF(ISNUMBER(B91),INT(B91)*10000000+IF(ISNUMBER(C91),ROUND(MOD(C91,1)*1440,0),0)*1000+ROW(),"")</f>
        <v/>
      </c>
      <c r="S91">
        <f>IF(ISNUMBER(B91),INT(B91)-WEEKDAY(B91,3),"")</f>
        <v/>
      </c>
      <c r="T91">
        <f>IF(ISNUMBER(B91),YEAR(B91)*100+MONTH(B91),"")</f>
        <v/>
      </c>
      <c r="U91">
        <f>IF(AND(ISNUMBER(B91),H91&lt;&gt;"Published"),IF(INT(B91)&gt;=TODAY(),R91,""),"")</f>
        <v/>
      </c>
      <c r="V91">
        <f>IF(AND(ISNUMBER(B91),OR(H91="Draft",H91="Scheduled")),IF(INT(B91)&lt;TODAY(),1,0),0)</f>
        <v/>
      </c>
      <c r="W91">
        <f>IF(AND(H91="Published",N(O91)&gt;0),IF(T91=(YEAR(TODAY())*100+MONTH(TODAY())),ROUND(O91,0)*1000+1000-ROW(),""),"")</f>
        <v/>
      </c>
    </row>
    <row r="92">
      <c r="A92" s="1" t="n"/>
      <c r="B92" s="21" t="n">
        <v>46294</v>
      </c>
      <c r="C92" s="22" t="n">
        <v>0.3958333333333333</v>
      </c>
      <c r="D92" s="23" t="inlineStr">
        <is>
          <t>Newsletter</t>
        </is>
      </c>
      <c r="E92" s="24" t="inlineStr">
        <is>
          <t>Email</t>
        </is>
      </c>
      <c r="F92" s="23" t="inlineStr">
        <is>
          <t>Tips</t>
        </is>
      </c>
      <c r="G92" s="25" t="inlineStr">
        <is>
          <t>Three cosy evening ideas</t>
        </is>
      </c>
      <c r="H92" s="24" t="inlineStr">
        <is>
          <t>Draft</t>
        </is>
      </c>
      <c r="I92" s="23" t="n"/>
      <c r="J92" s="26" t="n"/>
      <c r="K92" s="26" t="n"/>
      <c r="L92" s="26" t="n"/>
      <c r="M92" s="26" t="n"/>
      <c r="N92" s="26" t="n"/>
      <c r="O92" s="27">
        <f>IF(COUNT(K92:N92)=0,"",SUM(K92:N92))</f>
        <v/>
      </c>
      <c r="P92" s="16">
        <f>IF(OR(O92="",N(J92)&lt;=0),"",O92/J92)</f>
        <v/>
      </c>
      <c r="Q92" s="28">
        <f>IF(V92=1,"Late","")</f>
        <v/>
      </c>
      <c r="R92" s="1">
        <f>IF(ISNUMBER(B92),INT(B92)*10000000+IF(ISNUMBER(C92),ROUND(MOD(C92,1)*1440,0),0)*1000+ROW(),"")</f>
        <v/>
      </c>
      <c r="S92">
        <f>IF(ISNUMBER(B92),INT(B92)-WEEKDAY(B92,3),"")</f>
        <v/>
      </c>
      <c r="T92">
        <f>IF(ISNUMBER(B92),YEAR(B92)*100+MONTH(B92),"")</f>
        <v/>
      </c>
      <c r="U92">
        <f>IF(AND(ISNUMBER(B92),H92&lt;&gt;"Published"),IF(INT(B92)&gt;=TODAY(),R92,""),"")</f>
        <v/>
      </c>
      <c r="V92">
        <f>IF(AND(ISNUMBER(B92),OR(H92="Draft",H92="Scheduled")),IF(INT(B92)&lt;TODAY(),1,0),0)</f>
        <v/>
      </c>
      <c r="W92">
        <f>IF(AND(H92="Published",N(O92)&gt;0),IF(T92=(YEAR(TODAY())*100+MONTH(TODAY())),ROUND(O92,0)*1000+1000-ROW(),""),"")</f>
        <v/>
      </c>
    </row>
    <row r="93">
      <c r="A93" s="1" t="n"/>
      <c r="B93" s="21" t="n">
        <v>46294</v>
      </c>
      <c r="C93" s="22" t="n">
        <v>0.5208333333333334</v>
      </c>
      <c r="D93" s="23" t="inlineStr">
        <is>
          <t>Instagram</t>
        </is>
      </c>
      <c r="E93" s="24" t="inlineStr">
        <is>
          <t>Post</t>
        </is>
      </c>
      <c r="F93" s="23" t="inlineStr">
        <is>
          <t>Customer stories</t>
        </is>
      </c>
      <c r="G93" s="25" t="inlineStr">
        <is>
          <t>A lovely review</t>
        </is>
      </c>
      <c r="H93" s="24" t="inlineStr">
        <is>
          <t>Scheduled</t>
        </is>
      </c>
      <c r="I93" s="23" t="n"/>
      <c r="J93" s="26" t="n"/>
      <c r="K93" s="26" t="n"/>
      <c r="L93" s="26" t="n"/>
      <c r="M93" s="26" t="n"/>
      <c r="N93" s="26" t="n"/>
      <c r="O93" s="27">
        <f>IF(COUNT(K93:N93)=0,"",SUM(K93:N93))</f>
        <v/>
      </c>
      <c r="P93" s="16">
        <f>IF(OR(O93="",N(J93)&lt;=0),"",O93/J93)</f>
        <v/>
      </c>
      <c r="Q93" s="28">
        <f>IF(V93=1,"Late","")</f>
        <v/>
      </c>
      <c r="R93" s="1">
        <f>IF(ISNUMBER(B93),INT(B93)*10000000+IF(ISNUMBER(C93),ROUND(MOD(C93,1)*1440,0),0)*1000+ROW(),"")</f>
        <v/>
      </c>
      <c r="S93">
        <f>IF(ISNUMBER(B93),INT(B93)-WEEKDAY(B93,3),"")</f>
        <v/>
      </c>
      <c r="T93">
        <f>IF(ISNUMBER(B93),YEAR(B93)*100+MONTH(B93),"")</f>
        <v/>
      </c>
      <c r="U93">
        <f>IF(AND(ISNUMBER(B93),H93&lt;&gt;"Published"),IF(INT(B93)&gt;=TODAY(),R93,""),"")</f>
        <v/>
      </c>
      <c r="V93">
        <f>IF(AND(ISNUMBER(B93),OR(H93="Draft",H93="Scheduled")),IF(INT(B93)&lt;TODAY(),1,0),0)</f>
        <v/>
      </c>
      <c r="W93">
        <f>IF(AND(H93="Published",N(O93)&gt;0),IF(T93=(YEAR(TODAY())*100+MONTH(TODAY())),ROUND(O93,0)*1000+1000-ROW(),""),"")</f>
        <v/>
      </c>
    </row>
    <row r="94">
      <c r="A94" s="1" t="n"/>
      <c r="B94" s="21" t="n">
        <v>46294</v>
      </c>
      <c r="C94" s="22" t="n">
        <v>0.7708333333333334</v>
      </c>
      <c r="D94" s="23" t="inlineStr">
        <is>
          <t>YouTube</t>
        </is>
      </c>
      <c r="E94" s="24" t="inlineStr">
        <is>
          <t>Video</t>
        </is>
      </c>
      <c r="F94" s="23" t="inlineStr">
        <is>
          <t>Customer stories</t>
        </is>
      </c>
      <c r="G94" s="25" t="inlineStr">
        <is>
          <t>Candle in a new home</t>
        </is>
      </c>
      <c r="H94" s="24" t="inlineStr">
        <is>
          <t>Scheduled</t>
        </is>
      </c>
      <c r="I94" s="23" t="n"/>
      <c r="J94" s="26" t="n"/>
      <c r="K94" s="26" t="n"/>
      <c r="L94" s="26" t="n"/>
      <c r="M94" s="26" t="n"/>
      <c r="N94" s="26" t="n"/>
      <c r="O94" s="27">
        <f>IF(COUNT(K94:N94)=0,"",SUM(K94:N94))</f>
        <v/>
      </c>
      <c r="P94" s="16">
        <f>IF(OR(O94="",N(J94)&lt;=0),"",O94/J94)</f>
        <v/>
      </c>
      <c r="Q94" s="28">
        <f>IF(V94=1,"Late","")</f>
        <v/>
      </c>
      <c r="R94" s="1">
        <f>IF(ISNUMBER(B94),INT(B94)*10000000+IF(ISNUMBER(C94),ROUND(MOD(C94,1)*1440,0),0)*1000+ROW(),"")</f>
        <v/>
      </c>
      <c r="S94">
        <f>IF(ISNUMBER(B94),INT(B94)-WEEKDAY(B94,3),"")</f>
        <v/>
      </c>
      <c r="T94">
        <f>IF(ISNUMBER(B94),YEAR(B94)*100+MONTH(B94),"")</f>
        <v/>
      </c>
      <c r="U94">
        <f>IF(AND(ISNUMBER(B94),H94&lt;&gt;"Published"),IF(INT(B94)&gt;=TODAY(),R94,""),"")</f>
        <v/>
      </c>
      <c r="V94">
        <f>IF(AND(ISNUMBER(B94),OR(H94="Draft",H94="Scheduled")),IF(INT(B94)&lt;TODAY(),1,0),0)</f>
        <v/>
      </c>
      <c r="W94">
        <f>IF(AND(H94="Published",N(O94)&gt;0),IF(T94=(YEAR(TODAY())*100+MONTH(TODAY())),ROUND(O94,0)*1000+1000-ROW(),""),"")</f>
        <v/>
      </c>
    </row>
    <row r="95">
      <c r="A95" s="1" t="n"/>
      <c r="B95" s="21" t="n">
        <v>46295</v>
      </c>
      <c r="C95" s="22" t="n">
        <v>0.7708333333333334</v>
      </c>
      <c r="D95" s="23" t="inlineStr">
        <is>
          <t>TikTok</t>
        </is>
      </c>
      <c r="E95" s="24" t="inlineStr">
        <is>
          <t>Short</t>
        </is>
      </c>
      <c r="F95" s="23" t="inlineStr">
        <is>
          <t>How to</t>
        </is>
      </c>
      <c r="G95" s="25" t="inlineStr">
        <is>
          <t>Styling a shelf</t>
        </is>
      </c>
      <c r="H95" s="24" t="inlineStr">
        <is>
          <t>Scheduled</t>
        </is>
      </c>
      <c r="I95" s="23" t="n"/>
      <c r="J95" s="26" t="n"/>
      <c r="K95" s="26" t="n"/>
      <c r="L95" s="26" t="n"/>
      <c r="M95" s="26" t="n"/>
      <c r="N95" s="26" t="n"/>
      <c r="O95" s="27">
        <f>IF(COUNT(K95:N95)=0,"",SUM(K95:N95))</f>
        <v/>
      </c>
      <c r="P95" s="16">
        <f>IF(OR(O95="",N(J95)&lt;=0),"",O95/J95)</f>
        <v/>
      </c>
      <c r="Q95" s="28">
        <f>IF(V95=1,"Late","")</f>
        <v/>
      </c>
      <c r="R95" s="1">
        <f>IF(ISNUMBER(B95),INT(B95)*10000000+IF(ISNUMBER(C95),ROUND(MOD(C95,1)*1440,0),0)*1000+ROW(),"")</f>
        <v/>
      </c>
      <c r="S95">
        <f>IF(ISNUMBER(B95),INT(B95)-WEEKDAY(B95,3),"")</f>
        <v/>
      </c>
      <c r="T95">
        <f>IF(ISNUMBER(B95),YEAR(B95)*100+MONTH(B95),"")</f>
        <v/>
      </c>
      <c r="U95">
        <f>IF(AND(ISNUMBER(B95),H95&lt;&gt;"Published"),IF(INT(B95)&gt;=TODAY(),R95,""),"")</f>
        <v/>
      </c>
      <c r="V95">
        <f>IF(AND(ISNUMBER(B95),OR(H95="Draft",H95="Scheduled")),IF(INT(B95)&lt;TODAY(),1,0),0)</f>
        <v/>
      </c>
      <c r="W95">
        <f>IF(AND(H95="Published",N(O95)&gt;0),IF(T95=(YEAR(TODAY())*100+MONTH(TODAY())),ROUND(O95,0)*1000+1000-ROW(),""),"")</f>
        <v/>
      </c>
    </row>
    <row r="96">
      <c r="A96" s="1" t="n"/>
      <c r="B96" s="21" t="n">
        <v>46296</v>
      </c>
      <c r="C96" s="22" t="n">
        <v>0.375</v>
      </c>
      <c r="D96" s="23" t="inlineStr">
        <is>
          <t>Pinterest</t>
        </is>
      </c>
      <c r="E96" s="24" t="inlineStr">
        <is>
          <t>Pin</t>
        </is>
      </c>
      <c r="F96" s="23" t="inlineStr">
        <is>
          <t>Customer stories</t>
        </is>
      </c>
      <c r="G96" s="25" t="inlineStr">
        <is>
          <t>Your photos this month</t>
        </is>
      </c>
      <c r="H96" s="24" t="inlineStr">
        <is>
          <t>Scheduled</t>
        </is>
      </c>
      <c r="I96" s="23" t="n"/>
      <c r="J96" s="26" t="n"/>
      <c r="K96" s="26" t="n"/>
      <c r="L96" s="26" t="n"/>
      <c r="M96" s="26" t="n"/>
      <c r="N96" s="26" t="n"/>
      <c r="O96" s="27">
        <f>IF(COUNT(K96:N96)=0,"",SUM(K96:N96))</f>
        <v/>
      </c>
      <c r="P96" s="16">
        <f>IF(OR(O96="",N(J96)&lt;=0),"",O96/J96)</f>
        <v/>
      </c>
      <c r="Q96" s="28">
        <f>IF(V96=1,"Late","")</f>
        <v/>
      </c>
      <c r="R96" s="1">
        <f>IF(ISNUMBER(B96),INT(B96)*10000000+IF(ISNUMBER(C96),ROUND(MOD(C96,1)*1440,0),0)*1000+ROW(),"")</f>
        <v/>
      </c>
      <c r="S96">
        <f>IF(ISNUMBER(B96),INT(B96)-WEEKDAY(B96,3),"")</f>
        <v/>
      </c>
      <c r="T96">
        <f>IF(ISNUMBER(B96),YEAR(B96)*100+MONTH(B96),"")</f>
        <v/>
      </c>
      <c r="U96">
        <f>IF(AND(ISNUMBER(B96),H96&lt;&gt;"Published"),IF(INT(B96)&gt;=TODAY(),R96,""),"")</f>
        <v/>
      </c>
      <c r="V96">
        <f>IF(AND(ISNUMBER(B96),OR(H96="Draft",H96="Scheduled")),IF(INT(B96)&lt;TODAY(),1,0),0)</f>
        <v/>
      </c>
      <c r="W96">
        <f>IF(AND(H96="Published",N(O96)&gt;0),IF(T96=(YEAR(TODAY())*100+MONTH(TODAY())),ROUND(O96,0)*1000+1000-ROW(),""),"")</f>
        <v/>
      </c>
    </row>
    <row r="97">
      <c r="A97" s="1" t="n"/>
      <c r="B97" s="21" t="n">
        <v>46296</v>
      </c>
      <c r="C97" s="22" t="n">
        <v>0.5</v>
      </c>
      <c r="D97" s="23" t="inlineStr">
        <is>
          <t>Instagram</t>
        </is>
      </c>
      <c r="E97" s="24" t="inlineStr">
        <is>
          <t>Carousel</t>
        </is>
      </c>
      <c r="F97" s="23" t="inlineStr">
        <is>
          <t>Tips</t>
        </is>
      </c>
      <c r="G97" s="25" t="inlineStr">
        <is>
          <t>Three cosy evening ideas</t>
        </is>
      </c>
      <c r="H97" s="24" t="inlineStr">
        <is>
          <t>Draft</t>
        </is>
      </c>
      <c r="I97" s="23" t="n"/>
      <c r="J97" s="26" t="n"/>
      <c r="K97" s="26" t="n"/>
      <c r="L97" s="26" t="n"/>
      <c r="M97" s="26" t="n"/>
      <c r="N97" s="26" t="n"/>
      <c r="O97" s="27">
        <f>IF(COUNT(K97:N97)=0,"",SUM(K97:N97))</f>
        <v/>
      </c>
      <c r="P97" s="16">
        <f>IF(OR(O97="",N(J97)&lt;=0),"",O97/J97)</f>
        <v/>
      </c>
      <c r="Q97" s="28">
        <f>IF(V97=1,"Late","")</f>
        <v/>
      </c>
      <c r="R97" s="1">
        <f>IF(ISNUMBER(B97),INT(B97)*10000000+IF(ISNUMBER(C97),ROUND(MOD(C97,1)*1440,0),0)*1000+ROW(),"")</f>
        <v/>
      </c>
      <c r="S97">
        <f>IF(ISNUMBER(B97),INT(B97)-WEEKDAY(B97,3),"")</f>
        <v/>
      </c>
      <c r="T97">
        <f>IF(ISNUMBER(B97),YEAR(B97)*100+MONTH(B97),"")</f>
        <v/>
      </c>
      <c r="U97">
        <f>IF(AND(ISNUMBER(B97),H97&lt;&gt;"Published"),IF(INT(B97)&gt;=TODAY(),R97,""),"")</f>
        <v/>
      </c>
      <c r="V97">
        <f>IF(AND(ISNUMBER(B97),OR(H97="Draft",H97="Scheduled")),IF(INT(B97)&lt;TODAY(),1,0),0)</f>
        <v/>
      </c>
      <c r="W97">
        <f>IF(AND(H97="Published",N(O97)&gt;0),IF(T97=(YEAR(TODAY())*100+MONTH(TODAY())),ROUND(O97,0)*1000+1000-ROW(),""),"")</f>
        <v/>
      </c>
    </row>
    <row r="98">
      <c r="A98" s="1" t="n"/>
      <c r="B98" s="21" t="n">
        <v>46297</v>
      </c>
      <c r="C98" s="22" t="n">
        <v>0.5208333333333334</v>
      </c>
      <c r="D98" s="23" t="inlineStr">
        <is>
          <t>TikTok</t>
        </is>
      </c>
      <c r="E98" s="24" t="inlineStr">
        <is>
          <t>Short</t>
        </is>
      </c>
      <c r="F98" s="23" t="inlineStr">
        <is>
          <t>New products</t>
        </is>
      </c>
      <c r="G98" s="25" t="inlineStr">
        <is>
          <t>Autumn scents are here</t>
        </is>
      </c>
      <c r="H98" s="24" t="inlineStr">
        <is>
          <t>Draft</t>
        </is>
      </c>
      <c r="I98" s="23" t="n"/>
      <c r="J98" s="26" t="n"/>
      <c r="K98" s="26" t="n"/>
      <c r="L98" s="26" t="n"/>
      <c r="M98" s="26" t="n"/>
      <c r="N98" s="26" t="n"/>
      <c r="O98" s="27">
        <f>IF(COUNT(K98:N98)=0,"",SUM(K98:N98))</f>
        <v/>
      </c>
      <c r="P98" s="16">
        <f>IF(OR(O98="",N(J98)&lt;=0),"",O98/J98)</f>
        <v/>
      </c>
      <c r="Q98" s="28">
        <f>IF(V98=1,"Late","")</f>
        <v/>
      </c>
      <c r="R98" s="1">
        <f>IF(ISNUMBER(B98),INT(B98)*10000000+IF(ISNUMBER(C98),ROUND(MOD(C98,1)*1440,0),0)*1000+ROW(),"")</f>
        <v/>
      </c>
      <c r="S98">
        <f>IF(ISNUMBER(B98),INT(B98)-WEEKDAY(B98,3),"")</f>
        <v/>
      </c>
      <c r="T98">
        <f>IF(ISNUMBER(B98),YEAR(B98)*100+MONTH(B98),"")</f>
        <v/>
      </c>
      <c r="U98">
        <f>IF(AND(ISNUMBER(B98),H98&lt;&gt;"Published"),IF(INT(B98)&gt;=TODAY(),R98,""),"")</f>
        <v/>
      </c>
      <c r="V98">
        <f>IF(AND(ISNUMBER(B98),OR(H98="Draft",H98="Scheduled")),IF(INT(B98)&lt;TODAY(),1,0),0)</f>
        <v/>
      </c>
      <c r="W98">
        <f>IF(AND(H98="Published",N(O98)&gt;0),IF(T98=(YEAR(TODAY())*100+MONTH(TODAY())),ROUND(O98,0)*1000+1000-ROW(),""),"")</f>
        <v/>
      </c>
    </row>
    <row r="99">
      <c r="A99" s="1" t="n"/>
      <c r="B99" s="21" t="n">
        <v>46298</v>
      </c>
      <c r="C99" s="22" t="n">
        <v>0.7708333333333334</v>
      </c>
      <c r="D99" s="23" t="inlineStr">
        <is>
          <t>Instagram</t>
        </is>
      </c>
      <c r="E99" s="24" t="inlineStr">
        <is>
          <t>Carousel</t>
        </is>
      </c>
      <c r="F99" s="23" t="inlineStr">
        <is>
          <t>Customer stories</t>
        </is>
      </c>
      <c r="G99" s="25" t="inlineStr">
        <is>
          <t>Your photos this month</t>
        </is>
      </c>
      <c r="H99" s="24" t="inlineStr">
        <is>
          <t>Scheduled</t>
        </is>
      </c>
      <c r="I99" s="23" t="n"/>
      <c r="J99" s="26" t="n"/>
      <c r="K99" s="26" t="n"/>
      <c r="L99" s="26" t="n"/>
      <c r="M99" s="26" t="n"/>
      <c r="N99" s="26" t="n"/>
      <c r="O99" s="27">
        <f>IF(COUNT(K99:N99)=0,"",SUM(K99:N99))</f>
        <v/>
      </c>
      <c r="P99" s="16">
        <f>IF(OR(O99="",N(J99)&lt;=0),"",O99/J99)</f>
        <v/>
      </c>
      <c r="Q99" s="28">
        <f>IF(V99=1,"Late","")</f>
        <v/>
      </c>
      <c r="R99" s="1">
        <f>IF(ISNUMBER(B99),INT(B99)*10000000+IF(ISNUMBER(C99),ROUND(MOD(C99,1)*1440,0),0)*1000+ROW(),"")</f>
        <v/>
      </c>
      <c r="S99">
        <f>IF(ISNUMBER(B99),INT(B99)-WEEKDAY(B99,3),"")</f>
        <v/>
      </c>
      <c r="T99">
        <f>IF(ISNUMBER(B99),YEAR(B99)*100+MONTH(B99),"")</f>
        <v/>
      </c>
      <c r="U99">
        <f>IF(AND(ISNUMBER(B99),H99&lt;&gt;"Published"),IF(INT(B99)&gt;=TODAY(),R99,""),"")</f>
        <v/>
      </c>
      <c r="V99">
        <f>IF(AND(ISNUMBER(B99),OR(H99="Draft",H99="Scheduled")),IF(INT(B99)&lt;TODAY(),1,0),0)</f>
        <v/>
      </c>
      <c r="W99">
        <f>IF(AND(H99="Published",N(O99)&gt;0),IF(T99=(YEAR(TODAY())*100+MONTH(TODAY())),ROUND(O99,0)*1000+1000-ROW(),""),"")</f>
        <v/>
      </c>
    </row>
    <row r="100">
      <c r="A100" s="1" t="n"/>
      <c r="B100" s="21" t="n">
        <v>46298</v>
      </c>
      <c r="C100" s="22" t="n">
        <v>0.7708333333333334</v>
      </c>
      <c r="D100" s="23" t="inlineStr">
        <is>
          <t>Pinterest</t>
        </is>
      </c>
      <c r="E100" s="24" t="inlineStr">
        <is>
          <t>Pin</t>
        </is>
      </c>
      <c r="F100" s="23" t="inlineStr">
        <is>
          <t>Customer stories</t>
        </is>
      </c>
      <c r="G100" s="25" t="inlineStr">
        <is>
          <t>A lovely review</t>
        </is>
      </c>
      <c r="H100" s="24" t="inlineStr">
        <is>
          <t>Scheduled</t>
        </is>
      </c>
      <c r="I100" s="23" t="n"/>
      <c r="J100" s="26" t="n"/>
      <c r="K100" s="26" t="n"/>
      <c r="L100" s="26" t="n"/>
      <c r="M100" s="26" t="n"/>
      <c r="N100" s="26" t="n"/>
      <c r="O100" s="27">
        <f>IF(COUNT(K100:N100)=0,"",SUM(K100:N100))</f>
        <v/>
      </c>
      <c r="P100" s="16">
        <f>IF(OR(O100="",N(J100)&lt;=0),"",O100/J100)</f>
        <v/>
      </c>
      <c r="Q100" s="28">
        <f>IF(V100=1,"Late","")</f>
        <v/>
      </c>
      <c r="R100" s="1">
        <f>IF(ISNUMBER(B100),INT(B100)*10000000+IF(ISNUMBER(C100),ROUND(MOD(C100,1)*1440,0),0)*1000+ROW(),"")</f>
        <v/>
      </c>
      <c r="S100">
        <f>IF(ISNUMBER(B100),INT(B100)-WEEKDAY(B100,3),"")</f>
        <v/>
      </c>
      <c r="T100">
        <f>IF(ISNUMBER(B100),YEAR(B100)*100+MONTH(B100),"")</f>
        <v/>
      </c>
      <c r="U100">
        <f>IF(AND(ISNUMBER(B100),H100&lt;&gt;"Published"),IF(INT(B100)&gt;=TODAY(),R100,""),"")</f>
        <v/>
      </c>
      <c r="V100">
        <f>IF(AND(ISNUMBER(B100),OR(H100="Draft",H100="Scheduled")),IF(INT(B100)&lt;TODAY(),1,0),0)</f>
        <v/>
      </c>
      <c r="W100">
        <f>IF(AND(H100="Published",N(O100)&gt;0),IF(T100=(YEAR(TODAY())*100+MONTH(TODAY())),ROUND(O100,0)*1000+1000-ROW(),""),"")</f>
        <v/>
      </c>
    </row>
    <row r="101">
      <c r="A101" s="1" t="n"/>
      <c r="B101" s="21" t="n">
        <v>46299</v>
      </c>
      <c r="C101" s="22" t="n">
        <v>0.375</v>
      </c>
      <c r="D101" s="23" t="inlineStr">
        <is>
          <t>TikTok</t>
        </is>
      </c>
      <c r="E101" s="24" t="inlineStr">
        <is>
          <t>Short</t>
        </is>
      </c>
      <c r="F101" s="23" t="inlineStr">
        <is>
          <t>Behind the scenes</t>
        </is>
      </c>
      <c r="G101" s="25" t="inlineStr">
        <is>
          <t>Packing orders</t>
        </is>
      </c>
      <c r="H101" s="24" t="inlineStr">
        <is>
          <t>Scheduled</t>
        </is>
      </c>
      <c r="I101" s="23" t="n"/>
      <c r="J101" s="26" t="n"/>
      <c r="K101" s="26" t="n"/>
      <c r="L101" s="26" t="n"/>
      <c r="M101" s="26" t="n"/>
      <c r="N101" s="26" t="n"/>
      <c r="O101" s="27">
        <f>IF(COUNT(K101:N101)=0,"",SUM(K101:N101))</f>
        <v/>
      </c>
      <c r="P101" s="16">
        <f>IF(OR(O101="",N(J101)&lt;=0),"",O101/J101)</f>
        <v/>
      </c>
      <c r="Q101" s="28">
        <f>IF(V101=1,"Late","")</f>
        <v/>
      </c>
      <c r="R101" s="1">
        <f>IF(ISNUMBER(B101),INT(B101)*10000000+IF(ISNUMBER(C101),ROUND(MOD(C101,1)*1440,0),0)*1000+ROW(),"")</f>
        <v/>
      </c>
      <c r="S101">
        <f>IF(ISNUMBER(B101),INT(B101)-WEEKDAY(B101,3),"")</f>
        <v/>
      </c>
      <c r="T101">
        <f>IF(ISNUMBER(B101),YEAR(B101)*100+MONTH(B101),"")</f>
        <v/>
      </c>
      <c r="U101">
        <f>IF(AND(ISNUMBER(B101),H101&lt;&gt;"Published"),IF(INT(B101)&gt;=TODAY(),R101,""),"")</f>
        <v/>
      </c>
      <c r="V101">
        <f>IF(AND(ISNUMBER(B101),OR(H101="Draft",H101="Scheduled")),IF(INT(B101)&lt;TODAY(),1,0),0)</f>
        <v/>
      </c>
      <c r="W101">
        <f>IF(AND(H101="Published",N(O101)&gt;0),IF(T101=(YEAR(TODAY())*100+MONTH(TODAY())),ROUND(O101,0)*1000+1000-ROW(),""),"")</f>
        <v/>
      </c>
    </row>
    <row r="102">
      <c r="A102" s="1" t="n"/>
      <c r="B102" s="21" t="n">
        <v>46300</v>
      </c>
      <c r="C102" s="22" t="n">
        <v>0.7916666666666666</v>
      </c>
      <c r="D102" s="23" t="inlineStr">
        <is>
          <t>Instagram</t>
        </is>
      </c>
      <c r="E102" s="24" t="inlineStr">
        <is>
          <t>Reel</t>
        </is>
      </c>
      <c r="F102" s="23" t="inlineStr">
        <is>
          <t>Customer stories</t>
        </is>
      </c>
      <c r="G102" s="25" t="inlineStr">
        <is>
          <t>Your photos this month</t>
        </is>
      </c>
      <c r="H102" s="24" t="inlineStr">
        <is>
          <t>Draft</t>
        </is>
      </c>
      <c r="I102" s="23" t="n"/>
      <c r="J102" s="26" t="n"/>
      <c r="K102" s="26" t="n"/>
      <c r="L102" s="26" t="n"/>
      <c r="M102" s="26" t="n"/>
      <c r="N102" s="26" t="n"/>
      <c r="O102" s="27">
        <f>IF(COUNT(K102:N102)=0,"",SUM(K102:N102))</f>
        <v/>
      </c>
      <c r="P102" s="16">
        <f>IF(OR(O102="",N(J102)&lt;=0),"",O102/J102)</f>
        <v/>
      </c>
      <c r="Q102" s="28">
        <f>IF(V102=1,"Late","")</f>
        <v/>
      </c>
      <c r="R102" s="1">
        <f>IF(ISNUMBER(B102),INT(B102)*10000000+IF(ISNUMBER(C102),ROUND(MOD(C102,1)*1440,0),0)*1000+ROW(),"")</f>
        <v/>
      </c>
      <c r="S102">
        <f>IF(ISNUMBER(B102),INT(B102)-WEEKDAY(B102,3),"")</f>
        <v/>
      </c>
      <c r="T102">
        <f>IF(ISNUMBER(B102),YEAR(B102)*100+MONTH(B102),"")</f>
        <v/>
      </c>
      <c r="U102">
        <f>IF(AND(ISNUMBER(B102),H102&lt;&gt;"Published"),IF(INT(B102)&gt;=TODAY(),R102,""),"")</f>
        <v/>
      </c>
      <c r="V102">
        <f>IF(AND(ISNUMBER(B102),OR(H102="Draft",H102="Scheduled")),IF(INT(B102)&lt;TODAY(),1,0),0)</f>
        <v/>
      </c>
      <c r="W102">
        <f>IF(AND(H102="Published",N(O102)&gt;0),IF(T102=(YEAR(TODAY())*100+MONTH(TODAY())),ROUND(O102,0)*1000+1000-ROW(),""),"")</f>
        <v/>
      </c>
    </row>
    <row r="103">
      <c r="A103" s="1" t="n"/>
      <c r="B103" s="21" t="n">
        <v>46301</v>
      </c>
      <c r="C103" s="22" t="n">
        <v>0.5</v>
      </c>
      <c r="D103" s="23" t="inlineStr">
        <is>
          <t>YouTube</t>
        </is>
      </c>
      <c r="E103" s="24" t="inlineStr">
        <is>
          <t>Video</t>
        </is>
      </c>
      <c r="F103" s="23" t="inlineStr">
        <is>
          <t>How to</t>
        </is>
      </c>
      <c r="G103" s="25" t="inlineStr">
        <is>
          <t>How to trim a wick</t>
        </is>
      </c>
      <c r="H103" s="24" t="inlineStr">
        <is>
          <t>Draft</t>
        </is>
      </c>
      <c r="I103" s="23" t="n"/>
      <c r="J103" s="26" t="n"/>
      <c r="K103" s="26" t="n"/>
      <c r="L103" s="26" t="n"/>
      <c r="M103" s="26" t="n"/>
      <c r="N103" s="26" t="n"/>
      <c r="O103" s="27">
        <f>IF(COUNT(K103:N103)=0,"",SUM(K103:N103))</f>
        <v/>
      </c>
      <c r="P103" s="16">
        <f>IF(OR(O103="",N(J103)&lt;=0),"",O103/J103)</f>
        <v/>
      </c>
      <c r="Q103" s="28">
        <f>IF(V103=1,"Late","")</f>
        <v/>
      </c>
      <c r="R103" s="1">
        <f>IF(ISNUMBER(B103),INT(B103)*10000000+IF(ISNUMBER(C103),ROUND(MOD(C103,1)*1440,0),0)*1000+ROW(),"")</f>
        <v/>
      </c>
      <c r="S103">
        <f>IF(ISNUMBER(B103),INT(B103)-WEEKDAY(B103,3),"")</f>
        <v/>
      </c>
      <c r="T103">
        <f>IF(ISNUMBER(B103),YEAR(B103)*100+MONTH(B103),"")</f>
        <v/>
      </c>
      <c r="U103">
        <f>IF(AND(ISNUMBER(B103),H103&lt;&gt;"Published"),IF(INT(B103)&gt;=TODAY(),R103,""),"")</f>
        <v/>
      </c>
      <c r="V103">
        <f>IF(AND(ISNUMBER(B103),OR(H103="Draft",H103="Scheduled")),IF(INT(B103)&lt;TODAY(),1,0),0)</f>
        <v/>
      </c>
      <c r="W103">
        <f>IF(AND(H103="Published",N(O103)&gt;0),IF(T103=(YEAR(TODAY())*100+MONTH(TODAY())),ROUND(O103,0)*1000+1000-ROW(),""),"")</f>
        <v/>
      </c>
    </row>
    <row r="104">
      <c r="A104" s="1" t="n"/>
      <c r="B104" s="21" t="n">
        <v>46301</v>
      </c>
      <c r="C104" s="22" t="n">
        <v>0.5</v>
      </c>
      <c r="D104" s="23" t="inlineStr">
        <is>
          <t>Pinterest</t>
        </is>
      </c>
      <c r="E104" s="24" t="inlineStr">
        <is>
          <t>Pin</t>
        </is>
      </c>
      <c r="F104" s="23" t="inlineStr">
        <is>
          <t>Customer stories</t>
        </is>
      </c>
      <c r="G104" s="25" t="inlineStr">
        <is>
          <t>A lovely review</t>
        </is>
      </c>
      <c r="H104" s="24" t="inlineStr">
        <is>
          <t>Draft</t>
        </is>
      </c>
      <c r="I104" s="23" t="n"/>
      <c r="J104" s="26" t="n"/>
      <c r="K104" s="26" t="n"/>
      <c r="L104" s="26" t="n"/>
      <c r="M104" s="26" t="n"/>
      <c r="N104" s="26" t="n"/>
      <c r="O104" s="27">
        <f>IF(COUNT(K104:N104)=0,"",SUM(K104:N104))</f>
        <v/>
      </c>
      <c r="P104" s="16">
        <f>IF(OR(O104="",N(J104)&lt;=0),"",O104/J104)</f>
        <v/>
      </c>
      <c r="Q104" s="28">
        <f>IF(V104=1,"Late","")</f>
        <v/>
      </c>
      <c r="R104" s="1">
        <f>IF(ISNUMBER(B104),INT(B104)*10000000+IF(ISNUMBER(C104),ROUND(MOD(C104,1)*1440,0),0)*1000+ROW(),"")</f>
        <v/>
      </c>
      <c r="S104">
        <f>IF(ISNUMBER(B104),INT(B104)-WEEKDAY(B104,3),"")</f>
        <v/>
      </c>
      <c r="T104">
        <f>IF(ISNUMBER(B104),YEAR(B104)*100+MONTH(B104),"")</f>
        <v/>
      </c>
      <c r="U104">
        <f>IF(AND(ISNUMBER(B104),H104&lt;&gt;"Published"),IF(INT(B104)&gt;=TODAY(),R104,""),"")</f>
        <v/>
      </c>
      <c r="V104">
        <f>IF(AND(ISNUMBER(B104),OR(H104="Draft",H104="Scheduled")),IF(INT(B104)&lt;TODAY(),1,0),0)</f>
        <v/>
      </c>
      <c r="W104">
        <f>IF(AND(H104="Published",N(O104)&gt;0),IF(T104=(YEAR(TODAY())*100+MONTH(TODAY())),ROUND(O104,0)*1000+1000-ROW(),""),"")</f>
        <v/>
      </c>
    </row>
    <row r="105">
      <c r="A105" s="1" t="n"/>
      <c r="B105" s="21" t="n">
        <v>46301</v>
      </c>
      <c r="C105" s="22" t="n">
        <v>0.5</v>
      </c>
      <c r="D105" s="23" t="inlineStr">
        <is>
          <t>Newsletter</t>
        </is>
      </c>
      <c r="E105" s="24" t="inlineStr">
        <is>
          <t>Email</t>
        </is>
      </c>
      <c r="F105" s="23" t="inlineStr">
        <is>
          <t>Tips</t>
        </is>
      </c>
      <c r="G105" s="25" t="inlineStr">
        <is>
          <t>Three cosy evening ideas</t>
        </is>
      </c>
      <c r="H105" s="24" t="inlineStr">
        <is>
          <t>Idea</t>
        </is>
      </c>
      <c r="I105" s="23" t="n"/>
      <c r="J105" s="26" t="n"/>
      <c r="K105" s="26" t="n"/>
      <c r="L105" s="26" t="n"/>
      <c r="M105" s="26" t="n"/>
      <c r="N105" s="26" t="n"/>
      <c r="O105" s="27">
        <f>IF(COUNT(K105:N105)=0,"",SUM(K105:N105))</f>
        <v/>
      </c>
      <c r="P105" s="16">
        <f>IF(OR(O105="",N(J105)&lt;=0),"",O105/J105)</f>
        <v/>
      </c>
      <c r="Q105" s="28">
        <f>IF(V105=1,"Late","")</f>
        <v/>
      </c>
      <c r="R105" s="1">
        <f>IF(ISNUMBER(B105),INT(B105)*10000000+IF(ISNUMBER(C105),ROUND(MOD(C105,1)*1440,0),0)*1000+ROW(),"")</f>
        <v/>
      </c>
      <c r="S105">
        <f>IF(ISNUMBER(B105),INT(B105)-WEEKDAY(B105,3),"")</f>
        <v/>
      </c>
      <c r="T105">
        <f>IF(ISNUMBER(B105),YEAR(B105)*100+MONTH(B105),"")</f>
        <v/>
      </c>
      <c r="U105">
        <f>IF(AND(ISNUMBER(B105),H105&lt;&gt;"Published"),IF(INT(B105)&gt;=TODAY(),R105,""),"")</f>
        <v/>
      </c>
      <c r="V105">
        <f>IF(AND(ISNUMBER(B105),OR(H105="Draft",H105="Scheduled")),IF(INT(B105)&lt;TODAY(),1,0),0)</f>
        <v/>
      </c>
      <c r="W105">
        <f>IF(AND(H105="Published",N(O105)&gt;0),IF(T105=(YEAR(TODAY())*100+MONTH(TODAY())),ROUND(O105,0)*1000+1000-ROW(),""),"")</f>
        <v/>
      </c>
    </row>
    <row r="106">
      <c r="A106" s="1" t="n"/>
      <c r="B106" s="21" t="n">
        <v>46301</v>
      </c>
      <c r="C106" s="22" t="n">
        <v>0.5208333333333334</v>
      </c>
      <c r="D106" s="23" t="inlineStr">
        <is>
          <t>Instagram</t>
        </is>
      </c>
      <c r="E106" s="24" t="inlineStr">
        <is>
          <t>Post</t>
        </is>
      </c>
      <c r="F106" s="23" t="inlineStr">
        <is>
          <t>Behind the scenes</t>
        </is>
      </c>
      <c r="G106" s="25" t="inlineStr">
        <is>
          <t>Testing a new wick</t>
        </is>
      </c>
      <c r="H106" s="24" t="inlineStr">
        <is>
          <t>Draft</t>
        </is>
      </c>
      <c r="I106" s="23" t="n"/>
      <c r="J106" s="26" t="n"/>
      <c r="K106" s="26" t="n"/>
      <c r="L106" s="26" t="n"/>
      <c r="M106" s="26" t="n"/>
      <c r="N106" s="26" t="n"/>
      <c r="O106" s="27">
        <f>IF(COUNT(K106:N106)=0,"",SUM(K106:N106))</f>
        <v/>
      </c>
      <c r="P106" s="16">
        <f>IF(OR(O106="",N(J106)&lt;=0),"",O106/J106)</f>
        <v/>
      </c>
      <c r="Q106" s="28">
        <f>IF(V106=1,"Late","")</f>
        <v/>
      </c>
      <c r="R106" s="1">
        <f>IF(ISNUMBER(B106),INT(B106)*10000000+IF(ISNUMBER(C106),ROUND(MOD(C106,1)*1440,0),0)*1000+ROW(),"")</f>
        <v/>
      </c>
      <c r="S106">
        <f>IF(ISNUMBER(B106),INT(B106)-WEEKDAY(B106,3),"")</f>
        <v/>
      </c>
      <c r="T106">
        <f>IF(ISNUMBER(B106),YEAR(B106)*100+MONTH(B106),"")</f>
        <v/>
      </c>
      <c r="U106">
        <f>IF(AND(ISNUMBER(B106),H106&lt;&gt;"Published"),IF(INT(B106)&gt;=TODAY(),R106,""),"")</f>
        <v/>
      </c>
      <c r="V106">
        <f>IF(AND(ISNUMBER(B106),OR(H106="Draft",H106="Scheduled")),IF(INT(B106)&lt;TODAY(),1,0),0)</f>
        <v/>
      </c>
      <c r="W106">
        <f>IF(AND(H106="Published",N(O106)&gt;0),IF(T106=(YEAR(TODAY())*100+MONTH(TODAY())),ROUND(O106,0)*1000+1000-ROW(),""),"")</f>
        <v/>
      </c>
    </row>
    <row r="107">
      <c r="A107" s="1" t="n"/>
      <c r="B107" s="21" t="n">
        <v>46302</v>
      </c>
      <c r="C107" s="22" t="n">
        <v>0.8125</v>
      </c>
      <c r="D107" s="23" t="inlineStr">
        <is>
          <t>TikTok</t>
        </is>
      </c>
      <c r="E107" s="24" t="inlineStr">
        <is>
          <t>Short</t>
        </is>
      </c>
      <c r="F107" s="23" t="inlineStr">
        <is>
          <t>New products</t>
        </is>
      </c>
      <c r="G107" s="25" t="inlineStr">
        <is>
          <t>Refill jars</t>
        </is>
      </c>
      <c r="H107" s="24" t="inlineStr">
        <is>
          <t>Draft</t>
        </is>
      </c>
      <c r="I107" s="23" t="n"/>
      <c r="J107" s="26" t="n"/>
      <c r="K107" s="26" t="n"/>
      <c r="L107" s="26" t="n"/>
      <c r="M107" s="26" t="n"/>
      <c r="N107" s="26" t="n"/>
      <c r="O107" s="27">
        <f>IF(COUNT(K107:N107)=0,"",SUM(K107:N107))</f>
        <v/>
      </c>
      <c r="P107" s="16">
        <f>IF(OR(O107="",N(J107)&lt;=0),"",O107/J107)</f>
        <v/>
      </c>
      <c r="Q107" s="28">
        <f>IF(V107=1,"Late","")</f>
        <v/>
      </c>
      <c r="R107" s="1">
        <f>IF(ISNUMBER(B107),INT(B107)*10000000+IF(ISNUMBER(C107),ROUND(MOD(C107,1)*1440,0),0)*1000+ROW(),"")</f>
        <v/>
      </c>
      <c r="S107">
        <f>IF(ISNUMBER(B107),INT(B107)-WEEKDAY(B107,3),"")</f>
        <v/>
      </c>
      <c r="T107">
        <f>IF(ISNUMBER(B107),YEAR(B107)*100+MONTH(B107),"")</f>
        <v/>
      </c>
      <c r="U107">
        <f>IF(AND(ISNUMBER(B107),H107&lt;&gt;"Published"),IF(INT(B107)&gt;=TODAY(),R107,""),"")</f>
        <v/>
      </c>
      <c r="V107">
        <f>IF(AND(ISNUMBER(B107),OR(H107="Draft",H107="Scheduled")),IF(INT(B107)&lt;TODAY(),1,0),0)</f>
        <v/>
      </c>
      <c r="W107">
        <f>IF(AND(H107="Published",N(O107)&gt;0),IF(T107=(YEAR(TODAY())*100+MONTH(TODAY())),ROUND(O107,0)*1000+1000-ROW(),""),"")</f>
        <v/>
      </c>
    </row>
    <row r="108">
      <c r="A108" s="1" t="n"/>
      <c r="B108" s="21" t="n">
        <v>46303</v>
      </c>
      <c r="C108" s="22" t="n">
        <v>0.5208333333333334</v>
      </c>
      <c r="D108" s="23" t="inlineStr">
        <is>
          <t>Pinterest</t>
        </is>
      </c>
      <c r="E108" s="24" t="inlineStr">
        <is>
          <t>Pin</t>
        </is>
      </c>
      <c r="F108" s="23" t="inlineStr">
        <is>
          <t>New products</t>
        </is>
      </c>
      <c r="G108" s="25" t="inlineStr">
        <is>
          <t>Gift box sneak peek</t>
        </is>
      </c>
      <c r="H108" s="24" t="inlineStr">
        <is>
          <t>Draft</t>
        </is>
      </c>
      <c r="I108" s="23" t="n"/>
      <c r="J108" s="26" t="n"/>
      <c r="K108" s="26" t="n"/>
      <c r="L108" s="26" t="n"/>
      <c r="M108" s="26" t="n"/>
      <c r="N108" s="26" t="n"/>
      <c r="O108" s="27">
        <f>IF(COUNT(K108:N108)=0,"",SUM(K108:N108))</f>
        <v/>
      </c>
      <c r="P108" s="16">
        <f>IF(OR(O108="",N(J108)&lt;=0),"",O108/J108)</f>
        <v/>
      </c>
      <c r="Q108" s="28">
        <f>IF(V108=1,"Late","")</f>
        <v/>
      </c>
      <c r="R108" s="1">
        <f>IF(ISNUMBER(B108),INT(B108)*10000000+IF(ISNUMBER(C108),ROUND(MOD(C108,1)*1440,0),0)*1000+ROW(),"")</f>
        <v/>
      </c>
      <c r="S108">
        <f>IF(ISNUMBER(B108),INT(B108)-WEEKDAY(B108,3),"")</f>
        <v/>
      </c>
      <c r="T108">
        <f>IF(ISNUMBER(B108),YEAR(B108)*100+MONTH(B108),"")</f>
        <v/>
      </c>
      <c r="U108">
        <f>IF(AND(ISNUMBER(B108),H108&lt;&gt;"Published"),IF(INT(B108)&gt;=TODAY(),R108,""),"")</f>
        <v/>
      </c>
      <c r="V108">
        <f>IF(AND(ISNUMBER(B108),OR(H108="Draft",H108="Scheduled")),IF(INT(B108)&lt;TODAY(),1,0),0)</f>
        <v/>
      </c>
      <c r="W108">
        <f>IF(AND(H108="Published",N(O108)&gt;0),IF(T108=(YEAR(TODAY())*100+MONTH(TODAY())),ROUND(O108,0)*1000+1000-ROW(),""),"")</f>
        <v/>
      </c>
    </row>
    <row r="109">
      <c r="A109" s="1" t="n"/>
      <c r="B109" s="21" t="n">
        <v>46303</v>
      </c>
      <c r="C109" s="22" t="n">
        <v>0.8125</v>
      </c>
      <c r="D109" s="23" t="inlineStr">
        <is>
          <t>Instagram</t>
        </is>
      </c>
      <c r="E109" s="24" t="inlineStr">
        <is>
          <t>Story</t>
        </is>
      </c>
      <c r="F109" s="23" t="inlineStr">
        <is>
          <t>New products</t>
        </is>
      </c>
      <c r="G109" s="25" t="inlineStr">
        <is>
          <t>Gift box sneak peek</t>
        </is>
      </c>
      <c r="H109" s="24" t="inlineStr">
        <is>
          <t>Idea</t>
        </is>
      </c>
      <c r="I109" s="23" t="n"/>
      <c r="J109" s="26" t="n"/>
      <c r="K109" s="26" t="n"/>
      <c r="L109" s="26" t="n"/>
      <c r="M109" s="26" t="n"/>
      <c r="N109" s="26" t="n"/>
      <c r="O109" s="27">
        <f>IF(COUNT(K109:N109)=0,"",SUM(K109:N109))</f>
        <v/>
      </c>
      <c r="P109" s="16">
        <f>IF(OR(O109="",N(J109)&lt;=0),"",O109/J109)</f>
        <v/>
      </c>
      <c r="Q109" s="28">
        <f>IF(V109=1,"Late","")</f>
        <v/>
      </c>
      <c r="R109" s="1">
        <f>IF(ISNUMBER(B109),INT(B109)*10000000+IF(ISNUMBER(C109),ROUND(MOD(C109,1)*1440,0),0)*1000+ROW(),"")</f>
        <v/>
      </c>
      <c r="S109">
        <f>IF(ISNUMBER(B109),INT(B109)-WEEKDAY(B109,3),"")</f>
        <v/>
      </c>
      <c r="T109">
        <f>IF(ISNUMBER(B109),YEAR(B109)*100+MONTH(B109),"")</f>
        <v/>
      </c>
      <c r="U109">
        <f>IF(AND(ISNUMBER(B109),H109&lt;&gt;"Published"),IF(INT(B109)&gt;=TODAY(),R109,""),"")</f>
        <v/>
      </c>
      <c r="V109">
        <f>IF(AND(ISNUMBER(B109),OR(H109="Draft",H109="Scheduled")),IF(INT(B109)&lt;TODAY(),1,0),0)</f>
        <v/>
      </c>
      <c r="W109">
        <f>IF(AND(H109="Published",N(O109)&gt;0),IF(T109=(YEAR(TODAY())*100+MONTH(TODAY())),ROUND(O109,0)*1000+1000-ROW(),""),"")</f>
        <v/>
      </c>
    </row>
    <row r="110">
      <c r="A110" s="1" t="n"/>
      <c r="B110" s="21" t="n">
        <v>46304</v>
      </c>
      <c r="C110" s="22" t="n">
        <v>0.5</v>
      </c>
      <c r="D110" s="23" t="inlineStr">
        <is>
          <t>TikTok</t>
        </is>
      </c>
      <c r="E110" s="24" t="inlineStr">
        <is>
          <t>Short</t>
        </is>
      </c>
      <c r="F110" s="23" t="inlineStr">
        <is>
          <t>Tips</t>
        </is>
      </c>
      <c r="G110" s="25" t="inlineStr">
        <is>
          <t>Reuse your jar</t>
        </is>
      </c>
      <c r="H110" s="24" t="inlineStr">
        <is>
          <t>Draft</t>
        </is>
      </c>
      <c r="I110" s="23" t="n"/>
      <c r="J110" s="26" t="n"/>
      <c r="K110" s="26" t="n"/>
      <c r="L110" s="26" t="n"/>
      <c r="M110" s="26" t="n"/>
      <c r="N110" s="26" t="n"/>
      <c r="O110" s="27">
        <f>IF(COUNT(K110:N110)=0,"",SUM(K110:N110))</f>
        <v/>
      </c>
      <c r="P110" s="16">
        <f>IF(OR(O110="",N(J110)&lt;=0),"",O110/J110)</f>
        <v/>
      </c>
      <c r="Q110" s="28">
        <f>IF(V110=1,"Late","")</f>
        <v/>
      </c>
      <c r="R110" s="1">
        <f>IF(ISNUMBER(B110),INT(B110)*10000000+IF(ISNUMBER(C110),ROUND(MOD(C110,1)*1440,0),0)*1000+ROW(),"")</f>
        <v/>
      </c>
      <c r="S110">
        <f>IF(ISNUMBER(B110),INT(B110)-WEEKDAY(B110,3),"")</f>
        <v/>
      </c>
      <c r="T110">
        <f>IF(ISNUMBER(B110),YEAR(B110)*100+MONTH(B110),"")</f>
        <v/>
      </c>
      <c r="U110">
        <f>IF(AND(ISNUMBER(B110),H110&lt;&gt;"Published"),IF(INT(B110)&gt;=TODAY(),R110,""),"")</f>
        <v/>
      </c>
      <c r="V110">
        <f>IF(AND(ISNUMBER(B110),OR(H110="Draft",H110="Scheduled")),IF(INT(B110)&lt;TODAY(),1,0),0)</f>
        <v/>
      </c>
      <c r="W110">
        <f>IF(AND(H110="Published",N(O110)&gt;0),IF(T110=(YEAR(TODAY())*100+MONTH(TODAY())),ROUND(O110,0)*1000+1000-ROW(),""),"")</f>
        <v/>
      </c>
    </row>
    <row r="111">
      <c r="A111" s="1" t="n"/>
      <c r="B111" s="21" t="n">
        <v>46305</v>
      </c>
      <c r="C111" s="22" t="n">
        <v>0.375</v>
      </c>
      <c r="D111" s="23" t="inlineStr">
        <is>
          <t>Instagram</t>
        </is>
      </c>
      <c r="E111" s="24" t="inlineStr">
        <is>
          <t>Carousel</t>
        </is>
      </c>
      <c r="F111" s="23" t="inlineStr">
        <is>
          <t>New products</t>
        </is>
      </c>
      <c r="G111" s="25" t="inlineStr">
        <is>
          <t>Autumn scents are here</t>
        </is>
      </c>
      <c r="H111" s="24" t="inlineStr">
        <is>
          <t>Idea</t>
        </is>
      </c>
      <c r="I111" s="23" t="n"/>
      <c r="J111" s="26" t="n"/>
      <c r="K111" s="26" t="n"/>
      <c r="L111" s="26" t="n"/>
      <c r="M111" s="26" t="n"/>
      <c r="N111" s="26" t="n"/>
      <c r="O111" s="27">
        <f>IF(COUNT(K111:N111)=0,"",SUM(K111:N111))</f>
        <v/>
      </c>
      <c r="P111" s="16">
        <f>IF(OR(O111="",N(J111)&lt;=0),"",O111/J111)</f>
        <v/>
      </c>
      <c r="Q111" s="28">
        <f>IF(V111=1,"Late","")</f>
        <v/>
      </c>
      <c r="R111" s="1">
        <f>IF(ISNUMBER(B111),INT(B111)*10000000+IF(ISNUMBER(C111),ROUND(MOD(C111,1)*1440,0),0)*1000+ROW(),"")</f>
        <v/>
      </c>
      <c r="S111">
        <f>IF(ISNUMBER(B111),INT(B111)-WEEKDAY(B111,3),"")</f>
        <v/>
      </c>
      <c r="T111">
        <f>IF(ISNUMBER(B111),YEAR(B111)*100+MONTH(B111),"")</f>
        <v/>
      </c>
      <c r="U111">
        <f>IF(AND(ISNUMBER(B111),H111&lt;&gt;"Published"),IF(INT(B111)&gt;=TODAY(),R111,""),"")</f>
        <v/>
      </c>
      <c r="V111">
        <f>IF(AND(ISNUMBER(B111),OR(H111="Draft",H111="Scheduled")),IF(INT(B111)&lt;TODAY(),1,0),0)</f>
        <v/>
      </c>
      <c r="W111">
        <f>IF(AND(H111="Published",N(O111)&gt;0),IF(T111=(YEAR(TODAY())*100+MONTH(TODAY())),ROUND(O111,0)*1000+1000-ROW(),""),"")</f>
        <v/>
      </c>
    </row>
    <row r="112">
      <c r="A112" s="1" t="n"/>
      <c r="B112" s="21" t="n">
        <v>46305</v>
      </c>
      <c r="C112" s="22" t="n">
        <v>0.375</v>
      </c>
      <c r="D112" s="23" t="inlineStr">
        <is>
          <t>Pinterest</t>
        </is>
      </c>
      <c r="E112" s="24" t="inlineStr">
        <is>
          <t>Pin</t>
        </is>
      </c>
      <c r="F112" s="23" t="inlineStr">
        <is>
          <t>Customer stories</t>
        </is>
      </c>
      <c r="G112" s="25" t="inlineStr">
        <is>
          <t>Your photos this month</t>
        </is>
      </c>
      <c r="H112" s="24" t="inlineStr">
        <is>
          <t>Idea</t>
        </is>
      </c>
      <c r="I112" s="23" t="n"/>
      <c r="J112" s="26" t="n"/>
      <c r="K112" s="26" t="n"/>
      <c r="L112" s="26" t="n"/>
      <c r="M112" s="26" t="n"/>
      <c r="N112" s="26" t="n"/>
      <c r="O112" s="27">
        <f>IF(COUNT(K112:N112)=0,"",SUM(K112:N112))</f>
        <v/>
      </c>
      <c r="P112" s="16">
        <f>IF(OR(O112="",N(J112)&lt;=0),"",O112/J112)</f>
        <v/>
      </c>
      <c r="Q112" s="28">
        <f>IF(V112=1,"Late","")</f>
        <v/>
      </c>
      <c r="R112" s="1">
        <f>IF(ISNUMBER(B112),INT(B112)*10000000+IF(ISNUMBER(C112),ROUND(MOD(C112,1)*1440,0),0)*1000+ROW(),"")</f>
        <v/>
      </c>
      <c r="S112">
        <f>IF(ISNUMBER(B112),INT(B112)-WEEKDAY(B112,3),"")</f>
        <v/>
      </c>
      <c r="T112">
        <f>IF(ISNUMBER(B112),YEAR(B112)*100+MONTH(B112),"")</f>
        <v/>
      </c>
      <c r="U112">
        <f>IF(AND(ISNUMBER(B112),H112&lt;&gt;"Published"),IF(INT(B112)&gt;=TODAY(),R112,""),"")</f>
        <v/>
      </c>
      <c r="V112">
        <f>IF(AND(ISNUMBER(B112),OR(H112="Draft",H112="Scheduled")),IF(INT(B112)&lt;TODAY(),1,0),0)</f>
        <v/>
      </c>
      <c r="W112">
        <f>IF(AND(H112="Published",N(O112)&gt;0),IF(T112=(YEAR(TODAY())*100+MONTH(TODAY())),ROUND(O112,0)*1000+1000-ROW(),""),"")</f>
        <v/>
      </c>
    </row>
    <row r="113">
      <c r="A113" s="1" t="n"/>
      <c r="B113" s="21" t="n">
        <v>46306</v>
      </c>
      <c r="C113" s="22" t="n">
        <v>0.75</v>
      </c>
      <c r="D113" s="23" t="inlineStr">
        <is>
          <t>TikTok</t>
        </is>
      </c>
      <c r="E113" s="24" t="inlineStr">
        <is>
          <t>Short</t>
        </is>
      </c>
      <c r="F113" s="23" t="inlineStr">
        <is>
          <t>Customer stories</t>
        </is>
      </c>
      <c r="G113" s="25" t="inlineStr">
        <is>
          <t>Your photos this month</t>
        </is>
      </c>
      <c r="H113" s="24" t="inlineStr">
        <is>
          <t>Idea</t>
        </is>
      </c>
      <c r="I113" s="23" t="n"/>
      <c r="J113" s="26" t="n"/>
      <c r="K113" s="26" t="n"/>
      <c r="L113" s="26" t="n"/>
      <c r="M113" s="26" t="n"/>
      <c r="N113" s="26" t="n"/>
      <c r="O113" s="27">
        <f>IF(COUNT(K113:N113)=0,"",SUM(K113:N113))</f>
        <v/>
      </c>
      <c r="P113" s="16">
        <f>IF(OR(O113="",N(J113)&lt;=0),"",O113/J113)</f>
        <v/>
      </c>
      <c r="Q113" s="28">
        <f>IF(V113=1,"Late","")</f>
        <v/>
      </c>
      <c r="R113" s="1">
        <f>IF(ISNUMBER(B113),INT(B113)*10000000+IF(ISNUMBER(C113),ROUND(MOD(C113,1)*1440,0),0)*1000+ROW(),"")</f>
        <v/>
      </c>
      <c r="S113">
        <f>IF(ISNUMBER(B113),INT(B113)-WEEKDAY(B113,3),"")</f>
        <v/>
      </c>
      <c r="T113">
        <f>IF(ISNUMBER(B113),YEAR(B113)*100+MONTH(B113),"")</f>
        <v/>
      </c>
      <c r="U113">
        <f>IF(AND(ISNUMBER(B113),H113&lt;&gt;"Published"),IF(INT(B113)&gt;=TODAY(),R113,""),"")</f>
        <v/>
      </c>
      <c r="V113">
        <f>IF(AND(ISNUMBER(B113),OR(H113="Draft",H113="Scheduled")),IF(INT(B113)&lt;TODAY(),1,0),0)</f>
        <v/>
      </c>
      <c r="W113">
        <f>IF(AND(H113="Published",N(O113)&gt;0),IF(T113=(YEAR(TODAY())*100+MONTH(TODAY())),ROUND(O113,0)*1000+1000-ROW(),""),"")</f>
        <v/>
      </c>
    </row>
    <row r="114">
      <c r="A114" s="1" t="n"/>
      <c r="B114" s="21" t="n">
        <v>46307</v>
      </c>
      <c r="C114" s="22" t="n">
        <v>0.5208333333333334</v>
      </c>
      <c r="D114" s="23" t="inlineStr">
        <is>
          <t>Instagram</t>
        </is>
      </c>
      <c r="E114" s="24" t="inlineStr">
        <is>
          <t>Carousel</t>
        </is>
      </c>
      <c r="F114" s="23" t="inlineStr">
        <is>
          <t>Behind the scenes</t>
        </is>
      </c>
      <c r="G114" s="25" t="inlineStr">
        <is>
          <t>Studio tidy up</t>
        </is>
      </c>
      <c r="H114" s="24" t="inlineStr">
        <is>
          <t>Draft</t>
        </is>
      </c>
      <c r="I114" s="23" t="n"/>
      <c r="J114" s="26" t="n"/>
      <c r="K114" s="26" t="n"/>
      <c r="L114" s="26" t="n"/>
      <c r="M114" s="26" t="n"/>
      <c r="N114" s="26" t="n"/>
      <c r="O114" s="27">
        <f>IF(COUNT(K114:N114)=0,"",SUM(K114:N114))</f>
        <v/>
      </c>
      <c r="P114" s="16">
        <f>IF(OR(O114="",N(J114)&lt;=0),"",O114/J114)</f>
        <v/>
      </c>
      <c r="Q114" s="28">
        <f>IF(V114=1,"Late","")</f>
        <v/>
      </c>
      <c r="R114" s="1">
        <f>IF(ISNUMBER(B114),INT(B114)*10000000+IF(ISNUMBER(C114),ROUND(MOD(C114,1)*1440,0),0)*1000+ROW(),"")</f>
        <v/>
      </c>
      <c r="S114">
        <f>IF(ISNUMBER(B114),INT(B114)-WEEKDAY(B114,3),"")</f>
        <v/>
      </c>
      <c r="T114">
        <f>IF(ISNUMBER(B114),YEAR(B114)*100+MONTH(B114),"")</f>
        <v/>
      </c>
      <c r="U114">
        <f>IF(AND(ISNUMBER(B114),H114&lt;&gt;"Published"),IF(INT(B114)&gt;=TODAY(),R114,""),"")</f>
        <v/>
      </c>
      <c r="V114">
        <f>IF(AND(ISNUMBER(B114),OR(H114="Draft",H114="Scheduled")),IF(INT(B114)&lt;TODAY(),1,0),0)</f>
        <v/>
      </c>
      <c r="W114">
        <f>IF(AND(H114="Published",N(O114)&gt;0),IF(T114=(YEAR(TODAY())*100+MONTH(TODAY())),ROUND(O114,0)*1000+1000-ROW(),""),"")</f>
        <v/>
      </c>
    </row>
    <row r="115">
      <c r="A115" s="1" t="n"/>
      <c r="B115" s="21" t="n">
        <v>46308</v>
      </c>
      <c r="C115" s="22" t="n">
        <v>0.5208333333333334</v>
      </c>
      <c r="D115" s="23" t="inlineStr">
        <is>
          <t>Newsletter</t>
        </is>
      </c>
      <c r="E115" s="24" t="inlineStr">
        <is>
          <t>Email</t>
        </is>
      </c>
      <c r="F115" s="23" t="inlineStr">
        <is>
          <t>Behind the scenes</t>
        </is>
      </c>
      <c r="G115" s="25" t="inlineStr">
        <is>
          <t>Studio tidy up</t>
        </is>
      </c>
      <c r="H115" s="24" t="inlineStr">
        <is>
          <t>Idea</t>
        </is>
      </c>
      <c r="I115" s="23" t="n"/>
      <c r="J115" s="26" t="n"/>
      <c r="K115" s="26" t="n"/>
      <c r="L115" s="26" t="n"/>
      <c r="M115" s="26" t="n"/>
      <c r="N115" s="26" t="n"/>
      <c r="O115" s="27">
        <f>IF(COUNT(K115:N115)=0,"",SUM(K115:N115))</f>
        <v/>
      </c>
      <c r="P115" s="16">
        <f>IF(OR(O115="",N(J115)&lt;=0),"",O115/J115)</f>
        <v/>
      </c>
      <c r="Q115" s="28">
        <f>IF(V115=1,"Late","")</f>
        <v/>
      </c>
      <c r="R115" s="1">
        <f>IF(ISNUMBER(B115),INT(B115)*10000000+IF(ISNUMBER(C115),ROUND(MOD(C115,1)*1440,0),0)*1000+ROW(),"")</f>
        <v/>
      </c>
      <c r="S115">
        <f>IF(ISNUMBER(B115),INT(B115)-WEEKDAY(B115,3),"")</f>
        <v/>
      </c>
      <c r="T115">
        <f>IF(ISNUMBER(B115),YEAR(B115)*100+MONTH(B115),"")</f>
        <v/>
      </c>
      <c r="U115">
        <f>IF(AND(ISNUMBER(B115),H115&lt;&gt;"Published"),IF(INT(B115)&gt;=TODAY(),R115,""),"")</f>
        <v/>
      </c>
      <c r="V115">
        <f>IF(AND(ISNUMBER(B115),OR(H115="Draft",H115="Scheduled")),IF(INT(B115)&lt;TODAY(),1,0),0)</f>
        <v/>
      </c>
      <c r="W115">
        <f>IF(AND(H115="Published",N(O115)&gt;0),IF(T115=(YEAR(TODAY())*100+MONTH(TODAY())),ROUND(O115,0)*1000+1000-ROW(),""),"")</f>
        <v/>
      </c>
    </row>
    <row r="116">
      <c r="A116" s="1" t="n"/>
      <c r="B116" s="21" t="n">
        <v>46308</v>
      </c>
      <c r="C116" s="22" t="n">
        <v>0.75</v>
      </c>
      <c r="D116" s="23" t="inlineStr">
        <is>
          <t>Instagram</t>
        </is>
      </c>
      <c r="E116" s="24" t="inlineStr">
        <is>
          <t>Story</t>
        </is>
      </c>
      <c r="F116" s="23" t="inlineStr">
        <is>
          <t>New products</t>
        </is>
      </c>
      <c r="G116" s="25" t="inlineStr">
        <is>
          <t>Autumn scents are here</t>
        </is>
      </c>
      <c r="H116" s="24" t="inlineStr">
        <is>
          <t>Idea</t>
        </is>
      </c>
      <c r="I116" s="23" t="n"/>
      <c r="J116" s="26" t="n"/>
      <c r="K116" s="26" t="n"/>
      <c r="L116" s="26" t="n"/>
      <c r="M116" s="26" t="n"/>
      <c r="N116" s="26" t="n"/>
      <c r="O116" s="27">
        <f>IF(COUNT(K116:N116)=0,"",SUM(K116:N116))</f>
        <v/>
      </c>
      <c r="P116" s="16">
        <f>IF(OR(O116="",N(J116)&lt;=0),"",O116/J116)</f>
        <v/>
      </c>
      <c r="Q116" s="28">
        <f>IF(V116=1,"Late","")</f>
        <v/>
      </c>
      <c r="R116" s="1">
        <f>IF(ISNUMBER(B116),INT(B116)*10000000+IF(ISNUMBER(C116),ROUND(MOD(C116,1)*1440,0),0)*1000+ROW(),"")</f>
        <v/>
      </c>
      <c r="S116">
        <f>IF(ISNUMBER(B116),INT(B116)-WEEKDAY(B116,3),"")</f>
        <v/>
      </c>
      <c r="T116">
        <f>IF(ISNUMBER(B116),YEAR(B116)*100+MONTH(B116),"")</f>
        <v/>
      </c>
      <c r="U116">
        <f>IF(AND(ISNUMBER(B116),H116&lt;&gt;"Published"),IF(INT(B116)&gt;=TODAY(),R116,""),"")</f>
        <v/>
      </c>
      <c r="V116">
        <f>IF(AND(ISNUMBER(B116),OR(H116="Draft",H116="Scheduled")),IF(INT(B116)&lt;TODAY(),1,0),0)</f>
        <v/>
      </c>
      <c r="W116">
        <f>IF(AND(H116="Published",N(O116)&gt;0),IF(T116=(YEAR(TODAY())*100+MONTH(TODAY())),ROUND(O116,0)*1000+1000-ROW(),""),"")</f>
        <v/>
      </c>
    </row>
    <row r="117">
      <c r="A117" s="1" t="n"/>
      <c r="B117" s="21" t="n">
        <v>46308</v>
      </c>
      <c r="C117" s="22" t="n">
        <v>0.7708333333333334</v>
      </c>
      <c r="D117" s="23" t="inlineStr">
        <is>
          <t>YouTube</t>
        </is>
      </c>
      <c r="E117" s="24" t="inlineStr">
        <is>
          <t>Video</t>
        </is>
      </c>
      <c r="F117" s="23" t="inlineStr">
        <is>
          <t>Customer stories</t>
        </is>
      </c>
      <c r="G117" s="25" t="inlineStr">
        <is>
          <t>Candle in a new home</t>
        </is>
      </c>
      <c r="H117" s="24" t="inlineStr">
        <is>
          <t>Idea</t>
        </is>
      </c>
      <c r="I117" s="23" t="n"/>
      <c r="J117" s="26" t="n"/>
      <c r="K117" s="26" t="n"/>
      <c r="L117" s="26" t="n"/>
      <c r="M117" s="26" t="n"/>
      <c r="N117" s="26" t="n"/>
      <c r="O117" s="27">
        <f>IF(COUNT(K117:N117)=0,"",SUM(K117:N117))</f>
        <v/>
      </c>
      <c r="P117" s="16">
        <f>IF(OR(O117="",N(J117)&lt;=0),"",O117/J117)</f>
        <v/>
      </c>
      <c r="Q117" s="28">
        <f>IF(V117=1,"Late","")</f>
        <v/>
      </c>
      <c r="R117" s="1">
        <f>IF(ISNUMBER(B117),INT(B117)*10000000+IF(ISNUMBER(C117),ROUND(MOD(C117,1)*1440,0),0)*1000+ROW(),"")</f>
        <v/>
      </c>
      <c r="S117">
        <f>IF(ISNUMBER(B117),INT(B117)-WEEKDAY(B117,3),"")</f>
        <v/>
      </c>
      <c r="T117">
        <f>IF(ISNUMBER(B117),YEAR(B117)*100+MONTH(B117),"")</f>
        <v/>
      </c>
      <c r="U117">
        <f>IF(AND(ISNUMBER(B117),H117&lt;&gt;"Published"),IF(INT(B117)&gt;=TODAY(),R117,""),"")</f>
        <v/>
      </c>
      <c r="V117">
        <f>IF(AND(ISNUMBER(B117),OR(H117="Draft",H117="Scheduled")),IF(INT(B117)&lt;TODAY(),1,0),0)</f>
        <v/>
      </c>
      <c r="W117">
        <f>IF(AND(H117="Published",N(O117)&gt;0),IF(T117=(YEAR(TODAY())*100+MONTH(TODAY())),ROUND(O117,0)*1000+1000-ROW(),""),"")</f>
        <v/>
      </c>
    </row>
    <row r="118">
      <c r="A118" s="1" t="n"/>
      <c r="B118" s="21" t="n">
        <v>46308</v>
      </c>
      <c r="C118" s="22" t="n">
        <v>0.8125</v>
      </c>
      <c r="D118" s="23" t="inlineStr">
        <is>
          <t>Pinterest</t>
        </is>
      </c>
      <c r="E118" s="24" t="inlineStr">
        <is>
          <t>Pin</t>
        </is>
      </c>
      <c r="F118" s="23" t="inlineStr">
        <is>
          <t>Customer stories</t>
        </is>
      </c>
      <c r="G118" s="25" t="inlineStr">
        <is>
          <t>Your photos this month</t>
        </is>
      </c>
      <c r="H118" s="24" t="inlineStr">
        <is>
          <t>Idea</t>
        </is>
      </c>
      <c r="I118" s="23" t="n"/>
      <c r="J118" s="26" t="n"/>
      <c r="K118" s="26" t="n"/>
      <c r="L118" s="26" t="n"/>
      <c r="M118" s="26" t="n"/>
      <c r="N118" s="26" t="n"/>
      <c r="O118" s="27">
        <f>IF(COUNT(K118:N118)=0,"",SUM(K118:N118))</f>
        <v/>
      </c>
      <c r="P118" s="16">
        <f>IF(OR(O118="",N(J118)&lt;=0),"",O118/J118)</f>
        <v/>
      </c>
      <c r="Q118" s="28">
        <f>IF(V118=1,"Late","")</f>
        <v/>
      </c>
      <c r="R118" s="1">
        <f>IF(ISNUMBER(B118),INT(B118)*10000000+IF(ISNUMBER(C118),ROUND(MOD(C118,1)*1440,0),0)*1000+ROW(),"")</f>
        <v/>
      </c>
      <c r="S118">
        <f>IF(ISNUMBER(B118),INT(B118)-WEEKDAY(B118,3),"")</f>
        <v/>
      </c>
      <c r="T118">
        <f>IF(ISNUMBER(B118),YEAR(B118)*100+MONTH(B118),"")</f>
        <v/>
      </c>
      <c r="U118">
        <f>IF(AND(ISNUMBER(B118),H118&lt;&gt;"Published"),IF(INT(B118)&gt;=TODAY(),R118,""),"")</f>
        <v/>
      </c>
      <c r="V118">
        <f>IF(AND(ISNUMBER(B118),OR(H118="Draft",H118="Scheduled")),IF(INT(B118)&lt;TODAY(),1,0),0)</f>
        <v/>
      </c>
      <c r="W118">
        <f>IF(AND(H118="Published",N(O118)&gt;0),IF(T118=(YEAR(TODAY())*100+MONTH(TODAY())),ROUND(O118,0)*1000+1000-ROW(),""),"")</f>
        <v/>
      </c>
    </row>
    <row r="119">
      <c r="A119" s="1" t="n"/>
      <c r="B119" s="21" t="n">
        <v>46309</v>
      </c>
      <c r="C119" s="22" t="n">
        <v>0.7708333333333334</v>
      </c>
      <c r="D119" s="23" t="inlineStr">
        <is>
          <t>TikTok</t>
        </is>
      </c>
      <c r="E119" s="24" t="inlineStr">
        <is>
          <t>Short</t>
        </is>
      </c>
      <c r="F119" s="23" t="inlineStr">
        <is>
          <t>Tips</t>
        </is>
      </c>
      <c r="G119" s="25" t="inlineStr">
        <is>
          <t>Scent for small rooms</t>
        </is>
      </c>
      <c r="H119" s="24" t="inlineStr">
        <is>
          <t>Draft</t>
        </is>
      </c>
      <c r="I119" s="23" t="n"/>
      <c r="J119" s="26" t="n"/>
      <c r="K119" s="26" t="n"/>
      <c r="L119" s="26" t="n"/>
      <c r="M119" s="26" t="n"/>
      <c r="N119" s="26" t="n"/>
      <c r="O119" s="27">
        <f>IF(COUNT(K119:N119)=0,"",SUM(K119:N119))</f>
        <v/>
      </c>
      <c r="P119" s="16">
        <f>IF(OR(O119="",N(J119)&lt;=0),"",O119/J119)</f>
        <v/>
      </c>
      <c r="Q119" s="28">
        <f>IF(V119=1,"Late","")</f>
        <v/>
      </c>
      <c r="R119" s="1">
        <f>IF(ISNUMBER(B119),INT(B119)*10000000+IF(ISNUMBER(C119),ROUND(MOD(C119,1)*1440,0),0)*1000+ROW(),"")</f>
        <v/>
      </c>
      <c r="S119">
        <f>IF(ISNUMBER(B119),INT(B119)-WEEKDAY(B119,3),"")</f>
        <v/>
      </c>
      <c r="T119">
        <f>IF(ISNUMBER(B119),YEAR(B119)*100+MONTH(B119),"")</f>
        <v/>
      </c>
      <c r="U119">
        <f>IF(AND(ISNUMBER(B119),H119&lt;&gt;"Published"),IF(INT(B119)&gt;=TODAY(),R119,""),"")</f>
        <v/>
      </c>
      <c r="V119">
        <f>IF(AND(ISNUMBER(B119),OR(H119="Draft",H119="Scheduled")),IF(INT(B119)&lt;TODAY(),1,0),0)</f>
        <v/>
      </c>
      <c r="W119">
        <f>IF(AND(H119="Published",N(O119)&gt;0),IF(T119=(YEAR(TODAY())*100+MONTH(TODAY())),ROUND(O119,0)*1000+1000-ROW(),""),"")</f>
        <v/>
      </c>
    </row>
    <row r="120">
      <c r="A120" s="1" t="n"/>
      <c r="B120" s="21" t="n">
        <v>46310</v>
      </c>
      <c r="C120" s="22" t="n">
        <v>0.5208333333333334</v>
      </c>
      <c r="D120" s="23" t="inlineStr">
        <is>
          <t>Instagram</t>
        </is>
      </c>
      <c r="E120" s="24" t="inlineStr">
        <is>
          <t>Story</t>
        </is>
      </c>
      <c r="F120" s="23" t="inlineStr">
        <is>
          <t>Behind the scenes</t>
        </is>
      </c>
      <c r="G120" s="25" t="inlineStr">
        <is>
          <t>Testing a new wick</t>
        </is>
      </c>
      <c r="H120" s="24" t="inlineStr">
        <is>
          <t>Draft</t>
        </is>
      </c>
      <c r="I120" s="23" t="n"/>
      <c r="J120" s="26" t="n"/>
      <c r="K120" s="26" t="n"/>
      <c r="L120" s="26" t="n"/>
      <c r="M120" s="26" t="n"/>
      <c r="N120" s="26" t="n"/>
      <c r="O120" s="27">
        <f>IF(COUNT(K120:N120)=0,"",SUM(K120:N120))</f>
        <v/>
      </c>
      <c r="P120" s="16">
        <f>IF(OR(O120="",N(J120)&lt;=0),"",O120/J120)</f>
        <v/>
      </c>
      <c r="Q120" s="28">
        <f>IF(V120=1,"Late","")</f>
        <v/>
      </c>
      <c r="R120" s="1">
        <f>IF(ISNUMBER(B120),INT(B120)*10000000+IF(ISNUMBER(C120),ROUND(MOD(C120,1)*1440,0),0)*1000+ROW(),"")</f>
        <v/>
      </c>
      <c r="S120">
        <f>IF(ISNUMBER(B120),INT(B120)-WEEKDAY(B120,3),"")</f>
        <v/>
      </c>
      <c r="T120">
        <f>IF(ISNUMBER(B120),YEAR(B120)*100+MONTH(B120),"")</f>
        <v/>
      </c>
      <c r="U120">
        <f>IF(AND(ISNUMBER(B120),H120&lt;&gt;"Published"),IF(INT(B120)&gt;=TODAY(),R120,""),"")</f>
        <v/>
      </c>
      <c r="V120">
        <f>IF(AND(ISNUMBER(B120),OR(H120="Draft",H120="Scheduled")),IF(INT(B120)&lt;TODAY(),1,0),0)</f>
        <v/>
      </c>
      <c r="W120">
        <f>IF(AND(H120="Published",N(O120)&gt;0),IF(T120=(YEAR(TODAY())*100+MONTH(TODAY())),ROUND(O120,0)*1000+1000-ROW(),""),"")</f>
        <v/>
      </c>
    </row>
    <row r="121">
      <c r="A121" s="1" t="n"/>
      <c r="B121" s="21" t="n">
        <v>46310</v>
      </c>
      <c r="C121" s="22" t="n">
        <v>0.5208333333333334</v>
      </c>
      <c r="D121" s="23" t="inlineStr">
        <is>
          <t>Pinterest</t>
        </is>
      </c>
      <c r="E121" s="24" t="inlineStr">
        <is>
          <t>Pin</t>
        </is>
      </c>
      <c r="F121" s="23" t="inlineStr">
        <is>
          <t>Customer stories</t>
        </is>
      </c>
      <c r="G121" s="25" t="inlineStr">
        <is>
          <t>A lovely review</t>
        </is>
      </c>
      <c r="H121" s="24" t="inlineStr">
        <is>
          <t>Idea</t>
        </is>
      </c>
      <c r="I121" s="23" t="n"/>
      <c r="J121" s="26" t="n"/>
      <c r="K121" s="26" t="n"/>
      <c r="L121" s="26" t="n"/>
      <c r="M121" s="26" t="n"/>
      <c r="N121" s="26" t="n"/>
      <c r="O121" s="27">
        <f>IF(COUNT(K121:N121)=0,"",SUM(K121:N121))</f>
        <v/>
      </c>
      <c r="P121" s="16">
        <f>IF(OR(O121="",N(J121)&lt;=0),"",O121/J121)</f>
        <v/>
      </c>
      <c r="Q121" s="28">
        <f>IF(V121=1,"Late","")</f>
        <v/>
      </c>
      <c r="R121" s="1">
        <f>IF(ISNUMBER(B121),INT(B121)*10000000+IF(ISNUMBER(C121),ROUND(MOD(C121,1)*1440,0),0)*1000+ROW(),"")</f>
        <v/>
      </c>
      <c r="S121">
        <f>IF(ISNUMBER(B121),INT(B121)-WEEKDAY(B121,3),"")</f>
        <v/>
      </c>
      <c r="T121">
        <f>IF(ISNUMBER(B121),YEAR(B121)*100+MONTH(B121),"")</f>
        <v/>
      </c>
      <c r="U121">
        <f>IF(AND(ISNUMBER(B121),H121&lt;&gt;"Published"),IF(INT(B121)&gt;=TODAY(),R121,""),"")</f>
        <v/>
      </c>
      <c r="V121">
        <f>IF(AND(ISNUMBER(B121),OR(H121="Draft",H121="Scheduled")),IF(INT(B121)&lt;TODAY(),1,0),0)</f>
        <v/>
      </c>
      <c r="W121">
        <f>IF(AND(H121="Published",N(O121)&gt;0),IF(T121=(YEAR(TODAY())*100+MONTH(TODAY())),ROUND(O121,0)*1000+1000-ROW(),""),"")</f>
        <v/>
      </c>
    </row>
    <row r="122">
      <c r="A122" s="1" t="n"/>
      <c r="B122" s="21" t="n">
        <v>46311</v>
      </c>
      <c r="C122" s="22" t="n">
        <v>0.75</v>
      </c>
      <c r="D122" s="23" t="inlineStr">
        <is>
          <t>TikTok</t>
        </is>
      </c>
      <c r="E122" s="24" t="inlineStr">
        <is>
          <t>Short</t>
        </is>
      </c>
      <c r="F122" s="23" t="inlineStr">
        <is>
          <t>Tips</t>
        </is>
      </c>
      <c r="G122" s="25" t="inlineStr">
        <is>
          <t>Reuse your jar</t>
        </is>
      </c>
      <c r="H122" s="24" t="inlineStr">
        <is>
          <t>Idea</t>
        </is>
      </c>
      <c r="I122" s="23" t="n"/>
      <c r="J122" s="26" t="n"/>
      <c r="K122" s="26" t="n"/>
      <c r="L122" s="26" t="n"/>
      <c r="M122" s="26" t="n"/>
      <c r="N122" s="26" t="n"/>
      <c r="O122" s="27">
        <f>IF(COUNT(K122:N122)=0,"",SUM(K122:N122))</f>
        <v/>
      </c>
      <c r="P122" s="16">
        <f>IF(OR(O122="",N(J122)&lt;=0),"",O122/J122)</f>
        <v/>
      </c>
      <c r="Q122" s="28">
        <f>IF(V122=1,"Late","")</f>
        <v/>
      </c>
      <c r="R122" s="1">
        <f>IF(ISNUMBER(B122),INT(B122)*10000000+IF(ISNUMBER(C122),ROUND(MOD(C122,1)*1440,0),0)*1000+ROW(),"")</f>
        <v/>
      </c>
      <c r="S122">
        <f>IF(ISNUMBER(B122),INT(B122)-WEEKDAY(B122,3),"")</f>
        <v/>
      </c>
      <c r="T122">
        <f>IF(ISNUMBER(B122),YEAR(B122)*100+MONTH(B122),"")</f>
        <v/>
      </c>
      <c r="U122">
        <f>IF(AND(ISNUMBER(B122),H122&lt;&gt;"Published"),IF(INT(B122)&gt;=TODAY(),R122,""),"")</f>
        <v/>
      </c>
      <c r="V122">
        <f>IF(AND(ISNUMBER(B122),OR(H122="Draft",H122="Scheduled")),IF(INT(B122)&lt;TODAY(),1,0),0)</f>
        <v/>
      </c>
      <c r="W122">
        <f>IF(AND(H122="Published",N(O122)&gt;0),IF(T122=(YEAR(TODAY())*100+MONTH(TODAY())),ROUND(O122,0)*1000+1000-ROW(),""),"")</f>
        <v/>
      </c>
    </row>
    <row r="123">
      <c r="A123" s="1" t="n"/>
      <c r="B123" s="21" t="n">
        <v>46312</v>
      </c>
      <c r="C123" s="22" t="n">
        <v>0.3958333333333333</v>
      </c>
      <c r="D123" s="23" t="inlineStr">
        <is>
          <t>Pinterest</t>
        </is>
      </c>
      <c r="E123" s="24" t="inlineStr">
        <is>
          <t>Pin</t>
        </is>
      </c>
      <c r="F123" s="23" t="inlineStr">
        <is>
          <t>New products</t>
        </is>
      </c>
      <c r="G123" s="25" t="inlineStr">
        <is>
          <t>Refill jars</t>
        </is>
      </c>
      <c r="H123" s="24" t="inlineStr">
        <is>
          <t>Idea</t>
        </is>
      </c>
      <c r="I123" s="23" t="n"/>
      <c r="J123" s="26" t="n"/>
      <c r="K123" s="26" t="n"/>
      <c r="L123" s="26" t="n"/>
      <c r="M123" s="26" t="n"/>
      <c r="N123" s="26" t="n"/>
      <c r="O123" s="27">
        <f>IF(COUNT(K123:N123)=0,"",SUM(K123:N123))</f>
        <v/>
      </c>
      <c r="P123" s="16">
        <f>IF(OR(O123="",N(J123)&lt;=0),"",O123/J123)</f>
        <v/>
      </c>
      <c r="Q123" s="28">
        <f>IF(V123=1,"Late","")</f>
        <v/>
      </c>
      <c r="R123" s="1">
        <f>IF(ISNUMBER(B123),INT(B123)*10000000+IF(ISNUMBER(C123),ROUND(MOD(C123,1)*1440,0),0)*1000+ROW(),"")</f>
        <v/>
      </c>
      <c r="S123">
        <f>IF(ISNUMBER(B123),INT(B123)-WEEKDAY(B123,3),"")</f>
        <v/>
      </c>
      <c r="T123">
        <f>IF(ISNUMBER(B123),YEAR(B123)*100+MONTH(B123),"")</f>
        <v/>
      </c>
      <c r="U123">
        <f>IF(AND(ISNUMBER(B123),H123&lt;&gt;"Published"),IF(INT(B123)&gt;=TODAY(),R123,""),"")</f>
        <v/>
      </c>
      <c r="V123">
        <f>IF(AND(ISNUMBER(B123),OR(H123="Draft",H123="Scheduled")),IF(INT(B123)&lt;TODAY(),1,0),0)</f>
        <v/>
      </c>
      <c r="W123">
        <f>IF(AND(H123="Published",N(O123)&gt;0),IF(T123=(YEAR(TODAY())*100+MONTH(TODAY())),ROUND(O123,0)*1000+1000-ROW(),""),"")</f>
        <v/>
      </c>
    </row>
    <row r="124">
      <c r="A124" s="1" t="n"/>
      <c r="B124" s="21" t="n">
        <v>46312</v>
      </c>
      <c r="C124" s="22" t="n">
        <v>0.5208333333333334</v>
      </c>
      <c r="D124" s="23" t="inlineStr">
        <is>
          <t>Instagram</t>
        </is>
      </c>
      <c r="E124" s="24" t="inlineStr">
        <is>
          <t>Story</t>
        </is>
      </c>
      <c r="F124" s="23" t="inlineStr">
        <is>
          <t>Customer stories</t>
        </is>
      </c>
      <c r="G124" s="25" t="inlineStr">
        <is>
          <t>Candle in a new home</t>
        </is>
      </c>
      <c r="H124" s="24" t="inlineStr">
        <is>
          <t>Idea</t>
        </is>
      </c>
      <c r="I124" s="23" t="n"/>
      <c r="J124" s="26" t="n"/>
      <c r="K124" s="26" t="n"/>
      <c r="L124" s="26" t="n"/>
      <c r="M124" s="26" t="n"/>
      <c r="N124" s="26" t="n"/>
      <c r="O124" s="27">
        <f>IF(COUNT(K124:N124)=0,"",SUM(K124:N124))</f>
        <v/>
      </c>
      <c r="P124" s="16">
        <f>IF(OR(O124="",N(J124)&lt;=0),"",O124/J124)</f>
        <v/>
      </c>
      <c r="Q124" s="28">
        <f>IF(V124=1,"Late","")</f>
        <v/>
      </c>
      <c r="R124" s="1">
        <f>IF(ISNUMBER(B124),INT(B124)*10000000+IF(ISNUMBER(C124),ROUND(MOD(C124,1)*1440,0),0)*1000+ROW(),"")</f>
        <v/>
      </c>
      <c r="S124">
        <f>IF(ISNUMBER(B124),INT(B124)-WEEKDAY(B124,3),"")</f>
        <v/>
      </c>
      <c r="T124">
        <f>IF(ISNUMBER(B124),YEAR(B124)*100+MONTH(B124),"")</f>
        <v/>
      </c>
      <c r="U124">
        <f>IF(AND(ISNUMBER(B124),H124&lt;&gt;"Published"),IF(INT(B124)&gt;=TODAY(),R124,""),"")</f>
        <v/>
      </c>
      <c r="V124">
        <f>IF(AND(ISNUMBER(B124),OR(H124="Draft",H124="Scheduled")),IF(INT(B124)&lt;TODAY(),1,0),0)</f>
        <v/>
      </c>
      <c r="W124">
        <f>IF(AND(H124="Published",N(O124)&gt;0),IF(T124=(YEAR(TODAY())*100+MONTH(TODAY())),ROUND(O124,0)*1000+1000-ROW(),""),"")</f>
        <v/>
      </c>
    </row>
    <row r="125">
      <c r="A125" s="1" t="n"/>
      <c r="B125" s="21" t="n">
        <v>46313</v>
      </c>
      <c r="C125" s="22" t="n">
        <v>0.75</v>
      </c>
      <c r="D125" s="23" t="inlineStr">
        <is>
          <t>TikTok</t>
        </is>
      </c>
      <c r="E125" s="24" t="inlineStr">
        <is>
          <t>Short</t>
        </is>
      </c>
      <c r="F125" s="23" t="inlineStr">
        <is>
          <t>Tips</t>
        </is>
      </c>
      <c r="G125" s="25" t="inlineStr">
        <is>
          <t>Scent for small rooms</t>
        </is>
      </c>
      <c r="H125" s="24" t="inlineStr">
        <is>
          <t>Idea</t>
        </is>
      </c>
      <c r="I125" s="23" t="n"/>
      <c r="J125" s="26" t="n"/>
      <c r="K125" s="26" t="n"/>
      <c r="L125" s="26" t="n"/>
      <c r="M125" s="26" t="n"/>
      <c r="N125" s="26" t="n"/>
      <c r="O125" s="27">
        <f>IF(COUNT(K125:N125)=0,"",SUM(K125:N125))</f>
        <v/>
      </c>
      <c r="P125" s="16">
        <f>IF(OR(O125="",N(J125)&lt;=0),"",O125/J125)</f>
        <v/>
      </c>
      <c r="Q125" s="28">
        <f>IF(V125=1,"Late","")</f>
        <v/>
      </c>
      <c r="R125" s="1">
        <f>IF(ISNUMBER(B125),INT(B125)*10000000+IF(ISNUMBER(C125),ROUND(MOD(C125,1)*1440,0),0)*1000+ROW(),"")</f>
        <v/>
      </c>
      <c r="S125">
        <f>IF(ISNUMBER(B125),INT(B125)-WEEKDAY(B125,3),"")</f>
        <v/>
      </c>
      <c r="T125">
        <f>IF(ISNUMBER(B125),YEAR(B125)*100+MONTH(B125),"")</f>
        <v/>
      </c>
      <c r="U125">
        <f>IF(AND(ISNUMBER(B125),H125&lt;&gt;"Published"),IF(INT(B125)&gt;=TODAY(),R125,""),"")</f>
        <v/>
      </c>
      <c r="V125">
        <f>IF(AND(ISNUMBER(B125),OR(H125="Draft",H125="Scheduled")),IF(INT(B125)&lt;TODAY(),1,0),0)</f>
        <v/>
      </c>
      <c r="W125">
        <f>IF(AND(H125="Published",N(O125)&gt;0),IF(T125=(YEAR(TODAY())*100+MONTH(TODAY())),ROUND(O125,0)*1000+1000-ROW(),""),"")</f>
        <v/>
      </c>
    </row>
    <row r="126">
      <c r="A126" s="1" t="n"/>
      <c r="B126" s="21" t="n"/>
      <c r="C126" s="22" t="n"/>
      <c r="D126" s="23" t="inlineStr">
        <is>
          <t>YouTube</t>
        </is>
      </c>
      <c r="E126" s="24" t="inlineStr">
        <is>
          <t>Video</t>
        </is>
      </c>
      <c r="F126" s="23" t="inlineStr">
        <is>
          <t>How to</t>
        </is>
      </c>
      <c r="G126" s="25" t="inlineStr">
        <is>
          <t>Candle making kit video</t>
        </is>
      </c>
      <c r="H126" s="24" t="inlineStr">
        <is>
          <t>Idea</t>
        </is>
      </c>
      <c r="I126" s="23" t="n"/>
      <c r="J126" s="26" t="n"/>
      <c r="K126" s="26" t="n"/>
      <c r="L126" s="26" t="n"/>
      <c r="M126" s="26" t="n"/>
      <c r="N126" s="26" t="n"/>
      <c r="O126" s="27">
        <f>IF(COUNT(K126:N126)=0,"",SUM(K126:N126))</f>
        <v/>
      </c>
      <c r="P126" s="16">
        <f>IF(OR(O126="",N(J126)&lt;=0),"",O126/J126)</f>
        <v/>
      </c>
      <c r="Q126" s="28">
        <f>IF(V126=1,"Late","")</f>
        <v/>
      </c>
      <c r="R126" s="1">
        <f>IF(ISNUMBER(B126),INT(B126)*10000000+IF(ISNUMBER(C126),ROUND(MOD(C126,1)*1440,0),0)*1000+ROW(),"")</f>
        <v/>
      </c>
      <c r="S126">
        <f>IF(ISNUMBER(B126),INT(B126)-WEEKDAY(B126,3),"")</f>
        <v/>
      </c>
      <c r="T126">
        <f>IF(ISNUMBER(B126),YEAR(B126)*100+MONTH(B126),"")</f>
        <v/>
      </c>
      <c r="U126">
        <f>IF(AND(ISNUMBER(B126),H126&lt;&gt;"Published"),IF(INT(B126)&gt;=TODAY(),R126,""),"")</f>
        <v/>
      </c>
      <c r="V126">
        <f>IF(AND(ISNUMBER(B126),OR(H126="Draft",H126="Scheduled")),IF(INT(B126)&lt;TODAY(),1,0),0)</f>
        <v/>
      </c>
      <c r="W126">
        <f>IF(AND(H126="Published",N(O126)&gt;0),IF(T126=(YEAR(TODAY())*100+MONTH(TODAY())),ROUND(O126,0)*1000+1000-ROW(),""),"")</f>
        <v/>
      </c>
    </row>
    <row r="127">
      <c r="A127" s="1" t="n"/>
      <c r="B127" s="21" t="n"/>
      <c r="C127" s="22" t="n"/>
      <c r="D127" s="23" t="inlineStr">
        <is>
          <t>Pinterest</t>
        </is>
      </c>
      <c r="E127" s="24" t="inlineStr">
        <is>
          <t>Pin</t>
        </is>
      </c>
      <c r="F127" s="23" t="inlineStr">
        <is>
          <t>New products</t>
        </is>
      </c>
      <c r="G127" s="25" t="inlineStr">
        <is>
          <t>Holiday gift guide</t>
        </is>
      </c>
      <c r="H127" s="24" t="inlineStr">
        <is>
          <t>Idea</t>
        </is>
      </c>
      <c r="I127" s="23" t="n"/>
      <c r="J127" s="26" t="n"/>
      <c r="K127" s="26" t="n"/>
      <c r="L127" s="26" t="n"/>
      <c r="M127" s="26" t="n"/>
      <c r="N127" s="26" t="n"/>
      <c r="O127" s="27">
        <f>IF(COUNT(K127:N127)=0,"",SUM(K127:N127))</f>
        <v/>
      </c>
      <c r="P127" s="16">
        <f>IF(OR(O127="",N(J127)&lt;=0),"",O127/J127)</f>
        <v/>
      </c>
      <c r="Q127" s="28">
        <f>IF(V127=1,"Late","")</f>
        <v/>
      </c>
      <c r="R127" s="1">
        <f>IF(ISNUMBER(B127),INT(B127)*10000000+IF(ISNUMBER(C127),ROUND(MOD(C127,1)*1440,0),0)*1000+ROW(),"")</f>
        <v/>
      </c>
      <c r="S127">
        <f>IF(ISNUMBER(B127),INT(B127)-WEEKDAY(B127,3),"")</f>
        <v/>
      </c>
      <c r="T127">
        <f>IF(ISNUMBER(B127),YEAR(B127)*100+MONTH(B127),"")</f>
        <v/>
      </c>
      <c r="U127">
        <f>IF(AND(ISNUMBER(B127),H127&lt;&gt;"Published"),IF(INT(B127)&gt;=TODAY(),R127,""),"")</f>
        <v/>
      </c>
      <c r="V127">
        <f>IF(AND(ISNUMBER(B127),OR(H127="Draft",H127="Scheduled")),IF(INT(B127)&lt;TODAY(),1,0),0)</f>
        <v/>
      </c>
      <c r="W127">
        <f>IF(AND(H127="Published",N(O127)&gt;0),IF(T127=(YEAR(TODAY())*100+MONTH(TODAY())),ROUND(O127,0)*1000+1000-ROW(),""),"")</f>
        <v/>
      </c>
    </row>
    <row r="128">
      <c r="A128" s="1" t="n"/>
      <c r="B128" s="21" t="n"/>
      <c r="C128" s="22" t="n"/>
      <c r="D128" s="23" t="inlineStr">
        <is>
          <t>Instagram</t>
        </is>
      </c>
      <c r="E128" s="24" t="inlineStr">
        <is>
          <t>Post</t>
        </is>
      </c>
      <c r="F128" s="23" t="inlineStr">
        <is>
          <t>Behind the scenes</t>
        </is>
      </c>
      <c r="G128" s="25" t="inlineStr">
        <is>
          <t>Ask me anything</t>
        </is>
      </c>
      <c r="H128" s="24" t="inlineStr">
        <is>
          <t>Idea</t>
        </is>
      </c>
      <c r="I128" s="23" t="n"/>
      <c r="J128" s="26" t="n"/>
      <c r="K128" s="26" t="n"/>
      <c r="L128" s="26" t="n"/>
      <c r="M128" s="26" t="n"/>
      <c r="N128" s="26" t="n"/>
      <c r="O128" s="27">
        <f>IF(COUNT(K128:N128)=0,"",SUM(K128:N128))</f>
        <v/>
      </c>
      <c r="P128" s="16">
        <f>IF(OR(O128="",N(J128)&lt;=0),"",O128/J128)</f>
        <v/>
      </c>
      <c r="Q128" s="28">
        <f>IF(V128=1,"Late","")</f>
        <v/>
      </c>
      <c r="R128" s="1">
        <f>IF(ISNUMBER(B128),INT(B128)*10000000+IF(ISNUMBER(C128),ROUND(MOD(C128,1)*1440,0),0)*1000+ROW(),"")</f>
        <v/>
      </c>
      <c r="S128">
        <f>IF(ISNUMBER(B128),INT(B128)-WEEKDAY(B128,3),"")</f>
        <v/>
      </c>
      <c r="T128">
        <f>IF(ISNUMBER(B128),YEAR(B128)*100+MONTH(B128),"")</f>
        <v/>
      </c>
      <c r="U128">
        <f>IF(AND(ISNUMBER(B128),H128&lt;&gt;"Published"),IF(INT(B128)&gt;=TODAY(),R128,""),"")</f>
        <v/>
      </c>
      <c r="V128">
        <f>IF(AND(ISNUMBER(B128),OR(H128="Draft",H128="Scheduled")),IF(INT(B128)&lt;TODAY(),1,0),0)</f>
        <v/>
      </c>
      <c r="W128">
        <f>IF(AND(H128="Published",N(O128)&gt;0),IF(T128=(YEAR(TODAY())*100+MONTH(TODAY())),ROUND(O128,0)*1000+1000-ROW(),""),"")</f>
        <v/>
      </c>
    </row>
    <row r="129">
      <c r="A129" s="1" t="n"/>
      <c r="B129" s="21" t="n"/>
      <c r="C129" s="22" t="n"/>
      <c r="D129" s="23" t="inlineStr">
        <is>
          <t>TikTok</t>
        </is>
      </c>
      <c r="E129" s="24" t="inlineStr">
        <is>
          <t>Short</t>
        </is>
      </c>
      <c r="F129" s="23" t="inlineStr">
        <is>
          <t>Tips</t>
        </is>
      </c>
      <c r="G129" s="25" t="inlineStr">
        <is>
          <t>Scent quiz</t>
        </is>
      </c>
      <c r="H129" s="24" t="inlineStr">
        <is>
          <t>Idea</t>
        </is>
      </c>
      <c r="I129" s="23" t="n"/>
      <c r="J129" s="26" t="n"/>
      <c r="K129" s="26" t="n"/>
      <c r="L129" s="26" t="n"/>
      <c r="M129" s="26" t="n"/>
      <c r="N129" s="26" t="n"/>
      <c r="O129" s="27">
        <f>IF(COUNT(K129:N129)=0,"",SUM(K129:N129))</f>
        <v/>
      </c>
      <c r="P129" s="16">
        <f>IF(OR(O129="",N(J129)&lt;=0),"",O129/J129)</f>
        <v/>
      </c>
      <c r="Q129" s="28">
        <f>IF(V129=1,"Late","")</f>
        <v/>
      </c>
      <c r="R129" s="1">
        <f>IF(ISNUMBER(B129),INT(B129)*10000000+IF(ISNUMBER(C129),ROUND(MOD(C129,1)*1440,0),0)*1000+ROW(),"")</f>
        <v/>
      </c>
      <c r="S129">
        <f>IF(ISNUMBER(B129),INT(B129)-WEEKDAY(B129,3),"")</f>
        <v/>
      </c>
      <c r="T129">
        <f>IF(ISNUMBER(B129),YEAR(B129)*100+MONTH(B129),"")</f>
        <v/>
      </c>
      <c r="U129">
        <f>IF(AND(ISNUMBER(B129),H129&lt;&gt;"Published"),IF(INT(B129)&gt;=TODAY(),R129,""),"")</f>
        <v/>
      </c>
      <c r="V129">
        <f>IF(AND(ISNUMBER(B129),OR(H129="Draft",H129="Scheduled")),IF(INT(B129)&lt;TODAY(),1,0),0)</f>
        <v/>
      </c>
      <c r="W129">
        <f>IF(AND(H129="Published",N(O129)&gt;0),IF(T129=(YEAR(TODAY())*100+MONTH(TODAY())),ROUND(O129,0)*1000+1000-ROW(),""),"")</f>
        <v/>
      </c>
    </row>
    <row r="130">
      <c r="A130" s="1" t="n"/>
      <c r="B130" s="21" t="n"/>
      <c r="C130" s="22" t="n"/>
      <c r="D130" s="23" t="n"/>
      <c r="E130" s="24" t="n"/>
      <c r="F130" s="23" t="n"/>
      <c r="G130" s="25" t="n"/>
      <c r="H130" s="24" t="n"/>
      <c r="I130" s="23" t="n"/>
      <c r="J130" s="26" t="n"/>
      <c r="K130" s="26" t="n"/>
      <c r="L130" s="26" t="n"/>
      <c r="M130" s="26" t="n"/>
      <c r="N130" s="26" t="n"/>
      <c r="O130" s="27">
        <f>IF(COUNT(K130:N130)=0,"",SUM(K130:N130))</f>
        <v/>
      </c>
      <c r="P130" s="16">
        <f>IF(OR(O130="",N(J130)&lt;=0),"",O130/J130)</f>
        <v/>
      </c>
      <c r="Q130" s="28">
        <f>IF(V130=1,"Late","")</f>
        <v/>
      </c>
      <c r="R130" s="1">
        <f>IF(ISNUMBER(B130),INT(B130)*10000000+IF(ISNUMBER(C130),ROUND(MOD(C130,1)*1440,0),0)*1000+ROW(),"")</f>
        <v/>
      </c>
      <c r="S130">
        <f>IF(ISNUMBER(B130),INT(B130)-WEEKDAY(B130,3),"")</f>
        <v/>
      </c>
      <c r="T130">
        <f>IF(ISNUMBER(B130),YEAR(B130)*100+MONTH(B130),"")</f>
        <v/>
      </c>
      <c r="U130">
        <f>IF(AND(ISNUMBER(B130),H130&lt;&gt;"Published"),IF(INT(B130)&gt;=TODAY(),R130,""),"")</f>
        <v/>
      </c>
      <c r="V130">
        <f>IF(AND(ISNUMBER(B130),OR(H130="Draft",H130="Scheduled")),IF(INT(B130)&lt;TODAY(),1,0),0)</f>
        <v/>
      </c>
      <c r="W130">
        <f>IF(AND(H130="Published",N(O130)&gt;0),IF(T130=(YEAR(TODAY())*100+MONTH(TODAY())),ROUND(O130,0)*1000+1000-ROW(),""),"")</f>
        <v/>
      </c>
    </row>
    <row r="131">
      <c r="A131" s="1" t="n"/>
      <c r="B131" s="21" t="n"/>
      <c r="C131" s="22" t="n"/>
      <c r="D131" s="23" t="n"/>
      <c r="E131" s="24" t="n"/>
      <c r="F131" s="23" t="n"/>
      <c r="G131" s="25" t="n"/>
      <c r="H131" s="24" t="n"/>
      <c r="I131" s="23" t="n"/>
      <c r="J131" s="26" t="n"/>
      <c r="K131" s="26" t="n"/>
      <c r="L131" s="26" t="n"/>
      <c r="M131" s="26" t="n"/>
      <c r="N131" s="26" t="n"/>
      <c r="O131" s="27">
        <f>IF(COUNT(K131:N131)=0,"",SUM(K131:N131))</f>
        <v/>
      </c>
      <c r="P131" s="16">
        <f>IF(OR(O131="",N(J131)&lt;=0),"",O131/J131)</f>
        <v/>
      </c>
      <c r="Q131" s="28">
        <f>IF(V131=1,"Late","")</f>
        <v/>
      </c>
      <c r="R131" s="1">
        <f>IF(ISNUMBER(B131),INT(B131)*10000000+IF(ISNUMBER(C131),ROUND(MOD(C131,1)*1440,0),0)*1000+ROW(),"")</f>
        <v/>
      </c>
      <c r="S131">
        <f>IF(ISNUMBER(B131),INT(B131)-WEEKDAY(B131,3),"")</f>
        <v/>
      </c>
      <c r="T131">
        <f>IF(ISNUMBER(B131),YEAR(B131)*100+MONTH(B131),"")</f>
        <v/>
      </c>
      <c r="U131">
        <f>IF(AND(ISNUMBER(B131),H131&lt;&gt;"Published"),IF(INT(B131)&gt;=TODAY(),R131,""),"")</f>
        <v/>
      </c>
      <c r="V131">
        <f>IF(AND(ISNUMBER(B131),OR(H131="Draft",H131="Scheduled")),IF(INT(B131)&lt;TODAY(),1,0),0)</f>
        <v/>
      </c>
      <c r="W131">
        <f>IF(AND(H131="Published",N(O131)&gt;0),IF(T131=(YEAR(TODAY())*100+MONTH(TODAY())),ROUND(O131,0)*1000+1000-ROW(),""),"")</f>
        <v/>
      </c>
    </row>
    <row r="132">
      <c r="A132" s="1" t="n"/>
      <c r="B132" s="21" t="n"/>
      <c r="C132" s="22" t="n"/>
      <c r="D132" s="23" t="n"/>
      <c r="E132" s="24" t="n"/>
      <c r="F132" s="23" t="n"/>
      <c r="G132" s="25" t="n"/>
      <c r="H132" s="24" t="n"/>
      <c r="I132" s="23" t="n"/>
      <c r="J132" s="26" t="n"/>
      <c r="K132" s="26" t="n"/>
      <c r="L132" s="26" t="n"/>
      <c r="M132" s="26" t="n"/>
      <c r="N132" s="26" t="n"/>
      <c r="O132" s="27">
        <f>IF(COUNT(K132:N132)=0,"",SUM(K132:N132))</f>
        <v/>
      </c>
      <c r="P132" s="16">
        <f>IF(OR(O132="",N(J132)&lt;=0),"",O132/J132)</f>
        <v/>
      </c>
      <c r="Q132" s="28">
        <f>IF(V132=1,"Late","")</f>
        <v/>
      </c>
      <c r="R132" s="1">
        <f>IF(ISNUMBER(B132),INT(B132)*10000000+IF(ISNUMBER(C132),ROUND(MOD(C132,1)*1440,0),0)*1000+ROW(),"")</f>
        <v/>
      </c>
      <c r="S132">
        <f>IF(ISNUMBER(B132),INT(B132)-WEEKDAY(B132,3),"")</f>
        <v/>
      </c>
      <c r="T132">
        <f>IF(ISNUMBER(B132),YEAR(B132)*100+MONTH(B132),"")</f>
        <v/>
      </c>
      <c r="U132">
        <f>IF(AND(ISNUMBER(B132),H132&lt;&gt;"Published"),IF(INT(B132)&gt;=TODAY(),R132,""),"")</f>
        <v/>
      </c>
      <c r="V132">
        <f>IF(AND(ISNUMBER(B132),OR(H132="Draft",H132="Scheduled")),IF(INT(B132)&lt;TODAY(),1,0),0)</f>
        <v/>
      </c>
      <c r="W132">
        <f>IF(AND(H132="Published",N(O132)&gt;0),IF(T132=(YEAR(TODAY())*100+MONTH(TODAY())),ROUND(O132,0)*1000+1000-ROW(),""),"")</f>
        <v/>
      </c>
    </row>
    <row r="133">
      <c r="A133" s="1" t="n"/>
      <c r="B133" s="21" t="n"/>
      <c r="C133" s="22" t="n"/>
      <c r="D133" s="23" t="n"/>
      <c r="E133" s="24" t="n"/>
      <c r="F133" s="23" t="n"/>
      <c r="G133" s="25" t="n"/>
      <c r="H133" s="24" t="n"/>
      <c r="I133" s="23" t="n"/>
      <c r="J133" s="26" t="n"/>
      <c r="K133" s="26" t="n"/>
      <c r="L133" s="26" t="n"/>
      <c r="M133" s="26" t="n"/>
      <c r="N133" s="26" t="n"/>
      <c r="O133" s="27">
        <f>IF(COUNT(K133:N133)=0,"",SUM(K133:N133))</f>
        <v/>
      </c>
      <c r="P133" s="16">
        <f>IF(OR(O133="",N(J133)&lt;=0),"",O133/J133)</f>
        <v/>
      </c>
      <c r="Q133" s="28">
        <f>IF(V133=1,"Late","")</f>
        <v/>
      </c>
      <c r="R133" s="1">
        <f>IF(ISNUMBER(B133),INT(B133)*10000000+IF(ISNUMBER(C133),ROUND(MOD(C133,1)*1440,0),0)*1000+ROW(),"")</f>
        <v/>
      </c>
      <c r="S133">
        <f>IF(ISNUMBER(B133),INT(B133)-WEEKDAY(B133,3),"")</f>
        <v/>
      </c>
      <c r="T133">
        <f>IF(ISNUMBER(B133),YEAR(B133)*100+MONTH(B133),"")</f>
        <v/>
      </c>
      <c r="U133">
        <f>IF(AND(ISNUMBER(B133),H133&lt;&gt;"Published"),IF(INT(B133)&gt;=TODAY(),R133,""),"")</f>
        <v/>
      </c>
      <c r="V133">
        <f>IF(AND(ISNUMBER(B133),OR(H133="Draft",H133="Scheduled")),IF(INT(B133)&lt;TODAY(),1,0),0)</f>
        <v/>
      </c>
      <c r="W133">
        <f>IF(AND(H133="Published",N(O133)&gt;0),IF(T133=(YEAR(TODAY())*100+MONTH(TODAY())),ROUND(O133,0)*1000+1000-ROW(),""),"")</f>
        <v/>
      </c>
    </row>
    <row r="134">
      <c r="A134" s="1" t="n"/>
      <c r="B134" s="21" t="n"/>
      <c r="C134" s="22" t="n"/>
      <c r="D134" s="23" t="n"/>
      <c r="E134" s="24" t="n"/>
      <c r="F134" s="23" t="n"/>
      <c r="G134" s="25" t="n"/>
      <c r="H134" s="24" t="n"/>
      <c r="I134" s="23" t="n"/>
      <c r="J134" s="26" t="n"/>
      <c r="K134" s="26" t="n"/>
      <c r="L134" s="26" t="n"/>
      <c r="M134" s="26" t="n"/>
      <c r="N134" s="26" t="n"/>
      <c r="O134" s="27">
        <f>IF(COUNT(K134:N134)=0,"",SUM(K134:N134))</f>
        <v/>
      </c>
      <c r="P134" s="16">
        <f>IF(OR(O134="",N(J134)&lt;=0),"",O134/J134)</f>
        <v/>
      </c>
      <c r="Q134" s="28">
        <f>IF(V134=1,"Late","")</f>
        <v/>
      </c>
      <c r="R134" s="1">
        <f>IF(ISNUMBER(B134),INT(B134)*10000000+IF(ISNUMBER(C134),ROUND(MOD(C134,1)*1440,0),0)*1000+ROW(),"")</f>
        <v/>
      </c>
      <c r="S134">
        <f>IF(ISNUMBER(B134),INT(B134)-WEEKDAY(B134,3),"")</f>
        <v/>
      </c>
      <c r="T134">
        <f>IF(ISNUMBER(B134),YEAR(B134)*100+MONTH(B134),"")</f>
        <v/>
      </c>
      <c r="U134">
        <f>IF(AND(ISNUMBER(B134),H134&lt;&gt;"Published"),IF(INT(B134)&gt;=TODAY(),R134,""),"")</f>
        <v/>
      </c>
      <c r="V134">
        <f>IF(AND(ISNUMBER(B134),OR(H134="Draft",H134="Scheduled")),IF(INT(B134)&lt;TODAY(),1,0),0)</f>
        <v/>
      </c>
      <c r="W134">
        <f>IF(AND(H134="Published",N(O134)&gt;0),IF(T134=(YEAR(TODAY())*100+MONTH(TODAY())),ROUND(O134,0)*1000+1000-ROW(),""),"")</f>
        <v/>
      </c>
    </row>
    <row r="135">
      <c r="A135" s="1" t="n"/>
      <c r="B135" s="21" t="n"/>
      <c r="C135" s="22" t="n"/>
      <c r="D135" s="23" t="n"/>
      <c r="E135" s="24" t="n"/>
      <c r="F135" s="23" t="n"/>
      <c r="G135" s="25" t="n"/>
      <c r="H135" s="24" t="n"/>
      <c r="I135" s="23" t="n"/>
      <c r="J135" s="26" t="n"/>
      <c r="K135" s="26" t="n"/>
      <c r="L135" s="26" t="n"/>
      <c r="M135" s="26" t="n"/>
      <c r="N135" s="26" t="n"/>
      <c r="O135" s="27">
        <f>IF(COUNT(K135:N135)=0,"",SUM(K135:N135))</f>
        <v/>
      </c>
      <c r="P135" s="16">
        <f>IF(OR(O135="",N(J135)&lt;=0),"",O135/J135)</f>
        <v/>
      </c>
      <c r="Q135" s="28">
        <f>IF(V135=1,"Late","")</f>
        <v/>
      </c>
      <c r="R135" s="1">
        <f>IF(ISNUMBER(B135),INT(B135)*10000000+IF(ISNUMBER(C135),ROUND(MOD(C135,1)*1440,0),0)*1000+ROW(),"")</f>
        <v/>
      </c>
      <c r="S135">
        <f>IF(ISNUMBER(B135),INT(B135)-WEEKDAY(B135,3),"")</f>
        <v/>
      </c>
      <c r="T135">
        <f>IF(ISNUMBER(B135),YEAR(B135)*100+MONTH(B135),"")</f>
        <v/>
      </c>
      <c r="U135">
        <f>IF(AND(ISNUMBER(B135),H135&lt;&gt;"Published"),IF(INT(B135)&gt;=TODAY(),R135,""),"")</f>
        <v/>
      </c>
      <c r="V135">
        <f>IF(AND(ISNUMBER(B135),OR(H135="Draft",H135="Scheduled")),IF(INT(B135)&lt;TODAY(),1,0),0)</f>
        <v/>
      </c>
      <c r="W135">
        <f>IF(AND(H135="Published",N(O135)&gt;0),IF(T135=(YEAR(TODAY())*100+MONTH(TODAY())),ROUND(O135,0)*1000+1000-ROW(),""),"")</f>
        <v/>
      </c>
    </row>
    <row r="136">
      <c r="A136" s="1" t="n"/>
      <c r="B136" s="21" t="n"/>
      <c r="C136" s="22" t="n"/>
      <c r="D136" s="23" t="n"/>
      <c r="E136" s="24" t="n"/>
      <c r="F136" s="23" t="n"/>
      <c r="G136" s="25" t="n"/>
      <c r="H136" s="24" t="n"/>
      <c r="I136" s="23" t="n"/>
      <c r="J136" s="26" t="n"/>
      <c r="K136" s="26" t="n"/>
      <c r="L136" s="26" t="n"/>
      <c r="M136" s="26" t="n"/>
      <c r="N136" s="26" t="n"/>
      <c r="O136" s="27">
        <f>IF(COUNT(K136:N136)=0,"",SUM(K136:N136))</f>
        <v/>
      </c>
      <c r="P136" s="16">
        <f>IF(OR(O136="",N(J136)&lt;=0),"",O136/J136)</f>
        <v/>
      </c>
      <c r="Q136" s="28">
        <f>IF(V136=1,"Late","")</f>
        <v/>
      </c>
      <c r="R136" s="1">
        <f>IF(ISNUMBER(B136),INT(B136)*10000000+IF(ISNUMBER(C136),ROUND(MOD(C136,1)*1440,0),0)*1000+ROW(),"")</f>
        <v/>
      </c>
      <c r="S136">
        <f>IF(ISNUMBER(B136),INT(B136)-WEEKDAY(B136,3),"")</f>
        <v/>
      </c>
      <c r="T136">
        <f>IF(ISNUMBER(B136),YEAR(B136)*100+MONTH(B136),"")</f>
        <v/>
      </c>
      <c r="U136">
        <f>IF(AND(ISNUMBER(B136),H136&lt;&gt;"Published"),IF(INT(B136)&gt;=TODAY(),R136,""),"")</f>
        <v/>
      </c>
      <c r="V136">
        <f>IF(AND(ISNUMBER(B136),OR(H136="Draft",H136="Scheduled")),IF(INT(B136)&lt;TODAY(),1,0),0)</f>
        <v/>
      </c>
      <c r="W136">
        <f>IF(AND(H136="Published",N(O136)&gt;0),IF(T136=(YEAR(TODAY())*100+MONTH(TODAY())),ROUND(O136,0)*1000+1000-ROW(),""),"")</f>
        <v/>
      </c>
    </row>
    <row r="137">
      <c r="A137" s="1" t="n"/>
      <c r="B137" s="21" t="n"/>
      <c r="C137" s="22" t="n"/>
      <c r="D137" s="23" t="n"/>
      <c r="E137" s="24" t="n"/>
      <c r="F137" s="23" t="n"/>
      <c r="G137" s="25" t="n"/>
      <c r="H137" s="24" t="n"/>
      <c r="I137" s="23" t="n"/>
      <c r="J137" s="26" t="n"/>
      <c r="K137" s="26" t="n"/>
      <c r="L137" s="26" t="n"/>
      <c r="M137" s="26" t="n"/>
      <c r="N137" s="26" t="n"/>
      <c r="O137" s="27">
        <f>IF(COUNT(K137:N137)=0,"",SUM(K137:N137))</f>
        <v/>
      </c>
      <c r="P137" s="16">
        <f>IF(OR(O137="",N(J137)&lt;=0),"",O137/J137)</f>
        <v/>
      </c>
      <c r="Q137" s="28">
        <f>IF(V137=1,"Late","")</f>
        <v/>
      </c>
      <c r="R137" s="1">
        <f>IF(ISNUMBER(B137),INT(B137)*10000000+IF(ISNUMBER(C137),ROUND(MOD(C137,1)*1440,0),0)*1000+ROW(),"")</f>
        <v/>
      </c>
      <c r="S137">
        <f>IF(ISNUMBER(B137),INT(B137)-WEEKDAY(B137,3),"")</f>
        <v/>
      </c>
      <c r="T137">
        <f>IF(ISNUMBER(B137),YEAR(B137)*100+MONTH(B137),"")</f>
        <v/>
      </c>
      <c r="U137">
        <f>IF(AND(ISNUMBER(B137),H137&lt;&gt;"Published"),IF(INT(B137)&gt;=TODAY(),R137,""),"")</f>
        <v/>
      </c>
      <c r="V137">
        <f>IF(AND(ISNUMBER(B137),OR(H137="Draft",H137="Scheduled")),IF(INT(B137)&lt;TODAY(),1,0),0)</f>
        <v/>
      </c>
      <c r="W137">
        <f>IF(AND(H137="Published",N(O137)&gt;0),IF(T137=(YEAR(TODAY())*100+MONTH(TODAY())),ROUND(O137,0)*1000+1000-ROW(),""),"")</f>
        <v/>
      </c>
    </row>
    <row r="138">
      <c r="A138" s="1" t="n"/>
      <c r="B138" s="21" t="n"/>
      <c r="C138" s="22" t="n"/>
      <c r="D138" s="23" t="n"/>
      <c r="E138" s="24" t="n"/>
      <c r="F138" s="23" t="n"/>
      <c r="G138" s="25" t="n"/>
      <c r="H138" s="24" t="n"/>
      <c r="I138" s="23" t="n"/>
      <c r="J138" s="26" t="n"/>
      <c r="K138" s="26" t="n"/>
      <c r="L138" s="26" t="n"/>
      <c r="M138" s="26" t="n"/>
      <c r="N138" s="26" t="n"/>
      <c r="O138" s="27">
        <f>IF(COUNT(K138:N138)=0,"",SUM(K138:N138))</f>
        <v/>
      </c>
      <c r="P138" s="16">
        <f>IF(OR(O138="",N(J138)&lt;=0),"",O138/J138)</f>
        <v/>
      </c>
      <c r="Q138" s="28">
        <f>IF(V138=1,"Late","")</f>
        <v/>
      </c>
      <c r="R138" s="1">
        <f>IF(ISNUMBER(B138),INT(B138)*10000000+IF(ISNUMBER(C138),ROUND(MOD(C138,1)*1440,0),0)*1000+ROW(),"")</f>
        <v/>
      </c>
      <c r="S138">
        <f>IF(ISNUMBER(B138),INT(B138)-WEEKDAY(B138,3),"")</f>
        <v/>
      </c>
      <c r="T138">
        <f>IF(ISNUMBER(B138),YEAR(B138)*100+MONTH(B138),"")</f>
        <v/>
      </c>
      <c r="U138">
        <f>IF(AND(ISNUMBER(B138),H138&lt;&gt;"Published"),IF(INT(B138)&gt;=TODAY(),R138,""),"")</f>
        <v/>
      </c>
      <c r="V138">
        <f>IF(AND(ISNUMBER(B138),OR(H138="Draft",H138="Scheduled")),IF(INT(B138)&lt;TODAY(),1,0),0)</f>
        <v/>
      </c>
      <c r="W138">
        <f>IF(AND(H138="Published",N(O138)&gt;0),IF(T138=(YEAR(TODAY())*100+MONTH(TODAY())),ROUND(O138,0)*1000+1000-ROW(),""),"")</f>
        <v/>
      </c>
    </row>
    <row r="139">
      <c r="A139" s="1" t="n"/>
      <c r="B139" s="21" t="n"/>
      <c r="C139" s="22" t="n"/>
      <c r="D139" s="23" t="n"/>
      <c r="E139" s="24" t="n"/>
      <c r="F139" s="23" t="n"/>
      <c r="G139" s="25" t="n"/>
      <c r="H139" s="24" t="n"/>
      <c r="I139" s="23" t="n"/>
      <c r="J139" s="26" t="n"/>
      <c r="K139" s="26" t="n"/>
      <c r="L139" s="26" t="n"/>
      <c r="M139" s="26" t="n"/>
      <c r="N139" s="26" t="n"/>
      <c r="O139" s="27">
        <f>IF(COUNT(K139:N139)=0,"",SUM(K139:N139))</f>
        <v/>
      </c>
      <c r="P139" s="16">
        <f>IF(OR(O139="",N(J139)&lt;=0),"",O139/J139)</f>
        <v/>
      </c>
      <c r="Q139" s="28">
        <f>IF(V139=1,"Late","")</f>
        <v/>
      </c>
      <c r="R139" s="1">
        <f>IF(ISNUMBER(B139),INT(B139)*10000000+IF(ISNUMBER(C139),ROUND(MOD(C139,1)*1440,0),0)*1000+ROW(),"")</f>
        <v/>
      </c>
      <c r="S139">
        <f>IF(ISNUMBER(B139),INT(B139)-WEEKDAY(B139,3),"")</f>
        <v/>
      </c>
      <c r="T139">
        <f>IF(ISNUMBER(B139),YEAR(B139)*100+MONTH(B139),"")</f>
        <v/>
      </c>
      <c r="U139">
        <f>IF(AND(ISNUMBER(B139),H139&lt;&gt;"Published"),IF(INT(B139)&gt;=TODAY(),R139,""),"")</f>
        <v/>
      </c>
      <c r="V139">
        <f>IF(AND(ISNUMBER(B139),OR(H139="Draft",H139="Scheduled")),IF(INT(B139)&lt;TODAY(),1,0),0)</f>
        <v/>
      </c>
      <c r="W139">
        <f>IF(AND(H139="Published",N(O139)&gt;0),IF(T139=(YEAR(TODAY())*100+MONTH(TODAY())),ROUND(O139,0)*1000+1000-ROW(),""),"")</f>
        <v/>
      </c>
    </row>
    <row r="140">
      <c r="A140" s="1" t="n"/>
      <c r="B140" s="21" t="n"/>
      <c r="C140" s="22" t="n"/>
      <c r="D140" s="23" t="n"/>
      <c r="E140" s="24" t="n"/>
      <c r="F140" s="23" t="n"/>
      <c r="G140" s="25" t="n"/>
      <c r="H140" s="24" t="n"/>
      <c r="I140" s="23" t="n"/>
      <c r="J140" s="26" t="n"/>
      <c r="K140" s="26" t="n"/>
      <c r="L140" s="26" t="n"/>
      <c r="M140" s="26" t="n"/>
      <c r="N140" s="26" t="n"/>
      <c r="O140" s="27">
        <f>IF(COUNT(K140:N140)=0,"",SUM(K140:N140))</f>
        <v/>
      </c>
      <c r="P140" s="16">
        <f>IF(OR(O140="",N(J140)&lt;=0),"",O140/J140)</f>
        <v/>
      </c>
      <c r="Q140" s="28">
        <f>IF(V140=1,"Late","")</f>
        <v/>
      </c>
      <c r="R140" s="1">
        <f>IF(ISNUMBER(B140),INT(B140)*10000000+IF(ISNUMBER(C140),ROUND(MOD(C140,1)*1440,0),0)*1000+ROW(),"")</f>
        <v/>
      </c>
      <c r="S140">
        <f>IF(ISNUMBER(B140),INT(B140)-WEEKDAY(B140,3),"")</f>
        <v/>
      </c>
      <c r="T140">
        <f>IF(ISNUMBER(B140),YEAR(B140)*100+MONTH(B140),"")</f>
        <v/>
      </c>
      <c r="U140">
        <f>IF(AND(ISNUMBER(B140),H140&lt;&gt;"Published"),IF(INT(B140)&gt;=TODAY(),R140,""),"")</f>
        <v/>
      </c>
      <c r="V140">
        <f>IF(AND(ISNUMBER(B140),OR(H140="Draft",H140="Scheduled")),IF(INT(B140)&lt;TODAY(),1,0),0)</f>
        <v/>
      </c>
      <c r="W140">
        <f>IF(AND(H140="Published",N(O140)&gt;0),IF(T140=(YEAR(TODAY())*100+MONTH(TODAY())),ROUND(O140,0)*1000+1000-ROW(),""),"")</f>
        <v/>
      </c>
    </row>
    <row r="141">
      <c r="A141" s="1" t="n"/>
      <c r="B141" s="21" t="n"/>
      <c r="C141" s="22" t="n"/>
      <c r="D141" s="23" t="n"/>
      <c r="E141" s="24" t="n"/>
      <c r="F141" s="23" t="n"/>
      <c r="G141" s="25" t="n"/>
      <c r="H141" s="24" t="n"/>
      <c r="I141" s="23" t="n"/>
      <c r="J141" s="26" t="n"/>
      <c r="K141" s="26" t="n"/>
      <c r="L141" s="26" t="n"/>
      <c r="M141" s="26" t="n"/>
      <c r="N141" s="26" t="n"/>
      <c r="O141" s="27">
        <f>IF(COUNT(K141:N141)=0,"",SUM(K141:N141))</f>
        <v/>
      </c>
      <c r="P141" s="16">
        <f>IF(OR(O141="",N(J141)&lt;=0),"",O141/J141)</f>
        <v/>
      </c>
      <c r="Q141" s="28">
        <f>IF(V141=1,"Late","")</f>
        <v/>
      </c>
      <c r="R141" s="1">
        <f>IF(ISNUMBER(B141),INT(B141)*10000000+IF(ISNUMBER(C141),ROUND(MOD(C141,1)*1440,0),0)*1000+ROW(),"")</f>
        <v/>
      </c>
      <c r="S141">
        <f>IF(ISNUMBER(B141),INT(B141)-WEEKDAY(B141,3),"")</f>
        <v/>
      </c>
      <c r="T141">
        <f>IF(ISNUMBER(B141),YEAR(B141)*100+MONTH(B141),"")</f>
        <v/>
      </c>
      <c r="U141">
        <f>IF(AND(ISNUMBER(B141),H141&lt;&gt;"Published"),IF(INT(B141)&gt;=TODAY(),R141,""),"")</f>
        <v/>
      </c>
      <c r="V141">
        <f>IF(AND(ISNUMBER(B141),OR(H141="Draft",H141="Scheduled")),IF(INT(B141)&lt;TODAY(),1,0),0)</f>
        <v/>
      </c>
      <c r="W141">
        <f>IF(AND(H141="Published",N(O141)&gt;0),IF(T141=(YEAR(TODAY())*100+MONTH(TODAY())),ROUND(O141,0)*1000+1000-ROW(),""),"")</f>
        <v/>
      </c>
    </row>
    <row r="142">
      <c r="A142" s="1" t="n"/>
      <c r="B142" s="21" t="n"/>
      <c r="C142" s="22" t="n"/>
      <c r="D142" s="23" t="n"/>
      <c r="E142" s="24" t="n"/>
      <c r="F142" s="23" t="n"/>
      <c r="G142" s="25" t="n"/>
      <c r="H142" s="24" t="n"/>
      <c r="I142" s="23" t="n"/>
      <c r="J142" s="26" t="n"/>
      <c r="K142" s="26" t="n"/>
      <c r="L142" s="26" t="n"/>
      <c r="M142" s="26" t="n"/>
      <c r="N142" s="26" t="n"/>
      <c r="O142" s="27">
        <f>IF(COUNT(K142:N142)=0,"",SUM(K142:N142))</f>
        <v/>
      </c>
      <c r="P142" s="16">
        <f>IF(OR(O142="",N(J142)&lt;=0),"",O142/J142)</f>
        <v/>
      </c>
      <c r="Q142" s="28">
        <f>IF(V142=1,"Late","")</f>
        <v/>
      </c>
      <c r="R142" s="1">
        <f>IF(ISNUMBER(B142),INT(B142)*10000000+IF(ISNUMBER(C142),ROUND(MOD(C142,1)*1440,0),0)*1000+ROW(),"")</f>
        <v/>
      </c>
      <c r="S142">
        <f>IF(ISNUMBER(B142),INT(B142)-WEEKDAY(B142,3),"")</f>
        <v/>
      </c>
      <c r="T142">
        <f>IF(ISNUMBER(B142),YEAR(B142)*100+MONTH(B142),"")</f>
        <v/>
      </c>
      <c r="U142">
        <f>IF(AND(ISNUMBER(B142),H142&lt;&gt;"Published"),IF(INT(B142)&gt;=TODAY(),R142,""),"")</f>
        <v/>
      </c>
      <c r="V142">
        <f>IF(AND(ISNUMBER(B142),OR(H142="Draft",H142="Scheduled")),IF(INT(B142)&lt;TODAY(),1,0),0)</f>
        <v/>
      </c>
      <c r="W142">
        <f>IF(AND(H142="Published",N(O142)&gt;0),IF(T142=(YEAR(TODAY())*100+MONTH(TODAY())),ROUND(O142,0)*1000+1000-ROW(),""),"")</f>
        <v/>
      </c>
    </row>
    <row r="143">
      <c r="A143" s="1" t="n"/>
      <c r="B143" s="21" t="n"/>
      <c r="C143" s="22" t="n"/>
      <c r="D143" s="23" t="n"/>
      <c r="E143" s="24" t="n"/>
      <c r="F143" s="23" t="n"/>
      <c r="G143" s="25" t="n"/>
      <c r="H143" s="24" t="n"/>
      <c r="I143" s="23" t="n"/>
      <c r="J143" s="26" t="n"/>
      <c r="K143" s="26" t="n"/>
      <c r="L143" s="26" t="n"/>
      <c r="M143" s="26" t="n"/>
      <c r="N143" s="26" t="n"/>
      <c r="O143" s="27">
        <f>IF(COUNT(K143:N143)=0,"",SUM(K143:N143))</f>
        <v/>
      </c>
      <c r="P143" s="16">
        <f>IF(OR(O143="",N(J143)&lt;=0),"",O143/J143)</f>
        <v/>
      </c>
      <c r="Q143" s="28">
        <f>IF(V143=1,"Late","")</f>
        <v/>
      </c>
      <c r="R143" s="1">
        <f>IF(ISNUMBER(B143),INT(B143)*10000000+IF(ISNUMBER(C143),ROUND(MOD(C143,1)*1440,0),0)*1000+ROW(),"")</f>
        <v/>
      </c>
      <c r="S143">
        <f>IF(ISNUMBER(B143),INT(B143)-WEEKDAY(B143,3),"")</f>
        <v/>
      </c>
      <c r="T143">
        <f>IF(ISNUMBER(B143),YEAR(B143)*100+MONTH(B143),"")</f>
        <v/>
      </c>
      <c r="U143">
        <f>IF(AND(ISNUMBER(B143),H143&lt;&gt;"Published"),IF(INT(B143)&gt;=TODAY(),R143,""),"")</f>
        <v/>
      </c>
      <c r="V143">
        <f>IF(AND(ISNUMBER(B143),OR(H143="Draft",H143="Scheduled")),IF(INT(B143)&lt;TODAY(),1,0),0)</f>
        <v/>
      </c>
      <c r="W143">
        <f>IF(AND(H143="Published",N(O143)&gt;0),IF(T143=(YEAR(TODAY())*100+MONTH(TODAY())),ROUND(O143,0)*1000+1000-ROW(),""),"")</f>
        <v/>
      </c>
    </row>
    <row r="144">
      <c r="A144" s="1" t="n"/>
      <c r="B144" s="21" t="n"/>
      <c r="C144" s="22" t="n"/>
      <c r="D144" s="23" t="n"/>
      <c r="E144" s="24" t="n"/>
      <c r="F144" s="23" t="n"/>
      <c r="G144" s="25" t="n"/>
      <c r="H144" s="24" t="n"/>
      <c r="I144" s="23" t="n"/>
      <c r="J144" s="26" t="n"/>
      <c r="K144" s="26" t="n"/>
      <c r="L144" s="26" t="n"/>
      <c r="M144" s="26" t="n"/>
      <c r="N144" s="26" t="n"/>
      <c r="O144" s="27">
        <f>IF(COUNT(K144:N144)=0,"",SUM(K144:N144))</f>
        <v/>
      </c>
      <c r="P144" s="16">
        <f>IF(OR(O144="",N(J144)&lt;=0),"",O144/J144)</f>
        <v/>
      </c>
      <c r="Q144" s="28">
        <f>IF(V144=1,"Late","")</f>
        <v/>
      </c>
      <c r="R144" s="1">
        <f>IF(ISNUMBER(B144),INT(B144)*10000000+IF(ISNUMBER(C144),ROUND(MOD(C144,1)*1440,0),0)*1000+ROW(),"")</f>
        <v/>
      </c>
      <c r="S144">
        <f>IF(ISNUMBER(B144),INT(B144)-WEEKDAY(B144,3),"")</f>
        <v/>
      </c>
      <c r="T144">
        <f>IF(ISNUMBER(B144),YEAR(B144)*100+MONTH(B144),"")</f>
        <v/>
      </c>
      <c r="U144">
        <f>IF(AND(ISNUMBER(B144),H144&lt;&gt;"Published"),IF(INT(B144)&gt;=TODAY(),R144,""),"")</f>
        <v/>
      </c>
      <c r="V144">
        <f>IF(AND(ISNUMBER(B144),OR(H144="Draft",H144="Scheduled")),IF(INT(B144)&lt;TODAY(),1,0),0)</f>
        <v/>
      </c>
      <c r="W144">
        <f>IF(AND(H144="Published",N(O144)&gt;0),IF(T144=(YEAR(TODAY())*100+MONTH(TODAY())),ROUND(O144,0)*1000+1000-ROW(),""),"")</f>
        <v/>
      </c>
    </row>
    <row r="145">
      <c r="A145" s="1" t="n"/>
      <c r="B145" s="21" t="n"/>
      <c r="C145" s="22" t="n"/>
      <c r="D145" s="23" t="n"/>
      <c r="E145" s="24" t="n"/>
      <c r="F145" s="23" t="n"/>
      <c r="G145" s="25" t="n"/>
      <c r="H145" s="24" t="n"/>
      <c r="I145" s="23" t="n"/>
      <c r="J145" s="26" t="n"/>
      <c r="K145" s="26" t="n"/>
      <c r="L145" s="26" t="n"/>
      <c r="M145" s="26" t="n"/>
      <c r="N145" s="26" t="n"/>
      <c r="O145" s="27">
        <f>IF(COUNT(K145:N145)=0,"",SUM(K145:N145))</f>
        <v/>
      </c>
      <c r="P145" s="16">
        <f>IF(OR(O145="",N(J145)&lt;=0),"",O145/J145)</f>
        <v/>
      </c>
      <c r="Q145" s="28">
        <f>IF(V145=1,"Late","")</f>
        <v/>
      </c>
      <c r="R145" s="1">
        <f>IF(ISNUMBER(B145),INT(B145)*10000000+IF(ISNUMBER(C145),ROUND(MOD(C145,1)*1440,0),0)*1000+ROW(),"")</f>
        <v/>
      </c>
      <c r="S145">
        <f>IF(ISNUMBER(B145),INT(B145)-WEEKDAY(B145,3),"")</f>
        <v/>
      </c>
      <c r="T145">
        <f>IF(ISNUMBER(B145),YEAR(B145)*100+MONTH(B145),"")</f>
        <v/>
      </c>
      <c r="U145">
        <f>IF(AND(ISNUMBER(B145),H145&lt;&gt;"Published"),IF(INT(B145)&gt;=TODAY(),R145,""),"")</f>
        <v/>
      </c>
      <c r="V145">
        <f>IF(AND(ISNUMBER(B145),OR(H145="Draft",H145="Scheduled")),IF(INT(B145)&lt;TODAY(),1,0),0)</f>
        <v/>
      </c>
      <c r="W145">
        <f>IF(AND(H145="Published",N(O145)&gt;0),IF(T145=(YEAR(TODAY())*100+MONTH(TODAY())),ROUND(O145,0)*1000+1000-ROW(),""),"")</f>
        <v/>
      </c>
    </row>
    <row r="146">
      <c r="A146" s="1" t="n"/>
      <c r="B146" s="21" t="n"/>
      <c r="C146" s="22" t="n"/>
      <c r="D146" s="23" t="n"/>
      <c r="E146" s="24" t="n"/>
      <c r="F146" s="23" t="n"/>
      <c r="G146" s="25" t="n"/>
      <c r="H146" s="24" t="n"/>
      <c r="I146" s="23" t="n"/>
      <c r="J146" s="26" t="n"/>
      <c r="K146" s="26" t="n"/>
      <c r="L146" s="26" t="n"/>
      <c r="M146" s="26" t="n"/>
      <c r="N146" s="26" t="n"/>
      <c r="O146" s="27">
        <f>IF(COUNT(K146:N146)=0,"",SUM(K146:N146))</f>
        <v/>
      </c>
      <c r="P146" s="16">
        <f>IF(OR(O146="",N(J146)&lt;=0),"",O146/J146)</f>
        <v/>
      </c>
      <c r="Q146" s="28">
        <f>IF(V146=1,"Late","")</f>
        <v/>
      </c>
      <c r="R146" s="1">
        <f>IF(ISNUMBER(B146),INT(B146)*10000000+IF(ISNUMBER(C146),ROUND(MOD(C146,1)*1440,0),0)*1000+ROW(),"")</f>
        <v/>
      </c>
      <c r="S146">
        <f>IF(ISNUMBER(B146),INT(B146)-WEEKDAY(B146,3),"")</f>
        <v/>
      </c>
      <c r="T146">
        <f>IF(ISNUMBER(B146),YEAR(B146)*100+MONTH(B146),"")</f>
        <v/>
      </c>
      <c r="U146">
        <f>IF(AND(ISNUMBER(B146),H146&lt;&gt;"Published"),IF(INT(B146)&gt;=TODAY(),R146,""),"")</f>
        <v/>
      </c>
      <c r="V146">
        <f>IF(AND(ISNUMBER(B146),OR(H146="Draft",H146="Scheduled")),IF(INT(B146)&lt;TODAY(),1,0),0)</f>
        <v/>
      </c>
      <c r="W146">
        <f>IF(AND(H146="Published",N(O146)&gt;0),IF(T146=(YEAR(TODAY())*100+MONTH(TODAY())),ROUND(O146,0)*1000+1000-ROW(),""),"")</f>
        <v/>
      </c>
    </row>
    <row r="147">
      <c r="A147" s="1" t="n"/>
      <c r="B147" s="21" t="n"/>
      <c r="C147" s="22" t="n"/>
      <c r="D147" s="23" t="n"/>
      <c r="E147" s="24" t="n"/>
      <c r="F147" s="23" t="n"/>
      <c r="G147" s="25" t="n"/>
      <c r="H147" s="24" t="n"/>
      <c r="I147" s="23" t="n"/>
      <c r="J147" s="26" t="n"/>
      <c r="K147" s="26" t="n"/>
      <c r="L147" s="26" t="n"/>
      <c r="M147" s="26" t="n"/>
      <c r="N147" s="26" t="n"/>
      <c r="O147" s="27">
        <f>IF(COUNT(K147:N147)=0,"",SUM(K147:N147))</f>
        <v/>
      </c>
      <c r="P147" s="16">
        <f>IF(OR(O147="",N(J147)&lt;=0),"",O147/J147)</f>
        <v/>
      </c>
      <c r="Q147" s="28">
        <f>IF(V147=1,"Late","")</f>
        <v/>
      </c>
      <c r="R147" s="1">
        <f>IF(ISNUMBER(B147),INT(B147)*10000000+IF(ISNUMBER(C147),ROUND(MOD(C147,1)*1440,0),0)*1000+ROW(),"")</f>
        <v/>
      </c>
      <c r="S147">
        <f>IF(ISNUMBER(B147),INT(B147)-WEEKDAY(B147,3),"")</f>
        <v/>
      </c>
      <c r="T147">
        <f>IF(ISNUMBER(B147),YEAR(B147)*100+MONTH(B147),"")</f>
        <v/>
      </c>
      <c r="U147">
        <f>IF(AND(ISNUMBER(B147),H147&lt;&gt;"Published"),IF(INT(B147)&gt;=TODAY(),R147,""),"")</f>
        <v/>
      </c>
      <c r="V147">
        <f>IF(AND(ISNUMBER(B147),OR(H147="Draft",H147="Scheduled")),IF(INT(B147)&lt;TODAY(),1,0),0)</f>
        <v/>
      </c>
      <c r="W147">
        <f>IF(AND(H147="Published",N(O147)&gt;0),IF(T147=(YEAR(TODAY())*100+MONTH(TODAY())),ROUND(O147,0)*1000+1000-ROW(),""),"")</f>
        <v/>
      </c>
    </row>
    <row r="148">
      <c r="A148" s="1" t="n"/>
      <c r="B148" s="21" t="n"/>
      <c r="C148" s="22" t="n"/>
      <c r="D148" s="23" t="n"/>
      <c r="E148" s="24" t="n"/>
      <c r="F148" s="23" t="n"/>
      <c r="G148" s="25" t="n"/>
      <c r="H148" s="24" t="n"/>
      <c r="I148" s="23" t="n"/>
      <c r="J148" s="26" t="n"/>
      <c r="K148" s="26" t="n"/>
      <c r="L148" s="26" t="n"/>
      <c r="M148" s="26" t="n"/>
      <c r="N148" s="26" t="n"/>
      <c r="O148" s="27">
        <f>IF(COUNT(K148:N148)=0,"",SUM(K148:N148))</f>
        <v/>
      </c>
      <c r="P148" s="16">
        <f>IF(OR(O148="",N(J148)&lt;=0),"",O148/J148)</f>
        <v/>
      </c>
      <c r="Q148" s="28">
        <f>IF(V148=1,"Late","")</f>
        <v/>
      </c>
      <c r="R148" s="1">
        <f>IF(ISNUMBER(B148),INT(B148)*10000000+IF(ISNUMBER(C148),ROUND(MOD(C148,1)*1440,0),0)*1000+ROW(),"")</f>
        <v/>
      </c>
      <c r="S148">
        <f>IF(ISNUMBER(B148),INT(B148)-WEEKDAY(B148,3),"")</f>
        <v/>
      </c>
      <c r="T148">
        <f>IF(ISNUMBER(B148),YEAR(B148)*100+MONTH(B148),"")</f>
        <v/>
      </c>
      <c r="U148">
        <f>IF(AND(ISNUMBER(B148),H148&lt;&gt;"Published"),IF(INT(B148)&gt;=TODAY(),R148,""),"")</f>
        <v/>
      </c>
      <c r="V148">
        <f>IF(AND(ISNUMBER(B148),OR(H148="Draft",H148="Scheduled")),IF(INT(B148)&lt;TODAY(),1,0),0)</f>
        <v/>
      </c>
      <c r="W148">
        <f>IF(AND(H148="Published",N(O148)&gt;0),IF(T148=(YEAR(TODAY())*100+MONTH(TODAY())),ROUND(O148,0)*1000+1000-ROW(),""),"")</f>
        <v/>
      </c>
    </row>
    <row r="149">
      <c r="A149" s="1" t="n"/>
      <c r="B149" s="21" t="n"/>
      <c r="C149" s="22" t="n"/>
      <c r="D149" s="23" t="n"/>
      <c r="E149" s="24" t="n"/>
      <c r="F149" s="23" t="n"/>
      <c r="G149" s="25" t="n"/>
      <c r="H149" s="24" t="n"/>
      <c r="I149" s="23" t="n"/>
      <c r="J149" s="26" t="n"/>
      <c r="K149" s="26" t="n"/>
      <c r="L149" s="26" t="n"/>
      <c r="M149" s="26" t="n"/>
      <c r="N149" s="26" t="n"/>
      <c r="O149" s="27">
        <f>IF(COUNT(K149:N149)=0,"",SUM(K149:N149))</f>
        <v/>
      </c>
      <c r="P149" s="16">
        <f>IF(OR(O149="",N(J149)&lt;=0),"",O149/J149)</f>
        <v/>
      </c>
      <c r="Q149" s="28">
        <f>IF(V149=1,"Late","")</f>
        <v/>
      </c>
      <c r="R149" s="1">
        <f>IF(ISNUMBER(B149),INT(B149)*10000000+IF(ISNUMBER(C149),ROUND(MOD(C149,1)*1440,0),0)*1000+ROW(),"")</f>
        <v/>
      </c>
      <c r="S149">
        <f>IF(ISNUMBER(B149),INT(B149)-WEEKDAY(B149,3),"")</f>
        <v/>
      </c>
      <c r="T149">
        <f>IF(ISNUMBER(B149),YEAR(B149)*100+MONTH(B149),"")</f>
        <v/>
      </c>
      <c r="U149">
        <f>IF(AND(ISNUMBER(B149),H149&lt;&gt;"Published"),IF(INT(B149)&gt;=TODAY(),R149,""),"")</f>
        <v/>
      </c>
      <c r="V149">
        <f>IF(AND(ISNUMBER(B149),OR(H149="Draft",H149="Scheduled")),IF(INT(B149)&lt;TODAY(),1,0),0)</f>
        <v/>
      </c>
      <c r="W149">
        <f>IF(AND(H149="Published",N(O149)&gt;0),IF(T149=(YEAR(TODAY())*100+MONTH(TODAY())),ROUND(O149,0)*1000+1000-ROW(),""),"")</f>
        <v/>
      </c>
    </row>
    <row r="150">
      <c r="A150" s="1" t="n"/>
      <c r="B150" s="21" t="n"/>
      <c r="C150" s="22" t="n"/>
      <c r="D150" s="23" t="n"/>
      <c r="E150" s="24" t="n"/>
      <c r="F150" s="23" t="n"/>
      <c r="G150" s="25" t="n"/>
      <c r="H150" s="24" t="n"/>
      <c r="I150" s="23" t="n"/>
      <c r="J150" s="26" t="n"/>
      <c r="K150" s="26" t="n"/>
      <c r="L150" s="26" t="n"/>
      <c r="M150" s="26" t="n"/>
      <c r="N150" s="26" t="n"/>
      <c r="O150" s="27">
        <f>IF(COUNT(K150:N150)=0,"",SUM(K150:N150))</f>
        <v/>
      </c>
      <c r="P150" s="16">
        <f>IF(OR(O150="",N(J150)&lt;=0),"",O150/J150)</f>
        <v/>
      </c>
      <c r="Q150" s="28">
        <f>IF(V150=1,"Late","")</f>
        <v/>
      </c>
      <c r="R150" s="1">
        <f>IF(ISNUMBER(B150),INT(B150)*10000000+IF(ISNUMBER(C150),ROUND(MOD(C150,1)*1440,0),0)*1000+ROW(),"")</f>
        <v/>
      </c>
      <c r="S150">
        <f>IF(ISNUMBER(B150),INT(B150)-WEEKDAY(B150,3),"")</f>
        <v/>
      </c>
      <c r="T150">
        <f>IF(ISNUMBER(B150),YEAR(B150)*100+MONTH(B150),"")</f>
        <v/>
      </c>
      <c r="U150">
        <f>IF(AND(ISNUMBER(B150),H150&lt;&gt;"Published"),IF(INT(B150)&gt;=TODAY(),R150,""),"")</f>
        <v/>
      </c>
      <c r="V150">
        <f>IF(AND(ISNUMBER(B150),OR(H150="Draft",H150="Scheduled")),IF(INT(B150)&lt;TODAY(),1,0),0)</f>
        <v/>
      </c>
      <c r="W150">
        <f>IF(AND(H150="Published",N(O150)&gt;0),IF(T150=(YEAR(TODAY())*100+MONTH(TODAY())),ROUND(O150,0)*1000+1000-ROW(),""),"")</f>
        <v/>
      </c>
    </row>
    <row r="151">
      <c r="A151" s="1" t="n"/>
      <c r="B151" s="21" t="n"/>
      <c r="C151" s="22" t="n"/>
      <c r="D151" s="23" t="n"/>
      <c r="E151" s="24" t="n"/>
      <c r="F151" s="23" t="n"/>
      <c r="G151" s="25" t="n"/>
      <c r="H151" s="24" t="n"/>
      <c r="I151" s="23" t="n"/>
      <c r="J151" s="26" t="n"/>
      <c r="K151" s="26" t="n"/>
      <c r="L151" s="26" t="n"/>
      <c r="M151" s="26" t="n"/>
      <c r="N151" s="26" t="n"/>
      <c r="O151" s="27">
        <f>IF(COUNT(K151:N151)=0,"",SUM(K151:N151))</f>
        <v/>
      </c>
      <c r="P151" s="16">
        <f>IF(OR(O151="",N(J151)&lt;=0),"",O151/J151)</f>
        <v/>
      </c>
      <c r="Q151" s="28">
        <f>IF(V151=1,"Late","")</f>
        <v/>
      </c>
      <c r="R151" s="1">
        <f>IF(ISNUMBER(B151),INT(B151)*10000000+IF(ISNUMBER(C151),ROUND(MOD(C151,1)*1440,0),0)*1000+ROW(),"")</f>
        <v/>
      </c>
      <c r="S151">
        <f>IF(ISNUMBER(B151),INT(B151)-WEEKDAY(B151,3),"")</f>
        <v/>
      </c>
      <c r="T151">
        <f>IF(ISNUMBER(B151),YEAR(B151)*100+MONTH(B151),"")</f>
        <v/>
      </c>
      <c r="U151">
        <f>IF(AND(ISNUMBER(B151),H151&lt;&gt;"Published"),IF(INT(B151)&gt;=TODAY(),R151,""),"")</f>
        <v/>
      </c>
      <c r="V151">
        <f>IF(AND(ISNUMBER(B151),OR(H151="Draft",H151="Scheduled")),IF(INT(B151)&lt;TODAY(),1,0),0)</f>
        <v/>
      </c>
      <c r="W151">
        <f>IF(AND(H151="Published",N(O151)&gt;0),IF(T151=(YEAR(TODAY())*100+MONTH(TODAY())),ROUND(O151,0)*1000+1000-ROW(),""),"")</f>
        <v/>
      </c>
    </row>
    <row r="152">
      <c r="A152" s="1" t="n"/>
      <c r="B152" s="21" t="n"/>
      <c r="C152" s="22" t="n"/>
      <c r="D152" s="23" t="n"/>
      <c r="E152" s="24" t="n"/>
      <c r="F152" s="23" t="n"/>
      <c r="G152" s="25" t="n"/>
      <c r="H152" s="24" t="n"/>
      <c r="I152" s="23" t="n"/>
      <c r="J152" s="26" t="n"/>
      <c r="K152" s="26" t="n"/>
      <c r="L152" s="26" t="n"/>
      <c r="M152" s="26" t="n"/>
      <c r="N152" s="26" t="n"/>
      <c r="O152" s="27">
        <f>IF(COUNT(K152:N152)=0,"",SUM(K152:N152))</f>
        <v/>
      </c>
      <c r="P152" s="16">
        <f>IF(OR(O152="",N(J152)&lt;=0),"",O152/J152)</f>
        <v/>
      </c>
      <c r="Q152" s="28">
        <f>IF(V152=1,"Late","")</f>
        <v/>
      </c>
      <c r="R152" s="1">
        <f>IF(ISNUMBER(B152),INT(B152)*10000000+IF(ISNUMBER(C152),ROUND(MOD(C152,1)*1440,0),0)*1000+ROW(),"")</f>
        <v/>
      </c>
      <c r="S152">
        <f>IF(ISNUMBER(B152),INT(B152)-WEEKDAY(B152,3),"")</f>
        <v/>
      </c>
      <c r="T152">
        <f>IF(ISNUMBER(B152),YEAR(B152)*100+MONTH(B152),"")</f>
        <v/>
      </c>
      <c r="U152">
        <f>IF(AND(ISNUMBER(B152),H152&lt;&gt;"Published"),IF(INT(B152)&gt;=TODAY(),R152,""),"")</f>
        <v/>
      </c>
      <c r="V152">
        <f>IF(AND(ISNUMBER(B152),OR(H152="Draft",H152="Scheduled")),IF(INT(B152)&lt;TODAY(),1,0),0)</f>
        <v/>
      </c>
      <c r="W152">
        <f>IF(AND(H152="Published",N(O152)&gt;0),IF(T152=(YEAR(TODAY())*100+MONTH(TODAY())),ROUND(O152,0)*1000+1000-ROW(),""),"")</f>
        <v/>
      </c>
    </row>
    <row r="153">
      <c r="A153" s="1" t="n"/>
      <c r="B153" s="21" t="n"/>
      <c r="C153" s="22" t="n"/>
      <c r="D153" s="23" t="n"/>
      <c r="E153" s="24" t="n"/>
      <c r="F153" s="23" t="n"/>
      <c r="G153" s="25" t="n"/>
      <c r="H153" s="24" t="n"/>
      <c r="I153" s="23" t="n"/>
      <c r="J153" s="26" t="n"/>
      <c r="K153" s="26" t="n"/>
      <c r="L153" s="26" t="n"/>
      <c r="M153" s="26" t="n"/>
      <c r="N153" s="26" t="n"/>
      <c r="O153" s="27">
        <f>IF(COUNT(K153:N153)=0,"",SUM(K153:N153))</f>
        <v/>
      </c>
      <c r="P153" s="16">
        <f>IF(OR(O153="",N(J153)&lt;=0),"",O153/J153)</f>
        <v/>
      </c>
      <c r="Q153" s="28">
        <f>IF(V153=1,"Late","")</f>
        <v/>
      </c>
      <c r="R153" s="1">
        <f>IF(ISNUMBER(B153),INT(B153)*10000000+IF(ISNUMBER(C153),ROUND(MOD(C153,1)*1440,0),0)*1000+ROW(),"")</f>
        <v/>
      </c>
      <c r="S153">
        <f>IF(ISNUMBER(B153),INT(B153)-WEEKDAY(B153,3),"")</f>
        <v/>
      </c>
      <c r="T153">
        <f>IF(ISNUMBER(B153),YEAR(B153)*100+MONTH(B153),"")</f>
        <v/>
      </c>
      <c r="U153">
        <f>IF(AND(ISNUMBER(B153),H153&lt;&gt;"Published"),IF(INT(B153)&gt;=TODAY(),R153,""),"")</f>
        <v/>
      </c>
      <c r="V153">
        <f>IF(AND(ISNUMBER(B153),OR(H153="Draft",H153="Scheduled")),IF(INT(B153)&lt;TODAY(),1,0),0)</f>
        <v/>
      </c>
      <c r="W153">
        <f>IF(AND(H153="Published",N(O153)&gt;0),IF(T153=(YEAR(TODAY())*100+MONTH(TODAY())),ROUND(O153,0)*1000+1000-ROW(),""),"")</f>
        <v/>
      </c>
    </row>
    <row r="154">
      <c r="A154" s="1" t="n"/>
      <c r="B154" s="21" t="n"/>
      <c r="C154" s="22" t="n"/>
      <c r="D154" s="23" t="n"/>
      <c r="E154" s="24" t="n"/>
      <c r="F154" s="23" t="n"/>
      <c r="G154" s="25" t="n"/>
      <c r="H154" s="24" t="n"/>
      <c r="I154" s="23" t="n"/>
      <c r="J154" s="26" t="n"/>
      <c r="K154" s="26" t="n"/>
      <c r="L154" s="26" t="n"/>
      <c r="M154" s="26" t="n"/>
      <c r="N154" s="26" t="n"/>
      <c r="O154" s="27">
        <f>IF(COUNT(K154:N154)=0,"",SUM(K154:N154))</f>
        <v/>
      </c>
      <c r="P154" s="16">
        <f>IF(OR(O154="",N(J154)&lt;=0),"",O154/J154)</f>
        <v/>
      </c>
      <c r="Q154" s="28">
        <f>IF(V154=1,"Late","")</f>
        <v/>
      </c>
      <c r="R154" s="1">
        <f>IF(ISNUMBER(B154),INT(B154)*10000000+IF(ISNUMBER(C154),ROUND(MOD(C154,1)*1440,0),0)*1000+ROW(),"")</f>
        <v/>
      </c>
      <c r="S154">
        <f>IF(ISNUMBER(B154),INT(B154)-WEEKDAY(B154,3),"")</f>
        <v/>
      </c>
      <c r="T154">
        <f>IF(ISNUMBER(B154),YEAR(B154)*100+MONTH(B154),"")</f>
        <v/>
      </c>
      <c r="U154">
        <f>IF(AND(ISNUMBER(B154),H154&lt;&gt;"Published"),IF(INT(B154)&gt;=TODAY(),R154,""),"")</f>
        <v/>
      </c>
      <c r="V154">
        <f>IF(AND(ISNUMBER(B154),OR(H154="Draft",H154="Scheduled")),IF(INT(B154)&lt;TODAY(),1,0),0)</f>
        <v/>
      </c>
      <c r="W154">
        <f>IF(AND(H154="Published",N(O154)&gt;0),IF(T154=(YEAR(TODAY())*100+MONTH(TODAY())),ROUND(O154,0)*1000+1000-ROW(),""),"")</f>
        <v/>
      </c>
    </row>
    <row r="155">
      <c r="A155" s="1" t="n"/>
      <c r="B155" s="21" t="n"/>
      <c r="C155" s="22" t="n"/>
      <c r="D155" s="23" t="n"/>
      <c r="E155" s="24" t="n"/>
      <c r="F155" s="23" t="n"/>
      <c r="G155" s="25" t="n"/>
      <c r="H155" s="24" t="n"/>
      <c r="I155" s="23" t="n"/>
      <c r="J155" s="26" t="n"/>
      <c r="K155" s="26" t="n"/>
      <c r="L155" s="26" t="n"/>
      <c r="M155" s="26" t="n"/>
      <c r="N155" s="26" t="n"/>
      <c r="O155" s="27">
        <f>IF(COUNT(K155:N155)=0,"",SUM(K155:N155))</f>
        <v/>
      </c>
      <c r="P155" s="16">
        <f>IF(OR(O155="",N(J155)&lt;=0),"",O155/J155)</f>
        <v/>
      </c>
      <c r="Q155" s="28">
        <f>IF(V155=1,"Late","")</f>
        <v/>
      </c>
      <c r="R155" s="1">
        <f>IF(ISNUMBER(B155),INT(B155)*10000000+IF(ISNUMBER(C155),ROUND(MOD(C155,1)*1440,0),0)*1000+ROW(),"")</f>
        <v/>
      </c>
      <c r="S155">
        <f>IF(ISNUMBER(B155),INT(B155)-WEEKDAY(B155,3),"")</f>
        <v/>
      </c>
      <c r="T155">
        <f>IF(ISNUMBER(B155),YEAR(B155)*100+MONTH(B155),"")</f>
        <v/>
      </c>
      <c r="U155">
        <f>IF(AND(ISNUMBER(B155),H155&lt;&gt;"Published"),IF(INT(B155)&gt;=TODAY(),R155,""),"")</f>
        <v/>
      </c>
      <c r="V155">
        <f>IF(AND(ISNUMBER(B155),OR(H155="Draft",H155="Scheduled")),IF(INT(B155)&lt;TODAY(),1,0),0)</f>
        <v/>
      </c>
      <c r="W155">
        <f>IF(AND(H155="Published",N(O155)&gt;0),IF(T155=(YEAR(TODAY())*100+MONTH(TODAY())),ROUND(O155,0)*1000+1000-ROW(),""),"")</f>
        <v/>
      </c>
    </row>
    <row r="156">
      <c r="A156" s="1" t="n"/>
      <c r="B156" s="21" t="n"/>
      <c r="C156" s="22" t="n"/>
      <c r="D156" s="23" t="n"/>
      <c r="E156" s="24" t="n"/>
      <c r="F156" s="23" t="n"/>
      <c r="G156" s="25" t="n"/>
      <c r="H156" s="24" t="n"/>
      <c r="I156" s="23" t="n"/>
      <c r="J156" s="26" t="n"/>
      <c r="K156" s="26" t="n"/>
      <c r="L156" s="26" t="n"/>
      <c r="M156" s="26" t="n"/>
      <c r="N156" s="26" t="n"/>
      <c r="O156" s="27">
        <f>IF(COUNT(K156:N156)=0,"",SUM(K156:N156))</f>
        <v/>
      </c>
      <c r="P156" s="16">
        <f>IF(OR(O156="",N(J156)&lt;=0),"",O156/J156)</f>
        <v/>
      </c>
      <c r="Q156" s="28">
        <f>IF(V156=1,"Late","")</f>
        <v/>
      </c>
      <c r="R156" s="1">
        <f>IF(ISNUMBER(B156),INT(B156)*10000000+IF(ISNUMBER(C156),ROUND(MOD(C156,1)*1440,0),0)*1000+ROW(),"")</f>
        <v/>
      </c>
      <c r="S156">
        <f>IF(ISNUMBER(B156),INT(B156)-WEEKDAY(B156,3),"")</f>
        <v/>
      </c>
      <c r="T156">
        <f>IF(ISNUMBER(B156),YEAR(B156)*100+MONTH(B156),"")</f>
        <v/>
      </c>
      <c r="U156">
        <f>IF(AND(ISNUMBER(B156),H156&lt;&gt;"Published"),IF(INT(B156)&gt;=TODAY(),R156,""),"")</f>
        <v/>
      </c>
      <c r="V156">
        <f>IF(AND(ISNUMBER(B156),OR(H156="Draft",H156="Scheduled")),IF(INT(B156)&lt;TODAY(),1,0),0)</f>
        <v/>
      </c>
      <c r="W156">
        <f>IF(AND(H156="Published",N(O156)&gt;0),IF(T156=(YEAR(TODAY())*100+MONTH(TODAY())),ROUND(O156,0)*1000+1000-ROW(),""),"")</f>
        <v/>
      </c>
    </row>
    <row r="157">
      <c r="A157" s="1" t="n"/>
      <c r="B157" s="21" t="n"/>
      <c r="C157" s="22" t="n"/>
      <c r="D157" s="23" t="n"/>
      <c r="E157" s="24" t="n"/>
      <c r="F157" s="23" t="n"/>
      <c r="G157" s="25" t="n"/>
      <c r="H157" s="24" t="n"/>
      <c r="I157" s="23" t="n"/>
      <c r="J157" s="26" t="n"/>
      <c r="K157" s="26" t="n"/>
      <c r="L157" s="26" t="n"/>
      <c r="M157" s="26" t="n"/>
      <c r="N157" s="26" t="n"/>
      <c r="O157" s="27">
        <f>IF(COUNT(K157:N157)=0,"",SUM(K157:N157))</f>
        <v/>
      </c>
      <c r="P157" s="16">
        <f>IF(OR(O157="",N(J157)&lt;=0),"",O157/J157)</f>
        <v/>
      </c>
      <c r="Q157" s="28">
        <f>IF(V157=1,"Late","")</f>
        <v/>
      </c>
      <c r="R157" s="1">
        <f>IF(ISNUMBER(B157),INT(B157)*10000000+IF(ISNUMBER(C157),ROUND(MOD(C157,1)*1440,0),0)*1000+ROW(),"")</f>
        <v/>
      </c>
      <c r="S157">
        <f>IF(ISNUMBER(B157),INT(B157)-WEEKDAY(B157,3),"")</f>
        <v/>
      </c>
      <c r="T157">
        <f>IF(ISNUMBER(B157),YEAR(B157)*100+MONTH(B157),"")</f>
        <v/>
      </c>
      <c r="U157">
        <f>IF(AND(ISNUMBER(B157),H157&lt;&gt;"Published"),IF(INT(B157)&gt;=TODAY(),R157,""),"")</f>
        <v/>
      </c>
      <c r="V157">
        <f>IF(AND(ISNUMBER(B157),OR(H157="Draft",H157="Scheduled")),IF(INT(B157)&lt;TODAY(),1,0),0)</f>
        <v/>
      </c>
      <c r="W157">
        <f>IF(AND(H157="Published",N(O157)&gt;0),IF(T157=(YEAR(TODAY())*100+MONTH(TODAY())),ROUND(O157,0)*1000+1000-ROW(),""),"")</f>
        <v/>
      </c>
    </row>
    <row r="158">
      <c r="A158" s="1" t="n"/>
      <c r="B158" s="21" t="n"/>
      <c r="C158" s="22" t="n"/>
      <c r="D158" s="23" t="n"/>
      <c r="E158" s="24" t="n"/>
      <c r="F158" s="23" t="n"/>
      <c r="G158" s="25" t="n"/>
      <c r="H158" s="24" t="n"/>
      <c r="I158" s="23" t="n"/>
      <c r="J158" s="26" t="n"/>
      <c r="K158" s="26" t="n"/>
      <c r="L158" s="26" t="n"/>
      <c r="M158" s="26" t="n"/>
      <c r="N158" s="26" t="n"/>
      <c r="O158" s="27">
        <f>IF(COUNT(K158:N158)=0,"",SUM(K158:N158))</f>
        <v/>
      </c>
      <c r="P158" s="16">
        <f>IF(OR(O158="",N(J158)&lt;=0),"",O158/J158)</f>
        <v/>
      </c>
      <c r="Q158" s="28">
        <f>IF(V158=1,"Late","")</f>
        <v/>
      </c>
      <c r="R158" s="1">
        <f>IF(ISNUMBER(B158),INT(B158)*10000000+IF(ISNUMBER(C158),ROUND(MOD(C158,1)*1440,0),0)*1000+ROW(),"")</f>
        <v/>
      </c>
      <c r="S158">
        <f>IF(ISNUMBER(B158),INT(B158)-WEEKDAY(B158,3),"")</f>
        <v/>
      </c>
      <c r="T158">
        <f>IF(ISNUMBER(B158),YEAR(B158)*100+MONTH(B158),"")</f>
        <v/>
      </c>
      <c r="U158">
        <f>IF(AND(ISNUMBER(B158),H158&lt;&gt;"Published"),IF(INT(B158)&gt;=TODAY(),R158,""),"")</f>
        <v/>
      </c>
      <c r="V158">
        <f>IF(AND(ISNUMBER(B158),OR(H158="Draft",H158="Scheduled")),IF(INT(B158)&lt;TODAY(),1,0),0)</f>
        <v/>
      </c>
      <c r="W158">
        <f>IF(AND(H158="Published",N(O158)&gt;0),IF(T158=(YEAR(TODAY())*100+MONTH(TODAY())),ROUND(O158,0)*1000+1000-ROW(),""),"")</f>
        <v/>
      </c>
    </row>
    <row r="159">
      <c r="A159" s="1" t="n"/>
      <c r="B159" s="21" t="n"/>
      <c r="C159" s="22" t="n"/>
      <c r="D159" s="23" t="n"/>
      <c r="E159" s="24" t="n"/>
      <c r="F159" s="23" t="n"/>
      <c r="G159" s="25" t="n"/>
      <c r="H159" s="24" t="n"/>
      <c r="I159" s="23" t="n"/>
      <c r="J159" s="26" t="n"/>
      <c r="K159" s="26" t="n"/>
      <c r="L159" s="26" t="n"/>
      <c r="M159" s="26" t="n"/>
      <c r="N159" s="26" t="n"/>
      <c r="O159" s="27">
        <f>IF(COUNT(K159:N159)=0,"",SUM(K159:N159))</f>
        <v/>
      </c>
      <c r="P159" s="16">
        <f>IF(OR(O159="",N(J159)&lt;=0),"",O159/J159)</f>
        <v/>
      </c>
      <c r="Q159" s="28">
        <f>IF(V159=1,"Late","")</f>
        <v/>
      </c>
      <c r="R159" s="1">
        <f>IF(ISNUMBER(B159),INT(B159)*10000000+IF(ISNUMBER(C159),ROUND(MOD(C159,1)*1440,0),0)*1000+ROW(),"")</f>
        <v/>
      </c>
      <c r="S159">
        <f>IF(ISNUMBER(B159),INT(B159)-WEEKDAY(B159,3),"")</f>
        <v/>
      </c>
      <c r="T159">
        <f>IF(ISNUMBER(B159),YEAR(B159)*100+MONTH(B159),"")</f>
        <v/>
      </c>
      <c r="U159">
        <f>IF(AND(ISNUMBER(B159),H159&lt;&gt;"Published"),IF(INT(B159)&gt;=TODAY(),R159,""),"")</f>
        <v/>
      </c>
      <c r="V159">
        <f>IF(AND(ISNUMBER(B159),OR(H159="Draft",H159="Scheduled")),IF(INT(B159)&lt;TODAY(),1,0),0)</f>
        <v/>
      </c>
      <c r="W159">
        <f>IF(AND(H159="Published",N(O159)&gt;0),IF(T159=(YEAR(TODAY())*100+MONTH(TODAY())),ROUND(O159,0)*1000+1000-ROW(),""),"")</f>
        <v/>
      </c>
    </row>
    <row r="160">
      <c r="A160" s="1" t="n"/>
      <c r="B160" s="21" t="n"/>
      <c r="C160" s="22" t="n"/>
      <c r="D160" s="23" t="n"/>
      <c r="E160" s="24" t="n"/>
      <c r="F160" s="23" t="n"/>
      <c r="G160" s="25" t="n"/>
      <c r="H160" s="24" t="n"/>
      <c r="I160" s="23" t="n"/>
      <c r="J160" s="26" t="n"/>
      <c r="K160" s="26" t="n"/>
      <c r="L160" s="26" t="n"/>
      <c r="M160" s="26" t="n"/>
      <c r="N160" s="26" t="n"/>
      <c r="O160" s="27">
        <f>IF(COUNT(K160:N160)=0,"",SUM(K160:N160))</f>
        <v/>
      </c>
      <c r="P160" s="16">
        <f>IF(OR(O160="",N(J160)&lt;=0),"",O160/J160)</f>
        <v/>
      </c>
      <c r="Q160" s="28">
        <f>IF(V160=1,"Late","")</f>
        <v/>
      </c>
      <c r="R160" s="1">
        <f>IF(ISNUMBER(B160),INT(B160)*10000000+IF(ISNUMBER(C160),ROUND(MOD(C160,1)*1440,0),0)*1000+ROW(),"")</f>
        <v/>
      </c>
      <c r="S160">
        <f>IF(ISNUMBER(B160),INT(B160)-WEEKDAY(B160,3),"")</f>
        <v/>
      </c>
      <c r="T160">
        <f>IF(ISNUMBER(B160),YEAR(B160)*100+MONTH(B160),"")</f>
        <v/>
      </c>
      <c r="U160">
        <f>IF(AND(ISNUMBER(B160),H160&lt;&gt;"Published"),IF(INT(B160)&gt;=TODAY(),R160,""),"")</f>
        <v/>
      </c>
      <c r="V160">
        <f>IF(AND(ISNUMBER(B160),OR(H160="Draft",H160="Scheduled")),IF(INT(B160)&lt;TODAY(),1,0),0)</f>
        <v/>
      </c>
      <c r="W160">
        <f>IF(AND(H160="Published",N(O160)&gt;0),IF(T160=(YEAR(TODAY())*100+MONTH(TODAY())),ROUND(O160,0)*1000+1000-ROW(),""),"")</f>
        <v/>
      </c>
    </row>
    <row r="161">
      <c r="A161" s="1" t="n"/>
      <c r="B161" s="21" t="n"/>
      <c r="C161" s="22" t="n"/>
      <c r="D161" s="23" t="n"/>
      <c r="E161" s="24" t="n"/>
      <c r="F161" s="23" t="n"/>
      <c r="G161" s="25" t="n"/>
      <c r="H161" s="24" t="n"/>
      <c r="I161" s="23" t="n"/>
      <c r="J161" s="26" t="n"/>
      <c r="K161" s="26" t="n"/>
      <c r="L161" s="26" t="n"/>
      <c r="M161" s="26" t="n"/>
      <c r="N161" s="26" t="n"/>
      <c r="O161" s="27">
        <f>IF(COUNT(K161:N161)=0,"",SUM(K161:N161))</f>
        <v/>
      </c>
      <c r="P161" s="16">
        <f>IF(OR(O161="",N(J161)&lt;=0),"",O161/J161)</f>
        <v/>
      </c>
      <c r="Q161" s="28">
        <f>IF(V161=1,"Late","")</f>
        <v/>
      </c>
      <c r="R161" s="1">
        <f>IF(ISNUMBER(B161),INT(B161)*10000000+IF(ISNUMBER(C161),ROUND(MOD(C161,1)*1440,0),0)*1000+ROW(),"")</f>
        <v/>
      </c>
      <c r="S161">
        <f>IF(ISNUMBER(B161),INT(B161)-WEEKDAY(B161,3),"")</f>
        <v/>
      </c>
      <c r="T161">
        <f>IF(ISNUMBER(B161),YEAR(B161)*100+MONTH(B161),"")</f>
        <v/>
      </c>
      <c r="U161">
        <f>IF(AND(ISNUMBER(B161),H161&lt;&gt;"Published"),IF(INT(B161)&gt;=TODAY(),R161,""),"")</f>
        <v/>
      </c>
      <c r="V161">
        <f>IF(AND(ISNUMBER(B161),OR(H161="Draft",H161="Scheduled")),IF(INT(B161)&lt;TODAY(),1,0),0)</f>
        <v/>
      </c>
      <c r="W161">
        <f>IF(AND(H161="Published",N(O161)&gt;0),IF(T161=(YEAR(TODAY())*100+MONTH(TODAY())),ROUND(O161,0)*1000+1000-ROW(),""),"")</f>
        <v/>
      </c>
    </row>
    <row r="162">
      <c r="A162" s="1" t="n"/>
      <c r="B162" s="21" t="n"/>
      <c r="C162" s="22" t="n"/>
      <c r="D162" s="23" t="n"/>
      <c r="E162" s="24" t="n"/>
      <c r="F162" s="23" t="n"/>
      <c r="G162" s="25" t="n"/>
      <c r="H162" s="24" t="n"/>
      <c r="I162" s="23" t="n"/>
      <c r="J162" s="26" t="n"/>
      <c r="K162" s="26" t="n"/>
      <c r="L162" s="26" t="n"/>
      <c r="M162" s="26" t="n"/>
      <c r="N162" s="26" t="n"/>
      <c r="O162" s="27">
        <f>IF(COUNT(K162:N162)=0,"",SUM(K162:N162))</f>
        <v/>
      </c>
      <c r="P162" s="16">
        <f>IF(OR(O162="",N(J162)&lt;=0),"",O162/J162)</f>
        <v/>
      </c>
      <c r="Q162" s="28">
        <f>IF(V162=1,"Late","")</f>
        <v/>
      </c>
      <c r="R162" s="1">
        <f>IF(ISNUMBER(B162),INT(B162)*10000000+IF(ISNUMBER(C162),ROUND(MOD(C162,1)*1440,0),0)*1000+ROW(),"")</f>
        <v/>
      </c>
      <c r="S162">
        <f>IF(ISNUMBER(B162),INT(B162)-WEEKDAY(B162,3),"")</f>
        <v/>
      </c>
      <c r="T162">
        <f>IF(ISNUMBER(B162),YEAR(B162)*100+MONTH(B162),"")</f>
        <v/>
      </c>
      <c r="U162">
        <f>IF(AND(ISNUMBER(B162),H162&lt;&gt;"Published"),IF(INT(B162)&gt;=TODAY(),R162,""),"")</f>
        <v/>
      </c>
      <c r="V162">
        <f>IF(AND(ISNUMBER(B162),OR(H162="Draft",H162="Scheduled")),IF(INT(B162)&lt;TODAY(),1,0),0)</f>
        <v/>
      </c>
      <c r="W162">
        <f>IF(AND(H162="Published",N(O162)&gt;0),IF(T162=(YEAR(TODAY())*100+MONTH(TODAY())),ROUND(O162,0)*1000+1000-ROW(),""),"")</f>
        <v/>
      </c>
    </row>
    <row r="163">
      <c r="A163" s="1" t="n"/>
      <c r="B163" s="21" t="n"/>
      <c r="C163" s="22" t="n"/>
      <c r="D163" s="23" t="n"/>
      <c r="E163" s="24" t="n"/>
      <c r="F163" s="23" t="n"/>
      <c r="G163" s="25" t="n"/>
      <c r="H163" s="24" t="n"/>
      <c r="I163" s="23" t="n"/>
      <c r="J163" s="26" t="n"/>
      <c r="K163" s="26" t="n"/>
      <c r="L163" s="26" t="n"/>
      <c r="M163" s="26" t="n"/>
      <c r="N163" s="26" t="n"/>
      <c r="O163" s="27">
        <f>IF(COUNT(K163:N163)=0,"",SUM(K163:N163))</f>
        <v/>
      </c>
      <c r="P163" s="16">
        <f>IF(OR(O163="",N(J163)&lt;=0),"",O163/J163)</f>
        <v/>
      </c>
      <c r="Q163" s="28">
        <f>IF(V163=1,"Late","")</f>
        <v/>
      </c>
      <c r="R163" s="1">
        <f>IF(ISNUMBER(B163),INT(B163)*10000000+IF(ISNUMBER(C163),ROUND(MOD(C163,1)*1440,0),0)*1000+ROW(),"")</f>
        <v/>
      </c>
      <c r="S163">
        <f>IF(ISNUMBER(B163),INT(B163)-WEEKDAY(B163,3),"")</f>
        <v/>
      </c>
      <c r="T163">
        <f>IF(ISNUMBER(B163),YEAR(B163)*100+MONTH(B163),"")</f>
        <v/>
      </c>
      <c r="U163">
        <f>IF(AND(ISNUMBER(B163),H163&lt;&gt;"Published"),IF(INT(B163)&gt;=TODAY(),R163,""),"")</f>
        <v/>
      </c>
      <c r="V163">
        <f>IF(AND(ISNUMBER(B163),OR(H163="Draft",H163="Scheduled")),IF(INT(B163)&lt;TODAY(),1,0),0)</f>
        <v/>
      </c>
      <c r="W163">
        <f>IF(AND(H163="Published",N(O163)&gt;0),IF(T163=(YEAR(TODAY())*100+MONTH(TODAY())),ROUND(O163,0)*1000+1000-ROW(),""),"")</f>
        <v/>
      </c>
    </row>
    <row r="164">
      <c r="A164" s="1" t="n"/>
      <c r="B164" s="21" t="n"/>
      <c r="C164" s="22" t="n"/>
      <c r="D164" s="23" t="n"/>
      <c r="E164" s="24" t="n"/>
      <c r="F164" s="23" t="n"/>
      <c r="G164" s="25" t="n"/>
      <c r="H164" s="24" t="n"/>
      <c r="I164" s="23" t="n"/>
      <c r="J164" s="26" t="n"/>
      <c r="K164" s="26" t="n"/>
      <c r="L164" s="26" t="n"/>
      <c r="M164" s="26" t="n"/>
      <c r="N164" s="26" t="n"/>
      <c r="O164" s="27">
        <f>IF(COUNT(K164:N164)=0,"",SUM(K164:N164))</f>
        <v/>
      </c>
      <c r="P164" s="16">
        <f>IF(OR(O164="",N(J164)&lt;=0),"",O164/J164)</f>
        <v/>
      </c>
      <c r="Q164" s="28">
        <f>IF(V164=1,"Late","")</f>
        <v/>
      </c>
      <c r="R164" s="1">
        <f>IF(ISNUMBER(B164),INT(B164)*10000000+IF(ISNUMBER(C164),ROUND(MOD(C164,1)*1440,0),0)*1000+ROW(),"")</f>
        <v/>
      </c>
      <c r="S164">
        <f>IF(ISNUMBER(B164),INT(B164)-WEEKDAY(B164,3),"")</f>
        <v/>
      </c>
      <c r="T164">
        <f>IF(ISNUMBER(B164),YEAR(B164)*100+MONTH(B164),"")</f>
        <v/>
      </c>
      <c r="U164">
        <f>IF(AND(ISNUMBER(B164),H164&lt;&gt;"Published"),IF(INT(B164)&gt;=TODAY(),R164,""),"")</f>
        <v/>
      </c>
      <c r="V164">
        <f>IF(AND(ISNUMBER(B164),OR(H164="Draft",H164="Scheduled")),IF(INT(B164)&lt;TODAY(),1,0),0)</f>
        <v/>
      </c>
      <c r="W164">
        <f>IF(AND(H164="Published",N(O164)&gt;0),IF(T164=(YEAR(TODAY())*100+MONTH(TODAY())),ROUND(O164,0)*1000+1000-ROW(),""),"")</f>
        <v/>
      </c>
    </row>
    <row r="165">
      <c r="A165" s="1" t="n"/>
      <c r="B165" s="21" t="n"/>
      <c r="C165" s="22" t="n"/>
      <c r="D165" s="23" t="n"/>
      <c r="E165" s="24" t="n"/>
      <c r="F165" s="23" t="n"/>
      <c r="G165" s="25" t="n"/>
      <c r="H165" s="24" t="n"/>
      <c r="I165" s="23" t="n"/>
      <c r="J165" s="26" t="n"/>
      <c r="K165" s="26" t="n"/>
      <c r="L165" s="26" t="n"/>
      <c r="M165" s="26" t="n"/>
      <c r="N165" s="26" t="n"/>
      <c r="O165" s="27">
        <f>IF(COUNT(K165:N165)=0,"",SUM(K165:N165))</f>
        <v/>
      </c>
      <c r="P165" s="16">
        <f>IF(OR(O165="",N(J165)&lt;=0),"",O165/J165)</f>
        <v/>
      </c>
      <c r="Q165" s="28">
        <f>IF(V165=1,"Late","")</f>
        <v/>
      </c>
      <c r="R165" s="1">
        <f>IF(ISNUMBER(B165),INT(B165)*10000000+IF(ISNUMBER(C165),ROUND(MOD(C165,1)*1440,0),0)*1000+ROW(),"")</f>
        <v/>
      </c>
      <c r="S165">
        <f>IF(ISNUMBER(B165),INT(B165)-WEEKDAY(B165,3),"")</f>
        <v/>
      </c>
      <c r="T165">
        <f>IF(ISNUMBER(B165),YEAR(B165)*100+MONTH(B165),"")</f>
        <v/>
      </c>
      <c r="U165">
        <f>IF(AND(ISNUMBER(B165),H165&lt;&gt;"Published"),IF(INT(B165)&gt;=TODAY(),R165,""),"")</f>
        <v/>
      </c>
      <c r="V165">
        <f>IF(AND(ISNUMBER(B165),OR(H165="Draft",H165="Scheduled")),IF(INT(B165)&lt;TODAY(),1,0),0)</f>
        <v/>
      </c>
      <c r="W165">
        <f>IF(AND(H165="Published",N(O165)&gt;0),IF(T165=(YEAR(TODAY())*100+MONTH(TODAY())),ROUND(O165,0)*1000+1000-ROW(),""),"")</f>
        <v/>
      </c>
    </row>
    <row r="166">
      <c r="A166" s="1" t="n"/>
      <c r="B166" s="21" t="n"/>
      <c r="C166" s="22" t="n"/>
      <c r="D166" s="23" t="n"/>
      <c r="E166" s="24" t="n"/>
      <c r="F166" s="23" t="n"/>
      <c r="G166" s="25" t="n"/>
      <c r="H166" s="24" t="n"/>
      <c r="I166" s="23" t="n"/>
      <c r="J166" s="26" t="n"/>
      <c r="K166" s="26" t="n"/>
      <c r="L166" s="26" t="n"/>
      <c r="M166" s="26" t="n"/>
      <c r="N166" s="26" t="n"/>
      <c r="O166" s="27">
        <f>IF(COUNT(K166:N166)=0,"",SUM(K166:N166))</f>
        <v/>
      </c>
      <c r="P166" s="16">
        <f>IF(OR(O166="",N(J166)&lt;=0),"",O166/J166)</f>
        <v/>
      </c>
      <c r="Q166" s="28">
        <f>IF(V166=1,"Late","")</f>
        <v/>
      </c>
      <c r="R166" s="1">
        <f>IF(ISNUMBER(B166),INT(B166)*10000000+IF(ISNUMBER(C166),ROUND(MOD(C166,1)*1440,0),0)*1000+ROW(),"")</f>
        <v/>
      </c>
      <c r="S166">
        <f>IF(ISNUMBER(B166),INT(B166)-WEEKDAY(B166,3),"")</f>
        <v/>
      </c>
      <c r="T166">
        <f>IF(ISNUMBER(B166),YEAR(B166)*100+MONTH(B166),"")</f>
        <v/>
      </c>
      <c r="U166">
        <f>IF(AND(ISNUMBER(B166),H166&lt;&gt;"Published"),IF(INT(B166)&gt;=TODAY(),R166,""),"")</f>
        <v/>
      </c>
      <c r="V166">
        <f>IF(AND(ISNUMBER(B166),OR(H166="Draft",H166="Scheduled")),IF(INT(B166)&lt;TODAY(),1,0),0)</f>
        <v/>
      </c>
      <c r="W166">
        <f>IF(AND(H166="Published",N(O166)&gt;0),IF(T166=(YEAR(TODAY())*100+MONTH(TODAY())),ROUND(O166,0)*1000+1000-ROW(),""),"")</f>
        <v/>
      </c>
    </row>
    <row r="167">
      <c r="A167" s="1" t="n"/>
      <c r="B167" s="21" t="n"/>
      <c r="C167" s="22" t="n"/>
      <c r="D167" s="23" t="n"/>
      <c r="E167" s="24" t="n"/>
      <c r="F167" s="23" t="n"/>
      <c r="G167" s="25" t="n"/>
      <c r="H167" s="24" t="n"/>
      <c r="I167" s="23" t="n"/>
      <c r="J167" s="26" t="n"/>
      <c r="K167" s="26" t="n"/>
      <c r="L167" s="26" t="n"/>
      <c r="M167" s="26" t="n"/>
      <c r="N167" s="26" t="n"/>
      <c r="O167" s="27">
        <f>IF(COUNT(K167:N167)=0,"",SUM(K167:N167))</f>
        <v/>
      </c>
      <c r="P167" s="16">
        <f>IF(OR(O167="",N(J167)&lt;=0),"",O167/J167)</f>
        <v/>
      </c>
      <c r="Q167" s="28">
        <f>IF(V167=1,"Late","")</f>
        <v/>
      </c>
      <c r="R167" s="1">
        <f>IF(ISNUMBER(B167),INT(B167)*10000000+IF(ISNUMBER(C167),ROUND(MOD(C167,1)*1440,0),0)*1000+ROW(),"")</f>
        <v/>
      </c>
      <c r="S167">
        <f>IF(ISNUMBER(B167),INT(B167)-WEEKDAY(B167,3),"")</f>
        <v/>
      </c>
      <c r="T167">
        <f>IF(ISNUMBER(B167),YEAR(B167)*100+MONTH(B167),"")</f>
        <v/>
      </c>
      <c r="U167">
        <f>IF(AND(ISNUMBER(B167),H167&lt;&gt;"Published"),IF(INT(B167)&gt;=TODAY(),R167,""),"")</f>
        <v/>
      </c>
      <c r="V167">
        <f>IF(AND(ISNUMBER(B167),OR(H167="Draft",H167="Scheduled")),IF(INT(B167)&lt;TODAY(),1,0),0)</f>
        <v/>
      </c>
      <c r="W167">
        <f>IF(AND(H167="Published",N(O167)&gt;0),IF(T167=(YEAR(TODAY())*100+MONTH(TODAY())),ROUND(O167,0)*1000+1000-ROW(),""),"")</f>
        <v/>
      </c>
    </row>
    <row r="168">
      <c r="A168" s="1" t="n"/>
      <c r="B168" s="21" t="n"/>
      <c r="C168" s="22" t="n"/>
      <c r="D168" s="23" t="n"/>
      <c r="E168" s="24" t="n"/>
      <c r="F168" s="23" t="n"/>
      <c r="G168" s="25" t="n"/>
      <c r="H168" s="24" t="n"/>
      <c r="I168" s="23" t="n"/>
      <c r="J168" s="26" t="n"/>
      <c r="K168" s="26" t="n"/>
      <c r="L168" s="26" t="n"/>
      <c r="M168" s="26" t="n"/>
      <c r="N168" s="26" t="n"/>
      <c r="O168" s="27">
        <f>IF(COUNT(K168:N168)=0,"",SUM(K168:N168))</f>
        <v/>
      </c>
      <c r="P168" s="16">
        <f>IF(OR(O168="",N(J168)&lt;=0),"",O168/J168)</f>
        <v/>
      </c>
      <c r="Q168" s="28">
        <f>IF(V168=1,"Late","")</f>
        <v/>
      </c>
      <c r="R168" s="1">
        <f>IF(ISNUMBER(B168),INT(B168)*10000000+IF(ISNUMBER(C168),ROUND(MOD(C168,1)*1440,0),0)*1000+ROW(),"")</f>
        <v/>
      </c>
      <c r="S168">
        <f>IF(ISNUMBER(B168),INT(B168)-WEEKDAY(B168,3),"")</f>
        <v/>
      </c>
      <c r="T168">
        <f>IF(ISNUMBER(B168),YEAR(B168)*100+MONTH(B168),"")</f>
        <v/>
      </c>
      <c r="U168">
        <f>IF(AND(ISNUMBER(B168),H168&lt;&gt;"Published"),IF(INT(B168)&gt;=TODAY(),R168,""),"")</f>
        <v/>
      </c>
      <c r="V168">
        <f>IF(AND(ISNUMBER(B168),OR(H168="Draft",H168="Scheduled")),IF(INT(B168)&lt;TODAY(),1,0),0)</f>
        <v/>
      </c>
      <c r="W168">
        <f>IF(AND(H168="Published",N(O168)&gt;0),IF(T168=(YEAR(TODAY())*100+MONTH(TODAY())),ROUND(O168,0)*1000+1000-ROW(),""),"")</f>
        <v/>
      </c>
    </row>
    <row r="169">
      <c r="A169" s="1" t="n"/>
      <c r="B169" s="21" t="n"/>
      <c r="C169" s="22" t="n"/>
      <c r="D169" s="23" t="n"/>
      <c r="E169" s="24" t="n"/>
      <c r="F169" s="23" t="n"/>
      <c r="G169" s="25" t="n"/>
      <c r="H169" s="24" t="n"/>
      <c r="I169" s="23" t="n"/>
      <c r="J169" s="26" t="n"/>
      <c r="K169" s="26" t="n"/>
      <c r="L169" s="26" t="n"/>
      <c r="M169" s="26" t="n"/>
      <c r="N169" s="26" t="n"/>
      <c r="O169" s="27">
        <f>IF(COUNT(K169:N169)=0,"",SUM(K169:N169))</f>
        <v/>
      </c>
      <c r="P169" s="16">
        <f>IF(OR(O169="",N(J169)&lt;=0),"",O169/J169)</f>
        <v/>
      </c>
      <c r="Q169" s="28">
        <f>IF(V169=1,"Late","")</f>
        <v/>
      </c>
      <c r="R169" s="1">
        <f>IF(ISNUMBER(B169),INT(B169)*10000000+IF(ISNUMBER(C169),ROUND(MOD(C169,1)*1440,0),0)*1000+ROW(),"")</f>
        <v/>
      </c>
      <c r="S169">
        <f>IF(ISNUMBER(B169),INT(B169)-WEEKDAY(B169,3),"")</f>
        <v/>
      </c>
      <c r="T169">
        <f>IF(ISNUMBER(B169),YEAR(B169)*100+MONTH(B169),"")</f>
        <v/>
      </c>
      <c r="U169">
        <f>IF(AND(ISNUMBER(B169),H169&lt;&gt;"Published"),IF(INT(B169)&gt;=TODAY(),R169,""),"")</f>
        <v/>
      </c>
      <c r="V169">
        <f>IF(AND(ISNUMBER(B169),OR(H169="Draft",H169="Scheduled")),IF(INT(B169)&lt;TODAY(),1,0),0)</f>
        <v/>
      </c>
      <c r="W169">
        <f>IF(AND(H169="Published",N(O169)&gt;0),IF(T169=(YEAR(TODAY())*100+MONTH(TODAY())),ROUND(O169,0)*1000+1000-ROW(),""),"")</f>
        <v/>
      </c>
    </row>
    <row r="170">
      <c r="A170" s="1" t="n"/>
      <c r="B170" s="21" t="n"/>
      <c r="C170" s="22" t="n"/>
      <c r="D170" s="23" t="n"/>
      <c r="E170" s="24" t="n"/>
      <c r="F170" s="23" t="n"/>
      <c r="G170" s="25" t="n"/>
      <c r="H170" s="24" t="n"/>
      <c r="I170" s="23" t="n"/>
      <c r="J170" s="26" t="n"/>
      <c r="K170" s="26" t="n"/>
      <c r="L170" s="26" t="n"/>
      <c r="M170" s="26" t="n"/>
      <c r="N170" s="26" t="n"/>
      <c r="O170" s="27">
        <f>IF(COUNT(K170:N170)=0,"",SUM(K170:N170))</f>
        <v/>
      </c>
      <c r="P170" s="16">
        <f>IF(OR(O170="",N(J170)&lt;=0),"",O170/J170)</f>
        <v/>
      </c>
      <c r="Q170" s="28">
        <f>IF(V170=1,"Late","")</f>
        <v/>
      </c>
      <c r="R170" s="1">
        <f>IF(ISNUMBER(B170),INT(B170)*10000000+IF(ISNUMBER(C170),ROUND(MOD(C170,1)*1440,0),0)*1000+ROW(),"")</f>
        <v/>
      </c>
      <c r="S170">
        <f>IF(ISNUMBER(B170),INT(B170)-WEEKDAY(B170,3),"")</f>
        <v/>
      </c>
      <c r="T170">
        <f>IF(ISNUMBER(B170),YEAR(B170)*100+MONTH(B170),"")</f>
        <v/>
      </c>
      <c r="U170">
        <f>IF(AND(ISNUMBER(B170),H170&lt;&gt;"Published"),IF(INT(B170)&gt;=TODAY(),R170,""),"")</f>
        <v/>
      </c>
      <c r="V170">
        <f>IF(AND(ISNUMBER(B170),OR(H170="Draft",H170="Scheduled")),IF(INT(B170)&lt;TODAY(),1,0),0)</f>
        <v/>
      </c>
      <c r="W170">
        <f>IF(AND(H170="Published",N(O170)&gt;0),IF(T170=(YEAR(TODAY())*100+MONTH(TODAY())),ROUND(O170,0)*1000+1000-ROW(),""),"")</f>
        <v/>
      </c>
    </row>
    <row r="171">
      <c r="A171" s="1" t="n"/>
      <c r="B171" s="21" t="n"/>
      <c r="C171" s="22" t="n"/>
      <c r="D171" s="23" t="n"/>
      <c r="E171" s="24" t="n"/>
      <c r="F171" s="23" t="n"/>
      <c r="G171" s="25" t="n"/>
      <c r="H171" s="24" t="n"/>
      <c r="I171" s="23" t="n"/>
      <c r="J171" s="26" t="n"/>
      <c r="K171" s="26" t="n"/>
      <c r="L171" s="26" t="n"/>
      <c r="M171" s="26" t="n"/>
      <c r="N171" s="26" t="n"/>
      <c r="O171" s="27">
        <f>IF(COUNT(K171:N171)=0,"",SUM(K171:N171))</f>
        <v/>
      </c>
      <c r="P171" s="16">
        <f>IF(OR(O171="",N(J171)&lt;=0),"",O171/J171)</f>
        <v/>
      </c>
      <c r="Q171" s="28">
        <f>IF(V171=1,"Late","")</f>
        <v/>
      </c>
      <c r="R171" s="1">
        <f>IF(ISNUMBER(B171),INT(B171)*10000000+IF(ISNUMBER(C171),ROUND(MOD(C171,1)*1440,0),0)*1000+ROW(),"")</f>
        <v/>
      </c>
      <c r="S171">
        <f>IF(ISNUMBER(B171),INT(B171)-WEEKDAY(B171,3),"")</f>
        <v/>
      </c>
      <c r="T171">
        <f>IF(ISNUMBER(B171),YEAR(B171)*100+MONTH(B171),"")</f>
        <v/>
      </c>
      <c r="U171">
        <f>IF(AND(ISNUMBER(B171),H171&lt;&gt;"Published"),IF(INT(B171)&gt;=TODAY(),R171,""),"")</f>
        <v/>
      </c>
      <c r="V171">
        <f>IF(AND(ISNUMBER(B171),OR(H171="Draft",H171="Scheduled")),IF(INT(B171)&lt;TODAY(),1,0),0)</f>
        <v/>
      </c>
      <c r="W171">
        <f>IF(AND(H171="Published",N(O171)&gt;0),IF(T171=(YEAR(TODAY())*100+MONTH(TODAY())),ROUND(O171,0)*1000+1000-ROW(),""),"")</f>
        <v/>
      </c>
    </row>
    <row r="172">
      <c r="A172" s="1" t="n"/>
      <c r="B172" s="21" t="n"/>
      <c r="C172" s="22" t="n"/>
      <c r="D172" s="23" t="n"/>
      <c r="E172" s="24" t="n"/>
      <c r="F172" s="23" t="n"/>
      <c r="G172" s="25" t="n"/>
      <c r="H172" s="24" t="n"/>
      <c r="I172" s="23" t="n"/>
      <c r="J172" s="26" t="n"/>
      <c r="K172" s="26" t="n"/>
      <c r="L172" s="26" t="n"/>
      <c r="M172" s="26" t="n"/>
      <c r="N172" s="26" t="n"/>
      <c r="O172" s="27">
        <f>IF(COUNT(K172:N172)=0,"",SUM(K172:N172))</f>
        <v/>
      </c>
      <c r="P172" s="16">
        <f>IF(OR(O172="",N(J172)&lt;=0),"",O172/J172)</f>
        <v/>
      </c>
      <c r="Q172" s="28">
        <f>IF(V172=1,"Late","")</f>
        <v/>
      </c>
      <c r="R172" s="1">
        <f>IF(ISNUMBER(B172),INT(B172)*10000000+IF(ISNUMBER(C172),ROUND(MOD(C172,1)*1440,0),0)*1000+ROW(),"")</f>
        <v/>
      </c>
      <c r="S172">
        <f>IF(ISNUMBER(B172),INT(B172)-WEEKDAY(B172,3),"")</f>
        <v/>
      </c>
      <c r="T172">
        <f>IF(ISNUMBER(B172),YEAR(B172)*100+MONTH(B172),"")</f>
        <v/>
      </c>
      <c r="U172">
        <f>IF(AND(ISNUMBER(B172),H172&lt;&gt;"Published"),IF(INT(B172)&gt;=TODAY(),R172,""),"")</f>
        <v/>
      </c>
      <c r="V172">
        <f>IF(AND(ISNUMBER(B172),OR(H172="Draft",H172="Scheduled")),IF(INT(B172)&lt;TODAY(),1,0),0)</f>
        <v/>
      </c>
      <c r="W172">
        <f>IF(AND(H172="Published",N(O172)&gt;0),IF(T172=(YEAR(TODAY())*100+MONTH(TODAY())),ROUND(O172,0)*1000+1000-ROW(),""),"")</f>
        <v/>
      </c>
    </row>
    <row r="173">
      <c r="A173" s="1" t="n"/>
      <c r="B173" s="21" t="n"/>
      <c r="C173" s="22" t="n"/>
      <c r="D173" s="23" t="n"/>
      <c r="E173" s="24" t="n"/>
      <c r="F173" s="23" t="n"/>
      <c r="G173" s="25" t="n"/>
      <c r="H173" s="24" t="n"/>
      <c r="I173" s="23" t="n"/>
      <c r="J173" s="26" t="n"/>
      <c r="K173" s="26" t="n"/>
      <c r="L173" s="26" t="n"/>
      <c r="M173" s="26" t="n"/>
      <c r="N173" s="26" t="n"/>
      <c r="O173" s="27">
        <f>IF(COUNT(K173:N173)=0,"",SUM(K173:N173))</f>
        <v/>
      </c>
      <c r="P173" s="16">
        <f>IF(OR(O173="",N(J173)&lt;=0),"",O173/J173)</f>
        <v/>
      </c>
      <c r="Q173" s="28">
        <f>IF(V173=1,"Late","")</f>
        <v/>
      </c>
      <c r="R173" s="1">
        <f>IF(ISNUMBER(B173),INT(B173)*10000000+IF(ISNUMBER(C173),ROUND(MOD(C173,1)*1440,0),0)*1000+ROW(),"")</f>
        <v/>
      </c>
      <c r="S173">
        <f>IF(ISNUMBER(B173),INT(B173)-WEEKDAY(B173,3),"")</f>
        <v/>
      </c>
      <c r="T173">
        <f>IF(ISNUMBER(B173),YEAR(B173)*100+MONTH(B173),"")</f>
        <v/>
      </c>
      <c r="U173">
        <f>IF(AND(ISNUMBER(B173),H173&lt;&gt;"Published"),IF(INT(B173)&gt;=TODAY(),R173,""),"")</f>
        <v/>
      </c>
      <c r="V173">
        <f>IF(AND(ISNUMBER(B173),OR(H173="Draft",H173="Scheduled")),IF(INT(B173)&lt;TODAY(),1,0),0)</f>
        <v/>
      </c>
      <c r="W173">
        <f>IF(AND(H173="Published",N(O173)&gt;0),IF(T173=(YEAR(TODAY())*100+MONTH(TODAY())),ROUND(O173,0)*1000+1000-ROW(),""),"")</f>
        <v/>
      </c>
    </row>
    <row r="174">
      <c r="A174" s="1" t="n"/>
      <c r="B174" s="21" t="n"/>
      <c r="C174" s="22" t="n"/>
      <c r="D174" s="23" t="n"/>
      <c r="E174" s="24" t="n"/>
      <c r="F174" s="23" t="n"/>
      <c r="G174" s="25" t="n"/>
      <c r="H174" s="24" t="n"/>
      <c r="I174" s="23" t="n"/>
      <c r="J174" s="26" t="n"/>
      <c r="K174" s="26" t="n"/>
      <c r="L174" s="26" t="n"/>
      <c r="M174" s="26" t="n"/>
      <c r="N174" s="26" t="n"/>
      <c r="O174" s="27">
        <f>IF(COUNT(K174:N174)=0,"",SUM(K174:N174))</f>
        <v/>
      </c>
      <c r="P174" s="16">
        <f>IF(OR(O174="",N(J174)&lt;=0),"",O174/J174)</f>
        <v/>
      </c>
      <c r="Q174" s="28">
        <f>IF(V174=1,"Late","")</f>
        <v/>
      </c>
      <c r="R174" s="1">
        <f>IF(ISNUMBER(B174),INT(B174)*10000000+IF(ISNUMBER(C174),ROUND(MOD(C174,1)*1440,0),0)*1000+ROW(),"")</f>
        <v/>
      </c>
      <c r="S174">
        <f>IF(ISNUMBER(B174),INT(B174)-WEEKDAY(B174,3),"")</f>
        <v/>
      </c>
      <c r="T174">
        <f>IF(ISNUMBER(B174),YEAR(B174)*100+MONTH(B174),"")</f>
        <v/>
      </c>
      <c r="U174">
        <f>IF(AND(ISNUMBER(B174),H174&lt;&gt;"Published"),IF(INT(B174)&gt;=TODAY(),R174,""),"")</f>
        <v/>
      </c>
      <c r="V174">
        <f>IF(AND(ISNUMBER(B174),OR(H174="Draft",H174="Scheduled")),IF(INT(B174)&lt;TODAY(),1,0),0)</f>
        <v/>
      </c>
      <c r="W174">
        <f>IF(AND(H174="Published",N(O174)&gt;0),IF(T174=(YEAR(TODAY())*100+MONTH(TODAY())),ROUND(O174,0)*1000+1000-ROW(),""),"")</f>
        <v/>
      </c>
    </row>
    <row r="175">
      <c r="A175" s="1" t="n"/>
      <c r="B175" s="21" t="n"/>
      <c r="C175" s="22" t="n"/>
      <c r="D175" s="23" t="n"/>
      <c r="E175" s="24" t="n"/>
      <c r="F175" s="23" t="n"/>
      <c r="G175" s="25" t="n"/>
      <c r="H175" s="24" t="n"/>
      <c r="I175" s="23" t="n"/>
      <c r="J175" s="26" t="n"/>
      <c r="K175" s="26" t="n"/>
      <c r="L175" s="26" t="n"/>
      <c r="M175" s="26" t="n"/>
      <c r="N175" s="26" t="n"/>
      <c r="O175" s="27">
        <f>IF(COUNT(K175:N175)=0,"",SUM(K175:N175))</f>
        <v/>
      </c>
      <c r="P175" s="16">
        <f>IF(OR(O175="",N(J175)&lt;=0),"",O175/J175)</f>
        <v/>
      </c>
      <c r="Q175" s="28">
        <f>IF(V175=1,"Late","")</f>
        <v/>
      </c>
      <c r="R175" s="1">
        <f>IF(ISNUMBER(B175),INT(B175)*10000000+IF(ISNUMBER(C175),ROUND(MOD(C175,1)*1440,0),0)*1000+ROW(),"")</f>
        <v/>
      </c>
      <c r="S175">
        <f>IF(ISNUMBER(B175),INT(B175)-WEEKDAY(B175,3),"")</f>
        <v/>
      </c>
      <c r="T175">
        <f>IF(ISNUMBER(B175),YEAR(B175)*100+MONTH(B175),"")</f>
        <v/>
      </c>
      <c r="U175">
        <f>IF(AND(ISNUMBER(B175),H175&lt;&gt;"Published"),IF(INT(B175)&gt;=TODAY(),R175,""),"")</f>
        <v/>
      </c>
      <c r="V175">
        <f>IF(AND(ISNUMBER(B175),OR(H175="Draft",H175="Scheduled")),IF(INT(B175)&lt;TODAY(),1,0),0)</f>
        <v/>
      </c>
      <c r="W175">
        <f>IF(AND(H175="Published",N(O175)&gt;0),IF(T175=(YEAR(TODAY())*100+MONTH(TODAY())),ROUND(O175,0)*1000+1000-ROW(),""),"")</f>
        <v/>
      </c>
    </row>
    <row r="176">
      <c r="A176" s="1" t="n"/>
      <c r="B176" s="21" t="n"/>
      <c r="C176" s="22" t="n"/>
      <c r="D176" s="23" t="n"/>
      <c r="E176" s="24" t="n"/>
      <c r="F176" s="23" t="n"/>
      <c r="G176" s="25" t="n"/>
      <c r="H176" s="24" t="n"/>
      <c r="I176" s="23" t="n"/>
      <c r="J176" s="26" t="n"/>
      <c r="K176" s="26" t="n"/>
      <c r="L176" s="26" t="n"/>
      <c r="M176" s="26" t="n"/>
      <c r="N176" s="26" t="n"/>
      <c r="O176" s="27">
        <f>IF(COUNT(K176:N176)=0,"",SUM(K176:N176))</f>
        <v/>
      </c>
      <c r="P176" s="16">
        <f>IF(OR(O176="",N(J176)&lt;=0),"",O176/J176)</f>
        <v/>
      </c>
      <c r="Q176" s="28">
        <f>IF(V176=1,"Late","")</f>
        <v/>
      </c>
      <c r="R176" s="1">
        <f>IF(ISNUMBER(B176),INT(B176)*10000000+IF(ISNUMBER(C176),ROUND(MOD(C176,1)*1440,0),0)*1000+ROW(),"")</f>
        <v/>
      </c>
      <c r="S176">
        <f>IF(ISNUMBER(B176),INT(B176)-WEEKDAY(B176,3),"")</f>
        <v/>
      </c>
      <c r="T176">
        <f>IF(ISNUMBER(B176),YEAR(B176)*100+MONTH(B176),"")</f>
        <v/>
      </c>
      <c r="U176">
        <f>IF(AND(ISNUMBER(B176),H176&lt;&gt;"Published"),IF(INT(B176)&gt;=TODAY(),R176,""),"")</f>
        <v/>
      </c>
      <c r="V176">
        <f>IF(AND(ISNUMBER(B176),OR(H176="Draft",H176="Scheduled")),IF(INT(B176)&lt;TODAY(),1,0),0)</f>
        <v/>
      </c>
      <c r="W176">
        <f>IF(AND(H176="Published",N(O176)&gt;0),IF(T176=(YEAR(TODAY())*100+MONTH(TODAY())),ROUND(O176,0)*1000+1000-ROW(),""),"")</f>
        <v/>
      </c>
    </row>
    <row r="177">
      <c r="A177" s="1" t="n"/>
      <c r="B177" s="21" t="n"/>
      <c r="C177" s="22" t="n"/>
      <c r="D177" s="23" t="n"/>
      <c r="E177" s="24" t="n"/>
      <c r="F177" s="23" t="n"/>
      <c r="G177" s="25" t="n"/>
      <c r="H177" s="24" t="n"/>
      <c r="I177" s="23" t="n"/>
      <c r="J177" s="26" t="n"/>
      <c r="K177" s="26" t="n"/>
      <c r="L177" s="26" t="n"/>
      <c r="M177" s="26" t="n"/>
      <c r="N177" s="26" t="n"/>
      <c r="O177" s="27">
        <f>IF(COUNT(K177:N177)=0,"",SUM(K177:N177))</f>
        <v/>
      </c>
      <c r="P177" s="16">
        <f>IF(OR(O177="",N(J177)&lt;=0),"",O177/J177)</f>
        <v/>
      </c>
      <c r="Q177" s="28">
        <f>IF(V177=1,"Late","")</f>
        <v/>
      </c>
      <c r="R177" s="1">
        <f>IF(ISNUMBER(B177),INT(B177)*10000000+IF(ISNUMBER(C177),ROUND(MOD(C177,1)*1440,0),0)*1000+ROW(),"")</f>
        <v/>
      </c>
      <c r="S177">
        <f>IF(ISNUMBER(B177),INT(B177)-WEEKDAY(B177,3),"")</f>
        <v/>
      </c>
      <c r="T177">
        <f>IF(ISNUMBER(B177),YEAR(B177)*100+MONTH(B177),"")</f>
        <v/>
      </c>
      <c r="U177">
        <f>IF(AND(ISNUMBER(B177),H177&lt;&gt;"Published"),IF(INT(B177)&gt;=TODAY(),R177,""),"")</f>
        <v/>
      </c>
      <c r="V177">
        <f>IF(AND(ISNUMBER(B177),OR(H177="Draft",H177="Scheduled")),IF(INT(B177)&lt;TODAY(),1,0),0)</f>
        <v/>
      </c>
      <c r="W177">
        <f>IF(AND(H177="Published",N(O177)&gt;0),IF(T177=(YEAR(TODAY())*100+MONTH(TODAY())),ROUND(O177,0)*1000+1000-ROW(),""),"")</f>
        <v/>
      </c>
    </row>
    <row r="178">
      <c r="A178" s="1" t="n"/>
      <c r="B178" s="21" t="n"/>
      <c r="C178" s="22" t="n"/>
      <c r="D178" s="23" t="n"/>
      <c r="E178" s="24" t="n"/>
      <c r="F178" s="23" t="n"/>
      <c r="G178" s="25" t="n"/>
      <c r="H178" s="24" t="n"/>
      <c r="I178" s="23" t="n"/>
      <c r="J178" s="26" t="n"/>
      <c r="K178" s="26" t="n"/>
      <c r="L178" s="26" t="n"/>
      <c r="M178" s="26" t="n"/>
      <c r="N178" s="26" t="n"/>
      <c r="O178" s="27">
        <f>IF(COUNT(K178:N178)=0,"",SUM(K178:N178))</f>
        <v/>
      </c>
      <c r="P178" s="16">
        <f>IF(OR(O178="",N(J178)&lt;=0),"",O178/J178)</f>
        <v/>
      </c>
      <c r="Q178" s="28">
        <f>IF(V178=1,"Late","")</f>
        <v/>
      </c>
      <c r="R178" s="1">
        <f>IF(ISNUMBER(B178),INT(B178)*10000000+IF(ISNUMBER(C178),ROUND(MOD(C178,1)*1440,0),0)*1000+ROW(),"")</f>
        <v/>
      </c>
      <c r="S178">
        <f>IF(ISNUMBER(B178),INT(B178)-WEEKDAY(B178,3),"")</f>
        <v/>
      </c>
      <c r="T178">
        <f>IF(ISNUMBER(B178),YEAR(B178)*100+MONTH(B178),"")</f>
        <v/>
      </c>
      <c r="U178">
        <f>IF(AND(ISNUMBER(B178),H178&lt;&gt;"Published"),IF(INT(B178)&gt;=TODAY(),R178,""),"")</f>
        <v/>
      </c>
      <c r="V178">
        <f>IF(AND(ISNUMBER(B178),OR(H178="Draft",H178="Scheduled")),IF(INT(B178)&lt;TODAY(),1,0),0)</f>
        <v/>
      </c>
      <c r="W178">
        <f>IF(AND(H178="Published",N(O178)&gt;0),IF(T178=(YEAR(TODAY())*100+MONTH(TODAY())),ROUND(O178,0)*1000+1000-ROW(),""),"")</f>
        <v/>
      </c>
    </row>
    <row r="179">
      <c r="A179" s="1" t="n"/>
      <c r="B179" s="21" t="n"/>
      <c r="C179" s="22" t="n"/>
      <c r="D179" s="23" t="n"/>
      <c r="E179" s="24" t="n"/>
      <c r="F179" s="23" t="n"/>
      <c r="G179" s="25" t="n"/>
      <c r="H179" s="24" t="n"/>
      <c r="I179" s="23" t="n"/>
      <c r="J179" s="26" t="n"/>
      <c r="K179" s="26" t="n"/>
      <c r="L179" s="26" t="n"/>
      <c r="M179" s="26" t="n"/>
      <c r="N179" s="26" t="n"/>
      <c r="O179" s="27">
        <f>IF(COUNT(K179:N179)=0,"",SUM(K179:N179))</f>
        <v/>
      </c>
      <c r="P179" s="16">
        <f>IF(OR(O179="",N(J179)&lt;=0),"",O179/J179)</f>
        <v/>
      </c>
      <c r="Q179" s="28">
        <f>IF(V179=1,"Late","")</f>
        <v/>
      </c>
      <c r="R179" s="1">
        <f>IF(ISNUMBER(B179),INT(B179)*10000000+IF(ISNUMBER(C179),ROUND(MOD(C179,1)*1440,0),0)*1000+ROW(),"")</f>
        <v/>
      </c>
      <c r="S179">
        <f>IF(ISNUMBER(B179),INT(B179)-WEEKDAY(B179,3),"")</f>
        <v/>
      </c>
      <c r="T179">
        <f>IF(ISNUMBER(B179),YEAR(B179)*100+MONTH(B179),"")</f>
        <v/>
      </c>
      <c r="U179">
        <f>IF(AND(ISNUMBER(B179),H179&lt;&gt;"Published"),IF(INT(B179)&gt;=TODAY(),R179,""),"")</f>
        <v/>
      </c>
      <c r="V179">
        <f>IF(AND(ISNUMBER(B179),OR(H179="Draft",H179="Scheduled")),IF(INT(B179)&lt;TODAY(),1,0),0)</f>
        <v/>
      </c>
      <c r="W179">
        <f>IF(AND(H179="Published",N(O179)&gt;0),IF(T179=(YEAR(TODAY())*100+MONTH(TODAY())),ROUND(O179,0)*1000+1000-ROW(),""),"")</f>
        <v/>
      </c>
    </row>
    <row r="180">
      <c r="A180" s="1" t="n"/>
      <c r="B180" s="21" t="n"/>
      <c r="C180" s="22" t="n"/>
      <c r="D180" s="23" t="n"/>
      <c r="E180" s="24" t="n"/>
      <c r="F180" s="23" t="n"/>
      <c r="G180" s="25" t="n"/>
      <c r="H180" s="24" t="n"/>
      <c r="I180" s="23" t="n"/>
      <c r="J180" s="26" t="n"/>
      <c r="K180" s="26" t="n"/>
      <c r="L180" s="26" t="n"/>
      <c r="M180" s="26" t="n"/>
      <c r="N180" s="26" t="n"/>
      <c r="O180" s="27">
        <f>IF(COUNT(K180:N180)=0,"",SUM(K180:N180))</f>
        <v/>
      </c>
      <c r="P180" s="16">
        <f>IF(OR(O180="",N(J180)&lt;=0),"",O180/J180)</f>
        <v/>
      </c>
      <c r="Q180" s="28">
        <f>IF(V180=1,"Late","")</f>
        <v/>
      </c>
      <c r="R180" s="1">
        <f>IF(ISNUMBER(B180),INT(B180)*10000000+IF(ISNUMBER(C180),ROUND(MOD(C180,1)*1440,0),0)*1000+ROW(),"")</f>
        <v/>
      </c>
      <c r="S180">
        <f>IF(ISNUMBER(B180),INT(B180)-WEEKDAY(B180,3),"")</f>
        <v/>
      </c>
      <c r="T180">
        <f>IF(ISNUMBER(B180),YEAR(B180)*100+MONTH(B180),"")</f>
        <v/>
      </c>
      <c r="U180">
        <f>IF(AND(ISNUMBER(B180),H180&lt;&gt;"Published"),IF(INT(B180)&gt;=TODAY(),R180,""),"")</f>
        <v/>
      </c>
      <c r="V180">
        <f>IF(AND(ISNUMBER(B180),OR(H180="Draft",H180="Scheduled")),IF(INT(B180)&lt;TODAY(),1,0),0)</f>
        <v/>
      </c>
      <c r="W180">
        <f>IF(AND(H180="Published",N(O180)&gt;0),IF(T180=(YEAR(TODAY())*100+MONTH(TODAY())),ROUND(O180,0)*1000+1000-ROW(),""),"")</f>
        <v/>
      </c>
    </row>
    <row r="181">
      <c r="A181" s="1" t="n"/>
      <c r="B181" s="21" t="n"/>
      <c r="C181" s="22" t="n"/>
      <c r="D181" s="23" t="n"/>
      <c r="E181" s="24" t="n"/>
      <c r="F181" s="23" t="n"/>
      <c r="G181" s="25" t="n"/>
      <c r="H181" s="24" t="n"/>
      <c r="I181" s="23" t="n"/>
      <c r="J181" s="26" t="n"/>
      <c r="K181" s="26" t="n"/>
      <c r="L181" s="26" t="n"/>
      <c r="M181" s="26" t="n"/>
      <c r="N181" s="26" t="n"/>
      <c r="O181" s="27">
        <f>IF(COUNT(K181:N181)=0,"",SUM(K181:N181))</f>
        <v/>
      </c>
      <c r="P181" s="16">
        <f>IF(OR(O181="",N(J181)&lt;=0),"",O181/J181)</f>
        <v/>
      </c>
      <c r="Q181" s="28">
        <f>IF(V181=1,"Late","")</f>
        <v/>
      </c>
      <c r="R181" s="1">
        <f>IF(ISNUMBER(B181),INT(B181)*10000000+IF(ISNUMBER(C181),ROUND(MOD(C181,1)*1440,0),0)*1000+ROW(),"")</f>
        <v/>
      </c>
      <c r="S181">
        <f>IF(ISNUMBER(B181),INT(B181)-WEEKDAY(B181,3),"")</f>
        <v/>
      </c>
      <c r="T181">
        <f>IF(ISNUMBER(B181),YEAR(B181)*100+MONTH(B181),"")</f>
        <v/>
      </c>
      <c r="U181">
        <f>IF(AND(ISNUMBER(B181),H181&lt;&gt;"Published"),IF(INT(B181)&gt;=TODAY(),R181,""),"")</f>
        <v/>
      </c>
      <c r="V181">
        <f>IF(AND(ISNUMBER(B181),OR(H181="Draft",H181="Scheduled")),IF(INT(B181)&lt;TODAY(),1,0),0)</f>
        <v/>
      </c>
      <c r="W181">
        <f>IF(AND(H181="Published",N(O181)&gt;0),IF(T181=(YEAR(TODAY())*100+MONTH(TODAY())),ROUND(O181,0)*1000+1000-ROW(),""),"")</f>
        <v/>
      </c>
    </row>
    <row r="182">
      <c r="A182" s="1" t="n"/>
      <c r="B182" s="21" t="n"/>
      <c r="C182" s="22" t="n"/>
      <c r="D182" s="23" t="n"/>
      <c r="E182" s="24" t="n"/>
      <c r="F182" s="23" t="n"/>
      <c r="G182" s="25" t="n"/>
      <c r="H182" s="24" t="n"/>
      <c r="I182" s="23" t="n"/>
      <c r="J182" s="26" t="n"/>
      <c r="K182" s="26" t="n"/>
      <c r="L182" s="26" t="n"/>
      <c r="M182" s="26" t="n"/>
      <c r="N182" s="26" t="n"/>
      <c r="O182" s="27">
        <f>IF(COUNT(K182:N182)=0,"",SUM(K182:N182))</f>
        <v/>
      </c>
      <c r="P182" s="16">
        <f>IF(OR(O182="",N(J182)&lt;=0),"",O182/J182)</f>
        <v/>
      </c>
      <c r="Q182" s="28">
        <f>IF(V182=1,"Late","")</f>
        <v/>
      </c>
      <c r="R182" s="1">
        <f>IF(ISNUMBER(B182),INT(B182)*10000000+IF(ISNUMBER(C182),ROUND(MOD(C182,1)*1440,0),0)*1000+ROW(),"")</f>
        <v/>
      </c>
      <c r="S182">
        <f>IF(ISNUMBER(B182),INT(B182)-WEEKDAY(B182,3),"")</f>
        <v/>
      </c>
      <c r="T182">
        <f>IF(ISNUMBER(B182),YEAR(B182)*100+MONTH(B182),"")</f>
        <v/>
      </c>
      <c r="U182">
        <f>IF(AND(ISNUMBER(B182),H182&lt;&gt;"Published"),IF(INT(B182)&gt;=TODAY(),R182,""),"")</f>
        <v/>
      </c>
      <c r="V182">
        <f>IF(AND(ISNUMBER(B182),OR(H182="Draft",H182="Scheduled")),IF(INT(B182)&lt;TODAY(),1,0),0)</f>
        <v/>
      </c>
      <c r="W182">
        <f>IF(AND(H182="Published",N(O182)&gt;0),IF(T182=(YEAR(TODAY())*100+MONTH(TODAY())),ROUND(O182,0)*1000+1000-ROW(),""),"")</f>
        <v/>
      </c>
    </row>
    <row r="183">
      <c r="A183" s="1" t="n"/>
      <c r="B183" s="21" t="n"/>
      <c r="C183" s="22" t="n"/>
      <c r="D183" s="23" t="n"/>
      <c r="E183" s="24" t="n"/>
      <c r="F183" s="23" t="n"/>
      <c r="G183" s="25" t="n"/>
      <c r="H183" s="24" t="n"/>
      <c r="I183" s="23" t="n"/>
      <c r="J183" s="26" t="n"/>
      <c r="K183" s="26" t="n"/>
      <c r="L183" s="26" t="n"/>
      <c r="M183" s="26" t="n"/>
      <c r="N183" s="26" t="n"/>
      <c r="O183" s="27">
        <f>IF(COUNT(K183:N183)=0,"",SUM(K183:N183))</f>
        <v/>
      </c>
      <c r="P183" s="16">
        <f>IF(OR(O183="",N(J183)&lt;=0),"",O183/J183)</f>
        <v/>
      </c>
      <c r="Q183" s="28">
        <f>IF(V183=1,"Late","")</f>
        <v/>
      </c>
      <c r="R183" s="1">
        <f>IF(ISNUMBER(B183),INT(B183)*10000000+IF(ISNUMBER(C183),ROUND(MOD(C183,1)*1440,0),0)*1000+ROW(),"")</f>
        <v/>
      </c>
      <c r="S183">
        <f>IF(ISNUMBER(B183),INT(B183)-WEEKDAY(B183,3),"")</f>
        <v/>
      </c>
      <c r="T183">
        <f>IF(ISNUMBER(B183),YEAR(B183)*100+MONTH(B183),"")</f>
        <v/>
      </c>
      <c r="U183">
        <f>IF(AND(ISNUMBER(B183),H183&lt;&gt;"Published"),IF(INT(B183)&gt;=TODAY(),R183,""),"")</f>
        <v/>
      </c>
      <c r="V183">
        <f>IF(AND(ISNUMBER(B183),OR(H183="Draft",H183="Scheduled")),IF(INT(B183)&lt;TODAY(),1,0),0)</f>
        <v/>
      </c>
      <c r="W183">
        <f>IF(AND(H183="Published",N(O183)&gt;0),IF(T183=(YEAR(TODAY())*100+MONTH(TODAY())),ROUND(O183,0)*1000+1000-ROW(),""),"")</f>
        <v/>
      </c>
    </row>
    <row r="184">
      <c r="A184" s="1" t="n"/>
      <c r="B184" s="21" t="n"/>
      <c r="C184" s="22" t="n"/>
      <c r="D184" s="23" t="n"/>
      <c r="E184" s="24" t="n"/>
      <c r="F184" s="23" t="n"/>
      <c r="G184" s="25" t="n"/>
      <c r="H184" s="24" t="n"/>
      <c r="I184" s="23" t="n"/>
      <c r="J184" s="26" t="n"/>
      <c r="K184" s="26" t="n"/>
      <c r="L184" s="26" t="n"/>
      <c r="M184" s="26" t="n"/>
      <c r="N184" s="26" t="n"/>
      <c r="O184" s="27">
        <f>IF(COUNT(K184:N184)=0,"",SUM(K184:N184))</f>
        <v/>
      </c>
      <c r="P184" s="16">
        <f>IF(OR(O184="",N(J184)&lt;=0),"",O184/J184)</f>
        <v/>
      </c>
      <c r="Q184" s="28">
        <f>IF(V184=1,"Late","")</f>
        <v/>
      </c>
      <c r="R184" s="1">
        <f>IF(ISNUMBER(B184),INT(B184)*10000000+IF(ISNUMBER(C184),ROUND(MOD(C184,1)*1440,0),0)*1000+ROW(),"")</f>
        <v/>
      </c>
      <c r="S184">
        <f>IF(ISNUMBER(B184),INT(B184)-WEEKDAY(B184,3),"")</f>
        <v/>
      </c>
      <c r="T184">
        <f>IF(ISNUMBER(B184),YEAR(B184)*100+MONTH(B184),"")</f>
        <v/>
      </c>
      <c r="U184">
        <f>IF(AND(ISNUMBER(B184),H184&lt;&gt;"Published"),IF(INT(B184)&gt;=TODAY(),R184,""),"")</f>
        <v/>
      </c>
      <c r="V184">
        <f>IF(AND(ISNUMBER(B184),OR(H184="Draft",H184="Scheduled")),IF(INT(B184)&lt;TODAY(),1,0),0)</f>
        <v/>
      </c>
      <c r="W184">
        <f>IF(AND(H184="Published",N(O184)&gt;0),IF(T184=(YEAR(TODAY())*100+MONTH(TODAY())),ROUND(O184,0)*1000+1000-ROW(),""),"")</f>
        <v/>
      </c>
    </row>
    <row r="185">
      <c r="A185" s="1" t="n"/>
      <c r="B185" s="21" t="n"/>
      <c r="C185" s="22" t="n"/>
      <c r="D185" s="23" t="n"/>
      <c r="E185" s="24" t="n"/>
      <c r="F185" s="23" t="n"/>
      <c r="G185" s="25" t="n"/>
      <c r="H185" s="24" t="n"/>
      <c r="I185" s="23" t="n"/>
      <c r="J185" s="26" t="n"/>
      <c r="K185" s="26" t="n"/>
      <c r="L185" s="26" t="n"/>
      <c r="M185" s="26" t="n"/>
      <c r="N185" s="26" t="n"/>
      <c r="O185" s="27">
        <f>IF(COUNT(K185:N185)=0,"",SUM(K185:N185))</f>
        <v/>
      </c>
      <c r="P185" s="16">
        <f>IF(OR(O185="",N(J185)&lt;=0),"",O185/J185)</f>
        <v/>
      </c>
      <c r="Q185" s="28">
        <f>IF(V185=1,"Late","")</f>
        <v/>
      </c>
      <c r="R185" s="1">
        <f>IF(ISNUMBER(B185),INT(B185)*10000000+IF(ISNUMBER(C185),ROUND(MOD(C185,1)*1440,0),0)*1000+ROW(),"")</f>
        <v/>
      </c>
      <c r="S185">
        <f>IF(ISNUMBER(B185),INT(B185)-WEEKDAY(B185,3),"")</f>
        <v/>
      </c>
      <c r="T185">
        <f>IF(ISNUMBER(B185),YEAR(B185)*100+MONTH(B185),"")</f>
        <v/>
      </c>
      <c r="U185">
        <f>IF(AND(ISNUMBER(B185),H185&lt;&gt;"Published"),IF(INT(B185)&gt;=TODAY(),R185,""),"")</f>
        <v/>
      </c>
      <c r="V185">
        <f>IF(AND(ISNUMBER(B185),OR(H185="Draft",H185="Scheduled")),IF(INT(B185)&lt;TODAY(),1,0),0)</f>
        <v/>
      </c>
      <c r="W185">
        <f>IF(AND(H185="Published",N(O185)&gt;0),IF(T185=(YEAR(TODAY())*100+MONTH(TODAY())),ROUND(O185,0)*1000+1000-ROW(),""),"")</f>
        <v/>
      </c>
    </row>
    <row r="186">
      <c r="A186" s="1" t="n"/>
      <c r="B186" s="21" t="n"/>
      <c r="C186" s="22" t="n"/>
      <c r="D186" s="23" t="n"/>
      <c r="E186" s="24" t="n"/>
      <c r="F186" s="23" t="n"/>
      <c r="G186" s="25" t="n"/>
      <c r="H186" s="24" t="n"/>
      <c r="I186" s="23" t="n"/>
      <c r="J186" s="26" t="n"/>
      <c r="K186" s="26" t="n"/>
      <c r="L186" s="26" t="n"/>
      <c r="M186" s="26" t="n"/>
      <c r="N186" s="26" t="n"/>
      <c r="O186" s="27">
        <f>IF(COUNT(K186:N186)=0,"",SUM(K186:N186))</f>
        <v/>
      </c>
      <c r="P186" s="16">
        <f>IF(OR(O186="",N(J186)&lt;=0),"",O186/J186)</f>
        <v/>
      </c>
      <c r="Q186" s="28">
        <f>IF(V186=1,"Late","")</f>
        <v/>
      </c>
      <c r="R186" s="1">
        <f>IF(ISNUMBER(B186),INT(B186)*10000000+IF(ISNUMBER(C186),ROUND(MOD(C186,1)*1440,0),0)*1000+ROW(),"")</f>
        <v/>
      </c>
      <c r="S186">
        <f>IF(ISNUMBER(B186),INT(B186)-WEEKDAY(B186,3),"")</f>
        <v/>
      </c>
      <c r="T186">
        <f>IF(ISNUMBER(B186),YEAR(B186)*100+MONTH(B186),"")</f>
        <v/>
      </c>
      <c r="U186">
        <f>IF(AND(ISNUMBER(B186),H186&lt;&gt;"Published"),IF(INT(B186)&gt;=TODAY(),R186,""),"")</f>
        <v/>
      </c>
      <c r="V186">
        <f>IF(AND(ISNUMBER(B186),OR(H186="Draft",H186="Scheduled")),IF(INT(B186)&lt;TODAY(),1,0),0)</f>
        <v/>
      </c>
      <c r="W186">
        <f>IF(AND(H186="Published",N(O186)&gt;0),IF(T186=(YEAR(TODAY())*100+MONTH(TODAY())),ROUND(O186,0)*1000+1000-ROW(),""),"")</f>
        <v/>
      </c>
    </row>
    <row r="187">
      <c r="A187" s="1" t="n"/>
      <c r="B187" s="21" t="n"/>
      <c r="C187" s="22" t="n"/>
      <c r="D187" s="23" t="n"/>
      <c r="E187" s="24" t="n"/>
      <c r="F187" s="23" t="n"/>
      <c r="G187" s="25" t="n"/>
      <c r="H187" s="24" t="n"/>
      <c r="I187" s="23" t="n"/>
      <c r="J187" s="26" t="n"/>
      <c r="K187" s="26" t="n"/>
      <c r="L187" s="26" t="n"/>
      <c r="M187" s="26" t="n"/>
      <c r="N187" s="26" t="n"/>
      <c r="O187" s="27">
        <f>IF(COUNT(K187:N187)=0,"",SUM(K187:N187))</f>
        <v/>
      </c>
      <c r="P187" s="16">
        <f>IF(OR(O187="",N(J187)&lt;=0),"",O187/J187)</f>
        <v/>
      </c>
      <c r="Q187" s="28">
        <f>IF(V187=1,"Late","")</f>
        <v/>
      </c>
      <c r="R187" s="1">
        <f>IF(ISNUMBER(B187),INT(B187)*10000000+IF(ISNUMBER(C187),ROUND(MOD(C187,1)*1440,0),0)*1000+ROW(),"")</f>
        <v/>
      </c>
      <c r="S187">
        <f>IF(ISNUMBER(B187),INT(B187)-WEEKDAY(B187,3),"")</f>
        <v/>
      </c>
      <c r="T187">
        <f>IF(ISNUMBER(B187),YEAR(B187)*100+MONTH(B187),"")</f>
        <v/>
      </c>
      <c r="U187">
        <f>IF(AND(ISNUMBER(B187),H187&lt;&gt;"Published"),IF(INT(B187)&gt;=TODAY(),R187,""),"")</f>
        <v/>
      </c>
      <c r="V187">
        <f>IF(AND(ISNUMBER(B187),OR(H187="Draft",H187="Scheduled")),IF(INT(B187)&lt;TODAY(),1,0),0)</f>
        <v/>
      </c>
      <c r="W187">
        <f>IF(AND(H187="Published",N(O187)&gt;0),IF(T187=(YEAR(TODAY())*100+MONTH(TODAY())),ROUND(O187,0)*1000+1000-ROW(),""),"")</f>
        <v/>
      </c>
    </row>
    <row r="188">
      <c r="A188" s="1" t="n"/>
      <c r="B188" s="21" t="n"/>
      <c r="C188" s="22" t="n"/>
      <c r="D188" s="23" t="n"/>
      <c r="E188" s="24" t="n"/>
      <c r="F188" s="23" t="n"/>
      <c r="G188" s="25" t="n"/>
      <c r="H188" s="24" t="n"/>
      <c r="I188" s="23" t="n"/>
      <c r="J188" s="26" t="n"/>
      <c r="K188" s="26" t="n"/>
      <c r="L188" s="26" t="n"/>
      <c r="M188" s="26" t="n"/>
      <c r="N188" s="26" t="n"/>
      <c r="O188" s="27">
        <f>IF(COUNT(K188:N188)=0,"",SUM(K188:N188))</f>
        <v/>
      </c>
      <c r="P188" s="16">
        <f>IF(OR(O188="",N(J188)&lt;=0),"",O188/J188)</f>
        <v/>
      </c>
      <c r="Q188" s="28">
        <f>IF(V188=1,"Late","")</f>
        <v/>
      </c>
      <c r="R188" s="1">
        <f>IF(ISNUMBER(B188),INT(B188)*10000000+IF(ISNUMBER(C188),ROUND(MOD(C188,1)*1440,0),0)*1000+ROW(),"")</f>
        <v/>
      </c>
      <c r="S188">
        <f>IF(ISNUMBER(B188),INT(B188)-WEEKDAY(B188,3),"")</f>
        <v/>
      </c>
      <c r="T188">
        <f>IF(ISNUMBER(B188),YEAR(B188)*100+MONTH(B188),"")</f>
        <v/>
      </c>
      <c r="U188">
        <f>IF(AND(ISNUMBER(B188),H188&lt;&gt;"Published"),IF(INT(B188)&gt;=TODAY(),R188,""),"")</f>
        <v/>
      </c>
      <c r="V188">
        <f>IF(AND(ISNUMBER(B188),OR(H188="Draft",H188="Scheduled")),IF(INT(B188)&lt;TODAY(),1,0),0)</f>
        <v/>
      </c>
      <c r="W188">
        <f>IF(AND(H188="Published",N(O188)&gt;0),IF(T188=(YEAR(TODAY())*100+MONTH(TODAY())),ROUND(O188,0)*1000+1000-ROW(),""),"")</f>
        <v/>
      </c>
    </row>
    <row r="189">
      <c r="A189" s="1" t="n"/>
      <c r="B189" s="21" t="n"/>
      <c r="C189" s="22" t="n"/>
      <c r="D189" s="23" t="n"/>
      <c r="E189" s="24" t="n"/>
      <c r="F189" s="23" t="n"/>
      <c r="G189" s="25" t="n"/>
      <c r="H189" s="24" t="n"/>
      <c r="I189" s="23" t="n"/>
      <c r="J189" s="26" t="n"/>
      <c r="K189" s="26" t="n"/>
      <c r="L189" s="26" t="n"/>
      <c r="M189" s="26" t="n"/>
      <c r="N189" s="26" t="n"/>
      <c r="O189" s="27">
        <f>IF(COUNT(K189:N189)=0,"",SUM(K189:N189))</f>
        <v/>
      </c>
      <c r="P189" s="16">
        <f>IF(OR(O189="",N(J189)&lt;=0),"",O189/J189)</f>
        <v/>
      </c>
      <c r="Q189" s="28">
        <f>IF(V189=1,"Late","")</f>
        <v/>
      </c>
      <c r="R189" s="1">
        <f>IF(ISNUMBER(B189),INT(B189)*10000000+IF(ISNUMBER(C189),ROUND(MOD(C189,1)*1440,0),0)*1000+ROW(),"")</f>
        <v/>
      </c>
      <c r="S189">
        <f>IF(ISNUMBER(B189),INT(B189)-WEEKDAY(B189,3),"")</f>
        <v/>
      </c>
      <c r="T189">
        <f>IF(ISNUMBER(B189),YEAR(B189)*100+MONTH(B189),"")</f>
        <v/>
      </c>
      <c r="U189">
        <f>IF(AND(ISNUMBER(B189),H189&lt;&gt;"Published"),IF(INT(B189)&gt;=TODAY(),R189,""),"")</f>
        <v/>
      </c>
      <c r="V189">
        <f>IF(AND(ISNUMBER(B189),OR(H189="Draft",H189="Scheduled")),IF(INT(B189)&lt;TODAY(),1,0),0)</f>
        <v/>
      </c>
      <c r="W189">
        <f>IF(AND(H189="Published",N(O189)&gt;0),IF(T189=(YEAR(TODAY())*100+MONTH(TODAY())),ROUND(O189,0)*1000+1000-ROW(),""),"")</f>
        <v/>
      </c>
    </row>
    <row r="190">
      <c r="A190" s="1" t="n"/>
      <c r="B190" s="21" t="n"/>
      <c r="C190" s="22" t="n"/>
      <c r="D190" s="23" t="n"/>
      <c r="E190" s="24" t="n"/>
      <c r="F190" s="23" t="n"/>
      <c r="G190" s="25" t="n"/>
      <c r="H190" s="24" t="n"/>
      <c r="I190" s="23" t="n"/>
      <c r="J190" s="26" t="n"/>
      <c r="K190" s="26" t="n"/>
      <c r="L190" s="26" t="n"/>
      <c r="M190" s="26" t="n"/>
      <c r="N190" s="26" t="n"/>
      <c r="O190" s="27">
        <f>IF(COUNT(K190:N190)=0,"",SUM(K190:N190))</f>
        <v/>
      </c>
      <c r="P190" s="16">
        <f>IF(OR(O190="",N(J190)&lt;=0),"",O190/J190)</f>
        <v/>
      </c>
      <c r="Q190" s="28">
        <f>IF(V190=1,"Late","")</f>
        <v/>
      </c>
      <c r="R190" s="1">
        <f>IF(ISNUMBER(B190),INT(B190)*10000000+IF(ISNUMBER(C190),ROUND(MOD(C190,1)*1440,0),0)*1000+ROW(),"")</f>
        <v/>
      </c>
      <c r="S190">
        <f>IF(ISNUMBER(B190),INT(B190)-WEEKDAY(B190,3),"")</f>
        <v/>
      </c>
      <c r="T190">
        <f>IF(ISNUMBER(B190),YEAR(B190)*100+MONTH(B190),"")</f>
        <v/>
      </c>
      <c r="U190">
        <f>IF(AND(ISNUMBER(B190),H190&lt;&gt;"Published"),IF(INT(B190)&gt;=TODAY(),R190,""),"")</f>
        <v/>
      </c>
      <c r="V190">
        <f>IF(AND(ISNUMBER(B190),OR(H190="Draft",H190="Scheduled")),IF(INT(B190)&lt;TODAY(),1,0),0)</f>
        <v/>
      </c>
      <c r="W190">
        <f>IF(AND(H190="Published",N(O190)&gt;0),IF(T190=(YEAR(TODAY())*100+MONTH(TODAY())),ROUND(O190,0)*1000+1000-ROW(),""),"")</f>
        <v/>
      </c>
    </row>
    <row r="191">
      <c r="A191" s="1" t="n"/>
      <c r="B191" s="21" t="n"/>
      <c r="C191" s="22" t="n"/>
      <c r="D191" s="23" t="n"/>
      <c r="E191" s="24" t="n"/>
      <c r="F191" s="23" t="n"/>
      <c r="G191" s="25" t="n"/>
      <c r="H191" s="24" t="n"/>
      <c r="I191" s="23" t="n"/>
      <c r="J191" s="26" t="n"/>
      <c r="K191" s="26" t="n"/>
      <c r="L191" s="26" t="n"/>
      <c r="M191" s="26" t="n"/>
      <c r="N191" s="26" t="n"/>
      <c r="O191" s="27">
        <f>IF(COUNT(K191:N191)=0,"",SUM(K191:N191))</f>
        <v/>
      </c>
      <c r="P191" s="16">
        <f>IF(OR(O191="",N(J191)&lt;=0),"",O191/J191)</f>
        <v/>
      </c>
      <c r="Q191" s="28">
        <f>IF(V191=1,"Late","")</f>
        <v/>
      </c>
      <c r="R191" s="1">
        <f>IF(ISNUMBER(B191),INT(B191)*10000000+IF(ISNUMBER(C191),ROUND(MOD(C191,1)*1440,0),0)*1000+ROW(),"")</f>
        <v/>
      </c>
      <c r="S191">
        <f>IF(ISNUMBER(B191),INT(B191)-WEEKDAY(B191,3),"")</f>
        <v/>
      </c>
      <c r="T191">
        <f>IF(ISNUMBER(B191),YEAR(B191)*100+MONTH(B191),"")</f>
        <v/>
      </c>
      <c r="U191">
        <f>IF(AND(ISNUMBER(B191),H191&lt;&gt;"Published"),IF(INT(B191)&gt;=TODAY(),R191,""),"")</f>
        <v/>
      </c>
      <c r="V191">
        <f>IF(AND(ISNUMBER(B191),OR(H191="Draft",H191="Scheduled")),IF(INT(B191)&lt;TODAY(),1,0),0)</f>
        <v/>
      </c>
      <c r="W191">
        <f>IF(AND(H191="Published",N(O191)&gt;0),IF(T191=(YEAR(TODAY())*100+MONTH(TODAY())),ROUND(O191,0)*1000+1000-ROW(),""),"")</f>
        <v/>
      </c>
    </row>
    <row r="192">
      <c r="A192" s="1" t="n"/>
      <c r="B192" s="21" t="n"/>
      <c r="C192" s="22" t="n"/>
      <c r="D192" s="23" t="n"/>
      <c r="E192" s="24" t="n"/>
      <c r="F192" s="23" t="n"/>
      <c r="G192" s="25" t="n"/>
      <c r="H192" s="24" t="n"/>
      <c r="I192" s="23" t="n"/>
      <c r="J192" s="26" t="n"/>
      <c r="K192" s="26" t="n"/>
      <c r="L192" s="26" t="n"/>
      <c r="M192" s="26" t="n"/>
      <c r="N192" s="26" t="n"/>
      <c r="O192" s="27">
        <f>IF(COUNT(K192:N192)=0,"",SUM(K192:N192))</f>
        <v/>
      </c>
      <c r="P192" s="16">
        <f>IF(OR(O192="",N(J192)&lt;=0),"",O192/J192)</f>
        <v/>
      </c>
      <c r="Q192" s="28">
        <f>IF(V192=1,"Late","")</f>
        <v/>
      </c>
      <c r="R192" s="1">
        <f>IF(ISNUMBER(B192),INT(B192)*10000000+IF(ISNUMBER(C192),ROUND(MOD(C192,1)*1440,0),0)*1000+ROW(),"")</f>
        <v/>
      </c>
      <c r="S192">
        <f>IF(ISNUMBER(B192),INT(B192)-WEEKDAY(B192,3),"")</f>
        <v/>
      </c>
      <c r="T192">
        <f>IF(ISNUMBER(B192),YEAR(B192)*100+MONTH(B192),"")</f>
        <v/>
      </c>
      <c r="U192">
        <f>IF(AND(ISNUMBER(B192),H192&lt;&gt;"Published"),IF(INT(B192)&gt;=TODAY(),R192,""),"")</f>
        <v/>
      </c>
      <c r="V192">
        <f>IF(AND(ISNUMBER(B192),OR(H192="Draft",H192="Scheduled")),IF(INT(B192)&lt;TODAY(),1,0),0)</f>
        <v/>
      </c>
      <c r="W192">
        <f>IF(AND(H192="Published",N(O192)&gt;0),IF(T192=(YEAR(TODAY())*100+MONTH(TODAY())),ROUND(O192,0)*1000+1000-ROW(),""),"")</f>
        <v/>
      </c>
    </row>
    <row r="193">
      <c r="A193" s="1" t="n"/>
      <c r="B193" s="21" t="n"/>
      <c r="C193" s="22" t="n"/>
      <c r="D193" s="23" t="n"/>
      <c r="E193" s="24" t="n"/>
      <c r="F193" s="23" t="n"/>
      <c r="G193" s="25" t="n"/>
      <c r="H193" s="24" t="n"/>
      <c r="I193" s="23" t="n"/>
      <c r="J193" s="26" t="n"/>
      <c r="K193" s="26" t="n"/>
      <c r="L193" s="26" t="n"/>
      <c r="M193" s="26" t="n"/>
      <c r="N193" s="26" t="n"/>
      <c r="O193" s="27">
        <f>IF(COUNT(K193:N193)=0,"",SUM(K193:N193))</f>
        <v/>
      </c>
      <c r="P193" s="16">
        <f>IF(OR(O193="",N(J193)&lt;=0),"",O193/J193)</f>
        <v/>
      </c>
      <c r="Q193" s="28">
        <f>IF(V193=1,"Late","")</f>
        <v/>
      </c>
      <c r="R193" s="1">
        <f>IF(ISNUMBER(B193),INT(B193)*10000000+IF(ISNUMBER(C193),ROUND(MOD(C193,1)*1440,0),0)*1000+ROW(),"")</f>
        <v/>
      </c>
      <c r="S193">
        <f>IF(ISNUMBER(B193),INT(B193)-WEEKDAY(B193,3),"")</f>
        <v/>
      </c>
      <c r="T193">
        <f>IF(ISNUMBER(B193),YEAR(B193)*100+MONTH(B193),"")</f>
        <v/>
      </c>
      <c r="U193">
        <f>IF(AND(ISNUMBER(B193),H193&lt;&gt;"Published"),IF(INT(B193)&gt;=TODAY(),R193,""),"")</f>
        <v/>
      </c>
      <c r="V193">
        <f>IF(AND(ISNUMBER(B193),OR(H193="Draft",H193="Scheduled")),IF(INT(B193)&lt;TODAY(),1,0),0)</f>
        <v/>
      </c>
      <c r="W193">
        <f>IF(AND(H193="Published",N(O193)&gt;0),IF(T193=(YEAR(TODAY())*100+MONTH(TODAY())),ROUND(O193,0)*1000+1000-ROW(),""),"")</f>
        <v/>
      </c>
    </row>
    <row r="194">
      <c r="A194" s="1" t="n"/>
      <c r="B194" s="21" t="n"/>
      <c r="C194" s="22" t="n"/>
      <c r="D194" s="23" t="n"/>
      <c r="E194" s="24" t="n"/>
      <c r="F194" s="23" t="n"/>
      <c r="G194" s="25" t="n"/>
      <c r="H194" s="24" t="n"/>
      <c r="I194" s="23" t="n"/>
      <c r="J194" s="26" t="n"/>
      <c r="K194" s="26" t="n"/>
      <c r="L194" s="26" t="n"/>
      <c r="M194" s="26" t="n"/>
      <c r="N194" s="26" t="n"/>
      <c r="O194" s="27">
        <f>IF(COUNT(K194:N194)=0,"",SUM(K194:N194))</f>
        <v/>
      </c>
      <c r="P194" s="16">
        <f>IF(OR(O194="",N(J194)&lt;=0),"",O194/J194)</f>
        <v/>
      </c>
      <c r="Q194" s="28">
        <f>IF(V194=1,"Late","")</f>
        <v/>
      </c>
      <c r="R194" s="1">
        <f>IF(ISNUMBER(B194),INT(B194)*10000000+IF(ISNUMBER(C194),ROUND(MOD(C194,1)*1440,0),0)*1000+ROW(),"")</f>
        <v/>
      </c>
      <c r="S194">
        <f>IF(ISNUMBER(B194),INT(B194)-WEEKDAY(B194,3),"")</f>
        <v/>
      </c>
      <c r="T194">
        <f>IF(ISNUMBER(B194),YEAR(B194)*100+MONTH(B194),"")</f>
        <v/>
      </c>
      <c r="U194">
        <f>IF(AND(ISNUMBER(B194),H194&lt;&gt;"Published"),IF(INT(B194)&gt;=TODAY(),R194,""),"")</f>
        <v/>
      </c>
      <c r="V194">
        <f>IF(AND(ISNUMBER(B194),OR(H194="Draft",H194="Scheduled")),IF(INT(B194)&lt;TODAY(),1,0),0)</f>
        <v/>
      </c>
      <c r="W194">
        <f>IF(AND(H194="Published",N(O194)&gt;0),IF(T194=(YEAR(TODAY())*100+MONTH(TODAY())),ROUND(O194,0)*1000+1000-ROW(),""),"")</f>
        <v/>
      </c>
    </row>
    <row r="195">
      <c r="A195" s="1" t="n"/>
      <c r="B195" s="21" t="n"/>
      <c r="C195" s="22" t="n"/>
      <c r="D195" s="23" t="n"/>
      <c r="E195" s="24" t="n"/>
      <c r="F195" s="23" t="n"/>
      <c r="G195" s="25" t="n"/>
      <c r="H195" s="24" t="n"/>
      <c r="I195" s="23" t="n"/>
      <c r="J195" s="26" t="n"/>
      <c r="K195" s="26" t="n"/>
      <c r="L195" s="26" t="n"/>
      <c r="M195" s="26" t="n"/>
      <c r="N195" s="26" t="n"/>
      <c r="O195" s="27">
        <f>IF(COUNT(K195:N195)=0,"",SUM(K195:N195))</f>
        <v/>
      </c>
      <c r="P195" s="16">
        <f>IF(OR(O195="",N(J195)&lt;=0),"",O195/J195)</f>
        <v/>
      </c>
      <c r="Q195" s="28">
        <f>IF(V195=1,"Late","")</f>
        <v/>
      </c>
      <c r="R195" s="1">
        <f>IF(ISNUMBER(B195),INT(B195)*10000000+IF(ISNUMBER(C195),ROUND(MOD(C195,1)*1440,0),0)*1000+ROW(),"")</f>
        <v/>
      </c>
      <c r="S195">
        <f>IF(ISNUMBER(B195),INT(B195)-WEEKDAY(B195,3),"")</f>
        <v/>
      </c>
      <c r="T195">
        <f>IF(ISNUMBER(B195),YEAR(B195)*100+MONTH(B195),"")</f>
        <v/>
      </c>
      <c r="U195">
        <f>IF(AND(ISNUMBER(B195),H195&lt;&gt;"Published"),IF(INT(B195)&gt;=TODAY(),R195,""),"")</f>
        <v/>
      </c>
      <c r="V195">
        <f>IF(AND(ISNUMBER(B195),OR(H195="Draft",H195="Scheduled")),IF(INT(B195)&lt;TODAY(),1,0),0)</f>
        <v/>
      </c>
      <c r="W195">
        <f>IF(AND(H195="Published",N(O195)&gt;0),IF(T195=(YEAR(TODAY())*100+MONTH(TODAY())),ROUND(O195,0)*1000+1000-ROW(),""),"")</f>
        <v/>
      </c>
    </row>
    <row r="196">
      <c r="A196" s="1" t="n"/>
      <c r="B196" s="21" t="n"/>
      <c r="C196" s="22" t="n"/>
      <c r="D196" s="23" t="n"/>
      <c r="E196" s="24" t="n"/>
      <c r="F196" s="23" t="n"/>
      <c r="G196" s="25" t="n"/>
      <c r="H196" s="24" t="n"/>
      <c r="I196" s="23" t="n"/>
      <c r="J196" s="26" t="n"/>
      <c r="K196" s="26" t="n"/>
      <c r="L196" s="26" t="n"/>
      <c r="M196" s="26" t="n"/>
      <c r="N196" s="26" t="n"/>
      <c r="O196" s="27">
        <f>IF(COUNT(K196:N196)=0,"",SUM(K196:N196))</f>
        <v/>
      </c>
      <c r="P196" s="16">
        <f>IF(OR(O196="",N(J196)&lt;=0),"",O196/J196)</f>
        <v/>
      </c>
      <c r="Q196" s="28">
        <f>IF(V196=1,"Late","")</f>
        <v/>
      </c>
      <c r="R196" s="1">
        <f>IF(ISNUMBER(B196),INT(B196)*10000000+IF(ISNUMBER(C196),ROUND(MOD(C196,1)*1440,0),0)*1000+ROW(),"")</f>
        <v/>
      </c>
      <c r="S196">
        <f>IF(ISNUMBER(B196),INT(B196)-WEEKDAY(B196,3),"")</f>
        <v/>
      </c>
      <c r="T196">
        <f>IF(ISNUMBER(B196),YEAR(B196)*100+MONTH(B196),"")</f>
        <v/>
      </c>
      <c r="U196">
        <f>IF(AND(ISNUMBER(B196),H196&lt;&gt;"Published"),IF(INT(B196)&gt;=TODAY(),R196,""),"")</f>
        <v/>
      </c>
      <c r="V196">
        <f>IF(AND(ISNUMBER(B196),OR(H196="Draft",H196="Scheduled")),IF(INT(B196)&lt;TODAY(),1,0),0)</f>
        <v/>
      </c>
      <c r="W196">
        <f>IF(AND(H196="Published",N(O196)&gt;0),IF(T196=(YEAR(TODAY())*100+MONTH(TODAY())),ROUND(O196,0)*1000+1000-ROW(),""),"")</f>
        <v/>
      </c>
    </row>
    <row r="197">
      <c r="A197" s="1" t="n"/>
      <c r="B197" s="21" t="n"/>
      <c r="C197" s="22" t="n"/>
      <c r="D197" s="23" t="n"/>
      <c r="E197" s="24" t="n"/>
      <c r="F197" s="23" t="n"/>
      <c r="G197" s="25" t="n"/>
      <c r="H197" s="24" t="n"/>
      <c r="I197" s="23" t="n"/>
      <c r="J197" s="26" t="n"/>
      <c r="K197" s="26" t="n"/>
      <c r="L197" s="26" t="n"/>
      <c r="M197" s="26" t="n"/>
      <c r="N197" s="26" t="n"/>
      <c r="O197" s="27">
        <f>IF(COUNT(K197:N197)=0,"",SUM(K197:N197))</f>
        <v/>
      </c>
      <c r="P197" s="16">
        <f>IF(OR(O197="",N(J197)&lt;=0),"",O197/J197)</f>
        <v/>
      </c>
      <c r="Q197" s="28">
        <f>IF(V197=1,"Late","")</f>
        <v/>
      </c>
      <c r="R197" s="1">
        <f>IF(ISNUMBER(B197),INT(B197)*10000000+IF(ISNUMBER(C197),ROUND(MOD(C197,1)*1440,0),0)*1000+ROW(),"")</f>
        <v/>
      </c>
      <c r="S197">
        <f>IF(ISNUMBER(B197),INT(B197)-WEEKDAY(B197,3),"")</f>
        <v/>
      </c>
      <c r="T197">
        <f>IF(ISNUMBER(B197),YEAR(B197)*100+MONTH(B197),"")</f>
        <v/>
      </c>
      <c r="U197">
        <f>IF(AND(ISNUMBER(B197),H197&lt;&gt;"Published"),IF(INT(B197)&gt;=TODAY(),R197,""),"")</f>
        <v/>
      </c>
      <c r="V197">
        <f>IF(AND(ISNUMBER(B197),OR(H197="Draft",H197="Scheduled")),IF(INT(B197)&lt;TODAY(),1,0),0)</f>
        <v/>
      </c>
      <c r="W197">
        <f>IF(AND(H197="Published",N(O197)&gt;0),IF(T197=(YEAR(TODAY())*100+MONTH(TODAY())),ROUND(O197,0)*1000+1000-ROW(),""),"")</f>
        <v/>
      </c>
    </row>
    <row r="198">
      <c r="A198" s="1" t="n"/>
      <c r="B198" s="21" t="n"/>
      <c r="C198" s="22" t="n"/>
      <c r="D198" s="23" t="n"/>
      <c r="E198" s="24" t="n"/>
      <c r="F198" s="23" t="n"/>
      <c r="G198" s="25" t="n"/>
      <c r="H198" s="24" t="n"/>
      <c r="I198" s="23" t="n"/>
      <c r="J198" s="26" t="n"/>
      <c r="K198" s="26" t="n"/>
      <c r="L198" s="26" t="n"/>
      <c r="M198" s="26" t="n"/>
      <c r="N198" s="26" t="n"/>
      <c r="O198" s="27">
        <f>IF(COUNT(K198:N198)=0,"",SUM(K198:N198))</f>
        <v/>
      </c>
      <c r="P198" s="16">
        <f>IF(OR(O198="",N(J198)&lt;=0),"",O198/J198)</f>
        <v/>
      </c>
      <c r="Q198" s="28">
        <f>IF(V198=1,"Late","")</f>
        <v/>
      </c>
      <c r="R198" s="1">
        <f>IF(ISNUMBER(B198),INT(B198)*10000000+IF(ISNUMBER(C198),ROUND(MOD(C198,1)*1440,0),0)*1000+ROW(),"")</f>
        <v/>
      </c>
      <c r="S198">
        <f>IF(ISNUMBER(B198),INT(B198)-WEEKDAY(B198,3),"")</f>
        <v/>
      </c>
      <c r="T198">
        <f>IF(ISNUMBER(B198),YEAR(B198)*100+MONTH(B198),"")</f>
        <v/>
      </c>
      <c r="U198">
        <f>IF(AND(ISNUMBER(B198),H198&lt;&gt;"Published"),IF(INT(B198)&gt;=TODAY(),R198,""),"")</f>
        <v/>
      </c>
      <c r="V198">
        <f>IF(AND(ISNUMBER(B198),OR(H198="Draft",H198="Scheduled")),IF(INT(B198)&lt;TODAY(),1,0),0)</f>
        <v/>
      </c>
      <c r="W198">
        <f>IF(AND(H198="Published",N(O198)&gt;0),IF(T198=(YEAR(TODAY())*100+MONTH(TODAY())),ROUND(O198,0)*1000+1000-ROW(),""),"")</f>
        <v/>
      </c>
    </row>
    <row r="199">
      <c r="A199" s="1" t="n"/>
      <c r="B199" s="21" t="n"/>
      <c r="C199" s="22" t="n"/>
      <c r="D199" s="23" t="n"/>
      <c r="E199" s="24" t="n"/>
      <c r="F199" s="23" t="n"/>
      <c r="G199" s="25" t="n"/>
      <c r="H199" s="24" t="n"/>
      <c r="I199" s="23" t="n"/>
      <c r="J199" s="26" t="n"/>
      <c r="K199" s="26" t="n"/>
      <c r="L199" s="26" t="n"/>
      <c r="M199" s="26" t="n"/>
      <c r="N199" s="26" t="n"/>
      <c r="O199" s="27">
        <f>IF(COUNT(K199:N199)=0,"",SUM(K199:N199))</f>
        <v/>
      </c>
      <c r="P199" s="16">
        <f>IF(OR(O199="",N(J199)&lt;=0),"",O199/J199)</f>
        <v/>
      </c>
      <c r="Q199" s="28">
        <f>IF(V199=1,"Late","")</f>
        <v/>
      </c>
      <c r="R199" s="1">
        <f>IF(ISNUMBER(B199),INT(B199)*10000000+IF(ISNUMBER(C199),ROUND(MOD(C199,1)*1440,0),0)*1000+ROW(),"")</f>
        <v/>
      </c>
      <c r="S199">
        <f>IF(ISNUMBER(B199),INT(B199)-WEEKDAY(B199,3),"")</f>
        <v/>
      </c>
      <c r="T199">
        <f>IF(ISNUMBER(B199),YEAR(B199)*100+MONTH(B199),"")</f>
        <v/>
      </c>
      <c r="U199">
        <f>IF(AND(ISNUMBER(B199),H199&lt;&gt;"Published"),IF(INT(B199)&gt;=TODAY(),R199,""),"")</f>
        <v/>
      </c>
      <c r="V199">
        <f>IF(AND(ISNUMBER(B199),OR(H199="Draft",H199="Scheduled")),IF(INT(B199)&lt;TODAY(),1,0),0)</f>
        <v/>
      </c>
      <c r="W199">
        <f>IF(AND(H199="Published",N(O199)&gt;0),IF(T199=(YEAR(TODAY())*100+MONTH(TODAY())),ROUND(O199,0)*1000+1000-ROW(),""),"")</f>
        <v/>
      </c>
    </row>
    <row r="200">
      <c r="A200" s="1" t="n"/>
      <c r="B200" s="21" t="n"/>
      <c r="C200" s="22" t="n"/>
      <c r="D200" s="23" t="n"/>
      <c r="E200" s="24" t="n"/>
      <c r="F200" s="23" t="n"/>
      <c r="G200" s="25" t="n"/>
      <c r="H200" s="24" t="n"/>
      <c r="I200" s="23" t="n"/>
      <c r="J200" s="26" t="n"/>
      <c r="K200" s="26" t="n"/>
      <c r="L200" s="26" t="n"/>
      <c r="M200" s="26" t="n"/>
      <c r="N200" s="26" t="n"/>
      <c r="O200" s="27">
        <f>IF(COUNT(K200:N200)=0,"",SUM(K200:N200))</f>
        <v/>
      </c>
      <c r="P200" s="16">
        <f>IF(OR(O200="",N(J200)&lt;=0),"",O200/J200)</f>
        <v/>
      </c>
      <c r="Q200" s="28">
        <f>IF(V200=1,"Late","")</f>
        <v/>
      </c>
      <c r="R200" s="1">
        <f>IF(ISNUMBER(B200),INT(B200)*10000000+IF(ISNUMBER(C200),ROUND(MOD(C200,1)*1440,0),0)*1000+ROW(),"")</f>
        <v/>
      </c>
      <c r="S200">
        <f>IF(ISNUMBER(B200),INT(B200)-WEEKDAY(B200,3),"")</f>
        <v/>
      </c>
      <c r="T200">
        <f>IF(ISNUMBER(B200),YEAR(B200)*100+MONTH(B200),"")</f>
        <v/>
      </c>
      <c r="U200">
        <f>IF(AND(ISNUMBER(B200),H200&lt;&gt;"Published"),IF(INT(B200)&gt;=TODAY(),R200,""),"")</f>
        <v/>
      </c>
      <c r="V200">
        <f>IF(AND(ISNUMBER(B200),OR(H200="Draft",H200="Scheduled")),IF(INT(B200)&lt;TODAY(),1,0),0)</f>
        <v/>
      </c>
      <c r="W200">
        <f>IF(AND(H200="Published",N(O200)&gt;0),IF(T200=(YEAR(TODAY())*100+MONTH(TODAY())),ROUND(O200,0)*1000+1000-ROW(),""),"")</f>
        <v/>
      </c>
    </row>
    <row r="201">
      <c r="A201" s="1" t="n"/>
      <c r="B201" s="21" t="n"/>
      <c r="C201" s="22" t="n"/>
      <c r="D201" s="23" t="n"/>
      <c r="E201" s="24" t="n"/>
      <c r="F201" s="23" t="n"/>
      <c r="G201" s="25" t="n"/>
      <c r="H201" s="24" t="n"/>
      <c r="I201" s="23" t="n"/>
      <c r="J201" s="26" t="n"/>
      <c r="K201" s="26" t="n"/>
      <c r="L201" s="26" t="n"/>
      <c r="M201" s="26" t="n"/>
      <c r="N201" s="26" t="n"/>
      <c r="O201" s="27">
        <f>IF(COUNT(K201:N201)=0,"",SUM(K201:N201))</f>
        <v/>
      </c>
      <c r="P201" s="16">
        <f>IF(OR(O201="",N(J201)&lt;=0),"",O201/J201)</f>
        <v/>
      </c>
      <c r="Q201" s="28">
        <f>IF(V201=1,"Late","")</f>
        <v/>
      </c>
      <c r="R201" s="1">
        <f>IF(ISNUMBER(B201),INT(B201)*10000000+IF(ISNUMBER(C201),ROUND(MOD(C201,1)*1440,0),0)*1000+ROW(),"")</f>
        <v/>
      </c>
      <c r="S201">
        <f>IF(ISNUMBER(B201),INT(B201)-WEEKDAY(B201,3),"")</f>
        <v/>
      </c>
      <c r="T201">
        <f>IF(ISNUMBER(B201),YEAR(B201)*100+MONTH(B201),"")</f>
        <v/>
      </c>
      <c r="U201">
        <f>IF(AND(ISNUMBER(B201),H201&lt;&gt;"Published"),IF(INT(B201)&gt;=TODAY(),R201,""),"")</f>
        <v/>
      </c>
      <c r="V201">
        <f>IF(AND(ISNUMBER(B201),OR(H201="Draft",H201="Scheduled")),IF(INT(B201)&lt;TODAY(),1,0),0)</f>
        <v/>
      </c>
      <c r="W201">
        <f>IF(AND(H201="Published",N(O201)&gt;0),IF(T201=(YEAR(TODAY())*100+MONTH(TODAY())),ROUND(O201,0)*1000+1000-ROW(),""),"")</f>
        <v/>
      </c>
    </row>
    <row r="202">
      <c r="A202" s="1" t="n"/>
      <c r="B202" s="21" t="n"/>
      <c r="C202" s="22" t="n"/>
      <c r="D202" s="23" t="n"/>
      <c r="E202" s="24" t="n"/>
      <c r="F202" s="23" t="n"/>
      <c r="G202" s="25" t="n"/>
      <c r="H202" s="24" t="n"/>
      <c r="I202" s="23" t="n"/>
      <c r="J202" s="26" t="n"/>
      <c r="K202" s="26" t="n"/>
      <c r="L202" s="26" t="n"/>
      <c r="M202" s="26" t="n"/>
      <c r="N202" s="26" t="n"/>
      <c r="O202" s="27">
        <f>IF(COUNT(K202:N202)=0,"",SUM(K202:N202))</f>
        <v/>
      </c>
      <c r="P202" s="16">
        <f>IF(OR(O202="",N(J202)&lt;=0),"",O202/J202)</f>
        <v/>
      </c>
      <c r="Q202" s="28">
        <f>IF(V202=1,"Late","")</f>
        <v/>
      </c>
      <c r="R202" s="1">
        <f>IF(ISNUMBER(B202),INT(B202)*10000000+IF(ISNUMBER(C202),ROUND(MOD(C202,1)*1440,0),0)*1000+ROW(),"")</f>
        <v/>
      </c>
      <c r="S202">
        <f>IF(ISNUMBER(B202),INT(B202)-WEEKDAY(B202,3),"")</f>
        <v/>
      </c>
      <c r="T202">
        <f>IF(ISNUMBER(B202),YEAR(B202)*100+MONTH(B202),"")</f>
        <v/>
      </c>
      <c r="U202">
        <f>IF(AND(ISNUMBER(B202),H202&lt;&gt;"Published"),IF(INT(B202)&gt;=TODAY(),R202,""),"")</f>
        <v/>
      </c>
      <c r="V202">
        <f>IF(AND(ISNUMBER(B202),OR(H202="Draft",H202="Scheduled")),IF(INT(B202)&lt;TODAY(),1,0),0)</f>
        <v/>
      </c>
      <c r="W202">
        <f>IF(AND(H202="Published",N(O202)&gt;0),IF(T202=(YEAR(TODAY())*100+MONTH(TODAY())),ROUND(O202,0)*1000+1000-ROW(),""),"")</f>
        <v/>
      </c>
    </row>
    <row r="203">
      <c r="A203" s="1" t="n"/>
      <c r="B203" s="21" t="n"/>
      <c r="C203" s="22" t="n"/>
      <c r="D203" s="23" t="n"/>
      <c r="E203" s="24" t="n"/>
      <c r="F203" s="23" t="n"/>
      <c r="G203" s="25" t="n"/>
      <c r="H203" s="24" t="n"/>
      <c r="I203" s="23" t="n"/>
      <c r="J203" s="26" t="n"/>
      <c r="K203" s="26" t="n"/>
      <c r="L203" s="26" t="n"/>
      <c r="M203" s="26" t="n"/>
      <c r="N203" s="26" t="n"/>
      <c r="O203" s="27">
        <f>IF(COUNT(K203:N203)=0,"",SUM(K203:N203))</f>
        <v/>
      </c>
      <c r="P203" s="16">
        <f>IF(OR(O203="",N(J203)&lt;=0),"",O203/J203)</f>
        <v/>
      </c>
      <c r="Q203" s="28">
        <f>IF(V203=1,"Late","")</f>
        <v/>
      </c>
      <c r="R203" s="1">
        <f>IF(ISNUMBER(B203),INT(B203)*10000000+IF(ISNUMBER(C203),ROUND(MOD(C203,1)*1440,0),0)*1000+ROW(),"")</f>
        <v/>
      </c>
      <c r="S203">
        <f>IF(ISNUMBER(B203),INT(B203)-WEEKDAY(B203,3),"")</f>
        <v/>
      </c>
      <c r="T203">
        <f>IF(ISNUMBER(B203),YEAR(B203)*100+MONTH(B203),"")</f>
        <v/>
      </c>
      <c r="U203">
        <f>IF(AND(ISNUMBER(B203),H203&lt;&gt;"Published"),IF(INT(B203)&gt;=TODAY(),R203,""),"")</f>
        <v/>
      </c>
      <c r="V203">
        <f>IF(AND(ISNUMBER(B203),OR(H203="Draft",H203="Scheduled")),IF(INT(B203)&lt;TODAY(),1,0),0)</f>
        <v/>
      </c>
      <c r="W203">
        <f>IF(AND(H203="Published",N(O203)&gt;0),IF(T203=(YEAR(TODAY())*100+MONTH(TODAY())),ROUND(O203,0)*1000+1000-ROW(),""),"")</f>
        <v/>
      </c>
    </row>
    <row r="204">
      <c r="A204" s="1" t="n"/>
      <c r="B204" s="21" t="n"/>
      <c r="C204" s="22" t="n"/>
      <c r="D204" s="23" t="n"/>
      <c r="E204" s="24" t="n"/>
      <c r="F204" s="23" t="n"/>
      <c r="G204" s="25" t="n"/>
      <c r="H204" s="24" t="n"/>
      <c r="I204" s="23" t="n"/>
      <c r="J204" s="26" t="n"/>
      <c r="K204" s="26" t="n"/>
      <c r="L204" s="26" t="n"/>
      <c r="M204" s="26" t="n"/>
      <c r="N204" s="26" t="n"/>
      <c r="O204" s="27">
        <f>IF(COUNT(K204:N204)=0,"",SUM(K204:N204))</f>
        <v/>
      </c>
      <c r="P204" s="16">
        <f>IF(OR(O204="",N(J204)&lt;=0),"",O204/J204)</f>
        <v/>
      </c>
      <c r="Q204" s="28">
        <f>IF(V204=1,"Late","")</f>
        <v/>
      </c>
      <c r="R204" s="1">
        <f>IF(ISNUMBER(B204),INT(B204)*10000000+IF(ISNUMBER(C204),ROUND(MOD(C204,1)*1440,0),0)*1000+ROW(),"")</f>
        <v/>
      </c>
      <c r="S204">
        <f>IF(ISNUMBER(B204),INT(B204)-WEEKDAY(B204,3),"")</f>
        <v/>
      </c>
      <c r="T204">
        <f>IF(ISNUMBER(B204),YEAR(B204)*100+MONTH(B204),"")</f>
        <v/>
      </c>
      <c r="U204">
        <f>IF(AND(ISNUMBER(B204),H204&lt;&gt;"Published"),IF(INT(B204)&gt;=TODAY(),R204,""),"")</f>
        <v/>
      </c>
      <c r="V204">
        <f>IF(AND(ISNUMBER(B204),OR(H204="Draft",H204="Scheduled")),IF(INT(B204)&lt;TODAY(),1,0),0)</f>
        <v/>
      </c>
      <c r="W204">
        <f>IF(AND(H204="Published",N(O204)&gt;0),IF(T204=(YEAR(TODAY())*100+MONTH(TODAY())),ROUND(O204,0)*1000+1000-ROW(),""),"")</f>
        <v/>
      </c>
    </row>
    <row r="205">
      <c r="A205" s="1" t="n"/>
      <c r="B205" s="21" t="n"/>
      <c r="C205" s="22" t="n"/>
      <c r="D205" s="23" t="n"/>
      <c r="E205" s="24" t="n"/>
      <c r="F205" s="23" t="n"/>
      <c r="G205" s="25" t="n"/>
      <c r="H205" s="24" t="n"/>
      <c r="I205" s="23" t="n"/>
      <c r="J205" s="26" t="n"/>
      <c r="K205" s="26" t="n"/>
      <c r="L205" s="26" t="n"/>
      <c r="M205" s="26" t="n"/>
      <c r="N205" s="26" t="n"/>
      <c r="O205" s="27">
        <f>IF(COUNT(K205:N205)=0,"",SUM(K205:N205))</f>
        <v/>
      </c>
      <c r="P205" s="16">
        <f>IF(OR(O205="",N(J205)&lt;=0),"",O205/J205)</f>
        <v/>
      </c>
      <c r="Q205" s="28">
        <f>IF(V205=1,"Late","")</f>
        <v/>
      </c>
      <c r="R205" s="1">
        <f>IF(ISNUMBER(B205),INT(B205)*10000000+IF(ISNUMBER(C205),ROUND(MOD(C205,1)*1440,0),0)*1000+ROW(),"")</f>
        <v/>
      </c>
      <c r="S205">
        <f>IF(ISNUMBER(B205),INT(B205)-WEEKDAY(B205,3),"")</f>
        <v/>
      </c>
      <c r="T205">
        <f>IF(ISNUMBER(B205),YEAR(B205)*100+MONTH(B205),"")</f>
        <v/>
      </c>
      <c r="U205">
        <f>IF(AND(ISNUMBER(B205),H205&lt;&gt;"Published"),IF(INT(B205)&gt;=TODAY(),R205,""),"")</f>
        <v/>
      </c>
      <c r="V205">
        <f>IF(AND(ISNUMBER(B205),OR(H205="Draft",H205="Scheduled")),IF(INT(B205)&lt;TODAY(),1,0),0)</f>
        <v/>
      </c>
      <c r="W205">
        <f>IF(AND(H205="Published",N(O205)&gt;0),IF(T205=(YEAR(TODAY())*100+MONTH(TODAY())),ROUND(O205,0)*1000+1000-ROW(),""),"")</f>
        <v/>
      </c>
    </row>
    <row r="206">
      <c r="A206" s="1" t="n"/>
      <c r="B206" s="21" t="n"/>
      <c r="C206" s="22" t="n"/>
      <c r="D206" s="23" t="n"/>
      <c r="E206" s="24" t="n"/>
      <c r="F206" s="23" t="n"/>
      <c r="G206" s="25" t="n"/>
      <c r="H206" s="24" t="n"/>
      <c r="I206" s="23" t="n"/>
      <c r="J206" s="26" t="n"/>
      <c r="K206" s="26" t="n"/>
      <c r="L206" s="26" t="n"/>
      <c r="M206" s="26" t="n"/>
      <c r="N206" s="26" t="n"/>
      <c r="O206" s="27">
        <f>IF(COUNT(K206:N206)=0,"",SUM(K206:N206))</f>
        <v/>
      </c>
      <c r="P206" s="16">
        <f>IF(OR(O206="",N(J206)&lt;=0),"",O206/J206)</f>
        <v/>
      </c>
      <c r="Q206" s="28">
        <f>IF(V206=1,"Late","")</f>
        <v/>
      </c>
      <c r="R206" s="1">
        <f>IF(ISNUMBER(B206),INT(B206)*10000000+IF(ISNUMBER(C206),ROUND(MOD(C206,1)*1440,0),0)*1000+ROW(),"")</f>
        <v/>
      </c>
      <c r="S206">
        <f>IF(ISNUMBER(B206),INT(B206)-WEEKDAY(B206,3),"")</f>
        <v/>
      </c>
      <c r="T206">
        <f>IF(ISNUMBER(B206),YEAR(B206)*100+MONTH(B206),"")</f>
        <v/>
      </c>
      <c r="U206">
        <f>IF(AND(ISNUMBER(B206),H206&lt;&gt;"Published"),IF(INT(B206)&gt;=TODAY(),R206,""),"")</f>
        <v/>
      </c>
      <c r="V206">
        <f>IF(AND(ISNUMBER(B206),OR(H206="Draft",H206="Scheduled")),IF(INT(B206)&lt;TODAY(),1,0),0)</f>
        <v/>
      </c>
      <c r="W206">
        <f>IF(AND(H206="Published",N(O206)&gt;0),IF(T206=(YEAR(TODAY())*100+MONTH(TODAY())),ROUND(O206,0)*1000+1000-ROW(),""),"")</f>
        <v/>
      </c>
    </row>
    <row r="207">
      <c r="A207" s="1" t="n"/>
      <c r="B207" s="21" t="n"/>
      <c r="C207" s="22" t="n"/>
      <c r="D207" s="23" t="n"/>
      <c r="E207" s="24" t="n"/>
      <c r="F207" s="23" t="n"/>
      <c r="G207" s="25" t="n"/>
      <c r="H207" s="24" t="n"/>
      <c r="I207" s="23" t="n"/>
      <c r="J207" s="26" t="n"/>
      <c r="K207" s="26" t="n"/>
      <c r="L207" s="26" t="n"/>
      <c r="M207" s="26" t="n"/>
      <c r="N207" s="26" t="n"/>
      <c r="O207" s="27">
        <f>IF(COUNT(K207:N207)=0,"",SUM(K207:N207))</f>
        <v/>
      </c>
      <c r="P207" s="16">
        <f>IF(OR(O207="",N(J207)&lt;=0),"",O207/J207)</f>
        <v/>
      </c>
      <c r="Q207" s="28">
        <f>IF(V207=1,"Late","")</f>
        <v/>
      </c>
      <c r="R207" s="1">
        <f>IF(ISNUMBER(B207),INT(B207)*10000000+IF(ISNUMBER(C207),ROUND(MOD(C207,1)*1440,0),0)*1000+ROW(),"")</f>
        <v/>
      </c>
      <c r="S207">
        <f>IF(ISNUMBER(B207),INT(B207)-WEEKDAY(B207,3),"")</f>
        <v/>
      </c>
      <c r="T207">
        <f>IF(ISNUMBER(B207),YEAR(B207)*100+MONTH(B207),"")</f>
        <v/>
      </c>
      <c r="U207">
        <f>IF(AND(ISNUMBER(B207),H207&lt;&gt;"Published"),IF(INT(B207)&gt;=TODAY(),R207,""),"")</f>
        <v/>
      </c>
      <c r="V207">
        <f>IF(AND(ISNUMBER(B207),OR(H207="Draft",H207="Scheduled")),IF(INT(B207)&lt;TODAY(),1,0),0)</f>
        <v/>
      </c>
      <c r="W207">
        <f>IF(AND(H207="Published",N(O207)&gt;0),IF(T207=(YEAR(TODAY())*100+MONTH(TODAY())),ROUND(O207,0)*1000+1000-ROW(),""),"")</f>
        <v/>
      </c>
    </row>
    <row r="208">
      <c r="A208" s="1" t="n"/>
      <c r="B208" s="21" t="n"/>
      <c r="C208" s="22" t="n"/>
      <c r="D208" s="23" t="n"/>
      <c r="E208" s="24" t="n"/>
      <c r="F208" s="23" t="n"/>
      <c r="G208" s="25" t="n"/>
      <c r="H208" s="24" t="n"/>
      <c r="I208" s="23" t="n"/>
      <c r="J208" s="26" t="n"/>
      <c r="K208" s="26" t="n"/>
      <c r="L208" s="26" t="n"/>
      <c r="M208" s="26" t="n"/>
      <c r="N208" s="26" t="n"/>
      <c r="O208" s="27">
        <f>IF(COUNT(K208:N208)=0,"",SUM(K208:N208))</f>
        <v/>
      </c>
      <c r="P208" s="16">
        <f>IF(OR(O208="",N(J208)&lt;=0),"",O208/J208)</f>
        <v/>
      </c>
      <c r="Q208" s="28">
        <f>IF(V208=1,"Late","")</f>
        <v/>
      </c>
      <c r="R208" s="1">
        <f>IF(ISNUMBER(B208),INT(B208)*10000000+IF(ISNUMBER(C208),ROUND(MOD(C208,1)*1440,0),0)*1000+ROW(),"")</f>
        <v/>
      </c>
      <c r="S208">
        <f>IF(ISNUMBER(B208),INT(B208)-WEEKDAY(B208,3),"")</f>
        <v/>
      </c>
      <c r="T208">
        <f>IF(ISNUMBER(B208),YEAR(B208)*100+MONTH(B208),"")</f>
        <v/>
      </c>
      <c r="U208">
        <f>IF(AND(ISNUMBER(B208),H208&lt;&gt;"Published"),IF(INT(B208)&gt;=TODAY(),R208,""),"")</f>
        <v/>
      </c>
      <c r="V208">
        <f>IF(AND(ISNUMBER(B208),OR(H208="Draft",H208="Scheduled")),IF(INT(B208)&lt;TODAY(),1,0),0)</f>
        <v/>
      </c>
      <c r="W208">
        <f>IF(AND(H208="Published",N(O208)&gt;0),IF(T208=(YEAR(TODAY())*100+MONTH(TODAY())),ROUND(O208,0)*1000+1000-ROW(),""),"")</f>
        <v/>
      </c>
    </row>
    <row r="209">
      <c r="A209" s="1" t="n"/>
      <c r="B209" s="21" t="n"/>
      <c r="C209" s="22" t="n"/>
      <c r="D209" s="23" t="n"/>
      <c r="E209" s="24" t="n"/>
      <c r="F209" s="23" t="n"/>
      <c r="G209" s="25" t="n"/>
      <c r="H209" s="24" t="n"/>
      <c r="I209" s="23" t="n"/>
      <c r="J209" s="26" t="n"/>
      <c r="K209" s="26" t="n"/>
      <c r="L209" s="26" t="n"/>
      <c r="M209" s="26" t="n"/>
      <c r="N209" s="26" t="n"/>
      <c r="O209" s="27">
        <f>IF(COUNT(K209:N209)=0,"",SUM(K209:N209))</f>
        <v/>
      </c>
      <c r="P209" s="16">
        <f>IF(OR(O209="",N(J209)&lt;=0),"",O209/J209)</f>
        <v/>
      </c>
      <c r="Q209" s="28">
        <f>IF(V209=1,"Late","")</f>
        <v/>
      </c>
      <c r="R209" s="1">
        <f>IF(ISNUMBER(B209),INT(B209)*10000000+IF(ISNUMBER(C209),ROUND(MOD(C209,1)*1440,0),0)*1000+ROW(),"")</f>
        <v/>
      </c>
      <c r="S209">
        <f>IF(ISNUMBER(B209),INT(B209)-WEEKDAY(B209,3),"")</f>
        <v/>
      </c>
      <c r="T209">
        <f>IF(ISNUMBER(B209),YEAR(B209)*100+MONTH(B209),"")</f>
        <v/>
      </c>
      <c r="U209">
        <f>IF(AND(ISNUMBER(B209),H209&lt;&gt;"Published"),IF(INT(B209)&gt;=TODAY(),R209,""),"")</f>
        <v/>
      </c>
      <c r="V209">
        <f>IF(AND(ISNUMBER(B209),OR(H209="Draft",H209="Scheduled")),IF(INT(B209)&lt;TODAY(),1,0),0)</f>
        <v/>
      </c>
      <c r="W209">
        <f>IF(AND(H209="Published",N(O209)&gt;0),IF(T209=(YEAR(TODAY())*100+MONTH(TODAY())),ROUND(O209,0)*1000+1000-ROW(),""),"")</f>
        <v/>
      </c>
    </row>
    <row r="210">
      <c r="A210" s="1" t="n"/>
      <c r="B210" s="21" t="n"/>
      <c r="C210" s="22" t="n"/>
      <c r="D210" s="23" t="n"/>
      <c r="E210" s="24" t="n"/>
      <c r="F210" s="23" t="n"/>
      <c r="G210" s="25" t="n"/>
      <c r="H210" s="24" t="n"/>
      <c r="I210" s="23" t="n"/>
      <c r="J210" s="26" t="n"/>
      <c r="K210" s="26" t="n"/>
      <c r="L210" s="26" t="n"/>
      <c r="M210" s="26" t="n"/>
      <c r="N210" s="26" t="n"/>
      <c r="O210" s="27">
        <f>IF(COUNT(K210:N210)=0,"",SUM(K210:N210))</f>
        <v/>
      </c>
      <c r="P210" s="16">
        <f>IF(OR(O210="",N(J210)&lt;=0),"",O210/J210)</f>
        <v/>
      </c>
      <c r="Q210" s="28">
        <f>IF(V210=1,"Late","")</f>
        <v/>
      </c>
      <c r="R210" s="1">
        <f>IF(ISNUMBER(B210),INT(B210)*10000000+IF(ISNUMBER(C210),ROUND(MOD(C210,1)*1440,0),0)*1000+ROW(),"")</f>
        <v/>
      </c>
      <c r="S210">
        <f>IF(ISNUMBER(B210),INT(B210)-WEEKDAY(B210,3),"")</f>
        <v/>
      </c>
      <c r="T210">
        <f>IF(ISNUMBER(B210),YEAR(B210)*100+MONTH(B210),"")</f>
        <v/>
      </c>
      <c r="U210">
        <f>IF(AND(ISNUMBER(B210),H210&lt;&gt;"Published"),IF(INT(B210)&gt;=TODAY(),R210,""),"")</f>
        <v/>
      </c>
      <c r="V210">
        <f>IF(AND(ISNUMBER(B210),OR(H210="Draft",H210="Scheduled")),IF(INT(B210)&lt;TODAY(),1,0),0)</f>
        <v/>
      </c>
      <c r="W210">
        <f>IF(AND(H210="Published",N(O210)&gt;0),IF(T210=(YEAR(TODAY())*100+MONTH(TODAY())),ROUND(O210,0)*1000+1000-ROW(),""),"")</f>
        <v/>
      </c>
    </row>
    <row r="211">
      <c r="A211" s="1" t="n"/>
      <c r="B211" s="21" t="n"/>
      <c r="C211" s="22" t="n"/>
      <c r="D211" s="23" t="n"/>
      <c r="E211" s="24" t="n"/>
      <c r="F211" s="23" t="n"/>
      <c r="G211" s="25" t="n"/>
      <c r="H211" s="24" t="n"/>
      <c r="I211" s="23" t="n"/>
      <c r="J211" s="26" t="n"/>
      <c r="K211" s="26" t="n"/>
      <c r="L211" s="26" t="n"/>
      <c r="M211" s="26" t="n"/>
      <c r="N211" s="26" t="n"/>
      <c r="O211" s="27">
        <f>IF(COUNT(K211:N211)=0,"",SUM(K211:N211))</f>
        <v/>
      </c>
      <c r="P211" s="16">
        <f>IF(OR(O211="",N(J211)&lt;=0),"",O211/J211)</f>
        <v/>
      </c>
      <c r="Q211" s="28">
        <f>IF(V211=1,"Late","")</f>
        <v/>
      </c>
      <c r="R211" s="1">
        <f>IF(ISNUMBER(B211),INT(B211)*10000000+IF(ISNUMBER(C211),ROUND(MOD(C211,1)*1440,0),0)*1000+ROW(),"")</f>
        <v/>
      </c>
      <c r="S211">
        <f>IF(ISNUMBER(B211),INT(B211)-WEEKDAY(B211,3),"")</f>
        <v/>
      </c>
      <c r="T211">
        <f>IF(ISNUMBER(B211),YEAR(B211)*100+MONTH(B211),"")</f>
        <v/>
      </c>
      <c r="U211">
        <f>IF(AND(ISNUMBER(B211),H211&lt;&gt;"Published"),IF(INT(B211)&gt;=TODAY(),R211,""),"")</f>
        <v/>
      </c>
      <c r="V211">
        <f>IF(AND(ISNUMBER(B211),OR(H211="Draft",H211="Scheduled")),IF(INT(B211)&lt;TODAY(),1,0),0)</f>
        <v/>
      </c>
      <c r="W211">
        <f>IF(AND(H211="Published",N(O211)&gt;0),IF(T211=(YEAR(TODAY())*100+MONTH(TODAY())),ROUND(O211,0)*1000+1000-ROW(),""),"")</f>
        <v/>
      </c>
    </row>
    <row r="212">
      <c r="A212" s="1" t="n"/>
      <c r="B212" s="21" t="n"/>
      <c r="C212" s="22" t="n"/>
      <c r="D212" s="23" t="n"/>
      <c r="E212" s="24" t="n"/>
      <c r="F212" s="23" t="n"/>
      <c r="G212" s="25" t="n"/>
      <c r="H212" s="24" t="n"/>
      <c r="I212" s="23" t="n"/>
      <c r="J212" s="26" t="n"/>
      <c r="K212" s="26" t="n"/>
      <c r="L212" s="26" t="n"/>
      <c r="M212" s="26" t="n"/>
      <c r="N212" s="26" t="n"/>
      <c r="O212" s="27">
        <f>IF(COUNT(K212:N212)=0,"",SUM(K212:N212))</f>
        <v/>
      </c>
      <c r="P212" s="16">
        <f>IF(OR(O212="",N(J212)&lt;=0),"",O212/J212)</f>
        <v/>
      </c>
      <c r="Q212" s="28">
        <f>IF(V212=1,"Late","")</f>
        <v/>
      </c>
      <c r="R212" s="1">
        <f>IF(ISNUMBER(B212),INT(B212)*10000000+IF(ISNUMBER(C212),ROUND(MOD(C212,1)*1440,0),0)*1000+ROW(),"")</f>
        <v/>
      </c>
      <c r="S212">
        <f>IF(ISNUMBER(B212),INT(B212)-WEEKDAY(B212,3),"")</f>
        <v/>
      </c>
      <c r="T212">
        <f>IF(ISNUMBER(B212),YEAR(B212)*100+MONTH(B212),"")</f>
        <v/>
      </c>
      <c r="U212">
        <f>IF(AND(ISNUMBER(B212),H212&lt;&gt;"Published"),IF(INT(B212)&gt;=TODAY(),R212,""),"")</f>
        <v/>
      </c>
      <c r="V212">
        <f>IF(AND(ISNUMBER(B212),OR(H212="Draft",H212="Scheduled")),IF(INT(B212)&lt;TODAY(),1,0),0)</f>
        <v/>
      </c>
      <c r="W212">
        <f>IF(AND(H212="Published",N(O212)&gt;0),IF(T212=(YEAR(TODAY())*100+MONTH(TODAY())),ROUND(O212,0)*1000+1000-ROW(),""),"")</f>
        <v/>
      </c>
    </row>
    <row r="213">
      <c r="A213" s="1" t="n"/>
      <c r="B213" s="21" t="n"/>
      <c r="C213" s="22" t="n"/>
      <c r="D213" s="23" t="n"/>
      <c r="E213" s="24" t="n"/>
      <c r="F213" s="23" t="n"/>
      <c r="G213" s="25" t="n"/>
      <c r="H213" s="24" t="n"/>
      <c r="I213" s="23" t="n"/>
      <c r="J213" s="26" t="n"/>
      <c r="K213" s="26" t="n"/>
      <c r="L213" s="26" t="n"/>
      <c r="M213" s="26" t="n"/>
      <c r="N213" s="26" t="n"/>
      <c r="O213" s="27">
        <f>IF(COUNT(K213:N213)=0,"",SUM(K213:N213))</f>
        <v/>
      </c>
      <c r="P213" s="16">
        <f>IF(OR(O213="",N(J213)&lt;=0),"",O213/J213)</f>
        <v/>
      </c>
      <c r="Q213" s="28">
        <f>IF(V213=1,"Late","")</f>
        <v/>
      </c>
      <c r="R213" s="1">
        <f>IF(ISNUMBER(B213),INT(B213)*10000000+IF(ISNUMBER(C213),ROUND(MOD(C213,1)*1440,0),0)*1000+ROW(),"")</f>
        <v/>
      </c>
      <c r="S213">
        <f>IF(ISNUMBER(B213),INT(B213)-WEEKDAY(B213,3),"")</f>
        <v/>
      </c>
      <c r="T213">
        <f>IF(ISNUMBER(B213),YEAR(B213)*100+MONTH(B213),"")</f>
        <v/>
      </c>
      <c r="U213">
        <f>IF(AND(ISNUMBER(B213),H213&lt;&gt;"Published"),IF(INT(B213)&gt;=TODAY(),R213,""),"")</f>
        <v/>
      </c>
      <c r="V213">
        <f>IF(AND(ISNUMBER(B213),OR(H213="Draft",H213="Scheduled")),IF(INT(B213)&lt;TODAY(),1,0),0)</f>
        <v/>
      </c>
      <c r="W213">
        <f>IF(AND(H213="Published",N(O213)&gt;0),IF(T213=(YEAR(TODAY())*100+MONTH(TODAY())),ROUND(O213,0)*1000+1000-ROW(),""),"")</f>
        <v/>
      </c>
    </row>
    <row r="214">
      <c r="A214" s="1" t="n"/>
      <c r="B214" s="21" t="n"/>
      <c r="C214" s="22" t="n"/>
      <c r="D214" s="23" t="n"/>
      <c r="E214" s="24" t="n"/>
      <c r="F214" s="23" t="n"/>
      <c r="G214" s="25" t="n"/>
      <c r="H214" s="24" t="n"/>
      <c r="I214" s="23" t="n"/>
      <c r="J214" s="26" t="n"/>
      <c r="K214" s="26" t="n"/>
      <c r="L214" s="26" t="n"/>
      <c r="M214" s="26" t="n"/>
      <c r="N214" s="26" t="n"/>
      <c r="O214" s="27">
        <f>IF(COUNT(K214:N214)=0,"",SUM(K214:N214))</f>
        <v/>
      </c>
      <c r="P214" s="16">
        <f>IF(OR(O214="",N(J214)&lt;=0),"",O214/J214)</f>
        <v/>
      </c>
      <c r="Q214" s="28">
        <f>IF(V214=1,"Late","")</f>
        <v/>
      </c>
      <c r="R214" s="1">
        <f>IF(ISNUMBER(B214),INT(B214)*10000000+IF(ISNUMBER(C214),ROUND(MOD(C214,1)*1440,0),0)*1000+ROW(),"")</f>
        <v/>
      </c>
      <c r="S214">
        <f>IF(ISNUMBER(B214),INT(B214)-WEEKDAY(B214,3),"")</f>
        <v/>
      </c>
      <c r="T214">
        <f>IF(ISNUMBER(B214),YEAR(B214)*100+MONTH(B214),"")</f>
        <v/>
      </c>
      <c r="U214">
        <f>IF(AND(ISNUMBER(B214),H214&lt;&gt;"Published"),IF(INT(B214)&gt;=TODAY(),R214,""),"")</f>
        <v/>
      </c>
      <c r="V214">
        <f>IF(AND(ISNUMBER(B214),OR(H214="Draft",H214="Scheduled")),IF(INT(B214)&lt;TODAY(),1,0),0)</f>
        <v/>
      </c>
      <c r="W214">
        <f>IF(AND(H214="Published",N(O214)&gt;0),IF(T214=(YEAR(TODAY())*100+MONTH(TODAY())),ROUND(O214,0)*1000+1000-ROW(),""),"")</f>
        <v/>
      </c>
    </row>
    <row r="215">
      <c r="A215" s="1" t="n"/>
      <c r="B215" s="21" t="n"/>
      <c r="C215" s="22" t="n"/>
      <c r="D215" s="23" t="n"/>
      <c r="E215" s="24" t="n"/>
      <c r="F215" s="23" t="n"/>
      <c r="G215" s="25" t="n"/>
      <c r="H215" s="24" t="n"/>
      <c r="I215" s="23" t="n"/>
      <c r="J215" s="26" t="n"/>
      <c r="K215" s="26" t="n"/>
      <c r="L215" s="26" t="n"/>
      <c r="M215" s="26" t="n"/>
      <c r="N215" s="26" t="n"/>
      <c r="O215" s="27">
        <f>IF(COUNT(K215:N215)=0,"",SUM(K215:N215))</f>
        <v/>
      </c>
      <c r="P215" s="16">
        <f>IF(OR(O215="",N(J215)&lt;=0),"",O215/J215)</f>
        <v/>
      </c>
      <c r="Q215" s="28">
        <f>IF(V215=1,"Late","")</f>
        <v/>
      </c>
      <c r="R215" s="1">
        <f>IF(ISNUMBER(B215),INT(B215)*10000000+IF(ISNUMBER(C215),ROUND(MOD(C215,1)*1440,0),0)*1000+ROW(),"")</f>
        <v/>
      </c>
      <c r="S215">
        <f>IF(ISNUMBER(B215),INT(B215)-WEEKDAY(B215,3),"")</f>
        <v/>
      </c>
      <c r="T215">
        <f>IF(ISNUMBER(B215),YEAR(B215)*100+MONTH(B215),"")</f>
        <v/>
      </c>
      <c r="U215">
        <f>IF(AND(ISNUMBER(B215),H215&lt;&gt;"Published"),IF(INT(B215)&gt;=TODAY(),R215,""),"")</f>
        <v/>
      </c>
      <c r="V215">
        <f>IF(AND(ISNUMBER(B215),OR(H215="Draft",H215="Scheduled")),IF(INT(B215)&lt;TODAY(),1,0),0)</f>
        <v/>
      </c>
      <c r="W215">
        <f>IF(AND(H215="Published",N(O215)&gt;0),IF(T215=(YEAR(TODAY())*100+MONTH(TODAY())),ROUND(O215,0)*1000+1000-ROW(),""),"")</f>
        <v/>
      </c>
    </row>
    <row r="216">
      <c r="A216" s="1" t="n"/>
      <c r="B216" s="21" t="n"/>
      <c r="C216" s="22" t="n"/>
      <c r="D216" s="23" t="n"/>
      <c r="E216" s="24" t="n"/>
      <c r="F216" s="23" t="n"/>
      <c r="G216" s="25" t="n"/>
      <c r="H216" s="24" t="n"/>
      <c r="I216" s="23" t="n"/>
      <c r="J216" s="26" t="n"/>
      <c r="K216" s="26" t="n"/>
      <c r="L216" s="26" t="n"/>
      <c r="M216" s="26" t="n"/>
      <c r="N216" s="26" t="n"/>
      <c r="O216" s="27">
        <f>IF(COUNT(K216:N216)=0,"",SUM(K216:N216))</f>
        <v/>
      </c>
      <c r="P216" s="16">
        <f>IF(OR(O216="",N(J216)&lt;=0),"",O216/J216)</f>
        <v/>
      </c>
      <c r="Q216" s="28">
        <f>IF(V216=1,"Late","")</f>
        <v/>
      </c>
      <c r="R216" s="1">
        <f>IF(ISNUMBER(B216),INT(B216)*10000000+IF(ISNUMBER(C216),ROUND(MOD(C216,1)*1440,0),0)*1000+ROW(),"")</f>
        <v/>
      </c>
      <c r="S216">
        <f>IF(ISNUMBER(B216),INT(B216)-WEEKDAY(B216,3),"")</f>
        <v/>
      </c>
      <c r="T216">
        <f>IF(ISNUMBER(B216),YEAR(B216)*100+MONTH(B216),"")</f>
        <v/>
      </c>
      <c r="U216">
        <f>IF(AND(ISNUMBER(B216),H216&lt;&gt;"Published"),IF(INT(B216)&gt;=TODAY(),R216,""),"")</f>
        <v/>
      </c>
      <c r="V216">
        <f>IF(AND(ISNUMBER(B216),OR(H216="Draft",H216="Scheduled")),IF(INT(B216)&lt;TODAY(),1,0),0)</f>
        <v/>
      </c>
      <c r="W216">
        <f>IF(AND(H216="Published",N(O216)&gt;0),IF(T216=(YEAR(TODAY())*100+MONTH(TODAY())),ROUND(O216,0)*1000+1000-ROW(),""),"")</f>
        <v/>
      </c>
    </row>
    <row r="217">
      <c r="A217" s="1" t="n"/>
      <c r="B217" s="21" t="n"/>
      <c r="C217" s="22" t="n"/>
      <c r="D217" s="23" t="n"/>
      <c r="E217" s="24" t="n"/>
      <c r="F217" s="23" t="n"/>
      <c r="G217" s="25" t="n"/>
      <c r="H217" s="24" t="n"/>
      <c r="I217" s="23" t="n"/>
      <c r="J217" s="26" t="n"/>
      <c r="K217" s="26" t="n"/>
      <c r="L217" s="26" t="n"/>
      <c r="M217" s="26" t="n"/>
      <c r="N217" s="26" t="n"/>
      <c r="O217" s="27">
        <f>IF(COUNT(K217:N217)=0,"",SUM(K217:N217))</f>
        <v/>
      </c>
      <c r="P217" s="16">
        <f>IF(OR(O217="",N(J217)&lt;=0),"",O217/J217)</f>
        <v/>
      </c>
      <c r="Q217" s="28">
        <f>IF(V217=1,"Late","")</f>
        <v/>
      </c>
      <c r="R217" s="1">
        <f>IF(ISNUMBER(B217),INT(B217)*10000000+IF(ISNUMBER(C217),ROUND(MOD(C217,1)*1440,0),0)*1000+ROW(),"")</f>
        <v/>
      </c>
      <c r="S217">
        <f>IF(ISNUMBER(B217),INT(B217)-WEEKDAY(B217,3),"")</f>
        <v/>
      </c>
      <c r="T217">
        <f>IF(ISNUMBER(B217),YEAR(B217)*100+MONTH(B217),"")</f>
        <v/>
      </c>
      <c r="U217">
        <f>IF(AND(ISNUMBER(B217),H217&lt;&gt;"Published"),IF(INT(B217)&gt;=TODAY(),R217,""),"")</f>
        <v/>
      </c>
      <c r="V217">
        <f>IF(AND(ISNUMBER(B217),OR(H217="Draft",H217="Scheduled")),IF(INT(B217)&lt;TODAY(),1,0),0)</f>
        <v/>
      </c>
      <c r="W217">
        <f>IF(AND(H217="Published",N(O217)&gt;0),IF(T217=(YEAR(TODAY())*100+MONTH(TODAY())),ROUND(O217,0)*1000+1000-ROW(),""),"")</f>
        <v/>
      </c>
    </row>
    <row r="218">
      <c r="A218" s="1" t="n"/>
      <c r="B218" s="21" t="n"/>
      <c r="C218" s="22" t="n"/>
      <c r="D218" s="23" t="n"/>
      <c r="E218" s="24" t="n"/>
      <c r="F218" s="23" t="n"/>
      <c r="G218" s="25" t="n"/>
      <c r="H218" s="24" t="n"/>
      <c r="I218" s="23" t="n"/>
      <c r="J218" s="26" t="n"/>
      <c r="K218" s="26" t="n"/>
      <c r="L218" s="26" t="n"/>
      <c r="M218" s="26" t="n"/>
      <c r="N218" s="26" t="n"/>
      <c r="O218" s="27">
        <f>IF(COUNT(K218:N218)=0,"",SUM(K218:N218))</f>
        <v/>
      </c>
      <c r="P218" s="16">
        <f>IF(OR(O218="",N(J218)&lt;=0),"",O218/J218)</f>
        <v/>
      </c>
      <c r="Q218" s="28">
        <f>IF(V218=1,"Late","")</f>
        <v/>
      </c>
      <c r="R218" s="1">
        <f>IF(ISNUMBER(B218),INT(B218)*10000000+IF(ISNUMBER(C218),ROUND(MOD(C218,1)*1440,0),0)*1000+ROW(),"")</f>
        <v/>
      </c>
      <c r="S218">
        <f>IF(ISNUMBER(B218),INT(B218)-WEEKDAY(B218,3),"")</f>
        <v/>
      </c>
      <c r="T218">
        <f>IF(ISNUMBER(B218),YEAR(B218)*100+MONTH(B218),"")</f>
        <v/>
      </c>
      <c r="U218">
        <f>IF(AND(ISNUMBER(B218),H218&lt;&gt;"Published"),IF(INT(B218)&gt;=TODAY(),R218,""),"")</f>
        <v/>
      </c>
      <c r="V218">
        <f>IF(AND(ISNUMBER(B218),OR(H218="Draft",H218="Scheduled")),IF(INT(B218)&lt;TODAY(),1,0),0)</f>
        <v/>
      </c>
      <c r="W218">
        <f>IF(AND(H218="Published",N(O218)&gt;0),IF(T218=(YEAR(TODAY())*100+MONTH(TODAY())),ROUND(O218,0)*1000+1000-ROW(),""),"")</f>
        <v/>
      </c>
    </row>
    <row r="219">
      <c r="A219" s="1" t="n"/>
      <c r="B219" s="21" t="n"/>
      <c r="C219" s="22" t="n"/>
      <c r="D219" s="23" t="n"/>
      <c r="E219" s="24" t="n"/>
      <c r="F219" s="23" t="n"/>
      <c r="G219" s="25" t="n"/>
      <c r="H219" s="24" t="n"/>
      <c r="I219" s="23" t="n"/>
      <c r="J219" s="26" t="n"/>
      <c r="K219" s="26" t="n"/>
      <c r="L219" s="26" t="n"/>
      <c r="M219" s="26" t="n"/>
      <c r="N219" s="26" t="n"/>
      <c r="O219" s="27">
        <f>IF(COUNT(K219:N219)=0,"",SUM(K219:N219))</f>
        <v/>
      </c>
      <c r="P219" s="16">
        <f>IF(OR(O219="",N(J219)&lt;=0),"",O219/J219)</f>
        <v/>
      </c>
      <c r="Q219" s="28">
        <f>IF(V219=1,"Late","")</f>
        <v/>
      </c>
      <c r="R219" s="1">
        <f>IF(ISNUMBER(B219),INT(B219)*10000000+IF(ISNUMBER(C219),ROUND(MOD(C219,1)*1440,0),0)*1000+ROW(),"")</f>
        <v/>
      </c>
      <c r="S219">
        <f>IF(ISNUMBER(B219),INT(B219)-WEEKDAY(B219,3),"")</f>
        <v/>
      </c>
      <c r="T219">
        <f>IF(ISNUMBER(B219),YEAR(B219)*100+MONTH(B219),"")</f>
        <v/>
      </c>
      <c r="U219">
        <f>IF(AND(ISNUMBER(B219),H219&lt;&gt;"Published"),IF(INT(B219)&gt;=TODAY(),R219,""),"")</f>
        <v/>
      </c>
      <c r="V219">
        <f>IF(AND(ISNUMBER(B219),OR(H219="Draft",H219="Scheduled")),IF(INT(B219)&lt;TODAY(),1,0),0)</f>
        <v/>
      </c>
      <c r="W219">
        <f>IF(AND(H219="Published",N(O219)&gt;0),IF(T219=(YEAR(TODAY())*100+MONTH(TODAY())),ROUND(O219,0)*1000+1000-ROW(),""),"")</f>
        <v/>
      </c>
    </row>
    <row r="220">
      <c r="A220" s="1" t="n"/>
      <c r="B220" s="21" t="n"/>
      <c r="C220" s="22" t="n"/>
      <c r="D220" s="23" t="n"/>
      <c r="E220" s="24" t="n"/>
      <c r="F220" s="23" t="n"/>
      <c r="G220" s="25" t="n"/>
      <c r="H220" s="24" t="n"/>
      <c r="I220" s="23" t="n"/>
      <c r="J220" s="26" t="n"/>
      <c r="K220" s="26" t="n"/>
      <c r="L220" s="26" t="n"/>
      <c r="M220" s="26" t="n"/>
      <c r="N220" s="26" t="n"/>
      <c r="O220" s="27">
        <f>IF(COUNT(K220:N220)=0,"",SUM(K220:N220))</f>
        <v/>
      </c>
      <c r="P220" s="16">
        <f>IF(OR(O220="",N(J220)&lt;=0),"",O220/J220)</f>
        <v/>
      </c>
      <c r="Q220" s="28">
        <f>IF(V220=1,"Late","")</f>
        <v/>
      </c>
      <c r="R220" s="1">
        <f>IF(ISNUMBER(B220),INT(B220)*10000000+IF(ISNUMBER(C220),ROUND(MOD(C220,1)*1440,0),0)*1000+ROW(),"")</f>
        <v/>
      </c>
      <c r="S220">
        <f>IF(ISNUMBER(B220),INT(B220)-WEEKDAY(B220,3),"")</f>
        <v/>
      </c>
      <c r="T220">
        <f>IF(ISNUMBER(B220),YEAR(B220)*100+MONTH(B220),"")</f>
        <v/>
      </c>
      <c r="U220">
        <f>IF(AND(ISNUMBER(B220),H220&lt;&gt;"Published"),IF(INT(B220)&gt;=TODAY(),R220,""),"")</f>
        <v/>
      </c>
      <c r="V220">
        <f>IF(AND(ISNUMBER(B220),OR(H220="Draft",H220="Scheduled")),IF(INT(B220)&lt;TODAY(),1,0),0)</f>
        <v/>
      </c>
      <c r="W220">
        <f>IF(AND(H220="Published",N(O220)&gt;0),IF(T220=(YEAR(TODAY())*100+MONTH(TODAY())),ROUND(O220,0)*1000+1000-ROW(),""),"")</f>
        <v/>
      </c>
    </row>
    <row r="221">
      <c r="A221" s="1" t="n"/>
      <c r="B221" s="21" t="n"/>
      <c r="C221" s="22" t="n"/>
      <c r="D221" s="23" t="n"/>
      <c r="E221" s="24" t="n"/>
      <c r="F221" s="23" t="n"/>
      <c r="G221" s="25" t="n"/>
      <c r="H221" s="24" t="n"/>
      <c r="I221" s="23" t="n"/>
      <c r="J221" s="26" t="n"/>
      <c r="K221" s="26" t="n"/>
      <c r="L221" s="26" t="n"/>
      <c r="M221" s="26" t="n"/>
      <c r="N221" s="26" t="n"/>
      <c r="O221" s="27">
        <f>IF(COUNT(K221:N221)=0,"",SUM(K221:N221))</f>
        <v/>
      </c>
      <c r="P221" s="16">
        <f>IF(OR(O221="",N(J221)&lt;=0),"",O221/J221)</f>
        <v/>
      </c>
      <c r="Q221" s="28">
        <f>IF(V221=1,"Late","")</f>
        <v/>
      </c>
      <c r="R221" s="1">
        <f>IF(ISNUMBER(B221),INT(B221)*10000000+IF(ISNUMBER(C221),ROUND(MOD(C221,1)*1440,0),0)*1000+ROW(),"")</f>
        <v/>
      </c>
      <c r="S221">
        <f>IF(ISNUMBER(B221),INT(B221)-WEEKDAY(B221,3),"")</f>
        <v/>
      </c>
      <c r="T221">
        <f>IF(ISNUMBER(B221),YEAR(B221)*100+MONTH(B221),"")</f>
        <v/>
      </c>
      <c r="U221">
        <f>IF(AND(ISNUMBER(B221),H221&lt;&gt;"Published"),IF(INT(B221)&gt;=TODAY(),R221,""),"")</f>
        <v/>
      </c>
      <c r="V221">
        <f>IF(AND(ISNUMBER(B221),OR(H221="Draft",H221="Scheduled")),IF(INT(B221)&lt;TODAY(),1,0),0)</f>
        <v/>
      </c>
      <c r="W221">
        <f>IF(AND(H221="Published",N(O221)&gt;0),IF(T221=(YEAR(TODAY())*100+MONTH(TODAY())),ROUND(O221,0)*1000+1000-ROW(),""),"")</f>
        <v/>
      </c>
    </row>
    <row r="222">
      <c r="A222" s="1" t="n"/>
      <c r="B222" s="21" t="n"/>
      <c r="C222" s="22" t="n"/>
      <c r="D222" s="23" t="n"/>
      <c r="E222" s="24" t="n"/>
      <c r="F222" s="23" t="n"/>
      <c r="G222" s="25" t="n"/>
      <c r="H222" s="24" t="n"/>
      <c r="I222" s="23" t="n"/>
      <c r="J222" s="26" t="n"/>
      <c r="K222" s="26" t="n"/>
      <c r="L222" s="26" t="n"/>
      <c r="M222" s="26" t="n"/>
      <c r="N222" s="26" t="n"/>
      <c r="O222" s="27">
        <f>IF(COUNT(K222:N222)=0,"",SUM(K222:N222))</f>
        <v/>
      </c>
      <c r="P222" s="16">
        <f>IF(OR(O222="",N(J222)&lt;=0),"",O222/J222)</f>
        <v/>
      </c>
      <c r="Q222" s="28">
        <f>IF(V222=1,"Late","")</f>
        <v/>
      </c>
      <c r="R222" s="1">
        <f>IF(ISNUMBER(B222),INT(B222)*10000000+IF(ISNUMBER(C222),ROUND(MOD(C222,1)*1440,0),0)*1000+ROW(),"")</f>
        <v/>
      </c>
      <c r="S222">
        <f>IF(ISNUMBER(B222),INT(B222)-WEEKDAY(B222,3),"")</f>
        <v/>
      </c>
      <c r="T222">
        <f>IF(ISNUMBER(B222),YEAR(B222)*100+MONTH(B222),"")</f>
        <v/>
      </c>
      <c r="U222">
        <f>IF(AND(ISNUMBER(B222),H222&lt;&gt;"Published"),IF(INT(B222)&gt;=TODAY(),R222,""),"")</f>
        <v/>
      </c>
      <c r="V222">
        <f>IF(AND(ISNUMBER(B222),OR(H222="Draft",H222="Scheduled")),IF(INT(B222)&lt;TODAY(),1,0),0)</f>
        <v/>
      </c>
      <c r="W222">
        <f>IF(AND(H222="Published",N(O222)&gt;0),IF(T222=(YEAR(TODAY())*100+MONTH(TODAY())),ROUND(O222,0)*1000+1000-ROW(),""),"")</f>
        <v/>
      </c>
    </row>
    <row r="223">
      <c r="A223" s="1" t="n"/>
      <c r="B223" s="21" t="n"/>
      <c r="C223" s="22" t="n"/>
      <c r="D223" s="23" t="n"/>
      <c r="E223" s="24" t="n"/>
      <c r="F223" s="23" t="n"/>
      <c r="G223" s="25" t="n"/>
      <c r="H223" s="24" t="n"/>
      <c r="I223" s="23" t="n"/>
      <c r="J223" s="26" t="n"/>
      <c r="K223" s="26" t="n"/>
      <c r="L223" s="26" t="n"/>
      <c r="M223" s="26" t="n"/>
      <c r="N223" s="26" t="n"/>
      <c r="O223" s="27">
        <f>IF(COUNT(K223:N223)=0,"",SUM(K223:N223))</f>
        <v/>
      </c>
      <c r="P223" s="16">
        <f>IF(OR(O223="",N(J223)&lt;=0),"",O223/J223)</f>
        <v/>
      </c>
      <c r="Q223" s="28">
        <f>IF(V223=1,"Late","")</f>
        <v/>
      </c>
      <c r="R223" s="1">
        <f>IF(ISNUMBER(B223),INT(B223)*10000000+IF(ISNUMBER(C223),ROUND(MOD(C223,1)*1440,0),0)*1000+ROW(),"")</f>
        <v/>
      </c>
      <c r="S223">
        <f>IF(ISNUMBER(B223),INT(B223)-WEEKDAY(B223,3),"")</f>
        <v/>
      </c>
      <c r="T223">
        <f>IF(ISNUMBER(B223),YEAR(B223)*100+MONTH(B223),"")</f>
        <v/>
      </c>
      <c r="U223">
        <f>IF(AND(ISNUMBER(B223),H223&lt;&gt;"Published"),IF(INT(B223)&gt;=TODAY(),R223,""),"")</f>
        <v/>
      </c>
      <c r="V223">
        <f>IF(AND(ISNUMBER(B223),OR(H223="Draft",H223="Scheduled")),IF(INT(B223)&lt;TODAY(),1,0),0)</f>
        <v/>
      </c>
      <c r="W223">
        <f>IF(AND(H223="Published",N(O223)&gt;0),IF(T223=(YEAR(TODAY())*100+MONTH(TODAY())),ROUND(O223,0)*1000+1000-ROW(),""),"")</f>
        <v/>
      </c>
    </row>
    <row r="224">
      <c r="A224" s="1" t="n"/>
      <c r="B224" s="21" t="n"/>
      <c r="C224" s="22" t="n"/>
      <c r="D224" s="23" t="n"/>
      <c r="E224" s="24" t="n"/>
      <c r="F224" s="23" t="n"/>
      <c r="G224" s="25" t="n"/>
      <c r="H224" s="24" t="n"/>
      <c r="I224" s="23" t="n"/>
      <c r="J224" s="26" t="n"/>
      <c r="K224" s="26" t="n"/>
      <c r="L224" s="26" t="n"/>
      <c r="M224" s="26" t="n"/>
      <c r="N224" s="26" t="n"/>
      <c r="O224" s="27">
        <f>IF(COUNT(K224:N224)=0,"",SUM(K224:N224))</f>
        <v/>
      </c>
      <c r="P224" s="16">
        <f>IF(OR(O224="",N(J224)&lt;=0),"",O224/J224)</f>
        <v/>
      </c>
      <c r="Q224" s="28">
        <f>IF(V224=1,"Late","")</f>
        <v/>
      </c>
      <c r="R224" s="1">
        <f>IF(ISNUMBER(B224),INT(B224)*10000000+IF(ISNUMBER(C224),ROUND(MOD(C224,1)*1440,0),0)*1000+ROW(),"")</f>
        <v/>
      </c>
      <c r="S224">
        <f>IF(ISNUMBER(B224),INT(B224)-WEEKDAY(B224,3),"")</f>
        <v/>
      </c>
      <c r="T224">
        <f>IF(ISNUMBER(B224),YEAR(B224)*100+MONTH(B224),"")</f>
        <v/>
      </c>
      <c r="U224">
        <f>IF(AND(ISNUMBER(B224),H224&lt;&gt;"Published"),IF(INT(B224)&gt;=TODAY(),R224,""),"")</f>
        <v/>
      </c>
      <c r="V224">
        <f>IF(AND(ISNUMBER(B224),OR(H224="Draft",H224="Scheduled")),IF(INT(B224)&lt;TODAY(),1,0),0)</f>
        <v/>
      </c>
      <c r="W224">
        <f>IF(AND(H224="Published",N(O224)&gt;0),IF(T224=(YEAR(TODAY())*100+MONTH(TODAY())),ROUND(O224,0)*1000+1000-ROW(),""),"")</f>
        <v/>
      </c>
    </row>
    <row r="225">
      <c r="A225" s="1" t="n"/>
      <c r="B225" s="21" t="n"/>
      <c r="C225" s="22" t="n"/>
      <c r="D225" s="23" t="n"/>
      <c r="E225" s="24" t="n"/>
      <c r="F225" s="23" t="n"/>
      <c r="G225" s="25" t="n"/>
      <c r="H225" s="24" t="n"/>
      <c r="I225" s="23" t="n"/>
      <c r="J225" s="26" t="n"/>
      <c r="K225" s="26" t="n"/>
      <c r="L225" s="26" t="n"/>
      <c r="M225" s="26" t="n"/>
      <c r="N225" s="26" t="n"/>
      <c r="O225" s="27">
        <f>IF(COUNT(K225:N225)=0,"",SUM(K225:N225))</f>
        <v/>
      </c>
      <c r="P225" s="16">
        <f>IF(OR(O225="",N(J225)&lt;=0),"",O225/J225)</f>
        <v/>
      </c>
      <c r="Q225" s="28">
        <f>IF(V225=1,"Late","")</f>
        <v/>
      </c>
      <c r="R225" s="1">
        <f>IF(ISNUMBER(B225),INT(B225)*10000000+IF(ISNUMBER(C225),ROUND(MOD(C225,1)*1440,0),0)*1000+ROW(),"")</f>
        <v/>
      </c>
      <c r="S225">
        <f>IF(ISNUMBER(B225),INT(B225)-WEEKDAY(B225,3),"")</f>
        <v/>
      </c>
      <c r="T225">
        <f>IF(ISNUMBER(B225),YEAR(B225)*100+MONTH(B225),"")</f>
        <v/>
      </c>
      <c r="U225">
        <f>IF(AND(ISNUMBER(B225),H225&lt;&gt;"Published"),IF(INT(B225)&gt;=TODAY(),R225,""),"")</f>
        <v/>
      </c>
      <c r="V225">
        <f>IF(AND(ISNUMBER(B225),OR(H225="Draft",H225="Scheduled")),IF(INT(B225)&lt;TODAY(),1,0),0)</f>
        <v/>
      </c>
      <c r="W225">
        <f>IF(AND(H225="Published",N(O225)&gt;0),IF(T225=(YEAR(TODAY())*100+MONTH(TODAY())),ROUND(O225,0)*1000+1000-ROW(),""),"")</f>
        <v/>
      </c>
    </row>
    <row r="226">
      <c r="A226" s="1" t="n"/>
      <c r="B226" s="21" t="n"/>
      <c r="C226" s="22" t="n"/>
      <c r="D226" s="23" t="n"/>
      <c r="E226" s="24" t="n"/>
      <c r="F226" s="23" t="n"/>
      <c r="G226" s="25" t="n"/>
      <c r="H226" s="24" t="n"/>
      <c r="I226" s="23" t="n"/>
      <c r="J226" s="26" t="n"/>
      <c r="K226" s="26" t="n"/>
      <c r="L226" s="26" t="n"/>
      <c r="M226" s="26" t="n"/>
      <c r="N226" s="26" t="n"/>
      <c r="O226" s="27">
        <f>IF(COUNT(K226:N226)=0,"",SUM(K226:N226))</f>
        <v/>
      </c>
      <c r="P226" s="16">
        <f>IF(OR(O226="",N(J226)&lt;=0),"",O226/J226)</f>
        <v/>
      </c>
      <c r="Q226" s="28">
        <f>IF(V226=1,"Late","")</f>
        <v/>
      </c>
      <c r="R226" s="1">
        <f>IF(ISNUMBER(B226),INT(B226)*10000000+IF(ISNUMBER(C226),ROUND(MOD(C226,1)*1440,0),0)*1000+ROW(),"")</f>
        <v/>
      </c>
      <c r="S226">
        <f>IF(ISNUMBER(B226),INT(B226)-WEEKDAY(B226,3),"")</f>
        <v/>
      </c>
      <c r="T226">
        <f>IF(ISNUMBER(B226),YEAR(B226)*100+MONTH(B226),"")</f>
        <v/>
      </c>
      <c r="U226">
        <f>IF(AND(ISNUMBER(B226),H226&lt;&gt;"Published"),IF(INT(B226)&gt;=TODAY(),R226,""),"")</f>
        <v/>
      </c>
      <c r="V226">
        <f>IF(AND(ISNUMBER(B226),OR(H226="Draft",H226="Scheduled")),IF(INT(B226)&lt;TODAY(),1,0),0)</f>
        <v/>
      </c>
      <c r="W226">
        <f>IF(AND(H226="Published",N(O226)&gt;0),IF(T226=(YEAR(TODAY())*100+MONTH(TODAY())),ROUND(O226,0)*1000+1000-ROW(),""),"")</f>
        <v/>
      </c>
    </row>
    <row r="227">
      <c r="A227" s="1" t="n"/>
      <c r="B227" s="21" t="n"/>
      <c r="C227" s="22" t="n"/>
      <c r="D227" s="23" t="n"/>
      <c r="E227" s="24" t="n"/>
      <c r="F227" s="23" t="n"/>
      <c r="G227" s="25" t="n"/>
      <c r="H227" s="24" t="n"/>
      <c r="I227" s="23" t="n"/>
      <c r="J227" s="26" t="n"/>
      <c r="K227" s="26" t="n"/>
      <c r="L227" s="26" t="n"/>
      <c r="M227" s="26" t="n"/>
      <c r="N227" s="26" t="n"/>
      <c r="O227" s="27">
        <f>IF(COUNT(K227:N227)=0,"",SUM(K227:N227))</f>
        <v/>
      </c>
      <c r="P227" s="16">
        <f>IF(OR(O227="",N(J227)&lt;=0),"",O227/J227)</f>
        <v/>
      </c>
      <c r="Q227" s="28">
        <f>IF(V227=1,"Late","")</f>
        <v/>
      </c>
      <c r="R227" s="1">
        <f>IF(ISNUMBER(B227),INT(B227)*10000000+IF(ISNUMBER(C227),ROUND(MOD(C227,1)*1440,0),0)*1000+ROW(),"")</f>
        <v/>
      </c>
      <c r="S227">
        <f>IF(ISNUMBER(B227),INT(B227)-WEEKDAY(B227,3),"")</f>
        <v/>
      </c>
      <c r="T227">
        <f>IF(ISNUMBER(B227),YEAR(B227)*100+MONTH(B227),"")</f>
        <v/>
      </c>
      <c r="U227">
        <f>IF(AND(ISNUMBER(B227),H227&lt;&gt;"Published"),IF(INT(B227)&gt;=TODAY(),R227,""),"")</f>
        <v/>
      </c>
      <c r="V227">
        <f>IF(AND(ISNUMBER(B227),OR(H227="Draft",H227="Scheduled")),IF(INT(B227)&lt;TODAY(),1,0),0)</f>
        <v/>
      </c>
      <c r="W227">
        <f>IF(AND(H227="Published",N(O227)&gt;0),IF(T227=(YEAR(TODAY())*100+MONTH(TODAY())),ROUND(O227,0)*1000+1000-ROW(),""),"")</f>
        <v/>
      </c>
    </row>
    <row r="228">
      <c r="A228" s="1" t="n"/>
      <c r="B228" s="21" t="n"/>
      <c r="C228" s="22" t="n"/>
      <c r="D228" s="23" t="n"/>
      <c r="E228" s="24" t="n"/>
      <c r="F228" s="23" t="n"/>
      <c r="G228" s="25" t="n"/>
      <c r="H228" s="24" t="n"/>
      <c r="I228" s="23" t="n"/>
      <c r="J228" s="26" t="n"/>
      <c r="K228" s="26" t="n"/>
      <c r="L228" s="26" t="n"/>
      <c r="M228" s="26" t="n"/>
      <c r="N228" s="26" t="n"/>
      <c r="O228" s="27">
        <f>IF(COUNT(K228:N228)=0,"",SUM(K228:N228))</f>
        <v/>
      </c>
      <c r="P228" s="16">
        <f>IF(OR(O228="",N(J228)&lt;=0),"",O228/J228)</f>
        <v/>
      </c>
      <c r="Q228" s="28">
        <f>IF(V228=1,"Late","")</f>
        <v/>
      </c>
      <c r="R228" s="1">
        <f>IF(ISNUMBER(B228),INT(B228)*10000000+IF(ISNUMBER(C228),ROUND(MOD(C228,1)*1440,0),0)*1000+ROW(),"")</f>
        <v/>
      </c>
      <c r="S228">
        <f>IF(ISNUMBER(B228),INT(B228)-WEEKDAY(B228,3),"")</f>
        <v/>
      </c>
      <c r="T228">
        <f>IF(ISNUMBER(B228),YEAR(B228)*100+MONTH(B228),"")</f>
        <v/>
      </c>
      <c r="U228">
        <f>IF(AND(ISNUMBER(B228),H228&lt;&gt;"Published"),IF(INT(B228)&gt;=TODAY(),R228,""),"")</f>
        <v/>
      </c>
      <c r="V228">
        <f>IF(AND(ISNUMBER(B228),OR(H228="Draft",H228="Scheduled")),IF(INT(B228)&lt;TODAY(),1,0),0)</f>
        <v/>
      </c>
      <c r="W228">
        <f>IF(AND(H228="Published",N(O228)&gt;0),IF(T228=(YEAR(TODAY())*100+MONTH(TODAY())),ROUND(O228,0)*1000+1000-ROW(),""),"")</f>
        <v/>
      </c>
    </row>
    <row r="229">
      <c r="A229" s="1" t="n"/>
      <c r="B229" s="21" t="n"/>
      <c r="C229" s="22" t="n"/>
      <c r="D229" s="23" t="n"/>
      <c r="E229" s="24" t="n"/>
      <c r="F229" s="23" t="n"/>
      <c r="G229" s="25" t="n"/>
      <c r="H229" s="24" t="n"/>
      <c r="I229" s="23" t="n"/>
      <c r="J229" s="26" t="n"/>
      <c r="K229" s="26" t="n"/>
      <c r="L229" s="26" t="n"/>
      <c r="M229" s="26" t="n"/>
      <c r="N229" s="26" t="n"/>
      <c r="O229" s="27">
        <f>IF(COUNT(K229:N229)=0,"",SUM(K229:N229))</f>
        <v/>
      </c>
      <c r="P229" s="16">
        <f>IF(OR(O229="",N(J229)&lt;=0),"",O229/J229)</f>
        <v/>
      </c>
      <c r="Q229" s="28">
        <f>IF(V229=1,"Late","")</f>
        <v/>
      </c>
      <c r="R229" s="1">
        <f>IF(ISNUMBER(B229),INT(B229)*10000000+IF(ISNUMBER(C229),ROUND(MOD(C229,1)*1440,0),0)*1000+ROW(),"")</f>
        <v/>
      </c>
      <c r="S229">
        <f>IF(ISNUMBER(B229),INT(B229)-WEEKDAY(B229,3),"")</f>
        <v/>
      </c>
      <c r="T229">
        <f>IF(ISNUMBER(B229),YEAR(B229)*100+MONTH(B229),"")</f>
        <v/>
      </c>
      <c r="U229">
        <f>IF(AND(ISNUMBER(B229),H229&lt;&gt;"Published"),IF(INT(B229)&gt;=TODAY(),R229,""),"")</f>
        <v/>
      </c>
      <c r="V229">
        <f>IF(AND(ISNUMBER(B229),OR(H229="Draft",H229="Scheduled")),IF(INT(B229)&lt;TODAY(),1,0),0)</f>
        <v/>
      </c>
      <c r="W229">
        <f>IF(AND(H229="Published",N(O229)&gt;0),IF(T229=(YEAR(TODAY())*100+MONTH(TODAY())),ROUND(O229,0)*1000+1000-ROW(),""),"")</f>
        <v/>
      </c>
    </row>
    <row r="230">
      <c r="A230" s="1" t="n"/>
      <c r="B230" s="21" t="n"/>
      <c r="C230" s="22" t="n"/>
      <c r="D230" s="23" t="n"/>
      <c r="E230" s="24" t="n"/>
      <c r="F230" s="23" t="n"/>
      <c r="G230" s="25" t="n"/>
      <c r="H230" s="24" t="n"/>
      <c r="I230" s="23" t="n"/>
      <c r="J230" s="26" t="n"/>
      <c r="K230" s="26" t="n"/>
      <c r="L230" s="26" t="n"/>
      <c r="M230" s="26" t="n"/>
      <c r="N230" s="26" t="n"/>
      <c r="O230" s="27">
        <f>IF(COUNT(K230:N230)=0,"",SUM(K230:N230))</f>
        <v/>
      </c>
      <c r="P230" s="16">
        <f>IF(OR(O230="",N(J230)&lt;=0),"",O230/J230)</f>
        <v/>
      </c>
      <c r="Q230" s="28">
        <f>IF(V230=1,"Late","")</f>
        <v/>
      </c>
      <c r="R230" s="1">
        <f>IF(ISNUMBER(B230),INT(B230)*10000000+IF(ISNUMBER(C230),ROUND(MOD(C230,1)*1440,0),0)*1000+ROW(),"")</f>
        <v/>
      </c>
      <c r="S230">
        <f>IF(ISNUMBER(B230),INT(B230)-WEEKDAY(B230,3),"")</f>
        <v/>
      </c>
      <c r="T230">
        <f>IF(ISNUMBER(B230),YEAR(B230)*100+MONTH(B230),"")</f>
        <v/>
      </c>
      <c r="U230">
        <f>IF(AND(ISNUMBER(B230),H230&lt;&gt;"Published"),IF(INT(B230)&gt;=TODAY(),R230,""),"")</f>
        <v/>
      </c>
      <c r="V230">
        <f>IF(AND(ISNUMBER(B230),OR(H230="Draft",H230="Scheduled")),IF(INT(B230)&lt;TODAY(),1,0),0)</f>
        <v/>
      </c>
      <c r="W230">
        <f>IF(AND(H230="Published",N(O230)&gt;0),IF(T230=(YEAR(TODAY())*100+MONTH(TODAY())),ROUND(O230,0)*1000+1000-ROW(),""),"")</f>
        <v/>
      </c>
    </row>
    <row r="231">
      <c r="A231" s="1" t="n"/>
      <c r="B231" s="21" t="n"/>
      <c r="C231" s="22" t="n"/>
      <c r="D231" s="23" t="n"/>
      <c r="E231" s="24" t="n"/>
      <c r="F231" s="23" t="n"/>
      <c r="G231" s="25" t="n"/>
      <c r="H231" s="24" t="n"/>
      <c r="I231" s="23" t="n"/>
      <c r="J231" s="26" t="n"/>
      <c r="K231" s="26" t="n"/>
      <c r="L231" s="26" t="n"/>
      <c r="M231" s="26" t="n"/>
      <c r="N231" s="26" t="n"/>
      <c r="O231" s="27">
        <f>IF(COUNT(K231:N231)=0,"",SUM(K231:N231))</f>
        <v/>
      </c>
      <c r="P231" s="16">
        <f>IF(OR(O231="",N(J231)&lt;=0),"",O231/J231)</f>
        <v/>
      </c>
      <c r="Q231" s="28">
        <f>IF(V231=1,"Late","")</f>
        <v/>
      </c>
      <c r="R231" s="1">
        <f>IF(ISNUMBER(B231),INT(B231)*10000000+IF(ISNUMBER(C231),ROUND(MOD(C231,1)*1440,0),0)*1000+ROW(),"")</f>
        <v/>
      </c>
      <c r="S231">
        <f>IF(ISNUMBER(B231),INT(B231)-WEEKDAY(B231,3),"")</f>
        <v/>
      </c>
      <c r="T231">
        <f>IF(ISNUMBER(B231),YEAR(B231)*100+MONTH(B231),"")</f>
        <v/>
      </c>
      <c r="U231">
        <f>IF(AND(ISNUMBER(B231),H231&lt;&gt;"Published"),IF(INT(B231)&gt;=TODAY(),R231,""),"")</f>
        <v/>
      </c>
      <c r="V231">
        <f>IF(AND(ISNUMBER(B231),OR(H231="Draft",H231="Scheduled")),IF(INT(B231)&lt;TODAY(),1,0),0)</f>
        <v/>
      </c>
      <c r="W231">
        <f>IF(AND(H231="Published",N(O231)&gt;0),IF(T231=(YEAR(TODAY())*100+MONTH(TODAY())),ROUND(O231,0)*1000+1000-ROW(),""),"")</f>
        <v/>
      </c>
    </row>
    <row r="232">
      <c r="A232" s="1" t="n"/>
      <c r="B232" s="21" t="n"/>
      <c r="C232" s="22" t="n"/>
      <c r="D232" s="23" t="n"/>
      <c r="E232" s="24" t="n"/>
      <c r="F232" s="23" t="n"/>
      <c r="G232" s="25" t="n"/>
      <c r="H232" s="24" t="n"/>
      <c r="I232" s="23" t="n"/>
      <c r="J232" s="26" t="n"/>
      <c r="K232" s="26" t="n"/>
      <c r="L232" s="26" t="n"/>
      <c r="M232" s="26" t="n"/>
      <c r="N232" s="26" t="n"/>
      <c r="O232" s="27">
        <f>IF(COUNT(K232:N232)=0,"",SUM(K232:N232))</f>
        <v/>
      </c>
      <c r="P232" s="16">
        <f>IF(OR(O232="",N(J232)&lt;=0),"",O232/J232)</f>
        <v/>
      </c>
      <c r="Q232" s="28">
        <f>IF(V232=1,"Late","")</f>
        <v/>
      </c>
      <c r="R232" s="1">
        <f>IF(ISNUMBER(B232),INT(B232)*10000000+IF(ISNUMBER(C232),ROUND(MOD(C232,1)*1440,0),0)*1000+ROW(),"")</f>
        <v/>
      </c>
      <c r="S232">
        <f>IF(ISNUMBER(B232),INT(B232)-WEEKDAY(B232,3),"")</f>
        <v/>
      </c>
      <c r="T232">
        <f>IF(ISNUMBER(B232),YEAR(B232)*100+MONTH(B232),"")</f>
        <v/>
      </c>
      <c r="U232">
        <f>IF(AND(ISNUMBER(B232),H232&lt;&gt;"Published"),IF(INT(B232)&gt;=TODAY(),R232,""),"")</f>
        <v/>
      </c>
      <c r="V232">
        <f>IF(AND(ISNUMBER(B232),OR(H232="Draft",H232="Scheduled")),IF(INT(B232)&lt;TODAY(),1,0),0)</f>
        <v/>
      </c>
      <c r="W232">
        <f>IF(AND(H232="Published",N(O232)&gt;0),IF(T232=(YEAR(TODAY())*100+MONTH(TODAY())),ROUND(O232,0)*1000+1000-ROW(),""),"")</f>
        <v/>
      </c>
    </row>
    <row r="233">
      <c r="A233" s="1" t="n"/>
      <c r="B233" s="21" t="n"/>
      <c r="C233" s="22" t="n"/>
      <c r="D233" s="23" t="n"/>
      <c r="E233" s="24" t="n"/>
      <c r="F233" s="23" t="n"/>
      <c r="G233" s="25" t="n"/>
      <c r="H233" s="24" t="n"/>
      <c r="I233" s="23" t="n"/>
      <c r="J233" s="26" t="n"/>
      <c r="K233" s="26" t="n"/>
      <c r="L233" s="26" t="n"/>
      <c r="M233" s="26" t="n"/>
      <c r="N233" s="26" t="n"/>
      <c r="O233" s="27">
        <f>IF(COUNT(K233:N233)=0,"",SUM(K233:N233))</f>
        <v/>
      </c>
      <c r="P233" s="16">
        <f>IF(OR(O233="",N(J233)&lt;=0),"",O233/J233)</f>
        <v/>
      </c>
      <c r="Q233" s="28">
        <f>IF(V233=1,"Late","")</f>
        <v/>
      </c>
      <c r="R233" s="1">
        <f>IF(ISNUMBER(B233),INT(B233)*10000000+IF(ISNUMBER(C233),ROUND(MOD(C233,1)*1440,0),0)*1000+ROW(),"")</f>
        <v/>
      </c>
      <c r="S233">
        <f>IF(ISNUMBER(B233),INT(B233)-WEEKDAY(B233,3),"")</f>
        <v/>
      </c>
      <c r="T233">
        <f>IF(ISNUMBER(B233),YEAR(B233)*100+MONTH(B233),"")</f>
        <v/>
      </c>
      <c r="U233">
        <f>IF(AND(ISNUMBER(B233),H233&lt;&gt;"Published"),IF(INT(B233)&gt;=TODAY(),R233,""),"")</f>
        <v/>
      </c>
      <c r="V233">
        <f>IF(AND(ISNUMBER(B233),OR(H233="Draft",H233="Scheduled")),IF(INT(B233)&lt;TODAY(),1,0),0)</f>
        <v/>
      </c>
      <c r="W233">
        <f>IF(AND(H233="Published",N(O233)&gt;0),IF(T233=(YEAR(TODAY())*100+MONTH(TODAY())),ROUND(O233,0)*1000+1000-ROW(),""),"")</f>
        <v/>
      </c>
    </row>
    <row r="234">
      <c r="A234" s="1" t="n"/>
      <c r="B234" s="21" t="n"/>
      <c r="C234" s="22" t="n"/>
      <c r="D234" s="23" t="n"/>
      <c r="E234" s="24" t="n"/>
      <c r="F234" s="23" t="n"/>
      <c r="G234" s="25" t="n"/>
      <c r="H234" s="24" t="n"/>
      <c r="I234" s="23" t="n"/>
      <c r="J234" s="26" t="n"/>
      <c r="K234" s="26" t="n"/>
      <c r="L234" s="26" t="n"/>
      <c r="M234" s="26" t="n"/>
      <c r="N234" s="26" t="n"/>
      <c r="O234" s="27">
        <f>IF(COUNT(K234:N234)=0,"",SUM(K234:N234))</f>
        <v/>
      </c>
      <c r="P234" s="16">
        <f>IF(OR(O234="",N(J234)&lt;=0),"",O234/J234)</f>
        <v/>
      </c>
      <c r="Q234" s="28">
        <f>IF(V234=1,"Late","")</f>
        <v/>
      </c>
      <c r="R234" s="1">
        <f>IF(ISNUMBER(B234),INT(B234)*10000000+IF(ISNUMBER(C234),ROUND(MOD(C234,1)*1440,0),0)*1000+ROW(),"")</f>
        <v/>
      </c>
      <c r="S234">
        <f>IF(ISNUMBER(B234),INT(B234)-WEEKDAY(B234,3),"")</f>
        <v/>
      </c>
      <c r="T234">
        <f>IF(ISNUMBER(B234),YEAR(B234)*100+MONTH(B234),"")</f>
        <v/>
      </c>
      <c r="U234">
        <f>IF(AND(ISNUMBER(B234),H234&lt;&gt;"Published"),IF(INT(B234)&gt;=TODAY(),R234,""),"")</f>
        <v/>
      </c>
      <c r="V234">
        <f>IF(AND(ISNUMBER(B234),OR(H234="Draft",H234="Scheduled")),IF(INT(B234)&lt;TODAY(),1,0),0)</f>
        <v/>
      </c>
      <c r="W234">
        <f>IF(AND(H234="Published",N(O234)&gt;0),IF(T234=(YEAR(TODAY())*100+MONTH(TODAY())),ROUND(O234,0)*1000+1000-ROW(),""),"")</f>
        <v/>
      </c>
    </row>
    <row r="235">
      <c r="A235" s="1" t="n"/>
      <c r="B235" s="21" t="n"/>
      <c r="C235" s="22" t="n"/>
      <c r="D235" s="23" t="n"/>
      <c r="E235" s="24" t="n"/>
      <c r="F235" s="23" t="n"/>
      <c r="G235" s="25" t="n"/>
      <c r="H235" s="24" t="n"/>
      <c r="I235" s="23" t="n"/>
      <c r="J235" s="26" t="n"/>
      <c r="K235" s="26" t="n"/>
      <c r="L235" s="26" t="n"/>
      <c r="M235" s="26" t="n"/>
      <c r="N235" s="26" t="n"/>
      <c r="O235" s="27">
        <f>IF(COUNT(K235:N235)=0,"",SUM(K235:N235))</f>
        <v/>
      </c>
      <c r="P235" s="16">
        <f>IF(OR(O235="",N(J235)&lt;=0),"",O235/J235)</f>
        <v/>
      </c>
      <c r="Q235" s="28">
        <f>IF(V235=1,"Late","")</f>
        <v/>
      </c>
      <c r="R235" s="1">
        <f>IF(ISNUMBER(B235),INT(B235)*10000000+IF(ISNUMBER(C235),ROUND(MOD(C235,1)*1440,0),0)*1000+ROW(),"")</f>
        <v/>
      </c>
      <c r="S235">
        <f>IF(ISNUMBER(B235),INT(B235)-WEEKDAY(B235,3),"")</f>
        <v/>
      </c>
      <c r="T235">
        <f>IF(ISNUMBER(B235),YEAR(B235)*100+MONTH(B235),"")</f>
        <v/>
      </c>
      <c r="U235">
        <f>IF(AND(ISNUMBER(B235),H235&lt;&gt;"Published"),IF(INT(B235)&gt;=TODAY(),R235,""),"")</f>
        <v/>
      </c>
      <c r="V235">
        <f>IF(AND(ISNUMBER(B235),OR(H235="Draft",H235="Scheduled")),IF(INT(B235)&lt;TODAY(),1,0),0)</f>
        <v/>
      </c>
      <c r="W235">
        <f>IF(AND(H235="Published",N(O235)&gt;0),IF(T235=(YEAR(TODAY())*100+MONTH(TODAY())),ROUND(O235,0)*1000+1000-ROW(),""),"")</f>
        <v/>
      </c>
    </row>
    <row r="236">
      <c r="A236" s="1" t="n"/>
      <c r="B236" s="21" t="n"/>
      <c r="C236" s="22" t="n"/>
      <c r="D236" s="23" t="n"/>
      <c r="E236" s="24" t="n"/>
      <c r="F236" s="23" t="n"/>
      <c r="G236" s="25" t="n"/>
      <c r="H236" s="24" t="n"/>
      <c r="I236" s="23" t="n"/>
      <c r="J236" s="26" t="n"/>
      <c r="K236" s="26" t="n"/>
      <c r="L236" s="26" t="n"/>
      <c r="M236" s="26" t="n"/>
      <c r="N236" s="26" t="n"/>
      <c r="O236" s="27">
        <f>IF(COUNT(K236:N236)=0,"",SUM(K236:N236))</f>
        <v/>
      </c>
      <c r="P236" s="16">
        <f>IF(OR(O236="",N(J236)&lt;=0),"",O236/J236)</f>
        <v/>
      </c>
      <c r="Q236" s="28">
        <f>IF(V236=1,"Late","")</f>
        <v/>
      </c>
      <c r="R236" s="1">
        <f>IF(ISNUMBER(B236),INT(B236)*10000000+IF(ISNUMBER(C236),ROUND(MOD(C236,1)*1440,0),0)*1000+ROW(),"")</f>
        <v/>
      </c>
      <c r="S236">
        <f>IF(ISNUMBER(B236),INT(B236)-WEEKDAY(B236,3),"")</f>
        <v/>
      </c>
      <c r="T236">
        <f>IF(ISNUMBER(B236),YEAR(B236)*100+MONTH(B236),"")</f>
        <v/>
      </c>
      <c r="U236">
        <f>IF(AND(ISNUMBER(B236),H236&lt;&gt;"Published"),IF(INT(B236)&gt;=TODAY(),R236,""),"")</f>
        <v/>
      </c>
      <c r="V236">
        <f>IF(AND(ISNUMBER(B236),OR(H236="Draft",H236="Scheduled")),IF(INT(B236)&lt;TODAY(),1,0),0)</f>
        <v/>
      </c>
      <c r="W236">
        <f>IF(AND(H236="Published",N(O236)&gt;0),IF(T236=(YEAR(TODAY())*100+MONTH(TODAY())),ROUND(O236,0)*1000+1000-ROW(),""),"")</f>
        <v/>
      </c>
    </row>
    <row r="237">
      <c r="A237" s="1" t="n"/>
      <c r="B237" s="21" t="n"/>
      <c r="C237" s="22" t="n"/>
      <c r="D237" s="23" t="n"/>
      <c r="E237" s="24" t="n"/>
      <c r="F237" s="23" t="n"/>
      <c r="G237" s="25" t="n"/>
      <c r="H237" s="24" t="n"/>
      <c r="I237" s="23" t="n"/>
      <c r="J237" s="26" t="n"/>
      <c r="K237" s="26" t="n"/>
      <c r="L237" s="26" t="n"/>
      <c r="M237" s="26" t="n"/>
      <c r="N237" s="26" t="n"/>
      <c r="O237" s="27">
        <f>IF(COUNT(K237:N237)=0,"",SUM(K237:N237))</f>
        <v/>
      </c>
      <c r="P237" s="16">
        <f>IF(OR(O237="",N(J237)&lt;=0),"",O237/J237)</f>
        <v/>
      </c>
      <c r="Q237" s="28">
        <f>IF(V237=1,"Late","")</f>
        <v/>
      </c>
      <c r="R237" s="1">
        <f>IF(ISNUMBER(B237),INT(B237)*10000000+IF(ISNUMBER(C237),ROUND(MOD(C237,1)*1440,0),0)*1000+ROW(),"")</f>
        <v/>
      </c>
      <c r="S237">
        <f>IF(ISNUMBER(B237),INT(B237)-WEEKDAY(B237,3),"")</f>
        <v/>
      </c>
      <c r="T237">
        <f>IF(ISNUMBER(B237),YEAR(B237)*100+MONTH(B237),"")</f>
        <v/>
      </c>
      <c r="U237">
        <f>IF(AND(ISNUMBER(B237),H237&lt;&gt;"Published"),IF(INT(B237)&gt;=TODAY(),R237,""),"")</f>
        <v/>
      </c>
      <c r="V237">
        <f>IF(AND(ISNUMBER(B237),OR(H237="Draft",H237="Scheduled")),IF(INT(B237)&lt;TODAY(),1,0),0)</f>
        <v/>
      </c>
      <c r="W237">
        <f>IF(AND(H237="Published",N(O237)&gt;0),IF(T237=(YEAR(TODAY())*100+MONTH(TODAY())),ROUND(O237,0)*1000+1000-ROW(),""),"")</f>
        <v/>
      </c>
    </row>
    <row r="238">
      <c r="A238" s="1" t="n"/>
      <c r="B238" s="21" t="n"/>
      <c r="C238" s="22" t="n"/>
      <c r="D238" s="23" t="n"/>
      <c r="E238" s="24" t="n"/>
      <c r="F238" s="23" t="n"/>
      <c r="G238" s="25" t="n"/>
      <c r="H238" s="24" t="n"/>
      <c r="I238" s="23" t="n"/>
      <c r="J238" s="26" t="n"/>
      <c r="K238" s="26" t="n"/>
      <c r="L238" s="26" t="n"/>
      <c r="M238" s="26" t="n"/>
      <c r="N238" s="26" t="n"/>
      <c r="O238" s="27">
        <f>IF(COUNT(K238:N238)=0,"",SUM(K238:N238))</f>
        <v/>
      </c>
      <c r="P238" s="16">
        <f>IF(OR(O238="",N(J238)&lt;=0),"",O238/J238)</f>
        <v/>
      </c>
      <c r="Q238" s="28">
        <f>IF(V238=1,"Late","")</f>
        <v/>
      </c>
      <c r="R238" s="1">
        <f>IF(ISNUMBER(B238),INT(B238)*10000000+IF(ISNUMBER(C238),ROUND(MOD(C238,1)*1440,0),0)*1000+ROW(),"")</f>
        <v/>
      </c>
      <c r="S238">
        <f>IF(ISNUMBER(B238),INT(B238)-WEEKDAY(B238,3),"")</f>
        <v/>
      </c>
      <c r="T238">
        <f>IF(ISNUMBER(B238),YEAR(B238)*100+MONTH(B238),"")</f>
        <v/>
      </c>
      <c r="U238">
        <f>IF(AND(ISNUMBER(B238),H238&lt;&gt;"Published"),IF(INT(B238)&gt;=TODAY(),R238,""),"")</f>
        <v/>
      </c>
      <c r="V238">
        <f>IF(AND(ISNUMBER(B238),OR(H238="Draft",H238="Scheduled")),IF(INT(B238)&lt;TODAY(),1,0),0)</f>
        <v/>
      </c>
      <c r="W238">
        <f>IF(AND(H238="Published",N(O238)&gt;0),IF(T238=(YEAR(TODAY())*100+MONTH(TODAY())),ROUND(O238,0)*1000+1000-ROW(),""),"")</f>
        <v/>
      </c>
    </row>
    <row r="239">
      <c r="A239" s="1" t="n"/>
      <c r="B239" s="21" t="n"/>
      <c r="C239" s="22" t="n"/>
      <c r="D239" s="23" t="n"/>
      <c r="E239" s="24" t="n"/>
      <c r="F239" s="23" t="n"/>
      <c r="G239" s="25" t="n"/>
      <c r="H239" s="24" t="n"/>
      <c r="I239" s="23" t="n"/>
      <c r="J239" s="26" t="n"/>
      <c r="K239" s="26" t="n"/>
      <c r="L239" s="26" t="n"/>
      <c r="M239" s="26" t="n"/>
      <c r="N239" s="26" t="n"/>
      <c r="O239" s="27">
        <f>IF(COUNT(K239:N239)=0,"",SUM(K239:N239))</f>
        <v/>
      </c>
      <c r="P239" s="16">
        <f>IF(OR(O239="",N(J239)&lt;=0),"",O239/J239)</f>
        <v/>
      </c>
      <c r="Q239" s="28">
        <f>IF(V239=1,"Late","")</f>
        <v/>
      </c>
      <c r="R239" s="1">
        <f>IF(ISNUMBER(B239),INT(B239)*10000000+IF(ISNUMBER(C239),ROUND(MOD(C239,1)*1440,0),0)*1000+ROW(),"")</f>
        <v/>
      </c>
      <c r="S239">
        <f>IF(ISNUMBER(B239),INT(B239)-WEEKDAY(B239,3),"")</f>
        <v/>
      </c>
      <c r="T239">
        <f>IF(ISNUMBER(B239),YEAR(B239)*100+MONTH(B239),"")</f>
        <v/>
      </c>
      <c r="U239">
        <f>IF(AND(ISNUMBER(B239),H239&lt;&gt;"Published"),IF(INT(B239)&gt;=TODAY(),R239,""),"")</f>
        <v/>
      </c>
      <c r="V239">
        <f>IF(AND(ISNUMBER(B239),OR(H239="Draft",H239="Scheduled")),IF(INT(B239)&lt;TODAY(),1,0),0)</f>
        <v/>
      </c>
      <c r="W239">
        <f>IF(AND(H239="Published",N(O239)&gt;0),IF(T239=(YEAR(TODAY())*100+MONTH(TODAY())),ROUND(O239,0)*1000+1000-ROW(),""),"")</f>
        <v/>
      </c>
    </row>
    <row r="240">
      <c r="A240" s="1" t="n"/>
      <c r="B240" s="21" t="n"/>
      <c r="C240" s="22" t="n"/>
      <c r="D240" s="23" t="n"/>
      <c r="E240" s="24" t="n"/>
      <c r="F240" s="23" t="n"/>
      <c r="G240" s="25" t="n"/>
      <c r="H240" s="24" t="n"/>
      <c r="I240" s="23" t="n"/>
      <c r="J240" s="26" t="n"/>
      <c r="K240" s="26" t="n"/>
      <c r="L240" s="26" t="n"/>
      <c r="M240" s="26" t="n"/>
      <c r="N240" s="26" t="n"/>
      <c r="O240" s="27">
        <f>IF(COUNT(K240:N240)=0,"",SUM(K240:N240))</f>
        <v/>
      </c>
      <c r="P240" s="16">
        <f>IF(OR(O240="",N(J240)&lt;=0),"",O240/J240)</f>
        <v/>
      </c>
      <c r="Q240" s="28">
        <f>IF(V240=1,"Late","")</f>
        <v/>
      </c>
      <c r="R240" s="1">
        <f>IF(ISNUMBER(B240),INT(B240)*10000000+IF(ISNUMBER(C240),ROUND(MOD(C240,1)*1440,0),0)*1000+ROW(),"")</f>
        <v/>
      </c>
      <c r="S240">
        <f>IF(ISNUMBER(B240),INT(B240)-WEEKDAY(B240,3),"")</f>
        <v/>
      </c>
      <c r="T240">
        <f>IF(ISNUMBER(B240),YEAR(B240)*100+MONTH(B240),"")</f>
        <v/>
      </c>
      <c r="U240">
        <f>IF(AND(ISNUMBER(B240),H240&lt;&gt;"Published"),IF(INT(B240)&gt;=TODAY(),R240,""),"")</f>
        <v/>
      </c>
      <c r="V240">
        <f>IF(AND(ISNUMBER(B240),OR(H240="Draft",H240="Scheduled")),IF(INT(B240)&lt;TODAY(),1,0),0)</f>
        <v/>
      </c>
      <c r="W240">
        <f>IF(AND(H240="Published",N(O240)&gt;0),IF(T240=(YEAR(TODAY())*100+MONTH(TODAY())),ROUND(O240,0)*1000+1000-ROW(),""),"")</f>
        <v/>
      </c>
    </row>
    <row r="241">
      <c r="A241" s="1" t="n"/>
      <c r="B241" s="21" t="n"/>
      <c r="C241" s="22" t="n"/>
      <c r="D241" s="23" t="n"/>
      <c r="E241" s="24" t="n"/>
      <c r="F241" s="23" t="n"/>
      <c r="G241" s="25" t="n"/>
      <c r="H241" s="24" t="n"/>
      <c r="I241" s="23" t="n"/>
      <c r="J241" s="26" t="n"/>
      <c r="K241" s="26" t="n"/>
      <c r="L241" s="26" t="n"/>
      <c r="M241" s="26" t="n"/>
      <c r="N241" s="26" t="n"/>
      <c r="O241" s="27">
        <f>IF(COUNT(K241:N241)=0,"",SUM(K241:N241))</f>
        <v/>
      </c>
      <c r="P241" s="16">
        <f>IF(OR(O241="",N(J241)&lt;=0),"",O241/J241)</f>
        <v/>
      </c>
      <c r="Q241" s="28">
        <f>IF(V241=1,"Late","")</f>
        <v/>
      </c>
      <c r="R241" s="1">
        <f>IF(ISNUMBER(B241),INT(B241)*10000000+IF(ISNUMBER(C241),ROUND(MOD(C241,1)*1440,0),0)*1000+ROW(),"")</f>
        <v/>
      </c>
      <c r="S241">
        <f>IF(ISNUMBER(B241),INT(B241)-WEEKDAY(B241,3),"")</f>
        <v/>
      </c>
      <c r="T241">
        <f>IF(ISNUMBER(B241),YEAR(B241)*100+MONTH(B241),"")</f>
        <v/>
      </c>
      <c r="U241">
        <f>IF(AND(ISNUMBER(B241),H241&lt;&gt;"Published"),IF(INT(B241)&gt;=TODAY(),R241,""),"")</f>
        <v/>
      </c>
      <c r="V241">
        <f>IF(AND(ISNUMBER(B241),OR(H241="Draft",H241="Scheduled")),IF(INT(B241)&lt;TODAY(),1,0),0)</f>
        <v/>
      </c>
      <c r="W241">
        <f>IF(AND(H241="Published",N(O241)&gt;0),IF(T241=(YEAR(TODAY())*100+MONTH(TODAY())),ROUND(O241,0)*1000+1000-ROW(),""),"")</f>
        <v/>
      </c>
    </row>
    <row r="242">
      <c r="A242" s="1" t="n"/>
      <c r="B242" s="21" t="n"/>
      <c r="C242" s="22" t="n"/>
      <c r="D242" s="23" t="n"/>
      <c r="E242" s="24" t="n"/>
      <c r="F242" s="23" t="n"/>
      <c r="G242" s="25" t="n"/>
      <c r="H242" s="24" t="n"/>
      <c r="I242" s="23" t="n"/>
      <c r="J242" s="26" t="n"/>
      <c r="K242" s="26" t="n"/>
      <c r="L242" s="26" t="n"/>
      <c r="M242" s="26" t="n"/>
      <c r="N242" s="26" t="n"/>
      <c r="O242" s="27">
        <f>IF(COUNT(K242:N242)=0,"",SUM(K242:N242))</f>
        <v/>
      </c>
      <c r="P242" s="16">
        <f>IF(OR(O242="",N(J242)&lt;=0),"",O242/J242)</f>
        <v/>
      </c>
      <c r="Q242" s="28">
        <f>IF(V242=1,"Late","")</f>
        <v/>
      </c>
      <c r="R242" s="1">
        <f>IF(ISNUMBER(B242),INT(B242)*10000000+IF(ISNUMBER(C242),ROUND(MOD(C242,1)*1440,0),0)*1000+ROW(),"")</f>
        <v/>
      </c>
      <c r="S242">
        <f>IF(ISNUMBER(B242),INT(B242)-WEEKDAY(B242,3),"")</f>
        <v/>
      </c>
      <c r="T242">
        <f>IF(ISNUMBER(B242),YEAR(B242)*100+MONTH(B242),"")</f>
        <v/>
      </c>
      <c r="U242">
        <f>IF(AND(ISNUMBER(B242),H242&lt;&gt;"Published"),IF(INT(B242)&gt;=TODAY(),R242,""),"")</f>
        <v/>
      </c>
      <c r="V242">
        <f>IF(AND(ISNUMBER(B242),OR(H242="Draft",H242="Scheduled")),IF(INT(B242)&lt;TODAY(),1,0),0)</f>
        <v/>
      </c>
      <c r="W242">
        <f>IF(AND(H242="Published",N(O242)&gt;0),IF(T242=(YEAR(TODAY())*100+MONTH(TODAY())),ROUND(O242,0)*1000+1000-ROW(),""),"")</f>
        <v/>
      </c>
    </row>
    <row r="243">
      <c r="A243" s="1" t="n"/>
      <c r="B243" s="21" t="n"/>
      <c r="C243" s="22" t="n"/>
      <c r="D243" s="23" t="n"/>
      <c r="E243" s="24" t="n"/>
      <c r="F243" s="23" t="n"/>
      <c r="G243" s="25" t="n"/>
      <c r="H243" s="24" t="n"/>
      <c r="I243" s="23" t="n"/>
      <c r="J243" s="26" t="n"/>
      <c r="K243" s="26" t="n"/>
      <c r="L243" s="26" t="n"/>
      <c r="M243" s="26" t="n"/>
      <c r="N243" s="26" t="n"/>
      <c r="O243" s="27">
        <f>IF(COUNT(K243:N243)=0,"",SUM(K243:N243))</f>
        <v/>
      </c>
      <c r="P243" s="16">
        <f>IF(OR(O243="",N(J243)&lt;=0),"",O243/J243)</f>
        <v/>
      </c>
      <c r="Q243" s="28">
        <f>IF(V243=1,"Late","")</f>
        <v/>
      </c>
      <c r="R243" s="1">
        <f>IF(ISNUMBER(B243),INT(B243)*10000000+IF(ISNUMBER(C243),ROUND(MOD(C243,1)*1440,0),0)*1000+ROW(),"")</f>
        <v/>
      </c>
      <c r="S243">
        <f>IF(ISNUMBER(B243),INT(B243)-WEEKDAY(B243,3),"")</f>
        <v/>
      </c>
      <c r="T243">
        <f>IF(ISNUMBER(B243),YEAR(B243)*100+MONTH(B243),"")</f>
        <v/>
      </c>
      <c r="U243">
        <f>IF(AND(ISNUMBER(B243),H243&lt;&gt;"Published"),IF(INT(B243)&gt;=TODAY(),R243,""),"")</f>
        <v/>
      </c>
      <c r="V243">
        <f>IF(AND(ISNUMBER(B243),OR(H243="Draft",H243="Scheduled")),IF(INT(B243)&lt;TODAY(),1,0),0)</f>
        <v/>
      </c>
      <c r="W243">
        <f>IF(AND(H243="Published",N(O243)&gt;0),IF(T243=(YEAR(TODAY())*100+MONTH(TODAY())),ROUND(O243,0)*1000+1000-ROW(),""),"")</f>
        <v/>
      </c>
    </row>
    <row r="244">
      <c r="A244" s="1" t="n"/>
      <c r="B244" s="21" t="n"/>
      <c r="C244" s="22" t="n"/>
      <c r="D244" s="23" t="n"/>
      <c r="E244" s="24" t="n"/>
      <c r="F244" s="23" t="n"/>
      <c r="G244" s="25" t="n"/>
      <c r="H244" s="24" t="n"/>
      <c r="I244" s="23" t="n"/>
      <c r="J244" s="26" t="n"/>
      <c r="K244" s="26" t="n"/>
      <c r="L244" s="26" t="n"/>
      <c r="M244" s="26" t="n"/>
      <c r="N244" s="26" t="n"/>
      <c r="O244" s="27">
        <f>IF(COUNT(K244:N244)=0,"",SUM(K244:N244))</f>
        <v/>
      </c>
      <c r="P244" s="16">
        <f>IF(OR(O244="",N(J244)&lt;=0),"",O244/J244)</f>
        <v/>
      </c>
      <c r="Q244" s="28">
        <f>IF(V244=1,"Late","")</f>
        <v/>
      </c>
      <c r="R244" s="1">
        <f>IF(ISNUMBER(B244),INT(B244)*10000000+IF(ISNUMBER(C244),ROUND(MOD(C244,1)*1440,0),0)*1000+ROW(),"")</f>
        <v/>
      </c>
      <c r="S244">
        <f>IF(ISNUMBER(B244),INT(B244)-WEEKDAY(B244,3),"")</f>
        <v/>
      </c>
      <c r="T244">
        <f>IF(ISNUMBER(B244),YEAR(B244)*100+MONTH(B244),"")</f>
        <v/>
      </c>
      <c r="U244">
        <f>IF(AND(ISNUMBER(B244),H244&lt;&gt;"Published"),IF(INT(B244)&gt;=TODAY(),R244,""),"")</f>
        <v/>
      </c>
      <c r="V244">
        <f>IF(AND(ISNUMBER(B244),OR(H244="Draft",H244="Scheduled")),IF(INT(B244)&lt;TODAY(),1,0),0)</f>
        <v/>
      </c>
      <c r="W244">
        <f>IF(AND(H244="Published",N(O244)&gt;0),IF(T244=(YEAR(TODAY())*100+MONTH(TODAY())),ROUND(O244,0)*1000+1000-ROW(),""),"")</f>
        <v/>
      </c>
    </row>
    <row r="245">
      <c r="A245" s="1" t="n"/>
      <c r="B245" s="21" t="n"/>
      <c r="C245" s="22" t="n"/>
      <c r="D245" s="23" t="n"/>
      <c r="E245" s="24" t="n"/>
      <c r="F245" s="23" t="n"/>
      <c r="G245" s="25" t="n"/>
      <c r="H245" s="24" t="n"/>
      <c r="I245" s="23" t="n"/>
      <c r="J245" s="26" t="n"/>
      <c r="K245" s="26" t="n"/>
      <c r="L245" s="26" t="n"/>
      <c r="M245" s="26" t="n"/>
      <c r="N245" s="26" t="n"/>
      <c r="O245" s="27">
        <f>IF(COUNT(K245:N245)=0,"",SUM(K245:N245))</f>
        <v/>
      </c>
      <c r="P245" s="16">
        <f>IF(OR(O245="",N(J245)&lt;=0),"",O245/J245)</f>
        <v/>
      </c>
      <c r="Q245" s="28">
        <f>IF(V245=1,"Late","")</f>
        <v/>
      </c>
      <c r="R245" s="1">
        <f>IF(ISNUMBER(B245),INT(B245)*10000000+IF(ISNUMBER(C245),ROUND(MOD(C245,1)*1440,0),0)*1000+ROW(),"")</f>
        <v/>
      </c>
      <c r="S245">
        <f>IF(ISNUMBER(B245),INT(B245)-WEEKDAY(B245,3),"")</f>
        <v/>
      </c>
      <c r="T245">
        <f>IF(ISNUMBER(B245),YEAR(B245)*100+MONTH(B245),"")</f>
        <v/>
      </c>
      <c r="U245">
        <f>IF(AND(ISNUMBER(B245),H245&lt;&gt;"Published"),IF(INT(B245)&gt;=TODAY(),R245,""),"")</f>
        <v/>
      </c>
      <c r="V245">
        <f>IF(AND(ISNUMBER(B245),OR(H245="Draft",H245="Scheduled")),IF(INT(B245)&lt;TODAY(),1,0),0)</f>
        <v/>
      </c>
      <c r="W245">
        <f>IF(AND(H245="Published",N(O245)&gt;0),IF(T245=(YEAR(TODAY())*100+MONTH(TODAY())),ROUND(O245,0)*1000+1000-ROW(),""),"")</f>
        <v/>
      </c>
    </row>
    <row r="246">
      <c r="A246" s="1" t="n"/>
      <c r="B246" s="21" t="n"/>
      <c r="C246" s="22" t="n"/>
      <c r="D246" s="23" t="n"/>
      <c r="E246" s="24" t="n"/>
      <c r="F246" s="23" t="n"/>
      <c r="G246" s="25" t="n"/>
      <c r="H246" s="24" t="n"/>
      <c r="I246" s="23" t="n"/>
      <c r="J246" s="26" t="n"/>
      <c r="K246" s="26" t="n"/>
      <c r="L246" s="26" t="n"/>
      <c r="M246" s="26" t="n"/>
      <c r="N246" s="26" t="n"/>
      <c r="O246" s="27">
        <f>IF(COUNT(K246:N246)=0,"",SUM(K246:N246))</f>
        <v/>
      </c>
      <c r="P246" s="16">
        <f>IF(OR(O246="",N(J246)&lt;=0),"",O246/J246)</f>
        <v/>
      </c>
      <c r="Q246" s="28">
        <f>IF(V246=1,"Late","")</f>
        <v/>
      </c>
      <c r="R246" s="1">
        <f>IF(ISNUMBER(B246),INT(B246)*10000000+IF(ISNUMBER(C246),ROUND(MOD(C246,1)*1440,0),0)*1000+ROW(),"")</f>
        <v/>
      </c>
      <c r="S246">
        <f>IF(ISNUMBER(B246),INT(B246)-WEEKDAY(B246,3),"")</f>
        <v/>
      </c>
      <c r="T246">
        <f>IF(ISNUMBER(B246),YEAR(B246)*100+MONTH(B246),"")</f>
        <v/>
      </c>
      <c r="U246">
        <f>IF(AND(ISNUMBER(B246),H246&lt;&gt;"Published"),IF(INT(B246)&gt;=TODAY(),R246,""),"")</f>
        <v/>
      </c>
      <c r="V246">
        <f>IF(AND(ISNUMBER(B246),OR(H246="Draft",H246="Scheduled")),IF(INT(B246)&lt;TODAY(),1,0),0)</f>
        <v/>
      </c>
      <c r="W246">
        <f>IF(AND(H246="Published",N(O246)&gt;0),IF(T246=(YEAR(TODAY())*100+MONTH(TODAY())),ROUND(O246,0)*1000+1000-ROW(),""),"")</f>
        <v/>
      </c>
    </row>
    <row r="247">
      <c r="A247" s="1" t="n"/>
      <c r="B247" s="21" t="n"/>
      <c r="C247" s="22" t="n"/>
      <c r="D247" s="23" t="n"/>
      <c r="E247" s="24" t="n"/>
      <c r="F247" s="23" t="n"/>
      <c r="G247" s="25" t="n"/>
      <c r="H247" s="24" t="n"/>
      <c r="I247" s="23" t="n"/>
      <c r="J247" s="26" t="n"/>
      <c r="K247" s="26" t="n"/>
      <c r="L247" s="26" t="n"/>
      <c r="M247" s="26" t="n"/>
      <c r="N247" s="26" t="n"/>
      <c r="O247" s="27">
        <f>IF(COUNT(K247:N247)=0,"",SUM(K247:N247))</f>
        <v/>
      </c>
      <c r="P247" s="16">
        <f>IF(OR(O247="",N(J247)&lt;=0),"",O247/J247)</f>
        <v/>
      </c>
      <c r="Q247" s="28">
        <f>IF(V247=1,"Late","")</f>
        <v/>
      </c>
      <c r="R247" s="1">
        <f>IF(ISNUMBER(B247),INT(B247)*10000000+IF(ISNUMBER(C247),ROUND(MOD(C247,1)*1440,0),0)*1000+ROW(),"")</f>
        <v/>
      </c>
      <c r="S247">
        <f>IF(ISNUMBER(B247),INT(B247)-WEEKDAY(B247,3),"")</f>
        <v/>
      </c>
      <c r="T247">
        <f>IF(ISNUMBER(B247),YEAR(B247)*100+MONTH(B247),"")</f>
        <v/>
      </c>
      <c r="U247">
        <f>IF(AND(ISNUMBER(B247),H247&lt;&gt;"Published"),IF(INT(B247)&gt;=TODAY(),R247,""),"")</f>
        <v/>
      </c>
      <c r="V247">
        <f>IF(AND(ISNUMBER(B247),OR(H247="Draft",H247="Scheduled")),IF(INT(B247)&lt;TODAY(),1,0),0)</f>
        <v/>
      </c>
      <c r="W247">
        <f>IF(AND(H247="Published",N(O247)&gt;0),IF(T247=(YEAR(TODAY())*100+MONTH(TODAY())),ROUND(O247,0)*1000+1000-ROW(),""),"")</f>
        <v/>
      </c>
    </row>
    <row r="248">
      <c r="A248" s="1" t="n"/>
      <c r="B248" s="21" t="n"/>
      <c r="C248" s="22" t="n"/>
      <c r="D248" s="23" t="n"/>
      <c r="E248" s="24" t="n"/>
      <c r="F248" s="23" t="n"/>
      <c r="G248" s="25" t="n"/>
      <c r="H248" s="24" t="n"/>
      <c r="I248" s="23" t="n"/>
      <c r="J248" s="26" t="n"/>
      <c r="K248" s="26" t="n"/>
      <c r="L248" s="26" t="n"/>
      <c r="M248" s="26" t="n"/>
      <c r="N248" s="26" t="n"/>
      <c r="O248" s="27">
        <f>IF(COUNT(K248:N248)=0,"",SUM(K248:N248))</f>
        <v/>
      </c>
      <c r="P248" s="16">
        <f>IF(OR(O248="",N(J248)&lt;=0),"",O248/J248)</f>
        <v/>
      </c>
      <c r="Q248" s="28">
        <f>IF(V248=1,"Late","")</f>
        <v/>
      </c>
      <c r="R248" s="1">
        <f>IF(ISNUMBER(B248),INT(B248)*10000000+IF(ISNUMBER(C248),ROUND(MOD(C248,1)*1440,0),0)*1000+ROW(),"")</f>
        <v/>
      </c>
      <c r="S248">
        <f>IF(ISNUMBER(B248),INT(B248)-WEEKDAY(B248,3),"")</f>
        <v/>
      </c>
      <c r="T248">
        <f>IF(ISNUMBER(B248),YEAR(B248)*100+MONTH(B248),"")</f>
        <v/>
      </c>
      <c r="U248">
        <f>IF(AND(ISNUMBER(B248),H248&lt;&gt;"Published"),IF(INT(B248)&gt;=TODAY(),R248,""),"")</f>
        <v/>
      </c>
      <c r="V248">
        <f>IF(AND(ISNUMBER(B248),OR(H248="Draft",H248="Scheduled")),IF(INT(B248)&lt;TODAY(),1,0),0)</f>
        <v/>
      </c>
      <c r="W248">
        <f>IF(AND(H248="Published",N(O248)&gt;0),IF(T248=(YEAR(TODAY())*100+MONTH(TODAY())),ROUND(O248,0)*1000+1000-ROW(),""),"")</f>
        <v/>
      </c>
    </row>
    <row r="249">
      <c r="A249" s="1" t="n"/>
      <c r="B249" s="21" t="n"/>
      <c r="C249" s="22" t="n"/>
      <c r="D249" s="23" t="n"/>
      <c r="E249" s="24" t="n"/>
      <c r="F249" s="23" t="n"/>
      <c r="G249" s="25" t="n"/>
      <c r="H249" s="24" t="n"/>
      <c r="I249" s="23" t="n"/>
      <c r="J249" s="26" t="n"/>
      <c r="K249" s="26" t="n"/>
      <c r="L249" s="26" t="n"/>
      <c r="M249" s="26" t="n"/>
      <c r="N249" s="26" t="n"/>
      <c r="O249" s="27">
        <f>IF(COUNT(K249:N249)=0,"",SUM(K249:N249))</f>
        <v/>
      </c>
      <c r="P249" s="16">
        <f>IF(OR(O249="",N(J249)&lt;=0),"",O249/J249)</f>
        <v/>
      </c>
      <c r="Q249" s="28">
        <f>IF(V249=1,"Late","")</f>
        <v/>
      </c>
      <c r="R249" s="1">
        <f>IF(ISNUMBER(B249),INT(B249)*10000000+IF(ISNUMBER(C249),ROUND(MOD(C249,1)*1440,0),0)*1000+ROW(),"")</f>
        <v/>
      </c>
      <c r="S249">
        <f>IF(ISNUMBER(B249),INT(B249)-WEEKDAY(B249,3),"")</f>
        <v/>
      </c>
      <c r="T249">
        <f>IF(ISNUMBER(B249),YEAR(B249)*100+MONTH(B249),"")</f>
        <v/>
      </c>
      <c r="U249">
        <f>IF(AND(ISNUMBER(B249),H249&lt;&gt;"Published"),IF(INT(B249)&gt;=TODAY(),R249,""),"")</f>
        <v/>
      </c>
      <c r="V249">
        <f>IF(AND(ISNUMBER(B249),OR(H249="Draft",H249="Scheduled")),IF(INT(B249)&lt;TODAY(),1,0),0)</f>
        <v/>
      </c>
      <c r="W249">
        <f>IF(AND(H249="Published",N(O249)&gt;0),IF(T249=(YEAR(TODAY())*100+MONTH(TODAY())),ROUND(O249,0)*1000+1000-ROW(),""),"")</f>
        <v/>
      </c>
    </row>
    <row r="250">
      <c r="A250" s="1" t="n"/>
      <c r="B250" s="21" t="n"/>
      <c r="C250" s="22" t="n"/>
      <c r="D250" s="23" t="n"/>
      <c r="E250" s="24" t="n"/>
      <c r="F250" s="23" t="n"/>
      <c r="G250" s="25" t="n"/>
      <c r="H250" s="24" t="n"/>
      <c r="I250" s="23" t="n"/>
      <c r="J250" s="26" t="n"/>
      <c r="K250" s="26" t="n"/>
      <c r="L250" s="26" t="n"/>
      <c r="M250" s="26" t="n"/>
      <c r="N250" s="26" t="n"/>
      <c r="O250" s="27">
        <f>IF(COUNT(K250:N250)=0,"",SUM(K250:N250))</f>
        <v/>
      </c>
      <c r="P250" s="16">
        <f>IF(OR(O250="",N(J250)&lt;=0),"",O250/J250)</f>
        <v/>
      </c>
      <c r="Q250" s="28">
        <f>IF(V250=1,"Late","")</f>
        <v/>
      </c>
      <c r="R250" s="1">
        <f>IF(ISNUMBER(B250),INT(B250)*10000000+IF(ISNUMBER(C250),ROUND(MOD(C250,1)*1440,0),0)*1000+ROW(),"")</f>
        <v/>
      </c>
      <c r="S250">
        <f>IF(ISNUMBER(B250),INT(B250)-WEEKDAY(B250,3),"")</f>
        <v/>
      </c>
      <c r="T250">
        <f>IF(ISNUMBER(B250),YEAR(B250)*100+MONTH(B250),"")</f>
        <v/>
      </c>
      <c r="U250">
        <f>IF(AND(ISNUMBER(B250),H250&lt;&gt;"Published"),IF(INT(B250)&gt;=TODAY(),R250,""),"")</f>
        <v/>
      </c>
      <c r="V250">
        <f>IF(AND(ISNUMBER(B250),OR(H250="Draft",H250="Scheduled")),IF(INT(B250)&lt;TODAY(),1,0),0)</f>
        <v/>
      </c>
      <c r="W250">
        <f>IF(AND(H250="Published",N(O250)&gt;0),IF(T250=(YEAR(TODAY())*100+MONTH(TODAY())),ROUND(O250,0)*1000+1000-ROW(),""),"")</f>
        <v/>
      </c>
    </row>
    <row r="251">
      <c r="A251" s="1" t="n"/>
      <c r="B251" s="21" t="n"/>
      <c r="C251" s="22" t="n"/>
      <c r="D251" s="23" t="n"/>
      <c r="E251" s="24" t="n"/>
      <c r="F251" s="23" t="n"/>
      <c r="G251" s="25" t="n"/>
      <c r="H251" s="24" t="n"/>
      <c r="I251" s="23" t="n"/>
      <c r="J251" s="26" t="n"/>
      <c r="K251" s="26" t="n"/>
      <c r="L251" s="26" t="n"/>
      <c r="M251" s="26" t="n"/>
      <c r="N251" s="26" t="n"/>
      <c r="O251" s="27">
        <f>IF(COUNT(K251:N251)=0,"",SUM(K251:N251))</f>
        <v/>
      </c>
      <c r="P251" s="16">
        <f>IF(OR(O251="",N(J251)&lt;=0),"",O251/J251)</f>
        <v/>
      </c>
      <c r="Q251" s="28">
        <f>IF(V251=1,"Late","")</f>
        <v/>
      </c>
      <c r="R251" s="1">
        <f>IF(ISNUMBER(B251),INT(B251)*10000000+IF(ISNUMBER(C251),ROUND(MOD(C251,1)*1440,0),0)*1000+ROW(),"")</f>
        <v/>
      </c>
      <c r="S251">
        <f>IF(ISNUMBER(B251),INT(B251)-WEEKDAY(B251,3),"")</f>
        <v/>
      </c>
      <c r="T251">
        <f>IF(ISNUMBER(B251),YEAR(B251)*100+MONTH(B251),"")</f>
        <v/>
      </c>
      <c r="U251">
        <f>IF(AND(ISNUMBER(B251),H251&lt;&gt;"Published"),IF(INT(B251)&gt;=TODAY(),R251,""),"")</f>
        <v/>
      </c>
      <c r="V251">
        <f>IF(AND(ISNUMBER(B251),OR(H251="Draft",H251="Scheduled")),IF(INT(B251)&lt;TODAY(),1,0),0)</f>
        <v/>
      </c>
      <c r="W251">
        <f>IF(AND(H251="Published",N(O251)&gt;0),IF(T251=(YEAR(TODAY())*100+MONTH(TODAY())),ROUND(O251,0)*1000+1000-ROW(),""),"")</f>
        <v/>
      </c>
    </row>
    <row r="252">
      <c r="A252" s="1" t="n"/>
      <c r="B252" s="21" t="n"/>
      <c r="C252" s="22" t="n"/>
      <c r="D252" s="23" t="n"/>
      <c r="E252" s="24" t="n"/>
      <c r="F252" s="23" t="n"/>
      <c r="G252" s="25" t="n"/>
      <c r="H252" s="24" t="n"/>
      <c r="I252" s="23" t="n"/>
      <c r="J252" s="26" t="n"/>
      <c r="K252" s="26" t="n"/>
      <c r="L252" s="26" t="n"/>
      <c r="M252" s="26" t="n"/>
      <c r="N252" s="26" t="n"/>
      <c r="O252" s="27">
        <f>IF(COUNT(K252:N252)=0,"",SUM(K252:N252))</f>
        <v/>
      </c>
      <c r="P252" s="16">
        <f>IF(OR(O252="",N(J252)&lt;=0),"",O252/J252)</f>
        <v/>
      </c>
      <c r="Q252" s="28">
        <f>IF(V252=1,"Late","")</f>
        <v/>
      </c>
      <c r="R252" s="1">
        <f>IF(ISNUMBER(B252),INT(B252)*10000000+IF(ISNUMBER(C252),ROUND(MOD(C252,1)*1440,0),0)*1000+ROW(),"")</f>
        <v/>
      </c>
      <c r="S252">
        <f>IF(ISNUMBER(B252),INT(B252)-WEEKDAY(B252,3),"")</f>
        <v/>
      </c>
      <c r="T252">
        <f>IF(ISNUMBER(B252),YEAR(B252)*100+MONTH(B252),"")</f>
        <v/>
      </c>
      <c r="U252">
        <f>IF(AND(ISNUMBER(B252),H252&lt;&gt;"Published"),IF(INT(B252)&gt;=TODAY(),R252,""),"")</f>
        <v/>
      </c>
      <c r="V252">
        <f>IF(AND(ISNUMBER(B252),OR(H252="Draft",H252="Scheduled")),IF(INT(B252)&lt;TODAY(),1,0),0)</f>
        <v/>
      </c>
      <c r="W252">
        <f>IF(AND(H252="Published",N(O252)&gt;0),IF(T252=(YEAR(TODAY())*100+MONTH(TODAY())),ROUND(O252,0)*1000+1000-ROW(),""),"")</f>
        <v/>
      </c>
    </row>
    <row r="253">
      <c r="A253" s="1" t="n"/>
      <c r="B253" s="21" t="n"/>
      <c r="C253" s="22" t="n"/>
      <c r="D253" s="23" t="n"/>
      <c r="E253" s="24" t="n"/>
      <c r="F253" s="23" t="n"/>
      <c r="G253" s="25" t="n"/>
      <c r="H253" s="24" t="n"/>
      <c r="I253" s="23" t="n"/>
      <c r="J253" s="26" t="n"/>
      <c r="K253" s="26" t="n"/>
      <c r="L253" s="26" t="n"/>
      <c r="M253" s="26" t="n"/>
      <c r="N253" s="26" t="n"/>
      <c r="O253" s="27">
        <f>IF(COUNT(K253:N253)=0,"",SUM(K253:N253))</f>
        <v/>
      </c>
      <c r="P253" s="16">
        <f>IF(OR(O253="",N(J253)&lt;=0),"",O253/J253)</f>
        <v/>
      </c>
      <c r="Q253" s="28">
        <f>IF(V253=1,"Late","")</f>
        <v/>
      </c>
      <c r="R253" s="1">
        <f>IF(ISNUMBER(B253),INT(B253)*10000000+IF(ISNUMBER(C253),ROUND(MOD(C253,1)*1440,0),0)*1000+ROW(),"")</f>
        <v/>
      </c>
      <c r="S253">
        <f>IF(ISNUMBER(B253),INT(B253)-WEEKDAY(B253,3),"")</f>
        <v/>
      </c>
      <c r="T253">
        <f>IF(ISNUMBER(B253),YEAR(B253)*100+MONTH(B253),"")</f>
        <v/>
      </c>
      <c r="U253">
        <f>IF(AND(ISNUMBER(B253),H253&lt;&gt;"Published"),IF(INT(B253)&gt;=TODAY(),R253,""),"")</f>
        <v/>
      </c>
      <c r="V253">
        <f>IF(AND(ISNUMBER(B253),OR(H253="Draft",H253="Scheduled")),IF(INT(B253)&lt;TODAY(),1,0),0)</f>
        <v/>
      </c>
      <c r="W253">
        <f>IF(AND(H253="Published",N(O253)&gt;0),IF(T253=(YEAR(TODAY())*100+MONTH(TODAY())),ROUND(O253,0)*1000+1000-ROW(),""),"")</f>
        <v/>
      </c>
    </row>
    <row r="254">
      <c r="A254" s="1" t="n"/>
      <c r="B254" s="21" t="n"/>
      <c r="C254" s="22" t="n"/>
      <c r="D254" s="23" t="n"/>
      <c r="E254" s="24" t="n"/>
      <c r="F254" s="23" t="n"/>
      <c r="G254" s="25" t="n"/>
      <c r="H254" s="24" t="n"/>
      <c r="I254" s="23" t="n"/>
      <c r="J254" s="26" t="n"/>
      <c r="K254" s="26" t="n"/>
      <c r="L254" s="26" t="n"/>
      <c r="M254" s="26" t="n"/>
      <c r="N254" s="26" t="n"/>
      <c r="O254" s="27">
        <f>IF(COUNT(K254:N254)=0,"",SUM(K254:N254))</f>
        <v/>
      </c>
      <c r="P254" s="16">
        <f>IF(OR(O254="",N(J254)&lt;=0),"",O254/J254)</f>
        <v/>
      </c>
      <c r="Q254" s="28">
        <f>IF(V254=1,"Late","")</f>
        <v/>
      </c>
      <c r="R254" s="1">
        <f>IF(ISNUMBER(B254),INT(B254)*10000000+IF(ISNUMBER(C254),ROUND(MOD(C254,1)*1440,0),0)*1000+ROW(),"")</f>
        <v/>
      </c>
      <c r="S254">
        <f>IF(ISNUMBER(B254),INT(B254)-WEEKDAY(B254,3),"")</f>
        <v/>
      </c>
      <c r="T254">
        <f>IF(ISNUMBER(B254),YEAR(B254)*100+MONTH(B254),"")</f>
        <v/>
      </c>
      <c r="U254">
        <f>IF(AND(ISNUMBER(B254),H254&lt;&gt;"Published"),IF(INT(B254)&gt;=TODAY(),R254,""),"")</f>
        <v/>
      </c>
      <c r="V254">
        <f>IF(AND(ISNUMBER(B254),OR(H254="Draft",H254="Scheduled")),IF(INT(B254)&lt;TODAY(),1,0),0)</f>
        <v/>
      </c>
      <c r="W254">
        <f>IF(AND(H254="Published",N(O254)&gt;0),IF(T254=(YEAR(TODAY())*100+MONTH(TODAY())),ROUND(O254,0)*1000+1000-ROW(),""),"")</f>
        <v/>
      </c>
    </row>
    <row r="255">
      <c r="A255" s="1" t="n"/>
      <c r="B255" s="21" t="n"/>
      <c r="C255" s="22" t="n"/>
      <c r="D255" s="23" t="n"/>
      <c r="E255" s="24" t="n"/>
      <c r="F255" s="23" t="n"/>
      <c r="G255" s="25" t="n"/>
      <c r="H255" s="24" t="n"/>
      <c r="I255" s="23" t="n"/>
      <c r="J255" s="26" t="n"/>
      <c r="K255" s="26" t="n"/>
      <c r="L255" s="26" t="n"/>
      <c r="M255" s="26" t="n"/>
      <c r="N255" s="26" t="n"/>
      <c r="O255" s="27">
        <f>IF(COUNT(K255:N255)=0,"",SUM(K255:N255))</f>
        <v/>
      </c>
      <c r="P255" s="16">
        <f>IF(OR(O255="",N(J255)&lt;=0),"",O255/J255)</f>
        <v/>
      </c>
      <c r="Q255" s="28">
        <f>IF(V255=1,"Late","")</f>
        <v/>
      </c>
      <c r="R255" s="1">
        <f>IF(ISNUMBER(B255),INT(B255)*10000000+IF(ISNUMBER(C255),ROUND(MOD(C255,1)*1440,0),0)*1000+ROW(),"")</f>
        <v/>
      </c>
      <c r="S255">
        <f>IF(ISNUMBER(B255),INT(B255)-WEEKDAY(B255,3),"")</f>
        <v/>
      </c>
      <c r="T255">
        <f>IF(ISNUMBER(B255),YEAR(B255)*100+MONTH(B255),"")</f>
        <v/>
      </c>
      <c r="U255">
        <f>IF(AND(ISNUMBER(B255),H255&lt;&gt;"Published"),IF(INT(B255)&gt;=TODAY(),R255,""),"")</f>
        <v/>
      </c>
      <c r="V255">
        <f>IF(AND(ISNUMBER(B255),OR(H255="Draft",H255="Scheduled")),IF(INT(B255)&lt;TODAY(),1,0),0)</f>
        <v/>
      </c>
      <c r="W255">
        <f>IF(AND(H255="Published",N(O255)&gt;0),IF(T255=(YEAR(TODAY())*100+MONTH(TODAY())),ROUND(O255,0)*1000+1000-ROW(),""),"")</f>
        <v/>
      </c>
    </row>
    <row r="256">
      <c r="A256" s="1" t="n"/>
      <c r="B256" s="21" t="n"/>
      <c r="C256" s="22" t="n"/>
      <c r="D256" s="23" t="n"/>
      <c r="E256" s="24" t="n"/>
      <c r="F256" s="23" t="n"/>
      <c r="G256" s="25" t="n"/>
      <c r="H256" s="24" t="n"/>
      <c r="I256" s="23" t="n"/>
      <c r="J256" s="26" t="n"/>
      <c r="K256" s="26" t="n"/>
      <c r="L256" s="26" t="n"/>
      <c r="M256" s="26" t="n"/>
      <c r="N256" s="26" t="n"/>
      <c r="O256" s="27">
        <f>IF(COUNT(K256:N256)=0,"",SUM(K256:N256))</f>
        <v/>
      </c>
      <c r="P256" s="16">
        <f>IF(OR(O256="",N(J256)&lt;=0),"",O256/J256)</f>
        <v/>
      </c>
      <c r="Q256" s="28">
        <f>IF(V256=1,"Late","")</f>
        <v/>
      </c>
      <c r="R256" s="1">
        <f>IF(ISNUMBER(B256),INT(B256)*10000000+IF(ISNUMBER(C256),ROUND(MOD(C256,1)*1440,0),0)*1000+ROW(),"")</f>
        <v/>
      </c>
      <c r="S256">
        <f>IF(ISNUMBER(B256),INT(B256)-WEEKDAY(B256,3),"")</f>
        <v/>
      </c>
      <c r="T256">
        <f>IF(ISNUMBER(B256),YEAR(B256)*100+MONTH(B256),"")</f>
        <v/>
      </c>
      <c r="U256">
        <f>IF(AND(ISNUMBER(B256),H256&lt;&gt;"Published"),IF(INT(B256)&gt;=TODAY(),R256,""),"")</f>
        <v/>
      </c>
      <c r="V256">
        <f>IF(AND(ISNUMBER(B256),OR(H256="Draft",H256="Scheduled")),IF(INT(B256)&lt;TODAY(),1,0),0)</f>
        <v/>
      </c>
      <c r="W256">
        <f>IF(AND(H256="Published",N(O256)&gt;0),IF(T256=(YEAR(TODAY())*100+MONTH(TODAY())),ROUND(O256,0)*1000+1000-ROW(),""),"")</f>
        <v/>
      </c>
    </row>
    <row r="257">
      <c r="A257" s="1" t="n"/>
      <c r="B257" s="21" t="n"/>
      <c r="C257" s="22" t="n"/>
      <c r="D257" s="23" t="n"/>
      <c r="E257" s="24" t="n"/>
      <c r="F257" s="23" t="n"/>
      <c r="G257" s="25" t="n"/>
      <c r="H257" s="24" t="n"/>
      <c r="I257" s="23" t="n"/>
      <c r="J257" s="26" t="n"/>
      <c r="K257" s="26" t="n"/>
      <c r="L257" s="26" t="n"/>
      <c r="M257" s="26" t="n"/>
      <c r="N257" s="26" t="n"/>
      <c r="O257" s="27">
        <f>IF(COUNT(K257:N257)=0,"",SUM(K257:N257))</f>
        <v/>
      </c>
      <c r="P257" s="16">
        <f>IF(OR(O257="",N(J257)&lt;=0),"",O257/J257)</f>
        <v/>
      </c>
      <c r="Q257" s="28">
        <f>IF(V257=1,"Late","")</f>
        <v/>
      </c>
      <c r="R257" s="1">
        <f>IF(ISNUMBER(B257),INT(B257)*10000000+IF(ISNUMBER(C257),ROUND(MOD(C257,1)*1440,0),0)*1000+ROW(),"")</f>
        <v/>
      </c>
      <c r="S257">
        <f>IF(ISNUMBER(B257),INT(B257)-WEEKDAY(B257,3),"")</f>
        <v/>
      </c>
      <c r="T257">
        <f>IF(ISNUMBER(B257),YEAR(B257)*100+MONTH(B257),"")</f>
        <v/>
      </c>
      <c r="U257">
        <f>IF(AND(ISNUMBER(B257),H257&lt;&gt;"Published"),IF(INT(B257)&gt;=TODAY(),R257,""),"")</f>
        <v/>
      </c>
      <c r="V257">
        <f>IF(AND(ISNUMBER(B257),OR(H257="Draft",H257="Scheduled")),IF(INT(B257)&lt;TODAY(),1,0),0)</f>
        <v/>
      </c>
      <c r="W257">
        <f>IF(AND(H257="Published",N(O257)&gt;0),IF(T257=(YEAR(TODAY())*100+MONTH(TODAY())),ROUND(O257,0)*1000+1000-ROW(),""),"")</f>
        <v/>
      </c>
    </row>
    <row r="258">
      <c r="A258" s="1" t="n"/>
      <c r="B258" s="21" t="n"/>
      <c r="C258" s="22" t="n"/>
      <c r="D258" s="23" t="n"/>
      <c r="E258" s="24" t="n"/>
      <c r="F258" s="23" t="n"/>
      <c r="G258" s="25" t="n"/>
      <c r="H258" s="24" t="n"/>
      <c r="I258" s="23" t="n"/>
      <c r="J258" s="26" t="n"/>
      <c r="K258" s="26" t="n"/>
      <c r="L258" s="26" t="n"/>
      <c r="M258" s="26" t="n"/>
      <c r="N258" s="26" t="n"/>
      <c r="O258" s="27">
        <f>IF(COUNT(K258:N258)=0,"",SUM(K258:N258))</f>
        <v/>
      </c>
      <c r="P258" s="16">
        <f>IF(OR(O258="",N(J258)&lt;=0),"",O258/J258)</f>
        <v/>
      </c>
      <c r="Q258" s="28">
        <f>IF(V258=1,"Late","")</f>
        <v/>
      </c>
      <c r="R258" s="1">
        <f>IF(ISNUMBER(B258),INT(B258)*10000000+IF(ISNUMBER(C258),ROUND(MOD(C258,1)*1440,0),0)*1000+ROW(),"")</f>
        <v/>
      </c>
      <c r="S258">
        <f>IF(ISNUMBER(B258),INT(B258)-WEEKDAY(B258,3),"")</f>
        <v/>
      </c>
      <c r="T258">
        <f>IF(ISNUMBER(B258),YEAR(B258)*100+MONTH(B258),"")</f>
        <v/>
      </c>
      <c r="U258">
        <f>IF(AND(ISNUMBER(B258),H258&lt;&gt;"Published"),IF(INT(B258)&gt;=TODAY(),R258,""),"")</f>
        <v/>
      </c>
      <c r="V258">
        <f>IF(AND(ISNUMBER(B258),OR(H258="Draft",H258="Scheduled")),IF(INT(B258)&lt;TODAY(),1,0),0)</f>
        <v/>
      </c>
      <c r="W258">
        <f>IF(AND(H258="Published",N(O258)&gt;0),IF(T258=(YEAR(TODAY())*100+MONTH(TODAY())),ROUND(O258,0)*1000+1000-ROW(),""),"")</f>
        <v/>
      </c>
    </row>
    <row r="259">
      <c r="A259" s="1" t="n"/>
      <c r="B259" s="21" t="n"/>
      <c r="C259" s="22" t="n"/>
      <c r="D259" s="23" t="n"/>
      <c r="E259" s="24" t="n"/>
      <c r="F259" s="23" t="n"/>
      <c r="G259" s="25" t="n"/>
      <c r="H259" s="24" t="n"/>
      <c r="I259" s="23" t="n"/>
      <c r="J259" s="26" t="n"/>
      <c r="K259" s="26" t="n"/>
      <c r="L259" s="26" t="n"/>
      <c r="M259" s="26" t="n"/>
      <c r="N259" s="26" t="n"/>
      <c r="O259" s="27">
        <f>IF(COUNT(K259:N259)=0,"",SUM(K259:N259))</f>
        <v/>
      </c>
      <c r="P259" s="16">
        <f>IF(OR(O259="",N(J259)&lt;=0),"",O259/J259)</f>
        <v/>
      </c>
      <c r="Q259" s="28">
        <f>IF(V259=1,"Late","")</f>
        <v/>
      </c>
      <c r="R259" s="1">
        <f>IF(ISNUMBER(B259),INT(B259)*10000000+IF(ISNUMBER(C259),ROUND(MOD(C259,1)*1440,0),0)*1000+ROW(),"")</f>
        <v/>
      </c>
      <c r="S259">
        <f>IF(ISNUMBER(B259),INT(B259)-WEEKDAY(B259,3),"")</f>
        <v/>
      </c>
      <c r="T259">
        <f>IF(ISNUMBER(B259),YEAR(B259)*100+MONTH(B259),"")</f>
        <v/>
      </c>
      <c r="U259">
        <f>IF(AND(ISNUMBER(B259),H259&lt;&gt;"Published"),IF(INT(B259)&gt;=TODAY(),R259,""),"")</f>
        <v/>
      </c>
      <c r="V259">
        <f>IF(AND(ISNUMBER(B259),OR(H259="Draft",H259="Scheduled")),IF(INT(B259)&lt;TODAY(),1,0),0)</f>
        <v/>
      </c>
      <c r="W259">
        <f>IF(AND(H259="Published",N(O259)&gt;0),IF(T259=(YEAR(TODAY())*100+MONTH(TODAY())),ROUND(O259,0)*1000+1000-ROW(),""),"")</f>
        <v/>
      </c>
    </row>
    <row r="260">
      <c r="A260" s="1" t="n"/>
      <c r="B260" s="21" t="n"/>
      <c r="C260" s="22" t="n"/>
      <c r="D260" s="23" t="n"/>
      <c r="E260" s="24" t="n"/>
      <c r="F260" s="23" t="n"/>
      <c r="G260" s="25" t="n"/>
      <c r="H260" s="24" t="n"/>
      <c r="I260" s="23" t="n"/>
      <c r="J260" s="26" t="n"/>
      <c r="K260" s="26" t="n"/>
      <c r="L260" s="26" t="n"/>
      <c r="M260" s="26" t="n"/>
      <c r="N260" s="26" t="n"/>
      <c r="O260" s="27">
        <f>IF(COUNT(K260:N260)=0,"",SUM(K260:N260))</f>
        <v/>
      </c>
      <c r="P260" s="16">
        <f>IF(OR(O260="",N(J260)&lt;=0),"",O260/J260)</f>
        <v/>
      </c>
      <c r="Q260" s="28">
        <f>IF(V260=1,"Late","")</f>
        <v/>
      </c>
      <c r="R260" s="1">
        <f>IF(ISNUMBER(B260),INT(B260)*10000000+IF(ISNUMBER(C260),ROUND(MOD(C260,1)*1440,0),0)*1000+ROW(),"")</f>
        <v/>
      </c>
      <c r="S260">
        <f>IF(ISNUMBER(B260),INT(B260)-WEEKDAY(B260,3),"")</f>
        <v/>
      </c>
      <c r="T260">
        <f>IF(ISNUMBER(B260),YEAR(B260)*100+MONTH(B260),"")</f>
        <v/>
      </c>
      <c r="U260">
        <f>IF(AND(ISNUMBER(B260),H260&lt;&gt;"Published"),IF(INT(B260)&gt;=TODAY(),R260,""),"")</f>
        <v/>
      </c>
      <c r="V260">
        <f>IF(AND(ISNUMBER(B260),OR(H260="Draft",H260="Scheduled")),IF(INT(B260)&lt;TODAY(),1,0),0)</f>
        <v/>
      </c>
      <c r="W260">
        <f>IF(AND(H260="Published",N(O260)&gt;0),IF(T260=(YEAR(TODAY())*100+MONTH(TODAY())),ROUND(O260,0)*1000+1000-ROW(),""),"")</f>
        <v/>
      </c>
    </row>
    <row r="261">
      <c r="A261" s="1" t="n"/>
      <c r="B261" s="21" t="n"/>
      <c r="C261" s="22" t="n"/>
      <c r="D261" s="23" t="n"/>
      <c r="E261" s="24" t="n"/>
      <c r="F261" s="23" t="n"/>
      <c r="G261" s="25" t="n"/>
      <c r="H261" s="24" t="n"/>
      <c r="I261" s="23" t="n"/>
      <c r="J261" s="26" t="n"/>
      <c r="K261" s="26" t="n"/>
      <c r="L261" s="26" t="n"/>
      <c r="M261" s="26" t="n"/>
      <c r="N261" s="26" t="n"/>
      <c r="O261" s="27">
        <f>IF(COUNT(K261:N261)=0,"",SUM(K261:N261))</f>
        <v/>
      </c>
      <c r="P261" s="16">
        <f>IF(OR(O261="",N(J261)&lt;=0),"",O261/J261)</f>
        <v/>
      </c>
      <c r="Q261" s="28">
        <f>IF(V261=1,"Late","")</f>
        <v/>
      </c>
      <c r="R261" s="1">
        <f>IF(ISNUMBER(B261),INT(B261)*10000000+IF(ISNUMBER(C261),ROUND(MOD(C261,1)*1440,0),0)*1000+ROW(),"")</f>
        <v/>
      </c>
      <c r="S261">
        <f>IF(ISNUMBER(B261),INT(B261)-WEEKDAY(B261,3),"")</f>
        <v/>
      </c>
      <c r="T261">
        <f>IF(ISNUMBER(B261),YEAR(B261)*100+MONTH(B261),"")</f>
        <v/>
      </c>
      <c r="U261">
        <f>IF(AND(ISNUMBER(B261),H261&lt;&gt;"Published"),IF(INT(B261)&gt;=TODAY(),R261,""),"")</f>
        <v/>
      </c>
      <c r="V261">
        <f>IF(AND(ISNUMBER(B261),OR(H261="Draft",H261="Scheduled")),IF(INT(B261)&lt;TODAY(),1,0),0)</f>
        <v/>
      </c>
      <c r="W261">
        <f>IF(AND(H261="Published",N(O261)&gt;0),IF(T261=(YEAR(TODAY())*100+MONTH(TODAY())),ROUND(O261,0)*1000+1000-ROW(),""),"")</f>
        <v/>
      </c>
    </row>
    <row r="262">
      <c r="A262" s="1" t="n"/>
      <c r="B262" s="21" t="n"/>
      <c r="C262" s="22" t="n"/>
      <c r="D262" s="23" t="n"/>
      <c r="E262" s="24" t="n"/>
      <c r="F262" s="23" t="n"/>
      <c r="G262" s="25" t="n"/>
      <c r="H262" s="24" t="n"/>
      <c r="I262" s="23" t="n"/>
      <c r="J262" s="26" t="n"/>
      <c r="K262" s="26" t="n"/>
      <c r="L262" s="26" t="n"/>
      <c r="M262" s="26" t="n"/>
      <c r="N262" s="26" t="n"/>
      <c r="O262" s="27">
        <f>IF(COUNT(K262:N262)=0,"",SUM(K262:N262))</f>
        <v/>
      </c>
      <c r="P262" s="16">
        <f>IF(OR(O262="",N(J262)&lt;=0),"",O262/J262)</f>
        <v/>
      </c>
      <c r="Q262" s="28">
        <f>IF(V262=1,"Late","")</f>
        <v/>
      </c>
      <c r="R262" s="1">
        <f>IF(ISNUMBER(B262),INT(B262)*10000000+IF(ISNUMBER(C262),ROUND(MOD(C262,1)*1440,0),0)*1000+ROW(),"")</f>
        <v/>
      </c>
      <c r="S262">
        <f>IF(ISNUMBER(B262),INT(B262)-WEEKDAY(B262,3),"")</f>
        <v/>
      </c>
      <c r="T262">
        <f>IF(ISNUMBER(B262),YEAR(B262)*100+MONTH(B262),"")</f>
        <v/>
      </c>
      <c r="U262">
        <f>IF(AND(ISNUMBER(B262),H262&lt;&gt;"Published"),IF(INT(B262)&gt;=TODAY(),R262,""),"")</f>
        <v/>
      </c>
      <c r="V262">
        <f>IF(AND(ISNUMBER(B262),OR(H262="Draft",H262="Scheduled")),IF(INT(B262)&lt;TODAY(),1,0),0)</f>
        <v/>
      </c>
      <c r="W262">
        <f>IF(AND(H262="Published",N(O262)&gt;0),IF(T262=(YEAR(TODAY())*100+MONTH(TODAY())),ROUND(O262,0)*1000+1000-ROW(),""),"")</f>
        <v/>
      </c>
    </row>
    <row r="263">
      <c r="A263" s="1" t="n"/>
      <c r="B263" s="21" t="n"/>
      <c r="C263" s="22" t="n"/>
      <c r="D263" s="23" t="n"/>
      <c r="E263" s="24" t="n"/>
      <c r="F263" s="23" t="n"/>
      <c r="G263" s="25" t="n"/>
      <c r="H263" s="24" t="n"/>
      <c r="I263" s="23" t="n"/>
      <c r="J263" s="26" t="n"/>
      <c r="K263" s="26" t="n"/>
      <c r="L263" s="26" t="n"/>
      <c r="M263" s="26" t="n"/>
      <c r="N263" s="26" t="n"/>
      <c r="O263" s="27">
        <f>IF(COUNT(K263:N263)=0,"",SUM(K263:N263))</f>
        <v/>
      </c>
      <c r="P263" s="16">
        <f>IF(OR(O263="",N(J263)&lt;=0),"",O263/J263)</f>
        <v/>
      </c>
      <c r="Q263" s="28">
        <f>IF(V263=1,"Late","")</f>
        <v/>
      </c>
      <c r="R263" s="1">
        <f>IF(ISNUMBER(B263),INT(B263)*10000000+IF(ISNUMBER(C263),ROUND(MOD(C263,1)*1440,0),0)*1000+ROW(),"")</f>
        <v/>
      </c>
      <c r="S263">
        <f>IF(ISNUMBER(B263),INT(B263)-WEEKDAY(B263,3),"")</f>
        <v/>
      </c>
      <c r="T263">
        <f>IF(ISNUMBER(B263),YEAR(B263)*100+MONTH(B263),"")</f>
        <v/>
      </c>
      <c r="U263">
        <f>IF(AND(ISNUMBER(B263),H263&lt;&gt;"Published"),IF(INT(B263)&gt;=TODAY(),R263,""),"")</f>
        <v/>
      </c>
      <c r="V263">
        <f>IF(AND(ISNUMBER(B263),OR(H263="Draft",H263="Scheduled")),IF(INT(B263)&lt;TODAY(),1,0),0)</f>
        <v/>
      </c>
      <c r="W263">
        <f>IF(AND(H263="Published",N(O263)&gt;0),IF(T263=(YEAR(TODAY())*100+MONTH(TODAY())),ROUND(O263,0)*1000+1000-ROW(),""),"")</f>
        <v/>
      </c>
    </row>
    <row r="264">
      <c r="A264" s="1" t="n"/>
      <c r="B264" s="21" t="n"/>
      <c r="C264" s="22" t="n"/>
      <c r="D264" s="23" t="n"/>
      <c r="E264" s="24" t="n"/>
      <c r="F264" s="23" t="n"/>
      <c r="G264" s="25" t="n"/>
      <c r="H264" s="24" t="n"/>
      <c r="I264" s="23" t="n"/>
      <c r="J264" s="26" t="n"/>
      <c r="K264" s="26" t="n"/>
      <c r="L264" s="26" t="n"/>
      <c r="M264" s="26" t="n"/>
      <c r="N264" s="26" t="n"/>
      <c r="O264" s="27">
        <f>IF(COUNT(K264:N264)=0,"",SUM(K264:N264))</f>
        <v/>
      </c>
      <c r="P264" s="16">
        <f>IF(OR(O264="",N(J264)&lt;=0),"",O264/J264)</f>
        <v/>
      </c>
      <c r="Q264" s="28">
        <f>IF(V264=1,"Late","")</f>
        <v/>
      </c>
      <c r="R264" s="1">
        <f>IF(ISNUMBER(B264),INT(B264)*10000000+IF(ISNUMBER(C264),ROUND(MOD(C264,1)*1440,0),0)*1000+ROW(),"")</f>
        <v/>
      </c>
      <c r="S264">
        <f>IF(ISNUMBER(B264),INT(B264)-WEEKDAY(B264,3),"")</f>
        <v/>
      </c>
      <c r="T264">
        <f>IF(ISNUMBER(B264),YEAR(B264)*100+MONTH(B264),"")</f>
        <v/>
      </c>
      <c r="U264">
        <f>IF(AND(ISNUMBER(B264),H264&lt;&gt;"Published"),IF(INT(B264)&gt;=TODAY(),R264,""),"")</f>
        <v/>
      </c>
      <c r="V264">
        <f>IF(AND(ISNUMBER(B264),OR(H264="Draft",H264="Scheduled")),IF(INT(B264)&lt;TODAY(),1,0),0)</f>
        <v/>
      </c>
      <c r="W264">
        <f>IF(AND(H264="Published",N(O264)&gt;0),IF(T264=(YEAR(TODAY())*100+MONTH(TODAY())),ROUND(O264,0)*1000+1000-ROW(),""),"")</f>
        <v/>
      </c>
    </row>
    <row r="265">
      <c r="A265" s="1" t="n"/>
      <c r="B265" s="21" t="n"/>
      <c r="C265" s="22" t="n"/>
      <c r="D265" s="23" t="n"/>
      <c r="E265" s="24" t="n"/>
      <c r="F265" s="23" t="n"/>
      <c r="G265" s="25" t="n"/>
      <c r="H265" s="24" t="n"/>
      <c r="I265" s="23" t="n"/>
      <c r="J265" s="26" t="n"/>
      <c r="K265" s="26" t="n"/>
      <c r="L265" s="26" t="n"/>
      <c r="M265" s="26" t="n"/>
      <c r="N265" s="26" t="n"/>
      <c r="O265" s="27">
        <f>IF(COUNT(K265:N265)=0,"",SUM(K265:N265))</f>
        <v/>
      </c>
      <c r="P265" s="16">
        <f>IF(OR(O265="",N(J265)&lt;=0),"",O265/J265)</f>
        <v/>
      </c>
      <c r="Q265" s="28">
        <f>IF(V265=1,"Late","")</f>
        <v/>
      </c>
      <c r="R265" s="1">
        <f>IF(ISNUMBER(B265),INT(B265)*10000000+IF(ISNUMBER(C265),ROUND(MOD(C265,1)*1440,0),0)*1000+ROW(),"")</f>
        <v/>
      </c>
      <c r="S265">
        <f>IF(ISNUMBER(B265),INT(B265)-WEEKDAY(B265,3),"")</f>
        <v/>
      </c>
      <c r="T265">
        <f>IF(ISNUMBER(B265),YEAR(B265)*100+MONTH(B265),"")</f>
        <v/>
      </c>
      <c r="U265">
        <f>IF(AND(ISNUMBER(B265),H265&lt;&gt;"Published"),IF(INT(B265)&gt;=TODAY(),R265,""),"")</f>
        <v/>
      </c>
      <c r="V265">
        <f>IF(AND(ISNUMBER(B265),OR(H265="Draft",H265="Scheduled")),IF(INT(B265)&lt;TODAY(),1,0),0)</f>
        <v/>
      </c>
      <c r="W265">
        <f>IF(AND(H265="Published",N(O265)&gt;0),IF(T265=(YEAR(TODAY())*100+MONTH(TODAY())),ROUND(O265,0)*1000+1000-ROW(),""),"")</f>
        <v/>
      </c>
    </row>
    <row r="266">
      <c r="A266" s="1" t="n"/>
      <c r="B266" s="21" t="n"/>
      <c r="C266" s="22" t="n"/>
      <c r="D266" s="23" t="n"/>
      <c r="E266" s="24" t="n"/>
      <c r="F266" s="23" t="n"/>
      <c r="G266" s="25" t="n"/>
      <c r="H266" s="24" t="n"/>
      <c r="I266" s="23" t="n"/>
      <c r="J266" s="26" t="n"/>
      <c r="K266" s="26" t="n"/>
      <c r="L266" s="26" t="n"/>
      <c r="M266" s="26" t="n"/>
      <c r="N266" s="26" t="n"/>
      <c r="O266" s="27">
        <f>IF(COUNT(K266:N266)=0,"",SUM(K266:N266))</f>
        <v/>
      </c>
      <c r="P266" s="16">
        <f>IF(OR(O266="",N(J266)&lt;=0),"",O266/J266)</f>
        <v/>
      </c>
      <c r="Q266" s="28">
        <f>IF(V266=1,"Late","")</f>
        <v/>
      </c>
      <c r="R266" s="1">
        <f>IF(ISNUMBER(B266),INT(B266)*10000000+IF(ISNUMBER(C266),ROUND(MOD(C266,1)*1440,0),0)*1000+ROW(),"")</f>
        <v/>
      </c>
      <c r="S266">
        <f>IF(ISNUMBER(B266),INT(B266)-WEEKDAY(B266,3),"")</f>
        <v/>
      </c>
      <c r="T266">
        <f>IF(ISNUMBER(B266),YEAR(B266)*100+MONTH(B266),"")</f>
        <v/>
      </c>
      <c r="U266">
        <f>IF(AND(ISNUMBER(B266),H266&lt;&gt;"Published"),IF(INT(B266)&gt;=TODAY(),R266,""),"")</f>
        <v/>
      </c>
      <c r="V266">
        <f>IF(AND(ISNUMBER(B266),OR(H266="Draft",H266="Scheduled")),IF(INT(B266)&lt;TODAY(),1,0),0)</f>
        <v/>
      </c>
      <c r="W266">
        <f>IF(AND(H266="Published",N(O266)&gt;0),IF(T266=(YEAR(TODAY())*100+MONTH(TODAY())),ROUND(O266,0)*1000+1000-ROW(),""),"")</f>
        <v/>
      </c>
    </row>
    <row r="267">
      <c r="A267" s="1" t="n"/>
      <c r="B267" s="21" t="n"/>
      <c r="C267" s="22" t="n"/>
      <c r="D267" s="23" t="n"/>
      <c r="E267" s="24" t="n"/>
      <c r="F267" s="23" t="n"/>
      <c r="G267" s="25" t="n"/>
      <c r="H267" s="24" t="n"/>
      <c r="I267" s="23" t="n"/>
      <c r="J267" s="26" t="n"/>
      <c r="K267" s="26" t="n"/>
      <c r="L267" s="26" t="n"/>
      <c r="M267" s="26" t="n"/>
      <c r="N267" s="26" t="n"/>
      <c r="O267" s="27">
        <f>IF(COUNT(K267:N267)=0,"",SUM(K267:N267))</f>
        <v/>
      </c>
      <c r="P267" s="16">
        <f>IF(OR(O267="",N(J267)&lt;=0),"",O267/J267)</f>
        <v/>
      </c>
      <c r="Q267" s="28">
        <f>IF(V267=1,"Late","")</f>
        <v/>
      </c>
      <c r="R267" s="1">
        <f>IF(ISNUMBER(B267),INT(B267)*10000000+IF(ISNUMBER(C267),ROUND(MOD(C267,1)*1440,0),0)*1000+ROW(),"")</f>
        <v/>
      </c>
      <c r="S267">
        <f>IF(ISNUMBER(B267),INT(B267)-WEEKDAY(B267,3),"")</f>
        <v/>
      </c>
      <c r="T267">
        <f>IF(ISNUMBER(B267),YEAR(B267)*100+MONTH(B267),"")</f>
        <v/>
      </c>
      <c r="U267">
        <f>IF(AND(ISNUMBER(B267),H267&lt;&gt;"Published"),IF(INT(B267)&gt;=TODAY(),R267,""),"")</f>
        <v/>
      </c>
      <c r="V267">
        <f>IF(AND(ISNUMBER(B267),OR(H267="Draft",H267="Scheduled")),IF(INT(B267)&lt;TODAY(),1,0),0)</f>
        <v/>
      </c>
      <c r="W267">
        <f>IF(AND(H267="Published",N(O267)&gt;0),IF(T267=(YEAR(TODAY())*100+MONTH(TODAY())),ROUND(O267,0)*1000+1000-ROW(),""),"")</f>
        <v/>
      </c>
    </row>
    <row r="268">
      <c r="A268" s="1" t="n"/>
      <c r="B268" s="21" t="n"/>
      <c r="C268" s="22" t="n"/>
      <c r="D268" s="23" t="n"/>
      <c r="E268" s="24" t="n"/>
      <c r="F268" s="23" t="n"/>
      <c r="G268" s="25" t="n"/>
      <c r="H268" s="24" t="n"/>
      <c r="I268" s="23" t="n"/>
      <c r="J268" s="26" t="n"/>
      <c r="K268" s="26" t="n"/>
      <c r="L268" s="26" t="n"/>
      <c r="M268" s="26" t="n"/>
      <c r="N268" s="26" t="n"/>
      <c r="O268" s="27">
        <f>IF(COUNT(K268:N268)=0,"",SUM(K268:N268))</f>
        <v/>
      </c>
      <c r="P268" s="16">
        <f>IF(OR(O268="",N(J268)&lt;=0),"",O268/J268)</f>
        <v/>
      </c>
      <c r="Q268" s="28">
        <f>IF(V268=1,"Late","")</f>
        <v/>
      </c>
      <c r="R268" s="1">
        <f>IF(ISNUMBER(B268),INT(B268)*10000000+IF(ISNUMBER(C268),ROUND(MOD(C268,1)*1440,0),0)*1000+ROW(),"")</f>
        <v/>
      </c>
      <c r="S268">
        <f>IF(ISNUMBER(B268),INT(B268)-WEEKDAY(B268,3),"")</f>
        <v/>
      </c>
      <c r="T268">
        <f>IF(ISNUMBER(B268),YEAR(B268)*100+MONTH(B268),"")</f>
        <v/>
      </c>
      <c r="U268">
        <f>IF(AND(ISNUMBER(B268),H268&lt;&gt;"Published"),IF(INT(B268)&gt;=TODAY(),R268,""),"")</f>
        <v/>
      </c>
      <c r="V268">
        <f>IF(AND(ISNUMBER(B268),OR(H268="Draft",H268="Scheduled")),IF(INT(B268)&lt;TODAY(),1,0),0)</f>
        <v/>
      </c>
      <c r="W268">
        <f>IF(AND(H268="Published",N(O268)&gt;0),IF(T268=(YEAR(TODAY())*100+MONTH(TODAY())),ROUND(O268,0)*1000+1000-ROW(),""),"")</f>
        <v/>
      </c>
    </row>
    <row r="269">
      <c r="A269" s="1" t="n"/>
      <c r="B269" s="21" t="n"/>
      <c r="C269" s="22" t="n"/>
      <c r="D269" s="23" t="n"/>
      <c r="E269" s="24" t="n"/>
      <c r="F269" s="23" t="n"/>
      <c r="G269" s="25" t="n"/>
      <c r="H269" s="24" t="n"/>
      <c r="I269" s="23" t="n"/>
      <c r="J269" s="26" t="n"/>
      <c r="K269" s="26" t="n"/>
      <c r="L269" s="26" t="n"/>
      <c r="M269" s="26" t="n"/>
      <c r="N269" s="26" t="n"/>
      <c r="O269" s="27">
        <f>IF(COUNT(K269:N269)=0,"",SUM(K269:N269))</f>
        <v/>
      </c>
      <c r="P269" s="16">
        <f>IF(OR(O269="",N(J269)&lt;=0),"",O269/J269)</f>
        <v/>
      </c>
      <c r="Q269" s="28">
        <f>IF(V269=1,"Late","")</f>
        <v/>
      </c>
      <c r="R269" s="1">
        <f>IF(ISNUMBER(B269),INT(B269)*10000000+IF(ISNUMBER(C269),ROUND(MOD(C269,1)*1440,0),0)*1000+ROW(),"")</f>
        <v/>
      </c>
      <c r="S269">
        <f>IF(ISNUMBER(B269),INT(B269)-WEEKDAY(B269,3),"")</f>
        <v/>
      </c>
      <c r="T269">
        <f>IF(ISNUMBER(B269),YEAR(B269)*100+MONTH(B269),"")</f>
        <v/>
      </c>
      <c r="U269">
        <f>IF(AND(ISNUMBER(B269),H269&lt;&gt;"Published"),IF(INT(B269)&gt;=TODAY(),R269,""),"")</f>
        <v/>
      </c>
      <c r="V269">
        <f>IF(AND(ISNUMBER(B269),OR(H269="Draft",H269="Scheduled")),IF(INT(B269)&lt;TODAY(),1,0),0)</f>
        <v/>
      </c>
      <c r="W269">
        <f>IF(AND(H269="Published",N(O269)&gt;0),IF(T269=(YEAR(TODAY())*100+MONTH(TODAY())),ROUND(O269,0)*1000+1000-ROW(),""),"")</f>
        <v/>
      </c>
    </row>
    <row r="270">
      <c r="A270" s="1" t="n"/>
      <c r="B270" s="21" t="n"/>
      <c r="C270" s="22" t="n"/>
      <c r="D270" s="23" t="n"/>
      <c r="E270" s="24" t="n"/>
      <c r="F270" s="23" t="n"/>
      <c r="G270" s="25" t="n"/>
      <c r="H270" s="24" t="n"/>
      <c r="I270" s="23" t="n"/>
      <c r="J270" s="26" t="n"/>
      <c r="K270" s="26" t="n"/>
      <c r="L270" s="26" t="n"/>
      <c r="M270" s="26" t="n"/>
      <c r="N270" s="26" t="n"/>
      <c r="O270" s="27">
        <f>IF(COUNT(K270:N270)=0,"",SUM(K270:N270))</f>
        <v/>
      </c>
      <c r="P270" s="16">
        <f>IF(OR(O270="",N(J270)&lt;=0),"",O270/J270)</f>
        <v/>
      </c>
      <c r="Q270" s="28">
        <f>IF(V270=1,"Late","")</f>
        <v/>
      </c>
      <c r="R270" s="1">
        <f>IF(ISNUMBER(B270),INT(B270)*10000000+IF(ISNUMBER(C270),ROUND(MOD(C270,1)*1440,0),0)*1000+ROW(),"")</f>
        <v/>
      </c>
      <c r="S270">
        <f>IF(ISNUMBER(B270),INT(B270)-WEEKDAY(B270,3),"")</f>
        <v/>
      </c>
      <c r="T270">
        <f>IF(ISNUMBER(B270),YEAR(B270)*100+MONTH(B270),"")</f>
        <v/>
      </c>
      <c r="U270">
        <f>IF(AND(ISNUMBER(B270),H270&lt;&gt;"Published"),IF(INT(B270)&gt;=TODAY(),R270,""),"")</f>
        <v/>
      </c>
      <c r="V270">
        <f>IF(AND(ISNUMBER(B270),OR(H270="Draft",H270="Scheduled")),IF(INT(B270)&lt;TODAY(),1,0),0)</f>
        <v/>
      </c>
      <c r="W270">
        <f>IF(AND(H270="Published",N(O270)&gt;0),IF(T270=(YEAR(TODAY())*100+MONTH(TODAY())),ROUND(O270,0)*1000+1000-ROW(),""),"")</f>
        <v/>
      </c>
    </row>
    <row r="271">
      <c r="A271" s="1" t="n"/>
      <c r="B271" s="21" t="n"/>
      <c r="C271" s="22" t="n"/>
      <c r="D271" s="23" t="n"/>
      <c r="E271" s="24" t="n"/>
      <c r="F271" s="23" t="n"/>
      <c r="G271" s="25" t="n"/>
      <c r="H271" s="24" t="n"/>
      <c r="I271" s="23" t="n"/>
      <c r="J271" s="26" t="n"/>
      <c r="K271" s="26" t="n"/>
      <c r="L271" s="26" t="n"/>
      <c r="M271" s="26" t="n"/>
      <c r="N271" s="26" t="n"/>
      <c r="O271" s="27">
        <f>IF(COUNT(K271:N271)=0,"",SUM(K271:N271))</f>
        <v/>
      </c>
      <c r="P271" s="16">
        <f>IF(OR(O271="",N(J271)&lt;=0),"",O271/J271)</f>
        <v/>
      </c>
      <c r="Q271" s="28">
        <f>IF(V271=1,"Late","")</f>
        <v/>
      </c>
      <c r="R271" s="1">
        <f>IF(ISNUMBER(B271),INT(B271)*10000000+IF(ISNUMBER(C271),ROUND(MOD(C271,1)*1440,0),0)*1000+ROW(),"")</f>
        <v/>
      </c>
      <c r="S271">
        <f>IF(ISNUMBER(B271),INT(B271)-WEEKDAY(B271,3),"")</f>
        <v/>
      </c>
      <c r="T271">
        <f>IF(ISNUMBER(B271),YEAR(B271)*100+MONTH(B271),"")</f>
        <v/>
      </c>
      <c r="U271">
        <f>IF(AND(ISNUMBER(B271),H271&lt;&gt;"Published"),IF(INT(B271)&gt;=TODAY(),R271,""),"")</f>
        <v/>
      </c>
      <c r="V271">
        <f>IF(AND(ISNUMBER(B271),OR(H271="Draft",H271="Scheduled")),IF(INT(B271)&lt;TODAY(),1,0),0)</f>
        <v/>
      </c>
      <c r="W271">
        <f>IF(AND(H271="Published",N(O271)&gt;0),IF(T271=(YEAR(TODAY())*100+MONTH(TODAY())),ROUND(O271,0)*1000+1000-ROW(),""),"")</f>
        <v/>
      </c>
    </row>
    <row r="272">
      <c r="A272" s="1" t="n"/>
      <c r="B272" s="21" t="n"/>
      <c r="C272" s="22" t="n"/>
      <c r="D272" s="23" t="n"/>
      <c r="E272" s="24" t="n"/>
      <c r="F272" s="23" t="n"/>
      <c r="G272" s="25" t="n"/>
      <c r="H272" s="24" t="n"/>
      <c r="I272" s="23" t="n"/>
      <c r="J272" s="26" t="n"/>
      <c r="K272" s="26" t="n"/>
      <c r="L272" s="26" t="n"/>
      <c r="M272" s="26" t="n"/>
      <c r="N272" s="26" t="n"/>
      <c r="O272" s="27">
        <f>IF(COUNT(K272:N272)=0,"",SUM(K272:N272))</f>
        <v/>
      </c>
      <c r="P272" s="16">
        <f>IF(OR(O272="",N(J272)&lt;=0),"",O272/J272)</f>
        <v/>
      </c>
      <c r="Q272" s="28">
        <f>IF(V272=1,"Late","")</f>
        <v/>
      </c>
      <c r="R272" s="1">
        <f>IF(ISNUMBER(B272),INT(B272)*10000000+IF(ISNUMBER(C272),ROUND(MOD(C272,1)*1440,0),0)*1000+ROW(),"")</f>
        <v/>
      </c>
      <c r="S272">
        <f>IF(ISNUMBER(B272),INT(B272)-WEEKDAY(B272,3),"")</f>
        <v/>
      </c>
      <c r="T272">
        <f>IF(ISNUMBER(B272),YEAR(B272)*100+MONTH(B272),"")</f>
        <v/>
      </c>
      <c r="U272">
        <f>IF(AND(ISNUMBER(B272),H272&lt;&gt;"Published"),IF(INT(B272)&gt;=TODAY(),R272,""),"")</f>
        <v/>
      </c>
      <c r="V272">
        <f>IF(AND(ISNUMBER(B272),OR(H272="Draft",H272="Scheduled")),IF(INT(B272)&lt;TODAY(),1,0),0)</f>
        <v/>
      </c>
      <c r="W272">
        <f>IF(AND(H272="Published",N(O272)&gt;0),IF(T272=(YEAR(TODAY())*100+MONTH(TODAY())),ROUND(O272,0)*1000+1000-ROW(),""),"")</f>
        <v/>
      </c>
    </row>
    <row r="273">
      <c r="A273" s="1" t="n"/>
      <c r="B273" s="21" t="n"/>
      <c r="C273" s="22" t="n"/>
      <c r="D273" s="23" t="n"/>
      <c r="E273" s="24" t="n"/>
      <c r="F273" s="23" t="n"/>
      <c r="G273" s="25" t="n"/>
      <c r="H273" s="24" t="n"/>
      <c r="I273" s="23" t="n"/>
      <c r="J273" s="26" t="n"/>
      <c r="K273" s="26" t="n"/>
      <c r="L273" s="26" t="n"/>
      <c r="M273" s="26" t="n"/>
      <c r="N273" s="26" t="n"/>
      <c r="O273" s="27">
        <f>IF(COUNT(K273:N273)=0,"",SUM(K273:N273))</f>
        <v/>
      </c>
      <c r="P273" s="16">
        <f>IF(OR(O273="",N(J273)&lt;=0),"",O273/J273)</f>
        <v/>
      </c>
      <c r="Q273" s="28">
        <f>IF(V273=1,"Late","")</f>
        <v/>
      </c>
      <c r="R273" s="1">
        <f>IF(ISNUMBER(B273),INT(B273)*10000000+IF(ISNUMBER(C273),ROUND(MOD(C273,1)*1440,0),0)*1000+ROW(),"")</f>
        <v/>
      </c>
      <c r="S273">
        <f>IF(ISNUMBER(B273),INT(B273)-WEEKDAY(B273,3),"")</f>
        <v/>
      </c>
      <c r="T273">
        <f>IF(ISNUMBER(B273),YEAR(B273)*100+MONTH(B273),"")</f>
        <v/>
      </c>
      <c r="U273">
        <f>IF(AND(ISNUMBER(B273),H273&lt;&gt;"Published"),IF(INT(B273)&gt;=TODAY(),R273,""),"")</f>
        <v/>
      </c>
      <c r="V273">
        <f>IF(AND(ISNUMBER(B273),OR(H273="Draft",H273="Scheduled")),IF(INT(B273)&lt;TODAY(),1,0),0)</f>
        <v/>
      </c>
      <c r="W273">
        <f>IF(AND(H273="Published",N(O273)&gt;0),IF(T273=(YEAR(TODAY())*100+MONTH(TODAY())),ROUND(O273,0)*1000+1000-ROW(),""),"")</f>
        <v/>
      </c>
    </row>
    <row r="274">
      <c r="A274" s="1" t="n"/>
      <c r="B274" s="21" t="n"/>
      <c r="C274" s="22" t="n"/>
      <c r="D274" s="23" t="n"/>
      <c r="E274" s="24" t="n"/>
      <c r="F274" s="23" t="n"/>
      <c r="G274" s="25" t="n"/>
      <c r="H274" s="24" t="n"/>
      <c r="I274" s="23" t="n"/>
      <c r="J274" s="26" t="n"/>
      <c r="K274" s="26" t="n"/>
      <c r="L274" s="26" t="n"/>
      <c r="M274" s="26" t="n"/>
      <c r="N274" s="26" t="n"/>
      <c r="O274" s="27">
        <f>IF(COUNT(K274:N274)=0,"",SUM(K274:N274))</f>
        <v/>
      </c>
      <c r="P274" s="16">
        <f>IF(OR(O274="",N(J274)&lt;=0),"",O274/J274)</f>
        <v/>
      </c>
      <c r="Q274" s="28">
        <f>IF(V274=1,"Late","")</f>
        <v/>
      </c>
      <c r="R274" s="1">
        <f>IF(ISNUMBER(B274),INT(B274)*10000000+IF(ISNUMBER(C274),ROUND(MOD(C274,1)*1440,0),0)*1000+ROW(),"")</f>
        <v/>
      </c>
      <c r="S274">
        <f>IF(ISNUMBER(B274),INT(B274)-WEEKDAY(B274,3),"")</f>
        <v/>
      </c>
      <c r="T274">
        <f>IF(ISNUMBER(B274),YEAR(B274)*100+MONTH(B274),"")</f>
        <v/>
      </c>
      <c r="U274">
        <f>IF(AND(ISNUMBER(B274),H274&lt;&gt;"Published"),IF(INT(B274)&gt;=TODAY(),R274,""),"")</f>
        <v/>
      </c>
      <c r="V274">
        <f>IF(AND(ISNUMBER(B274),OR(H274="Draft",H274="Scheduled")),IF(INT(B274)&lt;TODAY(),1,0),0)</f>
        <v/>
      </c>
      <c r="W274">
        <f>IF(AND(H274="Published",N(O274)&gt;0),IF(T274=(YEAR(TODAY())*100+MONTH(TODAY())),ROUND(O274,0)*1000+1000-ROW(),""),"")</f>
        <v/>
      </c>
    </row>
    <row r="275">
      <c r="A275" s="1" t="n"/>
      <c r="B275" s="21" t="n"/>
      <c r="C275" s="22" t="n"/>
      <c r="D275" s="23" t="n"/>
      <c r="E275" s="24" t="n"/>
      <c r="F275" s="23" t="n"/>
      <c r="G275" s="25" t="n"/>
      <c r="H275" s="24" t="n"/>
      <c r="I275" s="23" t="n"/>
      <c r="J275" s="26" t="n"/>
      <c r="K275" s="26" t="n"/>
      <c r="L275" s="26" t="n"/>
      <c r="M275" s="26" t="n"/>
      <c r="N275" s="26" t="n"/>
      <c r="O275" s="27">
        <f>IF(COUNT(K275:N275)=0,"",SUM(K275:N275))</f>
        <v/>
      </c>
      <c r="P275" s="16">
        <f>IF(OR(O275="",N(J275)&lt;=0),"",O275/J275)</f>
        <v/>
      </c>
      <c r="Q275" s="28">
        <f>IF(V275=1,"Late","")</f>
        <v/>
      </c>
      <c r="R275" s="1">
        <f>IF(ISNUMBER(B275),INT(B275)*10000000+IF(ISNUMBER(C275),ROUND(MOD(C275,1)*1440,0),0)*1000+ROW(),"")</f>
        <v/>
      </c>
      <c r="S275">
        <f>IF(ISNUMBER(B275),INT(B275)-WEEKDAY(B275,3),"")</f>
        <v/>
      </c>
      <c r="T275">
        <f>IF(ISNUMBER(B275),YEAR(B275)*100+MONTH(B275),"")</f>
        <v/>
      </c>
      <c r="U275">
        <f>IF(AND(ISNUMBER(B275),H275&lt;&gt;"Published"),IF(INT(B275)&gt;=TODAY(),R275,""),"")</f>
        <v/>
      </c>
      <c r="V275">
        <f>IF(AND(ISNUMBER(B275),OR(H275="Draft",H275="Scheduled")),IF(INT(B275)&lt;TODAY(),1,0),0)</f>
        <v/>
      </c>
      <c r="W275">
        <f>IF(AND(H275="Published",N(O275)&gt;0),IF(T275=(YEAR(TODAY())*100+MONTH(TODAY())),ROUND(O275,0)*1000+1000-ROW(),""),"")</f>
        <v/>
      </c>
    </row>
    <row r="276">
      <c r="A276" s="1" t="n"/>
      <c r="B276" s="21" t="n"/>
      <c r="C276" s="22" t="n"/>
      <c r="D276" s="23" t="n"/>
      <c r="E276" s="24" t="n"/>
      <c r="F276" s="23" t="n"/>
      <c r="G276" s="25" t="n"/>
      <c r="H276" s="24" t="n"/>
      <c r="I276" s="23" t="n"/>
      <c r="J276" s="26" t="n"/>
      <c r="K276" s="26" t="n"/>
      <c r="L276" s="26" t="n"/>
      <c r="M276" s="26" t="n"/>
      <c r="N276" s="26" t="n"/>
      <c r="O276" s="27">
        <f>IF(COUNT(K276:N276)=0,"",SUM(K276:N276))</f>
        <v/>
      </c>
      <c r="P276" s="16">
        <f>IF(OR(O276="",N(J276)&lt;=0),"",O276/J276)</f>
        <v/>
      </c>
      <c r="Q276" s="28">
        <f>IF(V276=1,"Late","")</f>
        <v/>
      </c>
      <c r="R276" s="1">
        <f>IF(ISNUMBER(B276),INT(B276)*10000000+IF(ISNUMBER(C276),ROUND(MOD(C276,1)*1440,0),0)*1000+ROW(),"")</f>
        <v/>
      </c>
      <c r="S276">
        <f>IF(ISNUMBER(B276),INT(B276)-WEEKDAY(B276,3),"")</f>
        <v/>
      </c>
      <c r="T276">
        <f>IF(ISNUMBER(B276),YEAR(B276)*100+MONTH(B276),"")</f>
        <v/>
      </c>
      <c r="U276">
        <f>IF(AND(ISNUMBER(B276),H276&lt;&gt;"Published"),IF(INT(B276)&gt;=TODAY(),R276,""),"")</f>
        <v/>
      </c>
      <c r="V276">
        <f>IF(AND(ISNUMBER(B276),OR(H276="Draft",H276="Scheduled")),IF(INT(B276)&lt;TODAY(),1,0),0)</f>
        <v/>
      </c>
      <c r="W276">
        <f>IF(AND(H276="Published",N(O276)&gt;0),IF(T276=(YEAR(TODAY())*100+MONTH(TODAY())),ROUND(O276,0)*1000+1000-ROW(),""),"")</f>
        <v/>
      </c>
    </row>
    <row r="277">
      <c r="A277" s="1" t="n"/>
      <c r="B277" s="21" t="n"/>
      <c r="C277" s="22" t="n"/>
      <c r="D277" s="23" t="n"/>
      <c r="E277" s="24" t="n"/>
      <c r="F277" s="23" t="n"/>
      <c r="G277" s="25" t="n"/>
      <c r="H277" s="24" t="n"/>
      <c r="I277" s="23" t="n"/>
      <c r="J277" s="26" t="n"/>
      <c r="K277" s="26" t="n"/>
      <c r="L277" s="26" t="n"/>
      <c r="M277" s="26" t="n"/>
      <c r="N277" s="26" t="n"/>
      <c r="O277" s="27">
        <f>IF(COUNT(K277:N277)=0,"",SUM(K277:N277))</f>
        <v/>
      </c>
      <c r="P277" s="16">
        <f>IF(OR(O277="",N(J277)&lt;=0),"",O277/J277)</f>
        <v/>
      </c>
      <c r="Q277" s="28">
        <f>IF(V277=1,"Late","")</f>
        <v/>
      </c>
      <c r="R277" s="1">
        <f>IF(ISNUMBER(B277),INT(B277)*10000000+IF(ISNUMBER(C277),ROUND(MOD(C277,1)*1440,0),0)*1000+ROW(),"")</f>
        <v/>
      </c>
      <c r="S277">
        <f>IF(ISNUMBER(B277),INT(B277)-WEEKDAY(B277,3),"")</f>
        <v/>
      </c>
      <c r="T277">
        <f>IF(ISNUMBER(B277),YEAR(B277)*100+MONTH(B277),"")</f>
        <v/>
      </c>
      <c r="U277">
        <f>IF(AND(ISNUMBER(B277),H277&lt;&gt;"Published"),IF(INT(B277)&gt;=TODAY(),R277,""),"")</f>
        <v/>
      </c>
      <c r="V277">
        <f>IF(AND(ISNUMBER(B277),OR(H277="Draft",H277="Scheduled")),IF(INT(B277)&lt;TODAY(),1,0),0)</f>
        <v/>
      </c>
      <c r="W277">
        <f>IF(AND(H277="Published",N(O277)&gt;0),IF(T277=(YEAR(TODAY())*100+MONTH(TODAY())),ROUND(O277,0)*1000+1000-ROW(),""),"")</f>
        <v/>
      </c>
    </row>
    <row r="278">
      <c r="A278" s="1" t="n"/>
      <c r="B278" s="21" t="n"/>
      <c r="C278" s="22" t="n"/>
      <c r="D278" s="23" t="n"/>
      <c r="E278" s="24" t="n"/>
      <c r="F278" s="23" t="n"/>
      <c r="G278" s="25" t="n"/>
      <c r="H278" s="24" t="n"/>
      <c r="I278" s="23" t="n"/>
      <c r="J278" s="26" t="n"/>
      <c r="K278" s="26" t="n"/>
      <c r="L278" s="26" t="n"/>
      <c r="M278" s="26" t="n"/>
      <c r="N278" s="26" t="n"/>
      <c r="O278" s="27">
        <f>IF(COUNT(K278:N278)=0,"",SUM(K278:N278))</f>
        <v/>
      </c>
      <c r="P278" s="16">
        <f>IF(OR(O278="",N(J278)&lt;=0),"",O278/J278)</f>
        <v/>
      </c>
      <c r="Q278" s="28">
        <f>IF(V278=1,"Late","")</f>
        <v/>
      </c>
      <c r="R278" s="1">
        <f>IF(ISNUMBER(B278),INT(B278)*10000000+IF(ISNUMBER(C278),ROUND(MOD(C278,1)*1440,0),0)*1000+ROW(),"")</f>
        <v/>
      </c>
      <c r="S278">
        <f>IF(ISNUMBER(B278),INT(B278)-WEEKDAY(B278,3),"")</f>
        <v/>
      </c>
      <c r="T278">
        <f>IF(ISNUMBER(B278),YEAR(B278)*100+MONTH(B278),"")</f>
        <v/>
      </c>
      <c r="U278">
        <f>IF(AND(ISNUMBER(B278),H278&lt;&gt;"Published"),IF(INT(B278)&gt;=TODAY(),R278,""),"")</f>
        <v/>
      </c>
      <c r="V278">
        <f>IF(AND(ISNUMBER(B278),OR(H278="Draft",H278="Scheduled")),IF(INT(B278)&lt;TODAY(),1,0),0)</f>
        <v/>
      </c>
      <c r="W278">
        <f>IF(AND(H278="Published",N(O278)&gt;0),IF(T278=(YEAR(TODAY())*100+MONTH(TODAY())),ROUND(O278,0)*1000+1000-ROW(),""),"")</f>
        <v/>
      </c>
    </row>
    <row r="279">
      <c r="A279" s="1" t="n"/>
      <c r="B279" s="21" t="n"/>
      <c r="C279" s="22" t="n"/>
      <c r="D279" s="23" t="n"/>
      <c r="E279" s="24" t="n"/>
      <c r="F279" s="23" t="n"/>
      <c r="G279" s="25" t="n"/>
      <c r="H279" s="24" t="n"/>
      <c r="I279" s="23" t="n"/>
      <c r="J279" s="26" t="n"/>
      <c r="K279" s="26" t="n"/>
      <c r="L279" s="26" t="n"/>
      <c r="M279" s="26" t="n"/>
      <c r="N279" s="26" t="n"/>
      <c r="O279" s="27">
        <f>IF(COUNT(K279:N279)=0,"",SUM(K279:N279))</f>
        <v/>
      </c>
      <c r="P279" s="16">
        <f>IF(OR(O279="",N(J279)&lt;=0),"",O279/J279)</f>
        <v/>
      </c>
      <c r="Q279" s="28">
        <f>IF(V279=1,"Late","")</f>
        <v/>
      </c>
      <c r="R279" s="1">
        <f>IF(ISNUMBER(B279),INT(B279)*10000000+IF(ISNUMBER(C279),ROUND(MOD(C279,1)*1440,0),0)*1000+ROW(),"")</f>
        <v/>
      </c>
      <c r="S279">
        <f>IF(ISNUMBER(B279),INT(B279)-WEEKDAY(B279,3),"")</f>
        <v/>
      </c>
      <c r="T279">
        <f>IF(ISNUMBER(B279),YEAR(B279)*100+MONTH(B279),"")</f>
        <v/>
      </c>
      <c r="U279">
        <f>IF(AND(ISNUMBER(B279),H279&lt;&gt;"Published"),IF(INT(B279)&gt;=TODAY(),R279,""),"")</f>
        <v/>
      </c>
      <c r="V279">
        <f>IF(AND(ISNUMBER(B279),OR(H279="Draft",H279="Scheduled")),IF(INT(B279)&lt;TODAY(),1,0),0)</f>
        <v/>
      </c>
      <c r="W279">
        <f>IF(AND(H279="Published",N(O279)&gt;0),IF(T279=(YEAR(TODAY())*100+MONTH(TODAY())),ROUND(O279,0)*1000+1000-ROW(),""),"")</f>
        <v/>
      </c>
    </row>
    <row r="280">
      <c r="A280" s="1" t="n"/>
      <c r="B280" s="21" t="n"/>
      <c r="C280" s="22" t="n"/>
      <c r="D280" s="23" t="n"/>
      <c r="E280" s="24" t="n"/>
      <c r="F280" s="23" t="n"/>
      <c r="G280" s="25" t="n"/>
      <c r="H280" s="24" t="n"/>
      <c r="I280" s="23" t="n"/>
      <c r="J280" s="26" t="n"/>
      <c r="K280" s="26" t="n"/>
      <c r="L280" s="26" t="n"/>
      <c r="M280" s="26" t="n"/>
      <c r="N280" s="26" t="n"/>
      <c r="O280" s="27">
        <f>IF(COUNT(K280:N280)=0,"",SUM(K280:N280))</f>
        <v/>
      </c>
      <c r="P280" s="16">
        <f>IF(OR(O280="",N(J280)&lt;=0),"",O280/J280)</f>
        <v/>
      </c>
      <c r="Q280" s="28">
        <f>IF(V280=1,"Late","")</f>
        <v/>
      </c>
      <c r="R280" s="1">
        <f>IF(ISNUMBER(B280),INT(B280)*10000000+IF(ISNUMBER(C280),ROUND(MOD(C280,1)*1440,0),0)*1000+ROW(),"")</f>
        <v/>
      </c>
      <c r="S280">
        <f>IF(ISNUMBER(B280),INT(B280)-WEEKDAY(B280,3),"")</f>
        <v/>
      </c>
      <c r="T280">
        <f>IF(ISNUMBER(B280),YEAR(B280)*100+MONTH(B280),"")</f>
        <v/>
      </c>
      <c r="U280">
        <f>IF(AND(ISNUMBER(B280),H280&lt;&gt;"Published"),IF(INT(B280)&gt;=TODAY(),R280,""),"")</f>
        <v/>
      </c>
      <c r="V280">
        <f>IF(AND(ISNUMBER(B280),OR(H280="Draft",H280="Scheduled")),IF(INT(B280)&lt;TODAY(),1,0),0)</f>
        <v/>
      </c>
      <c r="W280">
        <f>IF(AND(H280="Published",N(O280)&gt;0),IF(T280=(YEAR(TODAY())*100+MONTH(TODAY())),ROUND(O280,0)*1000+1000-ROW(),""),"")</f>
        <v/>
      </c>
    </row>
    <row r="281">
      <c r="A281" s="1" t="n"/>
      <c r="B281" s="21" t="n"/>
      <c r="C281" s="22" t="n"/>
      <c r="D281" s="23" t="n"/>
      <c r="E281" s="24" t="n"/>
      <c r="F281" s="23" t="n"/>
      <c r="G281" s="25" t="n"/>
      <c r="H281" s="24" t="n"/>
      <c r="I281" s="23" t="n"/>
      <c r="J281" s="26" t="n"/>
      <c r="K281" s="26" t="n"/>
      <c r="L281" s="26" t="n"/>
      <c r="M281" s="26" t="n"/>
      <c r="N281" s="26" t="n"/>
      <c r="O281" s="27">
        <f>IF(COUNT(K281:N281)=0,"",SUM(K281:N281))</f>
        <v/>
      </c>
      <c r="P281" s="16">
        <f>IF(OR(O281="",N(J281)&lt;=0),"",O281/J281)</f>
        <v/>
      </c>
      <c r="Q281" s="28">
        <f>IF(V281=1,"Late","")</f>
        <v/>
      </c>
      <c r="R281" s="1">
        <f>IF(ISNUMBER(B281),INT(B281)*10000000+IF(ISNUMBER(C281),ROUND(MOD(C281,1)*1440,0),0)*1000+ROW(),"")</f>
        <v/>
      </c>
      <c r="S281">
        <f>IF(ISNUMBER(B281),INT(B281)-WEEKDAY(B281,3),"")</f>
        <v/>
      </c>
      <c r="T281">
        <f>IF(ISNUMBER(B281),YEAR(B281)*100+MONTH(B281),"")</f>
        <v/>
      </c>
      <c r="U281">
        <f>IF(AND(ISNUMBER(B281),H281&lt;&gt;"Published"),IF(INT(B281)&gt;=TODAY(),R281,""),"")</f>
        <v/>
      </c>
      <c r="V281">
        <f>IF(AND(ISNUMBER(B281),OR(H281="Draft",H281="Scheduled")),IF(INT(B281)&lt;TODAY(),1,0),0)</f>
        <v/>
      </c>
      <c r="W281">
        <f>IF(AND(H281="Published",N(O281)&gt;0),IF(T281=(YEAR(TODAY())*100+MONTH(TODAY())),ROUND(O281,0)*1000+1000-ROW(),""),"")</f>
        <v/>
      </c>
    </row>
    <row r="282">
      <c r="A282" s="1" t="n"/>
      <c r="B282" s="21" t="n"/>
      <c r="C282" s="22" t="n"/>
      <c r="D282" s="23" t="n"/>
      <c r="E282" s="24" t="n"/>
      <c r="F282" s="23" t="n"/>
      <c r="G282" s="25" t="n"/>
      <c r="H282" s="24" t="n"/>
      <c r="I282" s="23" t="n"/>
      <c r="J282" s="26" t="n"/>
      <c r="K282" s="26" t="n"/>
      <c r="L282" s="26" t="n"/>
      <c r="M282" s="26" t="n"/>
      <c r="N282" s="26" t="n"/>
      <c r="O282" s="27">
        <f>IF(COUNT(K282:N282)=0,"",SUM(K282:N282))</f>
        <v/>
      </c>
      <c r="P282" s="16">
        <f>IF(OR(O282="",N(J282)&lt;=0),"",O282/J282)</f>
        <v/>
      </c>
      <c r="Q282" s="28">
        <f>IF(V282=1,"Late","")</f>
        <v/>
      </c>
      <c r="R282" s="1">
        <f>IF(ISNUMBER(B282),INT(B282)*10000000+IF(ISNUMBER(C282),ROUND(MOD(C282,1)*1440,0),0)*1000+ROW(),"")</f>
        <v/>
      </c>
      <c r="S282">
        <f>IF(ISNUMBER(B282),INT(B282)-WEEKDAY(B282,3),"")</f>
        <v/>
      </c>
      <c r="T282">
        <f>IF(ISNUMBER(B282),YEAR(B282)*100+MONTH(B282),"")</f>
        <v/>
      </c>
      <c r="U282">
        <f>IF(AND(ISNUMBER(B282),H282&lt;&gt;"Published"),IF(INT(B282)&gt;=TODAY(),R282,""),"")</f>
        <v/>
      </c>
      <c r="V282">
        <f>IF(AND(ISNUMBER(B282),OR(H282="Draft",H282="Scheduled")),IF(INT(B282)&lt;TODAY(),1,0),0)</f>
        <v/>
      </c>
      <c r="W282">
        <f>IF(AND(H282="Published",N(O282)&gt;0),IF(T282=(YEAR(TODAY())*100+MONTH(TODAY())),ROUND(O282,0)*1000+1000-ROW(),""),"")</f>
        <v/>
      </c>
    </row>
    <row r="283">
      <c r="A283" s="1" t="n"/>
      <c r="B283" s="21" t="n"/>
      <c r="C283" s="22" t="n"/>
      <c r="D283" s="23" t="n"/>
      <c r="E283" s="24" t="n"/>
      <c r="F283" s="23" t="n"/>
      <c r="G283" s="25" t="n"/>
      <c r="H283" s="24" t="n"/>
      <c r="I283" s="23" t="n"/>
      <c r="J283" s="26" t="n"/>
      <c r="K283" s="26" t="n"/>
      <c r="L283" s="26" t="n"/>
      <c r="M283" s="26" t="n"/>
      <c r="N283" s="26" t="n"/>
      <c r="O283" s="27">
        <f>IF(COUNT(K283:N283)=0,"",SUM(K283:N283))</f>
        <v/>
      </c>
      <c r="P283" s="16">
        <f>IF(OR(O283="",N(J283)&lt;=0),"",O283/J283)</f>
        <v/>
      </c>
      <c r="Q283" s="28">
        <f>IF(V283=1,"Late","")</f>
        <v/>
      </c>
      <c r="R283" s="1">
        <f>IF(ISNUMBER(B283),INT(B283)*10000000+IF(ISNUMBER(C283),ROUND(MOD(C283,1)*1440,0),0)*1000+ROW(),"")</f>
        <v/>
      </c>
      <c r="S283">
        <f>IF(ISNUMBER(B283),INT(B283)-WEEKDAY(B283,3),"")</f>
        <v/>
      </c>
      <c r="T283">
        <f>IF(ISNUMBER(B283),YEAR(B283)*100+MONTH(B283),"")</f>
        <v/>
      </c>
      <c r="U283">
        <f>IF(AND(ISNUMBER(B283),H283&lt;&gt;"Published"),IF(INT(B283)&gt;=TODAY(),R283,""),"")</f>
        <v/>
      </c>
      <c r="V283">
        <f>IF(AND(ISNUMBER(B283),OR(H283="Draft",H283="Scheduled")),IF(INT(B283)&lt;TODAY(),1,0),0)</f>
        <v/>
      </c>
      <c r="W283">
        <f>IF(AND(H283="Published",N(O283)&gt;0),IF(T283=(YEAR(TODAY())*100+MONTH(TODAY())),ROUND(O283,0)*1000+1000-ROW(),""),"")</f>
        <v/>
      </c>
    </row>
    <row r="284">
      <c r="A284" s="1" t="n"/>
      <c r="B284" s="21" t="n"/>
      <c r="C284" s="22" t="n"/>
      <c r="D284" s="23" t="n"/>
      <c r="E284" s="24" t="n"/>
      <c r="F284" s="23" t="n"/>
      <c r="G284" s="25" t="n"/>
      <c r="H284" s="24" t="n"/>
      <c r="I284" s="23" t="n"/>
      <c r="J284" s="26" t="n"/>
      <c r="K284" s="26" t="n"/>
      <c r="L284" s="26" t="n"/>
      <c r="M284" s="26" t="n"/>
      <c r="N284" s="26" t="n"/>
      <c r="O284" s="27">
        <f>IF(COUNT(K284:N284)=0,"",SUM(K284:N284))</f>
        <v/>
      </c>
      <c r="P284" s="16">
        <f>IF(OR(O284="",N(J284)&lt;=0),"",O284/J284)</f>
        <v/>
      </c>
      <c r="Q284" s="28">
        <f>IF(V284=1,"Late","")</f>
        <v/>
      </c>
      <c r="R284" s="1">
        <f>IF(ISNUMBER(B284),INT(B284)*10000000+IF(ISNUMBER(C284),ROUND(MOD(C284,1)*1440,0),0)*1000+ROW(),"")</f>
        <v/>
      </c>
      <c r="S284">
        <f>IF(ISNUMBER(B284),INT(B284)-WEEKDAY(B284,3),"")</f>
        <v/>
      </c>
      <c r="T284">
        <f>IF(ISNUMBER(B284),YEAR(B284)*100+MONTH(B284),"")</f>
        <v/>
      </c>
      <c r="U284">
        <f>IF(AND(ISNUMBER(B284),H284&lt;&gt;"Published"),IF(INT(B284)&gt;=TODAY(),R284,""),"")</f>
        <v/>
      </c>
      <c r="V284">
        <f>IF(AND(ISNUMBER(B284),OR(H284="Draft",H284="Scheduled")),IF(INT(B284)&lt;TODAY(),1,0),0)</f>
        <v/>
      </c>
      <c r="W284">
        <f>IF(AND(H284="Published",N(O284)&gt;0),IF(T284=(YEAR(TODAY())*100+MONTH(TODAY())),ROUND(O284,0)*1000+1000-ROW(),""),"")</f>
        <v/>
      </c>
    </row>
    <row r="285">
      <c r="A285" s="1" t="n"/>
      <c r="B285" s="21" t="n"/>
      <c r="C285" s="22" t="n"/>
      <c r="D285" s="23" t="n"/>
      <c r="E285" s="24" t="n"/>
      <c r="F285" s="23" t="n"/>
      <c r="G285" s="25" t="n"/>
      <c r="H285" s="24" t="n"/>
      <c r="I285" s="23" t="n"/>
      <c r="J285" s="26" t="n"/>
      <c r="K285" s="26" t="n"/>
      <c r="L285" s="26" t="n"/>
      <c r="M285" s="26" t="n"/>
      <c r="N285" s="26" t="n"/>
      <c r="O285" s="27">
        <f>IF(COUNT(K285:N285)=0,"",SUM(K285:N285))</f>
        <v/>
      </c>
      <c r="P285" s="16">
        <f>IF(OR(O285="",N(J285)&lt;=0),"",O285/J285)</f>
        <v/>
      </c>
      <c r="Q285" s="28">
        <f>IF(V285=1,"Late","")</f>
        <v/>
      </c>
      <c r="R285" s="1">
        <f>IF(ISNUMBER(B285),INT(B285)*10000000+IF(ISNUMBER(C285),ROUND(MOD(C285,1)*1440,0),0)*1000+ROW(),"")</f>
        <v/>
      </c>
      <c r="S285">
        <f>IF(ISNUMBER(B285),INT(B285)-WEEKDAY(B285,3),"")</f>
        <v/>
      </c>
      <c r="T285">
        <f>IF(ISNUMBER(B285),YEAR(B285)*100+MONTH(B285),"")</f>
        <v/>
      </c>
      <c r="U285">
        <f>IF(AND(ISNUMBER(B285),H285&lt;&gt;"Published"),IF(INT(B285)&gt;=TODAY(),R285,""),"")</f>
        <v/>
      </c>
      <c r="V285">
        <f>IF(AND(ISNUMBER(B285),OR(H285="Draft",H285="Scheduled")),IF(INT(B285)&lt;TODAY(),1,0),0)</f>
        <v/>
      </c>
      <c r="W285">
        <f>IF(AND(H285="Published",N(O285)&gt;0),IF(T285=(YEAR(TODAY())*100+MONTH(TODAY())),ROUND(O285,0)*1000+1000-ROW(),""),"")</f>
        <v/>
      </c>
    </row>
    <row r="286">
      <c r="A286" s="1" t="n"/>
      <c r="B286" s="21" t="n"/>
      <c r="C286" s="22" t="n"/>
      <c r="D286" s="23" t="n"/>
      <c r="E286" s="24" t="n"/>
      <c r="F286" s="23" t="n"/>
      <c r="G286" s="25" t="n"/>
      <c r="H286" s="24" t="n"/>
      <c r="I286" s="23" t="n"/>
      <c r="J286" s="26" t="n"/>
      <c r="K286" s="26" t="n"/>
      <c r="L286" s="26" t="n"/>
      <c r="M286" s="26" t="n"/>
      <c r="N286" s="26" t="n"/>
      <c r="O286" s="27">
        <f>IF(COUNT(K286:N286)=0,"",SUM(K286:N286))</f>
        <v/>
      </c>
      <c r="P286" s="16">
        <f>IF(OR(O286="",N(J286)&lt;=0),"",O286/J286)</f>
        <v/>
      </c>
      <c r="Q286" s="28">
        <f>IF(V286=1,"Late","")</f>
        <v/>
      </c>
      <c r="R286" s="1">
        <f>IF(ISNUMBER(B286),INT(B286)*10000000+IF(ISNUMBER(C286),ROUND(MOD(C286,1)*1440,0),0)*1000+ROW(),"")</f>
        <v/>
      </c>
      <c r="S286">
        <f>IF(ISNUMBER(B286),INT(B286)-WEEKDAY(B286,3),"")</f>
        <v/>
      </c>
      <c r="T286">
        <f>IF(ISNUMBER(B286),YEAR(B286)*100+MONTH(B286),"")</f>
        <v/>
      </c>
      <c r="U286">
        <f>IF(AND(ISNUMBER(B286),H286&lt;&gt;"Published"),IF(INT(B286)&gt;=TODAY(),R286,""),"")</f>
        <v/>
      </c>
      <c r="V286">
        <f>IF(AND(ISNUMBER(B286),OR(H286="Draft",H286="Scheduled")),IF(INT(B286)&lt;TODAY(),1,0),0)</f>
        <v/>
      </c>
      <c r="W286">
        <f>IF(AND(H286="Published",N(O286)&gt;0),IF(T286=(YEAR(TODAY())*100+MONTH(TODAY())),ROUND(O286,0)*1000+1000-ROW(),""),"")</f>
        <v/>
      </c>
    </row>
    <row r="287">
      <c r="A287" s="1" t="n"/>
      <c r="B287" s="21" t="n"/>
      <c r="C287" s="22" t="n"/>
      <c r="D287" s="23" t="n"/>
      <c r="E287" s="24" t="n"/>
      <c r="F287" s="23" t="n"/>
      <c r="G287" s="25" t="n"/>
      <c r="H287" s="24" t="n"/>
      <c r="I287" s="23" t="n"/>
      <c r="J287" s="26" t="n"/>
      <c r="K287" s="26" t="n"/>
      <c r="L287" s="26" t="n"/>
      <c r="M287" s="26" t="n"/>
      <c r="N287" s="26" t="n"/>
      <c r="O287" s="27">
        <f>IF(COUNT(K287:N287)=0,"",SUM(K287:N287))</f>
        <v/>
      </c>
      <c r="P287" s="16">
        <f>IF(OR(O287="",N(J287)&lt;=0),"",O287/J287)</f>
        <v/>
      </c>
      <c r="Q287" s="28">
        <f>IF(V287=1,"Late","")</f>
        <v/>
      </c>
      <c r="R287" s="1">
        <f>IF(ISNUMBER(B287),INT(B287)*10000000+IF(ISNUMBER(C287),ROUND(MOD(C287,1)*1440,0),0)*1000+ROW(),"")</f>
        <v/>
      </c>
      <c r="S287">
        <f>IF(ISNUMBER(B287),INT(B287)-WEEKDAY(B287,3),"")</f>
        <v/>
      </c>
      <c r="T287">
        <f>IF(ISNUMBER(B287),YEAR(B287)*100+MONTH(B287),"")</f>
        <v/>
      </c>
      <c r="U287">
        <f>IF(AND(ISNUMBER(B287),H287&lt;&gt;"Published"),IF(INT(B287)&gt;=TODAY(),R287,""),"")</f>
        <v/>
      </c>
      <c r="V287">
        <f>IF(AND(ISNUMBER(B287),OR(H287="Draft",H287="Scheduled")),IF(INT(B287)&lt;TODAY(),1,0),0)</f>
        <v/>
      </c>
      <c r="W287">
        <f>IF(AND(H287="Published",N(O287)&gt;0),IF(T287=(YEAR(TODAY())*100+MONTH(TODAY())),ROUND(O287,0)*1000+1000-ROW(),""),"")</f>
        <v/>
      </c>
    </row>
    <row r="288">
      <c r="A288" s="1" t="n"/>
      <c r="B288" s="21" t="n"/>
      <c r="C288" s="22" t="n"/>
      <c r="D288" s="23" t="n"/>
      <c r="E288" s="24" t="n"/>
      <c r="F288" s="23" t="n"/>
      <c r="G288" s="25" t="n"/>
      <c r="H288" s="24" t="n"/>
      <c r="I288" s="23" t="n"/>
      <c r="J288" s="26" t="n"/>
      <c r="K288" s="26" t="n"/>
      <c r="L288" s="26" t="n"/>
      <c r="M288" s="26" t="n"/>
      <c r="N288" s="26" t="n"/>
      <c r="O288" s="27">
        <f>IF(COUNT(K288:N288)=0,"",SUM(K288:N288))</f>
        <v/>
      </c>
      <c r="P288" s="16">
        <f>IF(OR(O288="",N(J288)&lt;=0),"",O288/J288)</f>
        <v/>
      </c>
      <c r="Q288" s="28">
        <f>IF(V288=1,"Late","")</f>
        <v/>
      </c>
      <c r="R288" s="1">
        <f>IF(ISNUMBER(B288),INT(B288)*10000000+IF(ISNUMBER(C288),ROUND(MOD(C288,1)*1440,0),0)*1000+ROW(),"")</f>
        <v/>
      </c>
      <c r="S288">
        <f>IF(ISNUMBER(B288),INT(B288)-WEEKDAY(B288,3),"")</f>
        <v/>
      </c>
      <c r="T288">
        <f>IF(ISNUMBER(B288),YEAR(B288)*100+MONTH(B288),"")</f>
        <v/>
      </c>
      <c r="U288">
        <f>IF(AND(ISNUMBER(B288),H288&lt;&gt;"Published"),IF(INT(B288)&gt;=TODAY(),R288,""),"")</f>
        <v/>
      </c>
      <c r="V288">
        <f>IF(AND(ISNUMBER(B288),OR(H288="Draft",H288="Scheduled")),IF(INT(B288)&lt;TODAY(),1,0),0)</f>
        <v/>
      </c>
      <c r="W288">
        <f>IF(AND(H288="Published",N(O288)&gt;0),IF(T288=(YEAR(TODAY())*100+MONTH(TODAY())),ROUND(O288,0)*1000+1000-ROW(),""),"")</f>
        <v/>
      </c>
    </row>
    <row r="289">
      <c r="A289" s="1" t="n"/>
      <c r="B289" s="21" t="n"/>
      <c r="C289" s="22" t="n"/>
      <c r="D289" s="23" t="n"/>
      <c r="E289" s="24" t="n"/>
      <c r="F289" s="23" t="n"/>
      <c r="G289" s="25" t="n"/>
      <c r="H289" s="24" t="n"/>
      <c r="I289" s="23" t="n"/>
      <c r="J289" s="26" t="n"/>
      <c r="K289" s="26" t="n"/>
      <c r="L289" s="26" t="n"/>
      <c r="M289" s="26" t="n"/>
      <c r="N289" s="26" t="n"/>
      <c r="O289" s="27">
        <f>IF(COUNT(K289:N289)=0,"",SUM(K289:N289))</f>
        <v/>
      </c>
      <c r="P289" s="16">
        <f>IF(OR(O289="",N(J289)&lt;=0),"",O289/J289)</f>
        <v/>
      </c>
      <c r="Q289" s="28">
        <f>IF(V289=1,"Late","")</f>
        <v/>
      </c>
      <c r="R289" s="1">
        <f>IF(ISNUMBER(B289),INT(B289)*10000000+IF(ISNUMBER(C289),ROUND(MOD(C289,1)*1440,0),0)*1000+ROW(),"")</f>
        <v/>
      </c>
      <c r="S289">
        <f>IF(ISNUMBER(B289),INT(B289)-WEEKDAY(B289,3),"")</f>
        <v/>
      </c>
      <c r="T289">
        <f>IF(ISNUMBER(B289),YEAR(B289)*100+MONTH(B289),"")</f>
        <v/>
      </c>
      <c r="U289">
        <f>IF(AND(ISNUMBER(B289),H289&lt;&gt;"Published"),IF(INT(B289)&gt;=TODAY(),R289,""),"")</f>
        <v/>
      </c>
      <c r="V289">
        <f>IF(AND(ISNUMBER(B289),OR(H289="Draft",H289="Scheduled")),IF(INT(B289)&lt;TODAY(),1,0),0)</f>
        <v/>
      </c>
      <c r="W289">
        <f>IF(AND(H289="Published",N(O289)&gt;0),IF(T289=(YEAR(TODAY())*100+MONTH(TODAY())),ROUND(O289,0)*1000+1000-ROW(),""),"")</f>
        <v/>
      </c>
    </row>
    <row r="290">
      <c r="A290" s="1" t="n"/>
      <c r="B290" s="21" t="n"/>
      <c r="C290" s="22" t="n"/>
      <c r="D290" s="23" t="n"/>
      <c r="E290" s="24" t="n"/>
      <c r="F290" s="23" t="n"/>
      <c r="G290" s="25" t="n"/>
      <c r="H290" s="24" t="n"/>
      <c r="I290" s="23" t="n"/>
      <c r="J290" s="26" t="n"/>
      <c r="K290" s="26" t="n"/>
      <c r="L290" s="26" t="n"/>
      <c r="M290" s="26" t="n"/>
      <c r="N290" s="26" t="n"/>
      <c r="O290" s="27">
        <f>IF(COUNT(K290:N290)=0,"",SUM(K290:N290))</f>
        <v/>
      </c>
      <c r="P290" s="16">
        <f>IF(OR(O290="",N(J290)&lt;=0),"",O290/J290)</f>
        <v/>
      </c>
      <c r="Q290" s="28">
        <f>IF(V290=1,"Late","")</f>
        <v/>
      </c>
      <c r="R290" s="1">
        <f>IF(ISNUMBER(B290),INT(B290)*10000000+IF(ISNUMBER(C290),ROUND(MOD(C290,1)*1440,0),0)*1000+ROW(),"")</f>
        <v/>
      </c>
      <c r="S290">
        <f>IF(ISNUMBER(B290),INT(B290)-WEEKDAY(B290,3),"")</f>
        <v/>
      </c>
      <c r="T290">
        <f>IF(ISNUMBER(B290),YEAR(B290)*100+MONTH(B290),"")</f>
        <v/>
      </c>
      <c r="U290">
        <f>IF(AND(ISNUMBER(B290),H290&lt;&gt;"Published"),IF(INT(B290)&gt;=TODAY(),R290,""),"")</f>
        <v/>
      </c>
      <c r="V290">
        <f>IF(AND(ISNUMBER(B290),OR(H290="Draft",H290="Scheduled")),IF(INT(B290)&lt;TODAY(),1,0),0)</f>
        <v/>
      </c>
      <c r="W290">
        <f>IF(AND(H290="Published",N(O290)&gt;0),IF(T290=(YEAR(TODAY())*100+MONTH(TODAY())),ROUND(O290,0)*1000+1000-ROW(),""),"")</f>
        <v/>
      </c>
    </row>
    <row r="291">
      <c r="A291" s="1" t="n"/>
      <c r="B291" s="21" t="n"/>
      <c r="C291" s="22" t="n"/>
      <c r="D291" s="23" t="n"/>
      <c r="E291" s="24" t="n"/>
      <c r="F291" s="23" t="n"/>
      <c r="G291" s="25" t="n"/>
      <c r="H291" s="24" t="n"/>
      <c r="I291" s="23" t="n"/>
      <c r="J291" s="26" t="n"/>
      <c r="K291" s="26" t="n"/>
      <c r="L291" s="26" t="n"/>
      <c r="M291" s="26" t="n"/>
      <c r="N291" s="26" t="n"/>
      <c r="O291" s="27">
        <f>IF(COUNT(K291:N291)=0,"",SUM(K291:N291))</f>
        <v/>
      </c>
      <c r="P291" s="16">
        <f>IF(OR(O291="",N(J291)&lt;=0),"",O291/J291)</f>
        <v/>
      </c>
      <c r="Q291" s="28">
        <f>IF(V291=1,"Late","")</f>
        <v/>
      </c>
      <c r="R291" s="1">
        <f>IF(ISNUMBER(B291),INT(B291)*10000000+IF(ISNUMBER(C291),ROUND(MOD(C291,1)*1440,0),0)*1000+ROW(),"")</f>
        <v/>
      </c>
      <c r="S291">
        <f>IF(ISNUMBER(B291),INT(B291)-WEEKDAY(B291,3),"")</f>
        <v/>
      </c>
      <c r="T291">
        <f>IF(ISNUMBER(B291),YEAR(B291)*100+MONTH(B291),"")</f>
        <v/>
      </c>
      <c r="U291">
        <f>IF(AND(ISNUMBER(B291),H291&lt;&gt;"Published"),IF(INT(B291)&gt;=TODAY(),R291,""),"")</f>
        <v/>
      </c>
      <c r="V291">
        <f>IF(AND(ISNUMBER(B291),OR(H291="Draft",H291="Scheduled")),IF(INT(B291)&lt;TODAY(),1,0),0)</f>
        <v/>
      </c>
      <c r="W291">
        <f>IF(AND(H291="Published",N(O291)&gt;0),IF(T291=(YEAR(TODAY())*100+MONTH(TODAY())),ROUND(O291,0)*1000+1000-ROW(),""),"")</f>
        <v/>
      </c>
    </row>
    <row r="292">
      <c r="A292" s="1" t="n"/>
      <c r="B292" s="21" t="n"/>
      <c r="C292" s="22" t="n"/>
      <c r="D292" s="23" t="n"/>
      <c r="E292" s="24" t="n"/>
      <c r="F292" s="23" t="n"/>
      <c r="G292" s="25" t="n"/>
      <c r="H292" s="24" t="n"/>
      <c r="I292" s="23" t="n"/>
      <c r="J292" s="26" t="n"/>
      <c r="K292" s="26" t="n"/>
      <c r="L292" s="26" t="n"/>
      <c r="M292" s="26" t="n"/>
      <c r="N292" s="26" t="n"/>
      <c r="O292" s="27">
        <f>IF(COUNT(K292:N292)=0,"",SUM(K292:N292))</f>
        <v/>
      </c>
      <c r="P292" s="16">
        <f>IF(OR(O292="",N(J292)&lt;=0),"",O292/J292)</f>
        <v/>
      </c>
      <c r="Q292" s="28">
        <f>IF(V292=1,"Late","")</f>
        <v/>
      </c>
      <c r="R292" s="1">
        <f>IF(ISNUMBER(B292),INT(B292)*10000000+IF(ISNUMBER(C292),ROUND(MOD(C292,1)*1440,0),0)*1000+ROW(),"")</f>
        <v/>
      </c>
      <c r="S292">
        <f>IF(ISNUMBER(B292),INT(B292)-WEEKDAY(B292,3),"")</f>
        <v/>
      </c>
      <c r="T292">
        <f>IF(ISNUMBER(B292),YEAR(B292)*100+MONTH(B292),"")</f>
        <v/>
      </c>
      <c r="U292">
        <f>IF(AND(ISNUMBER(B292),H292&lt;&gt;"Published"),IF(INT(B292)&gt;=TODAY(),R292,""),"")</f>
        <v/>
      </c>
      <c r="V292">
        <f>IF(AND(ISNUMBER(B292),OR(H292="Draft",H292="Scheduled")),IF(INT(B292)&lt;TODAY(),1,0),0)</f>
        <v/>
      </c>
      <c r="W292">
        <f>IF(AND(H292="Published",N(O292)&gt;0),IF(T292=(YEAR(TODAY())*100+MONTH(TODAY())),ROUND(O292,0)*1000+1000-ROW(),""),"")</f>
        <v/>
      </c>
    </row>
    <row r="293">
      <c r="A293" s="1" t="n"/>
      <c r="B293" s="21" t="n"/>
      <c r="C293" s="22" t="n"/>
      <c r="D293" s="23" t="n"/>
      <c r="E293" s="24" t="n"/>
      <c r="F293" s="23" t="n"/>
      <c r="G293" s="25" t="n"/>
      <c r="H293" s="24" t="n"/>
      <c r="I293" s="23" t="n"/>
      <c r="J293" s="26" t="n"/>
      <c r="K293" s="26" t="n"/>
      <c r="L293" s="26" t="n"/>
      <c r="M293" s="26" t="n"/>
      <c r="N293" s="26" t="n"/>
      <c r="O293" s="27">
        <f>IF(COUNT(K293:N293)=0,"",SUM(K293:N293))</f>
        <v/>
      </c>
      <c r="P293" s="16">
        <f>IF(OR(O293="",N(J293)&lt;=0),"",O293/J293)</f>
        <v/>
      </c>
      <c r="Q293" s="28">
        <f>IF(V293=1,"Late","")</f>
        <v/>
      </c>
      <c r="R293" s="1">
        <f>IF(ISNUMBER(B293),INT(B293)*10000000+IF(ISNUMBER(C293),ROUND(MOD(C293,1)*1440,0),0)*1000+ROW(),"")</f>
        <v/>
      </c>
      <c r="S293">
        <f>IF(ISNUMBER(B293),INT(B293)-WEEKDAY(B293,3),"")</f>
        <v/>
      </c>
      <c r="T293">
        <f>IF(ISNUMBER(B293),YEAR(B293)*100+MONTH(B293),"")</f>
        <v/>
      </c>
      <c r="U293">
        <f>IF(AND(ISNUMBER(B293),H293&lt;&gt;"Published"),IF(INT(B293)&gt;=TODAY(),R293,""),"")</f>
        <v/>
      </c>
      <c r="V293">
        <f>IF(AND(ISNUMBER(B293),OR(H293="Draft",H293="Scheduled")),IF(INT(B293)&lt;TODAY(),1,0),0)</f>
        <v/>
      </c>
      <c r="W293">
        <f>IF(AND(H293="Published",N(O293)&gt;0),IF(T293=(YEAR(TODAY())*100+MONTH(TODAY())),ROUND(O293,0)*1000+1000-ROW(),""),"")</f>
        <v/>
      </c>
    </row>
    <row r="294">
      <c r="A294" s="1" t="n"/>
      <c r="B294" s="21" t="n"/>
      <c r="C294" s="22" t="n"/>
      <c r="D294" s="23" t="n"/>
      <c r="E294" s="24" t="n"/>
      <c r="F294" s="23" t="n"/>
      <c r="G294" s="25" t="n"/>
      <c r="H294" s="24" t="n"/>
      <c r="I294" s="23" t="n"/>
      <c r="J294" s="26" t="n"/>
      <c r="K294" s="26" t="n"/>
      <c r="L294" s="26" t="n"/>
      <c r="M294" s="26" t="n"/>
      <c r="N294" s="26" t="n"/>
      <c r="O294" s="27">
        <f>IF(COUNT(K294:N294)=0,"",SUM(K294:N294))</f>
        <v/>
      </c>
      <c r="P294" s="16">
        <f>IF(OR(O294="",N(J294)&lt;=0),"",O294/J294)</f>
        <v/>
      </c>
      <c r="Q294" s="28">
        <f>IF(V294=1,"Late","")</f>
        <v/>
      </c>
      <c r="R294" s="1">
        <f>IF(ISNUMBER(B294),INT(B294)*10000000+IF(ISNUMBER(C294),ROUND(MOD(C294,1)*1440,0),0)*1000+ROW(),"")</f>
        <v/>
      </c>
      <c r="S294">
        <f>IF(ISNUMBER(B294),INT(B294)-WEEKDAY(B294,3),"")</f>
        <v/>
      </c>
      <c r="T294">
        <f>IF(ISNUMBER(B294),YEAR(B294)*100+MONTH(B294),"")</f>
        <v/>
      </c>
      <c r="U294">
        <f>IF(AND(ISNUMBER(B294),H294&lt;&gt;"Published"),IF(INT(B294)&gt;=TODAY(),R294,""),"")</f>
        <v/>
      </c>
      <c r="V294">
        <f>IF(AND(ISNUMBER(B294),OR(H294="Draft",H294="Scheduled")),IF(INT(B294)&lt;TODAY(),1,0),0)</f>
        <v/>
      </c>
      <c r="W294">
        <f>IF(AND(H294="Published",N(O294)&gt;0),IF(T294=(YEAR(TODAY())*100+MONTH(TODAY())),ROUND(O294,0)*1000+1000-ROW(),""),"")</f>
        <v/>
      </c>
    </row>
    <row r="295">
      <c r="A295" s="1" t="n"/>
      <c r="B295" s="21" t="n"/>
      <c r="C295" s="22" t="n"/>
      <c r="D295" s="23" t="n"/>
      <c r="E295" s="24" t="n"/>
      <c r="F295" s="23" t="n"/>
      <c r="G295" s="25" t="n"/>
      <c r="H295" s="24" t="n"/>
      <c r="I295" s="23" t="n"/>
      <c r="J295" s="26" t="n"/>
      <c r="K295" s="26" t="n"/>
      <c r="L295" s="26" t="n"/>
      <c r="M295" s="26" t="n"/>
      <c r="N295" s="26" t="n"/>
      <c r="O295" s="27">
        <f>IF(COUNT(K295:N295)=0,"",SUM(K295:N295))</f>
        <v/>
      </c>
      <c r="P295" s="16">
        <f>IF(OR(O295="",N(J295)&lt;=0),"",O295/J295)</f>
        <v/>
      </c>
      <c r="Q295" s="28">
        <f>IF(V295=1,"Late","")</f>
        <v/>
      </c>
      <c r="R295" s="1">
        <f>IF(ISNUMBER(B295),INT(B295)*10000000+IF(ISNUMBER(C295),ROUND(MOD(C295,1)*1440,0),0)*1000+ROW(),"")</f>
        <v/>
      </c>
      <c r="S295">
        <f>IF(ISNUMBER(B295),INT(B295)-WEEKDAY(B295,3),"")</f>
        <v/>
      </c>
      <c r="T295">
        <f>IF(ISNUMBER(B295),YEAR(B295)*100+MONTH(B295),"")</f>
        <v/>
      </c>
      <c r="U295">
        <f>IF(AND(ISNUMBER(B295),H295&lt;&gt;"Published"),IF(INT(B295)&gt;=TODAY(),R295,""),"")</f>
        <v/>
      </c>
      <c r="V295">
        <f>IF(AND(ISNUMBER(B295),OR(H295="Draft",H295="Scheduled")),IF(INT(B295)&lt;TODAY(),1,0),0)</f>
        <v/>
      </c>
      <c r="W295">
        <f>IF(AND(H295="Published",N(O295)&gt;0),IF(T295=(YEAR(TODAY())*100+MONTH(TODAY())),ROUND(O295,0)*1000+1000-ROW(),""),"")</f>
        <v/>
      </c>
    </row>
    <row r="296">
      <c r="A296" s="1" t="n"/>
      <c r="B296" s="21" t="n"/>
      <c r="C296" s="22" t="n"/>
      <c r="D296" s="23" t="n"/>
      <c r="E296" s="24" t="n"/>
      <c r="F296" s="23" t="n"/>
      <c r="G296" s="25" t="n"/>
      <c r="H296" s="24" t="n"/>
      <c r="I296" s="23" t="n"/>
      <c r="J296" s="26" t="n"/>
      <c r="K296" s="26" t="n"/>
      <c r="L296" s="26" t="n"/>
      <c r="M296" s="26" t="n"/>
      <c r="N296" s="26" t="n"/>
      <c r="O296" s="27">
        <f>IF(COUNT(K296:N296)=0,"",SUM(K296:N296))</f>
        <v/>
      </c>
      <c r="P296" s="16">
        <f>IF(OR(O296="",N(J296)&lt;=0),"",O296/J296)</f>
        <v/>
      </c>
      <c r="Q296" s="28">
        <f>IF(V296=1,"Late","")</f>
        <v/>
      </c>
      <c r="R296" s="1">
        <f>IF(ISNUMBER(B296),INT(B296)*10000000+IF(ISNUMBER(C296),ROUND(MOD(C296,1)*1440,0),0)*1000+ROW(),"")</f>
        <v/>
      </c>
      <c r="S296">
        <f>IF(ISNUMBER(B296),INT(B296)-WEEKDAY(B296,3),"")</f>
        <v/>
      </c>
      <c r="T296">
        <f>IF(ISNUMBER(B296),YEAR(B296)*100+MONTH(B296),"")</f>
        <v/>
      </c>
      <c r="U296">
        <f>IF(AND(ISNUMBER(B296),H296&lt;&gt;"Published"),IF(INT(B296)&gt;=TODAY(),R296,""),"")</f>
        <v/>
      </c>
      <c r="V296">
        <f>IF(AND(ISNUMBER(B296),OR(H296="Draft",H296="Scheduled")),IF(INT(B296)&lt;TODAY(),1,0),0)</f>
        <v/>
      </c>
      <c r="W296">
        <f>IF(AND(H296="Published",N(O296)&gt;0),IF(T296=(YEAR(TODAY())*100+MONTH(TODAY())),ROUND(O296,0)*1000+1000-ROW(),""),"")</f>
        <v/>
      </c>
    </row>
    <row r="297">
      <c r="A297" s="1" t="n"/>
      <c r="B297" s="21" t="n"/>
      <c r="C297" s="22" t="n"/>
      <c r="D297" s="23" t="n"/>
      <c r="E297" s="24" t="n"/>
      <c r="F297" s="23" t="n"/>
      <c r="G297" s="25" t="n"/>
      <c r="H297" s="24" t="n"/>
      <c r="I297" s="23" t="n"/>
      <c r="J297" s="26" t="n"/>
      <c r="K297" s="26" t="n"/>
      <c r="L297" s="26" t="n"/>
      <c r="M297" s="26" t="n"/>
      <c r="N297" s="26" t="n"/>
      <c r="O297" s="27">
        <f>IF(COUNT(K297:N297)=0,"",SUM(K297:N297))</f>
        <v/>
      </c>
      <c r="P297" s="16">
        <f>IF(OR(O297="",N(J297)&lt;=0),"",O297/J297)</f>
        <v/>
      </c>
      <c r="Q297" s="28">
        <f>IF(V297=1,"Late","")</f>
        <v/>
      </c>
      <c r="R297" s="1">
        <f>IF(ISNUMBER(B297),INT(B297)*10000000+IF(ISNUMBER(C297),ROUND(MOD(C297,1)*1440,0),0)*1000+ROW(),"")</f>
        <v/>
      </c>
      <c r="S297">
        <f>IF(ISNUMBER(B297),INT(B297)-WEEKDAY(B297,3),"")</f>
        <v/>
      </c>
      <c r="T297">
        <f>IF(ISNUMBER(B297),YEAR(B297)*100+MONTH(B297),"")</f>
        <v/>
      </c>
      <c r="U297">
        <f>IF(AND(ISNUMBER(B297),H297&lt;&gt;"Published"),IF(INT(B297)&gt;=TODAY(),R297,""),"")</f>
        <v/>
      </c>
      <c r="V297">
        <f>IF(AND(ISNUMBER(B297),OR(H297="Draft",H297="Scheduled")),IF(INT(B297)&lt;TODAY(),1,0),0)</f>
        <v/>
      </c>
      <c r="W297">
        <f>IF(AND(H297="Published",N(O297)&gt;0),IF(T297=(YEAR(TODAY())*100+MONTH(TODAY())),ROUND(O297,0)*1000+1000-ROW(),""),"")</f>
        <v/>
      </c>
    </row>
    <row r="298">
      <c r="A298" s="1" t="n"/>
      <c r="B298" s="21" t="n"/>
      <c r="C298" s="22" t="n"/>
      <c r="D298" s="23" t="n"/>
      <c r="E298" s="24" t="n"/>
      <c r="F298" s="23" t="n"/>
      <c r="G298" s="25" t="n"/>
      <c r="H298" s="24" t="n"/>
      <c r="I298" s="23" t="n"/>
      <c r="J298" s="26" t="n"/>
      <c r="K298" s="26" t="n"/>
      <c r="L298" s="26" t="n"/>
      <c r="M298" s="26" t="n"/>
      <c r="N298" s="26" t="n"/>
      <c r="O298" s="27">
        <f>IF(COUNT(K298:N298)=0,"",SUM(K298:N298))</f>
        <v/>
      </c>
      <c r="P298" s="16">
        <f>IF(OR(O298="",N(J298)&lt;=0),"",O298/J298)</f>
        <v/>
      </c>
      <c r="Q298" s="28">
        <f>IF(V298=1,"Late","")</f>
        <v/>
      </c>
      <c r="R298" s="1">
        <f>IF(ISNUMBER(B298),INT(B298)*10000000+IF(ISNUMBER(C298),ROUND(MOD(C298,1)*1440,0),0)*1000+ROW(),"")</f>
        <v/>
      </c>
      <c r="S298">
        <f>IF(ISNUMBER(B298),INT(B298)-WEEKDAY(B298,3),"")</f>
        <v/>
      </c>
      <c r="T298">
        <f>IF(ISNUMBER(B298),YEAR(B298)*100+MONTH(B298),"")</f>
        <v/>
      </c>
      <c r="U298">
        <f>IF(AND(ISNUMBER(B298),H298&lt;&gt;"Published"),IF(INT(B298)&gt;=TODAY(),R298,""),"")</f>
        <v/>
      </c>
      <c r="V298">
        <f>IF(AND(ISNUMBER(B298),OR(H298="Draft",H298="Scheduled")),IF(INT(B298)&lt;TODAY(),1,0),0)</f>
        <v/>
      </c>
      <c r="W298">
        <f>IF(AND(H298="Published",N(O298)&gt;0),IF(T298=(YEAR(TODAY())*100+MONTH(TODAY())),ROUND(O298,0)*1000+1000-ROW(),""),"")</f>
        <v/>
      </c>
    </row>
    <row r="299">
      <c r="A299" s="1" t="n"/>
      <c r="B299" s="21" t="n"/>
      <c r="C299" s="22" t="n"/>
      <c r="D299" s="23" t="n"/>
      <c r="E299" s="24" t="n"/>
      <c r="F299" s="23" t="n"/>
      <c r="G299" s="25" t="n"/>
      <c r="H299" s="24" t="n"/>
      <c r="I299" s="23" t="n"/>
      <c r="J299" s="26" t="n"/>
      <c r="K299" s="26" t="n"/>
      <c r="L299" s="26" t="n"/>
      <c r="M299" s="26" t="n"/>
      <c r="N299" s="26" t="n"/>
      <c r="O299" s="27">
        <f>IF(COUNT(K299:N299)=0,"",SUM(K299:N299))</f>
        <v/>
      </c>
      <c r="P299" s="16">
        <f>IF(OR(O299="",N(J299)&lt;=0),"",O299/J299)</f>
        <v/>
      </c>
      <c r="Q299" s="28">
        <f>IF(V299=1,"Late","")</f>
        <v/>
      </c>
      <c r="R299" s="1">
        <f>IF(ISNUMBER(B299),INT(B299)*10000000+IF(ISNUMBER(C299),ROUND(MOD(C299,1)*1440,0),0)*1000+ROW(),"")</f>
        <v/>
      </c>
      <c r="S299">
        <f>IF(ISNUMBER(B299),INT(B299)-WEEKDAY(B299,3),"")</f>
        <v/>
      </c>
      <c r="T299">
        <f>IF(ISNUMBER(B299),YEAR(B299)*100+MONTH(B299),"")</f>
        <v/>
      </c>
      <c r="U299">
        <f>IF(AND(ISNUMBER(B299),H299&lt;&gt;"Published"),IF(INT(B299)&gt;=TODAY(),R299,""),"")</f>
        <v/>
      </c>
      <c r="V299">
        <f>IF(AND(ISNUMBER(B299),OR(H299="Draft",H299="Scheduled")),IF(INT(B299)&lt;TODAY(),1,0),0)</f>
        <v/>
      </c>
      <c r="W299">
        <f>IF(AND(H299="Published",N(O299)&gt;0),IF(T299=(YEAR(TODAY())*100+MONTH(TODAY())),ROUND(O299,0)*1000+1000-ROW(),""),"")</f>
        <v/>
      </c>
    </row>
    <row r="300">
      <c r="A300" s="1" t="n"/>
      <c r="B300" s="21" t="n"/>
      <c r="C300" s="22" t="n"/>
      <c r="D300" s="23" t="n"/>
      <c r="E300" s="24" t="n"/>
      <c r="F300" s="23" t="n"/>
      <c r="G300" s="25" t="n"/>
      <c r="H300" s="24" t="n"/>
      <c r="I300" s="23" t="n"/>
      <c r="J300" s="26" t="n"/>
      <c r="K300" s="26" t="n"/>
      <c r="L300" s="26" t="n"/>
      <c r="M300" s="26" t="n"/>
      <c r="N300" s="26" t="n"/>
      <c r="O300" s="27">
        <f>IF(COUNT(K300:N300)=0,"",SUM(K300:N300))</f>
        <v/>
      </c>
      <c r="P300" s="16">
        <f>IF(OR(O300="",N(J300)&lt;=0),"",O300/J300)</f>
        <v/>
      </c>
      <c r="Q300" s="28">
        <f>IF(V300=1,"Late","")</f>
        <v/>
      </c>
      <c r="R300" s="1">
        <f>IF(ISNUMBER(B300),INT(B300)*10000000+IF(ISNUMBER(C300),ROUND(MOD(C300,1)*1440,0),0)*1000+ROW(),"")</f>
        <v/>
      </c>
      <c r="S300">
        <f>IF(ISNUMBER(B300),INT(B300)-WEEKDAY(B300,3),"")</f>
        <v/>
      </c>
      <c r="T300">
        <f>IF(ISNUMBER(B300),YEAR(B300)*100+MONTH(B300),"")</f>
        <v/>
      </c>
      <c r="U300">
        <f>IF(AND(ISNUMBER(B300),H300&lt;&gt;"Published"),IF(INT(B300)&gt;=TODAY(),R300,""),"")</f>
        <v/>
      </c>
      <c r="V300">
        <f>IF(AND(ISNUMBER(B300),OR(H300="Draft",H300="Scheduled")),IF(INT(B300)&lt;TODAY(),1,0),0)</f>
        <v/>
      </c>
      <c r="W300">
        <f>IF(AND(H300="Published",N(O300)&gt;0),IF(T300=(YEAR(TODAY())*100+MONTH(TODAY())),ROUND(O300,0)*1000+1000-ROW(),""),"")</f>
        <v/>
      </c>
    </row>
    <row r="301">
      <c r="A301" s="1" t="n"/>
      <c r="B301" s="21" t="n"/>
      <c r="C301" s="22" t="n"/>
      <c r="D301" s="23" t="n"/>
      <c r="E301" s="24" t="n"/>
      <c r="F301" s="23" t="n"/>
      <c r="G301" s="25" t="n"/>
      <c r="H301" s="24" t="n"/>
      <c r="I301" s="23" t="n"/>
      <c r="J301" s="26" t="n"/>
      <c r="K301" s="26" t="n"/>
      <c r="L301" s="26" t="n"/>
      <c r="M301" s="26" t="n"/>
      <c r="N301" s="26" t="n"/>
      <c r="O301" s="27">
        <f>IF(COUNT(K301:N301)=0,"",SUM(K301:N301))</f>
        <v/>
      </c>
      <c r="P301" s="16">
        <f>IF(OR(O301="",N(J301)&lt;=0),"",O301/J301)</f>
        <v/>
      </c>
      <c r="Q301" s="28">
        <f>IF(V301=1,"Late","")</f>
        <v/>
      </c>
      <c r="R301" s="1">
        <f>IF(ISNUMBER(B301),INT(B301)*10000000+IF(ISNUMBER(C301),ROUND(MOD(C301,1)*1440,0),0)*1000+ROW(),"")</f>
        <v/>
      </c>
      <c r="S301">
        <f>IF(ISNUMBER(B301),INT(B301)-WEEKDAY(B301,3),"")</f>
        <v/>
      </c>
      <c r="T301">
        <f>IF(ISNUMBER(B301),YEAR(B301)*100+MONTH(B301),"")</f>
        <v/>
      </c>
      <c r="U301">
        <f>IF(AND(ISNUMBER(B301),H301&lt;&gt;"Published"),IF(INT(B301)&gt;=TODAY(),R301,""),"")</f>
        <v/>
      </c>
      <c r="V301">
        <f>IF(AND(ISNUMBER(B301),OR(H301="Draft",H301="Scheduled")),IF(INT(B301)&lt;TODAY(),1,0),0)</f>
        <v/>
      </c>
      <c r="W301">
        <f>IF(AND(H301="Published",N(O301)&gt;0),IF(T301=(YEAR(TODAY())*100+MONTH(TODAY())),ROUND(O301,0)*1000+1000-ROW(),""),"")</f>
        <v/>
      </c>
    </row>
    <row r="302">
      <c r="A302" s="1" t="n"/>
      <c r="B302" s="21" t="n"/>
      <c r="C302" s="22" t="n"/>
      <c r="D302" s="23" t="n"/>
      <c r="E302" s="24" t="n"/>
      <c r="F302" s="23" t="n"/>
      <c r="G302" s="25" t="n"/>
      <c r="H302" s="24" t="n"/>
      <c r="I302" s="23" t="n"/>
      <c r="J302" s="26" t="n"/>
      <c r="K302" s="26" t="n"/>
      <c r="L302" s="26" t="n"/>
      <c r="M302" s="26" t="n"/>
      <c r="N302" s="26" t="n"/>
      <c r="O302" s="27">
        <f>IF(COUNT(K302:N302)=0,"",SUM(K302:N302))</f>
        <v/>
      </c>
      <c r="P302" s="16">
        <f>IF(OR(O302="",N(J302)&lt;=0),"",O302/J302)</f>
        <v/>
      </c>
      <c r="Q302" s="28">
        <f>IF(V302=1,"Late","")</f>
        <v/>
      </c>
      <c r="R302" s="1">
        <f>IF(ISNUMBER(B302),INT(B302)*10000000+IF(ISNUMBER(C302),ROUND(MOD(C302,1)*1440,0),0)*1000+ROW(),"")</f>
        <v/>
      </c>
      <c r="S302">
        <f>IF(ISNUMBER(B302),INT(B302)-WEEKDAY(B302,3),"")</f>
        <v/>
      </c>
      <c r="T302">
        <f>IF(ISNUMBER(B302),YEAR(B302)*100+MONTH(B302),"")</f>
        <v/>
      </c>
      <c r="U302">
        <f>IF(AND(ISNUMBER(B302),H302&lt;&gt;"Published"),IF(INT(B302)&gt;=TODAY(),R302,""),"")</f>
        <v/>
      </c>
      <c r="V302">
        <f>IF(AND(ISNUMBER(B302),OR(H302="Draft",H302="Scheduled")),IF(INT(B302)&lt;TODAY(),1,0),0)</f>
        <v/>
      </c>
      <c r="W302">
        <f>IF(AND(H302="Published",N(O302)&gt;0),IF(T302=(YEAR(TODAY())*100+MONTH(TODAY())),ROUND(O302,0)*1000+1000-ROW(),""),"")</f>
        <v/>
      </c>
    </row>
    <row r="303">
      <c r="A303" s="1" t="n"/>
      <c r="B303" s="21" t="n"/>
      <c r="C303" s="22" t="n"/>
      <c r="D303" s="23" t="n"/>
      <c r="E303" s="24" t="n"/>
      <c r="F303" s="23" t="n"/>
      <c r="G303" s="25" t="n"/>
      <c r="H303" s="24" t="n"/>
      <c r="I303" s="23" t="n"/>
      <c r="J303" s="26" t="n"/>
      <c r="K303" s="26" t="n"/>
      <c r="L303" s="26" t="n"/>
      <c r="M303" s="26" t="n"/>
      <c r="N303" s="26" t="n"/>
      <c r="O303" s="27">
        <f>IF(COUNT(K303:N303)=0,"",SUM(K303:N303))</f>
        <v/>
      </c>
      <c r="P303" s="16">
        <f>IF(OR(O303="",N(J303)&lt;=0),"",O303/J303)</f>
        <v/>
      </c>
      <c r="Q303" s="28">
        <f>IF(V303=1,"Late","")</f>
        <v/>
      </c>
      <c r="R303" s="1">
        <f>IF(ISNUMBER(B303),INT(B303)*10000000+IF(ISNUMBER(C303),ROUND(MOD(C303,1)*1440,0),0)*1000+ROW(),"")</f>
        <v/>
      </c>
      <c r="S303">
        <f>IF(ISNUMBER(B303),INT(B303)-WEEKDAY(B303,3),"")</f>
        <v/>
      </c>
      <c r="T303">
        <f>IF(ISNUMBER(B303),YEAR(B303)*100+MONTH(B303),"")</f>
        <v/>
      </c>
      <c r="U303">
        <f>IF(AND(ISNUMBER(B303),H303&lt;&gt;"Published"),IF(INT(B303)&gt;=TODAY(),R303,""),"")</f>
        <v/>
      </c>
      <c r="V303">
        <f>IF(AND(ISNUMBER(B303),OR(H303="Draft",H303="Scheduled")),IF(INT(B303)&lt;TODAY(),1,0),0)</f>
        <v/>
      </c>
      <c r="W303">
        <f>IF(AND(H303="Published",N(O303)&gt;0),IF(T303=(YEAR(TODAY())*100+MONTH(TODAY())),ROUND(O303,0)*1000+1000-ROW(),""),"")</f>
        <v/>
      </c>
    </row>
    <row r="304">
      <c r="A304" s="1" t="n"/>
      <c r="B304" s="21" t="n"/>
      <c r="C304" s="22" t="n"/>
      <c r="D304" s="23" t="n"/>
      <c r="E304" s="24" t="n"/>
      <c r="F304" s="23" t="n"/>
      <c r="G304" s="25" t="n"/>
      <c r="H304" s="24" t="n"/>
      <c r="I304" s="23" t="n"/>
      <c r="J304" s="26" t="n"/>
      <c r="K304" s="26" t="n"/>
      <c r="L304" s="26" t="n"/>
      <c r="M304" s="26" t="n"/>
      <c r="N304" s="26" t="n"/>
      <c r="O304" s="27">
        <f>IF(COUNT(K304:N304)=0,"",SUM(K304:N304))</f>
        <v/>
      </c>
      <c r="P304" s="16">
        <f>IF(OR(O304="",N(J304)&lt;=0),"",O304/J304)</f>
        <v/>
      </c>
      <c r="Q304" s="28">
        <f>IF(V304=1,"Late","")</f>
        <v/>
      </c>
      <c r="R304" s="1">
        <f>IF(ISNUMBER(B304),INT(B304)*10000000+IF(ISNUMBER(C304),ROUND(MOD(C304,1)*1440,0),0)*1000+ROW(),"")</f>
        <v/>
      </c>
      <c r="S304">
        <f>IF(ISNUMBER(B304),INT(B304)-WEEKDAY(B304,3),"")</f>
        <v/>
      </c>
      <c r="T304">
        <f>IF(ISNUMBER(B304),YEAR(B304)*100+MONTH(B304),"")</f>
        <v/>
      </c>
      <c r="U304">
        <f>IF(AND(ISNUMBER(B304),H304&lt;&gt;"Published"),IF(INT(B304)&gt;=TODAY(),R304,""),"")</f>
        <v/>
      </c>
      <c r="V304">
        <f>IF(AND(ISNUMBER(B304),OR(H304="Draft",H304="Scheduled")),IF(INT(B304)&lt;TODAY(),1,0),0)</f>
        <v/>
      </c>
      <c r="W304">
        <f>IF(AND(H304="Published",N(O304)&gt;0),IF(T304=(YEAR(TODAY())*100+MONTH(TODAY())),ROUND(O304,0)*1000+1000-ROW(),""),"")</f>
        <v/>
      </c>
    </row>
    <row r="305">
      <c r="A305" s="1" t="n"/>
      <c r="B305" s="21" t="n"/>
      <c r="C305" s="22" t="n"/>
      <c r="D305" s="23" t="n"/>
      <c r="E305" s="24" t="n"/>
      <c r="F305" s="23" t="n"/>
      <c r="G305" s="25" t="n"/>
      <c r="H305" s="24" t="n"/>
      <c r="I305" s="23" t="n"/>
      <c r="J305" s="26" t="n"/>
      <c r="K305" s="26" t="n"/>
      <c r="L305" s="26" t="n"/>
      <c r="M305" s="26" t="n"/>
      <c r="N305" s="26" t="n"/>
      <c r="O305" s="27">
        <f>IF(COUNT(K305:N305)=0,"",SUM(K305:N305))</f>
        <v/>
      </c>
      <c r="P305" s="16">
        <f>IF(OR(O305="",N(J305)&lt;=0),"",O305/J305)</f>
        <v/>
      </c>
      <c r="Q305" s="28">
        <f>IF(V305=1,"Late","")</f>
        <v/>
      </c>
      <c r="R305" s="1">
        <f>IF(ISNUMBER(B305),INT(B305)*10000000+IF(ISNUMBER(C305),ROUND(MOD(C305,1)*1440,0),0)*1000+ROW(),"")</f>
        <v/>
      </c>
      <c r="S305">
        <f>IF(ISNUMBER(B305),INT(B305)-WEEKDAY(B305,3),"")</f>
        <v/>
      </c>
      <c r="T305">
        <f>IF(ISNUMBER(B305),YEAR(B305)*100+MONTH(B305),"")</f>
        <v/>
      </c>
      <c r="U305">
        <f>IF(AND(ISNUMBER(B305),H305&lt;&gt;"Published"),IF(INT(B305)&gt;=TODAY(),R305,""),"")</f>
        <v/>
      </c>
      <c r="V305">
        <f>IF(AND(ISNUMBER(B305),OR(H305="Draft",H305="Scheduled")),IF(INT(B305)&lt;TODAY(),1,0),0)</f>
        <v/>
      </c>
      <c r="W305">
        <f>IF(AND(H305="Published",N(O305)&gt;0),IF(T305=(YEAR(TODAY())*100+MONTH(TODAY())),ROUND(O305,0)*1000+1000-ROW(),""),"")</f>
        <v/>
      </c>
    </row>
    <row r="306">
      <c r="A306" s="1" t="n"/>
      <c r="B306" s="21" t="n"/>
      <c r="C306" s="22" t="n"/>
      <c r="D306" s="23" t="n"/>
      <c r="E306" s="24" t="n"/>
      <c r="F306" s="23" t="n"/>
      <c r="G306" s="25" t="n"/>
      <c r="H306" s="24" t="n"/>
      <c r="I306" s="23" t="n"/>
      <c r="J306" s="26" t="n"/>
      <c r="K306" s="26" t="n"/>
      <c r="L306" s="26" t="n"/>
      <c r="M306" s="26" t="n"/>
      <c r="N306" s="26" t="n"/>
      <c r="O306" s="27">
        <f>IF(COUNT(K306:N306)=0,"",SUM(K306:N306))</f>
        <v/>
      </c>
      <c r="P306" s="16">
        <f>IF(OR(O306="",N(J306)&lt;=0),"",O306/J306)</f>
        <v/>
      </c>
      <c r="Q306" s="28">
        <f>IF(V306=1,"Late","")</f>
        <v/>
      </c>
      <c r="R306" s="1">
        <f>IF(ISNUMBER(B306),INT(B306)*10000000+IF(ISNUMBER(C306),ROUND(MOD(C306,1)*1440,0),0)*1000+ROW(),"")</f>
        <v/>
      </c>
      <c r="S306">
        <f>IF(ISNUMBER(B306),INT(B306)-WEEKDAY(B306,3),"")</f>
        <v/>
      </c>
      <c r="T306">
        <f>IF(ISNUMBER(B306),YEAR(B306)*100+MONTH(B306),"")</f>
        <v/>
      </c>
      <c r="U306">
        <f>IF(AND(ISNUMBER(B306),H306&lt;&gt;"Published"),IF(INT(B306)&gt;=TODAY(),R306,""),"")</f>
        <v/>
      </c>
      <c r="V306">
        <f>IF(AND(ISNUMBER(B306),OR(H306="Draft",H306="Scheduled")),IF(INT(B306)&lt;TODAY(),1,0),0)</f>
        <v/>
      </c>
      <c r="W306">
        <f>IF(AND(H306="Published",N(O306)&gt;0),IF(T306=(YEAR(TODAY())*100+MONTH(TODAY())),ROUND(O306,0)*1000+1000-ROW(),""),"")</f>
        <v/>
      </c>
    </row>
    <row r="307">
      <c r="A307" s="1" t="n"/>
      <c r="B307" s="21" t="n"/>
      <c r="C307" s="22" t="n"/>
      <c r="D307" s="23" t="n"/>
      <c r="E307" s="24" t="n"/>
      <c r="F307" s="23" t="n"/>
      <c r="G307" s="25" t="n"/>
      <c r="H307" s="24" t="n"/>
      <c r="I307" s="23" t="n"/>
      <c r="J307" s="26" t="n"/>
      <c r="K307" s="26" t="n"/>
      <c r="L307" s="26" t="n"/>
      <c r="M307" s="26" t="n"/>
      <c r="N307" s="26" t="n"/>
      <c r="O307" s="27">
        <f>IF(COUNT(K307:N307)=0,"",SUM(K307:N307))</f>
        <v/>
      </c>
      <c r="P307" s="16">
        <f>IF(OR(O307="",N(J307)&lt;=0),"",O307/J307)</f>
        <v/>
      </c>
      <c r="Q307" s="28">
        <f>IF(V307=1,"Late","")</f>
        <v/>
      </c>
      <c r="R307" s="1">
        <f>IF(ISNUMBER(B307),INT(B307)*10000000+IF(ISNUMBER(C307),ROUND(MOD(C307,1)*1440,0),0)*1000+ROW(),"")</f>
        <v/>
      </c>
      <c r="S307">
        <f>IF(ISNUMBER(B307),INT(B307)-WEEKDAY(B307,3),"")</f>
        <v/>
      </c>
      <c r="T307">
        <f>IF(ISNUMBER(B307),YEAR(B307)*100+MONTH(B307),"")</f>
        <v/>
      </c>
      <c r="U307">
        <f>IF(AND(ISNUMBER(B307),H307&lt;&gt;"Published"),IF(INT(B307)&gt;=TODAY(),R307,""),"")</f>
        <v/>
      </c>
      <c r="V307">
        <f>IF(AND(ISNUMBER(B307),OR(H307="Draft",H307="Scheduled")),IF(INT(B307)&lt;TODAY(),1,0),0)</f>
        <v/>
      </c>
      <c r="W307">
        <f>IF(AND(H307="Published",N(O307)&gt;0),IF(T307=(YEAR(TODAY())*100+MONTH(TODAY())),ROUND(O307,0)*1000+1000-ROW(),""),"")</f>
        <v/>
      </c>
    </row>
    <row r="308">
      <c r="A308" s="1" t="n"/>
      <c r="B308" s="21" t="n"/>
      <c r="C308" s="22" t="n"/>
      <c r="D308" s="23" t="n"/>
      <c r="E308" s="24" t="n"/>
      <c r="F308" s="23" t="n"/>
      <c r="G308" s="25" t="n"/>
      <c r="H308" s="24" t="n"/>
      <c r="I308" s="23" t="n"/>
      <c r="J308" s="26" t="n"/>
      <c r="K308" s="26" t="n"/>
      <c r="L308" s="26" t="n"/>
      <c r="M308" s="26" t="n"/>
      <c r="N308" s="26" t="n"/>
      <c r="O308" s="27">
        <f>IF(COUNT(K308:N308)=0,"",SUM(K308:N308))</f>
        <v/>
      </c>
      <c r="P308" s="16">
        <f>IF(OR(O308="",N(J308)&lt;=0),"",O308/J308)</f>
        <v/>
      </c>
      <c r="Q308" s="28">
        <f>IF(V308=1,"Late","")</f>
        <v/>
      </c>
      <c r="R308" s="1">
        <f>IF(ISNUMBER(B308),INT(B308)*10000000+IF(ISNUMBER(C308),ROUND(MOD(C308,1)*1440,0),0)*1000+ROW(),"")</f>
        <v/>
      </c>
      <c r="S308">
        <f>IF(ISNUMBER(B308),INT(B308)-WEEKDAY(B308,3),"")</f>
        <v/>
      </c>
      <c r="T308">
        <f>IF(ISNUMBER(B308),YEAR(B308)*100+MONTH(B308),"")</f>
        <v/>
      </c>
      <c r="U308">
        <f>IF(AND(ISNUMBER(B308),H308&lt;&gt;"Published"),IF(INT(B308)&gt;=TODAY(),R308,""),"")</f>
        <v/>
      </c>
      <c r="V308">
        <f>IF(AND(ISNUMBER(B308),OR(H308="Draft",H308="Scheduled")),IF(INT(B308)&lt;TODAY(),1,0),0)</f>
        <v/>
      </c>
      <c r="W308">
        <f>IF(AND(H308="Published",N(O308)&gt;0),IF(T308=(YEAR(TODAY())*100+MONTH(TODAY())),ROUND(O308,0)*1000+1000-ROW(),""),"")</f>
        <v/>
      </c>
    </row>
    <row r="309">
      <c r="A309" s="1" t="n"/>
      <c r="B309" s="21" t="n"/>
      <c r="C309" s="22" t="n"/>
      <c r="D309" s="23" t="n"/>
      <c r="E309" s="24" t="n"/>
      <c r="F309" s="23" t="n"/>
      <c r="G309" s="25" t="n"/>
      <c r="H309" s="24" t="n"/>
      <c r="I309" s="23" t="n"/>
      <c r="J309" s="26" t="n"/>
      <c r="K309" s="26" t="n"/>
      <c r="L309" s="26" t="n"/>
      <c r="M309" s="26" t="n"/>
      <c r="N309" s="26" t="n"/>
      <c r="O309" s="27">
        <f>IF(COUNT(K309:N309)=0,"",SUM(K309:N309))</f>
        <v/>
      </c>
      <c r="P309" s="16">
        <f>IF(OR(O309="",N(J309)&lt;=0),"",O309/J309)</f>
        <v/>
      </c>
      <c r="Q309" s="28">
        <f>IF(V309=1,"Late","")</f>
        <v/>
      </c>
      <c r="R309" s="1">
        <f>IF(ISNUMBER(B309),INT(B309)*10000000+IF(ISNUMBER(C309),ROUND(MOD(C309,1)*1440,0),0)*1000+ROW(),"")</f>
        <v/>
      </c>
      <c r="S309">
        <f>IF(ISNUMBER(B309),INT(B309)-WEEKDAY(B309,3),"")</f>
        <v/>
      </c>
      <c r="T309">
        <f>IF(ISNUMBER(B309),YEAR(B309)*100+MONTH(B309),"")</f>
        <v/>
      </c>
      <c r="U309">
        <f>IF(AND(ISNUMBER(B309),H309&lt;&gt;"Published"),IF(INT(B309)&gt;=TODAY(),R309,""),"")</f>
        <v/>
      </c>
      <c r="V309">
        <f>IF(AND(ISNUMBER(B309),OR(H309="Draft",H309="Scheduled")),IF(INT(B309)&lt;TODAY(),1,0),0)</f>
        <v/>
      </c>
      <c r="W309">
        <f>IF(AND(H309="Published",N(O309)&gt;0),IF(T309=(YEAR(TODAY())*100+MONTH(TODAY())),ROUND(O309,0)*1000+1000-ROW(),""),"")</f>
        <v/>
      </c>
    </row>
    <row r="310">
      <c r="A310" s="1" t="n"/>
      <c r="B310" s="21" t="n"/>
      <c r="C310" s="22" t="n"/>
      <c r="D310" s="23" t="n"/>
      <c r="E310" s="24" t="n"/>
      <c r="F310" s="23" t="n"/>
      <c r="G310" s="25" t="n"/>
      <c r="H310" s="24" t="n"/>
      <c r="I310" s="23" t="n"/>
      <c r="J310" s="26" t="n"/>
      <c r="K310" s="26" t="n"/>
      <c r="L310" s="26" t="n"/>
      <c r="M310" s="26" t="n"/>
      <c r="N310" s="26" t="n"/>
      <c r="O310" s="27">
        <f>IF(COUNT(K310:N310)=0,"",SUM(K310:N310))</f>
        <v/>
      </c>
      <c r="P310" s="16">
        <f>IF(OR(O310="",N(J310)&lt;=0),"",O310/J310)</f>
        <v/>
      </c>
      <c r="Q310" s="28">
        <f>IF(V310=1,"Late","")</f>
        <v/>
      </c>
      <c r="R310" s="1">
        <f>IF(ISNUMBER(B310),INT(B310)*10000000+IF(ISNUMBER(C310),ROUND(MOD(C310,1)*1440,0),0)*1000+ROW(),"")</f>
        <v/>
      </c>
      <c r="S310">
        <f>IF(ISNUMBER(B310),INT(B310)-WEEKDAY(B310,3),"")</f>
        <v/>
      </c>
      <c r="T310">
        <f>IF(ISNUMBER(B310),YEAR(B310)*100+MONTH(B310),"")</f>
        <v/>
      </c>
      <c r="U310">
        <f>IF(AND(ISNUMBER(B310),H310&lt;&gt;"Published"),IF(INT(B310)&gt;=TODAY(),R310,""),"")</f>
        <v/>
      </c>
      <c r="V310">
        <f>IF(AND(ISNUMBER(B310),OR(H310="Draft",H310="Scheduled")),IF(INT(B310)&lt;TODAY(),1,0),0)</f>
        <v/>
      </c>
      <c r="W310">
        <f>IF(AND(H310="Published",N(O310)&gt;0),IF(T310=(YEAR(TODAY())*100+MONTH(TODAY())),ROUND(O310,0)*1000+1000-ROW(),""),"")</f>
        <v/>
      </c>
    </row>
    <row r="311">
      <c r="A311" s="1" t="n"/>
      <c r="B311" s="21" t="n"/>
      <c r="C311" s="22" t="n"/>
      <c r="D311" s="23" t="n"/>
      <c r="E311" s="24" t="n"/>
      <c r="F311" s="23" t="n"/>
      <c r="G311" s="25" t="n"/>
      <c r="H311" s="24" t="n"/>
      <c r="I311" s="23" t="n"/>
      <c r="J311" s="26" t="n"/>
      <c r="K311" s="26" t="n"/>
      <c r="L311" s="26" t="n"/>
      <c r="M311" s="26" t="n"/>
      <c r="N311" s="26" t="n"/>
      <c r="O311" s="27">
        <f>IF(COUNT(K311:N311)=0,"",SUM(K311:N311))</f>
        <v/>
      </c>
      <c r="P311" s="16">
        <f>IF(OR(O311="",N(J311)&lt;=0),"",O311/J311)</f>
        <v/>
      </c>
      <c r="Q311" s="28">
        <f>IF(V311=1,"Late","")</f>
        <v/>
      </c>
      <c r="R311" s="1">
        <f>IF(ISNUMBER(B311),INT(B311)*10000000+IF(ISNUMBER(C311),ROUND(MOD(C311,1)*1440,0),0)*1000+ROW(),"")</f>
        <v/>
      </c>
      <c r="S311">
        <f>IF(ISNUMBER(B311),INT(B311)-WEEKDAY(B311,3),"")</f>
        <v/>
      </c>
      <c r="T311">
        <f>IF(ISNUMBER(B311),YEAR(B311)*100+MONTH(B311),"")</f>
        <v/>
      </c>
      <c r="U311">
        <f>IF(AND(ISNUMBER(B311),H311&lt;&gt;"Published"),IF(INT(B311)&gt;=TODAY(),R311,""),"")</f>
        <v/>
      </c>
      <c r="V311">
        <f>IF(AND(ISNUMBER(B311),OR(H311="Draft",H311="Scheduled")),IF(INT(B311)&lt;TODAY(),1,0),0)</f>
        <v/>
      </c>
      <c r="W311">
        <f>IF(AND(H311="Published",N(O311)&gt;0),IF(T311=(YEAR(TODAY())*100+MONTH(TODAY())),ROUND(O311,0)*1000+1000-ROW(),""),"")</f>
        <v/>
      </c>
    </row>
    <row r="312">
      <c r="A312" s="1" t="n"/>
      <c r="B312" s="21" t="n"/>
      <c r="C312" s="22" t="n"/>
      <c r="D312" s="23" t="n"/>
      <c r="E312" s="24" t="n"/>
      <c r="F312" s="23" t="n"/>
      <c r="G312" s="25" t="n"/>
      <c r="H312" s="24" t="n"/>
      <c r="I312" s="23" t="n"/>
      <c r="J312" s="26" t="n"/>
      <c r="K312" s="26" t="n"/>
      <c r="L312" s="26" t="n"/>
      <c r="M312" s="26" t="n"/>
      <c r="N312" s="26" t="n"/>
      <c r="O312" s="27">
        <f>IF(COUNT(K312:N312)=0,"",SUM(K312:N312))</f>
        <v/>
      </c>
      <c r="P312" s="16">
        <f>IF(OR(O312="",N(J312)&lt;=0),"",O312/J312)</f>
        <v/>
      </c>
      <c r="Q312" s="28">
        <f>IF(V312=1,"Late","")</f>
        <v/>
      </c>
      <c r="R312" s="1">
        <f>IF(ISNUMBER(B312),INT(B312)*10000000+IF(ISNUMBER(C312),ROUND(MOD(C312,1)*1440,0),0)*1000+ROW(),"")</f>
        <v/>
      </c>
      <c r="S312">
        <f>IF(ISNUMBER(B312),INT(B312)-WEEKDAY(B312,3),"")</f>
        <v/>
      </c>
      <c r="T312">
        <f>IF(ISNUMBER(B312),YEAR(B312)*100+MONTH(B312),"")</f>
        <v/>
      </c>
      <c r="U312">
        <f>IF(AND(ISNUMBER(B312),H312&lt;&gt;"Published"),IF(INT(B312)&gt;=TODAY(),R312,""),"")</f>
        <v/>
      </c>
      <c r="V312">
        <f>IF(AND(ISNUMBER(B312),OR(H312="Draft",H312="Scheduled")),IF(INT(B312)&lt;TODAY(),1,0),0)</f>
        <v/>
      </c>
      <c r="W312">
        <f>IF(AND(H312="Published",N(O312)&gt;0),IF(T312=(YEAR(TODAY())*100+MONTH(TODAY())),ROUND(O312,0)*1000+1000-ROW(),""),"")</f>
        <v/>
      </c>
    </row>
    <row r="313">
      <c r="A313" s="1" t="n"/>
      <c r="B313" s="21" t="n"/>
      <c r="C313" s="22" t="n"/>
      <c r="D313" s="23" t="n"/>
      <c r="E313" s="24" t="n"/>
      <c r="F313" s="23" t="n"/>
      <c r="G313" s="25" t="n"/>
      <c r="H313" s="24" t="n"/>
      <c r="I313" s="23" t="n"/>
      <c r="J313" s="26" t="n"/>
      <c r="K313" s="26" t="n"/>
      <c r="L313" s="26" t="n"/>
      <c r="M313" s="26" t="n"/>
      <c r="N313" s="26" t="n"/>
      <c r="O313" s="27">
        <f>IF(COUNT(K313:N313)=0,"",SUM(K313:N313))</f>
        <v/>
      </c>
      <c r="P313" s="16">
        <f>IF(OR(O313="",N(J313)&lt;=0),"",O313/J313)</f>
        <v/>
      </c>
      <c r="Q313" s="28">
        <f>IF(V313=1,"Late","")</f>
        <v/>
      </c>
      <c r="R313" s="1">
        <f>IF(ISNUMBER(B313),INT(B313)*10000000+IF(ISNUMBER(C313),ROUND(MOD(C313,1)*1440,0),0)*1000+ROW(),"")</f>
        <v/>
      </c>
      <c r="S313">
        <f>IF(ISNUMBER(B313),INT(B313)-WEEKDAY(B313,3),"")</f>
        <v/>
      </c>
      <c r="T313">
        <f>IF(ISNUMBER(B313),YEAR(B313)*100+MONTH(B313),"")</f>
        <v/>
      </c>
      <c r="U313">
        <f>IF(AND(ISNUMBER(B313),H313&lt;&gt;"Published"),IF(INT(B313)&gt;=TODAY(),R313,""),"")</f>
        <v/>
      </c>
      <c r="V313">
        <f>IF(AND(ISNUMBER(B313),OR(H313="Draft",H313="Scheduled")),IF(INT(B313)&lt;TODAY(),1,0),0)</f>
        <v/>
      </c>
      <c r="W313">
        <f>IF(AND(H313="Published",N(O313)&gt;0),IF(T313=(YEAR(TODAY())*100+MONTH(TODAY())),ROUND(O313,0)*1000+1000-ROW(),""),"")</f>
        <v/>
      </c>
    </row>
    <row r="314">
      <c r="A314" s="1" t="n"/>
      <c r="B314" s="21" t="n"/>
      <c r="C314" s="22" t="n"/>
      <c r="D314" s="23" t="n"/>
      <c r="E314" s="24" t="n"/>
      <c r="F314" s="23" t="n"/>
      <c r="G314" s="25" t="n"/>
      <c r="H314" s="24" t="n"/>
      <c r="I314" s="23" t="n"/>
      <c r="J314" s="26" t="n"/>
      <c r="K314" s="26" t="n"/>
      <c r="L314" s="26" t="n"/>
      <c r="M314" s="26" t="n"/>
      <c r="N314" s="26" t="n"/>
      <c r="O314" s="27">
        <f>IF(COUNT(K314:N314)=0,"",SUM(K314:N314))</f>
        <v/>
      </c>
      <c r="P314" s="16">
        <f>IF(OR(O314="",N(J314)&lt;=0),"",O314/J314)</f>
        <v/>
      </c>
      <c r="Q314" s="28">
        <f>IF(V314=1,"Late","")</f>
        <v/>
      </c>
      <c r="R314" s="1">
        <f>IF(ISNUMBER(B314),INT(B314)*10000000+IF(ISNUMBER(C314),ROUND(MOD(C314,1)*1440,0),0)*1000+ROW(),"")</f>
        <v/>
      </c>
      <c r="S314">
        <f>IF(ISNUMBER(B314),INT(B314)-WEEKDAY(B314,3),"")</f>
        <v/>
      </c>
      <c r="T314">
        <f>IF(ISNUMBER(B314),YEAR(B314)*100+MONTH(B314),"")</f>
        <v/>
      </c>
      <c r="U314">
        <f>IF(AND(ISNUMBER(B314),H314&lt;&gt;"Published"),IF(INT(B314)&gt;=TODAY(),R314,""),"")</f>
        <v/>
      </c>
      <c r="V314">
        <f>IF(AND(ISNUMBER(B314),OR(H314="Draft",H314="Scheduled")),IF(INT(B314)&lt;TODAY(),1,0),0)</f>
        <v/>
      </c>
      <c r="W314">
        <f>IF(AND(H314="Published",N(O314)&gt;0),IF(T314=(YEAR(TODAY())*100+MONTH(TODAY())),ROUND(O314,0)*1000+1000-ROW(),""),"")</f>
        <v/>
      </c>
    </row>
    <row r="315">
      <c r="A315" s="1" t="n"/>
      <c r="B315" s="21" t="n"/>
      <c r="C315" s="22" t="n"/>
      <c r="D315" s="23" t="n"/>
      <c r="E315" s="24" t="n"/>
      <c r="F315" s="23" t="n"/>
      <c r="G315" s="25" t="n"/>
      <c r="H315" s="24" t="n"/>
      <c r="I315" s="23" t="n"/>
      <c r="J315" s="26" t="n"/>
      <c r="K315" s="26" t="n"/>
      <c r="L315" s="26" t="n"/>
      <c r="M315" s="26" t="n"/>
      <c r="N315" s="26" t="n"/>
      <c r="O315" s="27">
        <f>IF(COUNT(K315:N315)=0,"",SUM(K315:N315))</f>
        <v/>
      </c>
      <c r="P315" s="16">
        <f>IF(OR(O315="",N(J315)&lt;=0),"",O315/J315)</f>
        <v/>
      </c>
      <c r="Q315" s="28">
        <f>IF(V315=1,"Late","")</f>
        <v/>
      </c>
      <c r="R315" s="1">
        <f>IF(ISNUMBER(B315),INT(B315)*10000000+IF(ISNUMBER(C315),ROUND(MOD(C315,1)*1440,0),0)*1000+ROW(),"")</f>
        <v/>
      </c>
      <c r="S315">
        <f>IF(ISNUMBER(B315),INT(B315)-WEEKDAY(B315,3),"")</f>
        <v/>
      </c>
      <c r="T315">
        <f>IF(ISNUMBER(B315),YEAR(B315)*100+MONTH(B315),"")</f>
        <v/>
      </c>
      <c r="U315">
        <f>IF(AND(ISNUMBER(B315),H315&lt;&gt;"Published"),IF(INT(B315)&gt;=TODAY(),R315,""),"")</f>
        <v/>
      </c>
      <c r="V315">
        <f>IF(AND(ISNUMBER(B315),OR(H315="Draft",H315="Scheduled")),IF(INT(B315)&lt;TODAY(),1,0),0)</f>
        <v/>
      </c>
      <c r="W315">
        <f>IF(AND(H315="Published",N(O315)&gt;0),IF(T315=(YEAR(TODAY())*100+MONTH(TODAY())),ROUND(O315,0)*1000+1000-ROW(),""),"")</f>
        <v/>
      </c>
    </row>
    <row r="316">
      <c r="A316" s="1" t="n"/>
      <c r="B316" s="21" t="n"/>
      <c r="C316" s="22" t="n"/>
      <c r="D316" s="23" t="n"/>
      <c r="E316" s="24" t="n"/>
      <c r="F316" s="23" t="n"/>
      <c r="G316" s="25" t="n"/>
      <c r="H316" s="24" t="n"/>
      <c r="I316" s="23" t="n"/>
      <c r="J316" s="26" t="n"/>
      <c r="K316" s="26" t="n"/>
      <c r="L316" s="26" t="n"/>
      <c r="M316" s="26" t="n"/>
      <c r="N316" s="26" t="n"/>
      <c r="O316" s="27">
        <f>IF(COUNT(K316:N316)=0,"",SUM(K316:N316))</f>
        <v/>
      </c>
      <c r="P316" s="16">
        <f>IF(OR(O316="",N(J316)&lt;=0),"",O316/J316)</f>
        <v/>
      </c>
      <c r="Q316" s="28">
        <f>IF(V316=1,"Late","")</f>
        <v/>
      </c>
      <c r="R316" s="1">
        <f>IF(ISNUMBER(B316),INT(B316)*10000000+IF(ISNUMBER(C316),ROUND(MOD(C316,1)*1440,0),0)*1000+ROW(),"")</f>
        <v/>
      </c>
      <c r="S316">
        <f>IF(ISNUMBER(B316),INT(B316)-WEEKDAY(B316,3),"")</f>
        <v/>
      </c>
      <c r="T316">
        <f>IF(ISNUMBER(B316),YEAR(B316)*100+MONTH(B316),"")</f>
        <v/>
      </c>
      <c r="U316">
        <f>IF(AND(ISNUMBER(B316),H316&lt;&gt;"Published"),IF(INT(B316)&gt;=TODAY(),R316,""),"")</f>
        <v/>
      </c>
      <c r="V316">
        <f>IF(AND(ISNUMBER(B316),OR(H316="Draft",H316="Scheduled")),IF(INT(B316)&lt;TODAY(),1,0),0)</f>
        <v/>
      </c>
      <c r="W316">
        <f>IF(AND(H316="Published",N(O316)&gt;0),IF(T316=(YEAR(TODAY())*100+MONTH(TODAY())),ROUND(O316,0)*1000+1000-ROW(),""),"")</f>
        <v/>
      </c>
    </row>
    <row r="317">
      <c r="A317" s="1" t="n"/>
      <c r="B317" s="21" t="n"/>
      <c r="C317" s="22" t="n"/>
      <c r="D317" s="23" t="n"/>
      <c r="E317" s="24" t="n"/>
      <c r="F317" s="23" t="n"/>
      <c r="G317" s="25" t="n"/>
      <c r="H317" s="24" t="n"/>
      <c r="I317" s="23" t="n"/>
      <c r="J317" s="26" t="n"/>
      <c r="K317" s="26" t="n"/>
      <c r="L317" s="26" t="n"/>
      <c r="M317" s="26" t="n"/>
      <c r="N317" s="26" t="n"/>
      <c r="O317" s="27">
        <f>IF(COUNT(K317:N317)=0,"",SUM(K317:N317))</f>
        <v/>
      </c>
      <c r="P317" s="16">
        <f>IF(OR(O317="",N(J317)&lt;=0),"",O317/J317)</f>
        <v/>
      </c>
      <c r="Q317" s="28">
        <f>IF(V317=1,"Late","")</f>
        <v/>
      </c>
      <c r="R317" s="1">
        <f>IF(ISNUMBER(B317),INT(B317)*10000000+IF(ISNUMBER(C317),ROUND(MOD(C317,1)*1440,0),0)*1000+ROW(),"")</f>
        <v/>
      </c>
      <c r="S317">
        <f>IF(ISNUMBER(B317),INT(B317)-WEEKDAY(B317,3),"")</f>
        <v/>
      </c>
      <c r="T317">
        <f>IF(ISNUMBER(B317),YEAR(B317)*100+MONTH(B317),"")</f>
        <v/>
      </c>
      <c r="U317">
        <f>IF(AND(ISNUMBER(B317),H317&lt;&gt;"Published"),IF(INT(B317)&gt;=TODAY(),R317,""),"")</f>
        <v/>
      </c>
      <c r="V317">
        <f>IF(AND(ISNUMBER(B317),OR(H317="Draft",H317="Scheduled")),IF(INT(B317)&lt;TODAY(),1,0),0)</f>
        <v/>
      </c>
      <c r="W317">
        <f>IF(AND(H317="Published",N(O317)&gt;0),IF(T317=(YEAR(TODAY())*100+MONTH(TODAY())),ROUND(O317,0)*1000+1000-ROW(),""),"")</f>
        <v/>
      </c>
    </row>
    <row r="318">
      <c r="A318" s="1" t="n"/>
      <c r="B318" s="21" t="n"/>
      <c r="C318" s="22" t="n"/>
      <c r="D318" s="23" t="n"/>
      <c r="E318" s="24" t="n"/>
      <c r="F318" s="23" t="n"/>
      <c r="G318" s="25" t="n"/>
      <c r="H318" s="24" t="n"/>
      <c r="I318" s="23" t="n"/>
      <c r="J318" s="26" t="n"/>
      <c r="K318" s="26" t="n"/>
      <c r="L318" s="26" t="n"/>
      <c r="M318" s="26" t="n"/>
      <c r="N318" s="26" t="n"/>
      <c r="O318" s="27">
        <f>IF(COUNT(K318:N318)=0,"",SUM(K318:N318))</f>
        <v/>
      </c>
      <c r="P318" s="16">
        <f>IF(OR(O318="",N(J318)&lt;=0),"",O318/J318)</f>
        <v/>
      </c>
      <c r="Q318" s="28">
        <f>IF(V318=1,"Late","")</f>
        <v/>
      </c>
      <c r="R318" s="1">
        <f>IF(ISNUMBER(B318),INT(B318)*10000000+IF(ISNUMBER(C318),ROUND(MOD(C318,1)*1440,0),0)*1000+ROW(),"")</f>
        <v/>
      </c>
      <c r="S318">
        <f>IF(ISNUMBER(B318),INT(B318)-WEEKDAY(B318,3),"")</f>
        <v/>
      </c>
      <c r="T318">
        <f>IF(ISNUMBER(B318),YEAR(B318)*100+MONTH(B318),"")</f>
        <v/>
      </c>
      <c r="U318">
        <f>IF(AND(ISNUMBER(B318),H318&lt;&gt;"Published"),IF(INT(B318)&gt;=TODAY(),R318,""),"")</f>
        <v/>
      </c>
      <c r="V318">
        <f>IF(AND(ISNUMBER(B318),OR(H318="Draft",H318="Scheduled")),IF(INT(B318)&lt;TODAY(),1,0),0)</f>
        <v/>
      </c>
      <c r="W318">
        <f>IF(AND(H318="Published",N(O318)&gt;0),IF(T318=(YEAR(TODAY())*100+MONTH(TODAY())),ROUND(O318,0)*1000+1000-ROW(),""),"")</f>
        <v/>
      </c>
    </row>
    <row r="319">
      <c r="A319" s="1" t="n"/>
      <c r="B319" s="21" t="n"/>
      <c r="C319" s="22" t="n"/>
      <c r="D319" s="23" t="n"/>
      <c r="E319" s="24" t="n"/>
      <c r="F319" s="23" t="n"/>
      <c r="G319" s="25" t="n"/>
      <c r="H319" s="24" t="n"/>
      <c r="I319" s="23" t="n"/>
      <c r="J319" s="26" t="n"/>
      <c r="K319" s="26" t="n"/>
      <c r="L319" s="26" t="n"/>
      <c r="M319" s="26" t="n"/>
      <c r="N319" s="26" t="n"/>
      <c r="O319" s="27">
        <f>IF(COUNT(K319:N319)=0,"",SUM(K319:N319))</f>
        <v/>
      </c>
      <c r="P319" s="16">
        <f>IF(OR(O319="",N(J319)&lt;=0),"",O319/J319)</f>
        <v/>
      </c>
      <c r="Q319" s="28">
        <f>IF(V319=1,"Late","")</f>
        <v/>
      </c>
      <c r="R319" s="1">
        <f>IF(ISNUMBER(B319),INT(B319)*10000000+IF(ISNUMBER(C319),ROUND(MOD(C319,1)*1440,0),0)*1000+ROW(),"")</f>
        <v/>
      </c>
      <c r="S319">
        <f>IF(ISNUMBER(B319),INT(B319)-WEEKDAY(B319,3),"")</f>
        <v/>
      </c>
      <c r="T319">
        <f>IF(ISNUMBER(B319),YEAR(B319)*100+MONTH(B319),"")</f>
        <v/>
      </c>
      <c r="U319">
        <f>IF(AND(ISNUMBER(B319),H319&lt;&gt;"Published"),IF(INT(B319)&gt;=TODAY(),R319,""),"")</f>
        <v/>
      </c>
      <c r="V319">
        <f>IF(AND(ISNUMBER(B319),OR(H319="Draft",H319="Scheduled")),IF(INT(B319)&lt;TODAY(),1,0),0)</f>
        <v/>
      </c>
      <c r="W319">
        <f>IF(AND(H319="Published",N(O319)&gt;0),IF(T319=(YEAR(TODAY())*100+MONTH(TODAY())),ROUND(O319,0)*1000+1000-ROW(),""),"")</f>
        <v/>
      </c>
    </row>
    <row r="320">
      <c r="A320" s="1" t="n"/>
      <c r="B320" s="21" t="n"/>
      <c r="C320" s="22" t="n"/>
      <c r="D320" s="23" t="n"/>
      <c r="E320" s="24" t="n"/>
      <c r="F320" s="23" t="n"/>
      <c r="G320" s="25" t="n"/>
      <c r="H320" s="24" t="n"/>
      <c r="I320" s="23" t="n"/>
      <c r="J320" s="26" t="n"/>
      <c r="K320" s="26" t="n"/>
      <c r="L320" s="26" t="n"/>
      <c r="M320" s="26" t="n"/>
      <c r="N320" s="26" t="n"/>
      <c r="O320" s="27">
        <f>IF(COUNT(K320:N320)=0,"",SUM(K320:N320))</f>
        <v/>
      </c>
      <c r="P320" s="16">
        <f>IF(OR(O320="",N(J320)&lt;=0),"",O320/J320)</f>
        <v/>
      </c>
      <c r="Q320" s="28">
        <f>IF(V320=1,"Late","")</f>
        <v/>
      </c>
      <c r="R320" s="1">
        <f>IF(ISNUMBER(B320),INT(B320)*10000000+IF(ISNUMBER(C320),ROUND(MOD(C320,1)*1440,0),0)*1000+ROW(),"")</f>
        <v/>
      </c>
      <c r="S320">
        <f>IF(ISNUMBER(B320),INT(B320)-WEEKDAY(B320,3),"")</f>
        <v/>
      </c>
      <c r="T320">
        <f>IF(ISNUMBER(B320),YEAR(B320)*100+MONTH(B320),"")</f>
        <v/>
      </c>
      <c r="U320">
        <f>IF(AND(ISNUMBER(B320),H320&lt;&gt;"Published"),IF(INT(B320)&gt;=TODAY(),R320,""),"")</f>
        <v/>
      </c>
      <c r="V320">
        <f>IF(AND(ISNUMBER(B320),OR(H320="Draft",H320="Scheduled")),IF(INT(B320)&lt;TODAY(),1,0),0)</f>
        <v/>
      </c>
      <c r="W320">
        <f>IF(AND(H320="Published",N(O320)&gt;0),IF(T320=(YEAR(TODAY())*100+MONTH(TODAY())),ROUND(O320,0)*1000+1000-ROW(),""),"")</f>
        <v/>
      </c>
    </row>
    <row r="321">
      <c r="A321" s="1" t="n"/>
      <c r="B321" s="21" t="n"/>
      <c r="C321" s="22" t="n"/>
      <c r="D321" s="23" t="n"/>
      <c r="E321" s="24" t="n"/>
      <c r="F321" s="23" t="n"/>
      <c r="G321" s="25" t="n"/>
      <c r="H321" s="24" t="n"/>
      <c r="I321" s="23" t="n"/>
      <c r="J321" s="26" t="n"/>
      <c r="K321" s="26" t="n"/>
      <c r="L321" s="26" t="n"/>
      <c r="M321" s="26" t="n"/>
      <c r="N321" s="26" t="n"/>
      <c r="O321" s="27">
        <f>IF(COUNT(K321:N321)=0,"",SUM(K321:N321))</f>
        <v/>
      </c>
      <c r="P321" s="16">
        <f>IF(OR(O321="",N(J321)&lt;=0),"",O321/J321)</f>
        <v/>
      </c>
      <c r="Q321" s="28">
        <f>IF(V321=1,"Late","")</f>
        <v/>
      </c>
      <c r="R321" s="1">
        <f>IF(ISNUMBER(B321),INT(B321)*10000000+IF(ISNUMBER(C321),ROUND(MOD(C321,1)*1440,0),0)*1000+ROW(),"")</f>
        <v/>
      </c>
      <c r="S321">
        <f>IF(ISNUMBER(B321),INT(B321)-WEEKDAY(B321,3),"")</f>
        <v/>
      </c>
      <c r="T321">
        <f>IF(ISNUMBER(B321),YEAR(B321)*100+MONTH(B321),"")</f>
        <v/>
      </c>
      <c r="U321">
        <f>IF(AND(ISNUMBER(B321),H321&lt;&gt;"Published"),IF(INT(B321)&gt;=TODAY(),R321,""),"")</f>
        <v/>
      </c>
      <c r="V321">
        <f>IF(AND(ISNUMBER(B321),OR(H321="Draft",H321="Scheduled")),IF(INT(B321)&lt;TODAY(),1,0),0)</f>
        <v/>
      </c>
      <c r="W321">
        <f>IF(AND(H321="Published",N(O321)&gt;0),IF(T321=(YEAR(TODAY())*100+MONTH(TODAY())),ROUND(O321,0)*1000+1000-ROW(),""),"")</f>
        <v/>
      </c>
    </row>
    <row r="322">
      <c r="A322" s="1" t="n"/>
      <c r="B322" s="21" t="n"/>
      <c r="C322" s="22" t="n"/>
      <c r="D322" s="23" t="n"/>
      <c r="E322" s="24" t="n"/>
      <c r="F322" s="23" t="n"/>
      <c r="G322" s="25" t="n"/>
      <c r="H322" s="24" t="n"/>
      <c r="I322" s="23" t="n"/>
      <c r="J322" s="26" t="n"/>
      <c r="K322" s="26" t="n"/>
      <c r="L322" s="26" t="n"/>
      <c r="M322" s="26" t="n"/>
      <c r="N322" s="26" t="n"/>
      <c r="O322" s="27">
        <f>IF(COUNT(K322:N322)=0,"",SUM(K322:N322))</f>
        <v/>
      </c>
      <c r="P322" s="16">
        <f>IF(OR(O322="",N(J322)&lt;=0),"",O322/J322)</f>
        <v/>
      </c>
      <c r="Q322" s="28">
        <f>IF(V322=1,"Late","")</f>
        <v/>
      </c>
      <c r="R322" s="1">
        <f>IF(ISNUMBER(B322),INT(B322)*10000000+IF(ISNUMBER(C322),ROUND(MOD(C322,1)*1440,0),0)*1000+ROW(),"")</f>
        <v/>
      </c>
      <c r="S322">
        <f>IF(ISNUMBER(B322),INT(B322)-WEEKDAY(B322,3),"")</f>
        <v/>
      </c>
      <c r="T322">
        <f>IF(ISNUMBER(B322),YEAR(B322)*100+MONTH(B322),"")</f>
        <v/>
      </c>
      <c r="U322">
        <f>IF(AND(ISNUMBER(B322),H322&lt;&gt;"Published"),IF(INT(B322)&gt;=TODAY(),R322,""),"")</f>
        <v/>
      </c>
      <c r="V322">
        <f>IF(AND(ISNUMBER(B322),OR(H322="Draft",H322="Scheduled")),IF(INT(B322)&lt;TODAY(),1,0),0)</f>
        <v/>
      </c>
      <c r="W322">
        <f>IF(AND(H322="Published",N(O322)&gt;0),IF(T322=(YEAR(TODAY())*100+MONTH(TODAY())),ROUND(O322,0)*1000+1000-ROW(),""),"")</f>
        <v/>
      </c>
    </row>
    <row r="323">
      <c r="A323" s="1" t="n"/>
      <c r="B323" s="21" t="n"/>
      <c r="C323" s="22" t="n"/>
      <c r="D323" s="23" t="n"/>
      <c r="E323" s="24" t="n"/>
      <c r="F323" s="23" t="n"/>
      <c r="G323" s="25" t="n"/>
      <c r="H323" s="24" t="n"/>
      <c r="I323" s="23" t="n"/>
      <c r="J323" s="26" t="n"/>
      <c r="K323" s="26" t="n"/>
      <c r="L323" s="26" t="n"/>
      <c r="M323" s="26" t="n"/>
      <c r="N323" s="26" t="n"/>
      <c r="O323" s="27">
        <f>IF(COUNT(K323:N323)=0,"",SUM(K323:N323))</f>
        <v/>
      </c>
      <c r="P323" s="16">
        <f>IF(OR(O323="",N(J323)&lt;=0),"",O323/J323)</f>
        <v/>
      </c>
      <c r="Q323" s="28">
        <f>IF(V323=1,"Late","")</f>
        <v/>
      </c>
      <c r="R323" s="1">
        <f>IF(ISNUMBER(B323),INT(B323)*10000000+IF(ISNUMBER(C323),ROUND(MOD(C323,1)*1440,0),0)*1000+ROW(),"")</f>
        <v/>
      </c>
      <c r="S323">
        <f>IF(ISNUMBER(B323),INT(B323)-WEEKDAY(B323,3),"")</f>
        <v/>
      </c>
      <c r="T323">
        <f>IF(ISNUMBER(B323),YEAR(B323)*100+MONTH(B323),"")</f>
        <v/>
      </c>
      <c r="U323">
        <f>IF(AND(ISNUMBER(B323),H323&lt;&gt;"Published"),IF(INT(B323)&gt;=TODAY(),R323,""),"")</f>
        <v/>
      </c>
      <c r="V323">
        <f>IF(AND(ISNUMBER(B323),OR(H323="Draft",H323="Scheduled")),IF(INT(B323)&lt;TODAY(),1,0),0)</f>
        <v/>
      </c>
      <c r="W323">
        <f>IF(AND(H323="Published",N(O323)&gt;0),IF(T323=(YEAR(TODAY())*100+MONTH(TODAY())),ROUND(O323,0)*1000+1000-ROW(),""),"")</f>
        <v/>
      </c>
    </row>
    <row r="324">
      <c r="A324" s="1" t="n"/>
      <c r="B324" s="21" t="n"/>
      <c r="C324" s="22" t="n"/>
      <c r="D324" s="23" t="n"/>
      <c r="E324" s="24" t="n"/>
      <c r="F324" s="23" t="n"/>
      <c r="G324" s="25" t="n"/>
      <c r="H324" s="24" t="n"/>
      <c r="I324" s="23" t="n"/>
      <c r="J324" s="26" t="n"/>
      <c r="K324" s="26" t="n"/>
      <c r="L324" s="26" t="n"/>
      <c r="M324" s="26" t="n"/>
      <c r="N324" s="26" t="n"/>
      <c r="O324" s="27">
        <f>IF(COUNT(K324:N324)=0,"",SUM(K324:N324))</f>
        <v/>
      </c>
      <c r="P324" s="16">
        <f>IF(OR(O324="",N(J324)&lt;=0),"",O324/J324)</f>
        <v/>
      </c>
      <c r="Q324" s="28">
        <f>IF(V324=1,"Late","")</f>
        <v/>
      </c>
      <c r="R324" s="1">
        <f>IF(ISNUMBER(B324),INT(B324)*10000000+IF(ISNUMBER(C324),ROUND(MOD(C324,1)*1440,0),0)*1000+ROW(),"")</f>
        <v/>
      </c>
      <c r="S324">
        <f>IF(ISNUMBER(B324),INT(B324)-WEEKDAY(B324,3),"")</f>
        <v/>
      </c>
      <c r="T324">
        <f>IF(ISNUMBER(B324),YEAR(B324)*100+MONTH(B324),"")</f>
        <v/>
      </c>
      <c r="U324">
        <f>IF(AND(ISNUMBER(B324),H324&lt;&gt;"Published"),IF(INT(B324)&gt;=TODAY(),R324,""),"")</f>
        <v/>
      </c>
      <c r="V324">
        <f>IF(AND(ISNUMBER(B324),OR(H324="Draft",H324="Scheduled")),IF(INT(B324)&lt;TODAY(),1,0),0)</f>
        <v/>
      </c>
      <c r="W324">
        <f>IF(AND(H324="Published",N(O324)&gt;0),IF(T324=(YEAR(TODAY())*100+MONTH(TODAY())),ROUND(O324,0)*1000+1000-ROW(),""),"")</f>
        <v/>
      </c>
    </row>
    <row r="325">
      <c r="A325" s="1" t="n"/>
      <c r="B325" s="21" t="n"/>
      <c r="C325" s="22" t="n"/>
      <c r="D325" s="23" t="n"/>
      <c r="E325" s="24" t="n"/>
      <c r="F325" s="23" t="n"/>
      <c r="G325" s="25" t="n"/>
      <c r="H325" s="24" t="n"/>
      <c r="I325" s="23" t="n"/>
      <c r="J325" s="26" t="n"/>
      <c r="K325" s="26" t="n"/>
      <c r="L325" s="26" t="n"/>
      <c r="M325" s="26" t="n"/>
      <c r="N325" s="26" t="n"/>
      <c r="O325" s="27">
        <f>IF(COUNT(K325:N325)=0,"",SUM(K325:N325))</f>
        <v/>
      </c>
      <c r="P325" s="16">
        <f>IF(OR(O325="",N(J325)&lt;=0),"",O325/J325)</f>
        <v/>
      </c>
      <c r="Q325" s="28">
        <f>IF(V325=1,"Late","")</f>
        <v/>
      </c>
      <c r="R325" s="1">
        <f>IF(ISNUMBER(B325),INT(B325)*10000000+IF(ISNUMBER(C325),ROUND(MOD(C325,1)*1440,0),0)*1000+ROW(),"")</f>
        <v/>
      </c>
      <c r="S325">
        <f>IF(ISNUMBER(B325),INT(B325)-WEEKDAY(B325,3),"")</f>
        <v/>
      </c>
      <c r="T325">
        <f>IF(ISNUMBER(B325),YEAR(B325)*100+MONTH(B325),"")</f>
        <v/>
      </c>
      <c r="U325">
        <f>IF(AND(ISNUMBER(B325),H325&lt;&gt;"Published"),IF(INT(B325)&gt;=TODAY(),R325,""),"")</f>
        <v/>
      </c>
      <c r="V325">
        <f>IF(AND(ISNUMBER(B325),OR(H325="Draft",H325="Scheduled")),IF(INT(B325)&lt;TODAY(),1,0),0)</f>
        <v/>
      </c>
      <c r="W325">
        <f>IF(AND(H325="Published",N(O325)&gt;0),IF(T325=(YEAR(TODAY())*100+MONTH(TODAY())),ROUND(O325,0)*1000+1000-ROW(),""),"")</f>
        <v/>
      </c>
    </row>
    <row r="326">
      <c r="A326" s="1" t="n"/>
      <c r="B326" s="21" t="n"/>
      <c r="C326" s="22" t="n"/>
      <c r="D326" s="23" t="n"/>
      <c r="E326" s="24" t="n"/>
      <c r="F326" s="23" t="n"/>
      <c r="G326" s="25" t="n"/>
      <c r="H326" s="24" t="n"/>
      <c r="I326" s="23" t="n"/>
      <c r="J326" s="26" t="n"/>
      <c r="K326" s="26" t="n"/>
      <c r="L326" s="26" t="n"/>
      <c r="M326" s="26" t="n"/>
      <c r="N326" s="26" t="n"/>
      <c r="O326" s="27">
        <f>IF(COUNT(K326:N326)=0,"",SUM(K326:N326))</f>
        <v/>
      </c>
      <c r="P326" s="16">
        <f>IF(OR(O326="",N(J326)&lt;=0),"",O326/J326)</f>
        <v/>
      </c>
      <c r="Q326" s="28">
        <f>IF(V326=1,"Late","")</f>
        <v/>
      </c>
      <c r="R326" s="1">
        <f>IF(ISNUMBER(B326),INT(B326)*10000000+IF(ISNUMBER(C326),ROUND(MOD(C326,1)*1440,0),0)*1000+ROW(),"")</f>
        <v/>
      </c>
      <c r="S326">
        <f>IF(ISNUMBER(B326),INT(B326)-WEEKDAY(B326,3),"")</f>
        <v/>
      </c>
      <c r="T326">
        <f>IF(ISNUMBER(B326),YEAR(B326)*100+MONTH(B326),"")</f>
        <v/>
      </c>
      <c r="U326">
        <f>IF(AND(ISNUMBER(B326),H326&lt;&gt;"Published"),IF(INT(B326)&gt;=TODAY(),R326,""),"")</f>
        <v/>
      </c>
      <c r="V326">
        <f>IF(AND(ISNUMBER(B326),OR(H326="Draft",H326="Scheduled")),IF(INT(B326)&lt;TODAY(),1,0),0)</f>
        <v/>
      </c>
      <c r="W326">
        <f>IF(AND(H326="Published",N(O326)&gt;0),IF(T326=(YEAR(TODAY())*100+MONTH(TODAY())),ROUND(O326,0)*1000+1000-ROW(),""),"")</f>
        <v/>
      </c>
    </row>
    <row r="327">
      <c r="A327" s="1" t="n"/>
      <c r="B327" s="21" t="n"/>
      <c r="C327" s="22" t="n"/>
      <c r="D327" s="23" t="n"/>
      <c r="E327" s="24" t="n"/>
      <c r="F327" s="23" t="n"/>
      <c r="G327" s="25" t="n"/>
      <c r="H327" s="24" t="n"/>
      <c r="I327" s="23" t="n"/>
      <c r="J327" s="26" t="n"/>
      <c r="K327" s="26" t="n"/>
      <c r="L327" s="26" t="n"/>
      <c r="M327" s="26" t="n"/>
      <c r="N327" s="26" t="n"/>
      <c r="O327" s="27">
        <f>IF(COUNT(K327:N327)=0,"",SUM(K327:N327))</f>
        <v/>
      </c>
      <c r="P327" s="16">
        <f>IF(OR(O327="",N(J327)&lt;=0),"",O327/J327)</f>
        <v/>
      </c>
      <c r="Q327" s="28">
        <f>IF(V327=1,"Late","")</f>
        <v/>
      </c>
      <c r="R327" s="1">
        <f>IF(ISNUMBER(B327),INT(B327)*10000000+IF(ISNUMBER(C327),ROUND(MOD(C327,1)*1440,0),0)*1000+ROW(),"")</f>
        <v/>
      </c>
      <c r="S327">
        <f>IF(ISNUMBER(B327),INT(B327)-WEEKDAY(B327,3),"")</f>
        <v/>
      </c>
      <c r="T327">
        <f>IF(ISNUMBER(B327),YEAR(B327)*100+MONTH(B327),"")</f>
        <v/>
      </c>
      <c r="U327">
        <f>IF(AND(ISNUMBER(B327),H327&lt;&gt;"Published"),IF(INT(B327)&gt;=TODAY(),R327,""),"")</f>
        <v/>
      </c>
      <c r="V327">
        <f>IF(AND(ISNUMBER(B327),OR(H327="Draft",H327="Scheduled")),IF(INT(B327)&lt;TODAY(),1,0),0)</f>
        <v/>
      </c>
      <c r="W327">
        <f>IF(AND(H327="Published",N(O327)&gt;0),IF(T327=(YEAR(TODAY())*100+MONTH(TODAY())),ROUND(O327,0)*1000+1000-ROW(),""),"")</f>
        <v/>
      </c>
    </row>
    <row r="328">
      <c r="A328" s="1" t="n"/>
      <c r="B328" s="21" t="n"/>
      <c r="C328" s="22" t="n"/>
      <c r="D328" s="23" t="n"/>
      <c r="E328" s="24" t="n"/>
      <c r="F328" s="23" t="n"/>
      <c r="G328" s="25" t="n"/>
      <c r="H328" s="24" t="n"/>
      <c r="I328" s="23" t="n"/>
      <c r="J328" s="26" t="n"/>
      <c r="K328" s="26" t="n"/>
      <c r="L328" s="26" t="n"/>
      <c r="M328" s="26" t="n"/>
      <c r="N328" s="26" t="n"/>
      <c r="O328" s="27">
        <f>IF(COUNT(K328:N328)=0,"",SUM(K328:N328))</f>
        <v/>
      </c>
      <c r="P328" s="16">
        <f>IF(OR(O328="",N(J328)&lt;=0),"",O328/J328)</f>
        <v/>
      </c>
      <c r="Q328" s="28">
        <f>IF(V328=1,"Late","")</f>
        <v/>
      </c>
      <c r="R328" s="1">
        <f>IF(ISNUMBER(B328),INT(B328)*10000000+IF(ISNUMBER(C328),ROUND(MOD(C328,1)*1440,0),0)*1000+ROW(),"")</f>
        <v/>
      </c>
      <c r="S328">
        <f>IF(ISNUMBER(B328),INT(B328)-WEEKDAY(B328,3),"")</f>
        <v/>
      </c>
      <c r="T328">
        <f>IF(ISNUMBER(B328),YEAR(B328)*100+MONTH(B328),"")</f>
        <v/>
      </c>
      <c r="U328">
        <f>IF(AND(ISNUMBER(B328),H328&lt;&gt;"Published"),IF(INT(B328)&gt;=TODAY(),R328,""),"")</f>
        <v/>
      </c>
      <c r="V328">
        <f>IF(AND(ISNUMBER(B328),OR(H328="Draft",H328="Scheduled")),IF(INT(B328)&lt;TODAY(),1,0),0)</f>
        <v/>
      </c>
      <c r="W328">
        <f>IF(AND(H328="Published",N(O328)&gt;0),IF(T328=(YEAR(TODAY())*100+MONTH(TODAY())),ROUND(O328,0)*1000+1000-ROW(),""),"")</f>
        <v/>
      </c>
    </row>
    <row r="329">
      <c r="A329" s="1" t="n"/>
      <c r="B329" s="21" t="n"/>
      <c r="C329" s="22" t="n"/>
      <c r="D329" s="23" t="n"/>
      <c r="E329" s="24" t="n"/>
      <c r="F329" s="23" t="n"/>
      <c r="G329" s="25" t="n"/>
      <c r="H329" s="24" t="n"/>
      <c r="I329" s="23" t="n"/>
      <c r="J329" s="26" t="n"/>
      <c r="K329" s="26" t="n"/>
      <c r="L329" s="26" t="n"/>
      <c r="M329" s="26" t="n"/>
      <c r="N329" s="26" t="n"/>
      <c r="O329" s="27">
        <f>IF(COUNT(K329:N329)=0,"",SUM(K329:N329))</f>
        <v/>
      </c>
      <c r="P329" s="16">
        <f>IF(OR(O329="",N(J329)&lt;=0),"",O329/J329)</f>
        <v/>
      </c>
      <c r="Q329" s="28">
        <f>IF(V329=1,"Late","")</f>
        <v/>
      </c>
      <c r="R329" s="1">
        <f>IF(ISNUMBER(B329),INT(B329)*10000000+IF(ISNUMBER(C329),ROUND(MOD(C329,1)*1440,0),0)*1000+ROW(),"")</f>
        <v/>
      </c>
      <c r="S329">
        <f>IF(ISNUMBER(B329),INT(B329)-WEEKDAY(B329,3),"")</f>
        <v/>
      </c>
      <c r="T329">
        <f>IF(ISNUMBER(B329),YEAR(B329)*100+MONTH(B329),"")</f>
        <v/>
      </c>
      <c r="U329">
        <f>IF(AND(ISNUMBER(B329),H329&lt;&gt;"Published"),IF(INT(B329)&gt;=TODAY(),R329,""),"")</f>
        <v/>
      </c>
      <c r="V329">
        <f>IF(AND(ISNUMBER(B329),OR(H329="Draft",H329="Scheduled")),IF(INT(B329)&lt;TODAY(),1,0),0)</f>
        <v/>
      </c>
      <c r="W329">
        <f>IF(AND(H329="Published",N(O329)&gt;0),IF(T329=(YEAR(TODAY())*100+MONTH(TODAY())),ROUND(O329,0)*1000+1000-ROW(),""),"")</f>
        <v/>
      </c>
    </row>
    <row r="330">
      <c r="A330" s="1" t="n"/>
      <c r="B330" s="21" t="n"/>
      <c r="C330" s="22" t="n"/>
      <c r="D330" s="23" t="n"/>
      <c r="E330" s="24" t="n"/>
      <c r="F330" s="23" t="n"/>
      <c r="G330" s="25" t="n"/>
      <c r="H330" s="24" t="n"/>
      <c r="I330" s="23" t="n"/>
      <c r="J330" s="26" t="n"/>
      <c r="K330" s="26" t="n"/>
      <c r="L330" s="26" t="n"/>
      <c r="M330" s="26" t="n"/>
      <c r="N330" s="26" t="n"/>
      <c r="O330" s="27">
        <f>IF(COUNT(K330:N330)=0,"",SUM(K330:N330))</f>
        <v/>
      </c>
      <c r="P330" s="16">
        <f>IF(OR(O330="",N(J330)&lt;=0),"",O330/J330)</f>
        <v/>
      </c>
      <c r="Q330" s="28">
        <f>IF(V330=1,"Late","")</f>
        <v/>
      </c>
      <c r="R330" s="1">
        <f>IF(ISNUMBER(B330),INT(B330)*10000000+IF(ISNUMBER(C330),ROUND(MOD(C330,1)*1440,0),0)*1000+ROW(),"")</f>
        <v/>
      </c>
      <c r="S330">
        <f>IF(ISNUMBER(B330),INT(B330)-WEEKDAY(B330,3),"")</f>
        <v/>
      </c>
      <c r="T330">
        <f>IF(ISNUMBER(B330),YEAR(B330)*100+MONTH(B330),"")</f>
        <v/>
      </c>
      <c r="U330">
        <f>IF(AND(ISNUMBER(B330),H330&lt;&gt;"Published"),IF(INT(B330)&gt;=TODAY(),R330,""),"")</f>
        <v/>
      </c>
      <c r="V330">
        <f>IF(AND(ISNUMBER(B330),OR(H330="Draft",H330="Scheduled")),IF(INT(B330)&lt;TODAY(),1,0),0)</f>
        <v/>
      </c>
      <c r="W330">
        <f>IF(AND(H330="Published",N(O330)&gt;0),IF(T330=(YEAR(TODAY())*100+MONTH(TODAY())),ROUND(O330,0)*1000+1000-ROW(),""),"")</f>
        <v/>
      </c>
    </row>
    <row r="331">
      <c r="A331" s="1" t="n"/>
      <c r="B331" s="21" t="n"/>
      <c r="C331" s="22" t="n"/>
      <c r="D331" s="23" t="n"/>
      <c r="E331" s="24" t="n"/>
      <c r="F331" s="23" t="n"/>
      <c r="G331" s="25" t="n"/>
      <c r="H331" s="24" t="n"/>
      <c r="I331" s="23" t="n"/>
      <c r="J331" s="26" t="n"/>
      <c r="K331" s="26" t="n"/>
      <c r="L331" s="26" t="n"/>
      <c r="M331" s="26" t="n"/>
      <c r="N331" s="26" t="n"/>
      <c r="O331" s="27">
        <f>IF(COUNT(K331:N331)=0,"",SUM(K331:N331))</f>
        <v/>
      </c>
      <c r="P331" s="16">
        <f>IF(OR(O331="",N(J331)&lt;=0),"",O331/J331)</f>
        <v/>
      </c>
      <c r="Q331" s="28">
        <f>IF(V331=1,"Late","")</f>
        <v/>
      </c>
      <c r="R331" s="1">
        <f>IF(ISNUMBER(B331),INT(B331)*10000000+IF(ISNUMBER(C331),ROUND(MOD(C331,1)*1440,0),0)*1000+ROW(),"")</f>
        <v/>
      </c>
      <c r="S331">
        <f>IF(ISNUMBER(B331),INT(B331)-WEEKDAY(B331,3),"")</f>
        <v/>
      </c>
      <c r="T331">
        <f>IF(ISNUMBER(B331),YEAR(B331)*100+MONTH(B331),"")</f>
        <v/>
      </c>
      <c r="U331">
        <f>IF(AND(ISNUMBER(B331),H331&lt;&gt;"Published"),IF(INT(B331)&gt;=TODAY(),R331,""),"")</f>
        <v/>
      </c>
      <c r="V331">
        <f>IF(AND(ISNUMBER(B331),OR(H331="Draft",H331="Scheduled")),IF(INT(B331)&lt;TODAY(),1,0),0)</f>
        <v/>
      </c>
      <c r="W331">
        <f>IF(AND(H331="Published",N(O331)&gt;0),IF(T331=(YEAR(TODAY())*100+MONTH(TODAY())),ROUND(O331,0)*1000+1000-ROW(),""),"")</f>
        <v/>
      </c>
    </row>
    <row r="332">
      <c r="A332" s="1" t="n"/>
      <c r="B332" s="21" t="n"/>
      <c r="C332" s="22" t="n"/>
      <c r="D332" s="23" t="n"/>
      <c r="E332" s="24" t="n"/>
      <c r="F332" s="23" t="n"/>
      <c r="G332" s="25" t="n"/>
      <c r="H332" s="24" t="n"/>
      <c r="I332" s="23" t="n"/>
      <c r="J332" s="26" t="n"/>
      <c r="K332" s="26" t="n"/>
      <c r="L332" s="26" t="n"/>
      <c r="M332" s="26" t="n"/>
      <c r="N332" s="26" t="n"/>
      <c r="O332" s="27">
        <f>IF(COUNT(K332:N332)=0,"",SUM(K332:N332))</f>
        <v/>
      </c>
      <c r="P332" s="16">
        <f>IF(OR(O332="",N(J332)&lt;=0),"",O332/J332)</f>
        <v/>
      </c>
      <c r="Q332" s="28">
        <f>IF(V332=1,"Late","")</f>
        <v/>
      </c>
      <c r="R332" s="1">
        <f>IF(ISNUMBER(B332),INT(B332)*10000000+IF(ISNUMBER(C332),ROUND(MOD(C332,1)*1440,0),0)*1000+ROW(),"")</f>
        <v/>
      </c>
      <c r="S332">
        <f>IF(ISNUMBER(B332),INT(B332)-WEEKDAY(B332,3),"")</f>
        <v/>
      </c>
      <c r="T332">
        <f>IF(ISNUMBER(B332),YEAR(B332)*100+MONTH(B332),"")</f>
        <v/>
      </c>
      <c r="U332">
        <f>IF(AND(ISNUMBER(B332),H332&lt;&gt;"Published"),IF(INT(B332)&gt;=TODAY(),R332,""),"")</f>
        <v/>
      </c>
      <c r="V332">
        <f>IF(AND(ISNUMBER(B332),OR(H332="Draft",H332="Scheduled")),IF(INT(B332)&lt;TODAY(),1,0),0)</f>
        <v/>
      </c>
      <c r="W332">
        <f>IF(AND(H332="Published",N(O332)&gt;0),IF(T332=(YEAR(TODAY())*100+MONTH(TODAY())),ROUND(O332,0)*1000+1000-ROW(),""),"")</f>
        <v/>
      </c>
    </row>
    <row r="333">
      <c r="A333" s="1" t="n"/>
      <c r="B333" s="21" t="n"/>
      <c r="C333" s="22" t="n"/>
      <c r="D333" s="23" t="n"/>
      <c r="E333" s="24" t="n"/>
      <c r="F333" s="23" t="n"/>
      <c r="G333" s="25" t="n"/>
      <c r="H333" s="24" t="n"/>
      <c r="I333" s="23" t="n"/>
      <c r="J333" s="26" t="n"/>
      <c r="K333" s="26" t="n"/>
      <c r="L333" s="26" t="n"/>
      <c r="M333" s="26" t="n"/>
      <c r="N333" s="26" t="n"/>
      <c r="O333" s="27">
        <f>IF(COUNT(K333:N333)=0,"",SUM(K333:N333))</f>
        <v/>
      </c>
      <c r="P333" s="16">
        <f>IF(OR(O333="",N(J333)&lt;=0),"",O333/J333)</f>
        <v/>
      </c>
      <c r="Q333" s="28">
        <f>IF(V333=1,"Late","")</f>
        <v/>
      </c>
      <c r="R333" s="1">
        <f>IF(ISNUMBER(B333),INT(B333)*10000000+IF(ISNUMBER(C333),ROUND(MOD(C333,1)*1440,0),0)*1000+ROW(),"")</f>
        <v/>
      </c>
      <c r="S333">
        <f>IF(ISNUMBER(B333),INT(B333)-WEEKDAY(B333,3),"")</f>
        <v/>
      </c>
      <c r="T333">
        <f>IF(ISNUMBER(B333),YEAR(B333)*100+MONTH(B333),"")</f>
        <v/>
      </c>
      <c r="U333">
        <f>IF(AND(ISNUMBER(B333),H333&lt;&gt;"Published"),IF(INT(B333)&gt;=TODAY(),R333,""),"")</f>
        <v/>
      </c>
      <c r="V333">
        <f>IF(AND(ISNUMBER(B333),OR(H333="Draft",H333="Scheduled")),IF(INT(B333)&lt;TODAY(),1,0),0)</f>
        <v/>
      </c>
      <c r="W333">
        <f>IF(AND(H333="Published",N(O333)&gt;0),IF(T333=(YEAR(TODAY())*100+MONTH(TODAY())),ROUND(O333,0)*1000+1000-ROW(),""),"")</f>
        <v/>
      </c>
    </row>
    <row r="334">
      <c r="A334" s="1" t="n"/>
      <c r="B334" s="21" t="n"/>
      <c r="C334" s="22" t="n"/>
      <c r="D334" s="23" t="n"/>
      <c r="E334" s="24" t="n"/>
      <c r="F334" s="23" t="n"/>
      <c r="G334" s="25" t="n"/>
      <c r="H334" s="24" t="n"/>
      <c r="I334" s="23" t="n"/>
      <c r="J334" s="26" t="n"/>
      <c r="K334" s="26" t="n"/>
      <c r="L334" s="26" t="n"/>
      <c r="M334" s="26" t="n"/>
      <c r="N334" s="26" t="n"/>
      <c r="O334" s="27">
        <f>IF(COUNT(K334:N334)=0,"",SUM(K334:N334))</f>
        <v/>
      </c>
      <c r="P334" s="16">
        <f>IF(OR(O334="",N(J334)&lt;=0),"",O334/J334)</f>
        <v/>
      </c>
      <c r="Q334" s="28">
        <f>IF(V334=1,"Late","")</f>
        <v/>
      </c>
      <c r="R334" s="1">
        <f>IF(ISNUMBER(B334),INT(B334)*10000000+IF(ISNUMBER(C334),ROUND(MOD(C334,1)*1440,0),0)*1000+ROW(),"")</f>
        <v/>
      </c>
      <c r="S334">
        <f>IF(ISNUMBER(B334),INT(B334)-WEEKDAY(B334,3),"")</f>
        <v/>
      </c>
      <c r="T334">
        <f>IF(ISNUMBER(B334),YEAR(B334)*100+MONTH(B334),"")</f>
        <v/>
      </c>
      <c r="U334">
        <f>IF(AND(ISNUMBER(B334),H334&lt;&gt;"Published"),IF(INT(B334)&gt;=TODAY(),R334,""),"")</f>
        <v/>
      </c>
      <c r="V334">
        <f>IF(AND(ISNUMBER(B334),OR(H334="Draft",H334="Scheduled")),IF(INT(B334)&lt;TODAY(),1,0),0)</f>
        <v/>
      </c>
      <c r="W334">
        <f>IF(AND(H334="Published",N(O334)&gt;0),IF(T334=(YEAR(TODAY())*100+MONTH(TODAY())),ROUND(O334,0)*1000+1000-ROW(),""),"")</f>
        <v/>
      </c>
    </row>
    <row r="335">
      <c r="A335" s="1" t="n"/>
      <c r="B335" s="21" t="n"/>
      <c r="C335" s="22" t="n"/>
      <c r="D335" s="23" t="n"/>
      <c r="E335" s="24" t="n"/>
      <c r="F335" s="23" t="n"/>
      <c r="G335" s="25" t="n"/>
      <c r="H335" s="24" t="n"/>
      <c r="I335" s="23" t="n"/>
      <c r="J335" s="26" t="n"/>
      <c r="K335" s="26" t="n"/>
      <c r="L335" s="26" t="n"/>
      <c r="M335" s="26" t="n"/>
      <c r="N335" s="26" t="n"/>
      <c r="O335" s="27">
        <f>IF(COUNT(K335:N335)=0,"",SUM(K335:N335))</f>
        <v/>
      </c>
      <c r="P335" s="16">
        <f>IF(OR(O335="",N(J335)&lt;=0),"",O335/J335)</f>
        <v/>
      </c>
      <c r="Q335" s="28">
        <f>IF(V335=1,"Late","")</f>
        <v/>
      </c>
      <c r="R335" s="1">
        <f>IF(ISNUMBER(B335),INT(B335)*10000000+IF(ISNUMBER(C335),ROUND(MOD(C335,1)*1440,0),0)*1000+ROW(),"")</f>
        <v/>
      </c>
      <c r="S335">
        <f>IF(ISNUMBER(B335),INT(B335)-WEEKDAY(B335,3),"")</f>
        <v/>
      </c>
      <c r="T335">
        <f>IF(ISNUMBER(B335),YEAR(B335)*100+MONTH(B335),"")</f>
        <v/>
      </c>
      <c r="U335">
        <f>IF(AND(ISNUMBER(B335),H335&lt;&gt;"Published"),IF(INT(B335)&gt;=TODAY(),R335,""),"")</f>
        <v/>
      </c>
      <c r="V335">
        <f>IF(AND(ISNUMBER(B335),OR(H335="Draft",H335="Scheduled")),IF(INT(B335)&lt;TODAY(),1,0),0)</f>
        <v/>
      </c>
      <c r="W335">
        <f>IF(AND(H335="Published",N(O335)&gt;0),IF(T335=(YEAR(TODAY())*100+MONTH(TODAY())),ROUND(O335,0)*1000+1000-ROW(),""),"")</f>
        <v/>
      </c>
    </row>
    <row r="336">
      <c r="A336" s="1" t="n"/>
      <c r="B336" s="21" t="n"/>
      <c r="C336" s="22" t="n"/>
      <c r="D336" s="23" t="n"/>
      <c r="E336" s="24" t="n"/>
      <c r="F336" s="23" t="n"/>
      <c r="G336" s="25" t="n"/>
      <c r="H336" s="24" t="n"/>
      <c r="I336" s="23" t="n"/>
      <c r="J336" s="26" t="n"/>
      <c r="K336" s="26" t="n"/>
      <c r="L336" s="26" t="n"/>
      <c r="M336" s="26" t="n"/>
      <c r="N336" s="26" t="n"/>
      <c r="O336" s="27">
        <f>IF(COUNT(K336:N336)=0,"",SUM(K336:N336))</f>
        <v/>
      </c>
      <c r="P336" s="16">
        <f>IF(OR(O336="",N(J336)&lt;=0),"",O336/J336)</f>
        <v/>
      </c>
      <c r="Q336" s="28">
        <f>IF(V336=1,"Late","")</f>
        <v/>
      </c>
      <c r="R336" s="1">
        <f>IF(ISNUMBER(B336),INT(B336)*10000000+IF(ISNUMBER(C336),ROUND(MOD(C336,1)*1440,0),0)*1000+ROW(),"")</f>
        <v/>
      </c>
      <c r="S336">
        <f>IF(ISNUMBER(B336),INT(B336)-WEEKDAY(B336,3),"")</f>
        <v/>
      </c>
      <c r="T336">
        <f>IF(ISNUMBER(B336),YEAR(B336)*100+MONTH(B336),"")</f>
        <v/>
      </c>
      <c r="U336">
        <f>IF(AND(ISNUMBER(B336),H336&lt;&gt;"Published"),IF(INT(B336)&gt;=TODAY(),R336,""),"")</f>
        <v/>
      </c>
      <c r="V336">
        <f>IF(AND(ISNUMBER(B336),OR(H336="Draft",H336="Scheduled")),IF(INT(B336)&lt;TODAY(),1,0),0)</f>
        <v/>
      </c>
      <c r="W336">
        <f>IF(AND(H336="Published",N(O336)&gt;0),IF(T336=(YEAR(TODAY())*100+MONTH(TODAY())),ROUND(O336,0)*1000+1000-ROW(),""),"")</f>
        <v/>
      </c>
    </row>
    <row r="337">
      <c r="A337" s="1" t="n"/>
      <c r="B337" s="21" t="n"/>
      <c r="C337" s="22" t="n"/>
      <c r="D337" s="23" t="n"/>
      <c r="E337" s="24" t="n"/>
      <c r="F337" s="23" t="n"/>
      <c r="G337" s="25" t="n"/>
      <c r="H337" s="24" t="n"/>
      <c r="I337" s="23" t="n"/>
      <c r="J337" s="26" t="n"/>
      <c r="K337" s="26" t="n"/>
      <c r="L337" s="26" t="n"/>
      <c r="M337" s="26" t="n"/>
      <c r="N337" s="26" t="n"/>
      <c r="O337" s="27">
        <f>IF(COUNT(K337:N337)=0,"",SUM(K337:N337))</f>
        <v/>
      </c>
      <c r="P337" s="16">
        <f>IF(OR(O337="",N(J337)&lt;=0),"",O337/J337)</f>
        <v/>
      </c>
      <c r="Q337" s="28">
        <f>IF(V337=1,"Late","")</f>
        <v/>
      </c>
      <c r="R337" s="1">
        <f>IF(ISNUMBER(B337),INT(B337)*10000000+IF(ISNUMBER(C337),ROUND(MOD(C337,1)*1440,0),0)*1000+ROW(),"")</f>
        <v/>
      </c>
      <c r="S337">
        <f>IF(ISNUMBER(B337),INT(B337)-WEEKDAY(B337,3),"")</f>
        <v/>
      </c>
      <c r="T337">
        <f>IF(ISNUMBER(B337),YEAR(B337)*100+MONTH(B337),"")</f>
        <v/>
      </c>
      <c r="U337">
        <f>IF(AND(ISNUMBER(B337),H337&lt;&gt;"Published"),IF(INT(B337)&gt;=TODAY(),R337,""),"")</f>
        <v/>
      </c>
      <c r="V337">
        <f>IF(AND(ISNUMBER(B337),OR(H337="Draft",H337="Scheduled")),IF(INT(B337)&lt;TODAY(),1,0),0)</f>
        <v/>
      </c>
      <c r="W337">
        <f>IF(AND(H337="Published",N(O337)&gt;0),IF(T337=(YEAR(TODAY())*100+MONTH(TODAY())),ROUND(O337,0)*1000+1000-ROW(),""),"")</f>
        <v/>
      </c>
    </row>
    <row r="338">
      <c r="A338" s="1" t="n"/>
      <c r="B338" s="21" t="n"/>
      <c r="C338" s="22" t="n"/>
      <c r="D338" s="23" t="n"/>
      <c r="E338" s="24" t="n"/>
      <c r="F338" s="23" t="n"/>
      <c r="G338" s="25" t="n"/>
      <c r="H338" s="24" t="n"/>
      <c r="I338" s="23" t="n"/>
      <c r="J338" s="26" t="n"/>
      <c r="K338" s="26" t="n"/>
      <c r="L338" s="26" t="n"/>
      <c r="M338" s="26" t="n"/>
      <c r="N338" s="26" t="n"/>
      <c r="O338" s="27">
        <f>IF(COUNT(K338:N338)=0,"",SUM(K338:N338))</f>
        <v/>
      </c>
      <c r="P338" s="16">
        <f>IF(OR(O338="",N(J338)&lt;=0),"",O338/J338)</f>
        <v/>
      </c>
      <c r="Q338" s="28">
        <f>IF(V338=1,"Late","")</f>
        <v/>
      </c>
      <c r="R338" s="1">
        <f>IF(ISNUMBER(B338),INT(B338)*10000000+IF(ISNUMBER(C338),ROUND(MOD(C338,1)*1440,0),0)*1000+ROW(),"")</f>
        <v/>
      </c>
      <c r="S338">
        <f>IF(ISNUMBER(B338),INT(B338)-WEEKDAY(B338,3),"")</f>
        <v/>
      </c>
      <c r="T338">
        <f>IF(ISNUMBER(B338),YEAR(B338)*100+MONTH(B338),"")</f>
        <v/>
      </c>
      <c r="U338">
        <f>IF(AND(ISNUMBER(B338),H338&lt;&gt;"Published"),IF(INT(B338)&gt;=TODAY(),R338,""),"")</f>
        <v/>
      </c>
      <c r="V338">
        <f>IF(AND(ISNUMBER(B338),OR(H338="Draft",H338="Scheduled")),IF(INT(B338)&lt;TODAY(),1,0),0)</f>
        <v/>
      </c>
      <c r="W338">
        <f>IF(AND(H338="Published",N(O338)&gt;0),IF(T338=(YEAR(TODAY())*100+MONTH(TODAY())),ROUND(O338,0)*1000+1000-ROW(),""),"")</f>
        <v/>
      </c>
    </row>
    <row r="339">
      <c r="A339" s="1" t="n"/>
      <c r="B339" s="21" t="n"/>
      <c r="C339" s="22" t="n"/>
      <c r="D339" s="23" t="n"/>
      <c r="E339" s="24" t="n"/>
      <c r="F339" s="23" t="n"/>
      <c r="G339" s="25" t="n"/>
      <c r="H339" s="24" t="n"/>
      <c r="I339" s="23" t="n"/>
      <c r="J339" s="26" t="n"/>
      <c r="K339" s="26" t="n"/>
      <c r="L339" s="26" t="n"/>
      <c r="M339" s="26" t="n"/>
      <c r="N339" s="26" t="n"/>
      <c r="O339" s="27">
        <f>IF(COUNT(K339:N339)=0,"",SUM(K339:N339))</f>
        <v/>
      </c>
      <c r="P339" s="16">
        <f>IF(OR(O339="",N(J339)&lt;=0),"",O339/J339)</f>
        <v/>
      </c>
      <c r="Q339" s="28">
        <f>IF(V339=1,"Late","")</f>
        <v/>
      </c>
      <c r="R339" s="1">
        <f>IF(ISNUMBER(B339),INT(B339)*10000000+IF(ISNUMBER(C339),ROUND(MOD(C339,1)*1440,0),0)*1000+ROW(),"")</f>
        <v/>
      </c>
      <c r="S339">
        <f>IF(ISNUMBER(B339),INT(B339)-WEEKDAY(B339,3),"")</f>
        <v/>
      </c>
      <c r="T339">
        <f>IF(ISNUMBER(B339),YEAR(B339)*100+MONTH(B339),"")</f>
        <v/>
      </c>
      <c r="U339">
        <f>IF(AND(ISNUMBER(B339),H339&lt;&gt;"Published"),IF(INT(B339)&gt;=TODAY(),R339,""),"")</f>
        <v/>
      </c>
      <c r="V339">
        <f>IF(AND(ISNUMBER(B339),OR(H339="Draft",H339="Scheduled")),IF(INT(B339)&lt;TODAY(),1,0),0)</f>
        <v/>
      </c>
      <c r="W339">
        <f>IF(AND(H339="Published",N(O339)&gt;0),IF(T339=(YEAR(TODAY())*100+MONTH(TODAY())),ROUND(O339,0)*1000+1000-ROW(),""),"")</f>
        <v/>
      </c>
    </row>
    <row r="340">
      <c r="A340" s="1" t="n"/>
      <c r="B340" s="21" t="n"/>
      <c r="C340" s="22" t="n"/>
      <c r="D340" s="23" t="n"/>
      <c r="E340" s="24" t="n"/>
      <c r="F340" s="23" t="n"/>
      <c r="G340" s="25" t="n"/>
      <c r="H340" s="24" t="n"/>
      <c r="I340" s="23" t="n"/>
      <c r="J340" s="26" t="n"/>
      <c r="K340" s="26" t="n"/>
      <c r="L340" s="26" t="n"/>
      <c r="M340" s="26" t="n"/>
      <c r="N340" s="26" t="n"/>
      <c r="O340" s="27">
        <f>IF(COUNT(K340:N340)=0,"",SUM(K340:N340))</f>
        <v/>
      </c>
      <c r="P340" s="16">
        <f>IF(OR(O340="",N(J340)&lt;=0),"",O340/J340)</f>
        <v/>
      </c>
      <c r="Q340" s="28">
        <f>IF(V340=1,"Late","")</f>
        <v/>
      </c>
      <c r="R340" s="1">
        <f>IF(ISNUMBER(B340),INT(B340)*10000000+IF(ISNUMBER(C340),ROUND(MOD(C340,1)*1440,0),0)*1000+ROW(),"")</f>
        <v/>
      </c>
      <c r="S340">
        <f>IF(ISNUMBER(B340),INT(B340)-WEEKDAY(B340,3),"")</f>
        <v/>
      </c>
      <c r="T340">
        <f>IF(ISNUMBER(B340),YEAR(B340)*100+MONTH(B340),"")</f>
        <v/>
      </c>
      <c r="U340">
        <f>IF(AND(ISNUMBER(B340),H340&lt;&gt;"Published"),IF(INT(B340)&gt;=TODAY(),R340,""),"")</f>
        <v/>
      </c>
      <c r="V340">
        <f>IF(AND(ISNUMBER(B340),OR(H340="Draft",H340="Scheduled")),IF(INT(B340)&lt;TODAY(),1,0),0)</f>
        <v/>
      </c>
      <c r="W340">
        <f>IF(AND(H340="Published",N(O340)&gt;0),IF(T340=(YEAR(TODAY())*100+MONTH(TODAY())),ROUND(O340,0)*1000+1000-ROW(),""),"")</f>
        <v/>
      </c>
    </row>
    <row r="341">
      <c r="A341" s="1" t="n"/>
      <c r="B341" s="21" t="n"/>
      <c r="C341" s="22" t="n"/>
      <c r="D341" s="23" t="n"/>
      <c r="E341" s="24" t="n"/>
      <c r="F341" s="23" t="n"/>
      <c r="G341" s="25" t="n"/>
      <c r="H341" s="24" t="n"/>
      <c r="I341" s="23" t="n"/>
      <c r="J341" s="26" t="n"/>
      <c r="K341" s="26" t="n"/>
      <c r="L341" s="26" t="n"/>
      <c r="M341" s="26" t="n"/>
      <c r="N341" s="26" t="n"/>
      <c r="O341" s="27">
        <f>IF(COUNT(K341:N341)=0,"",SUM(K341:N341))</f>
        <v/>
      </c>
      <c r="P341" s="16">
        <f>IF(OR(O341="",N(J341)&lt;=0),"",O341/J341)</f>
        <v/>
      </c>
      <c r="Q341" s="28">
        <f>IF(V341=1,"Late","")</f>
        <v/>
      </c>
      <c r="R341" s="1">
        <f>IF(ISNUMBER(B341),INT(B341)*10000000+IF(ISNUMBER(C341),ROUND(MOD(C341,1)*1440,0),0)*1000+ROW(),"")</f>
        <v/>
      </c>
      <c r="S341">
        <f>IF(ISNUMBER(B341),INT(B341)-WEEKDAY(B341,3),"")</f>
        <v/>
      </c>
      <c r="T341">
        <f>IF(ISNUMBER(B341),YEAR(B341)*100+MONTH(B341),"")</f>
        <v/>
      </c>
      <c r="U341">
        <f>IF(AND(ISNUMBER(B341),H341&lt;&gt;"Published"),IF(INT(B341)&gt;=TODAY(),R341,""),"")</f>
        <v/>
      </c>
      <c r="V341">
        <f>IF(AND(ISNUMBER(B341),OR(H341="Draft",H341="Scheduled")),IF(INT(B341)&lt;TODAY(),1,0),0)</f>
        <v/>
      </c>
      <c r="W341">
        <f>IF(AND(H341="Published",N(O341)&gt;0),IF(T341=(YEAR(TODAY())*100+MONTH(TODAY())),ROUND(O341,0)*1000+1000-ROW(),""),"")</f>
        <v/>
      </c>
    </row>
    <row r="342">
      <c r="A342" s="1" t="n"/>
      <c r="B342" s="21" t="n"/>
      <c r="C342" s="22" t="n"/>
      <c r="D342" s="23" t="n"/>
      <c r="E342" s="24" t="n"/>
      <c r="F342" s="23" t="n"/>
      <c r="G342" s="25" t="n"/>
      <c r="H342" s="24" t="n"/>
      <c r="I342" s="23" t="n"/>
      <c r="J342" s="26" t="n"/>
      <c r="K342" s="26" t="n"/>
      <c r="L342" s="26" t="n"/>
      <c r="M342" s="26" t="n"/>
      <c r="N342" s="26" t="n"/>
      <c r="O342" s="27">
        <f>IF(COUNT(K342:N342)=0,"",SUM(K342:N342))</f>
        <v/>
      </c>
      <c r="P342" s="16">
        <f>IF(OR(O342="",N(J342)&lt;=0),"",O342/J342)</f>
        <v/>
      </c>
      <c r="Q342" s="28">
        <f>IF(V342=1,"Late","")</f>
        <v/>
      </c>
      <c r="R342" s="1">
        <f>IF(ISNUMBER(B342),INT(B342)*10000000+IF(ISNUMBER(C342),ROUND(MOD(C342,1)*1440,0),0)*1000+ROW(),"")</f>
        <v/>
      </c>
      <c r="S342">
        <f>IF(ISNUMBER(B342),INT(B342)-WEEKDAY(B342,3),"")</f>
        <v/>
      </c>
      <c r="T342">
        <f>IF(ISNUMBER(B342),YEAR(B342)*100+MONTH(B342),"")</f>
        <v/>
      </c>
      <c r="U342">
        <f>IF(AND(ISNUMBER(B342),H342&lt;&gt;"Published"),IF(INT(B342)&gt;=TODAY(),R342,""),"")</f>
        <v/>
      </c>
      <c r="V342">
        <f>IF(AND(ISNUMBER(B342),OR(H342="Draft",H342="Scheduled")),IF(INT(B342)&lt;TODAY(),1,0),0)</f>
        <v/>
      </c>
      <c r="W342">
        <f>IF(AND(H342="Published",N(O342)&gt;0),IF(T342=(YEAR(TODAY())*100+MONTH(TODAY())),ROUND(O342,0)*1000+1000-ROW(),""),"")</f>
        <v/>
      </c>
    </row>
    <row r="343">
      <c r="A343" s="1" t="n"/>
      <c r="B343" s="21" t="n"/>
      <c r="C343" s="22" t="n"/>
      <c r="D343" s="23" t="n"/>
      <c r="E343" s="24" t="n"/>
      <c r="F343" s="23" t="n"/>
      <c r="G343" s="25" t="n"/>
      <c r="H343" s="24" t="n"/>
      <c r="I343" s="23" t="n"/>
      <c r="J343" s="26" t="n"/>
      <c r="K343" s="26" t="n"/>
      <c r="L343" s="26" t="n"/>
      <c r="M343" s="26" t="n"/>
      <c r="N343" s="26" t="n"/>
      <c r="O343" s="27">
        <f>IF(COUNT(K343:N343)=0,"",SUM(K343:N343))</f>
        <v/>
      </c>
      <c r="P343" s="16">
        <f>IF(OR(O343="",N(J343)&lt;=0),"",O343/J343)</f>
        <v/>
      </c>
      <c r="Q343" s="28">
        <f>IF(V343=1,"Late","")</f>
        <v/>
      </c>
      <c r="R343" s="1">
        <f>IF(ISNUMBER(B343),INT(B343)*10000000+IF(ISNUMBER(C343),ROUND(MOD(C343,1)*1440,0),0)*1000+ROW(),"")</f>
        <v/>
      </c>
      <c r="S343">
        <f>IF(ISNUMBER(B343),INT(B343)-WEEKDAY(B343,3),"")</f>
        <v/>
      </c>
      <c r="T343">
        <f>IF(ISNUMBER(B343),YEAR(B343)*100+MONTH(B343),"")</f>
        <v/>
      </c>
      <c r="U343">
        <f>IF(AND(ISNUMBER(B343),H343&lt;&gt;"Published"),IF(INT(B343)&gt;=TODAY(),R343,""),"")</f>
        <v/>
      </c>
      <c r="V343">
        <f>IF(AND(ISNUMBER(B343),OR(H343="Draft",H343="Scheduled")),IF(INT(B343)&lt;TODAY(),1,0),0)</f>
        <v/>
      </c>
      <c r="W343">
        <f>IF(AND(H343="Published",N(O343)&gt;0),IF(T343=(YEAR(TODAY())*100+MONTH(TODAY())),ROUND(O343,0)*1000+1000-ROW(),""),"")</f>
        <v/>
      </c>
    </row>
    <row r="344">
      <c r="A344" s="1" t="n"/>
      <c r="B344" s="21" t="n"/>
      <c r="C344" s="22" t="n"/>
      <c r="D344" s="23" t="n"/>
      <c r="E344" s="24" t="n"/>
      <c r="F344" s="23" t="n"/>
      <c r="G344" s="25" t="n"/>
      <c r="H344" s="24" t="n"/>
      <c r="I344" s="23" t="n"/>
      <c r="J344" s="26" t="n"/>
      <c r="K344" s="26" t="n"/>
      <c r="L344" s="26" t="n"/>
      <c r="M344" s="26" t="n"/>
      <c r="N344" s="26" t="n"/>
      <c r="O344" s="27">
        <f>IF(COUNT(K344:N344)=0,"",SUM(K344:N344))</f>
        <v/>
      </c>
      <c r="P344" s="16">
        <f>IF(OR(O344="",N(J344)&lt;=0),"",O344/J344)</f>
        <v/>
      </c>
      <c r="Q344" s="28">
        <f>IF(V344=1,"Late","")</f>
        <v/>
      </c>
      <c r="R344" s="1">
        <f>IF(ISNUMBER(B344),INT(B344)*10000000+IF(ISNUMBER(C344),ROUND(MOD(C344,1)*1440,0),0)*1000+ROW(),"")</f>
        <v/>
      </c>
      <c r="S344">
        <f>IF(ISNUMBER(B344),INT(B344)-WEEKDAY(B344,3),"")</f>
        <v/>
      </c>
      <c r="T344">
        <f>IF(ISNUMBER(B344),YEAR(B344)*100+MONTH(B344),"")</f>
        <v/>
      </c>
      <c r="U344">
        <f>IF(AND(ISNUMBER(B344),H344&lt;&gt;"Published"),IF(INT(B344)&gt;=TODAY(),R344,""),"")</f>
        <v/>
      </c>
      <c r="V344">
        <f>IF(AND(ISNUMBER(B344),OR(H344="Draft",H344="Scheduled")),IF(INT(B344)&lt;TODAY(),1,0),0)</f>
        <v/>
      </c>
      <c r="W344">
        <f>IF(AND(H344="Published",N(O344)&gt;0),IF(T344=(YEAR(TODAY())*100+MONTH(TODAY())),ROUND(O344,0)*1000+1000-ROW(),""),"")</f>
        <v/>
      </c>
    </row>
    <row r="345">
      <c r="A345" s="1" t="n"/>
      <c r="B345" s="21" t="n"/>
      <c r="C345" s="22" t="n"/>
      <c r="D345" s="23" t="n"/>
      <c r="E345" s="24" t="n"/>
      <c r="F345" s="23" t="n"/>
      <c r="G345" s="25" t="n"/>
      <c r="H345" s="24" t="n"/>
      <c r="I345" s="23" t="n"/>
      <c r="J345" s="26" t="n"/>
      <c r="K345" s="26" t="n"/>
      <c r="L345" s="26" t="n"/>
      <c r="M345" s="26" t="n"/>
      <c r="N345" s="26" t="n"/>
      <c r="O345" s="27">
        <f>IF(COUNT(K345:N345)=0,"",SUM(K345:N345))</f>
        <v/>
      </c>
      <c r="P345" s="16">
        <f>IF(OR(O345="",N(J345)&lt;=0),"",O345/J345)</f>
        <v/>
      </c>
      <c r="Q345" s="28">
        <f>IF(V345=1,"Late","")</f>
        <v/>
      </c>
      <c r="R345" s="1">
        <f>IF(ISNUMBER(B345),INT(B345)*10000000+IF(ISNUMBER(C345),ROUND(MOD(C345,1)*1440,0),0)*1000+ROW(),"")</f>
        <v/>
      </c>
      <c r="S345">
        <f>IF(ISNUMBER(B345),INT(B345)-WEEKDAY(B345,3),"")</f>
        <v/>
      </c>
      <c r="T345">
        <f>IF(ISNUMBER(B345),YEAR(B345)*100+MONTH(B345),"")</f>
        <v/>
      </c>
      <c r="U345">
        <f>IF(AND(ISNUMBER(B345),H345&lt;&gt;"Published"),IF(INT(B345)&gt;=TODAY(),R345,""),"")</f>
        <v/>
      </c>
      <c r="V345">
        <f>IF(AND(ISNUMBER(B345),OR(H345="Draft",H345="Scheduled")),IF(INT(B345)&lt;TODAY(),1,0),0)</f>
        <v/>
      </c>
      <c r="W345">
        <f>IF(AND(H345="Published",N(O345)&gt;0),IF(T345=(YEAR(TODAY())*100+MONTH(TODAY())),ROUND(O345,0)*1000+1000-ROW(),""),"")</f>
        <v/>
      </c>
    </row>
    <row r="346">
      <c r="A346" s="1" t="n"/>
      <c r="B346" s="21" t="n"/>
      <c r="C346" s="22" t="n"/>
      <c r="D346" s="23" t="n"/>
      <c r="E346" s="24" t="n"/>
      <c r="F346" s="23" t="n"/>
      <c r="G346" s="25" t="n"/>
      <c r="H346" s="24" t="n"/>
      <c r="I346" s="23" t="n"/>
      <c r="J346" s="26" t="n"/>
      <c r="K346" s="26" t="n"/>
      <c r="L346" s="26" t="n"/>
      <c r="M346" s="26" t="n"/>
      <c r="N346" s="26" t="n"/>
      <c r="O346" s="27">
        <f>IF(COUNT(K346:N346)=0,"",SUM(K346:N346))</f>
        <v/>
      </c>
      <c r="P346" s="16">
        <f>IF(OR(O346="",N(J346)&lt;=0),"",O346/J346)</f>
        <v/>
      </c>
      <c r="Q346" s="28">
        <f>IF(V346=1,"Late","")</f>
        <v/>
      </c>
      <c r="R346" s="1">
        <f>IF(ISNUMBER(B346),INT(B346)*10000000+IF(ISNUMBER(C346),ROUND(MOD(C346,1)*1440,0),0)*1000+ROW(),"")</f>
        <v/>
      </c>
      <c r="S346">
        <f>IF(ISNUMBER(B346),INT(B346)-WEEKDAY(B346,3),"")</f>
        <v/>
      </c>
      <c r="T346">
        <f>IF(ISNUMBER(B346),YEAR(B346)*100+MONTH(B346),"")</f>
        <v/>
      </c>
      <c r="U346">
        <f>IF(AND(ISNUMBER(B346),H346&lt;&gt;"Published"),IF(INT(B346)&gt;=TODAY(),R346,""),"")</f>
        <v/>
      </c>
      <c r="V346">
        <f>IF(AND(ISNUMBER(B346),OR(H346="Draft",H346="Scheduled")),IF(INT(B346)&lt;TODAY(),1,0),0)</f>
        <v/>
      </c>
      <c r="W346">
        <f>IF(AND(H346="Published",N(O346)&gt;0),IF(T346=(YEAR(TODAY())*100+MONTH(TODAY())),ROUND(O346,0)*1000+1000-ROW(),""),"")</f>
        <v/>
      </c>
    </row>
    <row r="347">
      <c r="A347" s="1" t="n"/>
      <c r="B347" s="21" t="n"/>
      <c r="C347" s="22" t="n"/>
      <c r="D347" s="23" t="n"/>
      <c r="E347" s="24" t="n"/>
      <c r="F347" s="23" t="n"/>
      <c r="G347" s="25" t="n"/>
      <c r="H347" s="24" t="n"/>
      <c r="I347" s="23" t="n"/>
      <c r="J347" s="26" t="n"/>
      <c r="K347" s="26" t="n"/>
      <c r="L347" s="26" t="n"/>
      <c r="M347" s="26" t="n"/>
      <c r="N347" s="26" t="n"/>
      <c r="O347" s="27">
        <f>IF(COUNT(K347:N347)=0,"",SUM(K347:N347))</f>
        <v/>
      </c>
      <c r="P347" s="16">
        <f>IF(OR(O347="",N(J347)&lt;=0),"",O347/J347)</f>
        <v/>
      </c>
      <c r="Q347" s="28">
        <f>IF(V347=1,"Late","")</f>
        <v/>
      </c>
      <c r="R347" s="1">
        <f>IF(ISNUMBER(B347),INT(B347)*10000000+IF(ISNUMBER(C347),ROUND(MOD(C347,1)*1440,0),0)*1000+ROW(),"")</f>
        <v/>
      </c>
      <c r="S347">
        <f>IF(ISNUMBER(B347),INT(B347)-WEEKDAY(B347,3),"")</f>
        <v/>
      </c>
      <c r="T347">
        <f>IF(ISNUMBER(B347),YEAR(B347)*100+MONTH(B347),"")</f>
        <v/>
      </c>
      <c r="U347">
        <f>IF(AND(ISNUMBER(B347),H347&lt;&gt;"Published"),IF(INT(B347)&gt;=TODAY(),R347,""),"")</f>
        <v/>
      </c>
      <c r="V347">
        <f>IF(AND(ISNUMBER(B347),OR(H347="Draft",H347="Scheduled")),IF(INT(B347)&lt;TODAY(),1,0),0)</f>
        <v/>
      </c>
      <c r="W347">
        <f>IF(AND(H347="Published",N(O347)&gt;0),IF(T347=(YEAR(TODAY())*100+MONTH(TODAY())),ROUND(O347,0)*1000+1000-ROW(),""),"")</f>
        <v/>
      </c>
    </row>
    <row r="348">
      <c r="A348" s="1" t="n"/>
      <c r="B348" s="21" t="n"/>
      <c r="C348" s="22" t="n"/>
      <c r="D348" s="23" t="n"/>
      <c r="E348" s="24" t="n"/>
      <c r="F348" s="23" t="n"/>
      <c r="G348" s="25" t="n"/>
      <c r="H348" s="24" t="n"/>
      <c r="I348" s="23" t="n"/>
      <c r="J348" s="26" t="n"/>
      <c r="K348" s="26" t="n"/>
      <c r="L348" s="26" t="n"/>
      <c r="M348" s="26" t="n"/>
      <c r="N348" s="26" t="n"/>
      <c r="O348" s="27">
        <f>IF(COUNT(K348:N348)=0,"",SUM(K348:N348))</f>
        <v/>
      </c>
      <c r="P348" s="16">
        <f>IF(OR(O348="",N(J348)&lt;=0),"",O348/J348)</f>
        <v/>
      </c>
      <c r="Q348" s="28">
        <f>IF(V348=1,"Late","")</f>
        <v/>
      </c>
      <c r="R348" s="1">
        <f>IF(ISNUMBER(B348),INT(B348)*10000000+IF(ISNUMBER(C348),ROUND(MOD(C348,1)*1440,0),0)*1000+ROW(),"")</f>
        <v/>
      </c>
      <c r="S348">
        <f>IF(ISNUMBER(B348),INT(B348)-WEEKDAY(B348,3),"")</f>
        <v/>
      </c>
      <c r="T348">
        <f>IF(ISNUMBER(B348),YEAR(B348)*100+MONTH(B348),"")</f>
        <v/>
      </c>
      <c r="U348">
        <f>IF(AND(ISNUMBER(B348),H348&lt;&gt;"Published"),IF(INT(B348)&gt;=TODAY(),R348,""),"")</f>
        <v/>
      </c>
      <c r="V348">
        <f>IF(AND(ISNUMBER(B348),OR(H348="Draft",H348="Scheduled")),IF(INT(B348)&lt;TODAY(),1,0),0)</f>
        <v/>
      </c>
      <c r="W348">
        <f>IF(AND(H348="Published",N(O348)&gt;0),IF(T348=(YEAR(TODAY())*100+MONTH(TODAY())),ROUND(O348,0)*1000+1000-ROW(),""),"")</f>
        <v/>
      </c>
    </row>
    <row r="349">
      <c r="A349" s="1" t="n"/>
      <c r="B349" s="21" t="n"/>
      <c r="C349" s="22" t="n"/>
      <c r="D349" s="23" t="n"/>
      <c r="E349" s="24" t="n"/>
      <c r="F349" s="23" t="n"/>
      <c r="G349" s="25" t="n"/>
      <c r="H349" s="24" t="n"/>
      <c r="I349" s="23" t="n"/>
      <c r="J349" s="26" t="n"/>
      <c r="K349" s="26" t="n"/>
      <c r="L349" s="26" t="n"/>
      <c r="M349" s="26" t="n"/>
      <c r="N349" s="26" t="n"/>
      <c r="O349" s="27">
        <f>IF(COUNT(K349:N349)=0,"",SUM(K349:N349))</f>
        <v/>
      </c>
      <c r="P349" s="16">
        <f>IF(OR(O349="",N(J349)&lt;=0),"",O349/J349)</f>
        <v/>
      </c>
      <c r="Q349" s="28">
        <f>IF(V349=1,"Late","")</f>
        <v/>
      </c>
      <c r="R349" s="1">
        <f>IF(ISNUMBER(B349),INT(B349)*10000000+IF(ISNUMBER(C349),ROUND(MOD(C349,1)*1440,0),0)*1000+ROW(),"")</f>
        <v/>
      </c>
      <c r="S349">
        <f>IF(ISNUMBER(B349),INT(B349)-WEEKDAY(B349,3),"")</f>
        <v/>
      </c>
      <c r="T349">
        <f>IF(ISNUMBER(B349),YEAR(B349)*100+MONTH(B349),"")</f>
        <v/>
      </c>
      <c r="U349">
        <f>IF(AND(ISNUMBER(B349),H349&lt;&gt;"Published"),IF(INT(B349)&gt;=TODAY(),R349,""),"")</f>
        <v/>
      </c>
      <c r="V349">
        <f>IF(AND(ISNUMBER(B349),OR(H349="Draft",H349="Scheduled")),IF(INT(B349)&lt;TODAY(),1,0),0)</f>
        <v/>
      </c>
      <c r="W349">
        <f>IF(AND(H349="Published",N(O349)&gt;0),IF(T349=(YEAR(TODAY())*100+MONTH(TODAY())),ROUND(O349,0)*1000+1000-ROW(),""),"")</f>
        <v/>
      </c>
    </row>
    <row r="350">
      <c r="A350" s="1" t="n"/>
      <c r="B350" s="21" t="n"/>
      <c r="C350" s="22" t="n"/>
      <c r="D350" s="23" t="n"/>
      <c r="E350" s="24" t="n"/>
      <c r="F350" s="23" t="n"/>
      <c r="G350" s="25" t="n"/>
      <c r="H350" s="24" t="n"/>
      <c r="I350" s="23" t="n"/>
      <c r="J350" s="26" t="n"/>
      <c r="K350" s="26" t="n"/>
      <c r="L350" s="26" t="n"/>
      <c r="M350" s="26" t="n"/>
      <c r="N350" s="26" t="n"/>
      <c r="O350" s="27">
        <f>IF(COUNT(K350:N350)=0,"",SUM(K350:N350))</f>
        <v/>
      </c>
      <c r="P350" s="16">
        <f>IF(OR(O350="",N(J350)&lt;=0),"",O350/J350)</f>
        <v/>
      </c>
      <c r="Q350" s="28">
        <f>IF(V350=1,"Late","")</f>
        <v/>
      </c>
      <c r="R350" s="1">
        <f>IF(ISNUMBER(B350),INT(B350)*10000000+IF(ISNUMBER(C350),ROUND(MOD(C350,1)*1440,0),0)*1000+ROW(),"")</f>
        <v/>
      </c>
      <c r="S350">
        <f>IF(ISNUMBER(B350),INT(B350)-WEEKDAY(B350,3),"")</f>
        <v/>
      </c>
      <c r="T350">
        <f>IF(ISNUMBER(B350),YEAR(B350)*100+MONTH(B350),"")</f>
        <v/>
      </c>
      <c r="U350">
        <f>IF(AND(ISNUMBER(B350),H350&lt;&gt;"Published"),IF(INT(B350)&gt;=TODAY(),R350,""),"")</f>
        <v/>
      </c>
      <c r="V350">
        <f>IF(AND(ISNUMBER(B350),OR(H350="Draft",H350="Scheduled")),IF(INT(B350)&lt;TODAY(),1,0),0)</f>
        <v/>
      </c>
      <c r="W350">
        <f>IF(AND(H350="Published",N(O350)&gt;0),IF(T350=(YEAR(TODAY())*100+MONTH(TODAY())),ROUND(O350,0)*1000+1000-ROW(),""),"")</f>
        <v/>
      </c>
    </row>
    <row r="351">
      <c r="A351" s="1" t="n"/>
      <c r="B351" s="21" t="n"/>
      <c r="C351" s="22" t="n"/>
      <c r="D351" s="23" t="n"/>
      <c r="E351" s="24" t="n"/>
      <c r="F351" s="23" t="n"/>
      <c r="G351" s="25" t="n"/>
      <c r="H351" s="24" t="n"/>
      <c r="I351" s="23" t="n"/>
      <c r="J351" s="26" t="n"/>
      <c r="K351" s="26" t="n"/>
      <c r="L351" s="26" t="n"/>
      <c r="M351" s="26" t="n"/>
      <c r="N351" s="26" t="n"/>
      <c r="O351" s="27">
        <f>IF(COUNT(K351:N351)=0,"",SUM(K351:N351))</f>
        <v/>
      </c>
      <c r="P351" s="16">
        <f>IF(OR(O351="",N(J351)&lt;=0),"",O351/J351)</f>
        <v/>
      </c>
      <c r="Q351" s="28">
        <f>IF(V351=1,"Late","")</f>
        <v/>
      </c>
      <c r="R351" s="1">
        <f>IF(ISNUMBER(B351),INT(B351)*10000000+IF(ISNUMBER(C351),ROUND(MOD(C351,1)*1440,0),0)*1000+ROW(),"")</f>
        <v/>
      </c>
      <c r="S351">
        <f>IF(ISNUMBER(B351),INT(B351)-WEEKDAY(B351,3),"")</f>
        <v/>
      </c>
      <c r="T351">
        <f>IF(ISNUMBER(B351),YEAR(B351)*100+MONTH(B351),"")</f>
        <v/>
      </c>
      <c r="U351">
        <f>IF(AND(ISNUMBER(B351),H351&lt;&gt;"Published"),IF(INT(B351)&gt;=TODAY(),R351,""),"")</f>
        <v/>
      </c>
      <c r="V351">
        <f>IF(AND(ISNUMBER(B351),OR(H351="Draft",H351="Scheduled")),IF(INT(B351)&lt;TODAY(),1,0),0)</f>
        <v/>
      </c>
      <c r="W351">
        <f>IF(AND(H351="Published",N(O351)&gt;0),IF(T351=(YEAR(TODAY())*100+MONTH(TODAY())),ROUND(O351,0)*1000+1000-ROW(),""),"")</f>
        <v/>
      </c>
    </row>
    <row r="352">
      <c r="A352" s="1" t="n"/>
      <c r="B352" s="21" t="n"/>
      <c r="C352" s="22" t="n"/>
      <c r="D352" s="23" t="n"/>
      <c r="E352" s="24" t="n"/>
      <c r="F352" s="23" t="n"/>
      <c r="G352" s="25" t="n"/>
      <c r="H352" s="24" t="n"/>
      <c r="I352" s="23" t="n"/>
      <c r="J352" s="26" t="n"/>
      <c r="K352" s="26" t="n"/>
      <c r="L352" s="26" t="n"/>
      <c r="M352" s="26" t="n"/>
      <c r="N352" s="26" t="n"/>
      <c r="O352" s="27">
        <f>IF(COUNT(K352:N352)=0,"",SUM(K352:N352))</f>
        <v/>
      </c>
      <c r="P352" s="16">
        <f>IF(OR(O352="",N(J352)&lt;=0),"",O352/J352)</f>
        <v/>
      </c>
      <c r="Q352" s="28">
        <f>IF(V352=1,"Late","")</f>
        <v/>
      </c>
      <c r="R352" s="1">
        <f>IF(ISNUMBER(B352),INT(B352)*10000000+IF(ISNUMBER(C352),ROUND(MOD(C352,1)*1440,0),0)*1000+ROW(),"")</f>
        <v/>
      </c>
      <c r="S352">
        <f>IF(ISNUMBER(B352),INT(B352)-WEEKDAY(B352,3),"")</f>
        <v/>
      </c>
      <c r="T352">
        <f>IF(ISNUMBER(B352),YEAR(B352)*100+MONTH(B352),"")</f>
        <v/>
      </c>
      <c r="U352">
        <f>IF(AND(ISNUMBER(B352),H352&lt;&gt;"Published"),IF(INT(B352)&gt;=TODAY(),R352,""),"")</f>
        <v/>
      </c>
      <c r="V352">
        <f>IF(AND(ISNUMBER(B352),OR(H352="Draft",H352="Scheduled")),IF(INT(B352)&lt;TODAY(),1,0),0)</f>
        <v/>
      </c>
      <c r="W352">
        <f>IF(AND(H352="Published",N(O352)&gt;0),IF(T352=(YEAR(TODAY())*100+MONTH(TODAY())),ROUND(O352,0)*1000+1000-ROW(),""),"")</f>
        <v/>
      </c>
    </row>
    <row r="353">
      <c r="A353" s="1" t="n"/>
      <c r="B353" s="21" t="n"/>
      <c r="C353" s="22" t="n"/>
      <c r="D353" s="23" t="n"/>
      <c r="E353" s="24" t="n"/>
      <c r="F353" s="23" t="n"/>
      <c r="G353" s="25" t="n"/>
      <c r="H353" s="24" t="n"/>
      <c r="I353" s="23" t="n"/>
      <c r="J353" s="26" t="n"/>
      <c r="K353" s="26" t="n"/>
      <c r="L353" s="26" t="n"/>
      <c r="M353" s="26" t="n"/>
      <c r="N353" s="26" t="n"/>
      <c r="O353" s="27">
        <f>IF(COUNT(K353:N353)=0,"",SUM(K353:N353))</f>
        <v/>
      </c>
      <c r="P353" s="16">
        <f>IF(OR(O353="",N(J353)&lt;=0),"",O353/J353)</f>
        <v/>
      </c>
      <c r="Q353" s="28">
        <f>IF(V353=1,"Late","")</f>
        <v/>
      </c>
      <c r="R353" s="1">
        <f>IF(ISNUMBER(B353),INT(B353)*10000000+IF(ISNUMBER(C353),ROUND(MOD(C353,1)*1440,0),0)*1000+ROW(),"")</f>
        <v/>
      </c>
      <c r="S353">
        <f>IF(ISNUMBER(B353),INT(B353)-WEEKDAY(B353,3),"")</f>
        <v/>
      </c>
      <c r="T353">
        <f>IF(ISNUMBER(B353),YEAR(B353)*100+MONTH(B353),"")</f>
        <v/>
      </c>
      <c r="U353">
        <f>IF(AND(ISNUMBER(B353),H353&lt;&gt;"Published"),IF(INT(B353)&gt;=TODAY(),R353,""),"")</f>
        <v/>
      </c>
      <c r="V353">
        <f>IF(AND(ISNUMBER(B353),OR(H353="Draft",H353="Scheduled")),IF(INT(B353)&lt;TODAY(),1,0),0)</f>
        <v/>
      </c>
      <c r="W353">
        <f>IF(AND(H353="Published",N(O353)&gt;0),IF(T353=(YEAR(TODAY())*100+MONTH(TODAY())),ROUND(O353,0)*1000+1000-ROW(),""),"")</f>
        <v/>
      </c>
    </row>
    <row r="354">
      <c r="A354" s="1" t="n"/>
      <c r="B354" s="21" t="n"/>
      <c r="C354" s="22" t="n"/>
      <c r="D354" s="23" t="n"/>
      <c r="E354" s="24" t="n"/>
      <c r="F354" s="23" t="n"/>
      <c r="G354" s="25" t="n"/>
      <c r="H354" s="24" t="n"/>
      <c r="I354" s="23" t="n"/>
      <c r="J354" s="26" t="n"/>
      <c r="K354" s="26" t="n"/>
      <c r="L354" s="26" t="n"/>
      <c r="M354" s="26" t="n"/>
      <c r="N354" s="26" t="n"/>
      <c r="O354" s="27">
        <f>IF(COUNT(K354:N354)=0,"",SUM(K354:N354))</f>
        <v/>
      </c>
      <c r="P354" s="16">
        <f>IF(OR(O354="",N(J354)&lt;=0),"",O354/J354)</f>
        <v/>
      </c>
      <c r="Q354" s="28">
        <f>IF(V354=1,"Late","")</f>
        <v/>
      </c>
      <c r="R354" s="1">
        <f>IF(ISNUMBER(B354),INT(B354)*10000000+IF(ISNUMBER(C354),ROUND(MOD(C354,1)*1440,0),0)*1000+ROW(),"")</f>
        <v/>
      </c>
      <c r="S354">
        <f>IF(ISNUMBER(B354),INT(B354)-WEEKDAY(B354,3),"")</f>
        <v/>
      </c>
      <c r="T354">
        <f>IF(ISNUMBER(B354),YEAR(B354)*100+MONTH(B354),"")</f>
        <v/>
      </c>
      <c r="U354">
        <f>IF(AND(ISNUMBER(B354),H354&lt;&gt;"Published"),IF(INT(B354)&gt;=TODAY(),R354,""),"")</f>
        <v/>
      </c>
      <c r="V354">
        <f>IF(AND(ISNUMBER(B354),OR(H354="Draft",H354="Scheduled")),IF(INT(B354)&lt;TODAY(),1,0),0)</f>
        <v/>
      </c>
      <c r="W354">
        <f>IF(AND(H354="Published",N(O354)&gt;0),IF(T354=(YEAR(TODAY())*100+MONTH(TODAY())),ROUND(O354,0)*1000+1000-ROW(),""),"")</f>
        <v/>
      </c>
    </row>
    <row r="355">
      <c r="A355" s="1" t="n"/>
      <c r="B355" s="21" t="n"/>
      <c r="C355" s="22" t="n"/>
      <c r="D355" s="23" t="n"/>
      <c r="E355" s="24" t="n"/>
      <c r="F355" s="23" t="n"/>
      <c r="G355" s="25" t="n"/>
      <c r="H355" s="24" t="n"/>
      <c r="I355" s="23" t="n"/>
      <c r="J355" s="26" t="n"/>
      <c r="K355" s="26" t="n"/>
      <c r="L355" s="26" t="n"/>
      <c r="M355" s="26" t="n"/>
      <c r="N355" s="26" t="n"/>
      <c r="O355" s="27">
        <f>IF(COUNT(K355:N355)=0,"",SUM(K355:N355))</f>
        <v/>
      </c>
      <c r="P355" s="16">
        <f>IF(OR(O355="",N(J355)&lt;=0),"",O355/J355)</f>
        <v/>
      </c>
      <c r="Q355" s="28">
        <f>IF(V355=1,"Late","")</f>
        <v/>
      </c>
      <c r="R355" s="1">
        <f>IF(ISNUMBER(B355),INT(B355)*10000000+IF(ISNUMBER(C355),ROUND(MOD(C355,1)*1440,0),0)*1000+ROW(),"")</f>
        <v/>
      </c>
      <c r="S355">
        <f>IF(ISNUMBER(B355),INT(B355)-WEEKDAY(B355,3),"")</f>
        <v/>
      </c>
      <c r="T355">
        <f>IF(ISNUMBER(B355),YEAR(B355)*100+MONTH(B355),"")</f>
        <v/>
      </c>
      <c r="U355">
        <f>IF(AND(ISNUMBER(B355),H355&lt;&gt;"Published"),IF(INT(B355)&gt;=TODAY(),R355,""),"")</f>
        <v/>
      </c>
      <c r="V355">
        <f>IF(AND(ISNUMBER(B355),OR(H355="Draft",H355="Scheduled")),IF(INT(B355)&lt;TODAY(),1,0),0)</f>
        <v/>
      </c>
      <c r="W355">
        <f>IF(AND(H355="Published",N(O355)&gt;0),IF(T355=(YEAR(TODAY())*100+MONTH(TODAY())),ROUND(O355,0)*1000+1000-ROW(),""),"")</f>
        <v/>
      </c>
    </row>
    <row r="356">
      <c r="A356" s="1" t="n"/>
      <c r="B356" s="21" t="n"/>
      <c r="C356" s="22" t="n"/>
      <c r="D356" s="23" t="n"/>
      <c r="E356" s="24" t="n"/>
      <c r="F356" s="23" t="n"/>
      <c r="G356" s="25" t="n"/>
      <c r="H356" s="24" t="n"/>
      <c r="I356" s="23" t="n"/>
      <c r="J356" s="26" t="n"/>
      <c r="K356" s="26" t="n"/>
      <c r="L356" s="26" t="n"/>
      <c r="M356" s="26" t="n"/>
      <c r="N356" s="26" t="n"/>
      <c r="O356" s="27">
        <f>IF(COUNT(K356:N356)=0,"",SUM(K356:N356))</f>
        <v/>
      </c>
      <c r="P356" s="16">
        <f>IF(OR(O356="",N(J356)&lt;=0),"",O356/J356)</f>
        <v/>
      </c>
      <c r="Q356" s="28">
        <f>IF(V356=1,"Late","")</f>
        <v/>
      </c>
      <c r="R356" s="1">
        <f>IF(ISNUMBER(B356),INT(B356)*10000000+IF(ISNUMBER(C356),ROUND(MOD(C356,1)*1440,0),0)*1000+ROW(),"")</f>
        <v/>
      </c>
      <c r="S356">
        <f>IF(ISNUMBER(B356),INT(B356)-WEEKDAY(B356,3),"")</f>
        <v/>
      </c>
      <c r="T356">
        <f>IF(ISNUMBER(B356),YEAR(B356)*100+MONTH(B356),"")</f>
        <v/>
      </c>
      <c r="U356">
        <f>IF(AND(ISNUMBER(B356),H356&lt;&gt;"Published"),IF(INT(B356)&gt;=TODAY(),R356,""),"")</f>
        <v/>
      </c>
      <c r="V356">
        <f>IF(AND(ISNUMBER(B356),OR(H356="Draft",H356="Scheduled")),IF(INT(B356)&lt;TODAY(),1,0),0)</f>
        <v/>
      </c>
      <c r="W356">
        <f>IF(AND(H356="Published",N(O356)&gt;0),IF(T356=(YEAR(TODAY())*100+MONTH(TODAY())),ROUND(O356,0)*1000+1000-ROW(),""),"")</f>
        <v/>
      </c>
    </row>
    <row r="357">
      <c r="A357" s="1" t="n"/>
      <c r="B357" s="21" t="n"/>
      <c r="C357" s="22" t="n"/>
      <c r="D357" s="23" t="n"/>
      <c r="E357" s="24" t="n"/>
      <c r="F357" s="23" t="n"/>
      <c r="G357" s="25" t="n"/>
      <c r="H357" s="24" t="n"/>
      <c r="I357" s="23" t="n"/>
      <c r="J357" s="26" t="n"/>
      <c r="K357" s="26" t="n"/>
      <c r="L357" s="26" t="n"/>
      <c r="M357" s="26" t="n"/>
      <c r="N357" s="26" t="n"/>
      <c r="O357" s="27">
        <f>IF(COUNT(K357:N357)=0,"",SUM(K357:N357))</f>
        <v/>
      </c>
      <c r="P357" s="16">
        <f>IF(OR(O357="",N(J357)&lt;=0),"",O357/J357)</f>
        <v/>
      </c>
      <c r="Q357" s="28">
        <f>IF(V357=1,"Late","")</f>
        <v/>
      </c>
      <c r="R357" s="1">
        <f>IF(ISNUMBER(B357),INT(B357)*10000000+IF(ISNUMBER(C357),ROUND(MOD(C357,1)*1440,0),0)*1000+ROW(),"")</f>
        <v/>
      </c>
      <c r="S357">
        <f>IF(ISNUMBER(B357),INT(B357)-WEEKDAY(B357,3),"")</f>
        <v/>
      </c>
      <c r="T357">
        <f>IF(ISNUMBER(B357),YEAR(B357)*100+MONTH(B357),"")</f>
        <v/>
      </c>
      <c r="U357">
        <f>IF(AND(ISNUMBER(B357),H357&lt;&gt;"Published"),IF(INT(B357)&gt;=TODAY(),R357,""),"")</f>
        <v/>
      </c>
      <c r="V357">
        <f>IF(AND(ISNUMBER(B357),OR(H357="Draft",H357="Scheduled")),IF(INT(B357)&lt;TODAY(),1,0),0)</f>
        <v/>
      </c>
      <c r="W357">
        <f>IF(AND(H357="Published",N(O357)&gt;0),IF(T357=(YEAR(TODAY())*100+MONTH(TODAY())),ROUND(O357,0)*1000+1000-ROW(),""),"")</f>
        <v/>
      </c>
    </row>
    <row r="358">
      <c r="A358" s="1" t="n"/>
      <c r="B358" s="21" t="n"/>
      <c r="C358" s="22" t="n"/>
      <c r="D358" s="23" t="n"/>
      <c r="E358" s="24" t="n"/>
      <c r="F358" s="23" t="n"/>
      <c r="G358" s="25" t="n"/>
      <c r="H358" s="24" t="n"/>
      <c r="I358" s="23" t="n"/>
      <c r="J358" s="26" t="n"/>
      <c r="K358" s="26" t="n"/>
      <c r="L358" s="26" t="n"/>
      <c r="M358" s="26" t="n"/>
      <c r="N358" s="26" t="n"/>
      <c r="O358" s="27">
        <f>IF(COUNT(K358:N358)=0,"",SUM(K358:N358))</f>
        <v/>
      </c>
      <c r="P358" s="16">
        <f>IF(OR(O358="",N(J358)&lt;=0),"",O358/J358)</f>
        <v/>
      </c>
      <c r="Q358" s="28">
        <f>IF(V358=1,"Late","")</f>
        <v/>
      </c>
      <c r="R358" s="1">
        <f>IF(ISNUMBER(B358),INT(B358)*10000000+IF(ISNUMBER(C358),ROUND(MOD(C358,1)*1440,0),0)*1000+ROW(),"")</f>
        <v/>
      </c>
      <c r="S358">
        <f>IF(ISNUMBER(B358),INT(B358)-WEEKDAY(B358,3),"")</f>
        <v/>
      </c>
      <c r="T358">
        <f>IF(ISNUMBER(B358),YEAR(B358)*100+MONTH(B358),"")</f>
        <v/>
      </c>
      <c r="U358">
        <f>IF(AND(ISNUMBER(B358),H358&lt;&gt;"Published"),IF(INT(B358)&gt;=TODAY(),R358,""),"")</f>
        <v/>
      </c>
      <c r="V358">
        <f>IF(AND(ISNUMBER(B358),OR(H358="Draft",H358="Scheduled")),IF(INT(B358)&lt;TODAY(),1,0),0)</f>
        <v/>
      </c>
      <c r="W358">
        <f>IF(AND(H358="Published",N(O358)&gt;0),IF(T358=(YEAR(TODAY())*100+MONTH(TODAY())),ROUND(O358,0)*1000+1000-ROW(),""),"")</f>
        <v/>
      </c>
    </row>
    <row r="359">
      <c r="A359" s="1" t="n"/>
      <c r="B359" s="21" t="n"/>
      <c r="C359" s="22" t="n"/>
      <c r="D359" s="23" t="n"/>
      <c r="E359" s="24" t="n"/>
      <c r="F359" s="23" t="n"/>
      <c r="G359" s="25" t="n"/>
      <c r="H359" s="24" t="n"/>
      <c r="I359" s="23" t="n"/>
      <c r="J359" s="26" t="n"/>
      <c r="K359" s="26" t="n"/>
      <c r="L359" s="26" t="n"/>
      <c r="M359" s="26" t="n"/>
      <c r="N359" s="26" t="n"/>
      <c r="O359" s="27">
        <f>IF(COUNT(K359:N359)=0,"",SUM(K359:N359))</f>
        <v/>
      </c>
      <c r="P359" s="16">
        <f>IF(OR(O359="",N(J359)&lt;=0),"",O359/J359)</f>
        <v/>
      </c>
      <c r="Q359" s="28">
        <f>IF(V359=1,"Late","")</f>
        <v/>
      </c>
      <c r="R359" s="1">
        <f>IF(ISNUMBER(B359),INT(B359)*10000000+IF(ISNUMBER(C359),ROUND(MOD(C359,1)*1440,0),0)*1000+ROW(),"")</f>
        <v/>
      </c>
      <c r="S359">
        <f>IF(ISNUMBER(B359),INT(B359)-WEEKDAY(B359,3),"")</f>
        <v/>
      </c>
      <c r="T359">
        <f>IF(ISNUMBER(B359),YEAR(B359)*100+MONTH(B359),"")</f>
        <v/>
      </c>
      <c r="U359">
        <f>IF(AND(ISNUMBER(B359),H359&lt;&gt;"Published"),IF(INT(B359)&gt;=TODAY(),R359,""),"")</f>
        <v/>
      </c>
      <c r="V359">
        <f>IF(AND(ISNUMBER(B359),OR(H359="Draft",H359="Scheduled")),IF(INT(B359)&lt;TODAY(),1,0),0)</f>
        <v/>
      </c>
      <c r="W359">
        <f>IF(AND(H359="Published",N(O359)&gt;0),IF(T359=(YEAR(TODAY())*100+MONTH(TODAY())),ROUND(O359,0)*1000+1000-ROW(),""),"")</f>
        <v/>
      </c>
    </row>
    <row r="360">
      <c r="A360" s="1" t="n"/>
      <c r="B360" s="21" t="n"/>
      <c r="C360" s="22" t="n"/>
      <c r="D360" s="23" t="n"/>
      <c r="E360" s="24" t="n"/>
      <c r="F360" s="23" t="n"/>
      <c r="G360" s="25" t="n"/>
      <c r="H360" s="24" t="n"/>
      <c r="I360" s="23" t="n"/>
      <c r="J360" s="26" t="n"/>
      <c r="K360" s="26" t="n"/>
      <c r="L360" s="26" t="n"/>
      <c r="M360" s="26" t="n"/>
      <c r="N360" s="26" t="n"/>
      <c r="O360" s="27">
        <f>IF(COUNT(K360:N360)=0,"",SUM(K360:N360))</f>
        <v/>
      </c>
      <c r="P360" s="16">
        <f>IF(OR(O360="",N(J360)&lt;=0),"",O360/J360)</f>
        <v/>
      </c>
      <c r="Q360" s="28">
        <f>IF(V360=1,"Late","")</f>
        <v/>
      </c>
      <c r="R360" s="1">
        <f>IF(ISNUMBER(B360),INT(B360)*10000000+IF(ISNUMBER(C360),ROUND(MOD(C360,1)*1440,0),0)*1000+ROW(),"")</f>
        <v/>
      </c>
      <c r="S360">
        <f>IF(ISNUMBER(B360),INT(B360)-WEEKDAY(B360,3),"")</f>
        <v/>
      </c>
      <c r="T360">
        <f>IF(ISNUMBER(B360),YEAR(B360)*100+MONTH(B360),"")</f>
        <v/>
      </c>
      <c r="U360">
        <f>IF(AND(ISNUMBER(B360),H360&lt;&gt;"Published"),IF(INT(B360)&gt;=TODAY(),R360,""),"")</f>
        <v/>
      </c>
      <c r="V360">
        <f>IF(AND(ISNUMBER(B360),OR(H360="Draft",H360="Scheduled")),IF(INT(B360)&lt;TODAY(),1,0),0)</f>
        <v/>
      </c>
      <c r="W360">
        <f>IF(AND(H360="Published",N(O360)&gt;0),IF(T360=(YEAR(TODAY())*100+MONTH(TODAY())),ROUND(O360,0)*1000+1000-ROW(),""),"")</f>
        <v/>
      </c>
    </row>
    <row r="361">
      <c r="A361" s="1" t="n"/>
      <c r="B361" s="21" t="n"/>
      <c r="C361" s="22" t="n"/>
      <c r="D361" s="23" t="n"/>
      <c r="E361" s="24" t="n"/>
      <c r="F361" s="23" t="n"/>
      <c r="G361" s="25" t="n"/>
      <c r="H361" s="24" t="n"/>
      <c r="I361" s="23" t="n"/>
      <c r="J361" s="26" t="n"/>
      <c r="K361" s="26" t="n"/>
      <c r="L361" s="26" t="n"/>
      <c r="M361" s="26" t="n"/>
      <c r="N361" s="26" t="n"/>
      <c r="O361" s="27">
        <f>IF(COUNT(K361:N361)=0,"",SUM(K361:N361))</f>
        <v/>
      </c>
      <c r="P361" s="16">
        <f>IF(OR(O361="",N(J361)&lt;=0),"",O361/J361)</f>
        <v/>
      </c>
      <c r="Q361" s="28">
        <f>IF(V361=1,"Late","")</f>
        <v/>
      </c>
      <c r="R361" s="1">
        <f>IF(ISNUMBER(B361),INT(B361)*10000000+IF(ISNUMBER(C361),ROUND(MOD(C361,1)*1440,0),0)*1000+ROW(),"")</f>
        <v/>
      </c>
      <c r="S361">
        <f>IF(ISNUMBER(B361),INT(B361)-WEEKDAY(B361,3),"")</f>
        <v/>
      </c>
      <c r="T361">
        <f>IF(ISNUMBER(B361),YEAR(B361)*100+MONTH(B361),"")</f>
        <v/>
      </c>
      <c r="U361">
        <f>IF(AND(ISNUMBER(B361),H361&lt;&gt;"Published"),IF(INT(B361)&gt;=TODAY(),R361,""),"")</f>
        <v/>
      </c>
      <c r="V361">
        <f>IF(AND(ISNUMBER(B361),OR(H361="Draft",H361="Scheduled")),IF(INT(B361)&lt;TODAY(),1,0),0)</f>
        <v/>
      </c>
      <c r="W361">
        <f>IF(AND(H361="Published",N(O361)&gt;0),IF(T361=(YEAR(TODAY())*100+MONTH(TODAY())),ROUND(O361,0)*1000+1000-ROW(),""),"")</f>
        <v/>
      </c>
    </row>
    <row r="362">
      <c r="A362" s="1" t="n"/>
      <c r="B362" s="21" t="n"/>
      <c r="C362" s="22" t="n"/>
      <c r="D362" s="23" t="n"/>
      <c r="E362" s="24" t="n"/>
      <c r="F362" s="23" t="n"/>
      <c r="G362" s="25" t="n"/>
      <c r="H362" s="24" t="n"/>
      <c r="I362" s="23" t="n"/>
      <c r="J362" s="26" t="n"/>
      <c r="K362" s="26" t="n"/>
      <c r="L362" s="26" t="n"/>
      <c r="M362" s="26" t="n"/>
      <c r="N362" s="26" t="n"/>
      <c r="O362" s="27">
        <f>IF(COUNT(K362:N362)=0,"",SUM(K362:N362))</f>
        <v/>
      </c>
      <c r="P362" s="16">
        <f>IF(OR(O362="",N(J362)&lt;=0),"",O362/J362)</f>
        <v/>
      </c>
      <c r="Q362" s="28">
        <f>IF(V362=1,"Late","")</f>
        <v/>
      </c>
      <c r="R362" s="1">
        <f>IF(ISNUMBER(B362),INT(B362)*10000000+IF(ISNUMBER(C362),ROUND(MOD(C362,1)*1440,0),0)*1000+ROW(),"")</f>
        <v/>
      </c>
      <c r="S362">
        <f>IF(ISNUMBER(B362),INT(B362)-WEEKDAY(B362,3),"")</f>
        <v/>
      </c>
      <c r="T362">
        <f>IF(ISNUMBER(B362),YEAR(B362)*100+MONTH(B362),"")</f>
        <v/>
      </c>
      <c r="U362">
        <f>IF(AND(ISNUMBER(B362),H362&lt;&gt;"Published"),IF(INT(B362)&gt;=TODAY(),R362,""),"")</f>
        <v/>
      </c>
      <c r="V362">
        <f>IF(AND(ISNUMBER(B362),OR(H362="Draft",H362="Scheduled")),IF(INT(B362)&lt;TODAY(),1,0),0)</f>
        <v/>
      </c>
      <c r="W362">
        <f>IF(AND(H362="Published",N(O362)&gt;0),IF(T362=(YEAR(TODAY())*100+MONTH(TODAY())),ROUND(O362,0)*1000+1000-ROW(),""),"")</f>
        <v/>
      </c>
    </row>
    <row r="363">
      <c r="A363" s="1" t="n"/>
      <c r="B363" s="21" t="n"/>
      <c r="C363" s="22" t="n"/>
      <c r="D363" s="23" t="n"/>
      <c r="E363" s="24" t="n"/>
      <c r="F363" s="23" t="n"/>
      <c r="G363" s="25" t="n"/>
      <c r="H363" s="24" t="n"/>
      <c r="I363" s="23" t="n"/>
      <c r="J363" s="26" t="n"/>
      <c r="K363" s="26" t="n"/>
      <c r="L363" s="26" t="n"/>
      <c r="M363" s="26" t="n"/>
      <c r="N363" s="26" t="n"/>
      <c r="O363" s="27">
        <f>IF(COUNT(K363:N363)=0,"",SUM(K363:N363))</f>
        <v/>
      </c>
      <c r="P363" s="16">
        <f>IF(OR(O363="",N(J363)&lt;=0),"",O363/J363)</f>
        <v/>
      </c>
      <c r="Q363" s="28">
        <f>IF(V363=1,"Late","")</f>
        <v/>
      </c>
      <c r="R363" s="1">
        <f>IF(ISNUMBER(B363),INT(B363)*10000000+IF(ISNUMBER(C363),ROUND(MOD(C363,1)*1440,0),0)*1000+ROW(),"")</f>
        <v/>
      </c>
      <c r="S363">
        <f>IF(ISNUMBER(B363),INT(B363)-WEEKDAY(B363,3),"")</f>
        <v/>
      </c>
      <c r="T363">
        <f>IF(ISNUMBER(B363),YEAR(B363)*100+MONTH(B363),"")</f>
        <v/>
      </c>
      <c r="U363">
        <f>IF(AND(ISNUMBER(B363),H363&lt;&gt;"Published"),IF(INT(B363)&gt;=TODAY(),R363,""),"")</f>
        <v/>
      </c>
      <c r="V363">
        <f>IF(AND(ISNUMBER(B363),OR(H363="Draft",H363="Scheduled")),IF(INT(B363)&lt;TODAY(),1,0),0)</f>
        <v/>
      </c>
      <c r="W363">
        <f>IF(AND(H363="Published",N(O363)&gt;0),IF(T363=(YEAR(TODAY())*100+MONTH(TODAY())),ROUND(O363,0)*1000+1000-ROW(),""),"")</f>
        <v/>
      </c>
    </row>
    <row r="364">
      <c r="A364" s="1" t="n"/>
      <c r="B364" s="21" t="n"/>
      <c r="C364" s="22" t="n"/>
      <c r="D364" s="23" t="n"/>
      <c r="E364" s="24" t="n"/>
      <c r="F364" s="23" t="n"/>
      <c r="G364" s="25" t="n"/>
      <c r="H364" s="24" t="n"/>
      <c r="I364" s="23" t="n"/>
      <c r="J364" s="26" t="n"/>
      <c r="K364" s="26" t="n"/>
      <c r="L364" s="26" t="n"/>
      <c r="M364" s="26" t="n"/>
      <c r="N364" s="26" t="n"/>
      <c r="O364" s="27">
        <f>IF(COUNT(K364:N364)=0,"",SUM(K364:N364))</f>
        <v/>
      </c>
      <c r="P364" s="16">
        <f>IF(OR(O364="",N(J364)&lt;=0),"",O364/J364)</f>
        <v/>
      </c>
      <c r="Q364" s="28">
        <f>IF(V364=1,"Late","")</f>
        <v/>
      </c>
      <c r="R364" s="1">
        <f>IF(ISNUMBER(B364),INT(B364)*10000000+IF(ISNUMBER(C364),ROUND(MOD(C364,1)*1440,0),0)*1000+ROW(),"")</f>
        <v/>
      </c>
      <c r="S364">
        <f>IF(ISNUMBER(B364),INT(B364)-WEEKDAY(B364,3),"")</f>
        <v/>
      </c>
      <c r="T364">
        <f>IF(ISNUMBER(B364),YEAR(B364)*100+MONTH(B364),"")</f>
        <v/>
      </c>
      <c r="U364">
        <f>IF(AND(ISNUMBER(B364),H364&lt;&gt;"Published"),IF(INT(B364)&gt;=TODAY(),R364,""),"")</f>
        <v/>
      </c>
      <c r="V364">
        <f>IF(AND(ISNUMBER(B364),OR(H364="Draft",H364="Scheduled")),IF(INT(B364)&lt;TODAY(),1,0),0)</f>
        <v/>
      </c>
      <c r="W364">
        <f>IF(AND(H364="Published",N(O364)&gt;0),IF(T364=(YEAR(TODAY())*100+MONTH(TODAY())),ROUND(O364,0)*1000+1000-ROW(),""),"")</f>
        <v/>
      </c>
    </row>
    <row r="365">
      <c r="A365" s="1" t="n"/>
      <c r="B365" s="21" t="n"/>
      <c r="C365" s="22" t="n"/>
      <c r="D365" s="23" t="n"/>
      <c r="E365" s="24" t="n"/>
      <c r="F365" s="23" t="n"/>
      <c r="G365" s="25" t="n"/>
      <c r="H365" s="24" t="n"/>
      <c r="I365" s="23" t="n"/>
      <c r="J365" s="26" t="n"/>
      <c r="K365" s="26" t="n"/>
      <c r="L365" s="26" t="n"/>
      <c r="M365" s="26" t="n"/>
      <c r="N365" s="26" t="n"/>
      <c r="O365" s="27">
        <f>IF(COUNT(K365:N365)=0,"",SUM(K365:N365))</f>
        <v/>
      </c>
      <c r="P365" s="16">
        <f>IF(OR(O365="",N(J365)&lt;=0),"",O365/J365)</f>
        <v/>
      </c>
      <c r="Q365" s="28">
        <f>IF(V365=1,"Late","")</f>
        <v/>
      </c>
      <c r="R365" s="1">
        <f>IF(ISNUMBER(B365),INT(B365)*10000000+IF(ISNUMBER(C365),ROUND(MOD(C365,1)*1440,0),0)*1000+ROW(),"")</f>
        <v/>
      </c>
      <c r="S365">
        <f>IF(ISNUMBER(B365),INT(B365)-WEEKDAY(B365,3),"")</f>
        <v/>
      </c>
      <c r="T365">
        <f>IF(ISNUMBER(B365),YEAR(B365)*100+MONTH(B365),"")</f>
        <v/>
      </c>
      <c r="U365">
        <f>IF(AND(ISNUMBER(B365),H365&lt;&gt;"Published"),IF(INT(B365)&gt;=TODAY(),R365,""),"")</f>
        <v/>
      </c>
      <c r="V365">
        <f>IF(AND(ISNUMBER(B365),OR(H365="Draft",H365="Scheduled")),IF(INT(B365)&lt;TODAY(),1,0),0)</f>
        <v/>
      </c>
      <c r="W365">
        <f>IF(AND(H365="Published",N(O365)&gt;0),IF(T365=(YEAR(TODAY())*100+MONTH(TODAY())),ROUND(O365,0)*1000+1000-ROW(),""),"")</f>
        <v/>
      </c>
    </row>
    <row r="366">
      <c r="A366" s="1" t="n"/>
      <c r="B366" s="21" t="n"/>
      <c r="C366" s="22" t="n"/>
      <c r="D366" s="23" t="n"/>
      <c r="E366" s="24" t="n"/>
      <c r="F366" s="23" t="n"/>
      <c r="G366" s="25" t="n"/>
      <c r="H366" s="24" t="n"/>
      <c r="I366" s="23" t="n"/>
      <c r="J366" s="26" t="n"/>
      <c r="K366" s="26" t="n"/>
      <c r="L366" s="26" t="n"/>
      <c r="M366" s="26" t="n"/>
      <c r="N366" s="26" t="n"/>
      <c r="O366" s="27">
        <f>IF(COUNT(K366:N366)=0,"",SUM(K366:N366))</f>
        <v/>
      </c>
      <c r="P366" s="16">
        <f>IF(OR(O366="",N(J366)&lt;=0),"",O366/J366)</f>
        <v/>
      </c>
      <c r="Q366" s="28">
        <f>IF(V366=1,"Late","")</f>
        <v/>
      </c>
      <c r="R366" s="1">
        <f>IF(ISNUMBER(B366),INT(B366)*10000000+IF(ISNUMBER(C366),ROUND(MOD(C366,1)*1440,0),0)*1000+ROW(),"")</f>
        <v/>
      </c>
      <c r="S366">
        <f>IF(ISNUMBER(B366),INT(B366)-WEEKDAY(B366,3),"")</f>
        <v/>
      </c>
      <c r="T366">
        <f>IF(ISNUMBER(B366),YEAR(B366)*100+MONTH(B366),"")</f>
        <v/>
      </c>
      <c r="U366">
        <f>IF(AND(ISNUMBER(B366),H366&lt;&gt;"Published"),IF(INT(B366)&gt;=TODAY(),R366,""),"")</f>
        <v/>
      </c>
      <c r="V366">
        <f>IF(AND(ISNUMBER(B366),OR(H366="Draft",H366="Scheduled")),IF(INT(B366)&lt;TODAY(),1,0),0)</f>
        <v/>
      </c>
      <c r="W366">
        <f>IF(AND(H366="Published",N(O366)&gt;0),IF(T366=(YEAR(TODAY())*100+MONTH(TODAY())),ROUND(O366,0)*1000+1000-ROW(),""),"")</f>
        <v/>
      </c>
    </row>
    <row r="367">
      <c r="A367" s="1" t="n"/>
      <c r="B367" s="21" t="n"/>
      <c r="C367" s="22" t="n"/>
      <c r="D367" s="23" t="n"/>
      <c r="E367" s="24" t="n"/>
      <c r="F367" s="23" t="n"/>
      <c r="G367" s="25" t="n"/>
      <c r="H367" s="24" t="n"/>
      <c r="I367" s="23" t="n"/>
      <c r="J367" s="26" t="n"/>
      <c r="K367" s="26" t="n"/>
      <c r="L367" s="26" t="n"/>
      <c r="M367" s="26" t="n"/>
      <c r="N367" s="26" t="n"/>
      <c r="O367" s="27">
        <f>IF(COUNT(K367:N367)=0,"",SUM(K367:N367))</f>
        <v/>
      </c>
      <c r="P367" s="16">
        <f>IF(OR(O367="",N(J367)&lt;=0),"",O367/J367)</f>
        <v/>
      </c>
      <c r="Q367" s="28">
        <f>IF(V367=1,"Late","")</f>
        <v/>
      </c>
      <c r="R367" s="1">
        <f>IF(ISNUMBER(B367),INT(B367)*10000000+IF(ISNUMBER(C367),ROUND(MOD(C367,1)*1440,0),0)*1000+ROW(),"")</f>
        <v/>
      </c>
      <c r="S367">
        <f>IF(ISNUMBER(B367),INT(B367)-WEEKDAY(B367,3),"")</f>
        <v/>
      </c>
      <c r="T367">
        <f>IF(ISNUMBER(B367),YEAR(B367)*100+MONTH(B367),"")</f>
        <v/>
      </c>
      <c r="U367">
        <f>IF(AND(ISNUMBER(B367),H367&lt;&gt;"Published"),IF(INT(B367)&gt;=TODAY(),R367,""),"")</f>
        <v/>
      </c>
      <c r="V367">
        <f>IF(AND(ISNUMBER(B367),OR(H367="Draft",H367="Scheduled")),IF(INT(B367)&lt;TODAY(),1,0),0)</f>
        <v/>
      </c>
      <c r="W367">
        <f>IF(AND(H367="Published",N(O367)&gt;0),IF(T367=(YEAR(TODAY())*100+MONTH(TODAY())),ROUND(O367,0)*1000+1000-ROW(),""),"")</f>
        <v/>
      </c>
    </row>
    <row r="368">
      <c r="A368" s="1" t="n"/>
      <c r="B368" s="21" t="n"/>
      <c r="C368" s="22" t="n"/>
      <c r="D368" s="23" t="n"/>
      <c r="E368" s="24" t="n"/>
      <c r="F368" s="23" t="n"/>
      <c r="G368" s="25" t="n"/>
      <c r="H368" s="24" t="n"/>
      <c r="I368" s="23" t="n"/>
      <c r="J368" s="26" t="n"/>
      <c r="K368" s="26" t="n"/>
      <c r="L368" s="26" t="n"/>
      <c r="M368" s="26" t="n"/>
      <c r="N368" s="26" t="n"/>
      <c r="O368" s="27">
        <f>IF(COUNT(K368:N368)=0,"",SUM(K368:N368))</f>
        <v/>
      </c>
      <c r="P368" s="16">
        <f>IF(OR(O368="",N(J368)&lt;=0),"",O368/J368)</f>
        <v/>
      </c>
      <c r="Q368" s="28">
        <f>IF(V368=1,"Late","")</f>
        <v/>
      </c>
      <c r="R368" s="1">
        <f>IF(ISNUMBER(B368),INT(B368)*10000000+IF(ISNUMBER(C368),ROUND(MOD(C368,1)*1440,0),0)*1000+ROW(),"")</f>
        <v/>
      </c>
      <c r="S368">
        <f>IF(ISNUMBER(B368),INT(B368)-WEEKDAY(B368,3),"")</f>
        <v/>
      </c>
      <c r="T368">
        <f>IF(ISNUMBER(B368),YEAR(B368)*100+MONTH(B368),"")</f>
        <v/>
      </c>
      <c r="U368">
        <f>IF(AND(ISNUMBER(B368),H368&lt;&gt;"Published"),IF(INT(B368)&gt;=TODAY(),R368,""),"")</f>
        <v/>
      </c>
      <c r="V368">
        <f>IF(AND(ISNUMBER(B368),OR(H368="Draft",H368="Scheduled")),IF(INT(B368)&lt;TODAY(),1,0),0)</f>
        <v/>
      </c>
      <c r="W368">
        <f>IF(AND(H368="Published",N(O368)&gt;0),IF(T368=(YEAR(TODAY())*100+MONTH(TODAY())),ROUND(O368,0)*1000+1000-ROW(),""),"")</f>
        <v/>
      </c>
    </row>
    <row r="369">
      <c r="A369" s="1" t="n"/>
      <c r="B369" s="21" t="n"/>
      <c r="C369" s="22" t="n"/>
      <c r="D369" s="23" t="n"/>
      <c r="E369" s="24" t="n"/>
      <c r="F369" s="23" t="n"/>
      <c r="G369" s="25" t="n"/>
      <c r="H369" s="24" t="n"/>
      <c r="I369" s="23" t="n"/>
      <c r="J369" s="26" t="n"/>
      <c r="K369" s="26" t="n"/>
      <c r="L369" s="26" t="n"/>
      <c r="M369" s="26" t="n"/>
      <c r="N369" s="26" t="n"/>
      <c r="O369" s="27">
        <f>IF(COUNT(K369:N369)=0,"",SUM(K369:N369))</f>
        <v/>
      </c>
      <c r="P369" s="16">
        <f>IF(OR(O369="",N(J369)&lt;=0),"",O369/J369)</f>
        <v/>
      </c>
      <c r="Q369" s="28">
        <f>IF(V369=1,"Late","")</f>
        <v/>
      </c>
      <c r="R369" s="1">
        <f>IF(ISNUMBER(B369),INT(B369)*10000000+IF(ISNUMBER(C369),ROUND(MOD(C369,1)*1440,0),0)*1000+ROW(),"")</f>
        <v/>
      </c>
      <c r="S369">
        <f>IF(ISNUMBER(B369),INT(B369)-WEEKDAY(B369,3),"")</f>
        <v/>
      </c>
      <c r="T369">
        <f>IF(ISNUMBER(B369),YEAR(B369)*100+MONTH(B369),"")</f>
        <v/>
      </c>
      <c r="U369">
        <f>IF(AND(ISNUMBER(B369),H369&lt;&gt;"Published"),IF(INT(B369)&gt;=TODAY(),R369,""),"")</f>
        <v/>
      </c>
      <c r="V369">
        <f>IF(AND(ISNUMBER(B369),OR(H369="Draft",H369="Scheduled")),IF(INT(B369)&lt;TODAY(),1,0),0)</f>
        <v/>
      </c>
      <c r="W369">
        <f>IF(AND(H369="Published",N(O369)&gt;0),IF(T369=(YEAR(TODAY())*100+MONTH(TODAY())),ROUND(O369,0)*1000+1000-ROW(),""),"")</f>
        <v/>
      </c>
    </row>
    <row r="370">
      <c r="A370" s="1" t="n"/>
      <c r="B370" s="21" t="n"/>
      <c r="C370" s="22" t="n"/>
      <c r="D370" s="23" t="n"/>
      <c r="E370" s="24" t="n"/>
      <c r="F370" s="23" t="n"/>
      <c r="G370" s="25" t="n"/>
      <c r="H370" s="24" t="n"/>
      <c r="I370" s="23" t="n"/>
      <c r="J370" s="26" t="n"/>
      <c r="K370" s="26" t="n"/>
      <c r="L370" s="26" t="n"/>
      <c r="M370" s="26" t="n"/>
      <c r="N370" s="26" t="n"/>
      <c r="O370" s="27">
        <f>IF(COUNT(K370:N370)=0,"",SUM(K370:N370))</f>
        <v/>
      </c>
      <c r="P370" s="16">
        <f>IF(OR(O370="",N(J370)&lt;=0),"",O370/J370)</f>
        <v/>
      </c>
      <c r="Q370" s="28">
        <f>IF(V370=1,"Late","")</f>
        <v/>
      </c>
      <c r="R370" s="1">
        <f>IF(ISNUMBER(B370),INT(B370)*10000000+IF(ISNUMBER(C370),ROUND(MOD(C370,1)*1440,0),0)*1000+ROW(),"")</f>
        <v/>
      </c>
      <c r="S370">
        <f>IF(ISNUMBER(B370),INT(B370)-WEEKDAY(B370,3),"")</f>
        <v/>
      </c>
      <c r="T370">
        <f>IF(ISNUMBER(B370),YEAR(B370)*100+MONTH(B370),"")</f>
        <v/>
      </c>
      <c r="U370">
        <f>IF(AND(ISNUMBER(B370),H370&lt;&gt;"Published"),IF(INT(B370)&gt;=TODAY(),R370,""),"")</f>
        <v/>
      </c>
      <c r="V370">
        <f>IF(AND(ISNUMBER(B370),OR(H370="Draft",H370="Scheduled")),IF(INT(B370)&lt;TODAY(),1,0),0)</f>
        <v/>
      </c>
      <c r="W370">
        <f>IF(AND(H370="Published",N(O370)&gt;0),IF(T370=(YEAR(TODAY())*100+MONTH(TODAY())),ROUND(O370,0)*1000+1000-ROW(),""),"")</f>
        <v/>
      </c>
    </row>
    <row r="371">
      <c r="A371" s="1" t="n"/>
      <c r="B371" s="21" t="n"/>
      <c r="C371" s="22" t="n"/>
      <c r="D371" s="23" t="n"/>
      <c r="E371" s="24" t="n"/>
      <c r="F371" s="23" t="n"/>
      <c r="G371" s="25" t="n"/>
      <c r="H371" s="24" t="n"/>
      <c r="I371" s="23" t="n"/>
      <c r="J371" s="26" t="n"/>
      <c r="K371" s="26" t="n"/>
      <c r="L371" s="26" t="n"/>
      <c r="M371" s="26" t="n"/>
      <c r="N371" s="26" t="n"/>
      <c r="O371" s="27">
        <f>IF(COUNT(K371:N371)=0,"",SUM(K371:N371))</f>
        <v/>
      </c>
      <c r="P371" s="16">
        <f>IF(OR(O371="",N(J371)&lt;=0),"",O371/J371)</f>
        <v/>
      </c>
      <c r="Q371" s="28">
        <f>IF(V371=1,"Late","")</f>
        <v/>
      </c>
      <c r="R371" s="1">
        <f>IF(ISNUMBER(B371),INT(B371)*10000000+IF(ISNUMBER(C371),ROUND(MOD(C371,1)*1440,0),0)*1000+ROW(),"")</f>
        <v/>
      </c>
      <c r="S371">
        <f>IF(ISNUMBER(B371),INT(B371)-WEEKDAY(B371,3),"")</f>
        <v/>
      </c>
      <c r="T371">
        <f>IF(ISNUMBER(B371),YEAR(B371)*100+MONTH(B371),"")</f>
        <v/>
      </c>
      <c r="U371">
        <f>IF(AND(ISNUMBER(B371),H371&lt;&gt;"Published"),IF(INT(B371)&gt;=TODAY(),R371,""),"")</f>
        <v/>
      </c>
      <c r="V371">
        <f>IF(AND(ISNUMBER(B371),OR(H371="Draft",H371="Scheduled")),IF(INT(B371)&lt;TODAY(),1,0),0)</f>
        <v/>
      </c>
      <c r="W371">
        <f>IF(AND(H371="Published",N(O371)&gt;0),IF(T371=(YEAR(TODAY())*100+MONTH(TODAY())),ROUND(O371,0)*1000+1000-ROW(),""),"")</f>
        <v/>
      </c>
    </row>
    <row r="372">
      <c r="A372" s="1" t="n"/>
      <c r="B372" s="21" t="n"/>
      <c r="C372" s="22" t="n"/>
      <c r="D372" s="23" t="n"/>
      <c r="E372" s="24" t="n"/>
      <c r="F372" s="23" t="n"/>
      <c r="G372" s="25" t="n"/>
      <c r="H372" s="24" t="n"/>
      <c r="I372" s="23" t="n"/>
      <c r="J372" s="26" t="n"/>
      <c r="K372" s="26" t="n"/>
      <c r="L372" s="26" t="n"/>
      <c r="M372" s="26" t="n"/>
      <c r="N372" s="26" t="n"/>
      <c r="O372" s="27">
        <f>IF(COUNT(K372:N372)=0,"",SUM(K372:N372))</f>
        <v/>
      </c>
      <c r="P372" s="16">
        <f>IF(OR(O372="",N(J372)&lt;=0),"",O372/J372)</f>
        <v/>
      </c>
      <c r="Q372" s="28">
        <f>IF(V372=1,"Late","")</f>
        <v/>
      </c>
      <c r="R372" s="1">
        <f>IF(ISNUMBER(B372),INT(B372)*10000000+IF(ISNUMBER(C372),ROUND(MOD(C372,1)*1440,0),0)*1000+ROW(),"")</f>
        <v/>
      </c>
      <c r="S372">
        <f>IF(ISNUMBER(B372),INT(B372)-WEEKDAY(B372,3),"")</f>
        <v/>
      </c>
      <c r="T372">
        <f>IF(ISNUMBER(B372),YEAR(B372)*100+MONTH(B372),"")</f>
        <v/>
      </c>
      <c r="U372">
        <f>IF(AND(ISNUMBER(B372),H372&lt;&gt;"Published"),IF(INT(B372)&gt;=TODAY(),R372,""),"")</f>
        <v/>
      </c>
      <c r="V372">
        <f>IF(AND(ISNUMBER(B372),OR(H372="Draft",H372="Scheduled")),IF(INT(B372)&lt;TODAY(),1,0),0)</f>
        <v/>
      </c>
      <c r="W372">
        <f>IF(AND(H372="Published",N(O372)&gt;0),IF(T372=(YEAR(TODAY())*100+MONTH(TODAY())),ROUND(O372,0)*1000+1000-ROW(),""),"")</f>
        <v/>
      </c>
    </row>
    <row r="373">
      <c r="A373" s="1" t="n"/>
      <c r="B373" s="21" t="n"/>
      <c r="C373" s="22" t="n"/>
      <c r="D373" s="23" t="n"/>
      <c r="E373" s="24" t="n"/>
      <c r="F373" s="23" t="n"/>
      <c r="G373" s="25" t="n"/>
      <c r="H373" s="24" t="n"/>
      <c r="I373" s="23" t="n"/>
      <c r="J373" s="26" t="n"/>
      <c r="K373" s="26" t="n"/>
      <c r="L373" s="26" t="n"/>
      <c r="M373" s="26" t="n"/>
      <c r="N373" s="26" t="n"/>
      <c r="O373" s="27">
        <f>IF(COUNT(K373:N373)=0,"",SUM(K373:N373))</f>
        <v/>
      </c>
      <c r="P373" s="16">
        <f>IF(OR(O373="",N(J373)&lt;=0),"",O373/J373)</f>
        <v/>
      </c>
      <c r="Q373" s="28">
        <f>IF(V373=1,"Late","")</f>
        <v/>
      </c>
      <c r="R373" s="1">
        <f>IF(ISNUMBER(B373),INT(B373)*10000000+IF(ISNUMBER(C373),ROUND(MOD(C373,1)*1440,0),0)*1000+ROW(),"")</f>
        <v/>
      </c>
      <c r="S373">
        <f>IF(ISNUMBER(B373),INT(B373)-WEEKDAY(B373,3),"")</f>
        <v/>
      </c>
      <c r="T373">
        <f>IF(ISNUMBER(B373),YEAR(B373)*100+MONTH(B373),"")</f>
        <v/>
      </c>
      <c r="U373">
        <f>IF(AND(ISNUMBER(B373),H373&lt;&gt;"Published"),IF(INT(B373)&gt;=TODAY(),R373,""),"")</f>
        <v/>
      </c>
      <c r="V373">
        <f>IF(AND(ISNUMBER(B373),OR(H373="Draft",H373="Scheduled")),IF(INT(B373)&lt;TODAY(),1,0),0)</f>
        <v/>
      </c>
      <c r="W373">
        <f>IF(AND(H373="Published",N(O373)&gt;0),IF(T373=(YEAR(TODAY())*100+MONTH(TODAY())),ROUND(O373,0)*1000+1000-ROW(),""),"")</f>
        <v/>
      </c>
    </row>
    <row r="374">
      <c r="A374" s="1" t="n"/>
      <c r="B374" s="21" t="n"/>
      <c r="C374" s="22" t="n"/>
      <c r="D374" s="23" t="n"/>
      <c r="E374" s="24" t="n"/>
      <c r="F374" s="23" t="n"/>
      <c r="G374" s="25" t="n"/>
      <c r="H374" s="24" t="n"/>
      <c r="I374" s="23" t="n"/>
      <c r="J374" s="26" t="n"/>
      <c r="K374" s="26" t="n"/>
      <c r="L374" s="26" t="n"/>
      <c r="M374" s="26" t="n"/>
      <c r="N374" s="26" t="n"/>
      <c r="O374" s="27">
        <f>IF(COUNT(K374:N374)=0,"",SUM(K374:N374))</f>
        <v/>
      </c>
      <c r="P374" s="16">
        <f>IF(OR(O374="",N(J374)&lt;=0),"",O374/J374)</f>
        <v/>
      </c>
      <c r="Q374" s="28">
        <f>IF(V374=1,"Late","")</f>
        <v/>
      </c>
      <c r="R374" s="1">
        <f>IF(ISNUMBER(B374),INT(B374)*10000000+IF(ISNUMBER(C374),ROUND(MOD(C374,1)*1440,0),0)*1000+ROW(),"")</f>
        <v/>
      </c>
      <c r="S374">
        <f>IF(ISNUMBER(B374),INT(B374)-WEEKDAY(B374,3),"")</f>
        <v/>
      </c>
      <c r="T374">
        <f>IF(ISNUMBER(B374),YEAR(B374)*100+MONTH(B374),"")</f>
        <v/>
      </c>
      <c r="U374">
        <f>IF(AND(ISNUMBER(B374),H374&lt;&gt;"Published"),IF(INT(B374)&gt;=TODAY(),R374,""),"")</f>
        <v/>
      </c>
      <c r="V374">
        <f>IF(AND(ISNUMBER(B374),OR(H374="Draft",H374="Scheduled")),IF(INT(B374)&lt;TODAY(),1,0),0)</f>
        <v/>
      </c>
      <c r="W374">
        <f>IF(AND(H374="Published",N(O374)&gt;0),IF(T374=(YEAR(TODAY())*100+MONTH(TODAY())),ROUND(O374,0)*1000+1000-ROW(),""),"")</f>
        <v/>
      </c>
    </row>
    <row r="375">
      <c r="A375" s="1" t="n"/>
      <c r="B375" s="21" t="n"/>
      <c r="C375" s="22" t="n"/>
      <c r="D375" s="23" t="n"/>
      <c r="E375" s="24" t="n"/>
      <c r="F375" s="23" t="n"/>
      <c r="G375" s="25" t="n"/>
      <c r="H375" s="24" t="n"/>
      <c r="I375" s="23" t="n"/>
      <c r="J375" s="26" t="n"/>
      <c r="K375" s="26" t="n"/>
      <c r="L375" s="26" t="n"/>
      <c r="M375" s="26" t="n"/>
      <c r="N375" s="26" t="n"/>
      <c r="O375" s="27">
        <f>IF(COUNT(K375:N375)=0,"",SUM(K375:N375))</f>
        <v/>
      </c>
      <c r="P375" s="16">
        <f>IF(OR(O375="",N(J375)&lt;=0),"",O375/J375)</f>
        <v/>
      </c>
      <c r="Q375" s="28">
        <f>IF(V375=1,"Late","")</f>
        <v/>
      </c>
      <c r="R375" s="1">
        <f>IF(ISNUMBER(B375),INT(B375)*10000000+IF(ISNUMBER(C375),ROUND(MOD(C375,1)*1440,0),0)*1000+ROW(),"")</f>
        <v/>
      </c>
      <c r="S375">
        <f>IF(ISNUMBER(B375),INT(B375)-WEEKDAY(B375,3),"")</f>
        <v/>
      </c>
      <c r="T375">
        <f>IF(ISNUMBER(B375),YEAR(B375)*100+MONTH(B375),"")</f>
        <v/>
      </c>
      <c r="U375">
        <f>IF(AND(ISNUMBER(B375),H375&lt;&gt;"Published"),IF(INT(B375)&gt;=TODAY(),R375,""),"")</f>
        <v/>
      </c>
      <c r="V375">
        <f>IF(AND(ISNUMBER(B375),OR(H375="Draft",H375="Scheduled")),IF(INT(B375)&lt;TODAY(),1,0),0)</f>
        <v/>
      </c>
      <c r="W375">
        <f>IF(AND(H375="Published",N(O375)&gt;0),IF(T375=(YEAR(TODAY())*100+MONTH(TODAY())),ROUND(O375,0)*1000+1000-ROW(),""),"")</f>
        <v/>
      </c>
    </row>
    <row r="376">
      <c r="A376" s="1" t="n"/>
      <c r="B376" s="21" t="n"/>
      <c r="C376" s="22" t="n"/>
      <c r="D376" s="23" t="n"/>
      <c r="E376" s="24" t="n"/>
      <c r="F376" s="23" t="n"/>
      <c r="G376" s="25" t="n"/>
      <c r="H376" s="24" t="n"/>
      <c r="I376" s="23" t="n"/>
      <c r="J376" s="26" t="n"/>
      <c r="K376" s="26" t="n"/>
      <c r="L376" s="26" t="n"/>
      <c r="M376" s="26" t="n"/>
      <c r="N376" s="26" t="n"/>
      <c r="O376" s="27">
        <f>IF(COUNT(K376:N376)=0,"",SUM(K376:N376))</f>
        <v/>
      </c>
      <c r="P376" s="16">
        <f>IF(OR(O376="",N(J376)&lt;=0),"",O376/J376)</f>
        <v/>
      </c>
      <c r="Q376" s="28">
        <f>IF(V376=1,"Late","")</f>
        <v/>
      </c>
      <c r="R376" s="1">
        <f>IF(ISNUMBER(B376),INT(B376)*10000000+IF(ISNUMBER(C376),ROUND(MOD(C376,1)*1440,0),0)*1000+ROW(),"")</f>
        <v/>
      </c>
      <c r="S376">
        <f>IF(ISNUMBER(B376),INT(B376)-WEEKDAY(B376,3),"")</f>
        <v/>
      </c>
      <c r="T376">
        <f>IF(ISNUMBER(B376),YEAR(B376)*100+MONTH(B376),"")</f>
        <v/>
      </c>
      <c r="U376">
        <f>IF(AND(ISNUMBER(B376),H376&lt;&gt;"Published"),IF(INT(B376)&gt;=TODAY(),R376,""),"")</f>
        <v/>
      </c>
      <c r="V376">
        <f>IF(AND(ISNUMBER(B376),OR(H376="Draft",H376="Scheduled")),IF(INT(B376)&lt;TODAY(),1,0),0)</f>
        <v/>
      </c>
      <c r="W376">
        <f>IF(AND(H376="Published",N(O376)&gt;0),IF(T376=(YEAR(TODAY())*100+MONTH(TODAY())),ROUND(O376,0)*1000+1000-ROW(),""),"")</f>
        <v/>
      </c>
    </row>
    <row r="377">
      <c r="A377" s="1" t="n"/>
      <c r="B377" s="21" t="n"/>
      <c r="C377" s="22" t="n"/>
      <c r="D377" s="23" t="n"/>
      <c r="E377" s="24" t="n"/>
      <c r="F377" s="23" t="n"/>
      <c r="G377" s="25" t="n"/>
      <c r="H377" s="24" t="n"/>
      <c r="I377" s="23" t="n"/>
      <c r="J377" s="26" t="n"/>
      <c r="K377" s="26" t="n"/>
      <c r="L377" s="26" t="n"/>
      <c r="M377" s="26" t="n"/>
      <c r="N377" s="26" t="n"/>
      <c r="O377" s="27">
        <f>IF(COUNT(K377:N377)=0,"",SUM(K377:N377))</f>
        <v/>
      </c>
      <c r="P377" s="16">
        <f>IF(OR(O377="",N(J377)&lt;=0),"",O377/J377)</f>
        <v/>
      </c>
      <c r="Q377" s="28">
        <f>IF(V377=1,"Late","")</f>
        <v/>
      </c>
      <c r="R377" s="1">
        <f>IF(ISNUMBER(B377),INT(B377)*10000000+IF(ISNUMBER(C377),ROUND(MOD(C377,1)*1440,0),0)*1000+ROW(),"")</f>
        <v/>
      </c>
      <c r="S377">
        <f>IF(ISNUMBER(B377),INT(B377)-WEEKDAY(B377,3),"")</f>
        <v/>
      </c>
      <c r="T377">
        <f>IF(ISNUMBER(B377),YEAR(B377)*100+MONTH(B377),"")</f>
        <v/>
      </c>
      <c r="U377">
        <f>IF(AND(ISNUMBER(B377),H377&lt;&gt;"Published"),IF(INT(B377)&gt;=TODAY(),R377,""),"")</f>
        <v/>
      </c>
      <c r="V377">
        <f>IF(AND(ISNUMBER(B377),OR(H377="Draft",H377="Scheduled")),IF(INT(B377)&lt;TODAY(),1,0),0)</f>
        <v/>
      </c>
      <c r="W377">
        <f>IF(AND(H377="Published",N(O377)&gt;0),IF(T377=(YEAR(TODAY())*100+MONTH(TODAY())),ROUND(O377,0)*1000+1000-ROW(),""),"")</f>
        <v/>
      </c>
    </row>
    <row r="378">
      <c r="A378" s="1" t="n"/>
      <c r="B378" s="21" t="n"/>
      <c r="C378" s="22" t="n"/>
      <c r="D378" s="23" t="n"/>
      <c r="E378" s="24" t="n"/>
      <c r="F378" s="23" t="n"/>
      <c r="G378" s="25" t="n"/>
      <c r="H378" s="24" t="n"/>
      <c r="I378" s="23" t="n"/>
      <c r="J378" s="26" t="n"/>
      <c r="K378" s="26" t="n"/>
      <c r="L378" s="26" t="n"/>
      <c r="M378" s="26" t="n"/>
      <c r="N378" s="26" t="n"/>
      <c r="O378" s="27">
        <f>IF(COUNT(K378:N378)=0,"",SUM(K378:N378))</f>
        <v/>
      </c>
      <c r="P378" s="16">
        <f>IF(OR(O378="",N(J378)&lt;=0),"",O378/J378)</f>
        <v/>
      </c>
      <c r="Q378" s="28">
        <f>IF(V378=1,"Late","")</f>
        <v/>
      </c>
      <c r="R378" s="1">
        <f>IF(ISNUMBER(B378),INT(B378)*10000000+IF(ISNUMBER(C378),ROUND(MOD(C378,1)*1440,0),0)*1000+ROW(),"")</f>
        <v/>
      </c>
      <c r="S378">
        <f>IF(ISNUMBER(B378),INT(B378)-WEEKDAY(B378,3),"")</f>
        <v/>
      </c>
      <c r="T378">
        <f>IF(ISNUMBER(B378),YEAR(B378)*100+MONTH(B378),"")</f>
        <v/>
      </c>
      <c r="U378">
        <f>IF(AND(ISNUMBER(B378),H378&lt;&gt;"Published"),IF(INT(B378)&gt;=TODAY(),R378,""),"")</f>
        <v/>
      </c>
      <c r="V378">
        <f>IF(AND(ISNUMBER(B378),OR(H378="Draft",H378="Scheduled")),IF(INT(B378)&lt;TODAY(),1,0),0)</f>
        <v/>
      </c>
      <c r="W378">
        <f>IF(AND(H378="Published",N(O378)&gt;0),IF(T378=(YEAR(TODAY())*100+MONTH(TODAY())),ROUND(O378,0)*1000+1000-ROW(),""),"")</f>
        <v/>
      </c>
    </row>
    <row r="379">
      <c r="A379" s="1" t="n"/>
      <c r="B379" s="21" t="n"/>
      <c r="C379" s="22" t="n"/>
      <c r="D379" s="23" t="n"/>
      <c r="E379" s="24" t="n"/>
      <c r="F379" s="23" t="n"/>
      <c r="G379" s="25" t="n"/>
      <c r="H379" s="24" t="n"/>
      <c r="I379" s="23" t="n"/>
      <c r="J379" s="26" t="n"/>
      <c r="K379" s="26" t="n"/>
      <c r="L379" s="26" t="n"/>
      <c r="M379" s="26" t="n"/>
      <c r="N379" s="26" t="n"/>
      <c r="O379" s="27">
        <f>IF(COUNT(K379:N379)=0,"",SUM(K379:N379))</f>
        <v/>
      </c>
      <c r="P379" s="16">
        <f>IF(OR(O379="",N(J379)&lt;=0),"",O379/J379)</f>
        <v/>
      </c>
      <c r="Q379" s="28">
        <f>IF(V379=1,"Late","")</f>
        <v/>
      </c>
      <c r="R379" s="1">
        <f>IF(ISNUMBER(B379),INT(B379)*10000000+IF(ISNUMBER(C379),ROUND(MOD(C379,1)*1440,0),0)*1000+ROW(),"")</f>
        <v/>
      </c>
      <c r="S379">
        <f>IF(ISNUMBER(B379),INT(B379)-WEEKDAY(B379,3),"")</f>
        <v/>
      </c>
      <c r="T379">
        <f>IF(ISNUMBER(B379),YEAR(B379)*100+MONTH(B379),"")</f>
        <v/>
      </c>
      <c r="U379">
        <f>IF(AND(ISNUMBER(B379),H379&lt;&gt;"Published"),IF(INT(B379)&gt;=TODAY(),R379,""),"")</f>
        <v/>
      </c>
      <c r="V379">
        <f>IF(AND(ISNUMBER(B379),OR(H379="Draft",H379="Scheduled")),IF(INT(B379)&lt;TODAY(),1,0),0)</f>
        <v/>
      </c>
      <c r="W379">
        <f>IF(AND(H379="Published",N(O379)&gt;0),IF(T379=(YEAR(TODAY())*100+MONTH(TODAY())),ROUND(O379,0)*1000+1000-ROW(),""),"")</f>
        <v/>
      </c>
    </row>
    <row r="380">
      <c r="A380" s="1" t="n"/>
      <c r="B380" s="21" t="n"/>
      <c r="C380" s="22" t="n"/>
      <c r="D380" s="23" t="n"/>
      <c r="E380" s="24" t="n"/>
      <c r="F380" s="23" t="n"/>
      <c r="G380" s="25" t="n"/>
      <c r="H380" s="24" t="n"/>
      <c r="I380" s="23" t="n"/>
      <c r="J380" s="26" t="n"/>
      <c r="K380" s="26" t="n"/>
      <c r="L380" s="26" t="n"/>
      <c r="M380" s="26" t="n"/>
      <c r="N380" s="26" t="n"/>
      <c r="O380" s="27">
        <f>IF(COUNT(K380:N380)=0,"",SUM(K380:N380))</f>
        <v/>
      </c>
      <c r="P380" s="16">
        <f>IF(OR(O380="",N(J380)&lt;=0),"",O380/J380)</f>
        <v/>
      </c>
      <c r="Q380" s="28">
        <f>IF(V380=1,"Late","")</f>
        <v/>
      </c>
      <c r="R380" s="1">
        <f>IF(ISNUMBER(B380),INT(B380)*10000000+IF(ISNUMBER(C380),ROUND(MOD(C380,1)*1440,0),0)*1000+ROW(),"")</f>
        <v/>
      </c>
      <c r="S380">
        <f>IF(ISNUMBER(B380),INT(B380)-WEEKDAY(B380,3),"")</f>
        <v/>
      </c>
      <c r="T380">
        <f>IF(ISNUMBER(B380),YEAR(B380)*100+MONTH(B380),"")</f>
        <v/>
      </c>
      <c r="U380">
        <f>IF(AND(ISNUMBER(B380),H380&lt;&gt;"Published"),IF(INT(B380)&gt;=TODAY(),R380,""),"")</f>
        <v/>
      </c>
      <c r="V380">
        <f>IF(AND(ISNUMBER(B380),OR(H380="Draft",H380="Scheduled")),IF(INT(B380)&lt;TODAY(),1,0),0)</f>
        <v/>
      </c>
      <c r="W380">
        <f>IF(AND(H380="Published",N(O380)&gt;0),IF(T380=(YEAR(TODAY())*100+MONTH(TODAY())),ROUND(O380,0)*1000+1000-ROW(),""),"")</f>
        <v/>
      </c>
    </row>
    <row r="381">
      <c r="A381" s="1" t="n"/>
      <c r="B381" s="21" t="n"/>
      <c r="C381" s="22" t="n"/>
      <c r="D381" s="23" t="n"/>
      <c r="E381" s="24" t="n"/>
      <c r="F381" s="23" t="n"/>
      <c r="G381" s="25" t="n"/>
      <c r="H381" s="24" t="n"/>
      <c r="I381" s="23" t="n"/>
      <c r="J381" s="26" t="n"/>
      <c r="K381" s="26" t="n"/>
      <c r="L381" s="26" t="n"/>
      <c r="M381" s="26" t="n"/>
      <c r="N381" s="26" t="n"/>
      <c r="O381" s="27">
        <f>IF(COUNT(K381:N381)=0,"",SUM(K381:N381))</f>
        <v/>
      </c>
      <c r="P381" s="16">
        <f>IF(OR(O381="",N(J381)&lt;=0),"",O381/J381)</f>
        <v/>
      </c>
      <c r="Q381" s="28">
        <f>IF(V381=1,"Late","")</f>
        <v/>
      </c>
      <c r="R381" s="1">
        <f>IF(ISNUMBER(B381),INT(B381)*10000000+IF(ISNUMBER(C381),ROUND(MOD(C381,1)*1440,0),0)*1000+ROW(),"")</f>
        <v/>
      </c>
      <c r="S381">
        <f>IF(ISNUMBER(B381),INT(B381)-WEEKDAY(B381,3),"")</f>
        <v/>
      </c>
      <c r="T381">
        <f>IF(ISNUMBER(B381),YEAR(B381)*100+MONTH(B381),"")</f>
        <v/>
      </c>
      <c r="U381">
        <f>IF(AND(ISNUMBER(B381),H381&lt;&gt;"Published"),IF(INT(B381)&gt;=TODAY(),R381,""),"")</f>
        <v/>
      </c>
      <c r="V381">
        <f>IF(AND(ISNUMBER(B381),OR(H381="Draft",H381="Scheduled")),IF(INT(B381)&lt;TODAY(),1,0),0)</f>
        <v/>
      </c>
      <c r="W381">
        <f>IF(AND(H381="Published",N(O381)&gt;0),IF(T381=(YEAR(TODAY())*100+MONTH(TODAY())),ROUND(O381,0)*1000+1000-ROW(),""),"")</f>
        <v/>
      </c>
    </row>
    <row r="382">
      <c r="A382" s="1" t="n"/>
      <c r="B382" s="21" t="n"/>
      <c r="C382" s="22" t="n"/>
      <c r="D382" s="23" t="n"/>
      <c r="E382" s="24" t="n"/>
      <c r="F382" s="23" t="n"/>
      <c r="G382" s="25" t="n"/>
      <c r="H382" s="24" t="n"/>
      <c r="I382" s="23" t="n"/>
      <c r="J382" s="26" t="n"/>
      <c r="K382" s="26" t="n"/>
      <c r="L382" s="26" t="n"/>
      <c r="M382" s="26" t="n"/>
      <c r="N382" s="26" t="n"/>
      <c r="O382" s="27">
        <f>IF(COUNT(K382:N382)=0,"",SUM(K382:N382))</f>
        <v/>
      </c>
      <c r="P382" s="16">
        <f>IF(OR(O382="",N(J382)&lt;=0),"",O382/J382)</f>
        <v/>
      </c>
      <c r="Q382" s="28">
        <f>IF(V382=1,"Late","")</f>
        <v/>
      </c>
      <c r="R382" s="1">
        <f>IF(ISNUMBER(B382),INT(B382)*10000000+IF(ISNUMBER(C382),ROUND(MOD(C382,1)*1440,0),0)*1000+ROW(),"")</f>
        <v/>
      </c>
      <c r="S382">
        <f>IF(ISNUMBER(B382),INT(B382)-WEEKDAY(B382,3),"")</f>
        <v/>
      </c>
      <c r="T382">
        <f>IF(ISNUMBER(B382),YEAR(B382)*100+MONTH(B382),"")</f>
        <v/>
      </c>
      <c r="U382">
        <f>IF(AND(ISNUMBER(B382),H382&lt;&gt;"Published"),IF(INT(B382)&gt;=TODAY(),R382,""),"")</f>
        <v/>
      </c>
      <c r="V382">
        <f>IF(AND(ISNUMBER(B382),OR(H382="Draft",H382="Scheduled")),IF(INT(B382)&lt;TODAY(),1,0),0)</f>
        <v/>
      </c>
      <c r="W382">
        <f>IF(AND(H382="Published",N(O382)&gt;0),IF(T382=(YEAR(TODAY())*100+MONTH(TODAY())),ROUND(O382,0)*1000+1000-ROW(),""),"")</f>
        <v/>
      </c>
    </row>
    <row r="383">
      <c r="A383" s="1" t="n"/>
      <c r="B383" s="21" t="n"/>
      <c r="C383" s="22" t="n"/>
      <c r="D383" s="23" t="n"/>
      <c r="E383" s="24" t="n"/>
      <c r="F383" s="23" t="n"/>
      <c r="G383" s="25" t="n"/>
      <c r="H383" s="24" t="n"/>
      <c r="I383" s="23" t="n"/>
      <c r="J383" s="26" t="n"/>
      <c r="K383" s="26" t="n"/>
      <c r="L383" s="26" t="n"/>
      <c r="M383" s="26" t="n"/>
      <c r="N383" s="26" t="n"/>
      <c r="O383" s="27">
        <f>IF(COUNT(K383:N383)=0,"",SUM(K383:N383))</f>
        <v/>
      </c>
      <c r="P383" s="16">
        <f>IF(OR(O383="",N(J383)&lt;=0),"",O383/J383)</f>
        <v/>
      </c>
      <c r="Q383" s="28">
        <f>IF(V383=1,"Late","")</f>
        <v/>
      </c>
      <c r="R383" s="1">
        <f>IF(ISNUMBER(B383),INT(B383)*10000000+IF(ISNUMBER(C383),ROUND(MOD(C383,1)*1440,0),0)*1000+ROW(),"")</f>
        <v/>
      </c>
      <c r="S383">
        <f>IF(ISNUMBER(B383),INT(B383)-WEEKDAY(B383,3),"")</f>
        <v/>
      </c>
      <c r="T383">
        <f>IF(ISNUMBER(B383),YEAR(B383)*100+MONTH(B383),"")</f>
        <v/>
      </c>
      <c r="U383">
        <f>IF(AND(ISNUMBER(B383),H383&lt;&gt;"Published"),IF(INT(B383)&gt;=TODAY(),R383,""),"")</f>
        <v/>
      </c>
      <c r="V383">
        <f>IF(AND(ISNUMBER(B383),OR(H383="Draft",H383="Scheduled")),IF(INT(B383)&lt;TODAY(),1,0),0)</f>
        <v/>
      </c>
      <c r="W383">
        <f>IF(AND(H383="Published",N(O383)&gt;0),IF(T383=(YEAR(TODAY())*100+MONTH(TODAY())),ROUND(O383,0)*1000+1000-ROW(),""),"")</f>
        <v/>
      </c>
    </row>
    <row r="384">
      <c r="A384" s="1" t="n"/>
      <c r="B384" s="21" t="n"/>
      <c r="C384" s="22" t="n"/>
      <c r="D384" s="23" t="n"/>
      <c r="E384" s="24" t="n"/>
      <c r="F384" s="23" t="n"/>
      <c r="G384" s="25" t="n"/>
      <c r="H384" s="24" t="n"/>
      <c r="I384" s="23" t="n"/>
      <c r="J384" s="26" t="n"/>
      <c r="K384" s="26" t="n"/>
      <c r="L384" s="26" t="n"/>
      <c r="M384" s="26" t="n"/>
      <c r="N384" s="26" t="n"/>
      <c r="O384" s="27">
        <f>IF(COUNT(K384:N384)=0,"",SUM(K384:N384))</f>
        <v/>
      </c>
      <c r="P384" s="16">
        <f>IF(OR(O384="",N(J384)&lt;=0),"",O384/J384)</f>
        <v/>
      </c>
      <c r="Q384" s="28">
        <f>IF(V384=1,"Late","")</f>
        <v/>
      </c>
      <c r="R384" s="1">
        <f>IF(ISNUMBER(B384),INT(B384)*10000000+IF(ISNUMBER(C384),ROUND(MOD(C384,1)*1440,0),0)*1000+ROW(),"")</f>
        <v/>
      </c>
      <c r="S384">
        <f>IF(ISNUMBER(B384),INT(B384)-WEEKDAY(B384,3),"")</f>
        <v/>
      </c>
      <c r="T384">
        <f>IF(ISNUMBER(B384),YEAR(B384)*100+MONTH(B384),"")</f>
        <v/>
      </c>
      <c r="U384">
        <f>IF(AND(ISNUMBER(B384),H384&lt;&gt;"Published"),IF(INT(B384)&gt;=TODAY(),R384,""),"")</f>
        <v/>
      </c>
      <c r="V384">
        <f>IF(AND(ISNUMBER(B384),OR(H384="Draft",H384="Scheduled")),IF(INT(B384)&lt;TODAY(),1,0),0)</f>
        <v/>
      </c>
      <c r="W384">
        <f>IF(AND(H384="Published",N(O384)&gt;0),IF(T384=(YEAR(TODAY())*100+MONTH(TODAY())),ROUND(O384,0)*1000+1000-ROW(),""),"")</f>
        <v/>
      </c>
    </row>
    <row r="385">
      <c r="A385" s="1" t="n"/>
      <c r="B385" s="21" t="n"/>
      <c r="C385" s="22" t="n"/>
      <c r="D385" s="23" t="n"/>
      <c r="E385" s="24" t="n"/>
      <c r="F385" s="23" t="n"/>
      <c r="G385" s="25" t="n"/>
      <c r="H385" s="24" t="n"/>
      <c r="I385" s="23" t="n"/>
      <c r="J385" s="26" t="n"/>
      <c r="K385" s="26" t="n"/>
      <c r="L385" s="26" t="n"/>
      <c r="M385" s="26" t="n"/>
      <c r="N385" s="26" t="n"/>
      <c r="O385" s="27">
        <f>IF(COUNT(K385:N385)=0,"",SUM(K385:N385))</f>
        <v/>
      </c>
      <c r="P385" s="16">
        <f>IF(OR(O385="",N(J385)&lt;=0),"",O385/J385)</f>
        <v/>
      </c>
      <c r="Q385" s="28">
        <f>IF(V385=1,"Late","")</f>
        <v/>
      </c>
      <c r="R385" s="1">
        <f>IF(ISNUMBER(B385),INT(B385)*10000000+IF(ISNUMBER(C385),ROUND(MOD(C385,1)*1440,0),0)*1000+ROW(),"")</f>
        <v/>
      </c>
      <c r="S385">
        <f>IF(ISNUMBER(B385),INT(B385)-WEEKDAY(B385,3),"")</f>
        <v/>
      </c>
      <c r="T385">
        <f>IF(ISNUMBER(B385),YEAR(B385)*100+MONTH(B385),"")</f>
        <v/>
      </c>
      <c r="U385">
        <f>IF(AND(ISNUMBER(B385),H385&lt;&gt;"Published"),IF(INT(B385)&gt;=TODAY(),R385,""),"")</f>
        <v/>
      </c>
      <c r="V385">
        <f>IF(AND(ISNUMBER(B385),OR(H385="Draft",H385="Scheduled")),IF(INT(B385)&lt;TODAY(),1,0),0)</f>
        <v/>
      </c>
      <c r="W385">
        <f>IF(AND(H385="Published",N(O385)&gt;0),IF(T385=(YEAR(TODAY())*100+MONTH(TODAY())),ROUND(O385,0)*1000+1000-ROW(),""),"")</f>
        <v/>
      </c>
    </row>
    <row r="386">
      <c r="A386" s="1" t="n"/>
      <c r="B386" s="21" t="n"/>
      <c r="C386" s="22" t="n"/>
      <c r="D386" s="23" t="n"/>
      <c r="E386" s="24" t="n"/>
      <c r="F386" s="23" t="n"/>
      <c r="G386" s="25" t="n"/>
      <c r="H386" s="24" t="n"/>
      <c r="I386" s="23" t="n"/>
      <c r="J386" s="26" t="n"/>
      <c r="K386" s="26" t="n"/>
      <c r="L386" s="26" t="n"/>
      <c r="M386" s="26" t="n"/>
      <c r="N386" s="26" t="n"/>
      <c r="O386" s="27">
        <f>IF(COUNT(K386:N386)=0,"",SUM(K386:N386))</f>
        <v/>
      </c>
      <c r="P386" s="16">
        <f>IF(OR(O386="",N(J386)&lt;=0),"",O386/J386)</f>
        <v/>
      </c>
      <c r="Q386" s="28">
        <f>IF(V386=1,"Late","")</f>
        <v/>
      </c>
      <c r="R386" s="1">
        <f>IF(ISNUMBER(B386),INT(B386)*10000000+IF(ISNUMBER(C386),ROUND(MOD(C386,1)*1440,0),0)*1000+ROW(),"")</f>
        <v/>
      </c>
      <c r="S386">
        <f>IF(ISNUMBER(B386),INT(B386)-WEEKDAY(B386,3),"")</f>
        <v/>
      </c>
      <c r="T386">
        <f>IF(ISNUMBER(B386),YEAR(B386)*100+MONTH(B386),"")</f>
        <v/>
      </c>
      <c r="U386">
        <f>IF(AND(ISNUMBER(B386),H386&lt;&gt;"Published"),IF(INT(B386)&gt;=TODAY(),R386,""),"")</f>
        <v/>
      </c>
      <c r="V386">
        <f>IF(AND(ISNUMBER(B386),OR(H386="Draft",H386="Scheduled")),IF(INT(B386)&lt;TODAY(),1,0),0)</f>
        <v/>
      </c>
      <c r="W386">
        <f>IF(AND(H386="Published",N(O386)&gt;0),IF(T386=(YEAR(TODAY())*100+MONTH(TODAY())),ROUND(O386,0)*1000+1000-ROW(),""),"")</f>
        <v/>
      </c>
    </row>
    <row r="387">
      <c r="A387" s="1" t="n"/>
      <c r="B387" s="21" t="n"/>
      <c r="C387" s="22" t="n"/>
      <c r="D387" s="23" t="n"/>
      <c r="E387" s="24" t="n"/>
      <c r="F387" s="23" t="n"/>
      <c r="G387" s="25" t="n"/>
      <c r="H387" s="24" t="n"/>
      <c r="I387" s="23" t="n"/>
      <c r="J387" s="26" t="n"/>
      <c r="K387" s="26" t="n"/>
      <c r="L387" s="26" t="n"/>
      <c r="M387" s="26" t="n"/>
      <c r="N387" s="26" t="n"/>
      <c r="O387" s="27">
        <f>IF(COUNT(K387:N387)=0,"",SUM(K387:N387))</f>
        <v/>
      </c>
      <c r="P387" s="16">
        <f>IF(OR(O387="",N(J387)&lt;=0),"",O387/J387)</f>
        <v/>
      </c>
      <c r="Q387" s="28">
        <f>IF(V387=1,"Late","")</f>
        <v/>
      </c>
      <c r="R387" s="1">
        <f>IF(ISNUMBER(B387),INT(B387)*10000000+IF(ISNUMBER(C387),ROUND(MOD(C387,1)*1440,0),0)*1000+ROW(),"")</f>
        <v/>
      </c>
      <c r="S387">
        <f>IF(ISNUMBER(B387),INT(B387)-WEEKDAY(B387,3),"")</f>
        <v/>
      </c>
      <c r="T387">
        <f>IF(ISNUMBER(B387),YEAR(B387)*100+MONTH(B387),"")</f>
        <v/>
      </c>
      <c r="U387">
        <f>IF(AND(ISNUMBER(B387),H387&lt;&gt;"Published"),IF(INT(B387)&gt;=TODAY(),R387,""),"")</f>
        <v/>
      </c>
      <c r="V387">
        <f>IF(AND(ISNUMBER(B387),OR(H387="Draft",H387="Scheduled")),IF(INT(B387)&lt;TODAY(),1,0),0)</f>
        <v/>
      </c>
      <c r="W387">
        <f>IF(AND(H387="Published",N(O387)&gt;0),IF(T387=(YEAR(TODAY())*100+MONTH(TODAY())),ROUND(O387,0)*1000+1000-ROW(),""),"")</f>
        <v/>
      </c>
    </row>
    <row r="388">
      <c r="A388" s="1" t="n"/>
      <c r="B388" s="21" t="n"/>
      <c r="C388" s="22" t="n"/>
      <c r="D388" s="23" t="n"/>
      <c r="E388" s="24" t="n"/>
      <c r="F388" s="23" t="n"/>
      <c r="G388" s="25" t="n"/>
      <c r="H388" s="24" t="n"/>
      <c r="I388" s="23" t="n"/>
      <c r="J388" s="26" t="n"/>
      <c r="K388" s="26" t="n"/>
      <c r="L388" s="26" t="n"/>
      <c r="M388" s="26" t="n"/>
      <c r="N388" s="26" t="n"/>
      <c r="O388" s="27">
        <f>IF(COUNT(K388:N388)=0,"",SUM(K388:N388))</f>
        <v/>
      </c>
      <c r="P388" s="16">
        <f>IF(OR(O388="",N(J388)&lt;=0),"",O388/J388)</f>
        <v/>
      </c>
      <c r="Q388" s="28">
        <f>IF(V388=1,"Late","")</f>
        <v/>
      </c>
      <c r="R388" s="1">
        <f>IF(ISNUMBER(B388),INT(B388)*10000000+IF(ISNUMBER(C388),ROUND(MOD(C388,1)*1440,0),0)*1000+ROW(),"")</f>
        <v/>
      </c>
      <c r="S388">
        <f>IF(ISNUMBER(B388),INT(B388)-WEEKDAY(B388,3),"")</f>
        <v/>
      </c>
      <c r="T388">
        <f>IF(ISNUMBER(B388),YEAR(B388)*100+MONTH(B388),"")</f>
        <v/>
      </c>
      <c r="U388">
        <f>IF(AND(ISNUMBER(B388),H388&lt;&gt;"Published"),IF(INT(B388)&gt;=TODAY(),R388,""),"")</f>
        <v/>
      </c>
      <c r="V388">
        <f>IF(AND(ISNUMBER(B388),OR(H388="Draft",H388="Scheduled")),IF(INT(B388)&lt;TODAY(),1,0),0)</f>
        <v/>
      </c>
      <c r="W388">
        <f>IF(AND(H388="Published",N(O388)&gt;0),IF(T388=(YEAR(TODAY())*100+MONTH(TODAY())),ROUND(O388,0)*1000+1000-ROW(),""),"")</f>
        <v/>
      </c>
    </row>
    <row r="389">
      <c r="A389" s="1" t="n"/>
      <c r="B389" s="21" t="n"/>
      <c r="C389" s="22" t="n"/>
      <c r="D389" s="23" t="n"/>
      <c r="E389" s="24" t="n"/>
      <c r="F389" s="23" t="n"/>
      <c r="G389" s="25" t="n"/>
      <c r="H389" s="24" t="n"/>
      <c r="I389" s="23" t="n"/>
      <c r="J389" s="26" t="n"/>
      <c r="K389" s="26" t="n"/>
      <c r="L389" s="26" t="n"/>
      <c r="M389" s="26" t="n"/>
      <c r="N389" s="26" t="n"/>
      <c r="O389" s="27">
        <f>IF(COUNT(K389:N389)=0,"",SUM(K389:N389))</f>
        <v/>
      </c>
      <c r="P389" s="16">
        <f>IF(OR(O389="",N(J389)&lt;=0),"",O389/J389)</f>
        <v/>
      </c>
      <c r="Q389" s="28">
        <f>IF(V389=1,"Late","")</f>
        <v/>
      </c>
      <c r="R389" s="1">
        <f>IF(ISNUMBER(B389),INT(B389)*10000000+IF(ISNUMBER(C389),ROUND(MOD(C389,1)*1440,0),0)*1000+ROW(),"")</f>
        <v/>
      </c>
      <c r="S389">
        <f>IF(ISNUMBER(B389),INT(B389)-WEEKDAY(B389,3),"")</f>
        <v/>
      </c>
      <c r="T389">
        <f>IF(ISNUMBER(B389),YEAR(B389)*100+MONTH(B389),"")</f>
        <v/>
      </c>
      <c r="U389">
        <f>IF(AND(ISNUMBER(B389),H389&lt;&gt;"Published"),IF(INT(B389)&gt;=TODAY(),R389,""),"")</f>
        <v/>
      </c>
      <c r="V389">
        <f>IF(AND(ISNUMBER(B389),OR(H389="Draft",H389="Scheduled")),IF(INT(B389)&lt;TODAY(),1,0),0)</f>
        <v/>
      </c>
      <c r="W389">
        <f>IF(AND(H389="Published",N(O389)&gt;0),IF(T389=(YEAR(TODAY())*100+MONTH(TODAY())),ROUND(O389,0)*1000+1000-ROW(),""),"")</f>
        <v/>
      </c>
    </row>
    <row r="390">
      <c r="A390" s="1" t="n"/>
      <c r="B390" s="21" t="n"/>
      <c r="C390" s="22" t="n"/>
      <c r="D390" s="23" t="n"/>
      <c r="E390" s="24" t="n"/>
      <c r="F390" s="23" t="n"/>
      <c r="G390" s="25" t="n"/>
      <c r="H390" s="24" t="n"/>
      <c r="I390" s="23" t="n"/>
      <c r="J390" s="26" t="n"/>
      <c r="K390" s="26" t="n"/>
      <c r="L390" s="26" t="n"/>
      <c r="M390" s="26" t="n"/>
      <c r="N390" s="26" t="n"/>
      <c r="O390" s="27">
        <f>IF(COUNT(K390:N390)=0,"",SUM(K390:N390))</f>
        <v/>
      </c>
      <c r="P390" s="16">
        <f>IF(OR(O390="",N(J390)&lt;=0),"",O390/J390)</f>
        <v/>
      </c>
      <c r="Q390" s="28">
        <f>IF(V390=1,"Late","")</f>
        <v/>
      </c>
      <c r="R390" s="1">
        <f>IF(ISNUMBER(B390),INT(B390)*10000000+IF(ISNUMBER(C390),ROUND(MOD(C390,1)*1440,0),0)*1000+ROW(),"")</f>
        <v/>
      </c>
      <c r="S390">
        <f>IF(ISNUMBER(B390),INT(B390)-WEEKDAY(B390,3),"")</f>
        <v/>
      </c>
      <c r="T390">
        <f>IF(ISNUMBER(B390),YEAR(B390)*100+MONTH(B390),"")</f>
        <v/>
      </c>
      <c r="U390">
        <f>IF(AND(ISNUMBER(B390),H390&lt;&gt;"Published"),IF(INT(B390)&gt;=TODAY(),R390,""),"")</f>
        <v/>
      </c>
      <c r="V390">
        <f>IF(AND(ISNUMBER(B390),OR(H390="Draft",H390="Scheduled")),IF(INT(B390)&lt;TODAY(),1,0),0)</f>
        <v/>
      </c>
      <c r="W390">
        <f>IF(AND(H390="Published",N(O390)&gt;0),IF(T390=(YEAR(TODAY())*100+MONTH(TODAY())),ROUND(O390,0)*1000+1000-ROW(),""),"")</f>
        <v/>
      </c>
    </row>
    <row r="391">
      <c r="A391" s="1" t="n"/>
      <c r="B391" s="21" t="n"/>
      <c r="C391" s="22" t="n"/>
      <c r="D391" s="23" t="n"/>
      <c r="E391" s="24" t="n"/>
      <c r="F391" s="23" t="n"/>
      <c r="G391" s="25" t="n"/>
      <c r="H391" s="24" t="n"/>
      <c r="I391" s="23" t="n"/>
      <c r="J391" s="26" t="n"/>
      <c r="K391" s="26" t="n"/>
      <c r="L391" s="26" t="n"/>
      <c r="M391" s="26" t="n"/>
      <c r="N391" s="26" t="n"/>
      <c r="O391" s="27">
        <f>IF(COUNT(K391:N391)=0,"",SUM(K391:N391))</f>
        <v/>
      </c>
      <c r="P391" s="16">
        <f>IF(OR(O391="",N(J391)&lt;=0),"",O391/J391)</f>
        <v/>
      </c>
      <c r="Q391" s="28">
        <f>IF(V391=1,"Late","")</f>
        <v/>
      </c>
      <c r="R391" s="1">
        <f>IF(ISNUMBER(B391),INT(B391)*10000000+IF(ISNUMBER(C391),ROUND(MOD(C391,1)*1440,0),0)*1000+ROW(),"")</f>
        <v/>
      </c>
      <c r="S391">
        <f>IF(ISNUMBER(B391),INT(B391)-WEEKDAY(B391,3),"")</f>
        <v/>
      </c>
      <c r="T391">
        <f>IF(ISNUMBER(B391),YEAR(B391)*100+MONTH(B391),"")</f>
        <v/>
      </c>
      <c r="U391">
        <f>IF(AND(ISNUMBER(B391),H391&lt;&gt;"Published"),IF(INT(B391)&gt;=TODAY(),R391,""),"")</f>
        <v/>
      </c>
      <c r="V391">
        <f>IF(AND(ISNUMBER(B391),OR(H391="Draft",H391="Scheduled")),IF(INT(B391)&lt;TODAY(),1,0),0)</f>
        <v/>
      </c>
      <c r="W391">
        <f>IF(AND(H391="Published",N(O391)&gt;0),IF(T391=(YEAR(TODAY())*100+MONTH(TODAY())),ROUND(O391,0)*1000+1000-ROW(),""),"")</f>
        <v/>
      </c>
    </row>
    <row r="392">
      <c r="A392" s="1" t="n"/>
      <c r="B392" s="21" t="n"/>
      <c r="C392" s="22" t="n"/>
      <c r="D392" s="23" t="n"/>
      <c r="E392" s="24" t="n"/>
      <c r="F392" s="23" t="n"/>
      <c r="G392" s="25" t="n"/>
      <c r="H392" s="24" t="n"/>
      <c r="I392" s="23" t="n"/>
      <c r="J392" s="26" t="n"/>
      <c r="K392" s="26" t="n"/>
      <c r="L392" s="26" t="n"/>
      <c r="M392" s="26" t="n"/>
      <c r="N392" s="26" t="n"/>
      <c r="O392" s="27">
        <f>IF(COUNT(K392:N392)=0,"",SUM(K392:N392))</f>
        <v/>
      </c>
      <c r="P392" s="16">
        <f>IF(OR(O392="",N(J392)&lt;=0),"",O392/J392)</f>
        <v/>
      </c>
      <c r="Q392" s="28">
        <f>IF(V392=1,"Late","")</f>
        <v/>
      </c>
      <c r="R392" s="1">
        <f>IF(ISNUMBER(B392),INT(B392)*10000000+IF(ISNUMBER(C392),ROUND(MOD(C392,1)*1440,0),0)*1000+ROW(),"")</f>
        <v/>
      </c>
      <c r="S392">
        <f>IF(ISNUMBER(B392),INT(B392)-WEEKDAY(B392,3),"")</f>
        <v/>
      </c>
      <c r="T392">
        <f>IF(ISNUMBER(B392),YEAR(B392)*100+MONTH(B392),"")</f>
        <v/>
      </c>
      <c r="U392">
        <f>IF(AND(ISNUMBER(B392),H392&lt;&gt;"Published"),IF(INT(B392)&gt;=TODAY(),R392,""),"")</f>
        <v/>
      </c>
      <c r="V392">
        <f>IF(AND(ISNUMBER(B392),OR(H392="Draft",H392="Scheduled")),IF(INT(B392)&lt;TODAY(),1,0),0)</f>
        <v/>
      </c>
      <c r="W392">
        <f>IF(AND(H392="Published",N(O392)&gt;0),IF(T392=(YEAR(TODAY())*100+MONTH(TODAY())),ROUND(O392,0)*1000+1000-ROW(),""),"")</f>
        <v/>
      </c>
    </row>
    <row r="393">
      <c r="A393" s="1" t="n"/>
      <c r="B393" s="21" t="n"/>
      <c r="C393" s="22" t="n"/>
      <c r="D393" s="23" t="n"/>
      <c r="E393" s="24" t="n"/>
      <c r="F393" s="23" t="n"/>
      <c r="G393" s="25" t="n"/>
      <c r="H393" s="24" t="n"/>
      <c r="I393" s="23" t="n"/>
      <c r="J393" s="26" t="n"/>
      <c r="K393" s="26" t="n"/>
      <c r="L393" s="26" t="n"/>
      <c r="M393" s="26" t="n"/>
      <c r="N393" s="26" t="n"/>
      <c r="O393" s="27">
        <f>IF(COUNT(K393:N393)=0,"",SUM(K393:N393))</f>
        <v/>
      </c>
      <c r="P393" s="16">
        <f>IF(OR(O393="",N(J393)&lt;=0),"",O393/J393)</f>
        <v/>
      </c>
      <c r="Q393" s="28">
        <f>IF(V393=1,"Late","")</f>
        <v/>
      </c>
      <c r="R393" s="1">
        <f>IF(ISNUMBER(B393),INT(B393)*10000000+IF(ISNUMBER(C393),ROUND(MOD(C393,1)*1440,0),0)*1000+ROW(),"")</f>
        <v/>
      </c>
      <c r="S393">
        <f>IF(ISNUMBER(B393),INT(B393)-WEEKDAY(B393,3),"")</f>
        <v/>
      </c>
      <c r="T393">
        <f>IF(ISNUMBER(B393),YEAR(B393)*100+MONTH(B393),"")</f>
        <v/>
      </c>
      <c r="U393">
        <f>IF(AND(ISNUMBER(B393),H393&lt;&gt;"Published"),IF(INT(B393)&gt;=TODAY(),R393,""),"")</f>
        <v/>
      </c>
      <c r="V393">
        <f>IF(AND(ISNUMBER(B393),OR(H393="Draft",H393="Scheduled")),IF(INT(B393)&lt;TODAY(),1,0),0)</f>
        <v/>
      </c>
      <c r="W393">
        <f>IF(AND(H393="Published",N(O393)&gt;0),IF(T393=(YEAR(TODAY())*100+MONTH(TODAY())),ROUND(O393,0)*1000+1000-ROW(),""),"")</f>
        <v/>
      </c>
    </row>
    <row r="394">
      <c r="A394" s="1" t="n"/>
      <c r="B394" s="21" t="n"/>
      <c r="C394" s="22" t="n"/>
      <c r="D394" s="23" t="n"/>
      <c r="E394" s="24" t="n"/>
      <c r="F394" s="23" t="n"/>
      <c r="G394" s="25" t="n"/>
      <c r="H394" s="24" t="n"/>
      <c r="I394" s="23" t="n"/>
      <c r="J394" s="26" t="n"/>
      <c r="K394" s="26" t="n"/>
      <c r="L394" s="26" t="n"/>
      <c r="M394" s="26" t="n"/>
      <c r="N394" s="26" t="n"/>
      <c r="O394" s="27">
        <f>IF(COUNT(K394:N394)=0,"",SUM(K394:N394))</f>
        <v/>
      </c>
      <c r="P394" s="16">
        <f>IF(OR(O394="",N(J394)&lt;=0),"",O394/J394)</f>
        <v/>
      </c>
      <c r="Q394" s="28">
        <f>IF(V394=1,"Late","")</f>
        <v/>
      </c>
      <c r="R394" s="1">
        <f>IF(ISNUMBER(B394),INT(B394)*10000000+IF(ISNUMBER(C394),ROUND(MOD(C394,1)*1440,0),0)*1000+ROW(),"")</f>
        <v/>
      </c>
      <c r="S394">
        <f>IF(ISNUMBER(B394),INT(B394)-WEEKDAY(B394,3),"")</f>
        <v/>
      </c>
      <c r="T394">
        <f>IF(ISNUMBER(B394),YEAR(B394)*100+MONTH(B394),"")</f>
        <v/>
      </c>
      <c r="U394">
        <f>IF(AND(ISNUMBER(B394),H394&lt;&gt;"Published"),IF(INT(B394)&gt;=TODAY(),R394,""),"")</f>
        <v/>
      </c>
      <c r="V394">
        <f>IF(AND(ISNUMBER(B394),OR(H394="Draft",H394="Scheduled")),IF(INT(B394)&lt;TODAY(),1,0),0)</f>
        <v/>
      </c>
      <c r="W394">
        <f>IF(AND(H394="Published",N(O394)&gt;0),IF(T394=(YEAR(TODAY())*100+MONTH(TODAY())),ROUND(O394,0)*1000+1000-ROW(),""),"")</f>
        <v/>
      </c>
    </row>
    <row r="395">
      <c r="A395" s="1" t="n"/>
      <c r="B395" s="21" t="n"/>
      <c r="C395" s="22" t="n"/>
      <c r="D395" s="23" t="n"/>
      <c r="E395" s="24" t="n"/>
      <c r="F395" s="23" t="n"/>
      <c r="G395" s="25" t="n"/>
      <c r="H395" s="24" t="n"/>
      <c r="I395" s="23" t="n"/>
      <c r="J395" s="26" t="n"/>
      <c r="K395" s="26" t="n"/>
      <c r="L395" s="26" t="n"/>
      <c r="M395" s="26" t="n"/>
      <c r="N395" s="26" t="n"/>
      <c r="O395" s="27">
        <f>IF(COUNT(K395:N395)=0,"",SUM(K395:N395))</f>
        <v/>
      </c>
      <c r="P395" s="16">
        <f>IF(OR(O395="",N(J395)&lt;=0),"",O395/J395)</f>
        <v/>
      </c>
      <c r="Q395" s="28">
        <f>IF(V395=1,"Late","")</f>
        <v/>
      </c>
      <c r="R395" s="1">
        <f>IF(ISNUMBER(B395),INT(B395)*10000000+IF(ISNUMBER(C395),ROUND(MOD(C395,1)*1440,0),0)*1000+ROW(),"")</f>
        <v/>
      </c>
      <c r="S395">
        <f>IF(ISNUMBER(B395),INT(B395)-WEEKDAY(B395,3),"")</f>
        <v/>
      </c>
      <c r="T395">
        <f>IF(ISNUMBER(B395),YEAR(B395)*100+MONTH(B395),"")</f>
        <v/>
      </c>
      <c r="U395">
        <f>IF(AND(ISNUMBER(B395),H395&lt;&gt;"Published"),IF(INT(B395)&gt;=TODAY(),R395,""),"")</f>
        <v/>
      </c>
      <c r="V395">
        <f>IF(AND(ISNUMBER(B395),OR(H395="Draft",H395="Scheduled")),IF(INT(B395)&lt;TODAY(),1,0),0)</f>
        <v/>
      </c>
      <c r="W395">
        <f>IF(AND(H395="Published",N(O395)&gt;0),IF(T395=(YEAR(TODAY())*100+MONTH(TODAY())),ROUND(O395,0)*1000+1000-ROW(),""),"")</f>
        <v/>
      </c>
    </row>
    <row r="396">
      <c r="A396" s="1" t="n"/>
      <c r="B396" s="21" t="n"/>
      <c r="C396" s="22" t="n"/>
      <c r="D396" s="23" t="n"/>
      <c r="E396" s="24" t="n"/>
      <c r="F396" s="23" t="n"/>
      <c r="G396" s="25" t="n"/>
      <c r="H396" s="24" t="n"/>
      <c r="I396" s="23" t="n"/>
      <c r="J396" s="26" t="n"/>
      <c r="K396" s="26" t="n"/>
      <c r="L396" s="26" t="n"/>
      <c r="M396" s="26" t="n"/>
      <c r="N396" s="26" t="n"/>
      <c r="O396" s="27">
        <f>IF(COUNT(K396:N396)=0,"",SUM(K396:N396))</f>
        <v/>
      </c>
      <c r="P396" s="16">
        <f>IF(OR(O396="",N(J396)&lt;=0),"",O396/J396)</f>
        <v/>
      </c>
      <c r="Q396" s="28">
        <f>IF(V396=1,"Late","")</f>
        <v/>
      </c>
      <c r="R396" s="1">
        <f>IF(ISNUMBER(B396),INT(B396)*10000000+IF(ISNUMBER(C396),ROUND(MOD(C396,1)*1440,0),0)*1000+ROW(),"")</f>
        <v/>
      </c>
      <c r="S396">
        <f>IF(ISNUMBER(B396),INT(B396)-WEEKDAY(B396,3),"")</f>
        <v/>
      </c>
      <c r="T396">
        <f>IF(ISNUMBER(B396),YEAR(B396)*100+MONTH(B396),"")</f>
        <v/>
      </c>
      <c r="U396">
        <f>IF(AND(ISNUMBER(B396),H396&lt;&gt;"Published"),IF(INT(B396)&gt;=TODAY(),R396,""),"")</f>
        <v/>
      </c>
      <c r="V396">
        <f>IF(AND(ISNUMBER(B396),OR(H396="Draft",H396="Scheduled")),IF(INT(B396)&lt;TODAY(),1,0),0)</f>
        <v/>
      </c>
      <c r="W396">
        <f>IF(AND(H396="Published",N(O396)&gt;0),IF(T396=(YEAR(TODAY())*100+MONTH(TODAY())),ROUND(O396,0)*1000+1000-ROW(),""),"")</f>
        <v/>
      </c>
    </row>
    <row r="397">
      <c r="A397" s="1" t="n"/>
      <c r="B397" s="21" t="n"/>
      <c r="C397" s="22" t="n"/>
      <c r="D397" s="23" t="n"/>
      <c r="E397" s="24" t="n"/>
      <c r="F397" s="23" t="n"/>
      <c r="G397" s="25" t="n"/>
      <c r="H397" s="24" t="n"/>
      <c r="I397" s="23" t="n"/>
      <c r="J397" s="26" t="n"/>
      <c r="K397" s="26" t="n"/>
      <c r="L397" s="26" t="n"/>
      <c r="M397" s="26" t="n"/>
      <c r="N397" s="26" t="n"/>
      <c r="O397" s="27">
        <f>IF(COUNT(K397:N397)=0,"",SUM(K397:N397))</f>
        <v/>
      </c>
      <c r="P397" s="16">
        <f>IF(OR(O397="",N(J397)&lt;=0),"",O397/J397)</f>
        <v/>
      </c>
      <c r="Q397" s="28">
        <f>IF(V397=1,"Late","")</f>
        <v/>
      </c>
      <c r="R397" s="1">
        <f>IF(ISNUMBER(B397),INT(B397)*10000000+IF(ISNUMBER(C397),ROUND(MOD(C397,1)*1440,0),0)*1000+ROW(),"")</f>
        <v/>
      </c>
      <c r="S397">
        <f>IF(ISNUMBER(B397),INT(B397)-WEEKDAY(B397,3),"")</f>
        <v/>
      </c>
      <c r="T397">
        <f>IF(ISNUMBER(B397),YEAR(B397)*100+MONTH(B397),"")</f>
        <v/>
      </c>
      <c r="U397">
        <f>IF(AND(ISNUMBER(B397),H397&lt;&gt;"Published"),IF(INT(B397)&gt;=TODAY(),R397,""),"")</f>
        <v/>
      </c>
      <c r="V397">
        <f>IF(AND(ISNUMBER(B397),OR(H397="Draft",H397="Scheduled")),IF(INT(B397)&lt;TODAY(),1,0),0)</f>
        <v/>
      </c>
      <c r="W397">
        <f>IF(AND(H397="Published",N(O397)&gt;0),IF(T397=(YEAR(TODAY())*100+MONTH(TODAY())),ROUND(O397,0)*1000+1000-ROW(),""),"")</f>
        <v/>
      </c>
    </row>
    <row r="398">
      <c r="A398" s="1" t="n"/>
      <c r="B398" s="21" t="n"/>
      <c r="C398" s="22" t="n"/>
      <c r="D398" s="23" t="n"/>
      <c r="E398" s="24" t="n"/>
      <c r="F398" s="23" t="n"/>
      <c r="G398" s="25" t="n"/>
      <c r="H398" s="24" t="n"/>
      <c r="I398" s="23" t="n"/>
      <c r="J398" s="26" t="n"/>
      <c r="K398" s="26" t="n"/>
      <c r="L398" s="26" t="n"/>
      <c r="M398" s="26" t="n"/>
      <c r="N398" s="26" t="n"/>
      <c r="O398" s="27">
        <f>IF(COUNT(K398:N398)=0,"",SUM(K398:N398))</f>
        <v/>
      </c>
      <c r="P398" s="16">
        <f>IF(OR(O398="",N(J398)&lt;=0),"",O398/J398)</f>
        <v/>
      </c>
      <c r="Q398" s="28">
        <f>IF(V398=1,"Late","")</f>
        <v/>
      </c>
      <c r="R398" s="1">
        <f>IF(ISNUMBER(B398),INT(B398)*10000000+IF(ISNUMBER(C398),ROUND(MOD(C398,1)*1440,0),0)*1000+ROW(),"")</f>
        <v/>
      </c>
      <c r="S398">
        <f>IF(ISNUMBER(B398),INT(B398)-WEEKDAY(B398,3),"")</f>
        <v/>
      </c>
      <c r="T398">
        <f>IF(ISNUMBER(B398),YEAR(B398)*100+MONTH(B398),"")</f>
        <v/>
      </c>
      <c r="U398">
        <f>IF(AND(ISNUMBER(B398),H398&lt;&gt;"Published"),IF(INT(B398)&gt;=TODAY(),R398,""),"")</f>
        <v/>
      </c>
      <c r="V398">
        <f>IF(AND(ISNUMBER(B398),OR(H398="Draft",H398="Scheduled")),IF(INT(B398)&lt;TODAY(),1,0),0)</f>
        <v/>
      </c>
      <c r="W398">
        <f>IF(AND(H398="Published",N(O398)&gt;0),IF(T398=(YEAR(TODAY())*100+MONTH(TODAY())),ROUND(O398,0)*1000+1000-ROW(),""),"")</f>
        <v/>
      </c>
    </row>
    <row r="399">
      <c r="A399" s="1" t="n"/>
      <c r="B399" s="21" t="n"/>
      <c r="C399" s="22" t="n"/>
      <c r="D399" s="23" t="n"/>
      <c r="E399" s="24" t="n"/>
      <c r="F399" s="23" t="n"/>
      <c r="G399" s="25" t="n"/>
      <c r="H399" s="24" t="n"/>
      <c r="I399" s="23" t="n"/>
      <c r="J399" s="26" t="n"/>
      <c r="K399" s="26" t="n"/>
      <c r="L399" s="26" t="n"/>
      <c r="M399" s="26" t="n"/>
      <c r="N399" s="26" t="n"/>
      <c r="O399" s="27">
        <f>IF(COUNT(K399:N399)=0,"",SUM(K399:N399))</f>
        <v/>
      </c>
      <c r="P399" s="16">
        <f>IF(OR(O399="",N(J399)&lt;=0),"",O399/J399)</f>
        <v/>
      </c>
      <c r="Q399" s="28">
        <f>IF(V399=1,"Late","")</f>
        <v/>
      </c>
      <c r="R399" s="1">
        <f>IF(ISNUMBER(B399),INT(B399)*10000000+IF(ISNUMBER(C399),ROUND(MOD(C399,1)*1440,0),0)*1000+ROW(),"")</f>
        <v/>
      </c>
      <c r="S399">
        <f>IF(ISNUMBER(B399),INT(B399)-WEEKDAY(B399,3),"")</f>
        <v/>
      </c>
      <c r="T399">
        <f>IF(ISNUMBER(B399),YEAR(B399)*100+MONTH(B399),"")</f>
        <v/>
      </c>
      <c r="U399">
        <f>IF(AND(ISNUMBER(B399),H399&lt;&gt;"Published"),IF(INT(B399)&gt;=TODAY(),R399,""),"")</f>
        <v/>
      </c>
      <c r="V399">
        <f>IF(AND(ISNUMBER(B399),OR(H399="Draft",H399="Scheduled")),IF(INT(B399)&lt;TODAY(),1,0),0)</f>
        <v/>
      </c>
      <c r="W399">
        <f>IF(AND(H399="Published",N(O399)&gt;0),IF(T399=(YEAR(TODAY())*100+MONTH(TODAY())),ROUND(O399,0)*1000+1000-ROW(),""),"")</f>
        <v/>
      </c>
    </row>
    <row r="400">
      <c r="A400" s="1" t="n"/>
      <c r="B400" s="21" t="n"/>
      <c r="C400" s="22" t="n"/>
      <c r="D400" s="23" t="n"/>
      <c r="E400" s="24" t="n"/>
      <c r="F400" s="23" t="n"/>
      <c r="G400" s="25" t="n"/>
      <c r="H400" s="24" t="n"/>
      <c r="I400" s="23" t="n"/>
      <c r="J400" s="26" t="n"/>
      <c r="K400" s="26" t="n"/>
      <c r="L400" s="26" t="n"/>
      <c r="M400" s="26" t="n"/>
      <c r="N400" s="26" t="n"/>
      <c r="O400" s="27">
        <f>IF(COUNT(K400:N400)=0,"",SUM(K400:N400))</f>
        <v/>
      </c>
      <c r="P400" s="16">
        <f>IF(OR(O400="",N(J400)&lt;=0),"",O400/J400)</f>
        <v/>
      </c>
      <c r="Q400" s="28">
        <f>IF(V400=1,"Late","")</f>
        <v/>
      </c>
      <c r="R400" s="1">
        <f>IF(ISNUMBER(B400),INT(B400)*10000000+IF(ISNUMBER(C400),ROUND(MOD(C400,1)*1440,0),0)*1000+ROW(),"")</f>
        <v/>
      </c>
      <c r="S400">
        <f>IF(ISNUMBER(B400),INT(B400)-WEEKDAY(B400,3),"")</f>
        <v/>
      </c>
      <c r="T400">
        <f>IF(ISNUMBER(B400),YEAR(B400)*100+MONTH(B400),"")</f>
        <v/>
      </c>
      <c r="U400">
        <f>IF(AND(ISNUMBER(B400),H400&lt;&gt;"Published"),IF(INT(B400)&gt;=TODAY(),R400,""),"")</f>
        <v/>
      </c>
      <c r="V400">
        <f>IF(AND(ISNUMBER(B400),OR(H400="Draft",H400="Scheduled")),IF(INT(B400)&lt;TODAY(),1,0),0)</f>
        <v/>
      </c>
      <c r="W400">
        <f>IF(AND(H400="Published",N(O400)&gt;0),IF(T400=(YEAR(TODAY())*100+MONTH(TODAY())),ROUND(O400,0)*1000+1000-ROW(),""),"")</f>
        <v/>
      </c>
    </row>
    <row r="401">
      <c r="A401" s="1" t="n"/>
      <c r="B401" s="21" t="n"/>
      <c r="C401" s="22" t="n"/>
      <c r="D401" s="23" t="n"/>
      <c r="E401" s="24" t="n"/>
      <c r="F401" s="23" t="n"/>
      <c r="G401" s="25" t="n"/>
      <c r="H401" s="24" t="n"/>
      <c r="I401" s="23" t="n"/>
      <c r="J401" s="26" t="n"/>
      <c r="K401" s="26" t="n"/>
      <c r="L401" s="26" t="n"/>
      <c r="M401" s="26" t="n"/>
      <c r="N401" s="26" t="n"/>
      <c r="O401" s="27">
        <f>IF(COUNT(K401:N401)=0,"",SUM(K401:N401))</f>
        <v/>
      </c>
      <c r="P401" s="16">
        <f>IF(OR(O401="",N(J401)&lt;=0),"",O401/J401)</f>
        <v/>
      </c>
      <c r="Q401" s="28">
        <f>IF(V401=1,"Late","")</f>
        <v/>
      </c>
      <c r="R401" s="1">
        <f>IF(ISNUMBER(B401),INT(B401)*10000000+IF(ISNUMBER(C401),ROUND(MOD(C401,1)*1440,0),0)*1000+ROW(),"")</f>
        <v/>
      </c>
      <c r="S401">
        <f>IF(ISNUMBER(B401),INT(B401)-WEEKDAY(B401,3),"")</f>
        <v/>
      </c>
      <c r="T401">
        <f>IF(ISNUMBER(B401),YEAR(B401)*100+MONTH(B401),"")</f>
        <v/>
      </c>
      <c r="U401">
        <f>IF(AND(ISNUMBER(B401),H401&lt;&gt;"Published"),IF(INT(B401)&gt;=TODAY(),R401,""),"")</f>
        <v/>
      </c>
      <c r="V401">
        <f>IF(AND(ISNUMBER(B401),OR(H401="Draft",H401="Scheduled")),IF(INT(B401)&lt;TODAY(),1,0),0)</f>
        <v/>
      </c>
      <c r="W401">
        <f>IF(AND(H401="Published",N(O401)&gt;0),IF(T401=(YEAR(TODAY())*100+MONTH(TODAY())),ROUND(O401,0)*1000+1000-ROW(),""),"")</f>
        <v/>
      </c>
    </row>
    <row r="402">
      <c r="A402" s="1" t="n"/>
      <c r="B402" s="21" t="n"/>
      <c r="C402" s="22" t="n"/>
      <c r="D402" s="23" t="n"/>
      <c r="E402" s="24" t="n"/>
      <c r="F402" s="23" t="n"/>
      <c r="G402" s="25" t="n"/>
      <c r="H402" s="24" t="n"/>
      <c r="I402" s="23" t="n"/>
      <c r="J402" s="26" t="n"/>
      <c r="K402" s="26" t="n"/>
      <c r="L402" s="26" t="n"/>
      <c r="M402" s="26" t="n"/>
      <c r="N402" s="26" t="n"/>
      <c r="O402" s="27">
        <f>IF(COUNT(K402:N402)=0,"",SUM(K402:N402))</f>
        <v/>
      </c>
      <c r="P402" s="16">
        <f>IF(OR(O402="",N(J402)&lt;=0),"",O402/J402)</f>
        <v/>
      </c>
      <c r="Q402" s="28">
        <f>IF(V402=1,"Late","")</f>
        <v/>
      </c>
      <c r="R402" s="1">
        <f>IF(ISNUMBER(B402),INT(B402)*10000000+IF(ISNUMBER(C402),ROUND(MOD(C402,1)*1440,0),0)*1000+ROW(),"")</f>
        <v/>
      </c>
      <c r="S402">
        <f>IF(ISNUMBER(B402),INT(B402)-WEEKDAY(B402,3),"")</f>
        <v/>
      </c>
      <c r="T402">
        <f>IF(ISNUMBER(B402),YEAR(B402)*100+MONTH(B402),"")</f>
        <v/>
      </c>
      <c r="U402">
        <f>IF(AND(ISNUMBER(B402),H402&lt;&gt;"Published"),IF(INT(B402)&gt;=TODAY(),R402,""),"")</f>
        <v/>
      </c>
      <c r="V402">
        <f>IF(AND(ISNUMBER(B402),OR(H402="Draft",H402="Scheduled")),IF(INT(B402)&lt;TODAY(),1,0),0)</f>
        <v/>
      </c>
      <c r="W402">
        <f>IF(AND(H402="Published",N(O402)&gt;0),IF(T402=(YEAR(TODAY())*100+MONTH(TODAY())),ROUND(O402,0)*1000+1000-ROW(),""),"")</f>
        <v/>
      </c>
    </row>
    <row r="403">
      <c r="A403" s="1" t="n"/>
      <c r="B403" s="21" t="n"/>
      <c r="C403" s="22" t="n"/>
      <c r="D403" s="23" t="n"/>
      <c r="E403" s="24" t="n"/>
      <c r="F403" s="23" t="n"/>
      <c r="G403" s="25" t="n"/>
      <c r="H403" s="24" t="n"/>
      <c r="I403" s="23" t="n"/>
      <c r="J403" s="26" t="n"/>
      <c r="K403" s="26" t="n"/>
      <c r="L403" s="26" t="n"/>
      <c r="M403" s="26" t="n"/>
      <c r="N403" s="26" t="n"/>
      <c r="O403" s="27">
        <f>IF(COUNT(K403:N403)=0,"",SUM(K403:N403))</f>
        <v/>
      </c>
      <c r="P403" s="16">
        <f>IF(OR(O403="",N(J403)&lt;=0),"",O403/J403)</f>
        <v/>
      </c>
      <c r="Q403" s="28">
        <f>IF(V403=1,"Late","")</f>
        <v/>
      </c>
      <c r="R403" s="1">
        <f>IF(ISNUMBER(B403),INT(B403)*10000000+IF(ISNUMBER(C403),ROUND(MOD(C403,1)*1440,0),0)*1000+ROW(),"")</f>
        <v/>
      </c>
      <c r="S403">
        <f>IF(ISNUMBER(B403),INT(B403)-WEEKDAY(B403,3),"")</f>
        <v/>
      </c>
      <c r="T403">
        <f>IF(ISNUMBER(B403),YEAR(B403)*100+MONTH(B403),"")</f>
        <v/>
      </c>
      <c r="U403">
        <f>IF(AND(ISNUMBER(B403),H403&lt;&gt;"Published"),IF(INT(B403)&gt;=TODAY(),R403,""),"")</f>
        <v/>
      </c>
      <c r="V403">
        <f>IF(AND(ISNUMBER(B403),OR(H403="Draft",H403="Scheduled")),IF(INT(B403)&lt;TODAY(),1,0),0)</f>
        <v/>
      </c>
      <c r="W403">
        <f>IF(AND(H403="Published",N(O403)&gt;0),IF(T403=(YEAR(TODAY())*100+MONTH(TODAY())),ROUND(O403,0)*1000+1000-ROW(),""),"")</f>
        <v/>
      </c>
    </row>
    <row r="404">
      <c r="A404" s="1" t="n"/>
      <c r="B404" s="21" t="n"/>
      <c r="C404" s="22" t="n"/>
      <c r="D404" s="23" t="n"/>
      <c r="E404" s="24" t="n"/>
      <c r="F404" s="23" t="n"/>
      <c r="G404" s="25" t="n"/>
      <c r="H404" s="24" t="n"/>
      <c r="I404" s="23" t="n"/>
      <c r="J404" s="26" t="n"/>
      <c r="K404" s="26" t="n"/>
      <c r="L404" s="26" t="n"/>
      <c r="M404" s="26" t="n"/>
      <c r="N404" s="26" t="n"/>
      <c r="O404" s="27">
        <f>IF(COUNT(K404:N404)=0,"",SUM(K404:N404))</f>
        <v/>
      </c>
      <c r="P404" s="16">
        <f>IF(OR(O404="",N(J404)&lt;=0),"",O404/J404)</f>
        <v/>
      </c>
      <c r="Q404" s="28">
        <f>IF(V404=1,"Late","")</f>
        <v/>
      </c>
      <c r="R404" s="1">
        <f>IF(ISNUMBER(B404),INT(B404)*10000000+IF(ISNUMBER(C404),ROUND(MOD(C404,1)*1440,0),0)*1000+ROW(),"")</f>
        <v/>
      </c>
      <c r="S404">
        <f>IF(ISNUMBER(B404),INT(B404)-WEEKDAY(B404,3),"")</f>
        <v/>
      </c>
      <c r="T404">
        <f>IF(ISNUMBER(B404),YEAR(B404)*100+MONTH(B404),"")</f>
        <v/>
      </c>
      <c r="U404">
        <f>IF(AND(ISNUMBER(B404),H404&lt;&gt;"Published"),IF(INT(B404)&gt;=TODAY(),R404,""),"")</f>
        <v/>
      </c>
      <c r="V404">
        <f>IF(AND(ISNUMBER(B404),OR(H404="Draft",H404="Scheduled")),IF(INT(B404)&lt;TODAY(),1,0),0)</f>
        <v/>
      </c>
      <c r="W404">
        <f>IF(AND(H404="Published",N(O404)&gt;0),IF(T404=(YEAR(TODAY())*100+MONTH(TODAY())),ROUND(O404,0)*1000+1000-ROW(),""),"")</f>
        <v/>
      </c>
    </row>
    <row r="405">
      <c r="A405" s="1" t="n"/>
      <c r="B405" s="21" t="n"/>
      <c r="C405" s="22" t="n"/>
      <c r="D405" s="23" t="n"/>
      <c r="E405" s="24" t="n"/>
      <c r="F405" s="23" t="n"/>
      <c r="G405" s="25" t="n"/>
      <c r="H405" s="24" t="n"/>
      <c r="I405" s="23" t="n"/>
      <c r="J405" s="26" t="n"/>
      <c r="K405" s="26" t="n"/>
      <c r="L405" s="26" t="n"/>
      <c r="M405" s="26" t="n"/>
      <c r="N405" s="26" t="n"/>
      <c r="O405" s="27">
        <f>IF(COUNT(K405:N405)=0,"",SUM(K405:N405))</f>
        <v/>
      </c>
      <c r="P405" s="16">
        <f>IF(OR(O405="",N(J405)&lt;=0),"",O405/J405)</f>
        <v/>
      </c>
      <c r="Q405" s="28">
        <f>IF(V405=1,"Late","")</f>
        <v/>
      </c>
      <c r="R405" s="1">
        <f>IF(ISNUMBER(B405),INT(B405)*10000000+IF(ISNUMBER(C405),ROUND(MOD(C405,1)*1440,0),0)*1000+ROW(),"")</f>
        <v/>
      </c>
      <c r="S405">
        <f>IF(ISNUMBER(B405),INT(B405)-WEEKDAY(B405,3),"")</f>
        <v/>
      </c>
      <c r="T405">
        <f>IF(ISNUMBER(B405),YEAR(B405)*100+MONTH(B405),"")</f>
        <v/>
      </c>
      <c r="U405">
        <f>IF(AND(ISNUMBER(B405),H405&lt;&gt;"Published"),IF(INT(B405)&gt;=TODAY(),R405,""),"")</f>
        <v/>
      </c>
      <c r="V405">
        <f>IF(AND(ISNUMBER(B405),OR(H405="Draft",H405="Scheduled")),IF(INT(B405)&lt;TODAY(),1,0),0)</f>
        <v/>
      </c>
      <c r="W405">
        <f>IF(AND(H405="Published",N(O405)&gt;0),IF(T405=(YEAR(TODAY())*100+MONTH(TODAY())),ROUND(O405,0)*1000+1000-ROW(),""),"")</f>
        <v/>
      </c>
    </row>
    <row r="406">
      <c r="A406" s="1" t="n"/>
      <c r="B406" s="21" t="n"/>
      <c r="C406" s="22" t="n"/>
      <c r="D406" s="23" t="n"/>
      <c r="E406" s="24" t="n"/>
      <c r="F406" s="23" t="n"/>
      <c r="G406" s="25" t="n"/>
      <c r="H406" s="24" t="n"/>
      <c r="I406" s="23" t="n"/>
      <c r="J406" s="26" t="n"/>
      <c r="K406" s="26" t="n"/>
      <c r="L406" s="26" t="n"/>
      <c r="M406" s="26" t="n"/>
      <c r="N406" s="26" t="n"/>
      <c r="O406" s="27">
        <f>IF(COUNT(K406:N406)=0,"",SUM(K406:N406))</f>
        <v/>
      </c>
      <c r="P406" s="16">
        <f>IF(OR(O406="",N(J406)&lt;=0),"",O406/J406)</f>
        <v/>
      </c>
      <c r="Q406" s="28">
        <f>IF(V406=1,"Late","")</f>
        <v/>
      </c>
      <c r="R406" s="1">
        <f>IF(ISNUMBER(B406),INT(B406)*10000000+IF(ISNUMBER(C406),ROUND(MOD(C406,1)*1440,0),0)*1000+ROW(),"")</f>
        <v/>
      </c>
      <c r="S406">
        <f>IF(ISNUMBER(B406),INT(B406)-WEEKDAY(B406,3),"")</f>
        <v/>
      </c>
      <c r="T406">
        <f>IF(ISNUMBER(B406),YEAR(B406)*100+MONTH(B406),"")</f>
        <v/>
      </c>
      <c r="U406">
        <f>IF(AND(ISNUMBER(B406),H406&lt;&gt;"Published"),IF(INT(B406)&gt;=TODAY(),R406,""),"")</f>
        <v/>
      </c>
      <c r="V406">
        <f>IF(AND(ISNUMBER(B406),OR(H406="Draft",H406="Scheduled")),IF(INT(B406)&lt;TODAY(),1,0),0)</f>
        <v/>
      </c>
      <c r="W406">
        <f>IF(AND(H406="Published",N(O406)&gt;0),IF(T406=(YEAR(TODAY())*100+MONTH(TODAY())),ROUND(O406,0)*1000+1000-ROW(),""),"")</f>
        <v/>
      </c>
    </row>
    <row r="407">
      <c r="A407" s="1" t="n"/>
      <c r="B407" s="21" t="n"/>
      <c r="C407" s="22" t="n"/>
      <c r="D407" s="23" t="n"/>
      <c r="E407" s="24" t="n"/>
      <c r="F407" s="23" t="n"/>
      <c r="G407" s="25" t="n"/>
      <c r="H407" s="24" t="n"/>
      <c r="I407" s="23" t="n"/>
      <c r="J407" s="26" t="n"/>
      <c r="K407" s="26" t="n"/>
      <c r="L407" s="26" t="n"/>
      <c r="M407" s="26" t="n"/>
      <c r="N407" s="26" t="n"/>
      <c r="O407" s="27">
        <f>IF(COUNT(K407:N407)=0,"",SUM(K407:N407))</f>
        <v/>
      </c>
      <c r="P407" s="16">
        <f>IF(OR(O407="",N(J407)&lt;=0),"",O407/J407)</f>
        <v/>
      </c>
      <c r="Q407" s="28">
        <f>IF(V407=1,"Late","")</f>
        <v/>
      </c>
      <c r="R407" s="1">
        <f>IF(ISNUMBER(B407),INT(B407)*10000000+IF(ISNUMBER(C407),ROUND(MOD(C407,1)*1440,0),0)*1000+ROW(),"")</f>
        <v/>
      </c>
      <c r="S407">
        <f>IF(ISNUMBER(B407),INT(B407)-WEEKDAY(B407,3),"")</f>
        <v/>
      </c>
      <c r="T407">
        <f>IF(ISNUMBER(B407),YEAR(B407)*100+MONTH(B407),"")</f>
        <v/>
      </c>
      <c r="U407">
        <f>IF(AND(ISNUMBER(B407),H407&lt;&gt;"Published"),IF(INT(B407)&gt;=TODAY(),R407,""),"")</f>
        <v/>
      </c>
      <c r="V407">
        <f>IF(AND(ISNUMBER(B407),OR(H407="Draft",H407="Scheduled")),IF(INT(B407)&lt;TODAY(),1,0),0)</f>
        <v/>
      </c>
      <c r="W407">
        <f>IF(AND(H407="Published",N(O407)&gt;0),IF(T407=(YEAR(TODAY())*100+MONTH(TODAY())),ROUND(O407,0)*1000+1000-ROW(),""),"")</f>
        <v/>
      </c>
    </row>
    <row r="408">
      <c r="A408" s="1" t="n"/>
      <c r="B408" s="21" t="n"/>
      <c r="C408" s="22" t="n"/>
      <c r="D408" s="23" t="n"/>
      <c r="E408" s="24" t="n"/>
      <c r="F408" s="23" t="n"/>
      <c r="G408" s="25" t="n"/>
      <c r="H408" s="24" t="n"/>
      <c r="I408" s="23" t="n"/>
      <c r="J408" s="26" t="n"/>
      <c r="K408" s="26" t="n"/>
      <c r="L408" s="26" t="n"/>
      <c r="M408" s="26" t="n"/>
      <c r="N408" s="26" t="n"/>
      <c r="O408" s="27">
        <f>IF(COUNT(K408:N408)=0,"",SUM(K408:N408))</f>
        <v/>
      </c>
      <c r="P408" s="16">
        <f>IF(OR(O408="",N(J408)&lt;=0),"",O408/J408)</f>
        <v/>
      </c>
      <c r="Q408" s="28">
        <f>IF(V408=1,"Late","")</f>
        <v/>
      </c>
      <c r="R408" s="1">
        <f>IF(ISNUMBER(B408),INT(B408)*10000000+IF(ISNUMBER(C408),ROUND(MOD(C408,1)*1440,0),0)*1000+ROW(),"")</f>
        <v/>
      </c>
      <c r="S408">
        <f>IF(ISNUMBER(B408),INT(B408)-WEEKDAY(B408,3),"")</f>
        <v/>
      </c>
      <c r="T408">
        <f>IF(ISNUMBER(B408),YEAR(B408)*100+MONTH(B408),"")</f>
        <v/>
      </c>
      <c r="U408">
        <f>IF(AND(ISNUMBER(B408),H408&lt;&gt;"Published"),IF(INT(B408)&gt;=TODAY(),R408,""),"")</f>
        <v/>
      </c>
      <c r="V408">
        <f>IF(AND(ISNUMBER(B408),OR(H408="Draft",H408="Scheduled")),IF(INT(B408)&lt;TODAY(),1,0),0)</f>
        <v/>
      </c>
      <c r="W408">
        <f>IF(AND(H408="Published",N(O408)&gt;0),IF(T408=(YEAR(TODAY())*100+MONTH(TODAY())),ROUND(O408,0)*1000+1000-ROW(),""),"")</f>
        <v/>
      </c>
    </row>
    <row r="409">
      <c r="A409" s="1" t="n"/>
      <c r="B409" s="21" t="n"/>
      <c r="C409" s="22" t="n"/>
      <c r="D409" s="23" t="n"/>
      <c r="E409" s="24" t="n"/>
      <c r="F409" s="23" t="n"/>
      <c r="G409" s="25" t="n"/>
      <c r="H409" s="24" t="n"/>
      <c r="I409" s="23" t="n"/>
      <c r="J409" s="26" t="n"/>
      <c r="K409" s="26" t="n"/>
      <c r="L409" s="26" t="n"/>
      <c r="M409" s="26" t="n"/>
      <c r="N409" s="26" t="n"/>
      <c r="O409" s="27">
        <f>IF(COUNT(K409:N409)=0,"",SUM(K409:N409))</f>
        <v/>
      </c>
      <c r="P409" s="16">
        <f>IF(OR(O409="",N(J409)&lt;=0),"",O409/J409)</f>
        <v/>
      </c>
      <c r="Q409" s="28">
        <f>IF(V409=1,"Late","")</f>
        <v/>
      </c>
      <c r="R409" s="1">
        <f>IF(ISNUMBER(B409),INT(B409)*10000000+IF(ISNUMBER(C409),ROUND(MOD(C409,1)*1440,0),0)*1000+ROW(),"")</f>
        <v/>
      </c>
      <c r="S409">
        <f>IF(ISNUMBER(B409),INT(B409)-WEEKDAY(B409,3),"")</f>
        <v/>
      </c>
      <c r="T409">
        <f>IF(ISNUMBER(B409),YEAR(B409)*100+MONTH(B409),"")</f>
        <v/>
      </c>
      <c r="U409">
        <f>IF(AND(ISNUMBER(B409),H409&lt;&gt;"Published"),IF(INT(B409)&gt;=TODAY(),R409,""),"")</f>
        <v/>
      </c>
      <c r="V409">
        <f>IF(AND(ISNUMBER(B409),OR(H409="Draft",H409="Scheduled")),IF(INT(B409)&lt;TODAY(),1,0),0)</f>
        <v/>
      </c>
      <c r="W409">
        <f>IF(AND(H409="Published",N(O409)&gt;0),IF(T409=(YEAR(TODAY())*100+MONTH(TODAY())),ROUND(O409,0)*1000+1000-ROW(),""),"")</f>
        <v/>
      </c>
    </row>
    <row r="410">
      <c r="A410" s="1" t="n"/>
      <c r="B410" s="21" t="n"/>
      <c r="C410" s="22" t="n"/>
      <c r="D410" s="23" t="n"/>
      <c r="E410" s="24" t="n"/>
      <c r="F410" s="23" t="n"/>
      <c r="G410" s="25" t="n"/>
      <c r="H410" s="24" t="n"/>
      <c r="I410" s="23" t="n"/>
      <c r="J410" s="26" t="n"/>
      <c r="K410" s="26" t="n"/>
      <c r="L410" s="26" t="n"/>
      <c r="M410" s="26" t="n"/>
      <c r="N410" s="26" t="n"/>
      <c r="O410" s="27">
        <f>IF(COUNT(K410:N410)=0,"",SUM(K410:N410))</f>
        <v/>
      </c>
      <c r="P410" s="16">
        <f>IF(OR(O410="",N(J410)&lt;=0),"",O410/J410)</f>
        <v/>
      </c>
      <c r="Q410" s="28">
        <f>IF(V410=1,"Late","")</f>
        <v/>
      </c>
      <c r="R410" s="1">
        <f>IF(ISNUMBER(B410),INT(B410)*10000000+IF(ISNUMBER(C410),ROUND(MOD(C410,1)*1440,0),0)*1000+ROW(),"")</f>
        <v/>
      </c>
      <c r="S410">
        <f>IF(ISNUMBER(B410),INT(B410)-WEEKDAY(B410,3),"")</f>
        <v/>
      </c>
      <c r="T410">
        <f>IF(ISNUMBER(B410),YEAR(B410)*100+MONTH(B410),"")</f>
        <v/>
      </c>
      <c r="U410">
        <f>IF(AND(ISNUMBER(B410),H410&lt;&gt;"Published"),IF(INT(B410)&gt;=TODAY(),R410,""),"")</f>
        <v/>
      </c>
      <c r="V410">
        <f>IF(AND(ISNUMBER(B410),OR(H410="Draft",H410="Scheduled")),IF(INT(B410)&lt;TODAY(),1,0),0)</f>
        <v/>
      </c>
      <c r="W410">
        <f>IF(AND(H410="Published",N(O410)&gt;0),IF(T410=(YEAR(TODAY())*100+MONTH(TODAY())),ROUND(O410,0)*1000+1000-ROW(),""),"")</f>
        <v/>
      </c>
    </row>
    <row r="411">
      <c r="A411" s="1" t="n"/>
      <c r="B411" s="21" t="n"/>
      <c r="C411" s="22" t="n"/>
      <c r="D411" s="23" t="n"/>
      <c r="E411" s="24" t="n"/>
      <c r="F411" s="23" t="n"/>
      <c r="G411" s="25" t="n"/>
      <c r="H411" s="24" t="n"/>
      <c r="I411" s="23" t="n"/>
      <c r="J411" s="26" t="n"/>
      <c r="K411" s="26" t="n"/>
      <c r="L411" s="26" t="n"/>
      <c r="M411" s="26" t="n"/>
      <c r="N411" s="26" t="n"/>
      <c r="O411" s="27">
        <f>IF(COUNT(K411:N411)=0,"",SUM(K411:N411))</f>
        <v/>
      </c>
      <c r="P411" s="16">
        <f>IF(OR(O411="",N(J411)&lt;=0),"",O411/J411)</f>
        <v/>
      </c>
      <c r="Q411" s="28">
        <f>IF(V411=1,"Late","")</f>
        <v/>
      </c>
      <c r="R411" s="1">
        <f>IF(ISNUMBER(B411),INT(B411)*10000000+IF(ISNUMBER(C411),ROUND(MOD(C411,1)*1440,0),0)*1000+ROW(),"")</f>
        <v/>
      </c>
      <c r="S411">
        <f>IF(ISNUMBER(B411),INT(B411)-WEEKDAY(B411,3),"")</f>
        <v/>
      </c>
      <c r="T411">
        <f>IF(ISNUMBER(B411),YEAR(B411)*100+MONTH(B411),"")</f>
        <v/>
      </c>
      <c r="U411">
        <f>IF(AND(ISNUMBER(B411),H411&lt;&gt;"Published"),IF(INT(B411)&gt;=TODAY(),R411,""),"")</f>
        <v/>
      </c>
      <c r="V411">
        <f>IF(AND(ISNUMBER(B411),OR(H411="Draft",H411="Scheduled")),IF(INT(B411)&lt;TODAY(),1,0),0)</f>
        <v/>
      </c>
      <c r="W411">
        <f>IF(AND(H411="Published",N(O411)&gt;0),IF(T411=(YEAR(TODAY())*100+MONTH(TODAY())),ROUND(O411,0)*1000+1000-ROW(),""),"")</f>
        <v/>
      </c>
    </row>
    <row r="412">
      <c r="A412" s="1" t="n"/>
      <c r="B412" s="21" t="n"/>
      <c r="C412" s="22" t="n"/>
      <c r="D412" s="23" t="n"/>
      <c r="E412" s="24" t="n"/>
      <c r="F412" s="23" t="n"/>
      <c r="G412" s="25" t="n"/>
      <c r="H412" s="24" t="n"/>
      <c r="I412" s="23" t="n"/>
      <c r="J412" s="26" t="n"/>
      <c r="K412" s="26" t="n"/>
      <c r="L412" s="26" t="n"/>
      <c r="M412" s="26" t="n"/>
      <c r="N412" s="26" t="n"/>
      <c r="O412" s="27">
        <f>IF(COUNT(K412:N412)=0,"",SUM(K412:N412))</f>
        <v/>
      </c>
      <c r="P412" s="16">
        <f>IF(OR(O412="",N(J412)&lt;=0),"",O412/J412)</f>
        <v/>
      </c>
      <c r="Q412" s="28">
        <f>IF(V412=1,"Late","")</f>
        <v/>
      </c>
      <c r="R412" s="1">
        <f>IF(ISNUMBER(B412),INT(B412)*10000000+IF(ISNUMBER(C412),ROUND(MOD(C412,1)*1440,0),0)*1000+ROW(),"")</f>
        <v/>
      </c>
      <c r="S412">
        <f>IF(ISNUMBER(B412),INT(B412)-WEEKDAY(B412,3),"")</f>
        <v/>
      </c>
      <c r="T412">
        <f>IF(ISNUMBER(B412),YEAR(B412)*100+MONTH(B412),"")</f>
        <v/>
      </c>
      <c r="U412">
        <f>IF(AND(ISNUMBER(B412),H412&lt;&gt;"Published"),IF(INT(B412)&gt;=TODAY(),R412,""),"")</f>
        <v/>
      </c>
      <c r="V412">
        <f>IF(AND(ISNUMBER(B412),OR(H412="Draft",H412="Scheduled")),IF(INT(B412)&lt;TODAY(),1,0),0)</f>
        <v/>
      </c>
      <c r="W412">
        <f>IF(AND(H412="Published",N(O412)&gt;0),IF(T412=(YEAR(TODAY())*100+MONTH(TODAY())),ROUND(O412,0)*1000+1000-ROW(),""),"")</f>
        <v/>
      </c>
    </row>
    <row r="413">
      <c r="A413" s="1" t="n"/>
      <c r="B413" s="21" t="n"/>
      <c r="C413" s="22" t="n"/>
      <c r="D413" s="23" t="n"/>
      <c r="E413" s="24" t="n"/>
      <c r="F413" s="23" t="n"/>
      <c r="G413" s="25" t="n"/>
      <c r="H413" s="24" t="n"/>
      <c r="I413" s="23" t="n"/>
      <c r="J413" s="26" t="n"/>
      <c r="K413" s="26" t="n"/>
      <c r="L413" s="26" t="n"/>
      <c r="M413" s="26" t="n"/>
      <c r="N413" s="26" t="n"/>
      <c r="O413" s="27">
        <f>IF(COUNT(K413:N413)=0,"",SUM(K413:N413))</f>
        <v/>
      </c>
      <c r="P413" s="16">
        <f>IF(OR(O413="",N(J413)&lt;=0),"",O413/J413)</f>
        <v/>
      </c>
      <c r="Q413" s="28">
        <f>IF(V413=1,"Late","")</f>
        <v/>
      </c>
      <c r="R413" s="1">
        <f>IF(ISNUMBER(B413),INT(B413)*10000000+IF(ISNUMBER(C413),ROUND(MOD(C413,1)*1440,0),0)*1000+ROW(),"")</f>
        <v/>
      </c>
      <c r="S413">
        <f>IF(ISNUMBER(B413),INT(B413)-WEEKDAY(B413,3),"")</f>
        <v/>
      </c>
      <c r="T413">
        <f>IF(ISNUMBER(B413),YEAR(B413)*100+MONTH(B413),"")</f>
        <v/>
      </c>
      <c r="U413">
        <f>IF(AND(ISNUMBER(B413),H413&lt;&gt;"Published"),IF(INT(B413)&gt;=TODAY(),R413,""),"")</f>
        <v/>
      </c>
      <c r="V413">
        <f>IF(AND(ISNUMBER(B413),OR(H413="Draft",H413="Scheduled")),IF(INT(B413)&lt;TODAY(),1,0),0)</f>
        <v/>
      </c>
      <c r="W413">
        <f>IF(AND(H413="Published",N(O413)&gt;0),IF(T413=(YEAR(TODAY())*100+MONTH(TODAY())),ROUND(O413,0)*1000+1000-ROW(),""),"")</f>
        <v/>
      </c>
    </row>
    <row r="414">
      <c r="A414" s="1" t="n"/>
      <c r="B414" s="21" t="n"/>
      <c r="C414" s="22" t="n"/>
      <c r="D414" s="23" t="n"/>
      <c r="E414" s="24" t="n"/>
      <c r="F414" s="23" t="n"/>
      <c r="G414" s="25" t="n"/>
      <c r="H414" s="24" t="n"/>
      <c r="I414" s="23" t="n"/>
      <c r="J414" s="26" t="n"/>
      <c r="K414" s="26" t="n"/>
      <c r="L414" s="26" t="n"/>
      <c r="M414" s="26" t="n"/>
      <c r="N414" s="26" t="n"/>
      <c r="O414" s="27">
        <f>IF(COUNT(K414:N414)=0,"",SUM(K414:N414))</f>
        <v/>
      </c>
      <c r="P414" s="16">
        <f>IF(OR(O414="",N(J414)&lt;=0),"",O414/J414)</f>
        <v/>
      </c>
      <c r="Q414" s="28">
        <f>IF(V414=1,"Late","")</f>
        <v/>
      </c>
      <c r="R414" s="1">
        <f>IF(ISNUMBER(B414),INT(B414)*10000000+IF(ISNUMBER(C414),ROUND(MOD(C414,1)*1440,0),0)*1000+ROW(),"")</f>
        <v/>
      </c>
      <c r="S414">
        <f>IF(ISNUMBER(B414),INT(B414)-WEEKDAY(B414,3),"")</f>
        <v/>
      </c>
      <c r="T414">
        <f>IF(ISNUMBER(B414),YEAR(B414)*100+MONTH(B414),"")</f>
        <v/>
      </c>
      <c r="U414">
        <f>IF(AND(ISNUMBER(B414),H414&lt;&gt;"Published"),IF(INT(B414)&gt;=TODAY(),R414,""),"")</f>
        <v/>
      </c>
      <c r="V414">
        <f>IF(AND(ISNUMBER(B414),OR(H414="Draft",H414="Scheduled")),IF(INT(B414)&lt;TODAY(),1,0),0)</f>
        <v/>
      </c>
      <c r="W414">
        <f>IF(AND(H414="Published",N(O414)&gt;0),IF(T414=(YEAR(TODAY())*100+MONTH(TODAY())),ROUND(O414,0)*1000+1000-ROW(),""),"")</f>
        <v/>
      </c>
    </row>
    <row r="415">
      <c r="A415" s="1" t="n"/>
      <c r="B415" s="21" t="n"/>
      <c r="C415" s="22" t="n"/>
      <c r="D415" s="23" t="n"/>
      <c r="E415" s="24" t="n"/>
      <c r="F415" s="23" t="n"/>
      <c r="G415" s="25" t="n"/>
      <c r="H415" s="24" t="n"/>
      <c r="I415" s="23" t="n"/>
      <c r="J415" s="26" t="n"/>
      <c r="K415" s="26" t="n"/>
      <c r="L415" s="26" t="n"/>
      <c r="M415" s="26" t="n"/>
      <c r="N415" s="26" t="n"/>
      <c r="O415" s="27">
        <f>IF(COUNT(K415:N415)=0,"",SUM(K415:N415))</f>
        <v/>
      </c>
      <c r="P415" s="16">
        <f>IF(OR(O415="",N(J415)&lt;=0),"",O415/J415)</f>
        <v/>
      </c>
      <c r="Q415" s="28">
        <f>IF(V415=1,"Late","")</f>
        <v/>
      </c>
      <c r="R415" s="1">
        <f>IF(ISNUMBER(B415),INT(B415)*10000000+IF(ISNUMBER(C415),ROUND(MOD(C415,1)*1440,0),0)*1000+ROW(),"")</f>
        <v/>
      </c>
      <c r="S415">
        <f>IF(ISNUMBER(B415),INT(B415)-WEEKDAY(B415,3),"")</f>
        <v/>
      </c>
      <c r="T415">
        <f>IF(ISNUMBER(B415),YEAR(B415)*100+MONTH(B415),"")</f>
        <v/>
      </c>
      <c r="U415">
        <f>IF(AND(ISNUMBER(B415),H415&lt;&gt;"Published"),IF(INT(B415)&gt;=TODAY(),R415,""),"")</f>
        <v/>
      </c>
      <c r="V415">
        <f>IF(AND(ISNUMBER(B415),OR(H415="Draft",H415="Scheduled")),IF(INT(B415)&lt;TODAY(),1,0),0)</f>
        <v/>
      </c>
      <c r="W415">
        <f>IF(AND(H415="Published",N(O415)&gt;0),IF(T415=(YEAR(TODAY())*100+MONTH(TODAY())),ROUND(O415,0)*1000+1000-ROW(),""),"")</f>
        <v/>
      </c>
    </row>
    <row r="416">
      <c r="A416" s="1" t="n"/>
      <c r="B416" s="21" t="n"/>
      <c r="C416" s="22" t="n"/>
      <c r="D416" s="23" t="n"/>
      <c r="E416" s="24" t="n"/>
      <c r="F416" s="23" t="n"/>
      <c r="G416" s="25" t="n"/>
      <c r="H416" s="24" t="n"/>
      <c r="I416" s="23" t="n"/>
      <c r="J416" s="26" t="n"/>
      <c r="K416" s="26" t="n"/>
      <c r="L416" s="26" t="n"/>
      <c r="M416" s="26" t="n"/>
      <c r="N416" s="26" t="n"/>
      <c r="O416" s="27">
        <f>IF(COUNT(K416:N416)=0,"",SUM(K416:N416))</f>
        <v/>
      </c>
      <c r="P416" s="16">
        <f>IF(OR(O416="",N(J416)&lt;=0),"",O416/J416)</f>
        <v/>
      </c>
      <c r="Q416" s="28">
        <f>IF(V416=1,"Late","")</f>
        <v/>
      </c>
      <c r="R416" s="1">
        <f>IF(ISNUMBER(B416),INT(B416)*10000000+IF(ISNUMBER(C416),ROUND(MOD(C416,1)*1440,0),0)*1000+ROW(),"")</f>
        <v/>
      </c>
      <c r="S416">
        <f>IF(ISNUMBER(B416),INT(B416)-WEEKDAY(B416,3),"")</f>
        <v/>
      </c>
      <c r="T416">
        <f>IF(ISNUMBER(B416),YEAR(B416)*100+MONTH(B416),"")</f>
        <v/>
      </c>
      <c r="U416">
        <f>IF(AND(ISNUMBER(B416),H416&lt;&gt;"Published"),IF(INT(B416)&gt;=TODAY(),R416,""),"")</f>
        <v/>
      </c>
      <c r="V416">
        <f>IF(AND(ISNUMBER(B416),OR(H416="Draft",H416="Scheduled")),IF(INT(B416)&lt;TODAY(),1,0),0)</f>
        <v/>
      </c>
      <c r="W416">
        <f>IF(AND(H416="Published",N(O416)&gt;0),IF(T416=(YEAR(TODAY())*100+MONTH(TODAY())),ROUND(O416,0)*1000+1000-ROW(),""),"")</f>
        <v/>
      </c>
    </row>
    <row r="417">
      <c r="A417" s="1" t="n"/>
      <c r="B417" s="21" t="n"/>
      <c r="C417" s="22" t="n"/>
      <c r="D417" s="23" t="n"/>
      <c r="E417" s="24" t="n"/>
      <c r="F417" s="23" t="n"/>
      <c r="G417" s="25" t="n"/>
      <c r="H417" s="24" t="n"/>
      <c r="I417" s="23" t="n"/>
      <c r="J417" s="26" t="n"/>
      <c r="K417" s="26" t="n"/>
      <c r="L417" s="26" t="n"/>
      <c r="M417" s="26" t="n"/>
      <c r="N417" s="26" t="n"/>
      <c r="O417" s="27">
        <f>IF(COUNT(K417:N417)=0,"",SUM(K417:N417))</f>
        <v/>
      </c>
      <c r="P417" s="16">
        <f>IF(OR(O417="",N(J417)&lt;=0),"",O417/J417)</f>
        <v/>
      </c>
      <c r="Q417" s="28">
        <f>IF(V417=1,"Late","")</f>
        <v/>
      </c>
      <c r="R417" s="1">
        <f>IF(ISNUMBER(B417),INT(B417)*10000000+IF(ISNUMBER(C417),ROUND(MOD(C417,1)*1440,0),0)*1000+ROW(),"")</f>
        <v/>
      </c>
      <c r="S417">
        <f>IF(ISNUMBER(B417),INT(B417)-WEEKDAY(B417,3),"")</f>
        <v/>
      </c>
      <c r="T417">
        <f>IF(ISNUMBER(B417),YEAR(B417)*100+MONTH(B417),"")</f>
        <v/>
      </c>
      <c r="U417">
        <f>IF(AND(ISNUMBER(B417),H417&lt;&gt;"Published"),IF(INT(B417)&gt;=TODAY(),R417,""),"")</f>
        <v/>
      </c>
      <c r="V417">
        <f>IF(AND(ISNUMBER(B417),OR(H417="Draft",H417="Scheduled")),IF(INT(B417)&lt;TODAY(),1,0),0)</f>
        <v/>
      </c>
      <c r="W417">
        <f>IF(AND(H417="Published",N(O417)&gt;0),IF(T417=(YEAR(TODAY())*100+MONTH(TODAY())),ROUND(O417,0)*1000+1000-ROW(),""),"")</f>
        <v/>
      </c>
    </row>
    <row r="418">
      <c r="A418" s="1" t="n"/>
      <c r="B418" s="21" t="n"/>
      <c r="C418" s="22" t="n"/>
      <c r="D418" s="23" t="n"/>
      <c r="E418" s="24" t="n"/>
      <c r="F418" s="23" t="n"/>
      <c r="G418" s="25" t="n"/>
      <c r="H418" s="24" t="n"/>
      <c r="I418" s="23" t="n"/>
      <c r="J418" s="26" t="n"/>
      <c r="K418" s="26" t="n"/>
      <c r="L418" s="26" t="n"/>
      <c r="M418" s="26" t="n"/>
      <c r="N418" s="26" t="n"/>
      <c r="O418" s="27">
        <f>IF(COUNT(K418:N418)=0,"",SUM(K418:N418))</f>
        <v/>
      </c>
      <c r="P418" s="16">
        <f>IF(OR(O418="",N(J418)&lt;=0),"",O418/J418)</f>
        <v/>
      </c>
      <c r="Q418" s="28">
        <f>IF(V418=1,"Late","")</f>
        <v/>
      </c>
      <c r="R418" s="1">
        <f>IF(ISNUMBER(B418),INT(B418)*10000000+IF(ISNUMBER(C418),ROUND(MOD(C418,1)*1440,0),0)*1000+ROW(),"")</f>
        <v/>
      </c>
      <c r="S418">
        <f>IF(ISNUMBER(B418),INT(B418)-WEEKDAY(B418,3),"")</f>
        <v/>
      </c>
      <c r="T418">
        <f>IF(ISNUMBER(B418),YEAR(B418)*100+MONTH(B418),"")</f>
        <v/>
      </c>
      <c r="U418">
        <f>IF(AND(ISNUMBER(B418),H418&lt;&gt;"Published"),IF(INT(B418)&gt;=TODAY(),R418,""),"")</f>
        <v/>
      </c>
      <c r="V418">
        <f>IF(AND(ISNUMBER(B418),OR(H418="Draft",H418="Scheduled")),IF(INT(B418)&lt;TODAY(),1,0),0)</f>
        <v/>
      </c>
      <c r="W418">
        <f>IF(AND(H418="Published",N(O418)&gt;0),IF(T418=(YEAR(TODAY())*100+MONTH(TODAY())),ROUND(O418,0)*1000+1000-ROW(),""),"")</f>
        <v/>
      </c>
    </row>
    <row r="419">
      <c r="A419" s="1" t="n"/>
      <c r="B419" s="21" t="n"/>
      <c r="C419" s="22" t="n"/>
      <c r="D419" s="23" t="n"/>
      <c r="E419" s="24" t="n"/>
      <c r="F419" s="23" t="n"/>
      <c r="G419" s="25" t="n"/>
      <c r="H419" s="24" t="n"/>
      <c r="I419" s="23" t="n"/>
      <c r="J419" s="26" t="n"/>
      <c r="K419" s="26" t="n"/>
      <c r="L419" s="26" t="n"/>
      <c r="M419" s="26" t="n"/>
      <c r="N419" s="26" t="n"/>
      <c r="O419" s="27">
        <f>IF(COUNT(K419:N419)=0,"",SUM(K419:N419))</f>
        <v/>
      </c>
      <c r="P419" s="16">
        <f>IF(OR(O419="",N(J419)&lt;=0),"",O419/J419)</f>
        <v/>
      </c>
      <c r="Q419" s="28">
        <f>IF(V419=1,"Late","")</f>
        <v/>
      </c>
      <c r="R419" s="1">
        <f>IF(ISNUMBER(B419),INT(B419)*10000000+IF(ISNUMBER(C419),ROUND(MOD(C419,1)*1440,0),0)*1000+ROW(),"")</f>
        <v/>
      </c>
      <c r="S419">
        <f>IF(ISNUMBER(B419),INT(B419)-WEEKDAY(B419,3),"")</f>
        <v/>
      </c>
      <c r="T419">
        <f>IF(ISNUMBER(B419),YEAR(B419)*100+MONTH(B419),"")</f>
        <v/>
      </c>
      <c r="U419">
        <f>IF(AND(ISNUMBER(B419),H419&lt;&gt;"Published"),IF(INT(B419)&gt;=TODAY(),R419,""),"")</f>
        <v/>
      </c>
      <c r="V419">
        <f>IF(AND(ISNUMBER(B419),OR(H419="Draft",H419="Scheduled")),IF(INT(B419)&lt;TODAY(),1,0),0)</f>
        <v/>
      </c>
      <c r="W419">
        <f>IF(AND(H419="Published",N(O419)&gt;0),IF(T419=(YEAR(TODAY())*100+MONTH(TODAY())),ROUND(O419,0)*1000+1000-ROW(),""),"")</f>
        <v/>
      </c>
    </row>
    <row r="420">
      <c r="A420" s="1" t="n"/>
      <c r="B420" s="21" t="n"/>
      <c r="C420" s="22" t="n"/>
      <c r="D420" s="23" t="n"/>
      <c r="E420" s="24" t="n"/>
      <c r="F420" s="23" t="n"/>
      <c r="G420" s="25" t="n"/>
      <c r="H420" s="24" t="n"/>
      <c r="I420" s="23" t="n"/>
      <c r="J420" s="26" t="n"/>
      <c r="K420" s="26" t="n"/>
      <c r="L420" s="26" t="n"/>
      <c r="M420" s="26" t="n"/>
      <c r="N420" s="26" t="n"/>
      <c r="O420" s="27">
        <f>IF(COUNT(K420:N420)=0,"",SUM(K420:N420))</f>
        <v/>
      </c>
      <c r="P420" s="16">
        <f>IF(OR(O420="",N(J420)&lt;=0),"",O420/J420)</f>
        <v/>
      </c>
      <c r="Q420" s="28">
        <f>IF(V420=1,"Late","")</f>
        <v/>
      </c>
      <c r="R420" s="1">
        <f>IF(ISNUMBER(B420),INT(B420)*10000000+IF(ISNUMBER(C420),ROUND(MOD(C420,1)*1440,0),0)*1000+ROW(),"")</f>
        <v/>
      </c>
      <c r="S420">
        <f>IF(ISNUMBER(B420),INT(B420)-WEEKDAY(B420,3),"")</f>
        <v/>
      </c>
      <c r="T420">
        <f>IF(ISNUMBER(B420),YEAR(B420)*100+MONTH(B420),"")</f>
        <v/>
      </c>
      <c r="U420">
        <f>IF(AND(ISNUMBER(B420),H420&lt;&gt;"Published"),IF(INT(B420)&gt;=TODAY(),R420,""),"")</f>
        <v/>
      </c>
      <c r="V420">
        <f>IF(AND(ISNUMBER(B420),OR(H420="Draft",H420="Scheduled")),IF(INT(B420)&lt;TODAY(),1,0),0)</f>
        <v/>
      </c>
      <c r="W420">
        <f>IF(AND(H420="Published",N(O420)&gt;0),IF(T420=(YEAR(TODAY())*100+MONTH(TODAY())),ROUND(O420,0)*1000+1000-ROW(),""),"")</f>
        <v/>
      </c>
    </row>
    <row r="421">
      <c r="A421" s="1" t="n"/>
      <c r="B421" s="21" t="n"/>
      <c r="C421" s="22" t="n"/>
      <c r="D421" s="23" t="n"/>
      <c r="E421" s="24" t="n"/>
      <c r="F421" s="23" t="n"/>
      <c r="G421" s="25" t="n"/>
      <c r="H421" s="24" t="n"/>
      <c r="I421" s="23" t="n"/>
      <c r="J421" s="26" t="n"/>
      <c r="K421" s="26" t="n"/>
      <c r="L421" s="26" t="n"/>
      <c r="M421" s="26" t="n"/>
      <c r="N421" s="26" t="n"/>
      <c r="O421" s="27">
        <f>IF(COUNT(K421:N421)=0,"",SUM(K421:N421))</f>
        <v/>
      </c>
      <c r="P421" s="16">
        <f>IF(OR(O421="",N(J421)&lt;=0),"",O421/J421)</f>
        <v/>
      </c>
      <c r="Q421" s="28">
        <f>IF(V421=1,"Late","")</f>
        <v/>
      </c>
      <c r="R421" s="1">
        <f>IF(ISNUMBER(B421),INT(B421)*10000000+IF(ISNUMBER(C421),ROUND(MOD(C421,1)*1440,0),0)*1000+ROW(),"")</f>
        <v/>
      </c>
      <c r="S421">
        <f>IF(ISNUMBER(B421),INT(B421)-WEEKDAY(B421,3),"")</f>
        <v/>
      </c>
      <c r="T421">
        <f>IF(ISNUMBER(B421),YEAR(B421)*100+MONTH(B421),"")</f>
        <v/>
      </c>
      <c r="U421">
        <f>IF(AND(ISNUMBER(B421),H421&lt;&gt;"Published"),IF(INT(B421)&gt;=TODAY(),R421,""),"")</f>
        <v/>
      </c>
      <c r="V421">
        <f>IF(AND(ISNUMBER(B421),OR(H421="Draft",H421="Scheduled")),IF(INT(B421)&lt;TODAY(),1,0),0)</f>
        <v/>
      </c>
      <c r="W421">
        <f>IF(AND(H421="Published",N(O421)&gt;0),IF(T421=(YEAR(TODAY())*100+MONTH(TODAY())),ROUND(O421,0)*1000+1000-ROW(),""),"")</f>
        <v/>
      </c>
    </row>
    <row r="422">
      <c r="A422" s="1" t="n"/>
      <c r="B422" s="21" t="n"/>
      <c r="C422" s="22" t="n"/>
      <c r="D422" s="23" t="n"/>
      <c r="E422" s="24" t="n"/>
      <c r="F422" s="23" t="n"/>
      <c r="G422" s="25" t="n"/>
      <c r="H422" s="24" t="n"/>
      <c r="I422" s="23" t="n"/>
      <c r="J422" s="26" t="n"/>
      <c r="K422" s="26" t="n"/>
      <c r="L422" s="26" t="n"/>
      <c r="M422" s="26" t="n"/>
      <c r="N422" s="26" t="n"/>
      <c r="O422" s="27">
        <f>IF(COUNT(K422:N422)=0,"",SUM(K422:N422))</f>
        <v/>
      </c>
      <c r="P422" s="16">
        <f>IF(OR(O422="",N(J422)&lt;=0),"",O422/J422)</f>
        <v/>
      </c>
      <c r="Q422" s="28">
        <f>IF(V422=1,"Late","")</f>
        <v/>
      </c>
      <c r="R422" s="1">
        <f>IF(ISNUMBER(B422),INT(B422)*10000000+IF(ISNUMBER(C422),ROUND(MOD(C422,1)*1440,0),0)*1000+ROW(),"")</f>
        <v/>
      </c>
      <c r="S422">
        <f>IF(ISNUMBER(B422),INT(B422)-WEEKDAY(B422,3),"")</f>
        <v/>
      </c>
      <c r="T422">
        <f>IF(ISNUMBER(B422),YEAR(B422)*100+MONTH(B422),"")</f>
        <v/>
      </c>
      <c r="U422">
        <f>IF(AND(ISNUMBER(B422),H422&lt;&gt;"Published"),IF(INT(B422)&gt;=TODAY(),R422,""),"")</f>
        <v/>
      </c>
      <c r="V422">
        <f>IF(AND(ISNUMBER(B422),OR(H422="Draft",H422="Scheduled")),IF(INT(B422)&lt;TODAY(),1,0),0)</f>
        <v/>
      </c>
      <c r="W422">
        <f>IF(AND(H422="Published",N(O422)&gt;0),IF(T422=(YEAR(TODAY())*100+MONTH(TODAY())),ROUND(O422,0)*1000+1000-ROW(),""),"")</f>
        <v/>
      </c>
    </row>
    <row r="423">
      <c r="A423" s="1" t="n"/>
      <c r="B423" s="21" t="n"/>
      <c r="C423" s="22" t="n"/>
      <c r="D423" s="23" t="n"/>
      <c r="E423" s="24" t="n"/>
      <c r="F423" s="23" t="n"/>
      <c r="G423" s="25" t="n"/>
      <c r="H423" s="24" t="n"/>
      <c r="I423" s="23" t="n"/>
      <c r="J423" s="26" t="n"/>
      <c r="K423" s="26" t="n"/>
      <c r="L423" s="26" t="n"/>
      <c r="M423" s="26" t="n"/>
      <c r="N423" s="26" t="n"/>
      <c r="O423" s="27">
        <f>IF(COUNT(K423:N423)=0,"",SUM(K423:N423))</f>
        <v/>
      </c>
      <c r="P423" s="16">
        <f>IF(OR(O423="",N(J423)&lt;=0),"",O423/J423)</f>
        <v/>
      </c>
      <c r="Q423" s="28">
        <f>IF(V423=1,"Late","")</f>
        <v/>
      </c>
      <c r="R423" s="1">
        <f>IF(ISNUMBER(B423),INT(B423)*10000000+IF(ISNUMBER(C423),ROUND(MOD(C423,1)*1440,0),0)*1000+ROW(),"")</f>
        <v/>
      </c>
      <c r="S423">
        <f>IF(ISNUMBER(B423),INT(B423)-WEEKDAY(B423,3),"")</f>
        <v/>
      </c>
      <c r="T423">
        <f>IF(ISNUMBER(B423),YEAR(B423)*100+MONTH(B423),"")</f>
        <v/>
      </c>
      <c r="U423">
        <f>IF(AND(ISNUMBER(B423),H423&lt;&gt;"Published"),IF(INT(B423)&gt;=TODAY(),R423,""),"")</f>
        <v/>
      </c>
      <c r="V423">
        <f>IF(AND(ISNUMBER(B423),OR(H423="Draft",H423="Scheduled")),IF(INT(B423)&lt;TODAY(),1,0),0)</f>
        <v/>
      </c>
      <c r="W423">
        <f>IF(AND(H423="Published",N(O423)&gt;0),IF(T423=(YEAR(TODAY())*100+MONTH(TODAY())),ROUND(O423,0)*1000+1000-ROW(),""),"")</f>
        <v/>
      </c>
    </row>
    <row r="424">
      <c r="A424" s="1" t="n"/>
      <c r="B424" s="21" t="n"/>
      <c r="C424" s="22" t="n"/>
      <c r="D424" s="23" t="n"/>
      <c r="E424" s="24" t="n"/>
      <c r="F424" s="23" t="n"/>
      <c r="G424" s="25" t="n"/>
      <c r="H424" s="24" t="n"/>
      <c r="I424" s="23" t="n"/>
      <c r="J424" s="26" t="n"/>
      <c r="K424" s="26" t="n"/>
      <c r="L424" s="26" t="n"/>
      <c r="M424" s="26" t="n"/>
      <c r="N424" s="26" t="n"/>
      <c r="O424" s="27">
        <f>IF(COUNT(K424:N424)=0,"",SUM(K424:N424))</f>
        <v/>
      </c>
      <c r="P424" s="16">
        <f>IF(OR(O424="",N(J424)&lt;=0),"",O424/J424)</f>
        <v/>
      </c>
      <c r="Q424" s="28">
        <f>IF(V424=1,"Late","")</f>
        <v/>
      </c>
      <c r="R424" s="1">
        <f>IF(ISNUMBER(B424),INT(B424)*10000000+IF(ISNUMBER(C424),ROUND(MOD(C424,1)*1440,0),0)*1000+ROW(),"")</f>
        <v/>
      </c>
      <c r="S424">
        <f>IF(ISNUMBER(B424),INT(B424)-WEEKDAY(B424,3),"")</f>
        <v/>
      </c>
      <c r="T424">
        <f>IF(ISNUMBER(B424),YEAR(B424)*100+MONTH(B424),"")</f>
        <v/>
      </c>
      <c r="U424">
        <f>IF(AND(ISNUMBER(B424),H424&lt;&gt;"Published"),IF(INT(B424)&gt;=TODAY(),R424,""),"")</f>
        <v/>
      </c>
      <c r="V424">
        <f>IF(AND(ISNUMBER(B424),OR(H424="Draft",H424="Scheduled")),IF(INT(B424)&lt;TODAY(),1,0),0)</f>
        <v/>
      </c>
      <c r="W424">
        <f>IF(AND(H424="Published",N(O424)&gt;0),IF(T424=(YEAR(TODAY())*100+MONTH(TODAY())),ROUND(O424,0)*1000+1000-ROW(),""),"")</f>
        <v/>
      </c>
    </row>
    <row r="425">
      <c r="A425" s="1" t="n"/>
      <c r="B425" s="21" t="n"/>
      <c r="C425" s="22" t="n"/>
      <c r="D425" s="23" t="n"/>
      <c r="E425" s="24" t="n"/>
      <c r="F425" s="23" t="n"/>
      <c r="G425" s="25" t="n"/>
      <c r="H425" s="24" t="n"/>
      <c r="I425" s="23" t="n"/>
      <c r="J425" s="26" t="n"/>
      <c r="K425" s="26" t="n"/>
      <c r="L425" s="26" t="n"/>
      <c r="M425" s="26" t="n"/>
      <c r="N425" s="26" t="n"/>
      <c r="O425" s="27">
        <f>IF(COUNT(K425:N425)=0,"",SUM(K425:N425))</f>
        <v/>
      </c>
      <c r="P425" s="16">
        <f>IF(OR(O425="",N(J425)&lt;=0),"",O425/J425)</f>
        <v/>
      </c>
      <c r="Q425" s="28">
        <f>IF(V425=1,"Late","")</f>
        <v/>
      </c>
      <c r="R425" s="1">
        <f>IF(ISNUMBER(B425),INT(B425)*10000000+IF(ISNUMBER(C425),ROUND(MOD(C425,1)*1440,0),0)*1000+ROW(),"")</f>
        <v/>
      </c>
      <c r="S425">
        <f>IF(ISNUMBER(B425),INT(B425)-WEEKDAY(B425,3),"")</f>
        <v/>
      </c>
      <c r="T425">
        <f>IF(ISNUMBER(B425),YEAR(B425)*100+MONTH(B425),"")</f>
        <v/>
      </c>
      <c r="U425">
        <f>IF(AND(ISNUMBER(B425),H425&lt;&gt;"Published"),IF(INT(B425)&gt;=TODAY(),R425,""),"")</f>
        <v/>
      </c>
      <c r="V425">
        <f>IF(AND(ISNUMBER(B425),OR(H425="Draft",H425="Scheduled")),IF(INT(B425)&lt;TODAY(),1,0),0)</f>
        <v/>
      </c>
      <c r="W425">
        <f>IF(AND(H425="Published",N(O425)&gt;0),IF(T425=(YEAR(TODAY())*100+MONTH(TODAY())),ROUND(O425,0)*1000+1000-ROW(),""),"")</f>
        <v/>
      </c>
    </row>
    <row r="426">
      <c r="A426" s="1" t="n"/>
      <c r="B426" s="21" t="n"/>
      <c r="C426" s="22" t="n"/>
      <c r="D426" s="23" t="n"/>
      <c r="E426" s="24" t="n"/>
      <c r="F426" s="23" t="n"/>
      <c r="G426" s="25" t="n"/>
      <c r="H426" s="24" t="n"/>
      <c r="I426" s="23" t="n"/>
      <c r="J426" s="26" t="n"/>
      <c r="K426" s="26" t="n"/>
      <c r="L426" s="26" t="n"/>
      <c r="M426" s="26" t="n"/>
      <c r="N426" s="26" t="n"/>
      <c r="O426" s="27">
        <f>IF(COUNT(K426:N426)=0,"",SUM(K426:N426))</f>
        <v/>
      </c>
      <c r="P426" s="16">
        <f>IF(OR(O426="",N(J426)&lt;=0),"",O426/J426)</f>
        <v/>
      </c>
      <c r="Q426" s="28">
        <f>IF(V426=1,"Late","")</f>
        <v/>
      </c>
      <c r="R426" s="1">
        <f>IF(ISNUMBER(B426),INT(B426)*10000000+IF(ISNUMBER(C426),ROUND(MOD(C426,1)*1440,0),0)*1000+ROW(),"")</f>
        <v/>
      </c>
      <c r="S426">
        <f>IF(ISNUMBER(B426),INT(B426)-WEEKDAY(B426,3),"")</f>
        <v/>
      </c>
      <c r="T426">
        <f>IF(ISNUMBER(B426),YEAR(B426)*100+MONTH(B426),"")</f>
        <v/>
      </c>
      <c r="U426">
        <f>IF(AND(ISNUMBER(B426),H426&lt;&gt;"Published"),IF(INT(B426)&gt;=TODAY(),R426,""),"")</f>
        <v/>
      </c>
      <c r="V426">
        <f>IF(AND(ISNUMBER(B426),OR(H426="Draft",H426="Scheduled")),IF(INT(B426)&lt;TODAY(),1,0),0)</f>
        <v/>
      </c>
      <c r="W426">
        <f>IF(AND(H426="Published",N(O426)&gt;0),IF(T426=(YEAR(TODAY())*100+MONTH(TODAY())),ROUND(O426,0)*1000+1000-ROW(),""),"")</f>
        <v/>
      </c>
    </row>
    <row r="427">
      <c r="A427" s="1" t="n"/>
      <c r="B427" s="21" t="n"/>
      <c r="C427" s="22" t="n"/>
      <c r="D427" s="23" t="n"/>
      <c r="E427" s="24" t="n"/>
      <c r="F427" s="23" t="n"/>
      <c r="G427" s="25" t="n"/>
      <c r="H427" s="24" t="n"/>
      <c r="I427" s="23" t="n"/>
      <c r="J427" s="26" t="n"/>
      <c r="K427" s="26" t="n"/>
      <c r="L427" s="26" t="n"/>
      <c r="M427" s="26" t="n"/>
      <c r="N427" s="26" t="n"/>
      <c r="O427" s="27">
        <f>IF(COUNT(K427:N427)=0,"",SUM(K427:N427))</f>
        <v/>
      </c>
      <c r="P427" s="16">
        <f>IF(OR(O427="",N(J427)&lt;=0),"",O427/J427)</f>
        <v/>
      </c>
      <c r="Q427" s="28">
        <f>IF(V427=1,"Late","")</f>
        <v/>
      </c>
      <c r="R427" s="1">
        <f>IF(ISNUMBER(B427),INT(B427)*10000000+IF(ISNUMBER(C427),ROUND(MOD(C427,1)*1440,0),0)*1000+ROW(),"")</f>
        <v/>
      </c>
      <c r="S427">
        <f>IF(ISNUMBER(B427),INT(B427)-WEEKDAY(B427,3),"")</f>
        <v/>
      </c>
      <c r="T427">
        <f>IF(ISNUMBER(B427),YEAR(B427)*100+MONTH(B427),"")</f>
        <v/>
      </c>
      <c r="U427">
        <f>IF(AND(ISNUMBER(B427),H427&lt;&gt;"Published"),IF(INT(B427)&gt;=TODAY(),R427,""),"")</f>
        <v/>
      </c>
      <c r="V427">
        <f>IF(AND(ISNUMBER(B427),OR(H427="Draft",H427="Scheduled")),IF(INT(B427)&lt;TODAY(),1,0),0)</f>
        <v/>
      </c>
      <c r="W427">
        <f>IF(AND(H427="Published",N(O427)&gt;0),IF(T427=(YEAR(TODAY())*100+MONTH(TODAY())),ROUND(O427,0)*1000+1000-ROW(),""),"")</f>
        <v/>
      </c>
    </row>
    <row r="428">
      <c r="A428" s="1" t="n"/>
      <c r="B428" s="21" t="n"/>
      <c r="C428" s="22" t="n"/>
      <c r="D428" s="23" t="n"/>
      <c r="E428" s="24" t="n"/>
      <c r="F428" s="23" t="n"/>
      <c r="G428" s="25" t="n"/>
      <c r="H428" s="24" t="n"/>
      <c r="I428" s="23" t="n"/>
      <c r="J428" s="26" t="n"/>
      <c r="K428" s="26" t="n"/>
      <c r="L428" s="26" t="n"/>
      <c r="M428" s="26" t="n"/>
      <c r="N428" s="26" t="n"/>
      <c r="O428" s="27">
        <f>IF(COUNT(K428:N428)=0,"",SUM(K428:N428))</f>
        <v/>
      </c>
      <c r="P428" s="16">
        <f>IF(OR(O428="",N(J428)&lt;=0),"",O428/J428)</f>
        <v/>
      </c>
      <c r="Q428" s="28">
        <f>IF(V428=1,"Late","")</f>
        <v/>
      </c>
      <c r="R428" s="1">
        <f>IF(ISNUMBER(B428),INT(B428)*10000000+IF(ISNUMBER(C428),ROUND(MOD(C428,1)*1440,0),0)*1000+ROW(),"")</f>
        <v/>
      </c>
      <c r="S428">
        <f>IF(ISNUMBER(B428),INT(B428)-WEEKDAY(B428,3),"")</f>
        <v/>
      </c>
      <c r="T428">
        <f>IF(ISNUMBER(B428),YEAR(B428)*100+MONTH(B428),"")</f>
        <v/>
      </c>
      <c r="U428">
        <f>IF(AND(ISNUMBER(B428),H428&lt;&gt;"Published"),IF(INT(B428)&gt;=TODAY(),R428,""),"")</f>
        <v/>
      </c>
      <c r="V428">
        <f>IF(AND(ISNUMBER(B428),OR(H428="Draft",H428="Scheduled")),IF(INT(B428)&lt;TODAY(),1,0),0)</f>
        <v/>
      </c>
      <c r="W428">
        <f>IF(AND(H428="Published",N(O428)&gt;0),IF(T428=(YEAR(TODAY())*100+MONTH(TODAY())),ROUND(O428,0)*1000+1000-ROW(),""),"")</f>
        <v/>
      </c>
    </row>
    <row r="429">
      <c r="A429" s="1" t="n"/>
      <c r="B429" s="21" t="n"/>
      <c r="C429" s="22" t="n"/>
      <c r="D429" s="23" t="n"/>
      <c r="E429" s="24" t="n"/>
      <c r="F429" s="23" t="n"/>
      <c r="G429" s="25" t="n"/>
      <c r="H429" s="24" t="n"/>
      <c r="I429" s="23" t="n"/>
      <c r="J429" s="26" t="n"/>
      <c r="K429" s="26" t="n"/>
      <c r="L429" s="26" t="n"/>
      <c r="M429" s="26" t="n"/>
      <c r="N429" s="26" t="n"/>
      <c r="O429" s="27">
        <f>IF(COUNT(K429:N429)=0,"",SUM(K429:N429))</f>
        <v/>
      </c>
      <c r="P429" s="16">
        <f>IF(OR(O429="",N(J429)&lt;=0),"",O429/J429)</f>
        <v/>
      </c>
      <c r="Q429" s="28">
        <f>IF(V429=1,"Late","")</f>
        <v/>
      </c>
      <c r="R429" s="1">
        <f>IF(ISNUMBER(B429),INT(B429)*10000000+IF(ISNUMBER(C429),ROUND(MOD(C429,1)*1440,0),0)*1000+ROW(),"")</f>
        <v/>
      </c>
      <c r="S429">
        <f>IF(ISNUMBER(B429),INT(B429)-WEEKDAY(B429,3),"")</f>
        <v/>
      </c>
      <c r="T429">
        <f>IF(ISNUMBER(B429),YEAR(B429)*100+MONTH(B429),"")</f>
        <v/>
      </c>
      <c r="U429">
        <f>IF(AND(ISNUMBER(B429),H429&lt;&gt;"Published"),IF(INT(B429)&gt;=TODAY(),R429,""),"")</f>
        <v/>
      </c>
      <c r="V429">
        <f>IF(AND(ISNUMBER(B429),OR(H429="Draft",H429="Scheduled")),IF(INT(B429)&lt;TODAY(),1,0),0)</f>
        <v/>
      </c>
      <c r="W429">
        <f>IF(AND(H429="Published",N(O429)&gt;0),IF(T429=(YEAR(TODAY())*100+MONTH(TODAY())),ROUND(O429,0)*1000+1000-ROW(),""),"")</f>
        <v/>
      </c>
    </row>
    <row r="430">
      <c r="A430" s="1" t="n"/>
      <c r="B430" s="21" t="n"/>
      <c r="C430" s="22" t="n"/>
      <c r="D430" s="23" t="n"/>
      <c r="E430" s="24" t="n"/>
      <c r="F430" s="23" t="n"/>
      <c r="G430" s="25" t="n"/>
      <c r="H430" s="24" t="n"/>
      <c r="I430" s="23" t="n"/>
      <c r="J430" s="26" t="n"/>
      <c r="K430" s="26" t="n"/>
      <c r="L430" s="26" t="n"/>
      <c r="M430" s="26" t="n"/>
      <c r="N430" s="26" t="n"/>
      <c r="O430" s="27">
        <f>IF(COUNT(K430:N430)=0,"",SUM(K430:N430))</f>
        <v/>
      </c>
      <c r="P430" s="16">
        <f>IF(OR(O430="",N(J430)&lt;=0),"",O430/J430)</f>
        <v/>
      </c>
      <c r="Q430" s="28">
        <f>IF(V430=1,"Late","")</f>
        <v/>
      </c>
      <c r="R430" s="1">
        <f>IF(ISNUMBER(B430),INT(B430)*10000000+IF(ISNUMBER(C430),ROUND(MOD(C430,1)*1440,0),0)*1000+ROW(),"")</f>
        <v/>
      </c>
      <c r="S430">
        <f>IF(ISNUMBER(B430),INT(B430)-WEEKDAY(B430,3),"")</f>
        <v/>
      </c>
      <c r="T430">
        <f>IF(ISNUMBER(B430),YEAR(B430)*100+MONTH(B430),"")</f>
        <v/>
      </c>
      <c r="U430">
        <f>IF(AND(ISNUMBER(B430),H430&lt;&gt;"Published"),IF(INT(B430)&gt;=TODAY(),R430,""),"")</f>
        <v/>
      </c>
      <c r="V430">
        <f>IF(AND(ISNUMBER(B430),OR(H430="Draft",H430="Scheduled")),IF(INT(B430)&lt;TODAY(),1,0),0)</f>
        <v/>
      </c>
      <c r="W430">
        <f>IF(AND(H430="Published",N(O430)&gt;0),IF(T430=(YEAR(TODAY())*100+MONTH(TODAY())),ROUND(O430,0)*1000+1000-ROW(),""),"")</f>
        <v/>
      </c>
    </row>
    <row r="431">
      <c r="A431" s="1" t="n"/>
      <c r="B431" s="21" t="n"/>
      <c r="C431" s="22" t="n"/>
      <c r="D431" s="23" t="n"/>
      <c r="E431" s="24" t="n"/>
      <c r="F431" s="23" t="n"/>
      <c r="G431" s="25" t="n"/>
      <c r="H431" s="24" t="n"/>
      <c r="I431" s="23" t="n"/>
      <c r="J431" s="26" t="n"/>
      <c r="K431" s="26" t="n"/>
      <c r="L431" s="26" t="n"/>
      <c r="M431" s="26" t="n"/>
      <c r="N431" s="26" t="n"/>
      <c r="O431" s="27">
        <f>IF(COUNT(K431:N431)=0,"",SUM(K431:N431))</f>
        <v/>
      </c>
      <c r="P431" s="16">
        <f>IF(OR(O431="",N(J431)&lt;=0),"",O431/J431)</f>
        <v/>
      </c>
      <c r="Q431" s="28">
        <f>IF(V431=1,"Late","")</f>
        <v/>
      </c>
      <c r="R431" s="1">
        <f>IF(ISNUMBER(B431),INT(B431)*10000000+IF(ISNUMBER(C431),ROUND(MOD(C431,1)*1440,0),0)*1000+ROW(),"")</f>
        <v/>
      </c>
      <c r="S431">
        <f>IF(ISNUMBER(B431),INT(B431)-WEEKDAY(B431,3),"")</f>
        <v/>
      </c>
      <c r="T431">
        <f>IF(ISNUMBER(B431),YEAR(B431)*100+MONTH(B431),"")</f>
        <v/>
      </c>
      <c r="U431">
        <f>IF(AND(ISNUMBER(B431),H431&lt;&gt;"Published"),IF(INT(B431)&gt;=TODAY(),R431,""),"")</f>
        <v/>
      </c>
      <c r="V431">
        <f>IF(AND(ISNUMBER(B431),OR(H431="Draft",H431="Scheduled")),IF(INT(B431)&lt;TODAY(),1,0),0)</f>
        <v/>
      </c>
      <c r="W431">
        <f>IF(AND(H431="Published",N(O431)&gt;0),IF(T431=(YEAR(TODAY())*100+MONTH(TODAY())),ROUND(O431,0)*1000+1000-ROW(),""),"")</f>
        <v/>
      </c>
    </row>
    <row r="432">
      <c r="A432" s="1" t="n"/>
      <c r="B432" s="21" t="n"/>
      <c r="C432" s="22" t="n"/>
      <c r="D432" s="23" t="n"/>
      <c r="E432" s="24" t="n"/>
      <c r="F432" s="23" t="n"/>
      <c r="G432" s="25" t="n"/>
      <c r="H432" s="24" t="n"/>
      <c r="I432" s="23" t="n"/>
      <c r="J432" s="26" t="n"/>
      <c r="K432" s="26" t="n"/>
      <c r="L432" s="26" t="n"/>
      <c r="M432" s="26" t="n"/>
      <c r="N432" s="26" t="n"/>
      <c r="O432" s="27">
        <f>IF(COUNT(K432:N432)=0,"",SUM(K432:N432))</f>
        <v/>
      </c>
      <c r="P432" s="16">
        <f>IF(OR(O432="",N(J432)&lt;=0),"",O432/J432)</f>
        <v/>
      </c>
      <c r="Q432" s="28">
        <f>IF(V432=1,"Late","")</f>
        <v/>
      </c>
      <c r="R432" s="1">
        <f>IF(ISNUMBER(B432),INT(B432)*10000000+IF(ISNUMBER(C432),ROUND(MOD(C432,1)*1440,0),0)*1000+ROW(),"")</f>
        <v/>
      </c>
      <c r="S432">
        <f>IF(ISNUMBER(B432),INT(B432)-WEEKDAY(B432,3),"")</f>
        <v/>
      </c>
      <c r="T432">
        <f>IF(ISNUMBER(B432),YEAR(B432)*100+MONTH(B432),"")</f>
        <v/>
      </c>
      <c r="U432">
        <f>IF(AND(ISNUMBER(B432),H432&lt;&gt;"Published"),IF(INT(B432)&gt;=TODAY(),R432,""),"")</f>
        <v/>
      </c>
      <c r="V432">
        <f>IF(AND(ISNUMBER(B432),OR(H432="Draft",H432="Scheduled")),IF(INT(B432)&lt;TODAY(),1,0),0)</f>
        <v/>
      </c>
      <c r="W432">
        <f>IF(AND(H432="Published",N(O432)&gt;0),IF(T432=(YEAR(TODAY())*100+MONTH(TODAY())),ROUND(O432,0)*1000+1000-ROW(),""),"")</f>
        <v/>
      </c>
    </row>
    <row r="433">
      <c r="A433" s="1" t="n"/>
      <c r="B433" s="21" t="n"/>
      <c r="C433" s="22" t="n"/>
      <c r="D433" s="23" t="n"/>
      <c r="E433" s="24" t="n"/>
      <c r="F433" s="23" t="n"/>
      <c r="G433" s="25" t="n"/>
      <c r="H433" s="24" t="n"/>
      <c r="I433" s="23" t="n"/>
      <c r="J433" s="26" t="n"/>
      <c r="K433" s="26" t="n"/>
      <c r="L433" s="26" t="n"/>
      <c r="M433" s="26" t="n"/>
      <c r="N433" s="26" t="n"/>
      <c r="O433" s="27">
        <f>IF(COUNT(K433:N433)=0,"",SUM(K433:N433))</f>
        <v/>
      </c>
      <c r="P433" s="16">
        <f>IF(OR(O433="",N(J433)&lt;=0),"",O433/J433)</f>
        <v/>
      </c>
      <c r="Q433" s="28">
        <f>IF(V433=1,"Late","")</f>
        <v/>
      </c>
      <c r="R433" s="1">
        <f>IF(ISNUMBER(B433),INT(B433)*10000000+IF(ISNUMBER(C433),ROUND(MOD(C433,1)*1440,0),0)*1000+ROW(),"")</f>
        <v/>
      </c>
      <c r="S433">
        <f>IF(ISNUMBER(B433),INT(B433)-WEEKDAY(B433,3),"")</f>
        <v/>
      </c>
      <c r="T433">
        <f>IF(ISNUMBER(B433),YEAR(B433)*100+MONTH(B433),"")</f>
        <v/>
      </c>
      <c r="U433">
        <f>IF(AND(ISNUMBER(B433),H433&lt;&gt;"Published"),IF(INT(B433)&gt;=TODAY(),R433,""),"")</f>
        <v/>
      </c>
      <c r="V433">
        <f>IF(AND(ISNUMBER(B433),OR(H433="Draft",H433="Scheduled")),IF(INT(B433)&lt;TODAY(),1,0),0)</f>
        <v/>
      </c>
      <c r="W433">
        <f>IF(AND(H433="Published",N(O433)&gt;0),IF(T433=(YEAR(TODAY())*100+MONTH(TODAY())),ROUND(O433,0)*1000+1000-ROW(),""),"")</f>
        <v/>
      </c>
    </row>
    <row r="434">
      <c r="A434" s="1" t="n"/>
      <c r="B434" s="21" t="n"/>
      <c r="C434" s="22" t="n"/>
      <c r="D434" s="23" t="n"/>
      <c r="E434" s="24" t="n"/>
      <c r="F434" s="23" t="n"/>
      <c r="G434" s="25" t="n"/>
      <c r="H434" s="24" t="n"/>
      <c r="I434" s="23" t="n"/>
      <c r="J434" s="26" t="n"/>
      <c r="K434" s="26" t="n"/>
      <c r="L434" s="26" t="n"/>
      <c r="M434" s="26" t="n"/>
      <c r="N434" s="26" t="n"/>
      <c r="O434" s="27">
        <f>IF(COUNT(K434:N434)=0,"",SUM(K434:N434))</f>
        <v/>
      </c>
      <c r="P434" s="16">
        <f>IF(OR(O434="",N(J434)&lt;=0),"",O434/J434)</f>
        <v/>
      </c>
      <c r="Q434" s="28">
        <f>IF(V434=1,"Late","")</f>
        <v/>
      </c>
      <c r="R434" s="1">
        <f>IF(ISNUMBER(B434),INT(B434)*10000000+IF(ISNUMBER(C434),ROUND(MOD(C434,1)*1440,0),0)*1000+ROW(),"")</f>
        <v/>
      </c>
      <c r="S434">
        <f>IF(ISNUMBER(B434),INT(B434)-WEEKDAY(B434,3),"")</f>
        <v/>
      </c>
      <c r="T434">
        <f>IF(ISNUMBER(B434),YEAR(B434)*100+MONTH(B434),"")</f>
        <v/>
      </c>
      <c r="U434">
        <f>IF(AND(ISNUMBER(B434),H434&lt;&gt;"Published"),IF(INT(B434)&gt;=TODAY(),R434,""),"")</f>
        <v/>
      </c>
      <c r="V434">
        <f>IF(AND(ISNUMBER(B434),OR(H434="Draft",H434="Scheduled")),IF(INT(B434)&lt;TODAY(),1,0),0)</f>
        <v/>
      </c>
      <c r="W434">
        <f>IF(AND(H434="Published",N(O434)&gt;0),IF(T434=(YEAR(TODAY())*100+MONTH(TODAY())),ROUND(O434,0)*1000+1000-ROW(),""),"")</f>
        <v/>
      </c>
    </row>
    <row r="435">
      <c r="A435" s="1" t="n"/>
      <c r="B435" s="21" t="n"/>
      <c r="C435" s="22" t="n"/>
      <c r="D435" s="23" t="n"/>
      <c r="E435" s="24" t="n"/>
      <c r="F435" s="23" t="n"/>
      <c r="G435" s="25" t="n"/>
      <c r="H435" s="24" t="n"/>
      <c r="I435" s="23" t="n"/>
      <c r="J435" s="26" t="n"/>
      <c r="K435" s="26" t="n"/>
      <c r="L435" s="26" t="n"/>
      <c r="M435" s="26" t="n"/>
      <c r="N435" s="26" t="n"/>
      <c r="O435" s="27">
        <f>IF(COUNT(K435:N435)=0,"",SUM(K435:N435))</f>
        <v/>
      </c>
      <c r="P435" s="16">
        <f>IF(OR(O435="",N(J435)&lt;=0),"",O435/J435)</f>
        <v/>
      </c>
      <c r="Q435" s="28">
        <f>IF(V435=1,"Late","")</f>
        <v/>
      </c>
      <c r="R435" s="1">
        <f>IF(ISNUMBER(B435),INT(B435)*10000000+IF(ISNUMBER(C435),ROUND(MOD(C435,1)*1440,0),0)*1000+ROW(),"")</f>
        <v/>
      </c>
      <c r="S435">
        <f>IF(ISNUMBER(B435),INT(B435)-WEEKDAY(B435,3),"")</f>
        <v/>
      </c>
      <c r="T435">
        <f>IF(ISNUMBER(B435),YEAR(B435)*100+MONTH(B435),"")</f>
        <v/>
      </c>
      <c r="U435">
        <f>IF(AND(ISNUMBER(B435),H435&lt;&gt;"Published"),IF(INT(B435)&gt;=TODAY(),R435,""),"")</f>
        <v/>
      </c>
      <c r="V435">
        <f>IF(AND(ISNUMBER(B435),OR(H435="Draft",H435="Scheduled")),IF(INT(B435)&lt;TODAY(),1,0),0)</f>
        <v/>
      </c>
      <c r="W435">
        <f>IF(AND(H435="Published",N(O435)&gt;0),IF(T435=(YEAR(TODAY())*100+MONTH(TODAY())),ROUND(O435,0)*1000+1000-ROW(),""),"")</f>
        <v/>
      </c>
    </row>
    <row r="436">
      <c r="A436" s="1" t="n"/>
      <c r="B436" s="21" t="n"/>
      <c r="C436" s="22" t="n"/>
      <c r="D436" s="23" t="n"/>
      <c r="E436" s="24" t="n"/>
      <c r="F436" s="23" t="n"/>
      <c r="G436" s="25" t="n"/>
      <c r="H436" s="24" t="n"/>
      <c r="I436" s="23" t="n"/>
      <c r="J436" s="26" t="n"/>
      <c r="K436" s="26" t="n"/>
      <c r="L436" s="26" t="n"/>
      <c r="M436" s="26" t="n"/>
      <c r="N436" s="26" t="n"/>
      <c r="O436" s="27">
        <f>IF(COUNT(K436:N436)=0,"",SUM(K436:N436))</f>
        <v/>
      </c>
      <c r="P436" s="16">
        <f>IF(OR(O436="",N(J436)&lt;=0),"",O436/J436)</f>
        <v/>
      </c>
      <c r="Q436" s="28">
        <f>IF(V436=1,"Late","")</f>
        <v/>
      </c>
      <c r="R436" s="1">
        <f>IF(ISNUMBER(B436),INT(B436)*10000000+IF(ISNUMBER(C436),ROUND(MOD(C436,1)*1440,0),0)*1000+ROW(),"")</f>
        <v/>
      </c>
      <c r="S436">
        <f>IF(ISNUMBER(B436),INT(B436)-WEEKDAY(B436,3),"")</f>
        <v/>
      </c>
      <c r="T436">
        <f>IF(ISNUMBER(B436),YEAR(B436)*100+MONTH(B436),"")</f>
        <v/>
      </c>
      <c r="U436">
        <f>IF(AND(ISNUMBER(B436),H436&lt;&gt;"Published"),IF(INT(B436)&gt;=TODAY(),R436,""),"")</f>
        <v/>
      </c>
      <c r="V436">
        <f>IF(AND(ISNUMBER(B436),OR(H436="Draft",H436="Scheduled")),IF(INT(B436)&lt;TODAY(),1,0),0)</f>
        <v/>
      </c>
      <c r="W436">
        <f>IF(AND(H436="Published",N(O436)&gt;0),IF(T436=(YEAR(TODAY())*100+MONTH(TODAY())),ROUND(O436,0)*1000+1000-ROW(),""),"")</f>
        <v/>
      </c>
    </row>
    <row r="437">
      <c r="A437" s="1" t="n"/>
      <c r="B437" s="21" t="n"/>
      <c r="C437" s="22" t="n"/>
      <c r="D437" s="23" t="n"/>
      <c r="E437" s="24" t="n"/>
      <c r="F437" s="23" t="n"/>
      <c r="G437" s="25" t="n"/>
      <c r="H437" s="24" t="n"/>
      <c r="I437" s="23" t="n"/>
      <c r="J437" s="26" t="n"/>
      <c r="K437" s="26" t="n"/>
      <c r="L437" s="26" t="n"/>
      <c r="M437" s="26" t="n"/>
      <c r="N437" s="26" t="n"/>
      <c r="O437" s="27">
        <f>IF(COUNT(K437:N437)=0,"",SUM(K437:N437))</f>
        <v/>
      </c>
      <c r="P437" s="16">
        <f>IF(OR(O437="",N(J437)&lt;=0),"",O437/J437)</f>
        <v/>
      </c>
      <c r="Q437" s="28">
        <f>IF(V437=1,"Late","")</f>
        <v/>
      </c>
      <c r="R437" s="1">
        <f>IF(ISNUMBER(B437),INT(B437)*10000000+IF(ISNUMBER(C437),ROUND(MOD(C437,1)*1440,0),0)*1000+ROW(),"")</f>
        <v/>
      </c>
      <c r="S437">
        <f>IF(ISNUMBER(B437),INT(B437)-WEEKDAY(B437,3),"")</f>
        <v/>
      </c>
      <c r="T437">
        <f>IF(ISNUMBER(B437),YEAR(B437)*100+MONTH(B437),"")</f>
        <v/>
      </c>
      <c r="U437">
        <f>IF(AND(ISNUMBER(B437),H437&lt;&gt;"Published"),IF(INT(B437)&gt;=TODAY(),R437,""),"")</f>
        <v/>
      </c>
      <c r="V437">
        <f>IF(AND(ISNUMBER(B437),OR(H437="Draft",H437="Scheduled")),IF(INT(B437)&lt;TODAY(),1,0),0)</f>
        <v/>
      </c>
      <c r="W437">
        <f>IF(AND(H437="Published",N(O437)&gt;0),IF(T437=(YEAR(TODAY())*100+MONTH(TODAY())),ROUND(O437,0)*1000+1000-ROW(),""),"")</f>
        <v/>
      </c>
    </row>
    <row r="438">
      <c r="A438" s="1" t="n"/>
      <c r="B438" s="21" t="n"/>
      <c r="C438" s="22" t="n"/>
      <c r="D438" s="23" t="n"/>
      <c r="E438" s="24" t="n"/>
      <c r="F438" s="23" t="n"/>
      <c r="G438" s="25" t="n"/>
      <c r="H438" s="24" t="n"/>
      <c r="I438" s="23" t="n"/>
      <c r="J438" s="26" t="n"/>
      <c r="K438" s="26" t="n"/>
      <c r="L438" s="26" t="n"/>
      <c r="M438" s="26" t="n"/>
      <c r="N438" s="26" t="n"/>
      <c r="O438" s="27">
        <f>IF(COUNT(K438:N438)=0,"",SUM(K438:N438))</f>
        <v/>
      </c>
      <c r="P438" s="16">
        <f>IF(OR(O438="",N(J438)&lt;=0),"",O438/J438)</f>
        <v/>
      </c>
      <c r="Q438" s="28">
        <f>IF(V438=1,"Late","")</f>
        <v/>
      </c>
      <c r="R438" s="1">
        <f>IF(ISNUMBER(B438),INT(B438)*10000000+IF(ISNUMBER(C438),ROUND(MOD(C438,1)*1440,0),0)*1000+ROW(),"")</f>
        <v/>
      </c>
      <c r="S438">
        <f>IF(ISNUMBER(B438),INT(B438)-WEEKDAY(B438,3),"")</f>
        <v/>
      </c>
      <c r="T438">
        <f>IF(ISNUMBER(B438),YEAR(B438)*100+MONTH(B438),"")</f>
        <v/>
      </c>
      <c r="U438">
        <f>IF(AND(ISNUMBER(B438),H438&lt;&gt;"Published"),IF(INT(B438)&gt;=TODAY(),R438,""),"")</f>
        <v/>
      </c>
      <c r="V438">
        <f>IF(AND(ISNUMBER(B438),OR(H438="Draft",H438="Scheduled")),IF(INT(B438)&lt;TODAY(),1,0),0)</f>
        <v/>
      </c>
      <c r="W438">
        <f>IF(AND(H438="Published",N(O438)&gt;0),IF(T438=(YEAR(TODAY())*100+MONTH(TODAY())),ROUND(O438,0)*1000+1000-ROW(),""),"")</f>
        <v/>
      </c>
    </row>
    <row r="439">
      <c r="A439" s="1" t="n"/>
      <c r="B439" s="21" t="n"/>
      <c r="C439" s="22" t="n"/>
      <c r="D439" s="23" t="n"/>
      <c r="E439" s="24" t="n"/>
      <c r="F439" s="23" t="n"/>
      <c r="G439" s="25" t="n"/>
      <c r="H439" s="24" t="n"/>
      <c r="I439" s="23" t="n"/>
      <c r="J439" s="26" t="n"/>
      <c r="K439" s="26" t="n"/>
      <c r="L439" s="26" t="n"/>
      <c r="M439" s="26" t="n"/>
      <c r="N439" s="26" t="n"/>
      <c r="O439" s="27">
        <f>IF(COUNT(K439:N439)=0,"",SUM(K439:N439))</f>
        <v/>
      </c>
      <c r="P439" s="16">
        <f>IF(OR(O439="",N(J439)&lt;=0),"",O439/J439)</f>
        <v/>
      </c>
      <c r="Q439" s="28">
        <f>IF(V439=1,"Late","")</f>
        <v/>
      </c>
      <c r="R439" s="1">
        <f>IF(ISNUMBER(B439),INT(B439)*10000000+IF(ISNUMBER(C439),ROUND(MOD(C439,1)*1440,0),0)*1000+ROW(),"")</f>
        <v/>
      </c>
      <c r="S439">
        <f>IF(ISNUMBER(B439),INT(B439)-WEEKDAY(B439,3),"")</f>
        <v/>
      </c>
      <c r="T439">
        <f>IF(ISNUMBER(B439),YEAR(B439)*100+MONTH(B439),"")</f>
        <v/>
      </c>
      <c r="U439">
        <f>IF(AND(ISNUMBER(B439),H439&lt;&gt;"Published"),IF(INT(B439)&gt;=TODAY(),R439,""),"")</f>
        <v/>
      </c>
      <c r="V439">
        <f>IF(AND(ISNUMBER(B439),OR(H439="Draft",H439="Scheduled")),IF(INT(B439)&lt;TODAY(),1,0),0)</f>
        <v/>
      </c>
      <c r="W439">
        <f>IF(AND(H439="Published",N(O439)&gt;0),IF(T439=(YEAR(TODAY())*100+MONTH(TODAY())),ROUND(O439,0)*1000+1000-ROW(),""),"")</f>
        <v/>
      </c>
    </row>
    <row r="440">
      <c r="A440" s="1" t="n"/>
      <c r="B440" s="21" t="n"/>
      <c r="C440" s="22" t="n"/>
      <c r="D440" s="23" t="n"/>
      <c r="E440" s="24" t="n"/>
      <c r="F440" s="23" t="n"/>
      <c r="G440" s="25" t="n"/>
      <c r="H440" s="24" t="n"/>
      <c r="I440" s="23" t="n"/>
      <c r="J440" s="26" t="n"/>
      <c r="K440" s="26" t="n"/>
      <c r="L440" s="26" t="n"/>
      <c r="M440" s="26" t="n"/>
      <c r="N440" s="26" t="n"/>
      <c r="O440" s="27">
        <f>IF(COUNT(K440:N440)=0,"",SUM(K440:N440))</f>
        <v/>
      </c>
      <c r="P440" s="16">
        <f>IF(OR(O440="",N(J440)&lt;=0),"",O440/J440)</f>
        <v/>
      </c>
      <c r="Q440" s="28">
        <f>IF(V440=1,"Late","")</f>
        <v/>
      </c>
      <c r="R440" s="1">
        <f>IF(ISNUMBER(B440),INT(B440)*10000000+IF(ISNUMBER(C440),ROUND(MOD(C440,1)*1440,0),0)*1000+ROW(),"")</f>
        <v/>
      </c>
      <c r="S440">
        <f>IF(ISNUMBER(B440),INT(B440)-WEEKDAY(B440,3),"")</f>
        <v/>
      </c>
      <c r="T440">
        <f>IF(ISNUMBER(B440),YEAR(B440)*100+MONTH(B440),"")</f>
        <v/>
      </c>
      <c r="U440">
        <f>IF(AND(ISNUMBER(B440),H440&lt;&gt;"Published"),IF(INT(B440)&gt;=TODAY(),R440,""),"")</f>
        <v/>
      </c>
      <c r="V440">
        <f>IF(AND(ISNUMBER(B440),OR(H440="Draft",H440="Scheduled")),IF(INT(B440)&lt;TODAY(),1,0),0)</f>
        <v/>
      </c>
      <c r="W440">
        <f>IF(AND(H440="Published",N(O440)&gt;0),IF(T440=(YEAR(TODAY())*100+MONTH(TODAY())),ROUND(O440,0)*1000+1000-ROW(),""),"")</f>
        <v/>
      </c>
    </row>
    <row r="441">
      <c r="A441" s="1" t="n"/>
      <c r="B441" s="21" t="n"/>
      <c r="C441" s="22" t="n"/>
      <c r="D441" s="23" t="n"/>
      <c r="E441" s="24" t="n"/>
      <c r="F441" s="23" t="n"/>
      <c r="G441" s="25" t="n"/>
      <c r="H441" s="24" t="n"/>
      <c r="I441" s="23" t="n"/>
      <c r="J441" s="26" t="n"/>
      <c r="K441" s="26" t="n"/>
      <c r="L441" s="26" t="n"/>
      <c r="M441" s="26" t="n"/>
      <c r="N441" s="26" t="n"/>
      <c r="O441" s="27">
        <f>IF(COUNT(K441:N441)=0,"",SUM(K441:N441))</f>
        <v/>
      </c>
      <c r="P441" s="16">
        <f>IF(OR(O441="",N(J441)&lt;=0),"",O441/J441)</f>
        <v/>
      </c>
      <c r="Q441" s="28">
        <f>IF(V441=1,"Late","")</f>
        <v/>
      </c>
      <c r="R441" s="1">
        <f>IF(ISNUMBER(B441),INT(B441)*10000000+IF(ISNUMBER(C441),ROUND(MOD(C441,1)*1440,0),0)*1000+ROW(),"")</f>
        <v/>
      </c>
      <c r="S441">
        <f>IF(ISNUMBER(B441),INT(B441)-WEEKDAY(B441,3),"")</f>
        <v/>
      </c>
      <c r="T441">
        <f>IF(ISNUMBER(B441),YEAR(B441)*100+MONTH(B441),"")</f>
        <v/>
      </c>
      <c r="U441">
        <f>IF(AND(ISNUMBER(B441),H441&lt;&gt;"Published"),IF(INT(B441)&gt;=TODAY(),R441,""),"")</f>
        <v/>
      </c>
      <c r="V441">
        <f>IF(AND(ISNUMBER(B441),OR(H441="Draft",H441="Scheduled")),IF(INT(B441)&lt;TODAY(),1,0),0)</f>
        <v/>
      </c>
      <c r="W441">
        <f>IF(AND(H441="Published",N(O441)&gt;0),IF(T441=(YEAR(TODAY())*100+MONTH(TODAY())),ROUND(O441,0)*1000+1000-ROW(),""),"")</f>
        <v/>
      </c>
    </row>
    <row r="442">
      <c r="A442" s="1" t="n"/>
      <c r="B442" s="21" t="n"/>
      <c r="C442" s="22" t="n"/>
      <c r="D442" s="23" t="n"/>
      <c r="E442" s="24" t="n"/>
      <c r="F442" s="23" t="n"/>
      <c r="G442" s="25" t="n"/>
      <c r="H442" s="24" t="n"/>
      <c r="I442" s="23" t="n"/>
      <c r="J442" s="26" t="n"/>
      <c r="K442" s="26" t="n"/>
      <c r="L442" s="26" t="n"/>
      <c r="M442" s="26" t="n"/>
      <c r="N442" s="26" t="n"/>
      <c r="O442" s="27">
        <f>IF(COUNT(K442:N442)=0,"",SUM(K442:N442))</f>
        <v/>
      </c>
      <c r="P442" s="16">
        <f>IF(OR(O442="",N(J442)&lt;=0),"",O442/J442)</f>
        <v/>
      </c>
      <c r="Q442" s="28">
        <f>IF(V442=1,"Late","")</f>
        <v/>
      </c>
      <c r="R442" s="1">
        <f>IF(ISNUMBER(B442),INT(B442)*10000000+IF(ISNUMBER(C442),ROUND(MOD(C442,1)*1440,0),0)*1000+ROW(),"")</f>
        <v/>
      </c>
      <c r="S442">
        <f>IF(ISNUMBER(B442),INT(B442)-WEEKDAY(B442,3),"")</f>
        <v/>
      </c>
      <c r="T442">
        <f>IF(ISNUMBER(B442),YEAR(B442)*100+MONTH(B442),"")</f>
        <v/>
      </c>
      <c r="U442">
        <f>IF(AND(ISNUMBER(B442),H442&lt;&gt;"Published"),IF(INT(B442)&gt;=TODAY(),R442,""),"")</f>
        <v/>
      </c>
      <c r="V442">
        <f>IF(AND(ISNUMBER(B442),OR(H442="Draft",H442="Scheduled")),IF(INT(B442)&lt;TODAY(),1,0),0)</f>
        <v/>
      </c>
      <c r="W442">
        <f>IF(AND(H442="Published",N(O442)&gt;0),IF(T442=(YEAR(TODAY())*100+MONTH(TODAY())),ROUND(O442,0)*1000+1000-ROW(),""),"")</f>
        <v/>
      </c>
    </row>
    <row r="443">
      <c r="A443" s="1" t="n"/>
      <c r="B443" s="21" t="n"/>
      <c r="C443" s="22" t="n"/>
      <c r="D443" s="23" t="n"/>
      <c r="E443" s="24" t="n"/>
      <c r="F443" s="23" t="n"/>
      <c r="G443" s="25" t="n"/>
      <c r="H443" s="24" t="n"/>
      <c r="I443" s="23" t="n"/>
      <c r="J443" s="26" t="n"/>
      <c r="K443" s="26" t="n"/>
      <c r="L443" s="26" t="n"/>
      <c r="M443" s="26" t="n"/>
      <c r="N443" s="26" t="n"/>
      <c r="O443" s="27">
        <f>IF(COUNT(K443:N443)=0,"",SUM(K443:N443))</f>
        <v/>
      </c>
      <c r="P443" s="16">
        <f>IF(OR(O443="",N(J443)&lt;=0),"",O443/J443)</f>
        <v/>
      </c>
      <c r="Q443" s="28">
        <f>IF(V443=1,"Late","")</f>
        <v/>
      </c>
      <c r="R443" s="1">
        <f>IF(ISNUMBER(B443),INT(B443)*10000000+IF(ISNUMBER(C443),ROUND(MOD(C443,1)*1440,0),0)*1000+ROW(),"")</f>
        <v/>
      </c>
      <c r="S443">
        <f>IF(ISNUMBER(B443),INT(B443)-WEEKDAY(B443,3),"")</f>
        <v/>
      </c>
      <c r="T443">
        <f>IF(ISNUMBER(B443),YEAR(B443)*100+MONTH(B443),"")</f>
        <v/>
      </c>
      <c r="U443">
        <f>IF(AND(ISNUMBER(B443),H443&lt;&gt;"Published"),IF(INT(B443)&gt;=TODAY(),R443,""),"")</f>
        <v/>
      </c>
      <c r="V443">
        <f>IF(AND(ISNUMBER(B443),OR(H443="Draft",H443="Scheduled")),IF(INT(B443)&lt;TODAY(),1,0),0)</f>
        <v/>
      </c>
      <c r="W443">
        <f>IF(AND(H443="Published",N(O443)&gt;0),IF(T443=(YEAR(TODAY())*100+MONTH(TODAY())),ROUND(O443,0)*1000+1000-ROW(),""),"")</f>
        <v/>
      </c>
    </row>
    <row r="444">
      <c r="A444" s="1" t="n"/>
      <c r="B444" s="21" t="n"/>
      <c r="C444" s="22" t="n"/>
      <c r="D444" s="23" t="n"/>
      <c r="E444" s="24" t="n"/>
      <c r="F444" s="23" t="n"/>
      <c r="G444" s="25" t="n"/>
      <c r="H444" s="24" t="n"/>
      <c r="I444" s="23" t="n"/>
      <c r="J444" s="26" t="n"/>
      <c r="K444" s="26" t="n"/>
      <c r="L444" s="26" t="n"/>
      <c r="M444" s="26" t="n"/>
      <c r="N444" s="26" t="n"/>
      <c r="O444" s="27">
        <f>IF(COUNT(K444:N444)=0,"",SUM(K444:N444))</f>
        <v/>
      </c>
      <c r="P444" s="16">
        <f>IF(OR(O444="",N(J444)&lt;=0),"",O444/J444)</f>
        <v/>
      </c>
      <c r="Q444" s="28">
        <f>IF(V444=1,"Late","")</f>
        <v/>
      </c>
      <c r="R444" s="1">
        <f>IF(ISNUMBER(B444),INT(B444)*10000000+IF(ISNUMBER(C444),ROUND(MOD(C444,1)*1440,0),0)*1000+ROW(),"")</f>
        <v/>
      </c>
      <c r="S444">
        <f>IF(ISNUMBER(B444),INT(B444)-WEEKDAY(B444,3),"")</f>
        <v/>
      </c>
      <c r="T444">
        <f>IF(ISNUMBER(B444),YEAR(B444)*100+MONTH(B444),"")</f>
        <v/>
      </c>
      <c r="U444">
        <f>IF(AND(ISNUMBER(B444),H444&lt;&gt;"Published"),IF(INT(B444)&gt;=TODAY(),R444,""),"")</f>
        <v/>
      </c>
      <c r="V444">
        <f>IF(AND(ISNUMBER(B444),OR(H444="Draft",H444="Scheduled")),IF(INT(B444)&lt;TODAY(),1,0),0)</f>
        <v/>
      </c>
      <c r="W444">
        <f>IF(AND(H444="Published",N(O444)&gt;0),IF(T444=(YEAR(TODAY())*100+MONTH(TODAY())),ROUND(O444,0)*1000+1000-ROW(),""),"")</f>
        <v/>
      </c>
    </row>
    <row r="445">
      <c r="A445" s="1" t="n"/>
      <c r="B445" s="21" t="n"/>
      <c r="C445" s="22" t="n"/>
      <c r="D445" s="23" t="n"/>
      <c r="E445" s="24" t="n"/>
      <c r="F445" s="23" t="n"/>
      <c r="G445" s="25" t="n"/>
      <c r="H445" s="24" t="n"/>
      <c r="I445" s="23" t="n"/>
      <c r="J445" s="26" t="n"/>
      <c r="K445" s="26" t="n"/>
      <c r="L445" s="26" t="n"/>
      <c r="M445" s="26" t="n"/>
      <c r="N445" s="26" t="n"/>
      <c r="O445" s="27">
        <f>IF(COUNT(K445:N445)=0,"",SUM(K445:N445))</f>
        <v/>
      </c>
      <c r="P445" s="16">
        <f>IF(OR(O445="",N(J445)&lt;=0),"",O445/J445)</f>
        <v/>
      </c>
      <c r="Q445" s="28">
        <f>IF(V445=1,"Late","")</f>
        <v/>
      </c>
      <c r="R445" s="1">
        <f>IF(ISNUMBER(B445),INT(B445)*10000000+IF(ISNUMBER(C445),ROUND(MOD(C445,1)*1440,0),0)*1000+ROW(),"")</f>
        <v/>
      </c>
      <c r="S445">
        <f>IF(ISNUMBER(B445),INT(B445)-WEEKDAY(B445,3),"")</f>
        <v/>
      </c>
      <c r="T445">
        <f>IF(ISNUMBER(B445),YEAR(B445)*100+MONTH(B445),"")</f>
        <v/>
      </c>
      <c r="U445">
        <f>IF(AND(ISNUMBER(B445),H445&lt;&gt;"Published"),IF(INT(B445)&gt;=TODAY(),R445,""),"")</f>
        <v/>
      </c>
      <c r="V445">
        <f>IF(AND(ISNUMBER(B445),OR(H445="Draft",H445="Scheduled")),IF(INT(B445)&lt;TODAY(),1,0),0)</f>
        <v/>
      </c>
      <c r="W445">
        <f>IF(AND(H445="Published",N(O445)&gt;0),IF(T445=(YEAR(TODAY())*100+MONTH(TODAY())),ROUND(O445,0)*1000+1000-ROW(),""),"")</f>
        <v/>
      </c>
    </row>
    <row r="446">
      <c r="A446" s="1" t="n"/>
      <c r="B446" s="21" t="n"/>
      <c r="C446" s="22" t="n"/>
      <c r="D446" s="23" t="n"/>
      <c r="E446" s="24" t="n"/>
      <c r="F446" s="23" t="n"/>
      <c r="G446" s="25" t="n"/>
      <c r="H446" s="24" t="n"/>
      <c r="I446" s="23" t="n"/>
      <c r="J446" s="26" t="n"/>
      <c r="K446" s="26" t="n"/>
      <c r="L446" s="26" t="n"/>
      <c r="M446" s="26" t="n"/>
      <c r="N446" s="26" t="n"/>
      <c r="O446" s="27">
        <f>IF(COUNT(K446:N446)=0,"",SUM(K446:N446))</f>
        <v/>
      </c>
      <c r="P446" s="16">
        <f>IF(OR(O446="",N(J446)&lt;=0),"",O446/J446)</f>
        <v/>
      </c>
      <c r="Q446" s="28">
        <f>IF(V446=1,"Late","")</f>
        <v/>
      </c>
      <c r="R446" s="1">
        <f>IF(ISNUMBER(B446),INT(B446)*10000000+IF(ISNUMBER(C446),ROUND(MOD(C446,1)*1440,0),0)*1000+ROW(),"")</f>
        <v/>
      </c>
      <c r="S446">
        <f>IF(ISNUMBER(B446),INT(B446)-WEEKDAY(B446,3),"")</f>
        <v/>
      </c>
      <c r="T446">
        <f>IF(ISNUMBER(B446),YEAR(B446)*100+MONTH(B446),"")</f>
        <v/>
      </c>
      <c r="U446">
        <f>IF(AND(ISNUMBER(B446),H446&lt;&gt;"Published"),IF(INT(B446)&gt;=TODAY(),R446,""),"")</f>
        <v/>
      </c>
      <c r="V446">
        <f>IF(AND(ISNUMBER(B446),OR(H446="Draft",H446="Scheduled")),IF(INT(B446)&lt;TODAY(),1,0),0)</f>
        <v/>
      </c>
      <c r="W446">
        <f>IF(AND(H446="Published",N(O446)&gt;0),IF(T446=(YEAR(TODAY())*100+MONTH(TODAY())),ROUND(O446,0)*1000+1000-ROW(),""),"")</f>
        <v/>
      </c>
    </row>
    <row r="447">
      <c r="A447" s="1" t="n"/>
      <c r="B447" s="21" t="n"/>
      <c r="C447" s="22" t="n"/>
      <c r="D447" s="23" t="n"/>
      <c r="E447" s="24" t="n"/>
      <c r="F447" s="23" t="n"/>
      <c r="G447" s="25" t="n"/>
      <c r="H447" s="24" t="n"/>
      <c r="I447" s="23" t="n"/>
      <c r="J447" s="26" t="n"/>
      <c r="K447" s="26" t="n"/>
      <c r="L447" s="26" t="n"/>
      <c r="M447" s="26" t="n"/>
      <c r="N447" s="26" t="n"/>
      <c r="O447" s="27">
        <f>IF(COUNT(K447:N447)=0,"",SUM(K447:N447))</f>
        <v/>
      </c>
      <c r="P447" s="16">
        <f>IF(OR(O447="",N(J447)&lt;=0),"",O447/J447)</f>
        <v/>
      </c>
      <c r="Q447" s="28">
        <f>IF(V447=1,"Late","")</f>
        <v/>
      </c>
      <c r="R447" s="1">
        <f>IF(ISNUMBER(B447),INT(B447)*10000000+IF(ISNUMBER(C447),ROUND(MOD(C447,1)*1440,0),0)*1000+ROW(),"")</f>
        <v/>
      </c>
      <c r="S447">
        <f>IF(ISNUMBER(B447),INT(B447)-WEEKDAY(B447,3),"")</f>
        <v/>
      </c>
      <c r="T447">
        <f>IF(ISNUMBER(B447),YEAR(B447)*100+MONTH(B447),"")</f>
        <v/>
      </c>
      <c r="U447">
        <f>IF(AND(ISNUMBER(B447),H447&lt;&gt;"Published"),IF(INT(B447)&gt;=TODAY(),R447,""),"")</f>
        <v/>
      </c>
      <c r="V447">
        <f>IF(AND(ISNUMBER(B447),OR(H447="Draft",H447="Scheduled")),IF(INT(B447)&lt;TODAY(),1,0),0)</f>
        <v/>
      </c>
      <c r="W447">
        <f>IF(AND(H447="Published",N(O447)&gt;0),IF(T447=(YEAR(TODAY())*100+MONTH(TODAY())),ROUND(O447,0)*1000+1000-ROW(),""),"")</f>
        <v/>
      </c>
    </row>
    <row r="448">
      <c r="A448" s="1" t="n"/>
      <c r="B448" s="21" t="n"/>
      <c r="C448" s="22" t="n"/>
      <c r="D448" s="23" t="n"/>
      <c r="E448" s="24" t="n"/>
      <c r="F448" s="23" t="n"/>
      <c r="G448" s="25" t="n"/>
      <c r="H448" s="24" t="n"/>
      <c r="I448" s="23" t="n"/>
      <c r="J448" s="26" t="n"/>
      <c r="K448" s="26" t="n"/>
      <c r="L448" s="26" t="n"/>
      <c r="M448" s="26" t="n"/>
      <c r="N448" s="26" t="n"/>
      <c r="O448" s="27">
        <f>IF(COUNT(K448:N448)=0,"",SUM(K448:N448))</f>
        <v/>
      </c>
      <c r="P448" s="16">
        <f>IF(OR(O448="",N(J448)&lt;=0),"",O448/J448)</f>
        <v/>
      </c>
      <c r="Q448" s="28">
        <f>IF(V448=1,"Late","")</f>
        <v/>
      </c>
      <c r="R448" s="1">
        <f>IF(ISNUMBER(B448),INT(B448)*10000000+IF(ISNUMBER(C448),ROUND(MOD(C448,1)*1440,0),0)*1000+ROW(),"")</f>
        <v/>
      </c>
      <c r="S448">
        <f>IF(ISNUMBER(B448),INT(B448)-WEEKDAY(B448,3),"")</f>
        <v/>
      </c>
      <c r="T448">
        <f>IF(ISNUMBER(B448),YEAR(B448)*100+MONTH(B448),"")</f>
        <v/>
      </c>
      <c r="U448">
        <f>IF(AND(ISNUMBER(B448),H448&lt;&gt;"Published"),IF(INT(B448)&gt;=TODAY(),R448,""),"")</f>
        <v/>
      </c>
      <c r="V448">
        <f>IF(AND(ISNUMBER(B448),OR(H448="Draft",H448="Scheduled")),IF(INT(B448)&lt;TODAY(),1,0),0)</f>
        <v/>
      </c>
      <c r="W448">
        <f>IF(AND(H448="Published",N(O448)&gt;0),IF(T448=(YEAR(TODAY())*100+MONTH(TODAY())),ROUND(O448,0)*1000+1000-ROW(),""),"")</f>
        <v/>
      </c>
    </row>
    <row r="449">
      <c r="A449" s="1" t="n"/>
      <c r="B449" s="21" t="n"/>
      <c r="C449" s="22" t="n"/>
      <c r="D449" s="23" t="n"/>
      <c r="E449" s="24" t="n"/>
      <c r="F449" s="23" t="n"/>
      <c r="G449" s="25" t="n"/>
      <c r="H449" s="24" t="n"/>
      <c r="I449" s="23" t="n"/>
      <c r="J449" s="26" t="n"/>
      <c r="K449" s="26" t="n"/>
      <c r="L449" s="26" t="n"/>
      <c r="M449" s="26" t="n"/>
      <c r="N449" s="26" t="n"/>
      <c r="O449" s="27">
        <f>IF(COUNT(K449:N449)=0,"",SUM(K449:N449))</f>
        <v/>
      </c>
      <c r="P449" s="16">
        <f>IF(OR(O449="",N(J449)&lt;=0),"",O449/J449)</f>
        <v/>
      </c>
      <c r="Q449" s="28">
        <f>IF(V449=1,"Late","")</f>
        <v/>
      </c>
      <c r="R449" s="1">
        <f>IF(ISNUMBER(B449),INT(B449)*10000000+IF(ISNUMBER(C449),ROUND(MOD(C449,1)*1440,0),0)*1000+ROW(),"")</f>
        <v/>
      </c>
      <c r="S449">
        <f>IF(ISNUMBER(B449),INT(B449)-WEEKDAY(B449,3),"")</f>
        <v/>
      </c>
      <c r="T449">
        <f>IF(ISNUMBER(B449),YEAR(B449)*100+MONTH(B449),"")</f>
        <v/>
      </c>
      <c r="U449">
        <f>IF(AND(ISNUMBER(B449),H449&lt;&gt;"Published"),IF(INT(B449)&gt;=TODAY(),R449,""),"")</f>
        <v/>
      </c>
      <c r="V449">
        <f>IF(AND(ISNUMBER(B449),OR(H449="Draft",H449="Scheduled")),IF(INT(B449)&lt;TODAY(),1,0),0)</f>
        <v/>
      </c>
      <c r="W449">
        <f>IF(AND(H449="Published",N(O449)&gt;0),IF(T449=(YEAR(TODAY())*100+MONTH(TODAY())),ROUND(O449,0)*1000+1000-ROW(),""),"")</f>
        <v/>
      </c>
    </row>
    <row r="450">
      <c r="A450" s="1" t="n"/>
      <c r="B450" s="21" t="n"/>
      <c r="C450" s="22" t="n"/>
      <c r="D450" s="23" t="n"/>
      <c r="E450" s="24" t="n"/>
      <c r="F450" s="23" t="n"/>
      <c r="G450" s="25" t="n"/>
      <c r="H450" s="24" t="n"/>
      <c r="I450" s="23" t="n"/>
      <c r="J450" s="26" t="n"/>
      <c r="K450" s="26" t="n"/>
      <c r="L450" s="26" t="n"/>
      <c r="M450" s="26" t="n"/>
      <c r="N450" s="26" t="n"/>
      <c r="O450" s="27">
        <f>IF(COUNT(K450:N450)=0,"",SUM(K450:N450))</f>
        <v/>
      </c>
      <c r="P450" s="16">
        <f>IF(OR(O450="",N(J450)&lt;=0),"",O450/J450)</f>
        <v/>
      </c>
      <c r="Q450" s="28">
        <f>IF(V450=1,"Late","")</f>
        <v/>
      </c>
      <c r="R450" s="1">
        <f>IF(ISNUMBER(B450),INT(B450)*10000000+IF(ISNUMBER(C450),ROUND(MOD(C450,1)*1440,0),0)*1000+ROW(),"")</f>
        <v/>
      </c>
      <c r="S450">
        <f>IF(ISNUMBER(B450),INT(B450)-WEEKDAY(B450,3),"")</f>
        <v/>
      </c>
      <c r="T450">
        <f>IF(ISNUMBER(B450),YEAR(B450)*100+MONTH(B450),"")</f>
        <v/>
      </c>
      <c r="U450">
        <f>IF(AND(ISNUMBER(B450),H450&lt;&gt;"Published"),IF(INT(B450)&gt;=TODAY(),R450,""),"")</f>
        <v/>
      </c>
      <c r="V450">
        <f>IF(AND(ISNUMBER(B450),OR(H450="Draft",H450="Scheduled")),IF(INT(B450)&lt;TODAY(),1,0),0)</f>
        <v/>
      </c>
      <c r="W450">
        <f>IF(AND(H450="Published",N(O450)&gt;0),IF(T450=(YEAR(TODAY())*100+MONTH(TODAY())),ROUND(O450,0)*1000+1000-ROW(),""),"")</f>
        <v/>
      </c>
    </row>
    <row r="451">
      <c r="A451" s="1" t="n"/>
      <c r="B451" s="21" t="n"/>
      <c r="C451" s="22" t="n"/>
      <c r="D451" s="23" t="n"/>
      <c r="E451" s="24" t="n"/>
      <c r="F451" s="23" t="n"/>
      <c r="G451" s="25" t="n"/>
      <c r="H451" s="24" t="n"/>
      <c r="I451" s="23" t="n"/>
      <c r="J451" s="26" t="n"/>
      <c r="K451" s="26" t="n"/>
      <c r="L451" s="26" t="n"/>
      <c r="M451" s="26" t="n"/>
      <c r="N451" s="26" t="n"/>
      <c r="O451" s="27">
        <f>IF(COUNT(K451:N451)=0,"",SUM(K451:N451))</f>
        <v/>
      </c>
      <c r="P451" s="16">
        <f>IF(OR(O451="",N(J451)&lt;=0),"",O451/J451)</f>
        <v/>
      </c>
      <c r="Q451" s="28">
        <f>IF(V451=1,"Late","")</f>
        <v/>
      </c>
      <c r="R451" s="1">
        <f>IF(ISNUMBER(B451),INT(B451)*10000000+IF(ISNUMBER(C451),ROUND(MOD(C451,1)*1440,0),0)*1000+ROW(),"")</f>
        <v/>
      </c>
      <c r="S451">
        <f>IF(ISNUMBER(B451),INT(B451)-WEEKDAY(B451,3),"")</f>
        <v/>
      </c>
      <c r="T451">
        <f>IF(ISNUMBER(B451),YEAR(B451)*100+MONTH(B451),"")</f>
        <v/>
      </c>
      <c r="U451">
        <f>IF(AND(ISNUMBER(B451),H451&lt;&gt;"Published"),IF(INT(B451)&gt;=TODAY(),R451,""),"")</f>
        <v/>
      </c>
      <c r="V451">
        <f>IF(AND(ISNUMBER(B451),OR(H451="Draft",H451="Scheduled")),IF(INT(B451)&lt;TODAY(),1,0),0)</f>
        <v/>
      </c>
      <c r="W451">
        <f>IF(AND(H451="Published",N(O451)&gt;0),IF(T451=(YEAR(TODAY())*100+MONTH(TODAY())),ROUND(O451,0)*1000+1000-ROW(),""),"")</f>
        <v/>
      </c>
    </row>
    <row r="452">
      <c r="A452" s="1" t="n"/>
      <c r="B452" s="21" t="n"/>
      <c r="C452" s="22" t="n"/>
      <c r="D452" s="23" t="n"/>
      <c r="E452" s="24" t="n"/>
      <c r="F452" s="23" t="n"/>
      <c r="G452" s="25" t="n"/>
      <c r="H452" s="24" t="n"/>
      <c r="I452" s="23" t="n"/>
      <c r="J452" s="26" t="n"/>
      <c r="K452" s="26" t="n"/>
      <c r="L452" s="26" t="n"/>
      <c r="M452" s="26" t="n"/>
      <c r="N452" s="26" t="n"/>
      <c r="O452" s="27">
        <f>IF(COUNT(K452:N452)=0,"",SUM(K452:N452))</f>
        <v/>
      </c>
      <c r="P452" s="16">
        <f>IF(OR(O452="",N(J452)&lt;=0),"",O452/J452)</f>
        <v/>
      </c>
      <c r="Q452" s="28">
        <f>IF(V452=1,"Late","")</f>
        <v/>
      </c>
      <c r="R452" s="1">
        <f>IF(ISNUMBER(B452),INT(B452)*10000000+IF(ISNUMBER(C452),ROUND(MOD(C452,1)*1440,0),0)*1000+ROW(),"")</f>
        <v/>
      </c>
      <c r="S452">
        <f>IF(ISNUMBER(B452),INT(B452)-WEEKDAY(B452,3),"")</f>
        <v/>
      </c>
      <c r="T452">
        <f>IF(ISNUMBER(B452),YEAR(B452)*100+MONTH(B452),"")</f>
        <v/>
      </c>
      <c r="U452">
        <f>IF(AND(ISNUMBER(B452),H452&lt;&gt;"Published"),IF(INT(B452)&gt;=TODAY(),R452,""),"")</f>
        <v/>
      </c>
      <c r="V452">
        <f>IF(AND(ISNUMBER(B452),OR(H452="Draft",H452="Scheduled")),IF(INT(B452)&lt;TODAY(),1,0),0)</f>
        <v/>
      </c>
      <c r="W452">
        <f>IF(AND(H452="Published",N(O452)&gt;0),IF(T452=(YEAR(TODAY())*100+MONTH(TODAY())),ROUND(O452,0)*1000+1000-ROW(),""),"")</f>
        <v/>
      </c>
    </row>
    <row r="453">
      <c r="A453" s="1" t="n"/>
      <c r="B453" s="21" t="n"/>
      <c r="C453" s="22" t="n"/>
      <c r="D453" s="23" t="n"/>
      <c r="E453" s="24" t="n"/>
      <c r="F453" s="23" t="n"/>
      <c r="G453" s="25" t="n"/>
      <c r="H453" s="24" t="n"/>
      <c r="I453" s="23" t="n"/>
      <c r="J453" s="26" t="n"/>
      <c r="K453" s="26" t="n"/>
      <c r="L453" s="26" t="n"/>
      <c r="M453" s="26" t="n"/>
      <c r="N453" s="26" t="n"/>
      <c r="O453" s="27">
        <f>IF(COUNT(K453:N453)=0,"",SUM(K453:N453))</f>
        <v/>
      </c>
      <c r="P453" s="16">
        <f>IF(OR(O453="",N(J453)&lt;=0),"",O453/J453)</f>
        <v/>
      </c>
      <c r="Q453" s="28">
        <f>IF(V453=1,"Late","")</f>
        <v/>
      </c>
      <c r="R453" s="1">
        <f>IF(ISNUMBER(B453),INT(B453)*10000000+IF(ISNUMBER(C453),ROUND(MOD(C453,1)*1440,0),0)*1000+ROW(),"")</f>
        <v/>
      </c>
      <c r="S453">
        <f>IF(ISNUMBER(B453),INT(B453)-WEEKDAY(B453,3),"")</f>
        <v/>
      </c>
      <c r="T453">
        <f>IF(ISNUMBER(B453),YEAR(B453)*100+MONTH(B453),"")</f>
        <v/>
      </c>
      <c r="U453">
        <f>IF(AND(ISNUMBER(B453),H453&lt;&gt;"Published"),IF(INT(B453)&gt;=TODAY(),R453,""),"")</f>
        <v/>
      </c>
      <c r="V453">
        <f>IF(AND(ISNUMBER(B453),OR(H453="Draft",H453="Scheduled")),IF(INT(B453)&lt;TODAY(),1,0),0)</f>
        <v/>
      </c>
      <c r="W453">
        <f>IF(AND(H453="Published",N(O453)&gt;0),IF(T453=(YEAR(TODAY())*100+MONTH(TODAY())),ROUND(O453,0)*1000+1000-ROW(),""),"")</f>
        <v/>
      </c>
    </row>
    <row r="454">
      <c r="A454" s="1" t="n"/>
      <c r="B454" s="21" t="n"/>
      <c r="C454" s="22" t="n"/>
      <c r="D454" s="23" t="n"/>
      <c r="E454" s="24" t="n"/>
      <c r="F454" s="23" t="n"/>
      <c r="G454" s="25" t="n"/>
      <c r="H454" s="24" t="n"/>
      <c r="I454" s="23" t="n"/>
      <c r="J454" s="26" t="n"/>
      <c r="K454" s="26" t="n"/>
      <c r="L454" s="26" t="n"/>
      <c r="M454" s="26" t="n"/>
      <c r="N454" s="26" t="n"/>
      <c r="O454" s="27">
        <f>IF(COUNT(K454:N454)=0,"",SUM(K454:N454))</f>
        <v/>
      </c>
      <c r="P454" s="16">
        <f>IF(OR(O454="",N(J454)&lt;=0),"",O454/J454)</f>
        <v/>
      </c>
      <c r="Q454" s="28">
        <f>IF(V454=1,"Late","")</f>
        <v/>
      </c>
      <c r="R454" s="1">
        <f>IF(ISNUMBER(B454),INT(B454)*10000000+IF(ISNUMBER(C454),ROUND(MOD(C454,1)*1440,0),0)*1000+ROW(),"")</f>
        <v/>
      </c>
      <c r="S454">
        <f>IF(ISNUMBER(B454),INT(B454)-WEEKDAY(B454,3),"")</f>
        <v/>
      </c>
      <c r="T454">
        <f>IF(ISNUMBER(B454),YEAR(B454)*100+MONTH(B454),"")</f>
        <v/>
      </c>
      <c r="U454">
        <f>IF(AND(ISNUMBER(B454),H454&lt;&gt;"Published"),IF(INT(B454)&gt;=TODAY(),R454,""),"")</f>
        <v/>
      </c>
      <c r="V454">
        <f>IF(AND(ISNUMBER(B454),OR(H454="Draft",H454="Scheduled")),IF(INT(B454)&lt;TODAY(),1,0),0)</f>
        <v/>
      </c>
      <c r="W454">
        <f>IF(AND(H454="Published",N(O454)&gt;0),IF(T454=(YEAR(TODAY())*100+MONTH(TODAY())),ROUND(O454,0)*1000+1000-ROW(),""),"")</f>
        <v/>
      </c>
    </row>
    <row r="455">
      <c r="A455" s="1" t="n"/>
      <c r="B455" s="21" t="n"/>
      <c r="C455" s="22" t="n"/>
      <c r="D455" s="23" t="n"/>
      <c r="E455" s="24" t="n"/>
      <c r="F455" s="23" t="n"/>
      <c r="G455" s="25" t="n"/>
      <c r="H455" s="24" t="n"/>
      <c r="I455" s="23" t="n"/>
      <c r="J455" s="26" t="n"/>
      <c r="K455" s="26" t="n"/>
      <c r="L455" s="26" t="n"/>
      <c r="M455" s="26" t="n"/>
      <c r="N455" s="26" t="n"/>
      <c r="O455" s="27">
        <f>IF(COUNT(K455:N455)=0,"",SUM(K455:N455))</f>
        <v/>
      </c>
      <c r="P455" s="16">
        <f>IF(OR(O455="",N(J455)&lt;=0),"",O455/J455)</f>
        <v/>
      </c>
      <c r="Q455" s="28">
        <f>IF(V455=1,"Late","")</f>
        <v/>
      </c>
      <c r="R455" s="1">
        <f>IF(ISNUMBER(B455),INT(B455)*10000000+IF(ISNUMBER(C455),ROUND(MOD(C455,1)*1440,0),0)*1000+ROW(),"")</f>
        <v/>
      </c>
      <c r="S455">
        <f>IF(ISNUMBER(B455),INT(B455)-WEEKDAY(B455,3),"")</f>
        <v/>
      </c>
      <c r="T455">
        <f>IF(ISNUMBER(B455),YEAR(B455)*100+MONTH(B455),"")</f>
        <v/>
      </c>
      <c r="U455">
        <f>IF(AND(ISNUMBER(B455),H455&lt;&gt;"Published"),IF(INT(B455)&gt;=TODAY(),R455,""),"")</f>
        <v/>
      </c>
      <c r="V455">
        <f>IF(AND(ISNUMBER(B455),OR(H455="Draft",H455="Scheduled")),IF(INT(B455)&lt;TODAY(),1,0),0)</f>
        <v/>
      </c>
      <c r="W455">
        <f>IF(AND(H455="Published",N(O455)&gt;0),IF(T455=(YEAR(TODAY())*100+MONTH(TODAY())),ROUND(O455,0)*1000+1000-ROW(),""),"")</f>
        <v/>
      </c>
    </row>
    <row r="456">
      <c r="A456" s="1" t="n"/>
      <c r="B456" s="21" t="n"/>
      <c r="C456" s="22" t="n"/>
      <c r="D456" s="23" t="n"/>
      <c r="E456" s="24" t="n"/>
      <c r="F456" s="23" t="n"/>
      <c r="G456" s="25" t="n"/>
      <c r="H456" s="24" t="n"/>
      <c r="I456" s="23" t="n"/>
      <c r="J456" s="26" t="n"/>
      <c r="K456" s="26" t="n"/>
      <c r="L456" s="26" t="n"/>
      <c r="M456" s="26" t="n"/>
      <c r="N456" s="26" t="n"/>
      <c r="O456" s="27">
        <f>IF(COUNT(K456:N456)=0,"",SUM(K456:N456))</f>
        <v/>
      </c>
      <c r="P456" s="16">
        <f>IF(OR(O456="",N(J456)&lt;=0),"",O456/J456)</f>
        <v/>
      </c>
      <c r="Q456" s="28">
        <f>IF(V456=1,"Late","")</f>
        <v/>
      </c>
      <c r="R456" s="1">
        <f>IF(ISNUMBER(B456),INT(B456)*10000000+IF(ISNUMBER(C456),ROUND(MOD(C456,1)*1440,0),0)*1000+ROW(),"")</f>
        <v/>
      </c>
      <c r="S456">
        <f>IF(ISNUMBER(B456),INT(B456)-WEEKDAY(B456,3),"")</f>
        <v/>
      </c>
      <c r="T456">
        <f>IF(ISNUMBER(B456),YEAR(B456)*100+MONTH(B456),"")</f>
        <v/>
      </c>
      <c r="U456">
        <f>IF(AND(ISNUMBER(B456),H456&lt;&gt;"Published"),IF(INT(B456)&gt;=TODAY(),R456,""),"")</f>
        <v/>
      </c>
      <c r="V456">
        <f>IF(AND(ISNUMBER(B456),OR(H456="Draft",H456="Scheduled")),IF(INT(B456)&lt;TODAY(),1,0),0)</f>
        <v/>
      </c>
      <c r="W456">
        <f>IF(AND(H456="Published",N(O456)&gt;0),IF(T456=(YEAR(TODAY())*100+MONTH(TODAY())),ROUND(O456,0)*1000+1000-ROW(),""),"")</f>
        <v/>
      </c>
    </row>
    <row r="457">
      <c r="A457" s="1" t="n"/>
      <c r="B457" s="21" t="n"/>
      <c r="C457" s="22" t="n"/>
      <c r="D457" s="23" t="n"/>
      <c r="E457" s="24" t="n"/>
      <c r="F457" s="23" t="n"/>
      <c r="G457" s="25" t="n"/>
      <c r="H457" s="24" t="n"/>
      <c r="I457" s="23" t="n"/>
      <c r="J457" s="26" t="n"/>
      <c r="K457" s="26" t="n"/>
      <c r="L457" s="26" t="n"/>
      <c r="M457" s="26" t="n"/>
      <c r="N457" s="26" t="n"/>
      <c r="O457" s="27">
        <f>IF(COUNT(K457:N457)=0,"",SUM(K457:N457))</f>
        <v/>
      </c>
      <c r="P457" s="16">
        <f>IF(OR(O457="",N(J457)&lt;=0),"",O457/J457)</f>
        <v/>
      </c>
      <c r="Q457" s="28">
        <f>IF(V457=1,"Late","")</f>
        <v/>
      </c>
      <c r="R457" s="1">
        <f>IF(ISNUMBER(B457),INT(B457)*10000000+IF(ISNUMBER(C457),ROUND(MOD(C457,1)*1440,0),0)*1000+ROW(),"")</f>
        <v/>
      </c>
      <c r="S457">
        <f>IF(ISNUMBER(B457),INT(B457)-WEEKDAY(B457,3),"")</f>
        <v/>
      </c>
      <c r="T457">
        <f>IF(ISNUMBER(B457),YEAR(B457)*100+MONTH(B457),"")</f>
        <v/>
      </c>
      <c r="U457">
        <f>IF(AND(ISNUMBER(B457),H457&lt;&gt;"Published"),IF(INT(B457)&gt;=TODAY(),R457,""),"")</f>
        <v/>
      </c>
      <c r="V457">
        <f>IF(AND(ISNUMBER(B457),OR(H457="Draft",H457="Scheduled")),IF(INT(B457)&lt;TODAY(),1,0),0)</f>
        <v/>
      </c>
      <c r="W457">
        <f>IF(AND(H457="Published",N(O457)&gt;0),IF(T457=(YEAR(TODAY())*100+MONTH(TODAY())),ROUND(O457,0)*1000+1000-ROW(),""),"")</f>
        <v/>
      </c>
    </row>
    <row r="458">
      <c r="A458" s="1" t="n"/>
      <c r="B458" s="21" t="n"/>
      <c r="C458" s="22" t="n"/>
      <c r="D458" s="23" t="n"/>
      <c r="E458" s="24" t="n"/>
      <c r="F458" s="23" t="n"/>
      <c r="G458" s="25" t="n"/>
      <c r="H458" s="24" t="n"/>
      <c r="I458" s="23" t="n"/>
      <c r="J458" s="26" t="n"/>
      <c r="K458" s="26" t="n"/>
      <c r="L458" s="26" t="n"/>
      <c r="M458" s="26" t="n"/>
      <c r="N458" s="26" t="n"/>
      <c r="O458" s="27">
        <f>IF(COUNT(K458:N458)=0,"",SUM(K458:N458))</f>
        <v/>
      </c>
      <c r="P458" s="16">
        <f>IF(OR(O458="",N(J458)&lt;=0),"",O458/J458)</f>
        <v/>
      </c>
      <c r="Q458" s="28">
        <f>IF(V458=1,"Late","")</f>
        <v/>
      </c>
      <c r="R458" s="1">
        <f>IF(ISNUMBER(B458),INT(B458)*10000000+IF(ISNUMBER(C458),ROUND(MOD(C458,1)*1440,0),0)*1000+ROW(),"")</f>
        <v/>
      </c>
      <c r="S458">
        <f>IF(ISNUMBER(B458),INT(B458)-WEEKDAY(B458,3),"")</f>
        <v/>
      </c>
      <c r="T458">
        <f>IF(ISNUMBER(B458),YEAR(B458)*100+MONTH(B458),"")</f>
        <v/>
      </c>
      <c r="U458">
        <f>IF(AND(ISNUMBER(B458),H458&lt;&gt;"Published"),IF(INT(B458)&gt;=TODAY(),R458,""),"")</f>
        <v/>
      </c>
      <c r="V458">
        <f>IF(AND(ISNUMBER(B458),OR(H458="Draft",H458="Scheduled")),IF(INT(B458)&lt;TODAY(),1,0),0)</f>
        <v/>
      </c>
      <c r="W458">
        <f>IF(AND(H458="Published",N(O458)&gt;0),IF(T458=(YEAR(TODAY())*100+MONTH(TODAY())),ROUND(O458,0)*1000+1000-ROW(),""),"")</f>
        <v/>
      </c>
    </row>
    <row r="459">
      <c r="A459" s="1" t="n"/>
      <c r="B459" s="21" t="n"/>
      <c r="C459" s="22" t="n"/>
      <c r="D459" s="23" t="n"/>
      <c r="E459" s="24" t="n"/>
      <c r="F459" s="23" t="n"/>
      <c r="G459" s="25" t="n"/>
      <c r="H459" s="24" t="n"/>
      <c r="I459" s="23" t="n"/>
      <c r="J459" s="26" t="n"/>
      <c r="K459" s="26" t="n"/>
      <c r="L459" s="26" t="n"/>
      <c r="M459" s="26" t="n"/>
      <c r="N459" s="26" t="n"/>
      <c r="O459" s="27">
        <f>IF(COUNT(K459:N459)=0,"",SUM(K459:N459))</f>
        <v/>
      </c>
      <c r="P459" s="16">
        <f>IF(OR(O459="",N(J459)&lt;=0),"",O459/J459)</f>
        <v/>
      </c>
      <c r="Q459" s="28">
        <f>IF(V459=1,"Late","")</f>
        <v/>
      </c>
      <c r="R459" s="1">
        <f>IF(ISNUMBER(B459),INT(B459)*10000000+IF(ISNUMBER(C459),ROUND(MOD(C459,1)*1440,0),0)*1000+ROW(),"")</f>
        <v/>
      </c>
      <c r="S459">
        <f>IF(ISNUMBER(B459),INT(B459)-WEEKDAY(B459,3),"")</f>
        <v/>
      </c>
      <c r="T459">
        <f>IF(ISNUMBER(B459),YEAR(B459)*100+MONTH(B459),"")</f>
        <v/>
      </c>
      <c r="U459">
        <f>IF(AND(ISNUMBER(B459),H459&lt;&gt;"Published"),IF(INT(B459)&gt;=TODAY(),R459,""),"")</f>
        <v/>
      </c>
      <c r="V459">
        <f>IF(AND(ISNUMBER(B459),OR(H459="Draft",H459="Scheduled")),IF(INT(B459)&lt;TODAY(),1,0),0)</f>
        <v/>
      </c>
      <c r="W459">
        <f>IF(AND(H459="Published",N(O459)&gt;0),IF(T459=(YEAR(TODAY())*100+MONTH(TODAY())),ROUND(O459,0)*1000+1000-ROW(),""),"")</f>
        <v/>
      </c>
    </row>
    <row r="460">
      <c r="A460" s="1" t="n"/>
      <c r="B460" s="21" t="n"/>
      <c r="C460" s="22" t="n"/>
      <c r="D460" s="23" t="n"/>
      <c r="E460" s="24" t="n"/>
      <c r="F460" s="23" t="n"/>
      <c r="G460" s="25" t="n"/>
      <c r="H460" s="24" t="n"/>
      <c r="I460" s="23" t="n"/>
      <c r="J460" s="26" t="n"/>
      <c r="K460" s="26" t="n"/>
      <c r="L460" s="26" t="n"/>
      <c r="M460" s="26" t="n"/>
      <c r="N460" s="26" t="n"/>
      <c r="O460" s="27">
        <f>IF(COUNT(K460:N460)=0,"",SUM(K460:N460))</f>
        <v/>
      </c>
      <c r="P460" s="16">
        <f>IF(OR(O460="",N(J460)&lt;=0),"",O460/J460)</f>
        <v/>
      </c>
      <c r="Q460" s="28">
        <f>IF(V460=1,"Late","")</f>
        <v/>
      </c>
      <c r="R460" s="1">
        <f>IF(ISNUMBER(B460),INT(B460)*10000000+IF(ISNUMBER(C460),ROUND(MOD(C460,1)*1440,0),0)*1000+ROW(),"")</f>
        <v/>
      </c>
      <c r="S460">
        <f>IF(ISNUMBER(B460),INT(B460)-WEEKDAY(B460,3),"")</f>
        <v/>
      </c>
      <c r="T460">
        <f>IF(ISNUMBER(B460),YEAR(B460)*100+MONTH(B460),"")</f>
        <v/>
      </c>
      <c r="U460">
        <f>IF(AND(ISNUMBER(B460),H460&lt;&gt;"Published"),IF(INT(B460)&gt;=TODAY(),R460,""),"")</f>
        <v/>
      </c>
      <c r="V460">
        <f>IF(AND(ISNUMBER(B460),OR(H460="Draft",H460="Scheduled")),IF(INT(B460)&lt;TODAY(),1,0),0)</f>
        <v/>
      </c>
      <c r="W460">
        <f>IF(AND(H460="Published",N(O460)&gt;0),IF(T460=(YEAR(TODAY())*100+MONTH(TODAY())),ROUND(O460,0)*1000+1000-ROW(),""),"")</f>
        <v/>
      </c>
    </row>
    <row r="461">
      <c r="A461" s="1" t="n"/>
      <c r="B461" s="21" t="n"/>
      <c r="C461" s="22" t="n"/>
      <c r="D461" s="23" t="n"/>
      <c r="E461" s="24" t="n"/>
      <c r="F461" s="23" t="n"/>
      <c r="G461" s="25" t="n"/>
      <c r="H461" s="24" t="n"/>
      <c r="I461" s="23" t="n"/>
      <c r="J461" s="26" t="n"/>
      <c r="K461" s="26" t="n"/>
      <c r="L461" s="26" t="n"/>
      <c r="M461" s="26" t="n"/>
      <c r="N461" s="26" t="n"/>
      <c r="O461" s="27">
        <f>IF(COUNT(K461:N461)=0,"",SUM(K461:N461))</f>
        <v/>
      </c>
      <c r="P461" s="16">
        <f>IF(OR(O461="",N(J461)&lt;=0),"",O461/J461)</f>
        <v/>
      </c>
      <c r="Q461" s="28">
        <f>IF(V461=1,"Late","")</f>
        <v/>
      </c>
      <c r="R461" s="1">
        <f>IF(ISNUMBER(B461),INT(B461)*10000000+IF(ISNUMBER(C461),ROUND(MOD(C461,1)*1440,0),0)*1000+ROW(),"")</f>
        <v/>
      </c>
      <c r="S461">
        <f>IF(ISNUMBER(B461),INT(B461)-WEEKDAY(B461,3),"")</f>
        <v/>
      </c>
      <c r="T461">
        <f>IF(ISNUMBER(B461),YEAR(B461)*100+MONTH(B461),"")</f>
        <v/>
      </c>
      <c r="U461">
        <f>IF(AND(ISNUMBER(B461),H461&lt;&gt;"Published"),IF(INT(B461)&gt;=TODAY(),R461,""),"")</f>
        <v/>
      </c>
      <c r="V461">
        <f>IF(AND(ISNUMBER(B461),OR(H461="Draft",H461="Scheduled")),IF(INT(B461)&lt;TODAY(),1,0),0)</f>
        <v/>
      </c>
      <c r="W461">
        <f>IF(AND(H461="Published",N(O461)&gt;0),IF(T461=(YEAR(TODAY())*100+MONTH(TODAY())),ROUND(O461,0)*1000+1000-ROW(),""),"")</f>
        <v/>
      </c>
    </row>
    <row r="462">
      <c r="A462" s="1" t="n"/>
      <c r="B462" s="21" t="n"/>
      <c r="C462" s="22" t="n"/>
      <c r="D462" s="23" t="n"/>
      <c r="E462" s="24" t="n"/>
      <c r="F462" s="23" t="n"/>
      <c r="G462" s="25" t="n"/>
      <c r="H462" s="24" t="n"/>
      <c r="I462" s="23" t="n"/>
      <c r="J462" s="26" t="n"/>
      <c r="K462" s="26" t="n"/>
      <c r="L462" s="26" t="n"/>
      <c r="M462" s="26" t="n"/>
      <c r="N462" s="26" t="n"/>
      <c r="O462" s="27">
        <f>IF(COUNT(K462:N462)=0,"",SUM(K462:N462))</f>
        <v/>
      </c>
      <c r="P462" s="16">
        <f>IF(OR(O462="",N(J462)&lt;=0),"",O462/J462)</f>
        <v/>
      </c>
      <c r="Q462" s="28">
        <f>IF(V462=1,"Late","")</f>
        <v/>
      </c>
      <c r="R462" s="1">
        <f>IF(ISNUMBER(B462),INT(B462)*10000000+IF(ISNUMBER(C462),ROUND(MOD(C462,1)*1440,0),0)*1000+ROW(),"")</f>
        <v/>
      </c>
      <c r="S462">
        <f>IF(ISNUMBER(B462),INT(B462)-WEEKDAY(B462,3),"")</f>
        <v/>
      </c>
      <c r="T462">
        <f>IF(ISNUMBER(B462),YEAR(B462)*100+MONTH(B462),"")</f>
        <v/>
      </c>
      <c r="U462">
        <f>IF(AND(ISNUMBER(B462),H462&lt;&gt;"Published"),IF(INT(B462)&gt;=TODAY(),R462,""),"")</f>
        <v/>
      </c>
      <c r="V462">
        <f>IF(AND(ISNUMBER(B462),OR(H462="Draft",H462="Scheduled")),IF(INT(B462)&lt;TODAY(),1,0),0)</f>
        <v/>
      </c>
      <c r="W462">
        <f>IF(AND(H462="Published",N(O462)&gt;0),IF(T462=(YEAR(TODAY())*100+MONTH(TODAY())),ROUND(O462,0)*1000+1000-ROW(),""),"")</f>
        <v/>
      </c>
    </row>
    <row r="463">
      <c r="A463" s="1" t="n"/>
      <c r="B463" s="21" t="n"/>
      <c r="C463" s="22" t="n"/>
      <c r="D463" s="23" t="n"/>
      <c r="E463" s="24" t="n"/>
      <c r="F463" s="23" t="n"/>
      <c r="G463" s="25" t="n"/>
      <c r="H463" s="24" t="n"/>
      <c r="I463" s="23" t="n"/>
      <c r="J463" s="26" t="n"/>
      <c r="K463" s="26" t="n"/>
      <c r="L463" s="26" t="n"/>
      <c r="M463" s="26" t="n"/>
      <c r="N463" s="26" t="n"/>
      <c r="O463" s="27">
        <f>IF(COUNT(K463:N463)=0,"",SUM(K463:N463))</f>
        <v/>
      </c>
      <c r="P463" s="16">
        <f>IF(OR(O463="",N(J463)&lt;=0),"",O463/J463)</f>
        <v/>
      </c>
      <c r="Q463" s="28">
        <f>IF(V463=1,"Late","")</f>
        <v/>
      </c>
      <c r="R463" s="1">
        <f>IF(ISNUMBER(B463),INT(B463)*10000000+IF(ISNUMBER(C463),ROUND(MOD(C463,1)*1440,0),0)*1000+ROW(),"")</f>
        <v/>
      </c>
      <c r="S463">
        <f>IF(ISNUMBER(B463),INT(B463)-WEEKDAY(B463,3),"")</f>
        <v/>
      </c>
      <c r="T463">
        <f>IF(ISNUMBER(B463),YEAR(B463)*100+MONTH(B463),"")</f>
        <v/>
      </c>
      <c r="U463">
        <f>IF(AND(ISNUMBER(B463),H463&lt;&gt;"Published"),IF(INT(B463)&gt;=TODAY(),R463,""),"")</f>
        <v/>
      </c>
      <c r="V463">
        <f>IF(AND(ISNUMBER(B463),OR(H463="Draft",H463="Scheduled")),IF(INT(B463)&lt;TODAY(),1,0),0)</f>
        <v/>
      </c>
      <c r="W463">
        <f>IF(AND(H463="Published",N(O463)&gt;0),IF(T463=(YEAR(TODAY())*100+MONTH(TODAY())),ROUND(O463,0)*1000+1000-ROW(),""),"")</f>
        <v/>
      </c>
    </row>
    <row r="464">
      <c r="A464" s="1" t="n"/>
      <c r="B464" s="21" t="n"/>
      <c r="C464" s="22" t="n"/>
      <c r="D464" s="23" t="n"/>
      <c r="E464" s="24" t="n"/>
      <c r="F464" s="23" t="n"/>
      <c r="G464" s="25" t="n"/>
      <c r="H464" s="24" t="n"/>
      <c r="I464" s="23" t="n"/>
      <c r="J464" s="26" t="n"/>
      <c r="K464" s="26" t="n"/>
      <c r="L464" s="26" t="n"/>
      <c r="M464" s="26" t="n"/>
      <c r="N464" s="26" t="n"/>
      <c r="O464" s="27">
        <f>IF(COUNT(K464:N464)=0,"",SUM(K464:N464))</f>
        <v/>
      </c>
      <c r="P464" s="16">
        <f>IF(OR(O464="",N(J464)&lt;=0),"",O464/J464)</f>
        <v/>
      </c>
      <c r="Q464" s="28">
        <f>IF(V464=1,"Late","")</f>
        <v/>
      </c>
      <c r="R464" s="1">
        <f>IF(ISNUMBER(B464),INT(B464)*10000000+IF(ISNUMBER(C464),ROUND(MOD(C464,1)*1440,0),0)*1000+ROW(),"")</f>
        <v/>
      </c>
      <c r="S464">
        <f>IF(ISNUMBER(B464),INT(B464)-WEEKDAY(B464,3),"")</f>
        <v/>
      </c>
      <c r="T464">
        <f>IF(ISNUMBER(B464),YEAR(B464)*100+MONTH(B464),"")</f>
        <v/>
      </c>
      <c r="U464">
        <f>IF(AND(ISNUMBER(B464),H464&lt;&gt;"Published"),IF(INT(B464)&gt;=TODAY(),R464,""),"")</f>
        <v/>
      </c>
      <c r="V464">
        <f>IF(AND(ISNUMBER(B464),OR(H464="Draft",H464="Scheduled")),IF(INT(B464)&lt;TODAY(),1,0),0)</f>
        <v/>
      </c>
      <c r="W464">
        <f>IF(AND(H464="Published",N(O464)&gt;0),IF(T464=(YEAR(TODAY())*100+MONTH(TODAY())),ROUND(O464,0)*1000+1000-ROW(),""),"")</f>
        <v/>
      </c>
    </row>
    <row r="465">
      <c r="A465" s="1" t="n"/>
      <c r="B465" s="21" t="n"/>
      <c r="C465" s="22" t="n"/>
      <c r="D465" s="23" t="n"/>
      <c r="E465" s="24" t="n"/>
      <c r="F465" s="23" t="n"/>
      <c r="G465" s="25" t="n"/>
      <c r="H465" s="24" t="n"/>
      <c r="I465" s="23" t="n"/>
      <c r="J465" s="26" t="n"/>
      <c r="K465" s="26" t="n"/>
      <c r="L465" s="26" t="n"/>
      <c r="M465" s="26" t="n"/>
      <c r="N465" s="26" t="n"/>
      <c r="O465" s="27">
        <f>IF(COUNT(K465:N465)=0,"",SUM(K465:N465))</f>
        <v/>
      </c>
      <c r="P465" s="16">
        <f>IF(OR(O465="",N(J465)&lt;=0),"",O465/J465)</f>
        <v/>
      </c>
      <c r="Q465" s="28">
        <f>IF(V465=1,"Late","")</f>
        <v/>
      </c>
      <c r="R465" s="1">
        <f>IF(ISNUMBER(B465),INT(B465)*10000000+IF(ISNUMBER(C465),ROUND(MOD(C465,1)*1440,0),0)*1000+ROW(),"")</f>
        <v/>
      </c>
      <c r="S465">
        <f>IF(ISNUMBER(B465),INT(B465)-WEEKDAY(B465,3),"")</f>
        <v/>
      </c>
      <c r="T465">
        <f>IF(ISNUMBER(B465),YEAR(B465)*100+MONTH(B465),"")</f>
        <v/>
      </c>
      <c r="U465">
        <f>IF(AND(ISNUMBER(B465),H465&lt;&gt;"Published"),IF(INT(B465)&gt;=TODAY(),R465,""),"")</f>
        <v/>
      </c>
      <c r="V465">
        <f>IF(AND(ISNUMBER(B465),OR(H465="Draft",H465="Scheduled")),IF(INT(B465)&lt;TODAY(),1,0),0)</f>
        <v/>
      </c>
      <c r="W465">
        <f>IF(AND(H465="Published",N(O465)&gt;0),IF(T465=(YEAR(TODAY())*100+MONTH(TODAY())),ROUND(O465,0)*1000+1000-ROW(),""),"")</f>
        <v/>
      </c>
    </row>
    <row r="466">
      <c r="A466" s="1" t="n"/>
      <c r="B466" s="21" t="n"/>
      <c r="C466" s="22" t="n"/>
      <c r="D466" s="23" t="n"/>
      <c r="E466" s="24" t="n"/>
      <c r="F466" s="23" t="n"/>
      <c r="G466" s="25" t="n"/>
      <c r="H466" s="24" t="n"/>
      <c r="I466" s="23" t="n"/>
      <c r="J466" s="26" t="n"/>
      <c r="K466" s="26" t="n"/>
      <c r="L466" s="26" t="n"/>
      <c r="M466" s="26" t="n"/>
      <c r="N466" s="26" t="n"/>
      <c r="O466" s="27">
        <f>IF(COUNT(K466:N466)=0,"",SUM(K466:N466))</f>
        <v/>
      </c>
      <c r="P466" s="16">
        <f>IF(OR(O466="",N(J466)&lt;=0),"",O466/J466)</f>
        <v/>
      </c>
      <c r="Q466" s="28">
        <f>IF(V466=1,"Late","")</f>
        <v/>
      </c>
      <c r="R466" s="1">
        <f>IF(ISNUMBER(B466),INT(B466)*10000000+IF(ISNUMBER(C466),ROUND(MOD(C466,1)*1440,0),0)*1000+ROW(),"")</f>
        <v/>
      </c>
      <c r="S466">
        <f>IF(ISNUMBER(B466),INT(B466)-WEEKDAY(B466,3),"")</f>
        <v/>
      </c>
      <c r="T466">
        <f>IF(ISNUMBER(B466),YEAR(B466)*100+MONTH(B466),"")</f>
        <v/>
      </c>
      <c r="U466">
        <f>IF(AND(ISNUMBER(B466),H466&lt;&gt;"Published"),IF(INT(B466)&gt;=TODAY(),R466,""),"")</f>
        <v/>
      </c>
      <c r="V466">
        <f>IF(AND(ISNUMBER(B466),OR(H466="Draft",H466="Scheduled")),IF(INT(B466)&lt;TODAY(),1,0),0)</f>
        <v/>
      </c>
      <c r="W466">
        <f>IF(AND(H466="Published",N(O466)&gt;0),IF(T466=(YEAR(TODAY())*100+MONTH(TODAY())),ROUND(O466,0)*1000+1000-ROW(),""),"")</f>
        <v/>
      </c>
    </row>
    <row r="467">
      <c r="A467" s="1" t="n"/>
      <c r="B467" s="21" t="n"/>
      <c r="C467" s="22" t="n"/>
      <c r="D467" s="23" t="n"/>
      <c r="E467" s="24" t="n"/>
      <c r="F467" s="23" t="n"/>
      <c r="G467" s="25" t="n"/>
      <c r="H467" s="24" t="n"/>
      <c r="I467" s="23" t="n"/>
      <c r="J467" s="26" t="n"/>
      <c r="K467" s="26" t="n"/>
      <c r="L467" s="26" t="n"/>
      <c r="M467" s="26" t="n"/>
      <c r="N467" s="26" t="n"/>
      <c r="O467" s="27">
        <f>IF(COUNT(K467:N467)=0,"",SUM(K467:N467))</f>
        <v/>
      </c>
      <c r="P467" s="16">
        <f>IF(OR(O467="",N(J467)&lt;=0),"",O467/J467)</f>
        <v/>
      </c>
      <c r="Q467" s="28">
        <f>IF(V467=1,"Late","")</f>
        <v/>
      </c>
      <c r="R467" s="1">
        <f>IF(ISNUMBER(B467),INT(B467)*10000000+IF(ISNUMBER(C467),ROUND(MOD(C467,1)*1440,0),0)*1000+ROW(),"")</f>
        <v/>
      </c>
      <c r="S467">
        <f>IF(ISNUMBER(B467),INT(B467)-WEEKDAY(B467,3),"")</f>
        <v/>
      </c>
      <c r="T467">
        <f>IF(ISNUMBER(B467),YEAR(B467)*100+MONTH(B467),"")</f>
        <v/>
      </c>
      <c r="U467">
        <f>IF(AND(ISNUMBER(B467),H467&lt;&gt;"Published"),IF(INT(B467)&gt;=TODAY(),R467,""),"")</f>
        <v/>
      </c>
      <c r="V467">
        <f>IF(AND(ISNUMBER(B467),OR(H467="Draft",H467="Scheduled")),IF(INT(B467)&lt;TODAY(),1,0),0)</f>
        <v/>
      </c>
      <c r="W467">
        <f>IF(AND(H467="Published",N(O467)&gt;0),IF(T467=(YEAR(TODAY())*100+MONTH(TODAY())),ROUND(O467,0)*1000+1000-ROW(),""),"")</f>
        <v/>
      </c>
    </row>
    <row r="468">
      <c r="A468" s="1" t="n"/>
      <c r="B468" s="21" t="n"/>
      <c r="C468" s="22" t="n"/>
      <c r="D468" s="23" t="n"/>
      <c r="E468" s="24" t="n"/>
      <c r="F468" s="23" t="n"/>
      <c r="G468" s="25" t="n"/>
      <c r="H468" s="24" t="n"/>
      <c r="I468" s="23" t="n"/>
      <c r="J468" s="26" t="n"/>
      <c r="K468" s="26" t="n"/>
      <c r="L468" s="26" t="n"/>
      <c r="M468" s="26" t="n"/>
      <c r="N468" s="26" t="n"/>
      <c r="O468" s="27">
        <f>IF(COUNT(K468:N468)=0,"",SUM(K468:N468))</f>
        <v/>
      </c>
      <c r="P468" s="16">
        <f>IF(OR(O468="",N(J468)&lt;=0),"",O468/J468)</f>
        <v/>
      </c>
      <c r="Q468" s="28">
        <f>IF(V468=1,"Late","")</f>
        <v/>
      </c>
      <c r="R468" s="1">
        <f>IF(ISNUMBER(B468),INT(B468)*10000000+IF(ISNUMBER(C468),ROUND(MOD(C468,1)*1440,0),0)*1000+ROW(),"")</f>
        <v/>
      </c>
      <c r="S468">
        <f>IF(ISNUMBER(B468),INT(B468)-WEEKDAY(B468,3),"")</f>
        <v/>
      </c>
      <c r="T468">
        <f>IF(ISNUMBER(B468),YEAR(B468)*100+MONTH(B468),"")</f>
        <v/>
      </c>
      <c r="U468">
        <f>IF(AND(ISNUMBER(B468),H468&lt;&gt;"Published"),IF(INT(B468)&gt;=TODAY(),R468,""),"")</f>
        <v/>
      </c>
      <c r="V468">
        <f>IF(AND(ISNUMBER(B468),OR(H468="Draft",H468="Scheduled")),IF(INT(B468)&lt;TODAY(),1,0),0)</f>
        <v/>
      </c>
      <c r="W468">
        <f>IF(AND(H468="Published",N(O468)&gt;0),IF(T468=(YEAR(TODAY())*100+MONTH(TODAY())),ROUND(O468,0)*1000+1000-ROW(),""),"")</f>
        <v/>
      </c>
    </row>
    <row r="469">
      <c r="A469" s="1" t="n"/>
      <c r="B469" s="21" t="n"/>
      <c r="C469" s="22" t="n"/>
      <c r="D469" s="23" t="n"/>
      <c r="E469" s="24" t="n"/>
      <c r="F469" s="23" t="n"/>
      <c r="G469" s="25" t="n"/>
      <c r="H469" s="24" t="n"/>
      <c r="I469" s="23" t="n"/>
      <c r="J469" s="26" t="n"/>
      <c r="K469" s="26" t="n"/>
      <c r="L469" s="26" t="n"/>
      <c r="M469" s="26" t="n"/>
      <c r="N469" s="26" t="n"/>
      <c r="O469" s="27">
        <f>IF(COUNT(K469:N469)=0,"",SUM(K469:N469))</f>
        <v/>
      </c>
      <c r="P469" s="16">
        <f>IF(OR(O469="",N(J469)&lt;=0),"",O469/J469)</f>
        <v/>
      </c>
      <c r="Q469" s="28">
        <f>IF(V469=1,"Late","")</f>
        <v/>
      </c>
      <c r="R469" s="1">
        <f>IF(ISNUMBER(B469),INT(B469)*10000000+IF(ISNUMBER(C469),ROUND(MOD(C469,1)*1440,0),0)*1000+ROW(),"")</f>
        <v/>
      </c>
      <c r="S469">
        <f>IF(ISNUMBER(B469),INT(B469)-WEEKDAY(B469,3),"")</f>
        <v/>
      </c>
      <c r="T469">
        <f>IF(ISNUMBER(B469),YEAR(B469)*100+MONTH(B469),"")</f>
        <v/>
      </c>
      <c r="U469">
        <f>IF(AND(ISNUMBER(B469),H469&lt;&gt;"Published"),IF(INT(B469)&gt;=TODAY(),R469,""),"")</f>
        <v/>
      </c>
      <c r="V469">
        <f>IF(AND(ISNUMBER(B469),OR(H469="Draft",H469="Scheduled")),IF(INT(B469)&lt;TODAY(),1,0),0)</f>
        <v/>
      </c>
      <c r="W469">
        <f>IF(AND(H469="Published",N(O469)&gt;0),IF(T469=(YEAR(TODAY())*100+MONTH(TODAY())),ROUND(O469,0)*1000+1000-ROW(),""),"")</f>
        <v/>
      </c>
    </row>
    <row r="470">
      <c r="A470" s="1" t="n"/>
      <c r="B470" s="21" t="n"/>
      <c r="C470" s="22" t="n"/>
      <c r="D470" s="23" t="n"/>
      <c r="E470" s="24" t="n"/>
      <c r="F470" s="23" t="n"/>
      <c r="G470" s="25" t="n"/>
      <c r="H470" s="24" t="n"/>
      <c r="I470" s="23" t="n"/>
      <c r="J470" s="26" t="n"/>
      <c r="K470" s="26" t="n"/>
      <c r="L470" s="26" t="n"/>
      <c r="M470" s="26" t="n"/>
      <c r="N470" s="26" t="n"/>
      <c r="O470" s="27">
        <f>IF(COUNT(K470:N470)=0,"",SUM(K470:N470))</f>
        <v/>
      </c>
      <c r="P470" s="16">
        <f>IF(OR(O470="",N(J470)&lt;=0),"",O470/J470)</f>
        <v/>
      </c>
      <c r="Q470" s="28">
        <f>IF(V470=1,"Late","")</f>
        <v/>
      </c>
      <c r="R470" s="1">
        <f>IF(ISNUMBER(B470),INT(B470)*10000000+IF(ISNUMBER(C470),ROUND(MOD(C470,1)*1440,0),0)*1000+ROW(),"")</f>
        <v/>
      </c>
      <c r="S470">
        <f>IF(ISNUMBER(B470),INT(B470)-WEEKDAY(B470,3),"")</f>
        <v/>
      </c>
      <c r="T470">
        <f>IF(ISNUMBER(B470),YEAR(B470)*100+MONTH(B470),"")</f>
        <v/>
      </c>
      <c r="U470">
        <f>IF(AND(ISNUMBER(B470),H470&lt;&gt;"Published"),IF(INT(B470)&gt;=TODAY(),R470,""),"")</f>
        <v/>
      </c>
      <c r="V470">
        <f>IF(AND(ISNUMBER(B470),OR(H470="Draft",H470="Scheduled")),IF(INT(B470)&lt;TODAY(),1,0),0)</f>
        <v/>
      </c>
      <c r="W470">
        <f>IF(AND(H470="Published",N(O470)&gt;0),IF(T470=(YEAR(TODAY())*100+MONTH(TODAY())),ROUND(O470,0)*1000+1000-ROW(),""),"")</f>
        <v/>
      </c>
    </row>
    <row r="471">
      <c r="A471" s="1" t="n"/>
      <c r="B471" s="21" t="n"/>
      <c r="C471" s="22" t="n"/>
      <c r="D471" s="23" t="n"/>
      <c r="E471" s="24" t="n"/>
      <c r="F471" s="23" t="n"/>
      <c r="G471" s="25" t="n"/>
      <c r="H471" s="24" t="n"/>
      <c r="I471" s="23" t="n"/>
      <c r="J471" s="26" t="n"/>
      <c r="K471" s="26" t="n"/>
      <c r="L471" s="26" t="n"/>
      <c r="M471" s="26" t="n"/>
      <c r="N471" s="26" t="n"/>
      <c r="O471" s="27">
        <f>IF(COUNT(K471:N471)=0,"",SUM(K471:N471))</f>
        <v/>
      </c>
      <c r="P471" s="16">
        <f>IF(OR(O471="",N(J471)&lt;=0),"",O471/J471)</f>
        <v/>
      </c>
      <c r="Q471" s="28">
        <f>IF(V471=1,"Late","")</f>
        <v/>
      </c>
      <c r="R471" s="1">
        <f>IF(ISNUMBER(B471),INT(B471)*10000000+IF(ISNUMBER(C471),ROUND(MOD(C471,1)*1440,0),0)*1000+ROW(),"")</f>
        <v/>
      </c>
      <c r="S471">
        <f>IF(ISNUMBER(B471),INT(B471)-WEEKDAY(B471,3),"")</f>
        <v/>
      </c>
      <c r="T471">
        <f>IF(ISNUMBER(B471),YEAR(B471)*100+MONTH(B471),"")</f>
        <v/>
      </c>
      <c r="U471">
        <f>IF(AND(ISNUMBER(B471),H471&lt;&gt;"Published"),IF(INT(B471)&gt;=TODAY(),R471,""),"")</f>
        <v/>
      </c>
      <c r="V471">
        <f>IF(AND(ISNUMBER(B471),OR(H471="Draft",H471="Scheduled")),IF(INT(B471)&lt;TODAY(),1,0),0)</f>
        <v/>
      </c>
      <c r="W471">
        <f>IF(AND(H471="Published",N(O471)&gt;0),IF(T471=(YEAR(TODAY())*100+MONTH(TODAY())),ROUND(O471,0)*1000+1000-ROW(),""),"")</f>
        <v/>
      </c>
    </row>
    <row r="472">
      <c r="A472" s="1" t="n"/>
      <c r="B472" s="21" t="n"/>
      <c r="C472" s="22" t="n"/>
      <c r="D472" s="23" t="n"/>
      <c r="E472" s="24" t="n"/>
      <c r="F472" s="23" t="n"/>
      <c r="G472" s="25" t="n"/>
      <c r="H472" s="24" t="n"/>
      <c r="I472" s="23" t="n"/>
      <c r="J472" s="26" t="n"/>
      <c r="K472" s="26" t="n"/>
      <c r="L472" s="26" t="n"/>
      <c r="M472" s="26" t="n"/>
      <c r="N472" s="26" t="n"/>
      <c r="O472" s="27">
        <f>IF(COUNT(K472:N472)=0,"",SUM(K472:N472))</f>
        <v/>
      </c>
      <c r="P472" s="16">
        <f>IF(OR(O472="",N(J472)&lt;=0),"",O472/J472)</f>
        <v/>
      </c>
      <c r="Q472" s="28">
        <f>IF(V472=1,"Late","")</f>
        <v/>
      </c>
      <c r="R472" s="1">
        <f>IF(ISNUMBER(B472),INT(B472)*10000000+IF(ISNUMBER(C472),ROUND(MOD(C472,1)*1440,0),0)*1000+ROW(),"")</f>
        <v/>
      </c>
      <c r="S472">
        <f>IF(ISNUMBER(B472),INT(B472)-WEEKDAY(B472,3),"")</f>
        <v/>
      </c>
      <c r="T472">
        <f>IF(ISNUMBER(B472),YEAR(B472)*100+MONTH(B472),"")</f>
        <v/>
      </c>
      <c r="U472">
        <f>IF(AND(ISNUMBER(B472),H472&lt;&gt;"Published"),IF(INT(B472)&gt;=TODAY(),R472,""),"")</f>
        <v/>
      </c>
      <c r="V472">
        <f>IF(AND(ISNUMBER(B472),OR(H472="Draft",H472="Scheduled")),IF(INT(B472)&lt;TODAY(),1,0),0)</f>
        <v/>
      </c>
      <c r="W472">
        <f>IF(AND(H472="Published",N(O472)&gt;0),IF(T472=(YEAR(TODAY())*100+MONTH(TODAY())),ROUND(O472,0)*1000+1000-ROW(),""),"")</f>
        <v/>
      </c>
    </row>
    <row r="473">
      <c r="A473" s="1" t="n"/>
      <c r="B473" s="21" t="n"/>
      <c r="C473" s="22" t="n"/>
      <c r="D473" s="23" t="n"/>
      <c r="E473" s="24" t="n"/>
      <c r="F473" s="23" t="n"/>
      <c r="G473" s="25" t="n"/>
      <c r="H473" s="24" t="n"/>
      <c r="I473" s="23" t="n"/>
      <c r="J473" s="26" t="n"/>
      <c r="K473" s="26" t="n"/>
      <c r="L473" s="26" t="n"/>
      <c r="M473" s="26" t="n"/>
      <c r="N473" s="26" t="n"/>
      <c r="O473" s="27">
        <f>IF(COUNT(K473:N473)=0,"",SUM(K473:N473))</f>
        <v/>
      </c>
      <c r="P473" s="16">
        <f>IF(OR(O473="",N(J473)&lt;=0),"",O473/J473)</f>
        <v/>
      </c>
      <c r="Q473" s="28">
        <f>IF(V473=1,"Late","")</f>
        <v/>
      </c>
      <c r="R473" s="1">
        <f>IF(ISNUMBER(B473),INT(B473)*10000000+IF(ISNUMBER(C473),ROUND(MOD(C473,1)*1440,0),0)*1000+ROW(),"")</f>
        <v/>
      </c>
      <c r="S473">
        <f>IF(ISNUMBER(B473),INT(B473)-WEEKDAY(B473,3),"")</f>
        <v/>
      </c>
      <c r="T473">
        <f>IF(ISNUMBER(B473),YEAR(B473)*100+MONTH(B473),"")</f>
        <v/>
      </c>
      <c r="U473">
        <f>IF(AND(ISNUMBER(B473),H473&lt;&gt;"Published"),IF(INT(B473)&gt;=TODAY(),R473,""),"")</f>
        <v/>
      </c>
      <c r="V473">
        <f>IF(AND(ISNUMBER(B473),OR(H473="Draft",H473="Scheduled")),IF(INT(B473)&lt;TODAY(),1,0),0)</f>
        <v/>
      </c>
      <c r="W473">
        <f>IF(AND(H473="Published",N(O473)&gt;0),IF(T473=(YEAR(TODAY())*100+MONTH(TODAY())),ROUND(O473,0)*1000+1000-ROW(),""),"")</f>
        <v/>
      </c>
    </row>
    <row r="474">
      <c r="A474" s="1" t="n"/>
      <c r="B474" s="21" t="n"/>
      <c r="C474" s="22" t="n"/>
      <c r="D474" s="23" t="n"/>
      <c r="E474" s="24" t="n"/>
      <c r="F474" s="23" t="n"/>
      <c r="G474" s="25" t="n"/>
      <c r="H474" s="24" t="n"/>
      <c r="I474" s="23" t="n"/>
      <c r="J474" s="26" t="n"/>
      <c r="K474" s="26" t="n"/>
      <c r="L474" s="26" t="n"/>
      <c r="M474" s="26" t="n"/>
      <c r="N474" s="26" t="n"/>
      <c r="O474" s="27">
        <f>IF(COUNT(K474:N474)=0,"",SUM(K474:N474))</f>
        <v/>
      </c>
      <c r="P474" s="16">
        <f>IF(OR(O474="",N(J474)&lt;=0),"",O474/J474)</f>
        <v/>
      </c>
      <c r="Q474" s="28">
        <f>IF(V474=1,"Late","")</f>
        <v/>
      </c>
      <c r="R474" s="1">
        <f>IF(ISNUMBER(B474),INT(B474)*10000000+IF(ISNUMBER(C474),ROUND(MOD(C474,1)*1440,0),0)*1000+ROW(),"")</f>
        <v/>
      </c>
      <c r="S474">
        <f>IF(ISNUMBER(B474),INT(B474)-WEEKDAY(B474,3),"")</f>
        <v/>
      </c>
      <c r="T474">
        <f>IF(ISNUMBER(B474),YEAR(B474)*100+MONTH(B474),"")</f>
        <v/>
      </c>
      <c r="U474">
        <f>IF(AND(ISNUMBER(B474),H474&lt;&gt;"Published"),IF(INT(B474)&gt;=TODAY(),R474,""),"")</f>
        <v/>
      </c>
      <c r="V474">
        <f>IF(AND(ISNUMBER(B474),OR(H474="Draft",H474="Scheduled")),IF(INT(B474)&lt;TODAY(),1,0),0)</f>
        <v/>
      </c>
      <c r="W474">
        <f>IF(AND(H474="Published",N(O474)&gt;0),IF(T474=(YEAR(TODAY())*100+MONTH(TODAY())),ROUND(O474,0)*1000+1000-ROW(),""),"")</f>
        <v/>
      </c>
    </row>
    <row r="475">
      <c r="A475" s="1" t="n"/>
      <c r="B475" s="21" t="n"/>
      <c r="C475" s="22" t="n"/>
      <c r="D475" s="23" t="n"/>
      <c r="E475" s="24" t="n"/>
      <c r="F475" s="23" t="n"/>
      <c r="G475" s="25" t="n"/>
      <c r="H475" s="24" t="n"/>
      <c r="I475" s="23" t="n"/>
      <c r="J475" s="26" t="n"/>
      <c r="K475" s="26" t="n"/>
      <c r="L475" s="26" t="n"/>
      <c r="M475" s="26" t="n"/>
      <c r="N475" s="26" t="n"/>
      <c r="O475" s="27">
        <f>IF(COUNT(K475:N475)=0,"",SUM(K475:N475))</f>
        <v/>
      </c>
      <c r="P475" s="16">
        <f>IF(OR(O475="",N(J475)&lt;=0),"",O475/J475)</f>
        <v/>
      </c>
      <c r="Q475" s="28">
        <f>IF(V475=1,"Late","")</f>
        <v/>
      </c>
      <c r="R475" s="1">
        <f>IF(ISNUMBER(B475),INT(B475)*10000000+IF(ISNUMBER(C475),ROUND(MOD(C475,1)*1440,0),0)*1000+ROW(),"")</f>
        <v/>
      </c>
      <c r="S475">
        <f>IF(ISNUMBER(B475),INT(B475)-WEEKDAY(B475,3),"")</f>
        <v/>
      </c>
      <c r="T475">
        <f>IF(ISNUMBER(B475),YEAR(B475)*100+MONTH(B475),"")</f>
        <v/>
      </c>
      <c r="U475">
        <f>IF(AND(ISNUMBER(B475),H475&lt;&gt;"Published"),IF(INT(B475)&gt;=TODAY(),R475,""),"")</f>
        <v/>
      </c>
      <c r="V475">
        <f>IF(AND(ISNUMBER(B475),OR(H475="Draft",H475="Scheduled")),IF(INT(B475)&lt;TODAY(),1,0),0)</f>
        <v/>
      </c>
      <c r="W475">
        <f>IF(AND(H475="Published",N(O475)&gt;0),IF(T475=(YEAR(TODAY())*100+MONTH(TODAY())),ROUND(O475,0)*1000+1000-ROW(),""),"")</f>
        <v/>
      </c>
    </row>
    <row r="476">
      <c r="A476" s="1" t="n"/>
      <c r="B476" s="21" t="n"/>
      <c r="C476" s="22" t="n"/>
      <c r="D476" s="23" t="n"/>
      <c r="E476" s="24" t="n"/>
      <c r="F476" s="23" t="n"/>
      <c r="G476" s="25" t="n"/>
      <c r="H476" s="24" t="n"/>
      <c r="I476" s="23" t="n"/>
      <c r="J476" s="26" t="n"/>
      <c r="K476" s="26" t="n"/>
      <c r="L476" s="26" t="n"/>
      <c r="M476" s="26" t="n"/>
      <c r="N476" s="26" t="n"/>
      <c r="O476" s="27">
        <f>IF(COUNT(K476:N476)=0,"",SUM(K476:N476))</f>
        <v/>
      </c>
      <c r="P476" s="16">
        <f>IF(OR(O476="",N(J476)&lt;=0),"",O476/J476)</f>
        <v/>
      </c>
      <c r="Q476" s="28">
        <f>IF(V476=1,"Late","")</f>
        <v/>
      </c>
      <c r="R476" s="1">
        <f>IF(ISNUMBER(B476),INT(B476)*10000000+IF(ISNUMBER(C476),ROUND(MOD(C476,1)*1440,0),0)*1000+ROW(),"")</f>
        <v/>
      </c>
      <c r="S476">
        <f>IF(ISNUMBER(B476),INT(B476)-WEEKDAY(B476,3),"")</f>
        <v/>
      </c>
      <c r="T476">
        <f>IF(ISNUMBER(B476),YEAR(B476)*100+MONTH(B476),"")</f>
        <v/>
      </c>
      <c r="U476">
        <f>IF(AND(ISNUMBER(B476),H476&lt;&gt;"Published"),IF(INT(B476)&gt;=TODAY(),R476,""),"")</f>
        <v/>
      </c>
      <c r="V476">
        <f>IF(AND(ISNUMBER(B476),OR(H476="Draft",H476="Scheduled")),IF(INT(B476)&lt;TODAY(),1,0),0)</f>
        <v/>
      </c>
      <c r="W476">
        <f>IF(AND(H476="Published",N(O476)&gt;0),IF(T476=(YEAR(TODAY())*100+MONTH(TODAY())),ROUND(O476,0)*1000+1000-ROW(),""),"")</f>
        <v/>
      </c>
    </row>
    <row r="477">
      <c r="A477" s="1" t="n"/>
      <c r="B477" s="21" t="n"/>
      <c r="C477" s="22" t="n"/>
      <c r="D477" s="23" t="n"/>
      <c r="E477" s="24" t="n"/>
      <c r="F477" s="23" t="n"/>
      <c r="G477" s="25" t="n"/>
      <c r="H477" s="24" t="n"/>
      <c r="I477" s="23" t="n"/>
      <c r="J477" s="26" t="n"/>
      <c r="K477" s="26" t="n"/>
      <c r="L477" s="26" t="n"/>
      <c r="M477" s="26" t="n"/>
      <c r="N477" s="26" t="n"/>
      <c r="O477" s="27">
        <f>IF(COUNT(K477:N477)=0,"",SUM(K477:N477))</f>
        <v/>
      </c>
      <c r="P477" s="16">
        <f>IF(OR(O477="",N(J477)&lt;=0),"",O477/J477)</f>
        <v/>
      </c>
      <c r="Q477" s="28">
        <f>IF(V477=1,"Late","")</f>
        <v/>
      </c>
      <c r="R477" s="1">
        <f>IF(ISNUMBER(B477),INT(B477)*10000000+IF(ISNUMBER(C477),ROUND(MOD(C477,1)*1440,0),0)*1000+ROW(),"")</f>
        <v/>
      </c>
      <c r="S477">
        <f>IF(ISNUMBER(B477),INT(B477)-WEEKDAY(B477,3),"")</f>
        <v/>
      </c>
      <c r="T477">
        <f>IF(ISNUMBER(B477),YEAR(B477)*100+MONTH(B477),"")</f>
        <v/>
      </c>
      <c r="U477">
        <f>IF(AND(ISNUMBER(B477),H477&lt;&gt;"Published"),IF(INT(B477)&gt;=TODAY(),R477,""),"")</f>
        <v/>
      </c>
      <c r="V477">
        <f>IF(AND(ISNUMBER(B477),OR(H477="Draft",H477="Scheduled")),IF(INT(B477)&lt;TODAY(),1,0),0)</f>
        <v/>
      </c>
      <c r="W477">
        <f>IF(AND(H477="Published",N(O477)&gt;0),IF(T477=(YEAR(TODAY())*100+MONTH(TODAY())),ROUND(O477,0)*1000+1000-ROW(),""),"")</f>
        <v/>
      </c>
    </row>
    <row r="478">
      <c r="A478" s="1" t="n"/>
      <c r="B478" s="21" t="n"/>
      <c r="C478" s="22" t="n"/>
      <c r="D478" s="23" t="n"/>
      <c r="E478" s="24" t="n"/>
      <c r="F478" s="23" t="n"/>
      <c r="G478" s="25" t="n"/>
      <c r="H478" s="24" t="n"/>
      <c r="I478" s="23" t="n"/>
      <c r="J478" s="26" t="n"/>
      <c r="K478" s="26" t="n"/>
      <c r="L478" s="26" t="n"/>
      <c r="M478" s="26" t="n"/>
      <c r="N478" s="26" t="n"/>
      <c r="O478" s="27">
        <f>IF(COUNT(K478:N478)=0,"",SUM(K478:N478))</f>
        <v/>
      </c>
      <c r="P478" s="16">
        <f>IF(OR(O478="",N(J478)&lt;=0),"",O478/J478)</f>
        <v/>
      </c>
      <c r="Q478" s="28">
        <f>IF(V478=1,"Late","")</f>
        <v/>
      </c>
      <c r="R478" s="1">
        <f>IF(ISNUMBER(B478),INT(B478)*10000000+IF(ISNUMBER(C478),ROUND(MOD(C478,1)*1440,0),0)*1000+ROW(),"")</f>
        <v/>
      </c>
      <c r="S478">
        <f>IF(ISNUMBER(B478),INT(B478)-WEEKDAY(B478,3),"")</f>
        <v/>
      </c>
      <c r="T478">
        <f>IF(ISNUMBER(B478),YEAR(B478)*100+MONTH(B478),"")</f>
        <v/>
      </c>
      <c r="U478">
        <f>IF(AND(ISNUMBER(B478),H478&lt;&gt;"Published"),IF(INT(B478)&gt;=TODAY(),R478,""),"")</f>
        <v/>
      </c>
      <c r="V478">
        <f>IF(AND(ISNUMBER(B478),OR(H478="Draft",H478="Scheduled")),IF(INT(B478)&lt;TODAY(),1,0),0)</f>
        <v/>
      </c>
      <c r="W478">
        <f>IF(AND(H478="Published",N(O478)&gt;0),IF(T478=(YEAR(TODAY())*100+MONTH(TODAY())),ROUND(O478,0)*1000+1000-ROW(),""),"")</f>
        <v/>
      </c>
    </row>
    <row r="479">
      <c r="A479" s="1" t="n"/>
      <c r="B479" s="21" t="n"/>
      <c r="C479" s="22" t="n"/>
      <c r="D479" s="23" t="n"/>
      <c r="E479" s="24" t="n"/>
      <c r="F479" s="23" t="n"/>
      <c r="G479" s="25" t="n"/>
      <c r="H479" s="24" t="n"/>
      <c r="I479" s="23" t="n"/>
      <c r="J479" s="26" t="n"/>
      <c r="K479" s="26" t="n"/>
      <c r="L479" s="26" t="n"/>
      <c r="M479" s="26" t="n"/>
      <c r="N479" s="26" t="n"/>
      <c r="O479" s="27">
        <f>IF(COUNT(K479:N479)=0,"",SUM(K479:N479))</f>
        <v/>
      </c>
      <c r="P479" s="16">
        <f>IF(OR(O479="",N(J479)&lt;=0),"",O479/J479)</f>
        <v/>
      </c>
      <c r="Q479" s="28">
        <f>IF(V479=1,"Late","")</f>
        <v/>
      </c>
      <c r="R479" s="1">
        <f>IF(ISNUMBER(B479),INT(B479)*10000000+IF(ISNUMBER(C479),ROUND(MOD(C479,1)*1440,0),0)*1000+ROW(),"")</f>
        <v/>
      </c>
      <c r="S479">
        <f>IF(ISNUMBER(B479),INT(B479)-WEEKDAY(B479,3),"")</f>
        <v/>
      </c>
      <c r="T479">
        <f>IF(ISNUMBER(B479),YEAR(B479)*100+MONTH(B479),"")</f>
        <v/>
      </c>
      <c r="U479">
        <f>IF(AND(ISNUMBER(B479),H479&lt;&gt;"Published"),IF(INT(B479)&gt;=TODAY(),R479,""),"")</f>
        <v/>
      </c>
      <c r="V479">
        <f>IF(AND(ISNUMBER(B479),OR(H479="Draft",H479="Scheduled")),IF(INT(B479)&lt;TODAY(),1,0),0)</f>
        <v/>
      </c>
      <c r="W479">
        <f>IF(AND(H479="Published",N(O479)&gt;0),IF(T479=(YEAR(TODAY())*100+MONTH(TODAY())),ROUND(O479,0)*1000+1000-ROW(),""),"")</f>
        <v/>
      </c>
    </row>
    <row r="480">
      <c r="A480" s="1" t="n"/>
      <c r="B480" s="21" t="n"/>
      <c r="C480" s="22" t="n"/>
      <c r="D480" s="23" t="n"/>
      <c r="E480" s="24" t="n"/>
      <c r="F480" s="23" t="n"/>
      <c r="G480" s="25" t="n"/>
      <c r="H480" s="24" t="n"/>
      <c r="I480" s="23" t="n"/>
      <c r="J480" s="26" t="n"/>
      <c r="K480" s="26" t="n"/>
      <c r="L480" s="26" t="n"/>
      <c r="M480" s="26" t="n"/>
      <c r="N480" s="26" t="n"/>
      <c r="O480" s="27">
        <f>IF(COUNT(K480:N480)=0,"",SUM(K480:N480))</f>
        <v/>
      </c>
      <c r="P480" s="16">
        <f>IF(OR(O480="",N(J480)&lt;=0),"",O480/J480)</f>
        <v/>
      </c>
      <c r="Q480" s="28">
        <f>IF(V480=1,"Late","")</f>
        <v/>
      </c>
      <c r="R480" s="1">
        <f>IF(ISNUMBER(B480),INT(B480)*10000000+IF(ISNUMBER(C480),ROUND(MOD(C480,1)*1440,0),0)*1000+ROW(),"")</f>
        <v/>
      </c>
      <c r="S480">
        <f>IF(ISNUMBER(B480),INT(B480)-WEEKDAY(B480,3),"")</f>
        <v/>
      </c>
      <c r="T480">
        <f>IF(ISNUMBER(B480),YEAR(B480)*100+MONTH(B480),"")</f>
        <v/>
      </c>
      <c r="U480">
        <f>IF(AND(ISNUMBER(B480),H480&lt;&gt;"Published"),IF(INT(B480)&gt;=TODAY(),R480,""),"")</f>
        <v/>
      </c>
      <c r="V480">
        <f>IF(AND(ISNUMBER(B480),OR(H480="Draft",H480="Scheduled")),IF(INT(B480)&lt;TODAY(),1,0),0)</f>
        <v/>
      </c>
      <c r="W480">
        <f>IF(AND(H480="Published",N(O480)&gt;0),IF(T480=(YEAR(TODAY())*100+MONTH(TODAY())),ROUND(O480,0)*1000+1000-ROW(),""),"")</f>
        <v/>
      </c>
    </row>
    <row r="481">
      <c r="A481" s="1" t="n"/>
      <c r="B481" s="21" t="n"/>
      <c r="C481" s="22" t="n"/>
      <c r="D481" s="23" t="n"/>
      <c r="E481" s="24" t="n"/>
      <c r="F481" s="23" t="n"/>
      <c r="G481" s="25" t="n"/>
      <c r="H481" s="24" t="n"/>
      <c r="I481" s="23" t="n"/>
      <c r="J481" s="26" t="n"/>
      <c r="K481" s="26" t="n"/>
      <c r="L481" s="26" t="n"/>
      <c r="M481" s="26" t="n"/>
      <c r="N481" s="26" t="n"/>
      <c r="O481" s="27">
        <f>IF(COUNT(K481:N481)=0,"",SUM(K481:N481))</f>
        <v/>
      </c>
      <c r="P481" s="16">
        <f>IF(OR(O481="",N(J481)&lt;=0),"",O481/J481)</f>
        <v/>
      </c>
      <c r="Q481" s="28">
        <f>IF(V481=1,"Late","")</f>
        <v/>
      </c>
      <c r="R481" s="1">
        <f>IF(ISNUMBER(B481),INT(B481)*10000000+IF(ISNUMBER(C481),ROUND(MOD(C481,1)*1440,0),0)*1000+ROW(),"")</f>
        <v/>
      </c>
      <c r="S481">
        <f>IF(ISNUMBER(B481),INT(B481)-WEEKDAY(B481,3),"")</f>
        <v/>
      </c>
      <c r="T481">
        <f>IF(ISNUMBER(B481),YEAR(B481)*100+MONTH(B481),"")</f>
        <v/>
      </c>
      <c r="U481">
        <f>IF(AND(ISNUMBER(B481),H481&lt;&gt;"Published"),IF(INT(B481)&gt;=TODAY(),R481,""),"")</f>
        <v/>
      </c>
      <c r="V481">
        <f>IF(AND(ISNUMBER(B481),OR(H481="Draft",H481="Scheduled")),IF(INT(B481)&lt;TODAY(),1,0),0)</f>
        <v/>
      </c>
      <c r="W481">
        <f>IF(AND(H481="Published",N(O481)&gt;0),IF(T481=(YEAR(TODAY())*100+MONTH(TODAY())),ROUND(O481,0)*1000+1000-ROW(),""),"")</f>
        <v/>
      </c>
    </row>
    <row r="482">
      <c r="A482" s="1" t="n"/>
      <c r="B482" s="21" t="n"/>
      <c r="C482" s="22" t="n"/>
      <c r="D482" s="23" t="n"/>
      <c r="E482" s="24" t="n"/>
      <c r="F482" s="23" t="n"/>
      <c r="G482" s="25" t="n"/>
      <c r="H482" s="24" t="n"/>
      <c r="I482" s="23" t="n"/>
      <c r="J482" s="26" t="n"/>
      <c r="K482" s="26" t="n"/>
      <c r="L482" s="26" t="n"/>
      <c r="M482" s="26" t="n"/>
      <c r="N482" s="26" t="n"/>
      <c r="O482" s="27">
        <f>IF(COUNT(K482:N482)=0,"",SUM(K482:N482))</f>
        <v/>
      </c>
      <c r="P482" s="16">
        <f>IF(OR(O482="",N(J482)&lt;=0),"",O482/J482)</f>
        <v/>
      </c>
      <c r="Q482" s="28">
        <f>IF(V482=1,"Late","")</f>
        <v/>
      </c>
      <c r="R482" s="1">
        <f>IF(ISNUMBER(B482),INT(B482)*10000000+IF(ISNUMBER(C482),ROUND(MOD(C482,1)*1440,0),0)*1000+ROW(),"")</f>
        <v/>
      </c>
      <c r="S482">
        <f>IF(ISNUMBER(B482),INT(B482)-WEEKDAY(B482,3),"")</f>
        <v/>
      </c>
      <c r="T482">
        <f>IF(ISNUMBER(B482),YEAR(B482)*100+MONTH(B482),"")</f>
        <v/>
      </c>
      <c r="U482">
        <f>IF(AND(ISNUMBER(B482),H482&lt;&gt;"Published"),IF(INT(B482)&gt;=TODAY(),R482,""),"")</f>
        <v/>
      </c>
      <c r="V482">
        <f>IF(AND(ISNUMBER(B482),OR(H482="Draft",H482="Scheduled")),IF(INT(B482)&lt;TODAY(),1,0),0)</f>
        <v/>
      </c>
      <c r="W482">
        <f>IF(AND(H482="Published",N(O482)&gt;0),IF(T482=(YEAR(TODAY())*100+MONTH(TODAY())),ROUND(O482,0)*1000+1000-ROW(),""),"")</f>
        <v/>
      </c>
    </row>
    <row r="483">
      <c r="A483" s="1" t="n"/>
      <c r="B483" s="21" t="n"/>
      <c r="C483" s="22" t="n"/>
      <c r="D483" s="23" t="n"/>
      <c r="E483" s="24" t="n"/>
      <c r="F483" s="23" t="n"/>
      <c r="G483" s="25" t="n"/>
      <c r="H483" s="24" t="n"/>
      <c r="I483" s="23" t="n"/>
      <c r="J483" s="26" t="n"/>
      <c r="K483" s="26" t="n"/>
      <c r="L483" s="26" t="n"/>
      <c r="M483" s="26" t="n"/>
      <c r="N483" s="26" t="n"/>
      <c r="O483" s="27">
        <f>IF(COUNT(K483:N483)=0,"",SUM(K483:N483))</f>
        <v/>
      </c>
      <c r="P483" s="16">
        <f>IF(OR(O483="",N(J483)&lt;=0),"",O483/J483)</f>
        <v/>
      </c>
      <c r="Q483" s="28">
        <f>IF(V483=1,"Late","")</f>
        <v/>
      </c>
      <c r="R483" s="1">
        <f>IF(ISNUMBER(B483),INT(B483)*10000000+IF(ISNUMBER(C483),ROUND(MOD(C483,1)*1440,0),0)*1000+ROW(),"")</f>
        <v/>
      </c>
      <c r="S483">
        <f>IF(ISNUMBER(B483),INT(B483)-WEEKDAY(B483,3),"")</f>
        <v/>
      </c>
      <c r="T483">
        <f>IF(ISNUMBER(B483),YEAR(B483)*100+MONTH(B483),"")</f>
        <v/>
      </c>
      <c r="U483">
        <f>IF(AND(ISNUMBER(B483),H483&lt;&gt;"Published"),IF(INT(B483)&gt;=TODAY(),R483,""),"")</f>
        <v/>
      </c>
      <c r="V483">
        <f>IF(AND(ISNUMBER(B483),OR(H483="Draft",H483="Scheduled")),IF(INT(B483)&lt;TODAY(),1,0),0)</f>
        <v/>
      </c>
      <c r="W483">
        <f>IF(AND(H483="Published",N(O483)&gt;0),IF(T483=(YEAR(TODAY())*100+MONTH(TODAY())),ROUND(O483,0)*1000+1000-ROW(),""),"")</f>
        <v/>
      </c>
    </row>
    <row r="484">
      <c r="A484" s="1" t="n"/>
      <c r="B484" s="21" t="n"/>
      <c r="C484" s="22" t="n"/>
      <c r="D484" s="23" t="n"/>
      <c r="E484" s="24" t="n"/>
      <c r="F484" s="23" t="n"/>
      <c r="G484" s="25" t="n"/>
      <c r="H484" s="24" t="n"/>
      <c r="I484" s="23" t="n"/>
      <c r="J484" s="26" t="n"/>
      <c r="K484" s="26" t="n"/>
      <c r="L484" s="26" t="n"/>
      <c r="M484" s="26" t="n"/>
      <c r="N484" s="26" t="n"/>
      <c r="O484" s="27">
        <f>IF(COUNT(K484:N484)=0,"",SUM(K484:N484))</f>
        <v/>
      </c>
      <c r="P484" s="16">
        <f>IF(OR(O484="",N(J484)&lt;=0),"",O484/J484)</f>
        <v/>
      </c>
      <c r="Q484" s="28">
        <f>IF(V484=1,"Late","")</f>
        <v/>
      </c>
      <c r="R484" s="1">
        <f>IF(ISNUMBER(B484),INT(B484)*10000000+IF(ISNUMBER(C484),ROUND(MOD(C484,1)*1440,0),0)*1000+ROW(),"")</f>
        <v/>
      </c>
      <c r="S484">
        <f>IF(ISNUMBER(B484),INT(B484)-WEEKDAY(B484,3),"")</f>
        <v/>
      </c>
      <c r="T484">
        <f>IF(ISNUMBER(B484),YEAR(B484)*100+MONTH(B484),"")</f>
        <v/>
      </c>
      <c r="U484">
        <f>IF(AND(ISNUMBER(B484),H484&lt;&gt;"Published"),IF(INT(B484)&gt;=TODAY(),R484,""),"")</f>
        <v/>
      </c>
      <c r="V484">
        <f>IF(AND(ISNUMBER(B484),OR(H484="Draft",H484="Scheduled")),IF(INT(B484)&lt;TODAY(),1,0),0)</f>
        <v/>
      </c>
      <c r="W484">
        <f>IF(AND(H484="Published",N(O484)&gt;0),IF(T484=(YEAR(TODAY())*100+MONTH(TODAY())),ROUND(O484,0)*1000+1000-ROW(),""),"")</f>
        <v/>
      </c>
    </row>
    <row r="485">
      <c r="A485" s="1" t="n"/>
      <c r="B485" s="21" t="n"/>
      <c r="C485" s="22" t="n"/>
      <c r="D485" s="23" t="n"/>
      <c r="E485" s="24" t="n"/>
      <c r="F485" s="23" t="n"/>
      <c r="G485" s="25" t="n"/>
      <c r="H485" s="24" t="n"/>
      <c r="I485" s="23" t="n"/>
      <c r="J485" s="26" t="n"/>
      <c r="K485" s="26" t="n"/>
      <c r="L485" s="26" t="n"/>
      <c r="M485" s="26" t="n"/>
      <c r="N485" s="26" t="n"/>
      <c r="O485" s="27">
        <f>IF(COUNT(K485:N485)=0,"",SUM(K485:N485))</f>
        <v/>
      </c>
      <c r="P485" s="16">
        <f>IF(OR(O485="",N(J485)&lt;=0),"",O485/J485)</f>
        <v/>
      </c>
      <c r="Q485" s="28">
        <f>IF(V485=1,"Late","")</f>
        <v/>
      </c>
      <c r="R485" s="1">
        <f>IF(ISNUMBER(B485),INT(B485)*10000000+IF(ISNUMBER(C485),ROUND(MOD(C485,1)*1440,0),0)*1000+ROW(),"")</f>
        <v/>
      </c>
      <c r="S485">
        <f>IF(ISNUMBER(B485),INT(B485)-WEEKDAY(B485,3),"")</f>
        <v/>
      </c>
      <c r="T485">
        <f>IF(ISNUMBER(B485),YEAR(B485)*100+MONTH(B485),"")</f>
        <v/>
      </c>
      <c r="U485">
        <f>IF(AND(ISNUMBER(B485),H485&lt;&gt;"Published"),IF(INT(B485)&gt;=TODAY(),R485,""),"")</f>
        <v/>
      </c>
      <c r="V485">
        <f>IF(AND(ISNUMBER(B485),OR(H485="Draft",H485="Scheduled")),IF(INT(B485)&lt;TODAY(),1,0),0)</f>
        <v/>
      </c>
      <c r="W485">
        <f>IF(AND(H485="Published",N(O485)&gt;0),IF(T485=(YEAR(TODAY())*100+MONTH(TODAY())),ROUND(O485,0)*1000+1000-ROW(),""),"")</f>
        <v/>
      </c>
    </row>
    <row r="486">
      <c r="A486" s="1" t="n"/>
      <c r="B486" s="21" t="n"/>
      <c r="C486" s="22" t="n"/>
      <c r="D486" s="23" t="n"/>
      <c r="E486" s="24" t="n"/>
      <c r="F486" s="23" t="n"/>
      <c r="G486" s="25" t="n"/>
      <c r="H486" s="24" t="n"/>
      <c r="I486" s="23" t="n"/>
      <c r="J486" s="26" t="n"/>
      <c r="K486" s="26" t="n"/>
      <c r="L486" s="26" t="n"/>
      <c r="M486" s="26" t="n"/>
      <c r="N486" s="26" t="n"/>
      <c r="O486" s="27">
        <f>IF(COUNT(K486:N486)=0,"",SUM(K486:N486))</f>
        <v/>
      </c>
      <c r="P486" s="16">
        <f>IF(OR(O486="",N(J486)&lt;=0),"",O486/J486)</f>
        <v/>
      </c>
      <c r="Q486" s="28">
        <f>IF(V486=1,"Late","")</f>
        <v/>
      </c>
      <c r="R486" s="1">
        <f>IF(ISNUMBER(B486),INT(B486)*10000000+IF(ISNUMBER(C486),ROUND(MOD(C486,1)*1440,0),0)*1000+ROW(),"")</f>
        <v/>
      </c>
      <c r="S486">
        <f>IF(ISNUMBER(B486),INT(B486)-WEEKDAY(B486,3),"")</f>
        <v/>
      </c>
      <c r="T486">
        <f>IF(ISNUMBER(B486),YEAR(B486)*100+MONTH(B486),"")</f>
        <v/>
      </c>
      <c r="U486">
        <f>IF(AND(ISNUMBER(B486),H486&lt;&gt;"Published"),IF(INT(B486)&gt;=TODAY(),R486,""),"")</f>
        <v/>
      </c>
      <c r="V486">
        <f>IF(AND(ISNUMBER(B486),OR(H486="Draft",H486="Scheduled")),IF(INT(B486)&lt;TODAY(),1,0),0)</f>
        <v/>
      </c>
      <c r="W486">
        <f>IF(AND(H486="Published",N(O486)&gt;0),IF(T486=(YEAR(TODAY())*100+MONTH(TODAY())),ROUND(O486,0)*1000+1000-ROW(),""),"")</f>
        <v/>
      </c>
    </row>
    <row r="487">
      <c r="A487" s="1" t="n"/>
      <c r="B487" s="21" t="n"/>
      <c r="C487" s="22" t="n"/>
      <c r="D487" s="23" t="n"/>
      <c r="E487" s="24" t="n"/>
      <c r="F487" s="23" t="n"/>
      <c r="G487" s="25" t="n"/>
      <c r="H487" s="24" t="n"/>
      <c r="I487" s="23" t="n"/>
      <c r="J487" s="26" t="n"/>
      <c r="K487" s="26" t="n"/>
      <c r="L487" s="26" t="n"/>
      <c r="M487" s="26" t="n"/>
      <c r="N487" s="26" t="n"/>
      <c r="O487" s="27">
        <f>IF(COUNT(K487:N487)=0,"",SUM(K487:N487))</f>
        <v/>
      </c>
      <c r="P487" s="16">
        <f>IF(OR(O487="",N(J487)&lt;=0),"",O487/J487)</f>
        <v/>
      </c>
      <c r="Q487" s="28">
        <f>IF(V487=1,"Late","")</f>
        <v/>
      </c>
      <c r="R487" s="1">
        <f>IF(ISNUMBER(B487),INT(B487)*10000000+IF(ISNUMBER(C487),ROUND(MOD(C487,1)*1440,0),0)*1000+ROW(),"")</f>
        <v/>
      </c>
      <c r="S487">
        <f>IF(ISNUMBER(B487),INT(B487)-WEEKDAY(B487,3),"")</f>
        <v/>
      </c>
      <c r="T487">
        <f>IF(ISNUMBER(B487),YEAR(B487)*100+MONTH(B487),"")</f>
        <v/>
      </c>
      <c r="U487">
        <f>IF(AND(ISNUMBER(B487),H487&lt;&gt;"Published"),IF(INT(B487)&gt;=TODAY(),R487,""),"")</f>
        <v/>
      </c>
      <c r="V487">
        <f>IF(AND(ISNUMBER(B487),OR(H487="Draft",H487="Scheduled")),IF(INT(B487)&lt;TODAY(),1,0),0)</f>
        <v/>
      </c>
      <c r="W487">
        <f>IF(AND(H487="Published",N(O487)&gt;0),IF(T487=(YEAR(TODAY())*100+MONTH(TODAY())),ROUND(O487,0)*1000+1000-ROW(),""),"")</f>
        <v/>
      </c>
    </row>
    <row r="488">
      <c r="A488" s="1" t="n"/>
      <c r="B488" s="21" t="n"/>
      <c r="C488" s="22" t="n"/>
      <c r="D488" s="23" t="n"/>
      <c r="E488" s="24" t="n"/>
      <c r="F488" s="23" t="n"/>
      <c r="G488" s="25" t="n"/>
      <c r="H488" s="24" t="n"/>
      <c r="I488" s="23" t="n"/>
      <c r="J488" s="26" t="n"/>
      <c r="K488" s="26" t="n"/>
      <c r="L488" s="26" t="n"/>
      <c r="M488" s="26" t="n"/>
      <c r="N488" s="26" t="n"/>
      <c r="O488" s="27">
        <f>IF(COUNT(K488:N488)=0,"",SUM(K488:N488))</f>
        <v/>
      </c>
      <c r="P488" s="16">
        <f>IF(OR(O488="",N(J488)&lt;=0),"",O488/J488)</f>
        <v/>
      </c>
      <c r="Q488" s="28">
        <f>IF(V488=1,"Late","")</f>
        <v/>
      </c>
      <c r="R488" s="1">
        <f>IF(ISNUMBER(B488),INT(B488)*10000000+IF(ISNUMBER(C488),ROUND(MOD(C488,1)*1440,0),0)*1000+ROW(),"")</f>
        <v/>
      </c>
      <c r="S488">
        <f>IF(ISNUMBER(B488),INT(B488)-WEEKDAY(B488,3),"")</f>
        <v/>
      </c>
      <c r="T488">
        <f>IF(ISNUMBER(B488),YEAR(B488)*100+MONTH(B488),"")</f>
        <v/>
      </c>
      <c r="U488">
        <f>IF(AND(ISNUMBER(B488),H488&lt;&gt;"Published"),IF(INT(B488)&gt;=TODAY(),R488,""),"")</f>
        <v/>
      </c>
      <c r="V488">
        <f>IF(AND(ISNUMBER(B488),OR(H488="Draft",H488="Scheduled")),IF(INT(B488)&lt;TODAY(),1,0),0)</f>
        <v/>
      </c>
      <c r="W488">
        <f>IF(AND(H488="Published",N(O488)&gt;0),IF(T488=(YEAR(TODAY())*100+MONTH(TODAY())),ROUND(O488,0)*1000+1000-ROW(),""),"")</f>
        <v/>
      </c>
    </row>
    <row r="489">
      <c r="A489" s="1" t="n"/>
      <c r="B489" s="21" t="n"/>
      <c r="C489" s="22" t="n"/>
      <c r="D489" s="23" t="n"/>
      <c r="E489" s="24" t="n"/>
      <c r="F489" s="23" t="n"/>
      <c r="G489" s="25" t="n"/>
      <c r="H489" s="24" t="n"/>
      <c r="I489" s="23" t="n"/>
      <c r="J489" s="26" t="n"/>
      <c r="K489" s="26" t="n"/>
      <c r="L489" s="26" t="n"/>
      <c r="M489" s="26" t="n"/>
      <c r="N489" s="26" t="n"/>
      <c r="O489" s="27">
        <f>IF(COUNT(K489:N489)=0,"",SUM(K489:N489))</f>
        <v/>
      </c>
      <c r="P489" s="16">
        <f>IF(OR(O489="",N(J489)&lt;=0),"",O489/J489)</f>
        <v/>
      </c>
      <c r="Q489" s="28">
        <f>IF(V489=1,"Late","")</f>
        <v/>
      </c>
      <c r="R489" s="1">
        <f>IF(ISNUMBER(B489),INT(B489)*10000000+IF(ISNUMBER(C489),ROUND(MOD(C489,1)*1440,0),0)*1000+ROW(),"")</f>
        <v/>
      </c>
      <c r="S489">
        <f>IF(ISNUMBER(B489),INT(B489)-WEEKDAY(B489,3),"")</f>
        <v/>
      </c>
      <c r="T489">
        <f>IF(ISNUMBER(B489),YEAR(B489)*100+MONTH(B489),"")</f>
        <v/>
      </c>
      <c r="U489">
        <f>IF(AND(ISNUMBER(B489),H489&lt;&gt;"Published"),IF(INT(B489)&gt;=TODAY(),R489,""),"")</f>
        <v/>
      </c>
      <c r="V489">
        <f>IF(AND(ISNUMBER(B489),OR(H489="Draft",H489="Scheduled")),IF(INT(B489)&lt;TODAY(),1,0),0)</f>
        <v/>
      </c>
      <c r="W489">
        <f>IF(AND(H489="Published",N(O489)&gt;0),IF(T489=(YEAR(TODAY())*100+MONTH(TODAY())),ROUND(O489,0)*1000+1000-ROW(),""),"")</f>
        <v/>
      </c>
    </row>
    <row r="490">
      <c r="A490" s="1" t="n"/>
      <c r="B490" s="21" t="n"/>
      <c r="C490" s="22" t="n"/>
      <c r="D490" s="23" t="n"/>
      <c r="E490" s="24" t="n"/>
      <c r="F490" s="23" t="n"/>
      <c r="G490" s="25" t="n"/>
      <c r="H490" s="24" t="n"/>
      <c r="I490" s="23" t="n"/>
      <c r="J490" s="26" t="n"/>
      <c r="K490" s="26" t="n"/>
      <c r="L490" s="26" t="n"/>
      <c r="M490" s="26" t="n"/>
      <c r="N490" s="26" t="n"/>
      <c r="O490" s="27">
        <f>IF(COUNT(K490:N490)=0,"",SUM(K490:N490))</f>
        <v/>
      </c>
      <c r="P490" s="16">
        <f>IF(OR(O490="",N(J490)&lt;=0),"",O490/J490)</f>
        <v/>
      </c>
      <c r="Q490" s="28">
        <f>IF(V490=1,"Late","")</f>
        <v/>
      </c>
      <c r="R490" s="1">
        <f>IF(ISNUMBER(B490),INT(B490)*10000000+IF(ISNUMBER(C490),ROUND(MOD(C490,1)*1440,0),0)*1000+ROW(),"")</f>
        <v/>
      </c>
      <c r="S490">
        <f>IF(ISNUMBER(B490),INT(B490)-WEEKDAY(B490,3),"")</f>
        <v/>
      </c>
      <c r="T490">
        <f>IF(ISNUMBER(B490),YEAR(B490)*100+MONTH(B490),"")</f>
        <v/>
      </c>
      <c r="U490">
        <f>IF(AND(ISNUMBER(B490),H490&lt;&gt;"Published"),IF(INT(B490)&gt;=TODAY(),R490,""),"")</f>
        <v/>
      </c>
      <c r="V490">
        <f>IF(AND(ISNUMBER(B490),OR(H490="Draft",H490="Scheduled")),IF(INT(B490)&lt;TODAY(),1,0),0)</f>
        <v/>
      </c>
      <c r="W490">
        <f>IF(AND(H490="Published",N(O490)&gt;0),IF(T490=(YEAR(TODAY())*100+MONTH(TODAY())),ROUND(O490,0)*1000+1000-ROW(),""),"")</f>
        <v/>
      </c>
    </row>
    <row r="491">
      <c r="A491" s="1" t="n"/>
      <c r="B491" s="21" t="n"/>
      <c r="C491" s="22" t="n"/>
      <c r="D491" s="23" t="n"/>
      <c r="E491" s="24" t="n"/>
      <c r="F491" s="23" t="n"/>
      <c r="G491" s="25" t="n"/>
      <c r="H491" s="24" t="n"/>
      <c r="I491" s="23" t="n"/>
      <c r="J491" s="26" t="n"/>
      <c r="K491" s="26" t="n"/>
      <c r="L491" s="26" t="n"/>
      <c r="M491" s="26" t="n"/>
      <c r="N491" s="26" t="n"/>
      <c r="O491" s="27">
        <f>IF(COUNT(K491:N491)=0,"",SUM(K491:N491))</f>
        <v/>
      </c>
      <c r="P491" s="16">
        <f>IF(OR(O491="",N(J491)&lt;=0),"",O491/J491)</f>
        <v/>
      </c>
      <c r="Q491" s="28">
        <f>IF(V491=1,"Late","")</f>
        <v/>
      </c>
      <c r="R491" s="1">
        <f>IF(ISNUMBER(B491),INT(B491)*10000000+IF(ISNUMBER(C491),ROUND(MOD(C491,1)*1440,0),0)*1000+ROW(),"")</f>
        <v/>
      </c>
      <c r="S491">
        <f>IF(ISNUMBER(B491),INT(B491)-WEEKDAY(B491,3),"")</f>
        <v/>
      </c>
      <c r="T491">
        <f>IF(ISNUMBER(B491),YEAR(B491)*100+MONTH(B491),"")</f>
        <v/>
      </c>
      <c r="U491">
        <f>IF(AND(ISNUMBER(B491),H491&lt;&gt;"Published"),IF(INT(B491)&gt;=TODAY(),R491,""),"")</f>
        <v/>
      </c>
      <c r="V491">
        <f>IF(AND(ISNUMBER(B491),OR(H491="Draft",H491="Scheduled")),IF(INT(B491)&lt;TODAY(),1,0),0)</f>
        <v/>
      </c>
      <c r="W491">
        <f>IF(AND(H491="Published",N(O491)&gt;0),IF(T491=(YEAR(TODAY())*100+MONTH(TODAY())),ROUND(O491,0)*1000+1000-ROW(),""),"")</f>
        <v/>
      </c>
    </row>
    <row r="492">
      <c r="A492" s="1" t="n"/>
      <c r="B492" s="21" t="n"/>
      <c r="C492" s="22" t="n"/>
      <c r="D492" s="23" t="n"/>
      <c r="E492" s="24" t="n"/>
      <c r="F492" s="23" t="n"/>
      <c r="G492" s="25" t="n"/>
      <c r="H492" s="24" t="n"/>
      <c r="I492" s="23" t="n"/>
      <c r="J492" s="26" t="n"/>
      <c r="K492" s="26" t="n"/>
      <c r="L492" s="26" t="n"/>
      <c r="M492" s="26" t="n"/>
      <c r="N492" s="26" t="n"/>
      <c r="O492" s="27">
        <f>IF(COUNT(K492:N492)=0,"",SUM(K492:N492))</f>
        <v/>
      </c>
      <c r="P492" s="16">
        <f>IF(OR(O492="",N(J492)&lt;=0),"",O492/J492)</f>
        <v/>
      </c>
      <c r="Q492" s="28">
        <f>IF(V492=1,"Late","")</f>
        <v/>
      </c>
      <c r="R492" s="1">
        <f>IF(ISNUMBER(B492),INT(B492)*10000000+IF(ISNUMBER(C492),ROUND(MOD(C492,1)*1440,0),0)*1000+ROW(),"")</f>
        <v/>
      </c>
      <c r="S492">
        <f>IF(ISNUMBER(B492),INT(B492)-WEEKDAY(B492,3),"")</f>
        <v/>
      </c>
      <c r="T492">
        <f>IF(ISNUMBER(B492),YEAR(B492)*100+MONTH(B492),"")</f>
        <v/>
      </c>
      <c r="U492">
        <f>IF(AND(ISNUMBER(B492),H492&lt;&gt;"Published"),IF(INT(B492)&gt;=TODAY(),R492,""),"")</f>
        <v/>
      </c>
      <c r="V492">
        <f>IF(AND(ISNUMBER(B492),OR(H492="Draft",H492="Scheduled")),IF(INT(B492)&lt;TODAY(),1,0),0)</f>
        <v/>
      </c>
      <c r="W492">
        <f>IF(AND(H492="Published",N(O492)&gt;0),IF(T492=(YEAR(TODAY())*100+MONTH(TODAY())),ROUND(O492,0)*1000+1000-ROW(),""),"")</f>
        <v/>
      </c>
    </row>
    <row r="493">
      <c r="A493" s="1" t="n"/>
      <c r="B493" s="21" t="n"/>
      <c r="C493" s="22" t="n"/>
      <c r="D493" s="23" t="n"/>
      <c r="E493" s="24" t="n"/>
      <c r="F493" s="23" t="n"/>
      <c r="G493" s="25" t="n"/>
      <c r="H493" s="24" t="n"/>
      <c r="I493" s="23" t="n"/>
      <c r="J493" s="26" t="n"/>
      <c r="K493" s="26" t="n"/>
      <c r="L493" s="26" t="n"/>
      <c r="M493" s="26" t="n"/>
      <c r="N493" s="26" t="n"/>
      <c r="O493" s="27">
        <f>IF(COUNT(K493:N493)=0,"",SUM(K493:N493))</f>
        <v/>
      </c>
      <c r="P493" s="16">
        <f>IF(OR(O493="",N(J493)&lt;=0),"",O493/J493)</f>
        <v/>
      </c>
      <c r="Q493" s="28">
        <f>IF(V493=1,"Late","")</f>
        <v/>
      </c>
      <c r="R493" s="1">
        <f>IF(ISNUMBER(B493),INT(B493)*10000000+IF(ISNUMBER(C493),ROUND(MOD(C493,1)*1440,0),0)*1000+ROW(),"")</f>
        <v/>
      </c>
      <c r="S493">
        <f>IF(ISNUMBER(B493),INT(B493)-WEEKDAY(B493,3),"")</f>
        <v/>
      </c>
      <c r="T493">
        <f>IF(ISNUMBER(B493),YEAR(B493)*100+MONTH(B493),"")</f>
        <v/>
      </c>
      <c r="U493">
        <f>IF(AND(ISNUMBER(B493),H493&lt;&gt;"Published"),IF(INT(B493)&gt;=TODAY(),R493,""),"")</f>
        <v/>
      </c>
      <c r="V493">
        <f>IF(AND(ISNUMBER(B493),OR(H493="Draft",H493="Scheduled")),IF(INT(B493)&lt;TODAY(),1,0),0)</f>
        <v/>
      </c>
      <c r="W493">
        <f>IF(AND(H493="Published",N(O493)&gt;0),IF(T493=(YEAR(TODAY())*100+MONTH(TODAY())),ROUND(O493,0)*1000+1000-ROW(),""),"")</f>
        <v/>
      </c>
    </row>
    <row r="494">
      <c r="A494" s="1" t="n"/>
      <c r="B494" s="21" t="n"/>
      <c r="C494" s="22" t="n"/>
      <c r="D494" s="23" t="n"/>
      <c r="E494" s="24" t="n"/>
      <c r="F494" s="23" t="n"/>
      <c r="G494" s="25" t="n"/>
      <c r="H494" s="24" t="n"/>
      <c r="I494" s="23" t="n"/>
      <c r="J494" s="26" t="n"/>
      <c r="K494" s="26" t="n"/>
      <c r="L494" s="26" t="n"/>
      <c r="M494" s="26" t="n"/>
      <c r="N494" s="26" t="n"/>
      <c r="O494" s="27">
        <f>IF(COUNT(K494:N494)=0,"",SUM(K494:N494))</f>
        <v/>
      </c>
      <c r="P494" s="16">
        <f>IF(OR(O494="",N(J494)&lt;=0),"",O494/J494)</f>
        <v/>
      </c>
      <c r="Q494" s="28">
        <f>IF(V494=1,"Late","")</f>
        <v/>
      </c>
      <c r="R494" s="1">
        <f>IF(ISNUMBER(B494),INT(B494)*10000000+IF(ISNUMBER(C494),ROUND(MOD(C494,1)*1440,0),0)*1000+ROW(),"")</f>
        <v/>
      </c>
      <c r="S494">
        <f>IF(ISNUMBER(B494),INT(B494)-WEEKDAY(B494,3),"")</f>
        <v/>
      </c>
      <c r="T494">
        <f>IF(ISNUMBER(B494),YEAR(B494)*100+MONTH(B494),"")</f>
        <v/>
      </c>
      <c r="U494">
        <f>IF(AND(ISNUMBER(B494),H494&lt;&gt;"Published"),IF(INT(B494)&gt;=TODAY(),R494,""),"")</f>
        <v/>
      </c>
      <c r="V494">
        <f>IF(AND(ISNUMBER(B494),OR(H494="Draft",H494="Scheduled")),IF(INT(B494)&lt;TODAY(),1,0),0)</f>
        <v/>
      </c>
      <c r="W494">
        <f>IF(AND(H494="Published",N(O494)&gt;0),IF(T494=(YEAR(TODAY())*100+MONTH(TODAY())),ROUND(O494,0)*1000+1000-ROW(),""),"")</f>
        <v/>
      </c>
    </row>
    <row r="495">
      <c r="A495" s="1" t="n"/>
      <c r="B495" s="21" t="n"/>
      <c r="C495" s="22" t="n"/>
      <c r="D495" s="23" t="n"/>
      <c r="E495" s="24" t="n"/>
      <c r="F495" s="23" t="n"/>
      <c r="G495" s="25" t="n"/>
      <c r="H495" s="24" t="n"/>
      <c r="I495" s="23" t="n"/>
      <c r="J495" s="26" t="n"/>
      <c r="K495" s="26" t="n"/>
      <c r="L495" s="26" t="n"/>
      <c r="M495" s="26" t="n"/>
      <c r="N495" s="26" t="n"/>
      <c r="O495" s="27">
        <f>IF(COUNT(K495:N495)=0,"",SUM(K495:N495))</f>
        <v/>
      </c>
      <c r="P495" s="16">
        <f>IF(OR(O495="",N(J495)&lt;=0),"",O495/J495)</f>
        <v/>
      </c>
      <c r="Q495" s="28">
        <f>IF(V495=1,"Late","")</f>
        <v/>
      </c>
      <c r="R495" s="1">
        <f>IF(ISNUMBER(B495),INT(B495)*10000000+IF(ISNUMBER(C495),ROUND(MOD(C495,1)*1440,0),0)*1000+ROW(),"")</f>
        <v/>
      </c>
      <c r="S495">
        <f>IF(ISNUMBER(B495),INT(B495)-WEEKDAY(B495,3),"")</f>
        <v/>
      </c>
      <c r="T495">
        <f>IF(ISNUMBER(B495),YEAR(B495)*100+MONTH(B495),"")</f>
        <v/>
      </c>
      <c r="U495">
        <f>IF(AND(ISNUMBER(B495),H495&lt;&gt;"Published"),IF(INT(B495)&gt;=TODAY(),R495,""),"")</f>
        <v/>
      </c>
      <c r="V495">
        <f>IF(AND(ISNUMBER(B495),OR(H495="Draft",H495="Scheduled")),IF(INT(B495)&lt;TODAY(),1,0),0)</f>
        <v/>
      </c>
      <c r="W495">
        <f>IF(AND(H495="Published",N(O495)&gt;0),IF(T495=(YEAR(TODAY())*100+MONTH(TODAY())),ROUND(O495,0)*1000+1000-ROW(),""),"")</f>
        <v/>
      </c>
    </row>
    <row r="496">
      <c r="A496" s="1" t="n"/>
      <c r="B496" s="21" t="n"/>
      <c r="C496" s="22" t="n"/>
      <c r="D496" s="23" t="n"/>
      <c r="E496" s="24" t="n"/>
      <c r="F496" s="23" t="n"/>
      <c r="G496" s="25" t="n"/>
      <c r="H496" s="24" t="n"/>
      <c r="I496" s="23" t="n"/>
      <c r="J496" s="26" t="n"/>
      <c r="K496" s="26" t="n"/>
      <c r="L496" s="26" t="n"/>
      <c r="M496" s="26" t="n"/>
      <c r="N496" s="26" t="n"/>
      <c r="O496" s="27">
        <f>IF(COUNT(K496:N496)=0,"",SUM(K496:N496))</f>
        <v/>
      </c>
      <c r="P496" s="16">
        <f>IF(OR(O496="",N(J496)&lt;=0),"",O496/J496)</f>
        <v/>
      </c>
      <c r="Q496" s="28">
        <f>IF(V496=1,"Late","")</f>
        <v/>
      </c>
      <c r="R496" s="1">
        <f>IF(ISNUMBER(B496),INT(B496)*10000000+IF(ISNUMBER(C496),ROUND(MOD(C496,1)*1440,0),0)*1000+ROW(),"")</f>
        <v/>
      </c>
      <c r="S496">
        <f>IF(ISNUMBER(B496),INT(B496)-WEEKDAY(B496,3),"")</f>
        <v/>
      </c>
      <c r="T496">
        <f>IF(ISNUMBER(B496),YEAR(B496)*100+MONTH(B496),"")</f>
        <v/>
      </c>
      <c r="U496">
        <f>IF(AND(ISNUMBER(B496),H496&lt;&gt;"Published"),IF(INT(B496)&gt;=TODAY(),R496,""),"")</f>
        <v/>
      </c>
      <c r="V496">
        <f>IF(AND(ISNUMBER(B496),OR(H496="Draft",H496="Scheduled")),IF(INT(B496)&lt;TODAY(),1,0),0)</f>
        <v/>
      </c>
      <c r="W496">
        <f>IF(AND(H496="Published",N(O496)&gt;0),IF(T496=(YEAR(TODAY())*100+MONTH(TODAY())),ROUND(O496,0)*1000+1000-ROW(),""),"")</f>
        <v/>
      </c>
    </row>
    <row r="497">
      <c r="A497" s="1" t="n"/>
      <c r="B497" s="21" t="n"/>
      <c r="C497" s="22" t="n"/>
      <c r="D497" s="23" t="n"/>
      <c r="E497" s="24" t="n"/>
      <c r="F497" s="23" t="n"/>
      <c r="G497" s="25" t="n"/>
      <c r="H497" s="24" t="n"/>
      <c r="I497" s="23" t="n"/>
      <c r="J497" s="26" t="n"/>
      <c r="K497" s="26" t="n"/>
      <c r="L497" s="26" t="n"/>
      <c r="M497" s="26" t="n"/>
      <c r="N497" s="26" t="n"/>
      <c r="O497" s="27">
        <f>IF(COUNT(K497:N497)=0,"",SUM(K497:N497))</f>
        <v/>
      </c>
      <c r="P497" s="16">
        <f>IF(OR(O497="",N(J497)&lt;=0),"",O497/J497)</f>
        <v/>
      </c>
      <c r="Q497" s="28">
        <f>IF(V497=1,"Late","")</f>
        <v/>
      </c>
      <c r="R497" s="1">
        <f>IF(ISNUMBER(B497),INT(B497)*10000000+IF(ISNUMBER(C497),ROUND(MOD(C497,1)*1440,0),0)*1000+ROW(),"")</f>
        <v/>
      </c>
      <c r="S497">
        <f>IF(ISNUMBER(B497),INT(B497)-WEEKDAY(B497,3),"")</f>
        <v/>
      </c>
      <c r="T497">
        <f>IF(ISNUMBER(B497),YEAR(B497)*100+MONTH(B497),"")</f>
        <v/>
      </c>
      <c r="U497">
        <f>IF(AND(ISNUMBER(B497),H497&lt;&gt;"Published"),IF(INT(B497)&gt;=TODAY(),R497,""),"")</f>
        <v/>
      </c>
      <c r="V497">
        <f>IF(AND(ISNUMBER(B497),OR(H497="Draft",H497="Scheduled")),IF(INT(B497)&lt;TODAY(),1,0),0)</f>
        <v/>
      </c>
      <c r="W497">
        <f>IF(AND(H497="Published",N(O497)&gt;0),IF(T497=(YEAR(TODAY())*100+MONTH(TODAY())),ROUND(O497,0)*1000+1000-ROW(),""),"")</f>
        <v/>
      </c>
    </row>
    <row r="498">
      <c r="A498" s="1" t="n"/>
      <c r="B498" s="21" t="n"/>
      <c r="C498" s="22" t="n"/>
      <c r="D498" s="23" t="n"/>
      <c r="E498" s="24" t="n"/>
      <c r="F498" s="23" t="n"/>
      <c r="G498" s="25" t="n"/>
      <c r="H498" s="24" t="n"/>
      <c r="I498" s="23" t="n"/>
      <c r="J498" s="26" t="n"/>
      <c r="K498" s="26" t="n"/>
      <c r="L498" s="26" t="n"/>
      <c r="M498" s="26" t="n"/>
      <c r="N498" s="26" t="n"/>
      <c r="O498" s="27">
        <f>IF(COUNT(K498:N498)=0,"",SUM(K498:N498))</f>
        <v/>
      </c>
      <c r="P498" s="16">
        <f>IF(OR(O498="",N(J498)&lt;=0),"",O498/J498)</f>
        <v/>
      </c>
      <c r="Q498" s="28">
        <f>IF(V498=1,"Late","")</f>
        <v/>
      </c>
      <c r="R498" s="1">
        <f>IF(ISNUMBER(B498),INT(B498)*10000000+IF(ISNUMBER(C498),ROUND(MOD(C498,1)*1440,0),0)*1000+ROW(),"")</f>
        <v/>
      </c>
      <c r="S498">
        <f>IF(ISNUMBER(B498),INT(B498)-WEEKDAY(B498,3),"")</f>
        <v/>
      </c>
      <c r="T498">
        <f>IF(ISNUMBER(B498),YEAR(B498)*100+MONTH(B498),"")</f>
        <v/>
      </c>
      <c r="U498">
        <f>IF(AND(ISNUMBER(B498),H498&lt;&gt;"Published"),IF(INT(B498)&gt;=TODAY(),R498,""),"")</f>
        <v/>
      </c>
      <c r="V498">
        <f>IF(AND(ISNUMBER(B498),OR(H498="Draft",H498="Scheduled")),IF(INT(B498)&lt;TODAY(),1,0),0)</f>
        <v/>
      </c>
      <c r="W498">
        <f>IF(AND(H498="Published",N(O498)&gt;0),IF(T498=(YEAR(TODAY())*100+MONTH(TODAY())),ROUND(O498,0)*1000+1000-ROW(),""),"")</f>
        <v/>
      </c>
    </row>
    <row r="499">
      <c r="A499" s="1" t="n"/>
      <c r="B499" s="21" t="n"/>
      <c r="C499" s="22" t="n"/>
      <c r="D499" s="23" t="n"/>
      <c r="E499" s="24" t="n"/>
      <c r="F499" s="23" t="n"/>
      <c r="G499" s="25" t="n"/>
      <c r="H499" s="24" t="n"/>
      <c r="I499" s="23" t="n"/>
      <c r="J499" s="26" t="n"/>
      <c r="K499" s="26" t="n"/>
      <c r="L499" s="26" t="n"/>
      <c r="M499" s="26" t="n"/>
      <c r="N499" s="26" t="n"/>
      <c r="O499" s="27">
        <f>IF(COUNT(K499:N499)=0,"",SUM(K499:N499))</f>
        <v/>
      </c>
      <c r="P499" s="16">
        <f>IF(OR(O499="",N(J499)&lt;=0),"",O499/J499)</f>
        <v/>
      </c>
      <c r="Q499" s="28">
        <f>IF(V499=1,"Late","")</f>
        <v/>
      </c>
      <c r="R499" s="1">
        <f>IF(ISNUMBER(B499),INT(B499)*10000000+IF(ISNUMBER(C499),ROUND(MOD(C499,1)*1440,0),0)*1000+ROW(),"")</f>
        <v/>
      </c>
      <c r="S499">
        <f>IF(ISNUMBER(B499),INT(B499)-WEEKDAY(B499,3),"")</f>
        <v/>
      </c>
      <c r="T499">
        <f>IF(ISNUMBER(B499),YEAR(B499)*100+MONTH(B499),"")</f>
        <v/>
      </c>
      <c r="U499">
        <f>IF(AND(ISNUMBER(B499),H499&lt;&gt;"Published"),IF(INT(B499)&gt;=TODAY(),R499,""),"")</f>
        <v/>
      </c>
      <c r="V499">
        <f>IF(AND(ISNUMBER(B499),OR(H499="Draft",H499="Scheduled")),IF(INT(B499)&lt;TODAY(),1,0),0)</f>
        <v/>
      </c>
      <c r="W499">
        <f>IF(AND(H499="Published",N(O499)&gt;0),IF(T499=(YEAR(TODAY())*100+MONTH(TODAY())),ROUND(O499,0)*1000+1000-ROW(),""),"")</f>
        <v/>
      </c>
    </row>
    <row r="500">
      <c r="A500" s="1" t="n"/>
      <c r="B500" s="21" t="n"/>
      <c r="C500" s="22" t="n"/>
      <c r="D500" s="23" t="n"/>
      <c r="E500" s="24" t="n"/>
      <c r="F500" s="23" t="n"/>
      <c r="G500" s="25" t="n"/>
      <c r="H500" s="24" t="n"/>
      <c r="I500" s="23" t="n"/>
      <c r="J500" s="26" t="n"/>
      <c r="K500" s="26" t="n"/>
      <c r="L500" s="26" t="n"/>
      <c r="M500" s="26" t="n"/>
      <c r="N500" s="26" t="n"/>
      <c r="O500" s="27">
        <f>IF(COUNT(K500:N500)=0,"",SUM(K500:N500))</f>
        <v/>
      </c>
      <c r="P500" s="16">
        <f>IF(OR(O500="",N(J500)&lt;=0),"",O500/J500)</f>
        <v/>
      </c>
      <c r="Q500" s="28">
        <f>IF(V500=1,"Late","")</f>
        <v/>
      </c>
      <c r="R500" s="1">
        <f>IF(ISNUMBER(B500),INT(B500)*10000000+IF(ISNUMBER(C500),ROUND(MOD(C500,1)*1440,0),0)*1000+ROW(),"")</f>
        <v/>
      </c>
      <c r="S500">
        <f>IF(ISNUMBER(B500),INT(B500)-WEEKDAY(B500,3),"")</f>
        <v/>
      </c>
      <c r="T500">
        <f>IF(ISNUMBER(B500),YEAR(B500)*100+MONTH(B500),"")</f>
        <v/>
      </c>
      <c r="U500">
        <f>IF(AND(ISNUMBER(B500),H500&lt;&gt;"Published"),IF(INT(B500)&gt;=TODAY(),R500,""),"")</f>
        <v/>
      </c>
      <c r="V500">
        <f>IF(AND(ISNUMBER(B500),OR(H500="Draft",H500="Scheduled")),IF(INT(B500)&lt;TODAY(),1,0),0)</f>
        <v/>
      </c>
      <c r="W500">
        <f>IF(AND(H500="Published",N(O500)&gt;0),IF(T500=(YEAR(TODAY())*100+MONTH(TODAY())),ROUND(O500,0)*1000+1000-ROW(),""),"")</f>
        <v/>
      </c>
    </row>
    <row r="501">
      <c r="A501" s="1" t="n"/>
      <c r="B501" s="21" t="n"/>
      <c r="C501" s="22" t="n"/>
      <c r="D501" s="23" t="n"/>
      <c r="E501" s="24" t="n"/>
      <c r="F501" s="23" t="n"/>
      <c r="G501" s="25" t="n"/>
      <c r="H501" s="24" t="n"/>
      <c r="I501" s="23" t="n"/>
      <c r="J501" s="26" t="n"/>
      <c r="K501" s="26" t="n"/>
      <c r="L501" s="26" t="n"/>
      <c r="M501" s="26" t="n"/>
      <c r="N501" s="26" t="n"/>
      <c r="O501" s="27">
        <f>IF(COUNT(K501:N501)=0,"",SUM(K501:N501))</f>
        <v/>
      </c>
      <c r="P501" s="16">
        <f>IF(OR(O501="",N(J501)&lt;=0),"",O501/J501)</f>
        <v/>
      </c>
      <c r="Q501" s="28">
        <f>IF(V501=1,"Late","")</f>
        <v/>
      </c>
      <c r="R501" s="1">
        <f>IF(ISNUMBER(B501),INT(B501)*10000000+IF(ISNUMBER(C501),ROUND(MOD(C501,1)*1440,0),0)*1000+ROW(),"")</f>
        <v/>
      </c>
      <c r="S501">
        <f>IF(ISNUMBER(B501),INT(B501)-WEEKDAY(B501,3),"")</f>
        <v/>
      </c>
      <c r="T501">
        <f>IF(ISNUMBER(B501),YEAR(B501)*100+MONTH(B501),"")</f>
        <v/>
      </c>
      <c r="U501">
        <f>IF(AND(ISNUMBER(B501),H501&lt;&gt;"Published"),IF(INT(B501)&gt;=TODAY(),R501,""),"")</f>
        <v/>
      </c>
      <c r="V501">
        <f>IF(AND(ISNUMBER(B501),OR(H501="Draft",H501="Scheduled")),IF(INT(B501)&lt;TODAY(),1,0),0)</f>
        <v/>
      </c>
      <c r="W501">
        <f>IF(AND(H501="Published",N(O501)&gt;0),IF(T501=(YEAR(TODAY())*100+MONTH(TODAY())),ROUND(O501,0)*1000+1000-ROW(),""),"")</f>
        <v/>
      </c>
    </row>
    <row r="502">
      <c r="A502" s="1" t="n"/>
      <c r="B502" s="21" t="n"/>
      <c r="C502" s="22" t="n"/>
      <c r="D502" s="23" t="n"/>
      <c r="E502" s="24" t="n"/>
      <c r="F502" s="23" t="n"/>
      <c r="G502" s="25" t="n"/>
      <c r="H502" s="24" t="n"/>
      <c r="I502" s="23" t="n"/>
      <c r="J502" s="26" t="n"/>
      <c r="K502" s="26" t="n"/>
      <c r="L502" s="26" t="n"/>
      <c r="M502" s="26" t="n"/>
      <c r="N502" s="26" t="n"/>
      <c r="O502" s="27">
        <f>IF(COUNT(K502:N502)=0,"",SUM(K502:N502))</f>
        <v/>
      </c>
      <c r="P502" s="16">
        <f>IF(OR(O502="",N(J502)&lt;=0),"",O502/J502)</f>
        <v/>
      </c>
      <c r="Q502" s="28">
        <f>IF(V502=1,"Late","")</f>
        <v/>
      </c>
      <c r="R502" s="1">
        <f>IF(ISNUMBER(B502),INT(B502)*10000000+IF(ISNUMBER(C502),ROUND(MOD(C502,1)*1440,0),0)*1000+ROW(),"")</f>
        <v/>
      </c>
      <c r="S502">
        <f>IF(ISNUMBER(B502),INT(B502)-WEEKDAY(B502,3),"")</f>
        <v/>
      </c>
      <c r="T502">
        <f>IF(ISNUMBER(B502),YEAR(B502)*100+MONTH(B502),"")</f>
        <v/>
      </c>
      <c r="U502">
        <f>IF(AND(ISNUMBER(B502),H502&lt;&gt;"Published"),IF(INT(B502)&gt;=TODAY(),R502,""),"")</f>
        <v/>
      </c>
      <c r="V502">
        <f>IF(AND(ISNUMBER(B502),OR(H502="Draft",H502="Scheduled")),IF(INT(B502)&lt;TODAY(),1,0),0)</f>
        <v/>
      </c>
      <c r="W502">
        <f>IF(AND(H502="Published",N(O502)&gt;0),IF(T502=(YEAR(TODAY())*100+MONTH(TODAY())),ROUND(O502,0)*1000+1000-ROW(),""),"")</f>
        <v/>
      </c>
    </row>
    <row r="503">
      <c r="A503" s="1" t="n"/>
      <c r="B503" s="21" t="n"/>
      <c r="C503" s="22" t="n"/>
      <c r="D503" s="23" t="n"/>
      <c r="E503" s="24" t="n"/>
      <c r="F503" s="23" t="n"/>
      <c r="G503" s="25" t="n"/>
      <c r="H503" s="24" t="n"/>
      <c r="I503" s="23" t="n"/>
      <c r="J503" s="26" t="n"/>
      <c r="K503" s="26" t="n"/>
      <c r="L503" s="26" t="n"/>
      <c r="M503" s="26" t="n"/>
      <c r="N503" s="26" t="n"/>
      <c r="O503" s="27">
        <f>IF(COUNT(K503:N503)=0,"",SUM(K503:N503))</f>
        <v/>
      </c>
      <c r="P503" s="16">
        <f>IF(OR(O503="",N(J503)&lt;=0),"",O503/J503)</f>
        <v/>
      </c>
      <c r="Q503" s="28">
        <f>IF(V503=1,"Late","")</f>
        <v/>
      </c>
      <c r="R503" s="1">
        <f>IF(ISNUMBER(B503),INT(B503)*10000000+IF(ISNUMBER(C503),ROUND(MOD(C503,1)*1440,0),0)*1000+ROW(),"")</f>
        <v/>
      </c>
      <c r="S503">
        <f>IF(ISNUMBER(B503),INT(B503)-WEEKDAY(B503,3),"")</f>
        <v/>
      </c>
      <c r="T503">
        <f>IF(ISNUMBER(B503),YEAR(B503)*100+MONTH(B503),"")</f>
        <v/>
      </c>
      <c r="U503">
        <f>IF(AND(ISNUMBER(B503),H503&lt;&gt;"Published"),IF(INT(B503)&gt;=TODAY(),R503,""),"")</f>
        <v/>
      </c>
      <c r="V503">
        <f>IF(AND(ISNUMBER(B503),OR(H503="Draft",H503="Scheduled")),IF(INT(B503)&lt;TODAY(),1,0),0)</f>
        <v/>
      </c>
      <c r="W503">
        <f>IF(AND(H503="Published",N(O503)&gt;0),IF(T503=(YEAR(TODAY())*100+MONTH(TODAY())),ROUND(O503,0)*1000+1000-ROW(),""),"")</f>
        <v/>
      </c>
    </row>
    <row r="504">
      <c r="A504" s="1" t="n"/>
      <c r="B504" s="21" t="n"/>
      <c r="C504" s="22" t="n"/>
      <c r="D504" s="23" t="n"/>
      <c r="E504" s="24" t="n"/>
      <c r="F504" s="23" t="n"/>
      <c r="G504" s="25" t="n"/>
      <c r="H504" s="24" t="n"/>
      <c r="I504" s="23" t="n"/>
      <c r="J504" s="26" t="n"/>
      <c r="K504" s="26" t="n"/>
      <c r="L504" s="26" t="n"/>
      <c r="M504" s="26" t="n"/>
      <c r="N504" s="26" t="n"/>
      <c r="O504" s="27">
        <f>IF(COUNT(K504:N504)=0,"",SUM(K504:N504))</f>
        <v/>
      </c>
      <c r="P504" s="16">
        <f>IF(OR(O504="",N(J504)&lt;=0),"",O504/J504)</f>
        <v/>
      </c>
      <c r="Q504" s="28">
        <f>IF(V504=1,"Late","")</f>
        <v/>
      </c>
      <c r="R504" s="1">
        <f>IF(ISNUMBER(B504),INT(B504)*10000000+IF(ISNUMBER(C504),ROUND(MOD(C504,1)*1440,0),0)*1000+ROW(),"")</f>
        <v/>
      </c>
      <c r="S504">
        <f>IF(ISNUMBER(B504),INT(B504)-WEEKDAY(B504,3),"")</f>
        <v/>
      </c>
      <c r="T504">
        <f>IF(ISNUMBER(B504),YEAR(B504)*100+MONTH(B504),"")</f>
        <v/>
      </c>
      <c r="U504">
        <f>IF(AND(ISNUMBER(B504),H504&lt;&gt;"Published"),IF(INT(B504)&gt;=TODAY(),R504,""),"")</f>
        <v/>
      </c>
      <c r="V504">
        <f>IF(AND(ISNUMBER(B504),OR(H504="Draft",H504="Scheduled")),IF(INT(B504)&lt;TODAY(),1,0),0)</f>
        <v/>
      </c>
      <c r="W504">
        <f>IF(AND(H504="Published",N(O504)&gt;0),IF(T504=(YEAR(TODAY())*100+MONTH(TODAY())),ROUND(O504,0)*1000+1000-ROW(),""),"")</f>
        <v/>
      </c>
    </row>
    <row r="505">
      <c r="A505" s="1" t="n"/>
      <c r="B505" s="21" t="n"/>
      <c r="C505" s="22" t="n"/>
      <c r="D505" s="23" t="n"/>
      <c r="E505" s="24" t="n"/>
      <c r="F505" s="23" t="n"/>
      <c r="G505" s="25" t="n"/>
      <c r="H505" s="24" t="n"/>
      <c r="I505" s="23" t="n"/>
      <c r="J505" s="26" t="n"/>
      <c r="K505" s="26" t="n"/>
      <c r="L505" s="26" t="n"/>
      <c r="M505" s="26" t="n"/>
      <c r="N505" s="26" t="n"/>
      <c r="O505" s="27">
        <f>IF(COUNT(K505:N505)=0,"",SUM(K505:N505))</f>
        <v/>
      </c>
      <c r="P505" s="16">
        <f>IF(OR(O505="",N(J505)&lt;=0),"",O505/J505)</f>
        <v/>
      </c>
      <c r="Q505" s="28">
        <f>IF(V505=1,"Late","")</f>
        <v/>
      </c>
      <c r="R505" s="1">
        <f>IF(ISNUMBER(B505),INT(B505)*10000000+IF(ISNUMBER(C505),ROUND(MOD(C505,1)*1440,0),0)*1000+ROW(),"")</f>
        <v/>
      </c>
      <c r="S505">
        <f>IF(ISNUMBER(B505),INT(B505)-WEEKDAY(B505,3),"")</f>
        <v/>
      </c>
      <c r="T505">
        <f>IF(ISNUMBER(B505),YEAR(B505)*100+MONTH(B505),"")</f>
        <v/>
      </c>
      <c r="U505">
        <f>IF(AND(ISNUMBER(B505),H505&lt;&gt;"Published"),IF(INT(B505)&gt;=TODAY(),R505,""),"")</f>
        <v/>
      </c>
      <c r="V505">
        <f>IF(AND(ISNUMBER(B505),OR(H505="Draft",H505="Scheduled")),IF(INT(B505)&lt;TODAY(),1,0),0)</f>
        <v/>
      </c>
      <c r="W505">
        <f>IF(AND(H505="Published",N(O505)&gt;0),IF(T505=(YEAR(TODAY())*100+MONTH(TODAY())),ROUND(O505,0)*1000+1000-ROW(),""),"")</f>
        <v/>
      </c>
    </row>
    <row r="506">
      <c r="A506" s="1" t="n"/>
      <c r="B506" s="21" t="n"/>
      <c r="C506" s="22" t="n"/>
      <c r="D506" s="23" t="n"/>
      <c r="E506" s="24" t="n"/>
      <c r="F506" s="23" t="n"/>
      <c r="G506" s="25" t="n"/>
      <c r="H506" s="24" t="n"/>
      <c r="I506" s="23" t="n"/>
      <c r="J506" s="26" t="n"/>
      <c r="K506" s="26" t="n"/>
      <c r="L506" s="26" t="n"/>
      <c r="M506" s="26" t="n"/>
      <c r="N506" s="26" t="n"/>
      <c r="O506" s="27">
        <f>IF(COUNT(K506:N506)=0,"",SUM(K506:N506))</f>
        <v/>
      </c>
      <c r="P506" s="16">
        <f>IF(OR(O506="",N(J506)&lt;=0),"",O506/J506)</f>
        <v/>
      </c>
      <c r="Q506" s="28">
        <f>IF(V506=1,"Late","")</f>
        <v/>
      </c>
      <c r="R506" s="1">
        <f>IF(ISNUMBER(B506),INT(B506)*10000000+IF(ISNUMBER(C506),ROUND(MOD(C506,1)*1440,0),0)*1000+ROW(),"")</f>
        <v/>
      </c>
      <c r="S506">
        <f>IF(ISNUMBER(B506),INT(B506)-WEEKDAY(B506,3),"")</f>
        <v/>
      </c>
      <c r="T506">
        <f>IF(ISNUMBER(B506),YEAR(B506)*100+MONTH(B506),"")</f>
        <v/>
      </c>
      <c r="U506">
        <f>IF(AND(ISNUMBER(B506),H506&lt;&gt;"Published"),IF(INT(B506)&gt;=TODAY(),R506,""),"")</f>
        <v/>
      </c>
      <c r="V506">
        <f>IF(AND(ISNUMBER(B506),OR(H506="Draft",H506="Scheduled")),IF(INT(B506)&lt;TODAY(),1,0),0)</f>
        <v/>
      </c>
      <c r="W506">
        <f>IF(AND(H506="Published",N(O506)&gt;0),IF(T506=(YEAR(TODAY())*100+MONTH(TODAY())),ROUND(O506,0)*1000+1000-ROW(),""),"")</f>
        <v/>
      </c>
    </row>
    <row r="507">
      <c r="A507" s="1" t="n"/>
      <c r="B507" s="21" t="n"/>
      <c r="C507" s="22" t="n"/>
      <c r="D507" s="23" t="n"/>
      <c r="E507" s="24" t="n"/>
      <c r="F507" s="23" t="n"/>
      <c r="G507" s="25" t="n"/>
      <c r="H507" s="24" t="n"/>
      <c r="I507" s="23" t="n"/>
      <c r="J507" s="26" t="n"/>
      <c r="K507" s="26" t="n"/>
      <c r="L507" s="26" t="n"/>
      <c r="M507" s="26" t="n"/>
      <c r="N507" s="26" t="n"/>
      <c r="O507" s="27">
        <f>IF(COUNT(K507:N507)=0,"",SUM(K507:N507))</f>
        <v/>
      </c>
      <c r="P507" s="16">
        <f>IF(OR(O507="",N(J507)&lt;=0),"",O507/J507)</f>
        <v/>
      </c>
      <c r="Q507" s="28">
        <f>IF(V507=1,"Late","")</f>
        <v/>
      </c>
      <c r="R507" s="1">
        <f>IF(ISNUMBER(B507),INT(B507)*10000000+IF(ISNUMBER(C507),ROUND(MOD(C507,1)*1440,0),0)*1000+ROW(),"")</f>
        <v/>
      </c>
      <c r="S507">
        <f>IF(ISNUMBER(B507),INT(B507)-WEEKDAY(B507,3),"")</f>
        <v/>
      </c>
      <c r="T507">
        <f>IF(ISNUMBER(B507),YEAR(B507)*100+MONTH(B507),"")</f>
        <v/>
      </c>
      <c r="U507">
        <f>IF(AND(ISNUMBER(B507),H507&lt;&gt;"Published"),IF(INT(B507)&gt;=TODAY(),R507,""),"")</f>
        <v/>
      </c>
      <c r="V507">
        <f>IF(AND(ISNUMBER(B507),OR(H507="Draft",H507="Scheduled")),IF(INT(B507)&lt;TODAY(),1,0),0)</f>
        <v/>
      </c>
      <c r="W507">
        <f>IF(AND(H507="Published",N(O507)&gt;0),IF(T507=(YEAR(TODAY())*100+MONTH(TODAY())),ROUND(O507,0)*1000+1000-ROW(),""),"")</f>
        <v/>
      </c>
    </row>
    <row r="508">
      <c r="A508" s="1" t="n"/>
      <c r="B508" s="21" t="n"/>
      <c r="C508" s="22" t="n"/>
      <c r="D508" s="23" t="n"/>
      <c r="E508" s="24" t="n"/>
      <c r="F508" s="23" t="n"/>
      <c r="G508" s="25" t="n"/>
      <c r="H508" s="24" t="n"/>
      <c r="I508" s="23" t="n"/>
      <c r="J508" s="26" t="n"/>
      <c r="K508" s="26" t="n"/>
      <c r="L508" s="26" t="n"/>
      <c r="M508" s="26" t="n"/>
      <c r="N508" s="26" t="n"/>
      <c r="O508" s="27">
        <f>IF(COUNT(K508:N508)=0,"",SUM(K508:N508))</f>
        <v/>
      </c>
      <c r="P508" s="16">
        <f>IF(OR(O508="",N(J508)&lt;=0),"",O508/J508)</f>
        <v/>
      </c>
      <c r="Q508" s="28">
        <f>IF(V508=1,"Late","")</f>
        <v/>
      </c>
      <c r="R508" s="1">
        <f>IF(ISNUMBER(B508),INT(B508)*10000000+IF(ISNUMBER(C508),ROUND(MOD(C508,1)*1440,0),0)*1000+ROW(),"")</f>
        <v/>
      </c>
      <c r="S508">
        <f>IF(ISNUMBER(B508),INT(B508)-WEEKDAY(B508,3),"")</f>
        <v/>
      </c>
      <c r="T508">
        <f>IF(ISNUMBER(B508),YEAR(B508)*100+MONTH(B508),"")</f>
        <v/>
      </c>
      <c r="U508">
        <f>IF(AND(ISNUMBER(B508),H508&lt;&gt;"Published"),IF(INT(B508)&gt;=TODAY(),R508,""),"")</f>
        <v/>
      </c>
      <c r="V508">
        <f>IF(AND(ISNUMBER(B508),OR(H508="Draft",H508="Scheduled")),IF(INT(B508)&lt;TODAY(),1,0),0)</f>
        <v/>
      </c>
      <c r="W508">
        <f>IF(AND(H508="Published",N(O508)&gt;0),IF(T508=(YEAR(TODAY())*100+MONTH(TODAY())),ROUND(O508,0)*1000+1000-ROW(),""),"")</f>
        <v/>
      </c>
    </row>
    <row r="509">
      <c r="A509" s="1" t="n"/>
      <c r="B509" s="21" t="n"/>
      <c r="C509" s="22" t="n"/>
      <c r="D509" s="23" t="n"/>
      <c r="E509" s="24" t="n"/>
      <c r="F509" s="23" t="n"/>
      <c r="G509" s="25" t="n"/>
      <c r="H509" s="24" t="n"/>
      <c r="I509" s="23" t="n"/>
      <c r="J509" s="26" t="n"/>
      <c r="K509" s="26" t="n"/>
      <c r="L509" s="26" t="n"/>
      <c r="M509" s="26" t="n"/>
      <c r="N509" s="26" t="n"/>
      <c r="O509" s="27">
        <f>IF(COUNT(K509:N509)=0,"",SUM(K509:N509))</f>
        <v/>
      </c>
      <c r="P509" s="16">
        <f>IF(OR(O509="",N(J509)&lt;=0),"",O509/J509)</f>
        <v/>
      </c>
      <c r="Q509" s="28">
        <f>IF(V509=1,"Late","")</f>
        <v/>
      </c>
      <c r="R509" s="1">
        <f>IF(ISNUMBER(B509),INT(B509)*10000000+IF(ISNUMBER(C509),ROUND(MOD(C509,1)*1440,0),0)*1000+ROW(),"")</f>
        <v/>
      </c>
      <c r="S509">
        <f>IF(ISNUMBER(B509),INT(B509)-WEEKDAY(B509,3),"")</f>
        <v/>
      </c>
      <c r="T509">
        <f>IF(ISNUMBER(B509),YEAR(B509)*100+MONTH(B509),"")</f>
        <v/>
      </c>
      <c r="U509">
        <f>IF(AND(ISNUMBER(B509),H509&lt;&gt;"Published"),IF(INT(B509)&gt;=TODAY(),R509,""),"")</f>
        <v/>
      </c>
      <c r="V509">
        <f>IF(AND(ISNUMBER(B509),OR(H509="Draft",H509="Scheduled")),IF(INT(B509)&lt;TODAY(),1,0),0)</f>
        <v/>
      </c>
      <c r="W509">
        <f>IF(AND(H509="Published",N(O509)&gt;0),IF(T509=(YEAR(TODAY())*100+MONTH(TODAY())),ROUND(O509,0)*1000+1000-ROW(),""),"")</f>
        <v/>
      </c>
    </row>
    <row r="510">
      <c r="A510" s="1" t="n"/>
      <c r="B510" s="21" t="n"/>
      <c r="C510" s="22" t="n"/>
      <c r="D510" s="23" t="n"/>
      <c r="E510" s="24" t="n"/>
      <c r="F510" s="23" t="n"/>
      <c r="G510" s="25" t="n"/>
      <c r="H510" s="24" t="n"/>
      <c r="I510" s="23" t="n"/>
      <c r="J510" s="26" t="n"/>
      <c r="K510" s="26" t="n"/>
      <c r="L510" s="26" t="n"/>
      <c r="M510" s="26" t="n"/>
      <c r="N510" s="26" t="n"/>
      <c r="O510" s="27">
        <f>IF(COUNT(K510:N510)=0,"",SUM(K510:N510))</f>
        <v/>
      </c>
      <c r="P510" s="16">
        <f>IF(OR(O510="",N(J510)&lt;=0),"",O510/J510)</f>
        <v/>
      </c>
      <c r="Q510" s="28">
        <f>IF(V510=1,"Late","")</f>
        <v/>
      </c>
      <c r="R510" s="1">
        <f>IF(ISNUMBER(B510),INT(B510)*10000000+IF(ISNUMBER(C510),ROUND(MOD(C510,1)*1440,0),0)*1000+ROW(),"")</f>
        <v/>
      </c>
      <c r="S510">
        <f>IF(ISNUMBER(B510),INT(B510)-WEEKDAY(B510,3),"")</f>
        <v/>
      </c>
      <c r="T510">
        <f>IF(ISNUMBER(B510),YEAR(B510)*100+MONTH(B510),"")</f>
        <v/>
      </c>
      <c r="U510">
        <f>IF(AND(ISNUMBER(B510),H510&lt;&gt;"Published"),IF(INT(B510)&gt;=TODAY(),R510,""),"")</f>
        <v/>
      </c>
      <c r="V510">
        <f>IF(AND(ISNUMBER(B510),OR(H510="Draft",H510="Scheduled")),IF(INT(B510)&lt;TODAY(),1,0),0)</f>
        <v/>
      </c>
      <c r="W510">
        <f>IF(AND(H510="Published",N(O510)&gt;0),IF(T510=(YEAR(TODAY())*100+MONTH(TODAY())),ROUND(O510,0)*1000+1000-ROW(),""),"")</f>
        <v/>
      </c>
    </row>
    <row r="511">
      <c r="A511" s="1" t="n"/>
      <c r="B511" s="21" t="n"/>
      <c r="C511" s="22" t="n"/>
      <c r="D511" s="23" t="n"/>
      <c r="E511" s="24" t="n"/>
      <c r="F511" s="23" t="n"/>
      <c r="G511" s="25" t="n"/>
      <c r="H511" s="24" t="n"/>
      <c r="I511" s="23" t="n"/>
      <c r="J511" s="26" t="n"/>
      <c r="K511" s="26" t="n"/>
      <c r="L511" s="26" t="n"/>
      <c r="M511" s="26" t="n"/>
      <c r="N511" s="26" t="n"/>
      <c r="O511" s="27">
        <f>IF(COUNT(K511:N511)=0,"",SUM(K511:N511))</f>
        <v/>
      </c>
      <c r="P511" s="16">
        <f>IF(OR(O511="",N(J511)&lt;=0),"",O511/J511)</f>
        <v/>
      </c>
      <c r="Q511" s="28">
        <f>IF(V511=1,"Late","")</f>
        <v/>
      </c>
      <c r="R511" s="1">
        <f>IF(ISNUMBER(B511),INT(B511)*10000000+IF(ISNUMBER(C511),ROUND(MOD(C511,1)*1440,0),0)*1000+ROW(),"")</f>
        <v/>
      </c>
      <c r="S511">
        <f>IF(ISNUMBER(B511),INT(B511)-WEEKDAY(B511,3),"")</f>
        <v/>
      </c>
      <c r="T511">
        <f>IF(ISNUMBER(B511),YEAR(B511)*100+MONTH(B511),"")</f>
        <v/>
      </c>
      <c r="U511">
        <f>IF(AND(ISNUMBER(B511),H511&lt;&gt;"Published"),IF(INT(B511)&gt;=TODAY(),R511,""),"")</f>
        <v/>
      </c>
      <c r="V511">
        <f>IF(AND(ISNUMBER(B511),OR(H511="Draft",H511="Scheduled")),IF(INT(B511)&lt;TODAY(),1,0),0)</f>
        <v/>
      </c>
      <c r="W511">
        <f>IF(AND(H511="Published",N(O511)&gt;0),IF(T511=(YEAR(TODAY())*100+MONTH(TODAY())),ROUND(O511,0)*1000+1000-ROW(),""),"")</f>
        <v/>
      </c>
    </row>
    <row r="512">
      <c r="A512" s="1" t="n"/>
      <c r="B512" s="21" t="n"/>
      <c r="C512" s="22" t="n"/>
      <c r="D512" s="23" t="n"/>
      <c r="E512" s="24" t="n"/>
      <c r="F512" s="23" t="n"/>
      <c r="G512" s="25" t="n"/>
      <c r="H512" s="24" t="n"/>
      <c r="I512" s="23" t="n"/>
      <c r="J512" s="26" t="n"/>
      <c r="K512" s="26" t="n"/>
      <c r="L512" s="26" t="n"/>
      <c r="M512" s="26" t="n"/>
      <c r="N512" s="26" t="n"/>
      <c r="O512" s="27">
        <f>IF(COUNT(K512:N512)=0,"",SUM(K512:N512))</f>
        <v/>
      </c>
      <c r="P512" s="16">
        <f>IF(OR(O512="",N(J512)&lt;=0),"",O512/J512)</f>
        <v/>
      </c>
      <c r="Q512" s="28">
        <f>IF(V512=1,"Late","")</f>
        <v/>
      </c>
      <c r="R512" s="1">
        <f>IF(ISNUMBER(B512),INT(B512)*10000000+IF(ISNUMBER(C512),ROUND(MOD(C512,1)*1440,0),0)*1000+ROW(),"")</f>
        <v/>
      </c>
      <c r="S512">
        <f>IF(ISNUMBER(B512),INT(B512)-WEEKDAY(B512,3),"")</f>
        <v/>
      </c>
      <c r="T512">
        <f>IF(ISNUMBER(B512),YEAR(B512)*100+MONTH(B512),"")</f>
        <v/>
      </c>
      <c r="U512">
        <f>IF(AND(ISNUMBER(B512),H512&lt;&gt;"Published"),IF(INT(B512)&gt;=TODAY(),R512,""),"")</f>
        <v/>
      </c>
      <c r="V512">
        <f>IF(AND(ISNUMBER(B512),OR(H512="Draft",H512="Scheduled")),IF(INT(B512)&lt;TODAY(),1,0),0)</f>
        <v/>
      </c>
      <c r="W512">
        <f>IF(AND(H512="Published",N(O512)&gt;0),IF(T512=(YEAR(TODAY())*100+MONTH(TODAY())),ROUND(O512,0)*1000+1000-ROW(),""),"")</f>
        <v/>
      </c>
    </row>
    <row r="513">
      <c r="A513" s="1" t="n"/>
      <c r="B513" s="21" t="n"/>
      <c r="C513" s="22" t="n"/>
      <c r="D513" s="23" t="n"/>
      <c r="E513" s="24" t="n"/>
      <c r="F513" s="23" t="n"/>
      <c r="G513" s="25" t="n"/>
      <c r="H513" s="24" t="n"/>
      <c r="I513" s="23" t="n"/>
      <c r="J513" s="26" t="n"/>
      <c r="K513" s="26" t="n"/>
      <c r="L513" s="26" t="n"/>
      <c r="M513" s="26" t="n"/>
      <c r="N513" s="26" t="n"/>
      <c r="O513" s="27">
        <f>IF(COUNT(K513:N513)=0,"",SUM(K513:N513))</f>
        <v/>
      </c>
      <c r="P513" s="16">
        <f>IF(OR(O513="",N(J513)&lt;=0),"",O513/J513)</f>
        <v/>
      </c>
      <c r="Q513" s="28">
        <f>IF(V513=1,"Late","")</f>
        <v/>
      </c>
      <c r="R513" s="1">
        <f>IF(ISNUMBER(B513),INT(B513)*10000000+IF(ISNUMBER(C513),ROUND(MOD(C513,1)*1440,0),0)*1000+ROW(),"")</f>
        <v/>
      </c>
      <c r="S513">
        <f>IF(ISNUMBER(B513),INT(B513)-WEEKDAY(B513,3),"")</f>
        <v/>
      </c>
      <c r="T513">
        <f>IF(ISNUMBER(B513),YEAR(B513)*100+MONTH(B513),"")</f>
        <v/>
      </c>
      <c r="U513">
        <f>IF(AND(ISNUMBER(B513),H513&lt;&gt;"Published"),IF(INT(B513)&gt;=TODAY(),R513,""),"")</f>
        <v/>
      </c>
      <c r="V513">
        <f>IF(AND(ISNUMBER(B513),OR(H513="Draft",H513="Scheduled")),IF(INT(B513)&lt;TODAY(),1,0),0)</f>
        <v/>
      </c>
      <c r="W513">
        <f>IF(AND(H513="Published",N(O513)&gt;0),IF(T513=(YEAR(TODAY())*100+MONTH(TODAY())),ROUND(O513,0)*1000+1000-ROW(),""),"")</f>
        <v/>
      </c>
    </row>
    <row r="514">
      <c r="A514" s="1" t="n"/>
      <c r="B514" s="21" t="n"/>
      <c r="C514" s="22" t="n"/>
      <c r="D514" s="23" t="n"/>
      <c r="E514" s="24" t="n"/>
      <c r="F514" s="23" t="n"/>
      <c r="G514" s="25" t="n"/>
      <c r="H514" s="24" t="n"/>
      <c r="I514" s="23" t="n"/>
      <c r="J514" s="26" t="n"/>
      <c r="K514" s="26" t="n"/>
      <c r="L514" s="26" t="n"/>
      <c r="M514" s="26" t="n"/>
      <c r="N514" s="26" t="n"/>
      <c r="O514" s="27">
        <f>IF(COUNT(K514:N514)=0,"",SUM(K514:N514))</f>
        <v/>
      </c>
      <c r="P514" s="16">
        <f>IF(OR(O514="",N(J514)&lt;=0),"",O514/J514)</f>
        <v/>
      </c>
      <c r="Q514" s="28">
        <f>IF(V514=1,"Late","")</f>
        <v/>
      </c>
      <c r="R514" s="1">
        <f>IF(ISNUMBER(B514),INT(B514)*10000000+IF(ISNUMBER(C514),ROUND(MOD(C514,1)*1440,0),0)*1000+ROW(),"")</f>
        <v/>
      </c>
      <c r="S514">
        <f>IF(ISNUMBER(B514),INT(B514)-WEEKDAY(B514,3),"")</f>
        <v/>
      </c>
      <c r="T514">
        <f>IF(ISNUMBER(B514),YEAR(B514)*100+MONTH(B514),"")</f>
        <v/>
      </c>
      <c r="U514">
        <f>IF(AND(ISNUMBER(B514),H514&lt;&gt;"Published"),IF(INT(B514)&gt;=TODAY(),R514,""),"")</f>
        <v/>
      </c>
      <c r="V514">
        <f>IF(AND(ISNUMBER(B514),OR(H514="Draft",H514="Scheduled")),IF(INT(B514)&lt;TODAY(),1,0),0)</f>
        <v/>
      </c>
      <c r="W514">
        <f>IF(AND(H514="Published",N(O514)&gt;0),IF(T514=(YEAR(TODAY())*100+MONTH(TODAY())),ROUND(O514,0)*1000+1000-ROW(),""),"")</f>
        <v/>
      </c>
    </row>
    <row r="515">
      <c r="A515" s="1" t="n"/>
      <c r="B515" s="21" t="n"/>
      <c r="C515" s="22" t="n"/>
      <c r="D515" s="23" t="n"/>
      <c r="E515" s="24" t="n"/>
      <c r="F515" s="23" t="n"/>
      <c r="G515" s="25" t="n"/>
      <c r="H515" s="24" t="n"/>
      <c r="I515" s="23" t="n"/>
      <c r="J515" s="26" t="n"/>
      <c r="K515" s="26" t="n"/>
      <c r="L515" s="26" t="n"/>
      <c r="M515" s="26" t="n"/>
      <c r="N515" s="26" t="n"/>
      <c r="O515" s="27">
        <f>IF(COUNT(K515:N515)=0,"",SUM(K515:N515))</f>
        <v/>
      </c>
      <c r="P515" s="16">
        <f>IF(OR(O515="",N(J515)&lt;=0),"",O515/J515)</f>
        <v/>
      </c>
      <c r="Q515" s="28">
        <f>IF(V515=1,"Late","")</f>
        <v/>
      </c>
      <c r="R515" s="1">
        <f>IF(ISNUMBER(B515),INT(B515)*10000000+IF(ISNUMBER(C515),ROUND(MOD(C515,1)*1440,0),0)*1000+ROW(),"")</f>
        <v/>
      </c>
      <c r="S515">
        <f>IF(ISNUMBER(B515),INT(B515)-WEEKDAY(B515,3),"")</f>
        <v/>
      </c>
      <c r="T515">
        <f>IF(ISNUMBER(B515),YEAR(B515)*100+MONTH(B515),"")</f>
        <v/>
      </c>
      <c r="U515">
        <f>IF(AND(ISNUMBER(B515),H515&lt;&gt;"Published"),IF(INT(B515)&gt;=TODAY(),R515,""),"")</f>
        <v/>
      </c>
      <c r="V515">
        <f>IF(AND(ISNUMBER(B515),OR(H515="Draft",H515="Scheduled")),IF(INT(B515)&lt;TODAY(),1,0),0)</f>
        <v/>
      </c>
      <c r="W515">
        <f>IF(AND(H515="Published",N(O515)&gt;0),IF(T515=(YEAR(TODAY())*100+MONTH(TODAY())),ROUND(O515,0)*1000+1000-ROW(),""),"")</f>
        <v/>
      </c>
    </row>
    <row r="516">
      <c r="A516" s="1" t="n"/>
      <c r="B516" s="21" t="n"/>
      <c r="C516" s="22" t="n"/>
      <c r="D516" s="23" t="n"/>
      <c r="E516" s="24" t="n"/>
      <c r="F516" s="23" t="n"/>
      <c r="G516" s="25" t="n"/>
      <c r="H516" s="24" t="n"/>
      <c r="I516" s="23" t="n"/>
      <c r="J516" s="26" t="n"/>
      <c r="K516" s="26" t="n"/>
      <c r="L516" s="26" t="n"/>
      <c r="M516" s="26" t="n"/>
      <c r="N516" s="26" t="n"/>
      <c r="O516" s="27">
        <f>IF(COUNT(K516:N516)=0,"",SUM(K516:N516))</f>
        <v/>
      </c>
      <c r="P516" s="16">
        <f>IF(OR(O516="",N(J516)&lt;=0),"",O516/J516)</f>
        <v/>
      </c>
      <c r="Q516" s="28">
        <f>IF(V516=1,"Late","")</f>
        <v/>
      </c>
      <c r="R516" s="1">
        <f>IF(ISNUMBER(B516),INT(B516)*10000000+IF(ISNUMBER(C516),ROUND(MOD(C516,1)*1440,0),0)*1000+ROW(),"")</f>
        <v/>
      </c>
      <c r="S516">
        <f>IF(ISNUMBER(B516),INT(B516)-WEEKDAY(B516,3),"")</f>
        <v/>
      </c>
      <c r="T516">
        <f>IF(ISNUMBER(B516),YEAR(B516)*100+MONTH(B516),"")</f>
        <v/>
      </c>
      <c r="U516">
        <f>IF(AND(ISNUMBER(B516),H516&lt;&gt;"Published"),IF(INT(B516)&gt;=TODAY(),R516,""),"")</f>
        <v/>
      </c>
      <c r="V516">
        <f>IF(AND(ISNUMBER(B516),OR(H516="Draft",H516="Scheduled")),IF(INT(B516)&lt;TODAY(),1,0),0)</f>
        <v/>
      </c>
      <c r="W516">
        <f>IF(AND(H516="Published",N(O516)&gt;0),IF(T516=(YEAR(TODAY())*100+MONTH(TODAY())),ROUND(O516,0)*1000+1000-ROW(),""),"")</f>
        <v/>
      </c>
    </row>
    <row r="517">
      <c r="A517" s="1" t="n"/>
      <c r="B517" s="21" t="n"/>
      <c r="C517" s="22" t="n"/>
      <c r="D517" s="23" t="n"/>
      <c r="E517" s="24" t="n"/>
      <c r="F517" s="23" t="n"/>
      <c r="G517" s="25" t="n"/>
      <c r="H517" s="24" t="n"/>
      <c r="I517" s="23" t="n"/>
      <c r="J517" s="26" t="n"/>
      <c r="K517" s="26" t="n"/>
      <c r="L517" s="26" t="n"/>
      <c r="M517" s="26" t="n"/>
      <c r="N517" s="26" t="n"/>
      <c r="O517" s="27">
        <f>IF(COUNT(K517:N517)=0,"",SUM(K517:N517))</f>
        <v/>
      </c>
      <c r="P517" s="16">
        <f>IF(OR(O517="",N(J517)&lt;=0),"",O517/J517)</f>
        <v/>
      </c>
      <c r="Q517" s="28">
        <f>IF(V517=1,"Late","")</f>
        <v/>
      </c>
      <c r="R517" s="1">
        <f>IF(ISNUMBER(B517),INT(B517)*10000000+IF(ISNUMBER(C517),ROUND(MOD(C517,1)*1440,0),0)*1000+ROW(),"")</f>
        <v/>
      </c>
      <c r="S517">
        <f>IF(ISNUMBER(B517),INT(B517)-WEEKDAY(B517,3),"")</f>
        <v/>
      </c>
      <c r="T517">
        <f>IF(ISNUMBER(B517),YEAR(B517)*100+MONTH(B517),"")</f>
        <v/>
      </c>
      <c r="U517">
        <f>IF(AND(ISNUMBER(B517),H517&lt;&gt;"Published"),IF(INT(B517)&gt;=TODAY(),R517,""),"")</f>
        <v/>
      </c>
      <c r="V517">
        <f>IF(AND(ISNUMBER(B517),OR(H517="Draft",H517="Scheduled")),IF(INT(B517)&lt;TODAY(),1,0),0)</f>
        <v/>
      </c>
      <c r="W517">
        <f>IF(AND(H517="Published",N(O517)&gt;0),IF(T517=(YEAR(TODAY())*100+MONTH(TODAY())),ROUND(O517,0)*1000+1000-ROW(),""),"")</f>
        <v/>
      </c>
    </row>
    <row r="518">
      <c r="A518" s="1" t="n"/>
      <c r="B518" s="21" t="n"/>
      <c r="C518" s="22" t="n"/>
      <c r="D518" s="23" t="n"/>
      <c r="E518" s="24" t="n"/>
      <c r="F518" s="23" t="n"/>
      <c r="G518" s="25" t="n"/>
      <c r="H518" s="24" t="n"/>
      <c r="I518" s="23" t="n"/>
      <c r="J518" s="26" t="n"/>
      <c r="K518" s="26" t="n"/>
      <c r="L518" s="26" t="n"/>
      <c r="M518" s="26" t="n"/>
      <c r="N518" s="26" t="n"/>
      <c r="O518" s="27">
        <f>IF(COUNT(K518:N518)=0,"",SUM(K518:N518))</f>
        <v/>
      </c>
      <c r="P518" s="16">
        <f>IF(OR(O518="",N(J518)&lt;=0),"",O518/J518)</f>
        <v/>
      </c>
      <c r="Q518" s="28">
        <f>IF(V518=1,"Late","")</f>
        <v/>
      </c>
      <c r="R518" s="1">
        <f>IF(ISNUMBER(B518),INT(B518)*10000000+IF(ISNUMBER(C518),ROUND(MOD(C518,1)*1440,0),0)*1000+ROW(),"")</f>
        <v/>
      </c>
      <c r="S518">
        <f>IF(ISNUMBER(B518),INT(B518)-WEEKDAY(B518,3),"")</f>
        <v/>
      </c>
      <c r="T518">
        <f>IF(ISNUMBER(B518),YEAR(B518)*100+MONTH(B518),"")</f>
        <v/>
      </c>
      <c r="U518">
        <f>IF(AND(ISNUMBER(B518),H518&lt;&gt;"Published"),IF(INT(B518)&gt;=TODAY(),R518,""),"")</f>
        <v/>
      </c>
      <c r="V518">
        <f>IF(AND(ISNUMBER(B518),OR(H518="Draft",H518="Scheduled")),IF(INT(B518)&lt;TODAY(),1,0),0)</f>
        <v/>
      </c>
      <c r="W518">
        <f>IF(AND(H518="Published",N(O518)&gt;0),IF(T518=(YEAR(TODAY())*100+MONTH(TODAY())),ROUND(O518,0)*1000+1000-ROW(),""),"")</f>
        <v/>
      </c>
    </row>
    <row r="519">
      <c r="A519" s="1" t="n"/>
      <c r="B519" s="21" t="n"/>
      <c r="C519" s="22" t="n"/>
      <c r="D519" s="23" t="n"/>
      <c r="E519" s="24" t="n"/>
      <c r="F519" s="23" t="n"/>
      <c r="G519" s="25" t="n"/>
      <c r="H519" s="24" t="n"/>
      <c r="I519" s="23" t="n"/>
      <c r="J519" s="26" t="n"/>
      <c r="K519" s="26" t="n"/>
      <c r="L519" s="26" t="n"/>
      <c r="M519" s="26" t="n"/>
      <c r="N519" s="26" t="n"/>
      <c r="O519" s="27">
        <f>IF(COUNT(K519:N519)=0,"",SUM(K519:N519))</f>
        <v/>
      </c>
      <c r="P519" s="16">
        <f>IF(OR(O519="",N(J519)&lt;=0),"",O519/J519)</f>
        <v/>
      </c>
      <c r="Q519" s="28">
        <f>IF(V519=1,"Late","")</f>
        <v/>
      </c>
      <c r="R519" s="1">
        <f>IF(ISNUMBER(B519),INT(B519)*10000000+IF(ISNUMBER(C519),ROUND(MOD(C519,1)*1440,0),0)*1000+ROW(),"")</f>
        <v/>
      </c>
      <c r="S519">
        <f>IF(ISNUMBER(B519),INT(B519)-WEEKDAY(B519,3),"")</f>
        <v/>
      </c>
      <c r="T519">
        <f>IF(ISNUMBER(B519),YEAR(B519)*100+MONTH(B519),"")</f>
        <v/>
      </c>
      <c r="U519">
        <f>IF(AND(ISNUMBER(B519),H519&lt;&gt;"Published"),IF(INT(B519)&gt;=TODAY(),R519,""),"")</f>
        <v/>
      </c>
      <c r="V519">
        <f>IF(AND(ISNUMBER(B519),OR(H519="Draft",H519="Scheduled")),IF(INT(B519)&lt;TODAY(),1,0),0)</f>
        <v/>
      </c>
      <c r="W519">
        <f>IF(AND(H519="Published",N(O519)&gt;0),IF(T519=(YEAR(TODAY())*100+MONTH(TODAY())),ROUND(O519,0)*1000+1000-ROW(),""),"")</f>
        <v/>
      </c>
    </row>
    <row r="520">
      <c r="A520" s="1" t="n"/>
      <c r="B520" s="21" t="n"/>
      <c r="C520" s="22" t="n"/>
      <c r="D520" s="23" t="n"/>
      <c r="E520" s="24" t="n"/>
      <c r="F520" s="23" t="n"/>
      <c r="G520" s="25" t="n"/>
      <c r="H520" s="24" t="n"/>
      <c r="I520" s="23" t="n"/>
      <c r="J520" s="26" t="n"/>
      <c r="K520" s="26" t="n"/>
      <c r="L520" s="26" t="n"/>
      <c r="M520" s="26" t="n"/>
      <c r="N520" s="26" t="n"/>
      <c r="O520" s="27">
        <f>IF(COUNT(K520:N520)=0,"",SUM(K520:N520))</f>
        <v/>
      </c>
      <c r="P520" s="16">
        <f>IF(OR(O520="",N(J520)&lt;=0),"",O520/J520)</f>
        <v/>
      </c>
      <c r="Q520" s="28">
        <f>IF(V520=1,"Late","")</f>
        <v/>
      </c>
      <c r="R520" s="1">
        <f>IF(ISNUMBER(B520),INT(B520)*10000000+IF(ISNUMBER(C520),ROUND(MOD(C520,1)*1440,0),0)*1000+ROW(),"")</f>
        <v/>
      </c>
      <c r="S520">
        <f>IF(ISNUMBER(B520),INT(B520)-WEEKDAY(B520,3),"")</f>
        <v/>
      </c>
      <c r="T520">
        <f>IF(ISNUMBER(B520),YEAR(B520)*100+MONTH(B520),"")</f>
        <v/>
      </c>
      <c r="U520">
        <f>IF(AND(ISNUMBER(B520),H520&lt;&gt;"Published"),IF(INT(B520)&gt;=TODAY(),R520,""),"")</f>
        <v/>
      </c>
      <c r="V520">
        <f>IF(AND(ISNUMBER(B520),OR(H520="Draft",H520="Scheduled")),IF(INT(B520)&lt;TODAY(),1,0),0)</f>
        <v/>
      </c>
      <c r="W520">
        <f>IF(AND(H520="Published",N(O520)&gt;0),IF(T520=(YEAR(TODAY())*100+MONTH(TODAY())),ROUND(O520,0)*1000+1000-ROW(),""),"")</f>
        <v/>
      </c>
    </row>
    <row r="521">
      <c r="A521" s="1" t="n"/>
      <c r="B521" s="21" t="n"/>
      <c r="C521" s="22" t="n"/>
      <c r="D521" s="23" t="n"/>
      <c r="E521" s="24" t="n"/>
      <c r="F521" s="23" t="n"/>
      <c r="G521" s="25" t="n"/>
      <c r="H521" s="24" t="n"/>
      <c r="I521" s="23" t="n"/>
      <c r="J521" s="26" t="n"/>
      <c r="K521" s="26" t="n"/>
      <c r="L521" s="26" t="n"/>
      <c r="M521" s="26" t="n"/>
      <c r="N521" s="26" t="n"/>
      <c r="O521" s="27">
        <f>IF(COUNT(K521:N521)=0,"",SUM(K521:N521))</f>
        <v/>
      </c>
      <c r="P521" s="16">
        <f>IF(OR(O521="",N(J521)&lt;=0),"",O521/J521)</f>
        <v/>
      </c>
      <c r="Q521" s="28">
        <f>IF(V521=1,"Late","")</f>
        <v/>
      </c>
      <c r="R521" s="1">
        <f>IF(ISNUMBER(B521),INT(B521)*10000000+IF(ISNUMBER(C521),ROUND(MOD(C521,1)*1440,0),0)*1000+ROW(),"")</f>
        <v/>
      </c>
      <c r="S521">
        <f>IF(ISNUMBER(B521),INT(B521)-WEEKDAY(B521,3),"")</f>
        <v/>
      </c>
      <c r="T521">
        <f>IF(ISNUMBER(B521),YEAR(B521)*100+MONTH(B521),"")</f>
        <v/>
      </c>
      <c r="U521">
        <f>IF(AND(ISNUMBER(B521),H521&lt;&gt;"Published"),IF(INT(B521)&gt;=TODAY(),R521,""),"")</f>
        <v/>
      </c>
      <c r="V521">
        <f>IF(AND(ISNUMBER(B521),OR(H521="Draft",H521="Scheduled")),IF(INT(B521)&lt;TODAY(),1,0),0)</f>
        <v/>
      </c>
      <c r="W521">
        <f>IF(AND(H521="Published",N(O521)&gt;0),IF(T521=(YEAR(TODAY())*100+MONTH(TODAY())),ROUND(O521,0)*1000+1000-ROW(),""),"")</f>
        <v/>
      </c>
    </row>
    <row r="522">
      <c r="A522" s="1" t="n"/>
      <c r="B522" s="21" t="n"/>
      <c r="C522" s="22" t="n"/>
      <c r="D522" s="23" t="n"/>
      <c r="E522" s="24" t="n"/>
      <c r="F522" s="23" t="n"/>
      <c r="G522" s="25" t="n"/>
      <c r="H522" s="24" t="n"/>
      <c r="I522" s="23" t="n"/>
      <c r="J522" s="26" t="n"/>
      <c r="K522" s="26" t="n"/>
      <c r="L522" s="26" t="n"/>
      <c r="M522" s="26" t="n"/>
      <c r="N522" s="26" t="n"/>
      <c r="O522" s="27">
        <f>IF(COUNT(K522:N522)=0,"",SUM(K522:N522))</f>
        <v/>
      </c>
      <c r="P522" s="16">
        <f>IF(OR(O522="",N(J522)&lt;=0),"",O522/J522)</f>
        <v/>
      </c>
      <c r="Q522" s="28">
        <f>IF(V522=1,"Late","")</f>
        <v/>
      </c>
      <c r="R522" s="1">
        <f>IF(ISNUMBER(B522),INT(B522)*10000000+IF(ISNUMBER(C522),ROUND(MOD(C522,1)*1440,0),0)*1000+ROW(),"")</f>
        <v/>
      </c>
      <c r="S522">
        <f>IF(ISNUMBER(B522),INT(B522)-WEEKDAY(B522,3),"")</f>
        <v/>
      </c>
      <c r="T522">
        <f>IF(ISNUMBER(B522),YEAR(B522)*100+MONTH(B522),"")</f>
        <v/>
      </c>
      <c r="U522">
        <f>IF(AND(ISNUMBER(B522),H522&lt;&gt;"Published"),IF(INT(B522)&gt;=TODAY(),R522,""),"")</f>
        <v/>
      </c>
      <c r="V522">
        <f>IF(AND(ISNUMBER(B522),OR(H522="Draft",H522="Scheduled")),IF(INT(B522)&lt;TODAY(),1,0),0)</f>
        <v/>
      </c>
      <c r="W522">
        <f>IF(AND(H522="Published",N(O522)&gt;0),IF(T522=(YEAR(TODAY())*100+MONTH(TODAY())),ROUND(O522,0)*1000+1000-ROW(),""),"")</f>
        <v/>
      </c>
    </row>
    <row r="523">
      <c r="A523" s="1" t="n"/>
      <c r="B523" s="21" t="n"/>
      <c r="C523" s="22" t="n"/>
      <c r="D523" s="23" t="n"/>
      <c r="E523" s="24" t="n"/>
      <c r="F523" s="23" t="n"/>
      <c r="G523" s="25" t="n"/>
      <c r="H523" s="24" t="n"/>
      <c r="I523" s="23" t="n"/>
      <c r="J523" s="26" t="n"/>
      <c r="K523" s="26" t="n"/>
      <c r="L523" s="26" t="n"/>
      <c r="M523" s="26" t="n"/>
      <c r="N523" s="26" t="n"/>
      <c r="O523" s="27">
        <f>IF(COUNT(K523:N523)=0,"",SUM(K523:N523))</f>
        <v/>
      </c>
      <c r="P523" s="16">
        <f>IF(OR(O523="",N(J523)&lt;=0),"",O523/J523)</f>
        <v/>
      </c>
      <c r="Q523" s="28">
        <f>IF(V523=1,"Late","")</f>
        <v/>
      </c>
      <c r="R523" s="1">
        <f>IF(ISNUMBER(B523),INT(B523)*10000000+IF(ISNUMBER(C523),ROUND(MOD(C523,1)*1440,0),0)*1000+ROW(),"")</f>
        <v/>
      </c>
      <c r="S523">
        <f>IF(ISNUMBER(B523),INT(B523)-WEEKDAY(B523,3),"")</f>
        <v/>
      </c>
      <c r="T523">
        <f>IF(ISNUMBER(B523),YEAR(B523)*100+MONTH(B523),"")</f>
        <v/>
      </c>
      <c r="U523">
        <f>IF(AND(ISNUMBER(B523),H523&lt;&gt;"Published"),IF(INT(B523)&gt;=TODAY(),R523,""),"")</f>
        <v/>
      </c>
      <c r="V523">
        <f>IF(AND(ISNUMBER(B523),OR(H523="Draft",H523="Scheduled")),IF(INT(B523)&lt;TODAY(),1,0),0)</f>
        <v/>
      </c>
      <c r="W523">
        <f>IF(AND(H523="Published",N(O523)&gt;0),IF(T523=(YEAR(TODAY())*100+MONTH(TODAY())),ROUND(O523,0)*1000+1000-ROW(),""),"")</f>
        <v/>
      </c>
    </row>
    <row r="524">
      <c r="A524" s="1" t="n"/>
      <c r="B524" s="21" t="n"/>
      <c r="C524" s="22" t="n"/>
      <c r="D524" s="23" t="n"/>
      <c r="E524" s="24" t="n"/>
      <c r="F524" s="23" t="n"/>
      <c r="G524" s="25" t="n"/>
      <c r="H524" s="24" t="n"/>
      <c r="I524" s="23" t="n"/>
      <c r="J524" s="26" t="n"/>
      <c r="K524" s="26" t="n"/>
      <c r="L524" s="26" t="n"/>
      <c r="M524" s="26" t="n"/>
      <c r="N524" s="26" t="n"/>
      <c r="O524" s="27">
        <f>IF(COUNT(K524:N524)=0,"",SUM(K524:N524))</f>
        <v/>
      </c>
      <c r="P524" s="16">
        <f>IF(OR(O524="",N(J524)&lt;=0),"",O524/J524)</f>
        <v/>
      </c>
      <c r="Q524" s="28">
        <f>IF(V524=1,"Late","")</f>
        <v/>
      </c>
      <c r="R524" s="1">
        <f>IF(ISNUMBER(B524),INT(B524)*10000000+IF(ISNUMBER(C524),ROUND(MOD(C524,1)*1440,0),0)*1000+ROW(),"")</f>
        <v/>
      </c>
      <c r="S524">
        <f>IF(ISNUMBER(B524),INT(B524)-WEEKDAY(B524,3),"")</f>
        <v/>
      </c>
      <c r="T524">
        <f>IF(ISNUMBER(B524),YEAR(B524)*100+MONTH(B524),"")</f>
        <v/>
      </c>
      <c r="U524">
        <f>IF(AND(ISNUMBER(B524),H524&lt;&gt;"Published"),IF(INT(B524)&gt;=TODAY(),R524,""),"")</f>
        <v/>
      </c>
      <c r="V524">
        <f>IF(AND(ISNUMBER(B524),OR(H524="Draft",H524="Scheduled")),IF(INT(B524)&lt;TODAY(),1,0),0)</f>
        <v/>
      </c>
      <c r="W524">
        <f>IF(AND(H524="Published",N(O524)&gt;0),IF(T524=(YEAR(TODAY())*100+MONTH(TODAY())),ROUND(O524,0)*1000+1000-ROW(),""),"")</f>
        <v/>
      </c>
    </row>
    <row r="525">
      <c r="A525" s="1" t="n"/>
      <c r="B525" s="21" t="n"/>
      <c r="C525" s="22" t="n"/>
      <c r="D525" s="23" t="n"/>
      <c r="E525" s="24" t="n"/>
      <c r="F525" s="23" t="n"/>
      <c r="G525" s="25" t="n"/>
      <c r="H525" s="24" t="n"/>
      <c r="I525" s="23" t="n"/>
      <c r="J525" s="26" t="n"/>
      <c r="K525" s="26" t="n"/>
      <c r="L525" s="26" t="n"/>
      <c r="M525" s="26" t="n"/>
      <c r="N525" s="26" t="n"/>
      <c r="O525" s="27">
        <f>IF(COUNT(K525:N525)=0,"",SUM(K525:N525))</f>
        <v/>
      </c>
      <c r="P525" s="16">
        <f>IF(OR(O525="",N(J525)&lt;=0),"",O525/J525)</f>
        <v/>
      </c>
      <c r="Q525" s="28">
        <f>IF(V525=1,"Late","")</f>
        <v/>
      </c>
      <c r="R525" s="1">
        <f>IF(ISNUMBER(B525),INT(B525)*10000000+IF(ISNUMBER(C525),ROUND(MOD(C525,1)*1440,0),0)*1000+ROW(),"")</f>
        <v/>
      </c>
      <c r="S525">
        <f>IF(ISNUMBER(B525),INT(B525)-WEEKDAY(B525,3),"")</f>
        <v/>
      </c>
      <c r="T525">
        <f>IF(ISNUMBER(B525),YEAR(B525)*100+MONTH(B525),"")</f>
        <v/>
      </c>
      <c r="U525">
        <f>IF(AND(ISNUMBER(B525),H525&lt;&gt;"Published"),IF(INT(B525)&gt;=TODAY(),R525,""),"")</f>
        <v/>
      </c>
      <c r="V525">
        <f>IF(AND(ISNUMBER(B525),OR(H525="Draft",H525="Scheduled")),IF(INT(B525)&lt;TODAY(),1,0),0)</f>
        <v/>
      </c>
      <c r="W525">
        <f>IF(AND(H525="Published",N(O525)&gt;0),IF(T525=(YEAR(TODAY())*100+MONTH(TODAY())),ROUND(O525,0)*1000+1000-ROW(),""),"")</f>
        <v/>
      </c>
    </row>
    <row r="526">
      <c r="A526" s="1" t="n"/>
      <c r="B526" s="21" t="n"/>
      <c r="C526" s="22" t="n"/>
      <c r="D526" s="23" t="n"/>
      <c r="E526" s="24" t="n"/>
      <c r="F526" s="23" t="n"/>
      <c r="G526" s="25" t="n"/>
      <c r="H526" s="24" t="n"/>
      <c r="I526" s="23" t="n"/>
      <c r="J526" s="26" t="n"/>
      <c r="K526" s="26" t="n"/>
      <c r="L526" s="26" t="n"/>
      <c r="M526" s="26" t="n"/>
      <c r="N526" s="26" t="n"/>
      <c r="O526" s="27">
        <f>IF(COUNT(K526:N526)=0,"",SUM(K526:N526))</f>
        <v/>
      </c>
      <c r="P526" s="16">
        <f>IF(OR(O526="",N(J526)&lt;=0),"",O526/J526)</f>
        <v/>
      </c>
      <c r="Q526" s="28">
        <f>IF(V526=1,"Late","")</f>
        <v/>
      </c>
      <c r="R526" s="1">
        <f>IF(ISNUMBER(B526),INT(B526)*10000000+IF(ISNUMBER(C526),ROUND(MOD(C526,1)*1440,0),0)*1000+ROW(),"")</f>
        <v/>
      </c>
      <c r="S526">
        <f>IF(ISNUMBER(B526),INT(B526)-WEEKDAY(B526,3),"")</f>
        <v/>
      </c>
      <c r="T526">
        <f>IF(ISNUMBER(B526),YEAR(B526)*100+MONTH(B526),"")</f>
        <v/>
      </c>
      <c r="U526">
        <f>IF(AND(ISNUMBER(B526),H526&lt;&gt;"Published"),IF(INT(B526)&gt;=TODAY(),R526,""),"")</f>
        <v/>
      </c>
      <c r="V526">
        <f>IF(AND(ISNUMBER(B526),OR(H526="Draft",H526="Scheduled")),IF(INT(B526)&lt;TODAY(),1,0),0)</f>
        <v/>
      </c>
      <c r="W526">
        <f>IF(AND(H526="Published",N(O526)&gt;0),IF(T526=(YEAR(TODAY())*100+MONTH(TODAY())),ROUND(O526,0)*1000+1000-ROW(),""),"")</f>
        <v/>
      </c>
    </row>
    <row r="527">
      <c r="A527" s="1" t="n"/>
      <c r="B527" s="21" t="n"/>
      <c r="C527" s="22" t="n"/>
      <c r="D527" s="23" t="n"/>
      <c r="E527" s="24" t="n"/>
      <c r="F527" s="23" t="n"/>
      <c r="G527" s="25" t="n"/>
      <c r="H527" s="24" t="n"/>
      <c r="I527" s="23" t="n"/>
      <c r="J527" s="26" t="n"/>
      <c r="K527" s="26" t="n"/>
      <c r="L527" s="26" t="n"/>
      <c r="M527" s="26" t="n"/>
      <c r="N527" s="26" t="n"/>
      <c r="O527" s="27">
        <f>IF(COUNT(K527:N527)=0,"",SUM(K527:N527))</f>
        <v/>
      </c>
      <c r="P527" s="16">
        <f>IF(OR(O527="",N(J527)&lt;=0),"",O527/J527)</f>
        <v/>
      </c>
      <c r="Q527" s="28">
        <f>IF(V527=1,"Late","")</f>
        <v/>
      </c>
      <c r="R527" s="1">
        <f>IF(ISNUMBER(B527),INT(B527)*10000000+IF(ISNUMBER(C527),ROUND(MOD(C527,1)*1440,0),0)*1000+ROW(),"")</f>
        <v/>
      </c>
      <c r="S527">
        <f>IF(ISNUMBER(B527),INT(B527)-WEEKDAY(B527,3),"")</f>
        <v/>
      </c>
      <c r="T527">
        <f>IF(ISNUMBER(B527),YEAR(B527)*100+MONTH(B527),"")</f>
        <v/>
      </c>
      <c r="U527">
        <f>IF(AND(ISNUMBER(B527),H527&lt;&gt;"Published"),IF(INT(B527)&gt;=TODAY(),R527,""),"")</f>
        <v/>
      </c>
      <c r="V527">
        <f>IF(AND(ISNUMBER(B527),OR(H527="Draft",H527="Scheduled")),IF(INT(B527)&lt;TODAY(),1,0),0)</f>
        <v/>
      </c>
      <c r="W527">
        <f>IF(AND(H527="Published",N(O527)&gt;0),IF(T527=(YEAR(TODAY())*100+MONTH(TODAY())),ROUND(O527,0)*1000+1000-ROW(),""),"")</f>
        <v/>
      </c>
    </row>
    <row r="528">
      <c r="A528" s="1" t="n"/>
      <c r="B528" s="21" t="n"/>
      <c r="C528" s="22" t="n"/>
      <c r="D528" s="23" t="n"/>
      <c r="E528" s="24" t="n"/>
      <c r="F528" s="23" t="n"/>
      <c r="G528" s="25" t="n"/>
      <c r="H528" s="24" t="n"/>
      <c r="I528" s="23" t="n"/>
      <c r="J528" s="26" t="n"/>
      <c r="K528" s="26" t="n"/>
      <c r="L528" s="26" t="n"/>
      <c r="M528" s="26" t="n"/>
      <c r="N528" s="26" t="n"/>
      <c r="O528" s="27">
        <f>IF(COUNT(K528:N528)=0,"",SUM(K528:N528))</f>
        <v/>
      </c>
      <c r="P528" s="16">
        <f>IF(OR(O528="",N(J528)&lt;=0),"",O528/J528)</f>
        <v/>
      </c>
      <c r="Q528" s="28">
        <f>IF(V528=1,"Late","")</f>
        <v/>
      </c>
      <c r="R528" s="1">
        <f>IF(ISNUMBER(B528),INT(B528)*10000000+IF(ISNUMBER(C528),ROUND(MOD(C528,1)*1440,0),0)*1000+ROW(),"")</f>
        <v/>
      </c>
      <c r="S528">
        <f>IF(ISNUMBER(B528),INT(B528)-WEEKDAY(B528,3),"")</f>
        <v/>
      </c>
      <c r="T528">
        <f>IF(ISNUMBER(B528),YEAR(B528)*100+MONTH(B528),"")</f>
        <v/>
      </c>
      <c r="U528">
        <f>IF(AND(ISNUMBER(B528),H528&lt;&gt;"Published"),IF(INT(B528)&gt;=TODAY(),R528,""),"")</f>
        <v/>
      </c>
      <c r="V528">
        <f>IF(AND(ISNUMBER(B528),OR(H528="Draft",H528="Scheduled")),IF(INT(B528)&lt;TODAY(),1,0),0)</f>
        <v/>
      </c>
      <c r="W528">
        <f>IF(AND(H528="Published",N(O528)&gt;0),IF(T528=(YEAR(TODAY())*100+MONTH(TODAY())),ROUND(O528,0)*1000+1000-ROW(),""),"")</f>
        <v/>
      </c>
    </row>
    <row r="529">
      <c r="A529" s="1" t="n"/>
      <c r="B529" s="21" t="n"/>
      <c r="C529" s="22" t="n"/>
      <c r="D529" s="23" t="n"/>
      <c r="E529" s="24" t="n"/>
      <c r="F529" s="23" t="n"/>
      <c r="G529" s="25" t="n"/>
      <c r="H529" s="24" t="n"/>
      <c r="I529" s="23" t="n"/>
      <c r="J529" s="26" t="n"/>
      <c r="K529" s="26" t="n"/>
      <c r="L529" s="26" t="n"/>
      <c r="M529" s="26" t="n"/>
      <c r="N529" s="26" t="n"/>
      <c r="O529" s="27">
        <f>IF(COUNT(K529:N529)=0,"",SUM(K529:N529))</f>
        <v/>
      </c>
      <c r="P529" s="16">
        <f>IF(OR(O529="",N(J529)&lt;=0),"",O529/J529)</f>
        <v/>
      </c>
      <c r="Q529" s="28">
        <f>IF(V529=1,"Late","")</f>
        <v/>
      </c>
      <c r="R529" s="1">
        <f>IF(ISNUMBER(B529),INT(B529)*10000000+IF(ISNUMBER(C529),ROUND(MOD(C529,1)*1440,0),0)*1000+ROW(),"")</f>
        <v/>
      </c>
      <c r="S529">
        <f>IF(ISNUMBER(B529),INT(B529)-WEEKDAY(B529,3),"")</f>
        <v/>
      </c>
      <c r="T529">
        <f>IF(ISNUMBER(B529),YEAR(B529)*100+MONTH(B529),"")</f>
        <v/>
      </c>
      <c r="U529">
        <f>IF(AND(ISNUMBER(B529),H529&lt;&gt;"Published"),IF(INT(B529)&gt;=TODAY(),R529,""),"")</f>
        <v/>
      </c>
      <c r="V529">
        <f>IF(AND(ISNUMBER(B529),OR(H529="Draft",H529="Scheduled")),IF(INT(B529)&lt;TODAY(),1,0),0)</f>
        <v/>
      </c>
      <c r="W529">
        <f>IF(AND(H529="Published",N(O529)&gt;0),IF(T529=(YEAR(TODAY())*100+MONTH(TODAY())),ROUND(O529,0)*1000+1000-ROW(),""),"")</f>
        <v/>
      </c>
    </row>
    <row r="530">
      <c r="A530" s="1" t="n"/>
      <c r="B530" s="21" t="n"/>
      <c r="C530" s="22" t="n"/>
      <c r="D530" s="23" t="n"/>
      <c r="E530" s="24" t="n"/>
      <c r="F530" s="23" t="n"/>
      <c r="G530" s="25" t="n"/>
      <c r="H530" s="24" t="n"/>
      <c r="I530" s="23" t="n"/>
      <c r="J530" s="26" t="n"/>
      <c r="K530" s="26" t="n"/>
      <c r="L530" s="26" t="n"/>
      <c r="M530" s="26" t="n"/>
      <c r="N530" s="26" t="n"/>
      <c r="O530" s="27">
        <f>IF(COUNT(K530:N530)=0,"",SUM(K530:N530))</f>
        <v/>
      </c>
      <c r="P530" s="16">
        <f>IF(OR(O530="",N(J530)&lt;=0),"",O530/J530)</f>
        <v/>
      </c>
      <c r="Q530" s="28">
        <f>IF(V530=1,"Late","")</f>
        <v/>
      </c>
      <c r="R530" s="1">
        <f>IF(ISNUMBER(B530),INT(B530)*10000000+IF(ISNUMBER(C530),ROUND(MOD(C530,1)*1440,0),0)*1000+ROW(),"")</f>
        <v/>
      </c>
      <c r="S530">
        <f>IF(ISNUMBER(B530),INT(B530)-WEEKDAY(B530,3),"")</f>
        <v/>
      </c>
      <c r="T530">
        <f>IF(ISNUMBER(B530),YEAR(B530)*100+MONTH(B530),"")</f>
        <v/>
      </c>
      <c r="U530">
        <f>IF(AND(ISNUMBER(B530),H530&lt;&gt;"Published"),IF(INT(B530)&gt;=TODAY(),R530,""),"")</f>
        <v/>
      </c>
      <c r="V530">
        <f>IF(AND(ISNUMBER(B530),OR(H530="Draft",H530="Scheduled")),IF(INT(B530)&lt;TODAY(),1,0),0)</f>
        <v/>
      </c>
      <c r="W530">
        <f>IF(AND(H530="Published",N(O530)&gt;0),IF(T530=(YEAR(TODAY())*100+MONTH(TODAY())),ROUND(O530,0)*1000+1000-ROW(),""),"")</f>
        <v/>
      </c>
    </row>
    <row r="531">
      <c r="A531" s="1" t="n"/>
      <c r="B531" s="21" t="n"/>
      <c r="C531" s="22" t="n"/>
      <c r="D531" s="23" t="n"/>
      <c r="E531" s="24" t="n"/>
      <c r="F531" s="23" t="n"/>
      <c r="G531" s="25" t="n"/>
      <c r="H531" s="24" t="n"/>
      <c r="I531" s="23" t="n"/>
      <c r="J531" s="26" t="n"/>
      <c r="K531" s="26" t="n"/>
      <c r="L531" s="26" t="n"/>
      <c r="M531" s="26" t="n"/>
      <c r="N531" s="26" t="n"/>
      <c r="O531" s="27">
        <f>IF(COUNT(K531:N531)=0,"",SUM(K531:N531))</f>
        <v/>
      </c>
      <c r="P531" s="16">
        <f>IF(OR(O531="",N(J531)&lt;=0),"",O531/J531)</f>
        <v/>
      </c>
      <c r="Q531" s="28">
        <f>IF(V531=1,"Late","")</f>
        <v/>
      </c>
      <c r="R531" s="1">
        <f>IF(ISNUMBER(B531),INT(B531)*10000000+IF(ISNUMBER(C531),ROUND(MOD(C531,1)*1440,0),0)*1000+ROW(),"")</f>
        <v/>
      </c>
      <c r="S531">
        <f>IF(ISNUMBER(B531),INT(B531)-WEEKDAY(B531,3),"")</f>
        <v/>
      </c>
      <c r="T531">
        <f>IF(ISNUMBER(B531),YEAR(B531)*100+MONTH(B531),"")</f>
        <v/>
      </c>
      <c r="U531">
        <f>IF(AND(ISNUMBER(B531),H531&lt;&gt;"Published"),IF(INT(B531)&gt;=TODAY(),R531,""),"")</f>
        <v/>
      </c>
      <c r="V531">
        <f>IF(AND(ISNUMBER(B531),OR(H531="Draft",H531="Scheduled")),IF(INT(B531)&lt;TODAY(),1,0),0)</f>
        <v/>
      </c>
      <c r="W531">
        <f>IF(AND(H531="Published",N(O531)&gt;0),IF(T531=(YEAR(TODAY())*100+MONTH(TODAY())),ROUND(O531,0)*1000+1000-ROW(),""),"")</f>
        <v/>
      </c>
    </row>
    <row r="532">
      <c r="A532" s="1" t="n"/>
      <c r="B532" s="21" t="n"/>
      <c r="C532" s="22" t="n"/>
      <c r="D532" s="23" t="n"/>
      <c r="E532" s="24" t="n"/>
      <c r="F532" s="23" t="n"/>
      <c r="G532" s="25" t="n"/>
      <c r="H532" s="24" t="n"/>
      <c r="I532" s="23" t="n"/>
      <c r="J532" s="26" t="n"/>
      <c r="K532" s="26" t="n"/>
      <c r="L532" s="26" t="n"/>
      <c r="M532" s="26" t="n"/>
      <c r="N532" s="26" t="n"/>
      <c r="O532" s="27">
        <f>IF(COUNT(K532:N532)=0,"",SUM(K532:N532))</f>
        <v/>
      </c>
      <c r="P532" s="16">
        <f>IF(OR(O532="",N(J532)&lt;=0),"",O532/J532)</f>
        <v/>
      </c>
      <c r="Q532" s="28">
        <f>IF(V532=1,"Late","")</f>
        <v/>
      </c>
      <c r="R532" s="1">
        <f>IF(ISNUMBER(B532),INT(B532)*10000000+IF(ISNUMBER(C532),ROUND(MOD(C532,1)*1440,0),0)*1000+ROW(),"")</f>
        <v/>
      </c>
      <c r="S532">
        <f>IF(ISNUMBER(B532),INT(B532)-WEEKDAY(B532,3),"")</f>
        <v/>
      </c>
      <c r="T532">
        <f>IF(ISNUMBER(B532),YEAR(B532)*100+MONTH(B532),"")</f>
        <v/>
      </c>
      <c r="U532">
        <f>IF(AND(ISNUMBER(B532),H532&lt;&gt;"Published"),IF(INT(B532)&gt;=TODAY(),R532,""),"")</f>
        <v/>
      </c>
      <c r="V532">
        <f>IF(AND(ISNUMBER(B532),OR(H532="Draft",H532="Scheduled")),IF(INT(B532)&lt;TODAY(),1,0),0)</f>
        <v/>
      </c>
      <c r="W532">
        <f>IF(AND(H532="Published",N(O532)&gt;0),IF(T532=(YEAR(TODAY())*100+MONTH(TODAY())),ROUND(O532,0)*1000+1000-ROW(),""),"")</f>
        <v/>
      </c>
    </row>
    <row r="533">
      <c r="A533" s="1" t="n"/>
      <c r="B533" s="21" t="n"/>
      <c r="C533" s="22" t="n"/>
      <c r="D533" s="23" t="n"/>
      <c r="E533" s="24" t="n"/>
      <c r="F533" s="23" t="n"/>
      <c r="G533" s="25" t="n"/>
      <c r="H533" s="24" t="n"/>
      <c r="I533" s="23" t="n"/>
      <c r="J533" s="26" t="n"/>
      <c r="K533" s="26" t="n"/>
      <c r="L533" s="26" t="n"/>
      <c r="M533" s="26" t="n"/>
      <c r="N533" s="26" t="n"/>
      <c r="O533" s="27">
        <f>IF(COUNT(K533:N533)=0,"",SUM(K533:N533))</f>
        <v/>
      </c>
      <c r="P533" s="16">
        <f>IF(OR(O533="",N(J533)&lt;=0),"",O533/J533)</f>
        <v/>
      </c>
      <c r="Q533" s="28">
        <f>IF(V533=1,"Late","")</f>
        <v/>
      </c>
      <c r="R533" s="1">
        <f>IF(ISNUMBER(B533),INT(B533)*10000000+IF(ISNUMBER(C533),ROUND(MOD(C533,1)*1440,0),0)*1000+ROW(),"")</f>
        <v/>
      </c>
      <c r="S533">
        <f>IF(ISNUMBER(B533),INT(B533)-WEEKDAY(B533,3),"")</f>
        <v/>
      </c>
      <c r="T533">
        <f>IF(ISNUMBER(B533),YEAR(B533)*100+MONTH(B533),"")</f>
        <v/>
      </c>
      <c r="U533">
        <f>IF(AND(ISNUMBER(B533),H533&lt;&gt;"Published"),IF(INT(B533)&gt;=TODAY(),R533,""),"")</f>
        <v/>
      </c>
      <c r="V533">
        <f>IF(AND(ISNUMBER(B533),OR(H533="Draft",H533="Scheduled")),IF(INT(B533)&lt;TODAY(),1,0),0)</f>
        <v/>
      </c>
      <c r="W533">
        <f>IF(AND(H533="Published",N(O533)&gt;0),IF(T533=(YEAR(TODAY())*100+MONTH(TODAY())),ROUND(O533,0)*1000+1000-ROW(),""),"")</f>
        <v/>
      </c>
    </row>
    <row r="534">
      <c r="A534" s="1" t="n"/>
      <c r="B534" s="21" t="n"/>
      <c r="C534" s="22" t="n"/>
      <c r="D534" s="23" t="n"/>
      <c r="E534" s="24" t="n"/>
      <c r="F534" s="23" t="n"/>
      <c r="G534" s="25" t="n"/>
      <c r="H534" s="24" t="n"/>
      <c r="I534" s="23" t="n"/>
      <c r="J534" s="26" t="n"/>
      <c r="K534" s="26" t="n"/>
      <c r="L534" s="26" t="n"/>
      <c r="M534" s="26" t="n"/>
      <c r="N534" s="26" t="n"/>
      <c r="O534" s="27">
        <f>IF(COUNT(K534:N534)=0,"",SUM(K534:N534))</f>
        <v/>
      </c>
      <c r="P534" s="16">
        <f>IF(OR(O534="",N(J534)&lt;=0),"",O534/J534)</f>
        <v/>
      </c>
      <c r="Q534" s="28">
        <f>IF(V534=1,"Late","")</f>
        <v/>
      </c>
      <c r="R534" s="1">
        <f>IF(ISNUMBER(B534),INT(B534)*10000000+IF(ISNUMBER(C534),ROUND(MOD(C534,1)*1440,0),0)*1000+ROW(),"")</f>
        <v/>
      </c>
      <c r="S534">
        <f>IF(ISNUMBER(B534),INT(B534)-WEEKDAY(B534,3),"")</f>
        <v/>
      </c>
      <c r="T534">
        <f>IF(ISNUMBER(B534),YEAR(B534)*100+MONTH(B534),"")</f>
        <v/>
      </c>
      <c r="U534">
        <f>IF(AND(ISNUMBER(B534),H534&lt;&gt;"Published"),IF(INT(B534)&gt;=TODAY(),R534,""),"")</f>
        <v/>
      </c>
      <c r="V534">
        <f>IF(AND(ISNUMBER(B534),OR(H534="Draft",H534="Scheduled")),IF(INT(B534)&lt;TODAY(),1,0),0)</f>
        <v/>
      </c>
      <c r="W534">
        <f>IF(AND(H534="Published",N(O534)&gt;0),IF(T534=(YEAR(TODAY())*100+MONTH(TODAY())),ROUND(O534,0)*1000+1000-ROW(),""),"")</f>
        <v/>
      </c>
    </row>
    <row r="535">
      <c r="A535" s="1" t="n"/>
      <c r="B535" s="21" t="n"/>
      <c r="C535" s="22" t="n"/>
      <c r="D535" s="23" t="n"/>
      <c r="E535" s="24" t="n"/>
      <c r="F535" s="23" t="n"/>
      <c r="G535" s="25" t="n"/>
      <c r="H535" s="24" t="n"/>
      <c r="I535" s="23" t="n"/>
      <c r="J535" s="26" t="n"/>
      <c r="K535" s="26" t="n"/>
      <c r="L535" s="26" t="n"/>
      <c r="M535" s="26" t="n"/>
      <c r="N535" s="26" t="n"/>
      <c r="O535" s="27">
        <f>IF(COUNT(K535:N535)=0,"",SUM(K535:N535))</f>
        <v/>
      </c>
      <c r="P535" s="16">
        <f>IF(OR(O535="",N(J535)&lt;=0),"",O535/J535)</f>
        <v/>
      </c>
      <c r="Q535" s="28">
        <f>IF(V535=1,"Late","")</f>
        <v/>
      </c>
      <c r="R535" s="1">
        <f>IF(ISNUMBER(B535),INT(B535)*10000000+IF(ISNUMBER(C535),ROUND(MOD(C535,1)*1440,0),0)*1000+ROW(),"")</f>
        <v/>
      </c>
      <c r="S535">
        <f>IF(ISNUMBER(B535),INT(B535)-WEEKDAY(B535,3),"")</f>
        <v/>
      </c>
      <c r="T535">
        <f>IF(ISNUMBER(B535),YEAR(B535)*100+MONTH(B535),"")</f>
        <v/>
      </c>
      <c r="U535">
        <f>IF(AND(ISNUMBER(B535),H535&lt;&gt;"Published"),IF(INT(B535)&gt;=TODAY(),R535,""),"")</f>
        <v/>
      </c>
      <c r="V535">
        <f>IF(AND(ISNUMBER(B535),OR(H535="Draft",H535="Scheduled")),IF(INT(B535)&lt;TODAY(),1,0),0)</f>
        <v/>
      </c>
      <c r="W535">
        <f>IF(AND(H535="Published",N(O535)&gt;0),IF(T535=(YEAR(TODAY())*100+MONTH(TODAY())),ROUND(O535,0)*1000+1000-ROW(),""),"")</f>
        <v/>
      </c>
    </row>
    <row r="536">
      <c r="A536" s="1" t="n"/>
      <c r="B536" s="21" t="n"/>
      <c r="C536" s="22" t="n"/>
      <c r="D536" s="23" t="n"/>
      <c r="E536" s="24" t="n"/>
      <c r="F536" s="23" t="n"/>
      <c r="G536" s="25" t="n"/>
      <c r="H536" s="24" t="n"/>
      <c r="I536" s="23" t="n"/>
      <c r="J536" s="26" t="n"/>
      <c r="K536" s="26" t="n"/>
      <c r="L536" s="26" t="n"/>
      <c r="M536" s="26" t="n"/>
      <c r="N536" s="26" t="n"/>
      <c r="O536" s="27">
        <f>IF(COUNT(K536:N536)=0,"",SUM(K536:N536))</f>
        <v/>
      </c>
      <c r="P536" s="16">
        <f>IF(OR(O536="",N(J536)&lt;=0),"",O536/J536)</f>
        <v/>
      </c>
      <c r="Q536" s="28">
        <f>IF(V536=1,"Late","")</f>
        <v/>
      </c>
      <c r="R536" s="1">
        <f>IF(ISNUMBER(B536),INT(B536)*10000000+IF(ISNUMBER(C536),ROUND(MOD(C536,1)*1440,0),0)*1000+ROW(),"")</f>
        <v/>
      </c>
      <c r="S536">
        <f>IF(ISNUMBER(B536),INT(B536)-WEEKDAY(B536,3),"")</f>
        <v/>
      </c>
      <c r="T536">
        <f>IF(ISNUMBER(B536),YEAR(B536)*100+MONTH(B536),"")</f>
        <v/>
      </c>
      <c r="U536">
        <f>IF(AND(ISNUMBER(B536),H536&lt;&gt;"Published"),IF(INT(B536)&gt;=TODAY(),R536,""),"")</f>
        <v/>
      </c>
      <c r="V536">
        <f>IF(AND(ISNUMBER(B536),OR(H536="Draft",H536="Scheduled")),IF(INT(B536)&lt;TODAY(),1,0),0)</f>
        <v/>
      </c>
      <c r="W536">
        <f>IF(AND(H536="Published",N(O536)&gt;0),IF(T536=(YEAR(TODAY())*100+MONTH(TODAY())),ROUND(O536,0)*1000+1000-ROW(),""),"")</f>
        <v/>
      </c>
    </row>
    <row r="537">
      <c r="A537" s="1" t="n"/>
      <c r="B537" s="21" t="n"/>
      <c r="C537" s="22" t="n"/>
      <c r="D537" s="23" t="n"/>
      <c r="E537" s="24" t="n"/>
      <c r="F537" s="23" t="n"/>
      <c r="G537" s="25" t="n"/>
      <c r="H537" s="24" t="n"/>
      <c r="I537" s="23" t="n"/>
      <c r="J537" s="26" t="n"/>
      <c r="K537" s="26" t="n"/>
      <c r="L537" s="26" t="n"/>
      <c r="M537" s="26" t="n"/>
      <c r="N537" s="26" t="n"/>
      <c r="O537" s="27">
        <f>IF(COUNT(K537:N537)=0,"",SUM(K537:N537))</f>
        <v/>
      </c>
      <c r="P537" s="16">
        <f>IF(OR(O537="",N(J537)&lt;=0),"",O537/J537)</f>
        <v/>
      </c>
      <c r="Q537" s="28">
        <f>IF(V537=1,"Late","")</f>
        <v/>
      </c>
      <c r="R537" s="1">
        <f>IF(ISNUMBER(B537),INT(B537)*10000000+IF(ISNUMBER(C537),ROUND(MOD(C537,1)*1440,0),0)*1000+ROW(),"")</f>
        <v/>
      </c>
      <c r="S537">
        <f>IF(ISNUMBER(B537),INT(B537)-WEEKDAY(B537,3),"")</f>
        <v/>
      </c>
      <c r="T537">
        <f>IF(ISNUMBER(B537),YEAR(B537)*100+MONTH(B537),"")</f>
        <v/>
      </c>
      <c r="U537">
        <f>IF(AND(ISNUMBER(B537),H537&lt;&gt;"Published"),IF(INT(B537)&gt;=TODAY(),R537,""),"")</f>
        <v/>
      </c>
      <c r="V537">
        <f>IF(AND(ISNUMBER(B537),OR(H537="Draft",H537="Scheduled")),IF(INT(B537)&lt;TODAY(),1,0),0)</f>
        <v/>
      </c>
      <c r="W537">
        <f>IF(AND(H537="Published",N(O537)&gt;0),IF(T537=(YEAR(TODAY())*100+MONTH(TODAY())),ROUND(O537,0)*1000+1000-ROW(),""),"")</f>
        <v/>
      </c>
    </row>
    <row r="538">
      <c r="A538" s="1" t="n"/>
      <c r="B538" s="21" t="n"/>
      <c r="C538" s="22" t="n"/>
      <c r="D538" s="23" t="n"/>
      <c r="E538" s="24" t="n"/>
      <c r="F538" s="23" t="n"/>
      <c r="G538" s="25" t="n"/>
      <c r="H538" s="24" t="n"/>
      <c r="I538" s="23" t="n"/>
      <c r="J538" s="26" t="n"/>
      <c r="K538" s="26" t="n"/>
      <c r="L538" s="26" t="n"/>
      <c r="M538" s="26" t="n"/>
      <c r="N538" s="26" t="n"/>
      <c r="O538" s="27">
        <f>IF(COUNT(K538:N538)=0,"",SUM(K538:N538))</f>
        <v/>
      </c>
      <c r="P538" s="16">
        <f>IF(OR(O538="",N(J538)&lt;=0),"",O538/J538)</f>
        <v/>
      </c>
      <c r="Q538" s="28">
        <f>IF(V538=1,"Late","")</f>
        <v/>
      </c>
      <c r="R538" s="1">
        <f>IF(ISNUMBER(B538),INT(B538)*10000000+IF(ISNUMBER(C538),ROUND(MOD(C538,1)*1440,0),0)*1000+ROW(),"")</f>
        <v/>
      </c>
      <c r="S538">
        <f>IF(ISNUMBER(B538),INT(B538)-WEEKDAY(B538,3),"")</f>
        <v/>
      </c>
      <c r="T538">
        <f>IF(ISNUMBER(B538),YEAR(B538)*100+MONTH(B538),"")</f>
        <v/>
      </c>
      <c r="U538">
        <f>IF(AND(ISNUMBER(B538),H538&lt;&gt;"Published"),IF(INT(B538)&gt;=TODAY(),R538,""),"")</f>
        <v/>
      </c>
      <c r="V538">
        <f>IF(AND(ISNUMBER(B538),OR(H538="Draft",H538="Scheduled")),IF(INT(B538)&lt;TODAY(),1,0),0)</f>
        <v/>
      </c>
      <c r="W538">
        <f>IF(AND(H538="Published",N(O538)&gt;0),IF(T538=(YEAR(TODAY())*100+MONTH(TODAY())),ROUND(O538,0)*1000+1000-ROW(),""),"")</f>
        <v/>
      </c>
    </row>
    <row r="539">
      <c r="A539" s="1" t="n"/>
      <c r="B539" s="21" t="n"/>
      <c r="C539" s="22" t="n"/>
      <c r="D539" s="23" t="n"/>
      <c r="E539" s="24" t="n"/>
      <c r="F539" s="23" t="n"/>
      <c r="G539" s="25" t="n"/>
      <c r="H539" s="24" t="n"/>
      <c r="I539" s="23" t="n"/>
      <c r="J539" s="26" t="n"/>
      <c r="K539" s="26" t="n"/>
      <c r="L539" s="26" t="n"/>
      <c r="M539" s="26" t="n"/>
      <c r="N539" s="26" t="n"/>
      <c r="O539" s="27">
        <f>IF(COUNT(K539:N539)=0,"",SUM(K539:N539))</f>
        <v/>
      </c>
      <c r="P539" s="16">
        <f>IF(OR(O539="",N(J539)&lt;=0),"",O539/J539)</f>
        <v/>
      </c>
      <c r="Q539" s="28">
        <f>IF(V539=1,"Late","")</f>
        <v/>
      </c>
      <c r="R539" s="1">
        <f>IF(ISNUMBER(B539),INT(B539)*10000000+IF(ISNUMBER(C539),ROUND(MOD(C539,1)*1440,0),0)*1000+ROW(),"")</f>
        <v/>
      </c>
      <c r="S539">
        <f>IF(ISNUMBER(B539),INT(B539)-WEEKDAY(B539,3),"")</f>
        <v/>
      </c>
      <c r="T539">
        <f>IF(ISNUMBER(B539),YEAR(B539)*100+MONTH(B539),"")</f>
        <v/>
      </c>
      <c r="U539">
        <f>IF(AND(ISNUMBER(B539),H539&lt;&gt;"Published"),IF(INT(B539)&gt;=TODAY(),R539,""),"")</f>
        <v/>
      </c>
      <c r="V539">
        <f>IF(AND(ISNUMBER(B539),OR(H539="Draft",H539="Scheduled")),IF(INT(B539)&lt;TODAY(),1,0),0)</f>
        <v/>
      </c>
      <c r="W539">
        <f>IF(AND(H539="Published",N(O539)&gt;0),IF(T539=(YEAR(TODAY())*100+MONTH(TODAY())),ROUND(O539,0)*1000+1000-ROW(),""),"")</f>
        <v/>
      </c>
    </row>
    <row r="540">
      <c r="A540" s="1" t="n"/>
      <c r="B540" s="21" t="n"/>
      <c r="C540" s="22" t="n"/>
      <c r="D540" s="23" t="n"/>
      <c r="E540" s="24" t="n"/>
      <c r="F540" s="23" t="n"/>
      <c r="G540" s="25" t="n"/>
      <c r="H540" s="24" t="n"/>
      <c r="I540" s="23" t="n"/>
      <c r="J540" s="26" t="n"/>
      <c r="K540" s="26" t="n"/>
      <c r="L540" s="26" t="n"/>
      <c r="M540" s="26" t="n"/>
      <c r="N540" s="26" t="n"/>
      <c r="O540" s="27">
        <f>IF(COUNT(K540:N540)=0,"",SUM(K540:N540))</f>
        <v/>
      </c>
      <c r="P540" s="16">
        <f>IF(OR(O540="",N(J540)&lt;=0),"",O540/J540)</f>
        <v/>
      </c>
      <c r="Q540" s="28">
        <f>IF(V540=1,"Late","")</f>
        <v/>
      </c>
      <c r="R540" s="1">
        <f>IF(ISNUMBER(B540),INT(B540)*10000000+IF(ISNUMBER(C540),ROUND(MOD(C540,1)*1440,0),0)*1000+ROW(),"")</f>
        <v/>
      </c>
      <c r="S540">
        <f>IF(ISNUMBER(B540),INT(B540)-WEEKDAY(B540,3),"")</f>
        <v/>
      </c>
      <c r="T540">
        <f>IF(ISNUMBER(B540),YEAR(B540)*100+MONTH(B540),"")</f>
        <v/>
      </c>
      <c r="U540">
        <f>IF(AND(ISNUMBER(B540),H540&lt;&gt;"Published"),IF(INT(B540)&gt;=TODAY(),R540,""),"")</f>
        <v/>
      </c>
      <c r="V540">
        <f>IF(AND(ISNUMBER(B540),OR(H540="Draft",H540="Scheduled")),IF(INT(B540)&lt;TODAY(),1,0),0)</f>
        <v/>
      </c>
      <c r="W540">
        <f>IF(AND(H540="Published",N(O540)&gt;0),IF(T540=(YEAR(TODAY())*100+MONTH(TODAY())),ROUND(O540,0)*1000+1000-ROW(),""),"")</f>
        <v/>
      </c>
    </row>
    <row r="541">
      <c r="A541" s="1" t="n"/>
      <c r="B541" s="21" t="n"/>
      <c r="C541" s="22" t="n"/>
      <c r="D541" s="23" t="n"/>
      <c r="E541" s="24" t="n"/>
      <c r="F541" s="23" t="n"/>
      <c r="G541" s="25" t="n"/>
      <c r="H541" s="24" t="n"/>
      <c r="I541" s="23" t="n"/>
      <c r="J541" s="26" t="n"/>
      <c r="K541" s="26" t="n"/>
      <c r="L541" s="26" t="n"/>
      <c r="M541" s="26" t="n"/>
      <c r="N541" s="26" t="n"/>
      <c r="O541" s="27">
        <f>IF(COUNT(K541:N541)=0,"",SUM(K541:N541))</f>
        <v/>
      </c>
      <c r="P541" s="16">
        <f>IF(OR(O541="",N(J541)&lt;=0),"",O541/J541)</f>
        <v/>
      </c>
      <c r="Q541" s="28">
        <f>IF(V541=1,"Late","")</f>
        <v/>
      </c>
      <c r="R541" s="1">
        <f>IF(ISNUMBER(B541),INT(B541)*10000000+IF(ISNUMBER(C541),ROUND(MOD(C541,1)*1440,0),0)*1000+ROW(),"")</f>
        <v/>
      </c>
      <c r="S541">
        <f>IF(ISNUMBER(B541),INT(B541)-WEEKDAY(B541,3),"")</f>
        <v/>
      </c>
      <c r="T541">
        <f>IF(ISNUMBER(B541),YEAR(B541)*100+MONTH(B541),"")</f>
        <v/>
      </c>
      <c r="U541">
        <f>IF(AND(ISNUMBER(B541),H541&lt;&gt;"Published"),IF(INT(B541)&gt;=TODAY(),R541,""),"")</f>
        <v/>
      </c>
      <c r="V541">
        <f>IF(AND(ISNUMBER(B541),OR(H541="Draft",H541="Scheduled")),IF(INT(B541)&lt;TODAY(),1,0),0)</f>
        <v/>
      </c>
      <c r="W541">
        <f>IF(AND(H541="Published",N(O541)&gt;0),IF(T541=(YEAR(TODAY())*100+MONTH(TODAY())),ROUND(O541,0)*1000+1000-ROW(),""),"")</f>
        <v/>
      </c>
    </row>
    <row r="542">
      <c r="A542" s="1" t="n"/>
      <c r="B542" s="21" t="n"/>
      <c r="C542" s="22" t="n"/>
      <c r="D542" s="23" t="n"/>
      <c r="E542" s="24" t="n"/>
      <c r="F542" s="23" t="n"/>
      <c r="G542" s="25" t="n"/>
      <c r="H542" s="24" t="n"/>
      <c r="I542" s="23" t="n"/>
      <c r="J542" s="26" t="n"/>
      <c r="K542" s="26" t="n"/>
      <c r="L542" s="26" t="n"/>
      <c r="M542" s="26" t="n"/>
      <c r="N542" s="26" t="n"/>
      <c r="O542" s="27">
        <f>IF(COUNT(K542:N542)=0,"",SUM(K542:N542))</f>
        <v/>
      </c>
      <c r="P542" s="16">
        <f>IF(OR(O542="",N(J542)&lt;=0),"",O542/J542)</f>
        <v/>
      </c>
      <c r="Q542" s="28">
        <f>IF(V542=1,"Late","")</f>
        <v/>
      </c>
      <c r="R542" s="1">
        <f>IF(ISNUMBER(B542),INT(B542)*10000000+IF(ISNUMBER(C542),ROUND(MOD(C542,1)*1440,0),0)*1000+ROW(),"")</f>
        <v/>
      </c>
      <c r="S542">
        <f>IF(ISNUMBER(B542),INT(B542)-WEEKDAY(B542,3),"")</f>
        <v/>
      </c>
      <c r="T542">
        <f>IF(ISNUMBER(B542),YEAR(B542)*100+MONTH(B542),"")</f>
        <v/>
      </c>
      <c r="U542">
        <f>IF(AND(ISNUMBER(B542),H542&lt;&gt;"Published"),IF(INT(B542)&gt;=TODAY(),R542,""),"")</f>
        <v/>
      </c>
      <c r="V542">
        <f>IF(AND(ISNUMBER(B542),OR(H542="Draft",H542="Scheduled")),IF(INT(B542)&lt;TODAY(),1,0),0)</f>
        <v/>
      </c>
      <c r="W542">
        <f>IF(AND(H542="Published",N(O542)&gt;0),IF(T542=(YEAR(TODAY())*100+MONTH(TODAY())),ROUND(O542,0)*1000+1000-ROW(),""),"")</f>
        <v/>
      </c>
    </row>
    <row r="543">
      <c r="A543" s="1" t="n"/>
      <c r="B543" s="21" t="n"/>
      <c r="C543" s="22" t="n"/>
      <c r="D543" s="23" t="n"/>
      <c r="E543" s="24" t="n"/>
      <c r="F543" s="23" t="n"/>
      <c r="G543" s="25" t="n"/>
      <c r="H543" s="24" t="n"/>
      <c r="I543" s="23" t="n"/>
      <c r="J543" s="26" t="n"/>
      <c r="K543" s="26" t="n"/>
      <c r="L543" s="26" t="n"/>
      <c r="M543" s="26" t="n"/>
      <c r="N543" s="26" t="n"/>
      <c r="O543" s="27">
        <f>IF(COUNT(K543:N543)=0,"",SUM(K543:N543))</f>
        <v/>
      </c>
      <c r="P543" s="16">
        <f>IF(OR(O543="",N(J543)&lt;=0),"",O543/J543)</f>
        <v/>
      </c>
      <c r="Q543" s="28">
        <f>IF(V543=1,"Late","")</f>
        <v/>
      </c>
      <c r="R543" s="1">
        <f>IF(ISNUMBER(B543),INT(B543)*10000000+IF(ISNUMBER(C543),ROUND(MOD(C543,1)*1440,0),0)*1000+ROW(),"")</f>
        <v/>
      </c>
      <c r="S543">
        <f>IF(ISNUMBER(B543),INT(B543)-WEEKDAY(B543,3),"")</f>
        <v/>
      </c>
      <c r="T543">
        <f>IF(ISNUMBER(B543),YEAR(B543)*100+MONTH(B543),"")</f>
        <v/>
      </c>
      <c r="U543">
        <f>IF(AND(ISNUMBER(B543),H543&lt;&gt;"Published"),IF(INT(B543)&gt;=TODAY(),R543,""),"")</f>
        <v/>
      </c>
      <c r="V543">
        <f>IF(AND(ISNUMBER(B543),OR(H543="Draft",H543="Scheduled")),IF(INT(B543)&lt;TODAY(),1,0),0)</f>
        <v/>
      </c>
      <c r="W543">
        <f>IF(AND(H543="Published",N(O543)&gt;0),IF(T543=(YEAR(TODAY())*100+MONTH(TODAY())),ROUND(O543,0)*1000+1000-ROW(),""),"")</f>
        <v/>
      </c>
    </row>
    <row r="544">
      <c r="A544" s="1" t="n"/>
      <c r="B544" s="21" t="n"/>
      <c r="C544" s="22" t="n"/>
      <c r="D544" s="23" t="n"/>
      <c r="E544" s="24" t="n"/>
      <c r="F544" s="23" t="n"/>
      <c r="G544" s="25" t="n"/>
      <c r="H544" s="24" t="n"/>
      <c r="I544" s="23" t="n"/>
      <c r="J544" s="26" t="n"/>
      <c r="K544" s="26" t="n"/>
      <c r="L544" s="26" t="n"/>
      <c r="M544" s="26" t="n"/>
      <c r="N544" s="26" t="n"/>
      <c r="O544" s="27">
        <f>IF(COUNT(K544:N544)=0,"",SUM(K544:N544))</f>
        <v/>
      </c>
      <c r="P544" s="16">
        <f>IF(OR(O544="",N(J544)&lt;=0),"",O544/J544)</f>
        <v/>
      </c>
      <c r="Q544" s="28">
        <f>IF(V544=1,"Late","")</f>
        <v/>
      </c>
      <c r="R544" s="1">
        <f>IF(ISNUMBER(B544),INT(B544)*10000000+IF(ISNUMBER(C544),ROUND(MOD(C544,1)*1440,0),0)*1000+ROW(),"")</f>
        <v/>
      </c>
      <c r="S544">
        <f>IF(ISNUMBER(B544),INT(B544)-WEEKDAY(B544,3),"")</f>
        <v/>
      </c>
      <c r="T544">
        <f>IF(ISNUMBER(B544),YEAR(B544)*100+MONTH(B544),"")</f>
        <v/>
      </c>
      <c r="U544">
        <f>IF(AND(ISNUMBER(B544),H544&lt;&gt;"Published"),IF(INT(B544)&gt;=TODAY(),R544,""),"")</f>
        <v/>
      </c>
      <c r="V544">
        <f>IF(AND(ISNUMBER(B544),OR(H544="Draft",H544="Scheduled")),IF(INT(B544)&lt;TODAY(),1,0),0)</f>
        <v/>
      </c>
      <c r="W544">
        <f>IF(AND(H544="Published",N(O544)&gt;0),IF(T544=(YEAR(TODAY())*100+MONTH(TODAY())),ROUND(O544,0)*1000+1000-ROW(),""),"")</f>
        <v/>
      </c>
    </row>
    <row r="545">
      <c r="A545" s="1" t="n"/>
      <c r="B545" s="21" t="n"/>
      <c r="C545" s="22" t="n"/>
      <c r="D545" s="23" t="n"/>
      <c r="E545" s="24" t="n"/>
      <c r="F545" s="23" t="n"/>
      <c r="G545" s="25" t="n"/>
      <c r="H545" s="24" t="n"/>
      <c r="I545" s="23" t="n"/>
      <c r="J545" s="26" t="n"/>
      <c r="K545" s="26" t="n"/>
      <c r="L545" s="26" t="n"/>
      <c r="M545" s="26" t="n"/>
      <c r="N545" s="26" t="n"/>
      <c r="O545" s="27">
        <f>IF(COUNT(K545:N545)=0,"",SUM(K545:N545))</f>
        <v/>
      </c>
      <c r="P545" s="16">
        <f>IF(OR(O545="",N(J545)&lt;=0),"",O545/J545)</f>
        <v/>
      </c>
      <c r="Q545" s="28">
        <f>IF(V545=1,"Late","")</f>
        <v/>
      </c>
      <c r="R545" s="1">
        <f>IF(ISNUMBER(B545),INT(B545)*10000000+IF(ISNUMBER(C545),ROUND(MOD(C545,1)*1440,0),0)*1000+ROW(),"")</f>
        <v/>
      </c>
      <c r="S545">
        <f>IF(ISNUMBER(B545),INT(B545)-WEEKDAY(B545,3),"")</f>
        <v/>
      </c>
      <c r="T545">
        <f>IF(ISNUMBER(B545),YEAR(B545)*100+MONTH(B545),"")</f>
        <v/>
      </c>
      <c r="U545">
        <f>IF(AND(ISNUMBER(B545),H545&lt;&gt;"Published"),IF(INT(B545)&gt;=TODAY(),R545,""),"")</f>
        <v/>
      </c>
      <c r="V545">
        <f>IF(AND(ISNUMBER(B545),OR(H545="Draft",H545="Scheduled")),IF(INT(B545)&lt;TODAY(),1,0),0)</f>
        <v/>
      </c>
      <c r="W545">
        <f>IF(AND(H545="Published",N(O545)&gt;0),IF(T545=(YEAR(TODAY())*100+MONTH(TODAY())),ROUND(O545,0)*1000+1000-ROW(),""),"")</f>
        <v/>
      </c>
    </row>
    <row r="546">
      <c r="A546" s="1" t="n"/>
      <c r="B546" s="21" t="n"/>
      <c r="C546" s="22" t="n"/>
      <c r="D546" s="23" t="n"/>
      <c r="E546" s="24" t="n"/>
      <c r="F546" s="23" t="n"/>
      <c r="G546" s="25" t="n"/>
      <c r="H546" s="24" t="n"/>
      <c r="I546" s="23" t="n"/>
      <c r="J546" s="26" t="n"/>
      <c r="K546" s="26" t="n"/>
      <c r="L546" s="26" t="n"/>
      <c r="M546" s="26" t="n"/>
      <c r="N546" s="26" t="n"/>
      <c r="O546" s="27">
        <f>IF(COUNT(K546:N546)=0,"",SUM(K546:N546))</f>
        <v/>
      </c>
      <c r="P546" s="16">
        <f>IF(OR(O546="",N(J546)&lt;=0),"",O546/J546)</f>
        <v/>
      </c>
      <c r="Q546" s="28">
        <f>IF(V546=1,"Late","")</f>
        <v/>
      </c>
      <c r="R546" s="1">
        <f>IF(ISNUMBER(B546),INT(B546)*10000000+IF(ISNUMBER(C546),ROUND(MOD(C546,1)*1440,0),0)*1000+ROW(),"")</f>
        <v/>
      </c>
      <c r="S546">
        <f>IF(ISNUMBER(B546),INT(B546)-WEEKDAY(B546,3),"")</f>
        <v/>
      </c>
      <c r="T546">
        <f>IF(ISNUMBER(B546),YEAR(B546)*100+MONTH(B546),"")</f>
        <v/>
      </c>
      <c r="U546">
        <f>IF(AND(ISNUMBER(B546),H546&lt;&gt;"Published"),IF(INT(B546)&gt;=TODAY(),R546,""),"")</f>
        <v/>
      </c>
      <c r="V546">
        <f>IF(AND(ISNUMBER(B546),OR(H546="Draft",H546="Scheduled")),IF(INT(B546)&lt;TODAY(),1,0),0)</f>
        <v/>
      </c>
      <c r="W546">
        <f>IF(AND(H546="Published",N(O546)&gt;0),IF(T546=(YEAR(TODAY())*100+MONTH(TODAY())),ROUND(O546,0)*1000+1000-ROW(),""),"")</f>
        <v/>
      </c>
    </row>
    <row r="547">
      <c r="A547" s="1" t="n"/>
      <c r="B547" s="21" t="n"/>
      <c r="C547" s="22" t="n"/>
      <c r="D547" s="23" t="n"/>
      <c r="E547" s="24" t="n"/>
      <c r="F547" s="23" t="n"/>
      <c r="G547" s="25" t="n"/>
      <c r="H547" s="24" t="n"/>
      <c r="I547" s="23" t="n"/>
      <c r="J547" s="26" t="n"/>
      <c r="K547" s="26" t="n"/>
      <c r="L547" s="26" t="n"/>
      <c r="M547" s="26" t="n"/>
      <c r="N547" s="26" t="n"/>
      <c r="O547" s="27">
        <f>IF(COUNT(K547:N547)=0,"",SUM(K547:N547))</f>
        <v/>
      </c>
      <c r="P547" s="16">
        <f>IF(OR(O547="",N(J547)&lt;=0),"",O547/J547)</f>
        <v/>
      </c>
      <c r="Q547" s="28">
        <f>IF(V547=1,"Late","")</f>
        <v/>
      </c>
      <c r="R547" s="1">
        <f>IF(ISNUMBER(B547),INT(B547)*10000000+IF(ISNUMBER(C547),ROUND(MOD(C547,1)*1440,0),0)*1000+ROW(),"")</f>
        <v/>
      </c>
      <c r="S547">
        <f>IF(ISNUMBER(B547),INT(B547)-WEEKDAY(B547,3),"")</f>
        <v/>
      </c>
      <c r="T547">
        <f>IF(ISNUMBER(B547),YEAR(B547)*100+MONTH(B547),"")</f>
        <v/>
      </c>
      <c r="U547">
        <f>IF(AND(ISNUMBER(B547),H547&lt;&gt;"Published"),IF(INT(B547)&gt;=TODAY(),R547,""),"")</f>
        <v/>
      </c>
      <c r="V547">
        <f>IF(AND(ISNUMBER(B547),OR(H547="Draft",H547="Scheduled")),IF(INT(B547)&lt;TODAY(),1,0),0)</f>
        <v/>
      </c>
      <c r="W547">
        <f>IF(AND(H547="Published",N(O547)&gt;0),IF(T547=(YEAR(TODAY())*100+MONTH(TODAY())),ROUND(O547,0)*1000+1000-ROW(),""),"")</f>
        <v/>
      </c>
    </row>
    <row r="548">
      <c r="A548" s="1" t="n"/>
      <c r="B548" s="21" t="n"/>
      <c r="C548" s="22" t="n"/>
      <c r="D548" s="23" t="n"/>
      <c r="E548" s="24" t="n"/>
      <c r="F548" s="23" t="n"/>
      <c r="G548" s="25" t="n"/>
      <c r="H548" s="24" t="n"/>
      <c r="I548" s="23" t="n"/>
      <c r="J548" s="26" t="n"/>
      <c r="K548" s="26" t="n"/>
      <c r="L548" s="26" t="n"/>
      <c r="M548" s="26" t="n"/>
      <c r="N548" s="26" t="n"/>
      <c r="O548" s="27">
        <f>IF(COUNT(K548:N548)=0,"",SUM(K548:N548))</f>
        <v/>
      </c>
      <c r="P548" s="16">
        <f>IF(OR(O548="",N(J548)&lt;=0),"",O548/J548)</f>
        <v/>
      </c>
      <c r="Q548" s="28">
        <f>IF(V548=1,"Late","")</f>
        <v/>
      </c>
      <c r="R548" s="1">
        <f>IF(ISNUMBER(B548),INT(B548)*10000000+IF(ISNUMBER(C548),ROUND(MOD(C548,1)*1440,0),0)*1000+ROW(),"")</f>
        <v/>
      </c>
      <c r="S548">
        <f>IF(ISNUMBER(B548),INT(B548)-WEEKDAY(B548,3),"")</f>
        <v/>
      </c>
      <c r="T548">
        <f>IF(ISNUMBER(B548),YEAR(B548)*100+MONTH(B548),"")</f>
        <v/>
      </c>
      <c r="U548">
        <f>IF(AND(ISNUMBER(B548),H548&lt;&gt;"Published"),IF(INT(B548)&gt;=TODAY(),R548,""),"")</f>
        <v/>
      </c>
      <c r="V548">
        <f>IF(AND(ISNUMBER(B548),OR(H548="Draft",H548="Scheduled")),IF(INT(B548)&lt;TODAY(),1,0),0)</f>
        <v/>
      </c>
      <c r="W548">
        <f>IF(AND(H548="Published",N(O548)&gt;0),IF(T548=(YEAR(TODAY())*100+MONTH(TODAY())),ROUND(O548,0)*1000+1000-ROW(),""),"")</f>
        <v/>
      </c>
    </row>
    <row r="549">
      <c r="A549" s="1" t="n"/>
      <c r="B549" s="21" t="n"/>
      <c r="C549" s="22" t="n"/>
      <c r="D549" s="23" t="n"/>
      <c r="E549" s="24" t="n"/>
      <c r="F549" s="23" t="n"/>
      <c r="G549" s="25" t="n"/>
      <c r="H549" s="24" t="n"/>
      <c r="I549" s="23" t="n"/>
      <c r="J549" s="26" t="n"/>
      <c r="K549" s="26" t="n"/>
      <c r="L549" s="26" t="n"/>
      <c r="M549" s="26" t="n"/>
      <c r="N549" s="26" t="n"/>
      <c r="O549" s="27">
        <f>IF(COUNT(K549:N549)=0,"",SUM(K549:N549))</f>
        <v/>
      </c>
      <c r="P549" s="16">
        <f>IF(OR(O549="",N(J549)&lt;=0),"",O549/J549)</f>
        <v/>
      </c>
      <c r="Q549" s="28">
        <f>IF(V549=1,"Late","")</f>
        <v/>
      </c>
      <c r="R549" s="1">
        <f>IF(ISNUMBER(B549),INT(B549)*10000000+IF(ISNUMBER(C549),ROUND(MOD(C549,1)*1440,0),0)*1000+ROW(),"")</f>
        <v/>
      </c>
      <c r="S549">
        <f>IF(ISNUMBER(B549),INT(B549)-WEEKDAY(B549,3),"")</f>
        <v/>
      </c>
      <c r="T549">
        <f>IF(ISNUMBER(B549),YEAR(B549)*100+MONTH(B549),"")</f>
        <v/>
      </c>
      <c r="U549">
        <f>IF(AND(ISNUMBER(B549),H549&lt;&gt;"Published"),IF(INT(B549)&gt;=TODAY(),R549,""),"")</f>
        <v/>
      </c>
      <c r="V549">
        <f>IF(AND(ISNUMBER(B549),OR(H549="Draft",H549="Scheduled")),IF(INT(B549)&lt;TODAY(),1,0),0)</f>
        <v/>
      </c>
      <c r="W549">
        <f>IF(AND(H549="Published",N(O549)&gt;0),IF(T549=(YEAR(TODAY())*100+MONTH(TODAY())),ROUND(O549,0)*1000+1000-ROW(),""),"")</f>
        <v/>
      </c>
    </row>
    <row r="550">
      <c r="A550" s="1" t="n"/>
      <c r="B550" s="21" t="n"/>
      <c r="C550" s="22" t="n"/>
      <c r="D550" s="23" t="n"/>
      <c r="E550" s="24" t="n"/>
      <c r="F550" s="23" t="n"/>
      <c r="G550" s="25" t="n"/>
      <c r="H550" s="24" t="n"/>
      <c r="I550" s="23" t="n"/>
      <c r="J550" s="26" t="n"/>
      <c r="K550" s="26" t="n"/>
      <c r="L550" s="26" t="n"/>
      <c r="M550" s="26" t="n"/>
      <c r="N550" s="26" t="n"/>
      <c r="O550" s="27">
        <f>IF(COUNT(K550:N550)=0,"",SUM(K550:N550))</f>
        <v/>
      </c>
      <c r="P550" s="16">
        <f>IF(OR(O550="",N(J550)&lt;=0),"",O550/J550)</f>
        <v/>
      </c>
      <c r="Q550" s="28">
        <f>IF(V550=1,"Late","")</f>
        <v/>
      </c>
      <c r="R550" s="1">
        <f>IF(ISNUMBER(B550),INT(B550)*10000000+IF(ISNUMBER(C550),ROUND(MOD(C550,1)*1440,0),0)*1000+ROW(),"")</f>
        <v/>
      </c>
      <c r="S550">
        <f>IF(ISNUMBER(B550),INT(B550)-WEEKDAY(B550,3),"")</f>
        <v/>
      </c>
      <c r="T550">
        <f>IF(ISNUMBER(B550),YEAR(B550)*100+MONTH(B550),"")</f>
        <v/>
      </c>
      <c r="U550">
        <f>IF(AND(ISNUMBER(B550),H550&lt;&gt;"Published"),IF(INT(B550)&gt;=TODAY(),R550,""),"")</f>
        <v/>
      </c>
      <c r="V550">
        <f>IF(AND(ISNUMBER(B550),OR(H550="Draft",H550="Scheduled")),IF(INT(B550)&lt;TODAY(),1,0),0)</f>
        <v/>
      </c>
      <c r="W550">
        <f>IF(AND(H550="Published",N(O550)&gt;0),IF(T550=(YEAR(TODAY())*100+MONTH(TODAY())),ROUND(O550,0)*1000+1000-ROW(),""),"")</f>
        <v/>
      </c>
    </row>
    <row r="551">
      <c r="A551" s="1" t="n"/>
      <c r="B551" s="21" t="n"/>
      <c r="C551" s="22" t="n"/>
      <c r="D551" s="23" t="n"/>
      <c r="E551" s="24" t="n"/>
      <c r="F551" s="23" t="n"/>
      <c r="G551" s="25" t="n"/>
      <c r="H551" s="24" t="n"/>
      <c r="I551" s="23" t="n"/>
      <c r="J551" s="26" t="n"/>
      <c r="K551" s="26" t="n"/>
      <c r="L551" s="26" t="n"/>
      <c r="M551" s="26" t="n"/>
      <c r="N551" s="26" t="n"/>
      <c r="O551" s="27">
        <f>IF(COUNT(K551:N551)=0,"",SUM(K551:N551))</f>
        <v/>
      </c>
      <c r="P551" s="16">
        <f>IF(OR(O551="",N(J551)&lt;=0),"",O551/J551)</f>
        <v/>
      </c>
      <c r="Q551" s="28">
        <f>IF(V551=1,"Late","")</f>
        <v/>
      </c>
      <c r="R551" s="1">
        <f>IF(ISNUMBER(B551),INT(B551)*10000000+IF(ISNUMBER(C551),ROUND(MOD(C551,1)*1440,0),0)*1000+ROW(),"")</f>
        <v/>
      </c>
      <c r="S551">
        <f>IF(ISNUMBER(B551),INT(B551)-WEEKDAY(B551,3),"")</f>
        <v/>
      </c>
      <c r="T551">
        <f>IF(ISNUMBER(B551),YEAR(B551)*100+MONTH(B551),"")</f>
        <v/>
      </c>
      <c r="U551">
        <f>IF(AND(ISNUMBER(B551),H551&lt;&gt;"Published"),IF(INT(B551)&gt;=TODAY(),R551,""),"")</f>
        <v/>
      </c>
      <c r="V551">
        <f>IF(AND(ISNUMBER(B551),OR(H551="Draft",H551="Scheduled")),IF(INT(B551)&lt;TODAY(),1,0),0)</f>
        <v/>
      </c>
      <c r="W551">
        <f>IF(AND(H551="Published",N(O551)&gt;0),IF(T551=(YEAR(TODAY())*100+MONTH(TODAY())),ROUND(O551,0)*1000+1000-ROW(),""),"")</f>
        <v/>
      </c>
    </row>
    <row r="552">
      <c r="A552" s="1" t="n"/>
      <c r="B552" s="21" t="n"/>
      <c r="C552" s="22" t="n"/>
      <c r="D552" s="23" t="n"/>
      <c r="E552" s="24" t="n"/>
      <c r="F552" s="23" t="n"/>
      <c r="G552" s="25" t="n"/>
      <c r="H552" s="24" t="n"/>
      <c r="I552" s="23" t="n"/>
      <c r="J552" s="26" t="n"/>
      <c r="K552" s="26" t="n"/>
      <c r="L552" s="26" t="n"/>
      <c r="M552" s="26" t="n"/>
      <c r="N552" s="26" t="n"/>
      <c r="O552" s="27">
        <f>IF(COUNT(K552:N552)=0,"",SUM(K552:N552))</f>
        <v/>
      </c>
      <c r="P552" s="16">
        <f>IF(OR(O552="",N(J552)&lt;=0),"",O552/J552)</f>
        <v/>
      </c>
      <c r="Q552" s="28">
        <f>IF(V552=1,"Late","")</f>
        <v/>
      </c>
      <c r="R552" s="1">
        <f>IF(ISNUMBER(B552),INT(B552)*10000000+IF(ISNUMBER(C552),ROUND(MOD(C552,1)*1440,0),0)*1000+ROW(),"")</f>
        <v/>
      </c>
      <c r="S552">
        <f>IF(ISNUMBER(B552),INT(B552)-WEEKDAY(B552,3),"")</f>
        <v/>
      </c>
      <c r="T552">
        <f>IF(ISNUMBER(B552),YEAR(B552)*100+MONTH(B552),"")</f>
        <v/>
      </c>
      <c r="U552">
        <f>IF(AND(ISNUMBER(B552),H552&lt;&gt;"Published"),IF(INT(B552)&gt;=TODAY(),R552,""),"")</f>
        <v/>
      </c>
      <c r="V552">
        <f>IF(AND(ISNUMBER(B552),OR(H552="Draft",H552="Scheduled")),IF(INT(B552)&lt;TODAY(),1,0),0)</f>
        <v/>
      </c>
      <c r="W552">
        <f>IF(AND(H552="Published",N(O552)&gt;0),IF(T552=(YEAR(TODAY())*100+MONTH(TODAY())),ROUND(O552,0)*1000+1000-ROW(),""),"")</f>
        <v/>
      </c>
    </row>
    <row r="553">
      <c r="A553" s="1" t="n"/>
      <c r="B553" s="21" t="n"/>
      <c r="C553" s="22" t="n"/>
      <c r="D553" s="23" t="n"/>
      <c r="E553" s="24" t="n"/>
      <c r="F553" s="23" t="n"/>
      <c r="G553" s="25" t="n"/>
      <c r="H553" s="24" t="n"/>
      <c r="I553" s="23" t="n"/>
      <c r="J553" s="26" t="n"/>
      <c r="K553" s="26" t="n"/>
      <c r="L553" s="26" t="n"/>
      <c r="M553" s="26" t="n"/>
      <c r="N553" s="26" t="n"/>
      <c r="O553" s="27">
        <f>IF(COUNT(K553:N553)=0,"",SUM(K553:N553))</f>
        <v/>
      </c>
      <c r="P553" s="16">
        <f>IF(OR(O553="",N(J553)&lt;=0),"",O553/J553)</f>
        <v/>
      </c>
      <c r="Q553" s="28">
        <f>IF(V553=1,"Late","")</f>
        <v/>
      </c>
      <c r="R553" s="1">
        <f>IF(ISNUMBER(B553),INT(B553)*10000000+IF(ISNUMBER(C553),ROUND(MOD(C553,1)*1440,0),0)*1000+ROW(),"")</f>
        <v/>
      </c>
      <c r="S553">
        <f>IF(ISNUMBER(B553),INT(B553)-WEEKDAY(B553,3),"")</f>
        <v/>
      </c>
      <c r="T553">
        <f>IF(ISNUMBER(B553),YEAR(B553)*100+MONTH(B553),"")</f>
        <v/>
      </c>
      <c r="U553">
        <f>IF(AND(ISNUMBER(B553),H553&lt;&gt;"Published"),IF(INT(B553)&gt;=TODAY(),R553,""),"")</f>
        <v/>
      </c>
      <c r="V553">
        <f>IF(AND(ISNUMBER(B553),OR(H553="Draft",H553="Scheduled")),IF(INT(B553)&lt;TODAY(),1,0),0)</f>
        <v/>
      </c>
      <c r="W553">
        <f>IF(AND(H553="Published",N(O553)&gt;0),IF(T553=(YEAR(TODAY())*100+MONTH(TODAY())),ROUND(O553,0)*1000+1000-ROW(),""),"")</f>
        <v/>
      </c>
    </row>
    <row r="554">
      <c r="A554" s="1" t="n"/>
      <c r="B554" s="21" t="n"/>
      <c r="C554" s="22" t="n"/>
      <c r="D554" s="23" t="n"/>
      <c r="E554" s="24" t="n"/>
      <c r="F554" s="23" t="n"/>
      <c r="G554" s="25" t="n"/>
      <c r="H554" s="24" t="n"/>
      <c r="I554" s="23" t="n"/>
      <c r="J554" s="26" t="n"/>
      <c r="K554" s="26" t="n"/>
      <c r="L554" s="26" t="n"/>
      <c r="M554" s="26" t="n"/>
      <c r="N554" s="26" t="n"/>
      <c r="O554" s="27">
        <f>IF(COUNT(K554:N554)=0,"",SUM(K554:N554))</f>
        <v/>
      </c>
      <c r="P554" s="16">
        <f>IF(OR(O554="",N(J554)&lt;=0),"",O554/J554)</f>
        <v/>
      </c>
      <c r="Q554" s="28">
        <f>IF(V554=1,"Late","")</f>
        <v/>
      </c>
      <c r="R554" s="1">
        <f>IF(ISNUMBER(B554),INT(B554)*10000000+IF(ISNUMBER(C554),ROUND(MOD(C554,1)*1440,0),0)*1000+ROW(),"")</f>
        <v/>
      </c>
      <c r="S554">
        <f>IF(ISNUMBER(B554),INT(B554)-WEEKDAY(B554,3),"")</f>
        <v/>
      </c>
      <c r="T554">
        <f>IF(ISNUMBER(B554),YEAR(B554)*100+MONTH(B554),"")</f>
        <v/>
      </c>
      <c r="U554">
        <f>IF(AND(ISNUMBER(B554),H554&lt;&gt;"Published"),IF(INT(B554)&gt;=TODAY(),R554,""),"")</f>
        <v/>
      </c>
      <c r="V554">
        <f>IF(AND(ISNUMBER(B554),OR(H554="Draft",H554="Scheduled")),IF(INT(B554)&lt;TODAY(),1,0),0)</f>
        <v/>
      </c>
      <c r="W554">
        <f>IF(AND(H554="Published",N(O554)&gt;0),IF(T554=(YEAR(TODAY())*100+MONTH(TODAY())),ROUND(O554,0)*1000+1000-ROW(),""),"")</f>
        <v/>
      </c>
    </row>
    <row r="555">
      <c r="A555" s="1" t="n"/>
      <c r="B555" s="21" t="n"/>
      <c r="C555" s="22" t="n"/>
      <c r="D555" s="23" t="n"/>
      <c r="E555" s="24" t="n"/>
      <c r="F555" s="23" t="n"/>
      <c r="G555" s="25" t="n"/>
      <c r="H555" s="24" t="n"/>
      <c r="I555" s="23" t="n"/>
      <c r="J555" s="26" t="n"/>
      <c r="K555" s="26" t="n"/>
      <c r="L555" s="26" t="n"/>
      <c r="M555" s="26" t="n"/>
      <c r="N555" s="26" t="n"/>
      <c r="O555" s="27">
        <f>IF(COUNT(K555:N555)=0,"",SUM(K555:N555))</f>
        <v/>
      </c>
      <c r="P555" s="16">
        <f>IF(OR(O555="",N(J555)&lt;=0),"",O555/J555)</f>
        <v/>
      </c>
      <c r="Q555" s="28">
        <f>IF(V555=1,"Late","")</f>
        <v/>
      </c>
      <c r="R555" s="1">
        <f>IF(ISNUMBER(B555),INT(B555)*10000000+IF(ISNUMBER(C555),ROUND(MOD(C555,1)*1440,0),0)*1000+ROW(),"")</f>
        <v/>
      </c>
      <c r="S555">
        <f>IF(ISNUMBER(B555),INT(B555)-WEEKDAY(B555,3),"")</f>
        <v/>
      </c>
      <c r="T555">
        <f>IF(ISNUMBER(B555),YEAR(B555)*100+MONTH(B555),"")</f>
        <v/>
      </c>
      <c r="U555">
        <f>IF(AND(ISNUMBER(B555),H555&lt;&gt;"Published"),IF(INT(B555)&gt;=TODAY(),R555,""),"")</f>
        <v/>
      </c>
      <c r="V555">
        <f>IF(AND(ISNUMBER(B555),OR(H555="Draft",H555="Scheduled")),IF(INT(B555)&lt;TODAY(),1,0),0)</f>
        <v/>
      </c>
      <c r="W555">
        <f>IF(AND(H555="Published",N(O555)&gt;0),IF(T555=(YEAR(TODAY())*100+MONTH(TODAY())),ROUND(O555,0)*1000+1000-ROW(),""),"")</f>
        <v/>
      </c>
    </row>
    <row r="556">
      <c r="A556" s="1" t="n"/>
      <c r="B556" s="21" t="n"/>
      <c r="C556" s="22" t="n"/>
      <c r="D556" s="23" t="n"/>
      <c r="E556" s="24" t="n"/>
      <c r="F556" s="23" t="n"/>
      <c r="G556" s="25" t="n"/>
      <c r="H556" s="24" t="n"/>
      <c r="I556" s="23" t="n"/>
      <c r="J556" s="26" t="n"/>
      <c r="K556" s="26" t="n"/>
      <c r="L556" s="26" t="n"/>
      <c r="M556" s="26" t="n"/>
      <c r="N556" s="26" t="n"/>
      <c r="O556" s="27">
        <f>IF(COUNT(K556:N556)=0,"",SUM(K556:N556))</f>
        <v/>
      </c>
      <c r="P556" s="16">
        <f>IF(OR(O556="",N(J556)&lt;=0),"",O556/J556)</f>
        <v/>
      </c>
      <c r="Q556" s="28">
        <f>IF(V556=1,"Late","")</f>
        <v/>
      </c>
      <c r="R556" s="1">
        <f>IF(ISNUMBER(B556),INT(B556)*10000000+IF(ISNUMBER(C556),ROUND(MOD(C556,1)*1440,0),0)*1000+ROW(),"")</f>
        <v/>
      </c>
      <c r="S556">
        <f>IF(ISNUMBER(B556),INT(B556)-WEEKDAY(B556,3),"")</f>
        <v/>
      </c>
      <c r="T556">
        <f>IF(ISNUMBER(B556),YEAR(B556)*100+MONTH(B556),"")</f>
        <v/>
      </c>
      <c r="U556">
        <f>IF(AND(ISNUMBER(B556),H556&lt;&gt;"Published"),IF(INT(B556)&gt;=TODAY(),R556,""),"")</f>
        <v/>
      </c>
      <c r="V556">
        <f>IF(AND(ISNUMBER(B556),OR(H556="Draft",H556="Scheduled")),IF(INT(B556)&lt;TODAY(),1,0),0)</f>
        <v/>
      </c>
      <c r="W556">
        <f>IF(AND(H556="Published",N(O556)&gt;0),IF(T556=(YEAR(TODAY())*100+MONTH(TODAY())),ROUND(O556,0)*1000+1000-ROW(),""),"")</f>
        <v/>
      </c>
    </row>
    <row r="557">
      <c r="A557" s="1" t="n"/>
      <c r="B557" s="21" t="n"/>
      <c r="C557" s="22" t="n"/>
      <c r="D557" s="23" t="n"/>
      <c r="E557" s="24" t="n"/>
      <c r="F557" s="23" t="n"/>
      <c r="G557" s="25" t="n"/>
      <c r="H557" s="24" t="n"/>
      <c r="I557" s="23" t="n"/>
      <c r="J557" s="26" t="n"/>
      <c r="K557" s="26" t="n"/>
      <c r="L557" s="26" t="n"/>
      <c r="M557" s="26" t="n"/>
      <c r="N557" s="26" t="n"/>
      <c r="O557" s="27">
        <f>IF(COUNT(K557:N557)=0,"",SUM(K557:N557))</f>
        <v/>
      </c>
      <c r="P557" s="16">
        <f>IF(OR(O557="",N(J557)&lt;=0),"",O557/J557)</f>
        <v/>
      </c>
      <c r="Q557" s="28">
        <f>IF(V557=1,"Late","")</f>
        <v/>
      </c>
      <c r="R557" s="1">
        <f>IF(ISNUMBER(B557),INT(B557)*10000000+IF(ISNUMBER(C557),ROUND(MOD(C557,1)*1440,0),0)*1000+ROW(),"")</f>
        <v/>
      </c>
      <c r="S557">
        <f>IF(ISNUMBER(B557),INT(B557)-WEEKDAY(B557,3),"")</f>
        <v/>
      </c>
      <c r="T557">
        <f>IF(ISNUMBER(B557),YEAR(B557)*100+MONTH(B557),"")</f>
        <v/>
      </c>
      <c r="U557">
        <f>IF(AND(ISNUMBER(B557),H557&lt;&gt;"Published"),IF(INT(B557)&gt;=TODAY(),R557,""),"")</f>
        <v/>
      </c>
      <c r="V557">
        <f>IF(AND(ISNUMBER(B557),OR(H557="Draft",H557="Scheduled")),IF(INT(B557)&lt;TODAY(),1,0),0)</f>
        <v/>
      </c>
      <c r="W557">
        <f>IF(AND(H557="Published",N(O557)&gt;0),IF(T557=(YEAR(TODAY())*100+MONTH(TODAY())),ROUND(O557,0)*1000+1000-ROW(),""),"")</f>
        <v/>
      </c>
    </row>
    <row r="558">
      <c r="A558" s="1" t="n"/>
      <c r="B558" s="21" t="n"/>
      <c r="C558" s="22" t="n"/>
      <c r="D558" s="23" t="n"/>
      <c r="E558" s="24" t="n"/>
      <c r="F558" s="23" t="n"/>
      <c r="G558" s="25" t="n"/>
      <c r="H558" s="24" t="n"/>
      <c r="I558" s="23" t="n"/>
      <c r="J558" s="26" t="n"/>
      <c r="K558" s="26" t="n"/>
      <c r="L558" s="26" t="n"/>
      <c r="M558" s="26" t="n"/>
      <c r="N558" s="26" t="n"/>
      <c r="O558" s="27">
        <f>IF(COUNT(K558:N558)=0,"",SUM(K558:N558))</f>
        <v/>
      </c>
      <c r="P558" s="16">
        <f>IF(OR(O558="",N(J558)&lt;=0),"",O558/J558)</f>
        <v/>
      </c>
      <c r="Q558" s="28">
        <f>IF(V558=1,"Late","")</f>
        <v/>
      </c>
      <c r="R558" s="1">
        <f>IF(ISNUMBER(B558),INT(B558)*10000000+IF(ISNUMBER(C558),ROUND(MOD(C558,1)*1440,0),0)*1000+ROW(),"")</f>
        <v/>
      </c>
      <c r="S558">
        <f>IF(ISNUMBER(B558),INT(B558)-WEEKDAY(B558,3),"")</f>
        <v/>
      </c>
      <c r="T558">
        <f>IF(ISNUMBER(B558),YEAR(B558)*100+MONTH(B558),"")</f>
        <v/>
      </c>
      <c r="U558">
        <f>IF(AND(ISNUMBER(B558),H558&lt;&gt;"Published"),IF(INT(B558)&gt;=TODAY(),R558,""),"")</f>
        <v/>
      </c>
      <c r="V558">
        <f>IF(AND(ISNUMBER(B558),OR(H558="Draft",H558="Scheduled")),IF(INT(B558)&lt;TODAY(),1,0),0)</f>
        <v/>
      </c>
      <c r="W558">
        <f>IF(AND(H558="Published",N(O558)&gt;0),IF(T558=(YEAR(TODAY())*100+MONTH(TODAY())),ROUND(O558,0)*1000+1000-ROW(),""),"")</f>
        <v/>
      </c>
    </row>
    <row r="559">
      <c r="A559" s="1" t="n"/>
      <c r="B559" s="21" t="n"/>
      <c r="C559" s="22" t="n"/>
      <c r="D559" s="23" t="n"/>
      <c r="E559" s="24" t="n"/>
      <c r="F559" s="23" t="n"/>
      <c r="G559" s="25" t="n"/>
      <c r="H559" s="24" t="n"/>
      <c r="I559" s="23" t="n"/>
      <c r="J559" s="26" t="n"/>
      <c r="K559" s="26" t="n"/>
      <c r="L559" s="26" t="n"/>
      <c r="M559" s="26" t="n"/>
      <c r="N559" s="26" t="n"/>
      <c r="O559" s="27">
        <f>IF(COUNT(K559:N559)=0,"",SUM(K559:N559))</f>
        <v/>
      </c>
      <c r="P559" s="16">
        <f>IF(OR(O559="",N(J559)&lt;=0),"",O559/J559)</f>
        <v/>
      </c>
      <c r="Q559" s="28">
        <f>IF(V559=1,"Late","")</f>
        <v/>
      </c>
      <c r="R559" s="1">
        <f>IF(ISNUMBER(B559),INT(B559)*10000000+IF(ISNUMBER(C559),ROUND(MOD(C559,1)*1440,0),0)*1000+ROW(),"")</f>
        <v/>
      </c>
      <c r="S559">
        <f>IF(ISNUMBER(B559),INT(B559)-WEEKDAY(B559,3),"")</f>
        <v/>
      </c>
      <c r="T559">
        <f>IF(ISNUMBER(B559),YEAR(B559)*100+MONTH(B559),"")</f>
        <v/>
      </c>
      <c r="U559">
        <f>IF(AND(ISNUMBER(B559),H559&lt;&gt;"Published"),IF(INT(B559)&gt;=TODAY(),R559,""),"")</f>
        <v/>
      </c>
      <c r="V559">
        <f>IF(AND(ISNUMBER(B559),OR(H559="Draft",H559="Scheduled")),IF(INT(B559)&lt;TODAY(),1,0),0)</f>
        <v/>
      </c>
      <c r="W559">
        <f>IF(AND(H559="Published",N(O559)&gt;0),IF(T559=(YEAR(TODAY())*100+MONTH(TODAY())),ROUND(O559,0)*1000+1000-ROW(),""),"")</f>
        <v/>
      </c>
    </row>
    <row r="560">
      <c r="A560" s="1" t="n"/>
      <c r="B560" s="21" t="n"/>
      <c r="C560" s="22" t="n"/>
      <c r="D560" s="23" t="n"/>
      <c r="E560" s="24" t="n"/>
      <c r="F560" s="23" t="n"/>
      <c r="G560" s="25" t="n"/>
      <c r="H560" s="24" t="n"/>
      <c r="I560" s="23" t="n"/>
      <c r="J560" s="26" t="n"/>
      <c r="K560" s="26" t="n"/>
      <c r="L560" s="26" t="n"/>
      <c r="M560" s="26" t="n"/>
      <c r="N560" s="26" t="n"/>
      <c r="O560" s="27">
        <f>IF(COUNT(K560:N560)=0,"",SUM(K560:N560))</f>
        <v/>
      </c>
      <c r="P560" s="16">
        <f>IF(OR(O560="",N(J560)&lt;=0),"",O560/J560)</f>
        <v/>
      </c>
      <c r="Q560" s="28">
        <f>IF(V560=1,"Late","")</f>
        <v/>
      </c>
      <c r="R560" s="1">
        <f>IF(ISNUMBER(B560),INT(B560)*10000000+IF(ISNUMBER(C560),ROUND(MOD(C560,1)*1440,0),0)*1000+ROW(),"")</f>
        <v/>
      </c>
      <c r="S560">
        <f>IF(ISNUMBER(B560),INT(B560)-WEEKDAY(B560,3),"")</f>
        <v/>
      </c>
      <c r="T560">
        <f>IF(ISNUMBER(B560),YEAR(B560)*100+MONTH(B560),"")</f>
        <v/>
      </c>
      <c r="U560">
        <f>IF(AND(ISNUMBER(B560),H560&lt;&gt;"Published"),IF(INT(B560)&gt;=TODAY(),R560,""),"")</f>
        <v/>
      </c>
      <c r="V560">
        <f>IF(AND(ISNUMBER(B560),OR(H560="Draft",H560="Scheduled")),IF(INT(B560)&lt;TODAY(),1,0),0)</f>
        <v/>
      </c>
      <c r="W560">
        <f>IF(AND(H560="Published",N(O560)&gt;0),IF(T560=(YEAR(TODAY())*100+MONTH(TODAY())),ROUND(O560,0)*1000+1000-ROW(),""),"")</f>
        <v/>
      </c>
    </row>
    <row r="561">
      <c r="A561" s="1" t="n"/>
      <c r="B561" s="21" t="n"/>
      <c r="C561" s="22" t="n"/>
      <c r="D561" s="23" t="n"/>
      <c r="E561" s="24" t="n"/>
      <c r="F561" s="23" t="n"/>
      <c r="G561" s="25" t="n"/>
      <c r="H561" s="24" t="n"/>
      <c r="I561" s="23" t="n"/>
      <c r="J561" s="26" t="n"/>
      <c r="K561" s="26" t="n"/>
      <c r="L561" s="26" t="n"/>
      <c r="M561" s="26" t="n"/>
      <c r="N561" s="26" t="n"/>
      <c r="O561" s="27">
        <f>IF(COUNT(K561:N561)=0,"",SUM(K561:N561))</f>
        <v/>
      </c>
      <c r="P561" s="16">
        <f>IF(OR(O561="",N(J561)&lt;=0),"",O561/J561)</f>
        <v/>
      </c>
      <c r="Q561" s="28">
        <f>IF(V561=1,"Late","")</f>
        <v/>
      </c>
      <c r="R561" s="1">
        <f>IF(ISNUMBER(B561),INT(B561)*10000000+IF(ISNUMBER(C561),ROUND(MOD(C561,1)*1440,0),0)*1000+ROW(),"")</f>
        <v/>
      </c>
      <c r="S561">
        <f>IF(ISNUMBER(B561),INT(B561)-WEEKDAY(B561,3),"")</f>
        <v/>
      </c>
      <c r="T561">
        <f>IF(ISNUMBER(B561),YEAR(B561)*100+MONTH(B561),"")</f>
        <v/>
      </c>
      <c r="U561">
        <f>IF(AND(ISNUMBER(B561),H561&lt;&gt;"Published"),IF(INT(B561)&gt;=TODAY(),R561,""),"")</f>
        <v/>
      </c>
      <c r="V561">
        <f>IF(AND(ISNUMBER(B561),OR(H561="Draft",H561="Scheduled")),IF(INT(B561)&lt;TODAY(),1,0),0)</f>
        <v/>
      </c>
      <c r="W561">
        <f>IF(AND(H561="Published",N(O561)&gt;0),IF(T561=(YEAR(TODAY())*100+MONTH(TODAY())),ROUND(O561,0)*1000+1000-ROW(),""),"")</f>
        <v/>
      </c>
    </row>
    <row r="562">
      <c r="A562" s="1" t="n"/>
      <c r="B562" s="21" t="n"/>
      <c r="C562" s="22" t="n"/>
      <c r="D562" s="23" t="n"/>
      <c r="E562" s="24" t="n"/>
      <c r="F562" s="23" t="n"/>
      <c r="G562" s="25" t="n"/>
      <c r="H562" s="24" t="n"/>
      <c r="I562" s="23" t="n"/>
      <c r="J562" s="26" t="n"/>
      <c r="K562" s="26" t="n"/>
      <c r="L562" s="26" t="n"/>
      <c r="M562" s="26" t="n"/>
      <c r="N562" s="26" t="n"/>
      <c r="O562" s="27">
        <f>IF(COUNT(K562:N562)=0,"",SUM(K562:N562))</f>
        <v/>
      </c>
      <c r="P562" s="16">
        <f>IF(OR(O562="",N(J562)&lt;=0),"",O562/J562)</f>
        <v/>
      </c>
      <c r="Q562" s="28">
        <f>IF(V562=1,"Late","")</f>
        <v/>
      </c>
      <c r="R562" s="1">
        <f>IF(ISNUMBER(B562),INT(B562)*10000000+IF(ISNUMBER(C562),ROUND(MOD(C562,1)*1440,0),0)*1000+ROW(),"")</f>
        <v/>
      </c>
      <c r="S562">
        <f>IF(ISNUMBER(B562),INT(B562)-WEEKDAY(B562,3),"")</f>
        <v/>
      </c>
      <c r="T562">
        <f>IF(ISNUMBER(B562),YEAR(B562)*100+MONTH(B562),"")</f>
        <v/>
      </c>
      <c r="U562">
        <f>IF(AND(ISNUMBER(B562),H562&lt;&gt;"Published"),IF(INT(B562)&gt;=TODAY(),R562,""),"")</f>
        <v/>
      </c>
      <c r="V562">
        <f>IF(AND(ISNUMBER(B562),OR(H562="Draft",H562="Scheduled")),IF(INT(B562)&lt;TODAY(),1,0),0)</f>
        <v/>
      </c>
      <c r="W562">
        <f>IF(AND(H562="Published",N(O562)&gt;0),IF(T562=(YEAR(TODAY())*100+MONTH(TODAY())),ROUND(O562,0)*1000+1000-ROW(),""),"")</f>
        <v/>
      </c>
    </row>
    <row r="563">
      <c r="A563" s="1" t="n"/>
      <c r="B563" s="21" t="n"/>
      <c r="C563" s="22" t="n"/>
      <c r="D563" s="23" t="n"/>
      <c r="E563" s="24" t="n"/>
      <c r="F563" s="23" t="n"/>
      <c r="G563" s="25" t="n"/>
      <c r="H563" s="24" t="n"/>
      <c r="I563" s="23" t="n"/>
      <c r="J563" s="26" t="n"/>
      <c r="K563" s="26" t="n"/>
      <c r="L563" s="26" t="n"/>
      <c r="M563" s="26" t="n"/>
      <c r="N563" s="26" t="n"/>
      <c r="O563" s="27">
        <f>IF(COUNT(K563:N563)=0,"",SUM(K563:N563))</f>
        <v/>
      </c>
      <c r="P563" s="16">
        <f>IF(OR(O563="",N(J563)&lt;=0),"",O563/J563)</f>
        <v/>
      </c>
      <c r="Q563" s="28">
        <f>IF(V563=1,"Late","")</f>
        <v/>
      </c>
      <c r="R563" s="1">
        <f>IF(ISNUMBER(B563),INT(B563)*10000000+IF(ISNUMBER(C563),ROUND(MOD(C563,1)*1440,0),0)*1000+ROW(),"")</f>
        <v/>
      </c>
      <c r="S563">
        <f>IF(ISNUMBER(B563),INT(B563)-WEEKDAY(B563,3),"")</f>
        <v/>
      </c>
      <c r="T563">
        <f>IF(ISNUMBER(B563),YEAR(B563)*100+MONTH(B563),"")</f>
        <v/>
      </c>
      <c r="U563">
        <f>IF(AND(ISNUMBER(B563),H563&lt;&gt;"Published"),IF(INT(B563)&gt;=TODAY(),R563,""),"")</f>
        <v/>
      </c>
      <c r="V563">
        <f>IF(AND(ISNUMBER(B563),OR(H563="Draft",H563="Scheduled")),IF(INT(B563)&lt;TODAY(),1,0),0)</f>
        <v/>
      </c>
      <c r="W563">
        <f>IF(AND(H563="Published",N(O563)&gt;0),IF(T563=(YEAR(TODAY())*100+MONTH(TODAY())),ROUND(O563,0)*1000+1000-ROW(),""),"")</f>
        <v/>
      </c>
    </row>
    <row r="564">
      <c r="A564" s="1" t="n"/>
      <c r="B564" s="21" t="n"/>
      <c r="C564" s="22" t="n"/>
      <c r="D564" s="23" t="n"/>
      <c r="E564" s="24" t="n"/>
      <c r="F564" s="23" t="n"/>
      <c r="G564" s="25" t="n"/>
      <c r="H564" s="24" t="n"/>
      <c r="I564" s="23" t="n"/>
      <c r="J564" s="26" t="n"/>
      <c r="K564" s="26" t="n"/>
      <c r="L564" s="26" t="n"/>
      <c r="M564" s="26" t="n"/>
      <c r="N564" s="26" t="n"/>
      <c r="O564" s="27">
        <f>IF(COUNT(K564:N564)=0,"",SUM(K564:N564))</f>
        <v/>
      </c>
      <c r="P564" s="16">
        <f>IF(OR(O564="",N(J564)&lt;=0),"",O564/J564)</f>
        <v/>
      </c>
      <c r="Q564" s="28">
        <f>IF(V564=1,"Late","")</f>
        <v/>
      </c>
      <c r="R564" s="1">
        <f>IF(ISNUMBER(B564),INT(B564)*10000000+IF(ISNUMBER(C564),ROUND(MOD(C564,1)*1440,0),0)*1000+ROW(),"")</f>
        <v/>
      </c>
      <c r="S564">
        <f>IF(ISNUMBER(B564),INT(B564)-WEEKDAY(B564,3),"")</f>
        <v/>
      </c>
      <c r="T564">
        <f>IF(ISNUMBER(B564),YEAR(B564)*100+MONTH(B564),"")</f>
        <v/>
      </c>
      <c r="U564">
        <f>IF(AND(ISNUMBER(B564),H564&lt;&gt;"Published"),IF(INT(B564)&gt;=TODAY(),R564,""),"")</f>
        <v/>
      </c>
      <c r="V564">
        <f>IF(AND(ISNUMBER(B564),OR(H564="Draft",H564="Scheduled")),IF(INT(B564)&lt;TODAY(),1,0),0)</f>
        <v/>
      </c>
      <c r="W564">
        <f>IF(AND(H564="Published",N(O564)&gt;0),IF(T564=(YEAR(TODAY())*100+MONTH(TODAY())),ROUND(O564,0)*1000+1000-ROW(),""),"")</f>
        <v/>
      </c>
    </row>
    <row r="565">
      <c r="A565" s="1" t="n"/>
      <c r="B565" s="21" t="n"/>
      <c r="C565" s="22" t="n"/>
      <c r="D565" s="23" t="n"/>
      <c r="E565" s="24" t="n"/>
      <c r="F565" s="23" t="n"/>
      <c r="G565" s="25" t="n"/>
      <c r="H565" s="24" t="n"/>
      <c r="I565" s="23" t="n"/>
      <c r="J565" s="26" t="n"/>
      <c r="K565" s="26" t="n"/>
      <c r="L565" s="26" t="n"/>
      <c r="M565" s="26" t="n"/>
      <c r="N565" s="26" t="n"/>
      <c r="O565" s="27">
        <f>IF(COUNT(K565:N565)=0,"",SUM(K565:N565))</f>
        <v/>
      </c>
      <c r="P565" s="16">
        <f>IF(OR(O565="",N(J565)&lt;=0),"",O565/J565)</f>
        <v/>
      </c>
      <c r="Q565" s="28">
        <f>IF(V565=1,"Late","")</f>
        <v/>
      </c>
      <c r="R565" s="1">
        <f>IF(ISNUMBER(B565),INT(B565)*10000000+IF(ISNUMBER(C565),ROUND(MOD(C565,1)*1440,0),0)*1000+ROW(),"")</f>
        <v/>
      </c>
      <c r="S565">
        <f>IF(ISNUMBER(B565),INT(B565)-WEEKDAY(B565,3),"")</f>
        <v/>
      </c>
      <c r="T565">
        <f>IF(ISNUMBER(B565),YEAR(B565)*100+MONTH(B565),"")</f>
        <v/>
      </c>
      <c r="U565">
        <f>IF(AND(ISNUMBER(B565),H565&lt;&gt;"Published"),IF(INT(B565)&gt;=TODAY(),R565,""),"")</f>
        <v/>
      </c>
      <c r="V565">
        <f>IF(AND(ISNUMBER(B565),OR(H565="Draft",H565="Scheduled")),IF(INT(B565)&lt;TODAY(),1,0),0)</f>
        <v/>
      </c>
      <c r="W565">
        <f>IF(AND(H565="Published",N(O565)&gt;0),IF(T565=(YEAR(TODAY())*100+MONTH(TODAY())),ROUND(O565,0)*1000+1000-ROW(),""),"")</f>
        <v/>
      </c>
    </row>
    <row r="566">
      <c r="A566" s="1" t="n"/>
      <c r="B566" s="21" t="n"/>
      <c r="C566" s="22" t="n"/>
      <c r="D566" s="23" t="n"/>
      <c r="E566" s="24" t="n"/>
      <c r="F566" s="23" t="n"/>
      <c r="G566" s="25" t="n"/>
      <c r="H566" s="24" t="n"/>
      <c r="I566" s="23" t="n"/>
      <c r="J566" s="26" t="n"/>
      <c r="K566" s="26" t="n"/>
      <c r="L566" s="26" t="n"/>
      <c r="M566" s="26" t="n"/>
      <c r="N566" s="26" t="n"/>
      <c r="O566" s="27">
        <f>IF(COUNT(K566:N566)=0,"",SUM(K566:N566))</f>
        <v/>
      </c>
      <c r="P566" s="16">
        <f>IF(OR(O566="",N(J566)&lt;=0),"",O566/J566)</f>
        <v/>
      </c>
      <c r="Q566" s="28">
        <f>IF(V566=1,"Late","")</f>
        <v/>
      </c>
      <c r="R566" s="1">
        <f>IF(ISNUMBER(B566),INT(B566)*10000000+IF(ISNUMBER(C566),ROUND(MOD(C566,1)*1440,0),0)*1000+ROW(),"")</f>
        <v/>
      </c>
      <c r="S566">
        <f>IF(ISNUMBER(B566),INT(B566)-WEEKDAY(B566,3),"")</f>
        <v/>
      </c>
      <c r="T566">
        <f>IF(ISNUMBER(B566),YEAR(B566)*100+MONTH(B566),"")</f>
        <v/>
      </c>
      <c r="U566">
        <f>IF(AND(ISNUMBER(B566),H566&lt;&gt;"Published"),IF(INT(B566)&gt;=TODAY(),R566,""),"")</f>
        <v/>
      </c>
      <c r="V566">
        <f>IF(AND(ISNUMBER(B566),OR(H566="Draft",H566="Scheduled")),IF(INT(B566)&lt;TODAY(),1,0),0)</f>
        <v/>
      </c>
      <c r="W566">
        <f>IF(AND(H566="Published",N(O566)&gt;0),IF(T566=(YEAR(TODAY())*100+MONTH(TODAY())),ROUND(O566,0)*1000+1000-ROW(),""),"")</f>
        <v/>
      </c>
    </row>
    <row r="567">
      <c r="A567" s="1" t="n"/>
      <c r="B567" s="21" t="n"/>
      <c r="C567" s="22" t="n"/>
      <c r="D567" s="23" t="n"/>
      <c r="E567" s="24" t="n"/>
      <c r="F567" s="23" t="n"/>
      <c r="G567" s="25" t="n"/>
      <c r="H567" s="24" t="n"/>
      <c r="I567" s="23" t="n"/>
      <c r="J567" s="26" t="n"/>
      <c r="K567" s="26" t="n"/>
      <c r="L567" s="26" t="n"/>
      <c r="M567" s="26" t="n"/>
      <c r="N567" s="26" t="n"/>
      <c r="O567" s="27">
        <f>IF(COUNT(K567:N567)=0,"",SUM(K567:N567))</f>
        <v/>
      </c>
      <c r="P567" s="16">
        <f>IF(OR(O567="",N(J567)&lt;=0),"",O567/J567)</f>
        <v/>
      </c>
      <c r="Q567" s="28">
        <f>IF(V567=1,"Late","")</f>
        <v/>
      </c>
      <c r="R567" s="1">
        <f>IF(ISNUMBER(B567),INT(B567)*10000000+IF(ISNUMBER(C567),ROUND(MOD(C567,1)*1440,0),0)*1000+ROW(),"")</f>
        <v/>
      </c>
      <c r="S567">
        <f>IF(ISNUMBER(B567),INT(B567)-WEEKDAY(B567,3),"")</f>
        <v/>
      </c>
      <c r="T567">
        <f>IF(ISNUMBER(B567),YEAR(B567)*100+MONTH(B567),"")</f>
        <v/>
      </c>
      <c r="U567">
        <f>IF(AND(ISNUMBER(B567),H567&lt;&gt;"Published"),IF(INT(B567)&gt;=TODAY(),R567,""),"")</f>
        <v/>
      </c>
      <c r="V567">
        <f>IF(AND(ISNUMBER(B567),OR(H567="Draft",H567="Scheduled")),IF(INT(B567)&lt;TODAY(),1,0),0)</f>
        <v/>
      </c>
      <c r="W567">
        <f>IF(AND(H567="Published",N(O567)&gt;0),IF(T567=(YEAR(TODAY())*100+MONTH(TODAY())),ROUND(O567,0)*1000+1000-ROW(),""),"")</f>
        <v/>
      </c>
    </row>
    <row r="568">
      <c r="A568" s="1" t="n"/>
      <c r="B568" s="21" t="n"/>
      <c r="C568" s="22" t="n"/>
      <c r="D568" s="23" t="n"/>
      <c r="E568" s="24" t="n"/>
      <c r="F568" s="23" t="n"/>
      <c r="G568" s="25" t="n"/>
      <c r="H568" s="24" t="n"/>
      <c r="I568" s="23" t="n"/>
      <c r="J568" s="26" t="n"/>
      <c r="K568" s="26" t="n"/>
      <c r="L568" s="26" t="n"/>
      <c r="M568" s="26" t="n"/>
      <c r="N568" s="26" t="n"/>
      <c r="O568" s="27">
        <f>IF(COUNT(K568:N568)=0,"",SUM(K568:N568))</f>
        <v/>
      </c>
      <c r="P568" s="16">
        <f>IF(OR(O568="",N(J568)&lt;=0),"",O568/J568)</f>
        <v/>
      </c>
      <c r="Q568" s="28">
        <f>IF(V568=1,"Late","")</f>
        <v/>
      </c>
      <c r="R568" s="1">
        <f>IF(ISNUMBER(B568),INT(B568)*10000000+IF(ISNUMBER(C568),ROUND(MOD(C568,1)*1440,0),0)*1000+ROW(),"")</f>
        <v/>
      </c>
      <c r="S568">
        <f>IF(ISNUMBER(B568),INT(B568)-WEEKDAY(B568,3),"")</f>
        <v/>
      </c>
      <c r="T568">
        <f>IF(ISNUMBER(B568),YEAR(B568)*100+MONTH(B568),"")</f>
        <v/>
      </c>
      <c r="U568">
        <f>IF(AND(ISNUMBER(B568),H568&lt;&gt;"Published"),IF(INT(B568)&gt;=TODAY(),R568,""),"")</f>
        <v/>
      </c>
      <c r="V568">
        <f>IF(AND(ISNUMBER(B568),OR(H568="Draft",H568="Scheduled")),IF(INT(B568)&lt;TODAY(),1,0),0)</f>
        <v/>
      </c>
      <c r="W568">
        <f>IF(AND(H568="Published",N(O568)&gt;0),IF(T568=(YEAR(TODAY())*100+MONTH(TODAY())),ROUND(O568,0)*1000+1000-ROW(),""),"")</f>
        <v/>
      </c>
    </row>
    <row r="569">
      <c r="A569" s="1" t="n"/>
      <c r="B569" s="21" t="n"/>
      <c r="C569" s="22" t="n"/>
      <c r="D569" s="23" t="n"/>
      <c r="E569" s="24" t="n"/>
      <c r="F569" s="23" t="n"/>
      <c r="G569" s="25" t="n"/>
      <c r="H569" s="24" t="n"/>
      <c r="I569" s="23" t="n"/>
      <c r="J569" s="26" t="n"/>
      <c r="K569" s="26" t="n"/>
      <c r="L569" s="26" t="n"/>
      <c r="M569" s="26" t="n"/>
      <c r="N569" s="26" t="n"/>
      <c r="O569" s="27">
        <f>IF(COUNT(K569:N569)=0,"",SUM(K569:N569))</f>
        <v/>
      </c>
      <c r="P569" s="16">
        <f>IF(OR(O569="",N(J569)&lt;=0),"",O569/J569)</f>
        <v/>
      </c>
      <c r="Q569" s="28">
        <f>IF(V569=1,"Late","")</f>
        <v/>
      </c>
      <c r="R569" s="1">
        <f>IF(ISNUMBER(B569),INT(B569)*10000000+IF(ISNUMBER(C569),ROUND(MOD(C569,1)*1440,0),0)*1000+ROW(),"")</f>
        <v/>
      </c>
      <c r="S569">
        <f>IF(ISNUMBER(B569),INT(B569)-WEEKDAY(B569,3),"")</f>
        <v/>
      </c>
      <c r="T569">
        <f>IF(ISNUMBER(B569),YEAR(B569)*100+MONTH(B569),"")</f>
        <v/>
      </c>
      <c r="U569">
        <f>IF(AND(ISNUMBER(B569),H569&lt;&gt;"Published"),IF(INT(B569)&gt;=TODAY(),R569,""),"")</f>
        <v/>
      </c>
      <c r="V569">
        <f>IF(AND(ISNUMBER(B569),OR(H569="Draft",H569="Scheduled")),IF(INT(B569)&lt;TODAY(),1,0),0)</f>
        <v/>
      </c>
      <c r="W569">
        <f>IF(AND(H569="Published",N(O569)&gt;0),IF(T569=(YEAR(TODAY())*100+MONTH(TODAY())),ROUND(O569,0)*1000+1000-ROW(),""),"")</f>
        <v/>
      </c>
    </row>
    <row r="570">
      <c r="A570" s="1" t="n"/>
      <c r="B570" s="21" t="n"/>
      <c r="C570" s="22" t="n"/>
      <c r="D570" s="23" t="n"/>
      <c r="E570" s="24" t="n"/>
      <c r="F570" s="23" t="n"/>
      <c r="G570" s="25" t="n"/>
      <c r="H570" s="24" t="n"/>
      <c r="I570" s="23" t="n"/>
      <c r="J570" s="26" t="n"/>
      <c r="K570" s="26" t="n"/>
      <c r="L570" s="26" t="n"/>
      <c r="M570" s="26" t="n"/>
      <c r="N570" s="26" t="n"/>
      <c r="O570" s="27">
        <f>IF(COUNT(K570:N570)=0,"",SUM(K570:N570))</f>
        <v/>
      </c>
      <c r="P570" s="16">
        <f>IF(OR(O570="",N(J570)&lt;=0),"",O570/J570)</f>
        <v/>
      </c>
      <c r="Q570" s="28">
        <f>IF(V570=1,"Late","")</f>
        <v/>
      </c>
      <c r="R570" s="1">
        <f>IF(ISNUMBER(B570),INT(B570)*10000000+IF(ISNUMBER(C570),ROUND(MOD(C570,1)*1440,0),0)*1000+ROW(),"")</f>
        <v/>
      </c>
      <c r="S570">
        <f>IF(ISNUMBER(B570),INT(B570)-WEEKDAY(B570,3),"")</f>
        <v/>
      </c>
      <c r="T570">
        <f>IF(ISNUMBER(B570),YEAR(B570)*100+MONTH(B570),"")</f>
        <v/>
      </c>
      <c r="U570">
        <f>IF(AND(ISNUMBER(B570),H570&lt;&gt;"Published"),IF(INT(B570)&gt;=TODAY(),R570,""),"")</f>
        <v/>
      </c>
      <c r="V570">
        <f>IF(AND(ISNUMBER(B570),OR(H570="Draft",H570="Scheduled")),IF(INT(B570)&lt;TODAY(),1,0),0)</f>
        <v/>
      </c>
      <c r="W570">
        <f>IF(AND(H570="Published",N(O570)&gt;0),IF(T570=(YEAR(TODAY())*100+MONTH(TODAY())),ROUND(O570,0)*1000+1000-ROW(),""),"")</f>
        <v/>
      </c>
    </row>
    <row r="571">
      <c r="A571" s="1" t="n"/>
      <c r="B571" s="21" t="n"/>
      <c r="C571" s="22" t="n"/>
      <c r="D571" s="23" t="n"/>
      <c r="E571" s="24" t="n"/>
      <c r="F571" s="23" t="n"/>
      <c r="G571" s="25" t="n"/>
      <c r="H571" s="24" t="n"/>
      <c r="I571" s="23" t="n"/>
      <c r="J571" s="26" t="n"/>
      <c r="K571" s="26" t="n"/>
      <c r="L571" s="26" t="n"/>
      <c r="M571" s="26" t="n"/>
      <c r="N571" s="26" t="n"/>
      <c r="O571" s="27">
        <f>IF(COUNT(K571:N571)=0,"",SUM(K571:N571))</f>
        <v/>
      </c>
      <c r="P571" s="16">
        <f>IF(OR(O571="",N(J571)&lt;=0),"",O571/J571)</f>
        <v/>
      </c>
      <c r="Q571" s="28">
        <f>IF(V571=1,"Late","")</f>
        <v/>
      </c>
      <c r="R571" s="1">
        <f>IF(ISNUMBER(B571),INT(B571)*10000000+IF(ISNUMBER(C571),ROUND(MOD(C571,1)*1440,0),0)*1000+ROW(),"")</f>
        <v/>
      </c>
      <c r="S571">
        <f>IF(ISNUMBER(B571),INT(B571)-WEEKDAY(B571,3),"")</f>
        <v/>
      </c>
      <c r="T571">
        <f>IF(ISNUMBER(B571),YEAR(B571)*100+MONTH(B571),"")</f>
        <v/>
      </c>
      <c r="U571">
        <f>IF(AND(ISNUMBER(B571),H571&lt;&gt;"Published"),IF(INT(B571)&gt;=TODAY(),R571,""),"")</f>
        <v/>
      </c>
      <c r="V571">
        <f>IF(AND(ISNUMBER(B571),OR(H571="Draft",H571="Scheduled")),IF(INT(B571)&lt;TODAY(),1,0),0)</f>
        <v/>
      </c>
      <c r="W571">
        <f>IF(AND(H571="Published",N(O571)&gt;0),IF(T571=(YEAR(TODAY())*100+MONTH(TODAY())),ROUND(O571,0)*1000+1000-ROW(),""),"")</f>
        <v/>
      </c>
    </row>
    <row r="572">
      <c r="A572" s="1" t="n"/>
      <c r="B572" s="21" t="n"/>
      <c r="C572" s="22" t="n"/>
      <c r="D572" s="23" t="n"/>
      <c r="E572" s="24" t="n"/>
      <c r="F572" s="23" t="n"/>
      <c r="G572" s="25" t="n"/>
      <c r="H572" s="24" t="n"/>
      <c r="I572" s="23" t="n"/>
      <c r="J572" s="26" t="n"/>
      <c r="K572" s="26" t="n"/>
      <c r="L572" s="26" t="n"/>
      <c r="M572" s="26" t="n"/>
      <c r="N572" s="26" t="n"/>
      <c r="O572" s="27">
        <f>IF(COUNT(K572:N572)=0,"",SUM(K572:N572))</f>
        <v/>
      </c>
      <c r="P572" s="16">
        <f>IF(OR(O572="",N(J572)&lt;=0),"",O572/J572)</f>
        <v/>
      </c>
      <c r="Q572" s="28">
        <f>IF(V572=1,"Late","")</f>
        <v/>
      </c>
      <c r="R572" s="1">
        <f>IF(ISNUMBER(B572),INT(B572)*10000000+IF(ISNUMBER(C572),ROUND(MOD(C572,1)*1440,0),0)*1000+ROW(),"")</f>
        <v/>
      </c>
      <c r="S572">
        <f>IF(ISNUMBER(B572),INT(B572)-WEEKDAY(B572,3),"")</f>
        <v/>
      </c>
      <c r="T572">
        <f>IF(ISNUMBER(B572),YEAR(B572)*100+MONTH(B572),"")</f>
        <v/>
      </c>
      <c r="U572">
        <f>IF(AND(ISNUMBER(B572),H572&lt;&gt;"Published"),IF(INT(B572)&gt;=TODAY(),R572,""),"")</f>
        <v/>
      </c>
      <c r="V572">
        <f>IF(AND(ISNUMBER(B572),OR(H572="Draft",H572="Scheduled")),IF(INT(B572)&lt;TODAY(),1,0),0)</f>
        <v/>
      </c>
      <c r="W572">
        <f>IF(AND(H572="Published",N(O572)&gt;0),IF(T572=(YEAR(TODAY())*100+MONTH(TODAY())),ROUND(O572,0)*1000+1000-ROW(),""),"")</f>
        <v/>
      </c>
    </row>
    <row r="573">
      <c r="A573" s="1" t="n"/>
      <c r="B573" s="21" t="n"/>
      <c r="C573" s="22" t="n"/>
      <c r="D573" s="23" t="n"/>
      <c r="E573" s="24" t="n"/>
      <c r="F573" s="23" t="n"/>
      <c r="G573" s="25" t="n"/>
      <c r="H573" s="24" t="n"/>
      <c r="I573" s="23" t="n"/>
      <c r="J573" s="26" t="n"/>
      <c r="K573" s="26" t="n"/>
      <c r="L573" s="26" t="n"/>
      <c r="M573" s="26" t="n"/>
      <c r="N573" s="26" t="n"/>
      <c r="O573" s="27">
        <f>IF(COUNT(K573:N573)=0,"",SUM(K573:N573))</f>
        <v/>
      </c>
      <c r="P573" s="16">
        <f>IF(OR(O573="",N(J573)&lt;=0),"",O573/J573)</f>
        <v/>
      </c>
      <c r="Q573" s="28">
        <f>IF(V573=1,"Late","")</f>
        <v/>
      </c>
      <c r="R573" s="1">
        <f>IF(ISNUMBER(B573),INT(B573)*10000000+IF(ISNUMBER(C573),ROUND(MOD(C573,1)*1440,0),0)*1000+ROW(),"")</f>
        <v/>
      </c>
      <c r="S573">
        <f>IF(ISNUMBER(B573),INT(B573)-WEEKDAY(B573,3),"")</f>
        <v/>
      </c>
      <c r="T573">
        <f>IF(ISNUMBER(B573),YEAR(B573)*100+MONTH(B573),"")</f>
        <v/>
      </c>
      <c r="U573">
        <f>IF(AND(ISNUMBER(B573),H573&lt;&gt;"Published"),IF(INT(B573)&gt;=TODAY(),R573,""),"")</f>
        <v/>
      </c>
      <c r="V573">
        <f>IF(AND(ISNUMBER(B573),OR(H573="Draft",H573="Scheduled")),IF(INT(B573)&lt;TODAY(),1,0),0)</f>
        <v/>
      </c>
      <c r="W573">
        <f>IF(AND(H573="Published",N(O573)&gt;0),IF(T573=(YEAR(TODAY())*100+MONTH(TODAY())),ROUND(O573,0)*1000+1000-ROW(),""),"")</f>
        <v/>
      </c>
    </row>
    <row r="574">
      <c r="A574" s="1" t="n"/>
      <c r="B574" s="21" t="n"/>
      <c r="C574" s="22" t="n"/>
      <c r="D574" s="23" t="n"/>
      <c r="E574" s="24" t="n"/>
      <c r="F574" s="23" t="n"/>
      <c r="G574" s="25" t="n"/>
      <c r="H574" s="24" t="n"/>
      <c r="I574" s="23" t="n"/>
      <c r="J574" s="26" t="n"/>
      <c r="K574" s="26" t="n"/>
      <c r="L574" s="26" t="n"/>
      <c r="M574" s="26" t="n"/>
      <c r="N574" s="26" t="n"/>
      <c r="O574" s="27">
        <f>IF(COUNT(K574:N574)=0,"",SUM(K574:N574))</f>
        <v/>
      </c>
      <c r="P574" s="16">
        <f>IF(OR(O574="",N(J574)&lt;=0),"",O574/J574)</f>
        <v/>
      </c>
      <c r="Q574" s="28">
        <f>IF(V574=1,"Late","")</f>
        <v/>
      </c>
      <c r="R574" s="1">
        <f>IF(ISNUMBER(B574),INT(B574)*10000000+IF(ISNUMBER(C574),ROUND(MOD(C574,1)*1440,0),0)*1000+ROW(),"")</f>
        <v/>
      </c>
      <c r="S574">
        <f>IF(ISNUMBER(B574),INT(B574)-WEEKDAY(B574,3),"")</f>
        <v/>
      </c>
      <c r="T574">
        <f>IF(ISNUMBER(B574),YEAR(B574)*100+MONTH(B574),"")</f>
        <v/>
      </c>
      <c r="U574">
        <f>IF(AND(ISNUMBER(B574),H574&lt;&gt;"Published"),IF(INT(B574)&gt;=TODAY(),R574,""),"")</f>
        <v/>
      </c>
      <c r="V574">
        <f>IF(AND(ISNUMBER(B574),OR(H574="Draft",H574="Scheduled")),IF(INT(B574)&lt;TODAY(),1,0),0)</f>
        <v/>
      </c>
      <c r="W574">
        <f>IF(AND(H574="Published",N(O574)&gt;0),IF(T574=(YEAR(TODAY())*100+MONTH(TODAY())),ROUND(O574,0)*1000+1000-ROW(),""),"")</f>
        <v/>
      </c>
    </row>
    <row r="575">
      <c r="A575" s="1" t="n"/>
      <c r="B575" s="21" t="n"/>
      <c r="C575" s="22" t="n"/>
      <c r="D575" s="23" t="n"/>
      <c r="E575" s="24" t="n"/>
      <c r="F575" s="23" t="n"/>
      <c r="G575" s="25" t="n"/>
      <c r="H575" s="24" t="n"/>
      <c r="I575" s="23" t="n"/>
      <c r="J575" s="26" t="n"/>
      <c r="K575" s="26" t="n"/>
      <c r="L575" s="26" t="n"/>
      <c r="M575" s="26" t="n"/>
      <c r="N575" s="26" t="n"/>
      <c r="O575" s="27">
        <f>IF(COUNT(K575:N575)=0,"",SUM(K575:N575))</f>
        <v/>
      </c>
      <c r="P575" s="16">
        <f>IF(OR(O575="",N(J575)&lt;=0),"",O575/J575)</f>
        <v/>
      </c>
      <c r="Q575" s="28">
        <f>IF(V575=1,"Late","")</f>
        <v/>
      </c>
      <c r="R575" s="1">
        <f>IF(ISNUMBER(B575),INT(B575)*10000000+IF(ISNUMBER(C575),ROUND(MOD(C575,1)*1440,0),0)*1000+ROW(),"")</f>
        <v/>
      </c>
      <c r="S575">
        <f>IF(ISNUMBER(B575),INT(B575)-WEEKDAY(B575,3),"")</f>
        <v/>
      </c>
      <c r="T575">
        <f>IF(ISNUMBER(B575),YEAR(B575)*100+MONTH(B575),"")</f>
        <v/>
      </c>
      <c r="U575">
        <f>IF(AND(ISNUMBER(B575),H575&lt;&gt;"Published"),IF(INT(B575)&gt;=TODAY(),R575,""),"")</f>
        <v/>
      </c>
      <c r="V575">
        <f>IF(AND(ISNUMBER(B575),OR(H575="Draft",H575="Scheduled")),IF(INT(B575)&lt;TODAY(),1,0),0)</f>
        <v/>
      </c>
      <c r="W575">
        <f>IF(AND(H575="Published",N(O575)&gt;0),IF(T575=(YEAR(TODAY())*100+MONTH(TODAY())),ROUND(O575,0)*1000+1000-ROW(),""),"")</f>
        <v/>
      </c>
    </row>
    <row r="576">
      <c r="A576" s="1" t="n"/>
      <c r="B576" s="21" t="n"/>
      <c r="C576" s="22" t="n"/>
      <c r="D576" s="23" t="n"/>
      <c r="E576" s="24" t="n"/>
      <c r="F576" s="23" t="n"/>
      <c r="G576" s="25" t="n"/>
      <c r="H576" s="24" t="n"/>
      <c r="I576" s="23" t="n"/>
      <c r="J576" s="26" t="n"/>
      <c r="K576" s="26" t="n"/>
      <c r="L576" s="26" t="n"/>
      <c r="M576" s="26" t="n"/>
      <c r="N576" s="26" t="n"/>
      <c r="O576" s="27">
        <f>IF(COUNT(K576:N576)=0,"",SUM(K576:N576))</f>
        <v/>
      </c>
      <c r="P576" s="16">
        <f>IF(OR(O576="",N(J576)&lt;=0),"",O576/J576)</f>
        <v/>
      </c>
      <c r="Q576" s="28">
        <f>IF(V576=1,"Late","")</f>
        <v/>
      </c>
      <c r="R576" s="1">
        <f>IF(ISNUMBER(B576),INT(B576)*10000000+IF(ISNUMBER(C576),ROUND(MOD(C576,1)*1440,0),0)*1000+ROW(),"")</f>
        <v/>
      </c>
      <c r="S576">
        <f>IF(ISNUMBER(B576),INT(B576)-WEEKDAY(B576,3),"")</f>
        <v/>
      </c>
      <c r="T576">
        <f>IF(ISNUMBER(B576),YEAR(B576)*100+MONTH(B576),"")</f>
        <v/>
      </c>
      <c r="U576">
        <f>IF(AND(ISNUMBER(B576),H576&lt;&gt;"Published"),IF(INT(B576)&gt;=TODAY(),R576,""),"")</f>
        <v/>
      </c>
      <c r="V576">
        <f>IF(AND(ISNUMBER(B576),OR(H576="Draft",H576="Scheduled")),IF(INT(B576)&lt;TODAY(),1,0),0)</f>
        <v/>
      </c>
      <c r="W576">
        <f>IF(AND(H576="Published",N(O576)&gt;0),IF(T576=(YEAR(TODAY())*100+MONTH(TODAY())),ROUND(O576,0)*1000+1000-ROW(),""),"")</f>
        <v/>
      </c>
    </row>
    <row r="577">
      <c r="A577" s="1" t="n"/>
      <c r="B577" s="21" t="n"/>
      <c r="C577" s="22" t="n"/>
      <c r="D577" s="23" t="n"/>
      <c r="E577" s="24" t="n"/>
      <c r="F577" s="23" t="n"/>
      <c r="G577" s="25" t="n"/>
      <c r="H577" s="24" t="n"/>
      <c r="I577" s="23" t="n"/>
      <c r="J577" s="26" t="n"/>
      <c r="K577" s="26" t="n"/>
      <c r="L577" s="26" t="n"/>
      <c r="M577" s="26" t="n"/>
      <c r="N577" s="26" t="n"/>
      <c r="O577" s="27">
        <f>IF(COUNT(K577:N577)=0,"",SUM(K577:N577))</f>
        <v/>
      </c>
      <c r="P577" s="16">
        <f>IF(OR(O577="",N(J577)&lt;=0),"",O577/J577)</f>
        <v/>
      </c>
      <c r="Q577" s="28">
        <f>IF(V577=1,"Late","")</f>
        <v/>
      </c>
      <c r="R577" s="1">
        <f>IF(ISNUMBER(B577),INT(B577)*10000000+IF(ISNUMBER(C577),ROUND(MOD(C577,1)*1440,0),0)*1000+ROW(),"")</f>
        <v/>
      </c>
      <c r="S577">
        <f>IF(ISNUMBER(B577),INT(B577)-WEEKDAY(B577,3),"")</f>
        <v/>
      </c>
      <c r="T577">
        <f>IF(ISNUMBER(B577),YEAR(B577)*100+MONTH(B577),"")</f>
        <v/>
      </c>
      <c r="U577">
        <f>IF(AND(ISNUMBER(B577),H577&lt;&gt;"Published"),IF(INT(B577)&gt;=TODAY(),R577,""),"")</f>
        <v/>
      </c>
      <c r="V577">
        <f>IF(AND(ISNUMBER(B577),OR(H577="Draft",H577="Scheduled")),IF(INT(B577)&lt;TODAY(),1,0),0)</f>
        <v/>
      </c>
      <c r="W577">
        <f>IF(AND(H577="Published",N(O577)&gt;0),IF(T577=(YEAR(TODAY())*100+MONTH(TODAY())),ROUND(O577,0)*1000+1000-ROW(),""),"")</f>
        <v/>
      </c>
    </row>
    <row r="578">
      <c r="A578" s="1" t="n"/>
      <c r="B578" s="21" t="n"/>
      <c r="C578" s="22" t="n"/>
      <c r="D578" s="23" t="n"/>
      <c r="E578" s="24" t="n"/>
      <c r="F578" s="23" t="n"/>
      <c r="G578" s="25" t="n"/>
      <c r="H578" s="24" t="n"/>
      <c r="I578" s="23" t="n"/>
      <c r="J578" s="26" t="n"/>
      <c r="K578" s="26" t="n"/>
      <c r="L578" s="26" t="n"/>
      <c r="M578" s="26" t="n"/>
      <c r="N578" s="26" t="n"/>
      <c r="O578" s="27">
        <f>IF(COUNT(K578:N578)=0,"",SUM(K578:N578))</f>
        <v/>
      </c>
      <c r="P578" s="16">
        <f>IF(OR(O578="",N(J578)&lt;=0),"",O578/J578)</f>
        <v/>
      </c>
      <c r="Q578" s="28">
        <f>IF(V578=1,"Late","")</f>
        <v/>
      </c>
      <c r="R578" s="1">
        <f>IF(ISNUMBER(B578),INT(B578)*10000000+IF(ISNUMBER(C578),ROUND(MOD(C578,1)*1440,0),0)*1000+ROW(),"")</f>
        <v/>
      </c>
      <c r="S578">
        <f>IF(ISNUMBER(B578),INT(B578)-WEEKDAY(B578,3),"")</f>
        <v/>
      </c>
      <c r="T578">
        <f>IF(ISNUMBER(B578),YEAR(B578)*100+MONTH(B578),"")</f>
        <v/>
      </c>
      <c r="U578">
        <f>IF(AND(ISNUMBER(B578),H578&lt;&gt;"Published"),IF(INT(B578)&gt;=TODAY(),R578,""),"")</f>
        <v/>
      </c>
      <c r="V578">
        <f>IF(AND(ISNUMBER(B578),OR(H578="Draft",H578="Scheduled")),IF(INT(B578)&lt;TODAY(),1,0),0)</f>
        <v/>
      </c>
      <c r="W578">
        <f>IF(AND(H578="Published",N(O578)&gt;0),IF(T578=(YEAR(TODAY())*100+MONTH(TODAY())),ROUND(O578,0)*1000+1000-ROW(),""),"")</f>
        <v/>
      </c>
    </row>
    <row r="579">
      <c r="A579" s="1" t="n"/>
      <c r="B579" s="21" t="n"/>
      <c r="C579" s="22" t="n"/>
      <c r="D579" s="23" t="n"/>
      <c r="E579" s="24" t="n"/>
      <c r="F579" s="23" t="n"/>
      <c r="G579" s="25" t="n"/>
      <c r="H579" s="24" t="n"/>
      <c r="I579" s="23" t="n"/>
      <c r="J579" s="26" t="n"/>
      <c r="K579" s="26" t="n"/>
      <c r="L579" s="26" t="n"/>
      <c r="M579" s="26" t="n"/>
      <c r="N579" s="26" t="n"/>
      <c r="O579" s="27">
        <f>IF(COUNT(K579:N579)=0,"",SUM(K579:N579))</f>
        <v/>
      </c>
      <c r="P579" s="16">
        <f>IF(OR(O579="",N(J579)&lt;=0),"",O579/J579)</f>
        <v/>
      </c>
      <c r="Q579" s="28">
        <f>IF(V579=1,"Late","")</f>
        <v/>
      </c>
      <c r="R579" s="1">
        <f>IF(ISNUMBER(B579),INT(B579)*10000000+IF(ISNUMBER(C579),ROUND(MOD(C579,1)*1440,0),0)*1000+ROW(),"")</f>
        <v/>
      </c>
      <c r="S579">
        <f>IF(ISNUMBER(B579),INT(B579)-WEEKDAY(B579,3),"")</f>
        <v/>
      </c>
      <c r="T579">
        <f>IF(ISNUMBER(B579),YEAR(B579)*100+MONTH(B579),"")</f>
        <v/>
      </c>
      <c r="U579">
        <f>IF(AND(ISNUMBER(B579),H579&lt;&gt;"Published"),IF(INT(B579)&gt;=TODAY(),R579,""),"")</f>
        <v/>
      </c>
      <c r="V579">
        <f>IF(AND(ISNUMBER(B579),OR(H579="Draft",H579="Scheduled")),IF(INT(B579)&lt;TODAY(),1,0),0)</f>
        <v/>
      </c>
      <c r="W579">
        <f>IF(AND(H579="Published",N(O579)&gt;0),IF(T579=(YEAR(TODAY())*100+MONTH(TODAY())),ROUND(O579,0)*1000+1000-ROW(),""),"")</f>
        <v/>
      </c>
    </row>
    <row r="580">
      <c r="A580" s="1" t="n"/>
      <c r="B580" s="21" t="n"/>
      <c r="C580" s="22" t="n"/>
      <c r="D580" s="23" t="n"/>
      <c r="E580" s="24" t="n"/>
      <c r="F580" s="23" t="n"/>
      <c r="G580" s="25" t="n"/>
      <c r="H580" s="24" t="n"/>
      <c r="I580" s="23" t="n"/>
      <c r="J580" s="26" t="n"/>
      <c r="K580" s="26" t="n"/>
      <c r="L580" s="26" t="n"/>
      <c r="M580" s="26" t="n"/>
      <c r="N580" s="26" t="n"/>
      <c r="O580" s="27">
        <f>IF(COUNT(K580:N580)=0,"",SUM(K580:N580))</f>
        <v/>
      </c>
      <c r="P580" s="16">
        <f>IF(OR(O580="",N(J580)&lt;=0),"",O580/J580)</f>
        <v/>
      </c>
      <c r="Q580" s="28">
        <f>IF(V580=1,"Late","")</f>
        <v/>
      </c>
      <c r="R580" s="1">
        <f>IF(ISNUMBER(B580),INT(B580)*10000000+IF(ISNUMBER(C580),ROUND(MOD(C580,1)*1440,0),0)*1000+ROW(),"")</f>
        <v/>
      </c>
      <c r="S580">
        <f>IF(ISNUMBER(B580),INT(B580)-WEEKDAY(B580,3),"")</f>
        <v/>
      </c>
      <c r="T580">
        <f>IF(ISNUMBER(B580),YEAR(B580)*100+MONTH(B580),"")</f>
        <v/>
      </c>
      <c r="U580">
        <f>IF(AND(ISNUMBER(B580),H580&lt;&gt;"Published"),IF(INT(B580)&gt;=TODAY(),R580,""),"")</f>
        <v/>
      </c>
      <c r="V580">
        <f>IF(AND(ISNUMBER(B580),OR(H580="Draft",H580="Scheduled")),IF(INT(B580)&lt;TODAY(),1,0),0)</f>
        <v/>
      </c>
      <c r="W580">
        <f>IF(AND(H580="Published",N(O580)&gt;0),IF(T580=(YEAR(TODAY())*100+MONTH(TODAY())),ROUND(O580,0)*1000+1000-ROW(),""),"")</f>
        <v/>
      </c>
    </row>
    <row r="581">
      <c r="A581" s="1" t="n"/>
      <c r="B581" s="21" t="n"/>
      <c r="C581" s="22" t="n"/>
      <c r="D581" s="23" t="n"/>
      <c r="E581" s="24" t="n"/>
      <c r="F581" s="23" t="n"/>
      <c r="G581" s="25" t="n"/>
      <c r="H581" s="24" t="n"/>
      <c r="I581" s="23" t="n"/>
      <c r="J581" s="26" t="n"/>
      <c r="K581" s="26" t="n"/>
      <c r="L581" s="26" t="n"/>
      <c r="M581" s="26" t="n"/>
      <c r="N581" s="26" t="n"/>
      <c r="O581" s="27">
        <f>IF(COUNT(K581:N581)=0,"",SUM(K581:N581))</f>
        <v/>
      </c>
      <c r="P581" s="16">
        <f>IF(OR(O581="",N(J581)&lt;=0),"",O581/J581)</f>
        <v/>
      </c>
      <c r="Q581" s="28">
        <f>IF(V581=1,"Late","")</f>
        <v/>
      </c>
      <c r="R581" s="1">
        <f>IF(ISNUMBER(B581),INT(B581)*10000000+IF(ISNUMBER(C581),ROUND(MOD(C581,1)*1440,0),0)*1000+ROW(),"")</f>
        <v/>
      </c>
      <c r="S581">
        <f>IF(ISNUMBER(B581),INT(B581)-WEEKDAY(B581,3),"")</f>
        <v/>
      </c>
      <c r="T581">
        <f>IF(ISNUMBER(B581),YEAR(B581)*100+MONTH(B581),"")</f>
        <v/>
      </c>
      <c r="U581">
        <f>IF(AND(ISNUMBER(B581),H581&lt;&gt;"Published"),IF(INT(B581)&gt;=TODAY(),R581,""),"")</f>
        <v/>
      </c>
      <c r="V581">
        <f>IF(AND(ISNUMBER(B581),OR(H581="Draft",H581="Scheduled")),IF(INT(B581)&lt;TODAY(),1,0),0)</f>
        <v/>
      </c>
      <c r="W581">
        <f>IF(AND(H581="Published",N(O581)&gt;0),IF(T581=(YEAR(TODAY())*100+MONTH(TODAY())),ROUND(O581,0)*1000+1000-ROW(),""),"")</f>
        <v/>
      </c>
    </row>
    <row r="582">
      <c r="A582" s="1" t="n"/>
      <c r="B582" s="21" t="n"/>
      <c r="C582" s="22" t="n"/>
      <c r="D582" s="23" t="n"/>
      <c r="E582" s="24" t="n"/>
      <c r="F582" s="23" t="n"/>
      <c r="G582" s="25" t="n"/>
      <c r="H582" s="24" t="n"/>
      <c r="I582" s="23" t="n"/>
      <c r="J582" s="26" t="n"/>
      <c r="K582" s="26" t="n"/>
      <c r="L582" s="26" t="n"/>
      <c r="M582" s="26" t="n"/>
      <c r="N582" s="26" t="n"/>
      <c r="O582" s="27">
        <f>IF(COUNT(K582:N582)=0,"",SUM(K582:N582))</f>
        <v/>
      </c>
      <c r="P582" s="16">
        <f>IF(OR(O582="",N(J582)&lt;=0),"",O582/J582)</f>
        <v/>
      </c>
      <c r="Q582" s="28">
        <f>IF(V582=1,"Late","")</f>
        <v/>
      </c>
      <c r="R582" s="1">
        <f>IF(ISNUMBER(B582),INT(B582)*10000000+IF(ISNUMBER(C582),ROUND(MOD(C582,1)*1440,0),0)*1000+ROW(),"")</f>
        <v/>
      </c>
      <c r="S582">
        <f>IF(ISNUMBER(B582),INT(B582)-WEEKDAY(B582,3),"")</f>
        <v/>
      </c>
      <c r="T582">
        <f>IF(ISNUMBER(B582),YEAR(B582)*100+MONTH(B582),"")</f>
        <v/>
      </c>
      <c r="U582">
        <f>IF(AND(ISNUMBER(B582),H582&lt;&gt;"Published"),IF(INT(B582)&gt;=TODAY(),R582,""),"")</f>
        <v/>
      </c>
      <c r="V582">
        <f>IF(AND(ISNUMBER(B582),OR(H582="Draft",H582="Scheduled")),IF(INT(B582)&lt;TODAY(),1,0),0)</f>
        <v/>
      </c>
      <c r="W582">
        <f>IF(AND(H582="Published",N(O582)&gt;0),IF(T582=(YEAR(TODAY())*100+MONTH(TODAY())),ROUND(O582,0)*1000+1000-ROW(),""),"")</f>
        <v/>
      </c>
    </row>
    <row r="583">
      <c r="A583" s="1" t="n"/>
      <c r="B583" s="21" t="n"/>
      <c r="C583" s="22" t="n"/>
      <c r="D583" s="23" t="n"/>
      <c r="E583" s="24" t="n"/>
      <c r="F583" s="23" t="n"/>
      <c r="G583" s="25" t="n"/>
      <c r="H583" s="24" t="n"/>
      <c r="I583" s="23" t="n"/>
      <c r="J583" s="26" t="n"/>
      <c r="K583" s="26" t="n"/>
      <c r="L583" s="26" t="n"/>
      <c r="M583" s="26" t="n"/>
      <c r="N583" s="26" t="n"/>
      <c r="O583" s="27">
        <f>IF(COUNT(K583:N583)=0,"",SUM(K583:N583))</f>
        <v/>
      </c>
      <c r="P583" s="16">
        <f>IF(OR(O583="",N(J583)&lt;=0),"",O583/J583)</f>
        <v/>
      </c>
      <c r="Q583" s="28">
        <f>IF(V583=1,"Late","")</f>
        <v/>
      </c>
      <c r="R583" s="1">
        <f>IF(ISNUMBER(B583),INT(B583)*10000000+IF(ISNUMBER(C583),ROUND(MOD(C583,1)*1440,0),0)*1000+ROW(),"")</f>
        <v/>
      </c>
      <c r="S583">
        <f>IF(ISNUMBER(B583),INT(B583)-WEEKDAY(B583,3),"")</f>
        <v/>
      </c>
      <c r="T583">
        <f>IF(ISNUMBER(B583),YEAR(B583)*100+MONTH(B583),"")</f>
        <v/>
      </c>
      <c r="U583">
        <f>IF(AND(ISNUMBER(B583),H583&lt;&gt;"Published"),IF(INT(B583)&gt;=TODAY(),R583,""),"")</f>
        <v/>
      </c>
      <c r="V583">
        <f>IF(AND(ISNUMBER(B583),OR(H583="Draft",H583="Scheduled")),IF(INT(B583)&lt;TODAY(),1,0),0)</f>
        <v/>
      </c>
      <c r="W583">
        <f>IF(AND(H583="Published",N(O583)&gt;0),IF(T583=(YEAR(TODAY())*100+MONTH(TODAY())),ROUND(O583,0)*1000+1000-ROW(),""),"")</f>
        <v/>
      </c>
    </row>
    <row r="584">
      <c r="A584" s="1" t="n"/>
      <c r="B584" s="21" t="n"/>
      <c r="C584" s="22" t="n"/>
      <c r="D584" s="23" t="n"/>
      <c r="E584" s="24" t="n"/>
      <c r="F584" s="23" t="n"/>
      <c r="G584" s="25" t="n"/>
      <c r="H584" s="24" t="n"/>
      <c r="I584" s="23" t="n"/>
      <c r="J584" s="26" t="n"/>
      <c r="K584" s="26" t="n"/>
      <c r="L584" s="26" t="n"/>
      <c r="M584" s="26" t="n"/>
      <c r="N584" s="26" t="n"/>
      <c r="O584" s="27">
        <f>IF(COUNT(K584:N584)=0,"",SUM(K584:N584))</f>
        <v/>
      </c>
      <c r="P584" s="16">
        <f>IF(OR(O584="",N(J584)&lt;=0),"",O584/J584)</f>
        <v/>
      </c>
      <c r="Q584" s="28">
        <f>IF(V584=1,"Late","")</f>
        <v/>
      </c>
      <c r="R584" s="1">
        <f>IF(ISNUMBER(B584),INT(B584)*10000000+IF(ISNUMBER(C584),ROUND(MOD(C584,1)*1440,0),0)*1000+ROW(),"")</f>
        <v/>
      </c>
      <c r="S584">
        <f>IF(ISNUMBER(B584),INT(B584)-WEEKDAY(B584,3),"")</f>
        <v/>
      </c>
      <c r="T584">
        <f>IF(ISNUMBER(B584),YEAR(B584)*100+MONTH(B584),"")</f>
        <v/>
      </c>
      <c r="U584">
        <f>IF(AND(ISNUMBER(B584),H584&lt;&gt;"Published"),IF(INT(B584)&gt;=TODAY(),R584,""),"")</f>
        <v/>
      </c>
      <c r="V584">
        <f>IF(AND(ISNUMBER(B584),OR(H584="Draft",H584="Scheduled")),IF(INT(B584)&lt;TODAY(),1,0),0)</f>
        <v/>
      </c>
      <c r="W584">
        <f>IF(AND(H584="Published",N(O584)&gt;0),IF(T584=(YEAR(TODAY())*100+MONTH(TODAY())),ROUND(O584,0)*1000+1000-ROW(),""),"")</f>
        <v/>
      </c>
    </row>
    <row r="585">
      <c r="A585" s="1" t="n"/>
      <c r="B585" s="21" t="n"/>
      <c r="C585" s="22" t="n"/>
      <c r="D585" s="23" t="n"/>
      <c r="E585" s="24" t="n"/>
      <c r="F585" s="23" t="n"/>
      <c r="G585" s="25" t="n"/>
      <c r="H585" s="24" t="n"/>
      <c r="I585" s="23" t="n"/>
      <c r="J585" s="26" t="n"/>
      <c r="K585" s="26" t="n"/>
      <c r="L585" s="26" t="n"/>
      <c r="M585" s="26" t="n"/>
      <c r="N585" s="26" t="n"/>
      <c r="O585" s="27">
        <f>IF(COUNT(K585:N585)=0,"",SUM(K585:N585))</f>
        <v/>
      </c>
      <c r="P585" s="16">
        <f>IF(OR(O585="",N(J585)&lt;=0),"",O585/J585)</f>
        <v/>
      </c>
      <c r="Q585" s="28">
        <f>IF(V585=1,"Late","")</f>
        <v/>
      </c>
      <c r="R585" s="1">
        <f>IF(ISNUMBER(B585),INT(B585)*10000000+IF(ISNUMBER(C585),ROUND(MOD(C585,1)*1440,0),0)*1000+ROW(),"")</f>
        <v/>
      </c>
      <c r="S585">
        <f>IF(ISNUMBER(B585),INT(B585)-WEEKDAY(B585,3),"")</f>
        <v/>
      </c>
      <c r="T585">
        <f>IF(ISNUMBER(B585),YEAR(B585)*100+MONTH(B585),"")</f>
        <v/>
      </c>
      <c r="U585">
        <f>IF(AND(ISNUMBER(B585),H585&lt;&gt;"Published"),IF(INT(B585)&gt;=TODAY(),R585,""),"")</f>
        <v/>
      </c>
      <c r="V585">
        <f>IF(AND(ISNUMBER(B585),OR(H585="Draft",H585="Scheduled")),IF(INT(B585)&lt;TODAY(),1,0),0)</f>
        <v/>
      </c>
      <c r="W585">
        <f>IF(AND(H585="Published",N(O585)&gt;0),IF(T585=(YEAR(TODAY())*100+MONTH(TODAY())),ROUND(O585,0)*1000+1000-ROW(),""),"")</f>
        <v/>
      </c>
    </row>
    <row r="586">
      <c r="A586" s="1" t="n"/>
      <c r="B586" s="21" t="n"/>
      <c r="C586" s="22" t="n"/>
      <c r="D586" s="23" t="n"/>
      <c r="E586" s="24" t="n"/>
      <c r="F586" s="23" t="n"/>
      <c r="G586" s="25" t="n"/>
      <c r="H586" s="24" t="n"/>
      <c r="I586" s="23" t="n"/>
      <c r="J586" s="26" t="n"/>
      <c r="K586" s="26" t="n"/>
      <c r="L586" s="26" t="n"/>
      <c r="M586" s="26" t="n"/>
      <c r="N586" s="26" t="n"/>
      <c r="O586" s="27">
        <f>IF(COUNT(K586:N586)=0,"",SUM(K586:N586))</f>
        <v/>
      </c>
      <c r="P586" s="16">
        <f>IF(OR(O586="",N(J586)&lt;=0),"",O586/J586)</f>
        <v/>
      </c>
      <c r="Q586" s="28">
        <f>IF(V586=1,"Late","")</f>
        <v/>
      </c>
      <c r="R586" s="1">
        <f>IF(ISNUMBER(B586),INT(B586)*10000000+IF(ISNUMBER(C586),ROUND(MOD(C586,1)*1440,0),0)*1000+ROW(),"")</f>
        <v/>
      </c>
      <c r="S586">
        <f>IF(ISNUMBER(B586),INT(B586)-WEEKDAY(B586,3),"")</f>
        <v/>
      </c>
      <c r="T586">
        <f>IF(ISNUMBER(B586),YEAR(B586)*100+MONTH(B586),"")</f>
        <v/>
      </c>
      <c r="U586">
        <f>IF(AND(ISNUMBER(B586),H586&lt;&gt;"Published"),IF(INT(B586)&gt;=TODAY(),R586,""),"")</f>
        <v/>
      </c>
      <c r="V586">
        <f>IF(AND(ISNUMBER(B586),OR(H586="Draft",H586="Scheduled")),IF(INT(B586)&lt;TODAY(),1,0),0)</f>
        <v/>
      </c>
      <c r="W586">
        <f>IF(AND(H586="Published",N(O586)&gt;0),IF(T586=(YEAR(TODAY())*100+MONTH(TODAY())),ROUND(O586,0)*1000+1000-ROW(),""),"")</f>
        <v/>
      </c>
    </row>
    <row r="587">
      <c r="A587" s="1" t="n"/>
      <c r="B587" s="21" t="n"/>
      <c r="C587" s="22" t="n"/>
      <c r="D587" s="23" t="n"/>
      <c r="E587" s="24" t="n"/>
      <c r="F587" s="23" t="n"/>
      <c r="G587" s="25" t="n"/>
      <c r="H587" s="24" t="n"/>
      <c r="I587" s="23" t="n"/>
      <c r="J587" s="26" t="n"/>
      <c r="K587" s="26" t="n"/>
      <c r="L587" s="26" t="n"/>
      <c r="M587" s="26" t="n"/>
      <c r="N587" s="26" t="n"/>
      <c r="O587" s="27">
        <f>IF(COUNT(K587:N587)=0,"",SUM(K587:N587))</f>
        <v/>
      </c>
      <c r="P587" s="16">
        <f>IF(OR(O587="",N(J587)&lt;=0),"",O587/J587)</f>
        <v/>
      </c>
      <c r="Q587" s="28">
        <f>IF(V587=1,"Late","")</f>
        <v/>
      </c>
      <c r="R587" s="1">
        <f>IF(ISNUMBER(B587),INT(B587)*10000000+IF(ISNUMBER(C587),ROUND(MOD(C587,1)*1440,0),0)*1000+ROW(),"")</f>
        <v/>
      </c>
      <c r="S587">
        <f>IF(ISNUMBER(B587),INT(B587)-WEEKDAY(B587,3),"")</f>
        <v/>
      </c>
      <c r="T587">
        <f>IF(ISNUMBER(B587),YEAR(B587)*100+MONTH(B587),"")</f>
        <v/>
      </c>
      <c r="U587">
        <f>IF(AND(ISNUMBER(B587),H587&lt;&gt;"Published"),IF(INT(B587)&gt;=TODAY(),R587,""),"")</f>
        <v/>
      </c>
      <c r="V587">
        <f>IF(AND(ISNUMBER(B587),OR(H587="Draft",H587="Scheduled")),IF(INT(B587)&lt;TODAY(),1,0),0)</f>
        <v/>
      </c>
      <c r="W587">
        <f>IF(AND(H587="Published",N(O587)&gt;0),IF(T587=(YEAR(TODAY())*100+MONTH(TODAY())),ROUND(O587,0)*1000+1000-ROW(),""),"")</f>
        <v/>
      </c>
    </row>
    <row r="588">
      <c r="A588" s="1" t="n"/>
      <c r="B588" s="21" t="n"/>
      <c r="C588" s="22" t="n"/>
      <c r="D588" s="23" t="n"/>
      <c r="E588" s="24" t="n"/>
      <c r="F588" s="23" t="n"/>
      <c r="G588" s="25" t="n"/>
      <c r="H588" s="24" t="n"/>
      <c r="I588" s="23" t="n"/>
      <c r="J588" s="26" t="n"/>
      <c r="K588" s="26" t="n"/>
      <c r="L588" s="26" t="n"/>
      <c r="M588" s="26" t="n"/>
      <c r="N588" s="26" t="n"/>
      <c r="O588" s="27">
        <f>IF(COUNT(K588:N588)=0,"",SUM(K588:N588))</f>
        <v/>
      </c>
      <c r="P588" s="16">
        <f>IF(OR(O588="",N(J588)&lt;=0),"",O588/J588)</f>
        <v/>
      </c>
      <c r="Q588" s="28">
        <f>IF(V588=1,"Late","")</f>
        <v/>
      </c>
      <c r="R588" s="1">
        <f>IF(ISNUMBER(B588),INT(B588)*10000000+IF(ISNUMBER(C588),ROUND(MOD(C588,1)*1440,0),0)*1000+ROW(),"")</f>
        <v/>
      </c>
      <c r="S588">
        <f>IF(ISNUMBER(B588),INT(B588)-WEEKDAY(B588,3),"")</f>
        <v/>
      </c>
      <c r="T588">
        <f>IF(ISNUMBER(B588),YEAR(B588)*100+MONTH(B588),"")</f>
        <v/>
      </c>
      <c r="U588">
        <f>IF(AND(ISNUMBER(B588),H588&lt;&gt;"Published"),IF(INT(B588)&gt;=TODAY(),R588,""),"")</f>
        <v/>
      </c>
      <c r="V588">
        <f>IF(AND(ISNUMBER(B588),OR(H588="Draft",H588="Scheduled")),IF(INT(B588)&lt;TODAY(),1,0),0)</f>
        <v/>
      </c>
      <c r="W588">
        <f>IF(AND(H588="Published",N(O588)&gt;0),IF(T588=(YEAR(TODAY())*100+MONTH(TODAY())),ROUND(O588,0)*1000+1000-ROW(),""),"")</f>
        <v/>
      </c>
    </row>
    <row r="589">
      <c r="A589" s="1" t="n"/>
      <c r="B589" s="21" t="n"/>
      <c r="C589" s="22" t="n"/>
      <c r="D589" s="23" t="n"/>
      <c r="E589" s="24" t="n"/>
      <c r="F589" s="23" t="n"/>
      <c r="G589" s="25" t="n"/>
      <c r="H589" s="24" t="n"/>
      <c r="I589" s="23" t="n"/>
      <c r="J589" s="26" t="n"/>
      <c r="K589" s="26" t="n"/>
      <c r="L589" s="26" t="n"/>
      <c r="M589" s="26" t="n"/>
      <c r="N589" s="26" t="n"/>
      <c r="O589" s="27">
        <f>IF(COUNT(K589:N589)=0,"",SUM(K589:N589))</f>
        <v/>
      </c>
      <c r="P589" s="16">
        <f>IF(OR(O589="",N(J589)&lt;=0),"",O589/J589)</f>
        <v/>
      </c>
      <c r="Q589" s="28">
        <f>IF(V589=1,"Late","")</f>
        <v/>
      </c>
      <c r="R589" s="1">
        <f>IF(ISNUMBER(B589),INT(B589)*10000000+IF(ISNUMBER(C589),ROUND(MOD(C589,1)*1440,0),0)*1000+ROW(),"")</f>
        <v/>
      </c>
      <c r="S589">
        <f>IF(ISNUMBER(B589),INT(B589)-WEEKDAY(B589,3),"")</f>
        <v/>
      </c>
      <c r="T589">
        <f>IF(ISNUMBER(B589),YEAR(B589)*100+MONTH(B589),"")</f>
        <v/>
      </c>
      <c r="U589">
        <f>IF(AND(ISNUMBER(B589),H589&lt;&gt;"Published"),IF(INT(B589)&gt;=TODAY(),R589,""),"")</f>
        <v/>
      </c>
      <c r="V589">
        <f>IF(AND(ISNUMBER(B589),OR(H589="Draft",H589="Scheduled")),IF(INT(B589)&lt;TODAY(),1,0),0)</f>
        <v/>
      </c>
      <c r="W589">
        <f>IF(AND(H589="Published",N(O589)&gt;0),IF(T589=(YEAR(TODAY())*100+MONTH(TODAY())),ROUND(O589,0)*1000+1000-ROW(),""),"")</f>
        <v/>
      </c>
    </row>
    <row r="590">
      <c r="A590" s="1" t="n"/>
      <c r="B590" s="21" t="n"/>
      <c r="C590" s="22" t="n"/>
      <c r="D590" s="23" t="n"/>
      <c r="E590" s="24" t="n"/>
      <c r="F590" s="23" t="n"/>
      <c r="G590" s="25" t="n"/>
      <c r="H590" s="24" t="n"/>
      <c r="I590" s="23" t="n"/>
      <c r="J590" s="26" t="n"/>
      <c r="K590" s="26" t="n"/>
      <c r="L590" s="26" t="n"/>
      <c r="M590" s="26" t="n"/>
      <c r="N590" s="26" t="n"/>
      <c r="O590" s="27">
        <f>IF(COUNT(K590:N590)=0,"",SUM(K590:N590))</f>
        <v/>
      </c>
      <c r="P590" s="16">
        <f>IF(OR(O590="",N(J590)&lt;=0),"",O590/J590)</f>
        <v/>
      </c>
      <c r="Q590" s="28">
        <f>IF(V590=1,"Late","")</f>
        <v/>
      </c>
      <c r="R590" s="1">
        <f>IF(ISNUMBER(B590),INT(B590)*10000000+IF(ISNUMBER(C590),ROUND(MOD(C590,1)*1440,0),0)*1000+ROW(),"")</f>
        <v/>
      </c>
      <c r="S590">
        <f>IF(ISNUMBER(B590),INT(B590)-WEEKDAY(B590,3),"")</f>
        <v/>
      </c>
      <c r="T590">
        <f>IF(ISNUMBER(B590),YEAR(B590)*100+MONTH(B590),"")</f>
        <v/>
      </c>
      <c r="U590">
        <f>IF(AND(ISNUMBER(B590),H590&lt;&gt;"Published"),IF(INT(B590)&gt;=TODAY(),R590,""),"")</f>
        <v/>
      </c>
      <c r="V590">
        <f>IF(AND(ISNUMBER(B590),OR(H590="Draft",H590="Scheduled")),IF(INT(B590)&lt;TODAY(),1,0),0)</f>
        <v/>
      </c>
      <c r="W590">
        <f>IF(AND(H590="Published",N(O590)&gt;0),IF(T590=(YEAR(TODAY())*100+MONTH(TODAY())),ROUND(O590,0)*1000+1000-ROW(),""),"")</f>
        <v/>
      </c>
    </row>
    <row r="591">
      <c r="A591" s="1" t="n"/>
      <c r="B591" s="21" t="n"/>
      <c r="C591" s="22" t="n"/>
      <c r="D591" s="23" t="n"/>
      <c r="E591" s="24" t="n"/>
      <c r="F591" s="23" t="n"/>
      <c r="G591" s="25" t="n"/>
      <c r="H591" s="24" t="n"/>
      <c r="I591" s="23" t="n"/>
      <c r="J591" s="26" t="n"/>
      <c r="K591" s="26" t="n"/>
      <c r="L591" s="26" t="n"/>
      <c r="M591" s="26" t="n"/>
      <c r="N591" s="26" t="n"/>
      <c r="O591" s="27">
        <f>IF(COUNT(K591:N591)=0,"",SUM(K591:N591))</f>
        <v/>
      </c>
      <c r="P591" s="16">
        <f>IF(OR(O591="",N(J591)&lt;=0),"",O591/J591)</f>
        <v/>
      </c>
      <c r="Q591" s="28">
        <f>IF(V591=1,"Late","")</f>
        <v/>
      </c>
      <c r="R591" s="1">
        <f>IF(ISNUMBER(B591),INT(B591)*10000000+IF(ISNUMBER(C591),ROUND(MOD(C591,1)*1440,0),0)*1000+ROW(),"")</f>
        <v/>
      </c>
      <c r="S591">
        <f>IF(ISNUMBER(B591),INT(B591)-WEEKDAY(B591,3),"")</f>
        <v/>
      </c>
      <c r="T591">
        <f>IF(ISNUMBER(B591),YEAR(B591)*100+MONTH(B591),"")</f>
        <v/>
      </c>
      <c r="U591">
        <f>IF(AND(ISNUMBER(B591),H591&lt;&gt;"Published"),IF(INT(B591)&gt;=TODAY(),R591,""),"")</f>
        <v/>
      </c>
      <c r="V591">
        <f>IF(AND(ISNUMBER(B591),OR(H591="Draft",H591="Scheduled")),IF(INT(B591)&lt;TODAY(),1,0),0)</f>
        <v/>
      </c>
      <c r="W591">
        <f>IF(AND(H591="Published",N(O591)&gt;0),IF(T591=(YEAR(TODAY())*100+MONTH(TODAY())),ROUND(O591,0)*1000+1000-ROW(),""),"")</f>
        <v/>
      </c>
    </row>
    <row r="592">
      <c r="A592" s="1" t="n"/>
      <c r="B592" s="21" t="n"/>
      <c r="C592" s="22" t="n"/>
      <c r="D592" s="23" t="n"/>
      <c r="E592" s="24" t="n"/>
      <c r="F592" s="23" t="n"/>
      <c r="G592" s="25" t="n"/>
      <c r="H592" s="24" t="n"/>
      <c r="I592" s="23" t="n"/>
      <c r="J592" s="26" t="n"/>
      <c r="K592" s="26" t="n"/>
      <c r="L592" s="26" t="n"/>
      <c r="M592" s="26" t="n"/>
      <c r="N592" s="26" t="n"/>
      <c r="O592" s="27">
        <f>IF(COUNT(K592:N592)=0,"",SUM(K592:N592))</f>
        <v/>
      </c>
      <c r="P592" s="16">
        <f>IF(OR(O592="",N(J592)&lt;=0),"",O592/J592)</f>
        <v/>
      </c>
      <c r="Q592" s="28">
        <f>IF(V592=1,"Late","")</f>
        <v/>
      </c>
      <c r="R592" s="1">
        <f>IF(ISNUMBER(B592),INT(B592)*10000000+IF(ISNUMBER(C592),ROUND(MOD(C592,1)*1440,0),0)*1000+ROW(),"")</f>
        <v/>
      </c>
      <c r="S592">
        <f>IF(ISNUMBER(B592),INT(B592)-WEEKDAY(B592,3),"")</f>
        <v/>
      </c>
      <c r="T592">
        <f>IF(ISNUMBER(B592),YEAR(B592)*100+MONTH(B592),"")</f>
        <v/>
      </c>
      <c r="U592">
        <f>IF(AND(ISNUMBER(B592),H592&lt;&gt;"Published"),IF(INT(B592)&gt;=TODAY(),R592,""),"")</f>
        <v/>
      </c>
      <c r="V592">
        <f>IF(AND(ISNUMBER(B592),OR(H592="Draft",H592="Scheduled")),IF(INT(B592)&lt;TODAY(),1,0),0)</f>
        <v/>
      </c>
      <c r="W592">
        <f>IF(AND(H592="Published",N(O592)&gt;0),IF(T592=(YEAR(TODAY())*100+MONTH(TODAY())),ROUND(O592,0)*1000+1000-ROW(),""),"")</f>
        <v/>
      </c>
    </row>
    <row r="593">
      <c r="A593" s="1" t="n"/>
      <c r="B593" s="21" t="n"/>
      <c r="C593" s="22" t="n"/>
      <c r="D593" s="23" t="n"/>
      <c r="E593" s="24" t="n"/>
      <c r="F593" s="23" t="n"/>
      <c r="G593" s="25" t="n"/>
      <c r="H593" s="24" t="n"/>
      <c r="I593" s="23" t="n"/>
      <c r="J593" s="26" t="n"/>
      <c r="K593" s="26" t="n"/>
      <c r="L593" s="26" t="n"/>
      <c r="M593" s="26" t="n"/>
      <c r="N593" s="26" t="n"/>
      <c r="O593" s="27">
        <f>IF(COUNT(K593:N593)=0,"",SUM(K593:N593))</f>
        <v/>
      </c>
      <c r="P593" s="16">
        <f>IF(OR(O593="",N(J593)&lt;=0),"",O593/J593)</f>
        <v/>
      </c>
      <c r="Q593" s="28">
        <f>IF(V593=1,"Late","")</f>
        <v/>
      </c>
      <c r="R593" s="1">
        <f>IF(ISNUMBER(B593),INT(B593)*10000000+IF(ISNUMBER(C593),ROUND(MOD(C593,1)*1440,0),0)*1000+ROW(),"")</f>
        <v/>
      </c>
      <c r="S593">
        <f>IF(ISNUMBER(B593),INT(B593)-WEEKDAY(B593,3),"")</f>
        <v/>
      </c>
      <c r="T593">
        <f>IF(ISNUMBER(B593),YEAR(B593)*100+MONTH(B593),"")</f>
        <v/>
      </c>
      <c r="U593">
        <f>IF(AND(ISNUMBER(B593),H593&lt;&gt;"Published"),IF(INT(B593)&gt;=TODAY(),R593,""),"")</f>
        <v/>
      </c>
      <c r="V593">
        <f>IF(AND(ISNUMBER(B593),OR(H593="Draft",H593="Scheduled")),IF(INT(B593)&lt;TODAY(),1,0),0)</f>
        <v/>
      </c>
      <c r="W593">
        <f>IF(AND(H593="Published",N(O593)&gt;0),IF(T593=(YEAR(TODAY())*100+MONTH(TODAY())),ROUND(O593,0)*1000+1000-ROW(),""),"")</f>
        <v/>
      </c>
    </row>
    <row r="594">
      <c r="A594" s="1" t="n"/>
      <c r="B594" s="21" t="n"/>
      <c r="C594" s="22" t="n"/>
      <c r="D594" s="23" t="n"/>
      <c r="E594" s="24" t="n"/>
      <c r="F594" s="23" t="n"/>
      <c r="G594" s="25" t="n"/>
      <c r="H594" s="24" t="n"/>
      <c r="I594" s="23" t="n"/>
      <c r="J594" s="26" t="n"/>
      <c r="K594" s="26" t="n"/>
      <c r="L594" s="26" t="n"/>
      <c r="M594" s="26" t="n"/>
      <c r="N594" s="26" t="n"/>
      <c r="O594" s="27">
        <f>IF(COUNT(K594:N594)=0,"",SUM(K594:N594))</f>
        <v/>
      </c>
      <c r="P594" s="16">
        <f>IF(OR(O594="",N(J594)&lt;=0),"",O594/J594)</f>
        <v/>
      </c>
      <c r="Q594" s="28">
        <f>IF(V594=1,"Late","")</f>
        <v/>
      </c>
      <c r="R594" s="1">
        <f>IF(ISNUMBER(B594),INT(B594)*10000000+IF(ISNUMBER(C594),ROUND(MOD(C594,1)*1440,0),0)*1000+ROW(),"")</f>
        <v/>
      </c>
      <c r="S594">
        <f>IF(ISNUMBER(B594),INT(B594)-WEEKDAY(B594,3),"")</f>
        <v/>
      </c>
      <c r="T594">
        <f>IF(ISNUMBER(B594),YEAR(B594)*100+MONTH(B594),"")</f>
        <v/>
      </c>
      <c r="U594">
        <f>IF(AND(ISNUMBER(B594),H594&lt;&gt;"Published"),IF(INT(B594)&gt;=TODAY(),R594,""),"")</f>
        <v/>
      </c>
      <c r="V594">
        <f>IF(AND(ISNUMBER(B594),OR(H594="Draft",H594="Scheduled")),IF(INT(B594)&lt;TODAY(),1,0),0)</f>
        <v/>
      </c>
      <c r="W594">
        <f>IF(AND(H594="Published",N(O594)&gt;0),IF(T594=(YEAR(TODAY())*100+MONTH(TODAY())),ROUND(O594,0)*1000+1000-ROW(),""),"")</f>
        <v/>
      </c>
    </row>
    <row r="595">
      <c r="A595" s="1" t="n"/>
      <c r="B595" s="21" t="n"/>
      <c r="C595" s="22" t="n"/>
      <c r="D595" s="23" t="n"/>
      <c r="E595" s="24" t="n"/>
      <c r="F595" s="23" t="n"/>
      <c r="G595" s="25" t="n"/>
      <c r="H595" s="24" t="n"/>
      <c r="I595" s="23" t="n"/>
      <c r="J595" s="26" t="n"/>
      <c r="K595" s="26" t="n"/>
      <c r="L595" s="26" t="n"/>
      <c r="M595" s="26" t="n"/>
      <c r="N595" s="26" t="n"/>
      <c r="O595" s="27">
        <f>IF(COUNT(K595:N595)=0,"",SUM(K595:N595))</f>
        <v/>
      </c>
      <c r="P595" s="16">
        <f>IF(OR(O595="",N(J595)&lt;=0),"",O595/J595)</f>
        <v/>
      </c>
      <c r="Q595" s="28">
        <f>IF(V595=1,"Late","")</f>
        <v/>
      </c>
      <c r="R595" s="1">
        <f>IF(ISNUMBER(B595),INT(B595)*10000000+IF(ISNUMBER(C595),ROUND(MOD(C595,1)*1440,0),0)*1000+ROW(),"")</f>
        <v/>
      </c>
      <c r="S595">
        <f>IF(ISNUMBER(B595),INT(B595)-WEEKDAY(B595,3),"")</f>
        <v/>
      </c>
      <c r="T595">
        <f>IF(ISNUMBER(B595),YEAR(B595)*100+MONTH(B595),"")</f>
        <v/>
      </c>
      <c r="U595">
        <f>IF(AND(ISNUMBER(B595),H595&lt;&gt;"Published"),IF(INT(B595)&gt;=TODAY(),R595,""),"")</f>
        <v/>
      </c>
      <c r="V595">
        <f>IF(AND(ISNUMBER(B595),OR(H595="Draft",H595="Scheduled")),IF(INT(B595)&lt;TODAY(),1,0),0)</f>
        <v/>
      </c>
      <c r="W595">
        <f>IF(AND(H595="Published",N(O595)&gt;0),IF(T595=(YEAR(TODAY())*100+MONTH(TODAY())),ROUND(O595,0)*1000+1000-ROW(),""),"")</f>
        <v/>
      </c>
    </row>
    <row r="596">
      <c r="A596" s="1" t="n"/>
      <c r="B596" s="21" t="n"/>
      <c r="C596" s="22" t="n"/>
      <c r="D596" s="23" t="n"/>
      <c r="E596" s="24" t="n"/>
      <c r="F596" s="23" t="n"/>
      <c r="G596" s="25" t="n"/>
      <c r="H596" s="24" t="n"/>
      <c r="I596" s="23" t="n"/>
      <c r="J596" s="26" t="n"/>
      <c r="K596" s="26" t="n"/>
      <c r="L596" s="26" t="n"/>
      <c r="M596" s="26" t="n"/>
      <c r="N596" s="26" t="n"/>
      <c r="O596" s="27">
        <f>IF(COUNT(K596:N596)=0,"",SUM(K596:N596))</f>
        <v/>
      </c>
      <c r="P596" s="16">
        <f>IF(OR(O596="",N(J596)&lt;=0),"",O596/J596)</f>
        <v/>
      </c>
      <c r="Q596" s="28">
        <f>IF(V596=1,"Late","")</f>
        <v/>
      </c>
      <c r="R596" s="1">
        <f>IF(ISNUMBER(B596),INT(B596)*10000000+IF(ISNUMBER(C596),ROUND(MOD(C596,1)*1440,0),0)*1000+ROW(),"")</f>
        <v/>
      </c>
      <c r="S596">
        <f>IF(ISNUMBER(B596),INT(B596)-WEEKDAY(B596,3),"")</f>
        <v/>
      </c>
      <c r="T596">
        <f>IF(ISNUMBER(B596),YEAR(B596)*100+MONTH(B596),"")</f>
        <v/>
      </c>
      <c r="U596">
        <f>IF(AND(ISNUMBER(B596),H596&lt;&gt;"Published"),IF(INT(B596)&gt;=TODAY(),R596,""),"")</f>
        <v/>
      </c>
      <c r="V596">
        <f>IF(AND(ISNUMBER(B596),OR(H596="Draft",H596="Scheduled")),IF(INT(B596)&lt;TODAY(),1,0),0)</f>
        <v/>
      </c>
      <c r="W596">
        <f>IF(AND(H596="Published",N(O596)&gt;0),IF(T596=(YEAR(TODAY())*100+MONTH(TODAY())),ROUND(O596,0)*1000+1000-ROW(),""),"")</f>
        <v/>
      </c>
    </row>
    <row r="597">
      <c r="A597" s="1" t="n"/>
      <c r="B597" s="21" t="n"/>
      <c r="C597" s="22" t="n"/>
      <c r="D597" s="23" t="n"/>
      <c r="E597" s="24" t="n"/>
      <c r="F597" s="23" t="n"/>
      <c r="G597" s="25" t="n"/>
      <c r="H597" s="24" t="n"/>
      <c r="I597" s="23" t="n"/>
      <c r="J597" s="26" t="n"/>
      <c r="K597" s="26" t="n"/>
      <c r="L597" s="26" t="n"/>
      <c r="M597" s="26" t="n"/>
      <c r="N597" s="26" t="n"/>
      <c r="O597" s="27">
        <f>IF(COUNT(K597:N597)=0,"",SUM(K597:N597))</f>
        <v/>
      </c>
      <c r="P597" s="16">
        <f>IF(OR(O597="",N(J597)&lt;=0),"",O597/J597)</f>
        <v/>
      </c>
      <c r="Q597" s="28">
        <f>IF(V597=1,"Late","")</f>
        <v/>
      </c>
      <c r="R597" s="1">
        <f>IF(ISNUMBER(B597),INT(B597)*10000000+IF(ISNUMBER(C597),ROUND(MOD(C597,1)*1440,0),0)*1000+ROW(),"")</f>
        <v/>
      </c>
      <c r="S597">
        <f>IF(ISNUMBER(B597),INT(B597)-WEEKDAY(B597,3),"")</f>
        <v/>
      </c>
      <c r="T597">
        <f>IF(ISNUMBER(B597),YEAR(B597)*100+MONTH(B597),"")</f>
        <v/>
      </c>
      <c r="U597">
        <f>IF(AND(ISNUMBER(B597),H597&lt;&gt;"Published"),IF(INT(B597)&gt;=TODAY(),R597,""),"")</f>
        <v/>
      </c>
      <c r="V597">
        <f>IF(AND(ISNUMBER(B597),OR(H597="Draft",H597="Scheduled")),IF(INT(B597)&lt;TODAY(),1,0),0)</f>
        <v/>
      </c>
      <c r="W597">
        <f>IF(AND(H597="Published",N(O597)&gt;0),IF(T597=(YEAR(TODAY())*100+MONTH(TODAY())),ROUND(O597,0)*1000+1000-ROW(),""),"")</f>
        <v/>
      </c>
    </row>
    <row r="598">
      <c r="A598" s="1" t="n"/>
      <c r="B598" s="21" t="n"/>
      <c r="C598" s="22" t="n"/>
      <c r="D598" s="23" t="n"/>
      <c r="E598" s="24" t="n"/>
      <c r="F598" s="23" t="n"/>
      <c r="G598" s="25" t="n"/>
      <c r="H598" s="24" t="n"/>
      <c r="I598" s="23" t="n"/>
      <c r="J598" s="26" t="n"/>
      <c r="K598" s="26" t="n"/>
      <c r="L598" s="26" t="n"/>
      <c r="M598" s="26" t="n"/>
      <c r="N598" s="26" t="n"/>
      <c r="O598" s="27">
        <f>IF(COUNT(K598:N598)=0,"",SUM(K598:N598))</f>
        <v/>
      </c>
      <c r="P598" s="16">
        <f>IF(OR(O598="",N(J598)&lt;=0),"",O598/J598)</f>
        <v/>
      </c>
      <c r="Q598" s="28">
        <f>IF(V598=1,"Late","")</f>
        <v/>
      </c>
      <c r="R598" s="1">
        <f>IF(ISNUMBER(B598),INT(B598)*10000000+IF(ISNUMBER(C598),ROUND(MOD(C598,1)*1440,0),0)*1000+ROW(),"")</f>
        <v/>
      </c>
      <c r="S598">
        <f>IF(ISNUMBER(B598),INT(B598)-WEEKDAY(B598,3),"")</f>
        <v/>
      </c>
      <c r="T598">
        <f>IF(ISNUMBER(B598),YEAR(B598)*100+MONTH(B598),"")</f>
        <v/>
      </c>
      <c r="U598">
        <f>IF(AND(ISNUMBER(B598),H598&lt;&gt;"Published"),IF(INT(B598)&gt;=TODAY(),R598,""),"")</f>
        <v/>
      </c>
      <c r="V598">
        <f>IF(AND(ISNUMBER(B598),OR(H598="Draft",H598="Scheduled")),IF(INT(B598)&lt;TODAY(),1,0),0)</f>
        <v/>
      </c>
      <c r="W598">
        <f>IF(AND(H598="Published",N(O598)&gt;0),IF(T598=(YEAR(TODAY())*100+MONTH(TODAY())),ROUND(O598,0)*1000+1000-ROW(),""),"")</f>
        <v/>
      </c>
    </row>
    <row r="599">
      <c r="A599" s="1" t="n"/>
      <c r="B599" s="21" t="n"/>
      <c r="C599" s="22" t="n"/>
      <c r="D599" s="23" t="n"/>
      <c r="E599" s="24" t="n"/>
      <c r="F599" s="23" t="n"/>
      <c r="G599" s="25" t="n"/>
      <c r="H599" s="24" t="n"/>
      <c r="I599" s="23" t="n"/>
      <c r="J599" s="26" t="n"/>
      <c r="K599" s="26" t="n"/>
      <c r="L599" s="26" t="n"/>
      <c r="M599" s="26" t="n"/>
      <c r="N599" s="26" t="n"/>
      <c r="O599" s="27">
        <f>IF(COUNT(K599:N599)=0,"",SUM(K599:N599))</f>
        <v/>
      </c>
      <c r="P599" s="16">
        <f>IF(OR(O599="",N(J599)&lt;=0),"",O599/J599)</f>
        <v/>
      </c>
      <c r="Q599" s="28">
        <f>IF(V599=1,"Late","")</f>
        <v/>
      </c>
      <c r="R599" s="1">
        <f>IF(ISNUMBER(B599),INT(B599)*10000000+IF(ISNUMBER(C599),ROUND(MOD(C599,1)*1440,0),0)*1000+ROW(),"")</f>
        <v/>
      </c>
      <c r="S599">
        <f>IF(ISNUMBER(B599),INT(B599)-WEEKDAY(B599,3),"")</f>
        <v/>
      </c>
      <c r="T599">
        <f>IF(ISNUMBER(B599),YEAR(B599)*100+MONTH(B599),"")</f>
        <v/>
      </c>
      <c r="U599">
        <f>IF(AND(ISNUMBER(B599),H599&lt;&gt;"Published"),IF(INT(B599)&gt;=TODAY(),R599,""),"")</f>
        <v/>
      </c>
      <c r="V599">
        <f>IF(AND(ISNUMBER(B599),OR(H599="Draft",H599="Scheduled")),IF(INT(B599)&lt;TODAY(),1,0),0)</f>
        <v/>
      </c>
      <c r="W599">
        <f>IF(AND(H599="Published",N(O599)&gt;0),IF(T599=(YEAR(TODAY())*100+MONTH(TODAY())),ROUND(O599,0)*1000+1000-ROW(),""),"")</f>
        <v/>
      </c>
    </row>
    <row r="600">
      <c r="A600" s="1" t="n"/>
      <c r="B600" s="21" t="n"/>
      <c r="C600" s="22" t="n"/>
      <c r="D600" s="23" t="n"/>
      <c r="E600" s="24" t="n"/>
      <c r="F600" s="23" t="n"/>
      <c r="G600" s="25" t="n"/>
      <c r="H600" s="24" t="n"/>
      <c r="I600" s="23" t="n"/>
      <c r="J600" s="26" t="n"/>
      <c r="K600" s="26" t="n"/>
      <c r="L600" s="26" t="n"/>
      <c r="M600" s="26" t="n"/>
      <c r="N600" s="26" t="n"/>
      <c r="O600" s="27">
        <f>IF(COUNT(K600:N600)=0,"",SUM(K600:N600))</f>
        <v/>
      </c>
      <c r="P600" s="16">
        <f>IF(OR(O600="",N(J600)&lt;=0),"",O600/J600)</f>
        <v/>
      </c>
      <c r="Q600" s="28">
        <f>IF(V600=1,"Late","")</f>
        <v/>
      </c>
      <c r="R600" s="1">
        <f>IF(ISNUMBER(B600),INT(B600)*10000000+IF(ISNUMBER(C600),ROUND(MOD(C600,1)*1440,0),0)*1000+ROW(),"")</f>
        <v/>
      </c>
      <c r="S600">
        <f>IF(ISNUMBER(B600),INT(B600)-WEEKDAY(B600,3),"")</f>
        <v/>
      </c>
      <c r="T600">
        <f>IF(ISNUMBER(B600),YEAR(B600)*100+MONTH(B600),"")</f>
        <v/>
      </c>
      <c r="U600">
        <f>IF(AND(ISNUMBER(B600),H600&lt;&gt;"Published"),IF(INT(B600)&gt;=TODAY(),R600,""),"")</f>
        <v/>
      </c>
      <c r="V600">
        <f>IF(AND(ISNUMBER(B600),OR(H600="Draft",H600="Scheduled")),IF(INT(B600)&lt;TODAY(),1,0),0)</f>
        <v/>
      </c>
      <c r="W600">
        <f>IF(AND(H600="Published",N(O600)&gt;0),IF(T600=(YEAR(TODAY())*100+MONTH(TODAY())),ROUND(O600,0)*1000+1000-ROW(),""),"")</f>
        <v/>
      </c>
    </row>
    <row r="601">
      <c r="A601" s="1" t="n"/>
      <c r="B601" s="21" t="n"/>
      <c r="C601" s="22" t="n"/>
      <c r="D601" s="23" t="n"/>
      <c r="E601" s="24" t="n"/>
      <c r="F601" s="23" t="n"/>
      <c r="G601" s="25" t="n"/>
      <c r="H601" s="24" t="n"/>
      <c r="I601" s="23" t="n"/>
      <c r="J601" s="26" t="n"/>
      <c r="K601" s="26" t="n"/>
      <c r="L601" s="26" t="n"/>
      <c r="M601" s="26" t="n"/>
      <c r="N601" s="26" t="n"/>
      <c r="O601" s="27">
        <f>IF(COUNT(K601:N601)=0,"",SUM(K601:N601))</f>
        <v/>
      </c>
      <c r="P601" s="16">
        <f>IF(OR(O601="",N(J601)&lt;=0),"",O601/J601)</f>
        <v/>
      </c>
      <c r="Q601" s="28">
        <f>IF(V601=1,"Late","")</f>
        <v/>
      </c>
      <c r="R601" s="1">
        <f>IF(ISNUMBER(B601),INT(B601)*10000000+IF(ISNUMBER(C601),ROUND(MOD(C601,1)*1440,0),0)*1000+ROW(),"")</f>
        <v/>
      </c>
      <c r="S601">
        <f>IF(ISNUMBER(B601),INT(B601)-WEEKDAY(B601,3),"")</f>
        <v/>
      </c>
      <c r="T601">
        <f>IF(ISNUMBER(B601),YEAR(B601)*100+MONTH(B601),"")</f>
        <v/>
      </c>
      <c r="U601">
        <f>IF(AND(ISNUMBER(B601),H601&lt;&gt;"Published"),IF(INT(B601)&gt;=TODAY(),R601,""),"")</f>
        <v/>
      </c>
      <c r="V601">
        <f>IF(AND(ISNUMBER(B601),OR(H601="Draft",H601="Scheduled")),IF(INT(B601)&lt;TODAY(),1,0),0)</f>
        <v/>
      </c>
      <c r="W601">
        <f>IF(AND(H601="Published",N(O601)&gt;0),IF(T601=(YEAR(TODAY())*100+MONTH(TODAY())),ROUND(O601,0)*1000+1000-ROW(),""),"")</f>
        <v/>
      </c>
    </row>
    <row r="602">
      <c r="A602" s="1" t="n"/>
      <c r="B602" s="21" t="n"/>
      <c r="C602" s="22" t="n"/>
      <c r="D602" s="23" t="n"/>
      <c r="E602" s="24" t="n"/>
      <c r="F602" s="23" t="n"/>
      <c r="G602" s="25" t="n"/>
      <c r="H602" s="24" t="n"/>
      <c r="I602" s="23" t="n"/>
      <c r="J602" s="26" t="n"/>
      <c r="K602" s="26" t="n"/>
      <c r="L602" s="26" t="n"/>
      <c r="M602" s="26" t="n"/>
      <c r="N602" s="26" t="n"/>
      <c r="O602" s="27">
        <f>IF(COUNT(K602:N602)=0,"",SUM(K602:N602))</f>
        <v/>
      </c>
      <c r="P602" s="16">
        <f>IF(OR(O602="",N(J602)&lt;=0),"",O602/J602)</f>
        <v/>
      </c>
      <c r="Q602" s="28">
        <f>IF(V602=1,"Late","")</f>
        <v/>
      </c>
      <c r="R602" s="1">
        <f>IF(ISNUMBER(B602),INT(B602)*10000000+IF(ISNUMBER(C602),ROUND(MOD(C602,1)*1440,0),0)*1000+ROW(),"")</f>
        <v/>
      </c>
      <c r="S602">
        <f>IF(ISNUMBER(B602),INT(B602)-WEEKDAY(B602,3),"")</f>
        <v/>
      </c>
      <c r="T602">
        <f>IF(ISNUMBER(B602),YEAR(B602)*100+MONTH(B602),"")</f>
        <v/>
      </c>
      <c r="U602">
        <f>IF(AND(ISNUMBER(B602),H602&lt;&gt;"Published"),IF(INT(B602)&gt;=TODAY(),R602,""),"")</f>
        <v/>
      </c>
      <c r="V602">
        <f>IF(AND(ISNUMBER(B602),OR(H602="Draft",H602="Scheduled")),IF(INT(B602)&lt;TODAY(),1,0),0)</f>
        <v/>
      </c>
      <c r="W602">
        <f>IF(AND(H602="Published",N(O602)&gt;0),IF(T602=(YEAR(TODAY())*100+MONTH(TODAY())),ROUND(O602,0)*1000+1000-ROW(),""),"")</f>
        <v/>
      </c>
    </row>
    <row r="603">
      <c r="A603" s="1" t="n"/>
      <c r="B603" s="21" t="n"/>
      <c r="C603" s="22" t="n"/>
      <c r="D603" s="23" t="n"/>
      <c r="E603" s="24" t="n"/>
      <c r="F603" s="23" t="n"/>
      <c r="G603" s="25" t="n"/>
      <c r="H603" s="24" t="n"/>
      <c r="I603" s="23" t="n"/>
      <c r="J603" s="26" t="n"/>
      <c r="K603" s="26" t="n"/>
      <c r="L603" s="26" t="n"/>
      <c r="M603" s="26" t="n"/>
      <c r="N603" s="26" t="n"/>
      <c r="O603" s="27">
        <f>IF(COUNT(K603:N603)=0,"",SUM(K603:N603))</f>
        <v/>
      </c>
      <c r="P603" s="16">
        <f>IF(OR(O603="",N(J603)&lt;=0),"",O603/J603)</f>
        <v/>
      </c>
      <c r="Q603" s="28">
        <f>IF(V603=1,"Late","")</f>
        <v/>
      </c>
      <c r="R603" s="1">
        <f>IF(ISNUMBER(B603),INT(B603)*10000000+IF(ISNUMBER(C603),ROUND(MOD(C603,1)*1440,0),0)*1000+ROW(),"")</f>
        <v/>
      </c>
      <c r="S603">
        <f>IF(ISNUMBER(B603),INT(B603)-WEEKDAY(B603,3),"")</f>
        <v/>
      </c>
      <c r="T603">
        <f>IF(ISNUMBER(B603),YEAR(B603)*100+MONTH(B603),"")</f>
        <v/>
      </c>
      <c r="U603">
        <f>IF(AND(ISNUMBER(B603),H603&lt;&gt;"Published"),IF(INT(B603)&gt;=TODAY(),R603,""),"")</f>
        <v/>
      </c>
      <c r="V603">
        <f>IF(AND(ISNUMBER(B603),OR(H603="Draft",H603="Scheduled")),IF(INT(B603)&lt;TODAY(),1,0),0)</f>
        <v/>
      </c>
      <c r="W603">
        <f>IF(AND(H603="Published",N(O603)&gt;0),IF(T603=(YEAR(TODAY())*100+MONTH(TODAY())),ROUND(O603,0)*1000+1000-ROW(),""),"")</f>
        <v/>
      </c>
    </row>
    <row r="604">
      <c r="A604" s="1" t="n"/>
      <c r="B604" s="21" t="n"/>
      <c r="C604" s="22" t="n"/>
      <c r="D604" s="23" t="n"/>
      <c r="E604" s="24" t="n"/>
      <c r="F604" s="23" t="n"/>
      <c r="G604" s="25" t="n"/>
      <c r="H604" s="24" t="n"/>
      <c r="I604" s="23" t="n"/>
      <c r="J604" s="26" t="n"/>
      <c r="K604" s="26" t="n"/>
      <c r="L604" s="26" t="n"/>
      <c r="M604" s="26" t="n"/>
      <c r="N604" s="26" t="n"/>
      <c r="O604" s="27">
        <f>IF(COUNT(K604:N604)=0,"",SUM(K604:N604))</f>
        <v/>
      </c>
      <c r="P604" s="16">
        <f>IF(OR(O604="",N(J604)&lt;=0),"",O604/J604)</f>
        <v/>
      </c>
      <c r="Q604" s="28">
        <f>IF(V604=1,"Late","")</f>
        <v/>
      </c>
      <c r="R604" s="1">
        <f>IF(ISNUMBER(B604),INT(B604)*10000000+IF(ISNUMBER(C604),ROUND(MOD(C604,1)*1440,0),0)*1000+ROW(),"")</f>
        <v/>
      </c>
      <c r="S604">
        <f>IF(ISNUMBER(B604),INT(B604)-WEEKDAY(B604,3),"")</f>
        <v/>
      </c>
      <c r="T604">
        <f>IF(ISNUMBER(B604),YEAR(B604)*100+MONTH(B604),"")</f>
        <v/>
      </c>
      <c r="U604">
        <f>IF(AND(ISNUMBER(B604),H604&lt;&gt;"Published"),IF(INT(B604)&gt;=TODAY(),R604,""),"")</f>
        <v/>
      </c>
      <c r="V604">
        <f>IF(AND(ISNUMBER(B604),OR(H604="Draft",H604="Scheduled")),IF(INT(B604)&lt;TODAY(),1,0),0)</f>
        <v/>
      </c>
      <c r="W604">
        <f>IF(AND(H604="Published",N(O604)&gt;0),IF(T604=(YEAR(TODAY())*100+MONTH(TODAY())),ROUND(O604,0)*1000+1000-ROW(),""),"")</f>
        <v/>
      </c>
    </row>
    <row r="605">
      <c r="A605" s="1" t="n"/>
      <c r="B605" s="21" t="n"/>
      <c r="C605" s="22" t="n"/>
      <c r="D605" s="23" t="n"/>
      <c r="E605" s="24" t="n"/>
      <c r="F605" s="23" t="n"/>
      <c r="G605" s="25" t="n"/>
      <c r="H605" s="24" t="n"/>
      <c r="I605" s="23" t="n"/>
      <c r="J605" s="26" t="n"/>
      <c r="K605" s="26" t="n"/>
      <c r="L605" s="26" t="n"/>
      <c r="M605" s="26" t="n"/>
      <c r="N605" s="26" t="n"/>
      <c r="O605" s="27">
        <f>IF(COUNT(K605:N605)=0,"",SUM(K605:N605))</f>
        <v/>
      </c>
      <c r="P605" s="16">
        <f>IF(OR(O605="",N(J605)&lt;=0),"",O605/J605)</f>
        <v/>
      </c>
      <c r="Q605" s="28">
        <f>IF(V605=1,"Late","")</f>
        <v/>
      </c>
      <c r="R605" s="1">
        <f>IF(ISNUMBER(B605),INT(B605)*10000000+IF(ISNUMBER(C605),ROUND(MOD(C605,1)*1440,0),0)*1000+ROW(),"")</f>
        <v/>
      </c>
      <c r="S605">
        <f>IF(ISNUMBER(B605),INT(B605)-WEEKDAY(B605,3),"")</f>
        <v/>
      </c>
      <c r="T605">
        <f>IF(ISNUMBER(B605),YEAR(B605)*100+MONTH(B605),"")</f>
        <v/>
      </c>
      <c r="U605">
        <f>IF(AND(ISNUMBER(B605),H605&lt;&gt;"Published"),IF(INT(B605)&gt;=TODAY(),R605,""),"")</f>
        <v/>
      </c>
      <c r="V605">
        <f>IF(AND(ISNUMBER(B605),OR(H605="Draft",H605="Scheduled")),IF(INT(B605)&lt;TODAY(),1,0),0)</f>
        <v/>
      </c>
      <c r="W605">
        <f>IF(AND(H605="Published",N(O605)&gt;0),IF(T605=(YEAR(TODAY())*100+MONTH(TODAY())),ROUND(O605,0)*1000+1000-ROW(),""),"")</f>
        <v/>
      </c>
    </row>
    <row r="606">
      <c r="A606" s="1" t="n"/>
      <c r="B606" s="21" t="n"/>
      <c r="C606" s="22" t="n"/>
      <c r="D606" s="23" t="n"/>
      <c r="E606" s="24" t="n"/>
      <c r="F606" s="23" t="n"/>
      <c r="G606" s="25" t="n"/>
      <c r="H606" s="24" t="n"/>
      <c r="I606" s="23" t="n"/>
      <c r="J606" s="26" t="n"/>
      <c r="K606" s="26" t="n"/>
      <c r="L606" s="26" t="n"/>
      <c r="M606" s="26" t="n"/>
      <c r="N606" s="26" t="n"/>
      <c r="O606" s="27">
        <f>IF(COUNT(K606:N606)=0,"",SUM(K606:N606))</f>
        <v/>
      </c>
      <c r="P606" s="16">
        <f>IF(OR(O606="",N(J606)&lt;=0),"",O606/J606)</f>
        <v/>
      </c>
      <c r="Q606" s="28">
        <f>IF(V606=1,"Late","")</f>
        <v/>
      </c>
      <c r="R606" s="1">
        <f>IF(ISNUMBER(B606),INT(B606)*10000000+IF(ISNUMBER(C606),ROUND(MOD(C606,1)*1440,0),0)*1000+ROW(),"")</f>
        <v/>
      </c>
      <c r="S606">
        <f>IF(ISNUMBER(B606),INT(B606)-WEEKDAY(B606,3),"")</f>
        <v/>
      </c>
      <c r="T606">
        <f>IF(ISNUMBER(B606),YEAR(B606)*100+MONTH(B606),"")</f>
        <v/>
      </c>
      <c r="U606">
        <f>IF(AND(ISNUMBER(B606),H606&lt;&gt;"Published"),IF(INT(B606)&gt;=TODAY(),R606,""),"")</f>
        <v/>
      </c>
      <c r="V606">
        <f>IF(AND(ISNUMBER(B606),OR(H606="Draft",H606="Scheduled")),IF(INT(B606)&lt;TODAY(),1,0),0)</f>
        <v/>
      </c>
      <c r="W606">
        <f>IF(AND(H606="Published",N(O606)&gt;0),IF(T606=(YEAR(TODAY())*100+MONTH(TODAY())),ROUND(O606,0)*1000+1000-ROW(),""),"")</f>
        <v/>
      </c>
    </row>
    <row r="607">
      <c r="A607" s="1" t="n"/>
      <c r="B607" s="21" t="n"/>
      <c r="C607" s="22" t="n"/>
      <c r="D607" s="23" t="n"/>
      <c r="E607" s="24" t="n"/>
      <c r="F607" s="23" t="n"/>
      <c r="G607" s="25" t="n"/>
      <c r="H607" s="24" t="n"/>
      <c r="I607" s="23" t="n"/>
      <c r="J607" s="26" t="n"/>
      <c r="K607" s="26" t="n"/>
      <c r="L607" s="26" t="n"/>
      <c r="M607" s="26" t="n"/>
      <c r="N607" s="26" t="n"/>
      <c r="O607" s="27">
        <f>IF(COUNT(K607:N607)=0,"",SUM(K607:N607))</f>
        <v/>
      </c>
      <c r="P607" s="16">
        <f>IF(OR(O607="",N(J607)&lt;=0),"",O607/J607)</f>
        <v/>
      </c>
      <c r="Q607" s="28">
        <f>IF(V607=1,"Late","")</f>
        <v/>
      </c>
      <c r="R607" s="1">
        <f>IF(ISNUMBER(B607),INT(B607)*10000000+IF(ISNUMBER(C607),ROUND(MOD(C607,1)*1440,0),0)*1000+ROW(),"")</f>
        <v/>
      </c>
      <c r="S607">
        <f>IF(ISNUMBER(B607),INT(B607)-WEEKDAY(B607,3),"")</f>
        <v/>
      </c>
      <c r="T607">
        <f>IF(ISNUMBER(B607),YEAR(B607)*100+MONTH(B607),"")</f>
        <v/>
      </c>
      <c r="U607">
        <f>IF(AND(ISNUMBER(B607),H607&lt;&gt;"Published"),IF(INT(B607)&gt;=TODAY(),R607,""),"")</f>
        <v/>
      </c>
      <c r="V607">
        <f>IF(AND(ISNUMBER(B607),OR(H607="Draft",H607="Scheduled")),IF(INT(B607)&lt;TODAY(),1,0),0)</f>
        <v/>
      </c>
      <c r="W607">
        <f>IF(AND(H607="Published",N(O607)&gt;0),IF(T607=(YEAR(TODAY())*100+MONTH(TODAY())),ROUND(O607,0)*1000+1000-ROW(),""),"")</f>
        <v/>
      </c>
    </row>
    <row r="608">
      <c r="A608" s="1" t="n"/>
      <c r="B608" s="21" t="n"/>
      <c r="C608" s="22" t="n"/>
      <c r="D608" s="23" t="n"/>
      <c r="E608" s="24" t="n"/>
      <c r="F608" s="23" t="n"/>
      <c r="G608" s="25" t="n"/>
      <c r="H608" s="24" t="n"/>
      <c r="I608" s="23" t="n"/>
      <c r="J608" s="26" t="n"/>
      <c r="K608" s="26" t="n"/>
      <c r="L608" s="26" t="n"/>
      <c r="M608" s="26" t="n"/>
      <c r="N608" s="26" t="n"/>
      <c r="O608" s="27">
        <f>IF(COUNT(K608:N608)=0,"",SUM(K608:N608))</f>
        <v/>
      </c>
      <c r="P608" s="16">
        <f>IF(OR(O608="",N(J608)&lt;=0),"",O608/J608)</f>
        <v/>
      </c>
      <c r="Q608" s="28">
        <f>IF(V608=1,"Late","")</f>
        <v/>
      </c>
      <c r="R608" s="1">
        <f>IF(ISNUMBER(B608),INT(B608)*10000000+IF(ISNUMBER(C608),ROUND(MOD(C608,1)*1440,0),0)*1000+ROW(),"")</f>
        <v/>
      </c>
      <c r="S608">
        <f>IF(ISNUMBER(B608),INT(B608)-WEEKDAY(B608,3),"")</f>
        <v/>
      </c>
      <c r="T608">
        <f>IF(ISNUMBER(B608),YEAR(B608)*100+MONTH(B608),"")</f>
        <v/>
      </c>
      <c r="U608">
        <f>IF(AND(ISNUMBER(B608),H608&lt;&gt;"Published"),IF(INT(B608)&gt;=TODAY(),R608,""),"")</f>
        <v/>
      </c>
      <c r="V608">
        <f>IF(AND(ISNUMBER(B608),OR(H608="Draft",H608="Scheduled")),IF(INT(B608)&lt;TODAY(),1,0),0)</f>
        <v/>
      </c>
      <c r="W608">
        <f>IF(AND(H608="Published",N(O608)&gt;0),IF(T608=(YEAR(TODAY())*100+MONTH(TODAY())),ROUND(O608,0)*1000+1000-ROW(),""),"")</f>
        <v/>
      </c>
    </row>
    <row r="609">
      <c r="A609" s="1" t="n"/>
      <c r="B609" s="21" t="n"/>
      <c r="C609" s="22" t="n"/>
      <c r="D609" s="23" t="n"/>
      <c r="E609" s="24" t="n"/>
      <c r="F609" s="23" t="n"/>
      <c r="G609" s="25" t="n"/>
      <c r="H609" s="24" t="n"/>
      <c r="I609" s="23" t="n"/>
      <c r="J609" s="26" t="n"/>
      <c r="K609" s="26" t="n"/>
      <c r="L609" s="26" t="n"/>
      <c r="M609" s="26" t="n"/>
      <c r="N609" s="26" t="n"/>
      <c r="O609" s="27">
        <f>IF(COUNT(K609:N609)=0,"",SUM(K609:N609))</f>
        <v/>
      </c>
      <c r="P609" s="16">
        <f>IF(OR(O609="",N(J609)&lt;=0),"",O609/J609)</f>
        <v/>
      </c>
      <c r="Q609" s="28">
        <f>IF(V609=1,"Late","")</f>
        <v/>
      </c>
      <c r="R609" s="1">
        <f>IF(ISNUMBER(B609),INT(B609)*10000000+IF(ISNUMBER(C609),ROUND(MOD(C609,1)*1440,0),0)*1000+ROW(),"")</f>
        <v/>
      </c>
      <c r="S609">
        <f>IF(ISNUMBER(B609),INT(B609)-WEEKDAY(B609,3),"")</f>
        <v/>
      </c>
      <c r="T609">
        <f>IF(ISNUMBER(B609),YEAR(B609)*100+MONTH(B609),"")</f>
        <v/>
      </c>
      <c r="U609">
        <f>IF(AND(ISNUMBER(B609),H609&lt;&gt;"Published"),IF(INT(B609)&gt;=TODAY(),R609,""),"")</f>
        <v/>
      </c>
      <c r="V609">
        <f>IF(AND(ISNUMBER(B609),OR(H609="Draft",H609="Scheduled")),IF(INT(B609)&lt;TODAY(),1,0),0)</f>
        <v/>
      </c>
      <c r="W609">
        <f>IF(AND(H609="Published",N(O609)&gt;0),IF(T609=(YEAR(TODAY())*100+MONTH(TODAY())),ROUND(O609,0)*1000+1000-ROW(),""),"")</f>
        <v/>
      </c>
    </row>
    <row r="610">
      <c r="A610" s="1" t="n"/>
      <c r="B610" s="21" t="n"/>
      <c r="C610" s="22" t="n"/>
      <c r="D610" s="23" t="n"/>
      <c r="E610" s="24" t="n"/>
      <c r="F610" s="23" t="n"/>
      <c r="G610" s="25" t="n"/>
      <c r="H610" s="24" t="n"/>
      <c r="I610" s="23" t="n"/>
      <c r="J610" s="26" t="n"/>
      <c r="K610" s="26" t="n"/>
      <c r="L610" s="26" t="n"/>
      <c r="M610" s="26" t="n"/>
      <c r="N610" s="26" t="n"/>
      <c r="O610" s="27">
        <f>IF(COUNT(K610:N610)=0,"",SUM(K610:N610))</f>
        <v/>
      </c>
      <c r="P610" s="16">
        <f>IF(OR(O610="",N(J610)&lt;=0),"",O610/J610)</f>
        <v/>
      </c>
      <c r="Q610" s="28">
        <f>IF(V610=1,"Late","")</f>
        <v/>
      </c>
      <c r="R610" s="1">
        <f>IF(ISNUMBER(B610),INT(B610)*10000000+IF(ISNUMBER(C610),ROUND(MOD(C610,1)*1440,0),0)*1000+ROW(),"")</f>
        <v/>
      </c>
      <c r="S610">
        <f>IF(ISNUMBER(B610),INT(B610)-WEEKDAY(B610,3),"")</f>
        <v/>
      </c>
      <c r="T610">
        <f>IF(ISNUMBER(B610),YEAR(B610)*100+MONTH(B610),"")</f>
        <v/>
      </c>
      <c r="U610">
        <f>IF(AND(ISNUMBER(B610),H610&lt;&gt;"Published"),IF(INT(B610)&gt;=TODAY(),R610,""),"")</f>
        <v/>
      </c>
      <c r="V610">
        <f>IF(AND(ISNUMBER(B610),OR(H610="Draft",H610="Scheduled")),IF(INT(B610)&lt;TODAY(),1,0),0)</f>
        <v/>
      </c>
      <c r="W610">
        <f>IF(AND(H610="Published",N(O610)&gt;0),IF(T610=(YEAR(TODAY())*100+MONTH(TODAY())),ROUND(O610,0)*1000+1000-ROW(),""),"")</f>
        <v/>
      </c>
    </row>
    <row r="611">
      <c r="A611" s="1" t="n"/>
      <c r="B611" s="21" t="n"/>
      <c r="C611" s="22" t="n"/>
      <c r="D611" s="23" t="n"/>
      <c r="E611" s="24" t="n"/>
      <c r="F611" s="23" t="n"/>
      <c r="G611" s="25" t="n"/>
      <c r="H611" s="24" t="n"/>
      <c r="I611" s="23" t="n"/>
      <c r="J611" s="26" t="n"/>
      <c r="K611" s="26" t="n"/>
      <c r="L611" s="26" t="n"/>
      <c r="M611" s="26" t="n"/>
      <c r="N611" s="26" t="n"/>
      <c r="O611" s="27">
        <f>IF(COUNT(K611:N611)=0,"",SUM(K611:N611))</f>
        <v/>
      </c>
      <c r="P611" s="16">
        <f>IF(OR(O611="",N(J611)&lt;=0),"",O611/J611)</f>
        <v/>
      </c>
      <c r="Q611" s="28">
        <f>IF(V611=1,"Late","")</f>
        <v/>
      </c>
      <c r="R611" s="1">
        <f>IF(ISNUMBER(B611),INT(B611)*10000000+IF(ISNUMBER(C611),ROUND(MOD(C611,1)*1440,0),0)*1000+ROW(),"")</f>
        <v/>
      </c>
      <c r="S611">
        <f>IF(ISNUMBER(B611),INT(B611)-WEEKDAY(B611,3),"")</f>
        <v/>
      </c>
      <c r="T611">
        <f>IF(ISNUMBER(B611),YEAR(B611)*100+MONTH(B611),"")</f>
        <v/>
      </c>
      <c r="U611">
        <f>IF(AND(ISNUMBER(B611),H611&lt;&gt;"Published"),IF(INT(B611)&gt;=TODAY(),R611,""),"")</f>
        <v/>
      </c>
      <c r="V611">
        <f>IF(AND(ISNUMBER(B611),OR(H611="Draft",H611="Scheduled")),IF(INT(B611)&lt;TODAY(),1,0),0)</f>
        <v/>
      </c>
      <c r="W611">
        <f>IF(AND(H611="Published",N(O611)&gt;0),IF(T611=(YEAR(TODAY())*100+MONTH(TODAY())),ROUND(O611,0)*1000+1000-ROW(),""),"")</f>
        <v/>
      </c>
    </row>
    <row r="612">
      <c r="A612" s="1" t="n"/>
      <c r="B612" s="21" t="n"/>
      <c r="C612" s="22" t="n"/>
      <c r="D612" s="23" t="n"/>
      <c r="E612" s="24" t="n"/>
      <c r="F612" s="23" t="n"/>
      <c r="G612" s="25" t="n"/>
      <c r="H612" s="24" t="n"/>
      <c r="I612" s="23" t="n"/>
      <c r="J612" s="26" t="n"/>
      <c r="K612" s="26" t="n"/>
      <c r="L612" s="26" t="n"/>
      <c r="M612" s="26" t="n"/>
      <c r="N612" s="26" t="n"/>
      <c r="O612" s="27">
        <f>IF(COUNT(K612:N612)=0,"",SUM(K612:N612))</f>
        <v/>
      </c>
      <c r="P612" s="16">
        <f>IF(OR(O612="",N(J612)&lt;=0),"",O612/J612)</f>
        <v/>
      </c>
      <c r="Q612" s="28">
        <f>IF(V612=1,"Late","")</f>
        <v/>
      </c>
      <c r="R612" s="1">
        <f>IF(ISNUMBER(B612),INT(B612)*10000000+IF(ISNUMBER(C612),ROUND(MOD(C612,1)*1440,0),0)*1000+ROW(),"")</f>
        <v/>
      </c>
      <c r="S612">
        <f>IF(ISNUMBER(B612),INT(B612)-WEEKDAY(B612,3),"")</f>
        <v/>
      </c>
      <c r="T612">
        <f>IF(ISNUMBER(B612),YEAR(B612)*100+MONTH(B612),"")</f>
        <v/>
      </c>
      <c r="U612">
        <f>IF(AND(ISNUMBER(B612),H612&lt;&gt;"Published"),IF(INT(B612)&gt;=TODAY(),R612,""),"")</f>
        <v/>
      </c>
      <c r="V612">
        <f>IF(AND(ISNUMBER(B612),OR(H612="Draft",H612="Scheduled")),IF(INT(B612)&lt;TODAY(),1,0),0)</f>
        <v/>
      </c>
      <c r="W612">
        <f>IF(AND(H612="Published",N(O612)&gt;0),IF(T612=(YEAR(TODAY())*100+MONTH(TODAY())),ROUND(O612,0)*1000+1000-ROW(),""),"")</f>
        <v/>
      </c>
    </row>
    <row r="613">
      <c r="A613" s="1" t="n"/>
      <c r="B613" s="21" t="n"/>
      <c r="C613" s="22" t="n"/>
      <c r="D613" s="23" t="n"/>
      <c r="E613" s="24" t="n"/>
      <c r="F613" s="23" t="n"/>
      <c r="G613" s="25" t="n"/>
      <c r="H613" s="24" t="n"/>
      <c r="I613" s="23" t="n"/>
      <c r="J613" s="26" t="n"/>
      <c r="K613" s="26" t="n"/>
      <c r="L613" s="26" t="n"/>
      <c r="M613" s="26" t="n"/>
      <c r="N613" s="26" t="n"/>
      <c r="O613" s="27">
        <f>IF(COUNT(K613:N613)=0,"",SUM(K613:N613))</f>
        <v/>
      </c>
      <c r="P613" s="16">
        <f>IF(OR(O613="",N(J613)&lt;=0),"",O613/J613)</f>
        <v/>
      </c>
      <c r="Q613" s="28">
        <f>IF(V613=1,"Late","")</f>
        <v/>
      </c>
      <c r="R613" s="1">
        <f>IF(ISNUMBER(B613),INT(B613)*10000000+IF(ISNUMBER(C613),ROUND(MOD(C613,1)*1440,0),0)*1000+ROW(),"")</f>
        <v/>
      </c>
      <c r="S613">
        <f>IF(ISNUMBER(B613),INT(B613)-WEEKDAY(B613,3),"")</f>
        <v/>
      </c>
      <c r="T613">
        <f>IF(ISNUMBER(B613),YEAR(B613)*100+MONTH(B613),"")</f>
        <v/>
      </c>
      <c r="U613">
        <f>IF(AND(ISNUMBER(B613),H613&lt;&gt;"Published"),IF(INT(B613)&gt;=TODAY(),R613,""),"")</f>
        <v/>
      </c>
      <c r="V613">
        <f>IF(AND(ISNUMBER(B613),OR(H613="Draft",H613="Scheduled")),IF(INT(B613)&lt;TODAY(),1,0),0)</f>
        <v/>
      </c>
      <c r="W613">
        <f>IF(AND(H613="Published",N(O613)&gt;0),IF(T613=(YEAR(TODAY())*100+MONTH(TODAY())),ROUND(O613,0)*1000+1000-ROW(),""),"")</f>
        <v/>
      </c>
    </row>
    <row r="614">
      <c r="A614" s="1" t="n"/>
      <c r="B614" s="21" t="n"/>
      <c r="C614" s="22" t="n"/>
      <c r="D614" s="23" t="n"/>
      <c r="E614" s="24" t="n"/>
      <c r="F614" s="23" t="n"/>
      <c r="G614" s="25" t="n"/>
      <c r="H614" s="24" t="n"/>
      <c r="I614" s="23" t="n"/>
      <c r="J614" s="26" t="n"/>
      <c r="K614" s="26" t="n"/>
      <c r="L614" s="26" t="n"/>
      <c r="M614" s="26" t="n"/>
      <c r="N614" s="26" t="n"/>
      <c r="O614" s="27">
        <f>IF(COUNT(K614:N614)=0,"",SUM(K614:N614))</f>
        <v/>
      </c>
      <c r="P614" s="16">
        <f>IF(OR(O614="",N(J614)&lt;=0),"",O614/J614)</f>
        <v/>
      </c>
      <c r="Q614" s="28">
        <f>IF(V614=1,"Late","")</f>
        <v/>
      </c>
      <c r="R614" s="1">
        <f>IF(ISNUMBER(B614),INT(B614)*10000000+IF(ISNUMBER(C614),ROUND(MOD(C614,1)*1440,0),0)*1000+ROW(),"")</f>
        <v/>
      </c>
      <c r="S614">
        <f>IF(ISNUMBER(B614),INT(B614)-WEEKDAY(B614,3),"")</f>
        <v/>
      </c>
      <c r="T614">
        <f>IF(ISNUMBER(B614),YEAR(B614)*100+MONTH(B614),"")</f>
        <v/>
      </c>
      <c r="U614">
        <f>IF(AND(ISNUMBER(B614),H614&lt;&gt;"Published"),IF(INT(B614)&gt;=TODAY(),R614,""),"")</f>
        <v/>
      </c>
      <c r="V614">
        <f>IF(AND(ISNUMBER(B614),OR(H614="Draft",H614="Scheduled")),IF(INT(B614)&lt;TODAY(),1,0),0)</f>
        <v/>
      </c>
      <c r="W614">
        <f>IF(AND(H614="Published",N(O614)&gt;0),IF(T614=(YEAR(TODAY())*100+MONTH(TODAY())),ROUND(O614,0)*1000+1000-ROW(),""),"")</f>
        <v/>
      </c>
    </row>
    <row r="615">
      <c r="A615" s="1" t="n"/>
      <c r="B615" s="21" t="n"/>
      <c r="C615" s="22" t="n"/>
      <c r="D615" s="23" t="n"/>
      <c r="E615" s="24" t="n"/>
      <c r="F615" s="23" t="n"/>
      <c r="G615" s="25" t="n"/>
      <c r="H615" s="24" t="n"/>
      <c r="I615" s="23" t="n"/>
      <c r="J615" s="26" t="n"/>
      <c r="K615" s="26" t="n"/>
      <c r="L615" s="26" t="n"/>
      <c r="M615" s="26" t="n"/>
      <c r="N615" s="26" t="n"/>
      <c r="O615" s="27">
        <f>IF(COUNT(K615:N615)=0,"",SUM(K615:N615))</f>
        <v/>
      </c>
      <c r="P615" s="16">
        <f>IF(OR(O615="",N(J615)&lt;=0),"",O615/J615)</f>
        <v/>
      </c>
      <c r="Q615" s="28">
        <f>IF(V615=1,"Late","")</f>
        <v/>
      </c>
      <c r="R615" s="1">
        <f>IF(ISNUMBER(B615),INT(B615)*10000000+IF(ISNUMBER(C615),ROUND(MOD(C615,1)*1440,0),0)*1000+ROW(),"")</f>
        <v/>
      </c>
      <c r="S615">
        <f>IF(ISNUMBER(B615),INT(B615)-WEEKDAY(B615,3),"")</f>
        <v/>
      </c>
      <c r="T615">
        <f>IF(ISNUMBER(B615),YEAR(B615)*100+MONTH(B615),"")</f>
        <v/>
      </c>
      <c r="U615">
        <f>IF(AND(ISNUMBER(B615),H615&lt;&gt;"Published"),IF(INT(B615)&gt;=TODAY(),R615,""),"")</f>
        <v/>
      </c>
      <c r="V615">
        <f>IF(AND(ISNUMBER(B615),OR(H615="Draft",H615="Scheduled")),IF(INT(B615)&lt;TODAY(),1,0),0)</f>
        <v/>
      </c>
      <c r="W615">
        <f>IF(AND(H615="Published",N(O615)&gt;0),IF(T615=(YEAR(TODAY())*100+MONTH(TODAY())),ROUND(O615,0)*1000+1000-ROW(),""),"")</f>
        <v/>
      </c>
    </row>
    <row r="616">
      <c r="A616" s="1" t="n"/>
      <c r="B616" s="21" t="n"/>
      <c r="C616" s="22" t="n"/>
      <c r="D616" s="23" t="n"/>
      <c r="E616" s="24" t="n"/>
      <c r="F616" s="23" t="n"/>
      <c r="G616" s="25" t="n"/>
      <c r="H616" s="24" t="n"/>
      <c r="I616" s="23" t="n"/>
      <c r="J616" s="26" t="n"/>
      <c r="K616" s="26" t="n"/>
      <c r="L616" s="26" t="n"/>
      <c r="M616" s="26" t="n"/>
      <c r="N616" s="26" t="n"/>
      <c r="O616" s="27">
        <f>IF(COUNT(K616:N616)=0,"",SUM(K616:N616))</f>
        <v/>
      </c>
      <c r="P616" s="16">
        <f>IF(OR(O616="",N(J616)&lt;=0),"",O616/J616)</f>
        <v/>
      </c>
      <c r="Q616" s="28">
        <f>IF(V616=1,"Late","")</f>
        <v/>
      </c>
      <c r="R616" s="1">
        <f>IF(ISNUMBER(B616),INT(B616)*10000000+IF(ISNUMBER(C616),ROUND(MOD(C616,1)*1440,0),0)*1000+ROW(),"")</f>
        <v/>
      </c>
      <c r="S616">
        <f>IF(ISNUMBER(B616),INT(B616)-WEEKDAY(B616,3),"")</f>
        <v/>
      </c>
      <c r="T616">
        <f>IF(ISNUMBER(B616),YEAR(B616)*100+MONTH(B616),"")</f>
        <v/>
      </c>
      <c r="U616">
        <f>IF(AND(ISNUMBER(B616),H616&lt;&gt;"Published"),IF(INT(B616)&gt;=TODAY(),R616,""),"")</f>
        <v/>
      </c>
      <c r="V616">
        <f>IF(AND(ISNUMBER(B616),OR(H616="Draft",H616="Scheduled")),IF(INT(B616)&lt;TODAY(),1,0),0)</f>
        <v/>
      </c>
      <c r="W616">
        <f>IF(AND(H616="Published",N(O616)&gt;0),IF(T616=(YEAR(TODAY())*100+MONTH(TODAY())),ROUND(O616,0)*1000+1000-ROW(),""),"")</f>
        <v/>
      </c>
    </row>
    <row r="617">
      <c r="A617" s="1" t="n"/>
      <c r="B617" s="21" t="n"/>
      <c r="C617" s="22" t="n"/>
      <c r="D617" s="23" t="n"/>
      <c r="E617" s="24" t="n"/>
      <c r="F617" s="23" t="n"/>
      <c r="G617" s="25" t="n"/>
      <c r="H617" s="24" t="n"/>
      <c r="I617" s="23" t="n"/>
      <c r="J617" s="26" t="n"/>
      <c r="K617" s="26" t="n"/>
      <c r="L617" s="26" t="n"/>
      <c r="M617" s="26" t="n"/>
      <c r="N617" s="26" t="n"/>
      <c r="O617" s="27">
        <f>IF(COUNT(K617:N617)=0,"",SUM(K617:N617))</f>
        <v/>
      </c>
      <c r="P617" s="16">
        <f>IF(OR(O617="",N(J617)&lt;=0),"",O617/J617)</f>
        <v/>
      </c>
      <c r="Q617" s="28">
        <f>IF(V617=1,"Late","")</f>
        <v/>
      </c>
      <c r="R617" s="1">
        <f>IF(ISNUMBER(B617),INT(B617)*10000000+IF(ISNUMBER(C617),ROUND(MOD(C617,1)*1440,0),0)*1000+ROW(),"")</f>
        <v/>
      </c>
      <c r="S617">
        <f>IF(ISNUMBER(B617),INT(B617)-WEEKDAY(B617,3),"")</f>
        <v/>
      </c>
      <c r="T617">
        <f>IF(ISNUMBER(B617),YEAR(B617)*100+MONTH(B617),"")</f>
        <v/>
      </c>
      <c r="U617">
        <f>IF(AND(ISNUMBER(B617),H617&lt;&gt;"Published"),IF(INT(B617)&gt;=TODAY(),R617,""),"")</f>
        <v/>
      </c>
      <c r="V617">
        <f>IF(AND(ISNUMBER(B617),OR(H617="Draft",H617="Scheduled")),IF(INT(B617)&lt;TODAY(),1,0),0)</f>
        <v/>
      </c>
      <c r="W617">
        <f>IF(AND(H617="Published",N(O617)&gt;0),IF(T617=(YEAR(TODAY())*100+MONTH(TODAY())),ROUND(O617,0)*1000+1000-ROW(),""),"")</f>
        <v/>
      </c>
    </row>
    <row r="618">
      <c r="A618" s="1" t="n"/>
      <c r="B618" s="21" t="n"/>
      <c r="C618" s="22" t="n"/>
      <c r="D618" s="23" t="n"/>
      <c r="E618" s="24" t="n"/>
      <c r="F618" s="23" t="n"/>
      <c r="G618" s="25" t="n"/>
      <c r="H618" s="24" t="n"/>
      <c r="I618" s="23" t="n"/>
      <c r="J618" s="26" t="n"/>
      <c r="K618" s="26" t="n"/>
      <c r="L618" s="26" t="n"/>
      <c r="M618" s="26" t="n"/>
      <c r="N618" s="26" t="n"/>
      <c r="O618" s="27">
        <f>IF(COUNT(K618:N618)=0,"",SUM(K618:N618))</f>
        <v/>
      </c>
      <c r="P618" s="16">
        <f>IF(OR(O618="",N(J618)&lt;=0),"",O618/J618)</f>
        <v/>
      </c>
      <c r="Q618" s="28">
        <f>IF(V618=1,"Late","")</f>
        <v/>
      </c>
      <c r="R618" s="1">
        <f>IF(ISNUMBER(B618),INT(B618)*10000000+IF(ISNUMBER(C618),ROUND(MOD(C618,1)*1440,0),0)*1000+ROW(),"")</f>
        <v/>
      </c>
      <c r="S618">
        <f>IF(ISNUMBER(B618),INT(B618)-WEEKDAY(B618,3),"")</f>
        <v/>
      </c>
      <c r="T618">
        <f>IF(ISNUMBER(B618),YEAR(B618)*100+MONTH(B618),"")</f>
        <v/>
      </c>
      <c r="U618">
        <f>IF(AND(ISNUMBER(B618),H618&lt;&gt;"Published"),IF(INT(B618)&gt;=TODAY(),R618,""),"")</f>
        <v/>
      </c>
      <c r="V618">
        <f>IF(AND(ISNUMBER(B618),OR(H618="Draft",H618="Scheduled")),IF(INT(B618)&lt;TODAY(),1,0),0)</f>
        <v/>
      </c>
      <c r="W618">
        <f>IF(AND(H618="Published",N(O618)&gt;0),IF(T618=(YEAR(TODAY())*100+MONTH(TODAY())),ROUND(O618,0)*1000+1000-ROW(),""),"")</f>
        <v/>
      </c>
    </row>
    <row r="619">
      <c r="A619" s="1" t="n"/>
      <c r="B619" s="21" t="n"/>
      <c r="C619" s="22" t="n"/>
      <c r="D619" s="23" t="n"/>
      <c r="E619" s="24" t="n"/>
      <c r="F619" s="23" t="n"/>
      <c r="G619" s="25" t="n"/>
      <c r="H619" s="24" t="n"/>
      <c r="I619" s="23" t="n"/>
      <c r="J619" s="26" t="n"/>
      <c r="K619" s="26" t="n"/>
      <c r="L619" s="26" t="n"/>
      <c r="M619" s="26" t="n"/>
      <c r="N619" s="26" t="n"/>
      <c r="O619" s="27">
        <f>IF(COUNT(K619:N619)=0,"",SUM(K619:N619))</f>
        <v/>
      </c>
      <c r="P619" s="16">
        <f>IF(OR(O619="",N(J619)&lt;=0),"",O619/J619)</f>
        <v/>
      </c>
      <c r="Q619" s="28">
        <f>IF(V619=1,"Late","")</f>
        <v/>
      </c>
      <c r="R619" s="1">
        <f>IF(ISNUMBER(B619),INT(B619)*10000000+IF(ISNUMBER(C619),ROUND(MOD(C619,1)*1440,0),0)*1000+ROW(),"")</f>
        <v/>
      </c>
      <c r="S619">
        <f>IF(ISNUMBER(B619),INT(B619)-WEEKDAY(B619,3),"")</f>
        <v/>
      </c>
      <c r="T619">
        <f>IF(ISNUMBER(B619),YEAR(B619)*100+MONTH(B619),"")</f>
        <v/>
      </c>
      <c r="U619">
        <f>IF(AND(ISNUMBER(B619),H619&lt;&gt;"Published"),IF(INT(B619)&gt;=TODAY(),R619,""),"")</f>
        <v/>
      </c>
      <c r="V619">
        <f>IF(AND(ISNUMBER(B619),OR(H619="Draft",H619="Scheduled")),IF(INT(B619)&lt;TODAY(),1,0),0)</f>
        <v/>
      </c>
      <c r="W619">
        <f>IF(AND(H619="Published",N(O619)&gt;0),IF(T619=(YEAR(TODAY())*100+MONTH(TODAY())),ROUND(O619,0)*1000+1000-ROW(),""),"")</f>
        <v/>
      </c>
    </row>
    <row r="620">
      <c r="A620" s="1" t="n"/>
      <c r="B620" s="21" t="n"/>
      <c r="C620" s="22" t="n"/>
      <c r="D620" s="23" t="n"/>
      <c r="E620" s="24" t="n"/>
      <c r="F620" s="23" t="n"/>
      <c r="G620" s="25" t="n"/>
      <c r="H620" s="24" t="n"/>
      <c r="I620" s="23" t="n"/>
      <c r="J620" s="26" t="n"/>
      <c r="K620" s="26" t="n"/>
      <c r="L620" s="26" t="n"/>
      <c r="M620" s="26" t="n"/>
      <c r="N620" s="26" t="n"/>
      <c r="O620" s="27">
        <f>IF(COUNT(K620:N620)=0,"",SUM(K620:N620))</f>
        <v/>
      </c>
      <c r="P620" s="16">
        <f>IF(OR(O620="",N(J620)&lt;=0),"",O620/J620)</f>
        <v/>
      </c>
      <c r="Q620" s="28">
        <f>IF(V620=1,"Late","")</f>
        <v/>
      </c>
      <c r="R620" s="1">
        <f>IF(ISNUMBER(B620),INT(B620)*10000000+IF(ISNUMBER(C620),ROUND(MOD(C620,1)*1440,0),0)*1000+ROW(),"")</f>
        <v/>
      </c>
      <c r="S620">
        <f>IF(ISNUMBER(B620),INT(B620)-WEEKDAY(B620,3),"")</f>
        <v/>
      </c>
      <c r="T620">
        <f>IF(ISNUMBER(B620),YEAR(B620)*100+MONTH(B620),"")</f>
        <v/>
      </c>
      <c r="U620">
        <f>IF(AND(ISNUMBER(B620),H620&lt;&gt;"Published"),IF(INT(B620)&gt;=TODAY(),R620,""),"")</f>
        <v/>
      </c>
      <c r="V620">
        <f>IF(AND(ISNUMBER(B620),OR(H620="Draft",H620="Scheduled")),IF(INT(B620)&lt;TODAY(),1,0),0)</f>
        <v/>
      </c>
      <c r="W620">
        <f>IF(AND(H620="Published",N(O620)&gt;0),IF(T620=(YEAR(TODAY())*100+MONTH(TODAY())),ROUND(O620,0)*1000+1000-ROW(),""),"")</f>
        <v/>
      </c>
    </row>
    <row r="621">
      <c r="A621" s="1" t="n"/>
      <c r="B621" s="21" t="n"/>
      <c r="C621" s="22" t="n"/>
      <c r="D621" s="23" t="n"/>
      <c r="E621" s="24" t="n"/>
      <c r="F621" s="23" t="n"/>
      <c r="G621" s="25" t="n"/>
      <c r="H621" s="24" t="n"/>
      <c r="I621" s="23" t="n"/>
      <c r="J621" s="26" t="n"/>
      <c r="K621" s="26" t="n"/>
      <c r="L621" s="26" t="n"/>
      <c r="M621" s="26" t="n"/>
      <c r="N621" s="26" t="n"/>
      <c r="O621" s="27">
        <f>IF(COUNT(K621:N621)=0,"",SUM(K621:N621))</f>
        <v/>
      </c>
      <c r="P621" s="16">
        <f>IF(OR(O621="",N(J621)&lt;=0),"",O621/J621)</f>
        <v/>
      </c>
      <c r="Q621" s="28">
        <f>IF(V621=1,"Late","")</f>
        <v/>
      </c>
      <c r="R621" s="1">
        <f>IF(ISNUMBER(B621),INT(B621)*10000000+IF(ISNUMBER(C621),ROUND(MOD(C621,1)*1440,0),0)*1000+ROW(),"")</f>
        <v/>
      </c>
      <c r="S621">
        <f>IF(ISNUMBER(B621),INT(B621)-WEEKDAY(B621,3),"")</f>
        <v/>
      </c>
      <c r="T621">
        <f>IF(ISNUMBER(B621),YEAR(B621)*100+MONTH(B621),"")</f>
        <v/>
      </c>
      <c r="U621">
        <f>IF(AND(ISNUMBER(B621),H621&lt;&gt;"Published"),IF(INT(B621)&gt;=TODAY(),R621,""),"")</f>
        <v/>
      </c>
      <c r="V621">
        <f>IF(AND(ISNUMBER(B621),OR(H621="Draft",H621="Scheduled")),IF(INT(B621)&lt;TODAY(),1,0),0)</f>
        <v/>
      </c>
      <c r="W621">
        <f>IF(AND(H621="Published",N(O621)&gt;0),IF(T621=(YEAR(TODAY())*100+MONTH(TODAY())),ROUND(O621,0)*1000+1000-ROW(),""),"")</f>
        <v/>
      </c>
    </row>
    <row r="622">
      <c r="A622" s="1" t="n"/>
      <c r="B622" s="21" t="n"/>
      <c r="C622" s="22" t="n"/>
      <c r="D622" s="23" t="n"/>
      <c r="E622" s="24" t="n"/>
      <c r="F622" s="23" t="n"/>
      <c r="G622" s="25" t="n"/>
      <c r="H622" s="24" t="n"/>
      <c r="I622" s="23" t="n"/>
      <c r="J622" s="26" t="n"/>
      <c r="K622" s="26" t="n"/>
      <c r="L622" s="26" t="n"/>
      <c r="M622" s="26" t="n"/>
      <c r="N622" s="26" t="n"/>
      <c r="O622" s="27">
        <f>IF(COUNT(K622:N622)=0,"",SUM(K622:N622))</f>
        <v/>
      </c>
      <c r="P622" s="16">
        <f>IF(OR(O622="",N(J622)&lt;=0),"",O622/J622)</f>
        <v/>
      </c>
      <c r="Q622" s="28">
        <f>IF(V622=1,"Late","")</f>
        <v/>
      </c>
      <c r="R622" s="1">
        <f>IF(ISNUMBER(B622),INT(B622)*10000000+IF(ISNUMBER(C622),ROUND(MOD(C622,1)*1440,0),0)*1000+ROW(),"")</f>
        <v/>
      </c>
      <c r="S622">
        <f>IF(ISNUMBER(B622),INT(B622)-WEEKDAY(B622,3),"")</f>
        <v/>
      </c>
      <c r="T622">
        <f>IF(ISNUMBER(B622),YEAR(B622)*100+MONTH(B622),"")</f>
        <v/>
      </c>
      <c r="U622">
        <f>IF(AND(ISNUMBER(B622),H622&lt;&gt;"Published"),IF(INT(B622)&gt;=TODAY(),R622,""),"")</f>
        <v/>
      </c>
      <c r="V622">
        <f>IF(AND(ISNUMBER(B622),OR(H622="Draft",H622="Scheduled")),IF(INT(B622)&lt;TODAY(),1,0),0)</f>
        <v/>
      </c>
      <c r="W622">
        <f>IF(AND(H622="Published",N(O622)&gt;0),IF(T622=(YEAR(TODAY())*100+MONTH(TODAY())),ROUND(O622,0)*1000+1000-ROW(),""),"")</f>
        <v/>
      </c>
    </row>
    <row r="623">
      <c r="A623" s="1" t="n"/>
      <c r="B623" s="21" t="n"/>
      <c r="C623" s="22" t="n"/>
      <c r="D623" s="23" t="n"/>
      <c r="E623" s="24" t="n"/>
      <c r="F623" s="23" t="n"/>
      <c r="G623" s="25" t="n"/>
      <c r="H623" s="24" t="n"/>
      <c r="I623" s="23" t="n"/>
      <c r="J623" s="26" t="n"/>
      <c r="K623" s="26" t="n"/>
      <c r="L623" s="26" t="n"/>
      <c r="M623" s="26" t="n"/>
      <c r="N623" s="26" t="n"/>
      <c r="O623" s="27">
        <f>IF(COUNT(K623:N623)=0,"",SUM(K623:N623))</f>
        <v/>
      </c>
      <c r="P623" s="16">
        <f>IF(OR(O623="",N(J623)&lt;=0),"",O623/J623)</f>
        <v/>
      </c>
      <c r="Q623" s="28">
        <f>IF(V623=1,"Late","")</f>
        <v/>
      </c>
      <c r="R623" s="1">
        <f>IF(ISNUMBER(B623),INT(B623)*10000000+IF(ISNUMBER(C623),ROUND(MOD(C623,1)*1440,0),0)*1000+ROW(),"")</f>
        <v/>
      </c>
      <c r="S623">
        <f>IF(ISNUMBER(B623),INT(B623)-WEEKDAY(B623,3),"")</f>
        <v/>
      </c>
      <c r="T623">
        <f>IF(ISNUMBER(B623),YEAR(B623)*100+MONTH(B623),"")</f>
        <v/>
      </c>
      <c r="U623">
        <f>IF(AND(ISNUMBER(B623),H623&lt;&gt;"Published"),IF(INT(B623)&gt;=TODAY(),R623,""),"")</f>
        <v/>
      </c>
      <c r="V623">
        <f>IF(AND(ISNUMBER(B623),OR(H623="Draft",H623="Scheduled")),IF(INT(B623)&lt;TODAY(),1,0),0)</f>
        <v/>
      </c>
      <c r="W623">
        <f>IF(AND(H623="Published",N(O623)&gt;0),IF(T623=(YEAR(TODAY())*100+MONTH(TODAY())),ROUND(O623,0)*1000+1000-ROW(),""),"")</f>
        <v/>
      </c>
    </row>
    <row r="624">
      <c r="A624" s="1" t="n"/>
      <c r="B624" s="21" t="n"/>
      <c r="C624" s="22" t="n"/>
      <c r="D624" s="23" t="n"/>
      <c r="E624" s="24" t="n"/>
      <c r="F624" s="23" t="n"/>
      <c r="G624" s="25" t="n"/>
      <c r="H624" s="24" t="n"/>
      <c r="I624" s="23" t="n"/>
      <c r="J624" s="26" t="n"/>
      <c r="K624" s="26" t="n"/>
      <c r="L624" s="26" t="n"/>
      <c r="M624" s="26" t="n"/>
      <c r="N624" s="26" t="n"/>
      <c r="O624" s="27">
        <f>IF(COUNT(K624:N624)=0,"",SUM(K624:N624))</f>
        <v/>
      </c>
      <c r="P624" s="16">
        <f>IF(OR(O624="",N(J624)&lt;=0),"",O624/J624)</f>
        <v/>
      </c>
      <c r="Q624" s="28">
        <f>IF(V624=1,"Late","")</f>
        <v/>
      </c>
      <c r="R624" s="1">
        <f>IF(ISNUMBER(B624),INT(B624)*10000000+IF(ISNUMBER(C624),ROUND(MOD(C624,1)*1440,0),0)*1000+ROW(),"")</f>
        <v/>
      </c>
      <c r="S624">
        <f>IF(ISNUMBER(B624),INT(B624)-WEEKDAY(B624,3),"")</f>
        <v/>
      </c>
      <c r="T624">
        <f>IF(ISNUMBER(B624),YEAR(B624)*100+MONTH(B624),"")</f>
        <v/>
      </c>
      <c r="U624">
        <f>IF(AND(ISNUMBER(B624),H624&lt;&gt;"Published"),IF(INT(B624)&gt;=TODAY(),R624,""),"")</f>
        <v/>
      </c>
      <c r="V624">
        <f>IF(AND(ISNUMBER(B624),OR(H624="Draft",H624="Scheduled")),IF(INT(B624)&lt;TODAY(),1,0),0)</f>
        <v/>
      </c>
      <c r="W624">
        <f>IF(AND(H624="Published",N(O624)&gt;0),IF(T624=(YEAR(TODAY())*100+MONTH(TODAY())),ROUND(O624,0)*1000+1000-ROW(),""),"")</f>
        <v/>
      </c>
    </row>
    <row r="625">
      <c r="A625" s="1" t="n"/>
      <c r="B625" s="21" t="n"/>
      <c r="C625" s="22" t="n"/>
      <c r="D625" s="23" t="n"/>
      <c r="E625" s="24" t="n"/>
      <c r="F625" s="23" t="n"/>
      <c r="G625" s="25" t="n"/>
      <c r="H625" s="24" t="n"/>
      <c r="I625" s="23" t="n"/>
      <c r="J625" s="26" t="n"/>
      <c r="K625" s="26" t="n"/>
      <c r="L625" s="26" t="n"/>
      <c r="M625" s="26" t="n"/>
      <c r="N625" s="26" t="n"/>
      <c r="O625" s="27">
        <f>IF(COUNT(K625:N625)=0,"",SUM(K625:N625))</f>
        <v/>
      </c>
      <c r="P625" s="16">
        <f>IF(OR(O625="",N(J625)&lt;=0),"",O625/J625)</f>
        <v/>
      </c>
      <c r="Q625" s="28">
        <f>IF(V625=1,"Late","")</f>
        <v/>
      </c>
      <c r="R625" s="1">
        <f>IF(ISNUMBER(B625),INT(B625)*10000000+IF(ISNUMBER(C625),ROUND(MOD(C625,1)*1440,0),0)*1000+ROW(),"")</f>
        <v/>
      </c>
      <c r="S625">
        <f>IF(ISNUMBER(B625),INT(B625)-WEEKDAY(B625,3),"")</f>
        <v/>
      </c>
      <c r="T625">
        <f>IF(ISNUMBER(B625),YEAR(B625)*100+MONTH(B625),"")</f>
        <v/>
      </c>
      <c r="U625">
        <f>IF(AND(ISNUMBER(B625),H625&lt;&gt;"Published"),IF(INT(B625)&gt;=TODAY(),R625,""),"")</f>
        <v/>
      </c>
      <c r="V625">
        <f>IF(AND(ISNUMBER(B625),OR(H625="Draft",H625="Scheduled")),IF(INT(B625)&lt;TODAY(),1,0),0)</f>
        <v/>
      </c>
      <c r="W625">
        <f>IF(AND(H625="Published",N(O625)&gt;0),IF(T625=(YEAR(TODAY())*100+MONTH(TODAY())),ROUND(O625,0)*1000+1000-ROW(),""),"")</f>
        <v/>
      </c>
    </row>
    <row r="626">
      <c r="A626" s="1" t="n"/>
      <c r="B626" s="21" t="n"/>
      <c r="C626" s="22" t="n"/>
      <c r="D626" s="23" t="n"/>
      <c r="E626" s="24" t="n"/>
      <c r="F626" s="23" t="n"/>
      <c r="G626" s="25" t="n"/>
      <c r="H626" s="24" t="n"/>
      <c r="I626" s="23" t="n"/>
      <c r="J626" s="26" t="n"/>
      <c r="K626" s="26" t="n"/>
      <c r="L626" s="26" t="n"/>
      <c r="M626" s="26" t="n"/>
      <c r="N626" s="26" t="n"/>
      <c r="O626" s="27">
        <f>IF(COUNT(K626:N626)=0,"",SUM(K626:N626))</f>
        <v/>
      </c>
      <c r="P626" s="16">
        <f>IF(OR(O626="",N(J626)&lt;=0),"",O626/J626)</f>
        <v/>
      </c>
      <c r="Q626" s="28">
        <f>IF(V626=1,"Late","")</f>
        <v/>
      </c>
      <c r="R626" s="1">
        <f>IF(ISNUMBER(B626),INT(B626)*10000000+IF(ISNUMBER(C626),ROUND(MOD(C626,1)*1440,0),0)*1000+ROW(),"")</f>
        <v/>
      </c>
      <c r="S626">
        <f>IF(ISNUMBER(B626),INT(B626)-WEEKDAY(B626,3),"")</f>
        <v/>
      </c>
      <c r="T626">
        <f>IF(ISNUMBER(B626),YEAR(B626)*100+MONTH(B626),"")</f>
        <v/>
      </c>
      <c r="U626">
        <f>IF(AND(ISNUMBER(B626),H626&lt;&gt;"Published"),IF(INT(B626)&gt;=TODAY(),R626,""),"")</f>
        <v/>
      </c>
      <c r="V626">
        <f>IF(AND(ISNUMBER(B626),OR(H626="Draft",H626="Scheduled")),IF(INT(B626)&lt;TODAY(),1,0),0)</f>
        <v/>
      </c>
      <c r="W626">
        <f>IF(AND(H626="Published",N(O626)&gt;0),IF(T626=(YEAR(TODAY())*100+MONTH(TODAY())),ROUND(O626,0)*1000+1000-ROW(),""),"")</f>
        <v/>
      </c>
    </row>
    <row r="627">
      <c r="A627" s="1" t="n"/>
      <c r="B627" s="21" t="n"/>
      <c r="C627" s="22" t="n"/>
      <c r="D627" s="23" t="n"/>
      <c r="E627" s="24" t="n"/>
      <c r="F627" s="23" t="n"/>
      <c r="G627" s="25" t="n"/>
      <c r="H627" s="24" t="n"/>
      <c r="I627" s="23" t="n"/>
      <c r="J627" s="26" t="n"/>
      <c r="K627" s="26" t="n"/>
      <c r="L627" s="26" t="n"/>
      <c r="M627" s="26" t="n"/>
      <c r="N627" s="26" t="n"/>
      <c r="O627" s="27">
        <f>IF(COUNT(K627:N627)=0,"",SUM(K627:N627))</f>
        <v/>
      </c>
      <c r="P627" s="16">
        <f>IF(OR(O627="",N(J627)&lt;=0),"",O627/J627)</f>
        <v/>
      </c>
      <c r="Q627" s="28">
        <f>IF(V627=1,"Late","")</f>
        <v/>
      </c>
      <c r="R627" s="1">
        <f>IF(ISNUMBER(B627),INT(B627)*10000000+IF(ISNUMBER(C627),ROUND(MOD(C627,1)*1440,0),0)*1000+ROW(),"")</f>
        <v/>
      </c>
      <c r="S627">
        <f>IF(ISNUMBER(B627),INT(B627)-WEEKDAY(B627,3),"")</f>
        <v/>
      </c>
      <c r="T627">
        <f>IF(ISNUMBER(B627),YEAR(B627)*100+MONTH(B627),"")</f>
        <v/>
      </c>
      <c r="U627">
        <f>IF(AND(ISNUMBER(B627),H627&lt;&gt;"Published"),IF(INT(B627)&gt;=TODAY(),R627,""),"")</f>
        <v/>
      </c>
      <c r="V627">
        <f>IF(AND(ISNUMBER(B627),OR(H627="Draft",H627="Scheduled")),IF(INT(B627)&lt;TODAY(),1,0),0)</f>
        <v/>
      </c>
      <c r="W627">
        <f>IF(AND(H627="Published",N(O627)&gt;0),IF(T627=(YEAR(TODAY())*100+MONTH(TODAY())),ROUND(O627,0)*1000+1000-ROW(),""),"")</f>
        <v/>
      </c>
    </row>
    <row r="628">
      <c r="A628" s="1" t="n"/>
      <c r="B628" s="21" t="n"/>
      <c r="C628" s="22" t="n"/>
      <c r="D628" s="23" t="n"/>
      <c r="E628" s="24" t="n"/>
      <c r="F628" s="23" t="n"/>
      <c r="G628" s="25" t="n"/>
      <c r="H628" s="24" t="n"/>
      <c r="I628" s="23" t="n"/>
      <c r="J628" s="26" t="n"/>
      <c r="K628" s="26" t="n"/>
      <c r="L628" s="26" t="n"/>
      <c r="M628" s="26" t="n"/>
      <c r="N628" s="26" t="n"/>
      <c r="O628" s="27">
        <f>IF(COUNT(K628:N628)=0,"",SUM(K628:N628))</f>
        <v/>
      </c>
      <c r="P628" s="16">
        <f>IF(OR(O628="",N(J628)&lt;=0),"",O628/J628)</f>
        <v/>
      </c>
      <c r="Q628" s="28">
        <f>IF(V628=1,"Late","")</f>
        <v/>
      </c>
      <c r="R628" s="1">
        <f>IF(ISNUMBER(B628),INT(B628)*10000000+IF(ISNUMBER(C628),ROUND(MOD(C628,1)*1440,0),0)*1000+ROW(),"")</f>
        <v/>
      </c>
      <c r="S628">
        <f>IF(ISNUMBER(B628),INT(B628)-WEEKDAY(B628,3),"")</f>
        <v/>
      </c>
      <c r="T628">
        <f>IF(ISNUMBER(B628),YEAR(B628)*100+MONTH(B628),"")</f>
        <v/>
      </c>
      <c r="U628">
        <f>IF(AND(ISNUMBER(B628),H628&lt;&gt;"Published"),IF(INT(B628)&gt;=TODAY(),R628,""),"")</f>
        <v/>
      </c>
      <c r="V628">
        <f>IF(AND(ISNUMBER(B628),OR(H628="Draft",H628="Scheduled")),IF(INT(B628)&lt;TODAY(),1,0),0)</f>
        <v/>
      </c>
      <c r="W628">
        <f>IF(AND(H628="Published",N(O628)&gt;0),IF(T628=(YEAR(TODAY())*100+MONTH(TODAY())),ROUND(O628,0)*1000+1000-ROW(),""),"")</f>
        <v/>
      </c>
    </row>
    <row r="629">
      <c r="A629" s="1" t="n"/>
      <c r="B629" s="21" t="n"/>
      <c r="C629" s="22" t="n"/>
      <c r="D629" s="23" t="n"/>
      <c r="E629" s="24" t="n"/>
      <c r="F629" s="23" t="n"/>
      <c r="G629" s="25" t="n"/>
      <c r="H629" s="24" t="n"/>
      <c r="I629" s="23" t="n"/>
      <c r="J629" s="26" t="n"/>
      <c r="K629" s="26" t="n"/>
      <c r="L629" s="26" t="n"/>
      <c r="M629" s="26" t="n"/>
      <c r="N629" s="26" t="n"/>
      <c r="O629" s="27">
        <f>IF(COUNT(K629:N629)=0,"",SUM(K629:N629))</f>
        <v/>
      </c>
      <c r="P629" s="16">
        <f>IF(OR(O629="",N(J629)&lt;=0),"",O629/J629)</f>
        <v/>
      </c>
      <c r="Q629" s="28">
        <f>IF(V629=1,"Late","")</f>
        <v/>
      </c>
      <c r="R629" s="1">
        <f>IF(ISNUMBER(B629),INT(B629)*10000000+IF(ISNUMBER(C629),ROUND(MOD(C629,1)*1440,0),0)*1000+ROW(),"")</f>
        <v/>
      </c>
      <c r="S629">
        <f>IF(ISNUMBER(B629),INT(B629)-WEEKDAY(B629,3),"")</f>
        <v/>
      </c>
      <c r="T629">
        <f>IF(ISNUMBER(B629),YEAR(B629)*100+MONTH(B629),"")</f>
        <v/>
      </c>
      <c r="U629">
        <f>IF(AND(ISNUMBER(B629),H629&lt;&gt;"Published"),IF(INT(B629)&gt;=TODAY(),R629,""),"")</f>
        <v/>
      </c>
      <c r="V629">
        <f>IF(AND(ISNUMBER(B629),OR(H629="Draft",H629="Scheduled")),IF(INT(B629)&lt;TODAY(),1,0),0)</f>
        <v/>
      </c>
      <c r="W629">
        <f>IF(AND(H629="Published",N(O629)&gt;0),IF(T629=(YEAR(TODAY())*100+MONTH(TODAY())),ROUND(O629,0)*1000+1000-ROW(),""),"")</f>
        <v/>
      </c>
    </row>
    <row r="630">
      <c r="A630" s="1" t="n"/>
      <c r="B630" s="21" t="n"/>
      <c r="C630" s="22" t="n"/>
      <c r="D630" s="23" t="n"/>
      <c r="E630" s="24" t="n"/>
      <c r="F630" s="23" t="n"/>
      <c r="G630" s="25" t="n"/>
      <c r="H630" s="24" t="n"/>
      <c r="I630" s="23" t="n"/>
      <c r="J630" s="26" t="n"/>
      <c r="K630" s="26" t="n"/>
      <c r="L630" s="26" t="n"/>
      <c r="M630" s="26" t="n"/>
      <c r="N630" s="26" t="n"/>
      <c r="O630" s="27">
        <f>IF(COUNT(K630:N630)=0,"",SUM(K630:N630))</f>
        <v/>
      </c>
      <c r="P630" s="16">
        <f>IF(OR(O630="",N(J630)&lt;=0),"",O630/J630)</f>
        <v/>
      </c>
      <c r="Q630" s="28">
        <f>IF(V630=1,"Late","")</f>
        <v/>
      </c>
      <c r="R630" s="1">
        <f>IF(ISNUMBER(B630),INT(B630)*10000000+IF(ISNUMBER(C630),ROUND(MOD(C630,1)*1440,0),0)*1000+ROW(),"")</f>
        <v/>
      </c>
      <c r="S630">
        <f>IF(ISNUMBER(B630),INT(B630)-WEEKDAY(B630,3),"")</f>
        <v/>
      </c>
      <c r="T630">
        <f>IF(ISNUMBER(B630),YEAR(B630)*100+MONTH(B630),"")</f>
        <v/>
      </c>
      <c r="U630">
        <f>IF(AND(ISNUMBER(B630),H630&lt;&gt;"Published"),IF(INT(B630)&gt;=TODAY(),R630,""),"")</f>
        <v/>
      </c>
      <c r="V630">
        <f>IF(AND(ISNUMBER(B630),OR(H630="Draft",H630="Scheduled")),IF(INT(B630)&lt;TODAY(),1,0),0)</f>
        <v/>
      </c>
      <c r="W630">
        <f>IF(AND(H630="Published",N(O630)&gt;0),IF(T630=(YEAR(TODAY())*100+MONTH(TODAY())),ROUND(O630,0)*1000+1000-ROW(),""),"")</f>
        <v/>
      </c>
    </row>
    <row r="631">
      <c r="A631" s="1" t="n"/>
      <c r="B631" s="21" t="n"/>
      <c r="C631" s="22" t="n"/>
      <c r="D631" s="23" t="n"/>
      <c r="E631" s="24" t="n"/>
      <c r="F631" s="23" t="n"/>
      <c r="G631" s="25" t="n"/>
      <c r="H631" s="24" t="n"/>
      <c r="I631" s="23" t="n"/>
      <c r="J631" s="26" t="n"/>
      <c r="K631" s="26" t="n"/>
      <c r="L631" s="26" t="n"/>
      <c r="M631" s="26" t="n"/>
      <c r="N631" s="26" t="n"/>
      <c r="O631" s="27">
        <f>IF(COUNT(K631:N631)=0,"",SUM(K631:N631))</f>
        <v/>
      </c>
      <c r="P631" s="16">
        <f>IF(OR(O631="",N(J631)&lt;=0),"",O631/J631)</f>
        <v/>
      </c>
      <c r="Q631" s="28">
        <f>IF(V631=1,"Late","")</f>
        <v/>
      </c>
      <c r="R631" s="1">
        <f>IF(ISNUMBER(B631),INT(B631)*10000000+IF(ISNUMBER(C631),ROUND(MOD(C631,1)*1440,0),0)*1000+ROW(),"")</f>
        <v/>
      </c>
      <c r="S631">
        <f>IF(ISNUMBER(B631),INT(B631)-WEEKDAY(B631,3),"")</f>
        <v/>
      </c>
      <c r="T631">
        <f>IF(ISNUMBER(B631),YEAR(B631)*100+MONTH(B631),"")</f>
        <v/>
      </c>
      <c r="U631">
        <f>IF(AND(ISNUMBER(B631),H631&lt;&gt;"Published"),IF(INT(B631)&gt;=TODAY(),R631,""),"")</f>
        <v/>
      </c>
      <c r="V631">
        <f>IF(AND(ISNUMBER(B631),OR(H631="Draft",H631="Scheduled")),IF(INT(B631)&lt;TODAY(),1,0),0)</f>
        <v/>
      </c>
      <c r="W631">
        <f>IF(AND(H631="Published",N(O631)&gt;0),IF(T631=(YEAR(TODAY())*100+MONTH(TODAY())),ROUND(O631,0)*1000+1000-ROW(),""),"")</f>
        <v/>
      </c>
    </row>
    <row r="632">
      <c r="A632" s="1" t="n"/>
      <c r="B632" s="21" t="n"/>
      <c r="C632" s="22" t="n"/>
      <c r="D632" s="23" t="n"/>
      <c r="E632" s="24" t="n"/>
      <c r="F632" s="23" t="n"/>
      <c r="G632" s="25" t="n"/>
      <c r="H632" s="24" t="n"/>
      <c r="I632" s="23" t="n"/>
      <c r="J632" s="26" t="n"/>
      <c r="K632" s="26" t="n"/>
      <c r="L632" s="26" t="n"/>
      <c r="M632" s="26" t="n"/>
      <c r="N632" s="26" t="n"/>
      <c r="O632" s="27">
        <f>IF(COUNT(K632:N632)=0,"",SUM(K632:N632))</f>
        <v/>
      </c>
      <c r="P632" s="16">
        <f>IF(OR(O632="",N(J632)&lt;=0),"",O632/J632)</f>
        <v/>
      </c>
      <c r="Q632" s="28">
        <f>IF(V632=1,"Late","")</f>
        <v/>
      </c>
      <c r="R632" s="1">
        <f>IF(ISNUMBER(B632),INT(B632)*10000000+IF(ISNUMBER(C632),ROUND(MOD(C632,1)*1440,0),0)*1000+ROW(),"")</f>
        <v/>
      </c>
      <c r="S632">
        <f>IF(ISNUMBER(B632),INT(B632)-WEEKDAY(B632,3),"")</f>
        <v/>
      </c>
      <c r="T632">
        <f>IF(ISNUMBER(B632),YEAR(B632)*100+MONTH(B632),"")</f>
        <v/>
      </c>
      <c r="U632">
        <f>IF(AND(ISNUMBER(B632),H632&lt;&gt;"Published"),IF(INT(B632)&gt;=TODAY(),R632,""),"")</f>
        <v/>
      </c>
      <c r="V632">
        <f>IF(AND(ISNUMBER(B632),OR(H632="Draft",H632="Scheduled")),IF(INT(B632)&lt;TODAY(),1,0),0)</f>
        <v/>
      </c>
      <c r="W632">
        <f>IF(AND(H632="Published",N(O632)&gt;0),IF(T632=(YEAR(TODAY())*100+MONTH(TODAY())),ROUND(O632,0)*1000+1000-ROW(),""),"")</f>
        <v/>
      </c>
    </row>
    <row r="633">
      <c r="A633" s="1" t="n"/>
      <c r="B633" s="21" t="n"/>
      <c r="C633" s="22" t="n"/>
      <c r="D633" s="23" t="n"/>
      <c r="E633" s="24" t="n"/>
      <c r="F633" s="23" t="n"/>
      <c r="G633" s="25" t="n"/>
      <c r="H633" s="24" t="n"/>
      <c r="I633" s="23" t="n"/>
      <c r="J633" s="26" t="n"/>
      <c r="K633" s="26" t="n"/>
      <c r="L633" s="26" t="n"/>
      <c r="M633" s="26" t="n"/>
      <c r="N633" s="26" t="n"/>
      <c r="O633" s="27">
        <f>IF(COUNT(K633:N633)=0,"",SUM(K633:N633))</f>
        <v/>
      </c>
      <c r="P633" s="16">
        <f>IF(OR(O633="",N(J633)&lt;=0),"",O633/J633)</f>
        <v/>
      </c>
      <c r="Q633" s="28">
        <f>IF(V633=1,"Late","")</f>
        <v/>
      </c>
      <c r="R633" s="1">
        <f>IF(ISNUMBER(B633),INT(B633)*10000000+IF(ISNUMBER(C633),ROUND(MOD(C633,1)*1440,0),0)*1000+ROW(),"")</f>
        <v/>
      </c>
      <c r="S633">
        <f>IF(ISNUMBER(B633),INT(B633)-WEEKDAY(B633,3),"")</f>
        <v/>
      </c>
      <c r="T633">
        <f>IF(ISNUMBER(B633),YEAR(B633)*100+MONTH(B633),"")</f>
        <v/>
      </c>
      <c r="U633">
        <f>IF(AND(ISNUMBER(B633),H633&lt;&gt;"Published"),IF(INT(B633)&gt;=TODAY(),R633,""),"")</f>
        <v/>
      </c>
      <c r="V633">
        <f>IF(AND(ISNUMBER(B633),OR(H633="Draft",H633="Scheduled")),IF(INT(B633)&lt;TODAY(),1,0),0)</f>
        <v/>
      </c>
      <c r="W633">
        <f>IF(AND(H633="Published",N(O633)&gt;0),IF(T633=(YEAR(TODAY())*100+MONTH(TODAY())),ROUND(O633,0)*1000+1000-ROW(),""),"")</f>
        <v/>
      </c>
    </row>
    <row r="634">
      <c r="A634" s="1" t="n"/>
      <c r="B634" s="21" t="n"/>
      <c r="C634" s="22" t="n"/>
      <c r="D634" s="23" t="n"/>
      <c r="E634" s="24" t="n"/>
      <c r="F634" s="23" t="n"/>
      <c r="G634" s="25" t="n"/>
      <c r="H634" s="24" t="n"/>
      <c r="I634" s="23" t="n"/>
      <c r="J634" s="26" t="n"/>
      <c r="K634" s="26" t="n"/>
      <c r="L634" s="26" t="n"/>
      <c r="M634" s="26" t="n"/>
      <c r="N634" s="26" t="n"/>
      <c r="O634" s="27">
        <f>IF(COUNT(K634:N634)=0,"",SUM(K634:N634))</f>
        <v/>
      </c>
      <c r="P634" s="16">
        <f>IF(OR(O634="",N(J634)&lt;=0),"",O634/J634)</f>
        <v/>
      </c>
      <c r="Q634" s="28">
        <f>IF(V634=1,"Late","")</f>
        <v/>
      </c>
      <c r="R634" s="1">
        <f>IF(ISNUMBER(B634),INT(B634)*10000000+IF(ISNUMBER(C634),ROUND(MOD(C634,1)*1440,0),0)*1000+ROW(),"")</f>
        <v/>
      </c>
      <c r="S634">
        <f>IF(ISNUMBER(B634),INT(B634)-WEEKDAY(B634,3),"")</f>
        <v/>
      </c>
      <c r="T634">
        <f>IF(ISNUMBER(B634),YEAR(B634)*100+MONTH(B634),"")</f>
        <v/>
      </c>
      <c r="U634">
        <f>IF(AND(ISNUMBER(B634),H634&lt;&gt;"Published"),IF(INT(B634)&gt;=TODAY(),R634,""),"")</f>
        <v/>
      </c>
      <c r="V634">
        <f>IF(AND(ISNUMBER(B634),OR(H634="Draft",H634="Scheduled")),IF(INT(B634)&lt;TODAY(),1,0),0)</f>
        <v/>
      </c>
      <c r="W634">
        <f>IF(AND(H634="Published",N(O634)&gt;0),IF(T634=(YEAR(TODAY())*100+MONTH(TODAY())),ROUND(O634,0)*1000+1000-ROW(),""),"")</f>
        <v/>
      </c>
    </row>
    <row r="635">
      <c r="A635" s="1" t="n"/>
      <c r="B635" s="21" t="n"/>
      <c r="C635" s="22" t="n"/>
      <c r="D635" s="23" t="n"/>
      <c r="E635" s="24" t="n"/>
      <c r="F635" s="23" t="n"/>
      <c r="G635" s="25" t="n"/>
      <c r="H635" s="24" t="n"/>
      <c r="I635" s="23" t="n"/>
      <c r="J635" s="26" t="n"/>
      <c r="K635" s="26" t="n"/>
      <c r="L635" s="26" t="n"/>
      <c r="M635" s="26" t="n"/>
      <c r="N635" s="26" t="n"/>
      <c r="O635" s="27">
        <f>IF(COUNT(K635:N635)=0,"",SUM(K635:N635))</f>
        <v/>
      </c>
      <c r="P635" s="16">
        <f>IF(OR(O635="",N(J635)&lt;=0),"",O635/J635)</f>
        <v/>
      </c>
      <c r="Q635" s="28">
        <f>IF(V635=1,"Late","")</f>
        <v/>
      </c>
      <c r="R635" s="1">
        <f>IF(ISNUMBER(B635),INT(B635)*10000000+IF(ISNUMBER(C635),ROUND(MOD(C635,1)*1440,0),0)*1000+ROW(),"")</f>
        <v/>
      </c>
      <c r="S635">
        <f>IF(ISNUMBER(B635),INT(B635)-WEEKDAY(B635,3),"")</f>
        <v/>
      </c>
      <c r="T635">
        <f>IF(ISNUMBER(B635),YEAR(B635)*100+MONTH(B635),"")</f>
        <v/>
      </c>
      <c r="U635">
        <f>IF(AND(ISNUMBER(B635),H635&lt;&gt;"Published"),IF(INT(B635)&gt;=TODAY(),R635,""),"")</f>
        <v/>
      </c>
      <c r="V635">
        <f>IF(AND(ISNUMBER(B635),OR(H635="Draft",H635="Scheduled")),IF(INT(B635)&lt;TODAY(),1,0),0)</f>
        <v/>
      </c>
      <c r="W635">
        <f>IF(AND(H635="Published",N(O635)&gt;0),IF(T635=(YEAR(TODAY())*100+MONTH(TODAY())),ROUND(O635,0)*1000+1000-ROW(),""),"")</f>
        <v/>
      </c>
    </row>
    <row r="636">
      <c r="A636" s="1" t="n"/>
      <c r="B636" s="21" t="n"/>
      <c r="C636" s="22" t="n"/>
      <c r="D636" s="23" t="n"/>
      <c r="E636" s="24" t="n"/>
      <c r="F636" s="23" t="n"/>
      <c r="G636" s="25" t="n"/>
      <c r="H636" s="24" t="n"/>
      <c r="I636" s="23" t="n"/>
      <c r="J636" s="26" t="n"/>
      <c r="K636" s="26" t="n"/>
      <c r="L636" s="26" t="n"/>
      <c r="M636" s="26" t="n"/>
      <c r="N636" s="26" t="n"/>
      <c r="O636" s="27">
        <f>IF(COUNT(K636:N636)=0,"",SUM(K636:N636))</f>
        <v/>
      </c>
      <c r="P636" s="16">
        <f>IF(OR(O636="",N(J636)&lt;=0),"",O636/J636)</f>
        <v/>
      </c>
      <c r="Q636" s="28">
        <f>IF(V636=1,"Late","")</f>
        <v/>
      </c>
      <c r="R636" s="1">
        <f>IF(ISNUMBER(B636),INT(B636)*10000000+IF(ISNUMBER(C636),ROUND(MOD(C636,1)*1440,0),0)*1000+ROW(),"")</f>
        <v/>
      </c>
      <c r="S636">
        <f>IF(ISNUMBER(B636),INT(B636)-WEEKDAY(B636,3),"")</f>
        <v/>
      </c>
      <c r="T636">
        <f>IF(ISNUMBER(B636),YEAR(B636)*100+MONTH(B636),"")</f>
        <v/>
      </c>
      <c r="U636">
        <f>IF(AND(ISNUMBER(B636),H636&lt;&gt;"Published"),IF(INT(B636)&gt;=TODAY(),R636,""),"")</f>
        <v/>
      </c>
      <c r="V636">
        <f>IF(AND(ISNUMBER(B636),OR(H636="Draft",H636="Scheduled")),IF(INT(B636)&lt;TODAY(),1,0),0)</f>
        <v/>
      </c>
      <c r="W636">
        <f>IF(AND(H636="Published",N(O636)&gt;0),IF(T636=(YEAR(TODAY())*100+MONTH(TODAY())),ROUND(O636,0)*1000+1000-ROW(),""),"")</f>
        <v/>
      </c>
    </row>
    <row r="637">
      <c r="A637" s="1" t="n"/>
      <c r="B637" s="21" t="n"/>
      <c r="C637" s="22" t="n"/>
      <c r="D637" s="23" t="n"/>
      <c r="E637" s="24" t="n"/>
      <c r="F637" s="23" t="n"/>
      <c r="G637" s="25" t="n"/>
      <c r="H637" s="24" t="n"/>
      <c r="I637" s="23" t="n"/>
      <c r="J637" s="26" t="n"/>
      <c r="K637" s="26" t="n"/>
      <c r="L637" s="26" t="n"/>
      <c r="M637" s="26" t="n"/>
      <c r="N637" s="26" t="n"/>
      <c r="O637" s="27">
        <f>IF(COUNT(K637:N637)=0,"",SUM(K637:N637))</f>
        <v/>
      </c>
      <c r="P637" s="16">
        <f>IF(OR(O637="",N(J637)&lt;=0),"",O637/J637)</f>
        <v/>
      </c>
      <c r="Q637" s="28">
        <f>IF(V637=1,"Late","")</f>
        <v/>
      </c>
      <c r="R637" s="1">
        <f>IF(ISNUMBER(B637),INT(B637)*10000000+IF(ISNUMBER(C637),ROUND(MOD(C637,1)*1440,0),0)*1000+ROW(),"")</f>
        <v/>
      </c>
      <c r="S637">
        <f>IF(ISNUMBER(B637),INT(B637)-WEEKDAY(B637,3),"")</f>
        <v/>
      </c>
      <c r="T637">
        <f>IF(ISNUMBER(B637),YEAR(B637)*100+MONTH(B637),"")</f>
        <v/>
      </c>
      <c r="U637">
        <f>IF(AND(ISNUMBER(B637),H637&lt;&gt;"Published"),IF(INT(B637)&gt;=TODAY(),R637,""),"")</f>
        <v/>
      </c>
      <c r="V637">
        <f>IF(AND(ISNUMBER(B637),OR(H637="Draft",H637="Scheduled")),IF(INT(B637)&lt;TODAY(),1,0),0)</f>
        <v/>
      </c>
      <c r="W637">
        <f>IF(AND(H637="Published",N(O637)&gt;0),IF(T637=(YEAR(TODAY())*100+MONTH(TODAY())),ROUND(O637,0)*1000+1000-ROW(),""),"")</f>
        <v/>
      </c>
    </row>
    <row r="638">
      <c r="A638" s="1" t="n"/>
      <c r="B638" s="21" t="n"/>
      <c r="C638" s="22" t="n"/>
      <c r="D638" s="23" t="n"/>
      <c r="E638" s="24" t="n"/>
      <c r="F638" s="23" t="n"/>
      <c r="G638" s="25" t="n"/>
      <c r="H638" s="24" t="n"/>
      <c r="I638" s="23" t="n"/>
      <c r="J638" s="26" t="n"/>
      <c r="K638" s="26" t="n"/>
      <c r="L638" s="26" t="n"/>
      <c r="M638" s="26" t="n"/>
      <c r="N638" s="26" t="n"/>
      <c r="O638" s="27">
        <f>IF(COUNT(K638:N638)=0,"",SUM(K638:N638))</f>
        <v/>
      </c>
      <c r="P638" s="16">
        <f>IF(OR(O638="",N(J638)&lt;=0),"",O638/J638)</f>
        <v/>
      </c>
      <c r="Q638" s="28">
        <f>IF(V638=1,"Late","")</f>
        <v/>
      </c>
      <c r="R638" s="1">
        <f>IF(ISNUMBER(B638),INT(B638)*10000000+IF(ISNUMBER(C638),ROUND(MOD(C638,1)*1440,0),0)*1000+ROW(),"")</f>
        <v/>
      </c>
      <c r="S638">
        <f>IF(ISNUMBER(B638),INT(B638)-WEEKDAY(B638,3),"")</f>
        <v/>
      </c>
      <c r="T638">
        <f>IF(ISNUMBER(B638),YEAR(B638)*100+MONTH(B638),"")</f>
        <v/>
      </c>
      <c r="U638">
        <f>IF(AND(ISNUMBER(B638),H638&lt;&gt;"Published"),IF(INT(B638)&gt;=TODAY(),R638,""),"")</f>
        <v/>
      </c>
      <c r="V638">
        <f>IF(AND(ISNUMBER(B638),OR(H638="Draft",H638="Scheduled")),IF(INT(B638)&lt;TODAY(),1,0),0)</f>
        <v/>
      </c>
      <c r="W638">
        <f>IF(AND(H638="Published",N(O638)&gt;0),IF(T638=(YEAR(TODAY())*100+MONTH(TODAY())),ROUND(O638,0)*1000+1000-ROW(),""),"")</f>
        <v/>
      </c>
    </row>
    <row r="639">
      <c r="A639" s="1" t="n"/>
      <c r="B639" s="21" t="n"/>
      <c r="C639" s="22" t="n"/>
      <c r="D639" s="23" t="n"/>
      <c r="E639" s="24" t="n"/>
      <c r="F639" s="23" t="n"/>
      <c r="G639" s="25" t="n"/>
      <c r="H639" s="24" t="n"/>
      <c r="I639" s="23" t="n"/>
      <c r="J639" s="26" t="n"/>
      <c r="K639" s="26" t="n"/>
      <c r="L639" s="26" t="n"/>
      <c r="M639" s="26" t="n"/>
      <c r="N639" s="26" t="n"/>
      <c r="O639" s="27">
        <f>IF(COUNT(K639:N639)=0,"",SUM(K639:N639))</f>
        <v/>
      </c>
      <c r="P639" s="16">
        <f>IF(OR(O639="",N(J639)&lt;=0),"",O639/J639)</f>
        <v/>
      </c>
      <c r="Q639" s="28">
        <f>IF(V639=1,"Late","")</f>
        <v/>
      </c>
      <c r="R639" s="1">
        <f>IF(ISNUMBER(B639),INT(B639)*10000000+IF(ISNUMBER(C639),ROUND(MOD(C639,1)*1440,0),0)*1000+ROW(),"")</f>
        <v/>
      </c>
      <c r="S639">
        <f>IF(ISNUMBER(B639),INT(B639)-WEEKDAY(B639,3),"")</f>
        <v/>
      </c>
      <c r="T639">
        <f>IF(ISNUMBER(B639),YEAR(B639)*100+MONTH(B639),"")</f>
        <v/>
      </c>
      <c r="U639">
        <f>IF(AND(ISNUMBER(B639),H639&lt;&gt;"Published"),IF(INT(B639)&gt;=TODAY(),R639,""),"")</f>
        <v/>
      </c>
      <c r="V639">
        <f>IF(AND(ISNUMBER(B639),OR(H639="Draft",H639="Scheduled")),IF(INT(B639)&lt;TODAY(),1,0),0)</f>
        <v/>
      </c>
      <c r="W639">
        <f>IF(AND(H639="Published",N(O639)&gt;0),IF(T639=(YEAR(TODAY())*100+MONTH(TODAY())),ROUND(O639,0)*1000+1000-ROW(),""),"")</f>
        <v/>
      </c>
    </row>
    <row r="640">
      <c r="A640" s="1" t="n"/>
      <c r="B640" s="21" t="n"/>
      <c r="C640" s="22" t="n"/>
      <c r="D640" s="23" t="n"/>
      <c r="E640" s="24" t="n"/>
      <c r="F640" s="23" t="n"/>
      <c r="G640" s="25" t="n"/>
      <c r="H640" s="24" t="n"/>
      <c r="I640" s="23" t="n"/>
      <c r="J640" s="26" t="n"/>
      <c r="K640" s="26" t="n"/>
      <c r="L640" s="26" t="n"/>
      <c r="M640" s="26" t="n"/>
      <c r="N640" s="26" t="n"/>
      <c r="O640" s="27">
        <f>IF(COUNT(K640:N640)=0,"",SUM(K640:N640))</f>
        <v/>
      </c>
      <c r="P640" s="16">
        <f>IF(OR(O640="",N(J640)&lt;=0),"",O640/J640)</f>
        <v/>
      </c>
      <c r="Q640" s="28">
        <f>IF(V640=1,"Late","")</f>
        <v/>
      </c>
      <c r="R640" s="1">
        <f>IF(ISNUMBER(B640),INT(B640)*10000000+IF(ISNUMBER(C640),ROUND(MOD(C640,1)*1440,0),0)*1000+ROW(),"")</f>
        <v/>
      </c>
      <c r="S640">
        <f>IF(ISNUMBER(B640),INT(B640)-WEEKDAY(B640,3),"")</f>
        <v/>
      </c>
      <c r="T640">
        <f>IF(ISNUMBER(B640),YEAR(B640)*100+MONTH(B640),"")</f>
        <v/>
      </c>
      <c r="U640">
        <f>IF(AND(ISNUMBER(B640),H640&lt;&gt;"Published"),IF(INT(B640)&gt;=TODAY(),R640,""),"")</f>
        <v/>
      </c>
      <c r="V640">
        <f>IF(AND(ISNUMBER(B640),OR(H640="Draft",H640="Scheduled")),IF(INT(B640)&lt;TODAY(),1,0),0)</f>
        <v/>
      </c>
      <c r="W640">
        <f>IF(AND(H640="Published",N(O640)&gt;0),IF(T640=(YEAR(TODAY())*100+MONTH(TODAY())),ROUND(O640,0)*1000+1000-ROW(),""),"")</f>
        <v/>
      </c>
    </row>
    <row r="641">
      <c r="A641" s="1" t="n"/>
      <c r="B641" s="21" t="n"/>
      <c r="C641" s="22" t="n"/>
      <c r="D641" s="23" t="n"/>
      <c r="E641" s="24" t="n"/>
      <c r="F641" s="23" t="n"/>
      <c r="G641" s="25" t="n"/>
      <c r="H641" s="24" t="n"/>
      <c r="I641" s="23" t="n"/>
      <c r="J641" s="26" t="n"/>
      <c r="K641" s="26" t="n"/>
      <c r="L641" s="26" t="n"/>
      <c r="M641" s="26" t="n"/>
      <c r="N641" s="26" t="n"/>
      <c r="O641" s="27">
        <f>IF(COUNT(K641:N641)=0,"",SUM(K641:N641))</f>
        <v/>
      </c>
      <c r="P641" s="16">
        <f>IF(OR(O641="",N(J641)&lt;=0),"",O641/J641)</f>
        <v/>
      </c>
      <c r="Q641" s="28">
        <f>IF(V641=1,"Late","")</f>
        <v/>
      </c>
      <c r="R641" s="1">
        <f>IF(ISNUMBER(B641),INT(B641)*10000000+IF(ISNUMBER(C641),ROUND(MOD(C641,1)*1440,0),0)*1000+ROW(),"")</f>
        <v/>
      </c>
      <c r="S641">
        <f>IF(ISNUMBER(B641),INT(B641)-WEEKDAY(B641,3),"")</f>
        <v/>
      </c>
      <c r="T641">
        <f>IF(ISNUMBER(B641),YEAR(B641)*100+MONTH(B641),"")</f>
        <v/>
      </c>
      <c r="U641">
        <f>IF(AND(ISNUMBER(B641),H641&lt;&gt;"Published"),IF(INT(B641)&gt;=TODAY(),R641,""),"")</f>
        <v/>
      </c>
      <c r="V641">
        <f>IF(AND(ISNUMBER(B641),OR(H641="Draft",H641="Scheduled")),IF(INT(B641)&lt;TODAY(),1,0),0)</f>
        <v/>
      </c>
      <c r="W641">
        <f>IF(AND(H641="Published",N(O641)&gt;0),IF(T641=(YEAR(TODAY())*100+MONTH(TODAY())),ROUND(O641,0)*1000+1000-ROW(),""),"")</f>
        <v/>
      </c>
    </row>
    <row r="642">
      <c r="A642" s="1" t="n"/>
      <c r="B642" s="21" t="n"/>
      <c r="C642" s="22" t="n"/>
      <c r="D642" s="23" t="n"/>
      <c r="E642" s="24" t="n"/>
      <c r="F642" s="23" t="n"/>
      <c r="G642" s="25" t="n"/>
      <c r="H642" s="24" t="n"/>
      <c r="I642" s="23" t="n"/>
      <c r="J642" s="26" t="n"/>
      <c r="K642" s="26" t="n"/>
      <c r="L642" s="26" t="n"/>
      <c r="M642" s="26" t="n"/>
      <c r="N642" s="26" t="n"/>
      <c r="O642" s="27">
        <f>IF(COUNT(K642:N642)=0,"",SUM(K642:N642))</f>
        <v/>
      </c>
      <c r="P642" s="16">
        <f>IF(OR(O642="",N(J642)&lt;=0),"",O642/J642)</f>
        <v/>
      </c>
      <c r="Q642" s="28">
        <f>IF(V642=1,"Late","")</f>
        <v/>
      </c>
      <c r="R642" s="1">
        <f>IF(ISNUMBER(B642),INT(B642)*10000000+IF(ISNUMBER(C642),ROUND(MOD(C642,1)*1440,0),0)*1000+ROW(),"")</f>
        <v/>
      </c>
      <c r="S642">
        <f>IF(ISNUMBER(B642),INT(B642)-WEEKDAY(B642,3),"")</f>
        <v/>
      </c>
      <c r="T642">
        <f>IF(ISNUMBER(B642),YEAR(B642)*100+MONTH(B642),"")</f>
        <v/>
      </c>
      <c r="U642">
        <f>IF(AND(ISNUMBER(B642),H642&lt;&gt;"Published"),IF(INT(B642)&gt;=TODAY(),R642,""),"")</f>
        <v/>
      </c>
      <c r="V642">
        <f>IF(AND(ISNUMBER(B642),OR(H642="Draft",H642="Scheduled")),IF(INT(B642)&lt;TODAY(),1,0),0)</f>
        <v/>
      </c>
      <c r="W642">
        <f>IF(AND(H642="Published",N(O642)&gt;0),IF(T642=(YEAR(TODAY())*100+MONTH(TODAY())),ROUND(O642,0)*1000+1000-ROW(),""),"")</f>
        <v/>
      </c>
    </row>
    <row r="643">
      <c r="A643" s="1" t="n"/>
      <c r="B643" s="21" t="n"/>
      <c r="C643" s="22" t="n"/>
      <c r="D643" s="23" t="n"/>
      <c r="E643" s="24" t="n"/>
      <c r="F643" s="23" t="n"/>
      <c r="G643" s="25" t="n"/>
      <c r="H643" s="24" t="n"/>
      <c r="I643" s="23" t="n"/>
      <c r="J643" s="26" t="n"/>
      <c r="K643" s="26" t="n"/>
      <c r="L643" s="26" t="n"/>
      <c r="M643" s="26" t="n"/>
      <c r="N643" s="26" t="n"/>
      <c r="O643" s="27">
        <f>IF(COUNT(K643:N643)=0,"",SUM(K643:N643))</f>
        <v/>
      </c>
      <c r="P643" s="16">
        <f>IF(OR(O643="",N(J643)&lt;=0),"",O643/J643)</f>
        <v/>
      </c>
      <c r="Q643" s="28">
        <f>IF(V643=1,"Late","")</f>
        <v/>
      </c>
      <c r="R643" s="1">
        <f>IF(ISNUMBER(B643),INT(B643)*10000000+IF(ISNUMBER(C643),ROUND(MOD(C643,1)*1440,0),0)*1000+ROW(),"")</f>
        <v/>
      </c>
      <c r="S643">
        <f>IF(ISNUMBER(B643),INT(B643)-WEEKDAY(B643,3),"")</f>
        <v/>
      </c>
      <c r="T643">
        <f>IF(ISNUMBER(B643),YEAR(B643)*100+MONTH(B643),"")</f>
        <v/>
      </c>
      <c r="U643">
        <f>IF(AND(ISNUMBER(B643),H643&lt;&gt;"Published"),IF(INT(B643)&gt;=TODAY(),R643,""),"")</f>
        <v/>
      </c>
      <c r="V643">
        <f>IF(AND(ISNUMBER(B643),OR(H643="Draft",H643="Scheduled")),IF(INT(B643)&lt;TODAY(),1,0),0)</f>
        <v/>
      </c>
      <c r="W643">
        <f>IF(AND(H643="Published",N(O643)&gt;0),IF(T643=(YEAR(TODAY())*100+MONTH(TODAY())),ROUND(O643,0)*1000+1000-ROW(),""),"")</f>
        <v/>
      </c>
    </row>
    <row r="644">
      <c r="A644" s="1" t="n"/>
      <c r="B644" s="21" t="n"/>
      <c r="C644" s="22" t="n"/>
      <c r="D644" s="23" t="n"/>
      <c r="E644" s="24" t="n"/>
      <c r="F644" s="23" t="n"/>
      <c r="G644" s="25" t="n"/>
      <c r="H644" s="24" t="n"/>
      <c r="I644" s="23" t="n"/>
      <c r="J644" s="26" t="n"/>
      <c r="K644" s="26" t="n"/>
      <c r="L644" s="26" t="n"/>
      <c r="M644" s="26" t="n"/>
      <c r="N644" s="26" t="n"/>
      <c r="O644" s="27">
        <f>IF(COUNT(K644:N644)=0,"",SUM(K644:N644))</f>
        <v/>
      </c>
      <c r="P644" s="16">
        <f>IF(OR(O644="",N(J644)&lt;=0),"",O644/J644)</f>
        <v/>
      </c>
      <c r="Q644" s="28">
        <f>IF(V644=1,"Late","")</f>
        <v/>
      </c>
      <c r="R644" s="1">
        <f>IF(ISNUMBER(B644),INT(B644)*10000000+IF(ISNUMBER(C644),ROUND(MOD(C644,1)*1440,0),0)*1000+ROW(),"")</f>
        <v/>
      </c>
      <c r="S644">
        <f>IF(ISNUMBER(B644),INT(B644)-WEEKDAY(B644,3),"")</f>
        <v/>
      </c>
      <c r="T644">
        <f>IF(ISNUMBER(B644),YEAR(B644)*100+MONTH(B644),"")</f>
        <v/>
      </c>
      <c r="U644">
        <f>IF(AND(ISNUMBER(B644),H644&lt;&gt;"Published"),IF(INT(B644)&gt;=TODAY(),R644,""),"")</f>
        <v/>
      </c>
      <c r="V644">
        <f>IF(AND(ISNUMBER(B644),OR(H644="Draft",H644="Scheduled")),IF(INT(B644)&lt;TODAY(),1,0),0)</f>
        <v/>
      </c>
      <c r="W644">
        <f>IF(AND(H644="Published",N(O644)&gt;0),IF(T644=(YEAR(TODAY())*100+MONTH(TODAY())),ROUND(O644,0)*1000+1000-ROW(),""),"")</f>
        <v/>
      </c>
    </row>
    <row r="645">
      <c r="A645" s="1" t="n"/>
      <c r="B645" s="21" t="n"/>
      <c r="C645" s="22" t="n"/>
      <c r="D645" s="23" t="n"/>
      <c r="E645" s="24" t="n"/>
      <c r="F645" s="23" t="n"/>
      <c r="G645" s="25" t="n"/>
      <c r="H645" s="24" t="n"/>
      <c r="I645" s="23" t="n"/>
      <c r="J645" s="26" t="n"/>
      <c r="K645" s="26" t="n"/>
      <c r="L645" s="26" t="n"/>
      <c r="M645" s="26" t="n"/>
      <c r="N645" s="26" t="n"/>
      <c r="O645" s="27">
        <f>IF(COUNT(K645:N645)=0,"",SUM(K645:N645))</f>
        <v/>
      </c>
      <c r="P645" s="16">
        <f>IF(OR(O645="",N(J645)&lt;=0),"",O645/J645)</f>
        <v/>
      </c>
      <c r="Q645" s="28">
        <f>IF(V645=1,"Late","")</f>
        <v/>
      </c>
      <c r="R645" s="1">
        <f>IF(ISNUMBER(B645),INT(B645)*10000000+IF(ISNUMBER(C645),ROUND(MOD(C645,1)*1440,0),0)*1000+ROW(),"")</f>
        <v/>
      </c>
      <c r="S645">
        <f>IF(ISNUMBER(B645),INT(B645)-WEEKDAY(B645,3),"")</f>
        <v/>
      </c>
      <c r="T645">
        <f>IF(ISNUMBER(B645),YEAR(B645)*100+MONTH(B645),"")</f>
        <v/>
      </c>
      <c r="U645">
        <f>IF(AND(ISNUMBER(B645),H645&lt;&gt;"Published"),IF(INT(B645)&gt;=TODAY(),R645,""),"")</f>
        <v/>
      </c>
      <c r="V645">
        <f>IF(AND(ISNUMBER(B645),OR(H645="Draft",H645="Scheduled")),IF(INT(B645)&lt;TODAY(),1,0),0)</f>
        <v/>
      </c>
      <c r="W645">
        <f>IF(AND(H645="Published",N(O645)&gt;0),IF(T645=(YEAR(TODAY())*100+MONTH(TODAY())),ROUND(O645,0)*1000+1000-ROW(),""),"")</f>
        <v/>
      </c>
    </row>
    <row r="646">
      <c r="A646" s="1" t="n"/>
      <c r="B646" s="21" t="n"/>
      <c r="C646" s="22" t="n"/>
      <c r="D646" s="23" t="n"/>
      <c r="E646" s="24" t="n"/>
      <c r="F646" s="23" t="n"/>
      <c r="G646" s="25" t="n"/>
      <c r="H646" s="24" t="n"/>
      <c r="I646" s="23" t="n"/>
      <c r="J646" s="26" t="n"/>
      <c r="K646" s="26" t="n"/>
      <c r="L646" s="26" t="n"/>
      <c r="M646" s="26" t="n"/>
      <c r="N646" s="26" t="n"/>
      <c r="O646" s="27">
        <f>IF(COUNT(K646:N646)=0,"",SUM(K646:N646))</f>
        <v/>
      </c>
      <c r="P646" s="16">
        <f>IF(OR(O646="",N(J646)&lt;=0),"",O646/J646)</f>
        <v/>
      </c>
      <c r="Q646" s="28">
        <f>IF(V646=1,"Late","")</f>
        <v/>
      </c>
      <c r="R646" s="1">
        <f>IF(ISNUMBER(B646),INT(B646)*10000000+IF(ISNUMBER(C646),ROUND(MOD(C646,1)*1440,0),0)*1000+ROW(),"")</f>
        <v/>
      </c>
      <c r="S646">
        <f>IF(ISNUMBER(B646),INT(B646)-WEEKDAY(B646,3),"")</f>
        <v/>
      </c>
      <c r="T646">
        <f>IF(ISNUMBER(B646),YEAR(B646)*100+MONTH(B646),"")</f>
        <v/>
      </c>
      <c r="U646">
        <f>IF(AND(ISNUMBER(B646),H646&lt;&gt;"Published"),IF(INT(B646)&gt;=TODAY(),R646,""),"")</f>
        <v/>
      </c>
      <c r="V646">
        <f>IF(AND(ISNUMBER(B646),OR(H646="Draft",H646="Scheduled")),IF(INT(B646)&lt;TODAY(),1,0),0)</f>
        <v/>
      </c>
      <c r="W646">
        <f>IF(AND(H646="Published",N(O646)&gt;0),IF(T646=(YEAR(TODAY())*100+MONTH(TODAY())),ROUND(O646,0)*1000+1000-ROW(),""),"")</f>
        <v/>
      </c>
    </row>
    <row r="647">
      <c r="A647" s="1" t="n"/>
      <c r="B647" s="21" t="n"/>
      <c r="C647" s="22" t="n"/>
      <c r="D647" s="23" t="n"/>
      <c r="E647" s="24" t="n"/>
      <c r="F647" s="23" t="n"/>
      <c r="G647" s="25" t="n"/>
      <c r="H647" s="24" t="n"/>
      <c r="I647" s="23" t="n"/>
      <c r="J647" s="26" t="n"/>
      <c r="K647" s="26" t="n"/>
      <c r="L647" s="26" t="n"/>
      <c r="M647" s="26" t="n"/>
      <c r="N647" s="26" t="n"/>
      <c r="O647" s="27">
        <f>IF(COUNT(K647:N647)=0,"",SUM(K647:N647))</f>
        <v/>
      </c>
      <c r="P647" s="16">
        <f>IF(OR(O647="",N(J647)&lt;=0),"",O647/J647)</f>
        <v/>
      </c>
      <c r="Q647" s="28">
        <f>IF(V647=1,"Late","")</f>
        <v/>
      </c>
      <c r="R647" s="1">
        <f>IF(ISNUMBER(B647),INT(B647)*10000000+IF(ISNUMBER(C647),ROUND(MOD(C647,1)*1440,0),0)*1000+ROW(),"")</f>
        <v/>
      </c>
      <c r="S647">
        <f>IF(ISNUMBER(B647),INT(B647)-WEEKDAY(B647,3),"")</f>
        <v/>
      </c>
      <c r="T647">
        <f>IF(ISNUMBER(B647),YEAR(B647)*100+MONTH(B647),"")</f>
        <v/>
      </c>
      <c r="U647">
        <f>IF(AND(ISNUMBER(B647),H647&lt;&gt;"Published"),IF(INT(B647)&gt;=TODAY(),R647,""),"")</f>
        <v/>
      </c>
      <c r="V647">
        <f>IF(AND(ISNUMBER(B647),OR(H647="Draft",H647="Scheduled")),IF(INT(B647)&lt;TODAY(),1,0),0)</f>
        <v/>
      </c>
      <c r="W647">
        <f>IF(AND(H647="Published",N(O647)&gt;0),IF(T647=(YEAR(TODAY())*100+MONTH(TODAY())),ROUND(O647,0)*1000+1000-ROW(),""),"")</f>
        <v/>
      </c>
    </row>
    <row r="648">
      <c r="A648" s="1" t="n"/>
      <c r="B648" s="21" t="n"/>
      <c r="C648" s="22" t="n"/>
      <c r="D648" s="23" t="n"/>
      <c r="E648" s="24" t="n"/>
      <c r="F648" s="23" t="n"/>
      <c r="G648" s="25" t="n"/>
      <c r="H648" s="24" t="n"/>
      <c r="I648" s="23" t="n"/>
      <c r="J648" s="26" t="n"/>
      <c r="K648" s="26" t="n"/>
      <c r="L648" s="26" t="n"/>
      <c r="M648" s="26" t="n"/>
      <c r="N648" s="26" t="n"/>
      <c r="O648" s="27">
        <f>IF(COUNT(K648:N648)=0,"",SUM(K648:N648))</f>
        <v/>
      </c>
      <c r="P648" s="16">
        <f>IF(OR(O648="",N(J648)&lt;=0),"",O648/J648)</f>
        <v/>
      </c>
      <c r="Q648" s="28">
        <f>IF(V648=1,"Late","")</f>
        <v/>
      </c>
      <c r="R648" s="1">
        <f>IF(ISNUMBER(B648),INT(B648)*10000000+IF(ISNUMBER(C648),ROUND(MOD(C648,1)*1440,0),0)*1000+ROW(),"")</f>
        <v/>
      </c>
      <c r="S648">
        <f>IF(ISNUMBER(B648),INT(B648)-WEEKDAY(B648,3),"")</f>
        <v/>
      </c>
      <c r="T648">
        <f>IF(ISNUMBER(B648),YEAR(B648)*100+MONTH(B648),"")</f>
        <v/>
      </c>
      <c r="U648">
        <f>IF(AND(ISNUMBER(B648),H648&lt;&gt;"Published"),IF(INT(B648)&gt;=TODAY(),R648,""),"")</f>
        <v/>
      </c>
      <c r="V648">
        <f>IF(AND(ISNUMBER(B648),OR(H648="Draft",H648="Scheduled")),IF(INT(B648)&lt;TODAY(),1,0),0)</f>
        <v/>
      </c>
      <c r="W648">
        <f>IF(AND(H648="Published",N(O648)&gt;0),IF(T648=(YEAR(TODAY())*100+MONTH(TODAY())),ROUND(O648,0)*1000+1000-ROW(),""),"")</f>
        <v/>
      </c>
    </row>
    <row r="649">
      <c r="A649" s="1" t="n"/>
      <c r="B649" s="21" t="n"/>
      <c r="C649" s="22" t="n"/>
      <c r="D649" s="23" t="n"/>
      <c r="E649" s="24" t="n"/>
      <c r="F649" s="23" t="n"/>
      <c r="G649" s="25" t="n"/>
      <c r="H649" s="24" t="n"/>
      <c r="I649" s="23" t="n"/>
      <c r="J649" s="26" t="n"/>
      <c r="K649" s="26" t="n"/>
      <c r="L649" s="26" t="n"/>
      <c r="M649" s="26" t="n"/>
      <c r="N649" s="26" t="n"/>
      <c r="O649" s="27">
        <f>IF(COUNT(K649:N649)=0,"",SUM(K649:N649))</f>
        <v/>
      </c>
      <c r="P649" s="16">
        <f>IF(OR(O649="",N(J649)&lt;=0),"",O649/J649)</f>
        <v/>
      </c>
      <c r="Q649" s="28">
        <f>IF(V649=1,"Late","")</f>
        <v/>
      </c>
      <c r="R649" s="1">
        <f>IF(ISNUMBER(B649),INT(B649)*10000000+IF(ISNUMBER(C649),ROUND(MOD(C649,1)*1440,0),0)*1000+ROW(),"")</f>
        <v/>
      </c>
      <c r="S649">
        <f>IF(ISNUMBER(B649),INT(B649)-WEEKDAY(B649,3),"")</f>
        <v/>
      </c>
      <c r="T649">
        <f>IF(ISNUMBER(B649),YEAR(B649)*100+MONTH(B649),"")</f>
        <v/>
      </c>
      <c r="U649">
        <f>IF(AND(ISNUMBER(B649),H649&lt;&gt;"Published"),IF(INT(B649)&gt;=TODAY(),R649,""),"")</f>
        <v/>
      </c>
      <c r="V649">
        <f>IF(AND(ISNUMBER(B649),OR(H649="Draft",H649="Scheduled")),IF(INT(B649)&lt;TODAY(),1,0),0)</f>
        <v/>
      </c>
      <c r="W649">
        <f>IF(AND(H649="Published",N(O649)&gt;0),IF(T649=(YEAR(TODAY())*100+MONTH(TODAY())),ROUND(O649,0)*1000+1000-ROW(),""),"")</f>
        <v/>
      </c>
    </row>
    <row r="650">
      <c r="A650" s="1" t="n"/>
      <c r="B650" s="21" t="n"/>
      <c r="C650" s="22" t="n"/>
      <c r="D650" s="23" t="n"/>
      <c r="E650" s="24" t="n"/>
      <c r="F650" s="23" t="n"/>
      <c r="G650" s="25" t="n"/>
      <c r="H650" s="24" t="n"/>
      <c r="I650" s="23" t="n"/>
      <c r="J650" s="26" t="n"/>
      <c r="K650" s="26" t="n"/>
      <c r="L650" s="26" t="n"/>
      <c r="M650" s="26" t="n"/>
      <c r="N650" s="26" t="n"/>
      <c r="O650" s="27">
        <f>IF(COUNT(K650:N650)=0,"",SUM(K650:N650))</f>
        <v/>
      </c>
      <c r="P650" s="16">
        <f>IF(OR(O650="",N(J650)&lt;=0),"",O650/J650)</f>
        <v/>
      </c>
      <c r="Q650" s="28">
        <f>IF(V650=1,"Late","")</f>
        <v/>
      </c>
      <c r="R650" s="1">
        <f>IF(ISNUMBER(B650),INT(B650)*10000000+IF(ISNUMBER(C650),ROUND(MOD(C650,1)*1440,0),0)*1000+ROW(),"")</f>
        <v/>
      </c>
      <c r="S650">
        <f>IF(ISNUMBER(B650),INT(B650)-WEEKDAY(B650,3),"")</f>
        <v/>
      </c>
      <c r="T650">
        <f>IF(ISNUMBER(B650),YEAR(B650)*100+MONTH(B650),"")</f>
        <v/>
      </c>
      <c r="U650">
        <f>IF(AND(ISNUMBER(B650),H650&lt;&gt;"Published"),IF(INT(B650)&gt;=TODAY(),R650,""),"")</f>
        <v/>
      </c>
      <c r="V650">
        <f>IF(AND(ISNUMBER(B650),OR(H650="Draft",H650="Scheduled")),IF(INT(B650)&lt;TODAY(),1,0),0)</f>
        <v/>
      </c>
      <c r="W650">
        <f>IF(AND(H650="Published",N(O650)&gt;0),IF(T650=(YEAR(TODAY())*100+MONTH(TODAY())),ROUND(O650,0)*1000+1000-ROW(),""),"")</f>
        <v/>
      </c>
    </row>
    <row r="651">
      <c r="A651" s="1" t="n"/>
      <c r="B651" s="21" t="n"/>
      <c r="C651" s="22" t="n"/>
      <c r="D651" s="23" t="n"/>
      <c r="E651" s="24" t="n"/>
      <c r="F651" s="23" t="n"/>
      <c r="G651" s="25" t="n"/>
      <c r="H651" s="24" t="n"/>
      <c r="I651" s="23" t="n"/>
      <c r="J651" s="26" t="n"/>
      <c r="K651" s="26" t="n"/>
      <c r="L651" s="26" t="n"/>
      <c r="M651" s="26" t="n"/>
      <c r="N651" s="26" t="n"/>
      <c r="O651" s="27">
        <f>IF(COUNT(K651:N651)=0,"",SUM(K651:N651))</f>
        <v/>
      </c>
      <c r="P651" s="16">
        <f>IF(OR(O651="",N(J651)&lt;=0),"",O651/J651)</f>
        <v/>
      </c>
      <c r="Q651" s="28">
        <f>IF(V651=1,"Late","")</f>
        <v/>
      </c>
      <c r="R651" s="1">
        <f>IF(ISNUMBER(B651),INT(B651)*10000000+IF(ISNUMBER(C651),ROUND(MOD(C651,1)*1440,0),0)*1000+ROW(),"")</f>
        <v/>
      </c>
      <c r="S651">
        <f>IF(ISNUMBER(B651),INT(B651)-WEEKDAY(B651,3),"")</f>
        <v/>
      </c>
      <c r="T651">
        <f>IF(ISNUMBER(B651),YEAR(B651)*100+MONTH(B651),"")</f>
        <v/>
      </c>
      <c r="U651">
        <f>IF(AND(ISNUMBER(B651),H651&lt;&gt;"Published"),IF(INT(B651)&gt;=TODAY(),R651,""),"")</f>
        <v/>
      </c>
      <c r="V651">
        <f>IF(AND(ISNUMBER(B651),OR(H651="Draft",H651="Scheduled")),IF(INT(B651)&lt;TODAY(),1,0),0)</f>
        <v/>
      </c>
      <c r="W651">
        <f>IF(AND(H651="Published",N(O651)&gt;0),IF(T651=(YEAR(TODAY())*100+MONTH(TODAY())),ROUND(O651,0)*1000+1000-ROW(),""),"")</f>
        <v/>
      </c>
    </row>
    <row r="652">
      <c r="A652" s="1" t="n"/>
      <c r="B652" s="21" t="n"/>
      <c r="C652" s="22" t="n"/>
      <c r="D652" s="23" t="n"/>
      <c r="E652" s="24" t="n"/>
      <c r="F652" s="23" t="n"/>
      <c r="G652" s="25" t="n"/>
      <c r="H652" s="24" t="n"/>
      <c r="I652" s="23" t="n"/>
      <c r="J652" s="26" t="n"/>
      <c r="K652" s="26" t="n"/>
      <c r="L652" s="26" t="n"/>
      <c r="M652" s="26" t="n"/>
      <c r="N652" s="26" t="n"/>
      <c r="O652" s="27">
        <f>IF(COUNT(K652:N652)=0,"",SUM(K652:N652))</f>
        <v/>
      </c>
      <c r="P652" s="16">
        <f>IF(OR(O652="",N(J652)&lt;=0),"",O652/J652)</f>
        <v/>
      </c>
      <c r="Q652" s="28">
        <f>IF(V652=1,"Late","")</f>
        <v/>
      </c>
      <c r="R652" s="1">
        <f>IF(ISNUMBER(B652),INT(B652)*10000000+IF(ISNUMBER(C652),ROUND(MOD(C652,1)*1440,0),0)*1000+ROW(),"")</f>
        <v/>
      </c>
      <c r="S652">
        <f>IF(ISNUMBER(B652),INT(B652)-WEEKDAY(B652,3),"")</f>
        <v/>
      </c>
      <c r="T652">
        <f>IF(ISNUMBER(B652),YEAR(B652)*100+MONTH(B652),"")</f>
        <v/>
      </c>
      <c r="U652">
        <f>IF(AND(ISNUMBER(B652),H652&lt;&gt;"Published"),IF(INT(B652)&gt;=TODAY(),R652,""),"")</f>
        <v/>
      </c>
      <c r="V652">
        <f>IF(AND(ISNUMBER(B652),OR(H652="Draft",H652="Scheduled")),IF(INT(B652)&lt;TODAY(),1,0),0)</f>
        <v/>
      </c>
      <c r="W652">
        <f>IF(AND(H652="Published",N(O652)&gt;0),IF(T652=(YEAR(TODAY())*100+MONTH(TODAY())),ROUND(O652,0)*1000+1000-ROW(),""),"")</f>
        <v/>
      </c>
    </row>
    <row r="653">
      <c r="A653" s="1" t="n"/>
      <c r="B653" s="21" t="n"/>
      <c r="C653" s="22" t="n"/>
      <c r="D653" s="23" t="n"/>
      <c r="E653" s="24" t="n"/>
      <c r="F653" s="23" t="n"/>
      <c r="G653" s="25" t="n"/>
      <c r="H653" s="24" t="n"/>
      <c r="I653" s="23" t="n"/>
      <c r="J653" s="26" t="n"/>
      <c r="K653" s="26" t="n"/>
      <c r="L653" s="26" t="n"/>
      <c r="M653" s="26" t="n"/>
      <c r="N653" s="26" t="n"/>
      <c r="O653" s="27">
        <f>IF(COUNT(K653:N653)=0,"",SUM(K653:N653))</f>
        <v/>
      </c>
      <c r="P653" s="16">
        <f>IF(OR(O653="",N(J653)&lt;=0),"",O653/J653)</f>
        <v/>
      </c>
      <c r="Q653" s="28">
        <f>IF(V653=1,"Late","")</f>
        <v/>
      </c>
      <c r="R653" s="1">
        <f>IF(ISNUMBER(B653),INT(B653)*10000000+IF(ISNUMBER(C653),ROUND(MOD(C653,1)*1440,0),0)*1000+ROW(),"")</f>
        <v/>
      </c>
      <c r="S653">
        <f>IF(ISNUMBER(B653),INT(B653)-WEEKDAY(B653,3),"")</f>
        <v/>
      </c>
      <c r="T653">
        <f>IF(ISNUMBER(B653),YEAR(B653)*100+MONTH(B653),"")</f>
        <v/>
      </c>
      <c r="U653">
        <f>IF(AND(ISNUMBER(B653),H653&lt;&gt;"Published"),IF(INT(B653)&gt;=TODAY(),R653,""),"")</f>
        <v/>
      </c>
      <c r="V653">
        <f>IF(AND(ISNUMBER(B653),OR(H653="Draft",H653="Scheduled")),IF(INT(B653)&lt;TODAY(),1,0),0)</f>
        <v/>
      </c>
      <c r="W653">
        <f>IF(AND(H653="Published",N(O653)&gt;0),IF(T653=(YEAR(TODAY())*100+MONTH(TODAY())),ROUND(O653,0)*1000+1000-ROW(),""),"")</f>
        <v/>
      </c>
    </row>
    <row r="654">
      <c r="A654" s="1" t="n"/>
      <c r="B654" s="21" t="n"/>
      <c r="C654" s="22" t="n"/>
      <c r="D654" s="23" t="n"/>
      <c r="E654" s="24" t="n"/>
      <c r="F654" s="23" t="n"/>
      <c r="G654" s="25" t="n"/>
      <c r="H654" s="24" t="n"/>
      <c r="I654" s="23" t="n"/>
      <c r="J654" s="26" t="n"/>
      <c r="K654" s="26" t="n"/>
      <c r="L654" s="26" t="n"/>
      <c r="M654" s="26" t="n"/>
      <c r="N654" s="26" t="n"/>
      <c r="O654" s="27">
        <f>IF(COUNT(K654:N654)=0,"",SUM(K654:N654))</f>
        <v/>
      </c>
      <c r="P654" s="16">
        <f>IF(OR(O654="",N(J654)&lt;=0),"",O654/J654)</f>
        <v/>
      </c>
      <c r="Q654" s="28">
        <f>IF(V654=1,"Late","")</f>
        <v/>
      </c>
      <c r="R654" s="1">
        <f>IF(ISNUMBER(B654),INT(B654)*10000000+IF(ISNUMBER(C654),ROUND(MOD(C654,1)*1440,0),0)*1000+ROW(),"")</f>
        <v/>
      </c>
      <c r="S654">
        <f>IF(ISNUMBER(B654),INT(B654)-WEEKDAY(B654,3),"")</f>
        <v/>
      </c>
      <c r="T654">
        <f>IF(ISNUMBER(B654),YEAR(B654)*100+MONTH(B654),"")</f>
        <v/>
      </c>
      <c r="U654">
        <f>IF(AND(ISNUMBER(B654),H654&lt;&gt;"Published"),IF(INT(B654)&gt;=TODAY(),R654,""),"")</f>
        <v/>
      </c>
      <c r="V654">
        <f>IF(AND(ISNUMBER(B654),OR(H654="Draft",H654="Scheduled")),IF(INT(B654)&lt;TODAY(),1,0),0)</f>
        <v/>
      </c>
      <c r="W654">
        <f>IF(AND(H654="Published",N(O654)&gt;0),IF(T654=(YEAR(TODAY())*100+MONTH(TODAY())),ROUND(O654,0)*1000+1000-ROW(),""),"")</f>
        <v/>
      </c>
    </row>
    <row r="655">
      <c r="A655" s="1" t="n"/>
      <c r="B655" s="21" t="n"/>
      <c r="C655" s="22" t="n"/>
      <c r="D655" s="23" t="n"/>
      <c r="E655" s="24" t="n"/>
      <c r="F655" s="23" t="n"/>
      <c r="G655" s="25" t="n"/>
      <c r="H655" s="24" t="n"/>
      <c r="I655" s="23" t="n"/>
      <c r="J655" s="26" t="n"/>
      <c r="K655" s="26" t="n"/>
      <c r="L655" s="26" t="n"/>
      <c r="M655" s="26" t="n"/>
      <c r="N655" s="26" t="n"/>
      <c r="O655" s="27">
        <f>IF(COUNT(K655:N655)=0,"",SUM(K655:N655))</f>
        <v/>
      </c>
      <c r="P655" s="16">
        <f>IF(OR(O655="",N(J655)&lt;=0),"",O655/J655)</f>
        <v/>
      </c>
      <c r="Q655" s="28">
        <f>IF(V655=1,"Late","")</f>
        <v/>
      </c>
      <c r="R655" s="1">
        <f>IF(ISNUMBER(B655),INT(B655)*10000000+IF(ISNUMBER(C655),ROUND(MOD(C655,1)*1440,0),0)*1000+ROW(),"")</f>
        <v/>
      </c>
      <c r="S655">
        <f>IF(ISNUMBER(B655),INT(B655)-WEEKDAY(B655,3),"")</f>
        <v/>
      </c>
      <c r="T655">
        <f>IF(ISNUMBER(B655),YEAR(B655)*100+MONTH(B655),"")</f>
        <v/>
      </c>
      <c r="U655">
        <f>IF(AND(ISNUMBER(B655),H655&lt;&gt;"Published"),IF(INT(B655)&gt;=TODAY(),R655,""),"")</f>
        <v/>
      </c>
      <c r="V655">
        <f>IF(AND(ISNUMBER(B655),OR(H655="Draft",H655="Scheduled")),IF(INT(B655)&lt;TODAY(),1,0),0)</f>
        <v/>
      </c>
      <c r="W655">
        <f>IF(AND(H655="Published",N(O655)&gt;0),IF(T655=(YEAR(TODAY())*100+MONTH(TODAY())),ROUND(O655,0)*1000+1000-ROW(),""),"")</f>
        <v/>
      </c>
    </row>
    <row r="656">
      <c r="A656" s="1" t="n"/>
      <c r="B656" s="21" t="n"/>
      <c r="C656" s="22" t="n"/>
      <c r="D656" s="23" t="n"/>
      <c r="E656" s="24" t="n"/>
      <c r="F656" s="23" t="n"/>
      <c r="G656" s="25" t="n"/>
      <c r="H656" s="24" t="n"/>
      <c r="I656" s="23" t="n"/>
      <c r="J656" s="26" t="n"/>
      <c r="K656" s="26" t="n"/>
      <c r="L656" s="26" t="n"/>
      <c r="M656" s="26" t="n"/>
      <c r="N656" s="26" t="n"/>
      <c r="O656" s="27">
        <f>IF(COUNT(K656:N656)=0,"",SUM(K656:N656))</f>
        <v/>
      </c>
      <c r="P656" s="16">
        <f>IF(OR(O656="",N(J656)&lt;=0),"",O656/J656)</f>
        <v/>
      </c>
      <c r="Q656" s="28">
        <f>IF(V656=1,"Late","")</f>
        <v/>
      </c>
      <c r="R656" s="1">
        <f>IF(ISNUMBER(B656),INT(B656)*10000000+IF(ISNUMBER(C656),ROUND(MOD(C656,1)*1440,0),0)*1000+ROW(),"")</f>
        <v/>
      </c>
      <c r="S656">
        <f>IF(ISNUMBER(B656),INT(B656)-WEEKDAY(B656,3),"")</f>
        <v/>
      </c>
      <c r="T656">
        <f>IF(ISNUMBER(B656),YEAR(B656)*100+MONTH(B656),"")</f>
        <v/>
      </c>
      <c r="U656">
        <f>IF(AND(ISNUMBER(B656),H656&lt;&gt;"Published"),IF(INT(B656)&gt;=TODAY(),R656,""),"")</f>
        <v/>
      </c>
      <c r="V656">
        <f>IF(AND(ISNUMBER(B656),OR(H656="Draft",H656="Scheduled")),IF(INT(B656)&lt;TODAY(),1,0),0)</f>
        <v/>
      </c>
      <c r="W656">
        <f>IF(AND(H656="Published",N(O656)&gt;0),IF(T656=(YEAR(TODAY())*100+MONTH(TODAY())),ROUND(O656,0)*1000+1000-ROW(),""),"")</f>
        <v/>
      </c>
    </row>
    <row r="657">
      <c r="A657" s="1" t="n"/>
      <c r="B657" s="21" t="n"/>
      <c r="C657" s="22" t="n"/>
      <c r="D657" s="23" t="n"/>
      <c r="E657" s="24" t="n"/>
      <c r="F657" s="23" t="n"/>
      <c r="G657" s="25" t="n"/>
      <c r="H657" s="24" t="n"/>
      <c r="I657" s="23" t="n"/>
      <c r="J657" s="26" t="n"/>
      <c r="K657" s="26" t="n"/>
      <c r="L657" s="26" t="n"/>
      <c r="M657" s="26" t="n"/>
      <c r="N657" s="26" t="n"/>
      <c r="O657" s="27">
        <f>IF(COUNT(K657:N657)=0,"",SUM(K657:N657))</f>
        <v/>
      </c>
      <c r="P657" s="16">
        <f>IF(OR(O657="",N(J657)&lt;=0),"",O657/J657)</f>
        <v/>
      </c>
      <c r="Q657" s="28">
        <f>IF(V657=1,"Late","")</f>
        <v/>
      </c>
      <c r="R657" s="1">
        <f>IF(ISNUMBER(B657),INT(B657)*10000000+IF(ISNUMBER(C657),ROUND(MOD(C657,1)*1440,0),0)*1000+ROW(),"")</f>
        <v/>
      </c>
      <c r="S657">
        <f>IF(ISNUMBER(B657),INT(B657)-WEEKDAY(B657,3),"")</f>
        <v/>
      </c>
      <c r="T657">
        <f>IF(ISNUMBER(B657),YEAR(B657)*100+MONTH(B657),"")</f>
        <v/>
      </c>
      <c r="U657">
        <f>IF(AND(ISNUMBER(B657),H657&lt;&gt;"Published"),IF(INT(B657)&gt;=TODAY(),R657,""),"")</f>
        <v/>
      </c>
      <c r="V657">
        <f>IF(AND(ISNUMBER(B657),OR(H657="Draft",H657="Scheduled")),IF(INT(B657)&lt;TODAY(),1,0),0)</f>
        <v/>
      </c>
      <c r="W657">
        <f>IF(AND(H657="Published",N(O657)&gt;0),IF(T657=(YEAR(TODAY())*100+MONTH(TODAY())),ROUND(O657,0)*1000+1000-ROW(),""),"")</f>
        <v/>
      </c>
    </row>
    <row r="658">
      <c r="A658" s="1" t="n"/>
      <c r="B658" s="21" t="n"/>
      <c r="C658" s="22" t="n"/>
      <c r="D658" s="23" t="n"/>
      <c r="E658" s="24" t="n"/>
      <c r="F658" s="23" t="n"/>
      <c r="G658" s="25" t="n"/>
      <c r="H658" s="24" t="n"/>
      <c r="I658" s="23" t="n"/>
      <c r="J658" s="26" t="n"/>
      <c r="K658" s="26" t="n"/>
      <c r="L658" s="26" t="n"/>
      <c r="M658" s="26" t="n"/>
      <c r="N658" s="26" t="n"/>
      <c r="O658" s="27">
        <f>IF(COUNT(K658:N658)=0,"",SUM(K658:N658))</f>
        <v/>
      </c>
      <c r="P658" s="16">
        <f>IF(OR(O658="",N(J658)&lt;=0),"",O658/J658)</f>
        <v/>
      </c>
      <c r="Q658" s="28">
        <f>IF(V658=1,"Late","")</f>
        <v/>
      </c>
      <c r="R658" s="1">
        <f>IF(ISNUMBER(B658),INT(B658)*10000000+IF(ISNUMBER(C658),ROUND(MOD(C658,1)*1440,0),0)*1000+ROW(),"")</f>
        <v/>
      </c>
      <c r="S658">
        <f>IF(ISNUMBER(B658),INT(B658)-WEEKDAY(B658,3),"")</f>
        <v/>
      </c>
      <c r="T658">
        <f>IF(ISNUMBER(B658),YEAR(B658)*100+MONTH(B658),"")</f>
        <v/>
      </c>
      <c r="U658">
        <f>IF(AND(ISNUMBER(B658),H658&lt;&gt;"Published"),IF(INT(B658)&gt;=TODAY(),R658,""),"")</f>
        <v/>
      </c>
      <c r="V658">
        <f>IF(AND(ISNUMBER(B658),OR(H658="Draft",H658="Scheduled")),IF(INT(B658)&lt;TODAY(),1,0),0)</f>
        <v/>
      </c>
      <c r="W658">
        <f>IF(AND(H658="Published",N(O658)&gt;0),IF(T658=(YEAR(TODAY())*100+MONTH(TODAY())),ROUND(O658,0)*1000+1000-ROW(),""),"")</f>
        <v/>
      </c>
    </row>
    <row r="659">
      <c r="A659" s="1" t="n"/>
      <c r="B659" s="21" t="n"/>
      <c r="C659" s="22" t="n"/>
      <c r="D659" s="23" t="n"/>
      <c r="E659" s="24" t="n"/>
      <c r="F659" s="23" t="n"/>
      <c r="G659" s="25" t="n"/>
      <c r="H659" s="24" t="n"/>
      <c r="I659" s="23" t="n"/>
      <c r="J659" s="26" t="n"/>
      <c r="K659" s="26" t="n"/>
      <c r="L659" s="26" t="n"/>
      <c r="M659" s="26" t="n"/>
      <c r="N659" s="26" t="n"/>
      <c r="O659" s="27">
        <f>IF(COUNT(K659:N659)=0,"",SUM(K659:N659))</f>
        <v/>
      </c>
      <c r="P659" s="16">
        <f>IF(OR(O659="",N(J659)&lt;=0),"",O659/J659)</f>
        <v/>
      </c>
      <c r="Q659" s="28">
        <f>IF(V659=1,"Late","")</f>
        <v/>
      </c>
      <c r="R659" s="1">
        <f>IF(ISNUMBER(B659),INT(B659)*10000000+IF(ISNUMBER(C659),ROUND(MOD(C659,1)*1440,0),0)*1000+ROW(),"")</f>
        <v/>
      </c>
      <c r="S659">
        <f>IF(ISNUMBER(B659),INT(B659)-WEEKDAY(B659,3),"")</f>
        <v/>
      </c>
      <c r="T659">
        <f>IF(ISNUMBER(B659),YEAR(B659)*100+MONTH(B659),"")</f>
        <v/>
      </c>
      <c r="U659">
        <f>IF(AND(ISNUMBER(B659),H659&lt;&gt;"Published"),IF(INT(B659)&gt;=TODAY(),R659,""),"")</f>
        <v/>
      </c>
      <c r="V659">
        <f>IF(AND(ISNUMBER(B659),OR(H659="Draft",H659="Scheduled")),IF(INT(B659)&lt;TODAY(),1,0),0)</f>
        <v/>
      </c>
      <c r="W659">
        <f>IF(AND(H659="Published",N(O659)&gt;0),IF(T659=(YEAR(TODAY())*100+MONTH(TODAY())),ROUND(O659,0)*1000+1000-ROW(),""),"")</f>
        <v/>
      </c>
    </row>
    <row r="660">
      <c r="A660" s="1" t="n"/>
      <c r="B660" s="21" t="n"/>
      <c r="C660" s="22" t="n"/>
      <c r="D660" s="23" t="n"/>
      <c r="E660" s="24" t="n"/>
      <c r="F660" s="23" t="n"/>
      <c r="G660" s="25" t="n"/>
      <c r="H660" s="24" t="n"/>
      <c r="I660" s="23" t="n"/>
      <c r="J660" s="26" t="n"/>
      <c r="K660" s="26" t="n"/>
      <c r="L660" s="26" t="n"/>
      <c r="M660" s="26" t="n"/>
      <c r="N660" s="26" t="n"/>
      <c r="O660" s="27">
        <f>IF(COUNT(K660:N660)=0,"",SUM(K660:N660))</f>
        <v/>
      </c>
      <c r="P660" s="16">
        <f>IF(OR(O660="",N(J660)&lt;=0),"",O660/J660)</f>
        <v/>
      </c>
      <c r="Q660" s="28">
        <f>IF(V660=1,"Late","")</f>
        <v/>
      </c>
      <c r="R660" s="1">
        <f>IF(ISNUMBER(B660),INT(B660)*10000000+IF(ISNUMBER(C660),ROUND(MOD(C660,1)*1440,0),0)*1000+ROW(),"")</f>
        <v/>
      </c>
      <c r="S660">
        <f>IF(ISNUMBER(B660),INT(B660)-WEEKDAY(B660,3),"")</f>
        <v/>
      </c>
      <c r="T660">
        <f>IF(ISNUMBER(B660),YEAR(B660)*100+MONTH(B660),"")</f>
        <v/>
      </c>
      <c r="U660">
        <f>IF(AND(ISNUMBER(B660),H660&lt;&gt;"Published"),IF(INT(B660)&gt;=TODAY(),R660,""),"")</f>
        <v/>
      </c>
      <c r="V660">
        <f>IF(AND(ISNUMBER(B660),OR(H660="Draft",H660="Scheduled")),IF(INT(B660)&lt;TODAY(),1,0),0)</f>
        <v/>
      </c>
      <c r="W660">
        <f>IF(AND(H660="Published",N(O660)&gt;0),IF(T660=(YEAR(TODAY())*100+MONTH(TODAY())),ROUND(O660,0)*1000+1000-ROW(),""),"")</f>
        <v/>
      </c>
    </row>
    <row r="661">
      <c r="A661" s="1" t="n"/>
      <c r="B661" s="21" t="n"/>
      <c r="C661" s="22" t="n"/>
      <c r="D661" s="23" t="n"/>
      <c r="E661" s="24" t="n"/>
      <c r="F661" s="23" t="n"/>
      <c r="G661" s="25" t="n"/>
      <c r="H661" s="24" t="n"/>
      <c r="I661" s="23" t="n"/>
      <c r="J661" s="26" t="n"/>
      <c r="K661" s="26" t="n"/>
      <c r="L661" s="26" t="n"/>
      <c r="M661" s="26" t="n"/>
      <c r="N661" s="26" t="n"/>
      <c r="O661" s="27">
        <f>IF(COUNT(K661:N661)=0,"",SUM(K661:N661))</f>
        <v/>
      </c>
      <c r="P661" s="16">
        <f>IF(OR(O661="",N(J661)&lt;=0),"",O661/J661)</f>
        <v/>
      </c>
      <c r="Q661" s="28">
        <f>IF(V661=1,"Late","")</f>
        <v/>
      </c>
      <c r="R661" s="1">
        <f>IF(ISNUMBER(B661),INT(B661)*10000000+IF(ISNUMBER(C661),ROUND(MOD(C661,1)*1440,0),0)*1000+ROW(),"")</f>
        <v/>
      </c>
      <c r="S661">
        <f>IF(ISNUMBER(B661),INT(B661)-WEEKDAY(B661,3),"")</f>
        <v/>
      </c>
      <c r="T661">
        <f>IF(ISNUMBER(B661),YEAR(B661)*100+MONTH(B661),"")</f>
        <v/>
      </c>
      <c r="U661">
        <f>IF(AND(ISNUMBER(B661),H661&lt;&gt;"Published"),IF(INT(B661)&gt;=TODAY(),R661,""),"")</f>
        <v/>
      </c>
      <c r="V661">
        <f>IF(AND(ISNUMBER(B661),OR(H661="Draft",H661="Scheduled")),IF(INT(B661)&lt;TODAY(),1,0),0)</f>
        <v/>
      </c>
      <c r="W661">
        <f>IF(AND(H661="Published",N(O661)&gt;0),IF(T661=(YEAR(TODAY())*100+MONTH(TODAY())),ROUND(O661,0)*1000+1000-ROW(),""),"")</f>
        <v/>
      </c>
    </row>
    <row r="662">
      <c r="A662" s="1" t="n"/>
      <c r="B662" s="21" t="n"/>
      <c r="C662" s="22" t="n"/>
      <c r="D662" s="23" t="n"/>
      <c r="E662" s="24" t="n"/>
      <c r="F662" s="23" t="n"/>
      <c r="G662" s="25" t="n"/>
      <c r="H662" s="24" t="n"/>
      <c r="I662" s="23" t="n"/>
      <c r="J662" s="26" t="n"/>
      <c r="K662" s="26" t="n"/>
      <c r="L662" s="26" t="n"/>
      <c r="M662" s="26" t="n"/>
      <c r="N662" s="26" t="n"/>
      <c r="O662" s="27">
        <f>IF(COUNT(K662:N662)=0,"",SUM(K662:N662))</f>
        <v/>
      </c>
      <c r="P662" s="16">
        <f>IF(OR(O662="",N(J662)&lt;=0),"",O662/J662)</f>
        <v/>
      </c>
      <c r="Q662" s="28">
        <f>IF(V662=1,"Late","")</f>
        <v/>
      </c>
      <c r="R662" s="1">
        <f>IF(ISNUMBER(B662),INT(B662)*10000000+IF(ISNUMBER(C662),ROUND(MOD(C662,1)*1440,0),0)*1000+ROW(),"")</f>
        <v/>
      </c>
      <c r="S662">
        <f>IF(ISNUMBER(B662),INT(B662)-WEEKDAY(B662,3),"")</f>
        <v/>
      </c>
      <c r="T662">
        <f>IF(ISNUMBER(B662),YEAR(B662)*100+MONTH(B662),"")</f>
        <v/>
      </c>
      <c r="U662">
        <f>IF(AND(ISNUMBER(B662),H662&lt;&gt;"Published"),IF(INT(B662)&gt;=TODAY(),R662,""),"")</f>
        <v/>
      </c>
      <c r="V662">
        <f>IF(AND(ISNUMBER(B662),OR(H662="Draft",H662="Scheduled")),IF(INT(B662)&lt;TODAY(),1,0),0)</f>
        <v/>
      </c>
      <c r="W662">
        <f>IF(AND(H662="Published",N(O662)&gt;0),IF(T662=(YEAR(TODAY())*100+MONTH(TODAY())),ROUND(O662,0)*1000+1000-ROW(),""),"")</f>
        <v/>
      </c>
    </row>
    <row r="663">
      <c r="A663" s="1" t="n"/>
      <c r="B663" s="21" t="n"/>
      <c r="C663" s="22" t="n"/>
      <c r="D663" s="23" t="n"/>
      <c r="E663" s="24" t="n"/>
      <c r="F663" s="23" t="n"/>
      <c r="G663" s="25" t="n"/>
      <c r="H663" s="24" t="n"/>
      <c r="I663" s="23" t="n"/>
      <c r="J663" s="26" t="n"/>
      <c r="K663" s="26" t="n"/>
      <c r="L663" s="26" t="n"/>
      <c r="M663" s="26" t="n"/>
      <c r="N663" s="26" t="n"/>
      <c r="O663" s="27">
        <f>IF(COUNT(K663:N663)=0,"",SUM(K663:N663))</f>
        <v/>
      </c>
      <c r="P663" s="16">
        <f>IF(OR(O663="",N(J663)&lt;=0),"",O663/J663)</f>
        <v/>
      </c>
      <c r="Q663" s="28">
        <f>IF(V663=1,"Late","")</f>
        <v/>
      </c>
      <c r="R663" s="1">
        <f>IF(ISNUMBER(B663),INT(B663)*10000000+IF(ISNUMBER(C663),ROUND(MOD(C663,1)*1440,0),0)*1000+ROW(),"")</f>
        <v/>
      </c>
      <c r="S663">
        <f>IF(ISNUMBER(B663),INT(B663)-WEEKDAY(B663,3),"")</f>
        <v/>
      </c>
      <c r="T663">
        <f>IF(ISNUMBER(B663),YEAR(B663)*100+MONTH(B663),"")</f>
        <v/>
      </c>
      <c r="U663">
        <f>IF(AND(ISNUMBER(B663),H663&lt;&gt;"Published"),IF(INT(B663)&gt;=TODAY(),R663,""),"")</f>
        <v/>
      </c>
      <c r="V663">
        <f>IF(AND(ISNUMBER(B663),OR(H663="Draft",H663="Scheduled")),IF(INT(B663)&lt;TODAY(),1,0),0)</f>
        <v/>
      </c>
      <c r="W663">
        <f>IF(AND(H663="Published",N(O663)&gt;0),IF(T663=(YEAR(TODAY())*100+MONTH(TODAY())),ROUND(O663,0)*1000+1000-ROW(),""),"")</f>
        <v/>
      </c>
    </row>
    <row r="664">
      <c r="A664" s="1" t="n"/>
      <c r="B664" s="21" t="n"/>
      <c r="C664" s="22" t="n"/>
      <c r="D664" s="23" t="n"/>
      <c r="E664" s="24" t="n"/>
      <c r="F664" s="23" t="n"/>
      <c r="G664" s="25" t="n"/>
      <c r="H664" s="24" t="n"/>
      <c r="I664" s="23" t="n"/>
      <c r="J664" s="26" t="n"/>
      <c r="K664" s="26" t="n"/>
      <c r="L664" s="26" t="n"/>
      <c r="M664" s="26" t="n"/>
      <c r="N664" s="26" t="n"/>
      <c r="O664" s="27">
        <f>IF(COUNT(K664:N664)=0,"",SUM(K664:N664))</f>
        <v/>
      </c>
      <c r="P664" s="16">
        <f>IF(OR(O664="",N(J664)&lt;=0),"",O664/J664)</f>
        <v/>
      </c>
      <c r="Q664" s="28">
        <f>IF(V664=1,"Late","")</f>
        <v/>
      </c>
      <c r="R664" s="1">
        <f>IF(ISNUMBER(B664),INT(B664)*10000000+IF(ISNUMBER(C664),ROUND(MOD(C664,1)*1440,0),0)*1000+ROW(),"")</f>
        <v/>
      </c>
      <c r="S664">
        <f>IF(ISNUMBER(B664),INT(B664)-WEEKDAY(B664,3),"")</f>
        <v/>
      </c>
      <c r="T664">
        <f>IF(ISNUMBER(B664),YEAR(B664)*100+MONTH(B664),"")</f>
        <v/>
      </c>
      <c r="U664">
        <f>IF(AND(ISNUMBER(B664),H664&lt;&gt;"Published"),IF(INT(B664)&gt;=TODAY(),R664,""),"")</f>
        <v/>
      </c>
      <c r="V664">
        <f>IF(AND(ISNUMBER(B664),OR(H664="Draft",H664="Scheduled")),IF(INT(B664)&lt;TODAY(),1,0),0)</f>
        <v/>
      </c>
      <c r="W664">
        <f>IF(AND(H664="Published",N(O664)&gt;0),IF(T664=(YEAR(TODAY())*100+MONTH(TODAY())),ROUND(O664,0)*1000+1000-ROW(),""),"")</f>
        <v/>
      </c>
    </row>
    <row r="665">
      <c r="A665" s="1" t="n"/>
      <c r="B665" s="21" t="n"/>
      <c r="C665" s="22" t="n"/>
      <c r="D665" s="23" t="n"/>
      <c r="E665" s="24" t="n"/>
      <c r="F665" s="23" t="n"/>
      <c r="G665" s="25" t="n"/>
      <c r="H665" s="24" t="n"/>
      <c r="I665" s="23" t="n"/>
      <c r="J665" s="26" t="n"/>
      <c r="K665" s="26" t="n"/>
      <c r="L665" s="26" t="n"/>
      <c r="M665" s="26" t="n"/>
      <c r="N665" s="26" t="n"/>
      <c r="O665" s="27">
        <f>IF(COUNT(K665:N665)=0,"",SUM(K665:N665))</f>
        <v/>
      </c>
      <c r="P665" s="16">
        <f>IF(OR(O665="",N(J665)&lt;=0),"",O665/J665)</f>
        <v/>
      </c>
      <c r="Q665" s="28">
        <f>IF(V665=1,"Late","")</f>
        <v/>
      </c>
      <c r="R665" s="1">
        <f>IF(ISNUMBER(B665),INT(B665)*10000000+IF(ISNUMBER(C665),ROUND(MOD(C665,1)*1440,0),0)*1000+ROW(),"")</f>
        <v/>
      </c>
      <c r="S665">
        <f>IF(ISNUMBER(B665),INT(B665)-WEEKDAY(B665,3),"")</f>
        <v/>
      </c>
      <c r="T665">
        <f>IF(ISNUMBER(B665),YEAR(B665)*100+MONTH(B665),"")</f>
        <v/>
      </c>
      <c r="U665">
        <f>IF(AND(ISNUMBER(B665),H665&lt;&gt;"Published"),IF(INT(B665)&gt;=TODAY(),R665,""),"")</f>
        <v/>
      </c>
      <c r="V665">
        <f>IF(AND(ISNUMBER(B665),OR(H665="Draft",H665="Scheduled")),IF(INT(B665)&lt;TODAY(),1,0),0)</f>
        <v/>
      </c>
      <c r="W665">
        <f>IF(AND(H665="Published",N(O665)&gt;0),IF(T665=(YEAR(TODAY())*100+MONTH(TODAY())),ROUND(O665,0)*1000+1000-ROW(),""),"")</f>
        <v/>
      </c>
    </row>
    <row r="666">
      <c r="A666" s="1" t="n"/>
      <c r="B666" s="21" t="n"/>
      <c r="C666" s="22" t="n"/>
      <c r="D666" s="23" t="n"/>
      <c r="E666" s="24" t="n"/>
      <c r="F666" s="23" t="n"/>
      <c r="G666" s="25" t="n"/>
      <c r="H666" s="24" t="n"/>
      <c r="I666" s="23" t="n"/>
      <c r="J666" s="26" t="n"/>
      <c r="K666" s="26" t="n"/>
      <c r="L666" s="26" t="n"/>
      <c r="M666" s="26" t="n"/>
      <c r="N666" s="26" t="n"/>
      <c r="O666" s="27">
        <f>IF(COUNT(K666:N666)=0,"",SUM(K666:N666))</f>
        <v/>
      </c>
      <c r="P666" s="16">
        <f>IF(OR(O666="",N(J666)&lt;=0),"",O666/J666)</f>
        <v/>
      </c>
      <c r="Q666" s="28">
        <f>IF(V666=1,"Late","")</f>
        <v/>
      </c>
      <c r="R666" s="1">
        <f>IF(ISNUMBER(B666),INT(B666)*10000000+IF(ISNUMBER(C666),ROUND(MOD(C666,1)*1440,0),0)*1000+ROW(),"")</f>
        <v/>
      </c>
      <c r="S666">
        <f>IF(ISNUMBER(B666),INT(B666)-WEEKDAY(B666,3),"")</f>
        <v/>
      </c>
      <c r="T666">
        <f>IF(ISNUMBER(B666),YEAR(B666)*100+MONTH(B666),"")</f>
        <v/>
      </c>
      <c r="U666">
        <f>IF(AND(ISNUMBER(B666),H666&lt;&gt;"Published"),IF(INT(B666)&gt;=TODAY(),R666,""),"")</f>
        <v/>
      </c>
      <c r="V666">
        <f>IF(AND(ISNUMBER(B666),OR(H666="Draft",H666="Scheduled")),IF(INT(B666)&lt;TODAY(),1,0),0)</f>
        <v/>
      </c>
      <c r="W666">
        <f>IF(AND(H666="Published",N(O666)&gt;0),IF(T666=(YEAR(TODAY())*100+MONTH(TODAY())),ROUND(O666,0)*1000+1000-ROW(),""),"")</f>
        <v/>
      </c>
    </row>
    <row r="667">
      <c r="A667" s="1" t="n"/>
      <c r="B667" s="21" t="n"/>
      <c r="C667" s="22" t="n"/>
      <c r="D667" s="23" t="n"/>
      <c r="E667" s="24" t="n"/>
      <c r="F667" s="23" t="n"/>
      <c r="G667" s="25" t="n"/>
      <c r="H667" s="24" t="n"/>
      <c r="I667" s="23" t="n"/>
      <c r="J667" s="26" t="n"/>
      <c r="K667" s="26" t="n"/>
      <c r="L667" s="26" t="n"/>
      <c r="M667" s="26" t="n"/>
      <c r="N667" s="26" t="n"/>
      <c r="O667" s="27">
        <f>IF(COUNT(K667:N667)=0,"",SUM(K667:N667))</f>
        <v/>
      </c>
      <c r="P667" s="16">
        <f>IF(OR(O667="",N(J667)&lt;=0),"",O667/J667)</f>
        <v/>
      </c>
      <c r="Q667" s="28">
        <f>IF(V667=1,"Late","")</f>
        <v/>
      </c>
      <c r="R667" s="1">
        <f>IF(ISNUMBER(B667),INT(B667)*10000000+IF(ISNUMBER(C667),ROUND(MOD(C667,1)*1440,0),0)*1000+ROW(),"")</f>
        <v/>
      </c>
      <c r="S667">
        <f>IF(ISNUMBER(B667),INT(B667)-WEEKDAY(B667,3),"")</f>
        <v/>
      </c>
      <c r="T667">
        <f>IF(ISNUMBER(B667),YEAR(B667)*100+MONTH(B667),"")</f>
        <v/>
      </c>
      <c r="U667">
        <f>IF(AND(ISNUMBER(B667),H667&lt;&gt;"Published"),IF(INT(B667)&gt;=TODAY(),R667,""),"")</f>
        <v/>
      </c>
      <c r="V667">
        <f>IF(AND(ISNUMBER(B667),OR(H667="Draft",H667="Scheduled")),IF(INT(B667)&lt;TODAY(),1,0),0)</f>
        <v/>
      </c>
      <c r="W667">
        <f>IF(AND(H667="Published",N(O667)&gt;0),IF(T667=(YEAR(TODAY())*100+MONTH(TODAY())),ROUND(O667,0)*1000+1000-ROW(),""),"")</f>
        <v/>
      </c>
    </row>
    <row r="668">
      <c r="A668" s="1" t="n"/>
      <c r="B668" s="21" t="n"/>
      <c r="C668" s="22" t="n"/>
      <c r="D668" s="23" t="n"/>
      <c r="E668" s="24" t="n"/>
      <c r="F668" s="23" t="n"/>
      <c r="G668" s="25" t="n"/>
      <c r="H668" s="24" t="n"/>
      <c r="I668" s="23" t="n"/>
      <c r="J668" s="26" t="n"/>
      <c r="K668" s="26" t="n"/>
      <c r="L668" s="26" t="n"/>
      <c r="M668" s="26" t="n"/>
      <c r="N668" s="26" t="n"/>
      <c r="O668" s="27">
        <f>IF(COUNT(K668:N668)=0,"",SUM(K668:N668))</f>
        <v/>
      </c>
      <c r="P668" s="16">
        <f>IF(OR(O668="",N(J668)&lt;=0),"",O668/J668)</f>
        <v/>
      </c>
      <c r="Q668" s="28">
        <f>IF(V668=1,"Late","")</f>
        <v/>
      </c>
      <c r="R668" s="1">
        <f>IF(ISNUMBER(B668),INT(B668)*10000000+IF(ISNUMBER(C668),ROUND(MOD(C668,1)*1440,0),0)*1000+ROW(),"")</f>
        <v/>
      </c>
      <c r="S668">
        <f>IF(ISNUMBER(B668),INT(B668)-WEEKDAY(B668,3),"")</f>
        <v/>
      </c>
      <c r="T668">
        <f>IF(ISNUMBER(B668),YEAR(B668)*100+MONTH(B668),"")</f>
        <v/>
      </c>
      <c r="U668">
        <f>IF(AND(ISNUMBER(B668),H668&lt;&gt;"Published"),IF(INT(B668)&gt;=TODAY(),R668,""),"")</f>
        <v/>
      </c>
      <c r="V668">
        <f>IF(AND(ISNUMBER(B668),OR(H668="Draft",H668="Scheduled")),IF(INT(B668)&lt;TODAY(),1,0),0)</f>
        <v/>
      </c>
      <c r="W668">
        <f>IF(AND(H668="Published",N(O668)&gt;0),IF(T668=(YEAR(TODAY())*100+MONTH(TODAY())),ROUND(O668,0)*1000+1000-ROW(),""),"")</f>
        <v/>
      </c>
    </row>
    <row r="669">
      <c r="A669" s="1" t="n"/>
      <c r="B669" s="21" t="n"/>
      <c r="C669" s="22" t="n"/>
      <c r="D669" s="23" t="n"/>
      <c r="E669" s="24" t="n"/>
      <c r="F669" s="23" t="n"/>
      <c r="G669" s="25" t="n"/>
      <c r="H669" s="24" t="n"/>
      <c r="I669" s="23" t="n"/>
      <c r="J669" s="26" t="n"/>
      <c r="K669" s="26" t="n"/>
      <c r="L669" s="26" t="n"/>
      <c r="M669" s="26" t="n"/>
      <c r="N669" s="26" t="n"/>
      <c r="O669" s="27">
        <f>IF(COUNT(K669:N669)=0,"",SUM(K669:N669))</f>
        <v/>
      </c>
      <c r="P669" s="16">
        <f>IF(OR(O669="",N(J669)&lt;=0),"",O669/J669)</f>
        <v/>
      </c>
      <c r="Q669" s="28">
        <f>IF(V669=1,"Late","")</f>
        <v/>
      </c>
      <c r="R669" s="1">
        <f>IF(ISNUMBER(B669),INT(B669)*10000000+IF(ISNUMBER(C669),ROUND(MOD(C669,1)*1440,0),0)*1000+ROW(),"")</f>
        <v/>
      </c>
      <c r="S669">
        <f>IF(ISNUMBER(B669),INT(B669)-WEEKDAY(B669,3),"")</f>
        <v/>
      </c>
      <c r="T669">
        <f>IF(ISNUMBER(B669),YEAR(B669)*100+MONTH(B669),"")</f>
        <v/>
      </c>
      <c r="U669">
        <f>IF(AND(ISNUMBER(B669),H669&lt;&gt;"Published"),IF(INT(B669)&gt;=TODAY(),R669,""),"")</f>
        <v/>
      </c>
      <c r="V669">
        <f>IF(AND(ISNUMBER(B669),OR(H669="Draft",H669="Scheduled")),IF(INT(B669)&lt;TODAY(),1,0),0)</f>
        <v/>
      </c>
      <c r="W669">
        <f>IF(AND(H669="Published",N(O669)&gt;0),IF(T669=(YEAR(TODAY())*100+MONTH(TODAY())),ROUND(O669,0)*1000+1000-ROW(),""),"")</f>
        <v/>
      </c>
    </row>
    <row r="670">
      <c r="A670" s="1" t="n"/>
      <c r="B670" s="21" t="n"/>
      <c r="C670" s="22" t="n"/>
      <c r="D670" s="23" t="n"/>
      <c r="E670" s="24" t="n"/>
      <c r="F670" s="23" t="n"/>
      <c r="G670" s="25" t="n"/>
      <c r="H670" s="24" t="n"/>
      <c r="I670" s="23" t="n"/>
      <c r="J670" s="26" t="n"/>
      <c r="K670" s="26" t="n"/>
      <c r="L670" s="26" t="n"/>
      <c r="M670" s="26" t="n"/>
      <c r="N670" s="26" t="n"/>
      <c r="O670" s="27">
        <f>IF(COUNT(K670:N670)=0,"",SUM(K670:N670))</f>
        <v/>
      </c>
      <c r="P670" s="16">
        <f>IF(OR(O670="",N(J670)&lt;=0),"",O670/J670)</f>
        <v/>
      </c>
      <c r="Q670" s="28">
        <f>IF(V670=1,"Late","")</f>
        <v/>
      </c>
      <c r="R670" s="1">
        <f>IF(ISNUMBER(B670),INT(B670)*10000000+IF(ISNUMBER(C670),ROUND(MOD(C670,1)*1440,0),0)*1000+ROW(),"")</f>
        <v/>
      </c>
      <c r="S670">
        <f>IF(ISNUMBER(B670),INT(B670)-WEEKDAY(B670,3),"")</f>
        <v/>
      </c>
      <c r="T670">
        <f>IF(ISNUMBER(B670),YEAR(B670)*100+MONTH(B670),"")</f>
        <v/>
      </c>
      <c r="U670">
        <f>IF(AND(ISNUMBER(B670),H670&lt;&gt;"Published"),IF(INT(B670)&gt;=TODAY(),R670,""),"")</f>
        <v/>
      </c>
      <c r="V670">
        <f>IF(AND(ISNUMBER(B670),OR(H670="Draft",H670="Scheduled")),IF(INT(B670)&lt;TODAY(),1,0),0)</f>
        <v/>
      </c>
      <c r="W670">
        <f>IF(AND(H670="Published",N(O670)&gt;0),IF(T670=(YEAR(TODAY())*100+MONTH(TODAY())),ROUND(O670,0)*1000+1000-ROW(),""),"")</f>
        <v/>
      </c>
    </row>
    <row r="671">
      <c r="A671" s="1" t="n"/>
      <c r="B671" s="21" t="n"/>
      <c r="C671" s="22" t="n"/>
      <c r="D671" s="23" t="n"/>
      <c r="E671" s="24" t="n"/>
      <c r="F671" s="23" t="n"/>
      <c r="G671" s="25" t="n"/>
      <c r="H671" s="24" t="n"/>
      <c r="I671" s="23" t="n"/>
      <c r="J671" s="26" t="n"/>
      <c r="K671" s="26" t="n"/>
      <c r="L671" s="26" t="n"/>
      <c r="M671" s="26" t="n"/>
      <c r="N671" s="26" t="n"/>
      <c r="O671" s="27">
        <f>IF(COUNT(K671:N671)=0,"",SUM(K671:N671))</f>
        <v/>
      </c>
      <c r="P671" s="16">
        <f>IF(OR(O671="",N(J671)&lt;=0),"",O671/J671)</f>
        <v/>
      </c>
      <c r="Q671" s="28">
        <f>IF(V671=1,"Late","")</f>
        <v/>
      </c>
      <c r="R671" s="1">
        <f>IF(ISNUMBER(B671),INT(B671)*10000000+IF(ISNUMBER(C671),ROUND(MOD(C671,1)*1440,0),0)*1000+ROW(),"")</f>
        <v/>
      </c>
      <c r="S671">
        <f>IF(ISNUMBER(B671),INT(B671)-WEEKDAY(B671,3),"")</f>
        <v/>
      </c>
      <c r="T671">
        <f>IF(ISNUMBER(B671),YEAR(B671)*100+MONTH(B671),"")</f>
        <v/>
      </c>
      <c r="U671">
        <f>IF(AND(ISNUMBER(B671),H671&lt;&gt;"Published"),IF(INT(B671)&gt;=TODAY(),R671,""),"")</f>
        <v/>
      </c>
      <c r="V671">
        <f>IF(AND(ISNUMBER(B671),OR(H671="Draft",H671="Scheduled")),IF(INT(B671)&lt;TODAY(),1,0),0)</f>
        <v/>
      </c>
      <c r="W671">
        <f>IF(AND(H671="Published",N(O671)&gt;0),IF(T671=(YEAR(TODAY())*100+MONTH(TODAY())),ROUND(O671,0)*1000+1000-ROW(),""),"")</f>
        <v/>
      </c>
    </row>
    <row r="672">
      <c r="A672" s="1" t="n"/>
      <c r="B672" s="21" t="n"/>
      <c r="C672" s="22" t="n"/>
      <c r="D672" s="23" t="n"/>
      <c r="E672" s="24" t="n"/>
      <c r="F672" s="23" t="n"/>
      <c r="G672" s="25" t="n"/>
      <c r="H672" s="24" t="n"/>
      <c r="I672" s="23" t="n"/>
      <c r="J672" s="26" t="n"/>
      <c r="K672" s="26" t="n"/>
      <c r="L672" s="26" t="n"/>
      <c r="M672" s="26" t="n"/>
      <c r="N672" s="26" t="n"/>
      <c r="O672" s="27">
        <f>IF(COUNT(K672:N672)=0,"",SUM(K672:N672))</f>
        <v/>
      </c>
      <c r="P672" s="16">
        <f>IF(OR(O672="",N(J672)&lt;=0),"",O672/J672)</f>
        <v/>
      </c>
      <c r="Q672" s="28">
        <f>IF(V672=1,"Late","")</f>
        <v/>
      </c>
      <c r="R672" s="1">
        <f>IF(ISNUMBER(B672),INT(B672)*10000000+IF(ISNUMBER(C672),ROUND(MOD(C672,1)*1440,0),0)*1000+ROW(),"")</f>
        <v/>
      </c>
      <c r="S672">
        <f>IF(ISNUMBER(B672),INT(B672)-WEEKDAY(B672,3),"")</f>
        <v/>
      </c>
      <c r="T672">
        <f>IF(ISNUMBER(B672),YEAR(B672)*100+MONTH(B672),"")</f>
        <v/>
      </c>
      <c r="U672">
        <f>IF(AND(ISNUMBER(B672),H672&lt;&gt;"Published"),IF(INT(B672)&gt;=TODAY(),R672,""),"")</f>
        <v/>
      </c>
      <c r="V672">
        <f>IF(AND(ISNUMBER(B672),OR(H672="Draft",H672="Scheduled")),IF(INT(B672)&lt;TODAY(),1,0),0)</f>
        <v/>
      </c>
      <c r="W672">
        <f>IF(AND(H672="Published",N(O672)&gt;0),IF(T672=(YEAR(TODAY())*100+MONTH(TODAY())),ROUND(O672,0)*1000+1000-ROW(),""),"")</f>
        <v/>
      </c>
    </row>
    <row r="673">
      <c r="A673" s="1" t="n"/>
      <c r="B673" s="21" t="n"/>
      <c r="C673" s="22" t="n"/>
      <c r="D673" s="23" t="n"/>
      <c r="E673" s="24" t="n"/>
      <c r="F673" s="23" t="n"/>
      <c r="G673" s="25" t="n"/>
      <c r="H673" s="24" t="n"/>
      <c r="I673" s="23" t="n"/>
      <c r="J673" s="26" t="n"/>
      <c r="K673" s="26" t="n"/>
      <c r="L673" s="26" t="n"/>
      <c r="M673" s="26" t="n"/>
      <c r="N673" s="26" t="n"/>
      <c r="O673" s="27">
        <f>IF(COUNT(K673:N673)=0,"",SUM(K673:N673))</f>
        <v/>
      </c>
      <c r="P673" s="16">
        <f>IF(OR(O673="",N(J673)&lt;=0),"",O673/J673)</f>
        <v/>
      </c>
      <c r="Q673" s="28">
        <f>IF(V673=1,"Late","")</f>
        <v/>
      </c>
      <c r="R673" s="1">
        <f>IF(ISNUMBER(B673),INT(B673)*10000000+IF(ISNUMBER(C673),ROUND(MOD(C673,1)*1440,0),0)*1000+ROW(),"")</f>
        <v/>
      </c>
      <c r="S673">
        <f>IF(ISNUMBER(B673),INT(B673)-WEEKDAY(B673,3),"")</f>
        <v/>
      </c>
      <c r="T673">
        <f>IF(ISNUMBER(B673),YEAR(B673)*100+MONTH(B673),"")</f>
        <v/>
      </c>
      <c r="U673">
        <f>IF(AND(ISNUMBER(B673),H673&lt;&gt;"Published"),IF(INT(B673)&gt;=TODAY(),R673,""),"")</f>
        <v/>
      </c>
      <c r="V673">
        <f>IF(AND(ISNUMBER(B673),OR(H673="Draft",H673="Scheduled")),IF(INT(B673)&lt;TODAY(),1,0),0)</f>
        <v/>
      </c>
      <c r="W673">
        <f>IF(AND(H673="Published",N(O673)&gt;0),IF(T673=(YEAR(TODAY())*100+MONTH(TODAY())),ROUND(O673,0)*1000+1000-ROW(),""),"")</f>
        <v/>
      </c>
    </row>
    <row r="674">
      <c r="A674" s="1" t="n"/>
      <c r="B674" s="21" t="n"/>
      <c r="C674" s="22" t="n"/>
      <c r="D674" s="23" t="n"/>
      <c r="E674" s="24" t="n"/>
      <c r="F674" s="23" t="n"/>
      <c r="G674" s="25" t="n"/>
      <c r="H674" s="24" t="n"/>
      <c r="I674" s="23" t="n"/>
      <c r="J674" s="26" t="n"/>
      <c r="K674" s="26" t="n"/>
      <c r="L674" s="26" t="n"/>
      <c r="M674" s="26" t="n"/>
      <c r="N674" s="26" t="n"/>
      <c r="O674" s="27">
        <f>IF(COUNT(K674:N674)=0,"",SUM(K674:N674))</f>
        <v/>
      </c>
      <c r="P674" s="16">
        <f>IF(OR(O674="",N(J674)&lt;=0),"",O674/J674)</f>
        <v/>
      </c>
      <c r="Q674" s="28">
        <f>IF(V674=1,"Late","")</f>
        <v/>
      </c>
      <c r="R674" s="1">
        <f>IF(ISNUMBER(B674),INT(B674)*10000000+IF(ISNUMBER(C674),ROUND(MOD(C674,1)*1440,0),0)*1000+ROW(),"")</f>
        <v/>
      </c>
      <c r="S674">
        <f>IF(ISNUMBER(B674),INT(B674)-WEEKDAY(B674,3),"")</f>
        <v/>
      </c>
      <c r="T674">
        <f>IF(ISNUMBER(B674),YEAR(B674)*100+MONTH(B674),"")</f>
        <v/>
      </c>
      <c r="U674">
        <f>IF(AND(ISNUMBER(B674),H674&lt;&gt;"Published"),IF(INT(B674)&gt;=TODAY(),R674,""),"")</f>
        <v/>
      </c>
      <c r="V674">
        <f>IF(AND(ISNUMBER(B674),OR(H674="Draft",H674="Scheduled")),IF(INT(B674)&lt;TODAY(),1,0),0)</f>
        <v/>
      </c>
      <c r="W674">
        <f>IF(AND(H674="Published",N(O674)&gt;0),IF(T674=(YEAR(TODAY())*100+MONTH(TODAY())),ROUND(O674,0)*1000+1000-ROW(),""),"")</f>
        <v/>
      </c>
    </row>
    <row r="675">
      <c r="A675" s="1" t="n"/>
      <c r="B675" s="21" t="n"/>
      <c r="C675" s="22" t="n"/>
      <c r="D675" s="23" t="n"/>
      <c r="E675" s="24" t="n"/>
      <c r="F675" s="23" t="n"/>
      <c r="G675" s="25" t="n"/>
      <c r="H675" s="24" t="n"/>
      <c r="I675" s="23" t="n"/>
      <c r="J675" s="26" t="n"/>
      <c r="K675" s="26" t="n"/>
      <c r="L675" s="26" t="n"/>
      <c r="M675" s="26" t="n"/>
      <c r="N675" s="26" t="n"/>
      <c r="O675" s="27">
        <f>IF(COUNT(K675:N675)=0,"",SUM(K675:N675))</f>
        <v/>
      </c>
      <c r="P675" s="16">
        <f>IF(OR(O675="",N(J675)&lt;=0),"",O675/J675)</f>
        <v/>
      </c>
      <c r="Q675" s="28">
        <f>IF(V675=1,"Late","")</f>
        <v/>
      </c>
      <c r="R675" s="1">
        <f>IF(ISNUMBER(B675),INT(B675)*10000000+IF(ISNUMBER(C675),ROUND(MOD(C675,1)*1440,0),0)*1000+ROW(),"")</f>
        <v/>
      </c>
      <c r="S675">
        <f>IF(ISNUMBER(B675),INT(B675)-WEEKDAY(B675,3),"")</f>
        <v/>
      </c>
      <c r="T675">
        <f>IF(ISNUMBER(B675),YEAR(B675)*100+MONTH(B675),"")</f>
        <v/>
      </c>
      <c r="U675">
        <f>IF(AND(ISNUMBER(B675),H675&lt;&gt;"Published"),IF(INT(B675)&gt;=TODAY(),R675,""),"")</f>
        <v/>
      </c>
      <c r="V675">
        <f>IF(AND(ISNUMBER(B675),OR(H675="Draft",H675="Scheduled")),IF(INT(B675)&lt;TODAY(),1,0),0)</f>
        <v/>
      </c>
      <c r="W675">
        <f>IF(AND(H675="Published",N(O675)&gt;0),IF(T675=(YEAR(TODAY())*100+MONTH(TODAY())),ROUND(O675,0)*1000+1000-ROW(),""),"")</f>
        <v/>
      </c>
    </row>
    <row r="676">
      <c r="A676" s="1" t="n"/>
      <c r="B676" s="21" t="n"/>
      <c r="C676" s="22" t="n"/>
      <c r="D676" s="23" t="n"/>
      <c r="E676" s="24" t="n"/>
      <c r="F676" s="23" t="n"/>
      <c r="G676" s="25" t="n"/>
      <c r="H676" s="24" t="n"/>
      <c r="I676" s="23" t="n"/>
      <c r="J676" s="26" t="n"/>
      <c r="K676" s="26" t="n"/>
      <c r="L676" s="26" t="n"/>
      <c r="M676" s="26" t="n"/>
      <c r="N676" s="26" t="n"/>
      <c r="O676" s="27">
        <f>IF(COUNT(K676:N676)=0,"",SUM(K676:N676))</f>
        <v/>
      </c>
      <c r="P676" s="16">
        <f>IF(OR(O676="",N(J676)&lt;=0),"",O676/J676)</f>
        <v/>
      </c>
      <c r="Q676" s="28">
        <f>IF(V676=1,"Late","")</f>
        <v/>
      </c>
      <c r="R676" s="1">
        <f>IF(ISNUMBER(B676),INT(B676)*10000000+IF(ISNUMBER(C676),ROUND(MOD(C676,1)*1440,0),0)*1000+ROW(),"")</f>
        <v/>
      </c>
      <c r="S676">
        <f>IF(ISNUMBER(B676),INT(B676)-WEEKDAY(B676,3),"")</f>
        <v/>
      </c>
      <c r="T676">
        <f>IF(ISNUMBER(B676),YEAR(B676)*100+MONTH(B676),"")</f>
        <v/>
      </c>
      <c r="U676">
        <f>IF(AND(ISNUMBER(B676),H676&lt;&gt;"Published"),IF(INT(B676)&gt;=TODAY(),R676,""),"")</f>
        <v/>
      </c>
      <c r="V676">
        <f>IF(AND(ISNUMBER(B676),OR(H676="Draft",H676="Scheduled")),IF(INT(B676)&lt;TODAY(),1,0),0)</f>
        <v/>
      </c>
      <c r="W676">
        <f>IF(AND(H676="Published",N(O676)&gt;0),IF(T676=(YEAR(TODAY())*100+MONTH(TODAY())),ROUND(O676,0)*1000+1000-ROW(),""),"")</f>
        <v/>
      </c>
    </row>
    <row r="677">
      <c r="A677" s="1" t="n"/>
      <c r="B677" s="21" t="n"/>
      <c r="C677" s="22" t="n"/>
      <c r="D677" s="23" t="n"/>
      <c r="E677" s="24" t="n"/>
      <c r="F677" s="23" t="n"/>
      <c r="G677" s="25" t="n"/>
      <c r="H677" s="24" t="n"/>
      <c r="I677" s="23" t="n"/>
      <c r="J677" s="26" t="n"/>
      <c r="K677" s="26" t="n"/>
      <c r="L677" s="26" t="n"/>
      <c r="M677" s="26" t="n"/>
      <c r="N677" s="26" t="n"/>
      <c r="O677" s="27">
        <f>IF(COUNT(K677:N677)=0,"",SUM(K677:N677))</f>
        <v/>
      </c>
      <c r="P677" s="16">
        <f>IF(OR(O677="",N(J677)&lt;=0),"",O677/J677)</f>
        <v/>
      </c>
      <c r="Q677" s="28">
        <f>IF(V677=1,"Late","")</f>
        <v/>
      </c>
      <c r="R677" s="1">
        <f>IF(ISNUMBER(B677),INT(B677)*10000000+IF(ISNUMBER(C677),ROUND(MOD(C677,1)*1440,0),0)*1000+ROW(),"")</f>
        <v/>
      </c>
      <c r="S677">
        <f>IF(ISNUMBER(B677),INT(B677)-WEEKDAY(B677,3),"")</f>
        <v/>
      </c>
      <c r="T677">
        <f>IF(ISNUMBER(B677),YEAR(B677)*100+MONTH(B677),"")</f>
        <v/>
      </c>
      <c r="U677">
        <f>IF(AND(ISNUMBER(B677),H677&lt;&gt;"Published"),IF(INT(B677)&gt;=TODAY(),R677,""),"")</f>
        <v/>
      </c>
      <c r="V677">
        <f>IF(AND(ISNUMBER(B677),OR(H677="Draft",H677="Scheduled")),IF(INT(B677)&lt;TODAY(),1,0),0)</f>
        <v/>
      </c>
      <c r="W677">
        <f>IF(AND(H677="Published",N(O677)&gt;0),IF(T677=(YEAR(TODAY())*100+MONTH(TODAY())),ROUND(O677,0)*1000+1000-ROW(),""),"")</f>
        <v/>
      </c>
    </row>
    <row r="678">
      <c r="A678" s="1" t="n"/>
      <c r="B678" s="21" t="n"/>
      <c r="C678" s="22" t="n"/>
      <c r="D678" s="23" t="n"/>
      <c r="E678" s="24" t="n"/>
      <c r="F678" s="23" t="n"/>
      <c r="G678" s="25" t="n"/>
      <c r="H678" s="24" t="n"/>
      <c r="I678" s="23" t="n"/>
      <c r="J678" s="26" t="n"/>
      <c r="K678" s="26" t="n"/>
      <c r="L678" s="26" t="n"/>
      <c r="M678" s="26" t="n"/>
      <c r="N678" s="26" t="n"/>
      <c r="O678" s="27">
        <f>IF(COUNT(K678:N678)=0,"",SUM(K678:N678))</f>
        <v/>
      </c>
      <c r="P678" s="16">
        <f>IF(OR(O678="",N(J678)&lt;=0),"",O678/J678)</f>
        <v/>
      </c>
      <c r="Q678" s="28">
        <f>IF(V678=1,"Late","")</f>
        <v/>
      </c>
      <c r="R678" s="1">
        <f>IF(ISNUMBER(B678),INT(B678)*10000000+IF(ISNUMBER(C678),ROUND(MOD(C678,1)*1440,0),0)*1000+ROW(),"")</f>
        <v/>
      </c>
      <c r="S678">
        <f>IF(ISNUMBER(B678),INT(B678)-WEEKDAY(B678,3),"")</f>
        <v/>
      </c>
      <c r="T678">
        <f>IF(ISNUMBER(B678),YEAR(B678)*100+MONTH(B678),"")</f>
        <v/>
      </c>
      <c r="U678">
        <f>IF(AND(ISNUMBER(B678),H678&lt;&gt;"Published"),IF(INT(B678)&gt;=TODAY(),R678,""),"")</f>
        <v/>
      </c>
      <c r="V678">
        <f>IF(AND(ISNUMBER(B678),OR(H678="Draft",H678="Scheduled")),IF(INT(B678)&lt;TODAY(),1,0),0)</f>
        <v/>
      </c>
      <c r="W678">
        <f>IF(AND(H678="Published",N(O678)&gt;0),IF(T678=(YEAR(TODAY())*100+MONTH(TODAY())),ROUND(O678,0)*1000+1000-ROW(),""),"")</f>
        <v/>
      </c>
    </row>
    <row r="679">
      <c r="A679" s="1" t="n"/>
      <c r="B679" s="21" t="n"/>
      <c r="C679" s="22" t="n"/>
      <c r="D679" s="23" t="n"/>
      <c r="E679" s="24" t="n"/>
      <c r="F679" s="23" t="n"/>
      <c r="G679" s="25" t="n"/>
      <c r="H679" s="24" t="n"/>
      <c r="I679" s="23" t="n"/>
      <c r="J679" s="26" t="n"/>
      <c r="K679" s="26" t="n"/>
      <c r="L679" s="26" t="n"/>
      <c r="M679" s="26" t="n"/>
      <c r="N679" s="26" t="n"/>
      <c r="O679" s="27">
        <f>IF(COUNT(K679:N679)=0,"",SUM(K679:N679))</f>
        <v/>
      </c>
      <c r="P679" s="16">
        <f>IF(OR(O679="",N(J679)&lt;=0),"",O679/J679)</f>
        <v/>
      </c>
      <c r="Q679" s="28">
        <f>IF(V679=1,"Late","")</f>
        <v/>
      </c>
      <c r="R679" s="1">
        <f>IF(ISNUMBER(B679),INT(B679)*10000000+IF(ISNUMBER(C679),ROUND(MOD(C679,1)*1440,0),0)*1000+ROW(),"")</f>
        <v/>
      </c>
      <c r="S679">
        <f>IF(ISNUMBER(B679),INT(B679)-WEEKDAY(B679,3),"")</f>
        <v/>
      </c>
      <c r="T679">
        <f>IF(ISNUMBER(B679),YEAR(B679)*100+MONTH(B679),"")</f>
        <v/>
      </c>
      <c r="U679">
        <f>IF(AND(ISNUMBER(B679),H679&lt;&gt;"Published"),IF(INT(B679)&gt;=TODAY(),R679,""),"")</f>
        <v/>
      </c>
      <c r="V679">
        <f>IF(AND(ISNUMBER(B679),OR(H679="Draft",H679="Scheduled")),IF(INT(B679)&lt;TODAY(),1,0),0)</f>
        <v/>
      </c>
      <c r="W679">
        <f>IF(AND(H679="Published",N(O679)&gt;0),IF(T679=(YEAR(TODAY())*100+MONTH(TODAY())),ROUND(O679,0)*1000+1000-ROW(),""),"")</f>
        <v/>
      </c>
    </row>
    <row r="680">
      <c r="A680" s="1" t="n"/>
      <c r="B680" s="21" t="n"/>
      <c r="C680" s="22" t="n"/>
      <c r="D680" s="23" t="n"/>
      <c r="E680" s="24" t="n"/>
      <c r="F680" s="23" t="n"/>
      <c r="G680" s="25" t="n"/>
      <c r="H680" s="24" t="n"/>
      <c r="I680" s="23" t="n"/>
      <c r="J680" s="26" t="n"/>
      <c r="K680" s="26" t="n"/>
      <c r="L680" s="26" t="n"/>
      <c r="M680" s="26" t="n"/>
      <c r="N680" s="26" t="n"/>
      <c r="O680" s="27">
        <f>IF(COUNT(K680:N680)=0,"",SUM(K680:N680))</f>
        <v/>
      </c>
      <c r="P680" s="16">
        <f>IF(OR(O680="",N(J680)&lt;=0),"",O680/J680)</f>
        <v/>
      </c>
      <c r="Q680" s="28">
        <f>IF(V680=1,"Late","")</f>
        <v/>
      </c>
      <c r="R680" s="1">
        <f>IF(ISNUMBER(B680),INT(B680)*10000000+IF(ISNUMBER(C680),ROUND(MOD(C680,1)*1440,0),0)*1000+ROW(),"")</f>
        <v/>
      </c>
      <c r="S680">
        <f>IF(ISNUMBER(B680),INT(B680)-WEEKDAY(B680,3),"")</f>
        <v/>
      </c>
      <c r="T680">
        <f>IF(ISNUMBER(B680),YEAR(B680)*100+MONTH(B680),"")</f>
        <v/>
      </c>
      <c r="U680">
        <f>IF(AND(ISNUMBER(B680),H680&lt;&gt;"Published"),IF(INT(B680)&gt;=TODAY(),R680,""),"")</f>
        <v/>
      </c>
      <c r="V680">
        <f>IF(AND(ISNUMBER(B680),OR(H680="Draft",H680="Scheduled")),IF(INT(B680)&lt;TODAY(),1,0),0)</f>
        <v/>
      </c>
      <c r="W680">
        <f>IF(AND(H680="Published",N(O680)&gt;0),IF(T680=(YEAR(TODAY())*100+MONTH(TODAY())),ROUND(O680,0)*1000+1000-ROW(),""),"")</f>
        <v/>
      </c>
    </row>
    <row r="681">
      <c r="A681" s="1" t="n"/>
      <c r="B681" s="21" t="n"/>
      <c r="C681" s="22" t="n"/>
      <c r="D681" s="23" t="n"/>
      <c r="E681" s="24" t="n"/>
      <c r="F681" s="23" t="n"/>
      <c r="G681" s="25" t="n"/>
      <c r="H681" s="24" t="n"/>
      <c r="I681" s="23" t="n"/>
      <c r="J681" s="26" t="n"/>
      <c r="K681" s="26" t="n"/>
      <c r="L681" s="26" t="n"/>
      <c r="M681" s="26" t="n"/>
      <c r="N681" s="26" t="n"/>
      <c r="O681" s="27">
        <f>IF(COUNT(K681:N681)=0,"",SUM(K681:N681))</f>
        <v/>
      </c>
      <c r="P681" s="16">
        <f>IF(OR(O681="",N(J681)&lt;=0),"",O681/J681)</f>
        <v/>
      </c>
      <c r="Q681" s="28">
        <f>IF(V681=1,"Late","")</f>
        <v/>
      </c>
      <c r="R681" s="1">
        <f>IF(ISNUMBER(B681),INT(B681)*10000000+IF(ISNUMBER(C681),ROUND(MOD(C681,1)*1440,0),0)*1000+ROW(),"")</f>
        <v/>
      </c>
      <c r="S681">
        <f>IF(ISNUMBER(B681),INT(B681)-WEEKDAY(B681,3),"")</f>
        <v/>
      </c>
      <c r="T681">
        <f>IF(ISNUMBER(B681),YEAR(B681)*100+MONTH(B681),"")</f>
        <v/>
      </c>
      <c r="U681">
        <f>IF(AND(ISNUMBER(B681),H681&lt;&gt;"Published"),IF(INT(B681)&gt;=TODAY(),R681,""),"")</f>
        <v/>
      </c>
      <c r="V681">
        <f>IF(AND(ISNUMBER(B681),OR(H681="Draft",H681="Scheduled")),IF(INT(B681)&lt;TODAY(),1,0),0)</f>
        <v/>
      </c>
      <c r="W681">
        <f>IF(AND(H681="Published",N(O681)&gt;0),IF(T681=(YEAR(TODAY())*100+MONTH(TODAY())),ROUND(O681,0)*1000+1000-ROW(),""),"")</f>
        <v/>
      </c>
    </row>
    <row r="682">
      <c r="A682" s="1" t="n"/>
      <c r="B682" s="21" t="n"/>
      <c r="C682" s="22" t="n"/>
      <c r="D682" s="23" t="n"/>
      <c r="E682" s="24" t="n"/>
      <c r="F682" s="23" t="n"/>
      <c r="G682" s="25" t="n"/>
      <c r="H682" s="24" t="n"/>
      <c r="I682" s="23" t="n"/>
      <c r="J682" s="26" t="n"/>
      <c r="K682" s="26" t="n"/>
      <c r="L682" s="26" t="n"/>
      <c r="M682" s="26" t="n"/>
      <c r="N682" s="26" t="n"/>
      <c r="O682" s="27">
        <f>IF(COUNT(K682:N682)=0,"",SUM(K682:N682))</f>
        <v/>
      </c>
      <c r="P682" s="16">
        <f>IF(OR(O682="",N(J682)&lt;=0),"",O682/J682)</f>
        <v/>
      </c>
      <c r="Q682" s="28">
        <f>IF(V682=1,"Late","")</f>
        <v/>
      </c>
      <c r="R682" s="1">
        <f>IF(ISNUMBER(B682),INT(B682)*10000000+IF(ISNUMBER(C682),ROUND(MOD(C682,1)*1440,0),0)*1000+ROW(),"")</f>
        <v/>
      </c>
      <c r="S682">
        <f>IF(ISNUMBER(B682),INT(B682)-WEEKDAY(B682,3),"")</f>
        <v/>
      </c>
      <c r="T682">
        <f>IF(ISNUMBER(B682),YEAR(B682)*100+MONTH(B682),"")</f>
        <v/>
      </c>
      <c r="U682">
        <f>IF(AND(ISNUMBER(B682),H682&lt;&gt;"Published"),IF(INT(B682)&gt;=TODAY(),R682,""),"")</f>
        <v/>
      </c>
      <c r="V682">
        <f>IF(AND(ISNUMBER(B682),OR(H682="Draft",H682="Scheduled")),IF(INT(B682)&lt;TODAY(),1,0),0)</f>
        <v/>
      </c>
      <c r="W682">
        <f>IF(AND(H682="Published",N(O682)&gt;0),IF(T682=(YEAR(TODAY())*100+MONTH(TODAY())),ROUND(O682,0)*1000+1000-ROW(),""),"")</f>
        <v/>
      </c>
    </row>
    <row r="683">
      <c r="A683" s="1" t="n"/>
      <c r="B683" s="21" t="n"/>
      <c r="C683" s="22" t="n"/>
      <c r="D683" s="23" t="n"/>
      <c r="E683" s="24" t="n"/>
      <c r="F683" s="23" t="n"/>
      <c r="G683" s="25" t="n"/>
      <c r="H683" s="24" t="n"/>
      <c r="I683" s="23" t="n"/>
      <c r="J683" s="26" t="n"/>
      <c r="K683" s="26" t="n"/>
      <c r="L683" s="26" t="n"/>
      <c r="M683" s="26" t="n"/>
      <c r="N683" s="26" t="n"/>
      <c r="O683" s="27">
        <f>IF(COUNT(K683:N683)=0,"",SUM(K683:N683))</f>
        <v/>
      </c>
      <c r="P683" s="16">
        <f>IF(OR(O683="",N(J683)&lt;=0),"",O683/J683)</f>
        <v/>
      </c>
      <c r="Q683" s="28">
        <f>IF(V683=1,"Late","")</f>
        <v/>
      </c>
      <c r="R683" s="1">
        <f>IF(ISNUMBER(B683),INT(B683)*10000000+IF(ISNUMBER(C683),ROUND(MOD(C683,1)*1440,0),0)*1000+ROW(),"")</f>
        <v/>
      </c>
      <c r="S683">
        <f>IF(ISNUMBER(B683),INT(B683)-WEEKDAY(B683,3),"")</f>
        <v/>
      </c>
      <c r="T683">
        <f>IF(ISNUMBER(B683),YEAR(B683)*100+MONTH(B683),"")</f>
        <v/>
      </c>
      <c r="U683">
        <f>IF(AND(ISNUMBER(B683),H683&lt;&gt;"Published"),IF(INT(B683)&gt;=TODAY(),R683,""),"")</f>
        <v/>
      </c>
      <c r="V683">
        <f>IF(AND(ISNUMBER(B683),OR(H683="Draft",H683="Scheduled")),IF(INT(B683)&lt;TODAY(),1,0),0)</f>
        <v/>
      </c>
      <c r="W683">
        <f>IF(AND(H683="Published",N(O683)&gt;0),IF(T683=(YEAR(TODAY())*100+MONTH(TODAY())),ROUND(O683,0)*1000+1000-ROW(),""),"")</f>
        <v/>
      </c>
    </row>
    <row r="684">
      <c r="A684" s="1" t="n"/>
      <c r="B684" s="21" t="n"/>
      <c r="C684" s="22" t="n"/>
      <c r="D684" s="23" t="n"/>
      <c r="E684" s="24" t="n"/>
      <c r="F684" s="23" t="n"/>
      <c r="G684" s="25" t="n"/>
      <c r="H684" s="24" t="n"/>
      <c r="I684" s="23" t="n"/>
      <c r="J684" s="26" t="n"/>
      <c r="K684" s="26" t="n"/>
      <c r="L684" s="26" t="n"/>
      <c r="M684" s="26" t="n"/>
      <c r="N684" s="26" t="n"/>
      <c r="O684" s="27">
        <f>IF(COUNT(K684:N684)=0,"",SUM(K684:N684))</f>
        <v/>
      </c>
      <c r="P684" s="16">
        <f>IF(OR(O684="",N(J684)&lt;=0),"",O684/J684)</f>
        <v/>
      </c>
      <c r="Q684" s="28">
        <f>IF(V684=1,"Late","")</f>
        <v/>
      </c>
      <c r="R684" s="1">
        <f>IF(ISNUMBER(B684),INT(B684)*10000000+IF(ISNUMBER(C684),ROUND(MOD(C684,1)*1440,0),0)*1000+ROW(),"")</f>
        <v/>
      </c>
      <c r="S684">
        <f>IF(ISNUMBER(B684),INT(B684)-WEEKDAY(B684,3),"")</f>
        <v/>
      </c>
      <c r="T684">
        <f>IF(ISNUMBER(B684),YEAR(B684)*100+MONTH(B684),"")</f>
        <v/>
      </c>
      <c r="U684">
        <f>IF(AND(ISNUMBER(B684),H684&lt;&gt;"Published"),IF(INT(B684)&gt;=TODAY(),R684,""),"")</f>
        <v/>
      </c>
      <c r="V684">
        <f>IF(AND(ISNUMBER(B684),OR(H684="Draft",H684="Scheduled")),IF(INT(B684)&lt;TODAY(),1,0),0)</f>
        <v/>
      </c>
      <c r="W684">
        <f>IF(AND(H684="Published",N(O684)&gt;0),IF(T684=(YEAR(TODAY())*100+MONTH(TODAY())),ROUND(O684,0)*1000+1000-ROW(),""),"")</f>
        <v/>
      </c>
    </row>
    <row r="685">
      <c r="A685" s="1" t="n"/>
      <c r="B685" s="21" t="n"/>
      <c r="C685" s="22" t="n"/>
      <c r="D685" s="23" t="n"/>
      <c r="E685" s="24" t="n"/>
      <c r="F685" s="23" t="n"/>
      <c r="G685" s="25" t="n"/>
      <c r="H685" s="24" t="n"/>
      <c r="I685" s="23" t="n"/>
      <c r="J685" s="26" t="n"/>
      <c r="K685" s="26" t="n"/>
      <c r="L685" s="26" t="n"/>
      <c r="M685" s="26" t="n"/>
      <c r="N685" s="26" t="n"/>
      <c r="O685" s="27">
        <f>IF(COUNT(K685:N685)=0,"",SUM(K685:N685))</f>
        <v/>
      </c>
      <c r="P685" s="16">
        <f>IF(OR(O685="",N(J685)&lt;=0),"",O685/J685)</f>
        <v/>
      </c>
      <c r="Q685" s="28">
        <f>IF(V685=1,"Late","")</f>
        <v/>
      </c>
      <c r="R685" s="1">
        <f>IF(ISNUMBER(B685),INT(B685)*10000000+IF(ISNUMBER(C685),ROUND(MOD(C685,1)*1440,0),0)*1000+ROW(),"")</f>
        <v/>
      </c>
      <c r="S685">
        <f>IF(ISNUMBER(B685),INT(B685)-WEEKDAY(B685,3),"")</f>
        <v/>
      </c>
      <c r="T685">
        <f>IF(ISNUMBER(B685),YEAR(B685)*100+MONTH(B685),"")</f>
        <v/>
      </c>
      <c r="U685">
        <f>IF(AND(ISNUMBER(B685),H685&lt;&gt;"Published"),IF(INT(B685)&gt;=TODAY(),R685,""),"")</f>
        <v/>
      </c>
      <c r="V685">
        <f>IF(AND(ISNUMBER(B685),OR(H685="Draft",H685="Scheduled")),IF(INT(B685)&lt;TODAY(),1,0),0)</f>
        <v/>
      </c>
      <c r="W685">
        <f>IF(AND(H685="Published",N(O685)&gt;0),IF(T685=(YEAR(TODAY())*100+MONTH(TODAY())),ROUND(O685,0)*1000+1000-ROW(),""),"")</f>
        <v/>
      </c>
    </row>
    <row r="686">
      <c r="A686" s="1" t="n"/>
      <c r="B686" s="21" t="n"/>
      <c r="C686" s="22" t="n"/>
      <c r="D686" s="23" t="n"/>
      <c r="E686" s="24" t="n"/>
      <c r="F686" s="23" t="n"/>
      <c r="G686" s="25" t="n"/>
      <c r="H686" s="24" t="n"/>
      <c r="I686" s="23" t="n"/>
      <c r="J686" s="26" t="n"/>
      <c r="K686" s="26" t="n"/>
      <c r="L686" s="26" t="n"/>
      <c r="M686" s="26" t="n"/>
      <c r="N686" s="26" t="n"/>
      <c r="O686" s="27">
        <f>IF(COUNT(K686:N686)=0,"",SUM(K686:N686))</f>
        <v/>
      </c>
      <c r="P686" s="16">
        <f>IF(OR(O686="",N(J686)&lt;=0),"",O686/J686)</f>
        <v/>
      </c>
      <c r="Q686" s="28">
        <f>IF(V686=1,"Late","")</f>
        <v/>
      </c>
      <c r="R686" s="1">
        <f>IF(ISNUMBER(B686),INT(B686)*10000000+IF(ISNUMBER(C686),ROUND(MOD(C686,1)*1440,0),0)*1000+ROW(),"")</f>
        <v/>
      </c>
      <c r="S686">
        <f>IF(ISNUMBER(B686),INT(B686)-WEEKDAY(B686,3),"")</f>
        <v/>
      </c>
      <c r="T686">
        <f>IF(ISNUMBER(B686),YEAR(B686)*100+MONTH(B686),"")</f>
        <v/>
      </c>
      <c r="U686">
        <f>IF(AND(ISNUMBER(B686),H686&lt;&gt;"Published"),IF(INT(B686)&gt;=TODAY(),R686,""),"")</f>
        <v/>
      </c>
      <c r="V686">
        <f>IF(AND(ISNUMBER(B686),OR(H686="Draft",H686="Scheduled")),IF(INT(B686)&lt;TODAY(),1,0),0)</f>
        <v/>
      </c>
      <c r="W686">
        <f>IF(AND(H686="Published",N(O686)&gt;0),IF(T686=(YEAR(TODAY())*100+MONTH(TODAY())),ROUND(O686,0)*1000+1000-ROW(),""),"")</f>
        <v/>
      </c>
    </row>
    <row r="687">
      <c r="A687" s="1" t="n"/>
      <c r="B687" s="21" t="n"/>
      <c r="C687" s="22" t="n"/>
      <c r="D687" s="23" t="n"/>
      <c r="E687" s="24" t="n"/>
      <c r="F687" s="23" t="n"/>
      <c r="G687" s="25" t="n"/>
      <c r="H687" s="24" t="n"/>
      <c r="I687" s="23" t="n"/>
      <c r="J687" s="26" t="n"/>
      <c r="K687" s="26" t="n"/>
      <c r="L687" s="26" t="n"/>
      <c r="M687" s="26" t="n"/>
      <c r="N687" s="26" t="n"/>
      <c r="O687" s="27">
        <f>IF(COUNT(K687:N687)=0,"",SUM(K687:N687))</f>
        <v/>
      </c>
      <c r="P687" s="16">
        <f>IF(OR(O687="",N(J687)&lt;=0),"",O687/J687)</f>
        <v/>
      </c>
      <c r="Q687" s="28">
        <f>IF(V687=1,"Late","")</f>
        <v/>
      </c>
      <c r="R687" s="1">
        <f>IF(ISNUMBER(B687),INT(B687)*10000000+IF(ISNUMBER(C687),ROUND(MOD(C687,1)*1440,0),0)*1000+ROW(),"")</f>
        <v/>
      </c>
      <c r="S687">
        <f>IF(ISNUMBER(B687),INT(B687)-WEEKDAY(B687,3),"")</f>
        <v/>
      </c>
      <c r="T687">
        <f>IF(ISNUMBER(B687),YEAR(B687)*100+MONTH(B687),"")</f>
        <v/>
      </c>
      <c r="U687">
        <f>IF(AND(ISNUMBER(B687),H687&lt;&gt;"Published"),IF(INT(B687)&gt;=TODAY(),R687,""),"")</f>
        <v/>
      </c>
      <c r="V687">
        <f>IF(AND(ISNUMBER(B687),OR(H687="Draft",H687="Scheduled")),IF(INT(B687)&lt;TODAY(),1,0),0)</f>
        <v/>
      </c>
      <c r="W687">
        <f>IF(AND(H687="Published",N(O687)&gt;0),IF(T687=(YEAR(TODAY())*100+MONTH(TODAY())),ROUND(O687,0)*1000+1000-ROW(),""),"")</f>
        <v/>
      </c>
    </row>
    <row r="688">
      <c r="A688" s="1" t="n"/>
      <c r="B688" s="21" t="n"/>
      <c r="C688" s="22" t="n"/>
      <c r="D688" s="23" t="n"/>
      <c r="E688" s="24" t="n"/>
      <c r="F688" s="23" t="n"/>
      <c r="G688" s="25" t="n"/>
      <c r="H688" s="24" t="n"/>
      <c r="I688" s="23" t="n"/>
      <c r="J688" s="26" t="n"/>
      <c r="K688" s="26" t="n"/>
      <c r="L688" s="26" t="n"/>
      <c r="M688" s="26" t="n"/>
      <c r="N688" s="26" t="n"/>
      <c r="O688" s="27">
        <f>IF(COUNT(K688:N688)=0,"",SUM(K688:N688))</f>
        <v/>
      </c>
      <c r="P688" s="16">
        <f>IF(OR(O688="",N(J688)&lt;=0),"",O688/J688)</f>
        <v/>
      </c>
      <c r="Q688" s="28">
        <f>IF(V688=1,"Late","")</f>
        <v/>
      </c>
      <c r="R688" s="1">
        <f>IF(ISNUMBER(B688),INT(B688)*10000000+IF(ISNUMBER(C688),ROUND(MOD(C688,1)*1440,0),0)*1000+ROW(),"")</f>
        <v/>
      </c>
      <c r="S688">
        <f>IF(ISNUMBER(B688),INT(B688)-WEEKDAY(B688,3),"")</f>
        <v/>
      </c>
      <c r="T688">
        <f>IF(ISNUMBER(B688),YEAR(B688)*100+MONTH(B688),"")</f>
        <v/>
      </c>
      <c r="U688">
        <f>IF(AND(ISNUMBER(B688),H688&lt;&gt;"Published"),IF(INT(B688)&gt;=TODAY(),R688,""),"")</f>
        <v/>
      </c>
      <c r="V688">
        <f>IF(AND(ISNUMBER(B688),OR(H688="Draft",H688="Scheduled")),IF(INT(B688)&lt;TODAY(),1,0),0)</f>
        <v/>
      </c>
      <c r="W688">
        <f>IF(AND(H688="Published",N(O688)&gt;0),IF(T688=(YEAR(TODAY())*100+MONTH(TODAY())),ROUND(O688,0)*1000+1000-ROW(),""),"")</f>
        <v/>
      </c>
    </row>
    <row r="689">
      <c r="A689" s="1" t="n"/>
      <c r="B689" s="21" t="n"/>
      <c r="C689" s="22" t="n"/>
      <c r="D689" s="23" t="n"/>
      <c r="E689" s="24" t="n"/>
      <c r="F689" s="23" t="n"/>
      <c r="G689" s="25" t="n"/>
      <c r="H689" s="24" t="n"/>
      <c r="I689" s="23" t="n"/>
      <c r="J689" s="26" t="n"/>
      <c r="K689" s="26" t="n"/>
      <c r="L689" s="26" t="n"/>
      <c r="M689" s="26" t="n"/>
      <c r="N689" s="26" t="n"/>
      <c r="O689" s="27">
        <f>IF(COUNT(K689:N689)=0,"",SUM(K689:N689))</f>
        <v/>
      </c>
      <c r="P689" s="16">
        <f>IF(OR(O689="",N(J689)&lt;=0),"",O689/J689)</f>
        <v/>
      </c>
      <c r="Q689" s="28">
        <f>IF(V689=1,"Late","")</f>
        <v/>
      </c>
      <c r="R689" s="1">
        <f>IF(ISNUMBER(B689),INT(B689)*10000000+IF(ISNUMBER(C689),ROUND(MOD(C689,1)*1440,0),0)*1000+ROW(),"")</f>
        <v/>
      </c>
      <c r="S689">
        <f>IF(ISNUMBER(B689),INT(B689)-WEEKDAY(B689,3),"")</f>
        <v/>
      </c>
      <c r="T689">
        <f>IF(ISNUMBER(B689),YEAR(B689)*100+MONTH(B689),"")</f>
        <v/>
      </c>
      <c r="U689">
        <f>IF(AND(ISNUMBER(B689),H689&lt;&gt;"Published"),IF(INT(B689)&gt;=TODAY(),R689,""),"")</f>
        <v/>
      </c>
      <c r="V689">
        <f>IF(AND(ISNUMBER(B689),OR(H689="Draft",H689="Scheduled")),IF(INT(B689)&lt;TODAY(),1,0),0)</f>
        <v/>
      </c>
      <c r="W689">
        <f>IF(AND(H689="Published",N(O689)&gt;0),IF(T689=(YEAR(TODAY())*100+MONTH(TODAY())),ROUND(O689,0)*1000+1000-ROW(),""),"")</f>
        <v/>
      </c>
    </row>
    <row r="690">
      <c r="A690" s="1" t="n"/>
      <c r="B690" s="21" t="n"/>
      <c r="C690" s="22" t="n"/>
      <c r="D690" s="23" t="n"/>
      <c r="E690" s="24" t="n"/>
      <c r="F690" s="23" t="n"/>
      <c r="G690" s="25" t="n"/>
      <c r="H690" s="24" t="n"/>
      <c r="I690" s="23" t="n"/>
      <c r="J690" s="26" t="n"/>
      <c r="K690" s="26" t="n"/>
      <c r="L690" s="26" t="n"/>
      <c r="M690" s="26" t="n"/>
      <c r="N690" s="26" t="n"/>
      <c r="O690" s="27">
        <f>IF(COUNT(K690:N690)=0,"",SUM(K690:N690))</f>
        <v/>
      </c>
      <c r="P690" s="16">
        <f>IF(OR(O690="",N(J690)&lt;=0),"",O690/J690)</f>
        <v/>
      </c>
      <c r="Q690" s="28">
        <f>IF(V690=1,"Late","")</f>
        <v/>
      </c>
      <c r="R690" s="1">
        <f>IF(ISNUMBER(B690),INT(B690)*10000000+IF(ISNUMBER(C690),ROUND(MOD(C690,1)*1440,0),0)*1000+ROW(),"")</f>
        <v/>
      </c>
      <c r="S690">
        <f>IF(ISNUMBER(B690),INT(B690)-WEEKDAY(B690,3),"")</f>
        <v/>
      </c>
      <c r="T690">
        <f>IF(ISNUMBER(B690),YEAR(B690)*100+MONTH(B690),"")</f>
        <v/>
      </c>
      <c r="U690">
        <f>IF(AND(ISNUMBER(B690),H690&lt;&gt;"Published"),IF(INT(B690)&gt;=TODAY(),R690,""),"")</f>
        <v/>
      </c>
      <c r="V690">
        <f>IF(AND(ISNUMBER(B690),OR(H690="Draft",H690="Scheduled")),IF(INT(B690)&lt;TODAY(),1,0),0)</f>
        <v/>
      </c>
      <c r="W690">
        <f>IF(AND(H690="Published",N(O690)&gt;0),IF(T690=(YEAR(TODAY())*100+MONTH(TODAY())),ROUND(O690,0)*1000+1000-ROW(),""),"")</f>
        <v/>
      </c>
    </row>
    <row r="691">
      <c r="A691" s="1" t="n"/>
      <c r="B691" s="21" t="n"/>
      <c r="C691" s="22" t="n"/>
      <c r="D691" s="23" t="n"/>
      <c r="E691" s="24" t="n"/>
      <c r="F691" s="23" t="n"/>
      <c r="G691" s="25" t="n"/>
      <c r="H691" s="24" t="n"/>
      <c r="I691" s="23" t="n"/>
      <c r="J691" s="26" t="n"/>
      <c r="K691" s="26" t="n"/>
      <c r="L691" s="26" t="n"/>
      <c r="M691" s="26" t="n"/>
      <c r="N691" s="26" t="n"/>
      <c r="O691" s="27">
        <f>IF(COUNT(K691:N691)=0,"",SUM(K691:N691))</f>
        <v/>
      </c>
      <c r="P691" s="16">
        <f>IF(OR(O691="",N(J691)&lt;=0),"",O691/J691)</f>
        <v/>
      </c>
      <c r="Q691" s="28">
        <f>IF(V691=1,"Late","")</f>
        <v/>
      </c>
      <c r="R691" s="1">
        <f>IF(ISNUMBER(B691),INT(B691)*10000000+IF(ISNUMBER(C691),ROUND(MOD(C691,1)*1440,0),0)*1000+ROW(),"")</f>
        <v/>
      </c>
      <c r="S691">
        <f>IF(ISNUMBER(B691),INT(B691)-WEEKDAY(B691,3),"")</f>
        <v/>
      </c>
      <c r="T691">
        <f>IF(ISNUMBER(B691),YEAR(B691)*100+MONTH(B691),"")</f>
        <v/>
      </c>
      <c r="U691">
        <f>IF(AND(ISNUMBER(B691),H691&lt;&gt;"Published"),IF(INT(B691)&gt;=TODAY(),R691,""),"")</f>
        <v/>
      </c>
      <c r="V691">
        <f>IF(AND(ISNUMBER(B691),OR(H691="Draft",H691="Scheduled")),IF(INT(B691)&lt;TODAY(),1,0),0)</f>
        <v/>
      </c>
      <c r="W691">
        <f>IF(AND(H691="Published",N(O691)&gt;0),IF(T691=(YEAR(TODAY())*100+MONTH(TODAY())),ROUND(O691,0)*1000+1000-ROW(),""),"")</f>
        <v/>
      </c>
    </row>
    <row r="692">
      <c r="A692" s="1" t="n"/>
      <c r="B692" s="21" t="n"/>
      <c r="C692" s="22" t="n"/>
      <c r="D692" s="23" t="n"/>
      <c r="E692" s="24" t="n"/>
      <c r="F692" s="23" t="n"/>
      <c r="G692" s="25" t="n"/>
      <c r="H692" s="24" t="n"/>
      <c r="I692" s="23" t="n"/>
      <c r="J692" s="26" t="n"/>
      <c r="K692" s="26" t="n"/>
      <c r="L692" s="26" t="n"/>
      <c r="M692" s="26" t="n"/>
      <c r="N692" s="26" t="n"/>
      <c r="O692" s="27">
        <f>IF(COUNT(K692:N692)=0,"",SUM(K692:N692))</f>
        <v/>
      </c>
      <c r="P692" s="16">
        <f>IF(OR(O692="",N(J692)&lt;=0),"",O692/J692)</f>
        <v/>
      </c>
      <c r="Q692" s="28">
        <f>IF(V692=1,"Late","")</f>
        <v/>
      </c>
      <c r="R692" s="1">
        <f>IF(ISNUMBER(B692),INT(B692)*10000000+IF(ISNUMBER(C692),ROUND(MOD(C692,1)*1440,0),0)*1000+ROW(),"")</f>
        <v/>
      </c>
      <c r="S692">
        <f>IF(ISNUMBER(B692),INT(B692)-WEEKDAY(B692,3),"")</f>
        <v/>
      </c>
      <c r="T692">
        <f>IF(ISNUMBER(B692),YEAR(B692)*100+MONTH(B692),"")</f>
        <v/>
      </c>
      <c r="U692">
        <f>IF(AND(ISNUMBER(B692),H692&lt;&gt;"Published"),IF(INT(B692)&gt;=TODAY(),R692,""),"")</f>
        <v/>
      </c>
      <c r="V692">
        <f>IF(AND(ISNUMBER(B692),OR(H692="Draft",H692="Scheduled")),IF(INT(B692)&lt;TODAY(),1,0),0)</f>
        <v/>
      </c>
      <c r="W692">
        <f>IF(AND(H692="Published",N(O692)&gt;0),IF(T692=(YEAR(TODAY())*100+MONTH(TODAY())),ROUND(O692,0)*1000+1000-ROW(),""),"")</f>
        <v/>
      </c>
    </row>
    <row r="693">
      <c r="A693" s="1" t="n"/>
      <c r="B693" s="21" t="n"/>
      <c r="C693" s="22" t="n"/>
      <c r="D693" s="23" t="n"/>
      <c r="E693" s="24" t="n"/>
      <c r="F693" s="23" t="n"/>
      <c r="G693" s="25" t="n"/>
      <c r="H693" s="24" t="n"/>
      <c r="I693" s="23" t="n"/>
      <c r="J693" s="26" t="n"/>
      <c r="K693" s="26" t="n"/>
      <c r="L693" s="26" t="n"/>
      <c r="M693" s="26" t="n"/>
      <c r="N693" s="26" t="n"/>
      <c r="O693" s="27">
        <f>IF(COUNT(K693:N693)=0,"",SUM(K693:N693))</f>
        <v/>
      </c>
      <c r="P693" s="16">
        <f>IF(OR(O693="",N(J693)&lt;=0),"",O693/J693)</f>
        <v/>
      </c>
      <c r="Q693" s="28">
        <f>IF(V693=1,"Late","")</f>
        <v/>
      </c>
      <c r="R693" s="1">
        <f>IF(ISNUMBER(B693),INT(B693)*10000000+IF(ISNUMBER(C693),ROUND(MOD(C693,1)*1440,0),0)*1000+ROW(),"")</f>
        <v/>
      </c>
      <c r="S693">
        <f>IF(ISNUMBER(B693),INT(B693)-WEEKDAY(B693,3),"")</f>
        <v/>
      </c>
      <c r="T693">
        <f>IF(ISNUMBER(B693),YEAR(B693)*100+MONTH(B693),"")</f>
        <v/>
      </c>
      <c r="U693">
        <f>IF(AND(ISNUMBER(B693),H693&lt;&gt;"Published"),IF(INT(B693)&gt;=TODAY(),R693,""),"")</f>
        <v/>
      </c>
      <c r="V693">
        <f>IF(AND(ISNUMBER(B693),OR(H693="Draft",H693="Scheduled")),IF(INT(B693)&lt;TODAY(),1,0),0)</f>
        <v/>
      </c>
      <c r="W693">
        <f>IF(AND(H693="Published",N(O693)&gt;0),IF(T693=(YEAR(TODAY())*100+MONTH(TODAY())),ROUND(O693,0)*1000+1000-ROW(),""),"")</f>
        <v/>
      </c>
    </row>
    <row r="694">
      <c r="A694" s="1" t="n"/>
      <c r="B694" s="21" t="n"/>
      <c r="C694" s="22" t="n"/>
      <c r="D694" s="23" t="n"/>
      <c r="E694" s="24" t="n"/>
      <c r="F694" s="23" t="n"/>
      <c r="G694" s="25" t="n"/>
      <c r="H694" s="24" t="n"/>
      <c r="I694" s="23" t="n"/>
      <c r="J694" s="26" t="n"/>
      <c r="K694" s="26" t="n"/>
      <c r="L694" s="26" t="n"/>
      <c r="M694" s="26" t="n"/>
      <c r="N694" s="26" t="n"/>
      <c r="O694" s="27">
        <f>IF(COUNT(K694:N694)=0,"",SUM(K694:N694))</f>
        <v/>
      </c>
      <c r="P694" s="16">
        <f>IF(OR(O694="",N(J694)&lt;=0),"",O694/J694)</f>
        <v/>
      </c>
      <c r="Q694" s="28">
        <f>IF(V694=1,"Late","")</f>
        <v/>
      </c>
      <c r="R694" s="1">
        <f>IF(ISNUMBER(B694),INT(B694)*10000000+IF(ISNUMBER(C694),ROUND(MOD(C694,1)*1440,0),0)*1000+ROW(),"")</f>
        <v/>
      </c>
      <c r="S694">
        <f>IF(ISNUMBER(B694),INT(B694)-WEEKDAY(B694,3),"")</f>
        <v/>
      </c>
      <c r="T694">
        <f>IF(ISNUMBER(B694),YEAR(B694)*100+MONTH(B694),"")</f>
        <v/>
      </c>
      <c r="U694">
        <f>IF(AND(ISNUMBER(B694),H694&lt;&gt;"Published"),IF(INT(B694)&gt;=TODAY(),R694,""),"")</f>
        <v/>
      </c>
      <c r="V694">
        <f>IF(AND(ISNUMBER(B694),OR(H694="Draft",H694="Scheduled")),IF(INT(B694)&lt;TODAY(),1,0),0)</f>
        <v/>
      </c>
      <c r="W694">
        <f>IF(AND(H694="Published",N(O694)&gt;0),IF(T694=(YEAR(TODAY())*100+MONTH(TODAY())),ROUND(O694,0)*1000+1000-ROW(),""),"")</f>
        <v/>
      </c>
    </row>
    <row r="695">
      <c r="A695" s="1" t="n"/>
      <c r="B695" s="21" t="n"/>
      <c r="C695" s="22" t="n"/>
      <c r="D695" s="23" t="n"/>
      <c r="E695" s="24" t="n"/>
      <c r="F695" s="23" t="n"/>
      <c r="G695" s="25" t="n"/>
      <c r="H695" s="24" t="n"/>
      <c r="I695" s="23" t="n"/>
      <c r="J695" s="26" t="n"/>
      <c r="K695" s="26" t="n"/>
      <c r="L695" s="26" t="n"/>
      <c r="M695" s="26" t="n"/>
      <c r="N695" s="26" t="n"/>
      <c r="O695" s="27">
        <f>IF(COUNT(K695:N695)=0,"",SUM(K695:N695))</f>
        <v/>
      </c>
      <c r="P695" s="16">
        <f>IF(OR(O695="",N(J695)&lt;=0),"",O695/J695)</f>
        <v/>
      </c>
      <c r="Q695" s="28">
        <f>IF(V695=1,"Late","")</f>
        <v/>
      </c>
      <c r="R695" s="1">
        <f>IF(ISNUMBER(B695),INT(B695)*10000000+IF(ISNUMBER(C695),ROUND(MOD(C695,1)*1440,0),0)*1000+ROW(),"")</f>
        <v/>
      </c>
      <c r="S695">
        <f>IF(ISNUMBER(B695),INT(B695)-WEEKDAY(B695,3),"")</f>
        <v/>
      </c>
      <c r="T695">
        <f>IF(ISNUMBER(B695),YEAR(B695)*100+MONTH(B695),"")</f>
        <v/>
      </c>
      <c r="U695">
        <f>IF(AND(ISNUMBER(B695),H695&lt;&gt;"Published"),IF(INT(B695)&gt;=TODAY(),R695,""),"")</f>
        <v/>
      </c>
      <c r="V695">
        <f>IF(AND(ISNUMBER(B695),OR(H695="Draft",H695="Scheduled")),IF(INT(B695)&lt;TODAY(),1,0),0)</f>
        <v/>
      </c>
      <c r="W695">
        <f>IF(AND(H695="Published",N(O695)&gt;0),IF(T695=(YEAR(TODAY())*100+MONTH(TODAY())),ROUND(O695,0)*1000+1000-ROW(),""),"")</f>
        <v/>
      </c>
    </row>
    <row r="696">
      <c r="A696" s="1" t="n"/>
      <c r="B696" s="21" t="n"/>
      <c r="C696" s="22" t="n"/>
      <c r="D696" s="23" t="n"/>
      <c r="E696" s="24" t="n"/>
      <c r="F696" s="23" t="n"/>
      <c r="G696" s="25" t="n"/>
      <c r="H696" s="24" t="n"/>
      <c r="I696" s="23" t="n"/>
      <c r="J696" s="26" t="n"/>
      <c r="K696" s="26" t="n"/>
      <c r="L696" s="26" t="n"/>
      <c r="M696" s="26" t="n"/>
      <c r="N696" s="26" t="n"/>
      <c r="O696" s="27">
        <f>IF(COUNT(K696:N696)=0,"",SUM(K696:N696))</f>
        <v/>
      </c>
      <c r="P696" s="16">
        <f>IF(OR(O696="",N(J696)&lt;=0),"",O696/J696)</f>
        <v/>
      </c>
      <c r="Q696" s="28">
        <f>IF(V696=1,"Late","")</f>
        <v/>
      </c>
      <c r="R696" s="1">
        <f>IF(ISNUMBER(B696),INT(B696)*10000000+IF(ISNUMBER(C696),ROUND(MOD(C696,1)*1440,0),0)*1000+ROW(),"")</f>
        <v/>
      </c>
      <c r="S696">
        <f>IF(ISNUMBER(B696),INT(B696)-WEEKDAY(B696,3),"")</f>
        <v/>
      </c>
      <c r="T696">
        <f>IF(ISNUMBER(B696),YEAR(B696)*100+MONTH(B696),"")</f>
        <v/>
      </c>
      <c r="U696">
        <f>IF(AND(ISNUMBER(B696),H696&lt;&gt;"Published"),IF(INT(B696)&gt;=TODAY(),R696,""),"")</f>
        <v/>
      </c>
      <c r="V696">
        <f>IF(AND(ISNUMBER(B696),OR(H696="Draft",H696="Scheduled")),IF(INT(B696)&lt;TODAY(),1,0),0)</f>
        <v/>
      </c>
      <c r="W696">
        <f>IF(AND(H696="Published",N(O696)&gt;0),IF(T696=(YEAR(TODAY())*100+MONTH(TODAY())),ROUND(O696,0)*1000+1000-ROW(),""),"")</f>
        <v/>
      </c>
    </row>
    <row r="697">
      <c r="A697" s="1" t="n"/>
      <c r="B697" s="21" t="n"/>
      <c r="C697" s="22" t="n"/>
      <c r="D697" s="23" t="n"/>
      <c r="E697" s="24" t="n"/>
      <c r="F697" s="23" t="n"/>
      <c r="G697" s="25" t="n"/>
      <c r="H697" s="24" t="n"/>
      <c r="I697" s="23" t="n"/>
      <c r="J697" s="26" t="n"/>
      <c r="K697" s="26" t="n"/>
      <c r="L697" s="26" t="n"/>
      <c r="M697" s="26" t="n"/>
      <c r="N697" s="26" t="n"/>
      <c r="O697" s="27">
        <f>IF(COUNT(K697:N697)=0,"",SUM(K697:N697))</f>
        <v/>
      </c>
      <c r="P697" s="16">
        <f>IF(OR(O697="",N(J697)&lt;=0),"",O697/J697)</f>
        <v/>
      </c>
      <c r="Q697" s="28">
        <f>IF(V697=1,"Late","")</f>
        <v/>
      </c>
      <c r="R697" s="1">
        <f>IF(ISNUMBER(B697),INT(B697)*10000000+IF(ISNUMBER(C697),ROUND(MOD(C697,1)*1440,0),0)*1000+ROW(),"")</f>
        <v/>
      </c>
      <c r="S697">
        <f>IF(ISNUMBER(B697),INT(B697)-WEEKDAY(B697,3),"")</f>
        <v/>
      </c>
      <c r="T697">
        <f>IF(ISNUMBER(B697),YEAR(B697)*100+MONTH(B697),"")</f>
        <v/>
      </c>
      <c r="U697">
        <f>IF(AND(ISNUMBER(B697),H697&lt;&gt;"Published"),IF(INT(B697)&gt;=TODAY(),R697,""),"")</f>
        <v/>
      </c>
      <c r="V697">
        <f>IF(AND(ISNUMBER(B697),OR(H697="Draft",H697="Scheduled")),IF(INT(B697)&lt;TODAY(),1,0),0)</f>
        <v/>
      </c>
      <c r="W697">
        <f>IF(AND(H697="Published",N(O697)&gt;0),IF(T697=(YEAR(TODAY())*100+MONTH(TODAY())),ROUND(O697,0)*1000+1000-ROW(),""),"")</f>
        <v/>
      </c>
    </row>
    <row r="698">
      <c r="A698" s="1" t="n"/>
      <c r="B698" s="21" t="n"/>
      <c r="C698" s="22" t="n"/>
      <c r="D698" s="23" t="n"/>
      <c r="E698" s="24" t="n"/>
      <c r="F698" s="23" t="n"/>
      <c r="G698" s="25" t="n"/>
      <c r="H698" s="24" t="n"/>
      <c r="I698" s="23" t="n"/>
      <c r="J698" s="26" t="n"/>
      <c r="K698" s="26" t="n"/>
      <c r="L698" s="26" t="n"/>
      <c r="M698" s="26" t="n"/>
      <c r="N698" s="26" t="n"/>
      <c r="O698" s="27">
        <f>IF(COUNT(K698:N698)=0,"",SUM(K698:N698))</f>
        <v/>
      </c>
      <c r="P698" s="16">
        <f>IF(OR(O698="",N(J698)&lt;=0),"",O698/J698)</f>
        <v/>
      </c>
      <c r="Q698" s="28">
        <f>IF(V698=1,"Late","")</f>
        <v/>
      </c>
      <c r="R698" s="1">
        <f>IF(ISNUMBER(B698),INT(B698)*10000000+IF(ISNUMBER(C698),ROUND(MOD(C698,1)*1440,0),0)*1000+ROW(),"")</f>
        <v/>
      </c>
      <c r="S698">
        <f>IF(ISNUMBER(B698),INT(B698)-WEEKDAY(B698,3),"")</f>
        <v/>
      </c>
      <c r="T698">
        <f>IF(ISNUMBER(B698),YEAR(B698)*100+MONTH(B698),"")</f>
        <v/>
      </c>
      <c r="U698">
        <f>IF(AND(ISNUMBER(B698),H698&lt;&gt;"Published"),IF(INT(B698)&gt;=TODAY(),R698,""),"")</f>
        <v/>
      </c>
      <c r="V698">
        <f>IF(AND(ISNUMBER(B698),OR(H698="Draft",H698="Scheduled")),IF(INT(B698)&lt;TODAY(),1,0),0)</f>
        <v/>
      </c>
      <c r="W698">
        <f>IF(AND(H698="Published",N(O698)&gt;0),IF(T698=(YEAR(TODAY())*100+MONTH(TODAY())),ROUND(O698,0)*1000+1000-ROW(),""),"")</f>
        <v/>
      </c>
    </row>
    <row r="699">
      <c r="A699" s="1" t="n"/>
      <c r="B699" s="21" t="n"/>
      <c r="C699" s="22" t="n"/>
      <c r="D699" s="23" t="n"/>
      <c r="E699" s="24" t="n"/>
      <c r="F699" s="23" t="n"/>
      <c r="G699" s="25" t="n"/>
      <c r="H699" s="24" t="n"/>
      <c r="I699" s="23" t="n"/>
      <c r="J699" s="26" t="n"/>
      <c r="K699" s="26" t="n"/>
      <c r="L699" s="26" t="n"/>
      <c r="M699" s="26" t="n"/>
      <c r="N699" s="26" t="n"/>
      <c r="O699" s="27">
        <f>IF(COUNT(K699:N699)=0,"",SUM(K699:N699))</f>
        <v/>
      </c>
      <c r="P699" s="16">
        <f>IF(OR(O699="",N(J699)&lt;=0),"",O699/J699)</f>
        <v/>
      </c>
      <c r="Q699" s="28">
        <f>IF(V699=1,"Late","")</f>
        <v/>
      </c>
      <c r="R699" s="1">
        <f>IF(ISNUMBER(B699),INT(B699)*10000000+IF(ISNUMBER(C699),ROUND(MOD(C699,1)*1440,0),0)*1000+ROW(),"")</f>
        <v/>
      </c>
      <c r="S699">
        <f>IF(ISNUMBER(B699),INT(B699)-WEEKDAY(B699,3),"")</f>
        <v/>
      </c>
      <c r="T699">
        <f>IF(ISNUMBER(B699),YEAR(B699)*100+MONTH(B699),"")</f>
        <v/>
      </c>
      <c r="U699">
        <f>IF(AND(ISNUMBER(B699),H699&lt;&gt;"Published"),IF(INT(B699)&gt;=TODAY(),R699,""),"")</f>
        <v/>
      </c>
      <c r="V699">
        <f>IF(AND(ISNUMBER(B699),OR(H699="Draft",H699="Scheduled")),IF(INT(B699)&lt;TODAY(),1,0),0)</f>
        <v/>
      </c>
      <c r="W699">
        <f>IF(AND(H699="Published",N(O699)&gt;0),IF(T699=(YEAR(TODAY())*100+MONTH(TODAY())),ROUND(O699,0)*1000+1000-ROW(),""),"")</f>
        <v/>
      </c>
    </row>
    <row r="700">
      <c r="A700" s="1" t="n"/>
      <c r="B700" s="21" t="n"/>
      <c r="C700" s="22" t="n"/>
      <c r="D700" s="23" t="n"/>
      <c r="E700" s="24" t="n"/>
      <c r="F700" s="23" t="n"/>
      <c r="G700" s="25" t="n"/>
      <c r="H700" s="24" t="n"/>
      <c r="I700" s="23" t="n"/>
      <c r="J700" s="26" t="n"/>
      <c r="K700" s="26" t="n"/>
      <c r="L700" s="26" t="n"/>
      <c r="M700" s="26" t="n"/>
      <c r="N700" s="26" t="n"/>
      <c r="O700" s="27">
        <f>IF(COUNT(K700:N700)=0,"",SUM(K700:N700))</f>
        <v/>
      </c>
      <c r="P700" s="16">
        <f>IF(OR(O700="",N(J700)&lt;=0),"",O700/J700)</f>
        <v/>
      </c>
      <c r="Q700" s="28">
        <f>IF(V700=1,"Late","")</f>
        <v/>
      </c>
      <c r="R700" s="1">
        <f>IF(ISNUMBER(B700),INT(B700)*10000000+IF(ISNUMBER(C700),ROUND(MOD(C700,1)*1440,0),0)*1000+ROW(),"")</f>
        <v/>
      </c>
      <c r="S700">
        <f>IF(ISNUMBER(B700),INT(B700)-WEEKDAY(B700,3),"")</f>
        <v/>
      </c>
      <c r="T700">
        <f>IF(ISNUMBER(B700),YEAR(B700)*100+MONTH(B700),"")</f>
        <v/>
      </c>
      <c r="U700">
        <f>IF(AND(ISNUMBER(B700),H700&lt;&gt;"Published"),IF(INT(B700)&gt;=TODAY(),R700,""),"")</f>
        <v/>
      </c>
      <c r="V700">
        <f>IF(AND(ISNUMBER(B700),OR(H700="Draft",H700="Scheduled")),IF(INT(B700)&lt;TODAY(),1,0),0)</f>
        <v/>
      </c>
      <c r="W700">
        <f>IF(AND(H700="Published",N(O700)&gt;0),IF(T700=(YEAR(TODAY())*100+MONTH(TODAY())),ROUND(O700,0)*1000+1000-ROW(),""),"")</f>
        <v/>
      </c>
    </row>
    <row r="701">
      <c r="A701" s="1" t="n"/>
      <c r="B701" s="21" t="n"/>
      <c r="C701" s="22" t="n"/>
      <c r="D701" s="23" t="n"/>
      <c r="E701" s="24" t="n"/>
      <c r="F701" s="23" t="n"/>
      <c r="G701" s="25" t="n"/>
      <c r="H701" s="24" t="n"/>
      <c r="I701" s="23" t="n"/>
      <c r="J701" s="26" t="n"/>
      <c r="K701" s="26" t="n"/>
      <c r="L701" s="26" t="n"/>
      <c r="M701" s="26" t="n"/>
      <c r="N701" s="26" t="n"/>
      <c r="O701" s="27">
        <f>IF(COUNT(K701:N701)=0,"",SUM(K701:N701))</f>
        <v/>
      </c>
      <c r="P701" s="16">
        <f>IF(OR(O701="",N(J701)&lt;=0),"",O701/J701)</f>
        <v/>
      </c>
      <c r="Q701" s="28">
        <f>IF(V701=1,"Late","")</f>
        <v/>
      </c>
      <c r="R701" s="1">
        <f>IF(ISNUMBER(B701),INT(B701)*10000000+IF(ISNUMBER(C701),ROUND(MOD(C701,1)*1440,0),0)*1000+ROW(),"")</f>
        <v/>
      </c>
      <c r="S701">
        <f>IF(ISNUMBER(B701),INT(B701)-WEEKDAY(B701,3),"")</f>
        <v/>
      </c>
      <c r="T701">
        <f>IF(ISNUMBER(B701),YEAR(B701)*100+MONTH(B701),"")</f>
        <v/>
      </c>
      <c r="U701">
        <f>IF(AND(ISNUMBER(B701),H701&lt;&gt;"Published"),IF(INT(B701)&gt;=TODAY(),R701,""),"")</f>
        <v/>
      </c>
      <c r="V701">
        <f>IF(AND(ISNUMBER(B701),OR(H701="Draft",H701="Scheduled")),IF(INT(B701)&lt;TODAY(),1,0),0)</f>
        <v/>
      </c>
      <c r="W701">
        <f>IF(AND(H701="Published",N(O701)&gt;0),IF(T701=(YEAR(TODAY())*100+MONTH(TODAY())),ROUND(O701,0)*1000+1000-ROW(),""),"")</f>
        <v/>
      </c>
    </row>
    <row r="702">
      <c r="A702" s="1" t="n"/>
      <c r="B702" s="21" t="n"/>
      <c r="C702" s="22" t="n"/>
      <c r="D702" s="23" t="n"/>
      <c r="E702" s="24" t="n"/>
      <c r="F702" s="23" t="n"/>
      <c r="G702" s="25" t="n"/>
      <c r="H702" s="24" t="n"/>
      <c r="I702" s="23" t="n"/>
      <c r="J702" s="26" t="n"/>
      <c r="K702" s="26" t="n"/>
      <c r="L702" s="26" t="n"/>
      <c r="M702" s="26" t="n"/>
      <c r="N702" s="26" t="n"/>
      <c r="O702" s="27">
        <f>IF(COUNT(K702:N702)=0,"",SUM(K702:N702))</f>
        <v/>
      </c>
      <c r="P702" s="16">
        <f>IF(OR(O702="",N(J702)&lt;=0),"",O702/J702)</f>
        <v/>
      </c>
      <c r="Q702" s="28">
        <f>IF(V702=1,"Late","")</f>
        <v/>
      </c>
      <c r="R702" s="1">
        <f>IF(ISNUMBER(B702),INT(B702)*10000000+IF(ISNUMBER(C702),ROUND(MOD(C702,1)*1440,0),0)*1000+ROW(),"")</f>
        <v/>
      </c>
      <c r="S702">
        <f>IF(ISNUMBER(B702),INT(B702)-WEEKDAY(B702,3),"")</f>
        <v/>
      </c>
      <c r="T702">
        <f>IF(ISNUMBER(B702),YEAR(B702)*100+MONTH(B702),"")</f>
        <v/>
      </c>
      <c r="U702">
        <f>IF(AND(ISNUMBER(B702),H702&lt;&gt;"Published"),IF(INT(B702)&gt;=TODAY(),R702,""),"")</f>
        <v/>
      </c>
      <c r="V702">
        <f>IF(AND(ISNUMBER(B702),OR(H702="Draft",H702="Scheduled")),IF(INT(B702)&lt;TODAY(),1,0),0)</f>
        <v/>
      </c>
      <c r="W702">
        <f>IF(AND(H702="Published",N(O702)&gt;0),IF(T702=(YEAR(TODAY())*100+MONTH(TODAY())),ROUND(O702,0)*1000+1000-ROW(),""),"")</f>
        <v/>
      </c>
    </row>
    <row r="703">
      <c r="A703" s="1" t="n"/>
      <c r="B703" s="21" t="n"/>
      <c r="C703" s="22" t="n"/>
      <c r="D703" s="23" t="n"/>
      <c r="E703" s="24" t="n"/>
      <c r="F703" s="23" t="n"/>
      <c r="G703" s="25" t="n"/>
      <c r="H703" s="24" t="n"/>
      <c r="I703" s="23" t="n"/>
      <c r="J703" s="26" t="n"/>
      <c r="K703" s="26" t="n"/>
      <c r="L703" s="26" t="n"/>
      <c r="M703" s="26" t="n"/>
      <c r="N703" s="26" t="n"/>
      <c r="O703" s="27">
        <f>IF(COUNT(K703:N703)=0,"",SUM(K703:N703))</f>
        <v/>
      </c>
      <c r="P703" s="16">
        <f>IF(OR(O703="",N(J703)&lt;=0),"",O703/J703)</f>
        <v/>
      </c>
      <c r="Q703" s="28">
        <f>IF(V703=1,"Late","")</f>
        <v/>
      </c>
      <c r="R703" s="1">
        <f>IF(ISNUMBER(B703),INT(B703)*10000000+IF(ISNUMBER(C703),ROUND(MOD(C703,1)*1440,0),0)*1000+ROW(),"")</f>
        <v/>
      </c>
      <c r="S703">
        <f>IF(ISNUMBER(B703),INT(B703)-WEEKDAY(B703,3),"")</f>
        <v/>
      </c>
      <c r="T703">
        <f>IF(ISNUMBER(B703),YEAR(B703)*100+MONTH(B703),"")</f>
        <v/>
      </c>
      <c r="U703">
        <f>IF(AND(ISNUMBER(B703),H703&lt;&gt;"Published"),IF(INT(B703)&gt;=TODAY(),R703,""),"")</f>
        <v/>
      </c>
      <c r="V703">
        <f>IF(AND(ISNUMBER(B703),OR(H703="Draft",H703="Scheduled")),IF(INT(B703)&lt;TODAY(),1,0),0)</f>
        <v/>
      </c>
      <c r="W703">
        <f>IF(AND(H703="Published",N(O703)&gt;0),IF(T703=(YEAR(TODAY())*100+MONTH(TODAY())),ROUND(O703,0)*1000+1000-ROW(),""),"")</f>
        <v/>
      </c>
    </row>
    <row r="704">
      <c r="A704" s="1" t="n"/>
      <c r="B704" s="21" t="n"/>
      <c r="C704" s="22" t="n"/>
      <c r="D704" s="23" t="n"/>
      <c r="E704" s="24" t="n"/>
      <c r="F704" s="23" t="n"/>
      <c r="G704" s="25" t="n"/>
      <c r="H704" s="24" t="n"/>
      <c r="I704" s="23" t="n"/>
      <c r="J704" s="26" t="n"/>
      <c r="K704" s="26" t="n"/>
      <c r="L704" s="26" t="n"/>
      <c r="M704" s="26" t="n"/>
      <c r="N704" s="26" t="n"/>
      <c r="O704" s="27">
        <f>IF(COUNT(K704:N704)=0,"",SUM(K704:N704))</f>
        <v/>
      </c>
      <c r="P704" s="16">
        <f>IF(OR(O704="",N(J704)&lt;=0),"",O704/J704)</f>
        <v/>
      </c>
      <c r="Q704" s="28">
        <f>IF(V704=1,"Late","")</f>
        <v/>
      </c>
      <c r="R704" s="1">
        <f>IF(ISNUMBER(B704),INT(B704)*10000000+IF(ISNUMBER(C704),ROUND(MOD(C704,1)*1440,0),0)*1000+ROW(),"")</f>
        <v/>
      </c>
      <c r="S704">
        <f>IF(ISNUMBER(B704),INT(B704)-WEEKDAY(B704,3),"")</f>
        <v/>
      </c>
      <c r="T704">
        <f>IF(ISNUMBER(B704),YEAR(B704)*100+MONTH(B704),"")</f>
        <v/>
      </c>
      <c r="U704">
        <f>IF(AND(ISNUMBER(B704),H704&lt;&gt;"Published"),IF(INT(B704)&gt;=TODAY(),R704,""),"")</f>
        <v/>
      </c>
      <c r="V704">
        <f>IF(AND(ISNUMBER(B704),OR(H704="Draft",H704="Scheduled")),IF(INT(B704)&lt;TODAY(),1,0),0)</f>
        <v/>
      </c>
      <c r="W704">
        <f>IF(AND(H704="Published",N(O704)&gt;0),IF(T704=(YEAR(TODAY())*100+MONTH(TODAY())),ROUND(O704,0)*1000+1000-ROW(),""),"")</f>
        <v/>
      </c>
    </row>
    <row r="705">
      <c r="A705" s="1" t="n"/>
      <c r="B705" s="21" t="n"/>
      <c r="C705" s="22" t="n"/>
      <c r="D705" s="23" t="n"/>
      <c r="E705" s="24" t="n"/>
      <c r="F705" s="23" t="n"/>
      <c r="G705" s="25" t="n"/>
      <c r="H705" s="24" t="n"/>
      <c r="I705" s="23" t="n"/>
      <c r="J705" s="26" t="n"/>
      <c r="K705" s="26" t="n"/>
      <c r="L705" s="26" t="n"/>
      <c r="M705" s="26" t="n"/>
      <c r="N705" s="26" t="n"/>
      <c r="O705" s="27">
        <f>IF(COUNT(K705:N705)=0,"",SUM(K705:N705))</f>
        <v/>
      </c>
      <c r="P705" s="16">
        <f>IF(OR(O705="",N(J705)&lt;=0),"",O705/J705)</f>
        <v/>
      </c>
      <c r="Q705" s="28">
        <f>IF(V705=1,"Late","")</f>
        <v/>
      </c>
      <c r="R705" s="1">
        <f>IF(ISNUMBER(B705),INT(B705)*10000000+IF(ISNUMBER(C705),ROUND(MOD(C705,1)*1440,0),0)*1000+ROW(),"")</f>
        <v/>
      </c>
      <c r="S705">
        <f>IF(ISNUMBER(B705),INT(B705)-WEEKDAY(B705,3),"")</f>
        <v/>
      </c>
      <c r="T705">
        <f>IF(ISNUMBER(B705),YEAR(B705)*100+MONTH(B705),"")</f>
        <v/>
      </c>
      <c r="U705">
        <f>IF(AND(ISNUMBER(B705),H705&lt;&gt;"Published"),IF(INT(B705)&gt;=TODAY(),R705,""),"")</f>
        <v/>
      </c>
      <c r="V705">
        <f>IF(AND(ISNUMBER(B705),OR(H705="Draft",H705="Scheduled")),IF(INT(B705)&lt;TODAY(),1,0),0)</f>
        <v/>
      </c>
      <c r="W705">
        <f>IF(AND(H705="Published",N(O705)&gt;0),IF(T705=(YEAR(TODAY())*100+MONTH(TODAY())),ROUND(O705,0)*1000+1000-ROW(),""),"")</f>
        <v/>
      </c>
    </row>
    <row r="706">
      <c r="A706" s="1" t="n"/>
      <c r="B706" s="21" t="n"/>
      <c r="C706" s="22" t="n"/>
      <c r="D706" s="23" t="n"/>
      <c r="E706" s="24" t="n"/>
      <c r="F706" s="23" t="n"/>
      <c r="G706" s="25" t="n"/>
      <c r="H706" s="24" t="n"/>
      <c r="I706" s="23" t="n"/>
      <c r="J706" s="26" t="n"/>
      <c r="K706" s="26" t="n"/>
      <c r="L706" s="26" t="n"/>
      <c r="M706" s="26" t="n"/>
      <c r="N706" s="26" t="n"/>
      <c r="O706" s="27">
        <f>IF(COUNT(K706:N706)=0,"",SUM(K706:N706))</f>
        <v/>
      </c>
      <c r="P706" s="16">
        <f>IF(OR(O706="",N(J706)&lt;=0),"",O706/J706)</f>
        <v/>
      </c>
      <c r="Q706" s="28">
        <f>IF(V706=1,"Late","")</f>
        <v/>
      </c>
      <c r="R706" s="1">
        <f>IF(ISNUMBER(B706),INT(B706)*10000000+IF(ISNUMBER(C706),ROUND(MOD(C706,1)*1440,0),0)*1000+ROW(),"")</f>
        <v/>
      </c>
      <c r="S706">
        <f>IF(ISNUMBER(B706),INT(B706)-WEEKDAY(B706,3),"")</f>
        <v/>
      </c>
      <c r="T706">
        <f>IF(ISNUMBER(B706),YEAR(B706)*100+MONTH(B706),"")</f>
        <v/>
      </c>
      <c r="U706">
        <f>IF(AND(ISNUMBER(B706),H706&lt;&gt;"Published"),IF(INT(B706)&gt;=TODAY(),R706,""),"")</f>
        <v/>
      </c>
      <c r="V706">
        <f>IF(AND(ISNUMBER(B706),OR(H706="Draft",H706="Scheduled")),IF(INT(B706)&lt;TODAY(),1,0),0)</f>
        <v/>
      </c>
      <c r="W706">
        <f>IF(AND(H706="Published",N(O706)&gt;0),IF(T706=(YEAR(TODAY())*100+MONTH(TODAY())),ROUND(O706,0)*1000+1000-ROW(),""),"")</f>
        <v/>
      </c>
    </row>
    <row r="707">
      <c r="A707" s="1" t="n"/>
      <c r="B707" s="21" t="n"/>
      <c r="C707" s="22" t="n"/>
      <c r="D707" s="23" t="n"/>
      <c r="E707" s="24" t="n"/>
      <c r="F707" s="23" t="n"/>
      <c r="G707" s="25" t="n"/>
      <c r="H707" s="24" t="n"/>
      <c r="I707" s="23" t="n"/>
      <c r="J707" s="26" t="n"/>
      <c r="K707" s="26" t="n"/>
      <c r="L707" s="26" t="n"/>
      <c r="M707" s="26" t="n"/>
      <c r="N707" s="26" t="n"/>
      <c r="O707" s="27">
        <f>IF(COUNT(K707:N707)=0,"",SUM(K707:N707))</f>
        <v/>
      </c>
      <c r="P707" s="16">
        <f>IF(OR(O707="",N(J707)&lt;=0),"",O707/J707)</f>
        <v/>
      </c>
      <c r="Q707" s="28">
        <f>IF(V707=1,"Late","")</f>
        <v/>
      </c>
      <c r="R707" s="1">
        <f>IF(ISNUMBER(B707),INT(B707)*10000000+IF(ISNUMBER(C707),ROUND(MOD(C707,1)*1440,0),0)*1000+ROW(),"")</f>
        <v/>
      </c>
      <c r="S707">
        <f>IF(ISNUMBER(B707),INT(B707)-WEEKDAY(B707,3),"")</f>
        <v/>
      </c>
      <c r="T707">
        <f>IF(ISNUMBER(B707),YEAR(B707)*100+MONTH(B707),"")</f>
        <v/>
      </c>
      <c r="U707">
        <f>IF(AND(ISNUMBER(B707),H707&lt;&gt;"Published"),IF(INT(B707)&gt;=TODAY(),R707,""),"")</f>
        <v/>
      </c>
      <c r="V707">
        <f>IF(AND(ISNUMBER(B707),OR(H707="Draft",H707="Scheduled")),IF(INT(B707)&lt;TODAY(),1,0),0)</f>
        <v/>
      </c>
      <c r="W707">
        <f>IF(AND(H707="Published",N(O707)&gt;0),IF(T707=(YEAR(TODAY())*100+MONTH(TODAY())),ROUND(O707,0)*1000+1000-ROW(),""),"")</f>
        <v/>
      </c>
    </row>
    <row r="708">
      <c r="A708" s="1" t="n"/>
      <c r="B708" s="21" t="n"/>
      <c r="C708" s="22" t="n"/>
      <c r="D708" s="23" t="n"/>
      <c r="E708" s="24" t="n"/>
      <c r="F708" s="23" t="n"/>
      <c r="G708" s="25" t="n"/>
      <c r="H708" s="24" t="n"/>
      <c r="I708" s="23" t="n"/>
      <c r="J708" s="26" t="n"/>
      <c r="K708" s="26" t="n"/>
      <c r="L708" s="26" t="n"/>
      <c r="M708" s="26" t="n"/>
      <c r="N708" s="26" t="n"/>
      <c r="O708" s="27">
        <f>IF(COUNT(K708:N708)=0,"",SUM(K708:N708))</f>
        <v/>
      </c>
      <c r="P708" s="16">
        <f>IF(OR(O708="",N(J708)&lt;=0),"",O708/J708)</f>
        <v/>
      </c>
      <c r="Q708" s="28">
        <f>IF(V708=1,"Late","")</f>
        <v/>
      </c>
      <c r="R708" s="1">
        <f>IF(ISNUMBER(B708),INT(B708)*10000000+IF(ISNUMBER(C708),ROUND(MOD(C708,1)*1440,0),0)*1000+ROW(),"")</f>
        <v/>
      </c>
      <c r="S708">
        <f>IF(ISNUMBER(B708),INT(B708)-WEEKDAY(B708,3),"")</f>
        <v/>
      </c>
      <c r="T708">
        <f>IF(ISNUMBER(B708),YEAR(B708)*100+MONTH(B708),"")</f>
        <v/>
      </c>
      <c r="U708">
        <f>IF(AND(ISNUMBER(B708),H708&lt;&gt;"Published"),IF(INT(B708)&gt;=TODAY(),R708,""),"")</f>
        <v/>
      </c>
      <c r="V708">
        <f>IF(AND(ISNUMBER(B708),OR(H708="Draft",H708="Scheduled")),IF(INT(B708)&lt;TODAY(),1,0),0)</f>
        <v/>
      </c>
      <c r="W708">
        <f>IF(AND(H708="Published",N(O708)&gt;0),IF(T708=(YEAR(TODAY())*100+MONTH(TODAY())),ROUND(O708,0)*1000+1000-ROW(),""),"")</f>
        <v/>
      </c>
    </row>
    <row r="709">
      <c r="A709" s="1" t="n"/>
      <c r="B709" s="21" t="n"/>
      <c r="C709" s="22" t="n"/>
      <c r="D709" s="23" t="n"/>
      <c r="E709" s="24" t="n"/>
      <c r="F709" s="23" t="n"/>
      <c r="G709" s="25" t="n"/>
      <c r="H709" s="24" t="n"/>
      <c r="I709" s="23" t="n"/>
      <c r="J709" s="26" t="n"/>
      <c r="K709" s="26" t="n"/>
      <c r="L709" s="26" t="n"/>
      <c r="M709" s="26" t="n"/>
      <c r="N709" s="26" t="n"/>
      <c r="O709" s="27">
        <f>IF(COUNT(K709:N709)=0,"",SUM(K709:N709))</f>
        <v/>
      </c>
      <c r="P709" s="16">
        <f>IF(OR(O709="",N(J709)&lt;=0),"",O709/J709)</f>
        <v/>
      </c>
      <c r="Q709" s="28">
        <f>IF(V709=1,"Late","")</f>
        <v/>
      </c>
      <c r="R709" s="1">
        <f>IF(ISNUMBER(B709),INT(B709)*10000000+IF(ISNUMBER(C709),ROUND(MOD(C709,1)*1440,0),0)*1000+ROW(),"")</f>
        <v/>
      </c>
      <c r="S709">
        <f>IF(ISNUMBER(B709),INT(B709)-WEEKDAY(B709,3),"")</f>
        <v/>
      </c>
      <c r="T709">
        <f>IF(ISNUMBER(B709),YEAR(B709)*100+MONTH(B709),"")</f>
        <v/>
      </c>
      <c r="U709">
        <f>IF(AND(ISNUMBER(B709),H709&lt;&gt;"Published"),IF(INT(B709)&gt;=TODAY(),R709,""),"")</f>
        <v/>
      </c>
      <c r="V709">
        <f>IF(AND(ISNUMBER(B709),OR(H709="Draft",H709="Scheduled")),IF(INT(B709)&lt;TODAY(),1,0),0)</f>
        <v/>
      </c>
      <c r="W709">
        <f>IF(AND(H709="Published",N(O709)&gt;0),IF(T709=(YEAR(TODAY())*100+MONTH(TODAY())),ROUND(O709,0)*1000+1000-ROW(),""),"")</f>
        <v/>
      </c>
    </row>
    <row r="710">
      <c r="A710" s="1" t="n"/>
      <c r="B710" s="21" t="n"/>
      <c r="C710" s="22" t="n"/>
      <c r="D710" s="23" t="n"/>
      <c r="E710" s="24" t="n"/>
      <c r="F710" s="23" t="n"/>
      <c r="G710" s="25" t="n"/>
      <c r="H710" s="24" t="n"/>
      <c r="I710" s="23" t="n"/>
      <c r="J710" s="26" t="n"/>
      <c r="K710" s="26" t="n"/>
      <c r="L710" s="26" t="n"/>
      <c r="M710" s="26" t="n"/>
      <c r="N710" s="26" t="n"/>
      <c r="O710" s="27">
        <f>IF(COUNT(K710:N710)=0,"",SUM(K710:N710))</f>
        <v/>
      </c>
      <c r="P710" s="16">
        <f>IF(OR(O710="",N(J710)&lt;=0),"",O710/J710)</f>
        <v/>
      </c>
      <c r="Q710" s="28">
        <f>IF(V710=1,"Late","")</f>
        <v/>
      </c>
      <c r="R710" s="1">
        <f>IF(ISNUMBER(B710),INT(B710)*10000000+IF(ISNUMBER(C710),ROUND(MOD(C710,1)*1440,0),0)*1000+ROW(),"")</f>
        <v/>
      </c>
      <c r="S710">
        <f>IF(ISNUMBER(B710),INT(B710)-WEEKDAY(B710,3),"")</f>
        <v/>
      </c>
      <c r="T710">
        <f>IF(ISNUMBER(B710),YEAR(B710)*100+MONTH(B710),"")</f>
        <v/>
      </c>
      <c r="U710">
        <f>IF(AND(ISNUMBER(B710),H710&lt;&gt;"Published"),IF(INT(B710)&gt;=TODAY(),R710,""),"")</f>
        <v/>
      </c>
      <c r="V710">
        <f>IF(AND(ISNUMBER(B710),OR(H710="Draft",H710="Scheduled")),IF(INT(B710)&lt;TODAY(),1,0),0)</f>
        <v/>
      </c>
      <c r="W710">
        <f>IF(AND(H710="Published",N(O710)&gt;0),IF(T710=(YEAR(TODAY())*100+MONTH(TODAY())),ROUND(O710,0)*1000+1000-ROW(),""),"")</f>
        <v/>
      </c>
    </row>
    <row r="711">
      <c r="A711" s="1" t="n"/>
      <c r="B711" s="21" t="n"/>
      <c r="C711" s="22" t="n"/>
      <c r="D711" s="23" t="n"/>
      <c r="E711" s="24" t="n"/>
      <c r="F711" s="23" t="n"/>
      <c r="G711" s="25" t="n"/>
      <c r="H711" s="24" t="n"/>
      <c r="I711" s="23" t="n"/>
      <c r="J711" s="26" t="n"/>
      <c r="K711" s="26" t="n"/>
      <c r="L711" s="26" t="n"/>
      <c r="M711" s="26" t="n"/>
      <c r="N711" s="26" t="n"/>
      <c r="O711" s="27">
        <f>IF(COUNT(K711:N711)=0,"",SUM(K711:N711))</f>
        <v/>
      </c>
      <c r="P711" s="16">
        <f>IF(OR(O711="",N(J711)&lt;=0),"",O711/J711)</f>
        <v/>
      </c>
      <c r="Q711" s="28">
        <f>IF(V711=1,"Late","")</f>
        <v/>
      </c>
      <c r="R711" s="1">
        <f>IF(ISNUMBER(B711),INT(B711)*10000000+IF(ISNUMBER(C711),ROUND(MOD(C711,1)*1440,0),0)*1000+ROW(),"")</f>
        <v/>
      </c>
      <c r="S711">
        <f>IF(ISNUMBER(B711),INT(B711)-WEEKDAY(B711,3),"")</f>
        <v/>
      </c>
      <c r="T711">
        <f>IF(ISNUMBER(B711),YEAR(B711)*100+MONTH(B711),"")</f>
        <v/>
      </c>
      <c r="U711">
        <f>IF(AND(ISNUMBER(B711),H711&lt;&gt;"Published"),IF(INT(B711)&gt;=TODAY(),R711,""),"")</f>
        <v/>
      </c>
      <c r="V711">
        <f>IF(AND(ISNUMBER(B711),OR(H711="Draft",H711="Scheduled")),IF(INT(B711)&lt;TODAY(),1,0),0)</f>
        <v/>
      </c>
      <c r="W711">
        <f>IF(AND(H711="Published",N(O711)&gt;0),IF(T711=(YEAR(TODAY())*100+MONTH(TODAY())),ROUND(O711,0)*1000+1000-ROW(),""),"")</f>
        <v/>
      </c>
    </row>
    <row r="712">
      <c r="A712" s="1" t="n"/>
      <c r="B712" s="21" t="n"/>
      <c r="C712" s="22" t="n"/>
      <c r="D712" s="23" t="n"/>
      <c r="E712" s="24" t="n"/>
      <c r="F712" s="23" t="n"/>
      <c r="G712" s="25" t="n"/>
      <c r="H712" s="24" t="n"/>
      <c r="I712" s="23" t="n"/>
      <c r="J712" s="26" t="n"/>
      <c r="K712" s="26" t="n"/>
      <c r="L712" s="26" t="n"/>
      <c r="M712" s="26" t="n"/>
      <c r="N712" s="26" t="n"/>
      <c r="O712" s="27">
        <f>IF(COUNT(K712:N712)=0,"",SUM(K712:N712))</f>
        <v/>
      </c>
      <c r="P712" s="16">
        <f>IF(OR(O712="",N(J712)&lt;=0),"",O712/J712)</f>
        <v/>
      </c>
      <c r="Q712" s="28">
        <f>IF(V712=1,"Late","")</f>
        <v/>
      </c>
      <c r="R712" s="1">
        <f>IF(ISNUMBER(B712),INT(B712)*10000000+IF(ISNUMBER(C712),ROUND(MOD(C712,1)*1440,0),0)*1000+ROW(),"")</f>
        <v/>
      </c>
      <c r="S712">
        <f>IF(ISNUMBER(B712),INT(B712)-WEEKDAY(B712,3),"")</f>
        <v/>
      </c>
      <c r="T712">
        <f>IF(ISNUMBER(B712),YEAR(B712)*100+MONTH(B712),"")</f>
        <v/>
      </c>
      <c r="U712">
        <f>IF(AND(ISNUMBER(B712),H712&lt;&gt;"Published"),IF(INT(B712)&gt;=TODAY(),R712,""),"")</f>
        <v/>
      </c>
      <c r="V712">
        <f>IF(AND(ISNUMBER(B712),OR(H712="Draft",H712="Scheduled")),IF(INT(B712)&lt;TODAY(),1,0),0)</f>
        <v/>
      </c>
      <c r="W712">
        <f>IF(AND(H712="Published",N(O712)&gt;0),IF(T712=(YEAR(TODAY())*100+MONTH(TODAY())),ROUND(O712,0)*1000+1000-ROW(),""),"")</f>
        <v/>
      </c>
    </row>
    <row r="713">
      <c r="A713" s="1" t="n"/>
      <c r="B713" s="21" t="n"/>
      <c r="C713" s="22" t="n"/>
      <c r="D713" s="23" t="n"/>
      <c r="E713" s="24" t="n"/>
      <c r="F713" s="23" t="n"/>
      <c r="G713" s="25" t="n"/>
      <c r="H713" s="24" t="n"/>
      <c r="I713" s="23" t="n"/>
      <c r="J713" s="26" t="n"/>
      <c r="K713" s="26" t="n"/>
      <c r="L713" s="26" t="n"/>
      <c r="M713" s="26" t="n"/>
      <c r="N713" s="26" t="n"/>
      <c r="O713" s="27">
        <f>IF(COUNT(K713:N713)=0,"",SUM(K713:N713))</f>
        <v/>
      </c>
      <c r="P713" s="16">
        <f>IF(OR(O713="",N(J713)&lt;=0),"",O713/J713)</f>
        <v/>
      </c>
      <c r="Q713" s="28">
        <f>IF(V713=1,"Late","")</f>
        <v/>
      </c>
      <c r="R713" s="1">
        <f>IF(ISNUMBER(B713),INT(B713)*10000000+IF(ISNUMBER(C713),ROUND(MOD(C713,1)*1440,0),0)*1000+ROW(),"")</f>
        <v/>
      </c>
      <c r="S713">
        <f>IF(ISNUMBER(B713),INT(B713)-WEEKDAY(B713,3),"")</f>
        <v/>
      </c>
      <c r="T713">
        <f>IF(ISNUMBER(B713),YEAR(B713)*100+MONTH(B713),"")</f>
        <v/>
      </c>
      <c r="U713">
        <f>IF(AND(ISNUMBER(B713),H713&lt;&gt;"Published"),IF(INT(B713)&gt;=TODAY(),R713,""),"")</f>
        <v/>
      </c>
      <c r="V713">
        <f>IF(AND(ISNUMBER(B713),OR(H713="Draft",H713="Scheduled")),IF(INT(B713)&lt;TODAY(),1,0),0)</f>
        <v/>
      </c>
      <c r="W713">
        <f>IF(AND(H713="Published",N(O713)&gt;0),IF(T713=(YEAR(TODAY())*100+MONTH(TODAY())),ROUND(O713,0)*1000+1000-ROW(),""),"")</f>
        <v/>
      </c>
    </row>
    <row r="714">
      <c r="A714" s="1" t="n"/>
      <c r="B714" s="21" t="n"/>
      <c r="C714" s="22" t="n"/>
      <c r="D714" s="23" t="n"/>
      <c r="E714" s="24" t="n"/>
      <c r="F714" s="23" t="n"/>
      <c r="G714" s="25" t="n"/>
      <c r="H714" s="24" t="n"/>
      <c r="I714" s="23" t="n"/>
      <c r="J714" s="26" t="n"/>
      <c r="K714" s="26" t="n"/>
      <c r="L714" s="26" t="n"/>
      <c r="M714" s="26" t="n"/>
      <c r="N714" s="26" t="n"/>
      <c r="O714" s="27">
        <f>IF(COUNT(K714:N714)=0,"",SUM(K714:N714))</f>
        <v/>
      </c>
      <c r="P714" s="16">
        <f>IF(OR(O714="",N(J714)&lt;=0),"",O714/J714)</f>
        <v/>
      </c>
      <c r="Q714" s="28">
        <f>IF(V714=1,"Late","")</f>
        <v/>
      </c>
      <c r="R714" s="1">
        <f>IF(ISNUMBER(B714),INT(B714)*10000000+IF(ISNUMBER(C714),ROUND(MOD(C714,1)*1440,0),0)*1000+ROW(),"")</f>
        <v/>
      </c>
      <c r="S714">
        <f>IF(ISNUMBER(B714),INT(B714)-WEEKDAY(B714,3),"")</f>
        <v/>
      </c>
      <c r="T714">
        <f>IF(ISNUMBER(B714),YEAR(B714)*100+MONTH(B714),"")</f>
        <v/>
      </c>
      <c r="U714">
        <f>IF(AND(ISNUMBER(B714),H714&lt;&gt;"Published"),IF(INT(B714)&gt;=TODAY(),R714,""),"")</f>
        <v/>
      </c>
      <c r="V714">
        <f>IF(AND(ISNUMBER(B714),OR(H714="Draft",H714="Scheduled")),IF(INT(B714)&lt;TODAY(),1,0),0)</f>
        <v/>
      </c>
      <c r="W714">
        <f>IF(AND(H714="Published",N(O714)&gt;0),IF(T714=(YEAR(TODAY())*100+MONTH(TODAY())),ROUND(O714,0)*1000+1000-ROW(),""),"")</f>
        <v/>
      </c>
    </row>
    <row r="715">
      <c r="A715" s="1" t="n"/>
      <c r="B715" s="21" t="n"/>
      <c r="C715" s="22" t="n"/>
      <c r="D715" s="23" t="n"/>
      <c r="E715" s="24" t="n"/>
      <c r="F715" s="23" t="n"/>
      <c r="G715" s="25" t="n"/>
      <c r="H715" s="24" t="n"/>
      <c r="I715" s="23" t="n"/>
      <c r="J715" s="26" t="n"/>
      <c r="K715" s="26" t="n"/>
      <c r="L715" s="26" t="n"/>
      <c r="M715" s="26" t="n"/>
      <c r="N715" s="26" t="n"/>
      <c r="O715" s="27">
        <f>IF(COUNT(K715:N715)=0,"",SUM(K715:N715))</f>
        <v/>
      </c>
      <c r="P715" s="16">
        <f>IF(OR(O715="",N(J715)&lt;=0),"",O715/J715)</f>
        <v/>
      </c>
      <c r="Q715" s="28">
        <f>IF(V715=1,"Late","")</f>
        <v/>
      </c>
      <c r="R715" s="1">
        <f>IF(ISNUMBER(B715),INT(B715)*10000000+IF(ISNUMBER(C715),ROUND(MOD(C715,1)*1440,0),0)*1000+ROW(),"")</f>
        <v/>
      </c>
      <c r="S715">
        <f>IF(ISNUMBER(B715),INT(B715)-WEEKDAY(B715,3),"")</f>
        <v/>
      </c>
      <c r="T715">
        <f>IF(ISNUMBER(B715),YEAR(B715)*100+MONTH(B715),"")</f>
        <v/>
      </c>
      <c r="U715">
        <f>IF(AND(ISNUMBER(B715),H715&lt;&gt;"Published"),IF(INT(B715)&gt;=TODAY(),R715,""),"")</f>
        <v/>
      </c>
      <c r="V715">
        <f>IF(AND(ISNUMBER(B715),OR(H715="Draft",H715="Scheduled")),IF(INT(B715)&lt;TODAY(),1,0),0)</f>
        <v/>
      </c>
      <c r="W715">
        <f>IF(AND(H715="Published",N(O715)&gt;0),IF(T715=(YEAR(TODAY())*100+MONTH(TODAY())),ROUND(O715,0)*1000+1000-ROW(),""),"")</f>
        <v/>
      </c>
    </row>
    <row r="716">
      <c r="A716" s="1" t="n"/>
      <c r="B716" s="21" t="n"/>
      <c r="C716" s="22" t="n"/>
      <c r="D716" s="23" t="n"/>
      <c r="E716" s="24" t="n"/>
      <c r="F716" s="23" t="n"/>
      <c r="G716" s="25" t="n"/>
      <c r="H716" s="24" t="n"/>
      <c r="I716" s="23" t="n"/>
      <c r="J716" s="26" t="n"/>
      <c r="K716" s="26" t="n"/>
      <c r="L716" s="26" t="n"/>
      <c r="M716" s="26" t="n"/>
      <c r="N716" s="26" t="n"/>
      <c r="O716" s="27">
        <f>IF(COUNT(K716:N716)=0,"",SUM(K716:N716))</f>
        <v/>
      </c>
      <c r="P716" s="16">
        <f>IF(OR(O716="",N(J716)&lt;=0),"",O716/J716)</f>
        <v/>
      </c>
      <c r="Q716" s="28">
        <f>IF(V716=1,"Late","")</f>
        <v/>
      </c>
      <c r="R716" s="1">
        <f>IF(ISNUMBER(B716),INT(B716)*10000000+IF(ISNUMBER(C716),ROUND(MOD(C716,1)*1440,0),0)*1000+ROW(),"")</f>
        <v/>
      </c>
      <c r="S716">
        <f>IF(ISNUMBER(B716),INT(B716)-WEEKDAY(B716,3),"")</f>
        <v/>
      </c>
      <c r="T716">
        <f>IF(ISNUMBER(B716),YEAR(B716)*100+MONTH(B716),"")</f>
        <v/>
      </c>
      <c r="U716">
        <f>IF(AND(ISNUMBER(B716),H716&lt;&gt;"Published"),IF(INT(B716)&gt;=TODAY(),R716,""),"")</f>
        <v/>
      </c>
      <c r="V716">
        <f>IF(AND(ISNUMBER(B716),OR(H716="Draft",H716="Scheduled")),IF(INT(B716)&lt;TODAY(),1,0),0)</f>
        <v/>
      </c>
      <c r="W716">
        <f>IF(AND(H716="Published",N(O716)&gt;0),IF(T716=(YEAR(TODAY())*100+MONTH(TODAY())),ROUND(O716,0)*1000+1000-ROW(),""),"")</f>
        <v/>
      </c>
    </row>
    <row r="717">
      <c r="A717" s="1" t="n"/>
      <c r="B717" s="21" t="n"/>
      <c r="C717" s="22" t="n"/>
      <c r="D717" s="23" t="n"/>
      <c r="E717" s="24" t="n"/>
      <c r="F717" s="23" t="n"/>
      <c r="G717" s="25" t="n"/>
      <c r="H717" s="24" t="n"/>
      <c r="I717" s="23" t="n"/>
      <c r="J717" s="26" t="n"/>
      <c r="K717" s="26" t="n"/>
      <c r="L717" s="26" t="n"/>
      <c r="M717" s="26" t="n"/>
      <c r="N717" s="26" t="n"/>
      <c r="O717" s="27">
        <f>IF(COUNT(K717:N717)=0,"",SUM(K717:N717))</f>
        <v/>
      </c>
      <c r="P717" s="16">
        <f>IF(OR(O717="",N(J717)&lt;=0),"",O717/J717)</f>
        <v/>
      </c>
      <c r="Q717" s="28">
        <f>IF(V717=1,"Late","")</f>
        <v/>
      </c>
      <c r="R717" s="1">
        <f>IF(ISNUMBER(B717),INT(B717)*10000000+IF(ISNUMBER(C717),ROUND(MOD(C717,1)*1440,0),0)*1000+ROW(),"")</f>
        <v/>
      </c>
      <c r="S717">
        <f>IF(ISNUMBER(B717),INT(B717)-WEEKDAY(B717,3),"")</f>
        <v/>
      </c>
      <c r="T717">
        <f>IF(ISNUMBER(B717),YEAR(B717)*100+MONTH(B717),"")</f>
        <v/>
      </c>
      <c r="U717">
        <f>IF(AND(ISNUMBER(B717),H717&lt;&gt;"Published"),IF(INT(B717)&gt;=TODAY(),R717,""),"")</f>
        <v/>
      </c>
      <c r="V717">
        <f>IF(AND(ISNUMBER(B717),OR(H717="Draft",H717="Scheduled")),IF(INT(B717)&lt;TODAY(),1,0),0)</f>
        <v/>
      </c>
      <c r="W717">
        <f>IF(AND(H717="Published",N(O717)&gt;0),IF(T717=(YEAR(TODAY())*100+MONTH(TODAY())),ROUND(O717,0)*1000+1000-ROW(),""),"")</f>
        <v/>
      </c>
    </row>
    <row r="718">
      <c r="A718" s="1" t="n"/>
      <c r="B718" s="21" t="n"/>
      <c r="C718" s="22" t="n"/>
      <c r="D718" s="23" t="n"/>
      <c r="E718" s="24" t="n"/>
      <c r="F718" s="23" t="n"/>
      <c r="G718" s="25" t="n"/>
      <c r="H718" s="24" t="n"/>
      <c r="I718" s="23" t="n"/>
      <c r="J718" s="26" t="n"/>
      <c r="K718" s="26" t="n"/>
      <c r="L718" s="26" t="n"/>
      <c r="M718" s="26" t="n"/>
      <c r="N718" s="26" t="n"/>
      <c r="O718" s="27">
        <f>IF(COUNT(K718:N718)=0,"",SUM(K718:N718))</f>
        <v/>
      </c>
      <c r="P718" s="16">
        <f>IF(OR(O718="",N(J718)&lt;=0),"",O718/J718)</f>
        <v/>
      </c>
      <c r="Q718" s="28">
        <f>IF(V718=1,"Late","")</f>
        <v/>
      </c>
      <c r="R718" s="1">
        <f>IF(ISNUMBER(B718),INT(B718)*10000000+IF(ISNUMBER(C718),ROUND(MOD(C718,1)*1440,0),0)*1000+ROW(),"")</f>
        <v/>
      </c>
      <c r="S718">
        <f>IF(ISNUMBER(B718),INT(B718)-WEEKDAY(B718,3),"")</f>
        <v/>
      </c>
      <c r="T718">
        <f>IF(ISNUMBER(B718),YEAR(B718)*100+MONTH(B718),"")</f>
        <v/>
      </c>
      <c r="U718">
        <f>IF(AND(ISNUMBER(B718),H718&lt;&gt;"Published"),IF(INT(B718)&gt;=TODAY(),R718,""),"")</f>
        <v/>
      </c>
      <c r="V718">
        <f>IF(AND(ISNUMBER(B718),OR(H718="Draft",H718="Scheduled")),IF(INT(B718)&lt;TODAY(),1,0),0)</f>
        <v/>
      </c>
      <c r="W718">
        <f>IF(AND(H718="Published",N(O718)&gt;0),IF(T718=(YEAR(TODAY())*100+MONTH(TODAY())),ROUND(O718,0)*1000+1000-ROW(),""),"")</f>
        <v/>
      </c>
    </row>
    <row r="719">
      <c r="A719" s="1" t="n"/>
      <c r="B719" s="21" t="n"/>
      <c r="C719" s="22" t="n"/>
      <c r="D719" s="23" t="n"/>
      <c r="E719" s="24" t="n"/>
      <c r="F719" s="23" t="n"/>
      <c r="G719" s="25" t="n"/>
      <c r="H719" s="24" t="n"/>
      <c r="I719" s="23" t="n"/>
      <c r="J719" s="26" t="n"/>
      <c r="K719" s="26" t="n"/>
      <c r="L719" s="26" t="n"/>
      <c r="M719" s="26" t="n"/>
      <c r="N719" s="26" t="n"/>
      <c r="O719" s="27">
        <f>IF(COUNT(K719:N719)=0,"",SUM(K719:N719))</f>
        <v/>
      </c>
      <c r="P719" s="16">
        <f>IF(OR(O719="",N(J719)&lt;=0),"",O719/J719)</f>
        <v/>
      </c>
      <c r="Q719" s="28">
        <f>IF(V719=1,"Late","")</f>
        <v/>
      </c>
      <c r="R719" s="1">
        <f>IF(ISNUMBER(B719),INT(B719)*10000000+IF(ISNUMBER(C719),ROUND(MOD(C719,1)*1440,0),0)*1000+ROW(),"")</f>
        <v/>
      </c>
      <c r="S719">
        <f>IF(ISNUMBER(B719),INT(B719)-WEEKDAY(B719,3),"")</f>
        <v/>
      </c>
      <c r="T719">
        <f>IF(ISNUMBER(B719),YEAR(B719)*100+MONTH(B719),"")</f>
        <v/>
      </c>
      <c r="U719">
        <f>IF(AND(ISNUMBER(B719),H719&lt;&gt;"Published"),IF(INT(B719)&gt;=TODAY(),R719,""),"")</f>
        <v/>
      </c>
      <c r="V719">
        <f>IF(AND(ISNUMBER(B719),OR(H719="Draft",H719="Scheduled")),IF(INT(B719)&lt;TODAY(),1,0),0)</f>
        <v/>
      </c>
      <c r="W719">
        <f>IF(AND(H719="Published",N(O719)&gt;0),IF(T719=(YEAR(TODAY())*100+MONTH(TODAY())),ROUND(O719,0)*1000+1000-ROW(),""),"")</f>
        <v/>
      </c>
    </row>
    <row r="720">
      <c r="A720" s="1" t="n"/>
      <c r="B720" s="21" t="n"/>
      <c r="C720" s="22" t="n"/>
      <c r="D720" s="23" t="n"/>
      <c r="E720" s="24" t="n"/>
      <c r="F720" s="23" t="n"/>
      <c r="G720" s="25" t="n"/>
      <c r="H720" s="24" t="n"/>
      <c r="I720" s="23" t="n"/>
      <c r="J720" s="26" t="n"/>
      <c r="K720" s="26" t="n"/>
      <c r="L720" s="26" t="n"/>
      <c r="M720" s="26" t="n"/>
      <c r="N720" s="26" t="n"/>
      <c r="O720" s="27">
        <f>IF(COUNT(K720:N720)=0,"",SUM(K720:N720))</f>
        <v/>
      </c>
      <c r="P720" s="16">
        <f>IF(OR(O720="",N(J720)&lt;=0),"",O720/J720)</f>
        <v/>
      </c>
      <c r="Q720" s="28">
        <f>IF(V720=1,"Late","")</f>
        <v/>
      </c>
      <c r="R720" s="1">
        <f>IF(ISNUMBER(B720),INT(B720)*10000000+IF(ISNUMBER(C720),ROUND(MOD(C720,1)*1440,0),0)*1000+ROW(),"")</f>
        <v/>
      </c>
      <c r="S720">
        <f>IF(ISNUMBER(B720),INT(B720)-WEEKDAY(B720,3),"")</f>
        <v/>
      </c>
      <c r="T720">
        <f>IF(ISNUMBER(B720),YEAR(B720)*100+MONTH(B720),"")</f>
        <v/>
      </c>
      <c r="U720">
        <f>IF(AND(ISNUMBER(B720),H720&lt;&gt;"Published"),IF(INT(B720)&gt;=TODAY(),R720,""),"")</f>
        <v/>
      </c>
      <c r="V720">
        <f>IF(AND(ISNUMBER(B720),OR(H720="Draft",H720="Scheduled")),IF(INT(B720)&lt;TODAY(),1,0),0)</f>
        <v/>
      </c>
      <c r="W720">
        <f>IF(AND(H720="Published",N(O720)&gt;0),IF(T720=(YEAR(TODAY())*100+MONTH(TODAY())),ROUND(O720,0)*1000+1000-ROW(),""),"")</f>
        <v/>
      </c>
    </row>
    <row r="721">
      <c r="A721" s="1" t="n"/>
      <c r="B721" s="21" t="n"/>
      <c r="C721" s="22" t="n"/>
      <c r="D721" s="23" t="n"/>
      <c r="E721" s="24" t="n"/>
      <c r="F721" s="23" t="n"/>
      <c r="G721" s="25" t="n"/>
      <c r="H721" s="24" t="n"/>
      <c r="I721" s="23" t="n"/>
      <c r="J721" s="26" t="n"/>
      <c r="K721" s="26" t="n"/>
      <c r="L721" s="26" t="n"/>
      <c r="M721" s="26" t="n"/>
      <c r="N721" s="26" t="n"/>
      <c r="O721" s="27">
        <f>IF(COUNT(K721:N721)=0,"",SUM(K721:N721))</f>
        <v/>
      </c>
      <c r="P721" s="16">
        <f>IF(OR(O721="",N(J721)&lt;=0),"",O721/J721)</f>
        <v/>
      </c>
      <c r="Q721" s="28">
        <f>IF(V721=1,"Late","")</f>
        <v/>
      </c>
      <c r="R721" s="1">
        <f>IF(ISNUMBER(B721),INT(B721)*10000000+IF(ISNUMBER(C721),ROUND(MOD(C721,1)*1440,0),0)*1000+ROW(),"")</f>
        <v/>
      </c>
      <c r="S721">
        <f>IF(ISNUMBER(B721),INT(B721)-WEEKDAY(B721,3),"")</f>
        <v/>
      </c>
      <c r="T721">
        <f>IF(ISNUMBER(B721),YEAR(B721)*100+MONTH(B721),"")</f>
        <v/>
      </c>
      <c r="U721">
        <f>IF(AND(ISNUMBER(B721),H721&lt;&gt;"Published"),IF(INT(B721)&gt;=TODAY(),R721,""),"")</f>
        <v/>
      </c>
      <c r="V721">
        <f>IF(AND(ISNUMBER(B721),OR(H721="Draft",H721="Scheduled")),IF(INT(B721)&lt;TODAY(),1,0),0)</f>
        <v/>
      </c>
      <c r="W721">
        <f>IF(AND(H721="Published",N(O721)&gt;0),IF(T721=(YEAR(TODAY())*100+MONTH(TODAY())),ROUND(O721,0)*1000+1000-ROW(),""),"")</f>
        <v/>
      </c>
    </row>
    <row r="722">
      <c r="A722" s="1" t="n"/>
      <c r="B722" s="21" t="n"/>
      <c r="C722" s="22" t="n"/>
      <c r="D722" s="23" t="n"/>
      <c r="E722" s="24" t="n"/>
      <c r="F722" s="23" t="n"/>
      <c r="G722" s="25" t="n"/>
      <c r="H722" s="24" t="n"/>
      <c r="I722" s="23" t="n"/>
      <c r="J722" s="26" t="n"/>
      <c r="K722" s="26" t="n"/>
      <c r="L722" s="26" t="n"/>
      <c r="M722" s="26" t="n"/>
      <c r="N722" s="26" t="n"/>
      <c r="O722" s="27">
        <f>IF(COUNT(K722:N722)=0,"",SUM(K722:N722))</f>
        <v/>
      </c>
      <c r="P722" s="16">
        <f>IF(OR(O722="",N(J722)&lt;=0),"",O722/J722)</f>
        <v/>
      </c>
      <c r="Q722" s="28">
        <f>IF(V722=1,"Late","")</f>
        <v/>
      </c>
      <c r="R722" s="1">
        <f>IF(ISNUMBER(B722),INT(B722)*10000000+IF(ISNUMBER(C722),ROUND(MOD(C722,1)*1440,0),0)*1000+ROW(),"")</f>
        <v/>
      </c>
      <c r="S722">
        <f>IF(ISNUMBER(B722),INT(B722)-WEEKDAY(B722,3),"")</f>
        <v/>
      </c>
      <c r="T722">
        <f>IF(ISNUMBER(B722),YEAR(B722)*100+MONTH(B722),"")</f>
        <v/>
      </c>
      <c r="U722">
        <f>IF(AND(ISNUMBER(B722),H722&lt;&gt;"Published"),IF(INT(B722)&gt;=TODAY(),R722,""),"")</f>
        <v/>
      </c>
      <c r="V722">
        <f>IF(AND(ISNUMBER(B722),OR(H722="Draft",H722="Scheduled")),IF(INT(B722)&lt;TODAY(),1,0),0)</f>
        <v/>
      </c>
      <c r="W722">
        <f>IF(AND(H722="Published",N(O722)&gt;0),IF(T722=(YEAR(TODAY())*100+MONTH(TODAY())),ROUND(O722,0)*1000+1000-ROW(),""),"")</f>
        <v/>
      </c>
    </row>
    <row r="723">
      <c r="A723" s="1" t="n"/>
      <c r="B723" s="21" t="n"/>
      <c r="C723" s="22" t="n"/>
      <c r="D723" s="23" t="n"/>
      <c r="E723" s="24" t="n"/>
      <c r="F723" s="23" t="n"/>
      <c r="G723" s="25" t="n"/>
      <c r="H723" s="24" t="n"/>
      <c r="I723" s="23" t="n"/>
      <c r="J723" s="26" t="n"/>
      <c r="K723" s="26" t="n"/>
      <c r="L723" s="26" t="n"/>
      <c r="M723" s="26" t="n"/>
      <c r="N723" s="26" t="n"/>
      <c r="O723" s="27">
        <f>IF(COUNT(K723:N723)=0,"",SUM(K723:N723))</f>
        <v/>
      </c>
      <c r="P723" s="16">
        <f>IF(OR(O723="",N(J723)&lt;=0),"",O723/J723)</f>
        <v/>
      </c>
      <c r="Q723" s="28">
        <f>IF(V723=1,"Late","")</f>
        <v/>
      </c>
      <c r="R723" s="1">
        <f>IF(ISNUMBER(B723),INT(B723)*10000000+IF(ISNUMBER(C723),ROUND(MOD(C723,1)*1440,0),0)*1000+ROW(),"")</f>
        <v/>
      </c>
      <c r="S723">
        <f>IF(ISNUMBER(B723),INT(B723)-WEEKDAY(B723,3),"")</f>
        <v/>
      </c>
      <c r="T723">
        <f>IF(ISNUMBER(B723),YEAR(B723)*100+MONTH(B723),"")</f>
        <v/>
      </c>
      <c r="U723">
        <f>IF(AND(ISNUMBER(B723),H723&lt;&gt;"Published"),IF(INT(B723)&gt;=TODAY(),R723,""),"")</f>
        <v/>
      </c>
      <c r="V723">
        <f>IF(AND(ISNUMBER(B723),OR(H723="Draft",H723="Scheduled")),IF(INT(B723)&lt;TODAY(),1,0),0)</f>
        <v/>
      </c>
      <c r="W723">
        <f>IF(AND(H723="Published",N(O723)&gt;0),IF(T723=(YEAR(TODAY())*100+MONTH(TODAY())),ROUND(O723,0)*1000+1000-ROW(),""),"")</f>
        <v/>
      </c>
    </row>
    <row r="724">
      <c r="A724" s="1" t="n"/>
      <c r="B724" s="21" t="n"/>
      <c r="C724" s="22" t="n"/>
      <c r="D724" s="23" t="n"/>
      <c r="E724" s="24" t="n"/>
      <c r="F724" s="23" t="n"/>
      <c r="G724" s="25" t="n"/>
      <c r="H724" s="24" t="n"/>
      <c r="I724" s="23" t="n"/>
      <c r="J724" s="26" t="n"/>
      <c r="K724" s="26" t="n"/>
      <c r="L724" s="26" t="n"/>
      <c r="M724" s="26" t="n"/>
      <c r="N724" s="26" t="n"/>
      <c r="O724" s="27">
        <f>IF(COUNT(K724:N724)=0,"",SUM(K724:N724))</f>
        <v/>
      </c>
      <c r="P724" s="16">
        <f>IF(OR(O724="",N(J724)&lt;=0),"",O724/J724)</f>
        <v/>
      </c>
      <c r="Q724" s="28">
        <f>IF(V724=1,"Late","")</f>
        <v/>
      </c>
      <c r="R724" s="1">
        <f>IF(ISNUMBER(B724),INT(B724)*10000000+IF(ISNUMBER(C724),ROUND(MOD(C724,1)*1440,0),0)*1000+ROW(),"")</f>
        <v/>
      </c>
      <c r="S724">
        <f>IF(ISNUMBER(B724),INT(B724)-WEEKDAY(B724,3),"")</f>
        <v/>
      </c>
      <c r="T724">
        <f>IF(ISNUMBER(B724),YEAR(B724)*100+MONTH(B724),"")</f>
        <v/>
      </c>
      <c r="U724">
        <f>IF(AND(ISNUMBER(B724),H724&lt;&gt;"Published"),IF(INT(B724)&gt;=TODAY(),R724,""),"")</f>
        <v/>
      </c>
      <c r="V724">
        <f>IF(AND(ISNUMBER(B724),OR(H724="Draft",H724="Scheduled")),IF(INT(B724)&lt;TODAY(),1,0),0)</f>
        <v/>
      </c>
      <c r="W724">
        <f>IF(AND(H724="Published",N(O724)&gt;0),IF(T724=(YEAR(TODAY())*100+MONTH(TODAY())),ROUND(O724,0)*1000+1000-ROW(),""),"")</f>
        <v/>
      </c>
    </row>
    <row r="725">
      <c r="A725" s="1" t="n"/>
      <c r="B725" s="21" t="n"/>
      <c r="C725" s="22" t="n"/>
      <c r="D725" s="23" t="n"/>
      <c r="E725" s="24" t="n"/>
      <c r="F725" s="23" t="n"/>
      <c r="G725" s="25" t="n"/>
      <c r="H725" s="24" t="n"/>
      <c r="I725" s="23" t="n"/>
      <c r="J725" s="26" t="n"/>
      <c r="K725" s="26" t="n"/>
      <c r="L725" s="26" t="n"/>
      <c r="M725" s="26" t="n"/>
      <c r="N725" s="26" t="n"/>
      <c r="O725" s="27">
        <f>IF(COUNT(K725:N725)=0,"",SUM(K725:N725))</f>
        <v/>
      </c>
      <c r="P725" s="16">
        <f>IF(OR(O725="",N(J725)&lt;=0),"",O725/J725)</f>
        <v/>
      </c>
      <c r="Q725" s="28">
        <f>IF(V725=1,"Late","")</f>
        <v/>
      </c>
      <c r="R725" s="1">
        <f>IF(ISNUMBER(B725),INT(B725)*10000000+IF(ISNUMBER(C725),ROUND(MOD(C725,1)*1440,0),0)*1000+ROW(),"")</f>
        <v/>
      </c>
      <c r="S725">
        <f>IF(ISNUMBER(B725),INT(B725)-WEEKDAY(B725,3),"")</f>
        <v/>
      </c>
      <c r="T725">
        <f>IF(ISNUMBER(B725),YEAR(B725)*100+MONTH(B725),"")</f>
        <v/>
      </c>
      <c r="U725">
        <f>IF(AND(ISNUMBER(B725),H725&lt;&gt;"Published"),IF(INT(B725)&gt;=TODAY(),R725,""),"")</f>
        <v/>
      </c>
      <c r="V725">
        <f>IF(AND(ISNUMBER(B725),OR(H725="Draft",H725="Scheduled")),IF(INT(B725)&lt;TODAY(),1,0),0)</f>
        <v/>
      </c>
      <c r="W725">
        <f>IF(AND(H725="Published",N(O725)&gt;0),IF(T725=(YEAR(TODAY())*100+MONTH(TODAY())),ROUND(O725,0)*1000+1000-ROW(),""),"")</f>
        <v/>
      </c>
    </row>
    <row r="726">
      <c r="A726" s="1" t="n"/>
      <c r="B726" s="21" t="n"/>
      <c r="C726" s="22" t="n"/>
      <c r="D726" s="23" t="n"/>
      <c r="E726" s="24" t="n"/>
      <c r="F726" s="23" t="n"/>
      <c r="G726" s="25" t="n"/>
      <c r="H726" s="24" t="n"/>
      <c r="I726" s="23" t="n"/>
      <c r="J726" s="26" t="n"/>
      <c r="K726" s="26" t="n"/>
      <c r="L726" s="26" t="n"/>
      <c r="M726" s="26" t="n"/>
      <c r="N726" s="26" t="n"/>
      <c r="O726" s="27">
        <f>IF(COUNT(K726:N726)=0,"",SUM(K726:N726))</f>
        <v/>
      </c>
      <c r="P726" s="16">
        <f>IF(OR(O726="",N(J726)&lt;=0),"",O726/J726)</f>
        <v/>
      </c>
      <c r="Q726" s="28">
        <f>IF(V726=1,"Late","")</f>
        <v/>
      </c>
      <c r="R726" s="1">
        <f>IF(ISNUMBER(B726),INT(B726)*10000000+IF(ISNUMBER(C726),ROUND(MOD(C726,1)*1440,0),0)*1000+ROW(),"")</f>
        <v/>
      </c>
      <c r="S726">
        <f>IF(ISNUMBER(B726),INT(B726)-WEEKDAY(B726,3),"")</f>
        <v/>
      </c>
      <c r="T726">
        <f>IF(ISNUMBER(B726),YEAR(B726)*100+MONTH(B726),"")</f>
        <v/>
      </c>
      <c r="U726">
        <f>IF(AND(ISNUMBER(B726),H726&lt;&gt;"Published"),IF(INT(B726)&gt;=TODAY(),R726,""),"")</f>
        <v/>
      </c>
      <c r="V726">
        <f>IF(AND(ISNUMBER(B726),OR(H726="Draft",H726="Scheduled")),IF(INT(B726)&lt;TODAY(),1,0),0)</f>
        <v/>
      </c>
      <c r="W726">
        <f>IF(AND(H726="Published",N(O726)&gt;0),IF(T726=(YEAR(TODAY())*100+MONTH(TODAY())),ROUND(O726,0)*1000+1000-ROW(),""),"")</f>
        <v/>
      </c>
    </row>
    <row r="727">
      <c r="A727" s="1" t="n"/>
      <c r="B727" s="21" t="n"/>
      <c r="C727" s="22" t="n"/>
      <c r="D727" s="23" t="n"/>
      <c r="E727" s="24" t="n"/>
      <c r="F727" s="23" t="n"/>
      <c r="G727" s="25" t="n"/>
      <c r="H727" s="24" t="n"/>
      <c r="I727" s="23" t="n"/>
      <c r="J727" s="26" t="n"/>
      <c r="K727" s="26" t="n"/>
      <c r="L727" s="26" t="n"/>
      <c r="M727" s="26" t="n"/>
      <c r="N727" s="26" t="n"/>
      <c r="O727" s="27">
        <f>IF(COUNT(K727:N727)=0,"",SUM(K727:N727))</f>
        <v/>
      </c>
      <c r="P727" s="16">
        <f>IF(OR(O727="",N(J727)&lt;=0),"",O727/J727)</f>
        <v/>
      </c>
      <c r="Q727" s="28">
        <f>IF(V727=1,"Late","")</f>
        <v/>
      </c>
      <c r="R727" s="1">
        <f>IF(ISNUMBER(B727),INT(B727)*10000000+IF(ISNUMBER(C727),ROUND(MOD(C727,1)*1440,0),0)*1000+ROW(),"")</f>
        <v/>
      </c>
      <c r="S727">
        <f>IF(ISNUMBER(B727),INT(B727)-WEEKDAY(B727,3),"")</f>
        <v/>
      </c>
      <c r="T727">
        <f>IF(ISNUMBER(B727),YEAR(B727)*100+MONTH(B727),"")</f>
        <v/>
      </c>
      <c r="U727">
        <f>IF(AND(ISNUMBER(B727),H727&lt;&gt;"Published"),IF(INT(B727)&gt;=TODAY(),R727,""),"")</f>
        <v/>
      </c>
      <c r="V727">
        <f>IF(AND(ISNUMBER(B727),OR(H727="Draft",H727="Scheduled")),IF(INT(B727)&lt;TODAY(),1,0),0)</f>
        <v/>
      </c>
      <c r="W727">
        <f>IF(AND(H727="Published",N(O727)&gt;0),IF(T727=(YEAR(TODAY())*100+MONTH(TODAY())),ROUND(O727,0)*1000+1000-ROW(),""),"")</f>
        <v/>
      </c>
    </row>
    <row r="728">
      <c r="A728" s="1" t="n"/>
      <c r="B728" s="21" t="n"/>
      <c r="C728" s="22" t="n"/>
      <c r="D728" s="23" t="n"/>
      <c r="E728" s="24" t="n"/>
      <c r="F728" s="23" t="n"/>
      <c r="G728" s="25" t="n"/>
      <c r="H728" s="24" t="n"/>
      <c r="I728" s="23" t="n"/>
      <c r="J728" s="26" t="n"/>
      <c r="K728" s="26" t="n"/>
      <c r="L728" s="26" t="n"/>
      <c r="M728" s="26" t="n"/>
      <c r="N728" s="26" t="n"/>
      <c r="O728" s="27">
        <f>IF(COUNT(K728:N728)=0,"",SUM(K728:N728))</f>
        <v/>
      </c>
      <c r="P728" s="16">
        <f>IF(OR(O728="",N(J728)&lt;=0),"",O728/J728)</f>
        <v/>
      </c>
      <c r="Q728" s="28">
        <f>IF(V728=1,"Late","")</f>
        <v/>
      </c>
      <c r="R728" s="1">
        <f>IF(ISNUMBER(B728),INT(B728)*10000000+IF(ISNUMBER(C728),ROUND(MOD(C728,1)*1440,0),0)*1000+ROW(),"")</f>
        <v/>
      </c>
      <c r="S728">
        <f>IF(ISNUMBER(B728),INT(B728)-WEEKDAY(B728,3),"")</f>
        <v/>
      </c>
      <c r="T728">
        <f>IF(ISNUMBER(B728),YEAR(B728)*100+MONTH(B728),"")</f>
        <v/>
      </c>
      <c r="U728">
        <f>IF(AND(ISNUMBER(B728),H728&lt;&gt;"Published"),IF(INT(B728)&gt;=TODAY(),R728,""),"")</f>
        <v/>
      </c>
      <c r="V728">
        <f>IF(AND(ISNUMBER(B728),OR(H728="Draft",H728="Scheduled")),IF(INT(B728)&lt;TODAY(),1,0),0)</f>
        <v/>
      </c>
      <c r="W728">
        <f>IF(AND(H728="Published",N(O728)&gt;0),IF(T728=(YEAR(TODAY())*100+MONTH(TODAY())),ROUND(O728,0)*1000+1000-ROW(),""),"")</f>
        <v/>
      </c>
    </row>
    <row r="729">
      <c r="A729" s="1" t="n"/>
      <c r="B729" s="21" t="n"/>
      <c r="C729" s="22" t="n"/>
      <c r="D729" s="23" t="n"/>
      <c r="E729" s="24" t="n"/>
      <c r="F729" s="23" t="n"/>
      <c r="G729" s="25" t="n"/>
      <c r="H729" s="24" t="n"/>
      <c r="I729" s="23" t="n"/>
      <c r="J729" s="26" t="n"/>
      <c r="K729" s="26" t="n"/>
      <c r="L729" s="26" t="n"/>
      <c r="M729" s="26" t="n"/>
      <c r="N729" s="26" t="n"/>
      <c r="O729" s="27">
        <f>IF(COUNT(K729:N729)=0,"",SUM(K729:N729))</f>
        <v/>
      </c>
      <c r="P729" s="16">
        <f>IF(OR(O729="",N(J729)&lt;=0),"",O729/J729)</f>
        <v/>
      </c>
      <c r="Q729" s="28">
        <f>IF(V729=1,"Late","")</f>
        <v/>
      </c>
      <c r="R729" s="1">
        <f>IF(ISNUMBER(B729),INT(B729)*10000000+IF(ISNUMBER(C729),ROUND(MOD(C729,1)*1440,0),0)*1000+ROW(),"")</f>
        <v/>
      </c>
      <c r="S729">
        <f>IF(ISNUMBER(B729),INT(B729)-WEEKDAY(B729,3),"")</f>
        <v/>
      </c>
      <c r="T729">
        <f>IF(ISNUMBER(B729),YEAR(B729)*100+MONTH(B729),"")</f>
        <v/>
      </c>
      <c r="U729">
        <f>IF(AND(ISNUMBER(B729),H729&lt;&gt;"Published"),IF(INT(B729)&gt;=TODAY(),R729,""),"")</f>
        <v/>
      </c>
      <c r="V729">
        <f>IF(AND(ISNUMBER(B729),OR(H729="Draft",H729="Scheduled")),IF(INT(B729)&lt;TODAY(),1,0),0)</f>
        <v/>
      </c>
      <c r="W729">
        <f>IF(AND(H729="Published",N(O729)&gt;0),IF(T729=(YEAR(TODAY())*100+MONTH(TODAY())),ROUND(O729,0)*1000+1000-ROW(),""),"")</f>
        <v/>
      </c>
    </row>
    <row r="730">
      <c r="A730" s="1" t="n"/>
      <c r="B730" s="21" t="n"/>
      <c r="C730" s="22" t="n"/>
      <c r="D730" s="23" t="n"/>
      <c r="E730" s="24" t="n"/>
      <c r="F730" s="23" t="n"/>
      <c r="G730" s="25" t="n"/>
      <c r="H730" s="24" t="n"/>
      <c r="I730" s="23" t="n"/>
      <c r="J730" s="26" t="n"/>
      <c r="K730" s="26" t="n"/>
      <c r="L730" s="26" t="n"/>
      <c r="M730" s="26" t="n"/>
      <c r="N730" s="26" t="n"/>
      <c r="O730" s="27">
        <f>IF(COUNT(K730:N730)=0,"",SUM(K730:N730))</f>
        <v/>
      </c>
      <c r="P730" s="16">
        <f>IF(OR(O730="",N(J730)&lt;=0),"",O730/J730)</f>
        <v/>
      </c>
      <c r="Q730" s="28">
        <f>IF(V730=1,"Late","")</f>
        <v/>
      </c>
      <c r="R730" s="1">
        <f>IF(ISNUMBER(B730),INT(B730)*10000000+IF(ISNUMBER(C730),ROUND(MOD(C730,1)*1440,0),0)*1000+ROW(),"")</f>
        <v/>
      </c>
      <c r="S730">
        <f>IF(ISNUMBER(B730),INT(B730)-WEEKDAY(B730,3),"")</f>
        <v/>
      </c>
      <c r="T730">
        <f>IF(ISNUMBER(B730),YEAR(B730)*100+MONTH(B730),"")</f>
        <v/>
      </c>
      <c r="U730">
        <f>IF(AND(ISNUMBER(B730),H730&lt;&gt;"Published"),IF(INT(B730)&gt;=TODAY(),R730,""),"")</f>
        <v/>
      </c>
      <c r="V730">
        <f>IF(AND(ISNUMBER(B730),OR(H730="Draft",H730="Scheduled")),IF(INT(B730)&lt;TODAY(),1,0),0)</f>
        <v/>
      </c>
      <c r="W730">
        <f>IF(AND(H730="Published",N(O730)&gt;0),IF(T730=(YEAR(TODAY())*100+MONTH(TODAY())),ROUND(O730,0)*1000+1000-ROW(),""),"")</f>
        <v/>
      </c>
    </row>
    <row r="731">
      <c r="A731" s="1" t="n"/>
      <c r="B731" s="21" t="n"/>
      <c r="C731" s="22" t="n"/>
      <c r="D731" s="23" t="n"/>
      <c r="E731" s="24" t="n"/>
      <c r="F731" s="23" t="n"/>
      <c r="G731" s="25" t="n"/>
      <c r="H731" s="24" t="n"/>
      <c r="I731" s="23" t="n"/>
      <c r="J731" s="26" t="n"/>
      <c r="K731" s="26" t="n"/>
      <c r="L731" s="26" t="n"/>
      <c r="M731" s="26" t="n"/>
      <c r="N731" s="26" t="n"/>
      <c r="O731" s="27">
        <f>IF(COUNT(K731:N731)=0,"",SUM(K731:N731))</f>
        <v/>
      </c>
      <c r="P731" s="16">
        <f>IF(OR(O731="",N(J731)&lt;=0),"",O731/J731)</f>
        <v/>
      </c>
      <c r="Q731" s="28">
        <f>IF(V731=1,"Late","")</f>
        <v/>
      </c>
      <c r="R731" s="1">
        <f>IF(ISNUMBER(B731),INT(B731)*10000000+IF(ISNUMBER(C731),ROUND(MOD(C731,1)*1440,0),0)*1000+ROW(),"")</f>
        <v/>
      </c>
      <c r="S731">
        <f>IF(ISNUMBER(B731),INT(B731)-WEEKDAY(B731,3),"")</f>
        <v/>
      </c>
      <c r="T731">
        <f>IF(ISNUMBER(B731),YEAR(B731)*100+MONTH(B731),"")</f>
        <v/>
      </c>
      <c r="U731">
        <f>IF(AND(ISNUMBER(B731),H731&lt;&gt;"Published"),IF(INT(B731)&gt;=TODAY(),R731,""),"")</f>
        <v/>
      </c>
      <c r="V731">
        <f>IF(AND(ISNUMBER(B731),OR(H731="Draft",H731="Scheduled")),IF(INT(B731)&lt;TODAY(),1,0),0)</f>
        <v/>
      </c>
      <c r="W731">
        <f>IF(AND(H731="Published",N(O731)&gt;0),IF(T731=(YEAR(TODAY())*100+MONTH(TODAY())),ROUND(O731,0)*1000+1000-ROW(),""),"")</f>
        <v/>
      </c>
    </row>
    <row r="732">
      <c r="A732" s="1" t="n"/>
      <c r="B732" s="21" t="n"/>
      <c r="C732" s="22" t="n"/>
      <c r="D732" s="23" t="n"/>
      <c r="E732" s="24" t="n"/>
      <c r="F732" s="23" t="n"/>
      <c r="G732" s="25" t="n"/>
      <c r="H732" s="24" t="n"/>
      <c r="I732" s="23" t="n"/>
      <c r="J732" s="26" t="n"/>
      <c r="K732" s="26" t="n"/>
      <c r="L732" s="26" t="n"/>
      <c r="M732" s="26" t="n"/>
      <c r="N732" s="26" t="n"/>
      <c r="O732" s="27">
        <f>IF(COUNT(K732:N732)=0,"",SUM(K732:N732))</f>
        <v/>
      </c>
      <c r="P732" s="16">
        <f>IF(OR(O732="",N(J732)&lt;=0),"",O732/J732)</f>
        <v/>
      </c>
      <c r="Q732" s="28">
        <f>IF(V732=1,"Late","")</f>
        <v/>
      </c>
      <c r="R732" s="1">
        <f>IF(ISNUMBER(B732),INT(B732)*10000000+IF(ISNUMBER(C732),ROUND(MOD(C732,1)*1440,0),0)*1000+ROW(),"")</f>
        <v/>
      </c>
      <c r="S732">
        <f>IF(ISNUMBER(B732),INT(B732)-WEEKDAY(B732,3),"")</f>
        <v/>
      </c>
      <c r="T732">
        <f>IF(ISNUMBER(B732),YEAR(B732)*100+MONTH(B732),"")</f>
        <v/>
      </c>
      <c r="U732">
        <f>IF(AND(ISNUMBER(B732),H732&lt;&gt;"Published"),IF(INT(B732)&gt;=TODAY(),R732,""),"")</f>
        <v/>
      </c>
      <c r="V732">
        <f>IF(AND(ISNUMBER(B732),OR(H732="Draft",H732="Scheduled")),IF(INT(B732)&lt;TODAY(),1,0),0)</f>
        <v/>
      </c>
      <c r="W732">
        <f>IF(AND(H732="Published",N(O732)&gt;0),IF(T732=(YEAR(TODAY())*100+MONTH(TODAY())),ROUND(O732,0)*1000+1000-ROW(),""),"")</f>
        <v/>
      </c>
    </row>
    <row r="733">
      <c r="A733" s="1" t="n"/>
      <c r="B733" s="21" t="n"/>
      <c r="C733" s="22" t="n"/>
      <c r="D733" s="23" t="n"/>
      <c r="E733" s="24" t="n"/>
      <c r="F733" s="23" t="n"/>
      <c r="G733" s="25" t="n"/>
      <c r="H733" s="24" t="n"/>
      <c r="I733" s="23" t="n"/>
      <c r="J733" s="26" t="n"/>
      <c r="K733" s="26" t="n"/>
      <c r="L733" s="26" t="n"/>
      <c r="M733" s="26" t="n"/>
      <c r="N733" s="26" t="n"/>
      <c r="O733" s="27">
        <f>IF(COUNT(K733:N733)=0,"",SUM(K733:N733))</f>
        <v/>
      </c>
      <c r="P733" s="16">
        <f>IF(OR(O733="",N(J733)&lt;=0),"",O733/J733)</f>
        <v/>
      </c>
      <c r="Q733" s="28">
        <f>IF(V733=1,"Late","")</f>
        <v/>
      </c>
      <c r="R733" s="1">
        <f>IF(ISNUMBER(B733),INT(B733)*10000000+IF(ISNUMBER(C733),ROUND(MOD(C733,1)*1440,0),0)*1000+ROW(),"")</f>
        <v/>
      </c>
      <c r="S733">
        <f>IF(ISNUMBER(B733),INT(B733)-WEEKDAY(B733,3),"")</f>
        <v/>
      </c>
      <c r="T733">
        <f>IF(ISNUMBER(B733),YEAR(B733)*100+MONTH(B733),"")</f>
        <v/>
      </c>
      <c r="U733">
        <f>IF(AND(ISNUMBER(B733),H733&lt;&gt;"Published"),IF(INT(B733)&gt;=TODAY(),R733,""),"")</f>
        <v/>
      </c>
      <c r="V733">
        <f>IF(AND(ISNUMBER(B733),OR(H733="Draft",H733="Scheduled")),IF(INT(B733)&lt;TODAY(),1,0),0)</f>
        <v/>
      </c>
      <c r="W733">
        <f>IF(AND(H733="Published",N(O733)&gt;0),IF(T733=(YEAR(TODAY())*100+MONTH(TODAY())),ROUND(O733,0)*1000+1000-ROW(),""),"")</f>
        <v/>
      </c>
    </row>
    <row r="734">
      <c r="A734" s="1" t="n"/>
      <c r="B734" s="21" t="n"/>
      <c r="C734" s="22" t="n"/>
      <c r="D734" s="23" t="n"/>
      <c r="E734" s="24" t="n"/>
      <c r="F734" s="23" t="n"/>
      <c r="G734" s="25" t="n"/>
      <c r="H734" s="24" t="n"/>
      <c r="I734" s="23" t="n"/>
      <c r="J734" s="26" t="n"/>
      <c r="K734" s="26" t="n"/>
      <c r="L734" s="26" t="n"/>
      <c r="M734" s="26" t="n"/>
      <c r="N734" s="26" t="n"/>
      <c r="O734" s="27">
        <f>IF(COUNT(K734:N734)=0,"",SUM(K734:N734))</f>
        <v/>
      </c>
      <c r="P734" s="16">
        <f>IF(OR(O734="",N(J734)&lt;=0),"",O734/J734)</f>
        <v/>
      </c>
      <c r="Q734" s="28">
        <f>IF(V734=1,"Late","")</f>
        <v/>
      </c>
      <c r="R734" s="1">
        <f>IF(ISNUMBER(B734),INT(B734)*10000000+IF(ISNUMBER(C734),ROUND(MOD(C734,1)*1440,0),0)*1000+ROW(),"")</f>
        <v/>
      </c>
      <c r="S734">
        <f>IF(ISNUMBER(B734),INT(B734)-WEEKDAY(B734,3),"")</f>
        <v/>
      </c>
      <c r="T734">
        <f>IF(ISNUMBER(B734),YEAR(B734)*100+MONTH(B734),"")</f>
        <v/>
      </c>
      <c r="U734">
        <f>IF(AND(ISNUMBER(B734),H734&lt;&gt;"Published"),IF(INT(B734)&gt;=TODAY(),R734,""),"")</f>
        <v/>
      </c>
      <c r="V734">
        <f>IF(AND(ISNUMBER(B734),OR(H734="Draft",H734="Scheduled")),IF(INT(B734)&lt;TODAY(),1,0),0)</f>
        <v/>
      </c>
      <c r="W734">
        <f>IF(AND(H734="Published",N(O734)&gt;0),IF(T734=(YEAR(TODAY())*100+MONTH(TODAY())),ROUND(O734,0)*1000+1000-ROW(),""),"")</f>
        <v/>
      </c>
    </row>
    <row r="735">
      <c r="A735" s="1" t="n"/>
      <c r="B735" s="21" t="n"/>
      <c r="C735" s="22" t="n"/>
      <c r="D735" s="23" t="n"/>
      <c r="E735" s="24" t="n"/>
      <c r="F735" s="23" t="n"/>
      <c r="G735" s="25" t="n"/>
      <c r="H735" s="24" t="n"/>
      <c r="I735" s="23" t="n"/>
      <c r="J735" s="26" t="n"/>
      <c r="K735" s="26" t="n"/>
      <c r="L735" s="26" t="n"/>
      <c r="M735" s="26" t="n"/>
      <c r="N735" s="26" t="n"/>
      <c r="O735" s="27">
        <f>IF(COUNT(K735:N735)=0,"",SUM(K735:N735))</f>
        <v/>
      </c>
      <c r="P735" s="16">
        <f>IF(OR(O735="",N(J735)&lt;=0),"",O735/J735)</f>
        <v/>
      </c>
      <c r="Q735" s="28">
        <f>IF(V735=1,"Late","")</f>
        <v/>
      </c>
      <c r="R735" s="1">
        <f>IF(ISNUMBER(B735),INT(B735)*10000000+IF(ISNUMBER(C735),ROUND(MOD(C735,1)*1440,0),0)*1000+ROW(),"")</f>
        <v/>
      </c>
      <c r="S735">
        <f>IF(ISNUMBER(B735),INT(B735)-WEEKDAY(B735,3),"")</f>
        <v/>
      </c>
      <c r="T735">
        <f>IF(ISNUMBER(B735),YEAR(B735)*100+MONTH(B735),"")</f>
        <v/>
      </c>
      <c r="U735">
        <f>IF(AND(ISNUMBER(B735),H735&lt;&gt;"Published"),IF(INT(B735)&gt;=TODAY(),R735,""),"")</f>
        <v/>
      </c>
      <c r="V735">
        <f>IF(AND(ISNUMBER(B735),OR(H735="Draft",H735="Scheduled")),IF(INT(B735)&lt;TODAY(),1,0),0)</f>
        <v/>
      </c>
      <c r="W735">
        <f>IF(AND(H735="Published",N(O735)&gt;0),IF(T735=(YEAR(TODAY())*100+MONTH(TODAY())),ROUND(O735,0)*1000+1000-ROW(),""),"")</f>
        <v/>
      </c>
    </row>
    <row r="736">
      <c r="A736" s="1" t="n"/>
      <c r="B736" s="21" t="n"/>
      <c r="C736" s="22" t="n"/>
      <c r="D736" s="23" t="n"/>
      <c r="E736" s="24" t="n"/>
      <c r="F736" s="23" t="n"/>
      <c r="G736" s="25" t="n"/>
      <c r="H736" s="24" t="n"/>
      <c r="I736" s="23" t="n"/>
      <c r="J736" s="26" t="n"/>
      <c r="K736" s="26" t="n"/>
      <c r="L736" s="26" t="n"/>
      <c r="M736" s="26" t="n"/>
      <c r="N736" s="26" t="n"/>
      <c r="O736" s="27">
        <f>IF(COUNT(K736:N736)=0,"",SUM(K736:N736))</f>
        <v/>
      </c>
      <c r="P736" s="16">
        <f>IF(OR(O736="",N(J736)&lt;=0),"",O736/J736)</f>
        <v/>
      </c>
      <c r="Q736" s="28">
        <f>IF(V736=1,"Late","")</f>
        <v/>
      </c>
      <c r="R736" s="1">
        <f>IF(ISNUMBER(B736),INT(B736)*10000000+IF(ISNUMBER(C736),ROUND(MOD(C736,1)*1440,0),0)*1000+ROW(),"")</f>
        <v/>
      </c>
      <c r="S736">
        <f>IF(ISNUMBER(B736),INT(B736)-WEEKDAY(B736,3),"")</f>
        <v/>
      </c>
      <c r="T736">
        <f>IF(ISNUMBER(B736),YEAR(B736)*100+MONTH(B736),"")</f>
        <v/>
      </c>
      <c r="U736">
        <f>IF(AND(ISNUMBER(B736),H736&lt;&gt;"Published"),IF(INT(B736)&gt;=TODAY(),R736,""),"")</f>
        <v/>
      </c>
      <c r="V736">
        <f>IF(AND(ISNUMBER(B736),OR(H736="Draft",H736="Scheduled")),IF(INT(B736)&lt;TODAY(),1,0),0)</f>
        <v/>
      </c>
      <c r="W736">
        <f>IF(AND(H736="Published",N(O736)&gt;0),IF(T736=(YEAR(TODAY())*100+MONTH(TODAY())),ROUND(O736,0)*1000+1000-ROW(),""),"")</f>
        <v/>
      </c>
    </row>
    <row r="737">
      <c r="A737" s="1" t="n"/>
      <c r="B737" s="21" t="n"/>
      <c r="C737" s="22" t="n"/>
      <c r="D737" s="23" t="n"/>
      <c r="E737" s="24" t="n"/>
      <c r="F737" s="23" t="n"/>
      <c r="G737" s="25" t="n"/>
      <c r="H737" s="24" t="n"/>
      <c r="I737" s="23" t="n"/>
      <c r="J737" s="26" t="n"/>
      <c r="K737" s="26" t="n"/>
      <c r="L737" s="26" t="n"/>
      <c r="M737" s="26" t="n"/>
      <c r="N737" s="26" t="n"/>
      <c r="O737" s="27">
        <f>IF(COUNT(K737:N737)=0,"",SUM(K737:N737))</f>
        <v/>
      </c>
      <c r="P737" s="16">
        <f>IF(OR(O737="",N(J737)&lt;=0),"",O737/J737)</f>
        <v/>
      </c>
      <c r="Q737" s="28">
        <f>IF(V737=1,"Late","")</f>
        <v/>
      </c>
      <c r="R737" s="1">
        <f>IF(ISNUMBER(B737),INT(B737)*10000000+IF(ISNUMBER(C737),ROUND(MOD(C737,1)*1440,0),0)*1000+ROW(),"")</f>
        <v/>
      </c>
      <c r="S737">
        <f>IF(ISNUMBER(B737),INT(B737)-WEEKDAY(B737,3),"")</f>
        <v/>
      </c>
      <c r="T737">
        <f>IF(ISNUMBER(B737),YEAR(B737)*100+MONTH(B737),"")</f>
        <v/>
      </c>
      <c r="U737">
        <f>IF(AND(ISNUMBER(B737),H737&lt;&gt;"Published"),IF(INT(B737)&gt;=TODAY(),R737,""),"")</f>
        <v/>
      </c>
      <c r="V737">
        <f>IF(AND(ISNUMBER(B737),OR(H737="Draft",H737="Scheduled")),IF(INT(B737)&lt;TODAY(),1,0),0)</f>
        <v/>
      </c>
      <c r="W737">
        <f>IF(AND(H737="Published",N(O737)&gt;0),IF(T737=(YEAR(TODAY())*100+MONTH(TODAY())),ROUND(O737,0)*1000+1000-ROW(),""),"")</f>
        <v/>
      </c>
    </row>
    <row r="738">
      <c r="A738" s="1" t="n"/>
      <c r="B738" s="21" t="n"/>
      <c r="C738" s="22" t="n"/>
      <c r="D738" s="23" t="n"/>
      <c r="E738" s="24" t="n"/>
      <c r="F738" s="23" t="n"/>
      <c r="G738" s="25" t="n"/>
      <c r="H738" s="24" t="n"/>
      <c r="I738" s="23" t="n"/>
      <c r="J738" s="26" t="n"/>
      <c r="K738" s="26" t="n"/>
      <c r="L738" s="26" t="n"/>
      <c r="M738" s="26" t="n"/>
      <c r="N738" s="26" t="n"/>
      <c r="O738" s="27">
        <f>IF(COUNT(K738:N738)=0,"",SUM(K738:N738))</f>
        <v/>
      </c>
      <c r="P738" s="16">
        <f>IF(OR(O738="",N(J738)&lt;=0),"",O738/J738)</f>
        <v/>
      </c>
      <c r="Q738" s="28">
        <f>IF(V738=1,"Late","")</f>
        <v/>
      </c>
      <c r="R738" s="1">
        <f>IF(ISNUMBER(B738),INT(B738)*10000000+IF(ISNUMBER(C738),ROUND(MOD(C738,1)*1440,0),0)*1000+ROW(),"")</f>
        <v/>
      </c>
      <c r="S738">
        <f>IF(ISNUMBER(B738),INT(B738)-WEEKDAY(B738,3),"")</f>
        <v/>
      </c>
      <c r="T738">
        <f>IF(ISNUMBER(B738),YEAR(B738)*100+MONTH(B738),"")</f>
        <v/>
      </c>
      <c r="U738">
        <f>IF(AND(ISNUMBER(B738),H738&lt;&gt;"Published"),IF(INT(B738)&gt;=TODAY(),R738,""),"")</f>
        <v/>
      </c>
      <c r="V738">
        <f>IF(AND(ISNUMBER(B738),OR(H738="Draft",H738="Scheduled")),IF(INT(B738)&lt;TODAY(),1,0),0)</f>
        <v/>
      </c>
      <c r="W738">
        <f>IF(AND(H738="Published",N(O738)&gt;0),IF(T738=(YEAR(TODAY())*100+MONTH(TODAY())),ROUND(O738,0)*1000+1000-ROW(),""),"")</f>
        <v/>
      </c>
    </row>
    <row r="739">
      <c r="A739" s="1" t="n"/>
      <c r="B739" s="21" t="n"/>
      <c r="C739" s="22" t="n"/>
      <c r="D739" s="23" t="n"/>
      <c r="E739" s="24" t="n"/>
      <c r="F739" s="23" t="n"/>
      <c r="G739" s="25" t="n"/>
      <c r="H739" s="24" t="n"/>
      <c r="I739" s="23" t="n"/>
      <c r="J739" s="26" t="n"/>
      <c r="K739" s="26" t="n"/>
      <c r="L739" s="26" t="n"/>
      <c r="M739" s="26" t="n"/>
      <c r="N739" s="26" t="n"/>
      <c r="O739" s="27">
        <f>IF(COUNT(K739:N739)=0,"",SUM(K739:N739))</f>
        <v/>
      </c>
      <c r="P739" s="16">
        <f>IF(OR(O739="",N(J739)&lt;=0),"",O739/J739)</f>
        <v/>
      </c>
      <c r="Q739" s="28">
        <f>IF(V739=1,"Late","")</f>
        <v/>
      </c>
      <c r="R739" s="1">
        <f>IF(ISNUMBER(B739),INT(B739)*10000000+IF(ISNUMBER(C739),ROUND(MOD(C739,1)*1440,0),0)*1000+ROW(),"")</f>
        <v/>
      </c>
      <c r="S739">
        <f>IF(ISNUMBER(B739),INT(B739)-WEEKDAY(B739,3),"")</f>
        <v/>
      </c>
      <c r="T739">
        <f>IF(ISNUMBER(B739),YEAR(B739)*100+MONTH(B739),"")</f>
        <v/>
      </c>
      <c r="U739">
        <f>IF(AND(ISNUMBER(B739),H739&lt;&gt;"Published"),IF(INT(B739)&gt;=TODAY(),R739,""),"")</f>
        <v/>
      </c>
      <c r="V739">
        <f>IF(AND(ISNUMBER(B739),OR(H739="Draft",H739="Scheduled")),IF(INT(B739)&lt;TODAY(),1,0),0)</f>
        <v/>
      </c>
      <c r="W739">
        <f>IF(AND(H739="Published",N(O739)&gt;0),IF(T739=(YEAR(TODAY())*100+MONTH(TODAY())),ROUND(O739,0)*1000+1000-ROW(),""),"")</f>
        <v/>
      </c>
    </row>
    <row r="740">
      <c r="A740" s="1" t="n"/>
      <c r="B740" s="21" t="n"/>
      <c r="C740" s="22" t="n"/>
      <c r="D740" s="23" t="n"/>
      <c r="E740" s="24" t="n"/>
      <c r="F740" s="23" t="n"/>
      <c r="G740" s="25" t="n"/>
      <c r="H740" s="24" t="n"/>
      <c r="I740" s="23" t="n"/>
      <c r="J740" s="26" t="n"/>
      <c r="K740" s="26" t="n"/>
      <c r="L740" s="26" t="n"/>
      <c r="M740" s="26" t="n"/>
      <c r="N740" s="26" t="n"/>
      <c r="O740" s="27">
        <f>IF(COUNT(K740:N740)=0,"",SUM(K740:N740))</f>
        <v/>
      </c>
      <c r="P740" s="16">
        <f>IF(OR(O740="",N(J740)&lt;=0),"",O740/J740)</f>
        <v/>
      </c>
      <c r="Q740" s="28">
        <f>IF(V740=1,"Late","")</f>
        <v/>
      </c>
      <c r="R740" s="1">
        <f>IF(ISNUMBER(B740),INT(B740)*10000000+IF(ISNUMBER(C740),ROUND(MOD(C740,1)*1440,0),0)*1000+ROW(),"")</f>
        <v/>
      </c>
      <c r="S740">
        <f>IF(ISNUMBER(B740),INT(B740)-WEEKDAY(B740,3),"")</f>
        <v/>
      </c>
      <c r="T740">
        <f>IF(ISNUMBER(B740),YEAR(B740)*100+MONTH(B740),"")</f>
        <v/>
      </c>
      <c r="U740">
        <f>IF(AND(ISNUMBER(B740),H740&lt;&gt;"Published"),IF(INT(B740)&gt;=TODAY(),R740,""),"")</f>
        <v/>
      </c>
      <c r="V740">
        <f>IF(AND(ISNUMBER(B740),OR(H740="Draft",H740="Scheduled")),IF(INT(B740)&lt;TODAY(),1,0),0)</f>
        <v/>
      </c>
      <c r="W740">
        <f>IF(AND(H740="Published",N(O740)&gt;0),IF(T740=(YEAR(TODAY())*100+MONTH(TODAY())),ROUND(O740,0)*1000+1000-ROW(),""),"")</f>
        <v/>
      </c>
    </row>
    <row r="741">
      <c r="A741" s="1" t="n"/>
      <c r="B741" s="21" t="n"/>
      <c r="C741" s="22" t="n"/>
      <c r="D741" s="23" t="n"/>
      <c r="E741" s="24" t="n"/>
      <c r="F741" s="23" t="n"/>
      <c r="G741" s="25" t="n"/>
      <c r="H741" s="24" t="n"/>
      <c r="I741" s="23" t="n"/>
      <c r="J741" s="26" t="n"/>
      <c r="K741" s="26" t="n"/>
      <c r="L741" s="26" t="n"/>
      <c r="M741" s="26" t="n"/>
      <c r="N741" s="26" t="n"/>
      <c r="O741" s="27">
        <f>IF(COUNT(K741:N741)=0,"",SUM(K741:N741))</f>
        <v/>
      </c>
      <c r="P741" s="16">
        <f>IF(OR(O741="",N(J741)&lt;=0),"",O741/J741)</f>
        <v/>
      </c>
      <c r="Q741" s="28">
        <f>IF(V741=1,"Late","")</f>
        <v/>
      </c>
      <c r="R741" s="1">
        <f>IF(ISNUMBER(B741),INT(B741)*10000000+IF(ISNUMBER(C741),ROUND(MOD(C741,1)*1440,0),0)*1000+ROW(),"")</f>
        <v/>
      </c>
      <c r="S741">
        <f>IF(ISNUMBER(B741),INT(B741)-WEEKDAY(B741,3),"")</f>
        <v/>
      </c>
      <c r="T741">
        <f>IF(ISNUMBER(B741),YEAR(B741)*100+MONTH(B741),"")</f>
        <v/>
      </c>
      <c r="U741">
        <f>IF(AND(ISNUMBER(B741),H741&lt;&gt;"Published"),IF(INT(B741)&gt;=TODAY(),R741,""),"")</f>
        <v/>
      </c>
      <c r="V741">
        <f>IF(AND(ISNUMBER(B741),OR(H741="Draft",H741="Scheduled")),IF(INT(B741)&lt;TODAY(),1,0),0)</f>
        <v/>
      </c>
      <c r="W741">
        <f>IF(AND(H741="Published",N(O741)&gt;0),IF(T741=(YEAR(TODAY())*100+MONTH(TODAY())),ROUND(O741,0)*1000+1000-ROW(),""),"")</f>
        <v/>
      </c>
    </row>
    <row r="742">
      <c r="A742" s="1" t="n"/>
      <c r="B742" s="21" t="n"/>
      <c r="C742" s="22" t="n"/>
      <c r="D742" s="23" t="n"/>
      <c r="E742" s="24" t="n"/>
      <c r="F742" s="23" t="n"/>
      <c r="G742" s="25" t="n"/>
      <c r="H742" s="24" t="n"/>
      <c r="I742" s="23" t="n"/>
      <c r="J742" s="26" t="n"/>
      <c r="K742" s="26" t="n"/>
      <c r="L742" s="26" t="n"/>
      <c r="M742" s="26" t="n"/>
      <c r="N742" s="26" t="n"/>
      <c r="O742" s="27">
        <f>IF(COUNT(K742:N742)=0,"",SUM(K742:N742))</f>
        <v/>
      </c>
      <c r="P742" s="16">
        <f>IF(OR(O742="",N(J742)&lt;=0),"",O742/J742)</f>
        <v/>
      </c>
      <c r="Q742" s="28">
        <f>IF(V742=1,"Late","")</f>
        <v/>
      </c>
      <c r="R742" s="1">
        <f>IF(ISNUMBER(B742),INT(B742)*10000000+IF(ISNUMBER(C742),ROUND(MOD(C742,1)*1440,0),0)*1000+ROW(),"")</f>
        <v/>
      </c>
      <c r="S742">
        <f>IF(ISNUMBER(B742),INT(B742)-WEEKDAY(B742,3),"")</f>
        <v/>
      </c>
      <c r="T742">
        <f>IF(ISNUMBER(B742),YEAR(B742)*100+MONTH(B742),"")</f>
        <v/>
      </c>
      <c r="U742">
        <f>IF(AND(ISNUMBER(B742),H742&lt;&gt;"Published"),IF(INT(B742)&gt;=TODAY(),R742,""),"")</f>
        <v/>
      </c>
      <c r="V742">
        <f>IF(AND(ISNUMBER(B742),OR(H742="Draft",H742="Scheduled")),IF(INT(B742)&lt;TODAY(),1,0),0)</f>
        <v/>
      </c>
      <c r="W742">
        <f>IF(AND(H742="Published",N(O742)&gt;0),IF(T742=(YEAR(TODAY())*100+MONTH(TODAY())),ROUND(O742,0)*1000+1000-ROW(),""),"")</f>
        <v/>
      </c>
    </row>
    <row r="743">
      <c r="A743" s="1" t="n"/>
      <c r="B743" s="21" t="n"/>
      <c r="C743" s="22" t="n"/>
      <c r="D743" s="23" t="n"/>
      <c r="E743" s="24" t="n"/>
      <c r="F743" s="23" t="n"/>
      <c r="G743" s="25" t="n"/>
      <c r="H743" s="24" t="n"/>
      <c r="I743" s="23" t="n"/>
      <c r="J743" s="26" t="n"/>
      <c r="K743" s="26" t="n"/>
      <c r="L743" s="26" t="n"/>
      <c r="M743" s="26" t="n"/>
      <c r="N743" s="26" t="n"/>
      <c r="O743" s="27">
        <f>IF(COUNT(K743:N743)=0,"",SUM(K743:N743))</f>
        <v/>
      </c>
      <c r="P743" s="16">
        <f>IF(OR(O743="",N(J743)&lt;=0),"",O743/J743)</f>
        <v/>
      </c>
      <c r="Q743" s="28">
        <f>IF(V743=1,"Late","")</f>
        <v/>
      </c>
      <c r="R743" s="1">
        <f>IF(ISNUMBER(B743),INT(B743)*10000000+IF(ISNUMBER(C743),ROUND(MOD(C743,1)*1440,0),0)*1000+ROW(),"")</f>
        <v/>
      </c>
      <c r="S743">
        <f>IF(ISNUMBER(B743),INT(B743)-WEEKDAY(B743,3),"")</f>
        <v/>
      </c>
      <c r="T743">
        <f>IF(ISNUMBER(B743),YEAR(B743)*100+MONTH(B743),"")</f>
        <v/>
      </c>
      <c r="U743">
        <f>IF(AND(ISNUMBER(B743),H743&lt;&gt;"Published"),IF(INT(B743)&gt;=TODAY(),R743,""),"")</f>
        <v/>
      </c>
      <c r="V743">
        <f>IF(AND(ISNUMBER(B743),OR(H743="Draft",H743="Scheduled")),IF(INT(B743)&lt;TODAY(),1,0),0)</f>
        <v/>
      </c>
      <c r="W743">
        <f>IF(AND(H743="Published",N(O743)&gt;0),IF(T743=(YEAR(TODAY())*100+MONTH(TODAY())),ROUND(O743,0)*1000+1000-ROW(),""),"")</f>
        <v/>
      </c>
    </row>
    <row r="744">
      <c r="A744" s="1" t="n"/>
      <c r="B744" s="21" t="n"/>
      <c r="C744" s="22" t="n"/>
      <c r="D744" s="23" t="n"/>
      <c r="E744" s="24" t="n"/>
      <c r="F744" s="23" t="n"/>
      <c r="G744" s="25" t="n"/>
      <c r="H744" s="24" t="n"/>
      <c r="I744" s="23" t="n"/>
      <c r="J744" s="26" t="n"/>
      <c r="K744" s="26" t="n"/>
      <c r="L744" s="26" t="n"/>
      <c r="M744" s="26" t="n"/>
      <c r="N744" s="26" t="n"/>
      <c r="O744" s="27">
        <f>IF(COUNT(K744:N744)=0,"",SUM(K744:N744))</f>
        <v/>
      </c>
      <c r="P744" s="16">
        <f>IF(OR(O744="",N(J744)&lt;=0),"",O744/J744)</f>
        <v/>
      </c>
      <c r="Q744" s="28">
        <f>IF(V744=1,"Late","")</f>
        <v/>
      </c>
      <c r="R744" s="1">
        <f>IF(ISNUMBER(B744),INT(B744)*10000000+IF(ISNUMBER(C744),ROUND(MOD(C744,1)*1440,0),0)*1000+ROW(),"")</f>
        <v/>
      </c>
      <c r="S744">
        <f>IF(ISNUMBER(B744),INT(B744)-WEEKDAY(B744,3),"")</f>
        <v/>
      </c>
      <c r="T744">
        <f>IF(ISNUMBER(B744),YEAR(B744)*100+MONTH(B744),"")</f>
        <v/>
      </c>
      <c r="U744">
        <f>IF(AND(ISNUMBER(B744),H744&lt;&gt;"Published"),IF(INT(B744)&gt;=TODAY(),R744,""),"")</f>
        <v/>
      </c>
      <c r="V744">
        <f>IF(AND(ISNUMBER(B744),OR(H744="Draft",H744="Scheduled")),IF(INT(B744)&lt;TODAY(),1,0),0)</f>
        <v/>
      </c>
      <c r="W744">
        <f>IF(AND(H744="Published",N(O744)&gt;0),IF(T744=(YEAR(TODAY())*100+MONTH(TODAY())),ROUND(O744,0)*1000+1000-ROW(),""),"")</f>
        <v/>
      </c>
    </row>
    <row r="745">
      <c r="A745" s="1" t="n"/>
      <c r="B745" s="21" t="n"/>
      <c r="C745" s="22" t="n"/>
      <c r="D745" s="23" t="n"/>
      <c r="E745" s="24" t="n"/>
      <c r="F745" s="23" t="n"/>
      <c r="G745" s="25" t="n"/>
      <c r="H745" s="24" t="n"/>
      <c r="I745" s="23" t="n"/>
      <c r="J745" s="26" t="n"/>
      <c r="K745" s="26" t="n"/>
      <c r="L745" s="26" t="n"/>
      <c r="M745" s="26" t="n"/>
      <c r="N745" s="26" t="n"/>
      <c r="O745" s="27">
        <f>IF(COUNT(K745:N745)=0,"",SUM(K745:N745))</f>
        <v/>
      </c>
      <c r="P745" s="16">
        <f>IF(OR(O745="",N(J745)&lt;=0),"",O745/J745)</f>
        <v/>
      </c>
      <c r="Q745" s="28">
        <f>IF(V745=1,"Late","")</f>
        <v/>
      </c>
      <c r="R745" s="1">
        <f>IF(ISNUMBER(B745),INT(B745)*10000000+IF(ISNUMBER(C745),ROUND(MOD(C745,1)*1440,0),0)*1000+ROW(),"")</f>
        <v/>
      </c>
      <c r="S745">
        <f>IF(ISNUMBER(B745),INT(B745)-WEEKDAY(B745,3),"")</f>
        <v/>
      </c>
      <c r="T745">
        <f>IF(ISNUMBER(B745),YEAR(B745)*100+MONTH(B745),"")</f>
        <v/>
      </c>
      <c r="U745">
        <f>IF(AND(ISNUMBER(B745),H745&lt;&gt;"Published"),IF(INT(B745)&gt;=TODAY(),R745,""),"")</f>
        <v/>
      </c>
      <c r="V745">
        <f>IF(AND(ISNUMBER(B745),OR(H745="Draft",H745="Scheduled")),IF(INT(B745)&lt;TODAY(),1,0),0)</f>
        <v/>
      </c>
      <c r="W745">
        <f>IF(AND(H745="Published",N(O745)&gt;0),IF(T745=(YEAR(TODAY())*100+MONTH(TODAY())),ROUND(O745,0)*1000+1000-ROW(),""),"")</f>
        <v/>
      </c>
    </row>
    <row r="746">
      <c r="A746" s="1" t="n"/>
      <c r="B746" s="21" t="n"/>
      <c r="C746" s="22" t="n"/>
      <c r="D746" s="23" t="n"/>
      <c r="E746" s="24" t="n"/>
      <c r="F746" s="23" t="n"/>
      <c r="G746" s="25" t="n"/>
      <c r="H746" s="24" t="n"/>
      <c r="I746" s="23" t="n"/>
      <c r="J746" s="26" t="n"/>
      <c r="K746" s="26" t="n"/>
      <c r="L746" s="26" t="n"/>
      <c r="M746" s="26" t="n"/>
      <c r="N746" s="26" t="n"/>
      <c r="O746" s="27">
        <f>IF(COUNT(K746:N746)=0,"",SUM(K746:N746))</f>
        <v/>
      </c>
      <c r="P746" s="16">
        <f>IF(OR(O746="",N(J746)&lt;=0),"",O746/J746)</f>
        <v/>
      </c>
      <c r="Q746" s="28">
        <f>IF(V746=1,"Late","")</f>
        <v/>
      </c>
      <c r="R746" s="1">
        <f>IF(ISNUMBER(B746),INT(B746)*10000000+IF(ISNUMBER(C746),ROUND(MOD(C746,1)*1440,0),0)*1000+ROW(),"")</f>
        <v/>
      </c>
      <c r="S746">
        <f>IF(ISNUMBER(B746),INT(B746)-WEEKDAY(B746,3),"")</f>
        <v/>
      </c>
      <c r="T746">
        <f>IF(ISNUMBER(B746),YEAR(B746)*100+MONTH(B746),"")</f>
        <v/>
      </c>
      <c r="U746">
        <f>IF(AND(ISNUMBER(B746),H746&lt;&gt;"Published"),IF(INT(B746)&gt;=TODAY(),R746,""),"")</f>
        <v/>
      </c>
      <c r="V746">
        <f>IF(AND(ISNUMBER(B746),OR(H746="Draft",H746="Scheduled")),IF(INT(B746)&lt;TODAY(),1,0),0)</f>
        <v/>
      </c>
      <c r="W746">
        <f>IF(AND(H746="Published",N(O746)&gt;0),IF(T746=(YEAR(TODAY())*100+MONTH(TODAY())),ROUND(O746,0)*1000+1000-ROW(),""),"")</f>
        <v/>
      </c>
    </row>
    <row r="747">
      <c r="A747" s="1" t="n"/>
      <c r="B747" s="21" t="n"/>
      <c r="C747" s="22" t="n"/>
      <c r="D747" s="23" t="n"/>
      <c r="E747" s="24" t="n"/>
      <c r="F747" s="23" t="n"/>
      <c r="G747" s="25" t="n"/>
      <c r="H747" s="24" t="n"/>
      <c r="I747" s="23" t="n"/>
      <c r="J747" s="26" t="n"/>
      <c r="K747" s="26" t="n"/>
      <c r="L747" s="26" t="n"/>
      <c r="M747" s="26" t="n"/>
      <c r="N747" s="26" t="n"/>
      <c r="O747" s="27">
        <f>IF(COUNT(K747:N747)=0,"",SUM(K747:N747))</f>
        <v/>
      </c>
      <c r="P747" s="16">
        <f>IF(OR(O747="",N(J747)&lt;=0),"",O747/J747)</f>
        <v/>
      </c>
      <c r="Q747" s="28">
        <f>IF(V747=1,"Late","")</f>
        <v/>
      </c>
      <c r="R747" s="1">
        <f>IF(ISNUMBER(B747),INT(B747)*10000000+IF(ISNUMBER(C747),ROUND(MOD(C747,1)*1440,0),0)*1000+ROW(),"")</f>
        <v/>
      </c>
      <c r="S747">
        <f>IF(ISNUMBER(B747),INT(B747)-WEEKDAY(B747,3),"")</f>
        <v/>
      </c>
      <c r="T747">
        <f>IF(ISNUMBER(B747),YEAR(B747)*100+MONTH(B747),"")</f>
        <v/>
      </c>
      <c r="U747">
        <f>IF(AND(ISNUMBER(B747),H747&lt;&gt;"Published"),IF(INT(B747)&gt;=TODAY(),R747,""),"")</f>
        <v/>
      </c>
      <c r="V747">
        <f>IF(AND(ISNUMBER(B747),OR(H747="Draft",H747="Scheduled")),IF(INT(B747)&lt;TODAY(),1,0),0)</f>
        <v/>
      </c>
      <c r="W747">
        <f>IF(AND(H747="Published",N(O747)&gt;0),IF(T747=(YEAR(TODAY())*100+MONTH(TODAY())),ROUND(O747,0)*1000+1000-ROW(),""),"")</f>
        <v/>
      </c>
    </row>
    <row r="748">
      <c r="A748" s="1" t="n"/>
      <c r="B748" s="21" t="n"/>
      <c r="C748" s="22" t="n"/>
      <c r="D748" s="23" t="n"/>
      <c r="E748" s="24" t="n"/>
      <c r="F748" s="23" t="n"/>
      <c r="G748" s="25" t="n"/>
      <c r="H748" s="24" t="n"/>
      <c r="I748" s="23" t="n"/>
      <c r="J748" s="26" t="n"/>
      <c r="K748" s="26" t="n"/>
      <c r="L748" s="26" t="n"/>
      <c r="M748" s="26" t="n"/>
      <c r="N748" s="26" t="n"/>
      <c r="O748" s="27">
        <f>IF(COUNT(K748:N748)=0,"",SUM(K748:N748))</f>
        <v/>
      </c>
      <c r="P748" s="16">
        <f>IF(OR(O748="",N(J748)&lt;=0),"",O748/J748)</f>
        <v/>
      </c>
      <c r="Q748" s="28">
        <f>IF(V748=1,"Late","")</f>
        <v/>
      </c>
      <c r="R748" s="1">
        <f>IF(ISNUMBER(B748),INT(B748)*10000000+IF(ISNUMBER(C748),ROUND(MOD(C748,1)*1440,0),0)*1000+ROW(),"")</f>
        <v/>
      </c>
      <c r="S748">
        <f>IF(ISNUMBER(B748),INT(B748)-WEEKDAY(B748,3),"")</f>
        <v/>
      </c>
      <c r="T748">
        <f>IF(ISNUMBER(B748),YEAR(B748)*100+MONTH(B748),"")</f>
        <v/>
      </c>
      <c r="U748">
        <f>IF(AND(ISNUMBER(B748),H748&lt;&gt;"Published"),IF(INT(B748)&gt;=TODAY(),R748,""),"")</f>
        <v/>
      </c>
      <c r="V748">
        <f>IF(AND(ISNUMBER(B748),OR(H748="Draft",H748="Scheduled")),IF(INT(B748)&lt;TODAY(),1,0),0)</f>
        <v/>
      </c>
      <c r="W748">
        <f>IF(AND(H748="Published",N(O748)&gt;0),IF(T748=(YEAR(TODAY())*100+MONTH(TODAY())),ROUND(O748,0)*1000+1000-ROW(),""),"")</f>
        <v/>
      </c>
    </row>
    <row r="749">
      <c r="A749" s="1" t="n"/>
      <c r="B749" s="21" t="n"/>
      <c r="C749" s="22" t="n"/>
      <c r="D749" s="23" t="n"/>
      <c r="E749" s="24" t="n"/>
      <c r="F749" s="23" t="n"/>
      <c r="G749" s="25" t="n"/>
      <c r="H749" s="24" t="n"/>
      <c r="I749" s="23" t="n"/>
      <c r="J749" s="26" t="n"/>
      <c r="K749" s="26" t="n"/>
      <c r="L749" s="26" t="n"/>
      <c r="M749" s="26" t="n"/>
      <c r="N749" s="26" t="n"/>
      <c r="O749" s="27">
        <f>IF(COUNT(K749:N749)=0,"",SUM(K749:N749))</f>
        <v/>
      </c>
      <c r="P749" s="16">
        <f>IF(OR(O749="",N(J749)&lt;=0),"",O749/J749)</f>
        <v/>
      </c>
      <c r="Q749" s="28">
        <f>IF(V749=1,"Late","")</f>
        <v/>
      </c>
      <c r="R749" s="1">
        <f>IF(ISNUMBER(B749),INT(B749)*10000000+IF(ISNUMBER(C749),ROUND(MOD(C749,1)*1440,0),0)*1000+ROW(),"")</f>
        <v/>
      </c>
      <c r="S749">
        <f>IF(ISNUMBER(B749),INT(B749)-WEEKDAY(B749,3),"")</f>
        <v/>
      </c>
      <c r="T749">
        <f>IF(ISNUMBER(B749),YEAR(B749)*100+MONTH(B749),"")</f>
        <v/>
      </c>
      <c r="U749">
        <f>IF(AND(ISNUMBER(B749),H749&lt;&gt;"Published"),IF(INT(B749)&gt;=TODAY(),R749,""),"")</f>
        <v/>
      </c>
      <c r="V749">
        <f>IF(AND(ISNUMBER(B749),OR(H749="Draft",H749="Scheduled")),IF(INT(B749)&lt;TODAY(),1,0),0)</f>
        <v/>
      </c>
      <c r="W749">
        <f>IF(AND(H749="Published",N(O749)&gt;0),IF(T749=(YEAR(TODAY())*100+MONTH(TODAY())),ROUND(O749,0)*1000+1000-ROW(),""),"")</f>
        <v/>
      </c>
    </row>
    <row r="750">
      <c r="A750" s="1" t="n"/>
      <c r="B750" s="21" t="n"/>
      <c r="C750" s="22" t="n"/>
      <c r="D750" s="23" t="n"/>
      <c r="E750" s="24" t="n"/>
      <c r="F750" s="23" t="n"/>
      <c r="G750" s="25" t="n"/>
      <c r="H750" s="24" t="n"/>
      <c r="I750" s="23" t="n"/>
      <c r="J750" s="26" t="n"/>
      <c r="K750" s="26" t="n"/>
      <c r="L750" s="26" t="n"/>
      <c r="M750" s="26" t="n"/>
      <c r="N750" s="26" t="n"/>
      <c r="O750" s="27">
        <f>IF(COUNT(K750:N750)=0,"",SUM(K750:N750))</f>
        <v/>
      </c>
      <c r="P750" s="16">
        <f>IF(OR(O750="",N(J750)&lt;=0),"",O750/J750)</f>
        <v/>
      </c>
      <c r="Q750" s="28">
        <f>IF(V750=1,"Late","")</f>
        <v/>
      </c>
      <c r="R750" s="1">
        <f>IF(ISNUMBER(B750),INT(B750)*10000000+IF(ISNUMBER(C750),ROUND(MOD(C750,1)*1440,0),0)*1000+ROW(),"")</f>
        <v/>
      </c>
      <c r="S750">
        <f>IF(ISNUMBER(B750),INT(B750)-WEEKDAY(B750,3),"")</f>
        <v/>
      </c>
      <c r="T750">
        <f>IF(ISNUMBER(B750),YEAR(B750)*100+MONTH(B750),"")</f>
        <v/>
      </c>
      <c r="U750">
        <f>IF(AND(ISNUMBER(B750),H750&lt;&gt;"Published"),IF(INT(B750)&gt;=TODAY(),R750,""),"")</f>
        <v/>
      </c>
      <c r="V750">
        <f>IF(AND(ISNUMBER(B750),OR(H750="Draft",H750="Scheduled")),IF(INT(B750)&lt;TODAY(),1,0),0)</f>
        <v/>
      </c>
      <c r="W750">
        <f>IF(AND(H750="Published",N(O750)&gt;0),IF(T750=(YEAR(TODAY())*100+MONTH(TODAY())),ROUND(O750,0)*1000+1000-ROW(),""),"")</f>
        <v/>
      </c>
    </row>
    <row r="751">
      <c r="A751" s="1" t="n"/>
      <c r="B751" s="21" t="n"/>
      <c r="C751" s="22" t="n"/>
      <c r="D751" s="23" t="n"/>
      <c r="E751" s="24" t="n"/>
      <c r="F751" s="23" t="n"/>
      <c r="G751" s="25" t="n"/>
      <c r="H751" s="24" t="n"/>
      <c r="I751" s="23" t="n"/>
      <c r="J751" s="26" t="n"/>
      <c r="K751" s="26" t="n"/>
      <c r="L751" s="26" t="n"/>
      <c r="M751" s="26" t="n"/>
      <c r="N751" s="26" t="n"/>
      <c r="O751" s="27">
        <f>IF(COUNT(K751:N751)=0,"",SUM(K751:N751))</f>
        <v/>
      </c>
      <c r="P751" s="16">
        <f>IF(OR(O751="",N(J751)&lt;=0),"",O751/J751)</f>
        <v/>
      </c>
      <c r="Q751" s="28">
        <f>IF(V751=1,"Late","")</f>
        <v/>
      </c>
      <c r="R751" s="1">
        <f>IF(ISNUMBER(B751),INT(B751)*10000000+IF(ISNUMBER(C751),ROUND(MOD(C751,1)*1440,0),0)*1000+ROW(),"")</f>
        <v/>
      </c>
      <c r="S751">
        <f>IF(ISNUMBER(B751),INT(B751)-WEEKDAY(B751,3),"")</f>
        <v/>
      </c>
      <c r="T751">
        <f>IF(ISNUMBER(B751),YEAR(B751)*100+MONTH(B751),"")</f>
        <v/>
      </c>
      <c r="U751">
        <f>IF(AND(ISNUMBER(B751),H751&lt;&gt;"Published"),IF(INT(B751)&gt;=TODAY(),R751,""),"")</f>
        <v/>
      </c>
      <c r="V751">
        <f>IF(AND(ISNUMBER(B751),OR(H751="Draft",H751="Scheduled")),IF(INT(B751)&lt;TODAY(),1,0),0)</f>
        <v/>
      </c>
      <c r="W751">
        <f>IF(AND(H751="Published",N(O751)&gt;0),IF(T751=(YEAR(TODAY())*100+MONTH(TODAY())),ROUND(O751,0)*1000+1000-ROW(),""),"")</f>
        <v/>
      </c>
    </row>
    <row r="752">
      <c r="A752" s="1" t="n"/>
      <c r="B752" s="21" t="n"/>
      <c r="C752" s="22" t="n"/>
      <c r="D752" s="23" t="n"/>
      <c r="E752" s="24" t="n"/>
      <c r="F752" s="23" t="n"/>
      <c r="G752" s="25" t="n"/>
      <c r="H752" s="24" t="n"/>
      <c r="I752" s="23" t="n"/>
      <c r="J752" s="26" t="n"/>
      <c r="K752" s="26" t="n"/>
      <c r="L752" s="26" t="n"/>
      <c r="M752" s="26" t="n"/>
      <c r="N752" s="26" t="n"/>
      <c r="O752" s="27">
        <f>IF(COUNT(K752:N752)=0,"",SUM(K752:N752))</f>
        <v/>
      </c>
      <c r="P752" s="16">
        <f>IF(OR(O752="",N(J752)&lt;=0),"",O752/J752)</f>
        <v/>
      </c>
      <c r="Q752" s="28">
        <f>IF(V752=1,"Late","")</f>
        <v/>
      </c>
      <c r="R752" s="1">
        <f>IF(ISNUMBER(B752),INT(B752)*10000000+IF(ISNUMBER(C752),ROUND(MOD(C752,1)*1440,0),0)*1000+ROW(),"")</f>
        <v/>
      </c>
      <c r="S752">
        <f>IF(ISNUMBER(B752),INT(B752)-WEEKDAY(B752,3),"")</f>
        <v/>
      </c>
      <c r="T752">
        <f>IF(ISNUMBER(B752),YEAR(B752)*100+MONTH(B752),"")</f>
        <v/>
      </c>
      <c r="U752">
        <f>IF(AND(ISNUMBER(B752),H752&lt;&gt;"Published"),IF(INT(B752)&gt;=TODAY(),R752,""),"")</f>
        <v/>
      </c>
      <c r="V752">
        <f>IF(AND(ISNUMBER(B752),OR(H752="Draft",H752="Scheduled")),IF(INT(B752)&lt;TODAY(),1,0),0)</f>
        <v/>
      </c>
      <c r="W752">
        <f>IF(AND(H752="Published",N(O752)&gt;0),IF(T752=(YEAR(TODAY())*100+MONTH(TODAY())),ROUND(O752,0)*1000+1000-ROW(),""),"")</f>
        <v/>
      </c>
    </row>
    <row r="753">
      <c r="A753" s="1" t="n"/>
      <c r="B753" s="21" t="n"/>
      <c r="C753" s="22" t="n"/>
      <c r="D753" s="23" t="n"/>
      <c r="E753" s="24" t="n"/>
      <c r="F753" s="23" t="n"/>
      <c r="G753" s="25" t="n"/>
      <c r="H753" s="24" t="n"/>
      <c r="I753" s="23" t="n"/>
      <c r="J753" s="26" t="n"/>
      <c r="K753" s="26" t="n"/>
      <c r="L753" s="26" t="n"/>
      <c r="M753" s="26" t="n"/>
      <c r="N753" s="26" t="n"/>
      <c r="O753" s="27">
        <f>IF(COUNT(K753:N753)=0,"",SUM(K753:N753))</f>
        <v/>
      </c>
      <c r="P753" s="16">
        <f>IF(OR(O753="",N(J753)&lt;=0),"",O753/J753)</f>
        <v/>
      </c>
      <c r="Q753" s="28">
        <f>IF(V753=1,"Late","")</f>
        <v/>
      </c>
      <c r="R753" s="1">
        <f>IF(ISNUMBER(B753),INT(B753)*10000000+IF(ISNUMBER(C753),ROUND(MOD(C753,1)*1440,0),0)*1000+ROW(),"")</f>
        <v/>
      </c>
      <c r="S753">
        <f>IF(ISNUMBER(B753),INT(B753)-WEEKDAY(B753,3),"")</f>
        <v/>
      </c>
      <c r="T753">
        <f>IF(ISNUMBER(B753),YEAR(B753)*100+MONTH(B753),"")</f>
        <v/>
      </c>
      <c r="U753">
        <f>IF(AND(ISNUMBER(B753),H753&lt;&gt;"Published"),IF(INT(B753)&gt;=TODAY(),R753,""),"")</f>
        <v/>
      </c>
      <c r="V753">
        <f>IF(AND(ISNUMBER(B753),OR(H753="Draft",H753="Scheduled")),IF(INT(B753)&lt;TODAY(),1,0),0)</f>
        <v/>
      </c>
      <c r="W753">
        <f>IF(AND(H753="Published",N(O753)&gt;0),IF(T753=(YEAR(TODAY())*100+MONTH(TODAY())),ROUND(O753,0)*1000+1000-ROW(),""),"")</f>
        <v/>
      </c>
    </row>
    <row r="754">
      <c r="A754" s="1" t="n"/>
      <c r="B754" s="21" t="n"/>
      <c r="C754" s="22" t="n"/>
      <c r="D754" s="23" t="n"/>
      <c r="E754" s="24" t="n"/>
      <c r="F754" s="23" t="n"/>
      <c r="G754" s="25" t="n"/>
      <c r="H754" s="24" t="n"/>
      <c r="I754" s="23" t="n"/>
      <c r="J754" s="26" t="n"/>
      <c r="K754" s="26" t="n"/>
      <c r="L754" s="26" t="n"/>
      <c r="M754" s="26" t="n"/>
      <c r="N754" s="26" t="n"/>
      <c r="O754" s="27">
        <f>IF(COUNT(K754:N754)=0,"",SUM(K754:N754))</f>
        <v/>
      </c>
      <c r="P754" s="16">
        <f>IF(OR(O754="",N(J754)&lt;=0),"",O754/J754)</f>
        <v/>
      </c>
      <c r="Q754" s="28">
        <f>IF(V754=1,"Late","")</f>
        <v/>
      </c>
      <c r="R754" s="1">
        <f>IF(ISNUMBER(B754),INT(B754)*10000000+IF(ISNUMBER(C754),ROUND(MOD(C754,1)*1440,0),0)*1000+ROW(),"")</f>
        <v/>
      </c>
      <c r="S754">
        <f>IF(ISNUMBER(B754),INT(B754)-WEEKDAY(B754,3),"")</f>
        <v/>
      </c>
      <c r="T754">
        <f>IF(ISNUMBER(B754),YEAR(B754)*100+MONTH(B754),"")</f>
        <v/>
      </c>
      <c r="U754">
        <f>IF(AND(ISNUMBER(B754),H754&lt;&gt;"Published"),IF(INT(B754)&gt;=TODAY(),R754,""),"")</f>
        <v/>
      </c>
      <c r="V754">
        <f>IF(AND(ISNUMBER(B754),OR(H754="Draft",H754="Scheduled")),IF(INT(B754)&lt;TODAY(),1,0),0)</f>
        <v/>
      </c>
      <c r="W754">
        <f>IF(AND(H754="Published",N(O754)&gt;0),IF(T754=(YEAR(TODAY())*100+MONTH(TODAY())),ROUND(O754,0)*1000+1000-ROW(),""),"")</f>
        <v/>
      </c>
    </row>
    <row r="755">
      <c r="A755" s="1" t="n"/>
      <c r="B755" s="21" t="n"/>
      <c r="C755" s="22" t="n"/>
      <c r="D755" s="23" t="n"/>
      <c r="E755" s="24" t="n"/>
      <c r="F755" s="23" t="n"/>
      <c r="G755" s="25" t="n"/>
      <c r="H755" s="24" t="n"/>
      <c r="I755" s="23" t="n"/>
      <c r="J755" s="26" t="n"/>
      <c r="K755" s="26" t="n"/>
      <c r="L755" s="26" t="n"/>
      <c r="M755" s="26" t="n"/>
      <c r="N755" s="26" t="n"/>
      <c r="O755" s="27">
        <f>IF(COUNT(K755:N755)=0,"",SUM(K755:N755))</f>
        <v/>
      </c>
      <c r="P755" s="16">
        <f>IF(OR(O755="",N(J755)&lt;=0),"",O755/J755)</f>
        <v/>
      </c>
      <c r="Q755" s="28">
        <f>IF(V755=1,"Late","")</f>
        <v/>
      </c>
      <c r="R755" s="1">
        <f>IF(ISNUMBER(B755),INT(B755)*10000000+IF(ISNUMBER(C755),ROUND(MOD(C755,1)*1440,0),0)*1000+ROW(),"")</f>
        <v/>
      </c>
      <c r="S755">
        <f>IF(ISNUMBER(B755),INT(B755)-WEEKDAY(B755,3),"")</f>
        <v/>
      </c>
      <c r="T755">
        <f>IF(ISNUMBER(B755),YEAR(B755)*100+MONTH(B755),"")</f>
        <v/>
      </c>
      <c r="U755">
        <f>IF(AND(ISNUMBER(B755),H755&lt;&gt;"Published"),IF(INT(B755)&gt;=TODAY(),R755,""),"")</f>
        <v/>
      </c>
      <c r="V755">
        <f>IF(AND(ISNUMBER(B755),OR(H755="Draft",H755="Scheduled")),IF(INT(B755)&lt;TODAY(),1,0),0)</f>
        <v/>
      </c>
      <c r="W755">
        <f>IF(AND(H755="Published",N(O755)&gt;0),IF(T755=(YEAR(TODAY())*100+MONTH(TODAY())),ROUND(O755,0)*1000+1000-ROW(),""),"")</f>
        <v/>
      </c>
    </row>
    <row r="756">
      <c r="A756" s="1" t="n"/>
      <c r="B756" s="21" t="n"/>
      <c r="C756" s="22" t="n"/>
      <c r="D756" s="23" t="n"/>
      <c r="E756" s="24" t="n"/>
      <c r="F756" s="23" t="n"/>
      <c r="G756" s="25" t="n"/>
      <c r="H756" s="24" t="n"/>
      <c r="I756" s="23" t="n"/>
      <c r="J756" s="26" t="n"/>
      <c r="K756" s="26" t="n"/>
      <c r="L756" s="26" t="n"/>
      <c r="M756" s="26" t="n"/>
      <c r="N756" s="26" t="n"/>
      <c r="O756" s="27">
        <f>IF(COUNT(K756:N756)=0,"",SUM(K756:N756))</f>
        <v/>
      </c>
      <c r="P756" s="16">
        <f>IF(OR(O756="",N(J756)&lt;=0),"",O756/J756)</f>
        <v/>
      </c>
      <c r="Q756" s="28">
        <f>IF(V756=1,"Late","")</f>
        <v/>
      </c>
      <c r="R756" s="1">
        <f>IF(ISNUMBER(B756),INT(B756)*10000000+IF(ISNUMBER(C756),ROUND(MOD(C756,1)*1440,0),0)*1000+ROW(),"")</f>
        <v/>
      </c>
      <c r="S756">
        <f>IF(ISNUMBER(B756),INT(B756)-WEEKDAY(B756,3),"")</f>
        <v/>
      </c>
      <c r="T756">
        <f>IF(ISNUMBER(B756),YEAR(B756)*100+MONTH(B756),"")</f>
        <v/>
      </c>
      <c r="U756">
        <f>IF(AND(ISNUMBER(B756),H756&lt;&gt;"Published"),IF(INT(B756)&gt;=TODAY(),R756,""),"")</f>
        <v/>
      </c>
      <c r="V756">
        <f>IF(AND(ISNUMBER(B756),OR(H756="Draft",H756="Scheduled")),IF(INT(B756)&lt;TODAY(),1,0),0)</f>
        <v/>
      </c>
      <c r="W756">
        <f>IF(AND(H756="Published",N(O756)&gt;0),IF(T756=(YEAR(TODAY())*100+MONTH(TODAY())),ROUND(O756,0)*1000+1000-ROW(),""),"")</f>
        <v/>
      </c>
    </row>
    <row r="757">
      <c r="A757" s="1" t="n"/>
      <c r="B757" s="21" t="n"/>
      <c r="C757" s="22" t="n"/>
      <c r="D757" s="23" t="n"/>
      <c r="E757" s="24" t="n"/>
      <c r="F757" s="23" t="n"/>
      <c r="G757" s="25" t="n"/>
      <c r="H757" s="24" t="n"/>
      <c r="I757" s="23" t="n"/>
      <c r="J757" s="26" t="n"/>
      <c r="K757" s="26" t="n"/>
      <c r="L757" s="26" t="n"/>
      <c r="M757" s="26" t="n"/>
      <c r="N757" s="26" t="n"/>
      <c r="O757" s="27">
        <f>IF(COUNT(K757:N757)=0,"",SUM(K757:N757))</f>
        <v/>
      </c>
      <c r="P757" s="16">
        <f>IF(OR(O757="",N(J757)&lt;=0),"",O757/J757)</f>
        <v/>
      </c>
      <c r="Q757" s="28">
        <f>IF(V757=1,"Late","")</f>
        <v/>
      </c>
      <c r="R757" s="1">
        <f>IF(ISNUMBER(B757),INT(B757)*10000000+IF(ISNUMBER(C757),ROUND(MOD(C757,1)*1440,0),0)*1000+ROW(),"")</f>
        <v/>
      </c>
      <c r="S757">
        <f>IF(ISNUMBER(B757),INT(B757)-WEEKDAY(B757,3),"")</f>
        <v/>
      </c>
      <c r="T757">
        <f>IF(ISNUMBER(B757),YEAR(B757)*100+MONTH(B757),"")</f>
        <v/>
      </c>
      <c r="U757">
        <f>IF(AND(ISNUMBER(B757),H757&lt;&gt;"Published"),IF(INT(B757)&gt;=TODAY(),R757,""),"")</f>
        <v/>
      </c>
      <c r="V757">
        <f>IF(AND(ISNUMBER(B757),OR(H757="Draft",H757="Scheduled")),IF(INT(B757)&lt;TODAY(),1,0),0)</f>
        <v/>
      </c>
      <c r="W757">
        <f>IF(AND(H757="Published",N(O757)&gt;0),IF(T757=(YEAR(TODAY())*100+MONTH(TODAY())),ROUND(O757,0)*1000+1000-ROW(),""),"")</f>
        <v/>
      </c>
    </row>
    <row r="758">
      <c r="A758" s="1" t="n"/>
      <c r="B758" s="21" t="n"/>
      <c r="C758" s="22" t="n"/>
      <c r="D758" s="23" t="n"/>
      <c r="E758" s="24" t="n"/>
      <c r="F758" s="23" t="n"/>
      <c r="G758" s="25" t="n"/>
      <c r="H758" s="24" t="n"/>
      <c r="I758" s="23" t="n"/>
      <c r="J758" s="26" t="n"/>
      <c r="K758" s="26" t="n"/>
      <c r="L758" s="26" t="n"/>
      <c r="M758" s="26" t="n"/>
      <c r="N758" s="26" t="n"/>
      <c r="O758" s="27">
        <f>IF(COUNT(K758:N758)=0,"",SUM(K758:N758))</f>
        <v/>
      </c>
      <c r="P758" s="16">
        <f>IF(OR(O758="",N(J758)&lt;=0),"",O758/J758)</f>
        <v/>
      </c>
      <c r="Q758" s="28">
        <f>IF(V758=1,"Late","")</f>
        <v/>
      </c>
      <c r="R758" s="1">
        <f>IF(ISNUMBER(B758),INT(B758)*10000000+IF(ISNUMBER(C758),ROUND(MOD(C758,1)*1440,0),0)*1000+ROW(),"")</f>
        <v/>
      </c>
      <c r="S758">
        <f>IF(ISNUMBER(B758),INT(B758)-WEEKDAY(B758,3),"")</f>
        <v/>
      </c>
      <c r="T758">
        <f>IF(ISNUMBER(B758),YEAR(B758)*100+MONTH(B758),"")</f>
        <v/>
      </c>
      <c r="U758">
        <f>IF(AND(ISNUMBER(B758),H758&lt;&gt;"Published"),IF(INT(B758)&gt;=TODAY(),R758,""),"")</f>
        <v/>
      </c>
      <c r="V758">
        <f>IF(AND(ISNUMBER(B758),OR(H758="Draft",H758="Scheduled")),IF(INT(B758)&lt;TODAY(),1,0),0)</f>
        <v/>
      </c>
      <c r="W758">
        <f>IF(AND(H758="Published",N(O758)&gt;0),IF(T758=(YEAR(TODAY())*100+MONTH(TODAY())),ROUND(O758,0)*1000+1000-ROW(),""),"")</f>
        <v/>
      </c>
    </row>
    <row r="759">
      <c r="A759" s="1" t="n"/>
      <c r="B759" s="21" t="n"/>
      <c r="C759" s="22" t="n"/>
      <c r="D759" s="23" t="n"/>
      <c r="E759" s="24" t="n"/>
      <c r="F759" s="23" t="n"/>
      <c r="G759" s="25" t="n"/>
      <c r="H759" s="24" t="n"/>
      <c r="I759" s="23" t="n"/>
      <c r="J759" s="26" t="n"/>
      <c r="K759" s="26" t="n"/>
      <c r="L759" s="26" t="n"/>
      <c r="M759" s="26" t="n"/>
      <c r="N759" s="26" t="n"/>
      <c r="O759" s="27">
        <f>IF(COUNT(K759:N759)=0,"",SUM(K759:N759))</f>
        <v/>
      </c>
      <c r="P759" s="16">
        <f>IF(OR(O759="",N(J759)&lt;=0),"",O759/J759)</f>
        <v/>
      </c>
      <c r="Q759" s="28">
        <f>IF(V759=1,"Late","")</f>
        <v/>
      </c>
      <c r="R759" s="1">
        <f>IF(ISNUMBER(B759),INT(B759)*10000000+IF(ISNUMBER(C759),ROUND(MOD(C759,1)*1440,0),0)*1000+ROW(),"")</f>
        <v/>
      </c>
      <c r="S759">
        <f>IF(ISNUMBER(B759),INT(B759)-WEEKDAY(B759,3),"")</f>
        <v/>
      </c>
      <c r="T759">
        <f>IF(ISNUMBER(B759),YEAR(B759)*100+MONTH(B759),"")</f>
        <v/>
      </c>
      <c r="U759">
        <f>IF(AND(ISNUMBER(B759),H759&lt;&gt;"Published"),IF(INT(B759)&gt;=TODAY(),R759,""),"")</f>
        <v/>
      </c>
      <c r="V759">
        <f>IF(AND(ISNUMBER(B759),OR(H759="Draft",H759="Scheduled")),IF(INT(B759)&lt;TODAY(),1,0),0)</f>
        <v/>
      </c>
      <c r="W759">
        <f>IF(AND(H759="Published",N(O759)&gt;0),IF(T759=(YEAR(TODAY())*100+MONTH(TODAY())),ROUND(O759,0)*1000+1000-ROW(),""),"")</f>
        <v/>
      </c>
    </row>
    <row r="760">
      <c r="A760" s="1" t="n"/>
      <c r="B760" s="21" t="n"/>
      <c r="C760" s="22" t="n"/>
      <c r="D760" s="23" t="n"/>
      <c r="E760" s="24" t="n"/>
      <c r="F760" s="23" t="n"/>
      <c r="G760" s="25" t="n"/>
      <c r="H760" s="24" t="n"/>
      <c r="I760" s="23" t="n"/>
      <c r="J760" s="26" t="n"/>
      <c r="K760" s="26" t="n"/>
      <c r="L760" s="26" t="n"/>
      <c r="M760" s="26" t="n"/>
      <c r="N760" s="26" t="n"/>
      <c r="O760" s="27">
        <f>IF(COUNT(K760:N760)=0,"",SUM(K760:N760))</f>
        <v/>
      </c>
      <c r="P760" s="16">
        <f>IF(OR(O760="",N(J760)&lt;=0),"",O760/J760)</f>
        <v/>
      </c>
      <c r="Q760" s="28">
        <f>IF(V760=1,"Late","")</f>
        <v/>
      </c>
      <c r="R760" s="1">
        <f>IF(ISNUMBER(B760),INT(B760)*10000000+IF(ISNUMBER(C760),ROUND(MOD(C760,1)*1440,0),0)*1000+ROW(),"")</f>
        <v/>
      </c>
      <c r="S760">
        <f>IF(ISNUMBER(B760),INT(B760)-WEEKDAY(B760,3),"")</f>
        <v/>
      </c>
      <c r="T760">
        <f>IF(ISNUMBER(B760),YEAR(B760)*100+MONTH(B760),"")</f>
        <v/>
      </c>
      <c r="U760">
        <f>IF(AND(ISNUMBER(B760),H760&lt;&gt;"Published"),IF(INT(B760)&gt;=TODAY(),R760,""),"")</f>
        <v/>
      </c>
      <c r="V760">
        <f>IF(AND(ISNUMBER(B760),OR(H760="Draft",H760="Scheduled")),IF(INT(B760)&lt;TODAY(),1,0),0)</f>
        <v/>
      </c>
      <c r="W760">
        <f>IF(AND(H760="Published",N(O760)&gt;0),IF(T760=(YEAR(TODAY())*100+MONTH(TODAY())),ROUND(O760,0)*1000+1000-ROW(),""),"")</f>
        <v/>
      </c>
    </row>
    <row r="761">
      <c r="A761" s="1" t="n"/>
      <c r="B761" s="21" t="n"/>
      <c r="C761" s="22" t="n"/>
      <c r="D761" s="23" t="n"/>
      <c r="E761" s="24" t="n"/>
      <c r="F761" s="23" t="n"/>
      <c r="G761" s="25" t="n"/>
      <c r="H761" s="24" t="n"/>
      <c r="I761" s="23" t="n"/>
      <c r="J761" s="26" t="n"/>
      <c r="K761" s="26" t="n"/>
      <c r="L761" s="26" t="n"/>
      <c r="M761" s="26" t="n"/>
      <c r="N761" s="26" t="n"/>
      <c r="O761" s="27">
        <f>IF(COUNT(K761:N761)=0,"",SUM(K761:N761))</f>
        <v/>
      </c>
      <c r="P761" s="16">
        <f>IF(OR(O761="",N(J761)&lt;=0),"",O761/J761)</f>
        <v/>
      </c>
      <c r="Q761" s="28">
        <f>IF(V761=1,"Late","")</f>
        <v/>
      </c>
      <c r="R761" s="1">
        <f>IF(ISNUMBER(B761),INT(B761)*10000000+IF(ISNUMBER(C761),ROUND(MOD(C761,1)*1440,0),0)*1000+ROW(),"")</f>
        <v/>
      </c>
      <c r="S761">
        <f>IF(ISNUMBER(B761),INT(B761)-WEEKDAY(B761,3),"")</f>
        <v/>
      </c>
      <c r="T761">
        <f>IF(ISNUMBER(B761),YEAR(B761)*100+MONTH(B761),"")</f>
        <v/>
      </c>
      <c r="U761">
        <f>IF(AND(ISNUMBER(B761),H761&lt;&gt;"Published"),IF(INT(B761)&gt;=TODAY(),R761,""),"")</f>
        <v/>
      </c>
      <c r="V761">
        <f>IF(AND(ISNUMBER(B761),OR(H761="Draft",H761="Scheduled")),IF(INT(B761)&lt;TODAY(),1,0),0)</f>
        <v/>
      </c>
      <c r="W761">
        <f>IF(AND(H761="Published",N(O761)&gt;0),IF(T761=(YEAR(TODAY())*100+MONTH(TODAY())),ROUND(O761,0)*1000+1000-ROW(),""),"")</f>
        <v/>
      </c>
    </row>
    <row r="762">
      <c r="A762" s="1" t="n"/>
      <c r="B762" s="21" t="n"/>
      <c r="C762" s="22" t="n"/>
      <c r="D762" s="23" t="n"/>
      <c r="E762" s="24" t="n"/>
      <c r="F762" s="23" t="n"/>
      <c r="G762" s="25" t="n"/>
      <c r="H762" s="24" t="n"/>
      <c r="I762" s="23" t="n"/>
      <c r="J762" s="26" t="n"/>
      <c r="K762" s="26" t="n"/>
      <c r="L762" s="26" t="n"/>
      <c r="M762" s="26" t="n"/>
      <c r="N762" s="26" t="n"/>
      <c r="O762" s="27">
        <f>IF(COUNT(K762:N762)=0,"",SUM(K762:N762))</f>
        <v/>
      </c>
      <c r="P762" s="16">
        <f>IF(OR(O762="",N(J762)&lt;=0),"",O762/J762)</f>
        <v/>
      </c>
      <c r="Q762" s="28">
        <f>IF(V762=1,"Late","")</f>
        <v/>
      </c>
      <c r="R762" s="1">
        <f>IF(ISNUMBER(B762),INT(B762)*10000000+IF(ISNUMBER(C762),ROUND(MOD(C762,1)*1440,0),0)*1000+ROW(),"")</f>
        <v/>
      </c>
      <c r="S762">
        <f>IF(ISNUMBER(B762),INT(B762)-WEEKDAY(B762,3),"")</f>
        <v/>
      </c>
      <c r="T762">
        <f>IF(ISNUMBER(B762),YEAR(B762)*100+MONTH(B762),"")</f>
        <v/>
      </c>
      <c r="U762">
        <f>IF(AND(ISNUMBER(B762),H762&lt;&gt;"Published"),IF(INT(B762)&gt;=TODAY(),R762,""),"")</f>
        <v/>
      </c>
      <c r="V762">
        <f>IF(AND(ISNUMBER(B762),OR(H762="Draft",H762="Scheduled")),IF(INT(B762)&lt;TODAY(),1,0),0)</f>
        <v/>
      </c>
      <c r="W762">
        <f>IF(AND(H762="Published",N(O762)&gt;0),IF(T762=(YEAR(TODAY())*100+MONTH(TODAY())),ROUND(O762,0)*1000+1000-ROW(),""),"")</f>
        <v/>
      </c>
    </row>
    <row r="763">
      <c r="A763" s="1" t="n"/>
      <c r="B763" s="21" t="n"/>
      <c r="C763" s="22" t="n"/>
      <c r="D763" s="23" t="n"/>
      <c r="E763" s="24" t="n"/>
      <c r="F763" s="23" t="n"/>
      <c r="G763" s="25" t="n"/>
      <c r="H763" s="24" t="n"/>
      <c r="I763" s="23" t="n"/>
      <c r="J763" s="26" t="n"/>
      <c r="K763" s="26" t="n"/>
      <c r="L763" s="26" t="n"/>
      <c r="M763" s="26" t="n"/>
      <c r="N763" s="26" t="n"/>
      <c r="O763" s="27">
        <f>IF(COUNT(K763:N763)=0,"",SUM(K763:N763))</f>
        <v/>
      </c>
      <c r="P763" s="16">
        <f>IF(OR(O763="",N(J763)&lt;=0),"",O763/J763)</f>
        <v/>
      </c>
      <c r="Q763" s="28">
        <f>IF(V763=1,"Late","")</f>
        <v/>
      </c>
      <c r="R763" s="1">
        <f>IF(ISNUMBER(B763),INT(B763)*10000000+IF(ISNUMBER(C763),ROUND(MOD(C763,1)*1440,0),0)*1000+ROW(),"")</f>
        <v/>
      </c>
      <c r="S763">
        <f>IF(ISNUMBER(B763),INT(B763)-WEEKDAY(B763,3),"")</f>
        <v/>
      </c>
      <c r="T763">
        <f>IF(ISNUMBER(B763),YEAR(B763)*100+MONTH(B763),"")</f>
        <v/>
      </c>
      <c r="U763">
        <f>IF(AND(ISNUMBER(B763),H763&lt;&gt;"Published"),IF(INT(B763)&gt;=TODAY(),R763,""),"")</f>
        <v/>
      </c>
      <c r="V763">
        <f>IF(AND(ISNUMBER(B763),OR(H763="Draft",H763="Scheduled")),IF(INT(B763)&lt;TODAY(),1,0),0)</f>
        <v/>
      </c>
      <c r="W763">
        <f>IF(AND(H763="Published",N(O763)&gt;0),IF(T763=(YEAR(TODAY())*100+MONTH(TODAY())),ROUND(O763,0)*1000+1000-ROW(),""),"")</f>
        <v/>
      </c>
    </row>
    <row r="764">
      <c r="A764" s="1" t="n"/>
      <c r="B764" s="21" t="n"/>
      <c r="C764" s="22" t="n"/>
      <c r="D764" s="23" t="n"/>
      <c r="E764" s="24" t="n"/>
      <c r="F764" s="23" t="n"/>
      <c r="G764" s="25" t="n"/>
      <c r="H764" s="24" t="n"/>
      <c r="I764" s="23" t="n"/>
      <c r="J764" s="26" t="n"/>
      <c r="K764" s="26" t="n"/>
      <c r="L764" s="26" t="n"/>
      <c r="M764" s="26" t="n"/>
      <c r="N764" s="26" t="n"/>
      <c r="O764" s="27">
        <f>IF(COUNT(K764:N764)=0,"",SUM(K764:N764))</f>
        <v/>
      </c>
      <c r="P764" s="16">
        <f>IF(OR(O764="",N(J764)&lt;=0),"",O764/J764)</f>
        <v/>
      </c>
      <c r="Q764" s="28">
        <f>IF(V764=1,"Late","")</f>
        <v/>
      </c>
      <c r="R764" s="1">
        <f>IF(ISNUMBER(B764),INT(B764)*10000000+IF(ISNUMBER(C764),ROUND(MOD(C764,1)*1440,0),0)*1000+ROW(),"")</f>
        <v/>
      </c>
      <c r="S764">
        <f>IF(ISNUMBER(B764),INT(B764)-WEEKDAY(B764,3),"")</f>
        <v/>
      </c>
      <c r="T764">
        <f>IF(ISNUMBER(B764),YEAR(B764)*100+MONTH(B764),"")</f>
        <v/>
      </c>
      <c r="U764">
        <f>IF(AND(ISNUMBER(B764),H764&lt;&gt;"Published"),IF(INT(B764)&gt;=TODAY(),R764,""),"")</f>
        <v/>
      </c>
      <c r="V764">
        <f>IF(AND(ISNUMBER(B764),OR(H764="Draft",H764="Scheduled")),IF(INT(B764)&lt;TODAY(),1,0),0)</f>
        <v/>
      </c>
      <c r="W764">
        <f>IF(AND(H764="Published",N(O764)&gt;0),IF(T764=(YEAR(TODAY())*100+MONTH(TODAY())),ROUND(O764,0)*1000+1000-ROW(),""),"")</f>
        <v/>
      </c>
    </row>
    <row r="765">
      <c r="A765" s="1" t="n"/>
      <c r="B765" s="21" t="n"/>
      <c r="C765" s="22" t="n"/>
      <c r="D765" s="23" t="n"/>
      <c r="E765" s="24" t="n"/>
      <c r="F765" s="23" t="n"/>
      <c r="G765" s="25" t="n"/>
      <c r="H765" s="24" t="n"/>
      <c r="I765" s="23" t="n"/>
      <c r="J765" s="26" t="n"/>
      <c r="K765" s="26" t="n"/>
      <c r="L765" s="26" t="n"/>
      <c r="M765" s="26" t="n"/>
      <c r="N765" s="26" t="n"/>
      <c r="O765" s="27">
        <f>IF(COUNT(K765:N765)=0,"",SUM(K765:N765))</f>
        <v/>
      </c>
      <c r="P765" s="16">
        <f>IF(OR(O765="",N(J765)&lt;=0),"",O765/J765)</f>
        <v/>
      </c>
      <c r="Q765" s="28">
        <f>IF(V765=1,"Late","")</f>
        <v/>
      </c>
      <c r="R765" s="1">
        <f>IF(ISNUMBER(B765),INT(B765)*10000000+IF(ISNUMBER(C765),ROUND(MOD(C765,1)*1440,0),0)*1000+ROW(),"")</f>
        <v/>
      </c>
      <c r="S765">
        <f>IF(ISNUMBER(B765),INT(B765)-WEEKDAY(B765,3),"")</f>
        <v/>
      </c>
      <c r="T765">
        <f>IF(ISNUMBER(B765),YEAR(B765)*100+MONTH(B765),"")</f>
        <v/>
      </c>
      <c r="U765">
        <f>IF(AND(ISNUMBER(B765),H765&lt;&gt;"Published"),IF(INT(B765)&gt;=TODAY(),R765,""),"")</f>
        <v/>
      </c>
      <c r="V765">
        <f>IF(AND(ISNUMBER(B765),OR(H765="Draft",H765="Scheduled")),IF(INT(B765)&lt;TODAY(),1,0),0)</f>
        <v/>
      </c>
      <c r="W765">
        <f>IF(AND(H765="Published",N(O765)&gt;0),IF(T765=(YEAR(TODAY())*100+MONTH(TODAY())),ROUND(O765,0)*1000+1000-ROW(),""),"")</f>
        <v/>
      </c>
    </row>
    <row r="766">
      <c r="A766" s="1" t="n"/>
      <c r="B766" s="21" t="n"/>
      <c r="C766" s="22" t="n"/>
      <c r="D766" s="23" t="n"/>
      <c r="E766" s="24" t="n"/>
      <c r="F766" s="23" t="n"/>
      <c r="G766" s="25" t="n"/>
      <c r="H766" s="24" t="n"/>
      <c r="I766" s="23" t="n"/>
      <c r="J766" s="26" t="n"/>
      <c r="K766" s="26" t="n"/>
      <c r="L766" s="26" t="n"/>
      <c r="M766" s="26" t="n"/>
      <c r="N766" s="26" t="n"/>
      <c r="O766" s="27">
        <f>IF(COUNT(K766:N766)=0,"",SUM(K766:N766))</f>
        <v/>
      </c>
      <c r="P766" s="16">
        <f>IF(OR(O766="",N(J766)&lt;=0),"",O766/J766)</f>
        <v/>
      </c>
      <c r="Q766" s="28">
        <f>IF(V766=1,"Late","")</f>
        <v/>
      </c>
      <c r="R766" s="1">
        <f>IF(ISNUMBER(B766),INT(B766)*10000000+IF(ISNUMBER(C766),ROUND(MOD(C766,1)*1440,0),0)*1000+ROW(),"")</f>
        <v/>
      </c>
      <c r="S766">
        <f>IF(ISNUMBER(B766),INT(B766)-WEEKDAY(B766,3),"")</f>
        <v/>
      </c>
      <c r="T766">
        <f>IF(ISNUMBER(B766),YEAR(B766)*100+MONTH(B766),"")</f>
        <v/>
      </c>
      <c r="U766">
        <f>IF(AND(ISNUMBER(B766),H766&lt;&gt;"Published"),IF(INT(B766)&gt;=TODAY(),R766,""),"")</f>
        <v/>
      </c>
      <c r="V766">
        <f>IF(AND(ISNUMBER(B766),OR(H766="Draft",H766="Scheduled")),IF(INT(B766)&lt;TODAY(),1,0),0)</f>
        <v/>
      </c>
      <c r="W766">
        <f>IF(AND(H766="Published",N(O766)&gt;0),IF(T766=(YEAR(TODAY())*100+MONTH(TODAY())),ROUND(O766,0)*1000+1000-ROW(),""),"")</f>
        <v/>
      </c>
    </row>
    <row r="767">
      <c r="A767" s="1" t="n"/>
      <c r="B767" s="21" t="n"/>
      <c r="C767" s="22" t="n"/>
      <c r="D767" s="23" t="n"/>
      <c r="E767" s="24" t="n"/>
      <c r="F767" s="23" t="n"/>
      <c r="G767" s="25" t="n"/>
      <c r="H767" s="24" t="n"/>
      <c r="I767" s="23" t="n"/>
      <c r="J767" s="26" t="n"/>
      <c r="K767" s="26" t="n"/>
      <c r="L767" s="26" t="n"/>
      <c r="M767" s="26" t="n"/>
      <c r="N767" s="26" t="n"/>
      <c r="O767" s="27">
        <f>IF(COUNT(K767:N767)=0,"",SUM(K767:N767))</f>
        <v/>
      </c>
      <c r="P767" s="16">
        <f>IF(OR(O767="",N(J767)&lt;=0),"",O767/J767)</f>
        <v/>
      </c>
      <c r="Q767" s="28">
        <f>IF(V767=1,"Late","")</f>
        <v/>
      </c>
      <c r="R767" s="1">
        <f>IF(ISNUMBER(B767),INT(B767)*10000000+IF(ISNUMBER(C767),ROUND(MOD(C767,1)*1440,0),0)*1000+ROW(),"")</f>
        <v/>
      </c>
      <c r="S767">
        <f>IF(ISNUMBER(B767),INT(B767)-WEEKDAY(B767,3),"")</f>
        <v/>
      </c>
      <c r="T767">
        <f>IF(ISNUMBER(B767),YEAR(B767)*100+MONTH(B767),"")</f>
        <v/>
      </c>
      <c r="U767">
        <f>IF(AND(ISNUMBER(B767),H767&lt;&gt;"Published"),IF(INT(B767)&gt;=TODAY(),R767,""),"")</f>
        <v/>
      </c>
      <c r="V767">
        <f>IF(AND(ISNUMBER(B767),OR(H767="Draft",H767="Scheduled")),IF(INT(B767)&lt;TODAY(),1,0),0)</f>
        <v/>
      </c>
      <c r="W767">
        <f>IF(AND(H767="Published",N(O767)&gt;0),IF(T767=(YEAR(TODAY())*100+MONTH(TODAY())),ROUND(O767,0)*1000+1000-ROW(),""),"")</f>
        <v/>
      </c>
    </row>
    <row r="768">
      <c r="A768" s="1" t="n"/>
      <c r="B768" s="21" t="n"/>
      <c r="C768" s="22" t="n"/>
      <c r="D768" s="23" t="n"/>
      <c r="E768" s="24" t="n"/>
      <c r="F768" s="23" t="n"/>
      <c r="G768" s="25" t="n"/>
      <c r="H768" s="24" t="n"/>
      <c r="I768" s="23" t="n"/>
      <c r="J768" s="26" t="n"/>
      <c r="K768" s="26" t="n"/>
      <c r="L768" s="26" t="n"/>
      <c r="M768" s="26" t="n"/>
      <c r="N768" s="26" t="n"/>
      <c r="O768" s="27">
        <f>IF(COUNT(K768:N768)=0,"",SUM(K768:N768))</f>
        <v/>
      </c>
      <c r="P768" s="16">
        <f>IF(OR(O768="",N(J768)&lt;=0),"",O768/J768)</f>
        <v/>
      </c>
      <c r="Q768" s="28">
        <f>IF(V768=1,"Late","")</f>
        <v/>
      </c>
      <c r="R768" s="1">
        <f>IF(ISNUMBER(B768),INT(B768)*10000000+IF(ISNUMBER(C768),ROUND(MOD(C768,1)*1440,0),0)*1000+ROW(),"")</f>
        <v/>
      </c>
      <c r="S768">
        <f>IF(ISNUMBER(B768),INT(B768)-WEEKDAY(B768,3),"")</f>
        <v/>
      </c>
      <c r="T768">
        <f>IF(ISNUMBER(B768),YEAR(B768)*100+MONTH(B768),"")</f>
        <v/>
      </c>
      <c r="U768">
        <f>IF(AND(ISNUMBER(B768),H768&lt;&gt;"Published"),IF(INT(B768)&gt;=TODAY(),R768,""),"")</f>
        <v/>
      </c>
      <c r="V768">
        <f>IF(AND(ISNUMBER(B768),OR(H768="Draft",H768="Scheduled")),IF(INT(B768)&lt;TODAY(),1,0),0)</f>
        <v/>
      </c>
      <c r="W768">
        <f>IF(AND(H768="Published",N(O768)&gt;0),IF(T768=(YEAR(TODAY())*100+MONTH(TODAY())),ROUND(O768,0)*1000+1000-ROW(),""),"")</f>
        <v/>
      </c>
    </row>
    <row r="769">
      <c r="A769" s="1" t="n"/>
      <c r="B769" s="21" t="n"/>
      <c r="C769" s="22" t="n"/>
      <c r="D769" s="23" t="n"/>
      <c r="E769" s="24" t="n"/>
      <c r="F769" s="23" t="n"/>
      <c r="G769" s="25" t="n"/>
      <c r="H769" s="24" t="n"/>
      <c r="I769" s="23" t="n"/>
      <c r="J769" s="26" t="n"/>
      <c r="K769" s="26" t="n"/>
      <c r="L769" s="26" t="n"/>
      <c r="M769" s="26" t="n"/>
      <c r="N769" s="26" t="n"/>
      <c r="O769" s="27">
        <f>IF(COUNT(K769:N769)=0,"",SUM(K769:N769))</f>
        <v/>
      </c>
      <c r="P769" s="16">
        <f>IF(OR(O769="",N(J769)&lt;=0),"",O769/J769)</f>
        <v/>
      </c>
      <c r="Q769" s="28">
        <f>IF(V769=1,"Late","")</f>
        <v/>
      </c>
      <c r="R769" s="1">
        <f>IF(ISNUMBER(B769),INT(B769)*10000000+IF(ISNUMBER(C769),ROUND(MOD(C769,1)*1440,0),0)*1000+ROW(),"")</f>
        <v/>
      </c>
      <c r="S769">
        <f>IF(ISNUMBER(B769),INT(B769)-WEEKDAY(B769,3),"")</f>
        <v/>
      </c>
      <c r="T769">
        <f>IF(ISNUMBER(B769),YEAR(B769)*100+MONTH(B769),"")</f>
        <v/>
      </c>
      <c r="U769">
        <f>IF(AND(ISNUMBER(B769),H769&lt;&gt;"Published"),IF(INT(B769)&gt;=TODAY(),R769,""),"")</f>
        <v/>
      </c>
      <c r="V769">
        <f>IF(AND(ISNUMBER(B769),OR(H769="Draft",H769="Scheduled")),IF(INT(B769)&lt;TODAY(),1,0),0)</f>
        <v/>
      </c>
      <c r="W769">
        <f>IF(AND(H769="Published",N(O769)&gt;0),IF(T769=(YEAR(TODAY())*100+MONTH(TODAY())),ROUND(O769,0)*1000+1000-ROW(),""),"")</f>
        <v/>
      </c>
    </row>
    <row r="770">
      <c r="A770" s="1" t="n"/>
      <c r="B770" s="21" t="n"/>
      <c r="C770" s="22" t="n"/>
      <c r="D770" s="23" t="n"/>
      <c r="E770" s="24" t="n"/>
      <c r="F770" s="23" t="n"/>
      <c r="G770" s="25" t="n"/>
      <c r="H770" s="24" t="n"/>
      <c r="I770" s="23" t="n"/>
      <c r="J770" s="26" t="n"/>
      <c r="K770" s="26" t="n"/>
      <c r="L770" s="26" t="n"/>
      <c r="M770" s="26" t="n"/>
      <c r="N770" s="26" t="n"/>
      <c r="O770" s="27">
        <f>IF(COUNT(K770:N770)=0,"",SUM(K770:N770))</f>
        <v/>
      </c>
      <c r="P770" s="16">
        <f>IF(OR(O770="",N(J770)&lt;=0),"",O770/J770)</f>
        <v/>
      </c>
      <c r="Q770" s="28">
        <f>IF(V770=1,"Late","")</f>
        <v/>
      </c>
      <c r="R770" s="1">
        <f>IF(ISNUMBER(B770),INT(B770)*10000000+IF(ISNUMBER(C770),ROUND(MOD(C770,1)*1440,0),0)*1000+ROW(),"")</f>
        <v/>
      </c>
      <c r="S770">
        <f>IF(ISNUMBER(B770),INT(B770)-WEEKDAY(B770,3),"")</f>
        <v/>
      </c>
      <c r="T770">
        <f>IF(ISNUMBER(B770),YEAR(B770)*100+MONTH(B770),"")</f>
        <v/>
      </c>
      <c r="U770">
        <f>IF(AND(ISNUMBER(B770),H770&lt;&gt;"Published"),IF(INT(B770)&gt;=TODAY(),R770,""),"")</f>
        <v/>
      </c>
      <c r="V770">
        <f>IF(AND(ISNUMBER(B770),OR(H770="Draft",H770="Scheduled")),IF(INT(B770)&lt;TODAY(),1,0),0)</f>
        <v/>
      </c>
      <c r="W770">
        <f>IF(AND(H770="Published",N(O770)&gt;0),IF(T770=(YEAR(TODAY())*100+MONTH(TODAY())),ROUND(O770,0)*1000+1000-ROW(),""),"")</f>
        <v/>
      </c>
    </row>
    <row r="771">
      <c r="A771" s="1" t="n"/>
      <c r="B771" s="21" t="n"/>
      <c r="C771" s="22" t="n"/>
      <c r="D771" s="23" t="n"/>
      <c r="E771" s="24" t="n"/>
      <c r="F771" s="23" t="n"/>
      <c r="G771" s="25" t="n"/>
      <c r="H771" s="24" t="n"/>
      <c r="I771" s="23" t="n"/>
      <c r="J771" s="26" t="n"/>
      <c r="K771" s="26" t="n"/>
      <c r="L771" s="26" t="n"/>
      <c r="M771" s="26" t="n"/>
      <c r="N771" s="26" t="n"/>
      <c r="O771" s="27">
        <f>IF(COUNT(K771:N771)=0,"",SUM(K771:N771))</f>
        <v/>
      </c>
      <c r="P771" s="16">
        <f>IF(OR(O771="",N(J771)&lt;=0),"",O771/J771)</f>
        <v/>
      </c>
      <c r="Q771" s="28">
        <f>IF(V771=1,"Late","")</f>
        <v/>
      </c>
      <c r="R771" s="1">
        <f>IF(ISNUMBER(B771),INT(B771)*10000000+IF(ISNUMBER(C771),ROUND(MOD(C771,1)*1440,0),0)*1000+ROW(),"")</f>
        <v/>
      </c>
      <c r="S771">
        <f>IF(ISNUMBER(B771),INT(B771)-WEEKDAY(B771,3),"")</f>
        <v/>
      </c>
      <c r="T771">
        <f>IF(ISNUMBER(B771),YEAR(B771)*100+MONTH(B771),"")</f>
        <v/>
      </c>
      <c r="U771">
        <f>IF(AND(ISNUMBER(B771),H771&lt;&gt;"Published"),IF(INT(B771)&gt;=TODAY(),R771,""),"")</f>
        <v/>
      </c>
      <c r="V771">
        <f>IF(AND(ISNUMBER(B771),OR(H771="Draft",H771="Scheduled")),IF(INT(B771)&lt;TODAY(),1,0),0)</f>
        <v/>
      </c>
      <c r="W771">
        <f>IF(AND(H771="Published",N(O771)&gt;0),IF(T771=(YEAR(TODAY())*100+MONTH(TODAY())),ROUND(O771,0)*1000+1000-ROW(),""),"")</f>
        <v/>
      </c>
    </row>
    <row r="772">
      <c r="A772" s="1" t="n"/>
      <c r="B772" s="21" t="n"/>
      <c r="C772" s="22" t="n"/>
      <c r="D772" s="23" t="n"/>
      <c r="E772" s="24" t="n"/>
      <c r="F772" s="23" t="n"/>
      <c r="G772" s="25" t="n"/>
      <c r="H772" s="24" t="n"/>
      <c r="I772" s="23" t="n"/>
      <c r="J772" s="26" t="n"/>
      <c r="K772" s="26" t="n"/>
      <c r="L772" s="26" t="n"/>
      <c r="M772" s="26" t="n"/>
      <c r="N772" s="26" t="n"/>
      <c r="O772" s="27">
        <f>IF(COUNT(K772:N772)=0,"",SUM(K772:N772))</f>
        <v/>
      </c>
      <c r="P772" s="16">
        <f>IF(OR(O772="",N(J772)&lt;=0),"",O772/J772)</f>
        <v/>
      </c>
      <c r="Q772" s="28">
        <f>IF(V772=1,"Late","")</f>
        <v/>
      </c>
      <c r="R772" s="1">
        <f>IF(ISNUMBER(B772),INT(B772)*10000000+IF(ISNUMBER(C772),ROUND(MOD(C772,1)*1440,0),0)*1000+ROW(),"")</f>
        <v/>
      </c>
      <c r="S772">
        <f>IF(ISNUMBER(B772),INT(B772)-WEEKDAY(B772,3),"")</f>
        <v/>
      </c>
      <c r="T772">
        <f>IF(ISNUMBER(B772),YEAR(B772)*100+MONTH(B772),"")</f>
        <v/>
      </c>
      <c r="U772">
        <f>IF(AND(ISNUMBER(B772),H772&lt;&gt;"Published"),IF(INT(B772)&gt;=TODAY(),R772,""),"")</f>
        <v/>
      </c>
      <c r="V772">
        <f>IF(AND(ISNUMBER(B772),OR(H772="Draft",H772="Scheduled")),IF(INT(B772)&lt;TODAY(),1,0),0)</f>
        <v/>
      </c>
      <c r="W772">
        <f>IF(AND(H772="Published",N(O772)&gt;0),IF(T772=(YEAR(TODAY())*100+MONTH(TODAY())),ROUND(O772,0)*1000+1000-ROW(),""),"")</f>
        <v/>
      </c>
    </row>
    <row r="773">
      <c r="A773" s="1" t="n"/>
      <c r="B773" s="21" t="n"/>
      <c r="C773" s="22" t="n"/>
      <c r="D773" s="23" t="n"/>
      <c r="E773" s="24" t="n"/>
      <c r="F773" s="23" t="n"/>
      <c r="G773" s="25" t="n"/>
      <c r="H773" s="24" t="n"/>
      <c r="I773" s="23" t="n"/>
      <c r="J773" s="26" t="n"/>
      <c r="K773" s="26" t="n"/>
      <c r="L773" s="26" t="n"/>
      <c r="M773" s="26" t="n"/>
      <c r="N773" s="26" t="n"/>
      <c r="O773" s="27">
        <f>IF(COUNT(K773:N773)=0,"",SUM(K773:N773))</f>
        <v/>
      </c>
      <c r="P773" s="16">
        <f>IF(OR(O773="",N(J773)&lt;=0),"",O773/J773)</f>
        <v/>
      </c>
      <c r="Q773" s="28">
        <f>IF(V773=1,"Late","")</f>
        <v/>
      </c>
      <c r="R773" s="1">
        <f>IF(ISNUMBER(B773),INT(B773)*10000000+IF(ISNUMBER(C773),ROUND(MOD(C773,1)*1440,0),0)*1000+ROW(),"")</f>
        <v/>
      </c>
      <c r="S773">
        <f>IF(ISNUMBER(B773),INT(B773)-WEEKDAY(B773,3),"")</f>
        <v/>
      </c>
      <c r="T773">
        <f>IF(ISNUMBER(B773),YEAR(B773)*100+MONTH(B773),"")</f>
        <v/>
      </c>
      <c r="U773">
        <f>IF(AND(ISNUMBER(B773),H773&lt;&gt;"Published"),IF(INT(B773)&gt;=TODAY(),R773,""),"")</f>
        <v/>
      </c>
      <c r="V773">
        <f>IF(AND(ISNUMBER(B773),OR(H773="Draft",H773="Scheduled")),IF(INT(B773)&lt;TODAY(),1,0),0)</f>
        <v/>
      </c>
      <c r="W773">
        <f>IF(AND(H773="Published",N(O773)&gt;0),IF(T773=(YEAR(TODAY())*100+MONTH(TODAY())),ROUND(O773,0)*1000+1000-ROW(),""),"")</f>
        <v/>
      </c>
    </row>
    <row r="774">
      <c r="A774" s="1" t="n"/>
      <c r="B774" s="21" t="n"/>
      <c r="C774" s="22" t="n"/>
      <c r="D774" s="23" t="n"/>
      <c r="E774" s="24" t="n"/>
      <c r="F774" s="23" t="n"/>
      <c r="G774" s="25" t="n"/>
      <c r="H774" s="24" t="n"/>
      <c r="I774" s="23" t="n"/>
      <c r="J774" s="26" t="n"/>
      <c r="K774" s="26" t="n"/>
      <c r="L774" s="26" t="n"/>
      <c r="M774" s="26" t="n"/>
      <c r="N774" s="26" t="n"/>
      <c r="O774" s="27">
        <f>IF(COUNT(K774:N774)=0,"",SUM(K774:N774))</f>
        <v/>
      </c>
      <c r="P774" s="16">
        <f>IF(OR(O774="",N(J774)&lt;=0),"",O774/J774)</f>
        <v/>
      </c>
      <c r="Q774" s="28">
        <f>IF(V774=1,"Late","")</f>
        <v/>
      </c>
      <c r="R774" s="1">
        <f>IF(ISNUMBER(B774),INT(B774)*10000000+IF(ISNUMBER(C774),ROUND(MOD(C774,1)*1440,0),0)*1000+ROW(),"")</f>
        <v/>
      </c>
      <c r="S774">
        <f>IF(ISNUMBER(B774),INT(B774)-WEEKDAY(B774,3),"")</f>
        <v/>
      </c>
      <c r="T774">
        <f>IF(ISNUMBER(B774),YEAR(B774)*100+MONTH(B774),"")</f>
        <v/>
      </c>
      <c r="U774">
        <f>IF(AND(ISNUMBER(B774),H774&lt;&gt;"Published"),IF(INT(B774)&gt;=TODAY(),R774,""),"")</f>
        <v/>
      </c>
      <c r="V774">
        <f>IF(AND(ISNUMBER(B774),OR(H774="Draft",H774="Scheduled")),IF(INT(B774)&lt;TODAY(),1,0),0)</f>
        <v/>
      </c>
      <c r="W774">
        <f>IF(AND(H774="Published",N(O774)&gt;0),IF(T774=(YEAR(TODAY())*100+MONTH(TODAY())),ROUND(O774,0)*1000+1000-ROW(),""),"")</f>
        <v/>
      </c>
    </row>
    <row r="775">
      <c r="A775" s="1" t="n"/>
      <c r="B775" s="21" t="n"/>
      <c r="C775" s="22" t="n"/>
      <c r="D775" s="23" t="n"/>
      <c r="E775" s="24" t="n"/>
      <c r="F775" s="23" t="n"/>
      <c r="G775" s="25" t="n"/>
      <c r="H775" s="24" t="n"/>
      <c r="I775" s="23" t="n"/>
      <c r="J775" s="26" t="n"/>
      <c r="K775" s="26" t="n"/>
      <c r="L775" s="26" t="n"/>
      <c r="M775" s="26" t="n"/>
      <c r="N775" s="26" t="n"/>
      <c r="O775" s="27">
        <f>IF(COUNT(K775:N775)=0,"",SUM(K775:N775))</f>
        <v/>
      </c>
      <c r="P775" s="16">
        <f>IF(OR(O775="",N(J775)&lt;=0),"",O775/J775)</f>
        <v/>
      </c>
      <c r="Q775" s="28">
        <f>IF(V775=1,"Late","")</f>
        <v/>
      </c>
      <c r="R775" s="1">
        <f>IF(ISNUMBER(B775),INT(B775)*10000000+IF(ISNUMBER(C775),ROUND(MOD(C775,1)*1440,0),0)*1000+ROW(),"")</f>
        <v/>
      </c>
      <c r="S775">
        <f>IF(ISNUMBER(B775),INT(B775)-WEEKDAY(B775,3),"")</f>
        <v/>
      </c>
      <c r="T775">
        <f>IF(ISNUMBER(B775),YEAR(B775)*100+MONTH(B775),"")</f>
        <v/>
      </c>
      <c r="U775">
        <f>IF(AND(ISNUMBER(B775),H775&lt;&gt;"Published"),IF(INT(B775)&gt;=TODAY(),R775,""),"")</f>
        <v/>
      </c>
      <c r="V775">
        <f>IF(AND(ISNUMBER(B775),OR(H775="Draft",H775="Scheduled")),IF(INT(B775)&lt;TODAY(),1,0),0)</f>
        <v/>
      </c>
      <c r="W775">
        <f>IF(AND(H775="Published",N(O775)&gt;0),IF(T775=(YEAR(TODAY())*100+MONTH(TODAY())),ROUND(O775,0)*1000+1000-ROW(),""),"")</f>
        <v/>
      </c>
    </row>
    <row r="776">
      <c r="A776" s="1" t="n"/>
      <c r="B776" s="21" t="n"/>
      <c r="C776" s="22" t="n"/>
      <c r="D776" s="23" t="n"/>
      <c r="E776" s="24" t="n"/>
      <c r="F776" s="23" t="n"/>
      <c r="G776" s="25" t="n"/>
      <c r="H776" s="24" t="n"/>
      <c r="I776" s="23" t="n"/>
      <c r="J776" s="26" t="n"/>
      <c r="K776" s="26" t="n"/>
      <c r="L776" s="26" t="n"/>
      <c r="M776" s="26" t="n"/>
      <c r="N776" s="26" t="n"/>
      <c r="O776" s="27">
        <f>IF(COUNT(K776:N776)=0,"",SUM(K776:N776))</f>
        <v/>
      </c>
      <c r="P776" s="16">
        <f>IF(OR(O776="",N(J776)&lt;=0),"",O776/J776)</f>
        <v/>
      </c>
      <c r="Q776" s="28">
        <f>IF(V776=1,"Late","")</f>
        <v/>
      </c>
      <c r="R776" s="1">
        <f>IF(ISNUMBER(B776),INT(B776)*10000000+IF(ISNUMBER(C776),ROUND(MOD(C776,1)*1440,0),0)*1000+ROW(),"")</f>
        <v/>
      </c>
      <c r="S776">
        <f>IF(ISNUMBER(B776),INT(B776)-WEEKDAY(B776,3),"")</f>
        <v/>
      </c>
      <c r="T776">
        <f>IF(ISNUMBER(B776),YEAR(B776)*100+MONTH(B776),"")</f>
        <v/>
      </c>
      <c r="U776">
        <f>IF(AND(ISNUMBER(B776),H776&lt;&gt;"Published"),IF(INT(B776)&gt;=TODAY(),R776,""),"")</f>
        <v/>
      </c>
      <c r="V776">
        <f>IF(AND(ISNUMBER(B776),OR(H776="Draft",H776="Scheduled")),IF(INT(B776)&lt;TODAY(),1,0),0)</f>
        <v/>
      </c>
      <c r="W776">
        <f>IF(AND(H776="Published",N(O776)&gt;0),IF(T776=(YEAR(TODAY())*100+MONTH(TODAY())),ROUND(O776,0)*1000+1000-ROW(),""),"")</f>
        <v/>
      </c>
    </row>
    <row r="777">
      <c r="A777" s="1" t="n"/>
      <c r="B777" s="21" t="n"/>
      <c r="C777" s="22" t="n"/>
      <c r="D777" s="23" t="n"/>
      <c r="E777" s="24" t="n"/>
      <c r="F777" s="23" t="n"/>
      <c r="G777" s="25" t="n"/>
      <c r="H777" s="24" t="n"/>
      <c r="I777" s="23" t="n"/>
      <c r="J777" s="26" t="n"/>
      <c r="K777" s="26" t="n"/>
      <c r="L777" s="26" t="n"/>
      <c r="M777" s="26" t="n"/>
      <c r="N777" s="26" t="n"/>
      <c r="O777" s="27">
        <f>IF(COUNT(K777:N777)=0,"",SUM(K777:N777))</f>
        <v/>
      </c>
      <c r="P777" s="16">
        <f>IF(OR(O777="",N(J777)&lt;=0),"",O777/J777)</f>
        <v/>
      </c>
      <c r="Q777" s="28">
        <f>IF(V777=1,"Late","")</f>
        <v/>
      </c>
      <c r="R777" s="1">
        <f>IF(ISNUMBER(B777),INT(B777)*10000000+IF(ISNUMBER(C777),ROUND(MOD(C777,1)*1440,0),0)*1000+ROW(),"")</f>
        <v/>
      </c>
      <c r="S777">
        <f>IF(ISNUMBER(B777),INT(B777)-WEEKDAY(B777,3),"")</f>
        <v/>
      </c>
      <c r="T777">
        <f>IF(ISNUMBER(B777),YEAR(B777)*100+MONTH(B777),"")</f>
        <v/>
      </c>
      <c r="U777">
        <f>IF(AND(ISNUMBER(B777),H777&lt;&gt;"Published"),IF(INT(B777)&gt;=TODAY(),R777,""),"")</f>
        <v/>
      </c>
      <c r="V777">
        <f>IF(AND(ISNUMBER(B777),OR(H777="Draft",H777="Scheduled")),IF(INT(B777)&lt;TODAY(),1,0),0)</f>
        <v/>
      </c>
      <c r="W777">
        <f>IF(AND(H777="Published",N(O777)&gt;0),IF(T777=(YEAR(TODAY())*100+MONTH(TODAY())),ROUND(O777,0)*1000+1000-ROW(),""),"")</f>
        <v/>
      </c>
    </row>
    <row r="778">
      <c r="A778" s="1" t="n"/>
      <c r="B778" s="21" t="n"/>
      <c r="C778" s="22" t="n"/>
      <c r="D778" s="23" t="n"/>
      <c r="E778" s="24" t="n"/>
      <c r="F778" s="23" t="n"/>
      <c r="G778" s="25" t="n"/>
      <c r="H778" s="24" t="n"/>
      <c r="I778" s="23" t="n"/>
      <c r="J778" s="26" t="n"/>
      <c r="K778" s="26" t="n"/>
      <c r="L778" s="26" t="n"/>
      <c r="M778" s="26" t="n"/>
      <c r="N778" s="26" t="n"/>
      <c r="O778" s="27">
        <f>IF(COUNT(K778:N778)=0,"",SUM(K778:N778))</f>
        <v/>
      </c>
      <c r="P778" s="16">
        <f>IF(OR(O778="",N(J778)&lt;=0),"",O778/J778)</f>
        <v/>
      </c>
      <c r="Q778" s="28">
        <f>IF(V778=1,"Late","")</f>
        <v/>
      </c>
      <c r="R778" s="1">
        <f>IF(ISNUMBER(B778),INT(B778)*10000000+IF(ISNUMBER(C778),ROUND(MOD(C778,1)*1440,0),0)*1000+ROW(),"")</f>
        <v/>
      </c>
      <c r="S778">
        <f>IF(ISNUMBER(B778),INT(B778)-WEEKDAY(B778,3),"")</f>
        <v/>
      </c>
      <c r="T778">
        <f>IF(ISNUMBER(B778),YEAR(B778)*100+MONTH(B778),"")</f>
        <v/>
      </c>
      <c r="U778">
        <f>IF(AND(ISNUMBER(B778),H778&lt;&gt;"Published"),IF(INT(B778)&gt;=TODAY(),R778,""),"")</f>
        <v/>
      </c>
      <c r="V778">
        <f>IF(AND(ISNUMBER(B778),OR(H778="Draft",H778="Scheduled")),IF(INT(B778)&lt;TODAY(),1,0),0)</f>
        <v/>
      </c>
      <c r="W778">
        <f>IF(AND(H778="Published",N(O778)&gt;0),IF(T778=(YEAR(TODAY())*100+MONTH(TODAY())),ROUND(O778,0)*1000+1000-ROW(),""),"")</f>
        <v/>
      </c>
    </row>
    <row r="779">
      <c r="A779" s="1" t="n"/>
      <c r="B779" s="21" t="n"/>
      <c r="C779" s="22" t="n"/>
      <c r="D779" s="23" t="n"/>
      <c r="E779" s="24" t="n"/>
      <c r="F779" s="23" t="n"/>
      <c r="G779" s="25" t="n"/>
      <c r="H779" s="24" t="n"/>
      <c r="I779" s="23" t="n"/>
      <c r="J779" s="26" t="n"/>
      <c r="K779" s="26" t="n"/>
      <c r="L779" s="26" t="n"/>
      <c r="M779" s="26" t="n"/>
      <c r="N779" s="26" t="n"/>
      <c r="O779" s="27">
        <f>IF(COUNT(K779:N779)=0,"",SUM(K779:N779))</f>
        <v/>
      </c>
      <c r="P779" s="16">
        <f>IF(OR(O779="",N(J779)&lt;=0),"",O779/J779)</f>
        <v/>
      </c>
      <c r="Q779" s="28">
        <f>IF(V779=1,"Late","")</f>
        <v/>
      </c>
      <c r="R779" s="1">
        <f>IF(ISNUMBER(B779),INT(B779)*10000000+IF(ISNUMBER(C779),ROUND(MOD(C779,1)*1440,0),0)*1000+ROW(),"")</f>
        <v/>
      </c>
      <c r="S779">
        <f>IF(ISNUMBER(B779),INT(B779)-WEEKDAY(B779,3),"")</f>
        <v/>
      </c>
      <c r="T779">
        <f>IF(ISNUMBER(B779),YEAR(B779)*100+MONTH(B779),"")</f>
        <v/>
      </c>
      <c r="U779">
        <f>IF(AND(ISNUMBER(B779),H779&lt;&gt;"Published"),IF(INT(B779)&gt;=TODAY(),R779,""),"")</f>
        <v/>
      </c>
      <c r="V779">
        <f>IF(AND(ISNUMBER(B779),OR(H779="Draft",H779="Scheduled")),IF(INT(B779)&lt;TODAY(),1,0),0)</f>
        <v/>
      </c>
      <c r="W779">
        <f>IF(AND(H779="Published",N(O779)&gt;0),IF(T779=(YEAR(TODAY())*100+MONTH(TODAY())),ROUND(O779,0)*1000+1000-ROW(),""),"")</f>
        <v/>
      </c>
    </row>
    <row r="780">
      <c r="A780" s="1" t="n"/>
      <c r="B780" s="21" t="n"/>
      <c r="C780" s="22" t="n"/>
      <c r="D780" s="23" t="n"/>
      <c r="E780" s="24" t="n"/>
      <c r="F780" s="23" t="n"/>
      <c r="G780" s="25" t="n"/>
      <c r="H780" s="24" t="n"/>
      <c r="I780" s="23" t="n"/>
      <c r="J780" s="26" t="n"/>
      <c r="K780" s="26" t="n"/>
      <c r="L780" s="26" t="n"/>
      <c r="M780" s="26" t="n"/>
      <c r="N780" s="26" t="n"/>
      <c r="O780" s="27">
        <f>IF(COUNT(K780:N780)=0,"",SUM(K780:N780))</f>
        <v/>
      </c>
      <c r="P780" s="16">
        <f>IF(OR(O780="",N(J780)&lt;=0),"",O780/J780)</f>
        <v/>
      </c>
      <c r="Q780" s="28">
        <f>IF(V780=1,"Late","")</f>
        <v/>
      </c>
      <c r="R780" s="1">
        <f>IF(ISNUMBER(B780),INT(B780)*10000000+IF(ISNUMBER(C780),ROUND(MOD(C780,1)*1440,0),0)*1000+ROW(),"")</f>
        <v/>
      </c>
      <c r="S780">
        <f>IF(ISNUMBER(B780),INT(B780)-WEEKDAY(B780,3),"")</f>
        <v/>
      </c>
      <c r="T780">
        <f>IF(ISNUMBER(B780),YEAR(B780)*100+MONTH(B780),"")</f>
        <v/>
      </c>
      <c r="U780">
        <f>IF(AND(ISNUMBER(B780),H780&lt;&gt;"Published"),IF(INT(B780)&gt;=TODAY(),R780,""),"")</f>
        <v/>
      </c>
      <c r="V780">
        <f>IF(AND(ISNUMBER(B780),OR(H780="Draft",H780="Scheduled")),IF(INT(B780)&lt;TODAY(),1,0),0)</f>
        <v/>
      </c>
      <c r="W780">
        <f>IF(AND(H780="Published",N(O780)&gt;0),IF(T780=(YEAR(TODAY())*100+MONTH(TODAY())),ROUND(O780,0)*1000+1000-ROW(),""),"")</f>
        <v/>
      </c>
    </row>
    <row r="781">
      <c r="A781" s="1" t="n"/>
      <c r="B781" s="21" t="n"/>
      <c r="C781" s="22" t="n"/>
      <c r="D781" s="23" t="n"/>
      <c r="E781" s="24" t="n"/>
      <c r="F781" s="23" t="n"/>
      <c r="G781" s="25" t="n"/>
      <c r="H781" s="24" t="n"/>
      <c r="I781" s="23" t="n"/>
      <c r="J781" s="26" t="n"/>
      <c r="K781" s="26" t="n"/>
      <c r="L781" s="26" t="n"/>
      <c r="M781" s="26" t="n"/>
      <c r="N781" s="26" t="n"/>
      <c r="O781" s="27">
        <f>IF(COUNT(K781:N781)=0,"",SUM(K781:N781))</f>
        <v/>
      </c>
      <c r="P781" s="16">
        <f>IF(OR(O781="",N(J781)&lt;=0),"",O781/J781)</f>
        <v/>
      </c>
      <c r="Q781" s="28">
        <f>IF(V781=1,"Late","")</f>
        <v/>
      </c>
      <c r="R781" s="1">
        <f>IF(ISNUMBER(B781),INT(B781)*10000000+IF(ISNUMBER(C781),ROUND(MOD(C781,1)*1440,0),0)*1000+ROW(),"")</f>
        <v/>
      </c>
      <c r="S781">
        <f>IF(ISNUMBER(B781),INT(B781)-WEEKDAY(B781,3),"")</f>
        <v/>
      </c>
      <c r="T781">
        <f>IF(ISNUMBER(B781),YEAR(B781)*100+MONTH(B781),"")</f>
        <v/>
      </c>
      <c r="U781">
        <f>IF(AND(ISNUMBER(B781),H781&lt;&gt;"Published"),IF(INT(B781)&gt;=TODAY(),R781,""),"")</f>
        <v/>
      </c>
      <c r="V781">
        <f>IF(AND(ISNUMBER(B781),OR(H781="Draft",H781="Scheduled")),IF(INT(B781)&lt;TODAY(),1,0),0)</f>
        <v/>
      </c>
      <c r="W781">
        <f>IF(AND(H781="Published",N(O781)&gt;0),IF(T781=(YEAR(TODAY())*100+MONTH(TODAY())),ROUND(O781,0)*1000+1000-ROW(),""),"")</f>
        <v/>
      </c>
    </row>
    <row r="782">
      <c r="A782" s="1" t="n"/>
      <c r="B782" s="21" t="n"/>
      <c r="C782" s="22" t="n"/>
      <c r="D782" s="23" t="n"/>
      <c r="E782" s="24" t="n"/>
      <c r="F782" s="23" t="n"/>
      <c r="G782" s="25" t="n"/>
      <c r="H782" s="24" t="n"/>
      <c r="I782" s="23" t="n"/>
      <c r="J782" s="26" t="n"/>
      <c r="K782" s="26" t="n"/>
      <c r="L782" s="26" t="n"/>
      <c r="M782" s="26" t="n"/>
      <c r="N782" s="26" t="n"/>
      <c r="O782" s="27">
        <f>IF(COUNT(K782:N782)=0,"",SUM(K782:N782))</f>
        <v/>
      </c>
      <c r="P782" s="16">
        <f>IF(OR(O782="",N(J782)&lt;=0),"",O782/J782)</f>
        <v/>
      </c>
      <c r="Q782" s="28">
        <f>IF(V782=1,"Late","")</f>
        <v/>
      </c>
      <c r="R782" s="1">
        <f>IF(ISNUMBER(B782),INT(B782)*10000000+IF(ISNUMBER(C782),ROUND(MOD(C782,1)*1440,0),0)*1000+ROW(),"")</f>
        <v/>
      </c>
      <c r="S782">
        <f>IF(ISNUMBER(B782),INT(B782)-WEEKDAY(B782,3),"")</f>
        <v/>
      </c>
      <c r="T782">
        <f>IF(ISNUMBER(B782),YEAR(B782)*100+MONTH(B782),"")</f>
        <v/>
      </c>
      <c r="U782">
        <f>IF(AND(ISNUMBER(B782),H782&lt;&gt;"Published"),IF(INT(B782)&gt;=TODAY(),R782,""),"")</f>
        <v/>
      </c>
      <c r="V782">
        <f>IF(AND(ISNUMBER(B782),OR(H782="Draft",H782="Scheduled")),IF(INT(B782)&lt;TODAY(),1,0),0)</f>
        <v/>
      </c>
      <c r="W782">
        <f>IF(AND(H782="Published",N(O782)&gt;0),IF(T782=(YEAR(TODAY())*100+MONTH(TODAY())),ROUND(O782,0)*1000+1000-ROW(),""),"")</f>
        <v/>
      </c>
    </row>
    <row r="783">
      <c r="A783" s="1" t="n"/>
      <c r="B783" s="21" t="n"/>
      <c r="C783" s="22" t="n"/>
      <c r="D783" s="23" t="n"/>
      <c r="E783" s="24" t="n"/>
      <c r="F783" s="23" t="n"/>
      <c r="G783" s="25" t="n"/>
      <c r="H783" s="24" t="n"/>
      <c r="I783" s="23" t="n"/>
      <c r="J783" s="26" t="n"/>
      <c r="K783" s="26" t="n"/>
      <c r="L783" s="26" t="n"/>
      <c r="M783" s="26" t="n"/>
      <c r="N783" s="26" t="n"/>
      <c r="O783" s="27">
        <f>IF(COUNT(K783:N783)=0,"",SUM(K783:N783))</f>
        <v/>
      </c>
      <c r="P783" s="16">
        <f>IF(OR(O783="",N(J783)&lt;=0),"",O783/J783)</f>
        <v/>
      </c>
      <c r="Q783" s="28">
        <f>IF(V783=1,"Late","")</f>
        <v/>
      </c>
      <c r="R783" s="1">
        <f>IF(ISNUMBER(B783),INT(B783)*10000000+IF(ISNUMBER(C783),ROUND(MOD(C783,1)*1440,0),0)*1000+ROW(),"")</f>
        <v/>
      </c>
      <c r="S783">
        <f>IF(ISNUMBER(B783),INT(B783)-WEEKDAY(B783,3),"")</f>
        <v/>
      </c>
      <c r="T783">
        <f>IF(ISNUMBER(B783),YEAR(B783)*100+MONTH(B783),"")</f>
        <v/>
      </c>
      <c r="U783">
        <f>IF(AND(ISNUMBER(B783),H783&lt;&gt;"Published"),IF(INT(B783)&gt;=TODAY(),R783,""),"")</f>
        <v/>
      </c>
      <c r="V783">
        <f>IF(AND(ISNUMBER(B783),OR(H783="Draft",H783="Scheduled")),IF(INT(B783)&lt;TODAY(),1,0),0)</f>
        <v/>
      </c>
      <c r="W783">
        <f>IF(AND(H783="Published",N(O783)&gt;0),IF(T783=(YEAR(TODAY())*100+MONTH(TODAY())),ROUND(O783,0)*1000+1000-ROW(),""),"")</f>
        <v/>
      </c>
    </row>
    <row r="784">
      <c r="A784" s="1" t="n"/>
      <c r="B784" s="21" t="n"/>
      <c r="C784" s="22" t="n"/>
      <c r="D784" s="23" t="n"/>
      <c r="E784" s="24" t="n"/>
      <c r="F784" s="23" t="n"/>
      <c r="G784" s="25" t="n"/>
      <c r="H784" s="24" t="n"/>
      <c r="I784" s="23" t="n"/>
      <c r="J784" s="26" t="n"/>
      <c r="K784" s="26" t="n"/>
      <c r="L784" s="26" t="n"/>
      <c r="M784" s="26" t="n"/>
      <c r="N784" s="26" t="n"/>
      <c r="O784" s="27">
        <f>IF(COUNT(K784:N784)=0,"",SUM(K784:N784))</f>
        <v/>
      </c>
      <c r="P784" s="16">
        <f>IF(OR(O784="",N(J784)&lt;=0),"",O784/J784)</f>
        <v/>
      </c>
      <c r="Q784" s="28">
        <f>IF(V784=1,"Late","")</f>
        <v/>
      </c>
      <c r="R784" s="1">
        <f>IF(ISNUMBER(B784),INT(B784)*10000000+IF(ISNUMBER(C784),ROUND(MOD(C784,1)*1440,0),0)*1000+ROW(),"")</f>
        <v/>
      </c>
      <c r="S784">
        <f>IF(ISNUMBER(B784),INT(B784)-WEEKDAY(B784,3),"")</f>
        <v/>
      </c>
      <c r="T784">
        <f>IF(ISNUMBER(B784),YEAR(B784)*100+MONTH(B784),"")</f>
        <v/>
      </c>
      <c r="U784">
        <f>IF(AND(ISNUMBER(B784),H784&lt;&gt;"Published"),IF(INT(B784)&gt;=TODAY(),R784,""),"")</f>
        <v/>
      </c>
      <c r="V784">
        <f>IF(AND(ISNUMBER(B784),OR(H784="Draft",H784="Scheduled")),IF(INT(B784)&lt;TODAY(),1,0),0)</f>
        <v/>
      </c>
      <c r="W784">
        <f>IF(AND(H784="Published",N(O784)&gt;0),IF(T784=(YEAR(TODAY())*100+MONTH(TODAY())),ROUND(O784,0)*1000+1000-ROW(),""),"")</f>
        <v/>
      </c>
    </row>
    <row r="785">
      <c r="A785" s="1" t="n"/>
      <c r="B785" s="21" t="n"/>
      <c r="C785" s="22" t="n"/>
      <c r="D785" s="23" t="n"/>
      <c r="E785" s="24" t="n"/>
      <c r="F785" s="23" t="n"/>
      <c r="G785" s="25" t="n"/>
      <c r="H785" s="24" t="n"/>
      <c r="I785" s="23" t="n"/>
      <c r="J785" s="26" t="n"/>
      <c r="K785" s="26" t="n"/>
      <c r="L785" s="26" t="n"/>
      <c r="M785" s="26" t="n"/>
      <c r="N785" s="26" t="n"/>
      <c r="O785" s="27">
        <f>IF(COUNT(K785:N785)=0,"",SUM(K785:N785))</f>
        <v/>
      </c>
      <c r="P785" s="16">
        <f>IF(OR(O785="",N(J785)&lt;=0),"",O785/J785)</f>
        <v/>
      </c>
      <c r="Q785" s="28">
        <f>IF(V785=1,"Late","")</f>
        <v/>
      </c>
      <c r="R785" s="1">
        <f>IF(ISNUMBER(B785),INT(B785)*10000000+IF(ISNUMBER(C785),ROUND(MOD(C785,1)*1440,0),0)*1000+ROW(),"")</f>
        <v/>
      </c>
      <c r="S785">
        <f>IF(ISNUMBER(B785),INT(B785)-WEEKDAY(B785,3),"")</f>
        <v/>
      </c>
      <c r="T785">
        <f>IF(ISNUMBER(B785),YEAR(B785)*100+MONTH(B785),"")</f>
        <v/>
      </c>
      <c r="U785">
        <f>IF(AND(ISNUMBER(B785),H785&lt;&gt;"Published"),IF(INT(B785)&gt;=TODAY(),R785,""),"")</f>
        <v/>
      </c>
      <c r="V785">
        <f>IF(AND(ISNUMBER(B785),OR(H785="Draft",H785="Scheduled")),IF(INT(B785)&lt;TODAY(),1,0),0)</f>
        <v/>
      </c>
      <c r="W785">
        <f>IF(AND(H785="Published",N(O785)&gt;0),IF(T785=(YEAR(TODAY())*100+MONTH(TODAY())),ROUND(O785,0)*1000+1000-ROW(),""),"")</f>
        <v/>
      </c>
    </row>
    <row r="786">
      <c r="A786" s="1" t="n"/>
      <c r="B786" s="21" t="n"/>
      <c r="C786" s="22" t="n"/>
      <c r="D786" s="23" t="n"/>
      <c r="E786" s="24" t="n"/>
      <c r="F786" s="23" t="n"/>
      <c r="G786" s="25" t="n"/>
      <c r="H786" s="24" t="n"/>
      <c r="I786" s="23" t="n"/>
      <c r="J786" s="26" t="n"/>
      <c r="K786" s="26" t="n"/>
      <c r="L786" s="26" t="n"/>
      <c r="M786" s="26" t="n"/>
      <c r="N786" s="26" t="n"/>
      <c r="O786" s="27">
        <f>IF(COUNT(K786:N786)=0,"",SUM(K786:N786))</f>
        <v/>
      </c>
      <c r="P786" s="16">
        <f>IF(OR(O786="",N(J786)&lt;=0),"",O786/J786)</f>
        <v/>
      </c>
      <c r="Q786" s="28">
        <f>IF(V786=1,"Late","")</f>
        <v/>
      </c>
      <c r="R786" s="1">
        <f>IF(ISNUMBER(B786),INT(B786)*10000000+IF(ISNUMBER(C786),ROUND(MOD(C786,1)*1440,0),0)*1000+ROW(),"")</f>
        <v/>
      </c>
      <c r="S786">
        <f>IF(ISNUMBER(B786),INT(B786)-WEEKDAY(B786,3),"")</f>
        <v/>
      </c>
      <c r="T786">
        <f>IF(ISNUMBER(B786),YEAR(B786)*100+MONTH(B786),"")</f>
        <v/>
      </c>
      <c r="U786">
        <f>IF(AND(ISNUMBER(B786),H786&lt;&gt;"Published"),IF(INT(B786)&gt;=TODAY(),R786,""),"")</f>
        <v/>
      </c>
      <c r="V786">
        <f>IF(AND(ISNUMBER(B786),OR(H786="Draft",H786="Scheduled")),IF(INT(B786)&lt;TODAY(),1,0),0)</f>
        <v/>
      </c>
      <c r="W786">
        <f>IF(AND(H786="Published",N(O786)&gt;0),IF(T786=(YEAR(TODAY())*100+MONTH(TODAY())),ROUND(O786,0)*1000+1000-ROW(),""),"")</f>
        <v/>
      </c>
    </row>
    <row r="787">
      <c r="A787" s="1" t="n"/>
      <c r="B787" s="21" t="n"/>
      <c r="C787" s="22" t="n"/>
      <c r="D787" s="23" t="n"/>
      <c r="E787" s="24" t="n"/>
      <c r="F787" s="23" t="n"/>
      <c r="G787" s="25" t="n"/>
      <c r="H787" s="24" t="n"/>
      <c r="I787" s="23" t="n"/>
      <c r="J787" s="26" t="n"/>
      <c r="K787" s="26" t="n"/>
      <c r="L787" s="26" t="n"/>
      <c r="M787" s="26" t="n"/>
      <c r="N787" s="26" t="n"/>
      <c r="O787" s="27">
        <f>IF(COUNT(K787:N787)=0,"",SUM(K787:N787))</f>
        <v/>
      </c>
      <c r="P787" s="16">
        <f>IF(OR(O787="",N(J787)&lt;=0),"",O787/J787)</f>
        <v/>
      </c>
      <c r="Q787" s="28">
        <f>IF(V787=1,"Late","")</f>
        <v/>
      </c>
      <c r="R787" s="1">
        <f>IF(ISNUMBER(B787),INT(B787)*10000000+IF(ISNUMBER(C787),ROUND(MOD(C787,1)*1440,0),0)*1000+ROW(),"")</f>
        <v/>
      </c>
      <c r="S787">
        <f>IF(ISNUMBER(B787),INT(B787)-WEEKDAY(B787,3),"")</f>
        <v/>
      </c>
      <c r="T787">
        <f>IF(ISNUMBER(B787),YEAR(B787)*100+MONTH(B787),"")</f>
        <v/>
      </c>
      <c r="U787">
        <f>IF(AND(ISNUMBER(B787),H787&lt;&gt;"Published"),IF(INT(B787)&gt;=TODAY(),R787,""),"")</f>
        <v/>
      </c>
      <c r="V787">
        <f>IF(AND(ISNUMBER(B787),OR(H787="Draft",H787="Scheduled")),IF(INT(B787)&lt;TODAY(),1,0),0)</f>
        <v/>
      </c>
      <c r="W787">
        <f>IF(AND(H787="Published",N(O787)&gt;0),IF(T787=(YEAR(TODAY())*100+MONTH(TODAY())),ROUND(O787,0)*1000+1000-ROW(),""),"")</f>
        <v/>
      </c>
    </row>
    <row r="788">
      <c r="A788" s="1" t="n"/>
      <c r="B788" s="21" t="n"/>
      <c r="C788" s="22" t="n"/>
      <c r="D788" s="23" t="n"/>
      <c r="E788" s="24" t="n"/>
      <c r="F788" s="23" t="n"/>
      <c r="G788" s="25" t="n"/>
      <c r="H788" s="24" t="n"/>
      <c r="I788" s="23" t="n"/>
      <c r="J788" s="26" t="n"/>
      <c r="K788" s="26" t="n"/>
      <c r="L788" s="26" t="n"/>
      <c r="M788" s="26" t="n"/>
      <c r="N788" s="26" t="n"/>
      <c r="O788" s="27">
        <f>IF(COUNT(K788:N788)=0,"",SUM(K788:N788))</f>
        <v/>
      </c>
      <c r="P788" s="16">
        <f>IF(OR(O788="",N(J788)&lt;=0),"",O788/J788)</f>
        <v/>
      </c>
      <c r="Q788" s="28">
        <f>IF(V788=1,"Late","")</f>
        <v/>
      </c>
      <c r="R788" s="1">
        <f>IF(ISNUMBER(B788),INT(B788)*10000000+IF(ISNUMBER(C788),ROUND(MOD(C788,1)*1440,0),0)*1000+ROW(),"")</f>
        <v/>
      </c>
      <c r="S788">
        <f>IF(ISNUMBER(B788),INT(B788)-WEEKDAY(B788,3),"")</f>
        <v/>
      </c>
      <c r="T788">
        <f>IF(ISNUMBER(B788),YEAR(B788)*100+MONTH(B788),"")</f>
        <v/>
      </c>
      <c r="U788">
        <f>IF(AND(ISNUMBER(B788),H788&lt;&gt;"Published"),IF(INT(B788)&gt;=TODAY(),R788,""),"")</f>
        <v/>
      </c>
      <c r="V788">
        <f>IF(AND(ISNUMBER(B788),OR(H788="Draft",H788="Scheduled")),IF(INT(B788)&lt;TODAY(),1,0),0)</f>
        <v/>
      </c>
      <c r="W788">
        <f>IF(AND(H788="Published",N(O788)&gt;0),IF(T788=(YEAR(TODAY())*100+MONTH(TODAY())),ROUND(O788,0)*1000+1000-ROW(),""),"")</f>
        <v/>
      </c>
    </row>
    <row r="789">
      <c r="A789" s="1" t="n"/>
      <c r="B789" s="21" t="n"/>
      <c r="C789" s="22" t="n"/>
      <c r="D789" s="23" t="n"/>
      <c r="E789" s="24" t="n"/>
      <c r="F789" s="23" t="n"/>
      <c r="G789" s="25" t="n"/>
      <c r="H789" s="24" t="n"/>
      <c r="I789" s="23" t="n"/>
      <c r="J789" s="26" t="n"/>
      <c r="K789" s="26" t="n"/>
      <c r="L789" s="26" t="n"/>
      <c r="M789" s="26" t="n"/>
      <c r="N789" s="26" t="n"/>
      <c r="O789" s="27">
        <f>IF(COUNT(K789:N789)=0,"",SUM(K789:N789))</f>
        <v/>
      </c>
      <c r="P789" s="16">
        <f>IF(OR(O789="",N(J789)&lt;=0),"",O789/J789)</f>
        <v/>
      </c>
      <c r="Q789" s="28">
        <f>IF(V789=1,"Late","")</f>
        <v/>
      </c>
      <c r="R789" s="1">
        <f>IF(ISNUMBER(B789),INT(B789)*10000000+IF(ISNUMBER(C789),ROUND(MOD(C789,1)*1440,0),0)*1000+ROW(),"")</f>
        <v/>
      </c>
      <c r="S789">
        <f>IF(ISNUMBER(B789),INT(B789)-WEEKDAY(B789,3),"")</f>
        <v/>
      </c>
      <c r="T789">
        <f>IF(ISNUMBER(B789),YEAR(B789)*100+MONTH(B789),"")</f>
        <v/>
      </c>
      <c r="U789">
        <f>IF(AND(ISNUMBER(B789),H789&lt;&gt;"Published"),IF(INT(B789)&gt;=TODAY(),R789,""),"")</f>
        <v/>
      </c>
      <c r="V789">
        <f>IF(AND(ISNUMBER(B789),OR(H789="Draft",H789="Scheduled")),IF(INT(B789)&lt;TODAY(),1,0),0)</f>
        <v/>
      </c>
      <c r="W789">
        <f>IF(AND(H789="Published",N(O789)&gt;0),IF(T789=(YEAR(TODAY())*100+MONTH(TODAY())),ROUND(O789,0)*1000+1000-ROW(),""),"")</f>
        <v/>
      </c>
    </row>
    <row r="790">
      <c r="A790" s="1" t="n"/>
      <c r="B790" s="21" t="n"/>
      <c r="C790" s="22" t="n"/>
      <c r="D790" s="23" t="n"/>
      <c r="E790" s="24" t="n"/>
      <c r="F790" s="23" t="n"/>
      <c r="G790" s="25" t="n"/>
      <c r="H790" s="24" t="n"/>
      <c r="I790" s="23" t="n"/>
      <c r="J790" s="26" t="n"/>
      <c r="K790" s="26" t="n"/>
      <c r="L790" s="26" t="n"/>
      <c r="M790" s="26" t="n"/>
      <c r="N790" s="26" t="n"/>
      <c r="O790" s="27">
        <f>IF(COUNT(K790:N790)=0,"",SUM(K790:N790))</f>
        <v/>
      </c>
      <c r="P790" s="16">
        <f>IF(OR(O790="",N(J790)&lt;=0),"",O790/J790)</f>
        <v/>
      </c>
      <c r="Q790" s="28">
        <f>IF(V790=1,"Late","")</f>
        <v/>
      </c>
      <c r="R790" s="1">
        <f>IF(ISNUMBER(B790),INT(B790)*10000000+IF(ISNUMBER(C790),ROUND(MOD(C790,1)*1440,0),0)*1000+ROW(),"")</f>
        <v/>
      </c>
      <c r="S790">
        <f>IF(ISNUMBER(B790),INT(B790)-WEEKDAY(B790,3),"")</f>
        <v/>
      </c>
      <c r="T790">
        <f>IF(ISNUMBER(B790),YEAR(B790)*100+MONTH(B790),"")</f>
        <v/>
      </c>
      <c r="U790">
        <f>IF(AND(ISNUMBER(B790),H790&lt;&gt;"Published"),IF(INT(B790)&gt;=TODAY(),R790,""),"")</f>
        <v/>
      </c>
      <c r="V790">
        <f>IF(AND(ISNUMBER(B790),OR(H790="Draft",H790="Scheduled")),IF(INT(B790)&lt;TODAY(),1,0),0)</f>
        <v/>
      </c>
      <c r="W790">
        <f>IF(AND(H790="Published",N(O790)&gt;0),IF(T790=(YEAR(TODAY())*100+MONTH(TODAY())),ROUND(O790,0)*1000+1000-ROW(),""),"")</f>
        <v/>
      </c>
    </row>
    <row r="791">
      <c r="A791" s="1" t="n"/>
      <c r="B791" s="21" t="n"/>
      <c r="C791" s="22" t="n"/>
      <c r="D791" s="23" t="n"/>
      <c r="E791" s="24" t="n"/>
      <c r="F791" s="23" t="n"/>
      <c r="G791" s="25" t="n"/>
      <c r="H791" s="24" t="n"/>
      <c r="I791" s="23" t="n"/>
      <c r="J791" s="26" t="n"/>
      <c r="K791" s="26" t="n"/>
      <c r="L791" s="26" t="n"/>
      <c r="M791" s="26" t="n"/>
      <c r="N791" s="26" t="n"/>
      <c r="O791" s="27">
        <f>IF(COUNT(K791:N791)=0,"",SUM(K791:N791))</f>
        <v/>
      </c>
      <c r="P791" s="16">
        <f>IF(OR(O791="",N(J791)&lt;=0),"",O791/J791)</f>
        <v/>
      </c>
      <c r="Q791" s="28">
        <f>IF(V791=1,"Late","")</f>
        <v/>
      </c>
      <c r="R791" s="1">
        <f>IF(ISNUMBER(B791),INT(B791)*10000000+IF(ISNUMBER(C791),ROUND(MOD(C791,1)*1440,0),0)*1000+ROW(),"")</f>
        <v/>
      </c>
      <c r="S791">
        <f>IF(ISNUMBER(B791),INT(B791)-WEEKDAY(B791,3),"")</f>
        <v/>
      </c>
      <c r="T791">
        <f>IF(ISNUMBER(B791),YEAR(B791)*100+MONTH(B791),"")</f>
        <v/>
      </c>
      <c r="U791">
        <f>IF(AND(ISNUMBER(B791),H791&lt;&gt;"Published"),IF(INT(B791)&gt;=TODAY(),R791,""),"")</f>
        <v/>
      </c>
      <c r="V791">
        <f>IF(AND(ISNUMBER(B791),OR(H791="Draft",H791="Scheduled")),IF(INT(B791)&lt;TODAY(),1,0),0)</f>
        <v/>
      </c>
      <c r="W791">
        <f>IF(AND(H791="Published",N(O791)&gt;0),IF(T791=(YEAR(TODAY())*100+MONTH(TODAY())),ROUND(O791,0)*1000+1000-ROW(),""),"")</f>
        <v/>
      </c>
    </row>
    <row r="792">
      <c r="A792" s="1" t="n"/>
      <c r="B792" s="21" t="n"/>
      <c r="C792" s="22" t="n"/>
      <c r="D792" s="23" t="n"/>
      <c r="E792" s="24" t="n"/>
      <c r="F792" s="23" t="n"/>
      <c r="G792" s="25" t="n"/>
      <c r="H792" s="24" t="n"/>
      <c r="I792" s="23" t="n"/>
      <c r="J792" s="26" t="n"/>
      <c r="K792" s="26" t="n"/>
      <c r="L792" s="26" t="n"/>
      <c r="M792" s="26" t="n"/>
      <c r="N792" s="26" t="n"/>
      <c r="O792" s="27">
        <f>IF(COUNT(K792:N792)=0,"",SUM(K792:N792))</f>
        <v/>
      </c>
      <c r="P792" s="16">
        <f>IF(OR(O792="",N(J792)&lt;=0),"",O792/J792)</f>
        <v/>
      </c>
      <c r="Q792" s="28">
        <f>IF(V792=1,"Late","")</f>
        <v/>
      </c>
      <c r="R792" s="1">
        <f>IF(ISNUMBER(B792),INT(B792)*10000000+IF(ISNUMBER(C792),ROUND(MOD(C792,1)*1440,0),0)*1000+ROW(),"")</f>
        <v/>
      </c>
      <c r="S792">
        <f>IF(ISNUMBER(B792),INT(B792)-WEEKDAY(B792,3),"")</f>
        <v/>
      </c>
      <c r="T792">
        <f>IF(ISNUMBER(B792),YEAR(B792)*100+MONTH(B792),"")</f>
        <v/>
      </c>
      <c r="U792">
        <f>IF(AND(ISNUMBER(B792),H792&lt;&gt;"Published"),IF(INT(B792)&gt;=TODAY(),R792,""),"")</f>
        <v/>
      </c>
      <c r="V792">
        <f>IF(AND(ISNUMBER(B792),OR(H792="Draft",H792="Scheduled")),IF(INT(B792)&lt;TODAY(),1,0),0)</f>
        <v/>
      </c>
      <c r="W792">
        <f>IF(AND(H792="Published",N(O792)&gt;0),IF(T792=(YEAR(TODAY())*100+MONTH(TODAY())),ROUND(O792,0)*1000+1000-ROW(),""),"")</f>
        <v/>
      </c>
    </row>
    <row r="793">
      <c r="A793" s="1" t="n"/>
      <c r="B793" s="21" t="n"/>
      <c r="C793" s="22" t="n"/>
      <c r="D793" s="23" t="n"/>
      <c r="E793" s="24" t="n"/>
      <c r="F793" s="23" t="n"/>
      <c r="G793" s="25" t="n"/>
      <c r="H793" s="24" t="n"/>
      <c r="I793" s="23" t="n"/>
      <c r="J793" s="26" t="n"/>
      <c r="K793" s="26" t="n"/>
      <c r="L793" s="26" t="n"/>
      <c r="M793" s="26" t="n"/>
      <c r="N793" s="26" t="n"/>
      <c r="O793" s="27">
        <f>IF(COUNT(K793:N793)=0,"",SUM(K793:N793))</f>
        <v/>
      </c>
      <c r="P793" s="16">
        <f>IF(OR(O793="",N(J793)&lt;=0),"",O793/J793)</f>
        <v/>
      </c>
      <c r="Q793" s="28">
        <f>IF(V793=1,"Late","")</f>
        <v/>
      </c>
      <c r="R793" s="1">
        <f>IF(ISNUMBER(B793),INT(B793)*10000000+IF(ISNUMBER(C793),ROUND(MOD(C793,1)*1440,0),0)*1000+ROW(),"")</f>
        <v/>
      </c>
      <c r="S793">
        <f>IF(ISNUMBER(B793),INT(B793)-WEEKDAY(B793,3),"")</f>
        <v/>
      </c>
      <c r="T793">
        <f>IF(ISNUMBER(B793),YEAR(B793)*100+MONTH(B793),"")</f>
        <v/>
      </c>
      <c r="U793">
        <f>IF(AND(ISNUMBER(B793),H793&lt;&gt;"Published"),IF(INT(B793)&gt;=TODAY(),R793,""),"")</f>
        <v/>
      </c>
      <c r="V793">
        <f>IF(AND(ISNUMBER(B793),OR(H793="Draft",H793="Scheduled")),IF(INT(B793)&lt;TODAY(),1,0),0)</f>
        <v/>
      </c>
      <c r="W793">
        <f>IF(AND(H793="Published",N(O793)&gt;0),IF(T793=(YEAR(TODAY())*100+MONTH(TODAY())),ROUND(O793,0)*1000+1000-ROW(),""),"")</f>
        <v/>
      </c>
    </row>
    <row r="794">
      <c r="A794" s="1" t="n"/>
      <c r="B794" s="21" t="n"/>
      <c r="C794" s="22" t="n"/>
      <c r="D794" s="23" t="n"/>
      <c r="E794" s="24" t="n"/>
      <c r="F794" s="23" t="n"/>
      <c r="G794" s="25" t="n"/>
      <c r="H794" s="24" t="n"/>
      <c r="I794" s="23" t="n"/>
      <c r="J794" s="26" t="n"/>
      <c r="K794" s="26" t="n"/>
      <c r="L794" s="26" t="n"/>
      <c r="M794" s="26" t="n"/>
      <c r="N794" s="26" t="n"/>
      <c r="O794" s="27">
        <f>IF(COUNT(K794:N794)=0,"",SUM(K794:N794))</f>
        <v/>
      </c>
      <c r="P794" s="16">
        <f>IF(OR(O794="",N(J794)&lt;=0),"",O794/J794)</f>
        <v/>
      </c>
      <c r="Q794" s="28">
        <f>IF(V794=1,"Late","")</f>
        <v/>
      </c>
      <c r="R794" s="1">
        <f>IF(ISNUMBER(B794),INT(B794)*10000000+IF(ISNUMBER(C794),ROUND(MOD(C794,1)*1440,0),0)*1000+ROW(),"")</f>
        <v/>
      </c>
      <c r="S794">
        <f>IF(ISNUMBER(B794),INT(B794)-WEEKDAY(B794,3),"")</f>
        <v/>
      </c>
      <c r="T794">
        <f>IF(ISNUMBER(B794),YEAR(B794)*100+MONTH(B794),"")</f>
        <v/>
      </c>
      <c r="U794">
        <f>IF(AND(ISNUMBER(B794),H794&lt;&gt;"Published"),IF(INT(B794)&gt;=TODAY(),R794,""),"")</f>
        <v/>
      </c>
      <c r="V794">
        <f>IF(AND(ISNUMBER(B794),OR(H794="Draft",H794="Scheduled")),IF(INT(B794)&lt;TODAY(),1,0),0)</f>
        <v/>
      </c>
      <c r="W794">
        <f>IF(AND(H794="Published",N(O794)&gt;0),IF(T794=(YEAR(TODAY())*100+MONTH(TODAY())),ROUND(O794,0)*1000+1000-ROW(),""),"")</f>
        <v/>
      </c>
    </row>
    <row r="795">
      <c r="A795" s="1" t="n"/>
      <c r="B795" s="21" t="n"/>
      <c r="C795" s="22" t="n"/>
      <c r="D795" s="23" t="n"/>
      <c r="E795" s="24" t="n"/>
      <c r="F795" s="23" t="n"/>
      <c r="G795" s="25" t="n"/>
      <c r="H795" s="24" t="n"/>
      <c r="I795" s="23" t="n"/>
      <c r="J795" s="26" t="n"/>
      <c r="K795" s="26" t="n"/>
      <c r="L795" s="26" t="n"/>
      <c r="M795" s="26" t="n"/>
      <c r="N795" s="26" t="n"/>
      <c r="O795" s="27">
        <f>IF(COUNT(K795:N795)=0,"",SUM(K795:N795))</f>
        <v/>
      </c>
      <c r="P795" s="16">
        <f>IF(OR(O795="",N(J795)&lt;=0),"",O795/J795)</f>
        <v/>
      </c>
      <c r="Q795" s="28">
        <f>IF(V795=1,"Late","")</f>
        <v/>
      </c>
      <c r="R795" s="1">
        <f>IF(ISNUMBER(B795),INT(B795)*10000000+IF(ISNUMBER(C795),ROUND(MOD(C795,1)*1440,0),0)*1000+ROW(),"")</f>
        <v/>
      </c>
      <c r="S795">
        <f>IF(ISNUMBER(B795),INT(B795)-WEEKDAY(B795,3),"")</f>
        <v/>
      </c>
      <c r="T795">
        <f>IF(ISNUMBER(B795),YEAR(B795)*100+MONTH(B795),"")</f>
        <v/>
      </c>
      <c r="U795">
        <f>IF(AND(ISNUMBER(B795),H795&lt;&gt;"Published"),IF(INT(B795)&gt;=TODAY(),R795,""),"")</f>
        <v/>
      </c>
      <c r="V795">
        <f>IF(AND(ISNUMBER(B795),OR(H795="Draft",H795="Scheduled")),IF(INT(B795)&lt;TODAY(),1,0),0)</f>
        <v/>
      </c>
      <c r="W795">
        <f>IF(AND(H795="Published",N(O795)&gt;0),IF(T795=(YEAR(TODAY())*100+MONTH(TODAY())),ROUND(O795,0)*1000+1000-ROW(),""),"")</f>
        <v/>
      </c>
    </row>
    <row r="796">
      <c r="A796" s="1" t="n"/>
      <c r="B796" s="21" t="n"/>
      <c r="C796" s="22" t="n"/>
      <c r="D796" s="23" t="n"/>
      <c r="E796" s="24" t="n"/>
      <c r="F796" s="23" t="n"/>
      <c r="G796" s="25" t="n"/>
      <c r="H796" s="24" t="n"/>
      <c r="I796" s="23" t="n"/>
      <c r="J796" s="26" t="n"/>
      <c r="K796" s="26" t="n"/>
      <c r="L796" s="26" t="n"/>
      <c r="M796" s="26" t="n"/>
      <c r="N796" s="26" t="n"/>
      <c r="O796" s="27">
        <f>IF(COUNT(K796:N796)=0,"",SUM(K796:N796))</f>
        <v/>
      </c>
      <c r="P796" s="16">
        <f>IF(OR(O796="",N(J796)&lt;=0),"",O796/J796)</f>
        <v/>
      </c>
      <c r="Q796" s="28">
        <f>IF(V796=1,"Late","")</f>
        <v/>
      </c>
      <c r="R796" s="1">
        <f>IF(ISNUMBER(B796),INT(B796)*10000000+IF(ISNUMBER(C796),ROUND(MOD(C796,1)*1440,0),0)*1000+ROW(),"")</f>
        <v/>
      </c>
      <c r="S796">
        <f>IF(ISNUMBER(B796),INT(B796)-WEEKDAY(B796,3),"")</f>
        <v/>
      </c>
      <c r="T796">
        <f>IF(ISNUMBER(B796),YEAR(B796)*100+MONTH(B796),"")</f>
        <v/>
      </c>
      <c r="U796">
        <f>IF(AND(ISNUMBER(B796),H796&lt;&gt;"Published"),IF(INT(B796)&gt;=TODAY(),R796,""),"")</f>
        <v/>
      </c>
      <c r="V796">
        <f>IF(AND(ISNUMBER(B796),OR(H796="Draft",H796="Scheduled")),IF(INT(B796)&lt;TODAY(),1,0),0)</f>
        <v/>
      </c>
      <c r="W796">
        <f>IF(AND(H796="Published",N(O796)&gt;0),IF(T796=(YEAR(TODAY())*100+MONTH(TODAY())),ROUND(O796,0)*1000+1000-ROW(),""),"")</f>
        <v/>
      </c>
    </row>
    <row r="797">
      <c r="A797" s="1" t="n"/>
      <c r="B797" s="21" t="n"/>
      <c r="C797" s="22" t="n"/>
      <c r="D797" s="23" t="n"/>
      <c r="E797" s="24" t="n"/>
      <c r="F797" s="23" t="n"/>
      <c r="G797" s="25" t="n"/>
      <c r="H797" s="24" t="n"/>
      <c r="I797" s="23" t="n"/>
      <c r="J797" s="26" t="n"/>
      <c r="K797" s="26" t="n"/>
      <c r="L797" s="26" t="n"/>
      <c r="M797" s="26" t="n"/>
      <c r="N797" s="26" t="n"/>
      <c r="O797" s="27">
        <f>IF(COUNT(K797:N797)=0,"",SUM(K797:N797))</f>
        <v/>
      </c>
      <c r="P797" s="16">
        <f>IF(OR(O797="",N(J797)&lt;=0),"",O797/J797)</f>
        <v/>
      </c>
      <c r="Q797" s="28">
        <f>IF(V797=1,"Late","")</f>
        <v/>
      </c>
      <c r="R797" s="1">
        <f>IF(ISNUMBER(B797),INT(B797)*10000000+IF(ISNUMBER(C797),ROUND(MOD(C797,1)*1440,0),0)*1000+ROW(),"")</f>
        <v/>
      </c>
      <c r="S797">
        <f>IF(ISNUMBER(B797),INT(B797)-WEEKDAY(B797,3),"")</f>
        <v/>
      </c>
      <c r="T797">
        <f>IF(ISNUMBER(B797),YEAR(B797)*100+MONTH(B797),"")</f>
        <v/>
      </c>
      <c r="U797">
        <f>IF(AND(ISNUMBER(B797),H797&lt;&gt;"Published"),IF(INT(B797)&gt;=TODAY(),R797,""),"")</f>
        <v/>
      </c>
      <c r="V797">
        <f>IF(AND(ISNUMBER(B797),OR(H797="Draft",H797="Scheduled")),IF(INT(B797)&lt;TODAY(),1,0),0)</f>
        <v/>
      </c>
      <c r="W797">
        <f>IF(AND(H797="Published",N(O797)&gt;0),IF(T797=(YEAR(TODAY())*100+MONTH(TODAY())),ROUND(O797,0)*1000+1000-ROW(),""),"")</f>
        <v/>
      </c>
    </row>
    <row r="798">
      <c r="A798" s="1" t="n"/>
      <c r="B798" s="21" t="n"/>
      <c r="C798" s="22" t="n"/>
      <c r="D798" s="23" t="n"/>
      <c r="E798" s="24" t="n"/>
      <c r="F798" s="23" t="n"/>
      <c r="G798" s="25" t="n"/>
      <c r="H798" s="24" t="n"/>
      <c r="I798" s="23" t="n"/>
      <c r="J798" s="26" t="n"/>
      <c r="K798" s="26" t="n"/>
      <c r="L798" s="26" t="n"/>
      <c r="M798" s="26" t="n"/>
      <c r="N798" s="26" t="n"/>
      <c r="O798" s="27">
        <f>IF(COUNT(K798:N798)=0,"",SUM(K798:N798))</f>
        <v/>
      </c>
      <c r="P798" s="16">
        <f>IF(OR(O798="",N(J798)&lt;=0),"",O798/J798)</f>
        <v/>
      </c>
      <c r="Q798" s="28">
        <f>IF(V798=1,"Late","")</f>
        <v/>
      </c>
      <c r="R798" s="1">
        <f>IF(ISNUMBER(B798),INT(B798)*10000000+IF(ISNUMBER(C798),ROUND(MOD(C798,1)*1440,0),0)*1000+ROW(),"")</f>
        <v/>
      </c>
      <c r="S798">
        <f>IF(ISNUMBER(B798),INT(B798)-WEEKDAY(B798,3),"")</f>
        <v/>
      </c>
      <c r="T798">
        <f>IF(ISNUMBER(B798),YEAR(B798)*100+MONTH(B798),"")</f>
        <v/>
      </c>
      <c r="U798">
        <f>IF(AND(ISNUMBER(B798),H798&lt;&gt;"Published"),IF(INT(B798)&gt;=TODAY(),R798,""),"")</f>
        <v/>
      </c>
      <c r="V798">
        <f>IF(AND(ISNUMBER(B798),OR(H798="Draft",H798="Scheduled")),IF(INT(B798)&lt;TODAY(),1,0),0)</f>
        <v/>
      </c>
      <c r="W798">
        <f>IF(AND(H798="Published",N(O798)&gt;0),IF(T798=(YEAR(TODAY())*100+MONTH(TODAY())),ROUND(O798,0)*1000+1000-ROW(),""),"")</f>
        <v/>
      </c>
    </row>
    <row r="799">
      <c r="A799" s="1" t="n"/>
      <c r="B799" s="21" t="n"/>
      <c r="C799" s="22" t="n"/>
      <c r="D799" s="23" t="n"/>
      <c r="E799" s="24" t="n"/>
      <c r="F799" s="23" t="n"/>
      <c r="G799" s="25" t="n"/>
      <c r="H799" s="24" t="n"/>
      <c r="I799" s="23" t="n"/>
      <c r="J799" s="26" t="n"/>
      <c r="K799" s="26" t="n"/>
      <c r="L799" s="26" t="n"/>
      <c r="M799" s="26" t="n"/>
      <c r="N799" s="26" t="n"/>
      <c r="O799" s="27">
        <f>IF(COUNT(K799:N799)=0,"",SUM(K799:N799))</f>
        <v/>
      </c>
      <c r="P799" s="16">
        <f>IF(OR(O799="",N(J799)&lt;=0),"",O799/J799)</f>
        <v/>
      </c>
      <c r="Q799" s="28">
        <f>IF(V799=1,"Late","")</f>
        <v/>
      </c>
      <c r="R799" s="1">
        <f>IF(ISNUMBER(B799),INT(B799)*10000000+IF(ISNUMBER(C799),ROUND(MOD(C799,1)*1440,0),0)*1000+ROW(),"")</f>
        <v/>
      </c>
      <c r="S799">
        <f>IF(ISNUMBER(B799),INT(B799)-WEEKDAY(B799,3),"")</f>
        <v/>
      </c>
      <c r="T799">
        <f>IF(ISNUMBER(B799),YEAR(B799)*100+MONTH(B799),"")</f>
        <v/>
      </c>
      <c r="U799">
        <f>IF(AND(ISNUMBER(B799),H799&lt;&gt;"Published"),IF(INT(B799)&gt;=TODAY(),R799,""),"")</f>
        <v/>
      </c>
      <c r="V799">
        <f>IF(AND(ISNUMBER(B799),OR(H799="Draft",H799="Scheduled")),IF(INT(B799)&lt;TODAY(),1,0),0)</f>
        <v/>
      </c>
      <c r="W799">
        <f>IF(AND(H799="Published",N(O799)&gt;0),IF(T799=(YEAR(TODAY())*100+MONTH(TODAY())),ROUND(O799,0)*1000+1000-ROW(),""),"")</f>
        <v/>
      </c>
    </row>
    <row r="800">
      <c r="A800" s="1" t="n"/>
      <c r="B800" s="21" t="n"/>
      <c r="C800" s="22" t="n"/>
      <c r="D800" s="23" t="n"/>
      <c r="E800" s="24" t="n"/>
      <c r="F800" s="23" t="n"/>
      <c r="G800" s="25" t="n"/>
      <c r="H800" s="24" t="n"/>
      <c r="I800" s="23" t="n"/>
      <c r="J800" s="26" t="n"/>
      <c r="K800" s="26" t="n"/>
      <c r="L800" s="26" t="n"/>
      <c r="M800" s="26" t="n"/>
      <c r="N800" s="26" t="n"/>
      <c r="O800" s="27">
        <f>IF(COUNT(K800:N800)=0,"",SUM(K800:N800))</f>
        <v/>
      </c>
      <c r="P800" s="16">
        <f>IF(OR(O800="",N(J800)&lt;=0),"",O800/J800)</f>
        <v/>
      </c>
      <c r="Q800" s="28">
        <f>IF(V800=1,"Late","")</f>
        <v/>
      </c>
      <c r="R800" s="1">
        <f>IF(ISNUMBER(B800),INT(B800)*10000000+IF(ISNUMBER(C800),ROUND(MOD(C800,1)*1440,0),0)*1000+ROW(),"")</f>
        <v/>
      </c>
      <c r="S800">
        <f>IF(ISNUMBER(B800),INT(B800)-WEEKDAY(B800,3),"")</f>
        <v/>
      </c>
      <c r="T800">
        <f>IF(ISNUMBER(B800),YEAR(B800)*100+MONTH(B800),"")</f>
        <v/>
      </c>
      <c r="U800">
        <f>IF(AND(ISNUMBER(B800),H800&lt;&gt;"Published"),IF(INT(B800)&gt;=TODAY(),R800,""),"")</f>
        <v/>
      </c>
      <c r="V800">
        <f>IF(AND(ISNUMBER(B800),OR(H800="Draft",H800="Scheduled")),IF(INT(B800)&lt;TODAY(),1,0),0)</f>
        <v/>
      </c>
      <c r="W800">
        <f>IF(AND(H800="Published",N(O800)&gt;0),IF(T800=(YEAR(TODAY())*100+MONTH(TODAY())),ROUND(O800,0)*1000+1000-ROW(),""),"")</f>
        <v/>
      </c>
    </row>
    <row r="801">
      <c r="A801" s="1" t="n"/>
      <c r="B801" s="21" t="n"/>
      <c r="C801" s="22" t="n"/>
      <c r="D801" s="23" t="n"/>
      <c r="E801" s="24" t="n"/>
      <c r="F801" s="23" t="n"/>
      <c r="G801" s="25" t="n"/>
      <c r="H801" s="24" t="n"/>
      <c r="I801" s="23" t="n"/>
      <c r="J801" s="26" t="n"/>
      <c r="K801" s="26" t="n"/>
      <c r="L801" s="26" t="n"/>
      <c r="M801" s="26" t="n"/>
      <c r="N801" s="26" t="n"/>
      <c r="O801" s="27">
        <f>IF(COUNT(K801:N801)=0,"",SUM(K801:N801))</f>
        <v/>
      </c>
      <c r="P801" s="16">
        <f>IF(OR(O801="",N(J801)&lt;=0),"",O801/J801)</f>
        <v/>
      </c>
      <c r="Q801" s="28">
        <f>IF(V801=1,"Late","")</f>
        <v/>
      </c>
      <c r="R801" s="1">
        <f>IF(ISNUMBER(B801),INT(B801)*10000000+IF(ISNUMBER(C801),ROUND(MOD(C801,1)*1440,0),0)*1000+ROW(),"")</f>
        <v/>
      </c>
      <c r="S801">
        <f>IF(ISNUMBER(B801),INT(B801)-WEEKDAY(B801,3),"")</f>
        <v/>
      </c>
      <c r="T801">
        <f>IF(ISNUMBER(B801),YEAR(B801)*100+MONTH(B801),"")</f>
        <v/>
      </c>
      <c r="U801">
        <f>IF(AND(ISNUMBER(B801),H801&lt;&gt;"Published"),IF(INT(B801)&gt;=TODAY(),R801,""),"")</f>
        <v/>
      </c>
      <c r="V801">
        <f>IF(AND(ISNUMBER(B801),OR(H801="Draft",H801="Scheduled")),IF(INT(B801)&lt;TODAY(),1,0),0)</f>
        <v/>
      </c>
      <c r="W801">
        <f>IF(AND(H801="Published",N(O801)&gt;0),IF(T801=(YEAR(TODAY())*100+MONTH(TODAY())),ROUND(O801,0)*1000+1000-ROW(),""),"")</f>
        <v/>
      </c>
    </row>
    <row r="802">
      <c r="A802" s="1" t="n"/>
      <c r="B802" s="21" t="n"/>
      <c r="C802" s="22" t="n"/>
      <c r="D802" s="23" t="n"/>
      <c r="E802" s="24" t="n"/>
      <c r="F802" s="23" t="n"/>
      <c r="G802" s="25" t="n"/>
      <c r="H802" s="24" t="n"/>
      <c r="I802" s="23" t="n"/>
      <c r="J802" s="26" t="n"/>
      <c r="K802" s="26" t="n"/>
      <c r="L802" s="26" t="n"/>
      <c r="M802" s="26" t="n"/>
      <c r="N802" s="26" t="n"/>
      <c r="O802" s="27">
        <f>IF(COUNT(K802:N802)=0,"",SUM(K802:N802))</f>
        <v/>
      </c>
      <c r="P802" s="16">
        <f>IF(OR(O802="",N(J802)&lt;=0),"",O802/J802)</f>
        <v/>
      </c>
      <c r="Q802" s="28">
        <f>IF(V802=1,"Late","")</f>
        <v/>
      </c>
      <c r="R802" s="1">
        <f>IF(ISNUMBER(B802),INT(B802)*10000000+IF(ISNUMBER(C802),ROUND(MOD(C802,1)*1440,0),0)*1000+ROW(),"")</f>
        <v/>
      </c>
      <c r="S802">
        <f>IF(ISNUMBER(B802),INT(B802)-WEEKDAY(B802,3),"")</f>
        <v/>
      </c>
      <c r="T802">
        <f>IF(ISNUMBER(B802),YEAR(B802)*100+MONTH(B802),"")</f>
        <v/>
      </c>
      <c r="U802">
        <f>IF(AND(ISNUMBER(B802),H802&lt;&gt;"Published"),IF(INT(B802)&gt;=TODAY(),R802,""),"")</f>
        <v/>
      </c>
      <c r="V802">
        <f>IF(AND(ISNUMBER(B802),OR(H802="Draft",H802="Scheduled")),IF(INT(B802)&lt;TODAY(),1,0),0)</f>
        <v/>
      </c>
      <c r="W802">
        <f>IF(AND(H802="Published",N(O802)&gt;0),IF(T802=(YEAR(TODAY())*100+MONTH(TODAY())),ROUND(O802,0)*1000+1000-ROW(),""),"")</f>
        <v/>
      </c>
    </row>
    <row r="803">
      <c r="A803" s="1" t="n"/>
      <c r="B803" s="21" t="n"/>
      <c r="C803" s="22" t="n"/>
      <c r="D803" s="23" t="n"/>
      <c r="E803" s="24" t="n"/>
      <c r="F803" s="23" t="n"/>
      <c r="G803" s="25" t="n"/>
      <c r="H803" s="24" t="n"/>
      <c r="I803" s="23" t="n"/>
      <c r="J803" s="26" t="n"/>
      <c r="K803" s="26" t="n"/>
      <c r="L803" s="26" t="n"/>
      <c r="M803" s="26" t="n"/>
      <c r="N803" s="26" t="n"/>
      <c r="O803" s="27">
        <f>IF(COUNT(K803:N803)=0,"",SUM(K803:N803))</f>
        <v/>
      </c>
      <c r="P803" s="16">
        <f>IF(OR(O803="",N(J803)&lt;=0),"",O803/J803)</f>
        <v/>
      </c>
      <c r="Q803" s="28">
        <f>IF(V803=1,"Late","")</f>
        <v/>
      </c>
      <c r="R803" s="1">
        <f>IF(ISNUMBER(B803),INT(B803)*10000000+IF(ISNUMBER(C803),ROUND(MOD(C803,1)*1440,0),0)*1000+ROW(),"")</f>
        <v/>
      </c>
      <c r="S803">
        <f>IF(ISNUMBER(B803),INT(B803)-WEEKDAY(B803,3),"")</f>
        <v/>
      </c>
      <c r="T803">
        <f>IF(ISNUMBER(B803),YEAR(B803)*100+MONTH(B803),"")</f>
        <v/>
      </c>
      <c r="U803">
        <f>IF(AND(ISNUMBER(B803),H803&lt;&gt;"Published"),IF(INT(B803)&gt;=TODAY(),R803,""),"")</f>
        <v/>
      </c>
      <c r="V803">
        <f>IF(AND(ISNUMBER(B803),OR(H803="Draft",H803="Scheduled")),IF(INT(B803)&lt;TODAY(),1,0),0)</f>
        <v/>
      </c>
      <c r="W803">
        <f>IF(AND(H803="Published",N(O803)&gt;0),IF(T803=(YEAR(TODAY())*100+MONTH(TODAY())),ROUND(O803,0)*1000+1000-ROW(),""),"")</f>
        <v/>
      </c>
    </row>
    <row r="804">
      <c r="A804" s="1" t="n"/>
      <c r="B804" s="21" t="n"/>
      <c r="C804" s="22" t="n"/>
      <c r="D804" s="23" t="n"/>
      <c r="E804" s="24" t="n"/>
      <c r="F804" s="23" t="n"/>
      <c r="G804" s="25" t="n"/>
      <c r="H804" s="24" t="n"/>
      <c r="I804" s="23" t="n"/>
      <c r="J804" s="26" t="n"/>
      <c r="K804" s="26" t="n"/>
      <c r="L804" s="26" t="n"/>
      <c r="M804" s="26" t="n"/>
      <c r="N804" s="26" t="n"/>
      <c r="O804" s="27">
        <f>IF(COUNT(K804:N804)=0,"",SUM(K804:N804))</f>
        <v/>
      </c>
      <c r="P804" s="16">
        <f>IF(OR(O804="",N(J804)&lt;=0),"",O804/J804)</f>
        <v/>
      </c>
      <c r="Q804" s="28">
        <f>IF(V804=1,"Late","")</f>
        <v/>
      </c>
      <c r="R804" s="1">
        <f>IF(ISNUMBER(B804),INT(B804)*10000000+IF(ISNUMBER(C804),ROUND(MOD(C804,1)*1440,0),0)*1000+ROW(),"")</f>
        <v/>
      </c>
      <c r="S804">
        <f>IF(ISNUMBER(B804),INT(B804)-WEEKDAY(B804,3),"")</f>
        <v/>
      </c>
      <c r="T804">
        <f>IF(ISNUMBER(B804),YEAR(B804)*100+MONTH(B804),"")</f>
        <v/>
      </c>
      <c r="U804">
        <f>IF(AND(ISNUMBER(B804),H804&lt;&gt;"Published"),IF(INT(B804)&gt;=TODAY(),R804,""),"")</f>
        <v/>
      </c>
      <c r="V804">
        <f>IF(AND(ISNUMBER(B804),OR(H804="Draft",H804="Scheduled")),IF(INT(B804)&lt;TODAY(),1,0),0)</f>
        <v/>
      </c>
      <c r="W804">
        <f>IF(AND(H804="Published",N(O804)&gt;0),IF(T804=(YEAR(TODAY())*100+MONTH(TODAY())),ROUND(O804,0)*1000+1000-ROW(),""),"")</f>
        <v/>
      </c>
    </row>
    <row r="805">
      <c r="A805" s="1" t="n"/>
      <c r="B805" s="21" t="n"/>
      <c r="C805" s="22" t="n"/>
      <c r="D805" s="23" t="n"/>
      <c r="E805" s="24" t="n"/>
      <c r="F805" s="23" t="n"/>
      <c r="G805" s="25" t="n"/>
      <c r="H805" s="24" t="n"/>
      <c r="I805" s="23" t="n"/>
      <c r="J805" s="26" t="n"/>
      <c r="K805" s="26" t="n"/>
      <c r="L805" s="26" t="n"/>
      <c r="M805" s="26" t="n"/>
      <c r="N805" s="26" t="n"/>
      <c r="O805" s="27">
        <f>IF(COUNT(K805:N805)=0,"",SUM(K805:N805))</f>
        <v/>
      </c>
      <c r="P805" s="16">
        <f>IF(OR(O805="",N(J805)&lt;=0),"",O805/J805)</f>
        <v/>
      </c>
      <c r="Q805" s="28">
        <f>IF(V805=1,"Late","")</f>
        <v/>
      </c>
      <c r="R805" s="1">
        <f>IF(ISNUMBER(B805),INT(B805)*10000000+IF(ISNUMBER(C805),ROUND(MOD(C805,1)*1440,0),0)*1000+ROW(),"")</f>
        <v/>
      </c>
      <c r="S805">
        <f>IF(ISNUMBER(B805),INT(B805)-WEEKDAY(B805,3),"")</f>
        <v/>
      </c>
      <c r="T805">
        <f>IF(ISNUMBER(B805),YEAR(B805)*100+MONTH(B805),"")</f>
        <v/>
      </c>
      <c r="U805">
        <f>IF(AND(ISNUMBER(B805),H805&lt;&gt;"Published"),IF(INT(B805)&gt;=TODAY(),R805,""),"")</f>
        <v/>
      </c>
      <c r="V805">
        <f>IF(AND(ISNUMBER(B805),OR(H805="Draft",H805="Scheduled")),IF(INT(B805)&lt;TODAY(),1,0),0)</f>
        <v/>
      </c>
      <c r="W805">
        <f>IF(AND(H805="Published",N(O805)&gt;0),IF(T805=(YEAR(TODAY())*100+MONTH(TODAY())),ROUND(O805,0)*1000+1000-ROW(),""),"")</f>
        <v/>
      </c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</row>
  </sheetData>
  <conditionalFormatting sqref="H6:H805">
    <cfRule type="expression" priority="1" dxfId="3">
      <formula>H6="Published"</formula>
    </cfRule>
    <cfRule type="expression" priority="2" dxfId="4">
      <formula>H6="Scheduled"</formula>
    </cfRule>
    <cfRule type="expression" priority="3" dxfId="0">
      <formula>H6="Draft"</formula>
    </cfRule>
  </conditionalFormatting>
  <conditionalFormatting sqref="Q6:Q805">
    <cfRule type="expression" priority="4" dxfId="1">
      <formula>Q6="Late"</formula>
    </cfRule>
  </conditionalFormatting>
  <dataValidations count="4">
    <dataValidation sqref="D6:D805" showDropDown="0" showInputMessage="0" showErrorMessage="1" allowBlank="1" type="list">
      <formula1>=Settings!$B$10:$B$17</formula1>
    </dataValidation>
    <dataValidation sqref="E6:E805" showDropDown="0" showInputMessage="0" showErrorMessage="0" allowBlank="1" type="list">
      <formula1>"Post,Carousel,Reel,Story,Video,Short,Live,Pin,Email,Thread"</formula1>
    </dataValidation>
    <dataValidation sqref="F6:F805" showDropDown="0" showInputMessage="0" showErrorMessage="0" allowBlank="1" type="list">
      <formula1>=Settings!$B$21:$B$28</formula1>
    </dataValidation>
    <dataValidation sqref="H6:H805" showDropDown="0" showInputMessage="0" showErrorMessage="1" allowBlank="1" type="list">
      <formula1>"Idea,Draft,Scheduled,Published"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0" customWidth="1" min="16" max="16"/>
    <col hidden="1" width="13" customWidth="1" min="18" max="18"/>
    <col hidden="1" width="13" customWidth="1" min="19" max="1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32" customHeight="1">
      <c r="A2" s="1" t="n"/>
      <c r="B2" s="2" t="inlineStr">
        <is>
          <t>Stats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>
      <c r="A3" s="1" t="n"/>
      <c r="B3" s="3" t="inlineStr">
        <is>
          <t>Followers on each platform at the end of each month.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 ht="30" customHeight="1">
      <c r="A5" s="1" t="n"/>
      <c r="B5" s="9" t="inlineStr">
        <is>
          <t>Platform</t>
        </is>
      </c>
      <c r="C5" s="29">
        <f>EDATE(Settings!$C$6,0)</f>
        <v/>
      </c>
      <c r="D5" s="29">
        <f>EDATE(Settings!$C$6,1)</f>
        <v/>
      </c>
      <c r="E5" s="29">
        <f>EDATE(Settings!$C$6,2)</f>
        <v/>
      </c>
      <c r="F5" s="29">
        <f>EDATE(Settings!$C$6,3)</f>
        <v/>
      </c>
      <c r="G5" s="29">
        <f>EDATE(Settings!$C$6,4)</f>
        <v/>
      </c>
      <c r="H5" s="29">
        <f>EDATE(Settings!$C$6,5)</f>
        <v/>
      </c>
      <c r="I5" s="29">
        <f>EDATE(Settings!$C$6,6)</f>
        <v/>
      </c>
      <c r="J5" s="29">
        <f>EDATE(Settings!$C$6,7)</f>
        <v/>
      </c>
      <c r="K5" s="29">
        <f>EDATE(Settings!$C$6,8)</f>
        <v/>
      </c>
      <c r="L5" s="29">
        <f>EDATE(Settings!$C$6,9)</f>
        <v/>
      </c>
      <c r="M5" s="29">
        <f>EDATE(Settings!$C$6,10)</f>
        <v/>
      </c>
      <c r="N5" s="29">
        <f>EDATE(Settings!$C$6,11)</f>
        <v/>
      </c>
      <c r="O5" s="9" t="inlineStr">
        <is>
          <t>Growth</t>
        </is>
      </c>
      <c r="P5" s="9" t="inlineStr">
        <is>
          <t>Growth %</t>
        </is>
      </c>
      <c r="Q5" s="1" t="n"/>
    </row>
    <row r="6">
      <c r="A6" s="1" t="n"/>
      <c r="B6" s="25" t="inlineStr">
        <is>
          <t>Instagram</t>
        </is>
      </c>
      <c r="C6" s="26" t="n">
        <v>4200</v>
      </c>
      <c r="D6" s="26" t="n">
        <v>4284</v>
      </c>
      <c r="E6" s="26" t="n">
        <v>4407</v>
      </c>
      <c r="F6" s="26" t="n">
        <v>4551</v>
      </c>
      <c r="G6" s="26" t="n">
        <v>4710</v>
      </c>
      <c r="H6" s="26" t="n">
        <v>4882</v>
      </c>
      <c r="I6" s="26" t="n">
        <v>5064</v>
      </c>
      <c r="J6" s="26" t="n">
        <v>5256</v>
      </c>
      <c r="K6" s="26" t="n">
        <v>5456</v>
      </c>
      <c r="L6" s="26" t="n">
        <v>5664</v>
      </c>
      <c r="M6" s="26" t="n">
        <v>5879</v>
      </c>
      <c r="N6" s="26" t="n">
        <v>6100</v>
      </c>
      <c r="O6" s="27">
        <f>IF(COUNT(C6:N6)&lt;2,"",INDEX(C6:N6,S6)-INDEX(C6:N6,R6))</f>
        <v/>
      </c>
      <c r="P6" s="30">
        <f>IF(OR(O6="",COUNT(C6:N6)&lt;2),"",IF(INDEX(C6:N6,R6)&lt;=0,"",O6/INDEX(C6:N6,R6)))</f>
        <v/>
      </c>
      <c r="Q6" s="1" t="n"/>
      <c r="R6">
        <f>SUMPRODUCT(MIN(ISNUMBER(C6:N6)*(COLUMN(C6:N6)-2)+(1-ISNUMBER(C6:N6))*999))</f>
        <v/>
      </c>
      <c r="S6">
        <f>SUMPRODUCT(MAX(ISNUMBER(C6:N6)*(COLUMN(C6:N6)-2)))</f>
        <v/>
      </c>
    </row>
    <row r="7">
      <c r="A7" s="1" t="n"/>
      <c r="B7" s="25" t="inlineStr">
        <is>
          <t>TikTok</t>
        </is>
      </c>
      <c r="C7" s="26" t="n">
        <v>1500</v>
      </c>
      <c r="D7" s="26" t="n">
        <v>1646</v>
      </c>
      <c r="E7" s="26" t="n">
        <v>1860</v>
      </c>
      <c r="F7" s="26" t="n">
        <v>2109</v>
      </c>
      <c r="G7" s="26" t="n">
        <v>2386</v>
      </c>
      <c r="H7" s="26" t="n">
        <v>2684</v>
      </c>
      <c r="I7" s="26" t="n">
        <v>3001</v>
      </c>
      <c r="J7" s="26" t="n">
        <v>3334</v>
      </c>
      <c r="K7" s="26" t="n">
        <v>3681</v>
      </c>
      <c r="L7" s="26" t="n">
        <v>4042</v>
      </c>
      <c r="M7" s="26" t="n">
        <v>4415</v>
      </c>
      <c r="N7" s="26" t="n">
        <v>4800</v>
      </c>
      <c r="O7" s="27">
        <f>IF(COUNT(C7:N7)&lt;2,"",INDEX(C7:N7,S7)-INDEX(C7:N7,R7))</f>
        <v/>
      </c>
      <c r="P7" s="30">
        <f>IF(OR(O7="",COUNT(C7:N7)&lt;2),"",IF(INDEX(C7:N7,R7)&lt;=0,"",O7/INDEX(C7:N7,R7)))</f>
        <v/>
      </c>
      <c r="Q7" s="1" t="n"/>
      <c r="R7">
        <f>SUMPRODUCT(MIN(ISNUMBER(C7:N7)*(COLUMN(C7:N7)-2)+(1-ISNUMBER(C7:N7))*999))</f>
        <v/>
      </c>
      <c r="S7">
        <f>SUMPRODUCT(MAX(ISNUMBER(C7:N7)*(COLUMN(C7:N7)-2)))</f>
        <v/>
      </c>
    </row>
    <row r="8">
      <c r="A8" s="1" t="n"/>
      <c r="B8" s="25" t="inlineStr">
        <is>
          <t>YouTube</t>
        </is>
      </c>
      <c r="C8" s="26" t="n">
        <v>380</v>
      </c>
      <c r="D8" s="26" t="n">
        <v>395</v>
      </c>
      <c r="E8" s="26" t="n">
        <v>417</v>
      </c>
      <c r="F8" s="26" t="n">
        <v>443</v>
      </c>
      <c r="G8" s="26" t="n">
        <v>471</v>
      </c>
      <c r="H8" s="26" t="n">
        <v>502</v>
      </c>
      <c r="I8" s="26" t="n">
        <v>535</v>
      </c>
      <c r="J8" s="26" t="n">
        <v>569</v>
      </c>
      <c r="K8" s="26" t="n">
        <v>605</v>
      </c>
      <c r="L8" s="26" t="n">
        <v>642</v>
      </c>
      <c r="M8" s="26" t="n">
        <v>680</v>
      </c>
      <c r="N8" s="26" t="n">
        <v>720</v>
      </c>
      <c r="O8" s="27">
        <f>IF(COUNT(C8:N8)&lt;2,"",INDEX(C8:N8,S8)-INDEX(C8:N8,R8))</f>
        <v/>
      </c>
      <c r="P8" s="30">
        <f>IF(OR(O8="",COUNT(C8:N8)&lt;2),"",IF(INDEX(C8:N8,R8)&lt;=0,"",O8/INDEX(C8:N8,R8)))</f>
        <v/>
      </c>
      <c r="Q8" s="1" t="n"/>
      <c r="R8">
        <f>SUMPRODUCT(MIN(ISNUMBER(C8:N8)*(COLUMN(C8:N8)-2)+(1-ISNUMBER(C8:N8))*999))</f>
        <v/>
      </c>
      <c r="S8">
        <f>SUMPRODUCT(MAX(ISNUMBER(C8:N8)*(COLUMN(C8:N8)-2)))</f>
        <v/>
      </c>
    </row>
    <row r="9">
      <c r="A9" s="1" t="n"/>
      <c r="B9" s="25" t="inlineStr">
        <is>
          <t>Pinterest</t>
        </is>
      </c>
      <c r="C9" s="26" t="n">
        <v>900</v>
      </c>
      <c r="D9" s="26" t="n">
        <v>927</v>
      </c>
      <c r="E9" s="26" t="n">
        <v>965</v>
      </c>
      <c r="F9" s="26" t="n">
        <v>1011</v>
      </c>
      <c r="G9" s="26" t="n">
        <v>1061</v>
      </c>
      <c r="H9" s="26" t="n">
        <v>1115</v>
      </c>
      <c r="I9" s="26" t="n">
        <v>1173</v>
      </c>
      <c r="J9" s="26" t="n">
        <v>1233</v>
      </c>
      <c r="K9" s="26" t="n">
        <v>1297</v>
      </c>
      <c r="L9" s="26" t="n">
        <v>1362</v>
      </c>
      <c r="M9" s="26" t="n">
        <v>1430</v>
      </c>
      <c r="N9" s="26" t="n">
        <v>1500</v>
      </c>
      <c r="O9" s="27">
        <f>IF(COUNT(C9:N9)&lt;2,"",INDEX(C9:N9,S9)-INDEX(C9:N9,R9))</f>
        <v/>
      </c>
      <c r="P9" s="30">
        <f>IF(OR(O9="",COUNT(C9:N9)&lt;2),"",IF(INDEX(C9:N9,R9)&lt;=0,"",O9/INDEX(C9:N9,R9)))</f>
        <v/>
      </c>
      <c r="Q9" s="1" t="n"/>
      <c r="R9">
        <f>SUMPRODUCT(MIN(ISNUMBER(C9:N9)*(COLUMN(C9:N9)-2)+(1-ISNUMBER(C9:N9))*999))</f>
        <v/>
      </c>
      <c r="S9">
        <f>SUMPRODUCT(MAX(ISNUMBER(C9:N9)*(COLUMN(C9:N9)-2)))</f>
        <v/>
      </c>
    </row>
    <row r="10">
      <c r="A10" s="1" t="n"/>
      <c r="B10" s="25" t="inlineStr">
        <is>
          <t>Newsletter</t>
        </is>
      </c>
      <c r="C10" s="26" t="n">
        <v>610</v>
      </c>
      <c r="D10" s="26" t="n">
        <v>626</v>
      </c>
      <c r="E10" s="26" t="n">
        <v>650</v>
      </c>
      <c r="F10" s="26" t="n">
        <v>678</v>
      </c>
      <c r="G10" s="26" t="n">
        <v>709</v>
      </c>
      <c r="H10" s="26" t="n">
        <v>743</v>
      </c>
      <c r="I10" s="26" t="n">
        <v>778</v>
      </c>
      <c r="J10" s="26" t="n">
        <v>816</v>
      </c>
      <c r="K10" s="26" t="n">
        <v>855</v>
      </c>
      <c r="L10" s="26" t="n">
        <v>895</v>
      </c>
      <c r="M10" s="26" t="n">
        <v>937</v>
      </c>
      <c r="N10" s="26" t="n">
        <v>980</v>
      </c>
      <c r="O10" s="27">
        <f>IF(COUNT(C10:N10)&lt;2,"",INDEX(C10:N10,S10)-INDEX(C10:N10,R10))</f>
        <v/>
      </c>
      <c r="P10" s="30">
        <f>IF(OR(O10="",COUNT(C10:N10)&lt;2),"",IF(INDEX(C10:N10,R10)&lt;=0,"",O10/INDEX(C10:N10,R10)))</f>
        <v/>
      </c>
      <c r="Q10" s="1" t="n"/>
      <c r="R10">
        <f>SUMPRODUCT(MIN(ISNUMBER(C10:N10)*(COLUMN(C10:N10)-2)+(1-ISNUMBER(C10:N10))*999))</f>
        <v/>
      </c>
      <c r="S10">
        <f>SUMPRODUCT(MAX(ISNUMBER(C10:N10)*(COLUMN(C10:N10)-2)))</f>
        <v/>
      </c>
    </row>
    <row r="11">
      <c r="A11" s="1" t="n"/>
      <c r="B11" s="25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7">
        <f>IF(COUNT(C11:N11)&lt;2,"",INDEX(C11:N11,S11)-INDEX(C11:N11,R11))</f>
        <v/>
      </c>
      <c r="P11" s="30">
        <f>IF(OR(O11="",COUNT(C11:N11)&lt;2),"",IF(INDEX(C11:N11,R11)&lt;=0,"",O11/INDEX(C11:N11,R11)))</f>
        <v/>
      </c>
      <c r="Q11" s="1" t="n"/>
      <c r="R11">
        <f>SUMPRODUCT(MIN(ISNUMBER(C11:N11)*(COLUMN(C11:N11)-2)+(1-ISNUMBER(C11:N11))*999))</f>
        <v/>
      </c>
      <c r="S11">
        <f>SUMPRODUCT(MAX(ISNUMBER(C11:N11)*(COLUMN(C11:N11)-2)))</f>
        <v/>
      </c>
    </row>
    <row r="12">
      <c r="A12" s="1" t="n"/>
      <c r="B12" s="25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7">
        <f>IF(COUNT(C12:N12)&lt;2,"",INDEX(C12:N12,S12)-INDEX(C12:N12,R12))</f>
        <v/>
      </c>
      <c r="P12" s="30">
        <f>IF(OR(O12="",COUNT(C12:N12)&lt;2),"",IF(INDEX(C12:N12,R12)&lt;=0,"",O12/INDEX(C12:N12,R12)))</f>
        <v/>
      </c>
      <c r="Q12" s="1" t="n"/>
      <c r="R12">
        <f>SUMPRODUCT(MIN(ISNUMBER(C12:N12)*(COLUMN(C12:N12)-2)+(1-ISNUMBER(C12:N12))*999))</f>
        <v/>
      </c>
      <c r="S12">
        <f>SUMPRODUCT(MAX(ISNUMBER(C12:N12)*(COLUMN(C12:N12)-2)))</f>
        <v/>
      </c>
    </row>
    <row r="13">
      <c r="A13" s="1" t="n"/>
      <c r="B13" s="25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6" t="n"/>
      <c r="O13" s="27">
        <f>IF(COUNT(C13:N13)&lt;2,"",INDEX(C13:N13,S13)-INDEX(C13:N13,R13))</f>
        <v/>
      </c>
      <c r="P13" s="30">
        <f>IF(OR(O13="",COUNT(C13:N13)&lt;2),"",IF(INDEX(C13:N13,R13)&lt;=0,"",O13/INDEX(C13:N13,R13)))</f>
        <v/>
      </c>
      <c r="Q13" s="1" t="n"/>
      <c r="R13">
        <f>SUMPRODUCT(MIN(ISNUMBER(C13:N13)*(COLUMN(C13:N13)-2)+(1-ISNUMBER(C13:N13))*999))</f>
        <v/>
      </c>
      <c r="S13">
        <f>SUMPRODUCT(MAX(ISNUMBER(C13:N13)*(COLUMN(C13:N13)-2)))</f>
        <v/>
      </c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</row>
    <row r="15">
      <c r="A15" s="1" t="n"/>
      <c r="B15" s="31" t="inlineStr">
        <is>
          <t>All platforms</t>
        </is>
      </c>
      <c r="C15" s="32">
        <f>IF(COUNT(C6:C13)=0,"",SUM(C6:C13))</f>
        <v/>
      </c>
      <c r="D15" s="32">
        <f>IF(COUNT(D6:D13)=0,"",SUM(D6:D13))</f>
        <v/>
      </c>
      <c r="E15" s="32">
        <f>IF(COUNT(E6:E13)=0,"",SUM(E6:E13))</f>
        <v/>
      </c>
      <c r="F15" s="32">
        <f>IF(COUNT(F6:F13)=0,"",SUM(F6:F13))</f>
        <v/>
      </c>
      <c r="G15" s="32">
        <f>IF(COUNT(G6:G13)=0,"",SUM(G6:G13))</f>
        <v/>
      </c>
      <c r="H15" s="32">
        <f>IF(COUNT(H6:H13)=0,"",SUM(H6:H13))</f>
        <v/>
      </c>
      <c r="I15" s="32">
        <f>IF(COUNT(I6:I13)=0,"",SUM(I6:I13))</f>
        <v/>
      </c>
      <c r="J15" s="32">
        <f>IF(COUNT(J6:J13)=0,"",SUM(J6:J13))</f>
        <v/>
      </c>
      <c r="K15" s="32">
        <f>IF(COUNT(K6:K13)=0,"",SUM(K6:K13))</f>
        <v/>
      </c>
      <c r="L15" s="32">
        <f>IF(COUNT(L6:L13)=0,"",SUM(L6:L13))</f>
        <v/>
      </c>
      <c r="M15" s="32">
        <f>IF(COUNT(M6:M13)=0,"",SUM(M6:M13))</f>
        <v/>
      </c>
      <c r="N15" s="32">
        <f>IF(COUNT(N6:N13)=0,"",SUM(N6:N13))</f>
        <v/>
      </c>
      <c r="O15" s="1" t="n"/>
      <c r="P15" s="1" t="n"/>
      <c r="Q15" s="1" t="n"/>
    </row>
    <row r="16" hidden="1">
      <c r="A16" s="1" t="n"/>
      <c r="B16" s="1" t="n"/>
      <c r="C16" s="1">
        <f>IF(COUNT(C6:C13)&gt;0,1,0)</f>
        <v/>
      </c>
      <c r="D16" s="1">
        <f>IF(COUNT(D6:D13)&gt;0,2,0)</f>
        <v/>
      </c>
      <c r="E16" s="1">
        <f>IF(COUNT(E6:E13)&gt;0,3,0)</f>
        <v/>
      </c>
      <c r="F16" s="1">
        <f>IF(COUNT(F6:F13)&gt;0,4,0)</f>
        <v/>
      </c>
      <c r="G16" s="1">
        <f>IF(COUNT(G6:G13)&gt;0,5,0)</f>
        <v/>
      </c>
      <c r="H16" s="1">
        <f>IF(COUNT(H6:H13)&gt;0,6,0)</f>
        <v/>
      </c>
      <c r="I16" s="1">
        <f>IF(COUNT(I6:I13)&gt;0,7,0)</f>
        <v/>
      </c>
      <c r="J16" s="1">
        <f>IF(COUNT(J6:J13)&gt;0,8,0)</f>
        <v/>
      </c>
      <c r="K16" s="1">
        <f>IF(COUNT(K6:K13)&gt;0,9,0)</f>
        <v/>
      </c>
      <c r="L16" s="1">
        <f>IF(COUNT(L6:L13)&gt;0,10,0)</f>
        <v/>
      </c>
      <c r="M16" s="1">
        <f>IF(COUNT(M6:M13)&gt;0,11,0)</f>
        <v/>
      </c>
      <c r="N16" s="1">
        <f>IF(COUNT(N6:N13)&gt;0,12,0)</f>
        <v/>
      </c>
      <c r="O16" s="1" t="n"/>
      <c r="P16" s="1" t="n"/>
      <c r="Q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6" customWidth="1" min="4" max="4"/>
    <col width="4" customWidth="1" min="5" max="5"/>
    <col width="60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2" customHeight="1">
      <c r="A2" s="1" t="n"/>
      <c r="B2" s="2" t="inlineStr">
        <is>
          <t>Settings</t>
        </is>
      </c>
      <c r="C2" s="1" t="n"/>
      <c r="D2" s="1" t="n"/>
      <c r="E2" s="1" t="n"/>
      <c r="F2" s="1" t="n"/>
      <c r="G2" s="1" t="n"/>
    </row>
    <row r="3">
      <c r="A3" s="1" t="n"/>
      <c r="B3" s="3" t="inlineStr">
        <is>
          <t>Your platforms and their weekly goals, your topics, and the month the calendar shows.</t>
        </is>
      </c>
      <c r="C3" s="1" t="n"/>
      <c r="D3" s="1" t="n"/>
      <c r="E3" s="1" t="n"/>
      <c r="F3" s="1" t="n"/>
      <c r="G3" s="1" t="n"/>
    </row>
    <row r="4">
      <c r="A4" s="1" t="n"/>
      <c r="B4" s="33" t="inlineStr">
        <is>
          <t>Show another month</t>
        </is>
      </c>
      <c r="C4" s="34" t="n"/>
      <c r="D4" s="1" t="n"/>
      <c r="E4" s="1" t="n"/>
      <c r="F4" s="19" t="inlineStr">
        <is>
          <t>Leave it empty for this month. Type any day of another.</t>
        </is>
      </c>
      <c r="G4" s="1" t="n"/>
    </row>
    <row r="5">
      <c r="A5" s="1" t="n"/>
      <c r="B5" s="33" t="inlineStr">
        <is>
          <t>The calendar shows</t>
        </is>
      </c>
      <c r="C5" s="35">
        <f>IF(C4="",DATE(YEAR(TODAY()),MONTH(TODAY()),1),DATE(YEAR(C4),MONTH(C4),1))</f>
        <v/>
      </c>
      <c r="D5" s="1" t="n"/>
      <c r="E5" s="1" t="n"/>
      <c r="F5" s="19" t="inlineStr">
        <is>
          <t>The month on the Calendar tab.</t>
        </is>
      </c>
      <c r="G5" s="1" t="n"/>
    </row>
    <row r="6">
      <c r="A6" s="1" t="n"/>
      <c r="B6" s="33" t="inlineStr">
        <is>
          <t>First month on Stats</t>
        </is>
      </c>
      <c r="C6" s="34" t="n">
        <v>45931</v>
      </c>
      <c r="D6" s="1" t="n"/>
      <c r="E6" s="1" t="n"/>
      <c r="F6" s="19" t="inlineStr">
        <is>
          <t>Stats has 12 months from this one.</t>
        </is>
      </c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>
      <c r="A8" s="1" t="n"/>
      <c r="B8" s="1" t="n"/>
      <c r="C8" s="1" t="n"/>
      <c r="D8" s="1" t="n"/>
      <c r="E8" s="1" t="n"/>
      <c r="F8" s="1" t="n"/>
      <c r="G8" s="1" t="n"/>
    </row>
    <row r="9" ht="30" customHeight="1">
      <c r="A9" s="1" t="n"/>
      <c r="B9" s="9" t="inlineStr">
        <is>
          <t>Platform</t>
        </is>
      </c>
      <c r="C9" s="9" t="inlineStr">
        <is>
          <t>Short name</t>
        </is>
      </c>
      <c r="D9" s="9" t="inlineStr">
        <is>
          <t>Posts a week</t>
        </is>
      </c>
      <c r="E9" s="1" t="n"/>
      <c r="F9" s="19" t="inlineStr">
        <is>
          <t>The short name goes on the calendar, next to each post.</t>
        </is>
      </c>
      <c r="G9" s="1" t="n"/>
    </row>
    <row r="10">
      <c r="A10" s="1" t="n"/>
      <c r="B10" s="25" t="inlineStr">
        <is>
          <t>Instagram</t>
        </is>
      </c>
      <c r="C10" s="24" t="inlineStr">
        <is>
          <t>IG</t>
        </is>
      </c>
      <c r="D10" s="36" t="n">
        <v>4</v>
      </c>
      <c r="E10" s="1" t="n"/>
      <c r="F10" s="1" t="n"/>
      <c r="G10" s="1" t="n"/>
    </row>
    <row r="11">
      <c r="A11" s="1" t="n"/>
      <c r="B11" s="25" t="inlineStr">
        <is>
          <t>TikTok</t>
        </is>
      </c>
      <c r="C11" s="24" t="inlineStr">
        <is>
          <t>TT</t>
        </is>
      </c>
      <c r="D11" s="36" t="n">
        <v>3</v>
      </c>
      <c r="E11" s="1" t="n"/>
      <c r="F11" s="1" t="n"/>
      <c r="G11" s="1" t="n"/>
    </row>
    <row r="12">
      <c r="A12" s="1" t="n"/>
      <c r="B12" s="25" t="inlineStr">
        <is>
          <t>YouTube</t>
        </is>
      </c>
      <c r="C12" s="24" t="inlineStr">
        <is>
          <t>YT</t>
        </is>
      </c>
      <c r="D12" s="36" t="n">
        <v>1</v>
      </c>
      <c r="E12" s="1" t="n"/>
      <c r="F12" s="1" t="n"/>
      <c r="G12" s="1" t="n"/>
    </row>
    <row r="13">
      <c r="A13" s="1" t="n"/>
      <c r="B13" s="25" t="inlineStr">
        <is>
          <t>Pinterest</t>
        </is>
      </c>
      <c r="C13" s="24" t="inlineStr">
        <is>
          <t>PIN</t>
        </is>
      </c>
      <c r="D13" s="36" t="n">
        <v>3</v>
      </c>
      <c r="E13" s="1" t="n"/>
      <c r="F13" s="1" t="n"/>
      <c r="G13" s="1" t="n"/>
    </row>
    <row r="14">
      <c r="A14" s="1" t="n"/>
      <c r="B14" s="25" t="inlineStr">
        <is>
          <t>Newsletter</t>
        </is>
      </c>
      <c r="C14" s="24" t="inlineStr">
        <is>
          <t>NL</t>
        </is>
      </c>
      <c r="D14" s="36" t="n">
        <v>1</v>
      </c>
      <c r="E14" s="1" t="n"/>
      <c r="F14" s="1" t="n"/>
      <c r="G14" s="1" t="n"/>
    </row>
    <row r="15">
      <c r="A15" s="1" t="n"/>
      <c r="B15" s="25" t="n"/>
      <c r="C15" s="24" t="n"/>
      <c r="D15" s="36" t="n"/>
      <c r="E15" s="1" t="n"/>
      <c r="F15" s="1" t="n"/>
      <c r="G15" s="1" t="n"/>
    </row>
    <row r="16">
      <c r="A16" s="1" t="n"/>
      <c r="B16" s="25" t="n"/>
      <c r="C16" s="24" t="n"/>
      <c r="D16" s="36" t="n"/>
      <c r="E16" s="1" t="n"/>
      <c r="F16" s="1" t="n"/>
      <c r="G16" s="1" t="n"/>
    </row>
    <row r="17">
      <c r="A17" s="1" t="n"/>
      <c r="B17" s="25" t="n"/>
      <c r="C17" s="24" t="n"/>
      <c r="D17" s="36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>
      <c r="A19" s="1" t="n"/>
      <c r="B19" s="1" t="n"/>
      <c r="C19" s="1" t="n"/>
      <c r="D19" s="1" t="n"/>
      <c r="E19" s="1" t="n"/>
      <c r="F19" s="1" t="n"/>
      <c r="G19" s="1" t="n"/>
    </row>
    <row r="20" ht="30" customHeight="1">
      <c r="A20" s="1" t="n"/>
      <c r="B20" s="9" t="inlineStr">
        <is>
          <t>Topic</t>
        </is>
      </c>
      <c r="C20" s="1" t="n"/>
      <c r="D20" s="1" t="n"/>
      <c r="E20" s="1" t="n"/>
      <c r="F20" s="1" t="n"/>
      <c r="G20" s="1" t="n"/>
    </row>
    <row r="21">
      <c r="A21" s="1" t="n"/>
      <c r="B21" s="23" t="inlineStr">
        <is>
          <t>Behind the scenes</t>
        </is>
      </c>
      <c r="C21" s="1" t="n"/>
      <c r="D21" s="1" t="n"/>
      <c r="E21" s="1" t="n"/>
      <c r="F21" s="1" t="n"/>
      <c r="G21" s="1" t="n"/>
    </row>
    <row r="22">
      <c r="A22" s="1" t="n"/>
      <c r="B22" s="23" t="inlineStr">
        <is>
          <t>How to</t>
        </is>
      </c>
      <c r="C22" s="1" t="n"/>
      <c r="D22" s="1" t="n"/>
      <c r="E22" s="1" t="n"/>
      <c r="F22" s="1" t="n"/>
      <c r="G22" s="1" t="n"/>
    </row>
    <row r="23">
      <c r="A23" s="1" t="n"/>
      <c r="B23" s="23" t="inlineStr">
        <is>
          <t>New products</t>
        </is>
      </c>
      <c r="C23" s="1" t="n"/>
      <c r="D23" s="1" t="n"/>
      <c r="E23" s="1" t="n"/>
      <c r="F23" s="1" t="n"/>
      <c r="G23" s="1" t="n"/>
    </row>
    <row r="24">
      <c r="A24" s="1" t="n"/>
      <c r="B24" s="23" t="inlineStr">
        <is>
          <t>Customer stories</t>
        </is>
      </c>
      <c r="C24" s="1" t="n"/>
      <c r="D24" s="1" t="n"/>
      <c r="E24" s="1" t="n"/>
      <c r="F24" s="1" t="n"/>
      <c r="G24" s="1" t="n"/>
    </row>
    <row r="25">
      <c r="A25" s="1" t="n"/>
      <c r="B25" s="23" t="inlineStr">
        <is>
          <t>Tips</t>
        </is>
      </c>
      <c r="C25" s="1" t="n"/>
      <c r="D25" s="1" t="n"/>
      <c r="E25" s="1" t="n"/>
      <c r="F25" s="1" t="n"/>
      <c r="G25" s="1" t="n"/>
    </row>
    <row r="26">
      <c r="A26" s="1" t="n"/>
      <c r="B26" s="23" t="n"/>
      <c r="C26" s="1" t="n"/>
      <c r="D26" s="1" t="n"/>
      <c r="E26" s="1" t="n"/>
      <c r="F26" s="1" t="n"/>
      <c r="G26" s="1" t="n"/>
    </row>
    <row r="27">
      <c r="A27" s="1" t="n"/>
      <c r="B27" s="23" t="n"/>
      <c r="C27" s="1" t="n"/>
      <c r="D27" s="1" t="n"/>
      <c r="E27" s="1" t="n"/>
      <c r="F27" s="1" t="n"/>
      <c r="G27" s="1" t="n"/>
    </row>
    <row r="28">
      <c r="A28" s="1" t="n"/>
      <c r="B28" s="23" t="n"/>
      <c r="C28" s="1" t="n"/>
      <c r="D28" s="1" t="n"/>
      <c r="E28" s="1" t="n"/>
      <c r="F28" s="1" t="n"/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8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37" t="inlineStr">
        <is>
          <t>1</t>
        </is>
      </c>
      <c r="C5" s="38" t="inlineStr">
        <is>
          <t>Settings: your platforms with a short name and how many posts a week you aim for, and your topics.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37" t="inlineStr">
        <is>
          <t>2</t>
        </is>
      </c>
      <c r="C7" s="38" t="inlineStr">
        <is>
          <t>Posts: each post with its date, platform, type, topic and status. Ideas can wait without a date.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37" t="inlineStr">
        <is>
          <t>3</t>
        </is>
      </c>
      <c r="C9" s="38" t="inlineStr">
        <is>
          <t>Once a post is out: its reach, likes, comments, shares and saves. The rate works itself out.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37" t="inlineStr">
        <is>
          <t>4</t>
        </is>
      </c>
      <c r="C11" s="38" t="inlineStr">
        <is>
          <t>Calendar: the month with the posts of each day, ready to print.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37" t="inlineStr">
        <is>
          <t>5</t>
        </is>
      </c>
      <c r="C13" s="38" t="inlineStr">
        <is>
          <t>Stats: your followers on each platform at the end of each month.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3" t="inlineStr">
        <is>
          <t>The example shop, its posts and its numbers are made up. Delete them and add your own.</t>
        </is>
      </c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3" t="inlineStr">
        <is>
          <t>Rate is interactions divided by reach: likes, comments, shares and saves together.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3" t="inlineStr">
        <is>
          <t>Works in Google Sheets and Microsoft Excel.</t>
        </is>
      </c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2026-09-28T19:44:04Z</dcterms:created>
  <dcterms:modified xsi:type="dcterms:W3CDTF">2026-09-28T19:44:05Z</dcterms:modified>
</cp:coreProperties>
</file>