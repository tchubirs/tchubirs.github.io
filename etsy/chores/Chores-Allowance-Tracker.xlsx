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his week" sheetId="2" state="visible" r:id="rId2"/>
    <sheet name="Fridge chart" sheetId="3" state="visible" r:id="rId3"/>
    <sheet name="Chores" sheetId="4" state="visible" r:id="rId4"/>
    <sheet name="Money" sheetId="5" state="visible" r:id="rId5"/>
    <sheet name="Kids" sheetId="6" state="visible" r:id="rId6"/>
    <sheet name="Settings" sheetId="7" state="visible" r:id="rId7"/>
    <sheet name="Start He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d d mmm yyyy"/>
    <numFmt numFmtId="165" formatCode="yyyy-mm-dd"/>
    <numFmt numFmtId="166" formatCode="DD MMM YYYY"/>
  </numFmts>
  <fonts count="22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b val="1"/>
      <color rgb="00FFFFFF"/>
      <sz val="11"/>
    </font>
    <font>
      <name val="Arial"/>
      <color rgb="001E2A2F"/>
      <sz val="11"/>
    </font>
    <font>
      <name val="Arial"/>
      <color rgb="001F6F78"/>
      <sz val="9"/>
    </font>
    <font>
      <name val="Arial"/>
      <b val="1"/>
      <color rgb="0015525A"/>
      <sz val="20"/>
    </font>
    <font>
      <name val="Arial"/>
      <b val="1"/>
      <color rgb="0015525A"/>
      <sz val="12"/>
    </font>
    <font>
      <name val="Arial"/>
      <b val="1"/>
      <color rgb="0015525A"/>
      <sz val="24"/>
    </font>
    <font>
      <name val="Arial"/>
      <b val="1"/>
      <color rgb="001F6F78"/>
      <sz val="15"/>
    </font>
    <font>
      <name val="Arial"/>
      <i val="1"/>
      <color rgb="006B7B80"/>
      <sz val="12"/>
    </font>
    <font>
      <name val="Arial"/>
      <b val="1"/>
      <color rgb="001E2A2F"/>
      <sz val="14"/>
    </font>
    <font>
      <name val="Arial"/>
      <color rgb="001E2A2F"/>
      <sz val="13"/>
    </font>
    <font>
      <name val="Arial"/>
      <b val="1"/>
      <color rgb="0015525A"/>
      <sz val="18"/>
    </font>
    <font>
      <name val="Arial"/>
      <b val="1"/>
      <color rgb="001E2A2F"/>
      <sz val="13"/>
    </font>
    <font>
      <name val="Arial"/>
      <b val="1"/>
      <color rgb="006B7B80"/>
      <sz val="13"/>
    </font>
    <font>
      <name val="Arial"/>
      <b val="1"/>
      <color rgb="0015525A"/>
      <sz val="14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1F6F78"/>
      <sz val="18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9" fillId="2" borderId="1" pivotButton="0" quotePrefix="0" xfId="0"/>
    <xf numFmtId="0" fontId="20" fillId="2" borderId="1" applyAlignment="1" pivotButton="0" quotePrefix="0" xfId="0">
      <alignment horizontal="right"/>
    </xf>
    <xf numFmtId="1" fontId="20" fillId="2" borderId="1" applyAlignment="1" pivotButton="0" quotePrefix="0" xfId="0">
      <alignment horizontal="right"/>
    </xf>
    <xf numFmtId="4" fontId="20" fillId="2" borderId="1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1" fontId="6" fillId="2" borderId="1" applyAlignment="1" pivotButton="0" quotePrefix="0" xfId="0">
      <alignment horizontal="center" vertical="center"/>
    </xf>
    <xf numFmtId="4" fontId="6" fillId="2" borderId="1" pivotButton="0" quotePrefix="0" xfId="0"/>
    <xf numFmtId="0" fontId="6" fillId="2" borderId="1" pivotButton="0" quotePrefix="0" xfId="0"/>
    <xf numFmtId="0" fontId="6" fillId="2" borderId="1" applyAlignment="1" pivotButton="0" quotePrefix="0" xfId="0">
      <alignment horizontal="center" vertical="center"/>
    </xf>
    <xf numFmtId="0" fontId="8" fillId="2" borderId="0" pivotButton="0" quotePrefix="0" xfId="0"/>
    <xf numFmtId="0" fontId="3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1" fontId="3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1" fillId="2" borderId="0" applyAlignment="1" pivotButton="0" quotePrefix="0" xfId="0">
      <alignment vertical="center"/>
    </xf>
    <xf numFmtId="0" fontId="12" fillId="2" borderId="0" pivotButton="0" quotePrefix="0" xfId="0"/>
    <xf numFmtId="0" fontId="13" fillId="2" borderId="1" applyAlignment="1" pivotButton="0" quotePrefix="0" xfId="0">
      <alignment horizontal="left" vertical="center"/>
    </xf>
    <xf numFmtId="1" fontId="14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1" fontId="16" fillId="2" borderId="1" applyAlignment="1" pivotButton="0" quotePrefix="0" xfId="0">
      <alignment horizontal="center" vertical="center"/>
    </xf>
    <xf numFmtId="0" fontId="4" fillId="2" borderId="0" pivotButton="0" quotePrefix="0" xfId="0"/>
    <xf numFmtId="0" fontId="17" fillId="2" borderId="0" applyAlignment="1" pivotButton="0" quotePrefix="0" xfId="0">
      <alignment horizontal="right"/>
    </xf>
    <xf numFmtId="1" fontId="18" fillId="2" borderId="0" applyAlignment="1" pivotButton="0" quotePrefix="0" xfId="0">
      <alignment horizontal="right"/>
    </xf>
    <xf numFmtId="4" fontId="18" fillId="2" borderId="0" applyAlignment="1" pivotButton="0" quotePrefix="0" xfId="0">
      <alignment horizontal="right"/>
    </xf>
    <xf numFmtId="0" fontId="3" fillId="3" borderId="1" pivotButton="0" quotePrefix="0" xfId="0"/>
    <xf numFmtId="0" fontId="6" fillId="3" borderId="1" pivotButton="0" quotePrefix="0" xfId="0"/>
    <xf numFmtId="1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4" fontId="6" fillId="3" borderId="1" pivotButton="0" quotePrefix="0" xfId="0"/>
    <xf numFmtId="0" fontId="3" fillId="3" borderId="1" applyAlignment="1" pivotButton="0" quotePrefix="0" xfId="0">
      <alignment vertical="center"/>
    </xf>
    <xf numFmtId="4" fontId="6" fillId="3" borderId="1" applyAlignment="1" pivotButton="0" quotePrefix="0" xfId="0">
      <alignment vertical="center"/>
    </xf>
    <xf numFmtId="9" fontId="6" fillId="3" borderId="1" applyAlignment="1" pivotButton="0" quotePrefix="0" xfId="0">
      <alignment horizontal="center" vertical="center"/>
    </xf>
    <xf numFmtId="9" fontId="6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4" fontId="6" fillId="2" borderId="1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3" fillId="2" borderId="0" pivotButton="0" quotePrefix="0" xfId="0"/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21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8F0DC"/>
          <bgColor rgb="00D8F0DC"/>
        </patternFill>
      </fill>
    </dxf>
    <dxf>
      <fill>
        <patternFill patternType="solid">
          <fgColor rgb="00BFE3C7"/>
          <bgColor rgb="00BFE3C7"/>
        </patternFill>
      </fill>
    </dxf>
    <dxf>
      <fill>
        <patternFill patternType="solid">
          <fgColor rgb="00DDEFEC"/>
          <bgColor rgb="00DDEFEC"/>
        </patternFill>
      </fill>
    </dxf>
    <dxf>
      <fill>
        <patternFill patternType="solid">
          <fgColor rgb="00F9C9C4"/>
          <bgColor rgb="00F9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The jars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'Dashboard'!H8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'Dashboard'!$G$9:$G$14</f>
            </numRef>
          </cat>
          <val>
            <numRef>
              <f>'Dashboard'!$H$9:$H$14</f>
            </numRef>
          </val>
        </ser>
        <ser>
          <idx val="1"/>
          <order val="1"/>
          <tx>
            <strRef>
              <f>'Dashboard'!I8</f>
            </strRef>
          </tx>
          <spPr>
            <a:solidFill>
              <a:srgbClr val="F2A65A"/>
            </a:solidFill>
            <a:ln>
              <a:prstDash val="solid"/>
            </a:ln>
          </spPr>
          <cat>
            <numRef>
              <f>'Dashboard'!$G$9:$G$14</f>
            </numRef>
          </cat>
          <val>
            <numRef>
              <f>'Dashboard'!$I$9:$I$14</f>
            </numRef>
          </val>
        </ser>
        <ser>
          <idx val="2"/>
          <order val="2"/>
          <tx>
            <strRef>
              <f>'Dashboard'!J8</f>
            </strRef>
          </tx>
          <spPr>
            <a:solidFill>
              <a:srgbClr val="B8D3CF"/>
            </a:solidFill>
            <a:ln>
              <a:prstDash val="solid"/>
            </a:ln>
          </spPr>
          <cat>
            <numRef>
              <f>'Dashboard'!$G$9:$G$14</f>
            </numRef>
          </cat>
          <val>
            <numRef>
              <f>'Dashboard'!$J$9:$J$14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16</row>
      <rowOff>0</rowOff>
    </from>
    <ext cx="45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3" customWidth="1" min="6" max="6"/>
    <col width="16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Chores and pocket money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>
        <f>"The week of "&amp;DAY(Settings!$C$6)&amp;" "&amp;CHOOSE(MONTH(Settings!$C$6),"Jan","Feb","Mar","Apr","May","Jun","Jul","Aug","Sep","Oct","Nov","Dec")&amp;" to "&amp;DAY((Settings!$C$6+6))&amp;" "&amp;CHOOSE(MONTH((Settings!$C$6+6)),"Jan","Feb","Mar","Apr","May","Jun","Jul","Aug","Sep","Oct","Nov","Dec")&amp;", and the jars so far"&amp;IF(Settings!$C$4="",".",", in "&amp;Settings!$C$4&amp;".")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4" t="inlineStr">
        <is>
          <t>Done this week</t>
        </is>
      </c>
      <c r="C4" s="4" t="inlineStr">
        <is>
          <t>Points</t>
        </is>
      </c>
      <c r="D4" s="4" t="inlineStr">
        <is>
          <t>To pay this week</t>
        </is>
      </c>
      <c r="E4" s="4" t="inlineStr">
        <is>
          <t>In the jars</t>
        </is>
      </c>
      <c r="F4" s="1" t="n"/>
      <c r="G4" s="4" t="inlineStr">
        <is>
          <t>Save jars</t>
        </is>
      </c>
      <c r="H4" s="4" t="inlineStr">
        <is>
          <t>Spend jars</t>
        </is>
      </c>
      <c r="I4" s="4" t="inlineStr">
        <is>
          <t>Give jars</t>
        </is>
      </c>
      <c r="J4" s="4" t="inlineStr">
        <is>
          <t>Goals reached</t>
        </is>
      </c>
      <c r="K4" s="1" t="n"/>
      <c r="L4" s="1" t="n"/>
    </row>
    <row r="5" ht="34" customHeight="1">
      <c r="A5" s="1" t="n"/>
      <c r="B5" s="5">
        <f>SUM('This week'!$L$6:$L$45)&amp;" of "&amp;SUM(Chores!$N$6:$N$45)</f>
        <v/>
      </c>
      <c r="C5" s="6">
        <f>SUM('This week'!$M$6:$M$45)</f>
        <v/>
      </c>
      <c r="D5" s="7">
        <f>SUM(E9:E14)</f>
        <v/>
      </c>
      <c r="E5" s="7">
        <f>SUM(Kids!$K$6:$K$11)+SUM(Kids!$L$6:$L$11)+SUM(Kids!$M$6:$M$11)</f>
        <v/>
      </c>
      <c r="F5" s="1" t="n"/>
      <c r="G5" s="7">
        <f>SUM(Kids!$K$6:$K$11)</f>
        <v/>
      </c>
      <c r="H5" s="7">
        <f>SUM(Kids!$L$6:$L$11)</f>
        <v/>
      </c>
      <c r="I5" s="7">
        <f>SUM(Kids!$M$6:$M$11)</f>
        <v/>
      </c>
      <c r="J5" s="5">
        <f>COUNTIF(Kids!$O$6:$O$11,"Reached")&amp;" of "&amp;COUNT(Kids!$J$6:$J$11)</f>
        <v/>
      </c>
      <c r="K5" s="1" t="n"/>
      <c r="L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30" customHeight="1">
      <c r="A8" s="1" t="n"/>
      <c r="B8" s="8" t="inlineStr">
        <is>
          <t>This week</t>
        </is>
      </c>
      <c r="C8" s="8" t="inlineStr">
        <is>
          <t>Done</t>
        </is>
      </c>
      <c r="D8" s="8" t="inlineStr">
        <is>
          <t>Points</t>
        </is>
      </c>
      <c r="E8" s="8" t="inlineStr">
        <is>
          <t>Earned</t>
        </is>
      </c>
      <c r="F8" s="1" t="n"/>
      <c r="G8" s="8" t="inlineStr">
        <is>
          <t>Jars</t>
        </is>
      </c>
      <c r="H8" s="8" t="inlineStr">
        <is>
          <t>Save</t>
        </is>
      </c>
      <c r="I8" s="8" t="inlineStr">
        <is>
          <t>Spend</t>
        </is>
      </c>
      <c r="J8" s="8" t="inlineStr">
        <is>
          <t>Give</t>
        </is>
      </c>
      <c r="K8" s="1" t="n"/>
      <c r="L8" s="1" t="n"/>
    </row>
    <row r="9">
      <c r="A9" s="1" t="n"/>
      <c r="B9" s="9">
        <f>IF(Kids!$B$6="","",Kids!$B$6)</f>
        <v/>
      </c>
      <c r="C9" s="10">
        <f>IF(B9="","",SUMIFS('This week'!$L$6:$L$45,'This week'!$B$6:$B$45,B9))</f>
        <v/>
      </c>
      <c r="D9" s="10">
        <f>IF(B9="","",SUMIFS('This week'!$M$6:$M$45,'This week'!$B$6:$B$45,B9))</f>
        <v/>
      </c>
      <c r="E9" s="11">
        <f>IF(B9="","",N(Kids!$D$6)+N(Kids!$E$6)*D9)</f>
        <v/>
      </c>
      <c r="F9" s="1" t="n"/>
      <c r="G9" s="9">
        <f>IF(Kids!$B$6="","",Kids!$B$6)</f>
        <v/>
      </c>
      <c r="H9" s="11">
        <f>IF(G9="","",Kids!$K$6)</f>
        <v/>
      </c>
      <c r="I9" s="11">
        <f>IF(G9="","",Kids!$L$6)</f>
        <v/>
      </c>
      <c r="J9" s="11">
        <f>IF(G9="","",Kids!$M$6)</f>
        <v/>
      </c>
      <c r="K9" s="1" t="n"/>
      <c r="L9" s="1" t="n"/>
    </row>
    <row r="10">
      <c r="A10" s="1" t="n"/>
      <c r="B10" s="9">
        <f>IF(Kids!$B$7="","",Kids!$B$7)</f>
        <v/>
      </c>
      <c r="C10" s="10">
        <f>IF(B10="","",SUMIFS('This week'!$L$6:$L$45,'This week'!$B$6:$B$45,B10))</f>
        <v/>
      </c>
      <c r="D10" s="10">
        <f>IF(B10="","",SUMIFS('This week'!$M$6:$M$45,'This week'!$B$6:$B$45,B10))</f>
        <v/>
      </c>
      <c r="E10" s="11">
        <f>IF(B10="","",N(Kids!$D$7)+N(Kids!$E$7)*D10)</f>
        <v/>
      </c>
      <c r="F10" s="1" t="n"/>
      <c r="G10" s="9">
        <f>IF(Kids!$B$7="","",Kids!$B$7)</f>
        <v/>
      </c>
      <c r="H10" s="11">
        <f>IF(G10="","",Kids!$K$7)</f>
        <v/>
      </c>
      <c r="I10" s="11">
        <f>IF(G10="","",Kids!$L$7)</f>
        <v/>
      </c>
      <c r="J10" s="11">
        <f>IF(G10="","",Kids!$M$7)</f>
        <v/>
      </c>
      <c r="K10" s="1" t="n"/>
      <c r="L10" s="1" t="n"/>
    </row>
    <row r="11">
      <c r="A11" s="1" t="n"/>
      <c r="B11" s="9">
        <f>IF(Kids!$B$8="","",Kids!$B$8)</f>
        <v/>
      </c>
      <c r="C11" s="10">
        <f>IF(B11="","",SUMIFS('This week'!$L$6:$L$45,'This week'!$B$6:$B$45,B11))</f>
        <v/>
      </c>
      <c r="D11" s="10">
        <f>IF(B11="","",SUMIFS('This week'!$M$6:$M$45,'This week'!$B$6:$B$45,B11))</f>
        <v/>
      </c>
      <c r="E11" s="11">
        <f>IF(B11="","",N(Kids!$D$8)+N(Kids!$E$8)*D11)</f>
        <v/>
      </c>
      <c r="F11" s="1" t="n"/>
      <c r="G11" s="9">
        <f>IF(Kids!$B$8="","",Kids!$B$8)</f>
        <v/>
      </c>
      <c r="H11" s="11">
        <f>IF(G11="","",Kids!$K$8)</f>
        <v/>
      </c>
      <c r="I11" s="11">
        <f>IF(G11="","",Kids!$L$8)</f>
        <v/>
      </c>
      <c r="J11" s="11">
        <f>IF(G11="","",Kids!$M$8)</f>
        <v/>
      </c>
      <c r="K11" s="1" t="n"/>
      <c r="L11" s="1" t="n"/>
    </row>
    <row r="12">
      <c r="A12" s="1" t="n"/>
      <c r="B12" s="9">
        <f>IF(Kids!$B$9="","",Kids!$B$9)</f>
        <v/>
      </c>
      <c r="C12" s="10">
        <f>IF(B12="","",SUMIFS('This week'!$L$6:$L$45,'This week'!$B$6:$B$45,B12))</f>
        <v/>
      </c>
      <c r="D12" s="10">
        <f>IF(B12="","",SUMIFS('This week'!$M$6:$M$45,'This week'!$B$6:$B$45,B12))</f>
        <v/>
      </c>
      <c r="E12" s="11">
        <f>IF(B12="","",N(Kids!$D$9)+N(Kids!$E$9)*D12)</f>
        <v/>
      </c>
      <c r="F12" s="1" t="n"/>
      <c r="G12" s="9">
        <f>IF(Kids!$B$9="","",Kids!$B$9)</f>
        <v/>
      </c>
      <c r="H12" s="11">
        <f>IF(G12="","",Kids!$K$9)</f>
        <v/>
      </c>
      <c r="I12" s="11">
        <f>IF(G12="","",Kids!$L$9)</f>
        <v/>
      </c>
      <c r="J12" s="11">
        <f>IF(G12="","",Kids!$M$9)</f>
        <v/>
      </c>
      <c r="K12" s="1" t="n"/>
      <c r="L12" s="1" t="n"/>
    </row>
    <row r="13">
      <c r="A13" s="1" t="n"/>
      <c r="B13" s="9">
        <f>IF(Kids!$B$10="","",Kids!$B$10)</f>
        <v/>
      </c>
      <c r="C13" s="10">
        <f>IF(B13="","",SUMIFS('This week'!$L$6:$L$45,'This week'!$B$6:$B$45,B13))</f>
        <v/>
      </c>
      <c r="D13" s="10">
        <f>IF(B13="","",SUMIFS('This week'!$M$6:$M$45,'This week'!$B$6:$B$45,B13))</f>
        <v/>
      </c>
      <c r="E13" s="11">
        <f>IF(B13="","",N(Kids!$D$10)+N(Kids!$E$10)*D13)</f>
        <v/>
      </c>
      <c r="F13" s="1" t="n"/>
      <c r="G13" s="9">
        <f>IF(Kids!$B$10="","",Kids!$B$10)</f>
        <v/>
      </c>
      <c r="H13" s="11">
        <f>IF(G13="","",Kids!$K$10)</f>
        <v/>
      </c>
      <c r="I13" s="11">
        <f>IF(G13="","",Kids!$L$10)</f>
        <v/>
      </c>
      <c r="J13" s="11">
        <f>IF(G13="","",Kids!$M$10)</f>
        <v/>
      </c>
      <c r="K13" s="1" t="n"/>
      <c r="L13" s="1" t="n"/>
    </row>
    <row r="14">
      <c r="A14" s="1" t="n"/>
      <c r="B14" s="9">
        <f>IF(Kids!$B$11="","",Kids!$B$11)</f>
        <v/>
      </c>
      <c r="C14" s="10">
        <f>IF(B14="","",SUMIFS('This week'!$L$6:$L$45,'This week'!$B$6:$B$45,B14))</f>
        <v/>
      </c>
      <c r="D14" s="10">
        <f>IF(B14="","",SUMIFS('This week'!$M$6:$M$45,'This week'!$B$6:$B$45,B14))</f>
        <v/>
      </c>
      <c r="E14" s="11">
        <f>IF(B14="","",N(Kids!$D$11)+N(Kids!$E$11)*D14)</f>
        <v/>
      </c>
      <c r="F14" s="1" t="n"/>
      <c r="G14" s="9">
        <f>IF(Kids!$B$11="","",Kids!$B$11)</f>
        <v/>
      </c>
      <c r="H14" s="11">
        <f>IF(G14="","",Kids!$K$11)</f>
        <v/>
      </c>
      <c r="I14" s="11">
        <f>IF(G14="","",Kids!$L$11)</f>
        <v/>
      </c>
      <c r="J14" s="11">
        <f>IF(G14="","",Kids!$M$11)</f>
        <v/>
      </c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 ht="30" customHeight="1">
      <c r="A17" s="1" t="n"/>
      <c r="B17" s="8" t="inlineStr">
        <is>
          <t>Goals</t>
        </is>
      </c>
      <c r="C17" s="8" t="inlineStr">
        <is>
          <t>For</t>
        </is>
      </c>
      <c r="D17" s="8" t="inlineStr">
        <is>
          <t>Saved</t>
        </is>
      </c>
      <c r="E17" s="8" t="inlineStr">
        <is>
          <t>Weeks to go</t>
        </is>
      </c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9">
        <f>IF(OR(Kids!$B$6="",Kids!$I$6=""),"",Kids!$B$6)</f>
        <v/>
      </c>
      <c r="C18" s="12">
        <f>IF(B18="","",Kids!$I$6)</f>
        <v/>
      </c>
      <c r="D18" s="13">
        <f>IF(B18="","",FIXED(Kids!$K$6,2)&amp;IF(N(Kids!$J$6)=0,""," of "&amp;FIXED(Kids!$J$6,2)))</f>
        <v/>
      </c>
      <c r="E18" s="10">
        <f>IF(B18="","",Kids!$O$6)</f>
        <v/>
      </c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9">
        <f>IF(OR(Kids!$B$7="",Kids!$I$7=""),"",Kids!$B$7)</f>
        <v/>
      </c>
      <c r="C19" s="12">
        <f>IF(B19="","",Kids!$I$7)</f>
        <v/>
      </c>
      <c r="D19" s="13">
        <f>IF(B19="","",FIXED(Kids!$K$7,2)&amp;IF(N(Kids!$J$7)=0,""," of "&amp;FIXED(Kids!$J$7,2)))</f>
        <v/>
      </c>
      <c r="E19" s="10">
        <f>IF(B19="","",Kids!$O$7)</f>
        <v/>
      </c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9">
        <f>IF(OR(Kids!$B$8="",Kids!$I$8=""),"",Kids!$B$8)</f>
        <v/>
      </c>
      <c r="C20" s="12">
        <f>IF(B20="","",Kids!$I$8)</f>
        <v/>
      </c>
      <c r="D20" s="13">
        <f>IF(B20="","",FIXED(Kids!$K$8,2)&amp;IF(N(Kids!$J$8)=0,""," of "&amp;FIXED(Kids!$J$8,2)))</f>
        <v/>
      </c>
      <c r="E20" s="10">
        <f>IF(B20="","",Kids!$O$8)</f>
        <v/>
      </c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9">
        <f>IF(OR(Kids!$B$9="",Kids!$I$9=""),"",Kids!$B$9)</f>
        <v/>
      </c>
      <c r="C21" s="12">
        <f>IF(B21="","",Kids!$I$9)</f>
        <v/>
      </c>
      <c r="D21" s="13">
        <f>IF(B21="","",FIXED(Kids!$K$9,2)&amp;IF(N(Kids!$J$9)=0,""," of "&amp;FIXED(Kids!$J$9,2)))</f>
        <v/>
      </c>
      <c r="E21" s="10">
        <f>IF(B21="","",Kids!$O$9)</f>
        <v/>
      </c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9">
        <f>IF(OR(Kids!$B$10="",Kids!$I$10=""),"",Kids!$B$10)</f>
        <v/>
      </c>
      <c r="C22" s="12">
        <f>IF(B22="","",Kids!$I$10)</f>
        <v/>
      </c>
      <c r="D22" s="13">
        <f>IF(B22="","",FIXED(Kids!$K$10,2)&amp;IF(N(Kids!$J$10)=0,""," of "&amp;FIXED(Kids!$J$10,2)))</f>
        <v/>
      </c>
      <c r="E22" s="10">
        <f>IF(B22="","",Kids!$O$10)</f>
        <v/>
      </c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9">
        <f>IF(OR(Kids!$B$11="",Kids!$I$11=""),"",Kids!$B$11)</f>
        <v/>
      </c>
      <c r="C23" s="12">
        <f>IF(B23="","",Kids!$I$11)</f>
        <v/>
      </c>
      <c r="D23" s="13">
        <f>IF(B23="","",FIXED(Kids!$K$11,2)&amp;IF(N(Kids!$J$11)=0,""," of "&amp;FIXED(Kids!$J$11,2)))</f>
        <v/>
      </c>
      <c r="E23" s="10">
        <f>IF(B23="","",Kids!$O$11)</f>
        <v/>
      </c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</sheetData>
  <conditionalFormatting sqref="E18:E23">
    <cfRule type="expression" priority="1" dxfId="0">
      <formula>E18="Reached"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14">
        <f>"Chores for the week of "&amp;DAY(Settings!$C$6)&amp;" "&amp;CHOOSE(MONTH(Settings!$C$6),"Jan","Feb","Mar","Apr","May","Jun","Jul","Aug","Sep","Oct","Nov","Dec")&amp;" to "&amp;DAY((Settings!$C$6+6))&amp;" "&amp;CHOOSE(MONTH((Settings!$C$6+6)),"Jan","Feb","Mar","Apr","May","Jun","Jul","Aug","Sep","Oct","Nov","Dec")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An x in the box when it is done. Shaded boxes are the days it is expected. To print, use Fridge chart.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30" customHeight="1">
      <c r="A5" s="1" t="n"/>
      <c r="B5" s="8" t="inlineStr">
        <is>
          <t>Child</t>
        </is>
      </c>
      <c r="C5" s="8" t="inlineStr">
        <is>
          <t>Chore</t>
        </is>
      </c>
      <c r="D5" s="8" t="inlineStr">
        <is>
          <t>Points</t>
        </is>
      </c>
      <c r="E5" s="8">
        <f>"Mon "&amp;DAY(Settings!$C$6+0)</f>
        <v/>
      </c>
      <c r="F5" s="8">
        <f>"Tue "&amp;DAY(Settings!$C$6+1)</f>
        <v/>
      </c>
      <c r="G5" s="8">
        <f>"Wed "&amp;DAY(Settings!$C$6+2)</f>
        <v/>
      </c>
      <c r="H5" s="8">
        <f>"Thu "&amp;DAY(Settings!$C$6+3)</f>
        <v/>
      </c>
      <c r="I5" s="8">
        <f>"Fri "&amp;DAY(Settings!$C$6+4)</f>
        <v/>
      </c>
      <c r="J5" s="8">
        <f>"Sat "&amp;DAY(Settings!$C$6+5)</f>
        <v/>
      </c>
      <c r="K5" s="8">
        <f>"Sun "&amp;DAY(Settings!$C$6+6)</f>
        <v/>
      </c>
      <c r="L5" s="8" t="inlineStr">
        <is>
          <t>Done</t>
        </is>
      </c>
      <c r="M5" s="8" t="inlineStr">
        <is>
          <t>Earned</t>
        </is>
      </c>
      <c r="N5" s="1" t="n"/>
    </row>
    <row r="6" ht="20" customHeight="1">
      <c r="A6" s="1" t="n"/>
      <c r="B6" s="15">
        <f>IF(Chores!B6="","",IF(Chores!C6="","",Chores!C6))</f>
        <v/>
      </c>
      <c r="C6" s="16">
        <f>IF(Chores!B6="","",Chores!B6)</f>
        <v/>
      </c>
      <c r="D6" s="10">
        <f>IF(Chores!B6="","",N(Chores!D6))</f>
        <v/>
      </c>
      <c r="E6" s="17" t="inlineStr">
        <is>
          <t>x</t>
        </is>
      </c>
      <c r="F6" s="17" t="inlineStr">
        <is>
          <t>x</t>
        </is>
      </c>
      <c r="G6" s="17" t="inlineStr">
        <is>
          <t>x</t>
        </is>
      </c>
      <c r="H6" s="17" t="inlineStr">
        <is>
          <t>x</t>
        </is>
      </c>
      <c r="I6" s="17" t="inlineStr">
        <is>
          <t>x</t>
        </is>
      </c>
      <c r="J6" s="17" t="inlineStr">
        <is>
          <t>x</t>
        </is>
      </c>
      <c r="K6" s="17" t="inlineStr">
        <is>
          <t>x</t>
        </is>
      </c>
      <c r="L6" s="10">
        <f>IF(C6="","",COUNTA(E6:K6))</f>
        <v/>
      </c>
      <c r="M6" s="18">
        <f>IF(C6="","",L6*D6)</f>
        <v/>
      </c>
      <c r="N6" s="1" t="n"/>
    </row>
    <row r="7" ht="20" customHeight="1">
      <c r="A7" s="1" t="n"/>
      <c r="B7" s="15">
        <f>IF(Chores!B7="","",IF(Chores!C7="","",Chores!C7))</f>
        <v/>
      </c>
      <c r="C7" s="16">
        <f>IF(Chores!B7="","",Chores!B7)</f>
        <v/>
      </c>
      <c r="D7" s="10">
        <f>IF(Chores!B7="","",N(Chores!D7))</f>
        <v/>
      </c>
      <c r="E7" s="17" t="inlineStr">
        <is>
          <t>x</t>
        </is>
      </c>
      <c r="F7" s="17" t="inlineStr">
        <is>
          <t>x</t>
        </is>
      </c>
      <c r="G7" s="17" t="inlineStr">
        <is>
          <t>x</t>
        </is>
      </c>
      <c r="H7" s="17" t="n"/>
      <c r="I7" s="17" t="inlineStr">
        <is>
          <t>x</t>
        </is>
      </c>
      <c r="J7" s="17" t="n"/>
      <c r="K7" s="17" t="n"/>
      <c r="L7" s="10">
        <f>IF(C7="","",COUNTA(E7:K7))</f>
        <v/>
      </c>
      <c r="M7" s="18">
        <f>IF(C7="","",L7*D7)</f>
        <v/>
      </c>
      <c r="N7" s="1" t="n"/>
    </row>
    <row r="8" ht="20" customHeight="1">
      <c r="A8" s="1" t="n"/>
      <c r="B8" s="15">
        <f>IF(Chores!B8="","",IF(Chores!C8="","",Chores!C8))</f>
        <v/>
      </c>
      <c r="C8" s="16">
        <f>IF(Chores!B8="","",Chores!B8)</f>
        <v/>
      </c>
      <c r="D8" s="10">
        <f>IF(Chores!B8="","",N(Chores!D8))</f>
        <v/>
      </c>
      <c r="E8" s="17" t="inlineStr">
        <is>
          <t>x</t>
        </is>
      </c>
      <c r="F8" s="17" t="inlineStr">
        <is>
          <t>x</t>
        </is>
      </c>
      <c r="G8" s="17" t="inlineStr">
        <is>
          <t>x</t>
        </is>
      </c>
      <c r="H8" s="17" t="inlineStr">
        <is>
          <t>x</t>
        </is>
      </c>
      <c r="I8" s="17" t="inlineStr">
        <is>
          <t>x</t>
        </is>
      </c>
      <c r="J8" s="17" t="inlineStr">
        <is>
          <t>x</t>
        </is>
      </c>
      <c r="K8" s="17" t="inlineStr">
        <is>
          <t>x</t>
        </is>
      </c>
      <c r="L8" s="10">
        <f>IF(C8="","",COUNTA(E8:K8))</f>
        <v/>
      </c>
      <c r="M8" s="18">
        <f>IF(C8="","",L8*D8)</f>
        <v/>
      </c>
      <c r="N8" s="1" t="n"/>
    </row>
    <row r="9" ht="20" customHeight="1">
      <c r="A9" s="1" t="n"/>
      <c r="B9" s="15">
        <f>IF(Chores!B9="","",IF(Chores!C9="","",Chores!C9))</f>
        <v/>
      </c>
      <c r="C9" s="16">
        <f>IF(Chores!B9="","",Chores!B9)</f>
        <v/>
      </c>
      <c r="D9" s="10">
        <f>IF(Chores!B9="","",N(Chores!D9))</f>
        <v/>
      </c>
      <c r="E9" s="17" t="n"/>
      <c r="F9" s="17" t="n"/>
      <c r="G9" s="17" t="n"/>
      <c r="H9" s="17" t="n"/>
      <c r="I9" s="17" t="n"/>
      <c r="J9" s="17" t="inlineStr">
        <is>
          <t>x</t>
        </is>
      </c>
      <c r="K9" s="17" t="n"/>
      <c r="L9" s="10">
        <f>IF(C9="","",COUNTA(E9:K9))</f>
        <v/>
      </c>
      <c r="M9" s="18">
        <f>IF(C9="","",L9*D9)</f>
        <v/>
      </c>
      <c r="N9" s="1" t="n"/>
    </row>
    <row r="10" ht="20" customHeight="1">
      <c r="A10" s="1" t="n"/>
      <c r="B10" s="15">
        <f>IF(Chores!B10="","",IF(Chores!C10="","",Chores!C10))</f>
        <v/>
      </c>
      <c r="C10" s="16">
        <f>IF(Chores!B10="","",Chores!B10)</f>
        <v/>
      </c>
      <c r="D10" s="10">
        <f>IF(Chores!B10="","",N(Chores!D10))</f>
        <v/>
      </c>
      <c r="E10" s="17" t="inlineStr">
        <is>
          <t>x</t>
        </is>
      </c>
      <c r="F10" s="17" t="n"/>
      <c r="G10" s="17" t="inlineStr">
        <is>
          <t>x</t>
        </is>
      </c>
      <c r="H10" s="17" t="n"/>
      <c r="I10" s="17" t="n"/>
      <c r="J10" s="17" t="n"/>
      <c r="K10" s="17" t="n"/>
      <c r="L10" s="10">
        <f>IF(C10="","",COUNTA(E10:K10))</f>
        <v/>
      </c>
      <c r="M10" s="18">
        <f>IF(C10="","",L10*D10)</f>
        <v/>
      </c>
      <c r="N10" s="1" t="n"/>
    </row>
    <row r="11" ht="20" customHeight="1">
      <c r="A11" s="1" t="n"/>
      <c r="B11" s="15">
        <f>IF(Chores!B11="","",IF(Chores!C11="","",Chores!C11))</f>
        <v/>
      </c>
      <c r="C11" s="16">
        <f>IF(Chores!B11="","",Chores!B11)</f>
        <v/>
      </c>
      <c r="D11" s="10">
        <f>IF(Chores!B11="","",N(Chores!D11))</f>
        <v/>
      </c>
      <c r="E11" s="17" t="inlineStr">
        <is>
          <t>x</t>
        </is>
      </c>
      <c r="F11" s="17" t="inlineStr">
        <is>
          <t>x</t>
        </is>
      </c>
      <c r="G11" s="17" t="inlineStr">
        <is>
          <t>x</t>
        </is>
      </c>
      <c r="H11" s="17" t="inlineStr">
        <is>
          <t>x</t>
        </is>
      </c>
      <c r="I11" s="17" t="inlineStr">
        <is>
          <t>x</t>
        </is>
      </c>
      <c r="J11" s="17" t="inlineStr">
        <is>
          <t>x</t>
        </is>
      </c>
      <c r="K11" s="17" t="inlineStr">
        <is>
          <t>x</t>
        </is>
      </c>
      <c r="L11" s="10">
        <f>IF(C11="","",COUNTA(E11:K11))</f>
        <v/>
      </c>
      <c r="M11" s="18">
        <f>IF(C11="","",L11*D11)</f>
        <v/>
      </c>
      <c r="N11" s="1" t="n"/>
    </row>
    <row r="12" ht="20" customHeight="1">
      <c r="A12" s="1" t="n"/>
      <c r="B12" s="15">
        <f>IF(Chores!B12="","",IF(Chores!C12="","",Chores!C12))</f>
        <v/>
      </c>
      <c r="C12" s="16">
        <f>IF(Chores!B12="","",Chores!B12)</f>
        <v/>
      </c>
      <c r="D12" s="10">
        <f>IF(Chores!B12="","",N(Chores!D12))</f>
        <v/>
      </c>
      <c r="E12" s="17" t="inlineStr">
        <is>
          <t>x</t>
        </is>
      </c>
      <c r="F12" s="17" t="inlineStr">
        <is>
          <t>x</t>
        </is>
      </c>
      <c r="G12" s="17" t="n"/>
      <c r="H12" s="17" t="inlineStr">
        <is>
          <t>x</t>
        </is>
      </c>
      <c r="I12" s="17" t="inlineStr">
        <is>
          <t>x</t>
        </is>
      </c>
      <c r="J12" s="17" t="inlineStr">
        <is>
          <t>x</t>
        </is>
      </c>
      <c r="K12" s="17" t="inlineStr">
        <is>
          <t>x</t>
        </is>
      </c>
      <c r="L12" s="10">
        <f>IF(C12="","",COUNTA(E12:K12))</f>
        <v/>
      </c>
      <c r="M12" s="18">
        <f>IF(C12="","",L12*D12)</f>
        <v/>
      </c>
      <c r="N12" s="1" t="n"/>
    </row>
    <row r="13" ht="20" customHeight="1">
      <c r="A13" s="1" t="n"/>
      <c r="B13" s="15">
        <f>IF(Chores!B13="","",IF(Chores!C13="","",Chores!C13))</f>
        <v/>
      </c>
      <c r="C13" s="16">
        <f>IF(Chores!B13="","",Chores!B13)</f>
        <v/>
      </c>
      <c r="D13" s="10">
        <f>IF(Chores!B13="","",N(Chores!D13))</f>
        <v/>
      </c>
      <c r="E13" s="17" t="n"/>
      <c r="F13" s="17" t="n"/>
      <c r="G13" s="17" t="n"/>
      <c r="H13" s="17" t="n"/>
      <c r="I13" s="17" t="n"/>
      <c r="J13" s="17" t="inlineStr">
        <is>
          <t>x</t>
        </is>
      </c>
      <c r="K13" s="17" t="n"/>
      <c r="L13" s="10">
        <f>IF(C13="","",COUNTA(E13:K13))</f>
        <v/>
      </c>
      <c r="M13" s="18">
        <f>IF(C13="","",L13*D13)</f>
        <v/>
      </c>
      <c r="N13" s="1" t="n"/>
    </row>
    <row r="14" ht="20" customHeight="1">
      <c r="A14" s="1" t="n"/>
      <c r="B14" s="15">
        <f>IF(Chores!B14="","",IF(Chores!C14="","",Chores!C14))</f>
        <v/>
      </c>
      <c r="C14" s="16">
        <f>IF(Chores!B14="","",Chores!B14)</f>
        <v/>
      </c>
      <c r="D14" s="10">
        <f>IF(Chores!B14="","",N(Chores!D14))</f>
        <v/>
      </c>
      <c r="E14" s="17" t="inlineStr">
        <is>
          <t>x</t>
        </is>
      </c>
      <c r="F14" s="17" t="n"/>
      <c r="G14" s="17" t="inlineStr">
        <is>
          <t>x</t>
        </is>
      </c>
      <c r="H14" s="17" t="n"/>
      <c r="I14" s="17" t="n"/>
      <c r="J14" s="17" t="n"/>
      <c r="K14" s="17" t="n"/>
      <c r="L14" s="10">
        <f>IF(C14="","",COUNTA(E14:K14))</f>
        <v/>
      </c>
      <c r="M14" s="18">
        <f>IF(C14="","",L14*D14)</f>
        <v/>
      </c>
      <c r="N14" s="1" t="n"/>
    </row>
    <row r="15" ht="20" customHeight="1">
      <c r="A15" s="1" t="n"/>
      <c r="B15" s="15">
        <f>IF(Chores!B15="","",IF(Chores!C15="","",Chores!C15))</f>
        <v/>
      </c>
      <c r="C15" s="16">
        <f>IF(Chores!B15="","",Chores!B15)</f>
        <v/>
      </c>
      <c r="D15" s="10">
        <f>IF(Chores!B15="","",N(Chores!D15))</f>
        <v/>
      </c>
      <c r="E15" s="17" t="inlineStr">
        <is>
          <t>x</t>
        </is>
      </c>
      <c r="F15" s="17" t="inlineStr">
        <is>
          <t>x</t>
        </is>
      </c>
      <c r="G15" s="17" t="inlineStr">
        <is>
          <t>x</t>
        </is>
      </c>
      <c r="H15" s="17" t="inlineStr">
        <is>
          <t>x</t>
        </is>
      </c>
      <c r="I15" s="17" t="inlineStr">
        <is>
          <t>x</t>
        </is>
      </c>
      <c r="J15" s="17" t="inlineStr">
        <is>
          <t>x</t>
        </is>
      </c>
      <c r="K15" s="17" t="inlineStr">
        <is>
          <t>x</t>
        </is>
      </c>
      <c r="L15" s="10">
        <f>IF(C15="","",COUNTA(E15:K15))</f>
        <v/>
      </c>
      <c r="M15" s="18">
        <f>IF(C15="","",L15*D15)</f>
        <v/>
      </c>
      <c r="N15" s="1" t="n"/>
    </row>
    <row r="16" ht="20" customHeight="1">
      <c r="A16" s="1" t="n"/>
      <c r="B16" s="15">
        <f>IF(Chores!B16="","",IF(Chores!C16="","",Chores!C16))</f>
        <v/>
      </c>
      <c r="C16" s="16">
        <f>IF(Chores!B16="","",Chores!B16)</f>
        <v/>
      </c>
      <c r="D16" s="10">
        <f>IF(Chores!B16="","",N(Chores!D16))</f>
        <v/>
      </c>
      <c r="E16" s="17" t="inlineStr">
        <is>
          <t>x</t>
        </is>
      </c>
      <c r="F16" s="17" t="inlineStr">
        <is>
          <t>x</t>
        </is>
      </c>
      <c r="G16" s="17" t="inlineStr">
        <is>
          <t>x</t>
        </is>
      </c>
      <c r="H16" s="17" t="inlineStr">
        <is>
          <t>x</t>
        </is>
      </c>
      <c r="I16" s="17" t="inlineStr">
        <is>
          <t>x</t>
        </is>
      </c>
      <c r="J16" s="17" t="n"/>
      <c r="K16" s="17" t="n"/>
      <c r="L16" s="10">
        <f>IF(C16="","",COUNTA(E16:K16))</f>
        <v/>
      </c>
      <c r="M16" s="18">
        <f>IF(C16="","",L16*D16)</f>
        <v/>
      </c>
      <c r="N16" s="1" t="n"/>
    </row>
    <row r="17" ht="20" customHeight="1">
      <c r="A17" s="1" t="n"/>
      <c r="B17" s="15">
        <f>IF(Chores!B17="","",IF(Chores!C17="","",Chores!C17))</f>
        <v/>
      </c>
      <c r="C17" s="16">
        <f>IF(Chores!B17="","",Chores!B17)</f>
        <v/>
      </c>
      <c r="D17" s="10">
        <f>IF(Chores!B17="","",N(Chores!D17))</f>
        <v/>
      </c>
      <c r="E17" s="17" t="n"/>
      <c r="F17" s="17" t="n"/>
      <c r="G17" s="17" t="n"/>
      <c r="H17" s="17" t="inlineStr">
        <is>
          <t>x</t>
        </is>
      </c>
      <c r="I17" s="17" t="n"/>
      <c r="J17" s="17" t="inlineStr">
        <is>
          <t>x</t>
        </is>
      </c>
      <c r="K17" s="17" t="n"/>
      <c r="L17" s="10">
        <f>IF(C17="","",COUNTA(E17:K17))</f>
        <v/>
      </c>
      <c r="M17" s="18">
        <f>IF(C17="","",L17*D17)</f>
        <v/>
      </c>
      <c r="N17" s="1" t="n"/>
    </row>
    <row r="18" ht="20" customHeight="1">
      <c r="A18" s="1" t="n"/>
      <c r="B18" s="15">
        <f>IF(Chores!B18="","",IF(Chores!C18="","",Chores!C18))</f>
        <v/>
      </c>
      <c r="C18" s="16">
        <f>IF(Chores!B18="","",Chores!B18)</f>
        <v/>
      </c>
      <c r="D18" s="10">
        <f>IF(Chores!B18="","",N(Chores!D18))</f>
        <v/>
      </c>
      <c r="E18" s="17" t="inlineStr">
        <is>
          <t>x</t>
        </is>
      </c>
      <c r="F18" s="17" t="inlineStr">
        <is>
          <t>x</t>
        </is>
      </c>
      <c r="G18" s="17" t="n"/>
      <c r="H18" s="17" t="inlineStr">
        <is>
          <t>x</t>
        </is>
      </c>
      <c r="I18" s="17" t="n"/>
      <c r="J18" s="17" t="n"/>
      <c r="K18" s="17" t="n"/>
      <c r="L18" s="10">
        <f>IF(C18="","",COUNTA(E18:K18))</f>
        <v/>
      </c>
      <c r="M18" s="18">
        <f>IF(C18="","",L18*D18)</f>
        <v/>
      </c>
      <c r="N18" s="1" t="n"/>
    </row>
    <row r="19" ht="20" customHeight="1">
      <c r="A19" s="1" t="n"/>
      <c r="B19" s="15">
        <f>IF(Chores!B19="","",IF(Chores!C19="","",Chores!C19))</f>
        <v/>
      </c>
      <c r="C19" s="16">
        <f>IF(Chores!B19="","",Chores!B19)</f>
        <v/>
      </c>
      <c r="D19" s="10">
        <f>IF(Chores!B19="","",N(Chores!D19))</f>
        <v/>
      </c>
      <c r="E19" s="17" t="n"/>
      <c r="F19" s="17" t="n"/>
      <c r="G19" s="17" t="n"/>
      <c r="H19" s="17" t="n"/>
      <c r="I19" s="17" t="n"/>
      <c r="J19" s="17" t="n"/>
      <c r="K19" s="17" t="inlineStr">
        <is>
          <t>x</t>
        </is>
      </c>
      <c r="L19" s="10">
        <f>IF(C19="","",COUNTA(E19:K19))</f>
        <v/>
      </c>
      <c r="M19" s="18">
        <f>IF(C19="","",L19*D19)</f>
        <v/>
      </c>
      <c r="N19" s="1" t="n"/>
    </row>
    <row r="20" ht="20" customHeight="1">
      <c r="A20" s="1" t="n"/>
      <c r="B20" s="15">
        <f>IF(Chores!B20="","",IF(Chores!C20="","",Chores!C20))</f>
        <v/>
      </c>
      <c r="C20" s="16">
        <f>IF(Chores!B20="","",Chores!B20)</f>
        <v/>
      </c>
      <c r="D20" s="10">
        <f>IF(Chores!B20="","",N(Chores!D20))</f>
        <v/>
      </c>
      <c r="E20" s="17" t="n"/>
      <c r="F20" s="17" t="n"/>
      <c r="G20" s="17" t="n"/>
      <c r="H20" s="17" t="n"/>
      <c r="I20" s="17" t="n"/>
      <c r="J20" s="17" t="n"/>
      <c r="K20" s="17" t="n"/>
      <c r="L20" s="10">
        <f>IF(C20="","",COUNTA(E20:K20))</f>
        <v/>
      </c>
      <c r="M20" s="18">
        <f>IF(C20="","",L20*D20)</f>
        <v/>
      </c>
      <c r="N20" s="1" t="n"/>
    </row>
    <row r="21" ht="20" customHeight="1">
      <c r="A21" s="1" t="n"/>
      <c r="B21" s="15">
        <f>IF(Chores!B21="","",IF(Chores!C21="","",Chores!C21))</f>
        <v/>
      </c>
      <c r="C21" s="16">
        <f>IF(Chores!B21="","",Chores!B21)</f>
        <v/>
      </c>
      <c r="D21" s="10">
        <f>IF(Chores!B21="","",N(Chores!D21))</f>
        <v/>
      </c>
      <c r="E21" s="17" t="n"/>
      <c r="F21" s="17" t="n"/>
      <c r="G21" s="17" t="n"/>
      <c r="H21" s="17" t="n"/>
      <c r="I21" s="17" t="n"/>
      <c r="J21" s="17" t="n"/>
      <c r="K21" s="17" t="n"/>
      <c r="L21" s="10">
        <f>IF(C21="","",COUNTA(E21:K21))</f>
        <v/>
      </c>
      <c r="M21" s="18">
        <f>IF(C21="","",L21*D21)</f>
        <v/>
      </c>
      <c r="N21" s="1" t="n"/>
    </row>
    <row r="22" ht="20" customHeight="1">
      <c r="A22" s="1" t="n"/>
      <c r="B22" s="15">
        <f>IF(Chores!B22="","",IF(Chores!C22="","",Chores!C22))</f>
        <v/>
      </c>
      <c r="C22" s="16">
        <f>IF(Chores!B22="","",Chores!B22)</f>
        <v/>
      </c>
      <c r="D22" s="10">
        <f>IF(Chores!B22="","",N(Chores!D22))</f>
        <v/>
      </c>
      <c r="E22" s="17" t="n"/>
      <c r="F22" s="17" t="n"/>
      <c r="G22" s="17" t="n"/>
      <c r="H22" s="17" t="n"/>
      <c r="I22" s="17" t="n"/>
      <c r="J22" s="17" t="n"/>
      <c r="K22" s="17" t="n"/>
      <c r="L22" s="10">
        <f>IF(C22="","",COUNTA(E22:K22))</f>
        <v/>
      </c>
      <c r="M22" s="18">
        <f>IF(C22="","",L22*D22)</f>
        <v/>
      </c>
      <c r="N22" s="1" t="n"/>
    </row>
    <row r="23" ht="20" customHeight="1">
      <c r="A23" s="1" t="n"/>
      <c r="B23" s="15">
        <f>IF(Chores!B23="","",IF(Chores!C23="","",Chores!C23))</f>
        <v/>
      </c>
      <c r="C23" s="16">
        <f>IF(Chores!B23="","",Chores!B23)</f>
        <v/>
      </c>
      <c r="D23" s="10">
        <f>IF(Chores!B23="","",N(Chores!D23))</f>
        <v/>
      </c>
      <c r="E23" s="17" t="n"/>
      <c r="F23" s="17" t="n"/>
      <c r="G23" s="17" t="n"/>
      <c r="H23" s="17" t="n"/>
      <c r="I23" s="17" t="n"/>
      <c r="J23" s="17" t="n"/>
      <c r="K23" s="17" t="n"/>
      <c r="L23" s="10">
        <f>IF(C23="","",COUNTA(E23:K23))</f>
        <v/>
      </c>
      <c r="M23" s="18">
        <f>IF(C23="","",L23*D23)</f>
        <v/>
      </c>
      <c r="N23" s="1" t="n"/>
    </row>
    <row r="24" ht="20" customHeight="1">
      <c r="A24" s="1" t="n"/>
      <c r="B24" s="15">
        <f>IF(Chores!B24="","",IF(Chores!C24="","",Chores!C24))</f>
        <v/>
      </c>
      <c r="C24" s="16">
        <f>IF(Chores!B24="","",Chores!B24)</f>
        <v/>
      </c>
      <c r="D24" s="10">
        <f>IF(Chores!B24="","",N(Chores!D24))</f>
        <v/>
      </c>
      <c r="E24" s="17" t="n"/>
      <c r="F24" s="17" t="n"/>
      <c r="G24" s="17" t="n"/>
      <c r="H24" s="17" t="n"/>
      <c r="I24" s="17" t="n"/>
      <c r="J24" s="17" t="n"/>
      <c r="K24" s="17" t="n"/>
      <c r="L24" s="10">
        <f>IF(C24="","",COUNTA(E24:K24))</f>
        <v/>
      </c>
      <c r="M24" s="18">
        <f>IF(C24="","",L24*D24)</f>
        <v/>
      </c>
      <c r="N24" s="1" t="n"/>
    </row>
    <row r="25" ht="20" customHeight="1">
      <c r="A25" s="1" t="n"/>
      <c r="B25" s="15">
        <f>IF(Chores!B25="","",IF(Chores!C25="","",Chores!C25))</f>
        <v/>
      </c>
      <c r="C25" s="16">
        <f>IF(Chores!B25="","",Chores!B25)</f>
        <v/>
      </c>
      <c r="D25" s="10">
        <f>IF(Chores!B25="","",N(Chores!D25))</f>
        <v/>
      </c>
      <c r="E25" s="17" t="n"/>
      <c r="F25" s="17" t="n"/>
      <c r="G25" s="17" t="n"/>
      <c r="H25" s="17" t="n"/>
      <c r="I25" s="17" t="n"/>
      <c r="J25" s="17" t="n"/>
      <c r="K25" s="17" t="n"/>
      <c r="L25" s="10">
        <f>IF(C25="","",COUNTA(E25:K25))</f>
        <v/>
      </c>
      <c r="M25" s="18">
        <f>IF(C25="","",L25*D25)</f>
        <v/>
      </c>
      <c r="N25" s="1" t="n"/>
    </row>
    <row r="26" ht="20" customHeight="1">
      <c r="A26" s="1" t="n"/>
      <c r="B26" s="15">
        <f>IF(Chores!B26="","",IF(Chores!C26="","",Chores!C26))</f>
        <v/>
      </c>
      <c r="C26" s="16">
        <f>IF(Chores!B26="","",Chores!B26)</f>
        <v/>
      </c>
      <c r="D26" s="10">
        <f>IF(Chores!B26="","",N(Chores!D26))</f>
        <v/>
      </c>
      <c r="E26" s="17" t="n"/>
      <c r="F26" s="17" t="n"/>
      <c r="G26" s="17" t="n"/>
      <c r="H26" s="17" t="n"/>
      <c r="I26" s="17" t="n"/>
      <c r="J26" s="17" t="n"/>
      <c r="K26" s="17" t="n"/>
      <c r="L26" s="10">
        <f>IF(C26="","",COUNTA(E26:K26))</f>
        <v/>
      </c>
      <c r="M26" s="18">
        <f>IF(C26="","",L26*D26)</f>
        <v/>
      </c>
      <c r="N26" s="1" t="n"/>
    </row>
    <row r="27" ht="20" customHeight="1">
      <c r="A27" s="1" t="n"/>
      <c r="B27" s="15">
        <f>IF(Chores!B27="","",IF(Chores!C27="","",Chores!C27))</f>
        <v/>
      </c>
      <c r="C27" s="16">
        <f>IF(Chores!B27="","",Chores!B27)</f>
        <v/>
      </c>
      <c r="D27" s="10">
        <f>IF(Chores!B27="","",N(Chores!D27))</f>
        <v/>
      </c>
      <c r="E27" s="17" t="n"/>
      <c r="F27" s="17" t="n"/>
      <c r="G27" s="17" t="n"/>
      <c r="H27" s="17" t="n"/>
      <c r="I27" s="17" t="n"/>
      <c r="J27" s="17" t="n"/>
      <c r="K27" s="17" t="n"/>
      <c r="L27" s="10">
        <f>IF(C27="","",COUNTA(E27:K27))</f>
        <v/>
      </c>
      <c r="M27" s="18">
        <f>IF(C27="","",L27*D27)</f>
        <v/>
      </c>
      <c r="N27" s="1" t="n"/>
    </row>
    <row r="28" ht="20" customHeight="1">
      <c r="A28" s="1" t="n"/>
      <c r="B28" s="15">
        <f>IF(Chores!B28="","",IF(Chores!C28="","",Chores!C28))</f>
        <v/>
      </c>
      <c r="C28" s="16">
        <f>IF(Chores!B28="","",Chores!B28)</f>
        <v/>
      </c>
      <c r="D28" s="10">
        <f>IF(Chores!B28="","",N(Chores!D28))</f>
        <v/>
      </c>
      <c r="E28" s="17" t="n"/>
      <c r="F28" s="17" t="n"/>
      <c r="G28" s="17" t="n"/>
      <c r="H28" s="17" t="n"/>
      <c r="I28" s="17" t="n"/>
      <c r="J28" s="17" t="n"/>
      <c r="K28" s="17" t="n"/>
      <c r="L28" s="10">
        <f>IF(C28="","",COUNTA(E28:K28))</f>
        <v/>
      </c>
      <c r="M28" s="18">
        <f>IF(C28="","",L28*D28)</f>
        <v/>
      </c>
      <c r="N28" s="1" t="n"/>
    </row>
    <row r="29" ht="20" customHeight="1">
      <c r="A29" s="1" t="n"/>
      <c r="B29" s="15">
        <f>IF(Chores!B29="","",IF(Chores!C29="","",Chores!C29))</f>
        <v/>
      </c>
      <c r="C29" s="16">
        <f>IF(Chores!B29="","",Chores!B29)</f>
        <v/>
      </c>
      <c r="D29" s="10">
        <f>IF(Chores!B29="","",N(Chores!D29))</f>
        <v/>
      </c>
      <c r="E29" s="17" t="n"/>
      <c r="F29" s="17" t="n"/>
      <c r="G29" s="17" t="n"/>
      <c r="H29" s="17" t="n"/>
      <c r="I29" s="17" t="n"/>
      <c r="J29" s="17" t="n"/>
      <c r="K29" s="17" t="n"/>
      <c r="L29" s="10">
        <f>IF(C29="","",COUNTA(E29:K29))</f>
        <v/>
      </c>
      <c r="M29" s="18">
        <f>IF(C29="","",L29*D29)</f>
        <v/>
      </c>
      <c r="N29" s="1" t="n"/>
    </row>
    <row r="30" ht="20" customHeight="1">
      <c r="A30" s="1" t="n"/>
      <c r="B30" s="15">
        <f>IF(Chores!B30="","",IF(Chores!C30="","",Chores!C30))</f>
        <v/>
      </c>
      <c r="C30" s="16">
        <f>IF(Chores!B30="","",Chores!B30)</f>
        <v/>
      </c>
      <c r="D30" s="10">
        <f>IF(Chores!B30="","",N(Chores!D30))</f>
        <v/>
      </c>
      <c r="E30" s="17" t="n"/>
      <c r="F30" s="17" t="n"/>
      <c r="G30" s="17" t="n"/>
      <c r="H30" s="17" t="n"/>
      <c r="I30" s="17" t="n"/>
      <c r="J30" s="17" t="n"/>
      <c r="K30" s="17" t="n"/>
      <c r="L30" s="10">
        <f>IF(C30="","",COUNTA(E30:K30))</f>
        <v/>
      </c>
      <c r="M30" s="18">
        <f>IF(C30="","",L30*D30)</f>
        <v/>
      </c>
      <c r="N30" s="1" t="n"/>
    </row>
    <row r="31" ht="20" customHeight="1">
      <c r="A31" s="1" t="n"/>
      <c r="B31" s="15">
        <f>IF(Chores!B31="","",IF(Chores!C31="","",Chores!C31))</f>
        <v/>
      </c>
      <c r="C31" s="16">
        <f>IF(Chores!B31="","",Chores!B31)</f>
        <v/>
      </c>
      <c r="D31" s="10">
        <f>IF(Chores!B31="","",N(Chores!D31))</f>
        <v/>
      </c>
      <c r="E31" s="17" t="n"/>
      <c r="F31" s="17" t="n"/>
      <c r="G31" s="17" t="n"/>
      <c r="H31" s="17" t="n"/>
      <c r="I31" s="17" t="n"/>
      <c r="J31" s="17" t="n"/>
      <c r="K31" s="17" t="n"/>
      <c r="L31" s="10">
        <f>IF(C31="","",COUNTA(E31:K31))</f>
        <v/>
      </c>
      <c r="M31" s="18">
        <f>IF(C31="","",L31*D31)</f>
        <v/>
      </c>
      <c r="N31" s="1" t="n"/>
    </row>
    <row r="32" ht="20" customHeight="1">
      <c r="A32" s="1" t="n"/>
      <c r="B32" s="15">
        <f>IF(Chores!B32="","",IF(Chores!C32="","",Chores!C32))</f>
        <v/>
      </c>
      <c r="C32" s="16">
        <f>IF(Chores!B32="","",Chores!B32)</f>
        <v/>
      </c>
      <c r="D32" s="10">
        <f>IF(Chores!B32="","",N(Chores!D32))</f>
        <v/>
      </c>
      <c r="E32" s="17" t="n"/>
      <c r="F32" s="17" t="n"/>
      <c r="G32" s="17" t="n"/>
      <c r="H32" s="17" t="n"/>
      <c r="I32" s="17" t="n"/>
      <c r="J32" s="17" t="n"/>
      <c r="K32" s="17" t="n"/>
      <c r="L32" s="10">
        <f>IF(C32="","",COUNTA(E32:K32))</f>
        <v/>
      </c>
      <c r="M32" s="18">
        <f>IF(C32="","",L32*D32)</f>
        <v/>
      </c>
      <c r="N32" s="1" t="n"/>
    </row>
    <row r="33" ht="20" customHeight="1">
      <c r="A33" s="1" t="n"/>
      <c r="B33" s="15">
        <f>IF(Chores!B33="","",IF(Chores!C33="","",Chores!C33))</f>
        <v/>
      </c>
      <c r="C33" s="16">
        <f>IF(Chores!B33="","",Chores!B33)</f>
        <v/>
      </c>
      <c r="D33" s="10">
        <f>IF(Chores!B33="","",N(Chores!D33))</f>
        <v/>
      </c>
      <c r="E33" s="17" t="n"/>
      <c r="F33" s="17" t="n"/>
      <c r="G33" s="17" t="n"/>
      <c r="H33" s="17" t="n"/>
      <c r="I33" s="17" t="n"/>
      <c r="J33" s="17" t="n"/>
      <c r="K33" s="17" t="n"/>
      <c r="L33" s="10">
        <f>IF(C33="","",COUNTA(E33:K33))</f>
        <v/>
      </c>
      <c r="M33" s="18">
        <f>IF(C33="","",L33*D33)</f>
        <v/>
      </c>
      <c r="N33" s="1" t="n"/>
    </row>
    <row r="34" ht="20" customHeight="1">
      <c r="A34" s="1" t="n"/>
      <c r="B34" s="15">
        <f>IF(Chores!B34="","",IF(Chores!C34="","",Chores!C34))</f>
        <v/>
      </c>
      <c r="C34" s="16">
        <f>IF(Chores!B34="","",Chores!B34)</f>
        <v/>
      </c>
      <c r="D34" s="10">
        <f>IF(Chores!B34="","",N(Chores!D34))</f>
        <v/>
      </c>
      <c r="E34" s="17" t="n"/>
      <c r="F34" s="17" t="n"/>
      <c r="G34" s="17" t="n"/>
      <c r="H34" s="17" t="n"/>
      <c r="I34" s="17" t="n"/>
      <c r="J34" s="17" t="n"/>
      <c r="K34" s="17" t="n"/>
      <c r="L34" s="10">
        <f>IF(C34="","",COUNTA(E34:K34))</f>
        <v/>
      </c>
      <c r="M34" s="18">
        <f>IF(C34="","",L34*D34)</f>
        <v/>
      </c>
      <c r="N34" s="1" t="n"/>
    </row>
    <row r="35" ht="20" customHeight="1">
      <c r="A35" s="1" t="n"/>
      <c r="B35" s="15">
        <f>IF(Chores!B35="","",IF(Chores!C35="","",Chores!C35))</f>
        <v/>
      </c>
      <c r="C35" s="16">
        <f>IF(Chores!B35="","",Chores!B35)</f>
        <v/>
      </c>
      <c r="D35" s="10">
        <f>IF(Chores!B35="","",N(Chores!D35))</f>
        <v/>
      </c>
      <c r="E35" s="17" t="n"/>
      <c r="F35" s="17" t="n"/>
      <c r="G35" s="17" t="n"/>
      <c r="H35" s="17" t="n"/>
      <c r="I35" s="17" t="n"/>
      <c r="J35" s="17" t="n"/>
      <c r="K35" s="17" t="n"/>
      <c r="L35" s="10">
        <f>IF(C35="","",COUNTA(E35:K35))</f>
        <v/>
      </c>
      <c r="M35" s="18">
        <f>IF(C35="","",L35*D35)</f>
        <v/>
      </c>
      <c r="N35" s="1" t="n"/>
    </row>
    <row r="36" ht="20" customHeight="1">
      <c r="A36" s="1" t="n"/>
      <c r="B36" s="15">
        <f>IF(Chores!B36="","",IF(Chores!C36="","",Chores!C36))</f>
        <v/>
      </c>
      <c r="C36" s="16">
        <f>IF(Chores!B36="","",Chores!B36)</f>
        <v/>
      </c>
      <c r="D36" s="10">
        <f>IF(Chores!B36="","",N(Chores!D36))</f>
        <v/>
      </c>
      <c r="E36" s="17" t="n"/>
      <c r="F36" s="17" t="n"/>
      <c r="G36" s="17" t="n"/>
      <c r="H36" s="17" t="n"/>
      <c r="I36" s="17" t="n"/>
      <c r="J36" s="17" t="n"/>
      <c r="K36" s="17" t="n"/>
      <c r="L36" s="10">
        <f>IF(C36="","",COUNTA(E36:K36))</f>
        <v/>
      </c>
      <c r="M36" s="18">
        <f>IF(C36="","",L36*D36)</f>
        <v/>
      </c>
      <c r="N36" s="1" t="n"/>
    </row>
    <row r="37" ht="20" customHeight="1">
      <c r="A37" s="1" t="n"/>
      <c r="B37" s="15">
        <f>IF(Chores!B37="","",IF(Chores!C37="","",Chores!C37))</f>
        <v/>
      </c>
      <c r="C37" s="16">
        <f>IF(Chores!B37="","",Chores!B37)</f>
        <v/>
      </c>
      <c r="D37" s="10">
        <f>IF(Chores!B37="","",N(Chores!D37))</f>
        <v/>
      </c>
      <c r="E37" s="17" t="n"/>
      <c r="F37" s="17" t="n"/>
      <c r="G37" s="17" t="n"/>
      <c r="H37" s="17" t="n"/>
      <c r="I37" s="17" t="n"/>
      <c r="J37" s="17" t="n"/>
      <c r="K37" s="17" t="n"/>
      <c r="L37" s="10">
        <f>IF(C37="","",COUNTA(E37:K37))</f>
        <v/>
      </c>
      <c r="M37" s="18">
        <f>IF(C37="","",L37*D37)</f>
        <v/>
      </c>
      <c r="N37" s="1" t="n"/>
    </row>
    <row r="38" ht="20" customHeight="1">
      <c r="A38" s="1" t="n"/>
      <c r="B38" s="15">
        <f>IF(Chores!B38="","",IF(Chores!C38="","",Chores!C38))</f>
        <v/>
      </c>
      <c r="C38" s="16">
        <f>IF(Chores!B38="","",Chores!B38)</f>
        <v/>
      </c>
      <c r="D38" s="10">
        <f>IF(Chores!B38="","",N(Chores!D38))</f>
        <v/>
      </c>
      <c r="E38" s="17" t="n"/>
      <c r="F38" s="17" t="n"/>
      <c r="G38" s="17" t="n"/>
      <c r="H38" s="17" t="n"/>
      <c r="I38" s="17" t="n"/>
      <c r="J38" s="17" t="n"/>
      <c r="K38" s="17" t="n"/>
      <c r="L38" s="10">
        <f>IF(C38="","",COUNTA(E38:K38))</f>
        <v/>
      </c>
      <c r="M38" s="18">
        <f>IF(C38="","",L38*D38)</f>
        <v/>
      </c>
      <c r="N38" s="1" t="n"/>
    </row>
    <row r="39" ht="20" customHeight="1">
      <c r="A39" s="1" t="n"/>
      <c r="B39" s="15">
        <f>IF(Chores!B39="","",IF(Chores!C39="","",Chores!C39))</f>
        <v/>
      </c>
      <c r="C39" s="16">
        <f>IF(Chores!B39="","",Chores!B39)</f>
        <v/>
      </c>
      <c r="D39" s="10">
        <f>IF(Chores!B39="","",N(Chores!D39))</f>
        <v/>
      </c>
      <c r="E39" s="17" t="n"/>
      <c r="F39" s="17" t="n"/>
      <c r="G39" s="17" t="n"/>
      <c r="H39" s="17" t="n"/>
      <c r="I39" s="17" t="n"/>
      <c r="J39" s="17" t="n"/>
      <c r="K39" s="17" t="n"/>
      <c r="L39" s="10">
        <f>IF(C39="","",COUNTA(E39:K39))</f>
        <v/>
      </c>
      <c r="M39" s="18">
        <f>IF(C39="","",L39*D39)</f>
        <v/>
      </c>
      <c r="N39" s="1" t="n"/>
    </row>
    <row r="40" ht="20" customHeight="1">
      <c r="A40" s="1" t="n"/>
      <c r="B40" s="15">
        <f>IF(Chores!B40="","",IF(Chores!C40="","",Chores!C40))</f>
        <v/>
      </c>
      <c r="C40" s="16">
        <f>IF(Chores!B40="","",Chores!B40)</f>
        <v/>
      </c>
      <c r="D40" s="10">
        <f>IF(Chores!B40="","",N(Chores!D40))</f>
        <v/>
      </c>
      <c r="E40" s="17" t="n"/>
      <c r="F40" s="17" t="n"/>
      <c r="G40" s="17" t="n"/>
      <c r="H40" s="17" t="n"/>
      <c r="I40" s="17" t="n"/>
      <c r="J40" s="17" t="n"/>
      <c r="K40" s="17" t="n"/>
      <c r="L40" s="10">
        <f>IF(C40="","",COUNTA(E40:K40))</f>
        <v/>
      </c>
      <c r="M40" s="18">
        <f>IF(C40="","",L40*D40)</f>
        <v/>
      </c>
      <c r="N40" s="1" t="n"/>
    </row>
    <row r="41" ht="20" customHeight="1">
      <c r="A41" s="1" t="n"/>
      <c r="B41" s="15">
        <f>IF(Chores!B41="","",IF(Chores!C41="","",Chores!C41))</f>
        <v/>
      </c>
      <c r="C41" s="16">
        <f>IF(Chores!B41="","",Chores!B41)</f>
        <v/>
      </c>
      <c r="D41" s="10">
        <f>IF(Chores!B41="","",N(Chores!D41))</f>
        <v/>
      </c>
      <c r="E41" s="17" t="n"/>
      <c r="F41" s="17" t="n"/>
      <c r="G41" s="17" t="n"/>
      <c r="H41" s="17" t="n"/>
      <c r="I41" s="17" t="n"/>
      <c r="J41" s="17" t="n"/>
      <c r="K41" s="17" t="n"/>
      <c r="L41" s="10">
        <f>IF(C41="","",COUNTA(E41:K41))</f>
        <v/>
      </c>
      <c r="M41" s="18">
        <f>IF(C41="","",L41*D41)</f>
        <v/>
      </c>
      <c r="N41" s="1" t="n"/>
    </row>
    <row r="42" ht="20" customHeight="1">
      <c r="A42" s="1" t="n"/>
      <c r="B42" s="15">
        <f>IF(Chores!B42="","",IF(Chores!C42="","",Chores!C42))</f>
        <v/>
      </c>
      <c r="C42" s="16">
        <f>IF(Chores!B42="","",Chores!B42)</f>
        <v/>
      </c>
      <c r="D42" s="10">
        <f>IF(Chores!B42="","",N(Chores!D42))</f>
        <v/>
      </c>
      <c r="E42" s="17" t="n"/>
      <c r="F42" s="17" t="n"/>
      <c r="G42" s="17" t="n"/>
      <c r="H42" s="17" t="n"/>
      <c r="I42" s="17" t="n"/>
      <c r="J42" s="17" t="n"/>
      <c r="K42" s="17" t="n"/>
      <c r="L42" s="10">
        <f>IF(C42="","",COUNTA(E42:K42))</f>
        <v/>
      </c>
      <c r="M42" s="18">
        <f>IF(C42="","",L42*D42)</f>
        <v/>
      </c>
      <c r="N42" s="1" t="n"/>
    </row>
    <row r="43" ht="20" customHeight="1">
      <c r="A43" s="1" t="n"/>
      <c r="B43" s="15">
        <f>IF(Chores!B43="","",IF(Chores!C43="","",Chores!C43))</f>
        <v/>
      </c>
      <c r="C43" s="16">
        <f>IF(Chores!B43="","",Chores!B43)</f>
        <v/>
      </c>
      <c r="D43" s="10">
        <f>IF(Chores!B43="","",N(Chores!D43))</f>
        <v/>
      </c>
      <c r="E43" s="17" t="n"/>
      <c r="F43" s="17" t="n"/>
      <c r="G43" s="17" t="n"/>
      <c r="H43" s="17" t="n"/>
      <c r="I43" s="17" t="n"/>
      <c r="J43" s="17" t="n"/>
      <c r="K43" s="17" t="n"/>
      <c r="L43" s="10">
        <f>IF(C43="","",COUNTA(E43:K43))</f>
        <v/>
      </c>
      <c r="M43" s="18">
        <f>IF(C43="","",L43*D43)</f>
        <v/>
      </c>
      <c r="N43" s="1" t="n"/>
    </row>
    <row r="44" ht="20" customHeight="1">
      <c r="A44" s="1" t="n"/>
      <c r="B44" s="15">
        <f>IF(Chores!B44="","",IF(Chores!C44="","",Chores!C44))</f>
        <v/>
      </c>
      <c r="C44" s="16">
        <f>IF(Chores!B44="","",Chores!B44)</f>
        <v/>
      </c>
      <c r="D44" s="10">
        <f>IF(Chores!B44="","",N(Chores!D44))</f>
        <v/>
      </c>
      <c r="E44" s="17" t="n"/>
      <c r="F44" s="17" t="n"/>
      <c r="G44" s="17" t="n"/>
      <c r="H44" s="17" t="n"/>
      <c r="I44" s="17" t="n"/>
      <c r="J44" s="17" t="n"/>
      <c r="K44" s="17" t="n"/>
      <c r="L44" s="10">
        <f>IF(C44="","",COUNTA(E44:K44))</f>
        <v/>
      </c>
      <c r="M44" s="18">
        <f>IF(C44="","",L44*D44)</f>
        <v/>
      </c>
      <c r="N44" s="1" t="n"/>
    </row>
    <row r="45" ht="20" customHeight="1">
      <c r="A45" s="1" t="n"/>
      <c r="B45" s="15">
        <f>IF(Chores!B45="","",IF(Chores!C45="","",Chores!C45))</f>
        <v/>
      </c>
      <c r="C45" s="16">
        <f>IF(Chores!B45="","",Chores!B45)</f>
        <v/>
      </c>
      <c r="D45" s="10">
        <f>IF(Chores!B45="","",N(Chores!D45))</f>
        <v/>
      </c>
      <c r="E45" s="17" t="n"/>
      <c r="F45" s="17" t="n"/>
      <c r="G45" s="17" t="n"/>
      <c r="H45" s="17" t="n"/>
      <c r="I45" s="17" t="n"/>
      <c r="J45" s="17" t="n"/>
      <c r="K45" s="17" t="n"/>
      <c r="L45" s="10">
        <f>IF(C45="","",COUNTA(E45:K45))</f>
        <v/>
      </c>
      <c r="M45" s="18">
        <f>IF(C45="","",L45*D45)</f>
        <v/>
      </c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</sheetData>
  <conditionalFormatting sqref="E6:E45">
    <cfRule type="expression" priority="1" dxfId="1">
      <formula>AND($C6&lt;&gt;"",E6&lt;&gt;"")</formula>
    </cfRule>
    <cfRule type="expression" priority="2" dxfId="2">
      <formula>AND($C6&lt;&gt;"",Chores!E6&lt;&gt;"")</formula>
    </cfRule>
  </conditionalFormatting>
  <conditionalFormatting sqref="F6:F45">
    <cfRule type="expression" priority="3" dxfId="1">
      <formula>AND($C6&lt;&gt;"",F6&lt;&gt;"")</formula>
    </cfRule>
    <cfRule type="expression" priority="4" dxfId="2">
      <formula>AND($C6&lt;&gt;"",Chores!F6&lt;&gt;"")</formula>
    </cfRule>
  </conditionalFormatting>
  <conditionalFormatting sqref="G6:G45">
    <cfRule type="expression" priority="5" dxfId="1">
      <formula>AND($C6&lt;&gt;"",G6&lt;&gt;"")</formula>
    </cfRule>
    <cfRule type="expression" priority="6" dxfId="2">
      <formula>AND($C6&lt;&gt;"",Chores!G6&lt;&gt;"")</formula>
    </cfRule>
  </conditionalFormatting>
  <conditionalFormatting sqref="H6:H45">
    <cfRule type="expression" priority="7" dxfId="1">
      <formula>AND($C6&lt;&gt;"",H6&lt;&gt;"")</formula>
    </cfRule>
    <cfRule type="expression" priority="8" dxfId="2">
      <formula>AND($C6&lt;&gt;"",Chores!H6&lt;&gt;"")</formula>
    </cfRule>
  </conditionalFormatting>
  <conditionalFormatting sqref="I6:I45">
    <cfRule type="expression" priority="9" dxfId="1">
      <formula>AND($C6&lt;&gt;"",I6&lt;&gt;"")</formula>
    </cfRule>
    <cfRule type="expression" priority="10" dxfId="2">
      <formula>AND($C6&lt;&gt;"",Chores!I6&lt;&gt;"")</formula>
    </cfRule>
  </conditionalFormatting>
  <conditionalFormatting sqref="J6:J45">
    <cfRule type="expression" priority="11" dxfId="1">
      <formula>AND($C6&lt;&gt;"",J6&lt;&gt;"")</formula>
    </cfRule>
    <cfRule type="expression" priority="12" dxfId="2">
      <formula>AND($C6&lt;&gt;"",Chores!J6&lt;&gt;"")</formula>
    </cfRule>
  </conditionalFormatting>
  <conditionalFormatting sqref="K6:K45">
    <cfRule type="expression" priority="13" dxfId="1">
      <formula>AND($C6&lt;&gt;"",K6&lt;&gt;"")</formula>
    </cfRule>
    <cfRule type="expression" priority="14" dxfId="2">
      <formula>AND($C6&lt;&gt;"",Chores!K6&lt;&gt;"")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42" customHeight="1">
      <c r="A2" s="1" t="n"/>
      <c r="B2" s="19" t="inlineStr">
        <is>
          <t>Mia</t>
        </is>
      </c>
      <c r="C2" s="1" t="n"/>
      <c r="D2" s="20">
        <f>"Chores for the week of "&amp;DAY(Settings!$C$6)&amp;" "&amp;CHOOSE(MONTH(Settings!$C$6),"Jan","Feb","Mar","Apr","May","Jun","Jul","Aug","Sep","Oct","Nov","Dec")&amp;" to "&amp;DAY((Settings!$C$6+6))&amp;" "&amp;CHOOSE(MONTH((Settings!$C$6+6)),"Jan","Feb","Mar","Apr","May","Jun","Jul","Aug","Sep","Oct","Nov","Dec")</f>
        <v/>
      </c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21" t="inlineStr">
        <is>
          <t>An x in the box when it is done. The shaded boxes are the days to do it.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30" customHeight="1">
      <c r="A5" s="1" t="n"/>
      <c r="B5" s="8" t="inlineStr">
        <is>
          <t>Chore</t>
        </is>
      </c>
      <c r="C5" s="8" t="inlineStr">
        <is>
          <t>Points</t>
        </is>
      </c>
      <c r="D5" s="8">
        <f>"Mon "&amp;DAY(Settings!$C$6+0)</f>
        <v/>
      </c>
      <c r="E5" s="8">
        <f>"Tue "&amp;DAY(Settings!$C$6+1)</f>
        <v/>
      </c>
      <c r="F5" s="8">
        <f>"Wed "&amp;DAY(Settings!$C$6+2)</f>
        <v/>
      </c>
      <c r="G5" s="8">
        <f>"Thu "&amp;DAY(Settings!$C$6+3)</f>
        <v/>
      </c>
      <c r="H5" s="8">
        <f>"Fri "&amp;DAY(Settings!$C$6+4)</f>
        <v/>
      </c>
      <c r="I5" s="8">
        <f>"Sat "&amp;DAY(Settings!$C$6+5)</f>
        <v/>
      </c>
      <c r="J5" s="8">
        <f>"Sun "&amp;DAY(Settings!$C$6+6)</f>
        <v/>
      </c>
      <c r="K5" s="8" t="inlineStr">
        <is>
          <t>Done</t>
        </is>
      </c>
      <c r="L5" s="1" t="n"/>
    </row>
    <row r="6" ht="30" customHeight="1">
      <c r="A6" s="1" t="n"/>
      <c r="B6" s="22">
        <f>IF($N6="","",INDEX(Chores!$B$1:$B$45,$N6))</f>
        <v/>
      </c>
      <c r="C6" s="23">
        <f>IF($N6="","",N(INDEX(Chores!$D$1:$D$45,$N6)))</f>
        <v/>
      </c>
      <c r="D6" s="24">
        <f>IF($N6="","",IF(INDEX('This week'!$E$1:$E$45,$N6)="","",INDEX('This week'!$E$1:$E$45,$N6)))</f>
        <v/>
      </c>
      <c r="E6" s="24">
        <f>IF($N6="","",IF(INDEX('This week'!$F$1:$F$45,$N6)="","",INDEX('This week'!$F$1:$F$45,$N6)))</f>
        <v/>
      </c>
      <c r="F6" s="24">
        <f>IF($N6="","",IF(INDEX('This week'!$G$1:$G$45,$N6)="","",INDEX('This week'!$G$1:$G$45,$N6)))</f>
        <v/>
      </c>
      <c r="G6" s="24">
        <f>IF($N6="","",IF(INDEX('This week'!$H$1:$H$45,$N6)="","",INDEX('This week'!$H$1:$H$45,$N6)))</f>
        <v/>
      </c>
      <c r="H6" s="24">
        <f>IF($N6="","",IF(INDEX('This week'!$I$1:$I$45,$N6)="","",INDEX('This week'!$I$1:$I$45,$N6)))</f>
        <v/>
      </c>
      <c r="I6" s="24">
        <f>IF($N6="","",IF(INDEX('This week'!$J$1:$J$45,$N6)="","",INDEX('This week'!$J$1:$J$45,$N6)))</f>
        <v/>
      </c>
      <c r="J6" s="24">
        <f>IF($N6="","",IF(INDEX('This week'!$K$1:$K$45,$N6)="","",INDEX('This week'!$K$1:$K$45,$N6)))</f>
        <v/>
      </c>
      <c r="K6" s="25">
        <f>IF($N6="","",INDEX('This week'!$L$1:$L$45,$N6))</f>
        <v/>
      </c>
      <c r="L6" s="1" t="n"/>
      <c r="N6">
        <f>IFERROR(SMALL(Chores!$O$6:$O$45,1),"")</f>
        <v/>
      </c>
      <c r="P6">
        <f>IF($N6="",0,IF(INDEX(Chores!$E$1:$E$45,$N6)="",0,1))</f>
        <v/>
      </c>
      <c r="Q6">
        <f>IF($N6="",0,IF(INDEX(Chores!$F$1:$F$45,$N6)="",0,1))</f>
        <v/>
      </c>
      <c r="R6">
        <f>IF($N6="",0,IF(INDEX(Chores!$G$1:$G$45,$N6)="",0,1))</f>
        <v/>
      </c>
      <c r="S6">
        <f>IF($N6="",0,IF(INDEX(Chores!$H$1:$H$45,$N6)="",0,1))</f>
        <v/>
      </c>
      <c r="T6">
        <f>IF($N6="",0,IF(INDEX(Chores!$I$1:$I$45,$N6)="",0,1))</f>
        <v/>
      </c>
      <c r="U6">
        <f>IF($N6="",0,IF(INDEX(Chores!$J$1:$J$45,$N6)="",0,1))</f>
        <v/>
      </c>
      <c r="V6">
        <f>IF($N6="",0,IF(INDEX(Chores!$K$1:$K$45,$N6)="",0,1))</f>
        <v/>
      </c>
    </row>
    <row r="7" ht="30" customHeight="1">
      <c r="A7" s="1" t="n"/>
      <c r="B7" s="22">
        <f>IF($N7="","",INDEX(Chores!$B$1:$B$45,$N7))</f>
        <v/>
      </c>
      <c r="C7" s="23">
        <f>IF($N7="","",N(INDEX(Chores!$D$1:$D$45,$N7)))</f>
        <v/>
      </c>
      <c r="D7" s="24">
        <f>IF($N7="","",IF(INDEX('This week'!$E$1:$E$45,$N7)="","",INDEX('This week'!$E$1:$E$45,$N7)))</f>
        <v/>
      </c>
      <c r="E7" s="24">
        <f>IF($N7="","",IF(INDEX('This week'!$F$1:$F$45,$N7)="","",INDEX('This week'!$F$1:$F$45,$N7)))</f>
        <v/>
      </c>
      <c r="F7" s="24">
        <f>IF($N7="","",IF(INDEX('This week'!$G$1:$G$45,$N7)="","",INDEX('This week'!$G$1:$G$45,$N7)))</f>
        <v/>
      </c>
      <c r="G7" s="24">
        <f>IF($N7="","",IF(INDEX('This week'!$H$1:$H$45,$N7)="","",INDEX('This week'!$H$1:$H$45,$N7)))</f>
        <v/>
      </c>
      <c r="H7" s="24">
        <f>IF($N7="","",IF(INDEX('This week'!$I$1:$I$45,$N7)="","",INDEX('This week'!$I$1:$I$45,$N7)))</f>
        <v/>
      </c>
      <c r="I7" s="24">
        <f>IF($N7="","",IF(INDEX('This week'!$J$1:$J$45,$N7)="","",INDEX('This week'!$J$1:$J$45,$N7)))</f>
        <v/>
      </c>
      <c r="J7" s="24">
        <f>IF($N7="","",IF(INDEX('This week'!$K$1:$K$45,$N7)="","",INDEX('This week'!$K$1:$K$45,$N7)))</f>
        <v/>
      </c>
      <c r="K7" s="25">
        <f>IF($N7="","",INDEX('This week'!$L$1:$L$45,$N7))</f>
        <v/>
      </c>
      <c r="L7" s="1" t="n"/>
      <c r="N7">
        <f>IFERROR(SMALL(Chores!$O$6:$O$45,2),"")</f>
        <v/>
      </c>
      <c r="P7">
        <f>IF($N7="",0,IF(INDEX(Chores!$E$1:$E$45,$N7)="",0,1))</f>
        <v/>
      </c>
      <c r="Q7">
        <f>IF($N7="",0,IF(INDEX(Chores!$F$1:$F$45,$N7)="",0,1))</f>
        <v/>
      </c>
      <c r="R7">
        <f>IF($N7="",0,IF(INDEX(Chores!$G$1:$G$45,$N7)="",0,1))</f>
        <v/>
      </c>
      <c r="S7">
        <f>IF($N7="",0,IF(INDEX(Chores!$H$1:$H$45,$N7)="",0,1))</f>
        <v/>
      </c>
      <c r="T7">
        <f>IF($N7="",0,IF(INDEX(Chores!$I$1:$I$45,$N7)="",0,1))</f>
        <v/>
      </c>
      <c r="U7">
        <f>IF($N7="",0,IF(INDEX(Chores!$J$1:$J$45,$N7)="",0,1))</f>
        <v/>
      </c>
      <c r="V7">
        <f>IF($N7="",0,IF(INDEX(Chores!$K$1:$K$45,$N7)="",0,1))</f>
        <v/>
      </c>
    </row>
    <row r="8" ht="30" customHeight="1">
      <c r="A8" s="1" t="n"/>
      <c r="B8" s="22">
        <f>IF($N8="","",INDEX(Chores!$B$1:$B$45,$N8))</f>
        <v/>
      </c>
      <c r="C8" s="23">
        <f>IF($N8="","",N(INDEX(Chores!$D$1:$D$45,$N8)))</f>
        <v/>
      </c>
      <c r="D8" s="24">
        <f>IF($N8="","",IF(INDEX('This week'!$E$1:$E$45,$N8)="","",INDEX('This week'!$E$1:$E$45,$N8)))</f>
        <v/>
      </c>
      <c r="E8" s="24">
        <f>IF($N8="","",IF(INDEX('This week'!$F$1:$F$45,$N8)="","",INDEX('This week'!$F$1:$F$45,$N8)))</f>
        <v/>
      </c>
      <c r="F8" s="24">
        <f>IF($N8="","",IF(INDEX('This week'!$G$1:$G$45,$N8)="","",INDEX('This week'!$G$1:$G$45,$N8)))</f>
        <v/>
      </c>
      <c r="G8" s="24">
        <f>IF($N8="","",IF(INDEX('This week'!$H$1:$H$45,$N8)="","",INDEX('This week'!$H$1:$H$45,$N8)))</f>
        <v/>
      </c>
      <c r="H8" s="24">
        <f>IF($N8="","",IF(INDEX('This week'!$I$1:$I$45,$N8)="","",INDEX('This week'!$I$1:$I$45,$N8)))</f>
        <v/>
      </c>
      <c r="I8" s="24">
        <f>IF($N8="","",IF(INDEX('This week'!$J$1:$J$45,$N8)="","",INDEX('This week'!$J$1:$J$45,$N8)))</f>
        <v/>
      </c>
      <c r="J8" s="24">
        <f>IF($N8="","",IF(INDEX('This week'!$K$1:$K$45,$N8)="","",INDEX('This week'!$K$1:$K$45,$N8)))</f>
        <v/>
      </c>
      <c r="K8" s="25">
        <f>IF($N8="","",INDEX('This week'!$L$1:$L$45,$N8))</f>
        <v/>
      </c>
      <c r="L8" s="1" t="n"/>
      <c r="N8">
        <f>IFERROR(SMALL(Chores!$O$6:$O$45,3),"")</f>
        <v/>
      </c>
      <c r="P8">
        <f>IF($N8="",0,IF(INDEX(Chores!$E$1:$E$45,$N8)="",0,1))</f>
        <v/>
      </c>
      <c r="Q8">
        <f>IF($N8="",0,IF(INDEX(Chores!$F$1:$F$45,$N8)="",0,1))</f>
        <v/>
      </c>
      <c r="R8">
        <f>IF($N8="",0,IF(INDEX(Chores!$G$1:$G$45,$N8)="",0,1))</f>
        <v/>
      </c>
      <c r="S8">
        <f>IF($N8="",0,IF(INDEX(Chores!$H$1:$H$45,$N8)="",0,1))</f>
        <v/>
      </c>
      <c r="T8">
        <f>IF($N8="",0,IF(INDEX(Chores!$I$1:$I$45,$N8)="",0,1))</f>
        <v/>
      </c>
      <c r="U8">
        <f>IF($N8="",0,IF(INDEX(Chores!$J$1:$J$45,$N8)="",0,1))</f>
        <v/>
      </c>
      <c r="V8">
        <f>IF($N8="",0,IF(INDEX(Chores!$K$1:$K$45,$N8)="",0,1))</f>
        <v/>
      </c>
    </row>
    <row r="9" ht="30" customHeight="1">
      <c r="A9" s="1" t="n"/>
      <c r="B9" s="22">
        <f>IF($N9="","",INDEX(Chores!$B$1:$B$45,$N9))</f>
        <v/>
      </c>
      <c r="C9" s="23">
        <f>IF($N9="","",N(INDEX(Chores!$D$1:$D$45,$N9)))</f>
        <v/>
      </c>
      <c r="D9" s="24">
        <f>IF($N9="","",IF(INDEX('This week'!$E$1:$E$45,$N9)="","",INDEX('This week'!$E$1:$E$45,$N9)))</f>
        <v/>
      </c>
      <c r="E9" s="24">
        <f>IF($N9="","",IF(INDEX('This week'!$F$1:$F$45,$N9)="","",INDEX('This week'!$F$1:$F$45,$N9)))</f>
        <v/>
      </c>
      <c r="F9" s="24">
        <f>IF($N9="","",IF(INDEX('This week'!$G$1:$G$45,$N9)="","",INDEX('This week'!$G$1:$G$45,$N9)))</f>
        <v/>
      </c>
      <c r="G9" s="24">
        <f>IF($N9="","",IF(INDEX('This week'!$H$1:$H$45,$N9)="","",INDEX('This week'!$H$1:$H$45,$N9)))</f>
        <v/>
      </c>
      <c r="H9" s="24">
        <f>IF($N9="","",IF(INDEX('This week'!$I$1:$I$45,$N9)="","",INDEX('This week'!$I$1:$I$45,$N9)))</f>
        <v/>
      </c>
      <c r="I9" s="24">
        <f>IF($N9="","",IF(INDEX('This week'!$J$1:$J$45,$N9)="","",INDEX('This week'!$J$1:$J$45,$N9)))</f>
        <v/>
      </c>
      <c r="J9" s="24">
        <f>IF($N9="","",IF(INDEX('This week'!$K$1:$K$45,$N9)="","",INDEX('This week'!$K$1:$K$45,$N9)))</f>
        <v/>
      </c>
      <c r="K9" s="25">
        <f>IF($N9="","",INDEX('This week'!$L$1:$L$45,$N9))</f>
        <v/>
      </c>
      <c r="L9" s="1" t="n"/>
      <c r="N9">
        <f>IFERROR(SMALL(Chores!$O$6:$O$45,4),"")</f>
        <v/>
      </c>
      <c r="P9">
        <f>IF($N9="",0,IF(INDEX(Chores!$E$1:$E$45,$N9)="",0,1))</f>
        <v/>
      </c>
      <c r="Q9">
        <f>IF($N9="",0,IF(INDEX(Chores!$F$1:$F$45,$N9)="",0,1))</f>
        <v/>
      </c>
      <c r="R9">
        <f>IF($N9="",0,IF(INDEX(Chores!$G$1:$G$45,$N9)="",0,1))</f>
        <v/>
      </c>
      <c r="S9">
        <f>IF($N9="",0,IF(INDEX(Chores!$H$1:$H$45,$N9)="",0,1))</f>
        <v/>
      </c>
      <c r="T9">
        <f>IF($N9="",0,IF(INDEX(Chores!$I$1:$I$45,$N9)="",0,1))</f>
        <v/>
      </c>
      <c r="U9">
        <f>IF($N9="",0,IF(INDEX(Chores!$J$1:$J$45,$N9)="",0,1))</f>
        <v/>
      </c>
      <c r="V9">
        <f>IF($N9="",0,IF(INDEX(Chores!$K$1:$K$45,$N9)="",0,1))</f>
        <v/>
      </c>
    </row>
    <row r="10" ht="30" customHeight="1">
      <c r="A10" s="1" t="n"/>
      <c r="B10" s="22">
        <f>IF($N10="","",INDEX(Chores!$B$1:$B$45,$N10))</f>
        <v/>
      </c>
      <c r="C10" s="23">
        <f>IF($N10="","",N(INDEX(Chores!$D$1:$D$45,$N10)))</f>
        <v/>
      </c>
      <c r="D10" s="24">
        <f>IF($N10="","",IF(INDEX('This week'!$E$1:$E$45,$N10)="","",INDEX('This week'!$E$1:$E$45,$N10)))</f>
        <v/>
      </c>
      <c r="E10" s="24">
        <f>IF($N10="","",IF(INDEX('This week'!$F$1:$F$45,$N10)="","",INDEX('This week'!$F$1:$F$45,$N10)))</f>
        <v/>
      </c>
      <c r="F10" s="24">
        <f>IF($N10="","",IF(INDEX('This week'!$G$1:$G$45,$N10)="","",INDEX('This week'!$G$1:$G$45,$N10)))</f>
        <v/>
      </c>
      <c r="G10" s="24">
        <f>IF($N10="","",IF(INDEX('This week'!$H$1:$H$45,$N10)="","",INDEX('This week'!$H$1:$H$45,$N10)))</f>
        <v/>
      </c>
      <c r="H10" s="24">
        <f>IF($N10="","",IF(INDEX('This week'!$I$1:$I$45,$N10)="","",INDEX('This week'!$I$1:$I$45,$N10)))</f>
        <v/>
      </c>
      <c r="I10" s="24">
        <f>IF($N10="","",IF(INDEX('This week'!$J$1:$J$45,$N10)="","",INDEX('This week'!$J$1:$J$45,$N10)))</f>
        <v/>
      </c>
      <c r="J10" s="24">
        <f>IF($N10="","",IF(INDEX('This week'!$K$1:$K$45,$N10)="","",INDEX('This week'!$K$1:$K$45,$N10)))</f>
        <v/>
      </c>
      <c r="K10" s="25">
        <f>IF($N10="","",INDEX('This week'!$L$1:$L$45,$N10))</f>
        <v/>
      </c>
      <c r="L10" s="1" t="n"/>
      <c r="N10">
        <f>IFERROR(SMALL(Chores!$O$6:$O$45,5),"")</f>
        <v/>
      </c>
      <c r="P10">
        <f>IF($N10="",0,IF(INDEX(Chores!$E$1:$E$45,$N10)="",0,1))</f>
        <v/>
      </c>
      <c r="Q10">
        <f>IF($N10="",0,IF(INDEX(Chores!$F$1:$F$45,$N10)="",0,1))</f>
        <v/>
      </c>
      <c r="R10">
        <f>IF($N10="",0,IF(INDEX(Chores!$G$1:$G$45,$N10)="",0,1))</f>
        <v/>
      </c>
      <c r="S10">
        <f>IF($N10="",0,IF(INDEX(Chores!$H$1:$H$45,$N10)="",0,1))</f>
        <v/>
      </c>
      <c r="T10">
        <f>IF($N10="",0,IF(INDEX(Chores!$I$1:$I$45,$N10)="",0,1))</f>
        <v/>
      </c>
      <c r="U10">
        <f>IF($N10="",0,IF(INDEX(Chores!$J$1:$J$45,$N10)="",0,1))</f>
        <v/>
      </c>
      <c r="V10">
        <f>IF($N10="",0,IF(INDEX(Chores!$K$1:$K$45,$N10)="",0,1))</f>
        <v/>
      </c>
    </row>
    <row r="11" ht="30" customHeight="1">
      <c r="A11" s="1" t="n"/>
      <c r="B11" s="22">
        <f>IF($N11="","",INDEX(Chores!$B$1:$B$45,$N11))</f>
        <v/>
      </c>
      <c r="C11" s="23">
        <f>IF($N11="","",N(INDEX(Chores!$D$1:$D$45,$N11)))</f>
        <v/>
      </c>
      <c r="D11" s="24">
        <f>IF($N11="","",IF(INDEX('This week'!$E$1:$E$45,$N11)="","",INDEX('This week'!$E$1:$E$45,$N11)))</f>
        <v/>
      </c>
      <c r="E11" s="24">
        <f>IF($N11="","",IF(INDEX('This week'!$F$1:$F$45,$N11)="","",INDEX('This week'!$F$1:$F$45,$N11)))</f>
        <v/>
      </c>
      <c r="F11" s="24">
        <f>IF($N11="","",IF(INDEX('This week'!$G$1:$G$45,$N11)="","",INDEX('This week'!$G$1:$G$45,$N11)))</f>
        <v/>
      </c>
      <c r="G11" s="24">
        <f>IF($N11="","",IF(INDEX('This week'!$H$1:$H$45,$N11)="","",INDEX('This week'!$H$1:$H$45,$N11)))</f>
        <v/>
      </c>
      <c r="H11" s="24">
        <f>IF($N11="","",IF(INDEX('This week'!$I$1:$I$45,$N11)="","",INDEX('This week'!$I$1:$I$45,$N11)))</f>
        <v/>
      </c>
      <c r="I11" s="24">
        <f>IF($N11="","",IF(INDEX('This week'!$J$1:$J$45,$N11)="","",INDEX('This week'!$J$1:$J$45,$N11)))</f>
        <v/>
      </c>
      <c r="J11" s="24">
        <f>IF($N11="","",IF(INDEX('This week'!$K$1:$K$45,$N11)="","",INDEX('This week'!$K$1:$K$45,$N11)))</f>
        <v/>
      </c>
      <c r="K11" s="25">
        <f>IF($N11="","",INDEX('This week'!$L$1:$L$45,$N11))</f>
        <v/>
      </c>
      <c r="L11" s="1" t="n"/>
      <c r="N11">
        <f>IFERROR(SMALL(Chores!$O$6:$O$45,6),"")</f>
        <v/>
      </c>
      <c r="P11">
        <f>IF($N11="",0,IF(INDEX(Chores!$E$1:$E$45,$N11)="",0,1))</f>
        <v/>
      </c>
      <c r="Q11">
        <f>IF($N11="",0,IF(INDEX(Chores!$F$1:$F$45,$N11)="",0,1))</f>
        <v/>
      </c>
      <c r="R11">
        <f>IF($N11="",0,IF(INDEX(Chores!$G$1:$G$45,$N11)="",0,1))</f>
        <v/>
      </c>
      <c r="S11">
        <f>IF($N11="",0,IF(INDEX(Chores!$H$1:$H$45,$N11)="",0,1))</f>
        <v/>
      </c>
      <c r="T11">
        <f>IF($N11="",0,IF(INDEX(Chores!$I$1:$I$45,$N11)="",0,1))</f>
        <v/>
      </c>
      <c r="U11">
        <f>IF($N11="",0,IF(INDEX(Chores!$J$1:$J$45,$N11)="",0,1))</f>
        <v/>
      </c>
      <c r="V11">
        <f>IF($N11="",0,IF(INDEX(Chores!$K$1:$K$45,$N11)="",0,1))</f>
        <v/>
      </c>
    </row>
    <row r="12" ht="30" customHeight="1">
      <c r="A12" s="1" t="n"/>
      <c r="B12" s="22">
        <f>IF($N12="","",INDEX(Chores!$B$1:$B$45,$N12))</f>
        <v/>
      </c>
      <c r="C12" s="23">
        <f>IF($N12="","",N(INDEX(Chores!$D$1:$D$45,$N12)))</f>
        <v/>
      </c>
      <c r="D12" s="24">
        <f>IF($N12="","",IF(INDEX('This week'!$E$1:$E$45,$N12)="","",INDEX('This week'!$E$1:$E$45,$N12)))</f>
        <v/>
      </c>
      <c r="E12" s="24">
        <f>IF($N12="","",IF(INDEX('This week'!$F$1:$F$45,$N12)="","",INDEX('This week'!$F$1:$F$45,$N12)))</f>
        <v/>
      </c>
      <c r="F12" s="24">
        <f>IF($N12="","",IF(INDEX('This week'!$G$1:$G$45,$N12)="","",INDEX('This week'!$G$1:$G$45,$N12)))</f>
        <v/>
      </c>
      <c r="G12" s="24">
        <f>IF($N12="","",IF(INDEX('This week'!$H$1:$H$45,$N12)="","",INDEX('This week'!$H$1:$H$45,$N12)))</f>
        <v/>
      </c>
      <c r="H12" s="24">
        <f>IF($N12="","",IF(INDEX('This week'!$I$1:$I$45,$N12)="","",INDEX('This week'!$I$1:$I$45,$N12)))</f>
        <v/>
      </c>
      <c r="I12" s="24">
        <f>IF($N12="","",IF(INDEX('This week'!$J$1:$J$45,$N12)="","",INDEX('This week'!$J$1:$J$45,$N12)))</f>
        <v/>
      </c>
      <c r="J12" s="24">
        <f>IF($N12="","",IF(INDEX('This week'!$K$1:$K$45,$N12)="","",INDEX('This week'!$K$1:$K$45,$N12)))</f>
        <v/>
      </c>
      <c r="K12" s="25">
        <f>IF($N12="","",INDEX('This week'!$L$1:$L$45,$N12))</f>
        <v/>
      </c>
      <c r="L12" s="1" t="n"/>
      <c r="N12">
        <f>IFERROR(SMALL(Chores!$O$6:$O$45,7),"")</f>
        <v/>
      </c>
      <c r="P12">
        <f>IF($N12="",0,IF(INDEX(Chores!$E$1:$E$45,$N12)="",0,1))</f>
        <v/>
      </c>
      <c r="Q12">
        <f>IF($N12="",0,IF(INDEX(Chores!$F$1:$F$45,$N12)="",0,1))</f>
        <v/>
      </c>
      <c r="R12">
        <f>IF($N12="",0,IF(INDEX(Chores!$G$1:$G$45,$N12)="",0,1))</f>
        <v/>
      </c>
      <c r="S12">
        <f>IF($N12="",0,IF(INDEX(Chores!$H$1:$H$45,$N12)="",0,1))</f>
        <v/>
      </c>
      <c r="T12">
        <f>IF($N12="",0,IF(INDEX(Chores!$I$1:$I$45,$N12)="",0,1))</f>
        <v/>
      </c>
      <c r="U12">
        <f>IF($N12="",0,IF(INDEX(Chores!$J$1:$J$45,$N12)="",0,1))</f>
        <v/>
      </c>
      <c r="V12">
        <f>IF($N12="",0,IF(INDEX(Chores!$K$1:$K$45,$N12)="",0,1))</f>
        <v/>
      </c>
    </row>
    <row r="13" ht="30" customHeight="1">
      <c r="A13" s="1" t="n"/>
      <c r="B13" s="22">
        <f>IF($N13="","",INDEX(Chores!$B$1:$B$45,$N13))</f>
        <v/>
      </c>
      <c r="C13" s="23">
        <f>IF($N13="","",N(INDEX(Chores!$D$1:$D$45,$N13)))</f>
        <v/>
      </c>
      <c r="D13" s="24">
        <f>IF($N13="","",IF(INDEX('This week'!$E$1:$E$45,$N13)="","",INDEX('This week'!$E$1:$E$45,$N13)))</f>
        <v/>
      </c>
      <c r="E13" s="24">
        <f>IF($N13="","",IF(INDEX('This week'!$F$1:$F$45,$N13)="","",INDEX('This week'!$F$1:$F$45,$N13)))</f>
        <v/>
      </c>
      <c r="F13" s="24">
        <f>IF($N13="","",IF(INDEX('This week'!$G$1:$G$45,$N13)="","",INDEX('This week'!$G$1:$G$45,$N13)))</f>
        <v/>
      </c>
      <c r="G13" s="24">
        <f>IF($N13="","",IF(INDEX('This week'!$H$1:$H$45,$N13)="","",INDEX('This week'!$H$1:$H$45,$N13)))</f>
        <v/>
      </c>
      <c r="H13" s="24">
        <f>IF($N13="","",IF(INDEX('This week'!$I$1:$I$45,$N13)="","",INDEX('This week'!$I$1:$I$45,$N13)))</f>
        <v/>
      </c>
      <c r="I13" s="24">
        <f>IF($N13="","",IF(INDEX('This week'!$J$1:$J$45,$N13)="","",INDEX('This week'!$J$1:$J$45,$N13)))</f>
        <v/>
      </c>
      <c r="J13" s="24">
        <f>IF($N13="","",IF(INDEX('This week'!$K$1:$K$45,$N13)="","",INDEX('This week'!$K$1:$K$45,$N13)))</f>
        <v/>
      </c>
      <c r="K13" s="25">
        <f>IF($N13="","",INDEX('This week'!$L$1:$L$45,$N13))</f>
        <v/>
      </c>
      <c r="L13" s="1" t="n"/>
      <c r="N13">
        <f>IFERROR(SMALL(Chores!$O$6:$O$45,8),"")</f>
        <v/>
      </c>
      <c r="P13">
        <f>IF($N13="",0,IF(INDEX(Chores!$E$1:$E$45,$N13)="",0,1))</f>
        <v/>
      </c>
      <c r="Q13">
        <f>IF($N13="",0,IF(INDEX(Chores!$F$1:$F$45,$N13)="",0,1))</f>
        <v/>
      </c>
      <c r="R13">
        <f>IF($N13="",0,IF(INDEX(Chores!$G$1:$G$45,$N13)="",0,1))</f>
        <v/>
      </c>
      <c r="S13">
        <f>IF($N13="",0,IF(INDEX(Chores!$H$1:$H$45,$N13)="",0,1))</f>
        <v/>
      </c>
      <c r="T13">
        <f>IF($N13="",0,IF(INDEX(Chores!$I$1:$I$45,$N13)="",0,1))</f>
        <v/>
      </c>
      <c r="U13">
        <f>IF($N13="",0,IF(INDEX(Chores!$J$1:$J$45,$N13)="",0,1))</f>
        <v/>
      </c>
      <c r="V13">
        <f>IF($N13="",0,IF(INDEX(Chores!$K$1:$K$45,$N13)="",0,1))</f>
        <v/>
      </c>
    </row>
    <row r="14" ht="30" customHeight="1">
      <c r="A14" s="1" t="n"/>
      <c r="B14" s="22">
        <f>IF($N14="","",INDEX(Chores!$B$1:$B$45,$N14))</f>
        <v/>
      </c>
      <c r="C14" s="23">
        <f>IF($N14="","",N(INDEX(Chores!$D$1:$D$45,$N14)))</f>
        <v/>
      </c>
      <c r="D14" s="24">
        <f>IF($N14="","",IF(INDEX('This week'!$E$1:$E$45,$N14)="","",INDEX('This week'!$E$1:$E$45,$N14)))</f>
        <v/>
      </c>
      <c r="E14" s="24">
        <f>IF($N14="","",IF(INDEX('This week'!$F$1:$F$45,$N14)="","",INDEX('This week'!$F$1:$F$45,$N14)))</f>
        <v/>
      </c>
      <c r="F14" s="24">
        <f>IF($N14="","",IF(INDEX('This week'!$G$1:$G$45,$N14)="","",INDEX('This week'!$G$1:$G$45,$N14)))</f>
        <v/>
      </c>
      <c r="G14" s="24">
        <f>IF($N14="","",IF(INDEX('This week'!$H$1:$H$45,$N14)="","",INDEX('This week'!$H$1:$H$45,$N14)))</f>
        <v/>
      </c>
      <c r="H14" s="24">
        <f>IF($N14="","",IF(INDEX('This week'!$I$1:$I$45,$N14)="","",INDEX('This week'!$I$1:$I$45,$N14)))</f>
        <v/>
      </c>
      <c r="I14" s="24">
        <f>IF($N14="","",IF(INDEX('This week'!$J$1:$J$45,$N14)="","",INDEX('This week'!$J$1:$J$45,$N14)))</f>
        <v/>
      </c>
      <c r="J14" s="24">
        <f>IF($N14="","",IF(INDEX('This week'!$K$1:$K$45,$N14)="","",INDEX('This week'!$K$1:$K$45,$N14)))</f>
        <v/>
      </c>
      <c r="K14" s="25">
        <f>IF($N14="","",INDEX('This week'!$L$1:$L$45,$N14))</f>
        <v/>
      </c>
      <c r="L14" s="1" t="n"/>
      <c r="N14">
        <f>IFERROR(SMALL(Chores!$O$6:$O$45,9),"")</f>
        <v/>
      </c>
      <c r="P14">
        <f>IF($N14="",0,IF(INDEX(Chores!$E$1:$E$45,$N14)="",0,1))</f>
        <v/>
      </c>
      <c r="Q14">
        <f>IF($N14="",0,IF(INDEX(Chores!$F$1:$F$45,$N14)="",0,1))</f>
        <v/>
      </c>
      <c r="R14">
        <f>IF($N14="",0,IF(INDEX(Chores!$G$1:$G$45,$N14)="",0,1))</f>
        <v/>
      </c>
      <c r="S14">
        <f>IF($N14="",0,IF(INDEX(Chores!$H$1:$H$45,$N14)="",0,1))</f>
        <v/>
      </c>
      <c r="T14">
        <f>IF($N14="",0,IF(INDEX(Chores!$I$1:$I$45,$N14)="",0,1))</f>
        <v/>
      </c>
      <c r="U14">
        <f>IF($N14="",0,IF(INDEX(Chores!$J$1:$J$45,$N14)="",0,1))</f>
        <v/>
      </c>
      <c r="V14">
        <f>IF($N14="",0,IF(INDEX(Chores!$K$1:$K$45,$N14)="",0,1))</f>
        <v/>
      </c>
    </row>
    <row r="15" ht="30" customHeight="1">
      <c r="A15" s="1" t="n"/>
      <c r="B15" s="22">
        <f>IF($N15="","",INDEX(Chores!$B$1:$B$45,$N15))</f>
        <v/>
      </c>
      <c r="C15" s="23">
        <f>IF($N15="","",N(INDEX(Chores!$D$1:$D$45,$N15)))</f>
        <v/>
      </c>
      <c r="D15" s="24">
        <f>IF($N15="","",IF(INDEX('This week'!$E$1:$E$45,$N15)="","",INDEX('This week'!$E$1:$E$45,$N15)))</f>
        <v/>
      </c>
      <c r="E15" s="24">
        <f>IF($N15="","",IF(INDEX('This week'!$F$1:$F$45,$N15)="","",INDEX('This week'!$F$1:$F$45,$N15)))</f>
        <v/>
      </c>
      <c r="F15" s="24">
        <f>IF($N15="","",IF(INDEX('This week'!$G$1:$G$45,$N15)="","",INDEX('This week'!$G$1:$G$45,$N15)))</f>
        <v/>
      </c>
      <c r="G15" s="24">
        <f>IF($N15="","",IF(INDEX('This week'!$H$1:$H$45,$N15)="","",INDEX('This week'!$H$1:$H$45,$N15)))</f>
        <v/>
      </c>
      <c r="H15" s="24">
        <f>IF($N15="","",IF(INDEX('This week'!$I$1:$I$45,$N15)="","",INDEX('This week'!$I$1:$I$45,$N15)))</f>
        <v/>
      </c>
      <c r="I15" s="24">
        <f>IF($N15="","",IF(INDEX('This week'!$J$1:$J$45,$N15)="","",INDEX('This week'!$J$1:$J$45,$N15)))</f>
        <v/>
      </c>
      <c r="J15" s="24">
        <f>IF($N15="","",IF(INDEX('This week'!$K$1:$K$45,$N15)="","",INDEX('This week'!$K$1:$K$45,$N15)))</f>
        <v/>
      </c>
      <c r="K15" s="25">
        <f>IF($N15="","",INDEX('This week'!$L$1:$L$45,$N15))</f>
        <v/>
      </c>
      <c r="L15" s="1" t="n"/>
      <c r="N15">
        <f>IFERROR(SMALL(Chores!$O$6:$O$45,10),"")</f>
        <v/>
      </c>
      <c r="P15">
        <f>IF($N15="",0,IF(INDEX(Chores!$E$1:$E$45,$N15)="",0,1))</f>
        <v/>
      </c>
      <c r="Q15">
        <f>IF($N15="",0,IF(INDEX(Chores!$F$1:$F$45,$N15)="",0,1))</f>
        <v/>
      </c>
      <c r="R15">
        <f>IF($N15="",0,IF(INDEX(Chores!$G$1:$G$45,$N15)="",0,1))</f>
        <v/>
      </c>
      <c r="S15">
        <f>IF($N15="",0,IF(INDEX(Chores!$H$1:$H$45,$N15)="",0,1))</f>
        <v/>
      </c>
      <c r="T15">
        <f>IF($N15="",0,IF(INDEX(Chores!$I$1:$I$45,$N15)="",0,1))</f>
        <v/>
      </c>
      <c r="U15">
        <f>IF($N15="",0,IF(INDEX(Chores!$J$1:$J$45,$N15)="",0,1))</f>
        <v/>
      </c>
      <c r="V15">
        <f>IF($N15="",0,IF(INDEX(Chores!$K$1:$K$45,$N15)="",0,1))</f>
        <v/>
      </c>
    </row>
    <row r="16" ht="30" customHeight="1">
      <c r="A16" s="1" t="n"/>
      <c r="B16" s="22">
        <f>IF($N16="","",INDEX(Chores!$B$1:$B$45,$N16))</f>
        <v/>
      </c>
      <c r="C16" s="23">
        <f>IF($N16="","",N(INDEX(Chores!$D$1:$D$45,$N16)))</f>
        <v/>
      </c>
      <c r="D16" s="24">
        <f>IF($N16="","",IF(INDEX('This week'!$E$1:$E$45,$N16)="","",INDEX('This week'!$E$1:$E$45,$N16)))</f>
        <v/>
      </c>
      <c r="E16" s="24">
        <f>IF($N16="","",IF(INDEX('This week'!$F$1:$F$45,$N16)="","",INDEX('This week'!$F$1:$F$45,$N16)))</f>
        <v/>
      </c>
      <c r="F16" s="24">
        <f>IF($N16="","",IF(INDEX('This week'!$G$1:$G$45,$N16)="","",INDEX('This week'!$G$1:$G$45,$N16)))</f>
        <v/>
      </c>
      <c r="G16" s="24">
        <f>IF($N16="","",IF(INDEX('This week'!$H$1:$H$45,$N16)="","",INDEX('This week'!$H$1:$H$45,$N16)))</f>
        <v/>
      </c>
      <c r="H16" s="24">
        <f>IF($N16="","",IF(INDEX('This week'!$I$1:$I$45,$N16)="","",INDEX('This week'!$I$1:$I$45,$N16)))</f>
        <v/>
      </c>
      <c r="I16" s="24">
        <f>IF($N16="","",IF(INDEX('This week'!$J$1:$J$45,$N16)="","",INDEX('This week'!$J$1:$J$45,$N16)))</f>
        <v/>
      </c>
      <c r="J16" s="24">
        <f>IF($N16="","",IF(INDEX('This week'!$K$1:$K$45,$N16)="","",INDEX('This week'!$K$1:$K$45,$N16)))</f>
        <v/>
      </c>
      <c r="K16" s="25">
        <f>IF($N16="","",INDEX('This week'!$L$1:$L$45,$N16))</f>
        <v/>
      </c>
      <c r="L16" s="1" t="n"/>
      <c r="N16">
        <f>IFERROR(SMALL(Chores!$O$6:$O$45,11),"")</f>
        <v/>
      </c>
      <c r="P16">
        <f>IF($N16="",0,IF(INDEX(Chores!$E$1:$E$45,$N16)="",0,1))</f>
        <v/>
      </c>
      <c r="Q16">
        <f>IF($N16="",0,IF(INDEX(Chores!$F$1:$F$45,$N16)="",0,1))</f>
        <v/>
      </c>
      <c r="R16">
        <f>IF($N16="",0,IF(INDEX(Chores!$G$1:$G$45,$N16)="",0,1))</f>
        <v/>
      </c>
      <c r="S16">
        <f>IF($N16="",0,IF(INDEX(Chores!$H$1:$H$45,$N16)="",0,1))</f>
        <v/>
      </c>
      <c r="T16">
        <f>IF($N16="",0,IF(INDEX(Chores!$I$1:$I$45,$N16)="",0,1))</f>
        <v/>
      </c>
      <c r="U16">
        <f>IF($N16="",0,IF(INDEX(Chores!$J$1:$J$45,$N16)="",0,1))</f>
        <v/>
      </c>
      <c r="V16">
        <f>IF($N16="",0,IF(INDEX(Chores!$K$1:$K$45,$N16)="",0,1))</f>
        <v/>
      </c>
    </row>
    <row r="17" ht="30" customHeight="1">
      <c r="A17" s="1" t="n"/>
      <c r="B17" s="22">
        <f>IF($N17="","",INDEX(Chores!$B$1:$B$45,$N17))</f>
        <v/>
      </c>
      <c r="C17" s="23">
        <f>IF($N17="","",N(INDEX(Chores!$D$1:$D$45,$N17)))</f>
        <v/>
      </c>
      <c r="D17" s="24">
        <f>IF($N17="","",IF(INDEX('This week'!$E$1:$E$45,$N17)="","",INDEX('This week'!$E$1:$E$45,$N17)))</f>
        <v/>
      </c>
      <c r="E17" s="24">
        <f>IF($N17="","",IF(INDEX('This week'!$F$1:$F$45,$N17)="","",INDEX('This week'!$F$1:$F$45,$N17)))</f>
        <v/>
      </c>
      <c r="F17" s="24">
        <f>IF($N17="","",IF(INDEX('This week'!$G$1:$G$45,$N17)="","",INDEX('This week'!$G$1:$G$45,$N17)))</f>
        <v/>
      </c>
      <c r="G17" s="24">
        <f>IF($N17="","",IF(INDEX('This week'!$H$1:$H$45,$N17)="","",INDEX('This week'!$H$1:$H$45,$N17)))</f>
        <v/>
      </c>
      <c r="H17" s="24">
        <f>IF($N17="","",IF(INDEX('This week'!$I$1:$I$45,$N17)="","",INDEX('This week'!$I$1:$I$45,$N17)))</f>
        <v/>
      </c>
      <c r="I17" s="24">
        <f>IF($N17="","",IF(INDEX('This week'!$J$1:$J$45,$N17)="","",INDEX('This week'!$J$1:$J$45,$N17)))</f>
        <v/>
      </c>
      <c r="J17" s="24">
        <f>IF($N17="","",IF(INDEX('This week'!$K$1:$K$45,$N17)="","",INDEX('This week'!$K$1:$K$45,$N17)))</f>
        <v/>
      </c>
      <c r="K17" s="25">
        <f>IF($N17="","",INDEX('This week'!$L$1:$L$45,$N17))</f>
        <v/>
      </c>
      <c r="L17" s="1" t="n"/>
      <c r="N17">
        <f>IFERROR(SMALL(Chores!$O$6:$O$45,12),"")</f>
        <v/>
      </c>
      <c r="P17">
        <f>IF($N17="",0,IF(INDEX(Chores!$E$1:$E$45,$N17)="",0,1))</f>
        <v/>
      </c>
      <c r="Q17">
        <f>IF($N17="",0,IF(INDEX(Chores!$F$1:$F$45,$N17)="",0,1))</f>
        <v/>
      </c>
      <c r="R17">
        <f>IF($N17="",0,IF(INDEX(Chores!$G$1:$G$45,$N17)="",0,1))</f>
        <v/>
      </c>
      <c r="S17">
        <f>IF($N17="",0,IF(INDEX(Chores!$H$1:$H$45,$N17)="",0,1))</f>
        <v/>
      </c>
      <c r="T17">
        <f>IF($N17="",0,IF(INDEX(Chores!$I$1:$I$45,$N17)="",0,1))</f>
        <v/>
      </c>
      <c r="U17">
        <f>IF($N17="",0,IF(INDEX(Chores!$J$1:$J$45,$N17)="",0,1))</f>
        <v/>
      </c>
      <c r="V17">
        <f>IF($N17="",0,IF(INDEX(Chores!$K$1:$K$45,$N17)="",0,1))</f>
        <v/>
      </c>
    </row>
    <row r="18">
      <c r="A18" s="1" t="n"/>
      <c r="B18" s="26">
        <f>IF(COUNT(Chores!$O$6:$O$45)&gt;12,"And "&amp;(COUNT(Chores!$O$6:$O$45)-12)&amp;" more on This week","")</f>
        <v/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 ht="24" customHeight="1">
      <c r="A19" s="1" t="n"/>
      <c r="B19" s="27" t="inlineStr">
        <is>
          <t>Points this week</t>
        </is>
      </c>
      <c r="C19" s="28">
        <f>IF($B$2="","",SUMIFS('This week'!$M$6:$M$45,'This week'!$B$6:$B$45,$B$2))</f>
        <v/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 ht="24" customHeight="1">
      <c r="A20" s="1" t="n"/>
      <c r="B20" s="27">
        <f>"Pocket money this week"&amp;IF(Settings!$C$4="",""," ("&amp;Settings!$C$4&amp;")")</f>
        <v/>
      </c>
      <c r="C20" s="29">
        <f>IF($B$2="","",IFERROR(N(INDEX(Kids!$D$6:$D$11,MATCH($B$2,Kids!$B$6:$B$11,0))),0)+IFERROR(N(INDEX(Kids!$E$6:$E$11,MATCH($B$2,Kids!$B$6:$B$11,0))),0)*N(C19))</f>
        <v/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</sheetData>
  <conditionalFormatting sqref="D6:J17">
    <cfRule type="expression" priority="1" dxfId="1">
      <formula>AND(ISNUMBER($N6),D6&lt;&gt;"")</formula>
    </cfRule>
    <cfRule type="expression" priority="2" dxfId="2">
      <formula>AND(ISNUMBER($N6),P6=1)</formula>
    </cfRule>
  </conditionalFormatting>
  <dataValidations count="1">
    <dataValidation sqref="B2" showDropDown="0" showInputMessage="0" showErrorMessage="1" allowBlank="1" type="list">
      <formula1>=Kids!$B$6:$B$11</formula1>
    </dataValidation>
  </dataValidation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26" customWidth="1" min="12" max="12"/>
    <col width="10" customWidth="1" min="13" max="13"/>
    <col hidden="1" width="13" customWidth="1" min="14" max="14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Chores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Each chore once per child, with its points and an x on the days it is expected.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30" customHeight="1">
      <c r="A5" s="1" t="n"/>
      <c r="B5" s="8" t="inlineStr">
        <is>
          <t>Chore</t>
        </is>
      </c>
      <c r="C5" s="8" t="inlineStr">
        <is>
          <t>Child</t>
        </is>
      </c>
      <c r="D5" s="8" t="inlineStr">
        <is>
          <t>Points</t>
        </is>
      </c>
      <c r="E5" s="8" t="inlineStr">
        <is>
          <t>Mon</t>
        </is>
      </c>
      <c r="F5" s="8" t="inlineStr">
        <is>
          <t>Tue</t>
        </is>
      </c>
      <c r="G5" s="8" t="inlineStr">
        <is>
          <t>Wed</t>
        </is>
      </c>
      <c r="H5" s="8" t="inlineStr">
        <is>
          <t>Thu</t>
        </is>
      </c>
      <c r="I5" s="8" t="inlineStr">
        <is>
          <t>Fri</t>
        </is>
      </c>
      <c r="J5" s="8" t="inlineStr">
        <is>
          <t>Sat</t>
        </is>
      </c>
      <c r="K5" s="8" t="inlineStr">
        <is>
          <t>Sun</t>
        </is>
      </c>
      <c r="L5" s="8" t="inlineStr">
        <is>
          <t>Notes</t>
        </is>
      </c>
      <c r="M5" s="8" t="inlineStr">
        <is>
          <t>A week</t>
        </is>
      </c>
      <c r="N5" s="1" t="n"/>
    </row>
    <row r="6">
      <c r="A6" s="1" t="n"/>
      <c r="B6" s="30" t="inlineStr">
        <is>
          <t>Make bed</t>
        </is>
      </c>
      <c r="C6" s="31" t="inlineStr">
        <is>
          <t>Mia</t>
        </is>
      </c>
      <c r="D6" s="32" t="n">
        <v>1</v>
      </c>
      <c r="E6" s="33" t="inlineStr">
        <is>
          <t>x</t>
        </is>
      </c>
      <c r="F6" s="33" t="inlineStr">
        <is>
          <t>x</t>
        </is>
      </c>
      <c r="G6" s="33" t="inlineStr">
        <is>
          <t>x</t>
        </is>
      </c>
      <c r="H6" s="33" t="inlineStr">
        <is>
          <t>x</t>
        </is>
      </c>
      <c r="I6" s="33" t="inlineStr">
        <is>
          <t>x</t>
        </is>
      </c>
      <c r="J6" s="33" t="inlineStr">
        <is>
          <t>x</t>
        </is>
      </c>
      <c r="K6" s="33" t="inlineStr">
        <is>
          <t>x</t>
        </is>
      </c>
      <c r="L6" s="31" t="n"/>
      <c r="M6" s="10">
        <f>IF(B6="","",N(D6)*COUNTA(E6:K6))</f>
        <v/>
      </c>
      <c r="N6" s="1">
        <f>IF(B6="","",COUNTA(E6:K6))</f>
        <v/>
      </c>
      <c r="O6">
        <f>IF(OR(B6="",C6=""),"",IF(C6='Fridge chart'!$B$2,ROW(),""))</f>
        <v/>
      </c>
    </row>
    <row r="7">
      <c r="A7" s="1" t="n"/>
      <c r="B7" s="30" t="inlineStr">
        <is>
          <t>Feed the cat</t>
        </is>
      </c>
      <c r="C7" s="31" t="inlineStr">
        <is>
          <t>Mia</t>
        </is>
      </c>
      <c r="D7" s="32" t="n">
        <v>2</v>
      </c>
      <c r="E7" s="33" t="inlineStr">
        <is>
          <t>x</t>
        </is>
      </c>
      <c r="F7" s="33" t="inlineStr">
        <is>
          <t>x</t>
        </is>
      </c>
      <c r="G7" s="33" t="inlineStr">
        <is>
          <t>x</t>
        </is>
      </c>
      <c r="H7" s="33" t="inlineStr">
        <is>
          <t>x</t>
        </is>
      </c>
      <c r="I7" s="33" t="inlineStr">
        <is>
          <t>x</t>
        </is>
      </c>
      <c r="J7" s="33" t="n"/>
      <c r="K7" s="33" t="n"/>
      <c r="L7" s="31" t="inlineStr">
        <is>
          <t>Before school</t>
        </is>
      </c>
      <c r="M7" s="10">
        <f>IF(B7="","",N(D7)*COUNTA(E7:K7))</f>
        <v/>
      </c>
      <c r="N7" s="1">
        <f>IF(B7="","",COUNTA(E7:K7))</f>
        <v/>
      </c>
      <c r="O7">
        <f>IF(OR(B7="",C7=""),"",IF(C7='Fridge chart'!$B$2,ROW(),""))</f>
        <v/>
      </c>
    </row>
    <row r="8">
      <c r="A8" s="1" t="n"/>
      <c r="B8" s="30" t="inlineStr">
        <is>
          <t>Set the table</t>
        </is>
      </c>
      <c r="C8" s="31" t="inlineStr">
        <is>
          <t>Mia</t>
        </is>
      </c>
      <c r="D8" s="32" t="n">
        <v>1</v>
      </c>
      <c r="E8" s="33" t="inlineStr">
        <is>
          <t>x</t>
        </is>
      </c>
      <c r="F8" s="33" t="inlineStr">
        <is>
          <t>x</t>
        </is>
      </c>
      <c r="G8" s="33" t="inlineStr">
        <is>
          <t>x</t>
        </is>
      </c>
      <c r="H8" s="33" t="inlineStr">
        <is>
          <t>x</t>
        </is>
      </c>
      <c r="I8" s="33" t="inlineStr">
        <is>
          <t>x</t>
        </is>
      </c>
      <c r="J8" s="33" t="inlineStr">
        <is>
          <t>x</t>
        </is>
      </c>
      <c r="K8" s="33" t="inlineStr">
        <is>
          <t>x</t>
        </is>
      </c>
      <c r="L8" s="31" t="n"/>
      <c r="M8" s="10">
        <f>IF(B8="","",N(D8)*COUNTA(E8:K8))</f>
        <v/>
      </c>
      <c r="N8" s="1">
        <f>IF(B8="","",COUNTA(E8:K8))</f>
        <v/>
      </c>
      <c r="O8">
        <f>IF(OR(B8="",C8=""),"",IF(C8='Fridge chart'!$B$2,ROW(),""))</f>
        <v/>
      </c>
    </row>
    <row r="9">
      <c r="A9" s="1" t="n"/>
      <c r="B9" s="30" t="inlineStr">
        <is>
          <t>Tidy room</t>
        </is>
      </c>
      <c r="C9" s="31" t="inlineStr">
        <is>
          <t>Mia</t>
        </is>
      </c>
      <c r="D9" s="32" t="n">
        <v>3</v>
      </c>
      <c r="E9" s="33" t="n"/>
      <c r="F9" s="33" t="n"/>
      <c r="G9" s="33" t="n"/>
      <c r="H9" s="33" t="n"/>
      <c r="I9" s="33" t="n"/>
      <c r="J9" s="33" t="inlineStr">
        <is>
          <t>x</t>
        </is>
      </c>
      <c r="K9" s="33" t="n"/>
      <c r="L9" s="31" t="n"/>
      <c r="M9" s="10">
        <f>IF(B9="","",N(D9)*COUNTA(E9:K9))</f>
        <v/>
      </c>
      <c r="N9" s="1">
        <f>IF(B9="","",COUNTA(E9:K9))</f>
        <v/>
      </c>
      <c r="O9">
        <f>IF(OR(B9="",C9=""),"",IF(C9='Fridge chart'!$B$2,ROW(),""))</f>
        <v/>
      </c>
    </row>
    <row r="10">
      <c r="A10" s="1" t="n"/>
      <c r="B10" s="30" t="inlineStr">
        <is>
          <t>Water the plants</t>
        </is>
      </c>
      <c r="C10" s="31" t="inlineStr">
        <is>
          <t>Mia</t>
        </is>
      </c>
      <c r="D10" s="32" t="n">
        <v>2</v>
      </c>
      <c r="E10" s="33" t="n"/>
      <c r="F10" s="33" t="n"/>
      <c r="G10" s="33" t="inlineStr">
        <is>
          <t>x</t>
        </is>
      </c>
      <c r="H10" s="33" t="n"/>
      <c r="I10" s="33" t="n"/>
      <c r="J10" s="33" t="n"/>
      <c r="K10" s="33" t="inlineStr">
        <is>
          <t>x</t>
        </is>
      </c>
      <c r="L10" s="31" t="n"/>
      <c r="M10" s="10">
        <f>IF(B10="","",N(D10)*COUNTA(E10:K10))</f>
        <v/>
      </c>
      <c r="N10" s="1">
        <f>IF(B10="","",COUNTA(E10:K10))</f>
        <v/>
      </c>
      <c r="O10">
        <f>IF(OR(B10="",C10=""),"",IF(C10='Fridge chart'!$B$2,ROW(),""))</f>
        <v/>
      </c>
    </row>
    <row r="11">
      <c r="A11" s="1" t="n"/>
      <c r="B11" s="30" t="inlineStr">
        <is>
          <t>Make bed</t>
        </is>
      </c>
      <c r="C11" s="31" t="inlineStr">
        <is>
          <t>Leo</t>
        </is>
      </c>
      <c r="D11" s="32" t="n">
        <v>1</v>
      </c>
      <c r="E11" s="33" t="inlineStr">
        <is>
          <t>x</t>
        </is>
      </c>
      <c r="F11" s="33" t="inlineStr">
        <is>
          <t>x</t>
        </is>
      </c>
      <c r="G11" s="33" t="inlineStr">
        <is>
          <t>x</t>
        </is>
      </c>
      <c r="H11" s="33" t="inlineStr">
        <is>
          <t>x</t>
        </is>
      </c>
      <c r="I11" s="33" t="inlineStr">
        <is>
          <t>x</t>
        </is>
      </c>
      <c r="J11" s="33" t="inlineStr">
        <is>
          <t>x</t>
        </is>
      </c>
      <c r="K11" s="33" t="inlineStr">
        <is>
          <t>x</t>
        </is>
      </c>
      <c r="L11" s="31" t="n"/>
      <c r="M11" s="10">
        <f>IF(B11="","",N(D11)*COUNTA(E11:K11))</f>
        <v/>
      </c>
      <c r="N11" s="1">
        <f>IF(B11="","",COUNTA(E11:K11))</f>
        <v/>
      </c>
      <c r="O11">
        <f>IF(OR(B11="",C11=""),"",IF(C11='Fridge chart'!$B$2,ROW(),""))</f>
        <v/>
      </c>
    </row>
    <row r="12">
      <c r="A12" s="1" t="n"/>
      <c r="B12" s="30" t="inlineStr">
        <is>
          <t>Put toys away</t>
        </is>
      </c>
      <c r="C12" s="31" t="inlineStr">
        <is>
          <t>Leo</t>
        </is>
      </c>
      <c r="D12" s="32" t="n">
        <v>1</v>
      </c>
      <c r="E12" s="33" t="inlineStr">
        <is>
          <t>x</t>
        </is>
      </c>
      <c r="F12" s="33" t="inlineStr">
        <is>
          <t>x</t>
        </is>
      </c>
      <c r="G12" s="33" t="inlineStr">
        <is>
          <t>x</t>
        </is>
      </c>
      <c r="H12" s="33" t="inlineStr">
        <is>
          <t>x</t>
        </is>
      </c>
      <c r="I12" s="33" t="inlineStr">
        <is>
          <t>x</t>
        </is>
      </c>
      <c r="J12" s="33" t="inlineStr">
        <is>
          <t>x</t>
        </is>
      </c>
      <c r="K12" s="33" t="inlineStr">
        <is>
          <t>x</t>
        </is>
      </c>
      <c r="L12" s="31" t="inlineStr">
        <is>
          <t>Before bath</t>
        </is>
      </c>
      <c r="M12" s="10">
        <f>IF(B12="","",N(D12)*COUNTA(E12:K12))</f>
        <v/>
      </c>
      <c r="N12" s="1">
        <f>IF(B12="","",COUNTA(E12:K12))</f>
        <v/>
      </c>
      <c r="O12">
        <f>IF(OR(B12="",C12=""),"",IF(C12='Fridge chart'!$B$2,ROW(),""))</f>
        <v/>
      </c>
    </row>
    <row r="13">
      <c r="A13" s="1" t="n"/>
      <c r="B13" s="30" t="inlineStr">
        <is>
          <t>Help with laundry</t>
        </is>
      </c>
      <c r="C13" s="31" t="inlineStr">
        <is>
          <t>Leo</t>
        </is>
      </c>
      <c r="D13" s="32" t="n">
        <v>2</v>
      </c>
      <c r="E13" s="33" t="n"/>
      <c r="F13" s="33" t="n"/>
      <c r="G13" s="33" t="n"/>
      <c r="H13" s="33" t="n"/>
      <c r="I13" s="33" t="n"/>
      <c r="J13" s="33" t="inlineStr">
        <is>
          <t>x</t>
        </is>
      </c>
      <c r="K13" s="33" t="n"/>
      <c r="L13" s="31" t="n"/>
      <c r="M13" s="10">
        <f>IF(B13="","",N(D13)*COUNTA(E13:K13))</f>
        <v/>
      </c>
      <c r="N13" s="1">
        <f>IF(B13="","",COUNTA(E13:K13))</f>
        <v/>
      </c>
      <c r="O13">
        <f>IF(OR(B13="",C13=""),"",IF(C13='Fridge chart'!$B$2,ROW(),""))</f>
        <v/>
      </c>
    </row>
    <row r="14">
      <c r="A14" s="1" t="n"/>
      <c r="B14" s="30" t="inlineStr">
        <is>
          <t>Feed the fish</t>
        </is>
      </c>
      <c r="C14" s="31" t="inlineStr">
        <is>
          <t>Leo</t>
        </is>
      </c>
      <c r="D14" s="32" t="n">
        <v>1</v>
      </c>
      <c r="E14" s="33" t="inlineStr">
        <is>
          <t>x</t>
        </is>
      </c>
      <c r="F14" s="33" t="n"/>
      <c r="G14" s="33" t="inlineStr">
        <is>
          <t>x</t>
        </is>
      </c>
      <c r="H14" s="33" t="n"/>
      <c r="I14" s="33" t="inlineStr">
        <is>
          <t>x</t>
        </is>
      </c>
      <c r="J14" s="33" t="n"/>
      <c r="K14" s="33" t="n"/>
      <c r="L14" s="31" t="inlineStr">
        <is>
          <t>A pinch only</t>
        </is>
      </c>
      <c r="M14" s="10">
        <f>IF(B14="","",N(D14)*COUNTA(E14:K14))</f>
        <v/>
      </c>
      <c r="N14" s="1">
        <f>IF(B14="","",COUNTA(E14:K14))</f>
        <v/>
      </c>
      <c r="O14">
        <f>IF(OR(B14="",C14=""),"",IF(C14='Fridge chart'!$B$2,ROW(),""))</f>
        <v/>
      </c>
    </row>
    <row r="15">
      <c r="A15" s="1" t="n"/>
      <c r="B15" s="30" t="inlineStr">
        <is>
          <t>Make bed</t>
        </is>
      </c>
      <c r="C15" s="31" t="inlineStr">
        <is>
          <t>Ava</t>
        </is>
      </c>
      <c r="D15" s="32" t="n">
        <v>1</v>
      </c>
      <c r="E15" s="33" t="inlineStr">
        <is>
          <t>x</t>
        </is>
      </c>
      <c r="F15" s="33" t="inlineStr">
        <is>
          <t>x</t>
        </is>
      </c>
      <c r="G15" s="33" t="inlineStr">
        <is>
          <t>x</t>
        </is>
      </c>
      <c r="H15" s="33" t="inlineStr">
        <is>
          <t>x</t>
        </is>
      </c>
      <c r="I15" s="33" t="inlineStr">
        <is>
          <t>x</t>
        </is>
      </c>
      <c r="J15" s="33" t="inlineStr">
        <is>
          <t>x</t>
        </is>
      </c>
      <c r="K15" s="33" t="inlineStr">
        <is>
          <t>x</t>
        </is>
      </c>
      <c r="L15" s="31" t="n"/>
      <c r="M15" s="10">
        <f>IF(B15="","",N(D15)*COUNTA(E15:K15))</f>
        <v/>
      </c>
      <c r="N15" s="1">
        <f>IF(B15="","",COUNTA(E15:K15))</f>
        <v/>
      </c>
      <c r="O15">
        <f>IF(OR(B15="",C15=""),"",IF(C15='Fridge chart'!$B$2,ROW(),""))</f>
        <v/>
      </c>
    </row>
    <row r="16">
      <c r="A16" s="1" t="n"/>
      <c r="B16" s="30" t="inlineStr">
        <is>
          <t>Empty the dishwasher</t>
        </is>
      </c>
      <c r="C16" s="31" t="inlineStr">
        <is>
          <t>Ava</t>
        </is>
      </c>
      <c r="D16" s="32" t="n">
        <v>2</v>
      </c>
      <c r="E16" s="33" t="inlineStr">
        <is>
          <t>x</t>
        </is>
      </c>
      <c r="F16" s="33" t="inlineStr">
        <is>
          <t>x</t>
        </is>
      </c>
      <c r="G16" s="33" t="inlineStr">
        <is>
          <t>x</t>
        </is>
      </c>
      <c r="H16" s="33" t="inlineStr">
        <is>
          <t>x</t>
        </is>
      </c>
      <c r="I16" s="33" t="inlineStr">
        <is>
          <t>x</t>
        </is>
      </c>
      <c r="J16" s="33" t="n"/>
      <c r="K16" s="33" t="n"/>
      <c r="L16" s="31" t="n"/>
      <c r="M16" s="10">
        <f>IF(B16="","",N(D16)*COUNTA(E16:K16))</f>
        <v/>
      </c>
      <c r="N16" s="1">
        <f>IF(B16="","",COUNTA(E16:K16))</f>
        <v/>
      </c>
      <c r="O16">
        <f>IF(OR(B16="",C16=""),"",IF(C16='Fridge chart'!$B$2,ROW(),""))</f>
        <v/>
      </c>
    </row>
    <row r="17">
      <c r="A17" s="1" t="n"/>
      <c r="B17" s="30" t="inlineStr">
        <is>
          <t>Walk the dog</t>
        </is>
      </c>
      <c r="C17" s="31" t="inlineStr">
        <is>
          <t>Ava</t>
        </is>
      </c>
      <c r="D17" s="32" t="n">
        <v>3</v>
      </c>
      <c r="E17" s="33" t="n"/>
      <c r="F17" s="33" t="inlineStr">
        <is>
          <t>x</t>
        </is>
      </c>
      <c r="G17" s="33" t="n"/>
      <c r="H17" s="33" t="inlineStr">
        <is>
          <t>x</t>
        </is>
      </c>
      <c r="I17" s="33" t="n"/>
      <c r="J17" s="33" t="inlineStr">
        <is>
          <t>x</t>
        </is>
      </c>
      <c r="K17" s="33" t="n"/>
      <c r="L17" s="31" t="n"/>
      <c r="M17" s="10">
        <f>IF(B17="","",N(D17)*COUNTA(E17:K17))</f>
        <v/>
      </c>
      <c r="N17" s="1">
        <f>IF(B17="","",COUNTA(E17:K17))</f>
        <v/>
      </c>
      <c r="O17">
        <f>IF(OR(B17="",C17=""),"",IF(C17='Fridge chart'!$B$2,ROW(),""))</f>
        <v/>
      </c>
    </row>
    <row r="18">
      <c r="A18" s="1" t="n"/>
      <c r="B18" s="30" t="inlineStr">
        <is>
          <t>Homework before screens</t>
        </is>
      </c>
      <c r="C18" s="31" t="inlineStr">
        <is>
          <t>Ava</t>
        </is>
      </c>
      <c r="D18" s="32" t="n">
        <v>2</v>
      </c>
      <c r="E18" s="33" t="inlineStr">
        <is>
          <t>x</t>
        </is>
      </c>
      <c r="F18" s="33" t="inlineStr">
        <is>
          <t>x</t>
        </is>
      </c>
      <c r="G18" s="33" t="inlineStr">
        <is>
          <t>x</t>
        </is>
      </c>
      <c r="H18" s="33" t="inlineStr">
        <is>
          <t>x</t>
        </is>
      </c>
      <c r="I18" s="33" t="n"/>
      <c r="J18" s="33" t="n"/>
      <c r="K18" s="33" t="n"/>
      <c r="L18" s="31" t="n"/>
      <c r="M18" s="10">
        <f>IF(B18="","",N(D18)*COUNTA(E18:K18))</f>
        <v/>
      </c>
      <c r="N18" s="1">
        <f>IF(B18="","",COUNTA(E18:K18))</f>
        <v/>
      </c>
      <c r="O18">
        <f>IF(OR(B18="",C18=""),"",IF(C18='Fridge chart'!$B$2,ROW(),""))</f>
        <v/>
      </c>
    </row>
    <row r="19">
      <c r="A19" s="1" t="n"/>
      <c r="B19" s="30" t="inlineStr">
        <is>
          <t>Vacuum the stairs</t>
        </is>
      </c>
      <c r="C19" s="31" t="inlineStr">
        <is>
          <t>Ava</t>
        </is>
      </c>
      <c r="D19" s="32" t="n">
        <v>4</v>
      </c>
      <c r="E19" s="33" t="n"/>
      <c r="F19" s="33" t="n"/>
      <c r="G19" s="33" t="n"/>
      <c r="H19" s="33" t="n"/>
      <c r="I19" s="33" t="n"/>
      <c r="J19" s="33" t="n"/>
      <c r="K19" s="33" t="inlineStr">
        <is>
          <t>x</t>
        </is>
      </c>
      <c r="L19" s="31" t="n"/>
      <c r="M19" s="10">
        <f>IF(B19="","",N(D19)*COUNTA(E19:K19))</f>
        <v/>
      </c>
      <c r="N19" s="1">
        <f>IF(B19="","",COUNTA(E19:K19))</f>
        <v/>
      </c>
      <c r="O19">
        <f>IF(OR(B19="",C19=""),"",IF(C19='Fridge chart'!$B$2,ROW(),""))</f>
        <v/>
      </c>
    </row>
    <row r="20">
      <c r="A20" s="1" t="n"/>
      <c r="B20" s="30" t="n"/>
      <c r="C20" s="31" t="n"/>
      <c r="D20" s="32" t="n"/>
      <c r="E20" s="33" t="n"/>
      <c r="F20" s="33" t="n"/>
      <c r="G20" s="33" t="n"/>
      <c r="H20" s="33" t="n"/>
      <c r="I20" s="33" t="n"/>
      <c r="J20" s="33" t="n"/>
      <c r="K20" s="33" t="n"/>
      <c r="L20" s="31" t="n"/>
      <c r="M20" s="10">
        <f>IF(B20="","",N(D20)*COUNTA(E20:K20))</f>
        <v/>
      </c>
      <c r="N20" s="1">
        <f>IF(B20="","",COUNTA(E20:K20))</f>
        <v/>
      </c>
      <c r="O20">
        <f>IF(OR(B20="",C20=""),"",IF(C20='Fridge chart'!$B$2,ROW(),""))</f>
        <v/>
      </c>
    </row>
    <row r="21">
      <c r="A21" s="1" t="n"/>
      <c r="B21" s="30" t="n"/>
      <c r="C21" s="31" t="n"/>
      <c r="D21" s="32" t="n"/>
      <c r="E21" s="33" t="n"/>
      <c r="F21" s="33" t="n"/>
      <c r="G21" s="33" t="n"/>
      <c r="H21" s="33" t="n"/>
      <c r="I21" s="33" t="n"/>
      <c r="J21" s="33" t="n"/>
      <c r="K21" s="33" t="n"/>
      <c r="L21" s="31" t="n"/>
      <c r="M21" s="10">
        <f>IF(B21="","",N(D21)*COUNTA(E21:K21))</f>
        <v/>
      </c>
      <c r="N21" s="1">
        <f>IF(B21="","",COUNTA(E21:K21))</f>
        <v/>
      </c>
      <c r="O21">
        <f>IF(OR(B21="",C21=""),"",IF(C21='Fridge chart'!$B$2,ROW(),""))</f>
        <v/>
      </c>
    </row>
    <row r="22">
      <c r="A22" s="1" t="n"/>
      <c r="B22" s="30" t="n"/>
      <c r="C22" s="31" t="n"/>
      <c r="D22" s="32" t="n"/>
      <c r="E22" s="33" t="n"/>
      <c r="F22" s="33" t="n"/>
      <c r="G22" s="33" t="n"/>
      <c r="H22" s="33" t="n"/>
      <c r="I22" s="33" t="n"/>
      <c r="J22" s="33" t="n"/>
      <c r="K22" s="33" t="n"/>
      <c r="L22" s="31" t="n"/>
      <c r="M22" s="10">
        <f>IF(B22="","",N(D22)*COUNTA(E22:K22))</f>
        <v/>
      </c>
      <c r="N22" s="1">
        <f>IF(B22="","",COUNTA(E22:K22))</f>
        <v/>
      </c>
      <c r="O22">
        <f>IF(OR(B22="",C22=""),"",IF(C22='Fridge chart'!$B$2,ROW(),""))</f>
        <v/>
      </c>
    </row>
    <row r="23">
      <c r="A23" s="1" t="n"/>
      <c r="B23" s="30" t="n"/>
      <c r="C23" s="31" t="n"/>
      <c r="D23" s="32" t="n"/>
      <c r="E23" s="33" t="n"/>
      <c r="F23" s="33" t="n"/>
      <c r="G23" s="33" t="n"/>
      <c r="H23" s="33" t="n"/>
      <c r="I23" s="33" t="n"/>
      <c r="J23" s="33" t="n"/>
      <c r="K23" s="33" t="n"/>
      <c r="L23" s="31" t="n"/>
      <c r="M23" s="10">
        <f>IF(B23="","",N(D23)*COUNTA(E23:K23))</f>
        <v/>
      </c>
      <c r="N23" s="1">
        <f>IF(B23="","",COUNTA(E23:K23))</f>
        <v/>
      </c>
      <c r="O23">
        <f>IF(OR(B23="",C23=""),"",IF(C23='Fridge chart'!$B$2,ROW(),""))</f>
        <v/>
      </c>
    </row>
    <row r="24">
      <c r="A24" s="1" t="n"/>
      <c r="B24" s="30" t="n"/>
      <c r="C24" s="31" t="n"/>
      <c r="D24" s="32" t="n"/>
      <c r="E24" s="33" t="n"/>
      <c r="F24" s="33" t="n"/>
      <c r="G24" s="33" t="n"/>
      <c r="H24" s="33" t="n"/>
      <c r="I24" s="33" t="n"/>
      <c r="J24" s="33" t="n"/>
      <c r="K24" s="33" t="n"/>
      <c r="L24" s="31" t="n"/>
      <c r="M24" s="10">
        <f>IF(B24="","",N(D24)*COUNTA(E24:K24))</f>
        <v/>
      </c>
      <c r="N24" s="1">
        <f>IF(B24="","",COUNTA(E24:K24))</f>
        <v/>
      </c>
      <c r="O24">
        <f>IF(OR(B24="",C24=""),"",IF(C24='Fridge chart'!$B$2,ROW(),""))</f>
        <v/>
      </c>
    </row>
    <row r="25">
      <c r="A25" s="1" t="n"/>
      <c r="B25" s="30" t="n"/>
      <c r="C25" s="31" t="n"/>
      <c r="D25" s="32" t="n"/>
      <c r="E25" s="33" t="n"/>
      <c r="F25" s="33" t="n"/>
      <c r="G25" s="33" t="n"/>
      <c r="H25" s="33" t="n"/>
      <c r="I25" s="33" t="n"/>
      <c r="J25" s="33" t="n"/>
      <c r="K25" s="33" t="n"/>
      <c r="L25" s="31" t="n"/>
      <c r="M25" s="10">
        <f>IF(B25="","",N(D25)*COUNTA(E25:K25))</f>
        <v/>
      </c>
      <c r="N25" s="1">
        <f>IF(B25="","",COUNTA(E25:K25))</f>
        <v/>
      </c>
      <c r="O25">
        <f>IF(OR(B25="",C25=""),"",IF(C25='Fridge chart'!$B$2,ROW(),""))</f>
        <v/>
      </c>
    </row>
    <row r="26">
      <c r="A26" s="1" t="n"/>
      <c r="B26" s="30" t="n"/>
      <c r="C26" s="31" t="n"/>
      <c r="D26" s="32" t="n"/>
      <c r="E26" s="33" t="n"/>
      <c r="F26" s="33" t="n"/>
      <c r="G26" s="33" t="n"/>
      <c r="H26" s="33" t="n"/>
      <c r="I26" s="33" t="n"/>
      <c r="J26" s="33" t="n"/>
      <c r="K26" s="33" t="n"/>
      <c r="L26" s="31" t="n"/>
      <c r="M26" s="10">
        <f>IF(B26="","",N(D26)*COUNTA(E26:K26))</f>
        <v/>
      </c>
      <c r="N26" s="1">
        <f>IF(B26="","",COUNTA(E26:K26))</f>
        <v/>
      </c>
      <c r="O26">
        <f>IF(OR(B26="",C26=""),"",IF(C26='Fridge chart'!$B$2,ROW(),""))</f>
        <v/>
      </c>
    </row>
    <row r="27">
      <c r="A27" s="1" t="n"/>
      <c r="B27" s="30" t="n"/>
      <c r="C27" s="31" t="n"/>
      <c r="D27" s="32" t="n"/>
      <c r="E27" s="33" t="n"/>
      <c r="F27" s="33" t="n"/>
      <c r="G27" s="33" t="n"/>
      <c r="H27" s="33" t="n"/>
      <c r="I27" s="33" t="n"/>
      <c r="J27" s="33" t="n"/>
      <c r="K27" s="33" t="n"/>
      <c r="L27" s="31" t="n"/>
      <c r="M27" s="10">
        <f>IF(B27="","",N(D27)*COUNTA(E27:K27))</f>
        <v/>
      </c>
      <c r="N27" s="1">
        <f>IF(B27="","",COUNTA(E27:K27))</f>
        <v/>
      </c>
      <c r="O27">
        <f>IF(OR(B27="",C27=""),"",IF(C27='Fridge chart'!$B$2,ROW(),""))</f>
        <v/>
      </c>
    </row>
    <row r="28">
      <c r="A28" s="1" t="n"/>
      <c r="B28" s="30" t="n"/>
      <c r="C28" s="31" t="n"/>
      <c r="D28" s="32" t="n"/>
      <c r="E28" s="33" t="n"/>
      <c r="F28" s="33" t="n"/>
      <c r="G28" s="33" t="n"/>
      <c r="H28" s="33" t="n"/>
      <c r="I28" s="33" t="n"/>
      <c r="J28" s="33" t="n"/>
      <c r="K28" s="33" t="n"/>
      <c r="L28" s="31" t="n"/>
      <c r="M28" s="10">
        <f>IF(B28="","",N(D28)*COUNTA(E28:K28))</f>
        <v/>
      </c>
      <c r="N28" s="1">
        <f>IF(B28="","",COUNTA(E28:K28))</f>
        <v/>
      </c>
      <c r="O28">
        <f>IF(OR(B28="",C28=""),"",IF(C28='Fridge chart'!$B$2,ROW(),""))</f>
        <v/>
      </c>
    </row>
    <row r="29">
      <c r="A29" s="1" t="n"/>
      <c r="B29" s="30" t="n"/>
      <c r="C29" s="31" t="n"/>
      <c r="D29" s="32" t="n"/>
      <c r="E29" s="33" t="n"/>
      <c r="F29" s="33" t="n"/>
      <c r="G29" s="33" t="n"/>
      <c r="H29" s="33" t="n"/>
      <c r="I29" s="33" t="n"/>
      <c r="J29" s="33" t="n"/>
      <c r="K29" s="33" t="n"/>
      <c r="L29" s="31" t="n"/>
      <c r="M29" s="10">
        <f>IF(B29="","",N(D29)*COUNTA(E29:K29))</f>
        <v/>
      </c>
      <c r="N29" s="1">
        <f>IF(B29="","",COUNTA(E29:K29))</f>
        <v/>
      </c>
      <c r="O29">
        <f>IF(OR(B29="",C29=""),"",IF(C29='Fridge chart'!$B$2,ROW(),""))</f>
        <v/>
      </c>
    </row>
    <row r="30">
      <c r="A30" s="1" t="n"/>
      <c r="B30" s="30" t="n"/>
      <c r="C30" s="31" t="n"/>
      <c r="D30" s="32" t="n"/>
      <c r="E30" s="33" t="n"/>
      <c r="F30" s="33" t="n"/>
      <c r="G30" s="33" t="n"/>
      <c r="H30" s="33" t="n"/>
      <c r="I30" s="33" t="n"/>
      <c r="J30" s="33" t="n"/>
      <c r="K30" s="33" t="n"/>
      <c r="L30" s="31" t="n"/>
      <c r="M30" s="10">
        <f>IF(B30="","",N(D30)*COUNTA(E30:K30))</f>
        <v/>
      </c>
      <c r="N30" s="1">
        <f>IF(B30="","",COUNTA(E30:K30))</f>
        <v/>
      </c>
      <c r="O30">
        <f>IF(OR(B30="",C30=""),"",IF(C30='Fridge chart'!$B$2,ROW(),""))</f>
        <v/>
      </c>
    </row>
    <row r="31">
      <c r="A31" s="1" t="n"/>
      <c r="B31" s="30" t="n"/>
      <c r="C31" s="31" t="n"/>
      <c r="D31" s="32" t="n"/>
      <c r="E31" s="33" t="n"/>
      <c r="F31" s="33" t="n"/>
      <c r="G31" s="33" t="n"/>
      <c r="H31" s="33" t="n"/>
      <c r="I31" s="33" t="n"/>
      <c r="J31" s="33" t="n"/>
      <c r="K31" s="33" t="n"/>
      <c r="L31" s="31" t="n"/>
      <c r="M31" s="10">
        <f>IF(B31="","",N(D31)*COUNTA(E31:K31))</f>
        <v/>
      </c>
      <c r="N31" s="1">
        <f>IF(B31="","",COUNTA(E31:K31))</f>
        <v/>
      </c>
      <c r="O31">
        <f>IF(OR(B31="",C31=""),"",IF(C31='Fridge chart'!$B$2,ROW(),""))</f>
        <v/>
      </c>
    </row>
    <row r="32">
      <c r="A32" s="1" t="n"/>
      <c r="B32" s="30" t="n"/>
      <c r="C32" s="31" t="n"/>
      <c r="D32" s="32" t="n"/>
      <c r="E32" s="33" t="n"/>
      <c r="F32" s="33" t="n"/>
      <c r="G32" s="33" t="n"/>
      <c r="H32" s="33" t="n"/>
      <c r="I32" s="33" t="n"/>
      <c r="J32" s="33" t="n"/>
      <c r="K32" s="33" t="n"/>
      <c r="L32" s="31" t="n"/>
      <c r="M32" s="10">
        <f>IF(B32="","",N(D32)*COUNTA(E32:K32))</f>
        <v/>
      </c>
      <c r="N32" s="1">
        <f>IF(B32="","",COUNTA(E32:K32))</f>
        <v/>
      </c>
      <c r="O32">
        <f>IF(OR(B32="",C32=""),"",IF(C32='Fridge chart'!$B$2,ROW(),""))</f>
        <v/>
      </c>
    </row>
    <row r="33">
      <c r="A33" s="1" t="n"/>
      <c r="B33" s="30" t="n"/>
      <c r="C33" s="31" t="n"/>
      <c r="D33" s="32" t="n"/>
      <c r="E33" s="33" t="n"/>
      <c r="F33" s="33" t="n"/>
      <c r="G33" s="33" t="n"/>
      <c r="H33" s="33" t="n"/>
      <c r="I33" s="33" t="n"/>
      <c r="J33" s="33" t="n"/>
      <c r="K33" s="33" t="n"/>
      <c r="L33" s="31" t="n"/>
      <c r="M33" s="10">
        <f>IF(B33="","",N(D33)*COUNTA(E33:K33))</f>
        <v/>
      </c>
      <c r="N33" s="1">
        <f>IF(B33="","",COUNTA(E33:K33))</f>
        <v/>
      </c>
      <c r="O33">
        <f>IF(OR(B33="",C33=""),"",IF(C33='Fridge chart'!$B$2,ROW(),""))</f>
        <v/>
      </c>
    </row>
    <row r="34">
      <c r="A34" s="1" t="n"/>
      <c r="B34" s="30" t="n"/>
      <c r="C34" s="31" t="n"/>
      <c r="D34" s="32" t="n"/>
      <c r="E34" s="33" t="n"/>
      <c r="F34" s="33" t="n"/>
      <c r="G34" s="33" t="n"/>
      <c r="H34" s="33" t="n"/>
      <c r="I34" s="33" t="n"/>
      <c r="J34" s="33" t="n"/>
      <c r="K34" s="33" t="n"/>
      <c r="L34" s="31" t="n"/>
      <c r="M34" s="10">
        <f>IF(B34="","",N(D34)*COUNTA(E34:K34))</f>
        <v/>
      </c>
      <c r="N34" s="1">
        <f>IF(B34="","",COUNTA(E34:K34))</f>
        <v/>
      </c>
      <c r="O34">
        <f>IF(OR(B34="",C34=""),"",IF(C34='Fridge chart'!$B$2,ROW(),""))</f>
        <v/>
      </c>
    </row>
    <row r="35">
      <c r="A35" s="1" t="n"/>
      <c r="B35" s="30" t="n"/>
      <c r="C35" s="31" t="n"/>
      <c r="D35" s="32" t="n"/>
      <c r="E35" s="33" t="n"/>
      <c r="F35" s="33" t="n"/>
      <c r="G35" s="33" t="n"/>
      <c r="H35" s="33" t="n"/>
      <c r="I35" s="33" t="n"/>
      <c r="J35" s="33" t="n"/>
      <c r="K35" s="33" t="n"/>
      <c r="L35" s="31" t="n"/>
      <c r="M35" s="10">
        <f>IF(B35="","",N(D35)*COUNTA(E35:K35))</f>
        <v/>
      </c>
      <c r="N35" s="1">
        <f>IF(B35="","",COUNTA(E35:K35))</f>
        <v/>
      </c>
      <c r="O35">
        <f>IF(OR(B35="",C35=""),"",IF(C35='Fridge chart'!$B$2,ROW(),""))</f>
        <v/>
      </c>
    </row>
    <row r="36">
      <c r="A36" s="1" t="n"/>
      <c r="B36" s="30" t="n"/>
      <c r="C36" s="31" t="n"/>
      <c r="D36" s="32" t="n"/>
      <c r="E36" s="33" t="n"/>
      <c r="F36" s="33" t="n"/>
      <c r="G36" s="33" t="n"/>
      <c r="H36" s="33" t="n"/>
      <c r="I36" s="33" t="n"/>
      <c r="J36" s="33" t="n"/>
      <c r="K36" s="33" t="n"/>
      <c r="L36" s="31" t="n"/>
      <c r="M36" s="10">
        <f>IF(B36="","",N(D36)*COUNTA(E36:K36))</f>
        <v/>
      </c>
      <c r="N36" s="1">
        <f>IF(B36="","",COUNTA(E36:K36))</f>
        <v/>
      </c>
      <c r="O36">
        <f>IF(OR(B36="",C36=""),"",IF(C36='Fridge chart'!$B$2,ROW(),""))</f>
        <v/>
      </c>
    </row>
    <row r="37">
      <c r="A37" s="1" t="n"/>
      <c r="B37" s="30" t="n"/>
      <c r="C37" s="31" t="n"/>
      <c r="D37" s="32" t="n"/>
      <c r="E37" s="33" t="n"/>
      <c r="F37" s="33" t="n"/>
      <c r="G37" s="33" t="n"/>
      <c r="H37" s="33" t="n"/>
      <c r="I37" s="33" t="n"/>
      <c r="J37" s="33" t="n"/>
      <c r="K37" s="33" t="n"/>
      <c r="L37" s="31" t="n"/>
      <c r="M37" s="10">
        <f>IF(B37="","",N(D37)*COUNTA(E37:K37))</f>
        <v/>
      </c>
      <c r="N37" s="1">
        <f>IF(B37="","",COUNTA(E37:K37))</f>
        <v/>
      </c>
      <c r="O37">
        <f>IF(OR(B37="",C37=""),"",IF(C37='Fridge chart'!$B$2,ROW(),""))</f>
        <v/>
      </c>
    </row>
    <row r="38">
      <c r="A38" s="1" t="n"/>
      <c r="B38" s="30" t="n"/>
      <c r="C38" s="31" t="n"/>
      <c r="D38" s="32" t="n"/>
      <c r="E38" s="33" t="n"/>
      <c r="F38" s="33" t="n"/>
      <c r="G38" s="33" t="n"/>
      <c r="H38" s="33" t="n"/>
      <c r="I38" s="33" t="n"/>
      <c r="J38" s="33" t="n"/>
      <c r="K38" s="33" t="n"/>
      <c r="L38" s="31" t="n"/>
      <c r="M38" s="10">
        <f>IF(B38="","",N(D38)*COUNTA(E38:K38))</f>
        <v/>
      </c>
      <c r="N38" s="1">
        <f>IF(B38="","",COUNTA(E38:K38))</f>
        <v/>
      </c>
      <c r="O38">
        <f>IF(OR(B38="",C38=""),"",IF(C38='Fridge chart'!$B$2,ROW(),""))</f>
        <v/>
      </c>
    </row>
    <row r="39">
      <c r="A39" s="1" t="n"/>
      <c r="B39" s="30" t="n"/>
      <c r="C39" s="31" t="n"/>
      <c r="D39" s="32" t="n"/>
      <c r="E39" s="33" t="n"/>
      <c r="F39" s="33" t="n"/>
      <c r="G39" s="33" t="n"/>
      <c r="H39" s="33" t="n"/>
      <c r="I39" s="33" t="n"/>
      <c r="J39" s="33" t="n"/>
      <c r="K39" s="33" t="n"/>
      <c r="L39" s="31" t="n"/>
      <c r="M39" s="10">
        <f>IF(B39="","",N(D39)*COUNTA(E39:K39))</f>
        <v/>
      </c>
      <c r="N39" s="1">
        <f>IF(B39="","",COUNTA(E39:K39))</f>
        <v/>
      </c>
      <c r="O39">
        <f>IF(OR(B39="",C39=""),"",IF(C39='Fridge chart'!$B$2,ROW(),""))</f>
        <v/>
      </c>
    </row>
    <row r="40">
      <c r="A40" s="1" t="n"/>
      <c r="B40" s="30" t="n"/>
      <c r="C40" s="31" t="n"/>
      <c r="D40" s="32" t="n"/>
      <c r="E40" s="33" t="n"/>
      <c r="F40" s="33" t="n"/>
      <c r="G40" s="33" t="n"/>
      <c r="H40" s="33" t="n"/>
      <c r="I40" s="33" t="n"/>
      <c r="J40" s="33" t="n"/>
      <c r="K40" s="33" t="n"/>
      <c r="L40" s="31" t="n"/>
      <c r="M40" s="10">
        <f>IF(B40="","",N(D40)*COUNTA(E40:K40))</f>
        <v/>
      </c>
      <c r="N40" s="1">
        <f>IF(B40="","",COUNTA(E40:K40))</f>
        <v/>
      </c>
      <c r="O40">
        <f>IF(OR(B40="",C40=""),"",IF(C40='Fridge chart'!$B$2,ROW(),""))</f>
        <v/>
      </c>
    </row>
    <row r="41">
      <c r="A41" s="1" t="n"/>
      <c r="B41" s="30" t="n"/>
      <c r="C41" s="31" t="n"/>
      <c r="D41" s="32" t="n"/>
      <c r="E41" s="33" t="n"/>
      <c r="F41" s="33" t="n"/>
      <c r="G41" s="33" t="n"/>
      <c r="H41" s="33" t="n"/>
      <c r="I41" s="33" t="n"/>
      <c r="J41" s="33" t="n"/>
      <c r="K41" s="33" t="n"/>
      <c r="L41" s="31" t="n"/>
      <c r="M41" s="10">
        <f>IF(B41="","",N(D41)*COUNTA(E41:K41))</f>
        <v/>
      </c>
      <c r="N41" s="1">
        <f>IF(B41="","",COUNTA(E41:K41))</f>
        <v/>
      </c>
      <c r="O41">
        <f>IF(OR(B41="",C41=""),"",IF(C41='Fridge chart'!$B$2,ROW(),""))</f>
        <v/>
      </c>
    </row>
    <row r="42">
      <c r="A42" s="1" t="n"/>
      <c r="B42" s="30" t="n"/>
      <c r="C42" s="31" t="n"/>
      <c r="D42" s="32" t="n"/>
      <c r="E42" s="33" t="n"/>
      <c r="F42" s="33" t="n"/>
      <c r="G42" s="33" t="n"/>
      <c r="H42" s="33" t="n"/>
      <c r="I42" s="33" t="n"/>
      <c r="J42" s="33" t="n"/>
      <c r="K42" s="33" t="n"/>
      <c r="L42" s="31" t="n"/>
      <c r="M42" s="10">
        <f>IF(B42="","",N(D42)*COUNTA(E42:K42))</f>
        <v/>
      </c>
      <c r="N42" s="1">
        <f>IF(B42="","",COUNTA(E42:K42))</f>
        <v/>
      </c>
      <c r="O42">
        <f>IF(OR(B42="",C42=""),"",IF(C42='Fridge chart'!$B$2,ROW(),""))</f>
        <v/>
      </c>
    </row>
    <row r="43">
      <c r="A43" s="1" t="n"/>
      <c r="B43" s="30" t="n"/>
      <c r="C43" s="31" t="n"/>
      <c r="D43" s="32" t="n"/>
      <c r="E43" s="33" t="n"/>
      <c r="F43" s="33" t="n"/>
      <c r="G43" s="33" t="n"/>
      <c r="H43" s="33" t="n"/>
      <c r="I43" s="33" t="n"/>
      <c r="J43" s="33" t="n"/>
      <c r="K43" s="33" t="n"/>
      <c r="L43" s="31" t="n"/>
      <c r="M43" s="10">
        <f>IF(B43="","",N(D43)*COUNTA(E43:K43))</f>
        <v/>
      </c>
      <c r="N43" s="1">
        <f>IF(B43="","",COUNTA(E43:K43))</f>
        <v/>
      </c>
      <c r="O43">
        <f>IF(OR(B43="",C43=""),"",IF(C43='Fridge chart'!$B$2,ROW(),""))</f>
        <v/>
      </c>
    </row>
    <row r="44">
      <c r="A44" s="1" t="n"/>
      <c r="B44" s="30" t="n"/>
      <c r="C44" s="31" t="n"/>
      <c r="D44" s="32" t="n"/>
      <c r="E44" s="33" t="n"/>
      <c r="F44" s="33" t="n"/>
      <c r="G44" s="33" t="n"/>
      <c r="H44" s="33" t="n"/>
      <c r="I44" s="33" t="n"/>
      <c r="J44" s="33" t="n"/>
      <c r="K44" s="33" t="n"/>
      <c r="L44" s="31" t="n"/>
      <c r="M44" s="10">
        <f>IF(B44="","",N(D44)*COUNTA(E44:K44))</f>
        <v/>
      </c>
      <c r="N44" s="1">
        <f>IF(B44="","",COUNTA(E44:K44))</f>
        <v/>
      </c>
      <c r="O44">
        <f>IF(OR(B44="",C44=""),"",IF(C44='Fridge chart'!$B$2,ROW(),""))</f>
        <v/>
      </c>
    </row>
    <row r="45">
      <c r="A45" s="1" t="n"/>
      <c r="B45" s="30" t="n"/>
      <c r="C45" s="31" t="n"/>
      <c r="D45" s="32" t="n"/>
      <c r="E45" s="33" t="n"/>
      <c r="F45" s="33" t="n"/>
      <c r="G45" s="33" t="n"/>
      <c r="H45" s="33" t="n"/>
      <c r="I45" s="33" t="n"/>
      <c r="J45" s="33" t="n"/>
      <c r="K45" s="33" t="n"/>
      <c r="L45" s="31" t="n"/>
      <c r="M45" s="10">
        <f>IF(B45="","",N(D45)*COUNTA(E45:K45))</f>
        <v/>
      </c>
      <c r="N45" s="1">
        <f>IF(B45="","",COUNTA(E45:K45))</f>
        <v/>
      </c>
      <c r="O45">
        <f>IF(OR(B45="",C45=""),"",IF(C45='Fridge chart'!$B$2,ROW(),""))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</sheetData>
  <dataValidations count="1">
    <dataValidation sqref="C6:C45" showDropDown="0" showInputMessage="0" showErrorMessage="1" allowBlank="1" type="list">
      <formula1>=Kids!$B$6:$B$11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5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28" customWidth="1" min="4" max="4"/>
    <col width="10" customWidth="1" min="5" max="5"/>
    <col width="10" customWidth="1" min="6" max="6"/>
    <col width="10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Money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Money in and out for each child. Split shares it by the child's jars; or name one jar.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8" t="inlineStr">
        <is>
          <t>Date</t>
        </is>
      </c>
      <c r="C5" s="8" t="inlineStr">
        <is>
          <t>Child</t>
        </is>
      </c>
      <c r="D5" s="8" t="inlineStr">
        <is>
          <t>What</t>
        </is>
      </c>
      <c r="E5" s="8" t="inlineStr">
        <is>
          <t>In</t>
        </is>
      </c>
      <c r="F5" s="8" t="inlineStr">
        <is>
          <t>Out</t>
        </is>
      </c>
      <c r="G5" s="8" t="inlineStr">
        <is>
          <t>Jar</t>
        </is>
      </c>
      <c r="H5" s="1" t="n"/>
    </row>
    <row r="6">
      <c r="A6" s="1" t="n"/>
      <c r="B6" s="34" t="n">
        <v>46257</v>
      </c>
      <c r="C6" s="30" t="inlineStr">
        <is>
          <t>Mia</t>
        </is>
      </c>
      <c r="D6" s="31" t="inlineStr">
        <is>
          <t>Pocket money</t>
        </is>
      </c>
      <c r="E6" s="35" t="n">
        <v>7.5</v>
      </c>
      <c r="F6" s="35" t="n"/>
      <c r="G6" s="33" t="inlineStr">
        <is>
          <t>Split</t>
        </is>
      </c>
      <c r="H6" s="1">
        <f>IF(C6="",0,IF(OR(G6="",G6="Split"),(N(E6)-N(F6))*IFERROR(N(INDEX(Kids!$F$6:$F$11,MATCH(C6,Kids!$B$6:$B$11,0))),0),IF(G6="Save",(N(E6)-N(F6)),0)))</f>
        <v/>
      </c>
      <c r="I6">
        <f>IF(C6="",0,(N(E6)-N(F6))-H6-J6)</f>
        <v/>
      </c>
      <c r="J6">
        <f>IF(C6="",0,IF(OR(G6="",G6="Split"),(N(E6)-N(F6))*IFERROR(N(INDEX(Kids!$G$6:$G$11,MATCH(C6,Kids!$B$6:$B$11,0))),0),IF(G6="Give",(N(E6)-N(F6)),0)))</f>
        <v/>
      </c>
      <c r="K6">
        <f>IF(C6="",0,IF(OR(G6="",G6="Split"),N(E6)*IFERROR(N(INDEX(Kids!$F$6:$F$11,MATCH(C6,Kids!$B$6:$B$11,0))),0),IF(G6="Save",N(E6),0)))</f>
        <v/>
      </c>
    </row>
    <row r="7">
      <c r="A7" s="1" t="n"/>
      <c r="B7" s="34" t="n">
        <v>46257</v>
      </c>
      <c r="C7" s="30" t="inlineStr">
        <is>
          <t>Leo</t>
        </is>
      </c>
      <c r="D7" s="31" t="inlineStr">
        <is>
          <t>Pocket money</t>
        </is>
      </c>
      <c r="E7" s="35" t="n">
        <v>4.7</v>
      </c>
      <c r="F7" s="35" t="n"/>
      <c r="G7" s="33" t="inlineStr">
        <is>
          <t>Split</t>
        </is>
      </c>
      <c r="H7" s="1">
        <f>IF(C7="",0,IF(OR(G7="",G7="Split"),(N(E7)-N(F7))*IFERROR(N(INDEX(Kids!$F$6:$F$11,MATCH(C7,Kids!$B$6:$B$11,0))),0),IF(G7="Save",(N(E7)-N(F7)),0)))</f>
        <v/>
      </c>
      <c r="I7">
        <f>IF(C7="",0,(N(E7)-N(F7))-H7-J7)</f>
        <v/>
      </c>
      <c r="J7">
        <f>IF(C7="",0,IF(OR(G7="",G7="Split"),(N(E7)-N(F7))*IFERROR(N(INDEX(Kids!$G$6:$G$11,MATCH(C7,Kids!$B$6:$B$11,0))),0),IF(G7="Give",(N(E7)-N(F7)),0)))</f>
        <v/>
      </c>
      <c r="K7">
        <f>IF(C7="",0,IF(OR(G7="",G7="Split"),N(E7)*IFERROR(N(INDEX(Kids!$F$6:$F$11,MATCH(C7,Kids!$B$6:$B$11,0))),0),IF(G7="Save",N(E7),0)))</f>
        <v/>
      </c>
    </row>
    <row r="8">
      <c r="A8" s="1" t="n"/>
      <c r="B8" s="34" t="n">
        <v>46257</v>
      </c>
      <c r="C8" s="30" t="inlineStr">
        <is>
          <t>Ava</t>
        </is>
      </c>
      <c r="D8" s="31" t="inlineStr">
        <is>
          <t>Pocket money</t>
        </is>
      </c>
      <c r="E8" s="35" t="n">
        <v>10.2</v>
      </c>
      <c r="F8" s="35" t="n"/>
      <c r="G8" s="33" t="inlineStr">
        <is>
          <t>Split</t>
        </is>
      </c>
      <c r="H8" s="1">
        <f>IF(C8="",0,IF(OR(G8="",G8="Split"),(N(E8)-N(F8))*IFERROR(N(INDEX(Kids!$F$6:$F$11,MATCH(C8,Kids!$B$6:$B$11,0))),0),IF(G8="Save",(N(E8)-N(F8)),0)))</f>
        <v/>
      </c>
      <c r="I8">
        <f>IF(C8="",0,(N(E8)-N(F8))-H8-J8)</f>
        <v/>
      </c>
      <c r="J8">
        <f>IF(C8="",0,IF(OR(G8="",G8="Split"),(N(E8)-N(F8))*IFERROR(N(INDEX(Kids!$G$6:$G$11,MATCH(C8,Kids!$B$6:$B$11,0))),0),IF(G8="Give",(N(E8)-N(F8)),0)))</f>
        <v/>
      </c>
      <c r="K8">
        <f>IF(C8="",0,IF(OR(G8="",G8="Split"),N(E8)*IFERROR(N(INDEX(Kids!$F$6:$F$11,MATCH(C8,Kids!$B$6:$B$11,0))),0),IF(G8="Save",N(E8),0)))</f>
        <v/>
      </c>
    </row>
    <row r="9">
      <c r="A9" s="1" t="n"/>
      <c r="B9" s="34" t="n">
        <v>46263</v>
      </c>
      <c r="C9" s="30" t="inlineStr">
        <is>
          <t>Leo</t>
        </is>
      </c>
      <c r="D9" s="31" t="inlineStr">
        <is>
          <t>Birthday money from Grandma</t>
        </is>
      </c>
      <c r="E9" s="35" t="n">
        <v>20</v>
      </c>
      <c r="F9" s="35" t="n"/>
      <c r="G9" s="33" t="inlineStr">
        <is>
          <t>Save</t>
        </is>
      </c>
      <c r="H9" s="1">
        <f>IF(C9="",0,IF(OR(G9="",G9="Split"),(N(E9)-N(F9))*IFERROR(N(INDEX(Kids!$F$6:$F$11,MATCH(C9,Kids!$B$6:$B$11,0))),0),IF(G9="Save",(N(E9)-N(F9)),0)))</f>
        <v/>
      </c>
      <c r="I9">
        <f>IF(C9="",0,(N(E9)-N(F9))-H9-J9)</f>
        <v/>
      </c>
      <c r="J9">
        <f>IF(C9="",0,IF(OR(G9="",G9="Split"),(N(E9)-N(F9))*IFERROR(N(INDEX(Kids!$G$6:$G$11,MATCH(C9,Kids!$B$6:$B$11,0))),0),IF(G9="Give",(N(E9)-N(F9)),0)))</f>
        <v/>
      </c>
      <c r="K9">
        <f>IF(C9="",0,IF(OR(G9="",G9="Split"),N(E9)*IFERROR(N(INDEX(Kids!$F$6:$F$11,MATCH(C9,Kids!$B$6:$B$11,0))),0),IF(G9="Save",N(E9),0)))</f>
        <v/>
      </c>
    </row>
    <row r="10">
      <c r="A10" s="1" t="n"/>
      <c r="B10" s="34" t="n">
        <v>46264</v>
      </c>
      <c r="C10" s="30" t="inlineStr">
        <is>
          <t>Mia</t>
        </is>
      </c>
      <c r="D10" s="31" t="inlineStr">
        <is>
          <t>Pocket money</t>
        </is>
      </c>
      <c r="E10" s="35" t="n">
        <v>7</v>
      </c>
      <c r="F10" s="35" t="n"/>
      <c r="G10" s="33" t="inlineStr">
        <is>
          <t>Split</t>
        </is>
      </c>
      <c r="H10" s="1">
        <f>IF(C10="",0,IF(OR(G10="",G10="Split"),(N(E10)-N(F10))*IFERROR(N(INDEX(Kids!$F$6:$F$11,MATCH(C10,Kids!$B$6:$B$11,0))),0),IF(G10="Save",(N(E10)-N(F10)),0)))</f>
        <v/>
      </c>
      <c r="I10">
        <f>IF(C10="",0,(N(E10)-N(F10))-H10-J10)</f>
        <v/>
      </c>
      <c r="J10">
        <f>IF(C10="",0,IF(OR(G10="",G10="Split"),(N(E10)-N(F10))*IFERROR(N(INDEX(Kids!$G$6:$G$11,MATCH(C10,Kids!$B$6:$B$11,0))),0),IF(G10="Give",(N(E10)-N(F10)),0)))</f>
        <v/>
      </c>
      <c r="K10">
        <f>IF(C10="",0,IF(OR(G10="",G10="Split"),N(E10)*IFERROR(N(INDEX(Kids!$F$6:$F$11,MATCH(C10,Kids!$B$6:$B$11,0))),0),IF(G10="Save",N(E10),0)))</f>
        <v/>
      </c>
    </row>
    <row r="11">
      <c r="A11" s="1" t="n"/>
      <c r="B11" s="34" t="n">
        <v>46264</v>
      </c>
      <c r="C11" s="30" t="inlineStr">
        <is>
          <t>Leo</t>
        </is>
      </c>
      <c r="D11" s="31" t="inlineStr">
        <is>
          <t>Pocket money</t>
        </is>
      </c>
      <c r="E11" s="35" t="n">
        <v>4.5</v>
      </c>
      <c r="F11" s="35" t="n"/>
      <c r="G11" s="33" t="inlineStr">
        <is>
          <t>Split</t>
        </is>
      </c>
      <c r="H11" s="1">
        <f>IF(C11="",0,IF(OR(G11="",G11="Split"),(N(E11)-N(F11))*IFERROR(N(INDEX(Kids!$F$6:$F$11,MATCH(C11,Kids!$B$6:$B$11,0))),0),IF(G11="Save",(N(E11)-N(F11)),0)))</f>
        <v/>
      </c>
      <c r="I11">
        <f>IF(C11="",0,(N(E11)-N(F11))-H11-J11)</f>
        <v/>
      </c>
      <c r="J11">
        <f>IF(C11="",0,IF(OR(G11="",G11="Split"),(N(E11)-N(F11))*IFERROR(N(INDEX(Kids!$G$6:$G$11,MATCH(C11,Kids!$B$6:$B$11,0))),0),IF(G11="Give",(N(E11)-N(F11)),0)))</f>
        <v/>
      </c>
      <c r="K11">
        <f>IF(C11="",0,IF(OR(G11="",G11="Split"),N(E11)*IFERROR(N(INDEX(Kids!$F$6:$F$11,MATCH(C11,Kids!$B$6:$B$11,0))),0),IF(G11="Save",N(E11),0)))</f>
        <v/>
      </c>
    </row>
    <row r="12">
      <c r="A12" s="1" t="n"/>
      <c r="B12" s="34" t="n">
        <v>46264</v>
      </c>
      <c r="C12" s="30" t="inlineStr">
        <is>
          <t>Ava</t>
        </is>
      </c>
      <c r="D12" s="31" t="inlineStr">
        <is>
          <t>Pocket money</t>
        </is>
      </c>
      <c r="E12" s="35" t="n">
        <v>10.5</v>
      </c>
      <c r="F12" s="35" t="n"/>
      <c r="G12" s="33" t="inlineStr">
        <is>
          <t>Split</t>
        </is>
      </c>
      <c r="H12" s="1">
        <f>IF(C12="",0,IF(OR(G12="",G12="Split"),(N(E12)-N(F12))*IFERROR(N(INDEX(Kids!$F$6:$F$11,MATCH(C12,Kids!$B$6:$B$11,0))),0),IF(G12="Save",(N(E12)-N(F12)),0)))</f>
        <v/>
      </c>
      <c r="I12">
        <f>IF(C12="",0,(N(E12)-N(F12))-H12-J12)</f>
        <v/>
      </c>
      <c r="J12">
        <f>IF(C12="",0,IF(OR(G12="",G12="Split"),(N(E12)-N(F12))*IFERROR(N(INDEX(Kids!$G$6:$G$11,MATCH(C12,Kids!$B$6:$B$11,0))),0),IF(G12="Give",(N(E12)-N(F12)),0)))</f>
        <v/>
      </c>
      <c r="K12">
        <f>IF(C12="",0,IF(OR(G12="",G12="Split"),N(E12)*IFERROR(N(INDEX(Kids!$F$6:$F$11,MATCH(C12,Kids!$B$6:$B$11,0))),0),IF(G12="Save",N(E12),0)))</f>
        <v/>
      </c>
    </row>
    <row r="13">
      <c r="A13" s="1" t="n"/>
      <c r="B13" s="34" t="n">
        <v>46267</v>
      </c>
      <c r="C13" s="30" t="inlineStr">
        <is>
          <t>Mia</t>
        </is>
      </c>
      <c r="D13" s="31" t="inlineStr">
        <is>
          <t>Comic</t>
        </is>
      </c>
      <c r="E13" s="35" t="n"/>
      <c r="F13" s="35" t="n">
        <v>4.5</v>
      </c>
      <c r="G13" s="33" t="inlineStr">
        <is>
          <t>Spend</t>
        </is>
      </c>
      <c r="H13" s="1">
        <f>IF(C13="",0,IF(OR(G13="",G13="Split"),(N(E13)-N(F13))*IFERROR(N(INDEX(Kids!$F$6:$F$11,MATCH(C13,Kids!$B$6:$B$11,0))),0),IF(G13="Save",(N(E13)-N(F13)),0)))</f>
        <v/>
      </c>
      <c r="I13">
        <f>IF(C13="",0,(N(E13)-N(F13))-H13-J13)</f>
        <v/>
      </c>
      <c r="J13">
        <f>IF(C13="",0,IF(OR(G13="",G13="Split"),(N(E13)-N(F13))*IFERROR(N(INDEX(Kids!$G$6:$G$11,MATCH(C13,Kids!$B$6:$B$11,0))),0),IF(G13="Give",(N(E13)-N(F13)),0)))</f>
        <v/>
      </c>
      <c r="K13">
        <f>IF(C13="",0,IF(OR(G13="",G13="Split"),N(E13)*IFERROR(N(INDEX(Kids!$F$6:$F$11,MATCH(C13,Kids!$B$6:$B$11,0))),0),IF(G13="Save",N(E13),0)))</f>
        <v/>
      </c>
    </row>
    <row r="14">
      <c r="A14" s="1" t="n"/>
      <c r="B14" s="34" t="n">
        <v>46271</v>
      </c>
      <c r="C14" s="30" t="inlineStr">
        <is>
          <t>Mia</t>
        </is>
      </c>
      <c r="D14" s="31" t="inlineStr">
        <is>
          <t>Pocket money</t>
        </is>
      </c>
      <c r="E14" s="35" t="n">
        <v>7.25</v>
      </c>
      <c r="F14" s="35" t="n"/>
      <c r="G14" s="33" t="inlineStr">
        <is>
          <t>Split</t>
        </is>
      </c>
      <c r="H14" s="1">
        <f>IF(C14="",0,IF(OR(G14="",G14="Split"),(N(E14)-N(F14))*IFERROR(N(INDEX(Kids!$F$6:$F$11,MATCH(C14,Kids!$B$6:$B$11,0))),0),IF(G14="Save",(N(E14)-N(F14)),0)))</f>
        <v/>
      </c>
      <c r="I14">
        <f>IF(C14="",0,(N(E14)-N(F14))-H14-J14)</f>
        <v/>
      </c>
      <c r="J14">
        <f>IF(C14="",0,IF(OR(G14="",G14="Split"),(N(E14)-N(F14))*IFERROR(N(INDEX(Kids!$G$6:$G$11,MATCH(C14,Kids!$B$6:$B$11,0))),0),IF(G14="Give",(N(E14)-N(F14)),0)))</f>
        <v/>
      </c>
      <c r="K14">
        <f>IF(C14="",0,IF(OR(G14="",G14="Split"),N(E14)*IFERROR(N(INDEX(Kids!$F$6:$F$11,MATCH(C14,Kids!$B$6:$B$11,0))),0),IF(G14="Save",N(E14),0)))</f>
        <v/>
      </c>
    </row>
    <row r="15">
      <c r="A15" s="1" t="n"/>
      <c r="B15" s="34" t="n">
        <v>46271</v>
      </c>
      <c r="C15" s="30" t="inlineStr">
        <is>
          <t>Leo</t>
        </is>
      </c>
      <c r="D15" s="31" t="inlineStr">
        <is>
          <t>Pocket money</t>
        </is>
      </c>
      <c r="E15" s="35" t="n">
        <v>4.7</v>
      </c>
      <c r="F15" s="35" t="n"/>
      <c r="G15" s="33" t="inlineStr">
        <is>
          <t>Split</t>
        </is>
      </c>
      <c r="H15" s="1">
        <f>IF(C15="",0,IF(OR(G15="",G15="Split"),(N(E15)-N(F15))*IFERROR(N(INDEX(Kids!$F$6:$F$11,MATCH(C15,Kids!$B$6:$B$11,0))),0),IF(G15="Save",(N(E15)-N(F15)),0)))</f>
        <v/>
      </c>
      <c r="I15">
        <f>IF(C15="",0,(N(E15)-N(F15))-H15-J15)</f>
        <v/>
      </c>
      <c r="J15">
        <f>IF(C15="",0,IF(OR(G15="",G15="Split"),(N(E15)-N(F15))*IFERROR(N(INDEX(Kids!$G$6:$G$11,MATCH(C15,Kids!$B$6:$B$11,0))),0),IF(G15="Give",(N(E15)-N(F15)),0)))</f>
        <v/>
      </c>
      <c r="K15">
        <f>IF(C15="",0,IF(OR(G15="",G15="Split"),N(E15)*IFERROR(N(INDEX(Kids!$F$6:$F$11,MATCH(C15,Kids!$B$6:$B$11,0))),0),IF(G15="Save",N(E15),0)))</f>
        <v/>
      </c>
    </row>
    <row r="16">
      <c r="A16" s="1" t="n"/>
      <c r="B16" s="34" t="n">
        <v>46271</v>
      </c>
      <c r="C16" s="30" t="inlineStr">
        <is>
          <t>Ava</t>
        </is>
      </c>
      <c r="D16" s="31" t="inlineStr">
        <is>
          <t>Pocket money</t>
        </is>
      </c>
      <c r="E16" s="35" t="n">
        <v>10.8</v>
      </c>
      <c r="F16" s="35" t="n"/>
      <c r="G16" s="33" t="inlineStr">
        <is>
          <t>Split</t>
        </is>
      </c>
      <c r="H16" s="1">
        <f>IF(C16="",0,IF(OR(G16="",G16="Split"),(N(E16)-N(F16))*IFERROR(N(INDEX(Kids!$F$6:$F$11,MATCH(C16,Kids!$B$6:$B$11,0))),0),IF(G16="Save",(N(E16)-N(F16)),0)))</f>
        <v/>
      </c>
      <c r="I16">
        <f>IF(C16="",0,(N(E16)-N(F16))-H16-J16)</f>
        <v/>
      </c>
      <c r="J16">
        <f>IF(C16="",0,IF(OR(G16="",G16="Split"),(N(E16)-N(F16))*IFERROR(N(INDEX(Kids!$G$6:$G$11,MATCH(C16,Kids!$B$6:$B$11,0))),0),IF(G16="Give",(N(E16)-N(F16)),0)))</f>
        <v/>
      </c>
      <c r="K16">
        <f>IF(C16="",0,IF(OR(G16="",G16="Split"),N(E16)*IFERROR(N(INDEX(Kids!$F$6:$F$11,MATCH(C16,Kids!$B$6:$B$11,0))),0),IF(G16="Save",N(E16),0)))</f>
        <v/>
      </c>
    </row>
    <row r="17">
      <c r="A17" s="1" t="n"/>
      <c r="B17" s="34" t="n">
        <v>46274</v>
      </c>
      <c r="C17" s="30" t="inlineStr">
        <is>
          <t>Ava</t>
        </is>
      </c>
      <c r="D17" s="31" t="inlineStr">
        <is>
          <t>Cinema with friends</t>
        </is>
      </c>
      <c r="E17" s="35" t="n"/>
      <c r="F17" s="35" t="n">
        <v>8</v>
      </c>
      <c r="G17" s="33" t="inlineStr">
        <is>
          <t>Spend</t>
        </is>
      </c>
      <c r="H17" s="1">
        <f>IF(C17="",0,IF(OR(G17="",G17="Split"),(N(E17)-N(F17))*IFERROR(N(INDEX(Kids!$F$6:$F$11,MATCH(C17,Kids!$B$6:$B$11,0))),0),IF(G17="Save",(N(E17)-N(F17)),0)))</f>
        <v/>
      </c>
      <c r="I17">
        <f>IF(C17="",0,(N(E17)-N(F17))-H17-J17)</f>
        <v/>
      </c>
      <c r="J17">
        <f>IF(C17="",0,IF(OR(G17="",G17="Split"),(N(E17)-N(F17))*IFERROR(N(INDEX(Kids!$G$6:$G$11,MATCH(C17,Kids!$B$6:$B$11,0))),0),IF(G17="Give",(N(E17)-N(F17)),0)))</f>
        <v/>
      </c>
      <c r="K17">
        <f>IF(C17="",0,IF(OR(G17="",G17="Split"),N(E17)*IFERROR(N(INDEX(Kids!$F$6:$F$11,MATCH(C17,Kids!$B$6:$B$11,0))),0),IF(G17="Save",N(E17),0)))</f>
        <v/>
      </c>
    </row>
    <row r="18">
      <c r="A18" s="1" t="n"/>
      <c r="B18" s="34" t="n">
        <v>46277</v>
      </c>
      <c r="C18" s="30" t="inlineStr">
        <is>
          <t>Leo</t>
        </is>
      </c>
      <c r="D18" s="31" t="inlineStr">
        <is>
          <t>Sweets</t>
        </is>
      </c>
      <c r="E18" s="35" t="n"/>
      <c r="F18" s="35" t="n">
        <v>1.2</v>
      </c>
      <c r="G18" s="33" t="inlineStr">
        <is>
          <t>Spend</t>
        </is>
      </c>
      <c r="H18" s="1">
        <f>IF(C18="",0,IF(OR(G18="",G18="Split"),(N(E18)-N(F18))*IFERROR(N(INDEX(Kids!$F$6:$F$11,MATCH(C18,Kids!$B$6:$B$11,0))),0),IF(G18="Save",(N(E18)-N(F18)),0)))</f>
        <v/>
      </c>
      <c r="I18">
        <f>IF(C18="",0,(N(E18)-N(F18))-H18-J18)</f>
        <v/>
      </c>
      <c r="J18">
        <f>IF(C18="",0,IF(OR(G18="",G18="Split"),(N(E18)-N(F18))*IFERROR(N(INDEX(Kids!$G$6:$G$11,MATCH(C18,Kids!$B$6:$B$11,0))),0),IF(G18="Give",(N(E18)-N(F18)),0)))</f>
        <v/>
      </c>
      <c r="K18">
        <f>IF(C18="",0,IF(OR(G18="",G18="Split"),N(E18)*IFERROR(N(INDEX(Kids!$F$6:$F$11,MATCH(C18,Kids!$B$6:$B$11,0))),0),IF(G18="Save",N(E18),0)))</f>
        <v/>
      </c>
    </row>
    <row r="19">
      <c r="A19" s="1" t="n"/>
      <c r="B19" s="34" t="n">
        <v>46278</v>
      </c>
      <c r="C19" s="30" t="inlineStr">
        <is>
          <t>Mia</t>
        </is>
      </c>
      <c r="D19" s="31" t="inlineStr">
        <is>
          <t>Pocket money</t>
        </is>
      </c>
      <c r="E19" s="35" t="n">
        <v>7.5</v>
      </c>
      <c r="F19" s="35" t="n"/>
      <c r="G19" s="33" t="inlineStr">
        <is>
          <t>Split</t>
        </is>
      </c>
      <c r="H19" s="1">
        <f>IF(C19="",0,IF(OR(G19="",G19="Split"),(N(E19)-N(F19))*IFERROR(N(INDEX(Kids!$F$6:$F$11,MATCH(C19,Kids!$B$6:$B$11,0))),0),IF(G19="Save",(N(E19)-N(F19)),0)))</f>
        <v/>
      </c>
      <c r="I19">
        <f>IF(C19="",0,(N(E19)-N(F19))-H19-J19)</f>
        <v/>
      </c>
      <c r="J19">
        <f>IF(C19="",0,IF(OR(G19="",G19="Split"),(N(E19)-N(F19))*IFERROR(N(INDEX(Kids!$G$6:$G$11,MATCH(C19,Kids!$B$6:$B$11,0))),0),IF(G19="Give",(N(E19)-N(F19)),0)))</f>
        <v/>
      </c>
      <c r="K19">
        <f>IF(C19="",0,IF(OR(G19="",G19="Split"),N(E19)*IFERROR(N(INDEX(Kids!$F$6:$F$11,MATCH(C19,Kids!$B$6:$B$11,0))),0),IF(G19="Save",N(E19),0)))</f>
        <v/>
      </c>
    </row>
    <row r="20">
      <c r="A20" s="1" t="n"/>
      <c r="B20" s="34" t="n">
        <v>46278</v>
      </c>
      <c r="C20" s="30" t="inlineStr">
        <is>
          <t>Leo</t>
        </is>
      </c>
      <c r="D20" s="31" t="inlineStr">
        <is>
          <t>Pocket money</t>
        </is>
      </c>
      <c r="E20" s="35" t="n">
        <v>4.5</v>
      </c>
      <c r="F20" s="35" t="n"/>
      <c r="G20" s="33" t="inlineStr">
        <is>
          <t>Split</t>
        </is>
      </c>
      <c r="H20" s="1">
        <f>IF(C20="",0,IF(OR(G20="",G20="Split"),(N(E20)-N(F20))*IFERROR(N(INDEX(Kids!$F$6:$F$11,MATCH(C20,Kids!$B$6:$B$11,0))),0),IF(G20="Save",(N(E20)-N(F20)),0)))</f>
        <v/>
      </c>
      <c r="I20">
        <f>IF(C20="",0,(N(E20)-N(F20))-H20-J20)</f>
        <v/>
      </c>
      <c r="J20">
        <f>IF(C20="",0,IF(OR(G20="",G20="Split"),(N(E20)-N(F20))*IFERROR(N(INDEX(Kids!$G$6:$G$11,MATCH(C20,Kids!$B$6:$B$11,0))),0),IF(G20="Give",(N(E20)-N(F20)),0)))</f>
        <v/>
      </c>
      <c r="K20">
        <f>IF(C20="",0,IF(OR(G20="",G20="Split"),N(E20)*IFERROR(N(INDEX(Kids!$F$6:$F$11,MATCH(C20,Kids!$B$6:$B$11,0))),0),IF(G20="Save",N(E20),0)))</f>
        <v/>
      </c>
    </row>
    <row r="21">
      <c r="A21" s="1" t="n"/>
      <c r="B21" s="34" t="n">
        <v>46278</v>
      </c>
      <c r="C21" s="30" t="inlineStr">
        <is>
          <t>Ava</t>
        </is>
      </c>
      <c r="D21" s="31" t="inlineStr">
        <is>
          <t>Pocket money</t>
        </is>
      </c>
      <c r="E21" s="35" t="n">
        <v>9.9</v>
      </c>
      <c r="F21" s="35" t="n"/>
      <c r="G21" s="33" t="inlineStr">
        <is>
          <t>Split</t>
        </is>
      </c>
      <c r="H21" s="1">
        <f>IF(C21="",0,IF(OR(G21="",G21="Split"),(N(E21)-N(F21))*IFERROR(N(INDEX(Kids!$F$6:$F$11,MATCH(C21,Kids!$B$6:$B$11,0))),0),IF(G21="Save",(N(E21)-N(F21)),0)))</f>
        <v/>
      </c>
      <c r="I21">
        <f>IF(C21="",0,(N(E21)-N(F21))-H21-J21)</f>
        <v/>
      </c>
      <c r="J21">
        <f>IF(C21="",0,IF(OR(G21="",G21="Split"),(N(E21)-N(F21))*IFERROR(N(INDEX(Kids!$G$6:$G$11,MATCH(C21,Kids!$B$6:$B$11,0))),0),IF(G21="Give",(N(E21)-N(F21)),0)))</f>
        <v/>
      </c>
      <c r="K21">
        <f>IF(C21="",0,IF(OR(G21="",G21="Split"),N(E21)*IFERROR(N(INDEX(Kids!$F$6:$F$11,MATCH(C21,Kids!$B$6:$B$11,0))),0),IF(G21="Save",N(E21),0)))</f>
        <v/>
      </c>
    </row>
    <row r="22">
      <c r="A22" s="1" t="n"/>
      <c r="B22" s="34" t="n">
        <v>46281</v>
      </c>
      <c r="C22" s="30" t="inlineStr">
        <is>
          <t>Mia</t>
        </is>
      </c>
      <c r="D22" s="31" t="inlineStr">
        <is>
          <t>Animal shelter</t>
        </is>
      </c>
      <c r="E22" s="35" t="n"/>
      <c r="F22" s="35" t="n">
        <v>3</v>
      </c>
      <c r="G22" s="33" t="inlineStr">
        <is>
          <t>Give</t>
        </is>
      </c>
      <c r="H22" s="1">
        <f>IF(C22="",0,IF(OR(G22="",G22="Split"),(N(E22)-N(F22))*IFERROR(N(INDEX(Kids!$F$6:$F$11,MATCH(C22,Kids!$B$6:$B$11,0))),0),IF(G22="Save",(N(E22)-N(F22)),0)))</f>
        <v/>
      </c>
      <c r="I22">
        <f>IF(C22="",0,(N(E22)-N(F22))-H22-J22)</f>
        <v/>
      </c>
      <c r="J22">
        <f>IF(C22="",0,IF(OR(G22="",G22="Split"),(N(E22)-N(F22))*IFERROR(N(INDEX(Kids!$G$6:$G$11,MATCH(C22,Kids!$B$6:$B$11,0))),0),IF(G22="Give",(N(E22)-N(F22)),0)))</f>
        <v/>
      </c>
      <c r="K22">
        <f>IF(C22="",0,IF(OR(G22="",G22="Split"),N(E22)*IFERROR(N(INDEX(Kids!$F$6:$F$11,MATCH(C22,Kids!$B$6:$B$11,0))),0),IF(G22="Save",N(E22),0)))</f>
        <v/>
      </c>
    </row>
    <row r="23">
      <c r="A23" s="1" t="n"/>
      <c r="B23" s="34" t="n">
        <v>46284</v>
      </c>
      <c r="C23" s="30" t="inlineStr">
        <is>
          <t>Ava</t>
        </is>
      </c>
      <c r="D23" s="31" t="inlineStr">
        <is>
          <t>Sold old books</t>
        </is>
      </c>
      <c r="E23" s="35" t="n">
        <v>6</v>
      </c>
      <c r="F23" s="35" t="n"/>
      <c r="G23" s="33" t="inlineStr">
        <is>
          <t>Split</t>
        </is>
      </c>
      <c r="H23" s="1">
        <f>IF(C23="",0,IF(OR(G23="",G23="Split"),(N(E23)-N(F23))*IFERROR(N(INDEX(Kids!$F$6:$F$11,MATCH(C23,Kids!$B$6:$B$11,0))),0),IF(G23="Save",(N(E23)-N(F23)),0)))</f>
        <v/>
      </c>
      <c r="I23">
        <f>IF(C23="",0,(N(E23)-N(F23))-H23-J23)</f>
        <v/>
      </c>
      <c r="J23">
        <f>IF(C23="",0,IF(OR(G23="",G23="Split"),(N(E23)-N(F23))*IFERROR(N(INDEX(Kids!$G$6:$G$11,MATCH(C23,Kids!$B$6:$B$11,0))),0),IF(G23="Give",(N(E23)-N(F23)),0)))</f>
        <v/>
      </c>
      <c r="K23">
        <f>IF(C23="",0,IF(OR(G23="",G23="Split"),N(E23)*IFERROR(N(INDEX(Kids!$F$6:$F$11,MATCH(C23,Kids!$B$6:$B$11,0))),0),IF(G23="Save",N(E23),0)))</f>
        <v/>
      </c>
    </row>
    <row r="24">
      <c r="A24" s="1" t="n"/>
      <c r="B24" s="34" t="n">
        <v>46285</v>
      </c>
      <c r="C24" s="30" t="inlineStr">
        <is>
          <t>Mia</t>
        </is>
      </c>
      <c r="D24" s="31" t="inlineStr">
        <is>
          <t>Pocket money</t>
        </is>
      </c>
      <c r="E24" s="35" t="n">
        <v>7</v>
      </c>
      <c r="F24" s="35" t="n"/>
      <c r="G24" s="33" t="inlineStr">
        <is>
          <t>Split</t>
        </is>
      </c>
      <c r="H24" s="1">
        <f>IF(C24="",0,IF(OR(G24="",G24="Split"),(N(E24)-N(F24))*IFERROR(N(INDEX(Kids!$F$6:$F$11,MATCH(C24,Kids!$B$6:$B$11,0))),0),IF(G24="Save",(N(E24)-N(F24)),0)))</f>
        <v/>
      </c>
      <c r="I24">
        <f>IF(C24="",0,(N(E24)-N(F24))-H24-J24)</f>
        <v/>
      </c>
      <c r="J24">
        <f>IF(C24="",0,IF(OR(G24="",G24="Split"),(N(E24)-N(F24))*IFERROR(N(INDEX(Kids!$G$6:$G$11,MATCH(C24,Kids!$B$6:$B$11,0))),0),IF(G24="Give",(N(E24)-N(F24)),0)))</f>
        <v/>
      </c>
      <c r="K24">
        <f>IF(C24="",0,IF(OR(G24="",G24="Split"),N(E24)*IFERROR(N(INDEX(Kids!$F$6:$F$11,MATCH(C24,Kids!$B$6:$B$11,0))),0),IF(G24="Save",N(E24),0)))</f>
        <v/>
      </c>
    </row>
    <row r="25">
      <c r="A25" s="1" t="n"/>
      <c r="B25" s="34" t="n">
        <v>46285</v>
      </c>
      <c r="C25" s="30" t="inlineStr">
        <is>
          <t>Leo</t>
        </is>
      </c>
      <c r="D25" s="31" t="inlineStr">
        <is>
          <t>Pocket money</t>
        </is>
      </c>
      <c r="E25" s="35" t="n">
        <v>4.7</v>
      </c>
      <c r="F25" s="35" t="n"/>
      <c r="G25" s="33" t="inlineStr">
        <is>
          <t>Split</t>
        </is>
      </c>
      <c r="H25" s="1">
        <f>IF(C25="",0,IF(OR(G25="",G25="Split"),(N(E25)-N(F25))*IFERROR(N(INDEX(Kids!$F$6:$F$11,MATCH(C25,Kids!$B$6:$B$11,0))),0),IF(G25="Save",(N(E25)-N(F25)),0)))</f>
        <v/>
      </c>
      <c r="I25">
        <f>IF(C25="",0,(N(E25)-N(F25))-H25-J25)</f>
        <v/>
      </c>
      <c r="J25">
        <f>IF(C25="",0,IF(OR(G25="",G25="Split"),(N(E25)-N(F25))*IFERROR(N(INDEX(Kids!$G$6:$G$11,MATCH(C25,Kids!$B$6:$B$11,0))),0),IF(G25="Give",(N(E25)-N(F25)),0)))</f>
        <v/>
      </c>
      <c r="K25">
        <f>IF(C25="",0,IF(OR(G25="",G25="Split"),N(E25)*IFERROR(N(INDEX(Kids!$F$6:$F$11,MATCH(C25,Kids!$B$6:$B$11,0))),0),IF(G25="Save",N(E25),0)))</f>
        <v/>
      </c>
    </row>
    <row r="26">
      <c r="A26" s="1" t="n"/>
      <c r="B26" s="34" t="n">
        <v>46285</v>
      </c>
      <c r="C26" s="30" t="inlineStr">
        <is>
          <t>Ava</t>
        </is>
      </c>
      <c r="D26" s="31" t="inlineStr">
        <is>
          <t>Pocket money</t>
        </is>
      </c>
      <c r="E26" s="35" t="n">
        <v>10.2</v>
      </c>
      <c r="F26" s="35" t="n"/>
      <c r="G26" s="33" t="inlineStr">
        <is>
          <t>Split</t>
        </is>
      </c>
      <c r="H26" s="1">
        <f>IF(C26="",0,IF(OR(G26="",G26="Split"),(N(E26)-N(F26))*IFERROR(N(INDEX(Kids!$F$6:$F$11,MATCH(C26,Kids!$B$6:$B$11,0))),0),IF(G26="Save",(N(E26)-N(F26)),0)))</f>
        <v/>
      </c>
      <c r="I26">
        <f>IF(C26="",0,(N(E26)-N(F26))-H26-J26)</f>
        <v/>
      </c>
      <c r="J26">
        <f>IF(C26="",0,IF(OR(G26="",G26="Split"),(N(E26)-N(F26))*IFERROR(N(INDEX(Kids!$G$6:$G$11,MATCH(C26,Kids!$B$6:$B$11,0))),0),IF(G26="Give",(N(E26)-N(F26)),0)))</f>
        <v/>
      </c>
      <c r="K26">
        <f>IF(C26="",0,IF(OR(G26="",G26="Split"),N(E26)*IFERROR(N(INDEX(Kids!$F$6:$F$11,MATCH(C26,Kids!$B$6:$B$11,0))),0),IF(G26="Save",N(E26),0)))</f>
        <v/>
      </c>
    </row>
    <row r="27">
      <c r="A27" s="1" t="n"/>
      <c r="B27" s="34" t="n">
        <v>46288</v>
      </c>
      <c r="C27" s="30" t="inlineStr">
        <is>
          <t>Ava</t>
        </is>
      </c>
      <c r="D27" s="31" t="inlineStr">
        <is>
          <t>School charity day</t>
        </is>
      </c>
      <c r="E27" s="35" t="n"/>
      <c r="F27" s="35" t="n">
        <v>4</v>
      </c>
      <c r="G27" s="33" t="inlineStr">
        <is>
          <t>Give</t>
        </is>
      </c>
      <c r="H27" s="1">
        <f>IF(C27="",0,IF(OR(G27="",G27="Split"),(N(E27)-N(F27))*IFERROR(N(INDEX(Kids!$F$6:$F$11,MATCH(C27,Kids!$B$6:$B$11,0))),0),IF(G27="Save",(N(E27)-N(F27)),0)))</f>
        <v/>
      </c>
      <c r="I27">
        <f>IF(C27="",0,(N(E27)-N(F27))-H27-J27)</f>
        <v/>
      </c>
      <c r="J27">
        <f>IF(C27="",0,IF(OR(G27="",G27="Split"),(N(E27)-N(F27))*IFERROR(N(INDEX(Kids!$G$6:$G$11,MATCH(C27,Kids!$B$6:$B$11,0))),0),IF(G27="Give",(N(E27)-N(F27)),0)))</f>
        <v/>
      </c>
      <c r="K27">
        <f>IF(C27="",0,IF(OR(G27="",G27="Split"),N(E27)*IFERROR(N(INDEX(Kids!$F$6:$F$11,MATCH(C27,Kids!$B$6:$B$11,0))),0),IF(G27="Save",N(E27),0)))</f>
        <v/>
      </c>
    </row>
    <row r="28">
      <c r="A28" s="1" t="n"/>
      <c r="B28" s="34" t="n">
        <v>46290</v>
      </c>
      <c r="C28" s="30" t="inlineStr">
        <is>
          <t>Leo</t>
        </is>
      </c>
      <c r="D28" s="31" t="inlineStr">
        <is>
          <t>Stickers</t>
        </is>
      </c>
      <c r="E28" s="35" t="n"/>
      <c r="F28" s="35" t="n">
        <v>2.5</v>
      </c>
      <c r="G28" s="33" t="inlineStr">
        <is>
          <t>Spend</t>
        </is>
      </c>
      <c r="H28" s="1">
        <f>IF(C28="",0,IF(OR(G28="",G28="Split"),(N(E28)-N(F28))*IFERROR(N(INDEX(Kids!$F$6:$F$11,MATCH(C28,Kids!$B$6:$B$11,0))),0),IF(G28="Save",(N(E28)-N(F28)),0)))</f>
        <v/>
      </c>
      <c r="I28">
        <f>IF(C28="",0,(N(E28)-N(F28))-H28-J28)</f>
        <v/>
      </c>
      <c r="J28">
        <f>IF(C28="",0,IF(OR(G28="",G28="Split"),(N(E28)-N(F28))*IFERROR(N(INDEX(Kids!$G$6:$G$11,MATCH(C28,Kids!$B$6:$B$11,0))),0),IF(G28="Give",(N(E28)-N(F28)),0)))</f>
        <v/>
      </c>
      <c r="K28">
        <f>IF(C28="",0,IF(OR(G28="",G28="Split"),N(E28)*IFERROR(N(INDEX(Kids!$F$6:$F$11,MATCH(C28,Kids!$B$6:$B$11,0))),0),IF(G28="Save",N(E28),0)))</f>
        <v/>
      </c>
    </row>
    <row r="29">
      <c r="A29" s="1" t="n"/>
      <c r="B29" s="34" t="n">
        <v>46292</v>
      </c>
      <c r="C29" s="30" t="inlineStr">
        <is>
          <t>Mia</t>
        </is>
      </c>
      <c r="D29" s="31" t="inlineStr">
        <is>
          <t>Pocket money</t>
        </is>
      </c>
      <c r="E29" s="35" t="n">
        <v>7.25</v>
      </c>
      <c r="F29" s="35" t="n"/>
      <c r="G29" s="33" t="inlineStr">
        <is>
          <t>Split</t>
        </is>
      </c>
      <c r="H29" s="1">
        <f>IF(C29="",0,IF(OR(G29="",G29="Split"),(N(E29)-N(F29))*IFERROR(N(INDEX(Kids!$F$6:$F$11,MATCH(C29,Kids!$B$6:$B$11,0))),0),IF(G29="Save",(N(E29)-N(F29)),0)))</f>
        <v/>
      </c>
      <c r="I29">
        <f>IF(C29="",0,(N(E29)-N(F29))-H29-J29)</f>
        <v/>
      </c>
      <c r="J29">
        <f>IF(C29="",0,IF(OR(G29="",G29="Split"),(N(E29)-N(F29))*IFERROR(N(INDEX(Kids!$G$6:$G$11,MATCH(C29,Kids!$B$6:$B$11,0))),0),IF(G29="Give",(N(E29)-N(F29)),0)))</f>
        <v/>
      </c>
      <c r="K29">
        <f>IF(C29="",0,IF(OR(G29="",G29="Split"),N(E29)*IFERROR(N(INDEX(Kids!$F$6:$F$11,MATCH(C29,Kids!$B$6:$B$11,0))),0),IF(G29="Save",N(E29),0)))</f>
        <v/>
      </c>
    </row>
    <row r="30">
      <c r="A30" s="1" t="n"/>
      <c r="B30" s="34" t="n">
        <v>46292</v>
      </c>
      <c r="C30" s="30" t="inlineStr">
        <is>
          <t>Leo</t>
        </is>
      </c>
      <c r="D30" s="31" t="inlineStr">
        <is>
          <t>Pocket money</t>
        </is>
      </c>
      <c r="E30" s="35" t="n">
        <v>4.5</v>
      </c>
      <c r="F30" s="35" t="n"/>
      <c r="G30" s="33" t="inlineStr">
        <is>
          <t>Split</t>
        </is>
      </c>
      <c r="H30" s="1">
        <f>IF(C30="",0,IF(OR(G30="",G30="Split"),(N(E30)-N(F30))*IFERROR(N(INDEX(Kids!$F$6:$F$11,MATCH(C30,Kids!$B$6:$B$11,0))),0),IF(G30="Save",(N(E30)-N(F30)),0)))</f>
        <v/>
      </c>
      <c r="I30">
        <f>IF(C30="",0,(N(E30)-N(F30))-H30-J30)</f>
        <v/>
      </c>
      <c r="J30">
        <f>IF(C30="",0,IF(OR(G30="",G30="Split"),(N(E30)-N(F30))*IFERROR(N(INDEX(Kids!$G$6:$G$11,MATCH(C30,Kids!$B$6:$B$11,0))),0),IF(G30="Give",(N(E30)-N(F30)),0)))</f>
        <v/>
      </c>
      <c r="K30">
        <f>IF(C30="",0,IF(OR(G30="",G30="Split"),N(E30)*IFERROR(N(INDEX(Kids!$F$6:$F$11,MATCH(C30,Kids!$B$6:$B$11,0))),0),IF(G30="Save",N(E30),0)))</f>
        <v/>
      </c>
    </row>
    <row r="31">
      <c r="A31" s="1" t="n"/>
      <c r="B31" s="34" t="n">
        <v>46292</v>
      </c>
      <c r="C31" s="30" t="inlineStr">
        <is>
          <t>Ava</t>
        </is>
      </c>
      <c r="D31" s="31" t="inlineStr">
        <is>
          <t>Pocket money</t>
        </is>
      </c>
      <c r="E31" s="35" t="n">
        <v>10.5</v>
      </c>
      <c r="F31" s="35" t="n"/>
      <c r="G31" s="33" t="inlineStr">
        <is>
          <t>Split</t>
        </is>
      </c>
      <c r="H31" s="1">
        <f>IF(C31="",0,IF(OR(G31="",G31="Split"),(N(E31)-N(F31))*IFERROR(N(INDEX(Kids!$F$6:$F$11,MATCH(C31,Kids!$B$6:$B$11,0))),0),IF(G31="Save",(N(E31)-N(F31)),0)))</f>
        <v/>
      </c>
      <c r="I31">
        <f>IF(C31="",0,(N(E31)-N(F31))-H31-J31)</f>
        <v/>
      </c>
      <c r="J31">
        <f>IF(C31="",0,IF(OR(G31="",G31="Split"),(N(E31)-N(F31))*IFERROR(N(INDEX(Kids!$G$6:$G$11,MATCH(C31,Kids!$B$6:$B$11,0))),0),IF(G31="Give",(N(E31)-N(F31)),0)))</f>
        <v/>
      </c>
      <c r="K31">
        <f>IF(C31="",0,IF(OR(G31="",G31="Split"),N(E31)*IFERROR(N(INDEX(Kids!$F$6:$F$11,MATCH(C31,Kids!$B$6:$B$11,0))),0),IF(G31="Save",N(E31),0)))</f>
        <v/>
      </c>
    </row>
    <row r="32">
      <c r="A32" s="1" t="n"/>
      <c r="B32" s="34" t="n"/>
      <c r="C32" s="30" t="n"/>
      <c r="D32" s="31" t="n"/>
      <c r="E32" s="35" t="n"/>
      <c r="F32" s="35" t="n"/>
      <c r="G32" s="33" t="n"/>
      <c r="H32" s="1">
        <f>IF(C32="",0,IF(OR(G32="",G32="Split"),(N(E32)-N(F32))*IFERROR(N(INDEX(Kids!$F$6:$F$11,MATCH(C32,Kids!$B$6:$B$11,0))),0),IF(G32="Save",(N(E32)-N(F32)),0)))</f>
        <v/>
      </c>
      <c r="I32">
        <f>IF(C32="",0,(N(E32)-N(F32))-H32-J32)</f>
        <v/>
      </c>
      <c r="J32">
        <f>IF(C32="",0,IF(OR(G32="",G32="Split"),(N(E32)-N(F32))*IFERROR(N(INDEX(Kids!$G$6:$G$11,MATCH(C32,Kids!$B$6:$B$11,0))),0),IF(G32="Give",(N(E32)-N(F32)),0)))</f>
        <v/>
      </c>
      <c r="K32">
        <f>IF(C32="",0,IF(OR(G32="",G32="Split"),N(E32)*IFERROR(N(INDEX(Kids!$F$6:$F$11,MATCH(C32,Kids!$B$6:$B$11,0))),0),IF(G32="Save",N(E32),0)))</f>
        <v/>
      </c>
    </row>
    <row r="33">
      <c r="A33" s="1" t="n"/>
      <c r="B33" s="34" t="n"/>
      <c r="C33" s="30" t="n"/>
      <c r="D33" s="31" t="n"/>
      <c r="E33" s="35" t="n"/>
      <c r="F33" s="35" t="n"/>
      <c r="G33" s="33" t="n"/>
      <c r="H33" s="1">
        <f>IF(C33="",0,IF(OR(G33="",G33="Split"),(N(E33)-N(F33))*IFERROR(N(INDEX(Kids!$F$6:$F$11,MATCH(C33,Kids!$B$6:$B$11,0))),0),IF(G33="Save",(N(E33)-N(F33)),0)))</f>
        <v/>
      </c>
      <c r="I33">
        <f>IF(C33="",0,(N(E33)-N(F33))-H33-J33)</f>
        <v/>
      </c>
      <c r="J33">
        <f>IF(C33="",0,IF(OR(G33="",G33="Split"),(N(E33)-N(F33))*IFERROR(N(INDEX(Kids!$G$6:$G$11,MATCH(C33,Kids!$B$6:$B$11,0))),0),IF(G33="Give",(N(E33)-N(F33)),0)))</f>
        <v/>
      </c>
      <c r="K33">
        <f>IF(C33="",0,IF(OR(G33="",G33="Split"),N(E33)*IFERROR(N(INDEX(Kids!$F$6:$F$11,MATCH(C33,Kids!$B$6:$B$11,0))),0),IF(G33="Save",N(E33),0)))</f>
        <v/>
      </c>
    </row>
    <row r="34">
      <c r="A34" s="1" t="n"/>
      <c r="B34" s="34" t="n"/>
      <c r="C34" s="30" t="n"/>
      <c r="D34" s="31" t="n"/>
      <c r="E34" s="35" t="n"/>
      <c r="F34" s="35" t="n"/>
      <c r="G34" s="33" t="n"/>
      <c r="H34" s="1">
        <f>IF(C34="",0,IF(OR(G34="",G34="Split"),(N(E34)-N(F34))*IFERROR(N(INDEX(Kids!$F$6:$F$11,MATCH(C34,Kids!$B$6:$B$11,0))),0),IF(G34="Save",(N(E34)-N(F34)),0)))</f>
        <v/>
      </c>
      <c r="I34">
        <f>IF(C34="",0,(N(E34)-N(F34))-H34-J34)</f>
        <v/>
      </c>
      <c r="J34">
        <f>IF(C34="",0,IF(OR(G34="",G34="Split"),(N(E34)-N(F34))*IFERROR(N(INDEX(Kids!$G$6:$G$11,MATCH(C34,Kids!$B$6:$B$11,0))),0),IF(G34="Give",(N(E34)-N(F34)),0)))</f>
        <v/>
      </c>
      <c r="K34">
        <f>IF(C34="",0,IF(OR(G34="",G34="Split"),N(E34)*IFERROR(N(INDEX(Kids!$F$6:$F$11,MATCH(C34,Kids!$B$6:$B$11,0))),0),IF(G34="Save",N(E34),0)))</f>
        <v/>
      </c>
    </row>
    <row r="35">
      <c r="A35" s="1" t="n"/>
      <c r="B35" s="34" t="n"/>
      <c r="C35" s="30" t="n"/>
      <c r="D35" s="31" t="n"/>
      <c r="E35" s="35" t="n"/>
      <c r="F35" s="35" t="n"/>
      <c r="G35" s="33" t="n"/>
      <c r="H35" s="1">
        <f>IF(C35="",0,IF(OR(G35="",G35="Split"),(N(E35)-N(F35))*IFERROR(N(INDEX(Kids!$F$6:$F$11,MATCH(C35,Kids!$B$6:$B$11,0))),0),IF(G35="Save",(N(E35)-N(F35)),0)))</f>
        <v/>
      </c>
      <c r="I35">
        <f>IF(C35="",0,(N(E35)-N(F35))-H35-J35)</f>
        <v/>
      </c>
      <c r="J35">
        <f>IF(C35="",0,IF(OR(G35="",G35="Split"),(N(E35)-N(F35))*IFERROR(N(INDEX(Kids!$G$6:$G$11,MATCH(C35,Kids!$B$6:$B$11,0))),0),IF(G35="Give",(N(E35)-N(F35)),0)))</f>
        <v/>
      </c>
      <c r="K35">
        <f>IF(C35="",0,IF(OR(G35="",G35="Split"),N(E35)*IFERROR(N(INDEX(Kids!$F$6:$F$11,MATCH(C35,Kids!$B$6:$B$11,0))),0),IF(G35="Save",N(E35),0)))</f>
        <v/>
      </c>
    </row>
    <row r="36">
      <c r="A36" s="1" t="n"/>
      <c r="B36" s="34" t="n"/>
      <c r="C36" s="30" t="n"/>
      <c r="D36" s="31" t="n"/>
      <c r="E36" s="35" t="n"/>
      <c r="F36" s="35" t="n"/>
      <c r="G36" s="33" t="n"/>
      <c r="H36" s="1">
        <f>IF(C36="",0,IF(OR(G36="",G36="Split"),(N(E36)-N(F36))*IFERROR(N(INDEX(Kids!$F$6:$F$11,MATCH(C36,Kids!$B$6:$B$11,0))),0),IF(G36="Save",(N(E36)-N(F36)),0)))</f>
        <v/>
      </c>
      <c r="I36">
        <f>IF(C36="",0,(N(E36)-N(F36))-H36-J36)</f>
        <v/>
      </c>
      <c r="J36">
        <f>IF(C36="",0,IF(OR(G36="",G36="Split"),(N(E36)-N(F36))*IFERROR(N(INDEX(Kids!$G$6:$G$11,MATCH(C36,Kids!$B$6:$B$11,0))),0),IF(G36="Give",(N(E36)-N(F36)),0)))</f>
        <v/>
      </c>
      <c r="K36">
        <f>IF(C36="",0,IF(OR(G36="",G36="Split"),N(E36)*IFERROR(N(INDEX(Kids!$F$6:$F$11,MATCH(C36,Kids!$B$6:$B$11,0))),0),IF(G36="Save",N(E36),0)))</f>
        <v/>
      </c>
    </row>
    <row r="37">
      <c r="A37" s="1" t="n"/>
      <c r="B37" s="34" t="n"/>
      <c r="C37" s="30" t="n"/>
      <c r="D37" s="31" t="n"/>
      <c r="E37" s="35" t="n"/>
      <c r="F37" s="35" t="n"/>
      <c r="G37" s="33" t="n"/>
      <c r="H37" s="1">
        <f>IF(C37="",0,IF(OR(G37="",G37="Split"),(N(E37)-N(F37))*IFERROR(N(INDEX(Kids!$F$6:$F$11,MATCH(C37,Kids!$B$6:$B$11,0))),0),IF(G37="Save",(N(E37)-N(F37)),0)))</f>
        <v/>
      </c>
      <c r="I37">
        <f>IF(C37="",0,(N(E37)-N(F37))-H37-J37)</f>
        <v/>
      </c>
      <c r="J37">
        <f>IF(C37="",0,IF(OR(G37="",G37="Split"),(N(E37)-N(F37))*IFERROR(N(INDEX(Kids!$G$6:$G$11,MATCH(C37,Kids!$B$6:$B$11,0))),0),IF(G37="Give",(N(E37)-N(F37)),0)))</f>
        <v/>
      </c>
      <c r="K37">
        <f>IF(C37="",0,IF(OR(G37="",G37="Split"),N(E37)*IFERROR(N(INDEX(Kids!$F$6:$F$11,MATCH(C37,Kids!$B$6:$B$11,0))),0),IF(G37="Save",N(E37),0)))</f>
        <v/>
      </c>
    </row>
    <row r="38">
      <c r="A38" s="1" t="n"/>
      <c r="B38" s="34" t="n"/>
      <c r="C38" s="30" t="n"/>
      <c r="D38" s="31" t="n"/>
      <c r="E38" s="35" t="n"/>
      <c r="F38" s="35" t="n"/>
      <c r="G38" s="33" t="n"/>
      <c r="H38" s="1">
        <f>IF(C38="",0,IF(OR(G38="",G38="Split"),(N(E38)-N(F38))*IFERROR(N(INDEX(Kids!$F$6:$F$11,MATCH(C38,Kids!$B$6:$B$11,0))),0),IF(G38="Save",(N(E38)-N(F38)),0)))</f>
        <v/>
      </c>
      <c r="I38">
        <f>IF(C38="",0,(N(E38)-N(F38))-H38-J38)</f>
        <v/>
      </c>
      <c r="J38">
        <f>IF(C38="",0,IF(OR(G38="",G38="Split"),(N(E38)-N(F38))*IFERROR(N(INDEX(Kids!$G$6:$G$11,MATCH(C38,Kids!$B$6:$B$11,0))),0),IF(G38="Give",(N(E38)-N(F38)),0)))</f>
        <v/>
      </c>
      <c r="K38">
        <f>IF(C38="",0,IF(OR(G38="",G38="Split"),N(E38)*IFERROR(N(INDEX(Kids!$F$6:$F$11,MATCH(C38,Kids!$B$6:$B$11,0))),0),IF(G38="Save",N(E38),0)))</f>
        <v/>
      </c>
    </row>
    <row r="39">
      <c r="A39" s="1" t="n"/>
      <c r="B39" s="34" t="n"/>
      <c r="C39" s="30" t="n"/>
      <c r="D39" s="31" t="n"/>
      <c r="E39" s="35" t="n"/>
      <c r="F39" s="35" t="n"/>
      <c r="G39" s="33" t="n"/>
      <c r="H39" s="1">
        <f>IF(C39="",0,IF(OR(G39="",G39="Split"),(N(E39)-N(F39))*IFERROR(N(INDEX(Kids!$F$6:$F$11,MATCH(C39,Kids!$B$6:$B$11,0))),0),IF(G39="Save",(N(E39)-N(F39)),0)))</f>
        <v/>
      </c>
      <c r="I39">
        <f>IF(C39="",0,(N(E39)-N(F39))-H39-J39)</f>
        <v/>
      </c>
      <c r="J39">
        <f>IF(C39="",0,IF(OR(G39="",G39="Split"),(N(E39)-N(F39))*IFERROR(N(INDEX(Kids!$G$6:$G$11,MATCH(C39,Kids!$B$6:$B$11,0))),0),IF(G39="Give",(N(E39)-N(F39)),0)))</f>
        <v/>
      </c>
      <c r="K39">
        <f>IF(C39="",0,IF(OR(G39="",G39="Split"),N(E39)*IFERROR(N(INDEX(Kids!$F$6:$F$11,MATCH(C39,Kids!$B$6:$B$11,0))),0),IF(G39="Save",N(E39),0)))</f>
        <v/>
      </c>
    </row>
    <row r="40">
      <c r="A40" s="1" t="n"/>
      <c r="B40" s="34" t="n"/>
      <c r="C40" s="30" t="n"/>
      <c r="D40" s="31" t="n"/>
      <c r="E40" s="35" t="n"/>
      <c r="F40" s="35" t="n"/>
      <c r="G40" s="33" t="n"/>
      <c r="H40" s="1">
        <f>IF(C40="",0,IF(OR(G40="",G40="Split"),(N(E40)-N(F40))*IFERROR(N(INDEX(Kids!$F$6:$F$11,MATCH(C40,Kids!$B$6:$B$11,0))),0),IF(G40="Save",(N(E40)-N(F40)),0)))</f>
        <v/>
      </c>
      <c r="I40">
        <f>IF(C40="",0,(N(E40)-N(F40))-H40-J40)</f>
        <v/>
      </c>
      <c r="J40">
        <f>IF(C40="",0,IF(OR(G40="",G40="Split"),(N(E40)-N(F40))*IFERROR(N(INDEX(Kids!$G$6:$G$11,MATCH(C40,Kids!$B$6:$B$11,0))),0),IF(G40="Give",(N(E40)-N(F40)),0)))</f>
        <v/>
      </c>
      <c r="K40">
        <f>IF(C40="",0,IF(OR(G40="",G40="Split"),N(E40)*IFERROR(N(INDEX(Kids!$F$6:$F$11,MATCH(C40,Kids!$B$6:$B$11,0))),0),IF(G40="Save",N(E40),0)))</f>
        <v/>
      </c>
    </row>
    <row r="41">
      <c r="A41" s="1" t="n"/>
      <c r="B41" s="34" t="n"/>
      <c r="C41" s="30" t="n"/>
      <c r="D41" s="31" t="n"/>
      <c r="E41" s="35" t="n"/>
      <c r="F41" s="35" t="n"/>
      <c r="G41" s="33" t="n"/>
      <c r="H41" s="1">
        <f>IF(C41="",0,IF(OR(G41="",G41="Split"),(N(E41)-N(F41))*IFERROR(N(INDEX(Kids!$F$6:$F$11,MATCH(C41,Kids!$B$6:$B$11,0))),0),IF(G41="Save",(N(E41)-N(F41)),0)))</f>
        <v/>
      </c>
      <c r="I41">
        <f>IF(C41="",0,(N(E41)-N(F41))-H41-J41)</f>
        <v/>
      </c>
      <c r="J41">
        <f>IF(C41="",0,IF(OR(G41="",G41="Split"),(N(E41)-N(F41))*IFERROR(N(INDEX(Kids!$G$6:$G$11,MATCH(C41,Kids!$B$6:$B$11,0))),0),IF(G41="Give",(N(E41)-N(F41)),0)))</f>
        <v/>
      </c>
      <c r="K41">
        <f>IF(C41="",0,IF(OR(G41="",G41="Split"),N(E41)*IFERROR(N(INDEX(Kids!$F$6:$F$11,MATCH(C41,Kids!$B$6:$B$11,0))),0),IF(G41="Save",N(E41),0)))</f>
        <v/>
      </c>
    </row>
    <row r="42">
      <c r="A42" s="1" t="n"/>
      <c r="B42" s="34" t="n"/>
      <c r="C42" s="30" t="n"/>
      <c r="D42" s="31" t="n"/>
      <c r="E42" s="35" t="n"/>
      <c r="F42" s="35" t="n"/>
      <c r="G42" s="33" t="n"/>
      <c r="H42" s="1">
        <f>IF(C42="",0,IF(OR(G42="",G42="Split"),(N(E42)-N(F42))*IFERROR(N(INDEX(Kids!$F$6:$F$11,MATCH(C42,Kids!$B$6:$B$11,0))),0),IF(G42="Save",(N(E42)-N(F42)),0)))</f>
        <v/>
      </c>
      <c r="I42">
        <f>IF(C42="",0,(N(E42)-N(F42))-H42-J42)</f>
        <v/>
      </c>
      <c r="J42">
        <f>IF(C42="",0,IF(OR(G42="",G42="Split"),(N(E42)-N(F42))*IFERROR(N(INDEX(Kids!$G$6:$G$11,MATCH(C42,Kids!$B$6:$B$11,0))),0),IF(G42="Give",(N(E42)-N(F42)),0)))</f>
        <v/>
      </c>
      <c r="K42">
        <f>IF(C42="",0,IF(OR(G42="",G42="Split"),N(E42)*IFERROR(N(INDEX(Kids!$F$6:$F$11,MATCH(C42,Kids!$B$6:$B$11,0))),0),IF(G42="Save",N(E42),0)))</f>
        <v/>
      </c>
    </row>
    <row r="43">
      <c r="A43" s="1" t="n"/>
      <c r="B43" s="34" t="n"/>
      <c r="C43" s="30" t="n"/>
      <c r="D43" s="31" t="n"/>
      <c r="E43" s="35" t="n"/>
      <c r="F43" s="35" t="n"/>
      <c r="G43" s="33" t="n"/>
      <c r="H43" s="1">
        <f>IF(C43="",0,IF(OR(G43="",G43="Split"),(N(E43)-N(F43))*IFERROR(N(INDEX(Kids!$F$6:$F$11,MATCH(C43,Kids!$B$6:$B$11,0))),0),IF(G43="Save",(N(E43)-N(F43)),0)))</f>
        <v/>
      </c>
      <c r="I43">
        <f>IF(C43="",0,(N(E43)-N(F43))-H43-J43)</f>
        <v/>
      </c>
      <c r="J43">
        <f>IF(C43="",0,IF(OR(G43="",G43="Split"),(N(E43)-N(F43))*IFERROR(N(INDEX(Kids!$G$6:$G$11,MATCH(C43,Kids!$B$6:$B$11,0))),0),IF(G43="Give",(N(E43)-N(F43)),0)))</f>
        <v/>
      </c>
      <c r="K43">
        <f>IF(C43="",0,IF(OR(G43="",G43="Split"),N(E43)*IFERROR(N(INDEX(Kids!$F$6:$F$11,MATCH(C43,Kids!$B$6:$B$11,0))),0),IF(G43="Save",N(E43),0)))</f>
        <v/>
      </c>
    </row>
    <row r="44">
      <c r="A44" s="1" t="n"/>
      <c r="B44" s="34" t="n"/>
      <c r="C44" s="30" t="n"/>
      <c r="D44" s="31" t="n"/>
      <c r="E44" s="35" t="n"/>
      <c r="F44" s="35" t="n"/>
      <c r="G44" s="33" t="n"/>
      <c r="H44" s="1">
        <f>IF(C44="",0,IF(OR(G44="",G44="Split"),(N(E44)-N(F44))*IFERROR(N(INDEX(Kids!$F$6:$F$11,MATCH(C44,Kids!$B$6:$B$11,0))),0),IF(G44="Save",(N(E44)-N(F44)),0)))</f>
        <v/>
      </c>
      <c r="I44">
        <f>IF(C44="",0,(N(E44)-N(F44))-H44-J44)</f>
        <v/>
      </c>
      <c r="J44">
        <f>IF(C44="",0,IF(OR(G44="",G44="Split"),(N(E44)-N(F44))*IFERROR(N(INDEX(Kids!$G$6:$G$11,MATCH(C44,Kids!$B$6:$B$11,0))),0),IF(G44="Give",(N(E44)-N(F44)),0)))</f>
        <v/>
      </c>
      <c r="K44">
        <f>IF(C44="",0,IF(OR(G44="",G44="Split"),N(E44)*IFERROR(N(INDEX(Kids!$F$6:$F$11,MATCH(C44,Kids!$B$6:$B$11,0))),0),IF(G44="Save",N(E44),0)))</f>
        <v/>
      </c>
    </row>
    <row r="45">
      <c r="A45" s="1" t="n"/>
      <c r="B45" s="34" t="n"/>
      <c r="C45" s="30" t="n"/>
      <c r="D45" s="31" t="n"/>
      <c r="E45" s="35" t="n"/>
      <c r="F45" s="35" t="n"/>
      <c r="G45" s="33" t="n"/>
      <c r="H45" s="1">
        <f>IF(C45="",0,IF(OR(G45="",G45="Split"),(N(E45)-N(F45))*IFERROR(N(INDEX(Kids!$F$6:$F$11,MATCH(C45,Kids!$B$6:$B$11,0))),0),IF(G45="Save",(N(E45)-N(F45)),0)))</f>
        <v/>
      </c>
      <c r="I45">
        <f>IF(C45="",0,(N(E45)-N(F45))-H45-J45)</f>
        <v/>
      </c>
      <c r="J45">
        <f>IF(C45="",0,IF(OR(G45="",G45="Split"),(N(E45)-N(F45))*IFERROR(N(INDEX(Kids!$G$6:$G$11,MATCH(C45,Kids!$B$6:$B$11,0))),0),IF(G45="Give",(N(E45)-N(F45)),0)))</f>
        <v/>
      </c>
      <c r="K45">
        <f>IF(C45="",0,IF(OR(G45="",G45="Split"),N(E45)*IFERROR(N(INDEX(Kids!$F$6:$F$11,MATCH(C45,Kids!$B$6:$B$11,0))),0),IF(G45="Save",N(E45),0)))</f>
        <v/>
      </c>
    </row>
    <row r="46">
      <c r="A46" s="1" t="n"/>
      <c r="B46" s="34" t="n"/>
      <c r="C46" s="30" t="n"/>
      <c r="D46" s="31" t="n"/>
      <c r="E46" s="35" t="n"/>
      <c r="F46" s="35" t="n"/>
      <c r="G46" s="33" t="n"/>
      <c r="H46" s="1">
        <f>IF(C46="",0,IF(OR(G46="",G46="Split"),(N(E46)-N(F46))*IFERROR(N(INDEX(Kids!$F$6:$F$11,MATCH(C46,Kids!$B$6:$B$11,0))),0),IF(G46="Save",(N(E46)-N(F46)),0)))</f>
        <v/>
      </c>
      <c r="I46">
        <f>IF(C46="",0,(N(E46)-N(F46))-H46-J46)</f>
        <v/>
      </c>
      <c r="J46">
        <f>IF(C46="",0,IF(OR(G46="",G46="Split"),(N(E46)-N(F46))*IFERROR(N(INDEX(Kids!$G$6:$G$11,MATCH(C46,Kids!$B$6:$B$11,0))),0),IF(G46="Give",(N(E46)-N(F46)),0)))</f>
        <v/>
      </c>
      <c r="K46">
        <f>IF(C46="",0,IF(OR(G46="",G46="Split"),N(E46)*IFERROR(N(INDEX(Kids!$F$6:$F$11,MATCH(C46,Kids!$B$6:$B$11,0))),0),IF(G46="Save",N(E46),0)))</f>
        <v/>
      </c>
    </row>
    <row r="47">
      <c r="A47" s="1" t="n"/>
      <c r="B47" s="34" t="n"/>
      <c r="C47" s="30" t="n"/>
      <c r="D47" s="31" t="n"/>
      <c r="E47" s="35" t="n"/>
      <c r="F47" s="35" t="n"/>
      <c r="G47" s="33" t="n"/>
      <c r="H47" s="1">
        <f>IF(C47="",0,IF(OR(G47="",G47="Split"),(N(E47)-N(F47))*IFERROR(N(INDEX(Kids!$F$6:$F$11,MATCH(C47,Kids!$B$6:$B$11,0))),0),IF(G47="Save",(N(E47)-N(F47)),0)))</f>
        <v/>
      </c>
      <c r="I47">
        <f>IF(C47="",0,(N(E47)-N(F47))-H47-J47)</f>
        <v/>
      </c>
      <c r="J47">
        <f>IF(C47="",0,IF(OR(G47="",G47="Split"),(N(E47)-N(F47))*IFERROR(N(INDEX(Kids!$G$6:$G$11,MATCH(C47,Kids!$B$6:$B$11,0))),0),IF(G47="Give",(N(E47)-N(F47)),0)))</f>
        <v/>
      </c>
      <c r="K47">
        <f>IF(C47="",0,IF(OR(G47="",G47="Split"),N(E47)*IFERROR(N(INDEX(Kids!$F$6:$F$11,MATCH(C47,Kids!$B$6:$B$11,0))),0),IF(G47="Save",N(E47),0)))</f>
        <v/>
      </c>
    </row>
    <row r="48">
      <c r="A48" s="1" t="n"/>
      <c r="B48" s="34" t="n"/>
      <c r="C48" s="30" t="n"/>
      <c r="D48" s="31" t="n"/>
      <c r="E48" s="35" t="n"/>
      <c r="F48" s="35" t="n"/>
      <c r="G48" s="33" t="n"/>
      <c r="H48" s="1">
        <f>IF(C48="",0,IF(OR(G48="",G48="Split"),(N(E48)-N(F48))*IFERROR(N(INDEX(Kids!$F$6:$F$11,MATCH(C48,Kids!$B$6:$B$11,0))),0),IF(G48="Save",(N(E48)-N(F48)),0)))</f>
        <v/>
      </c>
      <c r="I48">
        <f>IF(C48="",0,(N(E48)-N(F48))-H48-J48)</f>
        <v/>
      </c>
      <c r="J48">
        <f>IF(C48="",0,IF(OR(G48="",G48="Split"),(N(E48)-N(F48))*IFERROR(N(INDEX(Kids!$G$6:$G$11,MATCH(C48,Kids!$B$6:$B$11,0))),0),IF(G48="Give",(N(E48)-N(F48)),0)))</f>
        <v/>
      </c>
      <c r="K48">
        <f>IF(C48="",0,IF(OR(G48="",G48="Split"),N(E48)*IFERROR(N(INDEX(Kids!$F$6:$F$11,MATCH(C48,Kids!$B$6:$B$11,0))),0),IF(G48="Save",N(E48),0)))</f>
        <v/>
      </c>
    </row>
    <row r="49">
      <c r="A49" s="1" t="n"/>
      <c r="B49" s="34" t="n"/>
      <c r="C49" s="30" t="n"/>
      <c r="D49" s="31" t="n"/>
      <c r="E49" s="35" t="n"/>
      <c r="F49" s="35" t="n"/>
      <c r="G49" s="33" t="n"/>
      <c r="H49" s="1">
        <f>IF(C49="",0,IF(OR(G49="",G49="Split"),(N(E49)-N(F49))*IFERROR(N(INDEX(Kids!$F$6:$F$11,MATCH(C49,Kids!$B$6:$B$11,0))),0),IF(G49="Save",(N(E49)-N(F49)),0)))</f>
        <v/>
      </c>
      <c r="I49">
        <f>IF(C49="",0,(N(E49)-N(F49))-H49-J49)</f>
        <v/>
      </c>
      <c r="J49">
        <f>IF(C49="",0,IF(OR(G49="",G49="Split"),(N(E49)-N(F49))*IFERROR(N(INDEX(Kids!$G$6:$G$11,MATCH(C49,Kids!$B$6:$B$11,0))),0),IF(G49="Give",(N(E49)-N(F49)),0)))</f>
        <v/>
      </c>
      <c r="K49">
        <f>IF(C49="",0,IF(OR(G49="",G49="Split"),N(E49)*IFERROR(N(INDEX(Kids!$F$6:$F$11,MATCH(C49,Kids!$B$6:$B$11,0))),0),IF(G49="Save",N(E49),0)))</f>
        <v/>
      </c>
    </row>
    <row r="50">
      <c r="A50" s="1" t="n"/>
      <c r="B50" s="34" t="n"/>
      <c r="C50" s="30" t="n"/>
      <c r="D50" s="31" t="n"/>
      <c r="E50" s="35" t="n"/>
      <c r="F50" s="35" t="n"/>
      <c r="G50" s="33" t="n"/>
      <c r="H50" s="1">
        <f>IF(C50="",0,IF(OR(G50="",G50="Split"),(N(E50)-N(F50))*IFERROR(N(INDEX(Kids!$F$6:$F$11,MATCH(C50,Kids!$B$6:$B$11,0))),0),IF(G50="Save",(N(E50)-N(F50)),0)))</f>
        <v/>
      </c>
      <c r="I50">
        <f>IF(C50="",0,(N(E50)-N(F50))-H50-J50)</f>
        <v/>
      </c>
      <c r="J50">
        <f>IF(C50="",0,IF(OR(G50="",G50="Split"),(N(E50)-N(F50))*IFERROR(N(INDEX(Kids!$G$6:$G$11,MATCH(C50,Kids!$B$6:$B$11,0))),0),IF(G50="Give",(N(E50)-N(F50)),0)))</f>
        <v/>
      </c>
      <c r="K50">
        <f>IF(C50="",0,IF(OR(G50="",G50="Split"),N(E50)*IFERROR(N(INDEX(Kids!$F$6:$F$11,MATCH(C50,Kids!$B$6:$B$11,0))),0),IF(G50="Save",N(E50),0)))</f>
        <v/>
      </c>
    </row>
    <row r="51">
      <c r="A51" s="1" t="n"/>
      <c r="B51" s="34" t="n"/>
      <c r="C51" s="30" t="n"/>
      <c r="D51" s="31" t="n"/>
      <c r="E51" s="35" t="n"/>
      <c r="F51" s="35" t="n"/>
      <c r="G51" s="33" t="n"/>
      <c r="H51" s="1">
        <f>IF(C51="",0,IF(OR(G51="",G51="Split"),(N(E51)-N(F51))*IFERROR(N(INDEX(Kids!$F$6:$F$11,MATCH(C51,Kids!$B$6:$B$11,0))),0),IF(G51="Save",(N(E51)-N(F51)),0)))</f>
        <v/>
      </c>
      <c r="I51">
        <f>IF(C51="",0,(N(E51)-N(F51))-H51-J51)</f>
        <v/>
      </c>
      <c r="J51">
        <f>IF(C51="",0,IF(OR(G51="",G51="Split"),(N(E51)-N(F51))*IFERROR(N(INDEX(Kids!$G$6:$G$11,MATCH(C51,Kids!$B$6:$B$11,0))),0),IF(G51="Give",(N(E51)-N(F51)),0)))</f>
        <v/>
      </c>
      <c r="K51">
        <f>IF(C51="",0,IF(OR(G51="",G51="Split"),N(E51)*IFERROR(N(INDEX(Kids!$F$6:$F$11,MATCH(C51,Kids!$B$6:$B$11,0))),0),IF(G51="Save",N(E51),0)))</f>
        <v/>
      </c>
    </row>
    <row r="52">
      <c r="A52" s="1" t="n"/>
      <c r="B52" s="34" t="n"/>
      <c r="C52" s="30" t="n"/>
      <c r="D52" s="31" t="n"/>
      <c r="E52" s="35" t="n"/>
      <c r="F52" s="35" t="n"/>
      <c r="G52" s="33" t="n"/>
      <c r="H52" s="1">
        <f>IF(C52="",0,IF(OR(G52="",G52="Split"),(N(E52)-N(F52))*IFERROR(N(INDEX(Kids!$F$6:$F$11,MATCH(C52,Kids!$B$6:$B$11,0))),0),IF(G52="Save",(N(E52)-N(F52)),0)))</f>
        <v/>
      </c>
      <c r="I52">
        <f>IF(C52="",0,(N(E52)-N(F52))-H52-J52)</f>
        <v/>
      </c>
      <c r="J52">
        <f>IF(C52="",0,IF(OR(G52="",G52="Split"),(N(E52)-N(F52))*IFERROR(N(INDEX(Kids!$G$6:$G$11,MATCH(C52,Kids!$B$6:$B$11,0))),0),IF(G52="Give",(N(E52)-N(F52)),0)))</f>
        <v/>
      </c>
      <c r="K52">
        <f>IF(C52="",0,IF(OR(G52="",G52="Split"),N(E52)*IFERROR(N(INDEX(Kids!$F$6:$F$11,MATCH(C52,Kids!$B$6:$B$11,0))),0),IF(G52="Save",N(E52),0)))</f>
        <v/>
      </c>
    </row>
    <row r="53">
      <c r="A53" s="1" t="n"/>
      <c r="B53" s="34" t="n"/>
      <c r="C53" s="30" t="n"/>
      <c r="D53" s="31" t="n"/>
      <c r="E53" s="35" t="n"/>
      <c r="F53" s="35" t="n"/>
      <c r="G53" s="33" t="n"/>
      <c r="H53" s="1">
        <f>IF(C53="",0,IF(OR(G53="",G53="Split"),(N(E53)-N(F53))*IFERROR(N(INDEX(Kids!$F$6:$F$11,MATCH(C53,Kids!$B$6:$B$11,0))),0),IF(G53="Save",(N(E53)-N(F53)),0)))</f>
        <v/>
      </c>
      <c r="I53">
        <f>IF(C53="",0,(N(E53)-N(F53))-H53-J53)</f>
        <v/>
      </c>
      <c r="J53">
        <f>IF(C53="",0,IF(OR(G53="",G53="Split"),(N(E53)-N(F53))*IFERROR(N(INDEX(Kids!$G$6:$G$11,MATCH(C53,Kids!$B$6:$B$11,0))),0),IF(G53="Give",(N(E53)-N(F53)),0)))</f>
        <v/>
      </c>
      <c r="K53">
        <f>IF(C53="",0,IF(OR(G53="",G53="Split"),N(E53)*IFERROR(N(INDEX(Kids!$F$6:$F$11,MATCH(C53,Kids!$B$6:$B$11,0))),0),IF(G53="Save",N(E53),0)))</f>
        <v/>
      </c>
    </row>
    <row r="54">
      <c r="A54" s="1" t="n"/>
      <c r="B54" s="34" t="n"/>
      <c r="C54" s="30" t="n"/>
      <c r="D54" s="31" t="n"/>
      <c r="E54" s="35" t="n"/>
      <c r="F54" s="35" t="n"/>
      <c r="G54" s="33" t="n"/>
      <c r="H54" s="1">
        <f>IF(C54="",0,IF(OR(G54="",G54="Split"),(N(E54)-N(F54))*IFERROR(N(INDEX(Kids!$F$6:$F$11,MATCH(C54,Kids!$B$6:$B$11,0))),0),IF(G54="Save",(N(E54)-N(F54)),0)))</f>
        <v/>
      </c>
      <c r="I54">
        <f>IF(C54="",0,(N(E54)-N(F54))-H54-J54)</f>
        <v/>
      </c>
      <c r="J54">
        <f>IF(C54="",0,IF(OR(G54="",G54="Split"),(N(E54)-N(F54))*IFERROR(N(INDEX(Kids!$G$6:$G$11,MATCH(C54,Kids!$B$6:$B$11,0))),0),IF(G54="Give",(N(E54)-N(F54)),0)))</f>
        <v/>
      </c>
      <c r="K54">
        <f>IF(C54="",0,IF(OR(G54="",G54="Split"),N(E54)*IFERROR(N(INDEX(Kids!$F$6:$F$11,MATCH(C54,Kids!$B$6:$B$11,0))),0),IF(G54="Save",N(E54),0)))</f>
        <v/>
      </c>
    </row>
    <row r="55">
      <c r="A55" s="1" t="n"/>
      <c r="B55" s="34" t="n"/>
      <c r="C55" s="30" t="n"/>
      <c r="D55" s="31" t="n"/>
      <c r="E55" s="35" t="n"/>
      <c r="F55" s="35" t="n"/>
      <c r="G55" s="33" t="n"/>
      <c r="H55" s="1">
        <f>IF(C55="",0,IF(OR(G55="",G55="Split"),(N(E55)-N(F55))*IFERROR(N(INDEX(Kids!$F$6:$F$11,MATCH(C55,Kids!$B$6:$B$11,0))),0),IF(G55="Save",(N(E55)-N(F55)),0)))</f>
        <v/>
      </c>
      <c r="I55">
        <f>IF(C55="",0,(N(E55)-N(F55))-H55-J55)</f>
        <v/>
      </c>
      <c r="J55">
        <f>IF(C55="",0,IF(OR(G55="",G55="Split"),(N(E55)-N(F55))*IFERROR(N(INDEX(Kids!$G$6:$G$11,MATCH(C55,Kids!$B$6:$B$11,0))),0),IF(G55="Give",(N(E55)-N(F55)),0)))</f>
        <v/>
      </c>
      <c r="K55">
        <f>IF(C55="",0,IF(OR(G55="",G55="Split"),N(E55)*IFERROR(N(INDEX(Kids!$F$6:$F$11,MATCH(C55,Kids!$B$6:$B$11,0))),0),IF(G55="Save",N(E55),0)))</f>
        <v/>
      </c>
    </row>
    <row r="56">
      <c r="A56" s="1" t="n"/>
      <c r="B56" s="34" t="n"/>
      <c r="C56" s="30" t="n"/>
      <c r="D56" s="31" t="n"/>
      <c r="E56" s="35" t="n"/>
      <c r="F56" s="35" t="n"/>
      <c r="G56" s="33" t="n"/>
      <c r="H56" s="1">
        <f>IF(C56="",0,IF(OR(G56="",G56="Split"),(N(E56)-N(F56))*IFERROR(N(INDEX(Kids!$F$6:$F$11,MATCH(C56,Kids!$B$6:$B$11,0))),0),IF(G56="Save",(N(E56)-N(F56)),0)))</f>
        <v/>
      </c>
      <c r="I56">
        <f>IF(C56="",0,(N(E56)-N(F56))-H56-J56)</f>
        <v/>
      </c>
      <c r="J56">
        <f>IF(C56="",0,IF(OR(G56="",G56="Split"),(N(E56)-N(F56))*IFERROR(N(INDEX(Kids!$G$6:$G$11,MATCH(C56,Kids!$B$6:$B$11,0))),0),IF(G56="Give",(N(E56)-N(F56)),0)))</f>
        <v/>
      </c>
      <c r="K56">
        <f>IF(C56="",0,IF(OR(G56="",G56="Split"),N(E56)*IFERROR(N(INDEX(Kids!$F$6:$F$11,MATCH(C56,Kids!$B$6:$B$11,0))),0),IF(G56="Save",N(E56),0)))</f>
        <v/>
      </c>
    </row>
    <row r="57">
      <c r="A57" s="1" t="n"/>
      <c r="B57" s="34" t="n"/>
      <c r="C57" s="30" t="n"/>
      <c r="D57" s="31" t="n"/>
      <c r="E57" s="35" t="n"/>
      <c r="F57" s="35" t="n"/>
      <c r="G57" s="33" t="n"/>
      <c r="H57" s="1">
        <f>IF(C57="",0,IF(OR(G57="",G57="Split"),(N(E57)-N(F57))*IFERROR(N(INDEX(Kids!$F$6:$F$11,MATCH(C57,Kids!$B$6:$B$11,0))),0),IF(G57="Save",(N(E57)-N(F57)),0)))</f>
        <v/>
      </c>
      <c r="I57">
        <f>IF(C57="",0,(N(E57)-N(F57))-H57-J57)</f>
        <v/>
      </c>
      <c r="J57">
        <f>IF(C57="",0,IF(OR(G57="",G57="Split"),(N(E57)-N(F57))*IFERROR(N(INDEX(Kids!$G$6:$G$11,MATCH(C57,Kids!$B$6:$B$11,0))),0),IF(G57="Give",(N(E57)-N(F57)),0)))</f>
        <v/>
      </c>
      <c r="K57">
        <f>IF(C57="",0,IF(OR(G57="",G57="Split"),N(E57)*IFERROR(N(INDEX(Kids!$F$6:$F$11,MATCH(C57,Kids!$B$6:$B$11,0))),0),IF(G57="Save",N(E57),0)))</f>
        <v/>
      </c>
    </row>
    <row r="58">
      <c r="A58" s="1" t="n"/>
      <c r="B58" s="34" t="n"/>
      <c r="C58" s="30" t="n"/>
      <c r="D58" s="31" t="n"/>
      <c r="E58" s="35" t="n"/>
      <c r="F58" s="35" t="n"/>
      <c r="G58" s="33" t="n"/>
      <c r="H58" s="1">
        <f>IF(C58="",0,IF(OR(G58="",G58="Split"),(N(E58)-N(F58))*IFERROR(N(INDEX(Kids!$F$6:$F$11,MATCH(C58,Kids!$B$6:$B$11,0))),0),IF(G58="Save",(N(E58)-N(F58)),0)))</f>
        <v/>
      </c>
      <c r="I58">
        <f>IF(C58="",0,(N(E58)-N(F58))-H58-J58)</f>
        <v/>
      </c>
      <c r="J58">
        <f>IF(C58="",0,IF(OR(G58="",G58="Split"),(N(E58)-N(F58))*IFERROR(N(INDEX(Kids!$G$6:$G$11,MATCH(C58,Kids!$B$6:$B$11,0))),0),IF(G58="Give",(N(E58)-N(F58)),0)))</f>
        <v/>
      </c>
      <c r="K58">
        <f>IF(C58="",0,IF(OR(G58="",G58="Split"),N(E58)*IFERROR(N(INDEX(Kids!$F$6:$F$11,MATCH(C58,Kids!$B$6:$B$11,0))),0),IF(G58="Save",N(E58),0)))</f>
        <v/>
      </c>
    </row>
    <row r="59">
      <c r="A59" s="1" t="n"/>
      <c r="B59" s="34" t="n"/>
      <c r="C59" s="30" t="n"/>
      <c r="D59" s="31" t="n"/>
      <c r="E59" s="35" t="n"/>
      <c r="F59" s="35" t="n"/>
      <c r="G59" s="33" t="n"/>
      <c r="H59" s="1">
        <f>IF(C59="",0,IF(OR(G59="",G59="Split"),(N(E59)-N(F59))*IFERROR(N(INDEX(Kids!$F$6:$F$11,MATCH(C59,Kids!$B$6:$B$11,0))),0),IF(G59="Save",(N(E59)-N(F59)),0)))</f>
        <v/>
      </c>
      <c r="I59">
        <f>IF(C59="",0,(N(E59)-N(F59))-H59-J59)</f>
        <v/>
      </c>
      <c r="J59">
        <f>IF(C59="",0,IF(OR(G59="",G59="Split"),(N(E59)-N(F59))*IFERROR(N(INDEX(Kids!$G$6:$G$11,MATCH(C59,Kids!$B$6:$B$11,0))),0),IF(G59="Give",(N(E59)-N(F59)),0)))</f>
        <v/>
      </c>
      <c r="K59">
        <f>IF(C59="",0,IF(OR(G59="",G59="Split"),N(E59)*IFERROR(N(INDEX(Kids!$F$6:$F$11,MATCH(C59,Kids!$B$6:$B$11,0))),0),IF(G59="Save",N(E59),0)))</f>
        <v/>
      </c>
    </row>
    <row r="60">
      <c r="A60" s="1" t="n"/>
      <c r="B60" s="34" t="n"/>
      <c r="C60" s="30" t="n"/>
      <c r="D60" s="31" t="n"/>
      <c r="E60" s="35" t="n"/>
      <c r="F60" s="35" t="n"/>
      <c r="G60" s="33" t="n"/>
      <c r="H60" s="1">
        <f>IF(C60="",0,IF(OR(G60="",G60="Split"),(N(E60)-N(F60))*IFERROR(N(INDEX(Kids!$F$6:$F$11,MATCH(C60,Kids!$B$6:$B$11,0))),0),IF(G60="Save",(N(E60)-N(F60)),0)))</f>
        <v/>
      </c>
      <c r="I60">
        <f>IF(C60="",0,(N(E60)-N(F60))-H60-J60)</f>
        <v/>
      </c>
      <c r="J60">
        <f>IF(C60="",0,IF(OR(G60="",G60="Split"),(N(E60)-N(F60))*IFERROR(N(INDEX(Kids!$G$6:$G$11,MATCH(C60,Kids!$B$6:$B$11,0))),0),IF(G60="Give",(N(E60)-N(F60)),0)))</f>
        <v/>
      </c>
      <c r="K60">
        <f>IF(C60="",0,IF(OR(G60="",G60="Split"),N(E60)*IFERROR(N(INDEX(Kids!$F$6:$F$11,MATCH(C60,Kids!$B$6:$B$11,0))),0),IF(G60="Save",N(E60),0)))</f>
        <v/>
      </c>
    </row>
    <row r="61">
      <c r="A61" s="1" t="n"/>
      <c r="B61" s="34" t="n"/>
      <c r="C61" s="30" t="n"/>
      <c r="D61" s="31" t="n"/>
      <c r="E61" s="35" t="n"/>
      <c r="F61" s="35" t="n"/>
      <c r="G61" s="33" t="n"/>
      <c r="H61" s="1">
        <f>IF(C61="",0,IF(OR(G61="",G61="Split"),(N(E61)-N(F61))*IFERROR(N(INDEX(Kids!$F$6:$F$11,MATCH(C61,Kids!$B$6:$B$11,0))),0),IF(G61="Save",(N(E61)-N(F61)),0)))</f>
        <v/>
      </c>
      <c r="I61">
        <f>IF(C61="",0,(N(E61)-N(F61))-H61-J61)</f>
        <v/>
      </c>
      <c r="J61">
        <f>IF(C61="",0,IF(OR(G61="",G61="Split"),(N(E61)-N(F61))*IFERROR(N(INDEX(Kids!$G$6:$G$11,MATCH(C61,Kids!$B$6:$B$11,0))),0),IF(G61="Give",(N(E61)-N(F61)),0)))</f>
        <v/>
      </c>
      <c r="K61">
        <f>IF(C61="",0,IF(OR(G61="",G61="Split"),N(E61)*IFERROR(N(INDEX(Kids!$F$6:$F$11,MATCH(C61,Kids!$B$6:$B$11,0))),0),IF(G61="Save",N(E61),0)))</f>
        <v/>
      </c>
    </row>
    <row r="62">
      <c r="A62" s="1" t="n"/>
      <c r="B62" s="34" t="n"/>
      <c r="C62" s="30" t="n"/>
      <c r="D62" s="31" t="n"/>
      <c r="E62" s="35" t="n"/>
      <c r="F62" s="35" t="n"/>
      <c r="G62" s="33" t="n"/>
      <c r="H62" s="1">
        <f>IF(C62="",0,IF(OR(G62="",G62="Split"),(N(E62)-N(F62))*IFERROR(N(INDEX(Kids!$F$6:$F$11,MATCH(C62,Kids!$B$6:$B$11,0))),0),IF(G62="Save",(N(E62)-N(F62)),0)))</f>
        <v/>
      </c>
      <c r="I62">
        <f>IF(C62="",0,(N(E62)-N(F62))-H62-J62)</f>
        <v/>
      </c>
      <c r="J62">
        <f>IF(C62="",0,IF(OR(G62="",G62="Split"),(N(E62)-N(F62))*IFERROR(N(INDEX(Kids!$G$6:$G$11,MATCH(C62,Kids!$B$6:$B$11,0))),0),IF(G62="Give",(N(E62)-N(F62)),0)))</f>
        <v/>
      </c>
      <c r="K62">
        <f>IF(C62="",0,IF(OR(G62="",G62="Split"),N(E62)*IFERROR(N(INDEX(Kids!$F$6:$F$11,MATCH(C62,Kids!$B$6:$B$11,0))),0),IF(G62="Save",N(E62),0)))</f>
        <v/>
      </c>
    </row>
    <row r="63">
      <c r="A63" s="1" t="n"/>
      <c r="B63" s="34" t="n"/>
      <c r="C63" s="30" t="n"/>
      <c r="D63" s="31" t="n"/>
      <c r="E63" s="35" t="n"/>
      <c r="F63" s="35" t="n"/>
      <c r="G63" s="33" t="n"/>
      <c r="H63" s="1">
        <f>IF(C63="",0,IF(OR(G63="",G63="Split"),(N(E63)-N(F63))*IFERROR(N(INDEX(Kids!$F$6:$F$11,MATCH(C63,Kids!$B$6:$B$11,0))),0),IF(G63="Save",(N(E63)-N(F63)),0)))</f>
        <v/>
      </c>
      <c r="I63">
        <f>IF(C63="",0,(N(E63)-N(F63))-H63-J63)</f>
        <v/>
      </c>
      <c r="J63">
        <f>IF(C63="",0,IF(OR(G63="",G63="Split"),(N(E63)-N(F63))*IFERROR(N(INDEX(Kids!$G$6:$G$11,MATCH(C63,Kids!$B$6:$B$11,0))),0),IF(G63="Give",(N(E63)-N(F63)),0)))</f>
        <v/>
      </c>
      <c r="K63">
        <f>IF(C63="",0,IF(OR(G63="",G63="Split"),N(E63)*IFERROR(N(INDEX(Kids!$F$6:$F$11,MATCH(C63,Kids!$B$6:$B$11,0))),0),IF(G63="Save",N(E63),0)))</f>
        <v/>
      </c>
    </row>
    <row r="64">
      <c r="A64" s="1" t="n"/>
      <c r="B64" s="34" t="n"/>
      <c r="C64" s="30" t="n"/>
      <c r="D64" s="31" t="n"/>
      <c r="E64" s="35" t="n"/>
      <c r="F64" s="35" t="n"/>
      <c r="G64" s="33" t="n"/>
      <c r="H64" s="1">
        <f>IF(C64="",0,IF(OR(G64="",G64="Split"),(N(E64)-N(F64))*IFERROR(N(INDEX(Kids!$F$6:$F$11,MATCH(C64,Kids!$B$6:$B$11,0))),0),IF(G64="Save",(N(E64)-N(F64)),0)))</f>
        <v/>
      </c>
      <c r="I64">
        <f>IF(C64="",0,(N(E64)-N(F64))-H64-J64)</f>
        <v/>
      </c>
      <c r="J64">
        <f>IF(C64="",0,IF(OR(G64="",G64="Split"),(N(E64)-N(F64))*IFERROR(N(INDEX(Kids!$G$6:$G$11,MATCH(C64,Kids!$B$6:$B$11,0))),0),IF(G64="Give",(N(E64)-N(F64)),0)))</f>
        <v/>
      </c>
      <c r="K64">
        <f>IF(C64="",0,IF(OR(G64="",G64="Split"),N(E64)*IFERROR(N(INDEX(Kids!$F$6:$F$11,MATCH(C64,Kids!$B$6:$B$11,0))),0),IF(G64="Save",N(E64),0)))</f>
        <v/>
      </c>
    </row>
    <row r="65">
      <c r="A65" s="1" t="n"/>
      <c r="B65" s="34" t="n"/>
      <c r="C65" s="30" t="n"/>
      <c r="D65" s="31" t="n"/>
      <c r="E65" s="35" t="n"/>
      <c r="F65" s="35" t="n"/>
      <c r="G65" s="33" t="n"/>
      <c r="H65" s="1">
        <f>IF(C65="",0,IF(OR(G65="",G65="Split"),(N(E65)-N(F65))*IFERROR(N(INDEX(Kids!$F$6:$F$11,MATCH(C65,Kids!$B$6:$B$11,0))),0),IF(G65="Save",(N(E65)-N(F65)),0)))</f>
        <v/>
      </c>
      <c r="I65">
        <f>IF(C65="",0,(N(E65)-N(F65))-H65-J65)</f>
        <v/>
      </c>
      <c r="J65">
        <f>IF(C65="",0,IF(OR(G65="",G65="Split"),(N(E65)-N(F65))*IFERROR(N(INDEX(Kids!$G$6:$G$11,MATCH(C65,Kids!$B$6:$B$11,0))),0),IF(G65="Give",(N(E65)-N(F65)),0)))</f>
        <v/>
      </c>
      <c r="K65">
        <f>IF(C65="",0,IF(OR(G65="",G65="Split"),N(E65)*IFERROR(N(INDEX(Kids!$F$6:$F$11,MATCH(C65,Kids!$B$6:$B$11,0))),0),IF(G65="Save",N(E65),0)))</f>
        <v/>
      </c>
    </row>
    <row r="66">
      <c r="A66" s="1" t="n"/>
      <c r="B66" s="34" t="n"/>
      <c r="C66" s="30" t="n"/>
      <c r="D66" s="31" t="n"/>
      <c r="E66" s="35" t="n"/>
      <c r="F66" s="35" t="n"/>
      <c r="G66" s="33" t="n"/>
      <c r="H66" s="1">
        <f>IF(C66="",0,IF(OR(G66="",G66="Split"),(N(E66)-N(F66))*IFERROR(N(INDEX(Kids!$F$6:$F$11,MATCH(C66,Kids!$B$6:$B$11,0))),0),IF(G66="Save",(N(E66)-N(F66)),0)))</f>
        <v/>
      </c>
      <c r="I66">
        <f>IF(C66="",0,(N(E66)-N(F66))-H66-J66)</f>
        <v/>
      </c>
      <c r="J66">
        <f>IF(C66="",0,IF(OR(G66="",G66="Split"),(N(E66)-N(F66))*IFERROR(N(INDEX(Kids!$G$6:$G$11,MATCH(C66,Kids!$B$6:$B$11,0))),0),IF(G66="Give",(N(E66)-N(F66)),0)))</f>
        <v/>
      </c>
      <c r="K66">
        <f>IF(C66="",0,IF(OR(G66="",G66="Split"),N(E66)*IFERROR(N(INDEX(Kids!$F$6:$F$11,MATCH(C66,Kids!$B$6:$B$11,0))),0),IF(G66="Save",N(E66),0)))</f>
        <v/>
      </c>
    </row>
    <row r="67">
      <c r="A67" s="1" t="n"/>
      <c r="B67" s="34" t="n"/>
      <c r="C67" s="30" t="n"/>
      <c r="D67" s="31" t="n"/>
      <c r="E67" s="35" t="n"/>
      <c r="F67" s="35" t="n"/>
      <c r="G67" s="33" t="n"/>
      <c r="H67" s="1">
        <f>IF(C67="",0,IF(OR(G67="",G67="Split"),(N(E67)-N(F67))*IFERROR(N(INDEX(Kids!$F$6:$F$11,MATCH(C67,Kids!$B$6:$B$11,0))),0),IF(G67="Save",(N(E67)-N(F67)),0)))</f>
        <v/>
      </c>
      <c r="I67">
        <f>IF(C67="",0,(N(E67)-N(F67))-H67-J67)</f>
        <v/>
      </c>
      <c r="J67">
        <f>IF(C67="",0,IF(OR(G67="",G67="Split"),(N(E67)-N(F67))*IFERROR(N(INDEX(Kids!$G$6:$G$11,MATCH(C67,Kids!$B$6:$B$11,0))),0),IF(G67="Give",(N(E67)-N(F67)),0)))</f>
        <v/>
      </c>
      <c r="K67">
        <f>IF(C67="",0,IF(OR(G67="",G67="Split"),N(E67)*IFERROR(N(INDEX(Kids!$F$6:$F$11,MATCH(C67,Kids!$B$6:$B$11,0))),0),IF(G67="Save",N(E67),0)))</f>
        <v/>
      </c>
    </row>
    <row r="68">
      <c r="A68" s="1" t="n"/>
      <c r="B68" s="34" t="n"/>
      <c r="C68" s="30" t="n"/>
      <c r="D68" s="31" t="n"/>
      <c r="E68" s="35" t="n"/>
      <c r="F68" s="35" t="n"/>
      <c r="G68" s="33" t="n"/>
      <c r="H68" s="1">
        <f>IF(C68="",0,IF(OR(G68="",G68="Split"),(N(E68)-N(F68))*IFERROR(N(INDEX(Kids!$F$6:$F$11,MATCH(C68,Kids!$B$6:$B$11,0))),0),IF(G68="Save",(N(E68)-N(F68)),0)))</f>
        <v/>
      </c>
      <c r="I68">
        <f>IF(C68="",0,(N(E68)-N(F68))-H68-J68)</f>
        <v/>
      </c>
      <c r="J68">
        <f>IF(C68="",0,IF(OR(G68="",G68="Split"),(N(E68)-N(F68))*IFERROR(N(INDEX(Kids!$G$6:$G$11,MATCH(C68,Kids!$B$6:$B$11,0))),0),IF(G68="Give",(N(E68)-N(F68)),0)))</f>
        <v/>
      </c>
      <c r="K68">
        <f>IF(C68="",0,IF(OR(G68="",G68="Split"),N(E68)*IFERROR(N(INDEX(Kids!$F$6:$F$11,MATCH(C68,Kids!$B$6:$B$11,0))),0),IF(G68="Save",N(E68),0)))</f>
        <v/>
      </c>
    </row>
    <row r="69">
      <c r="A69" s="1" t="n"/>
      <c r="B69" s="34" t="n"/>
      <c r="C69" s="30" t="n"/>
      <c r="D69" s="31" t="n"/>
      <c r="E69" s="35" t="n"/>
      <c r="F69" s="35" t="n"/>
      <c r="G69" s="33" t="n"/>
      <c r="H69" s="1">
        <f>IF(C69="",0,IF(OR(G69="",G69="Split"),(N(E69)-N(F69))*IFERROR(N(INDEX(Kids!$F$6:$F$11,MATCH(C69,Kids!$B$6:$B$11,0))),0),IF(G69="Save",(N(E69)-N(F69)),0)))</f>
        <v/>
      </c>
      <c r="I69">
        <f>IF(C69="",0,(N(E69)-N(F69))-H69-J69)</f>
        <v/>
      </c>
      <c r="J69">
        <f>IF(C69="",0,IF(OR(G69="",G69="Split"),(N(E69)-N(F69))*IFERROR(N(INDEX(Kids!$G$6:$G$11,MATCH(C69,Kids!$B$6:$B$11,0))),0),IF(G69="Give",(N(E69)-N(F69)),0)))</f>
        <v/>
      </c>
      <c r="K69">
        <f>IF(C69="",0,IF(OR(G69="",G69="Split"),N(E69)*IFERROR(N(INDEX(Kids!$F$6:$F$11,MATCH(C69,Kids!$B$6:$B$11,0))),0),IF(G69="Save",N(E69),0)))</f>
        <v/>
      </c>
    </row>
    <row r="70">
      <c r="A70" s="1" t="n"/>
      <c r="B70" s="34" t="n"/>
      <c r="C70" s="30" t="n"/>
      <c r="D70" s="31" t="n"/>
      <c r="E70" s="35" t="n"/>
      <c r="F70" s="35" t="n"/>
      <c r="G70" s="33" t="n"/>
      <c r="H70" s="1">
        <f>IF(C70="",0,IF(OR(G70="",G70="Split"),(N(E70)-N(F70))*IFERROR(N(INDEX(Kids!$F$6:$F$11,MATCH(C70,Kids!$B$6:$B$11,0))),0),IF(G70="Save",(N(E70)-N(F70)),0)))</f>
        <v/>
      </c>
      <c r="I70">
        <f>IF(C70="",0,(N(E70)-N(F70))-H70-J70)</f>
        <v/>
      </c>
      <c r="J70">
        <f>IF(C70="",0,IF(OR(G70="",G70="Split"),(N(E70)-N(F70))*IFERROR(N(INDEX(Kids!$G$6:$G$11,MATCH(C70,Kids!$B$6:$B$11,0))),0),IF(G70="Give",(N(E70)-N(F70)),0)))</f>
        <v/>
      </c>
      <c r="K70">
        <f>IF(C70="",0,IF(OR(G70="",G70="Split"),N(E70)*IFERROR(N(INDEX(Kids!$F$6:$F$11,MATCH(C70,Kids!$B$6:$B$11,0))),0),IF(G70="Save",N(E70),0)))</f>
        <v/>
      </c>
    </row>
    <row r="71">
      <c r="A71" s="1" t="n"/>
      <c r="B71" s="34" t="n"/>
      <c r="C71" s="30" t="n"/>
      <c r="D71" s="31" t="n"/>
      <c r="E71" s="35" t="n"/>
      <c r="F71" s="35" t="n"/>
      <c r="G71" s="33" t="n"/>
      <c r="H71" s="1">
        <f>IF(C71="",0,IF(OR(G71="",G71="Split"),(N(E71)-N(F71))*IFERROR(N(INDEX(Kids!$F$6:$F$11,MATCH(C71,Kids!$B$6:$B$11,0))),0),IF(G71="Save",(N(E71)-N(F71)),0)))</f>
        <v/>
      </c>
      <c r="I71">
        <f>IF(C71="",0,(N(E71)-N(F71))-H71-J71)</f>
        <v/>
      </c>
      <c r="J71">
        <f>IF(C71="",0,IF(OR(G71="",G71="Split"),(N(E71)-N(F71))*IFERROR(N(INDEX(Kids!$G$6:$G$11,MATCH(C71,Kids!$B$6:$B$11,0))),0),IF(G71="Give",(N(E71)-N(F71)),0)))</f>
        <v/>
      </c>
      <c r="K71">
        <f>IF(C71="",0,IF(OR(G71="",G71="Split"),N(E71)*IFERROR(N(INDEX(Kids!$F$6:$F$11,MATCH(C71,Kids!$B$6:$B$11,0))),0),IF(G71="Save",N(E71),0)))</f>
        <v/>
      </c>
    </row>
    <row r="72">
      <c r="A72" s="1" t="n"/>
      <c r="B72" s="34" t="n"/>
      <c r="C72" s="30" t="n"/>
      <c r="D72" s="31" t="n"/>
      <c r="E72" s="35" t="n"/>
      <c r="F72" s="35" t="n"/>
      <c r="G72" s="33" t="n"/>
      <c r="H72" s="1">
        <f>IF(C72="",0,IF(OR(G72="",G72="Split"),(N(E72)-N(F72))*IFERROR(N(INDEX(Kids!$F$6:$F$11,MATCH(C72,Kids!$B$6:$B$11,0))),0),IF(G72="Save",(N(E72)-N(F72)),0)))</f>
        <v/>
      </c>
      <c r="I72">
        <f>IF(C72="",0,(N(E72)-N(F72))-H72-J72)</f>
        <v/>
      </c>
      <c r="J72">
        <f>IF(C72="",0,IF(OR(G72="",G72="Split"),(N(E72)-N(F72))*IFERROR(N(INDEX(Kids!$G$6:$G$11,MATCH(C72,Kids!$B$6:$B$11,0))),0),IF(G72="Give",(N(E72)-N(F72)),0)))</f>
        <v/>
      </c>
      <c r="K72">
        <f>IF(C72="",0,IF(OR(G72="",G72="Split"),N(E72)*IFERROR(N(INDEX(Kids!$F$6:$F$11,MATCH(C72,Kids!$B$6:$B$11,0))),0),IF(G72="Save",N(E72),0)))</f>
        <v/>
      </c>
    </row>
    <row r="73">
      <c r="A73" s="1" t="n"/>
      <c r="B73" s="34" t="n"/>
      <c r="C73" s="30" t="n"/>
      <c r="D73" s="31" t="n"/>
      <c r="E73" s="35" t="n"/>
      <c r="F73" s="35" t="n"/>
      <c r="G73" s="33" t="n"/>
      <c r="H73" s="1">
        <f>IF(C73="",0,IF(OR(G73="",G73="Split"),(N(E73)-N(F73))*IFERROR(N(INDEX(Kids!$F$6:$F$11,MATCH(C73,Kids!$B$6:$B$11,0))),0),IF(G73="Save",(N(E73)-N(F73)),0)))</f>
        <v/>
      </c>
      <c r="I73">
        <f>IF(C73="",0,(N(E73)-N(F73))-H73-J73)</f>
        <v/>
      </c>
      <c r="J73">
        <f>IF(C73="",0,IF(OR(G73="",G73="Split"),(N(E73)-N(F73))*IFERROR(N(INDEX(Kids!$G$6:$G$11,MATCH(C73,Kids!$B$6:$B$11,0))),0),IF(G73="Give",(N(E73)-N(F73)),0)))</f>
        <v/>
      </c>
      <c r="K73">
        <f>IF(C73="",0,IF(OR(G73="",G73="Split"),N(E73)*IFERROR(N(INDEX(Kids!$F$6:$F$11,MATCH(C73,Kids!$B$6:$B$11,0))),0),IF(G73="Save",N(E73),0)))</f>
        <v/>
      </c>
    </row>
    <row r="74">
      <c r="A74" s="1" t="n"/>
      <c r="B74" s="34" t="n"/>
      <c r="C74" s="30" t="n"/>
      <c r="D74" s="31" t="n"/>
      <c r="E74" s="35" t="n"/>
      <c r="F74" s="35" t="n"/>
      <c r="G74" s="33" t="n"/>
      <c r="H74" s="1">
        <f>IF(C74="",0,IF(OR(G74="",G74="Split"),(N(E74)-N(F74))*IFERROR(N(INDEX(Kids!$F$6:$F$11,MATCH(C74,Kids!$B$6:$B$11,0))),0),IF(G74="Save",(N(E74)-N(F74)),0)))</f>
        <v/>
      </c>
      <c r="I74">
        <f>IF(C74="",0,(N(E74)-N(F74))-H74-J74)</f>
        <v/>
      </c>
      <c r="J74">
        <f>IF(C74="",0,IF(OR(G74="",G74="Split"),(N(E74)-N(F74))*IFERROR(N(INDEX(Kids!$G$6:$G$11,MATCH(C74,Kids!$B$6:$B$11,0))),0),IF(G74="Give",(N(E74)-N(F74)),0)))</f>
        <v/>
      </c>
      <c r="K74">
        <f>IF(C74="",0,IF(OR(G74="",G74="Split"),N(E74)*IFERROR(N(INDEX(Kids!$F$6:$F$11,MATCH(C74,Kids!$B$6:$B$11,0))),0),IF(G74="Save",N(E74),0)))</f>
        <v/>
      </c>
    </row>
    <row r="75">
      <c r="A75" s="1" t="n"/>
      <c r="B75" s="34" t="n"/>
      <c r="C75" s="30" t="n"/>
      <c r="D75" s="31" t="n"/>
      <c r="E75" s="35" t="n"/>
      <c r="F75" s="35" t="n"/>
      <c r="G75" s="33" t="n"/>
      <c r="H75" s="1">
        <f>IF(C75="",0,IF(OR(G75="",G75="Split"),(N(E75)-N(F75))*IFERROR(N(INDEX(Kids!$F$6:$F$11,MATCH(C75,Kids!$B$6:$B$11,0))),0),IF(G75="Save",(N(E75)-N(F75)),0)))</f>
        <v/>
      </c>
      <c r="I75">
        <f>IF(C75="",0,(N(E75)-N(F75))-H75-J75)</f>
        <v/>
      </c>
      <c r="J75">
        <f>IF(C75="",0,IF(OR(G75="",G75="Split"),(N(E75)-N(F75))*IFERROR(N(INDEX(Kids!$G$6:$G$11,MATCH(C75,Kids!$B$6:$B$11,0))),0),IF(G75="Give",(N(E75)-N(F75)),0)))</f>
        <v/>
      </c>
      <c r="K75">
        <f>IF(C75="",0,IF(OR(G75="",G75="Split"),N(E75)*IFERROR(N(INDEX(Kids!$F$6:$F$11,MATCH(C75,Kids!$B$6:$B$11,0))),0),IF(G75="Save",N(E75),0)))</f>
        <v/>
      </c>
    </row>
    <row r="76">
      <c r="A76" s="1" t="n"/>
      <c r="B76" s="34" t="n"/>
      <c r="C76" s="30" t="n"/>
      <c r="D76" s="31" t="n"/>
      <c r="E76" s="35" t="n"/>
      <c r="F76" s="35" t="n"/>
      <c r="G76" s="33" t="n"/>
      <c r="H76" s="1">
        <f>IF(C76="",0,IF(OR(G76="",G76="Split"),(N(E76)-N(F76))*IFERROR(N(INDEX(Kids!$F$6:$F$11,MATCH(C76,Kids!$B$6:$B$11,0))),0),IF(G76="Save",(N(E76)-N(F76)),0)))</f>
        <v/>
      </c>
      <c r="I76">
        <f>IF(C76="",0,(N(E76)-N(F76))-H76-J76)</f>
        <v/>
      </c>
      <c r="J76">
        <f>IF(C76="",0,IF(OR(G76="",G76="Split"),(N(E76)-N(F76))*IFERROR(N(INDEX(Kids!$G$6:$G$11,MATCH(C76,Kids!$B$6:$B$11,0))),0),IF(G76="Give",(N(E76)-N(F76)),0)))</f>
        <v/>
      </c>
      <c r="K76">
        <f>IF(C76="",0,IF(OR(G76="",G76="Split"),N(E76)*IFERROR(N(INDEX(Kids!$F$6:$F$11,MATCH(C76,Kids!$B$6:$B$11,0))),0),IF(G76="Save",N(E76),0)))</f>
        <v/>
      </c>
    </row>
    <row r="77">
      <c r="A77" s="1" t="n"/>
      <c r="B77" s="34" t="n"/>
      <c r="C77" s="30" t="n"/>
      <c r="D77" s="31" t="n"/>
      <c r="E77" s="35" t="n"/>
      <c r="F77" s="35" t="n"/>
      <c r="G77" s="33" t="n"/>
      <c r="H77" s="1">
        <f>IF(C77="",0,IF(OR(G77="",G77="Split"),(N(E77)-N(F77))*IFERROR(N(INDEX(Kids!$F$6:$F$11,MATCH(C77,Kids!$B$6:$B$11,0))),0),IF(G77="Save",(N(E77)-N(F77)),0)))</f>
        <v/>
      </c>
      <c r="I77">
        <f>IF(C77="",0,(N(E77)-N(F77))-H77-J77)</f>
        <v/>
      </c>
      <c r="J77">
        <f>IF(C77="",0,IF(OR(G77="",G77="Split"),(N(E77)-N(F77))*IFERROR(N(INDEX(Kids!$G$6:$G$11,MATCH(C77,Kids!$B$6:$B$11,0))),0),IF(G77="Give",(N(E77)-N(F77)),0)))</f>
        <v/>
      </c>
      <c r="K77">
        <f>IF(C77="",0,IF(OR(G77="",G77="Split"),N(E77)*IFERROR(N(INDEX(Kids!$F$6:$F$11,MATCH(C77,Kids!$B$6:$B$11,0))),0),IF(G77="Save",N(E77),0)))</f>
        <v/>
      </c>
    </row>
    <row r="78">
      <c r="A78" s="1" t="n"/>
      <c r="B78" s="34" t="n"/>
      <c r="C78" s="30" t="n"/>
      <c r="D78" s="31" t="n"/>
      <c r="E78" s="35" t="n"/>
      <c r="F78" s="35" t="n"/>
      <c r="G78" s="33" t="n"/>
      <c r="H78" s="1">
        <f>IF(C78="",0,IF(OR(G78="",G78="Split"),(N(E78)-N(F78))*IFERROR(N(INDEX(Kids!$F$6:$F$11,MATCH(C78,Kids!$B$6:$B$11,0))),0),IF(G78="Save",(N(E78)-N(F78)),0)))</f>
        <v/>
      </c>
      <c r="I78">
        <f>IF(C78="",0,(N(E78)-N(F78))-H78-J78)</f>
        <v/>
      </c>
      <c r="J78">
        <f>IF(C78="",0,IF(OR(G78="",G78="Split"),(N(E78)-N(F78))*IFERROR(N(INDEX(Kids!$G$6:$G$11,MATCH(C78,Kids!$B$6:$B$11,0))),0),IF(G78="Give",(N(E78)-N(F78)),0)))</f>
        <v/>
      </c>
      <c r="K78">
        <f>IF(C78="",0,IF(OR(G78="",G78="Split"),N(E78)*IFERROR(N(INDEX(Kids!$F$6:$F$11,MATCH(C78,Kids!$B$6:$B$11,0))),0),IF(G78="Save",N(E78),0)))</f>
        <v/>
      </c>
    </row>
    <row r="79">
      <c r="A79" s="1" t="n"/>
      <c r="B79" s="34" t="n"/>
      <c r="C79" s="30" t="n"/>
      <c r="D79" s="31" t="n"/>
      <c r="E79" s="35" t="n"/>
      <c r="F79" s="35" t="n"/>
      <c r="G79" s="33" t="n"/>
      <c r="H79" s="1">
        <f>IF(C79="",0,IF(OR(G79="",G79="Split"),(N(E79)-N(F79))*IFERROR(N(INDEX(Kids!$F$6:$F$11,MATCH(C79,Kids!$B$6:$B$11,0))),0),IF(G79="Save",(N(E79)-N(F79)),0)))</f>
        <v/>
      </c>
      <c r="I79">
        <f>IF(C79="",0,(N(E79)-N(F79))-H79-J79)</f>
        <v/>
      </c>
      <c r="J79">
        <f>IF(C79="",0,IF(OR(G79="",G79="Split"),(N(E79)-N(F79))*IFERROR(N(INDEX(Kids!$G$6:$G$11,MATCH(C79,Kids!$B$6:$B$11,0))),0),IF(G79="Give",(N(E79)-N(F79)),0)))</f>
        <v/>
      </c>
      <c r="K79">
        <f>IF(C79="",0,IF(OR(G79="",G79="Split"),N(E79)*IFERROR(N(INDEX(Kids!$F$6:$F$11,MATCH(C79,Kids!$B$6:$B$11,0))),0),IF(G79="Save",N(E79),0)))</f>
        <v/>
      </c>
    </row>
    <row r="80">
      <c r="A80" s="1" t="n"/>
      <c r="B80" s="34" t="n"/>
      <c r="C80" s="30" t="n"/>
      <c r="D80" s="31" t="n"/>
      <c r="E80" s="35" t="n"/>
      <c r="F80" s="35" t="n"/>
      <c r="G80" s="33" t="n"/>
      <c r="H80" s="1">
        <f>IF(C80="",0,IF(OR(G80="",G80="Split"),(N(E80)-N(F80))*IFERROR(N(INDEX(Kids!$F$6:$F$11,MATCH(C80,Kids!$B$6:$B$11,0))),0),IF(G80="Save",(N(E80)-N(F80)),0)))</f>
        <v/>
      </c>
      <c r="I80">
        <f>IF(C80="",0,(N(E80)-N(F80))-H80-J80)</f>
        <v/>
      </c>
      <c r="J80">
        <f>IF(C80="",0,IF(OR(G80="",G80="Split"),(N(E80)-N(F80))*IFERROR(N(INDEX(Kids!$G$6:$G$11,MATCH(C80,Kids!$B$6:$B$11,0))),0),IF(G80="Give",(N(E80)-N(F80)),0)))</f>
        <v/>
      </c>
      <c r="K80">
        <f>IF(C80="",0,IF(OR(G80="",G80="Split"),N(E80)*IFERROR(N(INDEX(Kids!$F$6:$F$11,MATCH(C80,Kids!$B$6:$B$11,0))),0),IF(G80="Save",N(E80),0)))</f>
        <v/>
      </c>
    </row>
    <row r="81">
      <c r="A81" s="1" t="n"/>
      <c r="B81" s="34" t="n"/>
      <c r="C81" s="30" t="n"/>
      <c r="D81" s="31" t="n"/>
      <c r="E81" s="35" t="n"/>
      <c r="F81" s="35" t="n"/>
      <c r="G81" s="33" t="n"/>
      <c r="H81" s="1">
        <f>IF(C81="",0,IF(OR(G81="",G81="Split"),(N(E81)-N(F81))*IFERROR(N(INDEX(Kids!$F$6:$F$11,MATCH(C81,Kids!$B$6:$B$11,0))),0),IF(G81="Save",(N(E81)-N(F81)),0)))</f>
        <v/>
      </c>
      <c r="I81">
        <f>IF(C81="",0,(N(E81)-N(F81))-H81-J81)</f>
        <v/>
      </c>
      <c r="J81">
        <f>IF(C81="",0,IF(OR(G81="",G81="Split"),(N(E81)-N(F81))*IFERROR(N(INDEX(Kids!$G$6:$G$11,MATCH(C81,Kids!$B$6:$B$11,0))),0),IF(G81="Give",(N(E81)-N(F81)),0)))</f>
        <v/>
      </c>
      <c r="K81">
        <f>IF(C81="",0,IF(OR(G81="",G81="Split"),N(E81)*IFERROR(N(INDEX(Kids!$F$6:$F$11,MATCH(C81,Kids!$B$6:$B$11,0))),0),IF(G81="Save",N(E81),0)))</f>
        <v/>
      </c>
    </row>
    <row r="82">
      <c r="A82" s="1" t="n"/>
      <c r="B82" s="34" t="n"/>
      <c r="C82" s="30" t="n"/>
      <c r="D82" s="31" t="n"/>
      <c r="E82" s="35" t="n"/>
      <c r="F82" s="35" t="n"/>
      <c r="G82" s="33" t="n"/>
      <c r="H82" s="1">
        <f>IF(C82="",0,IF(OR(G82="",G82="Split"),(N(E82)-N(F82))*IFERROR(N(INDEX(Kids!$F$6:$F$11,MATCH(C82,Kids!$B$6:$B$11,0))),0),IF(G82="Save",(N(E82)-N(F82)),0)))</f>
        <v/>
      </c>
      <c r="I82">
        <f>IF(C82="",0,(N(E82)-N(F82))-H82-J82)</f>
        <v/>
      </c>
      <c r="J82">
        <f>IF(C82="",0,IF(OR(G82="",G82="Split"),(N(E82)-N(F82))*IFERROR(N(INDEX(Kids!$G$6:$G$11,MATCH(C82,Kids!$B$6:$B$11,0))),0),IF(G82="Give",(N(E82)-N(F82)),0)))</f>
        <v/>
      </c>
      <c r="K82">
        <f>IF(C82="",0,IF(OR(G82="",G82="Split"),N(E82)*IFERROR(N(INDEX(Kids!$F$6:$F$11,MATCH(C82,Kids!$B$6:$B$11,0))),0),IF(G82="Save",N(E82),0)))</f>
        <v/>
      </c>
    </row>
    <row r="83">
      <c r="A83" s="1" t="n"/>
      <c r="B83" s="34" t="n"/>
      <c r="C83" s="30" t="n"/>
      <c r="D83" s="31" t="n"/>
      <c r="E83" s="35" t="n"/>
      <c r="F83" s="35" t="n"/>
      <c r="G83" s="33" t="n"/>
      <c r="H83" s="1">
        <f>IF(C83="",0,IF(OR(G83="",G83="Split"),(N(E83)-N(F83))*IFERROR(N(INDEX(Kids!$F$6:$F$11,MATCH(C83,Kids!$B$6:$B$11,0))),0),IF(G83="Save",(N(E83)-N(F83)),0)))</f>
        <v/>
      </c>
      <c r="I83">
        <f>IF(C83="",0,(N(E83)-N(F83))-H83-J83)</f>
        <v/>
      </c>
      <c r="J83">
        <f>IF(C83="",0,IF(OR(G83="",G83="Split"),(N(E83)-N(F83))*IFERROR(N(INDEX(Kids!$G$6:$G$11,MATCH(C83,Kids!$B$6:$B$11,0))),0),IF(G83="Give",(N(E83)-N(F83)),0)))</f>
        <v/>
      </c>
      <c r="K83">
        <f>IF(C83="",0,IF(OR(G83="",G83="Split"),N(E83)*IFERROR(N(INDEX(Kids!$F$6:$F$11,MATCH(C83,Kids!$B$6:$B$11,0))),0),IF(G83="Save",N(E83),0)))</f>
        <v/>
      </c>
    </row>
    <row r="84">
      <c r="A84" s="1" t="n"/>
      <c r="B84" s="34" t="n"/>
      <c r="C84" s="30" t="n"/>
      <c r="D84" s="31" t="n"/>
      <c r="E84" s="35" t="n"/>
      <c r="F84" s="35" t="n"/>
      <c r="G84" s="33" t="n"/>
      <c r="H84" s="1">
        <f>IF(C84="",0,IF(OR(G84="",G84="Split"),(N(E84)-N(F84))*IFERROR(N(INDEX(Kids!$F$6:$F$11,MATCH(C84,Kids!$B$6:$B$11,0))),0),IF(G84="Save",(N(E84)-N(F84)),0)))</f>
        <v/>
      </c>
      <c r="I84">
        <f>IF(C84="",0,(N(E84)-N(F84))-H84-J84)</f>
        <v/>
      </c>
      <c r="J84">
        <f>IF(C84="",0,IF(OR(G84="",G84="Split"),(N(E84)-N(F84))*IFERROR(N(INDEX(Kids!$G$6:$G$11,MATCH(C84,Kids!$B$6:$B$11,0))),0),IF(G84="Give",(N(E84)-N(F84)),0)))</f>
        <v/>
      </c>
      <c r="K84">
        <f>IF(C84="",0,IF(OR(G84="",G84="Split"),N(E84)*IFERROR(N(INDEX(Kids!$F$6:$F$11,MATCH(C84,Kids!$B$6:$B$11,0))),0),IF(G84="Save",N(E84),0)))</f>
        <v/>
      </c>
    </row>
    <row r="85">
      <c r="A85" s="1" t="n"/>
      <c r="B85" s="34" t="n"/>
      <c r="C85" s="30" t="n"/>
      <c r="D85" s="31" t="n"/>
      <c r="E85" s="35" t="n"/>
      <c r="F85" s="35" t="n"/>
      <c r="G85" s="33" t="n"/>
      <c r="H85" s="1">
        <f>IF(C85="",0,IF(OR(G85="",G85="Split"),(N(E85)-N(F85))*IFERROR(N(INDEX(Kids!$F$6:$F$11,MATCH(C85,Kids!$B$6:$B$11,0))),0),IF(G85="Save",(N(E85)-N(F85)),0)))</f>
        <v/>
      </c>
      <c r="I85">
        <f>IF(C85="",0,(N(E85)-N(F85))-H85-J85)</f>
        <v/>
      </c>
      <c r="J85">
        <f>IF(C85="",0,IF(OR(G85="",G85="Split"),(N(E85)-N(F85))*IFERROR(N(INDEX(Kids!$G$6:$G$11,MATCH(C85,Kids!$B$6:$B$11,0))),0),IF(G85="Give",(N(E85)-N(F85)),0)))</f>
        <v/>
      </c>
      <c r="K85">
        <f>IF(C85="",0,IF(OR(G85="",G85="Split"),N(E85)*IFERROR(N(INDEX(Kids!$F$6:$F$11,MATCH(C85,Kids!$B$6:$B$11,0))),0),IF(G85="Save",N(E85),0)))</f>
        <v/>
      </c>
    </row>
    <row r="86">
      <c r="A86" s="1" t="n"/>
      <c r="B86" s="34" t="n"/>
      <c r="C86" s="30" t="n"/>
      <c r="D86" s="31" t="n"/>
      <c r="E86" s="35" t="n"/>
      <c r="F86" s="35" t="n"/>
      <c r="G86" s="33" t="n"/>
      <c r="H86" s="1">
        <f>IF(C86="",0,IF(OR(G86="",G86="Split"),(N(E86)-N(F86))*IFERROR(N(INDEX(Kids!$F$6:$F$11,MATCH(C86,Kids!$B$6:$B$11,0))),0),IF(G86="Save",(N(E86)-N(F86)),0)))</f>
        <v/>
      </c>
      <c r="I86">
        <f>IF(C86="",0,(N(E86)-N(F86))-H86-J86)</f>
        <v/>
      </c>
      <c r="J86">
        <f>IF(C86="",0,IF(OR(G86="",G86="Split"),(N(E86)-N(F86))*IFERROR(N(INDEX(Kids!$G$6:$G$11,MATCH(C86,Kids!$B$6:$B$11,0))),0),IF(G86="Give",(N(E86)-N(F86)),0)))</f>
        <v/>
      </c>
      <c r="K86">
        <f>IF(C86="",0,IF(OR(G86="",G86="Split"),N(E86)*IFERROR(N(INDEX(Kids!$F$6:$F$11,MATCH(C86,Kids!$B$6:$B$11,0))),0),IF(G86="Save",N(E86),0)))</f>
        <v/>
      </c>
    </row>
    <row r="87">
      <c r="A87" s="1" t="n"/>
      <c r="B87" s="34" t="n"/>
      <c r="C87" s="30" t="n"/>
      <c r="D87" s="31" t="n"/>
      <c r="E87" s="35" t="n"/>
      <c r="F87" s="35" t="n"/>
      <c r="G87" s="33" t="n"/>
      <c r="H87" s="1">
        <f>IF(C87="",0,IF(OR(G87="",G87="Split"),(N(E87)-N(F87))*IFERROR(N(INDEX(Kids!$F$6:$F$11,MATCH(C87,Kids!$B$6:$B$11,0))),0),IF(G87="Save",(N(E87)-N(F87)),0)))</f>
        <v/>
      </c>
      <c r="I87">
        <f>IF(C87="",0,(N(E87)-N(F87))-H87-J87)</f>
        <v/>
      </c>
      <c r="J87">
        <f>IF(C87="",0,IF(OR(G87="",G87="Split"),(N(E87)-N(F87))*IFERROR(N(INDEX(Kids!$G$6:$G$11,MATCH(C87,Kids!$B$6:$B$11,0))),0),IF(G87="Give",(N(E87)-N(F87)),0)))</f>
        <v/>
      </c>
      <c r="K87">
        <f>IF(C87="",0,IF(OR(G87="",G87="Split"),N(E87)*IFERROR(N(INDEX(Kids!$F$6:$F$11,MATCH(C87,Kids!$B$6:$B$11,0))),0),IF(G87="Save",N(E87),0)))</f>
        <v/>
      </c>
    </row>
    <row r="88">
      <c r="A88" s="1" t="n"/>
      <c r="B88" s="34" t="n"/>
      <c r="C88" s="30" t="n"/>
      <c r="D88" s="31" t="n"/>
      <c r="E88" s="35" t="n"/>
      <c r="F88" s="35" t="n"/>
      <c r="G88" s="33" t="n"/>
      <c r="H88" s="1">
        <f>IF(C88="",0,IF(OR(G88="",G88="Split"),(N(E88)-N(F88))*IFERROR(N(INDEX(Kids!$F$6:$F$11,MATCH(C88,Kids!$B$6:$B$11,0))),0),IF(G88="Save",(N(E88)-N(F88)),0)))</f>
        <v/>
      </c>
      <c r="I88">
        <f>IF(C88="",0,(N(E88)-N(F88))-H88-J88)</f>
        <v/>
      </c>
      <c r="J88">
        <f>IF(C88="",0,IF(OR(G88="",G88="Split"),(N(E88)-N(F88))*IFERROR(N(INDEX(Kids!$G$6:$G$11,MATCH(C88,Kids!$B$6:$B$11,0))),0),IF(G88="Give",(N(E88)-N(F88)),0)))</f>
        <v/>
      </c>
      <c r="K88">
        <f>IF(C88="",0,IF(OR(G88="",G88="Split"),N(E88)*IFERROR(N(INDEX(Kids!$F$6:$F$11,MATCH(C88,Kids!$B$6:$B$11,0))),0),IF(G88="Save",N(E88),0)))</f>
        <v/>
      </c>
    </row>
    <row r="89">
      <c r="A89" s="1" t="n"/>
      <c r="B89" s="34" t="n"/>
      <c r="C89" s="30" t="n"/>
      <c r="D89" s="31" t="n"/>
      <c r="E89" s="35" t="n"/>
      <c r="F89" s="35" t="n"/>
      <c r="G89" s="33" t="n"/>
      <c r="H89" s="1">
        <f>IF(C89="",0,IF(OR(G89="",G89="Split"),(N(E89)-N(F89))*IFERROR(N(INDEX(Kids!$F$6:$F$11,MATCH(C89,Kids!$B$6:$B$11,0))),0),IF(G89="Save",(N(E89)-N(F89)),0)))</f>
        <v/>
      </c>
      <c r="I89">
        <f>IF(C89="",0,(N(E89)-N(F89))-H89-J89)</f>
        <v/>
      </c>
      <c r="J89">
        <f>IF(C89="",0,IF(OR(G89="",G89="Split"),(N(E89)-N(F89))*IFERROR(N(INDEX(Kids!$G$6:$G$11,MATCH(C89,Kids!$B$6:$B$11,0))),0),IF(G89="Give",(N(E89)-N(F89)),0)))</f>
        <v/>
      </c>
      <c r="K89">
        <f>IF(C89="",0,IF(OR(G89="",G89="Split"),N(E89)*IFERROR(N(INDEX(Kids!$F$6:$F$11,MATCH(C89,Kids!$B$6:$B$11,0))),0),IF(G89="Save",N(E89),0)))</f>
        <v/>
      </c>
    </row>
    <row r="90">
      <c r="A90" s="1" t="n"/>
      <c r="B90" s="34" t="n"/>
      <c r="C90" s="30" t="n"/>
      <c r="D90" s="31" t="n"/>
      <c r="E90" s="35" t="n"/>
      <c r="F90" s="35" t="n"/>
      <c r="G90" s="33" t="n"/>
      <c r="H90" s="1">
        <f>IF(C90="",0,IF(OR(G90="",G90="Split"),(N(E90)-N(F90))*IFERROR(N(INDEX(Kids!$F$6:$F$11,MATCH(C90,Kids!$B$6:$B$11,0))),0),IF(G90="Save",(N(E90)-N(F90)),0)))</f>
        <v/>
      </c>
      <c r="I90">
        <f>IF(C90="",0,(N(E90)-N(F90))-H90-J90)</f>
        <v/>
      </c>
      <c r="J90">
        <f>IF(C90="",0,IF(OR(G90="",G90="Split"),(N(E90)-N(F90))*IFERROR(N(INDEX(Kids!$G$6:$G$11,MATCH(C90,Kids!$B$6:$B$11,0))),0),IF(G90="Give",(N(E90)-N(F90)),0)))</f>
        <v/>
      </c>
      <c r="K90">
        <f>IF(C90="",0,IF(OR(G90="",G90="Split"),N(E90)*IFERROR(N(INDEX(Kids!$F$6:$F$11,MATCH(C90,Kids!$B$6:$B$11,0))),0),IF(G90="Save",N(E90),0)))</f>
        <v/>
      </c>
    </row>
    <row r="91">
      <c r="A91" s="1" t="n"/>
      <c r="B91" s="34" t="n"/>
      <c r="C91" s="30" t="n"/>
      <c r="D91" s="31" t="n"/>
      <c r="E91" s="35" t="n"/>
      <c r="F91" s="35" t="n"/>
      <c r="G91" s="33" t="n"/>
      <c r="H91" s="1">
        <f>IF(C91="",0,IF(OR(G91="",G91="Split"),(N(E91)-N(F91))*IFERROR(N(INDEX(Kids!$F$6:$F$11,MATCH(C91,Kids!$B$6:$B$11,0))),0),IF(G91="Save",(N(E91)-N(F91)),0)))</f>
        <v/>
      </c>
      <c r="I91">
        <f>IF(C91="",0,(N(E91)-N(F91))-H91-J91)</f>
        <v/>
      </c>
      <c r="J91">
        <f>IF(C91="",0,IF(OR(G91="",G91="Split"),(N(E91)-N(F91))*IFERROR(N(INDEX(Kids!$G$6:$G$11,MATCH(C91,Kids!$B$6:$B$11,0))),0),IF(G91="Give",(N(E91)-N(F91)),0)))</f>
        <v/>
      </c>
      <c r="K91">
        <f>IF(C91="",0,IF(OR(G91="",G91="Split"),N(E91)*IFERROR(N(INDEX(Kids!$F$6:$F$11,MATCH(C91,Kids!$B$6:$B$11,0))),0),IF(G91="Save",N(E91),0)))</f>
        <v/>
      </c>
    </row>
    <row r="92">
      <c r="A92" s="1" t="n"/>
      <c r="B92" s="34" t="n"/>
      <c r="C92" s="30" t="n"/>
      <c r="D92" s="31" t="n"/>
      <c r="E92" s="35" t="n"/>
      <c r="F92" s="35" t="n"/>
      <c r="G92" s="33" t="n"/>
      <c r="H92" s="1">
        <f>IF(C92="",0,IF(OR(G92="",G92="Split"),(N(E92)-N(F92))*IFERROR(N(INDEX(Kids!$F$6:$F$11,MATCH(C92,Kids!$B$6:$B$11,0))),0),IF(G92="Save",(N(E92)-N(F92)),0)))</f>
        <v/>
      </c>
      <c r="I92">
        <f>IF(C92="",0,(N(E92)-N(F92))-H92-J92)</f>
        <v/>
      </c>
      <c r="J92">
        <f>IF(C92="",0,IF(OR(G92="",G92="Split"),(N(E92)-N(F92))*IFERROR(N(INDEX(Kids!$G$6:$G$11,MATCH(C92,Kids!$B$6:$B$11,0))),0),IF(G92="Give",(N(E92)-N(F92)),0)))</f>
        <v/>
      </c>
      <c r="K92">
        <f>IF(C92="",0,IF(OR(G92="",G92="Split"),N(E92)*IFERROR(N(INDEX(Kids!$F$6:$F$11,MATCH(C92,Kids!$B$6:$B$11,0))),0),IF(G92="Save",N(E92),0)))</f>
        <v/>
      </c>
    </row>
    <row r="93">
      <c r="A93" s="1" t="n"/>
      <c r="B93" s="34" t="n"/>
      <c r="C93" s="30" t="n"/>
      <c r="D93" s="31" t="n"/>
      <c r="E93" s="35" t="n"/>
      <c r="F93" s="35" t="n"/>
      <c r="G93" s="33" t="n"/>
      <c r="H93" s="1">
        <f>IF(C93="",0,IF(OR(G93="",G93="Split"),(N(E93)-N(F93))*IFERROR(N(INDEX(Kids!$F$6:$F$11,MATCH(C93,Kids!$B$6:$B$11,0))),0),IF(G93="Save",(N(E93)-N(F93)),0)))</f>
        <v/>
      </c>
      <c r="I93">
        <f>IF(C93="",0,(N(E93)-N(F93))-H93-J93)</f>
        <v/>
      </c>
      <c r="J93">
        <f>IF(C93="",0,IF(OR(G93="",G93="Split"),(N(E93)-N(F93))*IFERROR(N(INDEX(Kids!$G$6:$G$11,MATCH(C93,Kids!$B$6:$B$11,0))),0),IF(G93="Give",(N(E93)-N(F93)),0)))</f>
        <v/>
      </c>
      <c r="K93">
        <f>IF(C93="",0,IF(OR(G93="",G93="Split"),N(E93)*IFERROR(N(INDEX(Kids!$F$6:$F$11,MATCH(C93,Kids!$B$6:$B$11,0))),0),IF(G93="Save",N(E93),0)))</f>
        <v/>
      </c>
    </row>
    <row r="94">
      <c r="A94" s="1" t="n"/>
      <c r="B94" s="34" t="n"/>
      <c r="C94" s="30" t="n"/>
      <c r="D94" s="31" t="n"/>
      <c r="E94" s="35" t="n"/>
      <c r="F94" s="35" t="n"/>
      <c r="G94" s="33" t="n"/>
      <c r="H94" s="1">
        <f>IF(C94="",0,IF(OR(G94="",G94="Split"),(N(E94)-N(F94))*IFERROR(N(INDEX(Kids!$F$6:$F$11,MATCH(C94,Kids!$B$6:$B$11,0))),0),IF(G94="Save",(N(E94)-N(F94)),0)))</f>
        <v/>
      </c>
      <c r="I94">
        <f>IF(C94="",0,(N(E94)-N(F94))-H94-J94)</f>
        <v/>
      </c>
      <c r="J94">
        <f>IF(C94="",0,IF(OR(G94="",G94="Split"),(N(E94)-N(F94))*IFERROR(N(INDEX(Kids!$G$6:$G$11,MATCH(C94,Kids!$B$6:$B$11,0))),0),IF(G94="Give",(N(E94)-N(F94)),0)))</f>
        <v/>
      </c>
      <c r="K94">
        <f>IF(C94="",0,IF(OR(G94="",G94="Split"),N(E94)*IFERROR(N(INDEX(Kids!$F$6:$F$11,MATCH(C94,Kids!$B$6:$B$11,0))),0),IF(G94="Save",N(E94),0)))</f>
        <v/>
      </c>
    </row>
    <row r="95">
      <c r="A95" s="1" t="n"/>
      <c r="B95" s="34" t="n"/>
      <c r="C95" s="30" t="n"/>
      <c r="D95" s="31" t="n"/>
      <c r="E95" s="35" t="n"/>
      <c r="F95" s="35" t="n"/>
      <c r="G95" s="33" t="n"/>
      <c r="H95" s="1">
        <f>IF(C95="",0,IF(OR(G95="",G95="Split"),(N(E95)-N(F95))*IFERROR(N(INDEX(Kids!$F$6:$F$11,MATCH(C95,Kids!$B$6:$B$11,0))),0),IF(G95="Save",(N(E95)-N(F95)),0)))</f>
        <v/>
      </c>
      <c r="I95">
        <f>IF(C95="",0,(N(E95)-N(F95))-H95-J95)</f>
        <v/>
      </c>
      <c r="J95">
        <f>IF(C95="",0,IF(OR(G95="",G95="Split"),(N(E95)-N(F95))*IFERROR(N(INDEX(Kids!$G$6:$G$11,MATCH(C95,Kids!$B$6:$B$11,0))),0),IF(G95="Give",(N(E95)-N(F95)),0)))</f>
        <v/>
      </c>
      <c r="K95">
        <f>IF(C95="",0,IF(OR(G95="",G95="Split"),N(E95)*IFERROR(N(INDEX(Kids!$F$6:$F$11,MATCH(C95,Kids!$B$6:$B$11,0))),0),IF(G95="Save",N(E95),0)))</f>
        <v/>
      </c>
    </row>
    <row r="96">
      <c r="A96" s="1" t="n"/>
      <c r="B96" s="34" t="n"/>
      <c r="C96" s="30" t="n"/>
      <c r="D96" s="31" t="n"/>
      <c r="E96" s="35" t="n"/>
      <c r="F96" s="35" t="n"/>
      <c r="G96" s="33" t="n"/>
      <c r="H96" s="1">
        <f>IF(C96="",0,IF(OR(G96="",G96="Split"),(N(E96)-N(F96))*IFERROR(N(INDEX(Kids!$F$6:$F$11,MATCH(C96,Kids!$B$6:$B$11,0))),0),IF(G96="Save",(N(E96)-N(F96)),0)))</f>
        <v/>
      </c>
      <c r="I96">
        <f>IF(C96="",0,(N(E96)-N(F96))-H96-J96)</f>
        <v/>
      </c>
      <c r="J96">
        <f>IF(C96="",0,IF(OR(G96="",G96="Split"),(N(E96)-N(F96))*IFERROR(N(INDEX(Kids!$G$6:$G$11,MATCH(C96,Kids!$B$6:$B$11,0))),0),IF(G96="Give",(N(E96)-N(F96)),0)))</f>
        <v/>
      </c>
      <c r="K96">
        <f>IF(C96="",0,IF(OR(G96="",G96="Split"),N(E96)*IFERROR(N(INDEX(Kids!$F$6:$F$11,MATCH(C96,Kids!$B$6:$B$11,0))),0),IF(G96="Save",N(E96),0)))</f>
        <v/>
      </c>
    </row>
    <row r="97">
      <c r="A97" s="1" t="n"/>
      <c r="B97" s="34" t="n"/>
      <c r="C97" s="30" t="n"/>
      <c r="D97" s="31" t="n"/>
      <c r="E97" s="35" t="n"/>
      <c r="F97" s="35" t="n"/>
      <c r="G97" s="33" t="n"/>
      <c r="H97" s="1">
        <f>IF(C97="",0,IF(OR(G97="",G97="Split"),(N(E97)-N(F97))*IFERROR(N(INDEX(Kids!$F$6:$F$11,MATCH(C97,Kids!$B$6:$B$11,0))),0),IF(G97="Save",(N(E97)-N(F97)),0)))</f>
        <v/>
      </c>
      <c r="I97">
        <f>IF(C97="",0,(N(E97)-N(F97))-H97-J97)</f>
        <v/>
      </c>
      <c r="J97">
        <f>IF(C97="",0,IF(OR(G97="",G97="Split"),(N(E97)-N(F97))*IFERROR(N(INDEX(Kids!$G$6:$G$11,MATCH(C97,Kids!$B$6:$B$11,0))),0),IF(G97="Give",(N(E97)-N(F97)),0)))</f>
        <v/>
      </c>
      <c r="K97">
        <f>IF(C97="",0,IF(OR(G97="",G97="Split"),N(E97)*IFERROR(N(INDEX(Kids!$F$6:$F$11,MATCH(C97,Kids!$B$6:$B$11,0))),0),IF(G97="Save",N(E97),0)))</f>
        <v/>
      </c>
    </row>
    <row r="98">
      <c r="A98" s="1" t="n"/>
      <c r="B98" s="34" t="n"/>
      <c r="C98" s="30" t="n"/>
      <c r="D98" s="31" t="n"/>
      <c r="E98" s="35" t="n"/>
      <c r="F98" s="35" t="n"/>
      <c r="G98" s="33" t="n"/>
      <c r="H98" s="1">
        <f>IF(C98="",0,IF(OR(G98="",G98="Split"),(N(E98)-N(F98))*IFERROR(N(INDEX(Kids!$F$6:$F$11,MATCH(C98,Kids!$B$6:$B$11,0))),0),IF(G98="Save",(N(E98)-N(F98)),0)))</f>
        <v/>
      </c>
      <c r="I98">
        <f>IF(C98="",0,(N(E98)-N(F98))-H98-J98)</f>
        <v/>
      </c>
      <c r="J98">
        <f>IF(C98="",0,IF(OR(G98="",G98="Split"),(N(E98)-N(F98))*IFERROR(N(INDEX(Kids!$G$6:$G$11,MATCH(C98,Kids!$B$6:$B$11,0))),0),IF(G98="Give",(N(E98)-N(F98)),0)))</f>
        <v/>
      </c>
      <c r="K98">
        <f>IF(C98="",0,IF(OR(G98="",G98="Split"),N(E98)*IFERROR(N(INDEX(Kids!$F$6:$F$11,MATCH(C98,Kids!$B$6:$B$11,0))),0),IF(G98="Save",N(E98),0)))</f>
        <v/>
      </c>
    </row>
    <row r="99">
      <c r="A99" s="1" t="n"/>
      <c r="B99" s="34" t="n"/>
      <c r="C99" s="30" t="n"/>
      <c r="D99" s="31" t="n"/>
      <c r="E99" s="35" t="n"/>
      <c r="F99" s="35" t="n"/>
      <c r="G99" s="33" t="n"/>
      <c r="H99" s="1">
        <f>IF(C99="",0,IF(OR(G99="",G99="Split"),(N(E99)-N(F99))*IFERROR(N(INDEX(Kids!$F$6:$F$11,MATCH(C99,Kids!$B$6:$B$11,0))),0),IF(G99="Save",(N(E99)-N(F99)),0)))</f>
        <v/>
      </c>
      <c r="I99">
        <f>IF(C99="",0,(N(E99)-N(F99))-H99-J99)</f>
        <v/>
      </c>
      <c r="J99">
        <f>IF(C99="",0,IF(OR(G99="",G99="Split"),(N(E99)-N(F99))*IFERROR(N(INDEX(Kids!$G$6:$G$11,MATCH(C99,Kids!$B$6:$B$11,0))),0),IF(G99="Give",(N(E99)-N(F99)),0)))</f>
        <v/>
      </c>
      <c r="K99">
        <f>IF(C99="",0,IF(OR(G99="",G99="Split"),N(E99)*IFERROR(N(INDEX(Kids!$F$6:$F$11,MATCH(C99,Kids!$B$6:$B$11,0))),0),IF(G99="Save",N(E99),0)))</f>
        <v/>
      </c>
    </row>
    <row r="100">
      <c r="A100" s="1" t="n"/>
      <c r="B100" s="34" t="n"/>
      <c r="C100" s="30" t="n"/>
      <c r="D100" s="31" t="n"/>
      <c r="E100" s="35" t="n"/>
      <c r="F100" s="35" t="n"/>
      <c r="G100" s="33" t="n"/>
      <c r="H100" s="1">
        <f>IF(C100="",0,IF(OR(G100="",G100="Split"),(N(E100)-N(F100))*IFERROR(N(INDEX(Kids!$F$6:$F$11,MATCH(C100,Kids!$B$6:$B$11,0))),0),IF(G100="Save",(N(E100)-N(F100)),0)))</f>
        <v/>
      </c>
      <c r="I100">
        <f>IF(C100="",0,(N(E100)-N(F100))-H100-J100)</f>
        <v/>
      </c>
      <c r="J100">
        <f>IF(C100="",0,IF(OR(G100="",G100="Split"),(N(E100)-N(F100))*IFERROR(N(INDEX(Kids!$G$6:$G$11,MATCH(C100,Kids!$B$6:$B$11,0))),0),IF(G100="Give",(N(E100)-N(F100)),0)))</f>
        <v/>
      </c>
      <c r="K100">
        <f>IF(C100="",0,IF(OR(G100="",G100="Split"),N(E100)*IFERROR(N(INDEX(Kids!$F$6:$F$11,MATCH(C100,Kids!$B$6:$B$11,0))),0),IF(G100="Save",N(E100),0)))</f>
        <v/>
      </c>
    </row>
    <row r="101">
      <c r="A101" s="1" t="n"/>
      <c r="B101" s="34" t="n"/>
      <c r="C101" s="30" t="n"/>
      <c r="D101" s="31" t="n"/>
      <c r="E101" s="35" t="n"/>
      <c r="F101" s="35" t="n"/>
      <c r="G101" s="33" t="n"/>
      <c r="H101" s="1">
        <f>IF(C101="",0,IF(OR(G101="",G101="Split"),(N(E101)-N(F101))*IFERROR(N(INDEX(Kids!$F$6:$F$11,MATCH(C101,Kids!$B$6:$B$11,0))),0),IF(G101="Save",(N(E101)-N(F101)),0)))</f>
        <v/>
      </c>
      <c r="I101">
        <f>IF(C101="",0,(N(E101)-N(F101))-H101-J101)</f>
        <v/>
      </c>
      <c r="J101">
        <f>IF(C101="",0,IF(OR(G101="",G101="Split"),(N(E101)-N(F101))*IFERROR(N(INDEX(Kids!$G$6:$G$11,MATCH(C101,Kids!$B$6:$B$11,0))),0),IF(G101="Give",(N(E101)-N(F101)),0)))</f>
        <v/>
      </c>
      <c r="K101">
        <f>IF(C101="",0,IF(OR(G101="",G101="Split"),N(E101)*IFERROR(N(INDEX(Kids!$F$6:$F$11,MATCH(C101,Kids!$B$6:$B$11,0))),0),IF(G101="Save",N(E101),0)))</f>
        <v/>
      </c>
    </row>
    <row r="102">
      <c r="A102" s="1" t="n"/>
      <c r="B102" s="34" t="n"/>
      <c r="C102" s="30" t="n"/>
      <c r="D102" s="31" t="n"/>
      <c r="E102" s="35" t="n"/>
      <c r="F102" s="35" t="n"/>
      <c r="G102" s="33" t="n"/>
      <c r="H102" s="1">
        <f>IF(C102="",0,IF(OR(G102="",G102="Split"),(N(E102)-N(F102))*IFERROR(N(INDEX(Kids!$F$6:$F$11,MATCH(C102,Kids!$B$6:$B$11,0))),0),IF(G102="Save",(N(E102)-N(F102)),0)))</f>
        <v/>
      </c>
      <c r="I102">
        <f>IF(C102="",0,(N(E102)-N(F102))-H102-J102)</f>
        <v/>
      </c>
      <c r="J102">
        <f>IF(C102="",0,IF(OR(G102="",G102="Split"),(N(E102)-N(F102))*IFERROR(N(INDEX(Kids!$G$6:$G$11,MATCH(C102,Kids!$B$6:$B$11,0))),0),IF(G102="Give",(N(E102)-N(F102)),0)))</f>
        <v/>
      </c>
      <c r="K102">
        <f>IF(C102="",0,IF(OR(G102="",G102="Split"),N(E102)*IFERROR(N(INDEX(Kids!$F$6:$F$11,MATCH(C102,Kids!$B$6:$B$11,0))),0),IF(G102="Save",N(E102),0)))</f>
        <v/>
      </c>
    </row>
    <row r="103">
      <c r="A103" s="1" t="n"/>
      <c r="B103" s="34" t="n"/>
      <c r="C103" s="30" t="n"/>
      <c r="D103" s="31" t="n"/>
      <c r="E103" s="35" t="n"/>
      <c r="F103" s="35" t="n"/>
      <c r="G103" s="33" t="n"/>
      <c r="H103" s="1">
        <f>IF(C103="",0,IF(OR(G103="",G103="Split"),(N(E103)-N(F103))*IFERROR(N(INDEX(Kids!$F$6:$F$11,MATCH(C103,Kids!$B$6:$B$11,0))),0),IF(G103="Save",(N(E103)-N(F103)),0)))</f>
        <v/>
      </c>
      <c r="I103">
        <f>IF(C103="",0,(N(E103)-N(F103))-H103-J103)</f>
        <v/>
      </c>
      <c r="J103">
        <f>IF(C103="",0,IF(OR(G103="",G103="Split"),(N(E103)-N(F103))*IFERROR(N(INDEX(Kids!$G$6:$G$11,MATCH(C103,Kids!$B$6:$B$11,0))),0),IF(G103="Give",(N(E103)-N(F103)),0)))</f>
        <v/>
      </c>
      <c r="K103">
        <f>IF(C103="",0,IF(OR(G103="",G103="Split"),N(E103)*IFERROR(N(INDEX(Kids!$F$6:$F$11,MATCH(C103,Kids!$B$6:$B$11,0))),0),IF(G103="Save",N(E103),0)))</f>
        <v/>
      </c>
    </row>
    <row r="104">
      <c r="A104" s="1" t="n"/>
      <c r="B104" s="34" t="n"/>
      <c r="C104" s="30" t="n"/>
      <c r="D104" s="31" t="n"/>
      <c r="E104" s="35" t="n"/>
      <c r="F104" s="35" t="n"/>
      <c r="G104" s="33" t="n"/>
      <c r="H104" s="1">
        <f>IF(C104="",0,IF(OR(G104="",G104="Split"),(N(E104)-N(F104))*IFERROR(N(INDEX(Kids!$F$6:$F$11,MATCH(C104,Kids!$B$6:$B$11,0))),0),IF(G104="Save",(N(E104)-N(F104)),0)))</f>
        <v/>
      </c>
      <c r="I104">
        <f>IF(C104="",0,(N(E104)-N(F104))-H104-J104)</f>
        <v/>
      </c>
      <c r="J104">
        <f>IF(C104="",0,IF(OR(G104="",G104="Split"),(N(E104)-N(F104))*IFERROR(N(INDEX(Kids!$G$6:$G$11,MATCH(C104,Kids!$B$6:$B$11,0))),0),IF(G104="Give",(N(E104)-N(F104)),0)))</f>
        <v/>
      </c>
      <c r="K104">
        <f>IF(C104="",0,IF(OR(G104="",G104="Split"),N(E104)*IFERROR(N(INDEX(Kids!$F$6:$F$11,MATCH(C104,Kids!$B$6:$B$11,0))),0),IF(G104="Save",N(E104),0)))</f>
        <v/>
      </c>
    </row>
    <row r="105">
      <c r="A105" s="1" t="n"/>
      <c r="B105" s="34" t="n"/>
      <c r="C105" s="30" t="n"/>
      <c r="D105" s="31" t="n"/>
      <c r="E105" s="35" t="n"/>
      <c r="F105" s="35" t="n"/>
      <c r="G105" s="33" t="n"/>
      <c r="H105" s="1">
        <f>IF(C105="",0,IF(OR(G105="",G105="Split"),(N(E105)-N(F105))*IFERROR(N(INDEX(Kids!$F$6:$F$11,MATCH(C105,Kids!$B$6:$B$11,0))),0),IF(G105="Save",(N(E105)-N(F105)),0)))</f>
        <v/>
      </c>
      <c r="I105">
        <f>IF(C105="",0,(N(E105)-N(F105))-H105-J105)</f>
        <v/>
      </c>
      <c r="J105">
        <f>IF(C105="",0,IF(OR(G105="",G105="Split"),(N(E105)-N(F105))*IFERROR(N(INDEX(Kids!$G$6:$G$11,MATCH(C105,Kids!$B$6:$B$11,0))),0),IF(G105="Give",(N(E105)-N(F105)),0)))</f>
        <v/>
      </c>
      <c r="K105">
        <f>IF(C105="",0,IF(OR(G105="",G105="Split"),N(E105)*IFERROR(N(INDEX(Kids!$F$6:$F$11,MATCH(C105,Kids!$B$6:$B$11,0))),0),IF(G105="Save",N(E105),0)))</f>
        <v/>
      </c>
    </row>
    <row r="106">
      <c r="A106" s="1" t="n"/>
      <c r="B106" s="34" t="n"/>
      <c r="C106" s="30" t="n"/>
      <c r="D106" s="31" t="n"/>
      <c r="E106" s="35" t="n"/>
      <c r="F106" s="35" t="n"/>
      <c r="G106" s="33" t="n"/>
      <c r="H106" s="1">
        <f>IF(C106="",0,IF(OR(G106="",G106="Split"),(N(E106)-N(F106))*IFERROR(N(INDEX(Kids!$F$6:$F$11,MATCH(C106,Kids!$B$6:$B$11,0))),0),IF(G106="Save",(N(E106)-N(F106)),0)))</f>
        <v/>
      </c>
      <c r="I106">
        <f>IF(C106="",0,(N(E106)-N(F106))-H106-J106)</f>
        <v/>
      </c>
      <c r="J106">
        <f>IF(C106="",0,IF(OR(G106="",G106="Split"),(N(E106)-N(F106))*IFERROR(N(INDEX(Kids!$G$6:$G$11,MATCH(C106,Kids!$B$6:$B$11,0))),0),IF(G106="Give",(N(E106)-N(F106)),0)))</f>
        <v/>
      </c>
      <c r="K106">
        <f>IF(C106="",0,IF(OR(G106="",G106="Split"),N(E106)*IFERROR(N(INDEX(Kids!$F$6:$F$11,MATCH(C106,Kids!$B$6:$B$11,0))),0),IF(G106="Save",N(E106),0)))</f>
        <v/>
      </c>
    </row>
    <row r="107">
      <c r="A107" s="1" t="n"/>
      <c r="B107" s="34" t="n"/>
      <c r="C107" s="30" t="n"/>
      <c r="D107" s="31" t="n"/>
      <c r="E107" s="35" t="n"/>
      <c r="F107" s="35" t="n"/>
      <c r="G107" s="33" t="n"/>
      <c r="H107" s="1">
        <f>IF(C107="",0,IF(OR(G107="",G107="Split"),(N(E107)-N(F107))*IFERROR(N(INDEX(Kids!$F$6:$F$11,MATCH(C107,Kids!$B$6:$B$11,0))),0),IF(G107="Save",(N(E107)-N(F107)),0)))</f>
        <v/>
      </c>
      <c r="I107">
        <f>IF(C107="",0,(N(E107)-N(F107))-H107-J107)</f>
        <v/>
      </c>
      <c r="J107">
        <f>IF(C107="",0,IF(OR(G107="",G107="Split"),(N(E107)-N(F107))*IFERROR(N(INDEX(Kids!$G$6:$G$11,MATCH(C107,Kids!$B$6:$B$11,0))),0),IF(G107="Give",(N(E107)-N(F107)),0)))</f>
        <v/>
      </c>
      <c r="K107">
        <f>IF(C107="",0,IF(OR(G107="",G107="Split"),N(E107)*IFERROR(N(INDEX(Kids!$F$6:$F$11,MATCH(C107,Kids!$B$6:$B$11,0))),0),IF(G107="Save",N(E107),0)))</f>
        <v/>
      </c>
    </row>
    <row r="108">
      <c r="A108" s="1" t="n"/>
      <c r="B108" s="34" t="n"/>
      <c r="C108" s="30" t="n"/>
      <c r="D108" s="31" t="n"/>
      <c r="E108" s="35" t="n"/>
      <c r="F108" s="35" t="n"/>
      <c r="G108" s="33" t="n"/>
      <c r="H108" s="1">
        <f>IF(C108="",0,IF(OR(G108="",G108="Split"),(N(E108)-N(F108))*IFERROR(N(INDEX(Kids!$F$6:$F$11,MATCH(C108,Kids!$B$6:$B$11,0))),0),IF(G108="Save",(N(E108)-N(F108)),0)))</f>
        <v/>
      </c>
      <c r="I108">
        <f>IF(C108="",0,(N(E108)-N(F108))-H108-J108)</f>
        <v/>
      </c>
      <c r="J108">
        <f>IF(C108="",0,IF(OR(G108="",G108="Split"),(N(E108)-N(F108))*IFERROR(N(INDEX(Kids!$G$6:$G$11,MATCH(C108,Kids!$B$6:$B$11,0))),0),IF(G108="Give",(N(E108)-N(F108)),0)))</f>
        <v/>
      </c>
      <c r="K108">
        <f>IF(C108="",0,IF(OR(G108="",G108="Split"),N(E108)*IFERROR(N(INDEX(Kids!$F$6:$F$11,MATCH(C108,Kids!$B$6:$B$11,0))),0),IF(G108="Save",N(E108),0)))</f>
        <v/>
      </c>
    </row>
    <row r="109">
      <c r="A109" s="1" t="n"/>
      <c r="B109" s="34" t="n"/>
      <c r="C109" s="30" t="n"/>
      <c r="D109" s="31" t="n"/>
      <c r="E109" s="35" t="n"/>
      <c r="F109" s="35" t="n"/>
      <c r="G109" s="33" t="n"/>
      <c r="H109" s="1">
        <f>IF(C109="",0,IF(OR(G109="",G109="Split"),(N(E109)-N(F109))*IFERROR(N(INDEX(Kids!$F$6:$F$11,MATCH(C109,Kids!$B$6:$B$11,0))),0),IF(G109="Save",(N(E109)-N(F109)),0)))</f>
        <v/>
      </c>
      <c r="I109">
        <f>IF(C109="",0,(N(E109)-N(F109))-H109-J109)</f>
        <v/>
      </c>
      <c r="J109">
        <f>IF(C109="",0,IF(OR(G109="",G109="Split"),(N(E109)-N(F109))*IFERROR(N(INDEX(Kids!$G$6:$G$11,MATCH(C109,Kids!$B$6:$B$11,0))),0),IF(G109="Give",(N(E109)-N(F109)),0)))</f>
        <v/>
      </c>
      <c r="K109">
        <f>IF(C109="",0,IF(OR(G109="",G109="Split"),N(E109)*IFERROR(N(INDEX(Kids!$F$6:$F$11,MATCH(C109,Kids!$B$6:$B$11,0))),0),IF(G109="Save",N(E109),0)))</f>
        <v/>
      </c>
    </row>
    <row r="110">
      <c r="A110" s="1" t="n"/>
      <c r="B110" s="34" t="n"/>
      <c r="C110" s="30" t="n"/>
      <c r="D110" s="31" t="n"/>
      <c r="E110" s="35" t="n"/>
      <c r="F110" s="35" t="n"/>
      <c r="G110" s="33" t="n"/>
      <c r="H110" s="1">
        <f>IF(C110="",0,IF(OR(G110="",G110="Split"),(N(E110)-N(F110))*IFERROR(N(INDEX(Kids!$F$6:$F$11,MATCH(C110,Kids!$B$6:$B$11,0))),0),IF(G110="Save",(N(E110)-N(F110)),0)))</f>
        <v/>
      </c>
      <c r="I110">
        <f>IF(C110="",0,(N(E110)-N(F110))-H110-J110)</f>
        <v/>
      </c>
      <c r="J110">
        <f>IF(C110="",0,IF(OR(G110="",G110="Split"),(N(E110)-N(F110))*IFERROR(N(INDEX(Kids!$G$6:$G$11,MATCH(C110,Kids!$B$6:$B$11,0))),0),IF(G110="Give",(N(E110)-N(F110)),0)))</f>
        <v/>
      </c>
      <c r="K110">
        <f>IF(C110="",0,IF(OR(G110="",G110="Split"),N(E110)*IFERROR(N(INDEX(Kids!$F$6:$F$11,MATCH(C110,Kids!$B$6:$B$11,0))),0),IF(G110="Save",N(E110),0)))</f>
        <v/>
      </c>
    </row>
    <row r="111">
      <c r="A111" s="1" t="n"/>
      <c r="B111" s="34" t="n"/>
      <c r="C111" s="30" t="n"/>
      <c r="D111" s="31" t="n"/>
      <c r="E111" s="35" t="n"/>
      <c r="F111" s="35" t="n"/>
      <c r="G111" s="33" t="n"/>
      <c r="H111" s="1">
        <f>IF(C111="",0,IF(OR(G111="",G111="Split"),(N(E111)-N(F111))*IFERROR(N(INDEX(Kids!$F$6:$F$11,MATCH(C111,Kids!$B$6:$B$11,0))),0),IF(G111="Save",(N(E111)-N(F111)),0)))</f>
        <v/>
      </c>
      <c r="I111">
        <f>IF(C111="",0,(N(E111)-N(F111))-H111-J111)</f>
        <v/>
      </c>
      <c r="J111">
        <f>IF(C111="",0,IF(OR(G111="",G111="Split"),(N(E111)-N(F111))*IFERROR(N(INDEX(Kids!$G$6:$G$11,MATCH(C111,Kids!$B$6:$B$11,0))),0),IF(G111="Give",(N(E111)-N(F111)),0)))</f>
        <v/>
      </c>
      <c r="K111">
        <f>IF(C111="",0,IF(OR(G111="",G111="Split"),N(E111)*IFERROR(N(INDEX(Kids!$F$6:$F$11,MATCH(C111,Kids!$B$6:$B$11,0))),0),IF(G111="Save",N(E111),0)))</f>
        <v/>
      </c>
    </row>
    <row r="112">
      <c r="A112" s="1" t="n"/>
      <c r="B112" s="34" t="n"/>
      <c r="C112" s="30" t="n"/>
      <c r="D112" s="31" t="n"/>
      <c r="E112" s="35" t="n"/>
      <c r="F112" s="35" t="n"/>
      <c r="G112" s="33" t="n"/>
      <c r="H112" s="1">
        <f>IF(C112="",0,IF(OR(G112="",G112="Split"),(N(E112)-N(F112))*IFERROR(N(INDEX(Kids!$F$6:$F$11,MATCH(C112,Kids!$B$6:$B$11,0))),0),IF(G112="Save",(N(E112)-N(F112)),0)))</f>
        <v/>
      </c>
      <c r="I112">
        <f>IF(C112="",0,(N(E112)-N(F112))-H112-J112)</f>
        <v/>
      </c>
      <c r="J112">
        <f>IF(C112="",0,IF(OR(G112="",G112="Split"),(N(E112)-N(F112))*IFERROR(N(INDEX(Kids!$G$6:$G$11,MATCH(C112,Kids!$B$6:$B$11,0))),0),IF(G112="Give",(N(E112)-N(F112)),0)))</f>
        <v/>
      </c>
      <c r="K112">
        <f>IF(C112="",0,IF(OR(G112="",G112="Split"),N(E112)*IFERROR(N(INDEX(Kids!$F$6:$F$11,MATCH(C112,Kids!$B$6:$B$11,0))),0),IF(G112="Save",N(E112),0)))</f>
        <v/>
      </c>
    </row>
    <row r="113">
      <c r="A113" s="1" t="n"/>
      <c r="B113" s="34" t="n"/>
      <c r="C113" s="30" t="n"/>
      <c r="D113" s="31" t="n"/>
      <c r="E113" s="35" t="n"/>
      <c r="F113" s="35" t="n"/>
      <c r="G113" s="33" t="n"/>
      <c r="H113" s="1">
        <f>IF(C113="",0,IF(OR(G113="",G113="Split"),(N(E113)-N(F113))*IFERROR(N(INDEX(Kids!$F$6:$F$11,MATCH(C113,Kids!$B$6:$B$11,0))),0),IF(G113="Save",(N(E113)-N(F113)),0)))</f>
        <v/>
      </c>
      <c r="I113">
        <f>IF(C113="",0,(N(E113)-N(F113))-H113-J113)</f>
        <v/>
      </c>
      <c r="J113">
        <f>IF(C113="",0,IF(OR(G113="",G113="Split"),(N(E113)-N(F113))*IFERROR(N(INDEX(Kids!$G$6:$G$11,MATCH(C113,Kids!$B$6:$B$11,0))),0),IF(G113="Give",(N(E113)-N(F113)),0)))</f>
        <v/>
      </c>
      <c r="K113">
        <f>IF(C113="",0,IF(OR(G113="",G113="Split"),N(E113)*IFERROR(N(INDEX(Kids!$F$6:$F$11,MATCH(C113,Kids!$B$6:$B$11,0))),0),IF(G113="Save",N(E113),0)))</f>
        <v/>
      </c>
    </row>
    <row r="114">
      <c r="A114" s="1" t="n"/>
      <c r="B114" s="34" t="n"/>
      <c r="C114" s="30" t="n"/>
      <c r="D114" s="31" t="n"/>
      <c r="E114" s="35" t="n"/>
      <c r="F114" s="35" t="n"/>
      <c r="G114" s="33" t="n"/>
      <c r="H114" s="1">
        <f>IF(C114="",0,IF(OR(G114="",G114="Split"),(N(E114)-N(F114))*IFERROR(N(INDEX(Kids!$F$6:$F$11,MATCH(C114,Kids!$B$6:$B$11,0))),0),IF(G114="Save",(N(E114)-N(F114)),0)))</f>
        <v/>
      </c>
      <c r="I114">
        <f>IF(C114="",0,(N(E114)-N(F114))-H114-J114)</f>
        <v/>
      </c>
      <c r="J114">
        <f>IF(C114="",0,IF(OR(G114="",G114="Split"),(N(E114)-N(F114))*IFERROR(N(INDEX(Kids!$G$6:$G$11,MATCH(C114,Kids!$B$6:$B$11,0))),0),IF(G114="Give",(N(E114)-N(F114)),0)))</f>
        <v/>
      </c>
      <c r="K114">
        <f>IF(C114="",0,IF(OR(G114="",G114="Split"),N(E114)*IFERROR(N(INDEX(Kids!$F$6:$F$11,MATCH(C114,Kids!$B$6:$B$11,0))),0),IF(G114="Save",N(E114),0)))</f>
        <v/>
      </c>
    </row>
    <row r="115">
      <c r="A115" s="1" t="n"/>
      <c r="B115" s="34" t="n"/>
      <c r="C115" s="30" t="n"/>
      <c r="D115" s="31" t="n"/>
      <c r="E115" s="35" t="n"/>
      <c r="F115" s="35" t="n"/>
      <c r="G115" s="33" t="n"/>
      <c r="H115" s="1">
        <f>IF(C115="",0,IF(OR(G115="",G115="Split"),(N(E115)-N(F115))*IFERROR(N(INDEX(Kids!$F$6:$F$11,MATCH(C115,Kids!$B$6:$B$11,0))),0),IF(G115="Save",(N(E115)-N(F115)),0)))</f>
        <v/>
      </c>
      <c r="I115">
        <f>IF(C115="",0,(N(E115)-N(F115))-H115-J115)</f>
        <v/>
      </c>
      <c r="J115">
        <f>IF(C115="",0,IF(OR(G115="",G115="Split"),(N(E115)-N(F115))*IFERROR(N(INDEX(Kids!$G$6:$G$11,MATCH(C115,Kids!$B$6:$B$11,0))),0),IF(G115="Give",(N(E115)-N(F115)),0)))</f>
        <v/>
      </c>
      <c r="K115">
        <f>IF(C115="",0,IF(OR(G115="",G115="Split"),N(E115)*IFERROR(N(INDEX(Kids!$F$6:$F$11,MATCH(C115,Kids!$B$6:$B$11,0))),0),IF(G115="Save",N(E115),0)))</f>
        <v/>
      </c>
    </row>
    <row r="116">
      <c r="A116" s="1" t="n"/>
      <c r="B116" s="34" t="n"/>
      <c r="C116" s="30" t="n"/>
      <c r="D116" s="31" t="n"/>
      <c r="E116" s="35" t="n"/>
      <c r="F116" s="35" t="n"/>
      <c r="G116" s="33" t="n"/>
      <c r="H116" s="1">
        <f>IF(C116="",0,IF(OR(G116="",G116="Split"),(N(E116)-N(F116))*IFERROR(N(INDEX(Kids!$F$6:$F$11,MATCH(C116,Kids!$B$6:$B$11,0))),0),IF(G116="Save",(N(E116)-N(F116)),0)))</f>
        <v/>
      </c>
      <c r="I116">
        <f>IF(C116="",0,(N(E116)-N(F116))-H116-J116)</f>
        <v/>
      </c>
      <c r="J116">
        <f>IF(C116="",0,IF(OR(G116="",G116="Split"),(N(E116)-N(F116))*IFERROR(N(INDEX(Kids!$G$6:$G$11,MATCH(C116,Kids!$B$6:$B$11,0))),0),IF(G116="Give",(N(E116)-N(F116)),0)))</f>
        <v/>
      </c>
      <c r="K116">
        <f>IF(C116="",0,IF(OR(G116="",G116="Split"),N(E116)*IFERROR(N(INDEX(Kids!$F$6:$F$11,MATCH(C116,Kids!$B$6:$B$11,0))),0),IF(G116="Save",N(E116),0)))</f>
        <v/>
      </c>
    </row>
    <row r="117">
      <c r="A117" s="1" t="n"/>
      <c r="B117" s="34" t="n"/>
      <c r="C117" s="30" t="n"/>
      <c r="D117" s="31" t="n"/>
      <c r="E117" s="35" t="n"/>
      <c r="F117" s="35" t="n"/>
      <c r="G117" s="33" t="n"/>
      <c r="H117" s="1">
        <f>IF(C117="",0,IF(OR(G117="",G117="Split"),(N(E117)-N(F117))*IFERROR(N(INDEX(Kids!$F$6:$F$11,MATCH(C117,Kids!$B$6:$B$11,0))),0),IF(G117="Save",(N(E117)-N(F117)),0)))</f>
        <v/>
      </c>
      <c r="I117">
        <f>IF(C117="",0,(N(E117)-N(F117))-H117-J117)</f>
        <v/>
      </c>
      <c r="J117">
        <f>IF(C117="",0,IF(OR(G117="",G117="Split"),(N(E117)-N(F117))*IFERROR(N(INDEX(Kids!$G$6:$G$11,MATCH(C117,Kids!$B$6:$B$11,0))),0),IF(G117="Give",(N(E117)-N(F117)),0)))</f>
        <v/>
      </c>
      <c r="K117">
        <f>IF(C117="",0,IF(OR(G117="",G117="Split"),N(E117)*IFERROR(N(INDEX(Kids!$F$6:$F$11,MATCH(C117,Kids!$B$6:$B$11,0))),0),IF(G117="Save",N(E117),0)))</f>
        <v/>
      </c>
    </row>
    <row r="118">
      <c r="A118" s="1" t="n"/>
      <c r="B118" s="34" t="n"/>
      <c r="C118" s="30" t="n"/>
      <c r="D118" s="31" t="n"/>
      <c r="E118" s="35" t="n"/>
      <c r="F118" s="35" t="n"/>
      <c r="G118" s="33" t="n"/>
      <c r="H118" s="1">
        <f>IF(C118="",0,IF(OR(G118="",G118="Split"),(N(E118)-N(F118))*IFERROR(N(INDEX(Kids!$F$6:$F$11,MATCH(C118,Kids!$B$6:$B$11,0))),0),IF(G118="Save",(N(E118)-N(F118)),0)))</f>
        <v/>
      </c>
      <c r="I118">
        <f>IF(C118="",0,(N(E118)-N(F118))-H118-J118)</f>
        <v/>
      </c>
      <c r="J118">
        <f>IF(C118="",0,IF(OR(G118="",G118="Split"),(N(E118)-N(F118))*IFERROR(N(INDEX(Kids!$G$6:$G$11,MATCH(C118,Kids!$B$6:$B$11,0))),0),IF(G118="Give",(N(E118)-N(F118)),0)))</f>
        <v/>
      </c>
      <c r="K118">
        <f>IF(C118="",0,IF(OR(G118="",G118="Split"),N(E118)*IFERROR(N(INDEX(Kids!$F$6:$F$11,MATCH(C118,Kids!$B$6:$B$11,0))),0),IF(G118="Save",N(E118),0)))</f>
        <v/>
      </c>
    </row>
    <row r="119">
      <c r="A119" s="1" t="n"/>
      <c r="B119" s="34" t="n"/>
      <c r="C119" s="30" t="n"/>
      <c r="D119" s="31" t="n"/>
      <c r="E119" s="35" t="n"/>
      <c r="F119" s="35" t="n"/>
      <c r="G119" s="33" t="n"/>
      <c r="H119" s="1">
        <f>IF(C119="",0,IF(OR(G119="",G119="Split"),(N(E119)-N(F119))*IFERROR(N(INDEX(Kids!$F$6:$F$11,MATCH(C119,Kids!$B$6:$B$11,0))),0),IF(G119="Save",(N(E119)-N(F119)),0)))</f>
        <v/>
      </c>
      <c r="I119">
        <f>IF(C119="",0,(N(E119)-N(F119))-H119-J119)</f>
        <v/>
      </c>
      <c r="J119">
        <f>IF(C119="",0,IF(OR(G119="",G119="Split"),(N(E119)-N(F119))*IFERROR(N(INDEX(Kids!$G$6:$G$11,MATCH(C119,Kids!$B$6:$B$11,0))),0),IF(G119="Give",(N(E119)-N(F119)),0)))</f>
        <v/>
      </c>
      <c r="K119">
        <f>IF(C119="",0,IF(OR(G119="",G119="Split"),N(E119)*IFERROR(N(INDEX(Kids!$F$6:$F$11,MATCH(C119,Kids!$B$6:$B$11,0))),0),IF(G119="Save",N(E119),0)))</f>
        <v/>
      </c>
    </row>
    <row r="120">
      <c r="A120" s="1" t="n"/>
      <c r="B120" s="34" t="n"/>
      <c r="C120" s="30" t="n"/>
      <c r="D120" s="31" t="n"/>
      <c r="E120" s="35" t="n"/>
      <c r="F120" s="35" t="n"/>
      <c r="G120" s="33" t="n"/>
      <c r="H120" s="1">
        <f>IF(C120="",0,IF(OR(G120="",G120="Split"),(N(E120)-N(F120))*IFERROR(N(INDEX(Kids!$F$6:$F$11,MATCH(C120,Kids!$B$6:$B$11,0))),0),IF(G120="Save",(N(E120)-N(F120)),0)))</f>
        <v/>
      </c>
      <c r="I120">
        <f>IF(C120="",0,(N(E120)-N(F120))-H120-J120)</f>
        <v/>
      </c>
      <c r="J120">
        <f>IF(C120="",0,IF(OR(G120="",G120="Split"),(N(E120)-N(F120))*IFERROR(N(INDEX(Kids!$G$6:$G$11,MATCH(C120,Kids!$B$6:$B$11,0))),0),IF(G120="Give",(N(E120)-N(F120)),0)))</f>
        <v/>
      </c>
      <c r="K120">
        <f>IF(C120="",0,IF(OR(G120="",G120="Split"),N(E120)*IFERROR(N(INDEX(Kids!$F$6:$F$11,MATCH(C120,Kids!$B$6:$B$11,0))),0),IF(G120="Save",N(E120),0)))</f>
        <v/>
      </c>
    </row>
    <row r="121">
      <c r="A121" s="1" t="n"/>
      <c r="B121" s="34" t="n"/>
      <c r="C121" s="30" t="n"/>
      <c r="D121" s="31" t="n"/>
      <c r="E121" s="35" t="n"/>
      <c r="F121" s="35" t="n"/>
      <c r="G121" s="33" t="n"/>
      <c r="H121" s="1">
        <f>IF(C121="",0,IF(OR(G121="",G121="Split"),(N(E121)-N(F121))*IFERROR(N(INDEX(Kids!$F$6:$F$11,MATCH(C121,Kids!$B$6:$B$11,0))),0),IF(G121="Save",(N(E121)-N(F121)),0)))</f>
        <v/>
      </c>
      <c r="I121">
        <f>IF(C121="",0,(N(E121)-N(F121))-H121-J121)</f>
        <v/>
      </c>
      <c r="J121">
        <f>IF(C121="",0,IF(OR(G121="",G121="Split"),(N(E121)-N(F121))*IFERROR(N(INDEX(Kids!$G$6:$G$11,MATCH(C121,Kids!$B$6:$B$11,0))),0),IF(G121="Give",(N(E121)-N(F121)),0)))</f>
        <v/>
      </c>
      <c r="K121">
        <f>IF(C121="",0,IF(OR(G121="",G121="Split"),N(E121)*IFERROR(N(INDEX(Kids!$F$6:$F$11,MATCH(C121,Kids!$B$6:$B$11,0))),0),IF(G121="Save",N(E121),0)))</f>
        <v/>
      </c>
    </row>
    <row r="122">
      <c r="A122" s="1" t="n"/>
      <c r="B122" s="34" t="n"/>
      <c r="C122" s="30" t="n"/>
      <c r="D122" s="31" t="n"/>
      <c r="E122" s="35" t="n"/>
      <c r="F122" s="35" t="n"/>
      <c r="G122" s="33" t="n"/>
      <c r="H122" s="1">
        <f>IF(C122="",0,IF(OR(G122="",G122="Split"),(N(E122)-N(F122))*IFERROR(N(INDEX(Kids!$F$6:$F$11,MATCH(C122,Kids!$B$6:$B$11,0))),0),IF(G122="Save",(N(E122)-N(F122)),0)))</f>
        <v/>
      </c>
      <c r="I122">
        <f>IF(C122="",0,(N(E122)-N(F122))-H122-J122)</f>
        <v/>
      </c>
      <c r="J122">
        <f>IF(C122="",0,IF(OR(G122="",G122="Split"),(N(E122)-N(F122))*IFERROR(N(INDEX(Kids!$G$6:$G$11,MATCH(C122,Kids!$B$6:$B$11,0))),0),IF(G122="Give",(N(E122)-N(F122)),0)))</f>
        <v/>
      </c>
      <c r="K122">
        <f>IF(C122="",0,IF(OR(G122="",G122="Split"),N(E122)*IFERROR(N(INDEX(Kids!$F$6:$F$11,MATCH(C122,Kids!$B$6:$B$11,0))),0),IF(G122="Save",N(E122),0)))</f>
        <v/>
      </c>
    </row>
    <row r="123">
      <c r="A123" s="1" t="n"/>
      <c r="B123" s="34" t="n"/>
      <c r="C123" s="30" t="n"/>
      <c r="D123" s="31" t="n"/>
      <c r="E123" s="35" t="n"/>
      <c r="F123" s="35" t="n"/>
      <c r="G123" s="33" t="n"/>
      <c r="H123" s="1">
        <f>IF(C123="",0,IF(OR(G123="",G123="Split"),(N(E123)-N(F123))*IFERROR(N(INDEX(Kids!$F$6:$F$11,MATCH(C123,Kids!$B$6:$B$11,0))),0),IF(G123="Save",(N(E123)-N(F123)),0)))</f>
        <v/>
      </c>
      <c r="I123">
        <f>IF(C123="",0,(N(E123)-N(F123))-H123-J123)</f>
        <v/>
      </c>
      <c r="J123">
        <f>IF(C123="",0,IF(OR(G123="",G123="Split"),(N(E123)-N(F123))*IFERROR(N(INDEX(Kids!$G$6:$G$11,MATCH(C123,Kids!$B$6:$B$11,0))),0),IF(G123="Give",(N(E123)-N(F123)),0)))</f>
        <v/>
      </c>
      <c r="K123">
        <f>IF(C123="",0,IF(OR(G123="",G123="Split"),N(E123)*IFERROR(N(INDEX(Kids!$F$6:$F$11,MATCH(C123,Kids!$B$6:$B$11,0))),0),IF(G123="Save",N(E123),0)))</f>
        <v/>
      </c>
    </row>
    <row r="124">
      <c r="A124" s="1" t="n"/>
      <c r="B124" s="34" t="n"/>
      <c r="C124" s="30" t="n"/>
      <c r="D124" s="31" t="n"/>
      <c r="E124" s="35" t="n"/>
      <c r="F124" s="35" t="n"/>
      <c r="G124" s="33" t="n"/>
      <c r="H124" s="1">
        <f>IF(C124="",0,IF(OR(G124="",G124="Split"),(N(E124)-N(F124))*IFERROR(N(INDEX(Kids!$F$6:$F$11,MATCH(C124,Kids!$B$6:$B$11,0))),0),IF(G124="Save",(N(E124)-N(F124)),0)))</f>
        <v/>
      </c>
      <c r="I124">
        <f>IF(C124="",0,(N(E124)-N(F124))-H124-J124)</f>
        <v/>
      </c>
      <c r="J124">
        <f>IF(C124="",0,IF(OR(G124="",G124="Split"),(N(E124)-N(F124))*IFERROR(N(INDEX(Kids!$G$6:$G$11,MATCH(C124,Kids!$B$6:$B$11,0))),0),IF(G124="Give",(N(E124)-N(F124)),0)))</f>
        <v/>
      </c>
      <c r="K124">
        <f>IF(C124="",0,IF(OR(G124="",G124="Split"),N(E124)*IFERROR(N(INDEX(Kids!$F$6:$F$11,MATCH(C124,Kids!$B$6:$B$11,0))),0),IF(G124="Save",N(E124),0)))</f>
        <v/>
      </c>
    </row>
    <row r="125">
      <c r="A125" s="1" t="n"/>
      <c r="B125" s="34" t="n"/>
      <c r="C125" s="30" t="n"/>
      <c r="D125" s="31" t="n"/>
      <c r="E125" s="35" t="n"/>
      <c r="F125" s="35" t="n"/>
      <c r="G125" s="33" t="n"/>
      <c r="H125" s="1">
        <f>IF(C125="",0,IF(OR(G125="",G125="Split"),(N(E125)-N(F125))*IFERROR(N(INDEX(Kids!$F$6:$F$11,MATCH(C125,Kids!$B$6:$B$11,0))),0),IF(G125="Save",(N(E125)-N(F125)),0)))</f>
        <v/>
      </c>
      <c r="I125">
        <f>IF(C125="",0,(N(E125)-N(F125))-H125-J125)</f>
        <v/>
      </c>
      <c r="J125">
        <f>IF(C125="",0,IF(OR(G125="",G125="Split"),(N(E125)-N(F125))*IFERROR(N(INDEX(Kids!$G$6:$G$11,MATCH(C125,Kids!$B$6:$B$11,0))),0),IF(G125="Give",(N(E125)-N(F125)),0)))</f>
        <v/>
      </c>
      <c r="K125">
        <f>IF(C125="",0,IF(OR(G125="",G125="Split"),N(E125)*IFERROR(N(INDEX(Kids!$F$6:$F$11,MATCH(C125,Kids!$B$6:$B$11,0))),0),IF(G125="Save",N(E125),0)))</f>
        <v/>
      </c>
    </row>
    <row r="126">
      <c r="A126" s="1" t="n"/>
      <c r="B126" s="34" t="n"/>
      <c r="C126" s="30" t="n"/>
      <c r="D126" s="31" t="n"/>
      <c r="E126" s="35" t="n"/>
      <c r="F126" s="35" t="n"/>
      <c r="G126" s="33" t="n"/>
      <c r="H126" s="1">
        <f>IF(C126="",0,IF(OR(G126="",G126="Split"),(N(E126)-N(F126))*IFERROR(N(INDEX(Kids!$F$6:$F$11,MATCH(C126,Kids!$B$6:$B$11,0))),0),IF(G126="Save",(N(E126)-N(F126)),0)))</f>
        <v/>
      </c>
      <c r="I126">
        <f>IF(C126="",0,(N(E126)-N(F126))-H126-J126)</f>
        <v/>
      </c>
      <c r="J126">
        <f>IF(C126="",0,IF(OR(G126="",G126="Split"),(N(E126)-N(F126))*IFERROR(N(INDEX(Kids!$G$6:$G$11,MATCH(C126,Kids!$B$6:$B$11,0))),0),IF(G126="Give",(N(E126)-N(F126)),0)))</f>
        <v/>
      </c>
      <c r="K126">
        <f>IF(C126="",0,IF(OR(G126="",G126="Split"),N(E126)*IFERROR(N(INDEX(Kids!$F$6:$F$11,MATCH(C126,Kids!$B$6:$B$11,0))),0),IF(G126="Save",N(E126),0)))</f>
        <v/>
      </c>
    </row>
    <row r="127">
      <c r="A127" s="1" t="n"/>
      <c r="B127" s="34" t="n"/>
      <c r="C127" s="30" t="n"/>
      <c r="D127" s="31" t="n"/>
      <c r="E127" s="35" t="n"/>
      <c r="F127" s="35" t="n"/>
      <c r="G127" s="33" t="n"/>
      <c r="H127" s="1">
        <f>IF(C127="",0,IF(OR(G127="",G127="Split"),(N(E127)-N(F127))*IFERROR(N(INDEX(Kids!$F$6:$F$11,MATCH(C127,Kids!$B$6:$B$11,0))),0),IF(G127="Save",(N(E127)-N(F127)),0)))</f>
        <v/>
      </c>
      <c r="I127">
        <f>IF(C127="",0,(N(E127)-N(F127))-H127-J127)</f>
        <v/>
      </c>
      <c r="J127">
        <f>IF(C127="",0,IF(OR(G127="",G127="Split"),(N(E127)-N(F127))*IFERROR(N(INDEX(Kids!$G$6:$G$11,MATCH(C127,Kids!$B$6:$B$11,0))),0),IF(G127="Give",(N(E127)-N(F127)),0)))</f>
        <v/>
      </c>
      <c r="K127">
        <f>IF(C127="",0,IF(OR(G127="",G127="Split"),N(E127)*IFERROR(N(INDEX(Kids!$F$6:$F$11,MATCH(C127,Kids!$B$6:$B$11,0))),0),IF(G127="Save",N(E127),0)))</f>
        <v/>
      </c>
    </row>
    <row r="128">
      <c r="A128" s="1" t="n"/>
      <c r="B128" s="34" t="n"/>
      <c r="C128" s="30" t="n"/>
      <c r="D128" s="31" t="n"/>
      <c r="E128" s="35" t="n"/>
      <c r="F128" s="35" t="n"/>
      <c r="G128" s="33" t="n"/>
      <c r="H128" s="1">
        <f>IF(C128="",0,IF(OR(G128="",G128="Split"),(N(E128)-N(F128))*IFERROR(N(INDEX(Kids!$F$6:$F$11,MATCH(C128,Kids!$B$6:$B$11,0))),0),IF(G128="Save",(N(E128)-N(F128)),0)))</f>
        <v/>
      </c>
      <c r="I128">
        <f>IF(C128="",0,(N(E128)-N(F128))-H128-J128)</f>
        <v/>
      </c>
      <c r="J128">
        <f>IF(C128="",0,IF(OR(G128="",G128="Split"),(N(E128)-N(F128))*IFERROR(N(INDEX(Kids!$G$6:$G$11,MATCH(C128,Kids!$B$6:$B$11,0))),0),IF(G128="Give",(N(E128)-N(F128)),0)))</f>
        <v/>
      </c>
      <c r="K128">
        <f>IF(C128="",0,IF(OR(G128="",G128="Split"),N(E128)*IFERROR(N(INDEX(Kids!$F$6:$F$11,MATCH(C128,Kids!$B$6:$B$11,0))),0),IF(G128="Save",N(E128),0)))</f>
        <v/>
      </c>
    </row>
    <row r="129">
      <c r="A129" s="1" t="n"/>
      <c r="B129" s="34" t="n"/>
      <c r="C129" s="30" t="n"/>
      <c r="D129" s="31" t="n"/>
      <c r="E129" s="35" t="n"/>
      <c r="F129" s="35" t="n"/>
      <c r="G129" s="33" t="n"/>
      <c r="H129" s="1">
        <f>IF(C129="",0,IF(OR(G129="",G129="Split"),(N(E129)-N(F129))*IFERROR(N(INDEX(Kids!$F$6:$F$11,MATCH(C129,Kids!$B$6:$B$11,0))),0),IF(G129="Save",(N(E129)-N(F129)),0)))</f>
        <v/>
      </c>
      <c r="I129">
        <f>IF(C129="",0,(N(E129)-N(F129))-H129-J129)</f>
        <v/>
      </c>
      <c r="J129">
        <f>IF(C129="",0,IF(OR(G129="",G129="Split"),(N(E129)-N(F129))*IFERROR(N(INDEX(Kids!$G$6:$G$11,MATCH(C129,Kids!$B$6:$B$11,0))),0),IF(G129="Give",(N(E129)-N(F129)),0)))</f>
        <v/>
      </c>
      <c r="K129">
        <f>IF(C129="",0,IF(OR(G129="",G129="Split"),N(E129)*IFERROR(N(INDEX(Kids!$F$6:$F$11,MATCH(C129,Kids!$B$6:$B$11,0))),0),IF(G129="Save",N(E129),0)))</f>
        <v/>
      </c>
    </row>
    <row r="130">
      <c r="A130" s="1" t="n"/>
      <c r="B130" s="34" t="n"/>
      <c r="C130" s="30" t="n"/>
      <c r="D130" s="31" t="n"/>
      <c r="E130" s="35" t="n"/>
      <c r="F130" s="35" t="n"/>
      <c r="G130" s="33" t="n"/>
      <c r="H130" s="1">
        <f>IF(C130="",0,IF(OR(G130="",G130="Split"),(N(E130)-N(F130))*IFERROR(N(INDEX(Kids!$F$6:$F$11,MATCH(C130,Kids!$B$6:$B$11,0))),0),IF(G130="Save",(N(E130)-N(F130)),0)))</f>
        <v/>
      </c>
      <c r="I130">
        <f>IF(C130="",0,(N(E130)-N(F130))-H130-J130)</f>
        <v/>
      </c>
      <c r="J130">
        <f>IF(C130="",0,IF(OR(G130="",G130="Split"),(N(E130)-N(F130))*IFERROR(N(INDEX(Kids!$G$6:$G$11,MATCH(C130,Kids!$B$6:$B$11,0))),0),IF(G130="Give",(N(E130)-N(F130)),0)))</f>
        <v/>
      </c>
      <c r="K130">
        <f>IF(C130="",0,IF(OR(G130="",G130="Split"),N(E130)*IFERROR(N(INDEX(Kids!$F$6:$F$11,MATCH(C130,Kids!$B$6:$B$11,0))),0),IF(G130="Save",N(E130),0)))</f>
        <v/>
      </c>
    </row>
    <row r="131">
      <c r="A131" s="1" t="n"/>
      <c r="B131" s="34" t="n"/>
      <c r="C131" s="30" t="n"/>
      <c r="D131" s="31" t="n"/>
      <c r="E131" s="35" t="n"/>
      <c r="F131" s="35" t="n"/>
      <c r="G131" s="33" t="n"/>
      <c r="H131" s="1">
        <f>IF(C131="",0,IF(OR(G131="",G131="Split"),(N(E131)-N(F131))*IFERROR(N(INDEX(Kids!$F$6:$F$11,MATCH(C131,Kids!$B$6:$B$11,0))),0),IF(G131="Save",(N(E131)-N(F131)),0)))</f>
        <v/>
      </c>
      <c r="I131">
        <f>IF(C131="",0,(N(E131)-N(F131))-H131-J131)</f>
        <v/>
      </c>
      <c r="J131">
        <f>IF(C131="",0,IF(OR(G131="",G131="Split"),(N(E131)-N(F131))*IFERROR(N(INDEX(Kids!$G$6:$G$11,MATCH(C131,Kids!$B$6:$B$11,0))),0),IF(G131="Give",(N(E131)-N(F131)),0)))</f>
        <v/>
      </c>
      <c r="K131">
        <f>IF(C131="",0,IF(OR(G131="",G131="Split"),N(E131)*IFERROR(N(INDEX(Kids!$F$6:$F$11,MATCH(C131,Kids!$B$6:$B$11,0))),0),IF(G131="Save",N(E131),0)))</f>
        <v/>
      </c>
    </row>
    <row r="132">
      <c r="A132" s="1" t="n"/>
      <c r="B132" s="34" t="n"/>
      <c r="C132" s="30" t="n"/>
      <c r="D132" s="31" t="n"/>
      <c r="E132" s="35" t="n"/>
      <c r="F132" s="35" t="n"/>
      <c r="G132" s="33" t="n"/>
      <c r="H132" s="1">
        <f>IF(C132="",0,IF(OR(G132="",G132="Split"),(N(E132)-N(F132))*IFERROR(N(INDEX(Kids!$F$6:$F$11,MATCH(C132,Kids!$B$6:$B$11,0))),0),IF(G132="Save",(N(E132)-N(F132)),0)))</f>
        <v/>
      </c>
      <c r="I132">
        <f>IF(C132="",0,(N(E132)-N(F132))-H132-J132)</f>
        <v/>
      </c>
      <c r="J132">
        <f>IF(C132="",0,IF(OR(G132="",G132="Split"),(N(E132)-N(F132))*IFERROR(N(INDEX(Kids!$G$6:$G$11,MATCH(C132,Kids!$B$6:$B$11,0))),0),IF(G132="Give",(N(E132)-N(F132)),0)))</f>
        <v/>
      </c>
      <c r="K132">
        <f>IF(C132="",0,IF(OR(G132="",G132="Split"),N(E132)*IFERROR(N(INDEX(Kids!$F$6:$F$11,MATCH(C132,Kids!$B$6:$B$11,0))),0),IF(G132="Save",N(E132),0)))</f>
        <v/>
      </c>
    </row>
    <row r="133">
      <c r="A133" s="1" t="n"/>
      <c r="B133" s="34" t="n"/>
      <c r="C133" s="30" t="n"/>
      <c r="D133" s="31" t="n"/>
      <c r="E133" s="35" t="n"/>
      <c r="F133" s="35" t="n"/>
      <c r="G133" s="33" t="n"/>
      <c r="H133" s="1">
        <f>IF(C133="",0,IF(OR(G133="",G133="Split"),(N(E133)-N(F133))*IFERROR(N(INDEX(Kids!$F$6:$F$11,MATCH(C133,Kids!$B$6:$B$11,0))),0),IF(G133="Save",(N(E133)-N(F133)),0)))</f>
        <v/>
      </c>
      <c r="I133">
        <f>IF(C133="",0,(N(E133)-N(F133))-H133-J133)</f>
        <v/>
      </c>
      <c r="J133">
        <f>IF(C133="",0,IF(OR(G133="",G133="Split"),(N(E133)-N(F133))*IFERROR(N(INDEX(Kids!$G$6:$G$11,MATCH(C133,Kids!$B$6:$B$11,0))),0),IF(G133="Give",(N(E133)-N(F133)),0)))</f>
        <v/>
      </c>
      <c r="K133">
        <f>IF(C133="",0,IF(OR(G133="",G133="Split"),N(E133)*IFERROR(N(INDEX(Kids!$F$6:$F$11,MATCH(C133,Kids!$B$6:$B$11,0))),0),IF(G133="Save",N(E133),0)))</f>
        <v/>
      </c>
    </row>
    <row r="134">
      <c r="A134" s="1" t="n"/>
      <c r="B134" s="34" t="n"/>
      <c r="C134" s="30" t="n"/>
      <c r="D134" s="31" t="n"/>
      <c r="E134" s="35" t="n"/>
      <c r="F134" s="35" t="n"/>
      <c r="G134" s="33" t="n"/>
      <c r="H134" s="1">
        <f>IF(C134="",0,IF(OR(G134="",G134="Split"),(N(E134)-N(F134))*IFERROR(N(INDEX(Kids!$F$6:$F$11,MATCH(C134,Kids!$B$6:$B$11,0))),0),IF(G134="Save",(N(E134)-N(F134)),0)))</f>
        <v/>
      </c>
      <c r="I134">
        <f>IF(C134="",0,(N(E134)-N(F134))-H134-J134)</f>
        <v/>
      </c>
      <c r="J134">
        <f>IF(C134="",0,IF(OR(G134="",G134="Split"),(N(E134)-N(F134))*IFERROR(N(INDEX(Kids!$G$6:$G$11,MATCH(C134,Kids!$B$6:$B$11,0))),0),IF(G134="Give",(N(E134)-N(F134)),0)))</f>
        <v/>
      </c>
      <c r="K134">
        <f>IF(C134="",0,IF(OR(G134="",G134="Split"),N(E134)*IFERROR(N(INDEX(Kids!$F$6:$F$11,MATCH(C134,Kids!$B$6:$B$11,0))),0),IF(G134="Save",N(E134),0)))</f>
        <v/>
      </c>
    </row>
    <row r="135">
      <c r="A135" s="1" t="n"/>
      <c r="B135" s="34" t="n"/>
      <c r="C135" s="30" t="n"/>
      <c r="D135" s="31" t="n"/>
      <c r="E135" s="35" t="n"/>
      <c r="F135" s="35" t="n"/>
      <c r="G135" s="33" t="n"/>
      <c r="H135" s="1">
        <f>IF(C135="",0,IF(OR(G135="",G135="Split"),(N(E135)-N(F135))*IFERROR(N(INDEX(Kids!$F$6:$F$11,MATCH(C135,Kids!$B$6:$B$11,0))),0),IF(G135="Save",(N(E135)-N(F135)),0)))</f>
        <v/>
      </c>
      <c r="I135">
        <f>IF(C135="",0,(N(E135)-N(F135))-H135-J135)</f>
        <v/>
      </c>
      <c r="J135">
        <f>IF(C135="",0,IF(OR(G135="",G135="Split"),(N(E135)-N(F135))*IFERROR(N(INDEX(Kids!$G$6:$G$11,MATCH(C135,Kids!$B$6:$B$11,0))),0),IF(G135="Give",(N(E135)-N(F135)),0)))</f>
        <v/>
      </c>
      <c r="K135">
        <f>IF(C135="",0,IF(OR(G135="",G135="Split"),N(E135)*IFERROR(N(INDEX(Kids!$F$6:$F$11,MATCH(C135,Kids!$B$6:$B$11,0))),0),IF(G135="Save",N(E135),0)))</f>
        <v/>
      </c>
    </row>
    <row r="136">
      <c r="A136" s="1" t="n"/>
      <c r="B136" s="34" t="n"/>
      <c r="C136" s="30" t="n"/>
      <c r="D136" s="31" t="n"/>
      <c r="E136" s="35" t="n"/>
      <c r="F136" s="35" t="n"/>
      <c r="G136" s="33" t="n"/>
      <c r="H136" s="1">
        <f>IF(C136="",0,IF(OR(G136="",G136="Split"),(N(E136)-N(F136))*IFERROR(N(INDEX(Kids!$F$6:$F$11,MATCH(C136,Kids!$B$6:$B$11,0))),0),IF(G136="Save",(N(E136)-N(F136)),0)))</f>
        <v/>
      </c>
      <c r="I136">
        <f>IF(C136="",0,(N(E136)-N(F136))-H136-J136)</f>
        <v/>
      </c>
      <c r="J136">
        <f>IF(C136="",0,IF(OR(G136="",G136="Split"),(N(E136)-N(F136))*IFERROR(N(INDEX(Kids!$G$6:$G$11,MATCH(C136,Kids!$B$6:$B$11,0))),0),IF(G136="Give",(N(E136)-N(F136)),0)))</f>
        <v/>
      </c>
      <c r="K136">
        <f>IF(C136="",0,IF(OR(G136="",G136="Split"),N(E136)*IFERROR(N(INDEX(Kids!$F$6:$F$11,MATCH(C136,Kids!$B$6:$B$11,0))),0),IF(G136="Save",N(E136),0)))</f>
        <v/>
      </c>
    </row>
    <row r="137">
      <c r="A137" s="1" t="n"/>
      <c r="B137" s="34" t="n"/>
      <c r="C137" s="30" t="n"/>
      <c r="D137" s="31" t="n"/>
      <c r="E137" s="35" t="n"/>
      <c r="F137" s="35" t="n"/>
      <c r="G137" s="33" t="n"/>
      <c r="H137" s="1">
        <f>IF(C137="",0,IF(OR(G137="",G137="Split"),(N(E137)-N(F137))*IFERROR(N(INDEX(Kids!$F$6:$F$11,MATCH(C137,Kids!$B$6:$B$11,0))),0),IF(G137="Save",(N(E137)-N(F137)),0)))</f>
        <v/>
      </c>
      <c r="I137">
        <f>IF(C137="",0,(N(E137)-N(F137))-H137-J137)</f>
        <v/>
      </c>
      <c r="J137">
        <f>IF(C137="",0,IF(OR(G137="",G137="Split"),(N(E137)-N(F137))*IFERROR(N(INDEX(Kids!$G$6:$G$11,MATCH(C137,Kids!$B$6:$B$11,0))),0),IF(G137="Give",(N(E137)-N(F137)),0)))</f>
        <v/>
      </c>
      <c r="K137">
        <f>IF(C137="",0,IF(OR(G137="",G137="Split"),N(E137)*IFERROR(N(INDEX(Kids!$F$6:$F$11,MATCH(C137,Kids!$B$6:$B$11,0))),0),IF(G137="Save",N(E137),0)))</f>
        <v/>
      </c>
    </row>
    <row r="138">
      <c r="A138" s="1" t="n"/>
      <c r="B138" s="34" t="n"/>
      <c r="C138" s="30" t="n"/>
      <c r="D138" s="31" t="n"/>
      <c r="E138" s="35" t="n"/>
      <c r="F138" s="35" t="n"/>
      <c r="G138" s="33" t="n"/>
      <c r="H138" s="1">
        <f>IF(C138="",0,IF(OR(G138="",G138="Split"),(N(E138)-N(F138))*IFERROR(N(INDEX(Kids!$F$6:$F$11,MATCH(C138,Kids!$B$6:$B$11,0))),0),IF(G138="Save",(N(E138)-N(F138)),0)))</f>
        <v/>
      </c>
      <c r="I138">
        <f>IF(C138="",0,(N(E138)-N(F138))-H138-J138)</f>
        <v/>
      </c>
      <c r="J138">
        <f>IF(C138="",0,IF(OR(G138="",G138="Split"),(N(E138)-N(F138))*IFERROR(N(INDEX(Kids!$G$6:$G$11,MATCH(C138,Kids!$B$6:$B$11,0))),0),IF(G138="Give",(N(E138)-N(F138)),0)))</f>
        <v/>
      </c>
      <c r="K138">
        <f>IF(C138="",0,IF(OR(G138="",G138="Split"),N(E138)*IFERROR(N(INDEX(Kids!$F$6:$F$11,MATCH(C138,Kids!$B$6:$B$11,0))),0),IF(G138="Save",N(E138),0)))</f>
        <v/>
      </c>
    </row>
    <row r="139">
      <c r="A139" s="1" t="n"/>
      <c r="B139" s="34" t="n"/>
      <c r="C139" s="30" t="n"/>
      <c r="D139" s="31" t="n"/>
      <c r="E139" s="35" t="n"/>
      <c r="F139" s="35" t="n"/>
      <c r="G139" s="33" t="n"/>
      <c r="H139" s="1">
        <f>IF(C139="",0,IF(OR(G139="",G139="Split"),(N(E139)-N(F139))*IFERROR(N(INDEX(Kids!$F$6:$F$11,MATCH(C139,Kids!$B$6:$B$11,0))),0),IF(G139="Save",(N(E139)-N(F139)),0)))</f>
        <v/>
      </c>
      <c r="I139">
        <f>IF(C139="",0,(N(E139)-N(F139))-H139-J139)</f>
        <v/>
      </c>
      <c r="J139">
        <f>IF(C139="",0,IF(OR(G139="",G139="Split"),(N(E139)-N(F139))*IFERROR(N(INDEX(Kids!$G$6:$G$11,MATCH(C139,Kids!$B$6:$B$11,0))),0),IF(G139="Give",(N(E139)-N(F139)),0)))</f>
        <v/>
      </c>
      <c r="K139">
        <f>IF(C139="",0,IF(OR(G139="",G139="Split"),N(E139)*IFERROR(N(INDEX(Kids!$F$6:$F$11,MATCH(C139,Kids!$B$6:$B$11,0))),0),IF(G139="Save",N(E139),0)))</f>
        <v/>
      </c>
    </row>
    <row r="140">
      <c r="A140" s="1" t="n"/>
      <c r="B140" s="34" t="n"/>
      <c r="C140" s="30" t="n"/>
      <c r="D140" s="31" t="n"/>
      <c r="E140" s="35" t="n"/>
      <c r="F140" s="35" t="n"/>
      <c r="G140" s="33" t="n"/>
      <c r="H140" s="1">
        <f>IF(C140="",0,IF(OR(G140="",G140="Split"),(N(E140)-N(F140))*IFERROR(N(INDEX(Kids!$F$6:$F$11,MATCH(C140,Kids!$B$6:$B$11,0))),0),IF(G140="Save",(N(E140)-N(F140)),0)))</f>
        <v/>
      </c>
      <c r="I140">
        <f>IF(C140="",0,(N(E140)-N(F140))-H140-J140)</f>
        <v/>
      </c>
      <c r="J140">
        <f>IF(C140="",0,IF(OR(G140="",G140="Split"),(N(E140)-N(F140))*IFERROR(N(INDEX(Kids!$G$6:$G$11,MATCH(C140,Kids!$B$6:$B$11,0))),0),IF(G140="Give",(N(E140)-N(F140)),0)))</f>
        <v/>
      </c>
      <c r="K140">
        <f>IF(C140="",0,IF(OR(G140="",G140="Split"),N(E140)*IFERROR(N(INDEX(Kids!$F$6:$F$11,MATCH(C140,Kids!$B$6:$B$11,0))),0),IF(G140="Save",N(E140),0)))</f>
        <v/>
      </c>
    </row>
    <row r="141">
      <c r="A141" s="1" t="n"/>
      <c r="B141" s="34" t="n"/>
      <c r="C141" s="30" t="n"/>
      <c r="D141" s="31" t="n"/>
      <c r="E141" s="35" t="n"/>
      <c r="F141" s="35" t="n"/>
      <c r="G141" s="33" t="n"/>
      <c r="H141" s="1">
        <f>IF(C141="",0,IF(OR(G141="",G141="Split"),(N(E141)-N(F141))*IFERROR(N(INDEX(Kids!$F$6:$F$11,MATCH(C141,Kids!$B$6:$B$11,0))),0),IF(G141="Save",(N(E141)-N(F141)),0)))</f>
        <v/>
      </c>
      <c r="I141">
        <f>IF(C141="",0,(N(E141)-N(F141))-H141-J141)</f>
        <v/>
      </c>
      <c r="J141">
        <f>IF(C141="",0,IF(OR(G141="",G141="Split"),(N(E141)-N(F141))*IFERROR(N(INDEX(Kids!$G$6:$G$11,MATCH(C141,Kids!$B$6:$B$11,0))),0),IF(G141="Give",(N(E141)-N(F141)),0)))</f>
        <v/>
      </c>
      <c r="K141">
        <f>IF(C141="",0,IF(OR(G141="",G141="Split"),N(E141)*IFERROR(N(INDEX(Kids!$F$6:$F$11,MATCH(C141,Kids!$B$6:$B$11,0))),0),IF(G141="Save",N(E141),0)))</f>
        <v/>
      </c>
    </row>
    <row r="142">
      <c r="A142" s="1" t="n"/>
      <c r="B142" s="34" t="n"/>
      <c r="C142" s="30" t="n"/>
      <c r="D142" s="31" t="n"/>
      <c r="E142" s="35" t="n"/>
      <c r="F142" s="35" t="n"/>
      <c r="G142" s="33" t="n"/>
      <c r="H142" s="1">
        <f>IF(C142="",0,IF(OR(G142="",G142="Split"),(N(E142)-N(F142))*IFERROR(N(INDEX(Kids!$F$6:$F$11,MATCH(C142,Kids!$B$6:$B$11,0))),0),IF(G142="Save",(N(E142)-N(F142)),0)))</f>
        <v/>
      </c>
      <c r="I142">
        <f>IF(C142="",0,(N(E142)-N(F142))-H142-J142)</f>
        <v/>
      </c>
      <c r="J142">
        <f>IF(C142="",0,IF(OR(G142="",G142="Split"),(N(E142)-N(F142))*IFERROR(N(INDEX(Kids!$G$6:$G$11,MATCH(C142,Kids!$B$6:$B$11,0))),0),IF(G142="Give",(N(E142)-N(F142)),0)))</f>
        <v/>
      </c>
      <c r="K142">
        <f>IF(C142="",0,IF(OR(G142="",G142="Split"),N(E142)*IFERROR(N(INDEX(Kids!$F$6:$F$11,MATCH(C142,Kids!$B$6:$B$11,0))),0),IF(G142="Save",N(E142),0)))</f>
        <v/>
      </c>
    </row>
    <row r="143">
      <c r="A143" s="1" t="n"/>
      <c r="B143" s="34" t="n"/>
      <c r="C143" s="30" t="n"/>
      <c r="D143" s="31" t="n"/>
      <c r="E143" s="35" t="n"/>
      <c r="F143" s="35" t="n"/>
      <c r="G143" s="33" t="n"/>
      <c r="H143" s="1">
        <f>IF(C143="",0,IF(OR(G143="",G143="Split"),(N(E143)-N(F143))*IFERROR(N(INDEX(Kids!$F$6:$F$11,MATCH(C143,Kids!$B$6:$B$11,0))),0),IF(G143="Save",(N(E143)-N(F143)),0)))</f>
        <v/>
      </c>
      <c r="I143">
        <f>IF(C143="",0,(N(E143)-N(F143))-H143-J143)</f>
        <v/>
      </c>
      <c r="J143">
        <f>IF(C143="",0,IF(OR(G143="",G143="Split"),(N(E143)-N(F143))*IFERROR(N(INDEX(Kids!$G$6:$G$11,MATCH(C143,Kids!$B$6:$B$11,0))),0),IF(G143="Give",(N(E143)-N(F143)),0)))</f>
        <v/>
      </c>
      <c r="K143">
        <f>IF(C143="",0,IF(OR(G143="",G143="Split"),N(E143)*IFERROR(N(INDEX(Kids!$F$6:$F$11,MATCH(C143,Kids!$B$6:$B$11,0))),0),IF(G143="Save",N(E143),0)))</f>
        <v/>
      </c>
    </row>
    <row r="144">
      <c r="A144" s="1" t="n"/>
      <c r="B144" s="34" t="n"/>
      <c r="C144" s="30" t="n"/>
      <c r="D144" s="31" t="n"/>
      <c r="E144" s="35" t="n"/>
      <c r="F144" s="35" t="n"/>
      <c r="G144" s="33" t="n"/>
      <c r="H144" s="1">
        <f>IF(C144="",0,IF(OR(G144="",G144="Split"),(N(E144)-N(F144))*IFERROR(N(INDEX(Kids!$F$6:$F$11,MATCH(C144,Kids!$B$6:$B$11,0))),0),IF(G144="Save",(N(E144)-N(F144)),0)))</f>
        <v/>
      </c>
      <c r="I144">
        <f>IF(C144="",0,(N(E144)-N(F144))-H144-J144)</f>
        <v/>
      </c>
      <c r="J144">
        <f>IF(C144="",0,IF(OR(G144="",G144="Split"),(N(E144)-N(F144))*IFERROR(N(INDEX(Kids!$G$6:$G$11,MATCH(C144,Kids!$B$6:$B$11,0))),0),IF(G144="Give",(N(E144)-N(F144)),0)))</f>
        <v/>
      </c>
      <c r="K144">
        <f>IF(C144="",0,IF(OR(G144="",G144="Split"),N(E144)*IFERROR(N(INDEX(Kids!$F$6:$F$11,MATCH(C144,Kids!$B$6:$B$11,0))),0),IF(G144="Save",N(E144),0)))</f>
        <v/>
      </c>
    </row>
    <row r="145">
      <c r="A145" s="1" t="n"/>
      <c r="B145" s="34" t="n"/>
      <c r="C145" s="30" t="n"/>
      <c r="D145" s="31" t="n"/>
      <c r="E145" s="35" t="n"/>
      <c r="F145" s="35" t="n"/>
      <c r="G145" s="33" t="n"/>
      <c r="H145" s="1">
        <f>IF(C145="",0,IF(OR(G145="",G145="Split"),(N(E145)-N(F145))*IFERROR(N(INDEX(Kids!$F$6:$F$11,MATCH(C145,Kids!$B$6:$B$11,0))),0),IF(G145="Save",(N(E145)-N(F145)),0)))</f>
        <v/>
      </c>
      <c r="I145">
        <f>IF(C145="",0,(N(E145)-N(F145))-H145-J145)</f>
        <v/>
      </c>
      <c r="J145">
        <f>IF(C145="",0,IF(OR(G145="",G145="Split"),(N(E145)-N(F145))*IFERROR(N(INDEX(Kids!$G$6:$G$11,MATCH(C145,Kids!$B$6:$B$11,0))),0),IF(G145="Give",(N(E145)-N(F145)),0)))</f>
        <v/>
      </c>
      <c r="K145">
        <f>IF(C145="",0,IF(OR(G145="",G145="Split"),N(E145)*IFERROR(N(INDEX(Kids!$F$6:$F$11,MATCH(C145,Kids!$B$6:$B$11,0))),0),IF(G145="Save",N(E145),0)))</f>
        <v/>
      </c>
    </row>
    <row r="146">
      <c r="A146" s="1" t="n"/>
      <c r="B146" s="34" t="n"/>
      <c r="C146" s="30" t="n"/>
      <c r="D146" s="31" t="n"/>
      <c r="E146" s="35" t="n"/>
      <c r="F146" s="35" t="n"/>
      <c r="G146" s="33" t="n"/>
      <c r="H146" s="1">
        <f>IF(C146="",0,IF(OR(G146="",G146="Split"),(N(E146)-N(F146))*IFERROR(N(INDEX(Kids!$F$6:$F$11,MATCH(C146,Kids!$B$6:$B$11,0))),0),IF(G146="Save",(N(E146)-N(F146)),0)))</f>
        <v/>
      </c>
      <c r="I146">
        <f>IF(C146="",0,(N(E146)-N(F146))-H146-J146)</f>
        <v/>
      </c>
      <c r="J146">
        <f>IF(C146="",0,IF(OR(G146="",G146="Split"),(N(E146)-N(F146))*IFERROR(N(INDEX(Kids!$G$6:$G$11,MATCH(C146,Kids!$B$6:$B$11,0))),0),IF(G146="Give",(N(E146)-N(F146)),0)))</f>
        <v/>
      </c>
      <c r="K146">
        <f>IF(C146="",0,IF(OR(G146="",G146="Split"),N(E146)*IFERROR(N(INDEX(Kids!$F$6:$F$11,MATCH(C146,Kids!$B$6:$B$11,0))),0),IF(G146="Save",N(E146),0)))</f>
        <v/>
      </c>
    </row>
    <row r="147">
      <c r="A147" s="1" t="n"/>
      <c r="B147" s="34" t="n"/>
      <c r="C147" s="30" t="n"/>
      <c r="D147" s="31" t="n"/>
      <c r="E147" s="35" t="n"/>
      <c r="F147" s="35" t="n"/>
      <c r="G147" s="33" t="n"/>
      <c r="H147" s="1">
        <f>IF(C147="",0,IF(OR(G147="",G147="Split"),(N(E147)-N(F147))*IFERROR(N(INDEX(Kids!$F$6:$F$11,MATCH(C147,Kids!$B$6:$B$11,0))),0),IF(G147="Save",(N(E147)-N(F147)),0)))</f>
        <v/>
      </c>
      <c r="I147">
        <f>IF(C147="",0,(N(E147)-N(F147))-H147-J147)</f>
        <v/>
      </c>
      <c r="J147">
        <f>IF(C147="",0,IF(OR(G147="",G147="Split"),(N(E147)-N(F147))*IFERROR(N(INDEX(Kids!$G$6:$G$11,MATCH(C147,Kids!$B$6:$B$11,0))),0),IF(G147="Give",(N(E147)-N(F147)),0)))</f>
        <v/>
      </c>
      <c r="K147">
        <f>IF(C147="",0,IF(OR(G147="",G147="Split"),N(E147)*IFERROR(N(INDEX(Kids!$F$6:$F$11,MATCH(C147,Kids!$B$6:$B$11,0))),0),IF(G147="Save",N(E147),0)))</f>
        <v/>
      </c>
    </row>
    <row r="148">
      <c r="A148" s="1" t="n"/>
      <c r="B148" s="34" t="n"/>
      <c r="C148" s="30" t="n"/>
      <c r="D148" s="31" t="n"/>
      <c r="E148" s="35" t="n"/>
      <c r="F148" s="35" t="n"/>
      <c r="G148" s="33" t="n"/>
      <c r="H148" s="1">
        <f>IF(C148="",0,IF(OR(G148="",G148="Split"),(N(E148)-N(F148))*IFERROR(N(INDEX(Kids!$F$6:$F$11,MATCH(C148,Kids!$B$6:$B$11,0))),0),IF(G148="Save",(N(E148)-N(F148)),0)))</f>
        <v/>
      </c>
      <c r="I148">
        <f>IF(C148="",0,(N(E148)-N(F148))-H148-J148)</f>
        <v/>
      </c>
      <c r="J148">
        <f>IF(C148="",0,IF(OR(G148="",G148="Split"),(N(E148)-N(F148))*IFERROR(N(INDEX(Kids!$G$6:$G$11,MATCH(C148,Kids!$B$6:$B$11,0))),0),IF(G148="Give",(N(E148)-N(F148)),0)))</f>
        <v/>
      </c>
      <c r="K148">
        <f>IF(C148="",0,IF(OR(G148="",G148="Split"),N(E148)*IFERROR(N(INDEX(Kids!$F$6:$F$11,MATCH(C148,Kids!$B$6:$B$11,0))),0),IF(G148="Save",N(E148),0)))</f>
        <v/>
      </c>
    </row>
    <row r="149">
      <c r="A149" s="1" t="n"/>
      <c r="B149" s="34" t="n"/>
      <c r="C149" s="30" t="n"/>
      <c r="D149" s="31" t="n"/>
      <c r="E149" s="35" t="n"/>
      <c r="F149" s="35" t="n"/>
      <c r="G149" s="33" t="n"/>
      <c r="H149" s="1">
        <f>IF(C149="",0,IF(OR(G149="",G149="Split"),(N(E149)-N(F149))*IFERROR(N(INDEX(Kids!$F$6:$F$11,MATCH(C149,Kids!$B$6:$B$11,0))),0),IF(G149="Save",(N(E149)-N(F149)),0)))</f>
        <v/>
      </c>
      <c r="I149">
        <f>IF(C149="",0,(N(E149)-N(F149))-H149-J149)</f>
        <v/>
      </c>
      <c r="J149">
        <f>IF(C149="",0,IF(OR(G149="",G149="Split"),(N(E149)-N(F149))*IFERROR(N(INDEX(Kids!$G$6:$G$11,MATCH(C149,Kids!$B$6:$B$11,0))),0),IF(G149="Give",(N(E149)-N(F149)),0)))</f>
        <v/>
      </c>
      <c r="K149">
        <f>IF(C149="",0,IF(OR(G149="",G149="Split"),N(E149)*IFERROR(N(INDEX(Kids!$F$6:$F$11,MATCH(C149,Kids!$B$6:$B$11,0))),0),IF(G149="Save",N(E149),0)))</f>
        <v/>
      </c>
    </row>
    <row r="150">
      <c r="A150" s="1" t="n"/>
      <c r="B150" s="34" t="n"/>
      <c r="C150" s="30" t="n"/>
      <c r="D150" s="31" t="n"/>
      <c r="E150" s="35" t="n"/>
      <c r="F150" s="35" t="n"/>
      <c r="G150" s="33" t="n"/>
      <c r="H150" s="1">
        <f>IF(C150="",0,IF(OR(G150="",G150="Split"),(N(E150)-N(F150))*IFERROR(N(INDEX(Kids!$F$6:$F$11,MATCH(C150,Kids!$B$6:$B$11,0))),0),IF(G150="Save",(N(E150)-N(F150)),0)))</f>
        <v/>
      </c>
      <c r="I150">
        <f>IF(C150="",0,(N(E150)-N(F150))-H150-J150)</f>
        <v/>
      </c>
      <c r="J150">
        <f>IF(C150="",0,IF(OR(G150="",G150="Split"),(N(E150)-N(F150))*IFERROR(N(INDEX(Kids!$G$6:$G$11,MATCH(C150,Kids!$B$6:$B$11,0))),0),IF(G150="Give",(N(E150)-N(F150)),0)))</f>
        <v/>
      </c>
      <c r="K150">
        <f>IF(C150="",0,IF(OR(G150="",G150="Split"),N(E150)*IFERROR(N(INDEX(Kids!$F$6:$F$11,MATCH(C150,Kids!$B$6:$B$11,0))),0),IF(G150="Save",N(E150),0)))</f>
        <v/>
      </c>
    </row>
    <row r="151">
      <c r="A151" s="1" t="n"/>
      <c r="B151" s="34" t="n"/>
      <c r="C151" s="30" t="n"/>
      <c r="D151" s="31" t="n"/>
      <c r="E151" s="35" t="n"/>
      <c r="F151" s="35" t="n"/>
      <c r="G151" s="33" t="n"/>
      <c r="H151" s="1">
        <f>IF(C151="",0,IF(OR(G151="",G151="Split"),(N(E151)-N(F151))*IFERROR(N(INDEX(Kids!$F$6:$F$11,MATCH(C151,Kids!$B$6:$B$11,0))),0),IF(G151="Save",(N(E151)-N(F151)),0)))</f>
        <v/>
      </c>
      <c r="I151">
        <f>IF(C151="",0,(N(E151)-N(F151))-H151-J151)</f>
        <v/>
      </c>
      <c r="J151">
        <f>IF(C151="",0,IF(OR(G151="",G151="Split"),(N(E151)-N(F151))*IFERROR(N(INDEX(Kids!$G$6:$G$11,MATCH(C151,Kids!$B$6:$B$11,0))),0),IF(G151="Give",(N(E151)-N(F151)),0)))</f>
        <v/>
      </c>
      <c r="K151">
        <f>IF(C151="",0,IF(OR(G151="",G151="Split"),N(E151)*IFERROR(N(INDEX(Kids!$F$6:$F$11,MATCH(C151,Kids!$B$6:$B$11,0))),0),IF(G151="Save",N(E151),0)))</f>
        <v/>
      </c>
    </row>
    <row r="152">
      <c r="A152" s="1" t="n"/>
      <c r="B152" s="34" t="n"/>
      <c r="C152" s="30" t="n"/>
      <c r="D152" s="31" t="n"/>
      <c r="E152" s="35" t="n"/>
      <c r="F152" s="35" t="n"/>
      <c r="G152" s="33" t="n"/>
      <c r="H152" s="1">
        <f>IF(C152="",0,IF(OR(G152="",G152="Split"),(N(E152)-N(F152))*IFERROR(N(INDEX(Kids!$F$6:$F$11,MATCH(C152,Kids!$B$6:$B$11,0))),0),IF(G152="Save",(N(E152)-N(F152)),0)))</f>
        <v/>
      </c>
      <c r="I152">
        <f>IF(C152="",0,(N(E152)-N(F152))-H152-J152)</f>
        <v/>
      </c>
      <c r="J152">
        <f>IF(C152="",0,IF(OR(G152="",G152="Split"),(N(E152)-N(F152))*IFERROR(N(INDEX(Kids!$G$6:$G$11,MATCH(C152,Kids!$B$6:$B$11,0))),0),IF(G152="Give",(N(E152)-N(F152)),0)))</f>
        <v/>
      </c>
      <c r="K152">
        <f>IF(C152="",0,IF(OR(G152="",G152="Split"),N(E152)*IFERROR(N(INDEX(Kids!$F$6:$F$11,MATCH(C152,Kids!$B$6:$B$11,0))),0),IF(G152="Save",N(E152),0)))</f>
        <v/>
      </c>
    </row>
    <row r="153">
      <c r="A153" s="1" t="n"/>
      <c r="B153" s="34" t="n"/>
      <c r="C153" s="30" t="n"/>
      <c r="D153" s="31" t="n"/>
      <c r="E153" s="35" t="n"/>
      <c r="F153" s="35" t="n"/>
      <c r="G153" s="33" t="n"/>
      <c r="H153" s="1">
        <f>IF(C153="",0,IF(OR(G153="",G153="Split"),(N(E153)-N(F153))*IFERROR(N(INDEX(Kids!$F$6:$F$11,MATCH(C153,Kids!$B$6:$B$11,0))),0),IF(G153="Save",(N(E153)-N(F153)),0)))</f>
        <v/>
      </c>
      <c r="I153">
        <f>IF(C153="",0,(N(E153)-N(F153))-H153-J153)</f>
        <v/>
      </c>
      <c r="J153">
        <f>IF(C153="",0,IF(OR(G153="",G153="Split"),(N(E153)-N(F153))*IFERROR(N(INDEX(Kids!$G$6:$G$11,MATCH(C153,Kids!$B$6:$B$11,0))),0),IF(G153="Give",(N(E153)-N(F153)),0)))</f>
        <v/>
      </c>
      <c r="K153">
        <f>IF(C153="",0,IF(OR(G153="",G153="Split"),N(E153)*IFERROR(N(INDEX(Kids!$F$6:$F$11,MATCH(C153,Kids!$B$6:$B$11,0))),0),IF(G153="Save",N(E153),0)))</f>
        <v/>
      </c>
    </row>
    <row r="154">
      <c r="A154" s="1" t="n"/>
      <c r="B154" s="34" t="n"/>
      <c r="C154" s="30" t="n"/>
      <c r="D154" s="31" t="n"/>
      <c r="E154" s="35" t="n"/>
      <c r="F154" s="35" t="n"/>
      <c r="G154" s="33" t="n"/>
      <c r="H154" s="1">
        <f>IF(C154="",0,IF(OR(G154="",G154="Split"),(N(E154)-N(F154))*IFERROR(N(INDEX(Kids!$F$6:$F$11,MATCH(C154,Kids!$B$6:$B$11,0))),0),IF(G154="Save",(N(E154)-N(F154)),0)))</f>
        <v/>
      </c>
      <c r="I154">
        <f>IF(C154="",0,(N(E154)-N(F154))-H154-J154)</f>
        <v/>
      </c>
      <c r="J154">
        <f>IF(C154="",0,IF(OR(G154="",G154="Split"),(N(E154)-N(F154))*IFERROR(N(INDEX(Kids!$G$6:$G$11,MATCH(C154,Kids!$B$6:$B$11,0))),0),IF(G154="Give",(N(E154)-N(F154)),0)))</f>
        <v/>
      </c>
      <c r="K154">
        <f>IF(C154="",0,IF(OR(G154="",G154="Split"),N(E154)*IFERROR(N(INDEX(Kids!$F$6:$F$11,MATCH(C154,Kids!$B$6:$B$11,0))),0),IF(G154="Save",N(E154),0)))</f>
        <v/>
      </c>
    </row>
    <row r="155">
      <c r="A155" s="1" t="n"/>
      <c r="B155" s="34" t="n"/>
      <c r="C155" s="30" t="n"/>
      <c r="D155" s="31" t="n"/>
      <c r="E155" s="35" t="n"/>
      <c r="F155" s="35" t="n"/>
      <c r="G155" s="33" t="n"/>
      <c r="H155" s="1">
        <f>IF(C155="",0,IF(OR(G155="",G155="Split"),(N(E155)-N(F155))*IFERROR(N(INDEX(Kids!$F$6:$F$11,MATCH(C155,Kids!$B$6:$B$11,0))),0),IF(G155="Save",(N(E155)-N(F155)),0)))</f>
        <v/>
      </c>
      <c r="I155">
        <f>IF(C155="",0,(N(E155)-N(F155))-H155-J155)</f>
        <v/>
      </c>
      <c r="J155">
        <f>IF(C155="",0,IF(OR(G155="",G155="Split"),(N(E155)-N(F155))*IFERROR(N(INDEX(Kids!$G$6:$G$11,MATCH(C155,Kids!$B$6:$B$11,0))),0),IF(G155="Give",(N(E155)-N(F155)),0)))</f>
        <v/>
      </c>
      <c r="K155">
        <f>IF(C155="",0,IF(OR(G155="",G155="Split"),N(E155)*IFERROR(N(INDEX(Kids!$F$6:$F$11,MATCH(C155,Kids!$B$6:$B$11,0))),0),IF(G155="Save",N(E155),0)))</f>
        <v/>
      </c>
    </row>
    <row r="156">
      <c r="A156" s="1" t="n"/>
      <c r="B156" s="34" t="n"/>
      <c r="C156" s="30" t="n"/>
      <c r="D156" s="31" t="n"/>
      <c r="E156" s="35" t="n"/>
      <c r="F156" s="35" t="n"/>
      <c r="G156" s="33" t="n"/>
      <c r="H156" s="1">
        <f>IF(C156="",0,IF(OR(G156="",G156="Split"),(N(E156)-N(F156))*IFERROR(N(INDEX(Kids!$F$6:$F$11,MATCH(C156,Kids!$B$6:$B$11,0))),0),IF(G156="Save",(N(E156)-N(F156)),0)))</f>
        <v/>
      </c>
      <c r="I156">
        <f>IF(C156="",0,(N(E156)-N(F156))-H156-J156)</f>
        <v/>
      </c>
      <c r="J156">
        <f>IF(C156="",0,IF(OR(G156="",G156="Split"),(N(E156)-N(F156))*IFERROR(N(INDEX(Kids!$G$6:$G$11,MATCH(C156,Kids!$B$6:$B$11,0))),0),IF(G156="Give",(N(E156)-N(F156)),0)))</f>
        <v/>
      </c>
      <c r="K156">
        <f>IF(C156="",0,IF(OR(G156="",G156="Split"),N(E156)*IFERROR(N(INDEX(Kids!$F$6:$F$11,MATCH(C156,Kids!$B$6:$B$11,0))),0),IF(G156="Save",N(E156),0)))</f>
        <v/>
      </c>
    </row>
    <row r="157">
      <c r="A157" s="1" t="n"/>
      <c r="B157" s="34" t="n"/>
      <c r="C157" s="30" t="n"/>
      <c r="D157" s="31" t="n"/>
      <c r="E157" s="35" t="n"/>
      <c r="F157" s="35" t="n"/>
      <c r="G157" s="33" t="n"/>
      <c r="H157" s="1">
        <f>IF(C157="",0,IF(OR(G157="",G157="Split"),(N(E157)-N(F157))*IFERROR(N(INDEX(Kids!$F$6:$F$11,MATCH(C157,Kids!$B$6:$B$11,0))),0),IF(G157="Save",(N(E157)-N(F157)),0)))</f>
        <v/>
      </c>
      <c r="I157">
        <f>IF(C157="",0,(N(E157)-N(F157))-H157-J157)</f>
        <v/>
      </c>
      <c r="J157">
        <f>IF(C157="",0,IF(OR(G157="",G157="Split"),(N(E157)-N(F157))*IFERROR(N(INDEX(Kids!$G$6:$G$11,MATCH(C157,Kids!$B$6:$B$11,0))),0),IF(G157="Give",(N(E157)-N(F157)),0)))</f>
        <v/>
      </c>
      <c r="K157">
        <f>IF(C157="",0,IF(OR(G157="",G157="Split"),N(E157)*IFERROR(N(INDEX(Kids!$F$6:$F$11,MATCH(C157,Kids!$B$6:$B$11,0))),0),IF(G157="Save",N(E157),0)))</f>
        <v/>
      </c>
    </row>
    <row r="158">
      <c r="A158" s="1" t="n"/>
      <c r="B158" s="34" t="n"/>
      <c r="C158" s="30" t="n"/>
      <c r="D158" s="31" t="n"/>
      <c r="E158" s="35" t="n"/>
      <c r="F158" s="35" t="n"/>
      <c r="G158" s="33" t="n"/>
      <c r="H158" s="1">
        <f>IF(C158="",0,IF(OR(G158="",G158="Split"),(N(E158)-N(F158))*IFERROR(N(INDEX(Kids!$F$6:$F$11,MATCH(C158,Kids!$B$6:$B$11,0))),0),IF(G158="Save",(N(E158)-N(F158)),0)))</f>
        <v/>
      </c>
      <c r="I158">
        <f>IF(C158="",0,(N(E158)-N(F158))-H158-J158)</f>
        <v/>
      </c>
      <c r="J158">
        <f>IF(C158="",0,IF(OR(G158="",G158="Split"),(N(E158)-N(F158))*IFERROR(N(INDEX(Kids!$G$6:$G$11,MATCH(C158,Kids!$B$6:$B$11,0))),0),IF(G158="Give",(N(E158)-N(F158)),0)))</f>
        <v/>
      </c>
      <c r="K158">
        <f>IF(C158="",0,IF(OR(G158="",G158="Split"),N(E158)*IFERROR(N(INDEX(Kids!$F$6:$F$11,MATCH(C158,Kids!$B$6:$B$11,0))),0),IF(G158="Save",N(E158),0)))</f>
        <v/>
      </c>
    </row>
    <row r="159">
      <c r="A159" s="1" t="n"/>
      <c r="B159" s="34" t="n"/>
      <c r="C159" s="30" t="n"/>
      <c r="D159" s="31" t="n"/>
      <c r="E159" s="35" t="n"/>
      <c r="F159" s="35" t="n"/>
      <c r="G159" s="33" t="n"/>
      <c r="H159" s="1">
        <f>IF(C159="",0,IF(OR(G159="",G159="Split"),(N(E159)-N(F159))*IFERROR(N(INDEX(Kids!$F$6:$F$11,MATCH(C159,Kids!$B$6:$B$11,0))),0),IF(G159="Save",(N(E159)-N(F159)),0)))</f>
        <v/>
      </c>
      <c r="I159">
        <f>IF(C159="",0,(N(E159)-N(F159))-H159-J159)</f>
        <v/>
      </c>
      <c r="J159">
        <f>IF(C159="",0,IF(OR(G159="",G159="Split"),(N(E159)-N(F159))*IFERROR(N(INDEX(Kids!$G$6:$G$11,MATCH(C159,Kids!$B$6:$B$11,0))),0),IF(G159="Give",(N(E159)-N(F159)),0)))</f>
        <v/>
      </c>
      <c r="K159">
        <f>IF(C159="",0,IF(OR(G159="",G159="Split"),N(E159)*IFERROR(N(INDEX(Kids!$F$6:$F$11,MATCH(C159,Kids!$B$6:$B$11,0))),0),IF(G159="Save",N(E159),0)))</f>
        <v/>
      </c>
    </row>
    <row r="160">
      <c r="A160" s="1" t="n"/>
      <c r="B160" s="34" t="n"/>
      <c r="C160" s="30" t="n"/>
      <c r="D160" s="31" t="n"/>
      <c r="E160" s="35" t="n"/>
      <c r="F160" s="35" t="n"/>
      <c r="G160" s="33" t="n"/>
      <c r="H160" s="1">
        <f>IF(C160="",0,IF(OR(G160="",G160="Split"),(N(E160)-N(F160))*IFERROR(N(INDEX(Kids!$F$6:$F$11,MATCH(C160,Kids!$B$6:$B$11,0))),0),IF(G160="Save",(N(E160)-N(F160)),0)))</f>
        <v/>
      </c>
      <c r="I160">
        <f>IF(C160="",0,(N(E160)-N(F160))-H160-J160)</f>
        <v/>
      </c>
      <c r="J160">
        <f>IF(C160="",0,IF(OR(G160="",G160="Split"),(N(E160)-N(F160))*IFERROR(N(INDEX(Kids!$G$6:$G$11,MATCH(C160,Kids!$B$6:$B$11,0))),0),IF(G160="Give",(N(E160)-N(F160)),0)))</f>
        <v/>
      </c>
      <c r="K160">
        <f>IF(C160="",0,IF(OR(G160="",G160="Split"),N(E160)*IFERROR(N(INDEX(Kids!$F$6:$F$11,MATCH(C160,Kids!$B$6:$B$11,0))),0),IF(G160="Save",N(E160),0)))</f>
        <v/>
      </c>
    </row>
    <row r="161">
      <c r="A161" s="1" t="n"/>
      <c r="B161" s="34" t="n"/>
      <c r="C161" s="30" t="n"/>
      <c r="D161" s="31" t="n"/>
      <c r="E161" s="35" t="n"/>
      <c r="F161" s="35" t="n"/>
      <c r="G161" s="33" t="n"/>
      <c r="H161" s="1">
        <f>IF(C161="",0,IF(OR(G161="",G161="Split"),(N(E161)-N(F161))*IFERROR(N(INDEX(Kids!$F$6:$F$11,MATCH(C161,Kids!$B$6:$B$11,0))),0),IF(G161="Save",(N(E161)-N(F161)),0)))</f>
        <v/>
      </c>
      <c r="I161">
        <f>IF(C161="",0,(N(E161)-N(F161))-H161-J161)</f>
        <v/>
      </c>
      <c r="J161">
        <f>IF(C161="",0,IF(OR(G161="",G161="Split"),(N(E161)-N(F161))*IFERROR(N(INDEX(Kids!$G$6:$G$11,MATCH(C161,Kids!$B$6:$B$11,0))),0),IF(G161="Give",(N(E161)-N(F161)),0)))</f>
        <v/>
      </c>
      <c r="K161">
        <f>IF(C161="",0,IF(OR(G161="",G161="Split"),N(E161)*IFERROR(N(INDEX(Kids!$F$6:$F$11,MATCH(C161,Kids!$B$6:$B$11,0))),0),IF(G161="Save",N(E161),0)))</f>
        <v/>
      </c>
    </row>
    <row r="162">
      <c r="A162" s="1" t="n"/>
      <c r="B162" s="34" t="n"/>
      <c r="C162" s="30" t="n"/>
      <c r="D162" s="31" t="n"/>
      <c r="E162" s="35" t="n"/>
      <c r="F162" s="35" t="n"/>
      <c r="G162" s="33" t="n"/>
      <c r="H162" s="1">
        <f>IF(C162="",0,IF(OR(G162="",G162="Split"),(N(E162)-N(F162))*IFERROR(N(INDEX(Kids!$F$6:$F$11,MATCH(C162,Kids!$B$6:$B$11,0))),0),IF(G162="Save",(N(E162)-N(F162)),0)))</f>
        <v/>
      </c>
      <c r="I162">
        <f>IF(C162="",0,(N(E162)-N(F162))-H162-J162)</f>
        <v/>
      </c>
      <c r="J162">
        <f>IF(C162="",0,IF(OR(G162="",G162="Split"),(N(E162)-N(F162))*IFERROR(N(INDEX(Kids!$G$6:$G$11,MATCH(C162,Kids!$B$6:$B$11,0))),0),IF(G162="Give",(N(E162)-N(F162)),0)))</f>
        <v/>
      </c>
      <c r="K162">
        <f>IF(C162="",0,IF(OR(G162="",G162="Split"),N(E162)*IFERROR(N(INDEX(Kids!$F$6:$F$11,MATCH(C162,Kids!$B$6:$B$11,0))),0),IF(G162="Save",N(E162),0)))</f>
        <v/>
      </c>
    </row>
    <row r="163">
      <c r="A163" s="1" t="n"/>
      <c r="B163" s="34" t="n"/>
      <c r="C163" s="30" t="n"/>
      <c r="D163" s="31" t="n"/>
      <c r="E163" s="35" t="n"/>
      <c r="F163" s="35" t="n"/>
      <c r="G163" s="33" t="n"/>
      <c r="H163" s="1">
        <f>IF(C163="",0,IF(OR(G163="",G163="Split"),(N(E163)-N(F163))*IFERROR(N(INDEX(Kids!$F$6:$F$11,MATCH(C163,Kids!$B$6:$B$11,0))),0),IF(G163="Save",(N(E163)-N(F163)),0)))</f>
        <v/>
      </c>
      <c r="I163">
        <f>IF(C163="",0,(N(E163)-N(F163))-H163-J163)</f>
        <v/>
      </c>
      <c r="J163">
        <f>IF(C163="",0,IF(OR(G163="",G163="Split"),(N(E163)-N(F163))*IFERROR(N(INDEX(Kids!$G$6:$G$11,MATCH(C163,Kids!$B$6:$B$11,0))),0),IF(G163="Give",(N(E163)-N(F163)),0)))</f>
        <v/>
      </c>
      <c r="K163">
        <f>IF(C163="",0,IF(OR(G163="",G163="Split"),N(E163)*IFERROR(N(INDEX(Kids!$F$6:$F$11,MATCH(C163,Kids!$B$6:$B$11,0))),0),IF(G163="Save",N(E163),0)))</f>
        <v/>
      </c>
    </row>
    <row r="164">
      <c r="A164" s="1" t="n"/>
      <c r="B164" s="34" t="n"/>
      <c r="C164" s="30" t="n"/>
      <c r="D164" s="31" t="n"/>
      <c r="E164" s="35" t="n"/>
      <c r="F164" s="35" t="n"/>
      <c r="G164" s="33" t="n"/>
      <c r="H164" s="1">
        <f>IF(C164="",0,IF(OR(G164="",G164="Split"),(N(E164)-N(F164))*IFERROR(N(INDEX(Kids!$F$6:$F$11,MATCH(C164,Kids!$B$6:$B$11,0))),0),IF(G164="Save",(N(E164)-N(F164)),0)))</f>
        <v/>
      </c>
      <c r="I164">
        <f>IF(C164="",0,(N(E164)-N(F164))-H164-J164)</f>
        <v/>
      </c>
      <c r="J164">
        <f>IF(C164="",0,IF(OR(G164="",G164="Split"),(N(E164)-N(F164))*IFERROR(N(INDEX(Kids!$G$6:$G$11,MATCH(C164,Kids!$B$6:$B$11,0))),0),IF(G164="Give",(N(E164)-N(F164)),0)))</f>
        <v/>
      </c>
      <c r="K164">
        <f>IF(C164="",0,IF(OR(G164="",G164="Split"),N(E164)*IFERROR(N(INDEX(Kids!$F$6:$F$11,MATCH(C164,Kids!$B$6:$B$11,0))),0),IF(G164="Save",N(E164),0)))</f>
        <v/>
      </c>
    </row>
    <row r="165">
      <c r="A165" s="1" t="n"/>
      <c r="B165" s="34" t="n"/>
      <c r="C165" s="30" t="n"/>
      <c r="D165" s="31" t="n"/>
      <c r="E165" s="35" t="n"/>
      <c r="F165" s="35" t="n"/>
      <c r="G165" s="33" t="n"/>
      <c r="H165" s="1">
        <f>IF(C165="",0,IF(OR(G165="",G165="Split"),(N(E165)-N(F165))*IFERROR(N(INDEX(Kids!$F$6:$F$11,MATCH(C165,Kids!$B$6:$B$11,0))),0),IF(G165="Save",(N(E165)-N(F165)),0)))</f>
        <v/>
      </c>
      <c r="I165">
        <f>IF(C165="",0,(N(E165)-N(F165))-H165-J165)</f>
        <v/>
      </c>
      <c r="J165">
        <f>IF(C165="",0,IF(OR(G165="",G165="Split"),(N(E165)-N(F165))*IFERROR(N(INDEX(Kids!$G$6:$G$11,MATCH(C165,Kids!$B$6:$B$11,0))),0),IF(G165="Give",(N(E165)-N(F165)),0)))</f>
        <v/>
      </c>
      <c r="K165">
        <f>IF(C165="",0,IF(OR(G165="",G165="Split"),N(E165)*IFERROR(N(INDEX(Kids!$F$6:$F$11,MATCH(C165,Kids!$B$6:$B$11,0))),0),IF(G165="Save",N(E165),0)))</f>
        <v/>
      </c>
    </row>
    <row r="166">
      <c r="A166" s="1" t="n"/>
      <c r="B166" s="34" t="n"/>
      <c r="C166" s="30" t="n"/>
      <c r="D166" s="31" t="n"/>
      <c r="E166" s="35" t="n"/>
      <c r="F166" s="35" t="n"/>
      <c r="G166" s="33" t="n"/>
      <c r="H166" s="1">
        <f>IF(C166="",0,IF(OR(G166="",G166="Split"),(N(E166)-N(F166))*IFERROR(N(INDEX(Kids!$F$6:$F$11,MATCH(C166,Kids!$B$6:$B$11,0))),0),IF(G166="Save",(N(E166)-N(F166)),0)))</f>
        <v/>
      </c>
      <c r="I166">
        <f>IF(C166="",0,(N(E166)-N(F166))-H166-J166)</f>
        <v/>
      </c>
      <c r="J166">
        <f>IF(C166="",0,IF(OR(G166="",G166="Split"),(N(E166)-N(F166))*IFERROR(N(INDEX(Kids!$G$6:$G$11,MATCH(C166,Kids!$B$6:$B$11,0))),0),IF(G166="Give",(N(E166)-N(F166)),0)))</f>
        <v/>
      </c>
      <c r="K166">
        <f>IF(C166="",0,IF(OR(G166="",G166="Split"),N(E166)*IFERROR(N(INDEX(Kids!$F$6:$F$11,MATCH(C166,Kids!$B$6:$B$11,0))),0),IF(G166="Save",N(E166),0)))</f>
        <v/>
      </c>
    </row>
    <row r="167">
      <c r="A167" s="1" t="n"/>
      <c r="B167" s="34" t="n"/>
      <c r="C167" s="30" t="n"/>
      <c r="D167" s="31" t="n"/>
      <c r="E167" s="35" t="n"/>
      <c r="F167" s="35" t="n"/>
      <c r="G167" s="33" t="n"/>
      <c r="H167" s="1">
        <f>IF(C167="",0,IF(OR(G167="",G167="Split"),(N(E167)-N(F167))*IFERROR(N(INDEX(Kids!$F$6:$F$11,MATCH(C167,Kids!$B$6:$B$11,0))),0),IF(G167="Save",(N(E167)-N(F167)),0)))</f>
        <v/>
      </c>
      <c r="I167">
        <f>IF(C167="",0,(N(E167)-N(F167))-H167-J167)</f>
        <v/>
      </c>
      <c r="J167">
        <f>IF(C167="",0,IF(OR(G167="",G167="Split"),(N(E167)-N(F167))*IFERROR(N(INDEX(Kids!$G$6:$G$11,MATCH(C167,Kids!$B$6:$B$11,0))),0),IF(G167="Give",(N(E167)-N(F167)),0)))</f>
        <v/>
      </c>
      <c r="K167">
        <f>IF(C167="",0,IF(OR(G167="",G167="Split"),N(E167)*IFERROR(N(INDEX(Kids!$F$6:$F$11,MATCH(C167,Kids!$B$6:$B$11,0))),0),IF(G167="Save",N(E167),0)))</f>
        <v/>
      </c>
    </row>
    <row r="168">
      <c r="A168" s="1" t="n"/>
      <c r="B168" s="34" t="n"/>
      <c r="C168" s="30" t="n"/>
      <c r="D168" s="31" t="n"/>
      <c r="E168" s="35" t="n"/>
      <c r="F168" s="35" t="n"/>
      <c r="G168" s="33" t="n"/>
      <c r="H168" s="1">
        <f>IF(C168="",0,IF(OR(G168="",G168="Split"),(N(E168)-N(F168))*IFERROR(N(INDEX(Kids!$F$6:$F$11,MATCH(C168,Kids!$B$6:$B$11,0))),0),IF(G168="Save",(N(E168)-N(F168)),0)))</f>
        <v/>
      </c>
      <c r="I168">
        <f>IF(C168="",0,(N(E168)-N(F168))-H168-J168)</f>
        <v/>
      </c>
      <c r="J168">
        <f>IF(C168="",0,IF(OR(G168="",G168="Split"),(N(E168)-N(F168))*IFERROR(N(INDEX(Kids!$G$6:$G$11,MATCH(C168,Kids!$B$6:$B$11,0))),0),IF(G168="Give",(N(E168)-N(F168)),0)))</f>
        <v/>
      </c>
      <c r="K168">
        <f>IF(C168="",0,IF(OR(G168="",G168="Split"),N(E168)*IFERROR(N(INDEX(Kids!$F$6:$F$11,MATCH(C168,Kids!$B$6:$B$11,0))),0),IF(G168="Save",N(E168),0)))</f>
        <v/>
      </c>
    </row>
    <row r="169">
      <c r="A169" s="1" t="n"/>
      <c r="B169" s="34" t="n"/>
      <c r="C169" s="30" t="n"/>
      <c r="D169" s="31" t="n"/>
      <c r="E169" s="35" t="n"/>
      <c r="F169" s="35" t="n"/>
      <c r="G169" s="33" t="n"/>
      <c r="H169" s="1">
        <f>IF(C169="",0,IF(OR(G169="",G169="Split"),(N(E169)-N(F169))*IFERROR(N(INDEX(Kids!$F$6:$F$11,MATCH(C169,Kids!$B$6:$B$11,0))),0),IF(G169="Save",(N(E169)-N(F169)),0)))</f>
        <v/>
      </c>
      <c r="I169">
        <f>IF(C169="",0,(N(E169)-N(F169))-H169-J169)</f>
        <v/>
      </c>
      <c r="J169">
        <f>IF(C169="",0,IF(OR(G169="",G169="Split"),(N(E169)-N(F169))*IFERROR(N(INDEX(Kids!$G$6:$G$11,MATCH(C169,Kids!$B$6:$B$11,0))),0),IF(G169="Give",(N(E169)-N(F169)),0)))</f>
        <v/>
      </c>
      <c r="K169">
        <f>IF(C169="",0,IF(OR(G169="",G169="Split"),N(E169)*IFERROR(N(INDEX(Kids!$F$6:$F$11,MATCH(C169,Kids!$B$6:$B$11,0))),0),IF(G169="Save",N(E169),0)))</f>
        <v/>
      </c>
    </row>
    <row r="170">
      <c r="A170" s="1" t="n"/>
      <c r="B170" s="34" t="n"/>
      <c r="C170" s="30" t="n"/>
      <c r="D170" s="31" t="n"/>
      <c r="E170" s="35" t="n"/>
      <c r="F170" s="35" t="n"/>
      <c r="G170" s="33" t="n"/>
      <c r="H170" s="1">
        <f>IF(C170="",0,IF(OR(G170="",G170="Split"),(N(E170)-N(F170))*IFERROR(N(INDEX(Kids!$F$6:$F$11,MATCH(C170,Kids!$B$6:$B$11,0))),0),IF(G170="Save",(N(E170)-N(F170)),0)))</f>
        <v/>
      </c>
      <c r="I170">
        <f>IF(C170="",0,(N(E170)-N(F170))-H170-J170)</f>
        <v/>
      </c>
      <c r="J170">
        <f>IF(C170="",0,IF(OR(G170="",G170="Split"),(N(E170)-N(F170))*IFERROR(N(INDEX(Kids!$G$6:$G$11,MATCH(C170,Kids!$B$6:$B$11,0))),0),IF(G170="Give",(N(E170)-N(F170)),0)))</f>
        <v/>
      </c>
      <c r="K170">
        <f>IF(C170="",0,IF(OR(G170="",G170="Split"),N(E170)*IFERROR(N(INDEX(Kids!$F$6:$F$11,MATCH(C170,Kids!$B$6:$B$11,0))),0),IF(G170="Save",N(E170),0)))</f>
        <v/>
      </c>
    </row>
    <row r="171">
      <c r="A171" s="1" t="n"/>
      <c r="B171" s="34" t="n"/>
      <c r="C171" s="30" t="n"/>
      <c r="D171" s="31" t="n"/>
      <c r="E171" s="35" t="n"/>
      <c r="F171" s="35" t="n"/>
      <c r="G171" s="33" t="n"/>
      <c r="H171" s="1">
        <f>IF(C171="",0,IF(OR(G171="",G171="Split"),(N(E171)-N(F171))*IFERROR(N(INDEX(Kids!$F$6:$F$11,MATCH(C171,Kids!$B$6:$B$11,0))),0),IF(G171="Save",(N(E171)-N(F171)),0)))</f>
        <v/>
      </c>
      <c r="I171">
        <f>IF(C171="",0,(N(E171)-N(F171))-H171-J171)</f>
        <v/>
      </c>
      <c r="J171">
        <f>IF(C171="",0,IF(OR(G171="",G171="Split"),(N(E171)-N(F171))*IFERROR(N(INDEX(Kids!$G$6:$G$11,MATCH(C171,Kids!$B$6:$B$11,0))),0),IF(G171="Give",(N(E171)-N(F171)),0)))</f>
        <v/>
      </c>
      <c r="K171">
        <f>IF(C171="",0,IF(OR(G171="",G171="Split"),N(E171)*IFERROR(N(INDEX(Kids!$F$6:$F$11,MATCH(C171,Kids!$B$6:$B$11,0))),0),IF(G171="Save",N(E171),0)))</f>
        <v/>
      </c>
    </row>
    <row r="172">
      <c r="A172" s="1" t="n"/>
      <c r="B172" s="34" t="n"/>
      <c r="C172" s="30" t="n"/>
      <c r="D172" s="31" t="n"/>
      <c r="E172" s="35" t="n"/>
      <c r="F172" s="35" t="n"/>
      <c r="G172" s="33" t="n"/>
      <c r="H172" s="1">
        <f>IF(C172="",0,IF(OR(G172="",G172="Split"),(N(E172)-N(F172))*IFERROR(N(INDEX(Kids!$F$6:$F$11,MATCH(C172,Kids!$B$6:$B$11,0))),0),IF(G172="Save",(N(E172)-N(F172)),0)))</f>
        <v/>
      </c>
      <c r="I172">
        <f>IF(C172="",0,(N(E172)-N(F172))-H172-J172)</f>
        <v/>
      </c>
      <c r="J172">
        <f>IF(C172="",0,IF(OR(G172="",G172="Split"),(N(E172)-N(F172))*IFERROR(N(INDEX(Kids!$G$6:$G$11,MATCH(C172,Kids!$B$6:$B$11,0))),0),IF(G172="Give",(N(E172)-N(F172)),0)))</f>
        <v/>
      </c>
      <c r="K172">
        <f>IF(C172="",0,IF(OR(G172="",G172="Split"),N(E172)*IFERROR(N(INDEX(Kids!$F$6:$F$11,MATCH(C172,Kids!$B$6:$B$11,0))),0),IF(G172="Save",N(E172),0)))</f>
        <v/>
      </c>
    </row>
    <row r="173">
      <c r="A173" s="1" t="n"/>
      <c r="B173" s="34" t="n"/>
      <c r="C173" s="30" t="n"/>
      <c r="D173" s="31" t="n"/>
      <c r="E173" s="35" t="n"/>
      <c r="F173" s="35" t="n"/>
      <c r="G173" s="33" t="n"/>
      <c r="H173" s="1">
        <f>IF(C173="",0,IF(OR(G173="",G173="Split"),(N(E173)-N(F173))*IFERROR(N(INDEX(Kids!$F$6:$F$11,MATCH(C173,Kids!$B$6:$B$11,0))),0),IF(G173="Save",(N(E173)-N(F173)),0)))</f>
        <v/>
      </c>
      <c r="I173">
        <f>IF(C173="",0,(N(E173)-N(F173))-H173-J173)</f>
        <v/>
      </c>
      <c r="J173">
        <f>IF(C173="",0,IF(OR(G173="",G173="Split"),(N(E173)-N(F173))*IFERROR(N(INDEX(Kids!$G$6:$G$11,MATCH(C173,Kids!$B$6:$B$11,0))),0),IF(G173="Give",(N(E173)-N(F173)),0)))</f>
        <v/>
      </c>
      <c r="K173">
        <f>IF(C173="",0,IF(OR(G173="",G173="Split"),N(E173)*IFERROR(N(INDEX(Kids!$F$6:$F$11,MATCH(C173,Kids!$B$6:$B$11,0))),0),IF(G173="Save",N(E173),0)))</f>
        <v/>
      </c>
    </row>
    <row r="174">
      <c r="A174" s="1" t="n"/>
      <c r="B174" s="34" t="n"/>
      <c r="C174" s="30" t="n"/>
      <c r="D174" s="31" t="n"/>
      <c r="E174" s="35" t="n"/>
      <c r="F174" s="35" t="n"/>
      <c r="G174" s="33" t="n"/>
      <c r="H174" s="1">
        <f>IF(C174="",0,IF(OR(G174="",G174="Split"),(N(E174)-N(F174))*IFERROR(N(INDEX(Kids!$F$6:$F$11,MATCH(C174,Kids!$B$6:$B$11,0))),0),IF(G174="Save",(N(E174)-N(F174)),0)))</f>
        <v/>
      </c>
      <c r="I174">
        <f>IF(C174="",0,(N(E174)-N(F174))-H174-J174)</f>
        <v/>
      </c>
      <c r="J174">
        <f>IF(C174="",0,IF(OR(G174="",G174="Split"),(N(E174)-N(F174))*IFERROR(N(INDEX(Kids!$G$6:$G$11,MATCH(C174,Kids!$B$6:$B$11,0))),0),IF(G174="Give",(N(E174)-N(F174)),0)))</f>
        <v/>
      </c>
      <c r="K174">
        <f>IF(C174="",0,IF(OR(G174="",G174="Split"),N(E174)*IFERROR(N(INDEX(Kids!$F$6:$F$11,MATCH(C174,Kids!$B$6:$B$11,0))),0),IF(G174="Save",N(E174),0)))</f>
        <v/>
      </c>
    </row>
    <row r="175">
      <c r="A175" s="1" t="n"/>
      <c r="B175" s="34" t="n"/>
      <c r="C175" s="30" t="n"/>
      <c r="D175" s="31" t="n"/>
      <c r="E175" s="35" t="n"/>
      <c r="F175" s="35" t="n"/>
      <c r="G175" s="33" t="n"/>
      <c r="H175" s="1">
        <f>IF(C175="",0,IF(OR(G175="",G175="Split"),(N(E175)-N(F175))*IFERROR(N(INDEX(Kids!$F$6:$F$11,MATCH(C175,Kids!$B$6:$B$11,0))),0),IF(G175="Save",(N(E175)-N(F175)),0)))</f>
        <v/>
      </c>
      <c r="I175">
        <f>IF(C175="",0,(N(E175)-N(F175))-H175-J175)</f>
        <v/>
      </c>
      <c r="J175">
        <f>IF(C175="",0,IF(OR(G175="",G175="Split"),(N(E175)-N(F175))*IFERROR(N(INDEX(Kids!$G$6:$G$11,MATCH(C175,Kids!$B$6:$B$11,0))),0),IF(G175="Give",(N(E175)-N(F175)),0)))</f>
        <v/>
      </c>
      <c r="K175">
        <f>IF(C175="",0,IF(OR(G175="",G175="Split"),N(E175)*IFERROR(N(INDEX(Kids!$F$6:$F$11,MATCH(C175,Kids!$B$6:$B$11,0))),0),IF(G175="Save",N(E175),0)))</f>
        <v/>
      </c>
    </row>
    <row r="176">
      <c r="A176" s="1" t="n"/>
      <c r="B176" s="34" t="n"/>
      <c r="C176" s="30" t="n"/>
      <c r="D176" s="31" t="n"/>
      <c r="E176" s="35" t="n"/>
      <c r="F176" s="35" t="n"/>
      <c r="G176" s="33" t="n"/>
      <c r="H176" s="1">
        <f>IF(C176="",0,IF(OR(G176="",G176="Split"),(N(E176)-N(F176))*IFERROR(N(INDEX(Kids!$F$6:$F$11,MATCH(C176,Kids!$B$6:$B$11,0))),0),IF(G176="Save",(N(E176)-N(F176)),0)))</f>
        <v/>
      </c>
      <c r="I176">
        <f>IF(C176="",0,(N(E176)-N(F176))-H176-J176)</f>
        <v/>
      </c>
      <c r="J176">
        <f>IF(C176="",0,IF(OR(G176="",G176="Split"),(N(E176)-N(F176))*IFERROR(N(INDEX(Kids!$G$6:$G$11,MATCH(C176,Kids!$B$6:$B$11,0))),0),IF(G176="Give",(N(E176)-N(F176)),0)))</f>
        <v/>
      </c>
      <c r="K176">
        <f>IF(C176="",0,IF(OR(G176="",G176="Split"),N(E176)*IFERROR(N(INDEX(Kids!$F$6:$F$11,MATCH(C176,Kids!$B$6:$B$11,0))),0),IF(G176="Save",N(E176),0)))</f>
        <v/>
      </c>
    </row>
    <row r="177">
      <c r="A177" s="1" t="n"/>
      <c r="B177" s="34" t="n"/>
      <c r="C177" s="30" t="n"/>
      <c r="D177" s="31" t="n"/>
      <c r="E177" s="35" t="n"/>
      <c r="F177" s="35" t="n"/>
      <c r="G177" s="33" t="n"/>
      <c r="H177" s="1">
        <f>IF(C177="",0,IF(OR(G177="",G177="Split"),(N(E177)-N(F177))*IFERROR(N(INDEX(Kids!$F$6:$F$11,MATCH(C177,Kids!$B$6:$B$11,0))),0),IF(G177="Save",(N(E177)-N(F177)),0)))</f>
        <v/>
      </c>
      <c r="I177">
        <f>IF(C177="",0,(N(E177)-N(F177))-H177-J177)</f>
        <v/>
      </c>
      <c r="J177">
        <f>IF(C177="",0,IF(OR(G177="",G177="Split"),(N(E177)-N(F177))*IFERROR(N(INDEX(Kids!$G$6:$G$11,MATCH(C177,Kids!$B$6:$B$11,0))),0),IF(G177="Give",(N(E177)-N(F177)),0)))</f>
        <v/>
      </c>
      <c r="K177">
        <f>IF(C177="",0,IF(OR(G177="",G177="Split"),N(E177)*IFERROR(N(INDEX(Kids!$F$6:$F$11,MATCH(C177,Kids!$B$6:$B$11,0))),0),IF(G177="Save",N(E177),0)))</f>
        <v/>
      </c>
    </row>
    <row r="178">
      <c r="A178" s="1" t="n"/>
      <c r="B178" s="34" t="n"/>
      <c r="C178" s="30" t="n"/>
      <c r="D178" s="31" t="n"/>
      <c r="E178" s="35" t="n"/>
      <c r="F178" s="35" t="n"/>
      <c r="G178" s="33" t="n"/>
      <c r="H178" s="1">
        <f>IF(C178="",0,IF(OR(G178="",G178="Split"),(N(E178)-N(F178))*IFERROR(N(INDEX(Kids!$F$6:$F$11,MATCH(C178,Kids!$B$6:$B$11,0))),0),IF(G178="Save",(N(E178)-N(F178)),0)))</f>
        <v/>
      </c>
      <c r="I178">
        <f>IF(C178="",0,(N(E178)-N(F178))-H178-J178)</f>
        <v/>
      </c>
      <c r="J178">
        <f>IF(C178="",0,IF(OR(G178="",G178="Split"),(N(E178)-N(F178))*IFERROR(N(INDEX(Kids!$G$6:$G$11,MATCH(C178,Kids!$B$6:$B$11,0))),0),IF(G178="Give",(N(E178)-N(F178)),0)))</f>
        <v/>
      </c>
      <c r="K178">
        <f>IF(C178="",0,IF(OR(G178="",G178="Split"),N(E178)*IFERROR(N(INDEX(Kids!$F$6:$F$11,MATCH(C178,Kids!$B$6:$B$11,0))),0),IF(G178="Save",N(E178),0)))</f>
        <v/>
      </c>
    </row>
    <row r="179">
      <c r="A179" s="1" t="n"/>
      <c r="B179" s="34" t="n"/>
      <c r="C179" s="30" t="n"/>
      <c r="D179" s="31" t="n"/>
      <c r="E179" s="35" t="n"/>
      <c r="F179" s="35" t="n"/>
      <c r="G179" s="33" t="n"/>
      <c r="H179" s="1">
        <f>IF(C179="",0,IF(OR(G179="",G179="Split"),(N(E179)-N(F179))*IFERROR(N(INDEX(Kids!$F$6:$F$11,MATCH(C179,Kids!$B$6:$B$11,0))),0),IF(G179="Save",(N(E179)-N(F179)),0)))</f>
        <v/>
      </c>
      <c r="I179">
        <f>IF(C179="",0,(N(E179)-N(F179))-H179-J179)</f>
        <v/>
      </c>
      <c r="J179">
        <f>IF(C179="",0,IF(OR(G179="",G179="Split"),(N(E179)-N(F179))*IFERROR(N(INDEX(Kids!$G$6:$G$11,MATCH(C179,Kids!$B$6:$B$11,0))),0),IF(G179="Give",(N(E179)-N(F179)),0)))</f>
        <v/>
      </c>
      <c r="K179">
        <f>IF(C179="",0,IF(OR(G179="",G179="Split"),N(E179)*IFERROR(N(INDEX(Kids!$F$6:$F$11,MATCH(C179,Kids!$B$6:$B$11,0))),0),IF(G179="Save",N(E179),0)))</f>
        <v/>
      </c>
    </row>
    <row r="180">
      <c r="A180" s="1" t="n"/>
      <c r="B180" s="34" t="n"/>
      <c r="C180" s="30" t="n"/>
      <c r="D180" s="31" t="n"/>
      <c r="E180" s="35" t="n"/>
      <c r="F180" s="35" t="n"/>
      <c r="G180" s="33" t="n"/>
      <c r="H180" s="1">
        <f>IF(C180="",0,IF(OR(G180="",G180="Split"),(N(E180)-N(F180))*IFERROR(N(INDEX(Kids!$F$6:$F$11,MATCH(C180,Kids!$B$6:$B$11,0))),0),IF(G180="Save",(N(E180)-N(F180)),0)))</f>
        <v/>
      </c>
      <c r="I180">
        <f>IF(C180="",0,(N(E180)-N(F180))-H180-J180)</f>
        <v/>
      </c>
      <c r="J180">
        <f>IF(C180="",0,IF(OR(G180="",G180="Split"),(N(E180)-N(F180))*IFERROR(N(INDEX(Kids!$G$6:$G$11,MATCH(C180,Kids!$B$6:$B$11,0))),0),IF(G180="Give",(N(E180)-N(F180)),0)))</f>
        <v/>
      </c>
      <c r="K180">
        <f>IF(C180="",0,IF(OR(G180="",G180="Split"),N(E180)*IFERROR(N(INDEX(Kids!$F$6:$F$11,MATCH(C180,Kids!$B$6:$B$11,0))),0),IF(G180="Save",N(E180),0)))</f>
        <v/>
      </c>
    </row>
    <row r="181">
      <c r="A181" s="1" t="n"/>
      <c r="B181" s="34" t="n"/>
      <c r="C181" s="30" t="n"/>
      <c r="D181" s="31" t="n"/>
      <c r="E181" s="35" t="n"/>
      <c r="F181" s="35" t="n"/>
      <c r="G181" s="33" t="n"/>
      <c r="H181" s="1">
        <f>IF(C181="",0,IF(OR(G181="",G181="Split"),(N(E181)-N(F181))*IFERROR(N(INDEX(Kids!$F$6:$F$11,MATCH(C181,Kids!$B$6:$B$11,0))),0),IF(G181="Save",(N(E181)-N(F181)),0)))</f>
        <v/>
      </c>
      <c r="I181">
        <f>IF(C181="",0,(N(E181)-N(F181))-H181-J181)</f>
        <v/>
      </c>
      <c r="J181">
        <f>IF(C181="",0,IF(OR(G181="",G181="Split"),(N(E181)-N(F181))*IFERROR(N(INDEX(Kids!$G$6:$G$11,MATCH(C181,Kids!$B$6:$B$11,0))),0),IF(G181="Give",(N(E181)-N(F181)),0)))</f>
        <v/>
      </c>
      <c r="K181">
        <f>IF(C181="",0,IF(OR(G181="",G181="Split"),N(E181)*IFERROR(N(INDEX(Kids!$F$6:$F$11,MATCH(C181,Kids!$B$6:$B$11,0))),0),IF(G181="Save",N(E181),0)))</f>
        <v/>
      </c>
    </row>
    <row r="182">
      <c r="A182" s="1" t="n"/>
      <c r="B182" s="34" t="n"/>
      <c r="C182" s="30" t="n"/>
      <c r="D182" s="31" t="n"/>
      <c r="E182" s="35" t="n"/>
      <c r="F182" s="35" t="n"/>
      <c r="G182" s="33" t="n"/>
      <c r="H182" s="1">
        <f>IF(C182="",0,IF(OR(G182="",G182="Split"),(N(E182)-N(F182))*IFERROR(N(INDEX(Kids!$F$6:$F$11,MATCH(C182,Kids!$B$6:$B$11,0))),0),IF(G182="Save",(N(E182)-N(F182)),0)))</f>
        <v/>
      </c>
      <c r="I182">
        <f>IF(C182="",0,(N(E182)-N(F182))-H182-J182)</f>
        <v/>
      </c>
      <c r="J182">
        <f>IF(C182="",0,IF(OR(G182="",G182="Split"),(N(E182)-N(F182))*IFERROR(N(INDEX(Kids!$G$6:$G$11,MATCH(C182,Kids!$B$6:$B$11,0))),0),IF(G182="Give",(N(E182)-N(F182)),0)))</f>
        <v/>
      </c>
      <c r="K182">
        <f>IF(C182="",0,IF(OR(G182="",G182="Split"),N(E182)*IFERROR(N(INDEX(Kids!$F$6:$F$11,MATCH(C182,Kids!$B$6:$B$11,0))),0),IF(G182="Save",N(E182),0)))</f>
        <v/>
      </c>
    </row>
    <row r="183">
      <c r="A183" s="1" t="n"/>
      <c r="B183" s="34" t="n"/>
      <c r="C183" s="30" t="n"/>
      <c r="D183" s="31" t="n"/>
      <c r="E183" s="35" t="n"/>
      <c r="F183" s="35" t="n"/>
      <c r="G183" s="33" t="n"/>
      <c r="H183" s="1">
        <f>IF(C183="",0,IF(OR(G183="",G183="Split"),(N(E183)-N(F183))*IFERROR(N(INDEX(Kids!$F$6:$F$11,MATCH(C183,Kids!$B$6:$B$11,0))),0),IF(G183="Save",(N(E183)-N(F183)),0)))</f>
        <v/>
      </c>
      <c r="I183">
        <f>IF(C183="",0,(N(E183)-N(F183))-H183-J183)</f>
        <v/>
      </c>
      <c r="J183">
        <f>IF(C183="",0,IF(OR(G183="",G183="Split"),(N(E183)-N(F183))*IFERROR(N(INDEX(Kids!$G$6:$G$11,MATCH(C183,Kids!$B$6:$B$11,0))),0),IF(G183="Give",(N(E183)-N(F183)),0)))</f>
        <v/>
      </c>
      <c r="K183">
        <f>IF(C183="",0,IF(OR(G183="",G183="Split"),N(E183)*IFERROR(N(INDEX(Kids!$F$6:$F$11,MATCH(C183,Kids!$B$6:$B$11,0))),0),IF(G183="Save",N(E183),0)))</f>
        <v/>
      </c>
    </row>
    <row r="184">
      <c r="A184" s="1" t="n"/>
      <c r="B184" s="34" t="n"/>
      <c r="C184" s="30" t="n"/>
      <c r="D184" s="31" t="n"/>
      <c r="E184" s="35" t="n"/>
      <c r="F184" s="35" t="n"/>
      <c r="G184" s="33" t="n"/>
      <c r="H184" s="1">
        <f>IF(C184="",0,IF(OR(G184="",G184="Split"),(N(E184)-N(F184))*IFERROR(N(INDEX(Kids!$F$6:$F$11,MATCH(C184,Kids!$B$6:$B$11,0))),0),IF(G184="Save",(N(E184)-N(F184)),0)))</f>
        <v/>
      </c>
      <c r="I184">
        <f>IF(C184="",0,(N(E184)-N(F184))-H184-J184)</f>
        <v/>
      </c>
      <c r="J184">
        <f>IF(C184="",0,IF(OR(G184="",G184="Split"),(N(E184)-N(F184))*IFERROR(N(INDEX(Kids!$G$6:$G$11,MATCH(C184,Kids!$B$6:$B$11,0))),0),IF(G184="Give",(N(E184)-N(F184)),0)))</f>
        <v/>
      </c>
      <c r="K184">
        <f>IF(C184="",0,IF(OR(G184="",G184="Split"),N(E184)*IFERROR(N(INDEX(Kids!$F$6:$F$11,MATCH(C184,Kids!$B$6:$B$11,0))),0),IF(G184="Save",N(E184),0)))</f>
        <v/>
      </c>
    </row>
    <row r="185">
      <c r="A185" s="1" t="n"/>
      <c r="B185" s="34" t="n"/>
      <c r="C185" s="30" t="n"/>
      <c r="D185" s="31" t="n"/>
      <c r="E185" s="35" t="n"/>
      <c r="F185" s="35" t="n"/>
      <c r="G185" s="33" t="n"/>
      <c r="H185" s="1">
        <f>IF(C185="",0,IF(OR(G185="",G185="Split"),(N(E185)-N(F185))*IFERROR(N(INDEX(Kids!$F$6:$F$11,MATCH(C185,Kids!$B$6:$B$11,0))),0),IF(G185="Save",(N(E185)-N(F185)),0)))</f>
        <v/>
      </c>
      <c r="I185">
        <f>IF(C185="",0,(N(E185)-N(F185))-H185-J185)</f>
        <v/>
      </c>
      <c r="J185">
        <f>IF(C185="",0,IF(OR(G185="",G185="Split"),(N(E185)-N(F185))*IFERROR(N(INDEX(Kids!$G$6:$G$11,MATCH(C185,Kids!$B$6:$B$11,0))),0),IF(G185="Give",(N(E185)-N(F185)),0)))</f>
        <v/>
      </c>
      <c r="K185">
        <f>IF(C185="",0,IF(OR(G185="",G185="Split"),N(E185)*IFERROR(N(INDEX(Kids!$F$6:$F$11,MATCH(C185,Kids!$B$6:$B$11,0))),0),IF(G185="Save",N(E185),0)))</f>
        <v/>
      </c>
    </row>
    <row r="186">
      <c r="A186" s="1" t="n"/>
      <c r="B186" s="34" t="n"/>
      <c r="C186" s="30" t="n"/>
      <c r="D186" s="31" t="n"/>
      <c r="E186" s="35" t="n"/>
      <c r="F186" s="35" t="n"/>
      <c r="G186" s="33" t="n"/>
      <c r="H186" s="1">
        <f>IF(C186="",0,IF(OR(G186="",G186="Split"),(N(E186)-N(F186))*IFERROR(N(INDEX(Kids!$F$6:$F$11,MATCH(C186,Kids!$B$6:$B$11,0))),0),IF(G186="Save",(N(E186)-N(F186)),0)))</f>
        <v/>
      </c>
      <c r="I186">
        <f>IF(C186="",0,(N(E186)-N(F186))-H186-J186)</f>
        <v/>
      </c>
      <c r="J186">
        <f>IF(C186="",0,IF(OR(G186="",G186="Split"),(N(E186)-N(F186))*IFERROR(N(INDEX(Kids!$G$6:$G$11,MATCH(C186,Kids!$B$6:$B$11,0))),0),IF(G186="Give",(N(E186)-N(F186)),0)))</f>
        <v/>
      </c>
      <c r="K186">
        <f>IF(C186="",0,IF(OR(G186="",G186="Split"),N(E186)*IFERROR(N(INDEX(Kids!$F$6:$F$11,MATCH(C186,Kids!$B$6:$B$11,0))),0),IF(G186="Save",N(E186),0)))</f>
        <v/>
      </c>
    </row>
    <row r="187">
      <c r="A187" s="1" t="n"/>
      <c r="B187" s="34" t="n"/>
      <c r="C187" s="30" t="n"/>
      <c r="D187" s="31" t="n"/>
      <c r="E187" s="35" t="n"/>
      <c r="F187" s="35" t="n"/>
      <c r="G187" s="33" t="n"/>
      <c r="H187" s="1">
        <f>IF(C187="",0,IF(OR(G187="",G187="Split"),(N(E187)-N(F187))*IFERROR(N(INDEX(Kids!$F$6:$F$11,MATCH(C187,Kids!$B$6:$B$11,0))),0),IF(G187="Save",(N(E187)-N(F187)),0)))</f>
        <v/>
      </c>
      <c r="I187">
        <f>IF(C187="",0,(N(E187)-N(F187))-H187-J187)</f>
        <v/>
      </c>
      <c r="J187">
        <f>IF(C187="",0,IF(OR(G187="",G187="Split"),(N(E187)-N(F187))*IFERROR(N(INDEX(Kids!$G$6:$G$11,MATCH(C187,Kids!$B$6:$B$11,0))),0),IF(G187="Give",(N(E187)-N(F187)),0)))</f>
        <v/>
      </c>
      <c r="K187">
        <f>IF(C187="",0,IF(OR(G187="",G187="Split"),N(E187)*IFERROR(N(INDEX(Kids!$F$6:$F$11,MATCH(C187,Kids!$B$6:$B$11,0))),0),IF(G187="Save",N(E187),0)))</f>
        <v/>
      </c>
    </row>
    <row r="188">
      <c r="A188" s="1" t="n"/>
      <c r="B188" s="34" t="n"/>
      <c r="C188" s="30" t="n"/>
      <c r="D188" s="31" t="n"/>
      <c r="E188" s="35" t="n"/>
      <c r="F188" s="35" t="n"/>
      <c r="G188" s="33" t="n"/>
      <c r="H188" s="1">
        <f>IF(C188="",0,IF(OR(G188="",G188="Split"),(N(E188)-N(F188))*IFERROR(N(INDEX(Kids!$F$6:$F$11,MATCH(C188,Kids!$B$6:$B$11,0))),0),IF(G188="Save",(N(E188)-N(F188)),0)))</f>
        <v/>
      </c>
      <c r="I188">
        <f>IF(C188="",0,(N(E188)-N(F188))-H188-J188)</f>
        <v/>
      </c>
      <c r="J188">
        <f>IF(C188="",0,IF(OR(G188="",G188="Split"),(N(E188)-N(F188))*IFERROR(N(INDEX(Kids!$G$6:$G$11,MATCH(C188,Kids!$B$6:$B$11,0))),0),IF(G188="Give",(N(E188)-N(F188)),0)))</f>
        <v/>
      </c>
      <c r="K188">
        <f>IF(C188="",0,IF(OR(G188="",G188="Split"),N(E188)*IFERROR(N(INDEX(Kids!$F$6:$F$11,MATCH(C188,Kids!$B$6:$B$11,0))),0),IF(G188="Save",N(E188),0)))</f>
        <v/>
      </c>
    </row>
    <row r="189">
      <c r="A189" s="1" t="n"/>
      <c r="B189" s="34" t="n"/>
      <c r="C189" s="30" t="n"/>
      <c r="D189" s="31" t="n"/>
      <c r="E189" s="35" t="n"/>
      <c r="F189" s="35" t="n"/>
      <c r="G189" s="33" t="n"/>
      <c r="H189" s="1">
        <f>IF(C189="",0,IF(OR(G189="",G189="Split"),(N(E189)-N(F189))*IFERROR(N(INDEX(Kids!$F$6:$F$11,MATCH(C189,Kids!$B$6:$B$11,0))),0),IF(G189="Save",(N(E189)-N(F189)),0)))</f>
        <v/>
      </c>
      <c r="I189">
        <f>IF(C189="",0,(N(E189)-N(F189))-H189-J189)</f>
        <v/>
      </c>
      <c r="J189">
        <f>IF(C189="",0,IF(OR(G189="",G189="Split"),(N(E189)-N(F189))*IFERROR(N(INDEX(Kids!$G$6:$G$11,MATCH(C189,Kids!$B$6:$B$11,0))),0),IF(G189="Give",(N(E189)-N(F189)),0)))</f>
        <v/>
      </c>
      <c r="K189">
        <f>IF(C189="",0,IF(OR(G189="",G189="Split"),N(E189)*IFERROR(N(INDEX(Kids!$F$6:$F$11,MATCH(C189,Kids!$B$6:$B$11,0))),0),IF(G189="Save",N(E189),0)))</f>
        <v/>
      </c>
    </row>
    <row r="190">
      <c r="A190" s="1" t="n"/>
      <c r="B190" s="34" t="n"/>
      <c r="C190" s="30" t="n"/>
      <c r="D190" s="31" t="n"/>
      <c r="E190" s="35" t="n"/>
      <c r="F190" s="35" t="n"/>
      <c r="G190" s="33" t="n"/>
      <c r="H190" s="1">
        <f>IF(C190="",0,IF(OR(G190="",G190="Split"),(N(E190)-N(F190))*IFERROR(N(INDEX(Kids!$F$6:$F$11,MATCH(C190,Kids!$B$6:$B$11,0))),0),IF(G190="Save",(N(E190)-N(F190)),0)))</f>
        <v/>
      </c>
      <c r="I190">
        <f>IF(C190="",0,(N(E190)-N(F190))-H190-J190)</f>
        <v/>
      </c>
      <c r="J190">
        <f>IF(C190="",0,IF(OR(G190="",G190="Split"),(N(E190)-N(F190))*IFERROR(N(INDEX(Kids!$G$6:$G$11,MATCH(C190,Kids!$B$6:$B$11,0))),0),IF(G190="Give",(N(E190)-N(F190)),0)))</f>
        <v/>
      </c>
      <c r="K190">
        <f>IF(C190="",0,IF(OR(G190="",G190="Split"),N(E190)*IFERROR(N(INDEX(Kids!$F$6:$F$11,MATCH(C190,Kids!$B$6:$B$11,0))),0),IF(G190="Save",N(E190),0)))</f>
        <v/>
      </c>
    </row>
    <row r="191">
      <c r="A191" s="1" t="n"/>
      <c r="B191" s="34" t="n"/>
      <c r="C191" s="30" t="n"/>
      <c r="D191" s="31" t="n"/>
      <c r="E191" s="35" t="n"/>
      <c r="F191" s="35" t="n"/>
      <c r="G191" s="33" t="n"/>
      <c r="H191" s="1">
        <f>IF(C191="",0,IF(OR(G191="",G191="Split"),(N(E191)-N(F191))*IFERROR(N(INDEX(Kids!$F$6:$F$11,MATCH(C191,Kids!$B$6:$B$11,0))),0),IF(G191="Save",(N(E191)-N(F191)),0)))</f>
        <v/>
      </c>
      <c r="I191">
        <f>IF(C191="",0,(N(E191)-N(F191))-H191-J191)</f>
        <v/>
      </c>
      <c r="J191">
        <f>IF(C191="",0,IF(OR(G191="",G191="Split"),(N(E191)-N(F191))*IFERROR(N(INDEX(Kids!$G$6:$G$11,MATCH(C191,Kids!$B$6:$B$11,0))),0),IF(G191="Give",(N(E191)-N(F191)),0)))</f>
        <v/>
      </c>
      <c r="K191">
        <f>IF(C191="",0,IF(OR(G191="",G191="Split"),N(E191)*IFERROR(N(INDEX(Kids!$F$6:$F$11,MATCH(C191,Kids!$B$6:$B$11,0))),0),IF(G191="Save",N(E191),0)))</f>
        <v/>
      </c>
    </row>
    <row r="192">
      <c r="A192" s="1" t="n"/>
      <c r="B192" s="34" t="n"/>
      <c r="C192" s="30" t="n"/>
      <c r="D192" s="31" t="n"/>
      <c r="E192" s="35" t="n"/>
      <c r="F192" s="35" t="n"/>
      <c r="G192" s="33" t="n"/>
      <c r="H192" s="1">
        <f>IF(C192="",0,IF(OR(G192="",G192="Split"),(N(E192)-N(F192))*IFERROR(N(INDEX(Kids!$F$6:$F$11,MATCH(C192,Kids!$B$6:$B$11,0))),0),IF(G192="Save",(N(E192)-N(F192)),0)))</f>
        <v/>
      </c>
      <c r="I192">
        <f>IF(C192="",0,(N(E192)-N(F192))-H192-J192)</f>
        <v/>
      </c>
      <c r="J192">
        <f>IF(C192="",0,IF(OR(G192="",G192="Split"),(N(E192)-N(F192))*IFERROR(N(INDEX(Kids!$G$6:$G$11,MATCH(C192,Kids!$B$6:$B$11,0))),0),IF(G192="Give",(N(E192)-N(F192)),0)))</f>
        <v/>
      </c>
      <c r="K192">
        <f>IF(C192="",0,IF(OR(G192="",G192="Split"),N(E192)*IFERROR(N(INDEX(Kids!$F$6:$F$11,MATCH(C192,Kids!$B$6:$B$11,0))),0),IF(G192="Save",N(E192),0)))</f>
        <v/>
      </c>
    </row>
    <row r="193">
      <c r="A193" s="1" t="n"/>
      <c r="B193" s="34" t="n"/>
      <c r="C193" s="30" t="n"/>
      <c r="D193" s="31" t="n"/>
      <c r="E193" s="35" t="n"/>
      <c r="F193" s="35" t="n"/>
      <c r="G193" s="33" t="n"/>
      <c r="H193" s="1">
        <f>IF(C193="",0,IF(OR(G193="",G193="Split"),(N(E193)-N(F193))*IFERROR(N(INDEX(Kids!$F$6:$F$11,MATCH(C193,Kids!$B$6:$B$11,0))),0),IF(G193="Save",(N(E193)-N(F193)),0)))</f>
        <v/>
      </c>
      <c r="I193">
        <f>IF(C193="",0,(N(E193)-N(F193))-H193-J193)</f>
        <v/>
      </c>
      <c r="J193">
        <f>IF(C193="",0,IF(OR(G193="",G193="Split"),(N(E193)-N(F193))*IFERROR(N(INDEX(Kids!$G$6:$G$11,MATCH(C193,Kids!$B$6:$B$11,0))),0),IF(G193="Give",(N(E193)-N(F193)),0)))</f>
        <v/>
      </c>
      <c r="K193">
        <f>IF(C193="",0,IF(OR(G193="",G193="Split"),N(E193)*IFERROR(N(INDEX(Kids!$F$6:$F$11,MATCH(C193,Kids!$B$6:$B$11,0))),0),IF(G193="Save",N(E193),0)))</f>
        <v/>
      </c>
    </row>
    <row r="194">
      <c r="A194" s="1" t="n"/>
      <c r="B194" s="34" t="n"/>
      <c r="C194" s="30" t="n"/>
      <c r="D194" s="31" t="n"/>
      <c r="E194" s="35" t="n"/>
      <c r="F194" s="35" t="n"/>
      <c r="G194" s="33" t="n"/>
      <c r="H194" s="1">
        <f>IF(C194="",0,IF(OR(G194="",G194="Split"),(N(E194)-N(F194))*IFERROR(N(INDEX(Kids!$F$6:$F$11,MATCH(C194,Kids!$B$6:$B$11,0))),0),IF(G194="Save",(N(E194)-N(F194)),0)))</f>
        <v/>
      </c>
      <c r="I194">
        <f>IF(C194="",0,(N(E194)-N(F194))-H194-J194)</f>
        <v/>
      </c>
      <c r="J194">
        <f>IF(C194="",0,IF(OR(G194="",G194="Split"),(N(E194)-N(F194))*IFERROR(N(INDEX(Kids!$G$6:$G$11,MATCH(C194,Kids!$B$6:$B$11,0))),0),IF(G194="Give",(N(E194)-N(F194)),0)))</f>
        <v/>
      </c>
      <c r="K194">
        <f>IF(C194="",0,IF(OR(G194="",G194="Split"),N(E194)*IFERROR(N(INDEX(Kids!$F$6:$F$11,MATCH(C194,Kids!$B$6:$B$11,0))),0),IF(G194="Save",N(E194),0)))</f>
        <v/>
      </c>
    </row>
    <row r="195">
      <c r="A195" s="1" t="n"/>
      <c r="B195" s="34" t="n"/>
      <c r="C195" s="30" t="n"/>
      <c r="D195" s="31" t="n"/>
      <c r="E195" s="35" t="n"/>
      <c r="F195" s="35" t="n"/>
      <c r="G195" s="33" t="n"/>
      <c r="H195" s="1">
        <f>IF(C195="",0,IF(OR(G195="",G195="Split"),(N(E195)-N(F195))*IFERROR(N(INDEX(Kids!$F$6:$F$11,MATCH(C195,Kids!$B$6:$B$11,0))),0),IF(G195="Save",(N(E195)-N(F195)),0)))</f>
        <v/>
      </c>
      <c r="I195">
        <f>IF(C195="",0,(N(E195)-N(F195))-H195-J195)</f>
        <v/>
      </c>
      <c r="J195">
        <f>IF(C195="",0,IF(OR(G195="",G195="Split"),(N(E195)-N(F195))*IFERROR(N(INDEX(Kids!$G$6:$G$11,MATCH(C195,Kids!$B$6:$B$11,0))),0),IF(G195="Give",(N(E195)-N(F195)),0)))</f>
        <v/>
      </c>
      <c r="K195">
        <f>IF(C195="",0,IF(OR(G195="",G195="Split"),N(E195)*IFERROR(N(INDEX(Kids!$F$6:$F$11,MATCH(C195,Kids!$B$6:$B$11,0))),0),IF(G195="Save",N(E195),0)))</f>
        <v/>
      </c>
    </row>
    <row r="196">
      <c r="A196" s="1" t="n"/>
      <c r="B196" s="34" t="n"/>
      <c r="C196" s="30" t="n"/>
      <c r="D196" s="31" t="n"/>
      <c r="E196" s="35" t="n"/>
      <c r="F196" s="35" t="n"/>
      <c r="G196" s="33" t="n"/>
      <c r="H196" s="1">
        <f>IF(C196="",0,IF(OR(G196="",G196="Split"),(N(E196)-N(F196))*IFERROR(N(INDEX(Kids!$F$6:$F$11,MATCH(C196,Kids!$B$6:$B$11,0))),0),IF(G196="Save",(N(E196)-N(F196)),0)))</f>
        <v/>
      </c>
      <c r="I196">
        <f>IF(C196="",0,(N(E196)-N(F196))-H196-J196)</f>
        <v/>
      </c>
      <c r="J196">
        <f>IF(C196="",0,IF(OR(G196="",G196="Split"),(N(E196)-N(F196))*IFERROR(N(INDEX(Kids!$G$6:$G$11,MATCH(C196,Kids!$B$6:$B$11,0))),0),IF(G196="Give",(N(E196)-N(F196)),0)))</f>
        <v/>
      </c>
      <c r="K196">
        <f>IF(C196="",0,IF(OR(G196="",G196="Split"),N(E196)*IFERROR(N(INDEX(Kids!$F$6:$F$11,MATCH(C196,Kids!$B$6:$B$11,0))),0),IF(G196="Save",N(E196),0)))</f>
        <v/>
      </c>
    </row>
    <row r="197">
      <c r="A197" s="1" t="n"/>
      <c r="B197" s="34" t="n"/>
      <c r="C197" s="30" t="n"/>
      <c r="D197" s="31" t="n"/>
      <c r="E197" s="35" t="n"/>
      <c r="F197" s="35" t="n"/>
      <c r="G197" s="33" t="n"/>
      <c r="H197" s="1">
        <f>IF(C197="",0,IF(OR(G197="",G197="Split"),(N(E197)-N(F197))*IFERROR(N(INDEX(Kids!$F$6:$F$11,MATCH(C197,Kids!$B$6:$B$11,0))),0),IF(G197="Save",(N(E197)-N(F197)),0)))</f>
        <v/>
      </c>
      <c r="I197">
        <f>IF(C197="",0,(N(E197)-N(F197))-H197-J197)</f>
        <v/>
      </c>
      <c r="J197">
        <f>IF(C197="",0,IF(OR(G197="",G197="Split"),(N(E197)-N(F197))*IFERROR(N(INDEX(Kids!$G$6:$G$11,MATCH(C197,Kids!$B$6:$B$11,0))),0),IF(G197="Give",(N(E197)-N(F197)),0)))</f>
        <v/>
      </c>
      <c r="K197">
        <f>IF(C197="",0,IF(OR(G197="",G197="Split"),N(E197)*IFERROR(N(INDEX(Kids!$F$6:$F$11,MATCH(C197,Kids!$B$6:$B$11,0))),0),IF(G197="Save",N(E197),0)))</f>
        <v/>
      </c>
    </row>
    <row r="198">
      <c r="A198" s="1" t="n"/>
      <c r="B198" s="34" t="n"/>
      <c r="C198" s="30" t="n"/>
      <c r="D198" s="31" t="n"/>
      <c r="E198" s="35" t="n"/>
      <c r="F198" s="35" t="n"/>
      <c r="G198" s="33" t="n"/>
      <c r="H198" s="1">
        <f>IF(C198="",0,IF(OR(G198="",G198="Split"),(N(E198)-N(F198))*IFERROR(N(INDEX(Kids!$F$6:$F$11,MATCH(C198,Kids!$B$6:$B$11,0))),0),IF(G198="Save",(N(E198)-N(F198)),0)))</f>
        <v/>
      </c>
      <c r="I198">
        <f>IF(C198="",0,(N(E198)-N(F198))-H198-J198)</f>
        <v/>
      </c>
      <c r="J198">
        <f>IF(C198="",0,IF(OR(G198="",G198="Split"),(N(E198)-N(F198))*IFERROR(N(INDEX(Kids!$G$6:$G$11,MATCH(C198,Kids!$B$6:$B$11,0))),0),IF(G198="Give",(N(E198)-N(F198)),0)))</f>
        <v/>
      </c>
      <c r="K198">
        <f>IF(C198="",0,IF(OR(G198="",G198="Split"),N(E198)*IFERROR(N(INDEX(Kids!$F$6:$F$11,MATCH(C198,Kids!$B$6:$B$11,0))),0),IF(G198="Save",N(E198),0)))</f>
        <v/>
      </c>
    </row>
    <row r="199">
      <c r="A199" s="1" t="n"/>
      <c r="B199" s="34" t="n"/>
      <c r="C199" s="30" t="n"/>
      <c r="D199" s="31" t="n"/>
      <c r="E199" s="35" t="n"/>
      <c r="F199" s="35" t="n"/>
      <c r="G199" s="33" t="n"/>
      <c r="H199" s="1">
        <f>IF(C199="",0,IF(OR(G199="",G199="Split"),(N(E199)-N(F199))*IFERROR(N(INDEX(Kids!$F$6:$F$11,MATCH(C199,Kids!$B$6:$B$11,0))),0),IF(G199="Save",(N(E199)-N(F199)),0)))</f>
        <v/>
      </c>
      <c r="I199">
        <f>IF(C199="",0,(N(E199)-N(F199))-H199-J199)</f>
        <v/>
      </c>
      <c r="J199">
        <f>IF(C199="",0,IF(OR(G199="",G199="Split"),(N(E199)-N(F199))*IFERROR(N(INDEX(Kids!$G$6:$G$11,MATCH(C199,Kids!$B$6:$B$11,0))),0),IF(G199="Give",(N(E199)-N(F199)),0)))</f>
        <v/>
      </c>
      <c r="K199">
        <f>IF(C199="",0,IF(OR(G199="",G199="Split"),N(E199)*IFERROR(N(INDEX(Kids!$F$6:$F$11,MATCH(C199,Kids!$B$6:$B$11,0))),0),IF(G199="Save",N(E199),0)))</f>
        <v/>
      </c>
    </row>
    <row r="200">
      <c r="A200" s="1" t="n"/>
      <c r="B200" s="34" t="n"/>
      <c r="C200" s="30" t="n"/>
      <c r="D200" s="31" t="n"/>
      <c r="E200" s="35" t="n"/>
      <c r="F200" s="35" t="n"/>
      <c r="G200" s="33" t="n"/>
      <c r="H200" s="1">
        <f>IF(C200="",0,IF(OR(G200="",G200="Split"),(N(E200)-N(F200))*IFERROR(N(INDEX(Kids!$F$6:$F$11,MATCH(C200,Kids!$B$6:$B$11,0))),0),IF(G200="Save",(N(E200)-N(F200)),0)))</f>
        <v/>
      </c>
      <c r="I200">
        <f>IF(C200="",0,(N(E200)-N(F200))-H200-J200)</f>
        <v/>
      </c>
      <c r="J200">
        <f>IF(C200="",0,IF(OR(G200="",G200="Split"),(N(E200)-N(F200))*IFERROR(N(INDEX(Kids!$G$6:$G$11,MATCH(C200,Kids!$B$6:$B$11,0))),0),IF(G200="Give",(N(E200)-N(F200)),0)))</f>
        <v/>
      </c>
      <c r="K200">
        <f>IF(C200="",0,IF(OR(G200="",G200="Split"),N(E200)*IFERROR(N(INDEX(Kids!$F$6:$F$11,MATCH(C200,Kids!$B$6:$B$11,0))),0),IF(G200="Save",N(E200),0)))</f>
        <v/>
      </c>
    </row>
    <row r="201">
      <c r="A201" s="1" t="n"/>
      <c r="B201" s="34" t="n"/>
      <c r="C201" s="30" t="n"/>
      <c r="D201" s="31" t="n"/>
      <c r="E201" s="35" t="n"/>
      <c r="F201" s="35" t="n"/>
      <c r="G201" s="33" t="n"/>
      <c r="H201" s="1">
        <f>IF(C201="",0,IF(OR(G201="",G201="Split"),(N(E201)-N(F201))*IFERROR(N(INDEX(Kids!$F$6:$F$11,MATCH(C201,Kids!$B$6:$B$11,0))),0),IF(G201="Save",(N(E201)-N(F201)),0)))</f>
        <v/>
      </c>
      <c r="I201">
        <f>IF(C201="",0,(N(E201)-N(F201))-H201-J201)</f>
        <v/>
      </c>
      <c r="J201">
        <f>IF(C201="",0,IF(OR(G201="",G201="Split"),(N(E201)-N(F201))*IFERROR(N(INDEX(Kids!$G$6:$G$11,MATCH(C201,Kids!$B$6:$B$11,0))),0),IF(G201="Give",(N(E201)-N(F201)),0)))</f>
        <v/>
      </c>
      <c r="K201">
        <f>IF(C201="",0,IF(OR(G201="",G201="Split"),N(E201)*IFERROR(N(INDEX(Kids!$F$6:$F$11,MATCH(C201,Kids!$B$6:$B$11,0))),0),IF(G201="Save",N(E201),0)))</f>
        <v/>
      </c>
    </row>
    <row r="202">
      <c r="A202" s="1" t="n"/>
      <c r="B202" s="34" t="n"/>
      <c r="C202" s="30" t="n"/>
      <c r="D202" s="31" t="n"/>
      <c r="E202" s="35" t="n"/>
      <c r="F202" s="35" t="n"/>
      <c r="G202" s="33" t="n"/>
      <c r="H202" s="1">
        <f>IF(C202="",0,IF(OR(G202="",G202="Split"),(N(E202)-N(F202))*IFERROR(N(INDEX(Kids!$F$6:$F$11,MATCH(C202,Kids!$B$6:$B$11,0))),0),IF(G202="Save",(N(E202)-N(F202)),0)))</f>
        <v/>
      </c>
      <c r="I202">
        <f>IF(C202="",0,(N(E202)-N(F202))-H202-J202)</f>
        <v/>
      </c>
      <c r="J202">
        <f>IF(C202="",0,IF(OR(G202="",G202="Split"),(N(E202)-N(F202))*IFERROR(N(INDEX(Kids!$G$6:$G$11,MATCH(C202,Kids!$B$6:$B$11,0))),0),IF(G202="Give",(N(E202)-N(F202)),0)))</f>
        <v/>
      </c>
      <c r="K202">
        <f>IF(C202="",0,IF(OR(G202="",G202="Split"),N(E202)*IFERROR(N(INDEX(Kids!$F$6:$F$11,MATCH(C202,Kids!$B$6:$B$11,0))),0),IF(G202="Save",N(E202),0)))</f>
        <v/>
      </c>
    </row>
    <row r="203">
      <c r="A203" s="1" t="n"/>
      <c r="B203" s="34" t="n"/>
      <c r="C203" s="30" t="n"/>
      <c r="D203" s="31" t="n"/>
      <c r="E203" s="35" t="n"/>
      <c r="F203" s="35" t="n"/>
      <c r="G203" s="33" t="n"/>
      <c r="H203" s="1">
        <f>IF(C203="",0,IF(OR(G203="",G203="Split"),(N(E203)-N(F203))*IFERROR(N(INDEX(Kids!$F$6:$F$11,MATCH(C203,Kids!$B$6:$B$11,0))),0),IF(G203="Save",(N(E203)-N(F203)),0)))</f>
        <v/>
      </c>
      <c r="I203">
        <f>IF(C203="",0,(N(E203)-N(F203))-H203-J203)</f>
        <v/>
      </c>
      <c r="J203">
        <f>IF(C203="",0,IF(OR(G203="",G203="Split"),(N(E203)-N(F203))*IFERROR(N(INDEX(Kids!$G$6:$G$11,MATCH(C203,Kids!$B$6:$B$11,0))),0),IF(G203="Give",(N(E203)-N(F203)),0)))</f>
        <v/>
      </c>
      <c r="K203">
        <f>IF(C203="",0,IF(OR(G203="",G203="Split"),N(E203)*IFERROR(N(INDEX(Kids!$F$6:$F$11,MATCH(C203,Kids!$B$6:$B$11,0))),0),IF(G203="Save",N(E203),0)))</f>
        <v/>
      </c>
    </row>
    <row r="204">
      <c r="A204" s="1" t="n"/>
      <c r="B204" s="34" t="n"/>
      <c r="C204" s="30" t="n"/>
      <c r="D204" s="31" t="n"/>
      <c r="E204" s="35" t="n"/>
      <c r="F204" s="35" t="n"/>
      <c r="G204" s="33" t="n"/>
      <c r="H204" s="1">
        <f>IF(C204="",0,IF(OR(G204="",G204="Split"),(N(E204)-N(F204))*IFERROR(N(INDEX(Kids!$F$6:$F$11,MATCH(C204,Kids!$B$6:$B$11,0))),0),IF(G204="Save",(N(E204)-N(F204)),0)))</f>
        <v/>
      </c>
      <c r="I204">
        <f>IF(C204="",0,(N(E204)-N(F204))-H204-J204)</f>
        <v/>
      </c>
      <c r="J204">
        <f>IF(C204="",0,IF(OR(G204="",G204="Split"),(N(E204)-N(F204))*IFERROR(N(INDEX(Kids!$G$6:$G$11,MATCH(C204,Kids!$B$6:$B$11,0))),0),IF(G204="Give",(N(E204)-N(F204)),0)))</f>
        <v/>
      </c>
      <c r="K204">
        <f>IF(C204="",0,IF(OR(G204="",G204="Split"),N(E204)*IFERROR(N(INDEX(Kids!$F$6:$F$11,MATCH(C204,Kids!$B$6:$B$11,0))),0),IF(G204="Save",N(E204),0)))</f>
        <v/>
      </c>
    </row>
    <row r="205">
      <c r="A205" s="1" t="n"/>
      <c r="B205" s="34" t="n"/>
      <c r="C205" s="30" t="n"/>
      <c r="D205" s="31" t="n"/>
      <c r="E205" s="35" t="n"/>
      <c r="F205" s="35" t="n"/>
      <c r="G205" s="33" t="n"/>
      <c r="H205" s="1">
        <f>IF(C205="",0,IF(OR(G205="",G205="Split"),(N(E205)-N(F205))*IFERROR(N(INDEX(Kids!$F$6:$F$11,MATCH(C205,Kids!$B$6:$B$11,0))),0),IF(G205="Save",(N(E205)-N(F205)),0)))</f>
        <v/>
      </c>
      <c r="I205">
        <f>IF(C205="",0,(N(E205)-N(F205))-H205-J205)</f>
        <v/>
      </c>
      <c r="J205">
        <f>IF(C205="",0,IF(OR(G205="",G205="Split"),(N(E205)-N(F205))*IFERROR(N(INDEX(Kids!$G$6:$G$11,MATCH(C205,Kids!$B$6:$B$11,0))),0),IF(G205="Give",(N(E205)-N(F205)),0)))</f>
        <v/>
      </c>
      <c r="K205">
        <f>IF(C205="",0,IF(OR(G205="",G205="Split"),N(E205)*IFERROR(N(INDEX(Kids!$F$6:$F$11,MATCH(C205,Kids!$B$6:$B$11,0))),0),IF(G205="Save",N(E205),0)))</f>
        <v/>
      </c>
    </row>
    <row r="206">
      <c r="A206" s="1" t="n"/>
      <c r="B206" s="34" t="n"/>
      <c r="C206" s="30" t="n"/>
      <c r="D206" s="31" t="n"/>
      <c r="E206" s="35" t="n"/>
      <c r="F206" s="35" t="n"/>
      <c r="G206" s="33" t="n"/>
      <c r="H206" s="1">
        <f>IF(C206="",0,IF(OR(G206="",G206="Split"),(N(E206)-N(F206))*IFERROR(N(INDEX(Kids!$F$6:$F$11,MATCH(C206,Kids!$B$6:$B$11,0))),0),IF(G206="Save",(N(E206)-N(F206)),0)))</f>
        <v/>
      </c>
      <c r="I206">
        <f>IF(C206="",0,(N(E206)-N(F206))-H206-J206)</f>
        <v/>
      </c>
      <c r="J206">
        <f>IF(C206="",0,IF(OR(G206="",G206="Split"),(N(E206)-N(F206))*IFERROR(N(INDEX(Kids!$G$6:$G$11,MATCH(C206,Kids!$B$6:$B$11,0))),0),IF(G206="Give",(N(E206)-N(F206)),0)))</f>
        <v/>
      </c>
      <c r="K206">
        <f>IF(C206="",0,IF(OR(G206="",G206="Split"),N(E206)*IFERROR(N(INDEX(Kids!$F$6:$F$11,MATCH(C206,Kids!$B$6:$B$11,0))),0),IF(G206="Save",N(E206),0)))</f>
        <v/>
      </c>
    </row>
    <row r="207">
      <c r="A207" s="1" t="n"/>
      <c r="B207" s="34" t="n"/>
      <c r="C207" s="30" t="n"/>
      <c r="D207" s="31" t="n"/>
      <c r="E207" s="35" t="n"/>
      <c r="F207" s="35" t="n"/>
      <c r="G207" s="33" t="n"/>
      <c r="H207" s="1">
        <f>IF(C207="",0,IF(OR(G207="",G207="Split"),(N(E207)-N(F207))*IFERROR(N(INDEX(Kids!$F$6:$F$11,MATCH(C207,Kids!$B$6:$B$11,0))),0),IF(G207="Save",(N(E207)-N(F207)),0)))</f>
        <v/>
      </c>
      <c r="I207">
        <f>IF(C207="",0,(N(E207)-N(F207))-H207-J207)</f>
        <v/>
      </c>
      <c r="J207">
        <f>IF(C207="",0,IF(OR(G207="",G207="Split"),(N(E207)-N(F207))*IFERROR(N(INDEX(Kids!$G$6:$G$11,MATCH(C207,Kids!$B$6:$B$11,0))),0),IF(G207="Give",(N(E207)-N(F207)),0)))</f>
        <v/>
      </c>
      <c r="K207">
        <f>IF(C207="",0,IF(OR(G207="",G207="Split"),N(E207)*IFERROR(N(INDEX(Kids!$F$6:$F$11,MATCH(C207,Kids!$B$6:$B$11,0))),0),IF(G207="Save",N(E207),0)))</f>
        <v/>
      </c>
    </row>
    <row r="208">
      <c r="A208" s="1" t="n"/>
      <c r="B208" s="34" t="n"/>
      <c r="C208" s="30" t="n"/>
      <c r="D208" s="31" t="n"/>
      <c r="E208" s="35" t="n"/>
      <c r="F208" s="35" t="n"/>
      <c r="G208" s="33" t="n"/>
      <c r="H208" s="1">
        <f>IF(C208="",0,IF(OR(G208="",G208="Split"),(N(E208)-N(F208))*IFERROR(N(INDEX(Kids!$F$6:$F$11,MATCH(C208,Kids!$B$6:$B$11,0))),0),IF(G208="Save",(N(E208)-N(F208)),0)))</f>
        <v/>
      </c>
      <c r="I208">
        <f>IF(C208="",0,(N(E208)-N(F208))-H208-J208)</f>
        <v/>
      </c>
      <c r="J208">
        <f>IF(C208="",0,IF(OR(G208="",G208="Split"),(N(E208)-N(F208))*IFERROR(N(INDEX(Kids!$G$6:$G$11,MATCH(C208,Kids!$B$6:$B$11,0))),0),IF(G208="Give",(N(E208)-N(F208)),0)))</f>
        <v/>
      </c>
      <c r="K208">
        <f>IF(C208="",0,IF(OR(G208="",G208="Split"),N(E208)*IFERROR(N(INDEX(Kids!$F$6:$F$11,MATCH(C208,Kids!$B$6:$B$11,0))),0),IF(G208="Save",N(E208),0)))</f>
        <v/>
      </c>
    </row>
    <row r="209">
      <c r="A209" s="1" t="n"/>
      <c r="B209" s="34" t="n"/>
      <c r="C209" s="30" t="n"/>
      <c r="D209" s="31" t="n"/>
      <c r="E209" s="35" t="n"/>
      <c r="F209" s="35" t="n"/>
      <c r="G209" s="33" t="n"/>
      <c r="H209" s="1">
        <f>IF(C209="",0,IF(OR(G209="",G209="Split"),(N(E209)-N(F209))*IFERROR(N(INDEX(Kids!$F$6:$F$11,MATCH(C209,Kids!$B$6:$B$11,0))),0),IF(G209="Save",(N(E209)-N(F209)),0)))</f>
        <v/>
      </c>
      <c r="I209">
        <f>IF(C209="",0,(N(E209)-N(F209))-H209-J209)</f>
        <v/>
      </c>
      <c r="J209">
        <f>IF(C209="",0,IF(OR(G209="",G209="Split"),(N(E209)-N(F209))*IFERROR(N(INDEX(Kids!$G$6:$G$11,MATCH(C209,Kids!$B$6:$B$11,0))),0),IF(G209="Give",(N(E209)-N(F209)),0)))</f>
        <v/>
      </c>
      <c r="K209">
        <f>IF(C209="",0,IF(OR(G209="",G209="Split"),N(E209)*IFERROR(N(INDEX(Kids!$F$6:$F$11,MATCH(C209,Kids!$B$6:$B$11,0))),0),IF(G209="Save",N(E209),0)))</f>
        <v/>
      </c>
    </row>
    <row r="210">
      <c r="A210" s="1" t="n"/>
      <c r="B210" s="34" t="n"/>
      <c r="C210" s="30" t="n"/>
      <c r="D210" s="31" t="n"/>
      <c r="E210" s="35" t="n"/>
      <c r="F210" s="35" t="n"/>
      <c r="G210" s="33" t="n"/>
      <c r="H210" s="1">
        <f>IF(C210="",0,IF(OR(G210="",G210="Split"),(N(E210)-N(F210))*IFERROR(N(INDEX(Kids!$F$6:$F$11,MATCH(C210,Kids!$B$6:$B$11,0))),0),IF(G210="Save",(N(E210)-N(F210)),0)))</f>
        <v/>
      </c>
      <c r="I210">
        <f>IF(C210="",0,(N(E210)-N(F210))-H210-J210)</f>
        <v/>
      </c>
      <c r="J210">
        <f>IF(C210="",0,IF(OR(G210="",G210="Split"),(N(E210)-N(F210))*IFERROR(N(INDEX(Kids!$G$6:$G$11,MATCH(C210,Kids!$B$6:$B$11,0))),0),IF(G210="Give",(N(E210)-N(F210)),0)))</f>
        <v/>
      </c>
      <c r="K210">
        <f>IF(C210="",0,IF(OR(G210="",G210="Split"),N(E210)*IFERROR(N(INDEX(Kids!$F$6:$F$11,MATCH(C210,Kids!$B$6:$B$11,0))),0),IF(G210="Save",N(E210),0)))</f>
        <v/>
      </c>
    </row>
    <row r="211">
      <c r="A211" s="1" t="n"/>
      <c r="B211" s="34" t="n"/>
      <c r="C211" s="30" t="n"/>
      <c r="D211" s="31" t="n"/>
      <c r="E211" s="35" t="n"/>
      <c r="F211" s="35" t="n"/>
      <c r="G211" s="33" t="n"/>
      <c r="H211" s="1">
        <f>IF(C211="",0,IF(OR(G211="",G211="Split"),(N(E211)-N(F211))*IFERROR(N(INDEX(Kids!$F$6:$F$11,MATCH(C211,Kids!$B$6:$B$11,0))),0),IF(G211="Save",(N(E211)-N(F211)),0)))</f>
        <v/>
      </c>
      <c r="I211">
        <f>IF(C211="",0,(N(E211)-N(F211))-H211-J211)</f>
        <v/>
      </c>
      <c r="J211">
        <f>IF(C211="",0,IF(OR(G211="",G211="Split"),(N(E211)-N(F211))*IFERROR(N(INDEX(Kids!$G$6:$G$11,MATCH(C211,Kids!$B$6:$B$11,0))),0),IF(G211="Give",(N(E211)-N(F211)),0)))</f>
        <v/>
      </c>
      <c r="K211">
        <f>IF(C211="",0,IF(OR(G211="",G211="Split"),N(E211)*IFERROR(N(INDEX(Kids!$F$6:$F$11,MATCH(C211,Kids!$B$6:$B$11,0))),0),IF(G211="Save",N(E211),0)))</f>
        <v/>
      </c>
    </row>
    <row r="212">
      <c r="A212" s="1" t="n"/>
      <c r="B212" s="34" t="n"/>
      <c r="C212" s="30" t="n"/>
      <c r="D212" s="31" t="n"/>
      <c r="E212" s="35" t="n"/>
      <c r="F212" s="35" t="n"/>
      <c r="G212" s="33" t="n"/>
      <c r="H212" s="1">
        <f>IF(C212="",0,IF(OR(G212="",G212="Split"),(N(E212)-N(F212))*IFERROR(N(INDEX(Kids!$F$6:$F$11,MATCH(C212,Kids!$B$6:$B$11,0))),0),IF(G212="Save",(N(E212)-N(F212)),0)))</f>
        <v/>
      </c>
      <c r="I212">
        <f>IF(C212="",0,(N(E212)-N(F212))-H212-J212)</f>
        <v/>
      </c>
      <c r="J212">
        <f>IF(C212="",0,IF(OR(G212="",G212="Split"),(N(E212)-N(F212))*IFERROR(N(INDEX(Kids!$G$6:$G$11,MATCH(C212,Kids!$B$6:$B$11,0))),0),IF(G212="Give",(N(E212)-N(F212)),0)))</f>
        <v/>
      </c>
      <c r="K212">
        <f>IF(C212="",0,IF(OR(G212="",G212="Split"),N(E212)*IFERROR(N(INDEX(Kids!$F$6:$F$11,MATCH(C212,Kids!$B$6:$B$11,0))),0),IF(G212="Save",N(E212),0)))</f>
        <v/>
      </c>
    </row>
    <row r="213">
      <c r="A213" s="1" t="n"/>
      <c r="B213" s="34" t="n"/>
      <c r="C213" s="30" t="n"/>
      <c r="D213" s="31" t="n"/>
      <c r="E213" s="35" t="n"/>
      <c r="F213" s="35" t="n"/>
      <c r="G213" s="33" t="n"/>
      <c r="H213" s="1">
        <f>IF(C213="",0,IF(OR(G213="",G213="Split"),(N(E213)-N(F213))*IFERROR(N(INDEX(Kids!$F$6:$F$11,MATCH(C213,Kids!$B$6:$B$11,0))),0),IF(G213="Save",(N(E213)-N(F213)),0)))</f>
        <v/>
      </c>
      <c r="I213">
        <f>IF(C213="",0,(N(E213)-N(F213))-H213-J213)</f>
        <v/>
      </c>
      <c r="J213">
        <f>IF(C213="",0,IF(OR(G213="",G213="Split"),(N(E213)-N(F213))*IFERROR(N(INDEX(Kids!$G$6:$G$11,MATCH(C213,Kids!$B$6:$B$11,0))),0),IF(G213="Give",(N(E213)-N(F213)),0)))</f>
        <v/>
      </c>
      <c r="K213">
        <f>IF(C213="",0,IF(OR(G213="",G213="Split"),N(E213)*IFERROR(N(INDEX(Kids!$F$6:$F$11,MATCH(C213,Kids!$B$6:$B$11,0))),0),IF(G213="Save",N(E213),0)))</f>
        <v/>
      </c>
    </row>
    <row r="214">
      <c r="A214" s="1" t="n"/>
      <c r="B214" s="34" t="n"/>
      <c r="C214" s="30" t="n"/>
      <c r="D214" s="31" t="n"/>
      <c r="E214" s="35" t="n"/>
      <c r="F214" s="35" t="n"/>
      <c r="G214" s="33" t="n"/>
      <c r="H214" s="1">
        <f>IF(C214="",0,IF(OR(G214="",G214="Split"),(N(E214)-N(F214))*IFERROR(N(INDEX(Kids!$F$6:$F$11,MATCH(C214,Kids!$B$6:$B$11,0))),0),IF(G214="Save",(N(E214)-N(F214)),0)))</f>
        <v/>
      </c>
      <c r="I214">
        <f>IF(C214="",0,(N(E214)-N(F214))-H214-J214)</f>
        <v/>
      </c>
      <c r="J214">
        <f>IF(C214="",0,IF(OR(G214="",G214="Split"),(N(E214)-N(F214))*IFERROR(N(INDEX(Kids!$G$6:$G$11,MATCH(C214,Kids!$B$6:$B$11,0))),0),IF(G214="Give",(N(E214)-N(F214)),0)))</f>
        <v/>
      </c>
      <c r="K214">
        <f>IF(C214="",0,IF(OR(G214="",G214="Split"),N(E214)*IFERROR(N(INDEX(Kids!$F$6:$F$11,MATCH(C214,Kids!$B$6:$B$11,0))),0),IF(G214="Save",N(E214),0)))</f>
        <v/>
      </c>
    </row>
    <row r="215">
      <c r="A215" s="1" t="n"/>
      <c r="B215" s="34" t="n"/>
      <c r="C215" s="30" t="n"/>
      <c r="D215" s="31" t="n"/>
      <c r="E215" s="35" t="n"/>
      <c r="F215" s="35" t="n"/>
      <c r="G215" s="33" t="n"/>
      <c r="H215" s="1">
        <f>IF(C215="",0,IF(OR(G215="",G215="Split"),(N(E215)-N(F215))*IFERROR(N(INDEX(Kids!$F$6:$F$11,MATCH(C215,Kids!$B$6:$B$11,0))),0),IF(G215="Save",(N(E215)-N(F215)),0)))</f>
        <v/>
      </c>
      <c r="I215">
        <f>IF(C215="",0,(N(E215)-N(F215))-H215-J215)</f>
        <v/>
      </c>
      <c r="J215">
        <f>IF(C215="",0,IF(OR(G215="",G215="Split"),(N(E215)-N(F215))*IFERROR(N(INDEX(Kids!$G$6:$G$11,MATCH(C215,Kids!$B$6:$B$11,0))),0),IF(G215="Give",(N(E215)-N(F215)),0)))</f>
        <v/>
      </c>
      <c r="K215">
        <f>IF(C215="",0,IF(OR(G215="",G215="Split"),N(E215)*IFERROR(N(INDEX(Kids!$F$6:$F$11,MATCH(C215,Kids!$B$6:$B$11,0))),0),IF(G215="Save",N(E215),0)))</f>
        <v/>
      </c>
    </row>
    <row r="216">
      <c r="A216" s="1" t="n"/>
      <c r="B216" s="34" t="n"/>
      <c r="C216" s="30" t="n"/>
      <c r="D216" s="31" t="n"/>
      <c r="E216" s="35" t="n"/>
      <c r="F216" s="35" t="n"/>
      <c r="G216" s="33" t="n"/>
      <c r="H216" s="1">
        <f>IF(C216="",0,IF(OR(G216="",G216="Split"),(N(E216)-N(F216))*IFERROR(N(INDEX(Kids!$F$6:$F$11,MATCH(C216,Kids!$B$6:$B$11,0))),0),IF(G216="Save",(N(E216)-N(F216)),0)))</f>
        <v/>
      </c>
      <c r="I216">
        <f>IF(C216="",0,(N(E216)-N(F216))-H216-J216)</f>
        <v/>
      </c>
      <c r="J216">
        <f>IF(C216="",0,IF(OR(G216="",G216="Split"),(N(E216)-N(F216))*IFERROR(N(INDEX(Kids!$G$6:$G$11,MATCH(C216,Kids!$B$6:$B$11,0))),0),IF(G216="Give",(N(E216)-N(F216)),0)))</f>
        <v/>
      </c>
      <c r="K216">
        <f>IF(C216="",0,IF(OR(G216="",G216="Split"),N(E216)*IFERROR(N(INDEX(Kids!$F$6:$F$11,MATCH(C216,Kids!$B$6:$B$11,0))),0),IF(G216="Save",N(E216),0)))</f>
        <v/>
      </c>
    </row>
    <row r="217">
      <c r="A217" s="1" t="n"/>
      <c r="B217" s="34" t="n"/>
      <c r="C217" s="30" t="n"/>
      <c r="D217" s="31" t="n"/>
      <c r="E217" s="35" t="n"/>
      <c r="F217" s="35" t="n"/>
      <c r="G217" s="33" t="n"/>
      <c r="H217" s="1">
        <f>IF(C217="",0,IF(OR(G217="",G217="Split"),(N(E217)-N(F217))*IFERROR(N(INDEX(Kids!$F$6:$F$11,MATCH(C217,Kids!$B$6:$B$11,0))),0),IF(G217="Save",(N(E217)-N(F217)),0)))</f>
        <v/>
      </c>
      <c r="I217">
        <f>IF(C217="",0,(N(E217)-N(F217))-H217-J217)</f>
        <v/>
      </c>
      <c r="J217">
        <f>IF(C217="",0,IF(OR(G217="",G217="Split"),(N(E217)-N(F217))*IFERROR(N(INDEX(Kids!$G$6:$G$11,MATCH(C217,Kids!$B$6:$B$11,0))),0),IF(G217="Give",(N(E217)-N(F217)),0)))</f>
        <v/>
      </c>
      <c r="K217">
        <f>IF(C217="",0,IF(OR(G217="",G217="Split"),N(E217)*IFERROR(N(INDEX(Kids!$F$6:$F$11,MATCH(C217,Kids!$B$6:$B$11,0))),0),IF(G217="Save",N(E217),0)))</f>
        <v/>
      </c>
    </row>
    <row r="218">
      <c r="A218" s="1" t="n"/>
      <c r="B218" s="34" t="n"/>
      <c r="C218" s="30" t="n"/>
      <c r="D218" s="31" t="n"/>
      <c r="E218" s="35" t="n"/>
      <c r="F218" s="35" t="n"/>
      <c r="G218" s="33" t="n"/>
      <c r="H218" s="1">
        <f>IF(C218="",0,IF(OR(G218="",G218="Split"),(N(E218)-N(F218))*IFERROR(N(INDEX(Kids!$F$6:$F$11,MATCH(C218,Kids!$B$6:$B$11,0))),0),IF(G218="Save",(N(E218)-N(F218)),0)))</f>
        <v/>
      </c>
      <c r="I218">
        <f>IF(C218="",0,(N(E218)-N(F218))-H218-J218)</f>
        <v/>
      </c>
      <c r="J218">
        <f>IF(C218="",0,IF(OR(G218="",G218="Split"),(N(E218)-N(F218))*IFERROR(N(INDEX(Kids!$G$6:$G$11,MATCH(C218,Kids!$B$6:$B$11,0))),0),IF(G218="Give",(N(E218)-N(F218)),0)))</f>
        <v/>
      </c>
      <c r="K218">
        <f>IF(C218="",0,IF(OR(G218="",G218="Split"),N(E218)*IFERROR(N(INDEX(Kids!$F$6:$F$11,MATCH(C218,Kids!$B$6:$B$11,0))),0),IF(G218="Save",N(E218),0)))</f>
        <v/>
      </c>
    </row>
    <row r="219">
      <c r="A219" s="1" t="n"/>
      <c r="B219" s="34" t="n"/>
      <c r="C219" s="30" t="n"/>
      <c r="D219" s="31" t="n"/>
      <c r="E219" s="35" t="n"/>
      <c r="F219" s="35" t="n"/>
      <c r="G219" s="33" t="n"/>
      <c r="H219" s="1">
        <f>IF(C219="",0,IF(OR(G219="",G219="Split"),(N(E219)-N(F219))*IFERROR(N(INDEX(Kids!$F$6:$F$11,MATCH(C219,Kids!$B$6:$B$11,0))),0),IF(G219="Save",(N(E219)-N(F219)),0)))</f>
        <v/>
      </c>
      <c r="I219">
        <f>IF(C219="",0,(N(E219)-N(F219))-H219-J219)</f>
        <v/>
      </c>
      <c r="J219">
        <f>IF(C219="",0,IF(OR(G219="",G219="Split"),(N(E219)-N(F219))*IFERROR(N(INDEX(Kids!$G$6:$G$11,MATCH(C219,Kids!$B$6:$B$11,0))),0),IF(G219="Give",(N(E219)-N(F219)),0)))</f>
        <v/>
      </c>
      <c r="K219">
        <f>IF(C219="",0,IF(OR(G219="",G219="Split"),N(E219)*IFERROR(N(INDEX(Kids!$F$6:$F$11,MATCH(C219,Kids!$B$6:$B$11,0))),0),IF(G219="Save",N(E219),0)))</f>
        <v/>
      </c>
    </row>
    <row r="220">
      <c r="A220" s="1" t="n"/>
      <c r="B220" s="34" t="n"/>
      <c r="C220" s="30" t="n"/>
      <c r="D220" s="31" t="n"/>
      <c r="E220" s="35" t="n"/>
      <c r="F220" s="35" t="n"/>
      <c r="G220" s="33" t="n"/>
      <c r="H220" s="1">
        <f>IF(C220="",0,IF(OR(G220="",G220="Split"),(N(E220)-N(F220))*IFERROR(N(INDEX(Kids!$F$6:$F$11,MATCH(C220,Kids!$B$6:$B$11,0))),0),IF(G220="Save",(N(E220)-N(F220)),0)))</f>
        <v/>
      </c>
      <c r="I220">
        <f>IF(C220="",0,(N(E220)-N(F220))-H220-J220)</f>
        <v/>
      </c>
      <c r="J220">
        <f>IF(C220="",0,IF(OR(G220="",G220="Split"),(N(E220)-N(F220))*IFERROR(N(INDEX(Kids!$G$6:$G$11,MATCH(C220,Kids!$B$6:$B$11,0))),0),IF(G220="Give",(N(E220)-N(F220)),0)))</f>
        <v/>
      </c>
      <c r="K220">
        <f>IF(C220="",0,IF(OR(G220="",G220="Split"),N(E220)*IFERROR(N(INDEX(Kids!$F$6:$F$11,MATCH(C220,Kids!$B$6:$B$11,0))),0),IF(G220="Save",N(E220),0)))</f>
        <v/>
      </c>
    </row>
    <row r="221">
      <c r="A221" s="1" t="n"/>
      <c r="B221" s="34" t="n"/>
      <c r="C221" s="30" t="n"/>
      <c r="D221" s="31" t="n"/>
      <c r="E221" s="35" t="n"/>
      <c r="F221" s="35" t="n"/>
      <c r="G221" s="33" t="n"/>
      <c r="H221" s="1">
        <f>IF(C221="",0,IF(OR(G221="",G221="Split"),(N(E221)-N(F221))*IFERROR(N(INDEX(Kids!$F$6:$F$11,MATCH(C221,Kids!$B$6:$B$11,0))),0),IF(G221="Save",(N(E221)-N(F221)),0)))</f>
        <v/>
      </c>
      <c r="I221">
        <f>IF(C221="",0,(N(E221)-N(F221))-H221-J221)</f>
        <v/>
      </c>
      <c r="J221">
        <f>IF(C221="",0,IF(OR(G221="",G221="Split"),(N(E221)-N(F221))*IFERROR(N(INDEX(Kids!$G$6:$G$11,MATCH(C221,Kids!$B$6:$B$11,0))),0),IF(G221="Give",(N(E221)-N(F221)),0)))</f>
        <v/>
      </c>
      <c r="K221">
        <f>IF(C221="",0,IF(OR(G221="",G221="Split"),N(E221)*IFERROR(N(INDEX(Kids!$F$6:$F$11,MATCH(C221,Kids!$B$6:$B$11,0))),0),IF(G221="Save",N(E221),0)))</f>
        <v/>
      </c>
    </row>
    <row r="222">
      <c r="A222" s="1" t="n"/>
      <c r="B222" s="34" t="n"/>
      <c r="C222" s="30" t="n"/>
      <c r="D222" s="31" t="n"/>
      <c r="E222" s="35" t="n"/>
      <c r="F222" s="35" t="n"/>
      <c r="G222" s="33" t="n"/>
      <c r="H222" s="1">
        <f>IF(C222="",0,IF(OR(G222="",G222="Split"),(N(E222)-N(F222))*IFERROR(N(INDEX(Kids!$F$6:$F$11,MATCH(C222,Kids!$B$6:$B$11,0))),0),IF(G222="Save",(N(E222)-N(F222)),0)))</f>
        <v/>
      </c>
      <c r="I222">
        <f>IF(C222="",0,(N(E222)-N(F222))-H222-J222)</f>
        <v/>
      </c>
      <c r="J222">
        <f>IF(C222="",0,IF(OR(G222="",G222="Split"),(N(E222)-N(F222))*IFERROR(N(INDEX(Kids!$G$6:$G$11,MATCH(C222,Kids!$B$6:$B$11,0))),0),IF(G222="Give",(N(E222)-N(F222)),0)))</f>
        <v/>
      </c>
      <c r="K222">
        <f>IF(C222="",0,IF(OR(G222="",G222="Split"),N(E222)*IFERROR(N(INDEX(Kids!$F$6:$F$11,MATCH(C222,Kids!$B$6:$B$11,0))),0),IF(G222="Save",N(E222),0)))</f>
        <v/>
      </c>
    </row>
    <row r="223">
      <c r="A223" s="1" t="n"/>
      <c r="B223" s="34" t="n"/>
      <c r="C223" s="30" t="n"/>
      <c r="D223" s="31" t="n"/>
      <c r="E223" s="35" t="n"/>
      <c r="F223" s="35" t="n"/>
      <c r="G223" s="33" t="n"/>
      <c r="H223" s="1">
        <f>IF(C223="",0,IF(OR(G223="",G223="Split"),(N(E223)-N(F223))*IFERROR(N(INDEX(Kids!$F$6:$F$11,MATCH(C223,Kids!$B$6:$B$11,0))),0),IF(G223="Save",(N(E223)-N(F223)),0)))</f>
        <v/>
      </c>
      <c r="I223">
        <f>IF(C223="",0,(N(E223)-N(F223))-H223-J223)</f>
        <v/>
      </c>
      <c r="J223">
        <f>IF(C223="",0,IF(OR(G223="",G223="Split"),(N(E223)-N(F223))*IFERROR(N(INDEX(Kids!$G$6:$G$11,MATCH(C223,Kids!$B$6:$B$11,0))),0),IF(G223="Give",(N(E223)-N(F223)),0)))</f>
        <v/>
      </c>
      <c r="K223">
        <f>IF(C223="",0,IF(OR(G223="",G223="Split"),N(E223)*IFERROR(N(INDEX(Kids!$F$6:$F$11,MATCH(C223,Kids!$B$6:$B$11,0))),0),IF(G223="Save",N(E223),0)))</f>
        <v/>
      </c>
    </row>
    <row r="224">
      <c r="A224" s="1" t="n"/>
      <c r="B224" s="34" t="n"/>
      <c r="C224" s="30" t="n"/>
      <c r="D224" s="31" t="n"/>
      <c r="E224" s="35" t="n"/>
      <c r="F224" s="35" t="n"/>
      <c r="G224" s="33" t="n"/>
      <c r="H224" s="1">
        <f>IF(C224="",0,IF(OR(G224="",G224="Split"),(N(E224)-N(F224))*IFERROR(N(INDEX(Kids!$F$6:$F$11,MATCH(C224,Kids!$B$6:$B$11,0))),0),IF(G224="Save",(N(E224)-N(F224)),0)))</f>
        <v/>
      </c>
      <c r="I224">
        <f>IF(C224="",0,(N(E224)-N(F224))-H224-J224)</f>
        <v/>
      </c>
      <c r="J224">
        <f>IF(C224="",0,IF(OR(G224="",G224="Split"),(N(E224)-N(F224))*IFERROR(N(INDEX(Kids!$G$6:$G$11,MATCH(C224,Kids!$B$6:$B$11,0))),0),IF(G224="Give",(N(E224)-N(F224)),0)))</f>
        <v/>
      </c>
      <c r="K224">
        <f>IF(C224="",0,IF(OR(G224="",G224="Split"),N(E224)*IFERROR(N(INDEX(Kids!$F$6:$F$11,MATCH(C224,Kids!$B$6:$B$11,0))),0),IF(G224="Save",N(E224),0)))</f>
        <v/>
      </c>
    </row>
    <row r="225">
      <c r="A225" s="1" t="n"/>
      <c r="B225" s="34" t="n"/>
      <c r="C225" s="30" t="n"/>
      <c r="D225" s="31" t="n"/>
      <c r="E225" s="35" t="n"/>
      <c r="F225" s="35" t="n"/>
      <c r="G225" s="33" t="n"/>
      <c r="H225" s="1">
        <f>IF(C225="",0,IF(OR(G225="",G225="Split"),(N(E225)-N(F225))*IFERROR(N(INDEX(Kids!$F$6:$F$11,MATCH(C225,Kids!$B$6:$B$11,0))),0),IF(G225="Save",(N(E225)-N(F225)),0)))</f>
        <v/>
      </c>
      <c r="I225">
        <f>IF(C225="",0,(N(E225)-N(F225))-H225-J225)</f>
        <v/>
      </c>
      <c r="J225">
        <f>IF(C225="",0,IF(OR(G225="",G225="Split"),(N(E225)-N(F225))*IFERROR(N(INDEX(Kids!$G$6:$G$11,MATCH(C225,Kids!$B$6:$B$11,0))),0),IF(G225="Give",(N(E225)-N(F225)),0)))</f>
        <v/>
      </c>
      <c r="K225">
        <f>IF(C225="",0,IF(OR(G225="",G225="Split"),N(E225)*IFERROR(N(INDEX(Kids!$F$6:$F$11,MATCH(C225,Kids!$B$6:$B$11,0))),0),IF(G225="Save",N(E225),0)))</f>
        <v/>
      </c>
    </row>
    <row r="226">
      <c r="A226" s="1" t="n"/>
      <c r="B226" s="34" t="n"/>
      <c r="C226" s="30" t="n"/>
      <c r="D226" s="31" t="n"/>
      <c r="E226" s="35" t="n"/>
      <c r="F226" s="35" t="n"/>
      <c r="G226" s="33" t="n"/>
      <c r="H226" s="1">
        <f>IF(C226="",0,IF(OR(G226="",G226="Split"),(N(E226)-N(F226))*IFERROR(N(INDEX(Kids!$F$6:$F$11,MATCH(C226,Kids!$B$6:$B$11,0))),0),IF(G226="Save",(N(E226)-N(F226)),0)))</f>
        <v/>
      </c>
      <c r="I226">
        <f>IF(C226="",0,(N(E226)-N(F226))-H226-J226)</f>
        <v/>
      </c>
      <c r="J226">
        <f>IF(C226="",0,IF(OR(G226="",G226="Split"),(N(E226)-N(F226))*IFERROR(N(INDEX(Kids!$G$6:$G$11,MATCH(C226,Kids!$B$6:$B$11,0))),0),IF(G226="Give",(N(E226)-N(F226)),0)))</f>
        <v/>
      </c>
      <c r="K226">
        <f>IF(C226="",0,IF(OR(G226="",G226="Split"),N(E226)*IFERROR(N(INDEX(Kids!$F$6:$F$11,MATCH(C226,Kids!$B$6:$B$11,0))),0),IF(G226="Save",N(E226),0)))</f>
        <v/>
      </c>
    </row>
    <row r="227">
      <c r="A227" s="1" t="n"/>
      <c r="B227" s="34" t="n"/>
      <c r="C227" s="30" t="n"/>
      <c r="D227" s="31" t="n"/>
      <c r="E227" s="35" t="n"/>
      <c r="F227" s="35" t="n"/>
      <c r="G227" s="33" t="n"/>
      <c r="H227" s="1">
        <f>IF(C227="",0,IF(OR(G227="",G227="Split"),(N(E227)-N(F227))*IFERROR(N(INDEX(Kids!$F$6:$F$11,MATCH(C227,Kids!$B$6:$B$11,0))),0),IF(G227="Save",(N(E227)-N(F227)),0)))</f>
        <v/>
      </c>
      <c r="I227">
        <f>IF(C227="",0,(N(E227)-N(F227))-H227-J227)</f>
        <v/>
      </c>
      <c r="J227">
        <f>IF(C227="",0,IF(OR(G227="",G227="Split"),(N(E227)-N(F227))*IFERROR(N(INDEX(Kids!$G$6:$G$11,MATCH(C227,Kids!$B$6:$B$11,0))),0),IF(G227="Give",(N(E227)-N(F227)),0)))</f>
        <v/>
      </c>
      <c r="K227">
        <f>IF(C227="",0,IF(OR(G227="",G227="Split"),N(E227)*IFERROR(N(INDEX(Kids!$F$6:$F$11,MATCH(C227,Kids!$B$6:$B$11,0))),0),IF(G227="Save",N(E227),0)))</f>
        <v/>
      </c>
    </row>
    <row r="228">
      <c r="A228" s="1" t="n"/>
      <c r="B228" s="34" t="n"/>
      <c r="C228" s="30" t="n"/>
      <c r="D228" s="31" t="n"/>
      <c r="E228" s="35" t="n"/>
      <c r="F228" s="35" t="n"/>
      <c r="G228" s="33" t="n"/>
      <c r="H228" s="1">
        <f>IF(C228="",0,IF(OR(G228="",G228="Split"),(N(E228)-N(F228))*IFERROR(N(INDEX(Kids!$F$6:$F$11,MATCH(C228,Kids!$B$6:$B$11,0))),0),IF(G228="Save",(N(E228)-N(F228)),0)))</f>
        <v/>
      </c>
      <c r="I228">
        <f>IF(C228="",0,(N(E228)-N(F228))-H228-J228)</f>
        <v/>
      </c>
      <c r="J228">
        <f>IF(C228="",0,IF(OR(G228="",G228="Split"),(N(E228)-N(F228))*IFERROR(N(INDEX(Kids!$G$6:$G$11,MATCH(C228,Kids!$B$6:$B$11,0))),0),IF(G228="Give",(N(E228)-N(F228)),0)))</f>
        <v/>
      </c>
      <c r="K228">
        <f>IF(C228="",0,IF(OR(G228="",G228="Split"),N(E228)*IFERROR(N(INDEX(Kids!$F$6:$F$11,MATCH(C228,Kids!$B$6:$B$11,0))),0),IF(G228="Save",N(E228),0)))</f>
        <v/>
      </c>
    </row>
    <row r="229">
      <c r="A229" s="1" t="n"/>
      <c r="B229" s="34" t="n"/>
      <c r="C229" s="30" t="n"/>
      <c r="D229" s="31" t="n"/>
      <c r="E229" s="35" t="n"/>
      <c r="F229" s="35" t="n"/>
      <c r="G229" s="33" t="n"/>
      <c r="H229" s="1">
        <f>IF(C229="",0,IF(OR(G229="",G229="Split"),(N(E229)-N(F229))*IFERROR(N(INDEX(Kids!$F$6:$F$11,MATCH(C229,Kids!$B$6:$B$11,0))),0),IF(G229="Save",(N(E229)-N(F229)),0)))</f>
        <v/>
      </c>
      <c r="I229">
        <f>IF(C229="",0,(N(E229)-N(F229))-H229-J229)</f>
        <v/>
      </c>
      <c r="J229">
        <f>IF(C229="",0,IF(OR(G229="",G229="Split"),(N(E229)-N(F229))*IFERROR(N(INDEX(Kids!$G$6:$G$11,MATCH(C229,Kids!$B$6:$B$11,0))),0),IF(G229="Give",(N(E229)-N(F229)),0)))</f>
        <v/>
      </c>
      <c r="K229">
        <f>IF(C229="",0,IF(OR(G229="",G229="Split"),N(E229)*IFERROR(N(INDEX(Kids!$F$6:$F$11,MATCH(C229,Kids!$B$6:$B$11,0))),0),IF(G229="Save",N(E229),0)))</f>
        <v/>
      </c>
    </row>
    <row r="230">
      <c r="A230" s="1" t="n"/>
      <c r="B230" s="34" t="n"/>
      <c r="C230" s="30" t="n"/>
      <c r="D230" s="31" t="n"/>
      <c r="E230" s="35" t="n"/>
      <c r="F230" s="35" t="n"/>
      <c r="G230" s="33" t="n"/>
      <c r="H230" s="1">
        <f>IF(C230="",0,IF(OR(G230="",G230="Split"),(N(E230)-N(F230))*IFERROR(N(INDEX(Kids!$F$6:$F$11,MATCH(C230,Kids!$B$6:$B$11,0))),0),IF(G230="Save",(N(E230)-N(F230)),0)))</f>
        <v/>
      </c>
      <c r="I230">
        <f>IF(C230="",0,(N(E230)-N(F230))-H230-J230)</f>
        <v/>
      </c>
      <c r="J230">
        <f>IF(C230="",0,IF(OR(G230="",G230="Split"),(N(E230)-N(F230))*IFERROR(N(INDEX(Kids!$G$6:$G$11,MATCH(C230,Kids!$B$6:$B$11,0))),0),IF(G230="Give",(N(E230)-N(F230)),0)))</f>
        <v/>
      </c>
      <c r="K230">
        <f>IF(C230="",0,IF(OR(G230="",G230="Split"),N(E230)*IFERROR(N(INDEX(Kids!$F$6:$F$11,MATCH(C230,Kids!$B$6:$B$11,0))),0),IF(G230="Save",N(E230),0)))</f>
        <v/>
      </c>
    </row>
    <row r="231">
      <c r="A231" s="1" t="n"/>
      <c r="B231" s="34" t="n"/>
      <c r="C231" s="30" t="n"/>
      <c r="D231" s="31" t="n"/>
      <c r="E231" s="35" t="n"/>
      <c r="F231" s="35" t="n"/>
      <c r="G231" s="33" t="n"/>
      <c r="H231" s="1">
        <f>IF(C231="",0,IF(OR(G231="",G231="Split"),(N(E231)-N(F231))*IFERROR(N(INDEX(Kids!$F$6:$F$11,MATCH(C231,Kids!$B$6:$B$11,0))),0),IF(G231="Save",(N(E231)-N(F231)),0)))</f>
        <v/>
      </c>
      <c r="I231">
        <f>IF(C231="",0,(N(E231)-N(F231))-H231-J231)</f>
        <v/>
      </c>
      <c r="J231">
        <f>IF(C231="",0,IF(OR(G231="",G231="Split"),(N(E231)-N(F231))*IFERROR(N(INDEX(Kids!$G$6:$G$11,MATCH(C231,Kids!$B$6:$B$11,0))),0),IF(G231="Give",(N(E231)-N(F231)),0)))</f>
        <v/>
      </c>
      <c r="K231">
        <f>IF(C231="",0,IF(OR(G231="",G231="Split"),N(E231)*IFERROR(N(INDEX(Kids!$F$6:$F$11,MATCH(C231,Kids!$B$6:$B$11,0))),0),IF(G231="Save",N(E231),0)))</f>
        <v/>
      </c>
    </row>
    <row r="232">
      <c r="A232" s="1" t="n"/>
      <c r="B232" s="34" t="n"/>
      <c r="C232" s="30" t="n"/>
      <c r="D232" s="31" t="n"/>
      <c r="E232" s="35" t="n"/>
      <c r="F232" s="35" t="n"/>
      <c r="G232" s="33" t="n"/>
      <c r="H232" s="1">
        <f>IF(C232="",0,IF(OR(G232="",G232="Split"),(N(E232)-N(F232))*IFERROR(N(INDEX(Kids!$F$6:$F$11,MATCH(C232,Kids!$B$6:$B$11,0))),0),IF(G232="Save",(N(E232)-N(F232)),0)))</f>
        <v/>
      </c>
      <c r="I232">
        <f>IF(C232="",0,(N(E232)-N(F232))-H232-J232)</f>
        <v/>
      </c>
      <c r="J232">
        <f>IF(C232="",0,IF(OR(G232="",G232="Split"),(N(E232)-N(F232))*IFERROR(N(INDEX(Kids!$G$6:$G$11,MATCH(C232,Kids!$B$6:$B$11,0))),0),IF(G232="Give",(N(E232)-N(F232)),0)))</f>
        <v/>
      </c>
      <c r="K232">
        <f>IF(C232="",0,IF(OR(G232="",G232="Split"),N(E232)*IFERROR(N(INDEX(Kids!$F$6:$F$11,MATCH(C232,Kids!$B$6:$B$11,0))),0),IF(G232="Save",N(E232),0)))</f>
        <v/>
      </c>
    </row>
    <row r="233">
      <c r="A233" s="1" t="n"/>
      <c r="B233" s="34" t="n"/>
      <c r="C233" s="30" t="n"/>
      <c r="D233" s="31" t="n"/>
      <c r="E233" s="35" t="n"/>
      <c r="F233" s="35" t="n"/>
      <c r="G233" s="33" t="n"/>
      <c r="H233" s="1">
        <f>IF(C233="",0,IF(OR(G233="",G233="Split"),(N(E233)-N(F233))*IFERROR(N(INDEX(Kids!$F$6:$F$11,MATCH(C233,Kids!$B$6:$B$11,0))),0),IF(G233="Save",(N(E233)-N(F233)),0)))</f>
        <v/>
      </c>
      <c r="I233">
        <f>IF(C233="",0,(N(E233)-N(F233))-H233-J233)</f>
        <v/>
      </c>
      <c r="J233">
        <f>IF(C233="",0,IF(OR(G233="",G233="Split"),(N(E233)-N(F233))*IFERROR(N(INDEX(Kids!$G$6:$G$11,MATCH(C233,Kids!$B$6:$B$11,0))),0),IF(G233="Give",(N(E233)-N(F233)),0)))</f>
        <v/>
      </c>
      <c r="K233">
        <f>IF(C233="",0,IF(OR(G233="",G233="Split"),N(E233)*IFERROR(N(INDEX(Kids!$F$6:$F$11,MATCH(C233,Kids!$B$6:$B$11,0))),0),IF(G233="Save",N(E233),0)))</f>
        <v/>
      </c>
    </row>
    <row r="234">
      <c r="A234" s="1" t="n"/>
      <c r="B234" s="34" t="n"/>
      <c r="C234" s="30" t="n"/>
      <c r="D234" s="31" t="n"/>
      <c r="E234" s="35" t="n"/>
      <c r="F234" s="35" t="n"/>
      <c r="G234" s="33" t="n"/>
      <c r="H234" s="1">
        <f>IF(C234="",0,IF(OR(G234="",G234="Split"),(N(E234)-N(F234))*IFERROR(N(INDEX(Kids!$F$6:$F$11,MATCH(C234,Kids!$B$6:$B$11,0))),0),IF(G234="Save",(N(E234)-N(F234)),0)))</f>
        <v/>
      </c>
      <c r="I234">
        <f>IF(C234="",0,(N(E234)-N(F234))-H234-J234)</f>
        <v/>
      </c>
      <c r="J234">
        <f>IF(C234="",0,IF(OR(G234="",G234="Split"),(N(E234)-N(F234))*IFERROR(N(INDEX(Kids!$G$6:$G$11,MATCH(C234,Kids!$B$6:$B$11,0))),0),IF(G234="Give",(N(E234)-N(F234)),0)))</f>
        <v/>
      </c>
      <c r="K234">
        <f>IF(C234="",0,IF(OR(G234="",G234="Split"),N(E234)*IFERROR(N(INDEX(Kids!$F$6:$F$11,MATCH(C234,Kids!$B$6:$B$11,0))),0),IF(G234="Save",N(E234),0)))</f>
        <v/>
      </c>
    </row>
    <row r="235">
      <c r="A235" s="1" t="n"/>
      <c r="B235" s="34" t="n"/>
      <c r="C235" s="30" t="n"/>
      <c r="D235" s="31" t="n"/>
      <c r="E235" s="35" t="n"/>
      <c r="F235" s="35" t="n"/>
      <c r="G235" s="33" t="n"/>
      <c r="H235" s="1">
        <f>IF(C235="",0,IF(OR(G235="",G235="Split"),(N(E235)-N(F235))*IFERROR(N(INDEX(Kids!$F$6:$F$11,MATCH(C235,Kids!$B$6:$B$11,0))),0),IF(G235="Save",(N(E235)-N(F235)),0)))</f>
        <v/>
      </c>
      <c r="I235">
        <f>IF(C235="",0,(N(E235)-N(F235))-H235-J235)</f>
        <v/>
      </c>
      <c r="J235">
        <f>IF(C235="",0,IF(OR(G235="",G235="Split"),(N(E235)-N(F235))*IFERROR(N(INDEX(Kids!$G$6:$G$11,MATCH(C235,Kids!$B$6:$B$11,0))),0),IF(G235="Give",(N(E235)-N(F235)),0)))</f>
        <v/>
      </c>
      <c r="K235">
        <f>IF(C235="",0,IF(OR(G235="",G235="Split"),N(E235)*IFERROR(N(INDEX(Kids!$F$6:$F$11,MATCH(C235,Kids!$B$6:$B$11,0))),0),IF(G235="Save",N(E235),0)))</f>
        <v/>
      </c>
    </row>
    <row r="236">
      <c r="A236" s="1" t="n"/>
      <c r="B236" s="34" t="n"/>
      <c r="C236" s="30" t="n"/>
      <c r="D236" s="31" t="n"/>
      <c r="E236" s="35" t="n"/>
      <c r="F236" s="35" t="n"/>
      <c r="G236" s="33" t="n"/>
      <c r="H236" s="1">
        <f>IF(C236="",0,IF(OR(G236="",G236="Split"),(N(E236)-N(F236))*IFERROR(N(INDEX(Kids!$F$6:$F$11,MATCH(C236,Kids!$B$6:$B$11,0))),0),IF(G236="Save",(N(E236)-N(F236)),0)))</f>
        <v/>
      </c>
      <c r="I236">
        <f>IF(C236="",0,(N(E236)-N(F236))-H236-J236)</f>
        <v/>
      </c>
      <c r="J236">
        <f>IF(C236="",0,IF(OR(G236="",G236="Split"),(N(E236)-N(F236))*IFERROR(N(INDEX(Kids!$G$6:$G$11,MATCH(C236,Kids!$B$6:$B$11,0))),0),IF(G236="Give",(N(E236)-N(F236)),0)))</f>
        <v/>
      </c>
      <c r="K236">
        <f>IF(C236="",0,IF(OR(G236="",G236="Split"),N(E236)*IFERROR(N(INDEX(Kids!$F$6:$F$11,MATCH(C236,Kids!$B$6:$B$11,0))),0),IF(G236="Save",N(E236),0)))</f>
        <v/>
      </c>
    </row>
    <row r="237">
      <c r="A237" s="1" t="n"/>
      <c r="B237" s="34" t="n"/>
      <c r="C237" s="30" t="n"/>
      <c r="D237" s="31" t="n"/>
      <c r="E237" s="35" t="n"/>
      <c r="F237" s="35" t="n"/>
      <c r="G237" s="33" t="n"/>
      <c r="H237" s="1">
        <f>IF(C237="",0,IF(OR(G237="",G237="Split"),(N(E237)-N(F237))*IFERROR(N(INDEX(Kids!$F$6:$F$11,MATCH(C237,Kids!$B$6:$B$11,0))),0),IF(G237="Save",(N(E237)-N(F237)),0)))</f>
        <v/>
      </c>
      <c r="I237">
        <f>IF(C237="",0,(N(E237)-N(F237))-H237-J237)</f>
        <v/>
      </c>
      <c r="J237">
        <f>IF(C237="",0,IF(OR(G237="",G237="Split"),(N(E237)-N(F237))*IFERROR(N(INDEX(Kids!$G$6:$G$11,MATCH(C237,Kids!$B$6:$B$11,0))),0),IF(G237="Give",(N(E237)-N(F237)),0)))</f>
        <v/>
      </c>
      <c r="K237">
        <f>IF(C237="",0,IF(OR(G237="",G237="Split"),N(E237)*IFERROR(N(INDEX(Kids!$F$6:$F$11,MATCH(C237,Kids!$B$6:$B$11,0))),0),IF(G237="Save",N(E237),0)))</f>
        <v/>
      </c>
    </row>
    <row r="238">
      <c r="A238" s="1" t="n"/>
      <c r="B238" s="34" t="n"/>
      <c r="C238" s="30" t="n"/>
      <c r="D238" s="31" t="n"/>
      <c r="E238" s="35" t="n"/>
      <c r="F238" s="35" t="n"/>
      <c r="G238" s="33" t="n"/>
      <c r="H238" s="1">
        <f>IF(C238="",0,IF(OR(G238="",G238="Split"),(N(E238)-N(F238))*IFERROR(N(INDEX(Kids!$F$6:$F$11,MATCH(C238,Kids!$B$6:$B$11,0))),0),IF(G238="Save",(N(E238)-N(F238)),0)))</f>
        <v/>
      </c>
      <c r="I238">
        <f>IF(C238="",0,(N(E238)-N(F238))-H238-J238)</f>
        <v/>
      </c>
      <c r="J238">
        <f>IF(C238="",0,IF(OR(G238="",G238="Split"),(N(E238)-N(F238))*IFERROR(N(INDEX(Kids!$G$6:$G$11,MATCH(C238,Kids!$B$6:$B$11,0))),0),IF(G238="Give",(N(E238)-N(F238)),0)))</f>
        <v/>
      </c>
      <c r="K238">
        <f>IF(C238="",0,IF(OR(G238="",G238="Split"),N(E238)*IFERROR(N(INDEX(Kids!$F$6:$F$11,MATCH(C238,Kids!$B$6:$B$11,0))),0),IF(G238="Save",N(E238),0)))</f>
        <v/>
      </c>
    </row>
    <row r="239">
      <c r="A239" s="1" t="n"/>
      <c r="B239" s="34" t="n"/>
      <c r="C239" s="30" t="n"/>
      <c r="D239" s="31" t="n"/>
      <c r="E239" s="35" t="n"/>
      <c r="F239" s="35" t="n"/>
      <c r="G239" s="33" t="n"/>
      <c r="H239" s="1">
        <f>IF(C239="",0,IF(OR(G239="",G239="Split"),(N(E239)-N(F239))*IFERROR(N(INDEX(Kids!$F$6:$F$11,MATCH(C239,Kids!$B$6:$B$11,0))),0),IF(G239="Save",(N(E239)-N(F239)),0)))</f>
        <v/>
      </c>
      <c r="I239">
        <f>IF(C239="",0,(N(E239)-N(F239))-H239-J239)</f>
        <v/>
      </c>
      <c r="J239">
        <f>IF(C239="",0,IF(OR(G239="",G239="Split"),(N(E239)-N(F239))*IFERROR(N(INDEX(Kids!$G$6:$G$11,MATCH(C239,Kids!$B$6:$B$11,0))),0),IF(G239="Give",(N(E239)-N(F239)),0)))</f>
        <v/>
      </c>
      <c r="K239">
        <f>IF(C239="",0,IF(OR(G239="",G239="Split"),N(E239)*IFERROR(N(INDEX(Kids!$F$6:$F$11,MATCH(C239,Kids!$B$6:$B$11,0))),0),IF(G239="Save",N(E239),0)))</f>
        <v/>
      </c>
    </row>
    <row r="240">
      <c r="A240" s="1" t="n"/>
      <c r="B240" s="34" t="n"/>
      <c r="C240" s="30" t="n"/>
      <c r="D240" s="31" t="n"/>
      <c r="E240" s="35" t="n"/>
      <c r="F240" s="35" t="n"/>
      <c r="G240" s="33" t="n"/>
      <c r="H240" s="1">
        <f>IF(C240="",0,IF(OR(G240="",G240="Split"),(N(E240)-N(F240))*IFERROR(N(INDEX(Kids!$F$6:$F$11,MATCH(C240,Kids!$B$6:$B$11,0))),0),IF(G240="Save",(N(E240)-N(F240)),0)))</f>
        <v/>
      </c>
      <c r="I240">
        <f>IF(C240="",0,(N(E240)-N(F240))-H240-J240)</f>
        <v/>
      </c>
      <c r="J240">
        <f>IF(C240="",0,IF(OR(G240="",G240="Split"),(N(E240)-N(F240))*IFERROR(N(INDEX(Kids!$G$6:$G$11,MATCH(C240,Kids!$B$6:$B$11,0))),0),IF(G240="Give",(N(E240)-N(F240)),0)))</f>
        <v/>
      </c>
      <c r="K240">
        <f>IF(C240="",0,IF(OR(G240="",G240="Split"),N(E240)*IFERROR(N(INDEX(Kids!$F$6:$F$11,MATCH(C240,Kids!$B$6:$B$11,0))),0),IF(G240="Save",N(E240),0)))</f>
        <v/>
      </c>
    </row>
    <row r="241">
      <c r="A241" s="1" t="n"/>
      <c r="B241" s="34" t="n"/>
      <c r="C241" s="30" t="n"/>
      <c r="D241" s="31" t="n"/>
      <c r="E241" s="35" t="n"/>
      <c r="F241" s="35" t="n"/>
      <c r="G241" s="33" t="n"/>
      <c r="H241" s="1">
        <f>IF(C241="",0,IF(OR(G241="",G241="Split"),(N(E241)-N(F241))*IFERROR(N(INDEX(Kids!$F$6:$F$11,MATCH(C241,Kids!$B$6:$B$11,0))),0),IF(G241="Save",(N(E241)-N(F241)),0)))</f>
        <v/>
      </c>
      <c r="I241">
        <f>IF(C241="",0,(N(E241)-N(F241))-H241-J241)</f>
        <v/>
      </c>
      <c r="J241">
        <f>IF(C241="",0,IF(OR(G241="",G241="Split"),(N(E241)-N(F241))*IFERROR(N(INDEX(Kids!$G$6:$G$11,MATCH(C241,Kids!$B$6:$B$11,0))),0),IF(G241="Give",(N(E241)-N(F241)),0)))</f>
        <v/>
      </c>
      <c r="K241">
        <f>IF(C241="",0,IF(OR(G241="",G241="Split"),N(E241)*IFERROR(N(INDEX(Kids!$F$6:$F$11,MATCH(C241,Kids!$B$6:$B$11,0))),0),IF(G241="Save",N(E241),0)))</f>
        <v/>
      </c>
    </row>
    <row r="242">
      <c r="A242" s="1" t="n"/>
      <c r="B242" s="34" t="n"/>
      <c r="C242" s="30" t="n"/>
      <c r="D242" s="31" t="n"/>
      <c r="E242" s="35" t="n"/>
      <c r="F242" s="35" t="n"/>
      <c r="G242" s="33" t="n"/>
      <c r="H242" s="1">
        <f>IF(C242="",0,IF(OR(G242="",G242="Split"),(N(E242)-N(F242))*IFERROR(N(INDEX(Kids!$F$6:$F$11,MATCH(C242,Kids!$B$6:$B$11,0))),0),IF(G242="Save",(N(E242)-N(F242)),0)))</f>
        <v/>
      </c>
      <c r="I242">
        <f>IF(C242="",0,(N(E242)-N(F242))-H242-J242)</f>
        <v/>
      </c>
      <c r="J242">
        <f>IF(C242="",0,IF(OR(G242="",G242="Split"),(N(E242)-N(F242))*IFERROR(N(INDEX(Kids!$G$6:$G$11,MATCH(C242,Kids!$B$6:$B$11,0))),0),IF(G242="Give",(N(E242)-N(F242)),0)))</f>
        <v/>
      </c>
      <c r="K242">
        <f>IF(C242="",0,IF(OR(G242="",G242="Split"),N(E242)*IFERROR(N(INDEX(Kids!$F$6:$F$11,MATCH(C242,Kids!$B$6:$B$11,0))),0),IF(G242="Save",N(E242),0)))</f>
        <v/>
      </c>
    </row>
    <row r="243">
      <c r="A243" s="1" t="n"/>
      <c r="B243" s="34" t="n"/>
      <c r="C243" s="30" t="n"/>
      <c r="D243" s="31" t="n"/>
      <c r="E243" s="35" t="n"/>
      <c r="F243" s="35" t="n"/>
      <c r="G243" s="33" t="n"/>
      <c r="H243" s="1">
        <f>IF(C243="",0,IF(OR(G243="",G243="Split"),(N(E243)-N(F243))*IFERROR(N(INDEX(Kids!$F$6:$F$11,MATCH(C243,Kids!$B$6:$B$11,0))),0),IF(G243="Save",(N(E243)-N(F243)),0)))</f>
        <v/>
      </c>
      <c r="I243">
        <f>IF(C243="",0,(N(E243)-N(F243))-H243-J243)</f>
        <v/>
      </c>
      <c r="J243">
        <f>IF(C243="",0,IF(OR(G243="",G243="Split"),(N(E243)-N(F243))*IFERROR(N(INDEX(Kids!$G$6:$G$11,MATCH(C243,Kids!$B$6:$B$11,0))),0),IF(G243="Give",(N(E243)-N(F243)),0)))</f>
        <v/>
      </c>
      <c r="K243">
        <f>IF(C243="",0,IF(OR(G243="",G243="Split"),N(E243)*IFERROR(N(INDEX(Kids!$F$6:$F$11,MATCH(C243,Kids!$B$6:$B$11,0))),0),IF(G243="Save",N(E243),0)))</f>
        <v/>
      </c>
    </row>
    <row r="244">
      <c r="A244" s="1" t="n"/>
      <c r="B244" s="34" t="n"/>
      <c r="C244" s="30" t="n"/>
      <c r="D244" s="31" t="n"/>
      <c r="E244" s="35" t="n"/>
      <c r="F244" s="35" t="n"/>
      <c r="G244" s="33" t="n"/>
      <c r="H244" s="1">
        <f>IF(C244="",0,IF(OR(G244="",G244="Split"),(N(E244)-N(F244))*IFERROR(N(INDEX(Kids!$F$6:$F$11,MATCH(C244,Kids!$B$6:$B$11,0))),0),IF(G244="Save",(N(E244)-N(F244)),0)))</f>
        <v/>
      </c>
      <c r="I244">
        <f>IF(C244="",0,(N(E244)-N(F244))-H244-J244)</f>
        <v/>
      </c>
      <c r="J244">
        <f>IF(C244="",0,IF(OR(G244="",G244="Split"),(N(E244)-N(F244))*IFERROR(N(INDEX(Kids!$G$6:$G$11,MATCH(C244,Kids!$B$6:$B$11,0))),0),IF(G244="Give",(N(E244)-N(F244)),0)))</f>
        <v/>
      </c>
      <c r="K244">
        <f>IF(C244="",0,IF(OR(G244="",G244="Split"),N(E244)*IFERROR(N(INDEX(Kids!$F$6:$F$11,MATCH(C244,Kids!$B$6:$B$11,0))),0),IF(G244="Save",N(E244),0)))</f>
        <v/>
      </c>
    </row>
    <row r="245">
      <c r="A245" s="1" t="n"/>
      <c r="B245" s="34" t="n"/>
      <c r="C245" s="30" t="n"/>
      <c r="D245" s="31" t="n"/>
      <c r="E245" s="35" t="n"/>
      <c r="F245" s="35" t="n"/>
      <c r="G245" s="33" t="n"/>
      <c r="H245" s="1">
        <f>IF(C245="",0,IF(OR(G245="",G245="Split"),(N(E245)-N(F245))*IFERROR(N(INDEX(Kids!$F$6:$F$11,MATCH(C245,Kids!$B$6:$B$11,0))),0),IF(G245="Save",(N(E245)-N(F245)),0)))</f>
        <v/>
      </c>
      <c r="I245">
        <f>IF(C245="",0,(N(E245)-N(F245))-H245-J245)</f>
        <v/>
      </c>
      <c r="J245">
        <f>IF(C245="",0,IF(OR(G245="",G245="Split"),(N(E245)-N(F245))*IFERROR(N(INDEX(Kids!$G$6:$G$11,MATCH(C245,Kids!$B$6:$B$11,0))),0),IF(G245="Give",(N(E245)-N(F245)),0)))</f>
        <v/>
      </c>
      <c r="K245">
        <f>IF(C245="",0,IF(OR(G245="",G245="Split"),N(E245)*IFERROR(N(INDEX(Kids!$F$6:$F$11,MATCH(C245,Kids!$B$6:$B$11,0))),0),IF(G245="Save",N(E245),0)))</f>
        <v/>
      </c>
    </row>
    <row r="246">
      <c r="A246" s="1" t="n"/>
      <c r="B246" s="34" t="n"/>
      <c r="C246" s="30" t="n"/>
      <c r="D246" s="31" t="n"/>
      <c r="E246" s="35" t="n"/>
      <c r="F246" s="35" t="n"/>
      <c r="G246" s="33" t="n"/>
      <c r="H246" s="1">
        <f>IF(C246="",0,IF(OR(G246="",G246="Split"),(N(E246)-N(F246))*IFERROR(N(INDEX(Kids!$F$6:$F$11,MATCH(C246,Kids!$B$6:$B$11,0))),0),IF(G246="Save",(N(E246)-N(F246)),0)))</f>
        <v/>
      </c>
      <c r="I246">
        <f>IF(C246="",0,(N(E246)-N(F246))-H246-J246)</f>
        <v/>
      </c>
      <c r="J246">
        <f>IF(C246="",0,IF(OR(G246="",G246="Split"),(N(E246)-N(F246))*IFERROR(N(INDEX(Kids!$G$6:$G$11,MATCH(C246,Kids!$B$6:$B$11,0))),0),IF(G246="Give",(N(E246)-N(F246)),0)))</f>
        <v/>
      </c>
      <c r="K246">
        <f>IF(C246="",0,IF(OR(G246="",G246="Split"),N(E246)*IFERROR(N(INDEX(Kids!$F$6:$F$11,MATCH(C246,Kids!$B$6:$B$11,0))),0),IF(G246="Save",N(E246),0)))</f>
        <v/>
      </c>
    </row>
    <row r="247">
      <c r="A247" s="1" t="n"/>
      <c r="B247" s="34" t="n"/>
      <c r="C247" s="30" t="n"/>
      <c r="D247" s="31" t="n"/>
      <c r="E247" s="35" t="n"/>
      <c r="F247" s="35" t="n"/>
      <c r="G247" s="33" t="n"/>
      <c r="H247" s="1">
        <f>IF(C247="",0,IF(OR(G247="",G247="Split"),(N(E247)-N(F247))*IFERROR(N(INDEX(Kids!$F$6:$F$11,MATCH(C247,Kids!$B$6:$B$11,0))),0),IF(G247="Save",(N(E247)-N(F247)),0)))</f>
        <v/>
      </c>
      <c r="I247">
        <f>IF(C247="",0,(N(E247)-N(F247))-H247-J247)</f>
        <v/>
      </c>
      <c r="J247">
        <f>IF(C247="",0,IF(OR(G247="",G247="Split"),(N(E247)-N(F247))*IFERROR(N(INDEX(Kids!$G$6:$G$11,MATCH(C247,Kids!$B$6:$B$11,0))),0),IF(G247="Give",(N(E247)-N(F247)),0)))</f>
        <v/>
      </c>
      <c r="K247">
        <f>IF(C247="",0,IF(OR(G247="",G247="Split"),N(E247)*IFERROR(N(INDEX(Kids!$F$6:$F$11,MATCH(C247,Kids!$B$6:$B$11,0))),0),IF(G247="Save",N(E247),0)))</f>
        <v/>
      </c>
    </row>
    <row r="248">
      <c r="A248" s="1" t="n"/>
      <c r="B248" s="34" t="n"/>
      <c r="C248" s="30" t="n"/>
      <c r="D248" s="31" t="n"/>
      <c r="E248" s="35" t="n"/>
      <c r="F248" s="35" t="n"/>
      <c r="G248" s="33" t="n"/>
      <c r="H248" s="1">
        <f>IF(C248="",0,IF(OR(G248="",G248="Split"),(N(E248)-N(F248))*IFERROR(N(INDEX(Kids!$F$6:$F$11,MATCH(C248,Kids!$B$6:$B$11,0))),0),IF(G248="Save",(N(E248)-N(F248)),0)))</f>
        <v/>
      </c>
      <c r="I248">
        <f>IF(C248="",0,(N(E248)-N(F248))-H248-J248)</f>
        <v/>
      </c>
      <c r="J248">
        <f>IF(C248="",0,IF(OR(G248="",G248="Split"),(N(E248)-N(F248))*IFERROR(N(INDEX(Kids!$G$6:$G$11,MATCH(C248,Kids!$B$6:$B$11,0))),0),IF(G248="Give",(N(E248)-N(F248)),0)))</f>
        <v/>
      </c>
      <c r="K248">
        <f>IF(C248="",0,IF(OR(G248="",G248="Split"),N(E248)*IFERROR(N(INDEX(Kids!$F$6:$F$11,MATCH(C248,Kids!$B$6:$B$11,0))),0),IF(G248="Save",N(E248),0)))</f>
        <v/>
      </c>
    </row>
    <row r="249">
      <c r="A249" s="1" t="n"/>
      <c r="B249" s="34" t="n"/>
      <c r="C249" s="30" t="n"/>
      <c r="D249" s="31" t="n"/>
      <c r="E249" s="35" t="n"/>
      <c r="F249" s="35" t="n"/>
      <c r="G249" s="33" t="n"/>
      <c r="H249" s="1">
        <f>IF(C249="",0,IF(OR(G249="",G249="Split"),(N(E249)-N(F249))*IFERROR(N(INDEX(Kids!$F$6:$F$11,MATCH(C249,Kids!$B$6:$B$11,0))),0),IF(G249="Save",(N(E249)-N(F249)),0)))</f>
        <v/>
      </c>
      <c r="I249">
        <f>IF(C249="",0,(N(E249)-N(F249))-H249-J249)</f>
        <v/>
      </c>
      <c r="J249">
        <f>IF(C249="",0,IF(OR(G249="",G249="Split"),(N(E249)-N(F249))*IFERROR(N(INDEX(Kids!$G$6:$G$11,MATCH(C249,Kids!$B$6:$B$11,0))),0),IF(G249="Give",(N(E249)-N(F249)),0)))</f>
        <v/>
      </c>
      <c r="K249">
        <f>IF(C249="",0,IF(OR(G249="",G249="Split"),N(E249)*IFERROR(N(INDEX(Kids!$F$6:$F$11,MATCH(C249,Kids!$B$6:$B$11,0))),0),IF(G249="Save",N(E249),0)))</f>
        <v/>
      </c>
    </row>
    <row r="250">
      <c r="A250" s="1" t="n"/>
      <c r="B250" s="34" t="n"/>
      <c r="C250" s="30" t="n"/>
      <c r="D250" s="31" t="n"/>
      <c r="E250" s="35" t="n"/>
      <c r="F250" s="35" t="n"/>
      <c r="G250" s="33" t="n"/>
      <c r="H250" s="1">
        <f>IF(C250="",0,IF(OR(G250="",G250="Split"),(N(E250)-N(F250))*IFERROR(N(INDEX(Kids!$F$6:$F$11,MATCH(C250,Kids!$B$6:$B$11,0))),0),IF(G250="Save",(N(E250)-N(F250)),0)))</f>
        <v/>
      </c>
      <c r="I250">
        <f>IF(C250="",0,(N(E250)-N(F250))-H250-J250)</f>
        <v/>
      </c>
      <c r="J250">
        <f>IF(C250="",0,IF(OR(G250="",G250="Split"),(N(E250)-N(F250))*IFERROR(N(INDEX(Kids!$G$6:$G$11,MATCH(C250,Kids!$B$6:$B$11,0))),0),IF(G250="Give",(N(E250)-N(F250)),0)))</f>
        <v/>
      </c>
      <c r="K250">
        <f>IF(C250="",0,IF(OR(G250="",G250="Split"),N(E250)*IFERROR(N(INDEX(Kids!$F$6:$F$11,MATCH(C250,Kids!$B$6:$B$11,0))),0),IF(G250="Save",N(E250),0)))</f>
        <v/>
      </c>
    </row>
    <row r="251">
      <c r="A251" s="1" t="n"/>
      <c r="B251" s="34" t="n"/>
      <c r="C251" s="30" t="n"/>
      <c r="D251" s="31" t="n"/>
      <c r="E251" s="35" t="n"/>
      <c r="F251" s="35" t="n"/>
      <c r="G251" s="33" t="n"/>
      <c r="H251" s="1">
        <f>IF(C251="",0,IF(OR(G251="",G251="Split"),(N(E251)-N(F251))*IFERROR(N(INDEX(Kids!$F$6:$F$11,MATCH(C251,Kids!$B$6:$B$11,0))),0),IF(G251="Save",(N(E251)-N(F251)),0)))</f>
        <v/>
      </c>
      <c r="I251">
        <f>IF(C251="",0,(N(E251)-N(F251))-H251-J251)</f>
        <v/>
      </c>
      <c r="J251">
        <f>IF(C251="",0,IF(OR(G251="",G251="Split"),(N(E251)-N(F251))*IFERROR(N(INDEX(Kids!$G$6:$G$11,MATCH(C251,Kids!$B$6:$B$11,0))),0),IF(G251="Give",(N(E251)-N(F251)),0)))</f>
        <v/>
      </c>
      <c r="K251">
        <f>IF(C251="",0,IF(OR(G251="",G251="Split"),N(E251)*IFERROR(N(INDEX(Kids!$F$6:$F$11,MATCH(C251,Kids!$B$6:$B$11,0))),0),IF(G251="Save",N(E251),0)))</f>
        <v/>
      </c>
    </row>
    <row r="252">
      <c r="A252" s="1" t="n"/>
      <c r="B252" s="34" t="n"/>
      <c r="C252" s="30" t="n"/>
      <c r="D252" s="31" t="n"/>
      <c r="E252" s="35" t="n"/>
      <c r="F252" s="35" t="n"/>
      <c r="G252" s="33" t="n"/>
      <c r="H252" s="1">
        <f>IF(C252="",0,IF(OR(G252="",G252="Split"),(N(E252)-N(F252))*IFERROR(N(INDEX(Kids!$F$6:$F$11,MATCH(C252,Kids!$B$6:$B$11,0))),0),IF(G252="Save",(N(E252)-N(F252)),0)))</f>
        <v/>
      </c>
      <c r="I252">
        <f>IF(C252="",0,(N(E252)-N(F252))-H252-J252)</f>
        <v/>
      </c>
      <c r="J252">
        <f>IF(C252="",0,IF(OR(G252="",G252="Split"),(N(E252)-N(F252))*IFERROR(N(INDEX(Kids!$G$6:$G$11,MATCH(C252,Kids!$B$6:$B$11,0))),0),IF(G252="Give",(N(E252)-N(F252)),0)))</f>
        <v/>
      </c>
      <c r="K252">
        <f>IF(C252="",0,IF(OR(G252="",G252="Split"),N(E252)*IFERROR(N(INDEX(Kids!$F$6:$F$11,MATCH(C252,Kids!$B$6:$B$11,0))),0),IF(G252="Save",N(E252),0)))</f>
        <v/>
      </c>
    </row>
    <row r="253">
      <c r="A253" s="1" t="n"/>
      <c r="B253" s="34" t="n"/>
      <c r="C253" s="30" t="n"/>
      <c r="D253" s="31" t="n"/>
      <c r="E253" s="35" t="n"/>
      <c r="F253" s="35" t="n"/>
      <c r="G253" s="33" t="n"/>
      <c r="H253" s="1">
        <f>IF(C253="",0,IF(OR(G253="",G253="Split"),(N(E253)-N(F253))*IFERROR(N(INDEX(Kids!$F$6:$F$11,MATCH(C253,Kids!$B$6:$B$11,0))),0),IF(G253="Save",(N(E253)-N(F253)),0)))</f>
        <v/>
      </c>
      <c r="I253">
        <f>IF(C253="",0,(N(E253)-N(F253))-H253-J253)</f>
        <v/>
      </c>
      <c r="J253">
        <f>IF(C253="",0,IF(OR(G253="",G253="Split"),(N(E253)-N(F253))*IFERROR(N(INDEX(Kids!$G$6:$G$11,MATCH(C253,Kids!$B$6:$B$11,0))),0),IF(G253="Give",(N(E253)-N(F253)),0)))</f>
        <v/>
      </c>
      <c r="K253">
        <f>IF(C253="",0,IF(OR(G253="",G253="Split"),N(E253)*IFERROR(N(INDEX(Kids!$F$6:$F$11,MATCH(C253,Kids!$B$6:$B$11,0))),0),IF(G253="Save",N(E253),0)))</f>
        <v/>
      </c>
    </row>
    <row r="254">
      <c r="A254" s="1" t="n"/>
      <c r="B254" s="34" t="n"/>
      <c r="C254" s="30" t="n"/>
      <c r="D254" s="31" t="n"/>
      <c r="E254" s="35" t="n"/>
      <c r="F254" s="35" t="n"/>
      <c r="G254" s="33" t="n"/>
      <c r="H254" s="1">
        <f>IF(C254="",0,IF(OR(G254="",G254="Split"),(N(E254)-N(F254))*IFERROR(N(INDEX(Kids!$F$6:$F$11,MATCH(C254,Kids!$B$6:$B$11,0))),0),IF(G254="Save",(N(E254)-N(F254)),0)))</f>
        <v/>
      </c>
      <c r="I254">
        <f>IF(C254="",0,(N(E254)-N(F254))-H254-J254)</f>
        <v/>
      </c>
      <c r="J254">
        <f>IF(C254="",0,IF(OR(G254="",G254="Split"),(N(E254)-N(F254))*IFERROR(N(INDEX(Kids!$G$6:$G$11,MATCH(C254,Kids!$B$6:$B$11,0))),0),IF(G254="Give",(N(E254)-N(F254)),0)))</f>
        <v/>
      </c>
      <c r="K254">
        <f>IF(C254="",0,IF(OR(G254="",G254="Split"),N(E254)*IFERROR(N(INDEX(Kids!$F$6:$F$11,MATCH(C254,Kids!$B$6:$B$11,0))),0),IF(G254="Save",N(E254),0)))</f>
        <v/>
      </c>
    </row>
    <row r="255">
      <c r="A255" s="1" t="n"/>
      <c r="B255" s="34" t="n"/>
      <c r="C255" s="30" t="n"/>
      <c r="D255" s="31" t="n"/>
      <c r="E255" s="35" t="n"/>
      <c r="F255" s="35" t="n"/>
      <c r="G255" s="33" t="n"/>
      <c r="H255" s="1">
        <f>IF(C255="",0,IF(OR(G255="",G255="Split"),(N(E255)-N(F255))*IFERROR(N(INDEX(Kids!$F$6:$F$11,MATCH(C255,Kids!$B$6:$B$11,0))),0),IF(G255="Save",(N(E255)-N(F255)),0)))</f>
        <v/>
      </c>
      <c r="I255">
        <f>IF(C255="",0,(N(E255)-N(F255))-H255-J255)</f>
        <v/>
      </c>
      <c r="J255">
        <f>IF(C255="",0,IF(OR(G255="",G255="Split"),(N(E255)-N(F255))*IFERROR(N(INDEX(Kids!$G$6:$G$11,MATCH(C255,Kids!$B$6:$B$11,0))),0),IF(G255="Give",(N(E255)-N(F255)),0)))</f>
        <v/>
      </c>
      <c r="K255">
        <f>IF(C255="",0,IF(OR(G255="",G255="Split"),N(E255)*IFERROR(N(INDEX(Kids!$F$6:$F$11,MATCH(C255,Kids!$B$6:$B$11,0))),0),IF(G255="Save",N(E255),0)))</f>
        <v/>
      </c>
    </row>
    <row r="256">
      <c r="A256" s="1" t="n"/>
      <c r="B256" s="34" t="n"/>
      <c r="C256" s="30" t="n"/>
      <c r="D256" s="31" t="n"/>
      <c r="E256" s="35" t="n"/>
      <c r="F256" s="35" t="n"/>
      <c r="G256" s="33" t="n"/>
      <c r="H256" s="1">
        <f>IF(C256="",0,IF(OR(G256="",G256="Split"),(N(E256)-N(F256))*IFERROR(N(INDEX(Kids!$F$6:$F$11,MATCH(C256,Kids!$B$6:$B$11,0))),0),IF(G256="Save",(N(E256)-N(F256)),0)))</f>
        <v/>
      </c>
      <c r="I256">
        <f>IF(C256="",0,(N(E256)-N(F256))-H256-J256)</f>
        <v/>
      </c>
      <c r="J256">
        <f>IF(C256="",0,IF(OR(G256="",G256="Split"),(N(E256)-N(F256))*IFERROR(N(INDEX(Kids!$G$6:$G$11,MATCH(C256,Kids!$B$6:$B$11,0))),0),IF(G256="Give",(N(E256)-N(F256)),0)))</f>
        <v/>
      </c>
      <c r="K256">
        <f>IF(C256="",0,IF(OR(G256="",G256="Split"),N(E256)*IFERROR(N(INDEX(Kids!$F$6:$F$11,MATCH(C256,Kids!$B$6:$B$11,0))),0),IF(G256="Save",N(E256),0)))</f>
        <v/>
      </c>
    </row>
    <row r="257">
      <c r="A257" s="1" t="n"/>
      <c r="B257" s="34" t="n"/>
      <c r="C257" s="30" t="n"/>
      <c r="D257" s="31" t="n"/>
      <c r="E257" s="35" t="n"/>
      <c r="F257" s="35" t="n"/>
      <c r="G257" s="33" t="n"/>
      <c r="H257" s="1">
        <f>IF(C257="",0,IF(OR(G257="",G257="Split"),(N(E257)-N(F257))*IFERROR(N(INDEX(Kids!$F$6:$F$11,MATCH(C257,Kids!$B$6:$B$11,0))),0),IF(G257="Save",(N(E257)-N(F257)),0)))</f>
        <v/>
      </c>
      <c r="I257">
        <f>IF(C257="",0,(N(E257)-N(F257))-H257-J257)</f>
        <v/>
      </c>
      <c r="J257">
        <f>IF(C257="",0,IF(OR(G257="",G257="Split"),(N(E257)-N(F257))*IFERROR(N(INDEX(Kids!$G$6:$G$11,MATCH(C257,Kids!$B$6:$B$11,0))),0),IF(G257="Give",(N(E257)-N(F257)),0)))</f>
        <v/>
      </c>
      <c r="K257">
        <f>IF(C257="",0,IF(OR(G257="",G257="Split"),N(E257)*IFERROR(N(INDEX(Kids!$F$6:$F$11,MATCH(C257,Kids!$B$6:$B$11,0))),0),IF(G257="Save",N(E257),0)))</f>
        <v/>
      </c>
    </row>
    <row r="258">
      <c r="A258" s="1" t="n"/>
      <c r="B258" s="34" t="n"/>
      <c r="C258" s="30" t="n"/>
      <c r="D258" s="31" t="n"/>
      <c r="E258" s="35" t="n"/>
      <c r="F258" s="35" t="n"/>
      <c r="G258" s="33" t="n"/>
      <c r="H258" s="1">
        <f>IF(C258="",0,IF(OR(G258="",G258="Split"),(N(E258)-N(F258))*IFERROR(N(INDEX(Kids!$F$6:$F$11,MATCH(C258,Kids!$B$6:$B$11,0))),0),IF(G258="Save",(N(E258)-N(F258)),0)))</f>
        <v/>
      </c>
      <c r="I258">
        <f>IF(C258="",0,(N(E258)-N(F258))-H258-J258)</f>
        <v/>
      </c>
      <c r="J258">
        <f>IF(C258="",0,IF(OR(G258="",G258="Split"),(N(E258)-N(F258))*IFERROR(N(INDEX(Kids!$G$6:$G$11,MATCH(C258,Kids!$B$6:$B$11,0))),0),IF(G258="Give",(N(E258)-N(F258)),0)))</f>
        <v/>
      </c>
      <c r="K258">
        <f>IF(C258="",0,IF(OR(G258="",G258="Split"),N(E258)*IFERROR(N(INDEX(Kids!$F$6:$F$11,MATCH(C258,Kids!$B$6:$B$11,0))),0),IF(G258="Save",N(E258),0)))</f>
        <v/>
      </c>
    </row>
    <row r="259">
      <c r="A259" s="1" t="n"/>
      <c r="B259" s="34" t="n"/>
      <c r="C259" s="30" t="n"/>
      <c r="D259" s="31" t="n"/>
      <c r="E259" s="35" t="n"/>
      <c r="F259" s="35" t="n"/>
      <c r="G259" s="33" t="n"/>
      <c r="H259" s="1">
        <f>IF(C259="",0,IF(OR(G259="",G259="Split"),(N(E259)-N(F259))*IFERROR(N(INDEX(Kids!$F$6:$F$11,MATCH(C259,Kids!$B$6:$B$11,0))),0),IF(G259="Save",(N(E259)-N(F259)),0)))</f>
        <v/>
      </c>
      <c r="I259">
        <f>IF(C259="",0,(N(E259)-N(F259))-H259-J259)</f>
        <v/>
      </c>
      <c r="J259">
        <f>IF(C259="",0,IF(OR(G259="",G259="Split"),(N(E259)-N(F259))*IFERROR(N(INDEX(Kids!$G$6:$G$11,MATCH(C259,Kids!$B$6:$B$11,0))),0),IF(G259="Give",(N(E259)-N(F259)),0)))</f>
        <v/>
      </c>
      <c r="K259">
        <f>IF(C259="",0,IF(OR(G259="",G259="Split"),N(E259)*IFERROR(N(INDEX(Kids!$F$6:$F$11,MATCH(C259,Kids!$B$6:$B$11,0))),0),IF(G259="Save",N(E259),0)))</f>
        <v/>
      </c>
    </row>
    <row r="260">
      <c r="A260" s="1" t="n"/>
      <c r="B260" s="34" t="n"/>
      <c r="C260" s="30" t="n"/>
      <c r="D260" s="31" t="n"/>
      <c r="E260" s="35" t="n"/>
      <c r="F260" s="35" t="n"/>
      <c r="G260" s="33" t="n"/>
      <c r="H260" s="1">
        <f>IF(C260="",0,IF(OR(G260="",G260="Split"),(N(E260)-N(F260))*IFERROR(N(INDEX(Kids!$F$6:$F$11,MATCH(C260,Kids!$B$6:$B$11,0))),0),IF(G260="Save",(N(E260)-N(F260)),0)))</f>
        <v/>
      </c>
      <c r="I260">
        <f>IF(C260="",0,(N(E260)-N(F260))-H260-J260)</f>
        <v/>
      </c>
      <c r="J260">
        <f>IF(C260="",0,IF(OR(G260="",G260="Split"),(N(E260)-N(F260))*IFERROR(N(INDEX(Kids!$G$6:$G$11,MATCH(C260,Kids!$B$6:$B$11,0))),0),IF(G260="Give",(N(E260)-N(F260)),0)))</f>
        <v/>
      </c>
      <c r="K260">
        <f>IF(C260="",0,IF(OR(G260="",G260="Split"),N(E260)*IFERROR(N(INDEX(Kids!$F$6:$F$11,MATCH(C260,Kids!$B$6:$B$11,0))),0),IF(G260="Save",N(E260),0)))</f>
        <v/>
      </c>
    </row>
    <row r="261">
      <c r="A261" s="1" t="n"/>
      <c r="B261" s="34" t="n"/>
      <c r="C261" s="30" t="n"/>
      <c r="D261" s="31" t="n"/>
      <c r="E261" s="35" t="n"/>
      <c r="F261" s="35" t="n"/>
      <c r="G261" s="33" t="n"/>
      <c r="H261" s="1">
        <f>IF(C261="",0,IF(OR(G261="",G261="Split"),(N(E261)-N(F261))*IFERROR(N(INDEX(Kids!$F$6:$F$11,MATCH(C261,Kids!$B$6:$B$11,0))),0),IF(G261="Save",(N(E261)-N(F261)),0)))</f>
        <v/>
      </c>
      <c r="I261">
        <f>IF(C261="",0,(N(E261)-N(F261))-H261-J261)</f>
        <v/>
      </c>
      <c r="J261">
        <f>IF(C261="",0,IF(OR(G261="",G261="Split"),(N(E261)-N(F261))*IFERROR(N(INDEX(Kids!$G$6:$G$11,MATCH(C261,Kids!$B$6:$B$11,0))),0),IF(G261="Give",(N(E261)-N(F261)),0)))</f>
        <v/>
      </c>
      <c r="K261">
        <f>IF(C261="",0,IF(OR(G261="",G261="Split"),N(E261)*IFERROR(N(INDEX(Kids!$F$6:$F$11,MATCH(C261,Kids!$B$6:$B$11,0))),0),IF(G261="Save",N(E261),0)))</f>
        <v/>
      </c>
    </row>
    <row r="262">
      <c r="A262" s="1" t="n"/>
      <c r="B262" s="34" t="n"/>
      <c r="C262" s="30" t="n"/>
      <c r="D262" s="31" t="n"/>
      <c r="E262" s="35" t="n"/>
      <c r="F262" s="35" t="n"/>
      <c r="G262" s="33" t="n"/>
      <c r="H262" s="1">
        <f>IF(C262="",0,IF(OR(G262="",G262="Split"),(N(E262)-N(F262))*IFERROR(N(INDEX(Kids!$F$6:$F$11,MATCH(C262,Kids!$B$6:$B$11,0))),0),IF(G262="Save",(N(E262)-N(F262)),0)))</f>
        <v/>
      </c>
      <c r="I262">
        <f>IF(C262="",0,(N(E262)-N(F262))-H262-J262)</f>
        <v/>
      </c>
      <c r="J262">
        <f>IF(C262="",0,IF(OR(G262="",G262="Split"),(N(E262)-N(F262))*IFERROR(N(INDEX(Kids!$G$6:$G$11,MATCH(C262,Kids!$B$6:$B$11,0))),0),IF(G262="Give",(N(E262)-N(F262)),0)))</f>
        <v/>
      </c>
      <c r="K262">
        <f>IF(C262="",0,IF(OR(G262="",G262="Split"),N(E262)*IFERROR(N(INDEX(Kids!$F$6:$F$11,MATCH(C262,Kids!$B$6:$B$11,0))),0),IF(G262="Save",N(E262),0)))</f>
        <v/>
      </c>
    </row>
    <row r="263">
      <c r="A263" s="1" t="n"/>
      <c r="B263" s="34" t="n"/>
      <c r="C263" s="30" t="n"/>
      <c r="D263" s="31" t="n"/>
      <c r="E263" s="35" t="n"/>
      <c r="F263" s="35" t="n"/>
      <c r="G263" s="33" t="n"/>
      <c r="H263" s="1">
        <f>IF(C263="",0,IF(OR(G263="",G263="Split"),(N(E263)-N(F263))*IFERROR(N(INDEX(Kids!$F$6:$F$11,MATCH(C263,Kids!$B$6:$B$11,0))),0),IF(G263="Save",(N(E263)-N(F263)),0)))</f>
        <v/>
      </c>
      <c r="I263">
        <f>IF(C263="",0,(N(E263)-N(F263))-H263-J263)</f>
        <v/>
      </c>
      <c r="J263">
        <f>IF(C263="",0,IF(OR(G263="",G263="Split"),(N(E263)-N(F263))*IFERROR(N(INDEX(Kids!$G$6:$G$11,MATCH(C263,Kids!$B$6:$B$11,0))),0),IF(G263="Give",(N(E263)-N(F263)),0)))</f>
        <v/>
      </c>
      <c r="K263">
        <f>IF(C263="",0,IF(OR(G263="",G263="Split"),N(E263)*IFERROR(N(INDEX(Kids!$F$6:$F$11,MATCH(C263,Kids!$B$6:$B$11,0))),0),IF(G263="Save",N(E263),0)))</f>
        <v/>
      </c>
    </row>
    <row r="264">
      <c r="A264" s="1" t="n"/>
      <c r="B264" s="34" t="n"/>
      <c r="C264" s="30" t="n"/>
      <c r="D264" s="31" t="n"/>
      <c r="E264" s="35" t="n"/>
      <c r="F264" s="35" t="n"/>
      <c r="G264" s="33" t="n"/>
      <c r="H264" s="1">
        <f>IF(C264="",0,IF(OR(G264="",G264="Split"),(N(E264)-N(F264))*IFERROR(N(INDEX(Kids!$F$6:$F$11,MATCH(C264,Kids!$B$6:$B$11,0))),0),IF(G264="Save",(N(E264)-N(F264)),0)))</f>
        <v/>
      </c>
      <c r="I264">
        <f>IF(C264="",0,(N(E264)-N(F264))-H264-J264)</f>
        <v/>
      </c>
      <c r="J264">
        <f>IF(C264="",0,IF(OR(G264="",G264="Split"),(N(E264)-N(F264))*IFERROR(N(INDEX(Kids!$G$6:$G$11,MATCH(C264,Kids!$B$6:$B$11,0))),0),IF(G264="Give",(N(E264)-N(F264)),0)))</f>
        <v/>
      </c>
      <c r="K264">
        <f>IF(C264="",0,IF(OR(G264="",G264="Split"),N(E264)*IFERROR(N(INDEX(Kids!$F$6:$F$11,MATCH(C264,Kids!$B$6:$B$11,0))),0),IF(G264="Save",N(E264),0)))</f>
        <v/>
      </c>
    </row>
    <row r="265">
      <c r="A265" s="1" t="n"/>
      <c r="B265" s="34" t="n"/>
      <c r="C265" s="30" t="n"/>
      <c r="D265" s="31" t="n"/>
      <c r="E265" s="35" t="n"/>
      <c r="F265" s="35" t="n"/>
      <c r="G265" s="33" t="n"/>
      <c r="H265" s="1">
        <f>IF(C265="",0,IF(OR(G265="",G265="Split"),(N(E265)-N(F265))*IFERROR(N(INDEX(Kids!$F$6:$F$11,MATCH(C265,Kids!$B$6:$B$11,0))),0),IF(G265="Save",(N(E265)-N(F265)),0)))</f>
        <v/>
      </c>
      <c r="I265">
        <f>IF(C265="",0,(N(E265)-N(F265))-H265-J265)</f>
        <v/>
      </c>
      <c r="J265">
        <f>IF(C265="",0,IF(OR(G265="",G265="Split"),(N(E265)-N(F265))*IFERROR(N(INDEX(Kids!$G$6:$G$11,MATCH(C265,Kids!$B$6:$B$11,0))),0),IF(G265="Give",(N(E265)-N(F265)),0)))</f>
        <v/>
      </c>
      <c r="K265">
        <f>IF(C265="",0,IF(OR(G265="",G265="Split"),N(E265)*IFERROR(N(INDEX(Kids!$F$6:$F$11,MATCH(C265,Kids!$B$6:$B$11,0))),0),IF(G265="Save",N(E265),0)))</f>
        <v/>
      </c>
    </row>
    <row r="266">
      <c r="A266" s="1" t="n"/>
      <c r="B266" s="34" t="n"/>
      <c r="C266" s="30" t="n"/>
      <c r="D266" s="31" t="n"/>
      <c r="E266" s="35" t="n"/>
      <c r="F266" s="35" t="n"/>
      <c r="G266" s="33" t="n"/>
      <c r="H266" s="1">
        <f>IF(C266="",0,IF(OR(G266="",G266="Split"),(N(E266)-N(F266))*IFERROR(N(INDEX(Kids!$F$6:$F$11,MATCH(C266,Kids!$B$6:$B$11,0))),0),IF(G266="Save",(N(E266)-N(F266)),0)))</f>
        <v/>
      </c>
      <c r="I266">
        <f>IF(C266="",0,(N(E266)-N(F266))-H266-J266)</f>
        <v/>
      </c>
      <c r="J266">
        <f>IF(C266="",0,IF(OR(G266="",G266="Split"),(N(E266)-N(F266))*IFERROR(N(INDEX(Kids!$G$6:$G$11,MATCH(C266,Kids!$B$6:$B$11,0))),0),IF(G266="Give",(N(E266)-N(F266)),0)))</f>
        <v/>
      </c>
      <c r="K266">
        <f>IF(C266="",0,IF(OR(G266="",G266="Split"),N(E266)*IFERROR(N(INDEX(Kids!$F$6:$F$11,MATCH(C266,Kids!$B$6:$B$11,0))),0),IF(G266="Save",N(E266),0)))</f>
        <v/>
      </c>
    </row>
    <row r="267">
      <c r="A267" s="1" t="n"/>
      <c r="B267" s="34" t="n"/>
      <c r="C267" s="30" t="n"/>
      <c r="D267" s="31" t="n"/>
      <c r="E267" s="35" t="n"/>
      <c r="F267" s="35" t="n"/>
      <c r="G267" s="33" t="n"/>
      <c r="H267" s="1">
        <f>IF(C267="",0,IF(OR(G267="",G267="Split"),(N(E267)-N(F267))*IFERROR(N(INDEX(Kids!$F$6:$F$11,MATCH(C267,Kids!$B$6:$B$11,0))),0),IF(G267="Save",(N(E267)-N(F267)),0)))</f>
        <v/>
      </c>
      <c r="I267">
        <f>IF(C267="",0,(N(E267)-N(F267))-H267-J267)</f>
        <v/>
      </c>
      <c r="J267">
        <f>IF(C267="",0,IF(OR(G267="",G267="Split"),(N(E267)-N(F267))*IFERROR(N(INDEX(Kids!$G$6:$G$11,MATCH(C267,Kids!$B$6:$B$11,0))),0),IF(G267="Give",(N(E267)-N(F267)),0)))</f>
        <v/>
      </c>
      <c r="K267">
        <f>IF(C267="",0,IF(OR(G267="",G267="Split"),N(E267)*IFERROR(N(INDEX(Kids!$F$6:$F$11,MATCH(C267,Kids!$B$6:$B$11,0))),0),IF(G267="Save",N(E267),0)))</f>
        <v/>
      </c>
    </row>
    <row r="268">
      <c r="A268" s="1" t="n"/>
      <c r="B268" s="34" t="n"/>
      <c r="C268" s="30" t="n"/>
      <c r="D268" s="31" t="n"/>
      <c r="E268" s="35" t="n"/>
      <c r="F268" s="35" t="n"/>
      <c r="G268" s="33" t="n"/>
      <c r="H268" s="1">
        <f>IF(C268="",0,IF(OR(G268="",G268="Split"),(N(E268)-N(F268))*IFERROR(N(INDEX(Kids!$F$6:$F$11,MATCH(C268,Kids!$B$6:$B$11,0))),0),IF(G268="Save",(N(E268)-N(F268)),0)))</f>
        <v/>
      </c>
      <c r="I268">
        <f>IF(C268="",0,(N(E268)-N(F268))-H268-J268)</f>
        <v/>
      </c>
      <c r="J268">
        <f>IF(C268="",0,IF(OR(G268="",G268="Split"),(N(E268)-N(F268))*IFERROR(N(INDEX(Kids!$G$6:$G$11,MATCH(C268,Kids!$B$6:$B$11,0))),0),IF(G268="Give",(N(E268)-N(F268)),0)))</f>
        <v/>
      </c>
      <c r="K268">
        <f>IF(C268="",0,IF(OR(G268="",G268="Split"),N(E268)*IFERROR(N(INDEX(Kids!$F$6:$F$11,MATCH(C268,Kids!$B$6:$B$11,0))),0),IF(G268="Save",N(E268),0)))</f>
        <v/>
      </c>
    </row>
    <row r="269">
      <c r="A269" s="1" t="n"/>
      <c r="B269" s="34" t="n"/>
      <c r="C269" s="30" t="n"/>
      <c r="D269" s="31" t="n"/>
      <c r="E269" s="35" t="n"/>
      <c r="F269" s="35" t="n"/>
      <c r="G269" s="33" t="n"/>
      <c r="H269" s="1">
        <f>IF(C269="",0,IF(OR(G269="",G269="Split"),(N(E269)-N(F269))*IFERROR(N(INDEX(Kids!$F$6:$F$11,MATCH(C269,Kids!$B$6:$B$11,0))),0),IF(G269="Save",(N(E269)-N(F269)),0)))</f>
        <v/>
      </c>
      <c r="I269">
        <f>IF(C269="",0,(N(E269)-N(F269))-H269-J269)</f>
        <v/>
      </c>
      <c r="J269">
        <f>IF(C269="",0,IF(OR(G269="",G269="Split"),(N(E269)-N(F269))*IFERROR(N(INDEX(Kids!$G$6:$G$11,MATCH(C269,Kids!$B$6:$B$11,0))),0),IF(G269="Give",(N(E269)-N(F269)),0)))</f>
        <v/>
      </c>
      <c r="K269">
        <f>IF(C269="",0,IF(OR(G269="",G269="Split"),N(E269)*IFERROR(N(INDEX(Kids!$F$6:$F$11,MATCH(C269,Kids!$B$6:$B$11,0))),0),IF(G269="Save",N(E269),0)))</f>
        <v/>
      </c>
    </row>
    <row r="270">
      <c r="A270" s="1" t="n"/>
      <c r="B270" s="34" t="n"/>
      <c r="C270" s="30" t="n"/>
      <c r="D270" s="31" t="n"/>
      <c r="E270" s="35" t="n"/>
      <c r="F270" s="35" t="n"/>
      <c r="G270" s="33" t="n"/>
      <c r="H270" s="1">
        <f>IF(C270="",0,IF(OR(G270="",G270="Split"),(N(E270)-N(F270))*IFERROR(N(INDEX(Kids!$F$6:$F$11,MATCH(C270,Kids!$B$6:$B$11,0))),0),IF(G270="Save",(N(E270)-N(F270)),0)))</f>
        <v/>
      </c>
      <c r="I270">
        <f>IF(C270="",0,(N(E270)-N(F270))-H270-J270)</f>
        <v/>
      </c>
      <c r="J270">
        <f>IF(C270="",0,IF(OR(G270="",G270="Split"),(N(E270)-N(F270))*IFERROR(N(INDEX(Kids!$G$6:$G$11,MATCH(C270,Kids!$B$6:$B$11,0))),0),IF(G270="Give",(N(E270)-N(F270)),0)))</f>
        <v/>
      </c>
      <c r="K270">
        <f>IF(C270="",0,IF(OR(G270="",G270="Split"),N(E270)*IFERROR(N(INDEX(Kids!$F$6:$F$11,MATCH(C270,Kids!$B$6:$B$11,0))),0),IF(G270="Save",N(E270),0)))</f>
        <v/>
      </c>
    </row>
    <row r="271">
      <c r="A271" s="1" t="n"/>
      <c r="B271" s="34" t="n"/>
      <c r="C271" s="30" t="n"/>
      <c r="D271" s="31" t="n"/>
      <c r="E271" s="35" t="n"/>
      <c r="F271" s="35" t="n"/>
      <c r="G271" s="33" t="n"/>
      <c r="H271" s="1">
        <f>IF(C271="",0,IF(OR(G271="",G271="Split"),(N(E271)-N(F271))*IFERROR(N(INDEX(Kids!$F$6:$F$11,MATCH(C271,Kids!$B$6:$B$11,0))),0),IF(G271="Save",(N(E271)-N(F271)),0)))</f>
        <v/>
      </c>
      <c r="I271">
        <f>IF(C271="",0,(N(E271)-N(F271))-H271-J271)</f>
        <v/>
      </c>
      <c r="J271">
        <f>IF(C271="",0,IF(OR(G271="",G271="Split"),(N(E271)-N(F271))*IFERROR(N(INDEX(Kids!$G$6:$G$11,MATCH(C271,Kids!$B$6:$B$11,0))),0),IF(G271="Give",(N(E271)-N(F271)),0)))</f>
        <v/>
      </c>
      <c r="K271">
        <f>IF(C271="",0,IF(OR(G271="",G271="Split"),N(E271)*IFERROR(N(INDEX(Kids!$F$6:$F$11,MATCH(C271,Kids!$B$6:$B$11,0))),0),IF(G271="Save",N(E271),0)))</f>
        <v/>
      </c>
    </row>
    <row r="272">
      <c r="A272" s="1" t="n"/>
      <c r="B272" s="34" t="n"/>
      <c r="C272" s="30" t="n"/>
      <c r="D272" s="31" t="n"/>
      <c r="E272" s="35" t="n"/>
      <c r="F272" s="35" t="n"/>
      <c r="G272" s="33" t="n"/>
      <c r="H272" s="1">
        <f>IF(C272="",0,IF(OR(G272="",G272="Split"),(N(E272)-N(F272))*IFERROR(N(INDEX(Kids!$F$6:$F$11,MATCH(C272,Kids!$B$6:$B$11,0))),0),IF(G272="Save",(N(E272)-N(F272)),0)))</f>
        <v/>
      </c>
      <c r="I272">
        <f>IF(C272="",0,(N(E272)-N(F272))-H272-J272)</f>
        <v/>
      </c>
      <c r="J272">
        <f>IF(C272="",0,IF(OR(G272="",G272="Split"),(N(E272)-N(F272))*IFERROR(N(INDEX(Kids!$G$6:$G$11,MATCH(C272,Kids!$B$6:$B$11,0))),0),IF(G272="Give",(N(E272)-N(F272)),0)))</f>
        <v/>
      </c>
      <c r="K272">
        <f>IF(C272="",0,IF(OR(G272="",G272="Split"),N(E272)*IFERROR(N(INDEX(Kids!$F$6:$F$11,MATCH(C272,Kids!$B$6:$B$11,0))),0),IF(G272="Save",N(E272),0)))</f>
        <v/>
      </c>
    </row>
    <row r="273">
      <c r="A273" s="1" t="n"/>
      <c r="B273" s="34" t="n"/>
      <c r="C273" s="30" t="n"/>
      <c r="D273" s="31" t="n"/>
      <c r="E273" s="35" t="n"/>
      <c r="F273" s="35" t="n"/>
      <c r="G273" s="33" t="n"/>
      <c r="H273" s="1">
        <f>IF(C273="",0,IF(OR(G273="",G273="Split"),(N(E273)-N(F273))*IFERROR(N(INDEX(Kids!$F$6:$F$11,MATCH(C273,Kids!$B$6:$B$11,0))),0),IF(G273="Save",(N(E273)-N(F273)),0)))</f>
        <v/>
      </c>
      <c r="I273">
        <f>IF(C273="",0,(N(E273)-N(F273))-H273-J273)</f>
        <v/>
      </c>
      <c r="J273">
        <f>IF(C273="",0,IF(OR(G273="",G273="Split"),(N(E273)-N(F273))*IFERROR(N(INDEX(Kids!$G$6:$G$11,MATCH(C273,Kids!$B$6:$B$11,0))),0),IF(G273="Give",(N(E273)-N(F273)),0)))</f>
        <v/>
      </c>
      <c r="K273">
        <f>IF(C273="",0,IF(OR(G273="",G273="Split"),N(E273)*IFERROR(N(INDEX(Kids!$F$6:$F$11,MATCH(C273,Kids!$B$6:$B$11,0))),0),IF(G273="Save",N(E273),0)))</f>
        <v/>
      </c>
    </row>
    <row r="274">
      <c r="A274" s="1" t="n"/>
      <c r="B274" s="34" t="n"/>
      <c r="C274" s="30" t="n"/>
      <c r="D274" s="31" t="n"/>
      <c r="E274" s="35" t="n"/>
      <c r="F274" s="35" t="n"/>
      <c r="G274" s="33" t="n"/>
      <c r="H274" s="1">
        <f>IF(C274="",0,IF(OR(G274="",G274="Split"),(N(E274)-N(F274))*IFERROR(N(INDEX(Kids!$F$6:$F$11,MATCH(C274,Kids!$B$6:$B$11,0))),0),IF(G274="Save",(N(E274)-N(F274)),0)))</f>
        <v/>
      </c>
      <c r="I274">
        <f>IF(C274="",0,(N(E274)-N(F274))-H274-J274)</f>
        <v/>
      </c>
      <c r="J274">
        <f>IF(C274="",0,IF(OR(G274="",G274="Split"),(N(E274)-N(F274))*IFERROR(N(INDEX(Kids!$G$6:$G$11,MATCH(C274,Kids!$B$6:$B$11,0))),0),IF(G274="Give",(N(E274)-N(F274)),0)))</f>
        <v/>
      </c>
      <c r="K274">
        <f>IF(C274="",0,IF(OR(G274="",G274="Split"),N(E274)*IFERROR(N(INDEX(Kids!$F$6:$F$11,MATCH(C274,Kids!$B$6:$B$11,0))),0),IF(G274="Save",N(E274),0)))</f>
        <v/>
      </c>
    </row>
    <row r="275">
      <c r="A275" s="1" t="n"/>
      <c r="B275" s="34" t="n"/>
      <c r="C275" s="30" t="n"/>
      <c r="D275" s="31" t="n"/>
      <c r="E275" s="35" t="n"/>
      <c r="F275" s="35" t="n"/>
      <c r="G275" s="33" t="n"/>
      <c r="H275" s="1">
        <f>IF(C275="",0,IF(OR(G275="",G275="Split"),(N(E275)-N(F275))*IFERROR(N(INDEX(Kids!$F$6:$F$11,MATCH(C275,Kids!$B$6:$B$11,0))),0),IF(G275="Save",(N(E275)-N(F275)),0)))</f>
        <v/>
      </c>
      <c r="I275">
        <f>IF(C275="",0,(N(E275)-N(F275))-H275-J275)</f>
        <v/>
      </c>
      <c r="J275">
        <f>IF(C275="",0,IF(OR(G275="",G275="Split"),(N(E275)-N(F275))*IFERROR(N(INDEX(Kids!$G$6:$G$11,MATCH(C275,Kids!$B$6:$B$11,0))),0),IF(G275="Give",(N(E275)-N(F275)),0)))</f>
        <v/>
      </c>
      <c r="K275">
        <f>IF(C275="",0,IF(OR(G275="",G275="Split"),N(E275)*IFERROR(N(INDEX(Kids!$F$6:$F$11,MATCH(C275,Kids!$B$6:$B$11,0))),0),IF(G275="Save",N(E275),0)))</f>
        <v/>
      </c>
    </row>
    <row r="276">
      <c r="A276" s="1" t="n"/>
      <c r="B276" s="34" t="n"/>
      <c r="C276" s="30" t="n"/>
      <c r="D276" s="31" t="n"/>
      <c r="E276" s="35" t="n"/>
      <c r="F276" s="35" t="n"/>
      <c r="G276" s="33" t="n"/>
      <c r="H276" s="1">
        <f>IF(C276="",0,IF(OR(G276="",G276="Split"),(N(E276)-N(F276))*IFERROR(N(INDEX(Kids!$F$6:$F$11,MATCH(C276,Kids!$B$6:$B$11,0))),0),IF(G276="Save",(N(E276)-N(F276)),0)))</f>
        <v/>
      </c>
      <c r="I276">
        <f>IF(C276="",0,(N(E276)-N(F276))-H276-J276)</f>
        <v/>
      </c>
      <c r="J276">
        <f>IF(C276="",0,IF(OR(G276="",G276="Split"),(N(E276)-N(F276))*IFERROR(N(INDEX(Kids!$G$6:$G$11,MATCH(C276,Kids!$B$6:$B$11,0))),0),IF(G276="Give",(N(E276)-N(F276)),0)))</f>
        <v/>
      </c>
      <c r="K276">
        <f>IF(C276="",0,IF(OR(G276="",G276="Split"),N(E276)*IFERROR(N(INDEX(Kids!$F$6:$F$11,MATCH(C276,Kids!$B$6:$B$11,0))),0),IF(G276="Save",N(E276),0)))</f>
        <v/>
      </c>
    </row>
    <row r="277">
      <c r="A277" s="1" t="n"/>
      <c r="B277" s="34" t="n"/>
      <c r="C277" s="30" t="n"/>
      <c r="D277" s="31" t="n"/>
      <c r="E277" s="35" t="n"/>
      <c r="F277" s="35" t="n"/>
      <c r="G277" s="33" t="n"/>
      <c r="H277" s="1">
        <f>IF(C277="",0,IF(OR(G277="",G277="Split"),(N(E277)-N(F277))*IFERROR(N(INDEX(Kids!$F$6:$F$11,MATCH(C277,Kids!$B$6:$B$11,0))),0),IF(G277="Save",(N(E277)-N(F277)),0)))</f>
        <v/>
      </c>
      <c r="I277">
        <f>IF(C277="",0,(N(E277)-N(F277))-H277-J277)</f>
        <v/>
      </c>
      <c r="J277">
        <f>IF(C277="",0,IF(OR(G277="",G277="Split"),(N(E277)-N(F277))*IFERROR(N(INDEX(Kids!$G$6:$G$11,MATCH(C277,Kids!$B$6:$B$11,0))),0),IF(G277="Give",(N(E277)-N(F277)),0)))</f>
        <v/>
      </c>
      <c r="K277">
        <f>IF(C277="",0,IF(OR(G277="",G277="Split"),N(E277)*IFERROR(N(INDEX(Kids!$F$6:$F$11,MATCH(C277,Kids!$B$6:$B$11,0))),0),IF(G277="Save",N(E277),0)))</f>
        <v/>
      </c>
    </row>
    <row r="278">
      <c r="A278" s="1" t="n"/>
      <c r="B278" s="34" t="n"/>
      <c r="C278" s="30" t="n"/>
      <c r="D278" s="31" t="n"/>
      <c r="E278" s="35" t="n"/>
      <c r="F278" s="35" t="n"/>
      <c r="G278" s="33" t="n"/>
      <c r="H278" s="1">
        <f>IF(C278="",0,IF(OR(G278="",G278="Split"),(N(E278)-N(F278))*IFERROR(N(INDEX(Kids!$F$6:$F$11,MATCH(C278,Kids!$B$6:$B$11,0))),0),IF(G278="Save",(N(E278)-N(F278)),0)))</f>
        <v/>
      </c>
      <c r="I278">
        <f>IF(C278="",0,(N(E278)-N(F278))-H278-J278)</f>
        <v/>
      </c>
      <c r="J278">
        <f>IF(C278="",0,IF(OR(G278="",G278="Split"),(N(E278)-N(F278))*IFERROR(N(INDEX(Kids!$G$6:$G$11,MATCH(C278,Kids!$B$6:$B$11,0))),0),IF(G278="Give",(N(E278)-N(F278)),0)))</f>
        <v/>
      </c>
      <c r="K278">
        <f>IF(C278="",0,IF(OR(G278="",G278="Split"),N(E278)*IFERROR(N(INDEX(Kids!$F$6:$F$11,MATCH(C278,Kids!$B$6:$B$11,0))),0),IF(G278="Save",N(E278),0)))</f>
        <v/>
      </c>
    </row>
    <row r="279">
      <c r="A279" s="1" t="n"/>
      <c r="B279" s="34" t="n"/>
      <c r="C279" s="30" t="n"/>
      <c r="D279" s="31" t="n"/>
      <c r="E279" s="35" t="n"/>
      <c r="F279" s="35" t="n"/>
      <c r="G279" s="33" t="n"/>
      <c r="H279" s="1">
        <f>IF(C279="",0,IF(OR(G279="",G279="Split"),(N(E279)-N(F279))*IFERROR(N(INDEX(Kids!$F$6:$F$11,MATCH(C279,Kids!$B$6:$B$11,0))),0),IF(G279="Save",(N(E279)-N(F279)),0)))</f>
        <v/>
      </c>
      <c r="I279">
        <f>IF(C279="",0,(N(E279)-N(F279))-H279-J279)</f>
        <v/>
      </c>
      <c r="J279">
        <f>IF(C279="",0,IF(OR(G279="",G279="Split"),(N(E279)-N(F279))*IFERROR(N(INDEX(Kids!$G$6:$G$11,MATCH(C279,Kids!$B$6:$B$11,0))),0),IF(G279="Give",(N(E279)-N(F279)),0)))</f>
        <v/>
      </c>
      <c r="K279">
        <f>IF(C279="",0,IF(OR(G279="",G279="Split"),N(E279)*IFERROR(N(INDEX(Kids!$F$6:$F$11,MATCH(C279,Kids!$B$6:$B$11,0))),0),IF(G279="Save",N(E279),0)))</f>
        <v/>
      </c>
    </row>
    <row r="280">
      <c r="A280" s="1" t="n"/>
      <c r="B280" s="34" t="n"/>
      <c r="C280" s="30" t="n"/>
      <c r="D280" s="31" t="n"/>
      <c r="E280" s="35" t="n"/>
      <c r="F280" s="35" t="n"/>
      <c r="G280" s="33" t="n"/>
      <c r="H280" s="1">
        <f>IF(C280="",0,IF(OR(G280="",G280="Split"),(N(E280)-N(F280))*IFERROR(N(INDEX(Kids!$F$6:$F$11,MATCH(C280,Kids!$B$6:$B$11,0))),0),IF(G280="Save",(N(E280)-N(F280)),0)))</f>
        <v/>
      </c>
      <c r="I280">
        <f>IF(C280="",0,(N(E280)-N(F280))-H280-J280)</f>
        <v/>
      </c>
      <c r="J280">
        <f>IF(C280="",0,IF(OR(G280="",G280="Split"),(N(E280)-N(F280))*IFERROR(N(INDEX(Kids!$G$6:$G$11,MATCH(C280,Kids!$B$6:$B$11,0))),0),IF(G280="Give",(N(E280)-N(F280)),0)))</f>
        <v/>
      </c>
      <c r="K280">
        <f>IF(C280="",0,IF(OR(G280="",G280="Split"),N(E280)*IFERROR(N(INDEX(Kids!$F$6:$F$11,MATCH(C280,Kids!$B$6:$B$11,0))),0),IF(G280="Save",N(E280),0)))</f>
        <v/>
      </c>
    </row>
    <row r="281">
      <c r="A281" s="1" t="n"/>
      <c r="B281" s="34" t="n"/>
      <c r="C281" s="30" t="n"/>
      <c r="D281" s="31" t="n"/>
      <c r="E281" s="35" t="n"/>
      <c r="F281" s="35" t="n"/>
      <c r="G281" s="33" t="n"/>
      <c r="H281" s="1">
        <f>IF(C281="",0,IF(OR(G281="",G281="Split"),(N(E281)-N(F281))*IFERROR(N(INDEX(Kids!$F$6:$F$11,MATCH(C281,Kids!$B$6:$B$11,0))),0),IF(G281="Save",(N(E281)-N(F281)),0)))</f>
        <v/>
      </c>
      <c r="I281">
        <f>IF(C281="",0,(N(E281)-N(F281))-H281-J281)</f>
        <v/>
      </c>
      <c r="J281">
        <f>IF(C281="",0,IF(OR(G281="",G281="Split"),(N(E281)-N(F281))*IFERROR(N(INDEX(Kids!$G$6:$G$11,MATCH(C281,Kids!$B$6:$B$11,0))),0),IF(G281="Give",(N(E281)-N(F281)),0)))</f>
        <v/>
      </c>
      <c r="K281">
        <f>IF(C281="",0,IF(OR(G281="",G281="Split"),N(E281)*IFERROR(N(INDEX(Kids!$F$6:$F$11,MATCH(C281,Kids!$B$6:$B$11,0))),0),IF(G281="Save",N(E281),0)))</f>
        <v/>
      </c>
    </row>
    <row r="282">
      <c r="A282" s="1" t="n"/>
      <c r="B282" s="34" t="n"/>
      <c r="C282" s="30" t="n"/>
      <c r="D282" s="31" t="n"/>
      <c r="E282" s="35" t="n"/>
      <c r="F282" s="35" t="n"/>
      <c r="G282" s="33" t="n"/>
      <c r="H282" s="1">
        <f>IF(C282="",0,IF(OR(G282="",G282="Split"),(N(E282)-N(F282))*IFERROR(N(INDEX(Kids!$F$6:$F$11,MATCH(C282,Kids!$B$6:$B$11,0))),0),IF(G282="Save",(N(E282)-N(F282)),0)))</f>
        <v/>
      </c>
      <c r="I282">
        <f>IF(C282="",0,(N(E282)-N(F282))-H282-J282)</f>
        <v/>
      </c>
      <c r="J282">
        <f>IF(C282="",0,IF(OR(G282="",G282="Split"),(N(E282)-N(F282))*IFERROR(N(INDEX(Kids!$G$6:$G$11,MATCH(C282,Kids!$B$6:$B$11,0))),0),IF(G282="Give",(N(E282)-N(F282)),0)))</f>
        <v/>
      </c>
      <c r="K282">
        <f>IF(C282="",0,IF(OR(G282="",G282="Split"),N(E282)*IFERROR(N(INDEX(Kids!$F$6:$F$11,MATCH(C282,Kids!$B$6:$B$11,0))),0),IF(G282="Save",N(E282),0)))</f>
        <v/>
      </c>
    </row>
    <row r="283">
      <c r="A283" s="1" t="n"/>
      <c r="B283" s="34" t="n"/>
      <c r="C283" s="30" t="n"/>
      <c r="D283" s="31" t="n"/>
      <c r="E283" s="35" t="n"/>
      <c r="F283" s="35" t="n"/>
      <c r="G283" s="33" t="n"/>
      <c r="H283" s="1">
        <f>IF(C283="",0,IF(OR(G283="",G283="Split"),(N(E283)-N(F283))*IFERROR(N(INDEX(Kids!$F$6:$F$11,MATCH(C283,Kids!$B$6:$B$11,0))),0),IF(G283="Save",(N(E283)-N(F283)),0)))</f>
        <v/>
      </c>
      <c r="I283">
        <f>IF(C283="",0,(N(E283)-N(F283))-H283-J283)</f>
        <v/>
      </c>
      <c r="J283">
        <f>IF(C283="",0,IF(OR(G283="",G283="Split"),(N(E283)-N(F283))*IFERROR(N(INDEX(Kids!$G$6:$G$11,MATCH(C283,Kids!$B$6:$B$11,0))),0),IF(G283="Give",(N(E283)-N(F283)),0)))</f>
        <v/>
      </c>
      <c r="K283">
        <f>IF(C283="",0,IF(OR(G283="",G283="Split"),N(E283)*IFERROR(N(INDEX(Kids!$F$6:$F$11,MATCH(C283,Kids!$B$6:$B$11,0))),0),IF(G283="Save",N(E283),0)))</f>
        <v/>
      </c>
    </row>
    <row r="284">
      <c r="A284" s="1" t="n"/>
      <c r="B284" s="34" t="n"/>
      <c r="C284" s="30" t="n"/>
      <c r="D284" s="31" t="n"/>
      <c r="E284" s="35" t="n"/>
      <c r="F284" s="35" t="n"/>
      <c r="G284" s="33" t="n"/>
      <c r="H284" s="1">
        <f>IF(C284="",0,IF(OR(G284="",G284="Split"),(N(E284)-N(F284))*IFERROR(N(INDEX(Kids!$F$6:$F$11,MATCH(C284,Kids!$B$6:$B$11,0))),0),IF(G284="Save",(N(E284)-N(F284)),0)))</f>
        <v/>
      </c>
      <c r="I284">
        <f>IF(C284="",0,(N(E284)-N(F284))-H284-J284)</f>
        <v/>
      </c>
      <c r="J284">
        <f>IF(C284="",0,IF(OR(G284="",G284="Split"),(N(E284)-N(F284))*IFERROR(N(INDEX(Kids!$G$6:$G$11,MATCH(C284,Kids!$B$6:$B$11,0))),0),IF(G284="Give",(N(E284)-N(F284)),0)))</f>
        <v/>
      </c>
      <c r="K284">
        <f>IF(C284="",0,IF(OR(G284="",G284="Split"),N(E284)*IFERROR(N(INDEX(Kids!$F$6:$F$11,MATCH(C284,Kids!$B$6:$B$11,0))),0),IF(G284="Save",N(E284),0)))</f>
        <v/>
      </c>
    </row>
    <row r="285">
      <c r="A285" s="1" t="n"/>
      <c r="B285" s="34" t="n"/>
      <c r="C285" s="30" t="n"/>
      <c r="D285" s="31" t="n"/>
      <c r="E285" s="35" t="n"/>
      <c r="F285" s="35" t="n"/>
      <c r="G285" s="33" t="n"/>
      <c r="H285" s="1">
        <f>IF(C285="",0,IF(OR(G285="",G285="Split"),(N(E285)-N(F285))*IFERROR(N(INDEX(Kids!$F$6:$F$11,MATCH(C285,Kids!$B$6:$B$11,0))),0),IF(G285="Save",(N(E285)-N(F285)),0)))</f>
        <v/>
      </c>
      <c r="I285">
        <f>IF(C285="",0,(N(E285)-N(F285))-H285-J285)</f>
        <v/>
      </c>
      <c r="J285">
        <f>IF(C285="",0,IF(OR(G285="",G285="Split"),(N(E285)-N(F285))*IFERROR(N(INDEX(Kids!$G$6:$G$11,MATCH(C285,Kids!$B$6:$B$11,0))),0),IF(G285="Give",(N(E285)-N(F285)),0)))</f>
        <v/>
      </c>
      <c r="K285">
        <f>IF(C285="",0,IF(OR(G285="",G285="Split"),N(E285)*IFERROR(N(INDEX(Kids!$F$6:$F$11,MATCH(C285,Kids!$B$6:$B$11,0))),0),IF(G285="Save",N(E285),0)))</f>
        <v/>
      </c>
    </row>
    <row r="286">
      <c r="A286" s="1" t="n"/>
      <c r="B286" s="34" t="n"/>
      <c r="C286" s="30" t="n"/>
      <c r="D286" s="31" t="n"/>
      <c r="E286" s="35" t="n"/>
      <c r="F286" s="35" t="n"/>
      <c r="G286" s="33" t="n"/>
      <c r="H286" s="1">
        <f>IF(C286="",0,IF(OR(G286="",G286="Split"),(N(E286)-N(F286))*IFERROR(N(INDEX(Kids!$F$6:$F$11,MATCH(C286,Kids!$B$6:$B$11,0))),0),IF(G286="Save",(N(E286)-N(F286)),0)))</f>
        <v/>
      </c>
      <c r="I286">
        <f>IF(C286="",0,(N(E286)-N(F286))-H286-J286)</f>
        <v/>
      </c>
      <c r="J286">
        <f>IF(C286="",0,IF(OR(G286="",G286="Split"),(N(E286)-N(F286))*IFERROR(N(INDEX(Kids!$G$6:$G$11,MATCH(C286,Kids!$B$6:$B$11,0))),0),IF(G286="Give",(N(E286)-N(F286)),0)))</f>
        <v/>
      </c>
      <c r="K286">
        <f>IF(C286="",0,IF(OR(G286="",G286="Split"),N(E286)*IFERROR(N(INDEX(Kids!$F$6:$F$11,MATCH(C286,Kids!$B$6:$B$11,0))),0),IF(G286="Save",N(E286),0)))</f>
        <v/>
      </c>
    </row>
    <row r="287">
      <c r="A287" s="1" t="n"/>
      <c r="B287" s="34" t="n"/>
      <c r="C287" s="30" t="n"/>
      <c r="D287" s="31" t="n"/>
      <c r="E287" s="35" t="n"/>
      <c r="F287" s="35" t="n"/>
      <c r="G287" s="33" t="n"/>
      <c r="H287" s="1">
        <f>IF(C287="",0,IF(OR(G287="",G287="Split"),(N(E287)-N(F287))*IFERROR(N(INDEX(Kids!$F$6:$F$11,MATCH(C287,Kids!$B$6:$B$11,0))),0),IF(G287="Save",(N(E287)-N(F287)),0)))</f>
        <v/>
      </c>
      <c r="I287">
        <f>IF(C287="",0,(N(E287)-N(F287))-H287-J287)</f>
        <v/>
      </c>
      <c r="J287">
        <f>IF(C287="",0,IF(OR(G287="",G287="Split"),(N(E287)-N(F287))*IFERROR(N(INDEX(Kids!$G$6:$G$11,MATCH(C287,Kids!$B$6:$B$11,0))),0),IF(G287="Give",(N(E287)-N(F287)),0)))</f>
        <v/>
      </c>
      <c r="K287">
        <f>IF(C287="",0,IF(OR(G287="",G287="Split"),N(E287)*IFERROR(N(INDEX(Kids!$F$6:$F$11,MATCH(C287,Kids!$B$6:$B$11,0))),0),IF(G287="Save",N(E287),0)))</f>
        <v/>
      </c>
    </row>
    <row r="288">
      <c r="A288" s="1" t="n"/>
      <c r="B288" s="34" t="n"/>
      <c r="C288" s="30" t="n"/>
      <c r="D288" s="31" t="n"/>
      <c r="E288" s="35" t="n"/>
      <c r="F288" s="35" t="n"/>
      <c r="G288" s="33" t="n"/>
      <c r="H288" s="1">
        <f>IF(C288="",0,IF(OR(G288="",G288="Split"),(N(E288)-N(F288))*IFERROR(N(INDEX(Kids!$F$6:$F$11,MATCH(C288,Kids!$B$6:$B$11,0))),0),IF(G288="Save",(N(E288)-N(F288)),0)))</f>
        <v/>
      </c>
      <c r="I288">
        <f>IF(C288="",0,(N(E288)-N(F288))-H288-J288)</f>
        <v/>
      </c>
      <c r="J288">
        <f>IF(C288="",0,IF(OR(G288="",G288="Split"),(N(E288)-N(F288))*IFERROR(N(INDEX(Kids!$G$6:$G$11,MATCH(C288,Kids!$B$6:$B$11,0))),0),IF(G288="Give",(N(E288)-N(F288)),0)))</f>
        <v/>
      </c>
      <c r="K288">
        <f>IF(C288="",0,IF(OR(G288="",G288="Split"),N(E288)*IFERROR(N(INDEX(Kids!$F$6:$F$11,MATCH(C288,Kids!$B$6:$B$11,0))),0),IF(G288="Save",N(E288),0)))</f>
        <v/>
      </c>
    </row>
    <row r="289">
      <c r="A289" s="1" t="n"/>
      <c r="B289" s="34" t="n"/>
      <c r="C289" s="30" t="n"/>
      <c r="D289" s="31" t="n"/>
      <c r="E289" s="35" t="n"/>
      <c r="F289" s="35" t="n"/>
      <c r="G289" s="33" t="n"/>
      <c r="H289" s="1">
        <f>IF(C289="",0,IF(OR(G289="",G289="Split"),(N(E289)-N(F289))*IFERROR(N(INDEX(Kids!$F$6:$F$11,MATCH(C289,Kids!$B$6:$B$11,0))),0),IF(G289="Save",(N(E289)-N(F289)),0)))</f>
        <v/>
      </c>
      <c r="I289">
        <f>IF(C289="",0,(N(E289)-N(F289))-H289-J289)</f>
        <v/>
      </c>
      <c r="J289">
        <f>IF(C289="",0,IF(OR(G289="",G289="Split"),(N(E289)-N(F289))*IFERROR(N(INDEX(Kids!$G$6:$G$11,MATCH(C289,Kids!$B$6:$B$11,0))),0),IF(G289="Give",(N(E289)-N(F289)),0)))</f>
        <v/>
      </c>
      <c r="K289">
        <f>IF(C289="",0,IF(OR(G289="",G289="Split"),N(E289)*IFERROR(N(INDEX(Kids!$F$6:$F$11,MATCH(C289,Kids!$B$6:$B$11,0))),0),IF(G289="Save",N(E289),0)))</f>
        <v/>
      </c>
    </row>
    <row r="290">
      <c r="A290" s="1" t="n"/>
      <c r="B290" s="34" t="n"/>
      <c r="C290" s="30" t="n"/>
      <c r="D290" s="31" t="n"/>
      <c r="E290" s="35" t="n"/>
      <c r="F290" s="35" t="n"/>
      <c r="G290" s="33" t="n"/>
      <c r="H290" s="1">
        <f>IF(C290="",0,IF(OR(G290="",G290="Split"),(N(E290)-N(F290))*IFERROR(N(INDEX(Kids!$F$6:$F$11,MATCH(C290,Kids!$B$6:$B$11,0))),0),IF(G290="Save",(N(E290)-N(F290)),0)))</f>
        <v/>
      </c>
      <c r="I290">
        <f>IF(C290="",0,(N(E290)-N(F290))-H290-J290)</f>
        <v/>
      </c>
      <c r="J290">
        <f>IF(C290="",0,IF(OR(G290="",G290="Split"),(N(E290)-N(F290))*IFERROR(N(INDEX(Kids!$G$6:$G$11,MATCH(C290,Kids!$B$6:$B$11,0))),0),IF(G290="Give",(N(E290)-N(F290)),0)))</f>
        <v/>
      </c>
      <c r="K290">
        <f>IF(C290="",0,IF(OR(G290="",G290="Split"),N(E290)*IFERROR(N(INDEX(Kids!$F$6:$F$11,MATCH(C290,Kids!$B$6:$B$11,0))),0),IF(G290="Save",N(E290),0)))</f>
        <v/>
      </c>
    </row>
    <row r="291">
      <c r="A291" s="1" t="n"/>
      <c r="B291" s="34" t="n"/>
      <c r="C291" s="30" t="n"/>
      <c r="D291" s="31" t="n"/>
      <c r="E291" s="35" t="n"/>
      <c r="F291" s="35" t="n"/>
      <c r="G291" s="33" t="n"/>
      <c r="H291" s="1">
        <f>IF(C291="",0,IF(OR(G291="",G291="Split"),(N(E291)-N(F291))*IFERROR(N(INDEX(Kids!$F$6:$F$11,MATCH(C291,Kids!$B$6:$B$11,0))),0),IF(G291="Save",(N(E291)-N(F291)),0)))</f>
        <v/>
      </c>
      <c r="I291">
        <f>IF(C291="",0,(N(E291)-N(F291))-H291-J291)</f>
        <v/>
      </c>
      <c r="J291">
        <f>IF(C291="",0,IF(OR(G291="",G291="Split"),(N(E291)-N(F291))*IFERROR(N(INDEX(Kids!$G$6:$G$11,MATCH(C291,Kids!$B$6:$B$11,0))),0),IF(G291="Give",(N(E291)-N(F291)),0)))</f>
        <v/>
      </c>
      <c r="K291">
        <f>IF(C291="",0,IF(OR(G291="",G291="Split"),N(E291)*IFERROR(N(INDEX(Kids!$F$6:$F$11,MATCH(C291,Kids!$B$6:$B$11,0))),0),IF(G291="Save",N(E291),0)))</f>
        <v/>
      </c>
    </row>
    <row r="292">
      <c r="A292" s="1" t="n"/>
      <c r="B292" s="34" t="n"/>
      <c r="C292" s="30" t="n"/>
      <c r="D292" s="31" t="n"/>
      <c r="E292" s="35" t="n"/>
      <c r="F292" s="35" t="n"/>
      <c r="G292" s="33" t="n"/>
      <c r="H292" s="1">
        <f>IF(C292="",0,IF(OR(G292="",G292="Split"),(N(E292)-N(F292))*IFERROR(N(INDEX(Kids!$F$6:$F$11,MATCH(C292,Kids!$B$6:$B$11,0))),0),IF(G292="Save",(N(E292)-N(F292)),0)))</f>
        <v/>
      </c>
      <c r="I292">
        <f>IF(C292="",0,(N(E292)-N(F292))-H292-J292)</f>
        <v/>
      </c>
      <c r="J292">
        <f>IF(C292="",0,IF(OR(G292="",G292="Split"),(N(E292)-N(F292))*IFERROR(N(INDEX(Kids!$G$6:$G$11,MATCH(C292,Kids!$B$6:$B$11,0))),0),IF(G292="Give",(N(E292)-N(F292)),0)))</f>
        <v/>
      </c>
      <c r="K292">
        <f>IF(C292="",0,IF(OR(G292="",G292="Split"),N(E292)*IFERROR(N(INDEX(Kids!$F$6:$F$11,MATCH(C292,Kids!$B$6:$B$11,0))),0),IF(G292="Save",N(E292),0)))</f>
        <v/>
      </c>
    </row>
    <row r="293">
      <c r="A293" s="1" t="n"/>
      <c r="B293" s="34" t="n"/>
      <c r="C293" s="30" t="n"/>
      <c r="D293" s="31" t="n"/>
      <c r="E293" s="35" t="n"/>
      <c r="F293" s="35" t="n"/>
      <c r="G293" s="33" t="n"/>
      <c r="H293" s="1">
        <f>IF(C293="",0,IF(OR(G293="",G293="Split"),(N(E293)-N(F293))*IFERROR(N(INDEX(Kids!$F$6:$F$11,MATCH(C293,Kids!$B$6:$B$11,0))),0),IF(G293="Save",(N(E293)-N(F293)),0)))</f>
        <v/>
      </c>
      <c r="I293">
        <f>IF(C293="",0,(N(E293)-N(F293))-H293-J293)</f>
        <v/>
      </c>
      <c r="J293">
        <f>IF(C293="",0,IF(OR(G293="",G293="Split"),(N(E293)-N(F293))*IFERROR(N(INDEX(Kids!$G$6:$G$11,MATCH(C293,Kids!$B$6:$B$11,0))),0),IF(G293="Give",(N(E293)-N(F293)),0)))</f>
        <v/>
      </c>
      <c r="K293">
        <f>IF(C293="",0,IF(OR(G293="",G293="Split"),N(E293)*IFERROR(N(INDEX(Kids!$F$6:$F$11,MATCH(C293,Kids!$B$6:$B$11,0))),0),IF(G293="Save",N(E293),0)))</f>
        <v/>
      </c>
    </row>
    <row r="294">
      <c r="A294" s="1" t="n"/>
      <c r="B294" s="34" t="n"/>
      <c r="C294" s="30" t="n"/>
      <c r="D294" s="31" t="n"/>
      <c r="E294" s="35" t="n"/>
      <c r="F294" s="35" t="n"/>
      <c r="G294" s="33" t="n"/>
      <c r="H294" s="1">
        <f>IF(C294="",0,IF(OR(G294="",G294="Split"),(N(E294)-N(F294))*IFERROR(N(INDEX(Kids!$F$6:$F$11,MATCH(C294,Kids!$B$6:$B$11,0))),0),IF(G294="Save",(N(E294)-N(F294)),0)))</f>
        <v/>
      </c>
      <c r="I294">
        <f>IF(C294="",0,(N(E294)-N(F294))-H294-J294)</f>
        <v/>
      </c>
      <c r="J294">
        <f>IF(C294="",0,IF(OR(G294="",G294="Split"),(N(E294)-N(F294))*IFERROR(N(INDEX(Kids!$G$6:$G$11,MATCH(C294,Kids!$B$6:$B$11,0))),0),IF(G294="Give",(N(E294)-N(F294)),0)))</f>
        <v/>
      </c>
      <c r="K294">
        <f>IF(C294="",0,IF(OR(G294="",G294="Split"),N(E294)*IFERROR(N(INDEX(Kids!$F$6:$F$11,MATCH(C294,Kids!$B$6:$B$11,0))),0),IF(G294="Save",N(E294),0)))</f>
        <v/>
      </c>
    </row>
    <row r="295">
      <c r="A295" s="1" t="n"/>
      <c r="B295" s="34" t="n"/>
      <c r="C295" s="30" t="n"/>
      <c r="D295" s="31" t="n"/>
      <c r="E295" s="35" t="n"/>
      <c r="F295" s="35" t="n"/>
      <c r="G295" s="33" t="n"/>
      <c r="H295" s="1">
        <f>IF(C295="",0,IF(OR(G295="",G295="Split"),(N(E295)-N(F295))*IFERROR(N(INDEX(Kids!$F$6:$F$11,MATCH(C295,Kids!$B$6:$B$11,0))),0),IF(G295="Save",(N(E295)-N(F295)),0)))</f>
        <v/>
      </c>
      <c r="I295">
        <f>IF(C295="",0,(N(E295)-N(F295))-H295-J295)</f>
        <v/>
      </c>
      <c r="J295">
        <f>IF(C295="",0,IF(OR(G295="",G295="Split"),(N(E295)-N(F295))*IFERROR(N(INDEX(Kids!$G$6:$G$11,MATCH(C295,Kids!$B$6:$B$11,0))),0),IF(G295="Give",(N(E295)-N(F295)),0)))</f>
        <v/>
      </c>
      <c r="K295">
        <f>IF(C295="",0,IF(OR(G295="",G295="Split"),N(E295)*IFERROR(N(INDEX(Kids!$F$6:$F$11,MATCH(C295,Kids!$B$6:$B$11,0))),0),IF(G295="Save",N(E295),0)))</f>
        <v/>
      </c>
    </row>
    <row r="296">
      <c r="A296" s="1" t="n"/>
      <c r="B296" s="34" t="n"/>
      <c r="C296" s="30" t="n"/>
      <c r="D296" s="31" t="n"/>
      <c r="E296" s="35" t="n"/>
      <c r="F296" s="35" t="n"/>
      <c r="G296" s="33" t="n"/>
      <c r="H296" s="1">
        <f>IF(C296="",0,IF(OR(G296="",G296="Split"),(N(E296)-N(F296))*IFERROR(N(INDEX(Kids!$F$6:$F$11,MATCH(C296,Kids!$B$6:$B$11,0))),0),IF(G296="Save",(N(E296)-N(F296)),0)))</f>
        <v/>
      </c>
      <c r="I296">
        <f>IF(C296="",0,(N(E296)-N(F296))-H296-J296)</f>
        <v/>
      </c>
      <c r="J296">
        <f>IF(C296="",0,IF(OR(G296="",G296="Split"),(N(E296)-N(F296))*IFERROR(N(INDEX(Kids!$G$6:$G$11,MATCH(C296,Kids!$B$6:$B$11,0))),0),IF(G296="Give",(N(E296)-N(F296)),0)))</f>
        <v/>
      </c>
      <c r="K296">
        <f>IF(C296="",0,IF(OR(G296="",G296="Split"),N(E296)*IFERROR(N(INDEX(Kids!$F$6:$F$11,MATCH(C296,Kids!$B$6:$B$11,0))),0),IF(G296="Save",N(E296),0)))</f>
        <v/>
      </c>
    </row>
    <row r="297">
      <c r="A297" s="1" t="n"/>
      <c r="B297" s="34" t="n"/>
      <c r="C297" s="30" t="n"/>
      <c r="D297" s="31" t="n"/>
      <c r="E297" s="35" t="n"/>
      <c r="F297" s="35" t="n"/>
      <c r="G297" s="33" t="n"/>
      <c r="H297" s="1">
        <f>IF(C297="",0,IF(OR(G297="",G297="Split"),(N(E297)-N(F297))*IFERROR(N(INDEX(Kids!$F$6:$F$11,MATCH(C297,Kids!$B$6:$B$11,0))),0),IF(G297="Save",(N(E297)-N(F297)),0)))</f>
        <v/>
      </c>
      <c r="I297">
        <f>IF(C297="",0,(N(E297)-N(F297))-H297-J297)</f>
        <v/>
      </c>
      <c r="J297">
        <f>IF(C297="",0,IF(OR(G297="",G297="Split"),(N(E297)-N(F297))*IFERROR(N(INDEX(Kids!$G$6:$G$11,MATCH(C297,Kids!$B$6:$B$11,0))),0),IF(G297="Give",(N(E297)-N(F297)),0)))</f>
        <v/>
      </c>
      <c r="K297">
        <f>IF(C297="",0,IF(OR(G297="",G297="Split"),N(E297)*IFERROR(N(INDEX(Kids!$F$6:$F$11,MATCH(C297,Kids!$B$6:$B$11,0))),0),IF(G297="Save",N(E297),0)))</f>
        <v/>
      </c>
    </row>
    <row r="298">
      <c r="A298" s="1" t="n"/>
      <c r="B298" s="34" t="n"/>
      <c r="C298" s="30" t="n"/>
      <c r="D298" s="31" t="n"/>
      <c r="E298" s="35" t="n"/>
      <c r="F298" s="35" t="n"/>
      <c r="G298" s="33" t="n"/>
      <c r="H298" s="1">
        <f>IF(C298="",0,IF(OR(G298="",G298="Split"),(N(E298)-N(F298))*IFERROR(N(INDEX(Kids!$F$6:$F$11,MATCH(C298,Kids!$B$6:$B$11,0))),0),IF(G298="Save",(N(E298)-N(F298)),0)))</f>
        <v/>
      </c>
      <c r="I298">
        <f>IF(C298="",0,(N(E298)-N(F298))-H298-J298)</f>
        <v/>
      </c>
      <c r="J298">
        <f>IF(C298="",0,IF(OR(G298="",G298="Split"),(N(E298)-N(F298))*IFERROR(N(INDEX(Kids!$G$6:$G$11,MATCH(C298,Kids!$B$6:$B$11,0))),0),IF(G298="Give",(N(E298)-N(F298)),0)))</f>
        <v/>
      </c>
      <c r="K298">
        <f>IF(C298="",0,IF(OR(G298="",G298="Split"),N(E298)*IFERROR(N(INDEX(Kids!$F$6:$F$11,MATCH(C298,Kids!$B$6:$B$11,0))),0),IF(G298="Save",N(E298),0)))</f>
        <v/>
      </c>
    </row>
    <row r="299">
      <c r="A299" s="1" t="n"/>
      <c r="B299" s="34" t="n"/>
      <c r="C299" s="30" t="n"/>
      <c r="D299" s="31" t="n"/>
      <c r="E299" s="35" t="n"/>
      <c r="F299" s="35" t="n"/>
      <c r="G299" s="33" t="n"/>
      <c r="H299" s="1">
        <f>IF(C299="",0,IF(OR(G299="",G299="Split"),(N(E299)-N(F299))*IFERROR(N(INDEX(Kids!$F$6:$F$11,MATCH(C299,Kids!$B$6:$B$11,0))),0),IF(G299="Save",(N(E299)-N(F299)),0)))</f>
        <v/>
      </c>
      <c r="I299">
        <f>IF(C299="",0,(N(E299)-N(F299))-H299-J299)</f>
        <v/>
      </c>
      <c r="J299">
        <f>IF(C299="",0,IF(OR(G299="",G299="Split"),(N(E299)-N(F299))*IFERROR(N(INDEX(Kids!$G$6:$G$11,MATCH(C299,Kids!$B$6:$B$11,0))),0),IF(G299="Give",(N(E299)-N(F299)),0)))</f>
        <v/>
      </c>
      <c r="K299">
        <f>IF(C299="",0,IF(OR(G299="",G299="Split"),N(E299)*IFERROR(N(INDEX(Kids!$F$6:$F$11,MATCH(C299,Kids!$B$6:$B$11,0))),0),IF(G299="Save",N(E299),0)))</f>
        <v/>
      </c>
    </row>
    <row r="300">
      <c r="A300" s="1" t="n"/>
      <c r="B300" s="34" t="n"/>
      <c r="C300" s="30" t="n"/>
      <c r="D300" s="31" t="n"/>
      <c r="E300" s="35" t="n"/>
      <c r="F300" s="35" t="n"/>
      <c r="G300" s="33" t="n"/>
      <c r="H300" s="1">
        <f>IF(C300="",0,IF(OR(G300="",G300="Split"),(N(E300)-N(F300))*IFERROR(N(INDEX(Kids!$F$6:$F$11,MATCH(C300,Kids!$B$6:$B$11,0))),0),IF(G300="Save",(N(E300)-N(F300)),0)))</f>
        <v/>
      </c>
      <c r="I300">
        <f>IF(C300="",0,(N(E300)-N(F300))-H300-J300)</f>
        <v/>
      </c>
      <c r="J300">
        <f>IF(C300="",0,IF(OR(G300="",G300="Split"),(N(E300)-N(F300))*IFERROR(N(INDEX(Kids!$G$6:$G$11,MATCH(C300,Kids!$B$6:$B$11,0))),0),IF(G300="Give",(N(E300)-N(F300)),0)))</f>
        <v/>
      </c>
      <c r="K300">
        <f>IF(C300="",0,IF(OR(G300="",G300="Split"),N(E300)*IFERROR(N(INDEX(Kids!$F$6:$F$11,MATCH(C300,Kids!$B$6:$B$11,0))),0),IF(G300="Save",N(E300),0)))</f>
        <v/>
      </c>
    </row>
    <row r="301">
      <c r="A301" s="1" t="n"/>
      <c r="B301" s="34" t="n"/>
      <c r="C301" s="30" t="n"/>
      <c r="D301" s="31" t="n"/>
      <c r="E301" s="35" t="n"/>
      <c r="F301" s="35" t="n"/>
      <c r="G301" s="33" t="n"/>
      <c r="H301" s="1">
        <f>IF(C301="",0,IF(OR(G301="",G301="Split"),(N(E301)-N(F301))*IFERROR(N(INDEX(Kids!$F$6:$F$11,MATCH(C301,Kids!$B$6:$B$11,0))),0),IF(G301="Save",(N(E301)-N(F301)),0)))</f>
        <v/>
      </c>
      <c r="I301">
        <f>IF(C301="",0,(N(E301)-N(F301))-H301-J301)</f>
        <v/>
      </c>
      <c r="J301">
        <f>IF(C301="",0,IF(OR(G301="",G301="Split"),(N(E301)-N(F301))*IFERROR(N(INDEX(Kids!$G$6:$G$11,MATCH(C301,Kids!$B$6:$B$11,0))),0),IF(G301="Give",(N(E301)-N(F301)),0)))</f>
        <v/>
      </c>
      <c r="K301">
        <f>IF(C301="",0,IF(OR(G301="",G301="Split"),N(E301)*IFERROR(N(INDEX(Kids!$F$6:$F$11,MATCH(C301,Kids!$B$6:$B$11,0))),0),IF(G301="Save",N(E301),0)))</f>
        <v/>
      </c>
    </row>
    <row r="302">
      <c r="A302" s="1" t="n"/>
      <c r="B302" s="34" t="n"/>
      <c r="C302" s="30" t="n"/>
      <c r="D302" s="31" t="n"/>
      <c r="E302" s="35" t="n"/>
      <c r="F302" s="35" t="n"/>
      <c r="G302" s="33" t="n"/>
      <c r="H302" s="1">
        <f>IF(C302="",0,IF(OR(G302="",G302="Split"),(N(E302)-N(F302))*IFERROR(N(INDEX(Kids!$F$6:$F$11,MATCH(C302,Kids!$B$6:$B$11,0))),0),IF(G302="Save",(N(E302)-N(F302)),0)))</f>
        <v/>
      </c>
      <c r="I302">
        <f>IF(C302="",0,(N(E302)-N(F302))-H302-J302)</f>
        <v/>
      </c>
      <c r="J302">
        <f>IF(C302="",0,IF(OR(G302="",G302="Split"),(N(E302)-N(F302))*IFERROR(N(INDEX(Kids!$G$6:$G$11,MATCH(C302,Kids!$B$6:$B$11,0))),0),IF(G302="Give",(N(E302)-N(F302)),0)))</f>
        <v/>
      </c>
      <c r="K302">
        <f>IF(C302="",0,IF(OR(G302="",G302="Split"),N(E302)*IFERROR(N(INDEX(Kids!$F$6:$F$11,MATCH(C302,Kids!$B$6:$B$11,0))),0),IF(G302="Save",N(E302),0)))</f>
        <v/>
      </c>
    </row>
    <row r="303">
      <c r="A303" s="1" t="n"/>
      <c r="B303" s="34" t="n"/>
      <c r="C303" s="30" t="n"/>
      <c r="D303" s="31" t="n"/>
      <c r="E303" s="35" t="n"/>
      <c r="F303" s="35" t="n"/>
      <c r="G303" s="33" t="n"/>
      <c r="H303" s="1">
        <f>IF(C303="",0,IF(OR(G303="",G303="Split"),(N(E303)-N(F303))*IFERROR(N(INDEX(Kids!$F$6:$F$11,MATCH(C303,Kids!$B$6:$B$11,0))),0),IF(G303="Save",(N(E303)-N(F303)),0)))</f>
        <v/>
      </c>
      <c r="I303">
        <f>IF(C303="",0,(N(E303)-N(F303))-H303-J303)</f>
        <v/>
      </c>
      <c r="J303">
        <f>IF(C303="",0,IF(OR(G303="",G303="Split"),(N(E303)-N(F303))*IFERROR(N(INDEX(Kids!$G$6:$G$11,MATCH(C303,Kids!$B$6:$B$11,0))),0),IF(G303="Give",(N(E303)-N(F303)),0)))</f>
        <v/>
      </c>
      <c r="K303">
        <f>IF(C303="",0,IF(OR(G303="",G303="Split"),N(E303)*IFERROR(N(INDEX(Kids!$F$6:$F$11,MATCH(C303,Kids!$B$6:$B$11,0))),0),IF(G303="Save",N(E303),0)))</f>
        <v/>
      </c>
    </row>
    <row r="304">
      <c r="A304" s="1" t="n"/>
      <c r="B304" s="34" t="n"/>
      <c r="C304" s="30" t="n"/>
      <c r="D304" s="31" t="n"/>
      <c r="E304" s="35" t="n"/>
      <c r="F304" s="35" t="n"/>
      <c r="G304" s="33" t="n"/>
      <c r="H304" s="1">
        <f>IF(C304="",0,IF(OR(G304="",G304="Split"),(N(E304)-N(F304))*IFERROR(N(INDEX(Kids!$F$6:$F$11,MATCH(C304,Kids!$B$6:$B$11,0))),0),IF(G304="Save",(N(E304)-N(F304)),0)))</f>
        <v/>
      </c>
      <c r="I304">
        <f>IF(C304="",0,(N(E304)-N(F304))-H304-J304)</f>
        <v/>
      </c>
      <c r="J304">
        <f>IF(C304="",0,IF(OR(G304="",G304="Split"),(N(E304)-N(F304))*IFERROR(N(INDEX(Kids!$G$6:$G$11,MATCH(C304,Kids!$B$6:$B$11,0))),0),IF(G304="Give",(N(E304)-N(F304)),0)))</f>
        <v/>
      </c>
      <c r="K304">
        <f>IF(C304="",0,IF(OR(G304="",G304="Split"),N(E304)*IFERROR(N(INDEX(Kids!$F$6:$F$11,MATCH(C304,Kids!$B$6:$B$11,0))),0),IF(G304="Save",N(E304),0)))</f>
        <v/>
      </c>
    </row>
    <row r="305">
      <c r="A305" s="1" t="n"/>
      <c r="B305" s="34" t="n"/>
      <c r="C305" s="30" t="n"/>
      <c r="D305" s="31" t="n"/>
      <c r="E305" s="35" t="n"/>
      <c r="F305" s="35" t="n"/>
      <c r="G305" s="33" t="n"/>
      <c r="H305" s="1">
        <f>IF(C305="",0,IF(OR(G305="",G305="Split"),(N(E305)-N(F305))*IFERROR(N(INDEX(Kids!$F$6:$F$11,MATCH(C305,Kids!$B$6:$B$11,0))),0),IF(G305="Save",(N(E305)-N(F305)),0)))</f>
        <v/>
      </c>
      <c r="I305">
        <f>IF(C305="",0,(N(E305)-N(F305))-H305-J305)</f>
        <v/>
      </c>
      <c r="J305">
        <f>IF(C305="",0,IF(OR(G305="",G305="Split"),(N(E305)-N(F305))*IFERROR(N(INDEX(Kids!$G$6:$G$11,MATCH(C305,Kids!$B$6:$B$11,0))),0),IF(G305="Give",(N(E305)-N(F305)),0)))</f>
        <v/>
      </c>
      <c r="K305">
        <f>IF(C305="",0,IF(OR(G305="",G305="Split"),N(E305)*IFERROR(N(INDEX(Kids!$F$6:$F$11,MATCH(C305,Kids!$B$6:$B$11,0))),0),IF(G305="Save",N(E305),0)))</f>
        <v/>
      </c>
    </row>
    <row r="306">
      <c r="A306" s="1" t="n"/>
      <c r="B306" s="34" t="n"/>
      <c r="C306" s="30" t="n"/>
      <c r="D306" s="31" t="n"/>
      <c r="E306" s="35" t="n"/>
      <c r="F306" s="35" t="n"/>
      <c r="G306" s="33" t="n"/>
      <c r="H306" s="1">
        <f>IF(C306="",0,IF(OR(G306="",G306="Split"),(N(E306)-N(F306))*IFERROR(N(INDEX(Kids!$F$6:$F$11,MATCH(C306,Kids!$B$6:$B$11,0))),0),IF(G306="Save",(N(E306)-N(F306)),0)))</f>
        <v/>
      </c>
      <c r="I306">
        <f>IF(C306="",0,(N(E306)-N(F306))-H306-J306)</f>
        <v/>
      </c>
      <c r="J306">
        <f>IF(C306="",0,IF(OR(G306="",G306="Split"),(N(E306)-N(F306))*IFERROR(N(INDEX(Kids!$G$6:$G$11,MATCH(C306,Kids!$B$6:$B$11,0))),0),IF(G306="Give",(N(E306)-N(F306)),0)))</f>
        <v/>
      </c>
      <c r="K306">
        <f>IF(C306="",0,IF(OR(G306="",G306="Split"),N(E306)*IFERROR(N(INDEX(Kids!$F$6:$F$11,MATCH(C306,Kids!$B$6:$B$11,0))),0),IF(G306="Save",N(E306),0)))</f>
        <v/>
      </c>
    </row>
    <row r="307">
      <c r="A307" s="1" t="n"/>
      <c r="B307" s="34" t="n"/>
      <c r="C307" s="30" t="n"/>
      <c r="D307" s="31" t="n"/>
      <c r="E307" s="35" t="n"/>
      <c r="F307" s="35" t="n"/>
      <c r="G307" s="33" t="n"/>
      <c r="H307" s="1">
        <f>IF(C307="",0,IF(OR(G307="",G307="Split"),(N(E307)-N(F307))*IFERROR(N(INDEX(Kids!$F$6:$F$11,MATCH(C307,Kids!$B$6:$B$11,0))),0),IF(G307="Save",(N(E307)-N(F307)),0)))</f>
        <v/>
      </c>
      <c r="I307">
        <f>IF(C307="",0,(N(E307)-N(F307))-H307-J307)</f>
        <v/>
      </c>
      <c r="J307">
        <f>IF(C307="",0,IF(OR(G307="",G307="Split"),(N(E307)-N(F307))*IFERROR(N(INDEX(Kids!$G$6:$G$11,MATCH(C307,Kids!$B$6:$B$11,0))),0),IF(G307="Give",(N(E307)-N(F307)),0)))</f>
        <v/>
      </c>
      <c r="K307">
        <f>IF(C307="",0,IF(OR(G307="",G307="Split"),N(E307)*IFERROR(N(INDEX(Kids!$F$6:$F$11,MATCH(C307,Kids!$B$6:$B$11,0))),0),IF(G307="Save",N(E307),0)))</f>
        <v/>
      </c>
    </row>
    <row r="308">
      <c r="A308" s="1" t="n"/>
      <c r="B308" s="34" t="n"/>
      <c r="C308" s="30" t="n"/>
      <c r="D308" s="31" t="n"/>
      <c r="E308" s="35" t="n"/>
      <c r="F308" s="35" t="n"/>
      <c r="G308" s="33" t="n"/>
      <c r="H308" s="1">
        <f>IF(C308="",0,IF(OR(G308="",G308="Split"),(N(E308)-N(F308))*IFERROR(N(INDEX(Kids!$F$6:$F$11,MATCH(C308,Kids!$B$6:$B$11,0))),0),IF(G308="Save",(N(E308)-N(F308)),0)))</f>
        <v/>
      </c>
      <c r="I308">
        <f>IF(C308="",0,(N(E308)-N(F308))-H308-J308)</f>
        <v/>
      </c>
      <c r="J308">
        <f>IF(C308="",0,IF(OR(G308="",G308="Split"),(N(E308)-N(F308))*IFERROR(N(INDEX(Kids!$G$6:$G$11,MATCH(C308,Kids!$B$6:$B$11,0))),0),IF(G308="Give",(N(E308)-N(F308)),0)))</f>
        <v/>
      </c>
      <c r="K308">
        <f>IF(C308="",0,IF(OR(G308="",G308="Split"),N(E308)*IFERROR(N(INDEX(Kids!$F$6:$F$11,MATCH(C308,Kids!$B$6:$B$11,0))),0),IF(G308="Save",N(E308),0)))</f>
        <v/>
      </c>
    </row>
    <row r="309">
      <c r="A309" s="1" t="n"/>
      <c r="B309" s="34" t="n"/>
      <c r="C309" s="30" t="n"/>
      <c r="D309" s="31" t="n"/>
      <c r="E309" s="35" t="n"/>
      <c r="F309" s="35" t="n"/>
      <c r="G309" s="33" t="n"/>
      <c r="H309" s="1">
        <f>IF(C309="",0,IF(OR(G309="",G309="Split"),(N(E309)-N(F309))*IFERROR(N(INDEX(Kids!$F$6:$F$11,MATCH(C309,Kids!$B$6:$B$11,0))),0),IF(G309="Save",(N(E309)-N(F309)),0)))</f>
        <v/>
      </c>
      <c r="I309">
        <f>IF(C309="",0,(N(E309)-N(F309))-H309-J309)</f>
        <v/>
      </c>
      <c r="J309">
        <f>IF(C309="",0,IF(OR(G309="",G309="Split"),(N(E309)-N(F309))*IFERROR(N(INDEX(Kids!$G$6:$G$11,MATCH(C309,Kids!$B$6:$B$11,0))),0),IF(G309="Give",(N(E309)-N(F309)),0)))</f>
        <v/>
      </c>
      <c r="K309">
        <f>IF(C309="",0,IF(OR(G309="",G309="Split"),N(E309)*IFERROR(N(INDEX(Kids!$F$6:$F$11,MATCH(C309,Kids!$B$6:$B$11,0))),0),IF(G309="Save",N(E309),0)))</f>
        <v/>
      </c>
    </row>
    <row r="310">
      <c r="A310" s="1" t="n"/>
      <c r="B310" s="34" t="n"/>
      <c r="C310" s="30" t="n"/>
      <c r="D310" s="31" t="n"/>
      <c r="E310" s="35" t="n"/>
      <c r="F310" s="35" t="n"/>
      <c r="G310" s="33" t="n"/>
      <c r="H310" s="1">
        <f>IF(C310="",0,IF(OR(G310="",G310="Split"),(N(E310)-N(F310))*IFERROR(N(INDEX(Kids!$F$6:$F$11,MATCH(C310,Kids!$B$6:$B$11,0))),0),IF(G310="Save",(N(E310)-N(F310)),0)))</f>
        <v/>
      </c>
      <c r="I310">
        <f>IF(C310="",0,(N(E310)-N(F310))-H310-J310)</f>
        <v/>
      </c>
      <c r="J310">
        <f>IF(C310="",0,IF(OR(G310="",G310="Split"),(N(E310)-N(F310))*IFERROR(N(INDEX(Kids!$G$6:$G$11,MATCH(C310,Kids!$B$6:$B$11,0))),0),IF(G310="Give",(N(E310)-N(F310)),0)))</f>
        <v/>
      </c>
      <c r="K310">
        <f>IF(C310="",0,IF(OR(G310="",G310="Split"),N(E310)*IFERROR(N(INDEX(Kids!$F$6:$F$11,MATCH(C310,Kids!$B$6:$B$11,0))),0),IF(G310="Save",N(E310),0)))</f>
        <v/>
      </c>
    </row>
    <row r="311">
      <c r="A311" s="1" t="n"/>
      <c r="B311" s="34" t="n"/>
      <c r="C311" s="30" t="n"/>
      <c r="D311" s="31" t="n"/>
      <c r="E311" s="35" t="n"/>
      <c r="F311" s="35" t="n"/>
      <c r="G311" s="33" t="n"/>
      <c r="H311" s="1">
        <f>IF(C311="",0,IF(OR(G311="",G311="Split"),(N(E311)-N(F311))*IFERROR(N(INDEX(Kids!$F$6:$F$11,MATCH(C311,Kids!$B$6:$B$11,0))),0),IF(G311="Save",(N(E311)-N(F311)),0)))</f>
        <v/>
      </c>
      <c r="I311">
        <f>IF(C311="",0,(N(E311)-N(F311))-H311-J311)</f>
        <v/>
      </c>
      <c r="J311">
        <f>IF(C311="",0,IF(OR(G311="",G311="Split"),(N(E311)-N(F311))*IFERROR(N(INDEX(Kids!$G$6:$G$11,MATCH(C311,Kids!$B$6:$B$11,0))),0),IF(G311="Give",(N(E311)-N(F311)),0)))</f>
        <v/>
      </c>
      <c r="K311">
        <f>IF(C311="",0,IF(OR(G311="",G311="Split"),N(E311)*IFERROR(N(INDEX(Kids!$F$6:$F$11,MATCH(C311,Kids!$B$6:$B$11,0))),0),IF(G311="Save",N(E311),0)))</f>
        <v/>
      </c>
    </row>
    <row r="312">
      <c r="A312" s="1" t="n"/>
      <c r="B312" s="34" t="n"/>
      <c r="C312" s="30" t="n"/>
      <c r="D312" s="31" t="n"/>
      <c r="E312" s="35" t="n"/>
      <c r="F312" s="35" t="n"/>
      <c r="G312" s="33" t="n"/>
      <c r="H312" s="1">
        <f>IF(C312="",0,IF(OR(G312="",G312="Split"),(N(E312)-N(F312))*IFERROR(N(INDEX(Kids!$F$6:$F$11,MATCH(C312,Kids!$B$6:$B$11,0))),0),IF(G312="Save",(N(E312)-N(F312)),0)))</f>
        <v/>
      </c>
      <c r="I312">
        <f>IF(C312="",0,(N(E312)-N(F312))-H312-J312)</f>
        <v/>
      </c>
      <c r="J312">
        <f>IF(C312="",0,IF(OR(G312="",G312="Split"),(N(E312)-N(F312))*IFERROR(N(INDEX(Kids!$G$6:$G$11,MATCH(C312,Kids!$B$6:$B$11,0))),0),IF(G312="Give",(N(E312)-N(F312)),0)))</f>
        <v/>
      </c>
      <c r="K312">
        <f>IF(C312="",0,IF(OR(G312="",G312="Split"),N(E312)*IFERROR(N(INDEX(Kids!$F$6:$F$11,MATCH(C312,Kids!$B$6:$B$11,0))),0),IF(G312="Save",N(E312),0)))</f>
        <v/>
      </c>
    </row>
    <row r="313">
      <c r="A313" s="1" t="n"/>
      <c r="B313" s="34" t="n"/>
      <c r="C313" s="30" t="n"/>
      <c r="D313" s="31" t="n"/>
      <c r="E313" s="35" t="n"/>
      <c r="F313" s="35" t="n"/>
      <c r="G313" s="33" t="n"/>
      <c r="H313" s="1">
        <f>IF(C313="",0,IF(OR(G313="",G313="Split"),(N(E313)-N(F313))*IFERROR(N(INDEX(Kids!$F$6:$F$11,MATCH(C313,Kids!$B$6:$B$11,0))),0),IF(G313="Save",(N(E313)-N(F313)),0)))</f>
        <v/>
      </c>
      <c r="I313">
        <f>IF(C313="",0,(N(E313)-N(F313))-H313-J313)</f>
        <v/>
      </c>
      <c r="J313">
        <f>IF(C313="",0,IF(OR(G313="",G313="Split"),(N(E313)-N(F313))*IFERROR(N(INDEX(Kids!$G$6:$G$11,MATCH(C313,Kids!$B$6:$B$11,0))),0),IF(G313="Give",(N(E313)-N(F313)),0)))</f>
        <v/>
      </c>
      <c r="K313">
        <f>IF(C313="",0,IF(OR(G313="",G313="Split"),N(E313)*IFERROR(N(INDEX(Kids!$F$6:$F$11,MATCH(C313,Kids!$B$6:$B$11,0))),0),IF(G313="Save",N(E313),0)))</f>
        <v/>
      </c>
    </row>
    <row r="314">
      <c r="A314" s="1" t="n"/>
      <c r="B314" s="34" t="n"/>
      <c r="C314" s="30" t="n"/>
      <c r="D314" s="31" t="n"/>
      <c r="E314" s="35" t="n"/>
      <c r="F314" s="35" t="n"/>
      <c r="G314" s="33" t="n"/>
      <c r="H314" s="1">
        <f>IF(C314="",0,IF(OR(G314="",G314="Split"),(N(E314)-N(F314))*IFERROR(N(INDEX(Kids!$F$6:$F$11,MATCH(C314,Kids!$B$6:$B$11,0))),0),IF(G314="Save",(N(E314)-N(F314)),0)))</f>
        <v/>
      </c>
      <c r="I314">
        <f>IF(C314="",0,(N(E314)-N(F314))-H314-J314)</f>
        <v/>
      </c>
      <c r="J314">
        <f>IF(C314="",0,IF(OR(G314="",G314="Split"),(N(E314)-N(F314))*IFERROR(N(INDEX(Kids!$G$6:$G$11,MATCH(C314,Kids!$B$6:$B$11,0))),0),IF(G314="Give",(N(E314)-N(F314)),0)))</f>
        <v/>
      </c>
      <c r="K314">
        <f>IF(C314="",0,IF(OR(G314="",G314="Split"),N(E314)*IFERROR(N(INDEX(Kids!$F$6:$F$11,MATCH(C314,Kids!$B$6:$B$11,0))),0),IF(G314="Save",N(E314),0)))</f>
        <v/>
      </c>
    </row>
    <row r="315">
      <c r="A315" s="1" t="n"/>
      <c r="B315" s="34" t="n"/>
      <c r="C315" s="30" t="n"/>
      <c r="D315" s="31" t="n"/>
      <c r="E315" s="35" t="n"/>
      <c r="F315" s="35" t="n"/>
      <c r="G315" s="33" t="n"/>
      <c r="H315" s="1">
        <f>IF(C315="",0,IF(OR(G315="",G315="Split"),(N(E315)-N(F315))*IFERROR(N(INDEX(Kids!$F$6:$F$11,MATCH(C315,Kids!$B$6:$B$11,0))),0),IF(G315="Save",(N(E315)-N(F315)),0)))</f>
        <v/>
      </c>
      <c r="I315">
        <f>IF(C315="",0,(N(E315)-N(F315))-H315-J315)</f>
        <v/>
      </c>
      <c r="J315">
        <f>IF(C315="",0,IF(OR(G315="",G315="Split"),(N(E315)-N(F315))*IFERROR(N(INDEX(Kids!$G$6:$G$11,MATCH(C315,Kids!$B$6:$B$11,0))),0),IF(G315="Give",(N(E315)-N(F315)),0)))</f>
        <v/>
      </c>
      <c r="K315">
        <f>IF(C315="",0,IF(OR(G315="",G315="Split"),N(E315)*IFERROR(N(INDEX(Kids!$F$6:$F$11,MATCH(C315,Kids!$B$6:$B$11,0))),0),IF(G315="Save",N(E315),0)))</f>
        <v/>
      </c>
    </row>
    <row r="316">
      <c r="A316" s="1" t="n"/>
      <c r="B316" s="34" t="n"/>
      <c r="C316" s="30" t="n"/>
      <c r="D316" s="31" t="n"/>
      <c r="E316" s="35" t="n"/>
      <c r="F316" s="35" t="n"/>
      <c r="G316" s="33" t="n"/>
      <c r="H316" s="1">
        <f>IF(C316="",0,IF(OR(G316="",G316="Split"),(N(E316)-N(F316))*IFERROR(N(INDEX(Kids!$F$6:$F$11,MATCH(C316,Kids!$B$6:$B$11,0))),0),IF(G316="Save",(N(E316)-N(F316)),0)))</f>
        <v/>
      </c>
      <c r="I316">
        <f>IF(C316="",0,(N(E316)-N(F316))-H316-J316)</f>
        <v/>
      </c>
      <c r="J316">
        <f>IF(C316="",0,IF(OR(G316="",G316="Split"),(N(E316)-N(F316))*IFERROR(N(INDEX(Kids!$G$6:$G$11,MATCH(C316,Kids!$B$6:$B$11,0))),0),IF(G316="Give",(N(E316)-N(F316)),0)))</f>
        <v/>
      </c>
      <c r="K316">
        <f>IF(C316="",0,IF(OR(G316="",G316="Split"),N(E316)*IFERROR(N(INDEX(Kids!$F$6:$F$11,MATCH(C316,Kids!$B$6:$B$11,0))),0),IF(G316="Save",N(E316),0)))</f>
        <v/>
      </c>
    </row>
    <row r="317">
      <c r="A317" s="1" t="n"/>
      <c r="B317" s="34" t="n"/>
      <c r="C317" s="30" t="n"/>
      <c r="D317" s="31" t="n"/>
      <c r="E317" s="35" t="n"/>
      <c r="F317" s="35" t="n"/>
      <c r="G317" s="33" t="n"/>
      <c r="H317" s="1">
        <f>IF(C317="",0,IF(OR(G317="",G317="Split"),(N(E317)-N(F317))*IFERROR(N(INDEX(Kids!$F$6:$F$11,MATCH(C317,Kids!$B$6:$B$11,0))),0),IF(G317="Save",(N(E317)-N(F317)),0)))</f>
        <v/>
      </c>
      <c r="I317">
        <f>IF(C317="",0,(N(E317)-N(F317))-H317-J317)</f>
        <v/>
      </c>
      <c r="J317">
        <f>IF(C317="",0,IF(OR(G317="",G317="Split"),(N(E317)-N(F317))*IFERROR(N(INDEX(Kids!$G$6:$G$11,MATCH(C317,Kids!$B$6:$B$11,0))),0),IF(G317="Give",(N(E317)-N(F317)),0)))</f>
        <v/>
      </c>
      <c r="K317">
        <f>IF(C317="",0,IF(OR(G317="",G317="Split"),N(E317)*IFERROR(N(INDEX(Kids!$F$6:$F$11,MATCH(C317,Kids!$B$6:$B$11,0))),0),IF(G317="Save",N(E317),0)))</f>
        <v/>
      </c>
    </row>
    <row r="318">
      <c r="A318" s="1" t="n"/>
      <c r="B318" s="34" t="n"/>
      <c r="C318" s="30" t="n"/>
      <c r="D318" s="31" t="n"/>
      <c r="E318" s="35" t="n"/>
      <c r="F318" s="35" t="n"/>
      <c r="G318" s="33" t="n"/>
      <c r="H318" s="1">
        <f>IF(C318="",0,IF(OR(G318="",G318="Split"),(N(E318)-N(F318))*IFERROR(N(INDEX(Kids!$F$6:$F$11,MATCH(C318,Kids!$B$6:$B$11,0))),0),IF(G318="Save",(N(E318)-N(F318)),0)))</f>
        <v/>
      </c>
      <c r="I318">
        <f>IF(C318="",0,(N(E318)-N(F318))-H318-J318)</f>
        <v/>
      </c>
      <c r="J318">
        <f>IF(C318="",0,IF(OR(G318="",G318="Split"),(N(E318)-N(F318))*IFERROR(N(INDEX(Kids!$G$6:$G$11,MATCH(C318,Kids!$B$6:$B$11,0))),0),IF(G318="Give",(N(E318)-N(F318)),0)))</f>
        <v/>
      </c>
      <c r="K318">
        <f>IF(C318="",0,IF(OR(G318="",G318="Split"),N(E318)*IFERROR(N(INDEX(Kids!$F$6:$F$11,MATCH(C318,Kids!$B$6:$B$11,0))),0),IF(G318="Save",N(E318),0)))</f>
        <v/>
      </c>
    </row>
    <row r="319">
      <c r="A319" s="1" t="n"/>
      <c r="B319" s="34" t="n"/>
      <c r="C319" s="30" t="n"/>
      <c r="D319" s="31" t="n"/>
      <c r="E319" s="35" t="n"/>
      <c r="F319" s="35" t="n"/>
      <c r="G319" s="33" t="n"/>
      <c r="H319" s="1">
        <f>IF(C319="",0,IF(OR(G319="",G319="Split"),(N(E319)-N(F319))*IFERROR(N(INDEX(Kids!$F$6:$F$11,MATCH(C319,Kids!$B$6:$B$11,0))),0),IF(G319="Save",(N(E319)-N(F319)),0)))</f>
        <v/>
      </c>
      <c r="I319">
        <f>IF(C319="",0,(N(E319)-N(F319))-H319-J319)</f>
        <v/>
      </c>
      <c r="J319">
        <f>IF(C319="",0,IF(OR(G319="",G319="Split"),(N(E319)-N(F319))*IFERROR(N(INDEX(Kids!$G$6:$G$11,MATCH(C319,Kids!$B$6:$B$11,0))),0),IF(G319="Give",(N(E319)-N(F319)),0)))</f>
        <v/>
      </c>
      <c r="K319">
        <f>IF(C319="",0,IF(OR(G319="",G319="Split"),N(E319)*IFERROR(N(INDEX(Kids!$F$6:$F$11,MATCH(C319,Kids!$B$6:$B$11,0))),0),IF(G319="Save",N(E319),0)))</f>
        <v/>
      </c>
    </row>
    <row r="320">
      <c r="A320" s="1" t="n"/>
      <c r="B320" s="34" t="n"/>
      <c r="C320" s="30" t="n"/>
      <c r="D320" s="31" t="n"/>
      <c r="E320" s="35" t="n"/>
      <c r="F320" s="35" t="n"/>
      <c r="G320" s="33" t="n"/>
      <c r="H320" s="1">
        <f>IF(C320="",0,IF(OR(G320="",G320="Split"),(N(E320)-N(F320))*IFERROR(N(INDEX(Kids!$F$6:$F$11,MATCH(C320,Kids!$B$6:$B$11,0))),0),IF(G320="Save",(N(E320)-N(F320)),0)))</f>
        <v/>
      </c>
      <c r="I320">
        <f>IF(C320="",0,(N(E320)-N(F320))-H320-J320)</f>
        <v/>
      </c>
      <c r="J320">
        <f>IF(C320="",0,IF(OR(G320="",G320="Split"),(N(E320)-N(F320))*IFERROR(N(INDEX(Kids!$G$6:$G$11,MATCH(C320,Kids!$B$6:$B$11,0))),0),IF(G320="Give",(N(E320)-N(F320)),0)))</f>
        <v/>
      </c>
      <c r="K320">
        <f>IF(C320="",0,IF(OR(G320="",G320="Split"),N(E320)*IFERROR(N(INDEX(Kids!$F$6:$F$11,MATCH(C320,Kids!$B$6:$B$11,0))),0),IF(G320="Save",N(E320),0)))</f>
        <v/>
      </c>
    </row>
    <row r="321">
      <c r="A321" s="1" t="n"/>
      <c r="B321" s="34" t="n"/>
      <c r="C321" s="30" t="n"/>
      <c r="D321" s="31" t="n"/>
      <c r="E321" s="35" t="n"/>
      <c r="F321" s="35" t="n"/>
      <c r="G321" s="33" t="n"/>
      <c r="H321" s="1">
        <f>IF(C321="",0,IF(OR(G321="",G321="Split"),(N(E321)-N(F321))*IFERROR(N(INDEX(Kids!$F$6:$F$11,MATCH(C321,Kids!$B$6:$B$11,0))),0),IF(G321="Save",(N(E321)-N(F321)),0)))</f>
        <v/>
      </c>
      <c r="I321">
        <f>IF(C321="",0,(N(E321)-N(F321))-H321-J321)</f>
        <v/>
      </c>
      <c r="J321">
        <f>IF(C321="",0,IF(OR(G321="",G321="Split"),(N(E321)-N(F321))*IFERROR(N(INDEX(Kids!$G$6:$G$11,MATCH(C321,Kids!$B$6:$B$11,0))),0),IF(G321="Give",(N(E321)-N(F321)),0)))</f>
        <v/>
      </c>
      <c r="K321">
        <f>IF(C321="",0,IF(OR(G321="",G321="Split"),N(E321)*IFERROR(N(INDEX(Kids!$F$6:$F$11,MATCH(C321,Kids!$B$6:$B$11,0))),0),IF(G321="Save",N(E321),0)))</f>
        <v/>
      </c>
    </row>
    <row r="322">
      <c r="A322" s="1" t="n"/>
      <c r="B322" s="34" t="n"/>
      <c r="C322" s="30" t="n"/>
      <c r="D322" s="31" t="n"/>
      <c r="E322" s="35" t="n"/>
      <c r="F322" s="35" t="n"/>
      <c r="G322" s="33" t="n"/>
      <c r="H322" s="1">
        <f>IF(C322="",0,IF(OR(G322="",G322="Split"),(N(E322)-N(F322))*IFERROR(N(INDEX(Kids!$F$6:$F$11,MATCH(C322,Kids!$B$6:$B$11,0))),0),IF(G322="Save",(N(E322)-N(F322)),0)))</f>
        <v/>
      </c>
      <c r="I322">
        <f>IF(C322="",0,(N(E322)-N(F322))-H322-J322)</f>
        <v/>
      </c>
      <c r="J322">
        <f>IF(C322="",0,IF(OR(G322="",G322="Split"),(N(E322)-N(F322))*IFERROR(N(INDEX(Kids!$G$6:$G$11,MATCH(C322,Kids!$B$6:$B$11,0))),0),IF(G322="Give",(N(E322)-N(F322)),0)))</f>
        <v/>
      </c>
      <c r="K322">
        <f>IF(C322="",0,IF(OR(G322="",G322="Split"),N(E322)*IFERROR(N(INDEX(Kids!$F$6:$F$11,MATCH(C322,Kids!$B$6:$B$11,0))),0),IF(G322="Save",N(E322),0)))</f>
        <v/>
      </c>
    </row>
    <row r="323">
      <c r="A323" s="1" t="n"/>
      <c r="B323" s="34" t="n"/>
      <c r="C323" s="30" t="n"/>
      <c r="D323" s="31" t="n"/>
      <c r="E323" s="35" t="n"/>
      <c r="F323" s="35" t="n"/>
      <c r="G323" s="33" t="n"/>
      <c r="H323" s="1">
        <f>IF(C323="",0,IF(OR(G323="",G323="Split"),(N(E323)-N(F323))*IFERROR(N(INDEX(Kids!$F$6:$F$11,MATCH(C323,Kids!$B$6:$B$11,0))),0),IF(G323="Save",(N(E323)-N(F323)),0)))</f>
        <v/>
      </c>
      <c r="I323">
        <f>IF(C323="",0,(N(E323)-N(F323))-H323-J323)</f>
        <v/>
      </c>
      <c r="J323">
        <f>IF(C323="",0,IF(OR(G323="",G323="Split"),(N(E323)-N(F323))*IFERROR(N(INDEX(Kids!$G$6:$G$11,MATCH(C323,Kids!$B$6:$B$11,0))),0),IF(G323="Give",(N(E323)-N(F323)),0)))</f>
        <v/>
      </c>
      <c r="K323">
        <f>IF(C323="",0,IF(OR(G323="",G323="Split"),N(E323)*IFERROR(N(INDEX(Kids!$F$6:$F$11,MATCH(C323,Kids!$B$6:$B$11,0))),0),IF(G323="Save",N(E323),0)))</f>
        <v/>
      </c>
    </row>
    <row r="324">
      <c r="A324" s="1" t="n"/>
      <c r="B324" s="34" t="n"/>
      <c r="C324" s="30" t="n"/>
      <c r="D324" s="31" t="n"/>
      <c r="E324" s="35" t="n"/>
      <c r="F324" s="35" t="n"/>
      <c r="G324" s="33" t="n"/>
      <c r="H324" s="1">
        <f>IF(C324="",0,IF(OR(G324="",G324="Split"),(N(E324)-N(F324))*IFERROR(N(INDEX(Kids!$F$6:$F$11,MATCH(C324,Kids!$B$6:$B$11,0))),0),IF(G324="Save",(N(E324)-N(F324)),0)))</f>
        <v/>
      </c>
      <c r="I324">
        <f>IF(C324="",0,(N(E324)-N(F324))-H324-J324)</f>
        <v/>
      </c>
      <c r="J324">
        <f>IF(C324="",0,IF(OR(G324="",G324="Split"),(N(E324)-N(F324))*IFERROR(N(INDEX(Kids!$G$6:$G$11,MATCH(C324,Kids!$B$6:$B$11,0))),0),IF(G324="Give",(N(E324)-N(F324)),0)))</f>
        <v/>
      </c>
      <c r="K324">
        <f>IF(C324="",0,IF(OR(G324="",G324="Split"),N(E324)*IFERROR(N(INDEX(Kids!$F$6:$F$11,MATCH(C324,Kids!$B$6:$B$11,0))),0),IF(G324="Save",N(E324),0)))</f>
        <v/>
      </c>
    </row>
    <row r="325">
      <c r="A325" s="1" t="n"/>
      <c r="B325" s="34" t="n"/>
      <c r="C325" s="30" t="n"/>
      <c r="D325" s="31" t="n"/>
      <c r="E325" s="35" t="n"/>
      <c r="F325" s="35" t="n"/>
      <c r="G325" s="33" t="n"/>
      <c r="H325" s="1">
        <f>IF(C325="",0,IF(OR(G325="",G325="Split"),(N(E325)-N(F325))*IFERROR(N(INDEX(Kids!$F$6:$F$11,MATCH(C325,Kids!$B$6:$B$11,0))),0),IF(G325="Save",(N(E325)-N(F325)),0)))</f>
        <v/>
      </c>
      <c r="I325">
        <f>IF(C325="",0,(N(E325)-N(F325))-H325-J325)</f>
        <v/>
      </c>
      <c r="J325">
        <f>IF(C325="",0,IF(OR(G325="",G325="Split"),(N(E325)-N(F325))*IFERROR(N(INDEX(Kids!$G$6:$G$11,MATCH(C325,Kids!$B$6:$B$11,0))),0),IF(G325="Give",(N(E325)-N(F325)),0)))</f>
        <v/>
      </c>
      <c r="K325">
        <f>IF(C325="",0,IF(OR(G325="",G325="Split"),N(E325)*IFERROR(N(INDEX(Kids!$F$6:$F$11,MATCH(C325,Kids!$B$6:$B$11,0))),0),IF(G325="Save",N(E325),0)))</f>
        <v/>
      </c>
    </row>
    <row r="326">
      <c r="A326" s="1" t="n"/>
      <c r="B326" s="34" t="n"/>
      <c r="C326" s="30" t="n"/>
      <c r="D326" s="31" t="n"/>
      <c r="E326" s="35" t="n"/>
      <c r="F326" s="35" t="n"/>
      <c r="G326" s="33" t="n"/>
      <c r="H326" s="1">
        <f>IF(C326="",0,IF(OR(G326="",G326="Split"),(N(E326)-N(F326))*IFERROR(N(INDEX(Kids!$F$6:$F$11,MATCH(C326,Kids!$B$6:$B$11,0))),0),IF(G326="Save",(N(E326)-N(F326)),0)))</f>
        <v/>
      </c>
      <c r="I326">
        <f>IF(C326="",0,(N(E326)-N(F326))-H326-J326)</f>
        <v/>
      </c>
      <c r="J326">
        <f>IF(C326="",0,IF(OR(G326="",G326="Split"),(N(E326)-N(F326))*IFERROR(N(INDEX(Kids!$G$6:$G$11,MATCH(C326,Kids!$B$6:$B$11,0))),0),IF(G326="Give",(N(E326)-N(F326)),0)))</f>
        <v/>
      </c>
      <c r="K326">
        <f>IF(C326="",0,IF(OR(G326="",G326="Split"),N(E326)*IFERROR(N(INDEX(Kids!$F$6:$F$11,MATCH(C326,Kids!$B$6:$B$11,0))),0),IF(G326="Save",N(E326),0)))</f>
        <v/>
      </c>
    </row>
    <row r="327">
      <c r="A327" s="1" t="n"/>
      <c r="B327" s="34" t="n"/>
      <c r="C327" s="30" t="n"/>
      <c r="D327" s="31" t="n"/>
      <c r="E327" s="35" t="n"/>
      <c r="F327" s="35" t="n"/>
      <c r="G327" s="33" t="n"/>
      <c r="H327" s="1">
        <f>IF(C327="",0,IF(OR(G327="",G327="Split"),(N(E327)-N(F327))*IFERROR(N(INDEX(Kids!$F$6:$F$11,MATCH(C327,Kids!$B$6:$B$11,0))),0),IF(G327="Save",(N(E327)-N(F327)),0)))</f>
        <v/>
      </c>
      <c r="I327">
        <f>IF(C327="",0,(N(E327)-N(F327))-H327-J327)</f>
        <v/>
      </c>
      <c r="J327">
        <f>IF(C327="",0,IF(OR(G327="",G327="Split"),(N(E327)-N(F327))*IFERROR(N(INDEX(Kids!$G$6:$G$11,MATCH(C327,Kids!$B$6:$B$11,0))),0),IF(G327="Give",(N(E327)-N(F327)),0)))</f>
        <v/>
      </c>
      <c r="K327">
        <f>IF(C327="",0,IF(OR(G327="",G327="Split"),N(E327)*IFERROR(N(INDEX(Kids!$F$6:$F$11,MATCH(C327,Kids!$B$6:$B$11,0))),0),IF(G327="Save",N(E327),0)))</f>
        <v/>
      </c>
    </row>
    <row r="328">
      <c r="A328" s="1" t="n"/>
      <c r="B328" s="34" t="n"/>
      <c r="C328" s="30" t="n"/>
      <c r="D328" s="31" t="n"/>
      <c r="E328" s="35" t="n"/>
      <c r="F328" s="35" t="n"/>
      <c r="G328" s="33" t="n"/>
      <c r="H328" s="1">
        <f>IF(C328="",0,IF(OR(G328="",G328="Split"),(N(E328)-N(F328))*IFERROR(N(INDEX(Kids!$F$6:$F$11,MATCH(C328,Kids!$B$6:$B$11,0))),0),IF(G328="Save",(N(E328)-N(F328)),0)))</f>
        <v/>
      </c>
      <c r="I328">
        <f>IF(C328="",0,(N(E328)-N(F328))-H328-J328)</f>
        <v/>
      </c>
      <c r="J328">
        <f>IF(C328="",0,IF(OR(G328="",G328="Split"),(N(E328)-N(F328))*IFERROR(N(INDEX(Kids!$G$6:$G$11,MATCH(C328,Kids!$B$6:$B$11,0))),0),IF(G328="Give",(N(E328)-N(F328)),0)))</f>
        <v/>
      </c>
      <c r="K328">
        <f>IF(C328="",0,IF(OR(G328="",G328="Split"),N(E328)*IFERROR(N(INDEX(Kids!$F$6:$F$11,MATCH(C328,Kids!$B$6:$B$11,0))),0),IF(G328="Save",N(E328),0)))</f>
        <v/>
      </c>
    </row>
    <row r="329">
      <c r="A329" s="1" t="n"/>
      <c r="B329" s="34" t="n"/>
      <c r="C329" s="30" t="n"/>
      <c r="D329" s="31" t="n"/>
      <c r="E329" s="35" t="n"/>
      <c r="F329" s="35" t="n"/>
      <c r="G329" s="33" t="n"/>
      <c r="H329" s="1">
        <f>IF(C329="",0,IF(OR(G329="",G329="Split"),(N(E329)-N(F329))*IFERROR(N(INDEX(Kids!$F$6:$F$11,MATCH(C329,Kids!$B$6:$B$11,0))),0),IF(G329="Save",(N(E329)-N(F329)),0)))</f>
        <v/>
      </c>
      <c r="I329">
        <f>IF(C329="",0,(N(E329)-N(F329))-H329-J329)</f>
        <v/>
      </c>
      <c r="J329">
        <f>IF(C329="",0,IF(OR(G329="",G329="Split"),(N(E329)-N(F329))*IFERROR(N(INDEX(Kids!$G$6:$G$11,MATCH(C329,Kids!$B$6:$B$11,0))),0),IF(G329="Give",(N(E329)-N(F329)),0)))</f>
        <v/>
      </c>
      <c r="K329">
        <f>IF(C329="",0,IF(OR(G329="",G329="Split"),N(E329)*IFERROR(N(INDEX(Kids!$F$6:$F$11,MATCH(C329,Kids!$B$6:$B$11,0))),0),IF(G329="Save",N(E329),0)))</f>
        <v/>
      </c>
    </row>
    <row r="330">
      <c r="A330" s="1" t="n"/>
      <c r="B330" s="34" t="n"/>
      <c r="C330" s="30" t="n"/>
      <c r="D330" s="31" t="n"/>
      <c r="E330" s="35" t="n"/>
      <c r="F330" s="35" t="n"/>
      <c r="G330" s="33" t="n"/>
      <c r="H330" s="1">
        <f>IF(C330="",0,IF(OR(G330="",G330="Split"),(N(E330)-N(F330))*IFERROR(N(INDEX(Kids!$F$6:$F$11,MATCH(C330,Kids!$B$6:$B$11,0))),0),IF(G330="Save",(N(E330)-N(F330)),0)))</f>
        <v/>
      </c>
      <c r="I330">
        <f>IF(C330="",0,(N(E330)-N(F330))-H330-J330)</f>
        <v/>
      </c>
      <c r="J330">
        <f>IF(C330="",0,IF(OR(G330="",G330="Split"),(N(E330)-N(F330))*IFERROR(N(INDEX(Kids!$G$6:$G$11,MATCH(C330,Kids!$B$6:$B$11,0))),0),IF(G330="Give",(N(E330)-N(F330)),0)))</f>
        <v/>
      </c>
      <c r="K330">
        <f>IF(C330="",0,IF(OR(G330="",G330="Split"),N(E330)*IFERROR(N(INDEX(Kids!$F$6:$F$11,MATCH(C330,Kids!$B$6:$B$11,0))),0),IF(G330="Save",N(E330),0)))</f>
        <v/>
      </c>
    </row>
    <row r="331">
      <c r="A331" s="1" t="n"/>
      <c r="B331" s="34" t="n"/>
      <c r="C331" s="30" t="n"/>
      <c r="D331" s="31" t="n"/>
      <c r="E331" s="35" t="n"/>
      <c r="F331" s="35" t="n"/>
      <c r="G331" s="33" t="n"/>
      <c r="H331" s="1">
        <f>IF(C331="",0,IF(OR(G331="",G331="Split"),(N(E331)-N(F331))*IFERROR(N(INDEX(Kids!$F$6:$F$11,MATCH(C331,Kids!$B$6:$B$11,0))),0),IF(G331="Save",(N(E331)-N(F331)),0)))</f>
        <v/>
      </c>
      <c r="I331">
        <f>IF(C331="",0,(N(E331)-N(F331))-H331-J331)</f>
        <v/>
      </c>
      <c r="J331">
        <f>IF(C331="",0,IF(OR(G331="",G331="Split"),(N(E331)-N(F331))*IFERROR(N(INDEX(Kids!$G$6:$G$11,MATCH(C331,Kids!$B$6:$B$11,0))),0),IF(G331="Give",(N(E331)-N(F331)),0)))</f>
        <v/>
      </c>
      <c r="K331">
        <f>IF(C331="",0,IF(OR(G331="",G331="Split"),N(E331)*IFERROR(N(INDEX(Kids!$F$6:$F$11,MATCH(C331,Kids!$B$6:$B$11,0))),0),IF(G331="Save",N(E331),0)))</f>
        <v/>
      </c>
    </row>
    <row r="332">
      <c r="A332" s="1" t="n"/>
      <c r="B332" s="34" t="n"/>
      <c r="C332" s="30" t="n"/>
      <c r="D332" s="31" t="n"/>
      <c r="E332" s="35" t="n"/>
      <c r="F332" s="35" t="n"/>
      <c r="G332" s="33" t="n"/>
      <c r="H332" s="1">
        <f>IF(C332="",0,IF(OR(G332="",G332="Split"),(N(E332)-N(F332))*IFERROR(N(INDEX(Kids!$F$6:$F$11,MATCH(C332,Kids!$B$6:$B$11,0))),0),IF(G332="Save",(N(E332)-N(F332)),0)))</f>
        <v/>
      </c>
      <c r="I332">
        <f>IF(C332="",0,(N(E332)-N(F332))-H332-J332)</f>
        <v/>
      </c>
      <c r="J332">
        <f>IF(C332="",0,IF(OR(G332="",G332="Split"),(N(E332)-N(F332))*IFERROR(N(INDEX(Kids!$G$6:$G$11,MATCH(C332,Kids!$B$6:$B$11,0))),0),IF(G332="Give",(N(E332)-N(F332)),0)))</f>
        <v/>
      </c>
      <c r="K332">
        <f>IF(C332="",0,IF(OR(G332="",G332="Split"),N(E332)*IFERROR(N(INDEX(Kids!$F$6:$F$11,MATCH(C332,Kids!$B$6:$B$11,0))),0),IF(G332="Save",N(E332),0)))</f>
        <v/>
      </c>
    </row>
    <row r="333">
      <c r="A333" s="1" t="n"/>
      <c r="B333" s="34" t="n"/>
      <c r="C333" s="30" t="n"/>
      <c r="D333" s="31" t="n"/>
      <c r="E333" s="35" t="n"/>
      <c r="F333" s="35" t="n"/>
      <c r="G333" s="33" t="n"/>
      <c r="H333" s="1">
        <f>IF(C333="",0,IF(OR(G333="",G333="Split"),(N(E333)-N(F333))*IFERROR(N(INDEX(Kids!$F$6:$F$11,MATCH(C333,Kids!$B$6:$B$11,0))),0),IF(G333="Save",(N(E333)-N(F333)),0)))</f>
        <v/>
      </c>
      <c r="I333">
        <f>IF(C333="",0,(N(E333)-N(F333))-H333-J333)</f>
        <v/>
      </c>
      <c r="J333">
        <f>IF(C333="",0,IF(OR(G333="",G333="Split"),(N(E333)-N(F333))*IFERROR(N(INDEX(Kids!$G$6:$G$11,MATCH(C333,Kids!$B$6:$B$11,0))),0),IF(G333="Give",(N(E333)-N(F333)),0)))</f>
        <v/>
      </c>
      <c r="K333">
        <f>IF(C333="",0,IF(OR(G333="",G333="Split"),N(E333)*IFERROR(N(INDEX(Kids!$F$6:$F$11,MATCH(C333,Kids!$B$6:$B$11,0))),0),IF(G333="Save",N(E333),0)))</f>
        <v/>
      </c>
    </row>
    <row r="334">
      <c r="A334" s="1" t="n"/>
      <c r="B334" s="34" t="n"/>
      <c r="C334" s="30" t="n"/>
      <c r="D334" s="31" t="n"/>
      <c r="E334" s="35" t="n"/>
      <c r="F334" s="35" t="n"/>
      <c r="G334" s="33" t="n"/>
      <c r="H334" s="1">
        <f>IF(C334="",0,IF(OR(G334="",G334="Split"),(N(E334)-N(F334))*IFERROR(N(INDEX(Kids!$F$6:$F$11,MATCH(C334,Kids!$B$6:$B$11,0))),0),IF(G334="Save",(N(E334)-N(F334)),0)))</f>
        <v/>
      </c>
      <c r="I334">
        <f>IF(C334="",0,(N(E334)-N(F334))-H334-J334)</f>
        <v/>
      </c>
      <c r="J334">
        <f>IF(C334="",0,IF(OR(G334="",G334="Split"),(N(E334)-N(F334))*IFERROR(N(INDEX(Kids!$G$6:$G$11,MATCH(C334,Kids!$B$6:$B$11,0))),0),IF(G334="Give",(N(E334)-N(F334)),0)))</f>
        <v/>
      </c>
      <c r="K334">
        <f>IF(C334="",0,IF(OR(G334="",G334="Split"),N(E334)*IFERROR(N(INDEX(Kids!$F$6:$F$11,MATCH(C334,Kids!$B$6:$B$11,0))),0),IF(G334="Save",N(E334),0)))</f>
        <v/>
      </c>
    </row>
    <row r="335">
      <c r="A335" s="1" t="n"/>
      <c r="B335" s="34" t="n"/>
      <c r="C335" s="30" t="n"/>
      <c r="D335" s="31" t="n"/>
      <c r="E335" s="35" t="n"/>
      <c r="F335" s="35" t="n"/>
      <c r="G335" s="33" t="n"/>
      <c r="H335" s="1">
        <f>IF(C335="",0,IF(OR(G335="",G335="Split"),(N(E335)-N(F335))*IFERROR(N(INDEX(Kids!$F$6:$F$11,MATCH(C335,Kids!$B$6:$B$11,0))),0),IF(G335="Save",(N(E335)-N(F335)),0)))</f>
        <v/>
      </c>
      <c r="I335">
        <f>IF(C335="",0,(N(E335)-N(F335))-H335-J335)</f>
        <v/>
      </c>
      <c r="J335">
        <f>IF(C335="",0,IF(OR(G335="",G335="Split"),(N(E335)-N(F335))*IFERROR(N(INDEX(Kids!$G$6:$G$11,MATCH(C335,Kids!$B$6:$B$11,0))),0),IF(G335="Give",(N(E335)-N(F335)),0)))</f>
        <v/>
      </c>
      <c r="K335">
        <f>IF(C335="",0,IF(OR(G335="",G335="Split"),N(E335)*IFERROR(N(INDEX(Kids!$F$6:$F$11,MATCH(C335,Kids!$B$6:$B$11,0))),0),IF(G335="Save",N(E335),0)))</f>
        <v/>
      </c>
    </row>
    <row r="336">
      <c r="A336" s="1" t="n"/>
      <c r="B336" s="34" t="n"/>
      <c r="C336" s="30" t="n"/>
      <c r="D336" s="31" t="n"/>
      <c r="E336" s="35" t="n"/>
      <c r="F336" s="35" t="n"/>
      <c r="G336" s="33" t="n"/>
      <c r="H336" s="1">
        <f>IF(C336="",0,IF(OR(G336="",G336="Split"),(N(E336)-N(F336))*IFERROR(N(INDEX(Kids!$F$6:$F$11,MATCH(C336,Kids!$B$6:$B$11,0))),0),IF(G336="Save",(N(E336)-N(F336)),0)))</f>
        <v/>
      </c>
      <c r="I336">
        <f>IF(C336="",0,(N(E336)-N(F336))-H336-J336)</f>
        <v/>
      </c>
      <c r="J336">
        <f>IF(C336="",0,IF(OR(G336="",G336="Split"),(N(E336)-N(F336))*IFERROR(N(INDEX(Kids!$G$6:$G$11,MATCH(C336,Kids!$B$6:$B$11,0))),0),IF(G336="Give",(N(E336)-N(F336)),0)))</f>
        <v/>
      </c>
      <c r="K336">
        <f>IF(C336="",0,IF(OR(G336="",G336="Split"),N(E336)*IFERROR(N(INDEX(Kids!$F$6:$F$11,MATCH(C336,Kids!$B$6:$B$11,0))),0),IF(G336="Save",N(E336),0)))</f>
        <v/>
      </c>
    </row>
    <row r="337">
      <c r="A337" s="1" t="n"/>
      <c r="B337" s="34" t="n"/>
      <c r="C337" s="30" t="n"/>
      <c r="D337" s="31" t="n"/>
      <c r="E337" s="35" t="n"/>
      <c r="F337" s="35" t="n"/>
      <c r="G337" s="33" t="n"/>
      <c r="H337" s="1">
        <f>IF(C337="",0,IF(OR(G337="",G337="Split"),(N(E337)-N(F337))*IFERROR(N(INDEX(Kids!$F$6:$F$11,MATCH(C337,Kids!$B$6:$B$11,0))),0),IF(G337="Save",(N(E337)-N(F337)),0)))</f>
        <v/>
      </c>
      <c r="I337">
        <f>IF(C337="",0,(N(E337)-N(F337))-H337-J337)</f>
        <v/>
      </c>
      <c r="J337">
        <f>IF(C337="",0,IF(OR(G337="",G337="Split"),(N(E337)-N(F337))*IFERROR(N(INDEX(Kids!$G$6:$G$11,MATCH(C337,Kids!$B$6:$B$11,0))),0),IF(G337="Give",(N(E337)-N(F337)),0)))</f>
        <v/>
      </c>
      <c r="K337">
        <f>IF(C337="",0,IF(OR(G337="",G337="Split"),N(E337)*IFERROR(N(INDEX(Kids!$F$6:$F$11,MATCH(C337,Kids!$B$6:$B$11,0))),0),IF(G337="Save",N(E337),0)))</f>
        <v/>
      </c>
    </row>
    <row r="338">
      <c r="A338" s="1" t="n"/>
      <c r="B338" s="34" t="n"/>
      <c r="C338" s="30" t="n"/>
      <c r="D338" s="31" t="n"/>
      <c r="E338" s="35" t="n"/>
      <c r="F338" s="35" t="n"/>
      <c r="G338" s="33" t="n"/>
      <c r="H338" s="1">
        <f>IF(C338="",0,IF(OR(G338="",G338="Split"),(N(E338)-N(F338))*IFERROR(N(INDEX(Kids!$F$6:$F$11,MATCH(C338,Kids!$B$6:$B$11,0))),0),IF(G338="Save",(N(E338)-N(F338)),0)))</f>
        <v/>
      </c>
      <c r="I338">
        <f>IF(C338="",0,(N(E338)-N(F338))-H338-J338)</f>
        <v/>
      </c>
      <c r="J338">
        <f>IF(C338="",0,IF(OR(G338="",G338="Split"),(N(E338)-N(F338))*IFERROR(N(INDEX(Kids!$G$6:$G$11,MATCH(C338,Kids!$B$6:$B$11,0))),0),IF(G338="Give",(N(E338)-N(F338)),0)))</f>
        <v/>
      </c>
      <c r="K338">
        <f>IF(C338="",0,IF(OR(G338="",G338="Split"),N(E338)*IFERROR(N(INDEX(Kids!$F$6:$F$11,MATCH(C338,Kids!$B$6:$B$11,0))),0),IF(G338="Save",N(E338),0)))</f>
        <v/>
      </c>
    </row>
    <row r="339">
      <c r="A339" s="1" t="n"/>
      <c r="B339" s="34" t="n"/>
      <c r="C339" s="30" t="n"/>
      <c r="D339" s="31" t="n"/>
      <c r="E339" s="35" t="n"/>
      <c r="F339" s="35" t="n"/>
      <c r="G339" s="33" t="n"/>
      <c r="H339" s="1">
        <f>IF(C339="",0,IF(OR(G339="",G339="Split"),(N(E339)-N(F339))*IFERROR(N(INDEX(Kids!$F$6:$F$11,MATCH(C339,Kids!$B$6:$B$11,0))),0),IF(G339="Save",(N(E339)-N(F339)),0)))</f>
        <v/>
      </c>
      <c r="I339">
        <f>IF(C339="",0,(N(E339)-N(F339))-H339-J339)</f>
        <v/>
      </c>
      <c r="J339">
        <f>IF(C339="",0,IF(OR(G339="",G339="Split"),(N(E339)-N(F339))*IFERROR(N(INDEX(Kids!$G$6:$G$11,MATCH(C339,Kids!$B$6:$B$11,0))),0),IF(G339="Give",(N(E339)-N(F339)),0)))</f>
        <v/>
      </c>
      <c r="K339">
        <f>IF(C339="",0,IF(OR(G339="",G339="Split"),N(E339)*IFERROR(N(INDEX(Kids!$F$6:$F$11,MATCH(C339,Kids!$B$6:$B$11,0))),0),IF(G339="Save",N(E339),0)))</f>
        <v/>
      </c>
    </row>
    <row r="340">
      <c r="A340" s="1" t="n"/>
      <c r="B340" s="34" t="n"/>
      <c r="C340" s="30" t="n"/>
      <c r="D340" s="31" t="n"/>
      <c r="E340" s="35" t="n"/>
      <c r="F340" s="35" t="n"/>
      <c r="G340" s="33" t="n"/>
      <c r="H340" s="1">
        <f>IF(C340="",0,IF(OR(G340="",G340="Split"),(N(E340)-N(F340))*IFERROR(N(INDEX(Kids!$F$6:$F$11,MATCH(C340,Kids!$B$6:$B$11,0))),0),IF(G340="Save",(N(E340)-N(F340)),0)))</f>
        <v/>
      </c>
      <c r="I340">
        <f>IF(C340="",0,(N(E340)-N(F340))-H340-J340)</f>
        <v/>
      </c>
      <c r="J340">
        <f>IF(C340="",0,IF(OR(G340="",G340="Split"),(N(E340)-N(F340))*IFERROR(N(INDEX(Kids!$G$6:$G$11,MATCH(C340,Kids!$B$6:$B$11,0))),0),IF(G340="Give",(N(E340)-N(F340)),0)))</f>
        <v/>
      </c>
      <c r="K340">
        <f>IF(C340="",0,IF(OR(G340="",G340="Split"),N(E340)*IFERROR(N(INDEX(Kids!$F$6:$F$11,MATCH(C340,Kids!$B$6:$B$11,0))),0),IF(G340="Save",N(E340),0)))</f>
        <v/>
      </c>
    </row>
    <row r="341">
      <c r="A341" s="1" t="n"/>
      <c r="B341" s="34" t="n"/>
      <c r="C341" s="30" t="n"/>
      <c r="D341" s="31" t="n"/>
      <c r="E341" s="35" t="n"/>
      <c r="F341" s="35" t="n"/>
      <c r="G341" s="33" t="n"/>
      <c r="H341" s="1">
        <f>IF(C341="",0,IF(OR(G341="",G341="Split"),(N(E341)-N(F341))*IFERROR(N(INDEX(Kids!$F$6:$F$11,MATCH(C341,Kids!$B$6:$B$11,0))),0),IF(G341="Save",(N(E341)-N(F341)),0)))</f>
        <v/>
      </c>
      <c r="I341">
        <f>IF(C341="",0,(N(E341)-N(F341))-H341-J341)</f>
        <v/>
      </c>
      <c r="J341">
        <f>IF(C341="",0,IF(OR(G341="",G341="Split"),(N(E341)-N(F341))*IFERROR(N(INDEX(Kids!$G$6:$G$11,MATCH(C341,Kids!$B$6:$B$11,0))),0),IF(G341="Give",(N(E341)-N(F341)),0)))</f>
        <v/>
      </c>
      <c r="K341">
        <f>IF(C341="",0,IF(OR(G341="",G341="Split"),N(E341)*IFERROR(N(INDEX(Kids!$F$6:$F$11,MATCH(C341,Kids!$B$6:$B$11,0))),0),IF(G341="Save",N(E341),0)))</f>
        <v/>
      </c>
    </row>
    <row r="342">
      <c r="A342" s="1" t="n"/>
      <c r="B342" s="34" t="n"/>
      <c r="C342" s="30" t="n"/>
      <c r="D342" s="31" t="n"/>
      <c r="E342" s="35" t="n"/>
      <c r="F342" s="35" t="n"/>
      <c r="G342" s="33" t="n"/>
      <c r="H342" s="1">
        <f>IF(C342="",0,IF(OR(G342="",G342="Split"),(N(E342)-N(F342))*IFERROR(N(INDEX(Kids!$F$6:$F$11,MATCH(C342,Kids!$B$6:$B$11,0))),0),IF(G342="Save",(N(E342)-N(F342)),0)))</f>
        <v/>
      </c>
      <c r="I342">
        <f>IF(C342="",0,(N(E342)-N(F342))-H342-J342)</f>
        <v/>
      </c>
      <c r="J342">
        <f>IF(C342="",0,IF(OR(G342="",G342="Split"),(N(E342)-N(F342))*IFERROR(N(INDEX(Kids!$G$6:$G$11,MATCH(C342,Kids!$B$6:$B$11,0))),0),IF(G342="Give",(N(E342)-N(F342)),0)))</f>
        <v/>
      </c>
      <c r="K342">
        <f>IF(C342="",0,IF(OR(G342="",G342="Split"),N(E342)*IFERROR(N(INDEX(Kids!$F$6:$F$11,MATCH(C342,Kids!$B$6:$B$11,0))),0),IF(G342="Save",N(E342),0)))</f>
        <v/>
      </c>
    </row>
    <row r="343">
      <c r="A343" s="1" t="n"/>
      <c r="B343" s="34" t="n"/>
      <c r="C343" s="30" t="n"/>
      <c r="D343" s="31" t="n"/>
      <c r="E343" s="35" t="n"/>
      <c r="F343" s="35" t="n"/>
      <c r="G343" s="33" t="n"/>
      <c r="H343" s="1">
        <f>IF(C343="",0,IF(OR(G343="",G343="Split"),(N(E343)-N(F343))*IFERROR(N(INDEX(Kids!$F$6:$F$11,MATCH(C343,Kids!$B$6:$B$11,0))),0),IF(G343="Save",(N(E343)-N(F343)),0)))</f>
        <v/>
      </c>
      <c r="I343">
        <f>IF(C343="",0,(N(E343)-N(F343))-H343-J343)</f>
        <v/>
      </c>
      <c r="J343">
        <f>IF(C343="",0,IF(OR(G343="",G343="Split"),(N(E343)-N(F343))*IFERROR(N(INDEX(Kids!$G$6:$G$11,MATCH(C343,Kids!$B$6:$B$11,0))),0),IF(G343="Give",(N(E343)-N(F343)),0)))</f>
        <v/>
      </c>
      <c r="K343">
        <f>IF(C343="",0,IF(OR(G343="",G343="Split"),N(E343)*IFERROR(N(INDEX(Kids!$F$6:$F$11,MATCH(C343,Kids!$B$6:$B$11,0))),0),IF(G343="Save",N(E343),0)))</f>
        <v/>
      </c>
    </row>
    <row r="344">
      <c r="A344" s="1" t="n"/>
      <c r="B344" s="34" t="n"/>
      <c r="C344" s="30" t="n"/>
      <c r="D344" s="31" t="n"/>
      <c r="E344" s="35" t="n"/>
      <c r="F344" s="35" t="n"/>
      <c r="G344" s="33" t="n"/>
      <c r="H344" s="1">
        <f>IF(C344="",0,IF(OR(G344="",G344="Split"),(N(E344)-N(F344))*IFERROR(N(INDEX(Kids!$F$6:$F$11,MATCH(C344,Kids!$B$6:$B$11,0))),0),IF(G344="Save",(N(E344)-N(F344)),0)))</f>
        <v/>
      </c>
      <c r="I344">
        <f>IF(C344="",0,(N(E344)-N(F344))-H344-J344)</f>
        <v/>
      </c>
      <c r="J344">
        <f>IF(C344="",0,IF(OR(G344="",G344="Split"),(N(E344)-N(F344))*IFERROR(N(INDEX(Kids!$G$6:$G$11,MATCH(C344,Kids!$B$6:$B$11,0))),0),IF(G344="Give",(N(E344)-N(F344)),0)))</f>
        <v/>
      </c>
      <c r="K344">
        <f>IF(C344="",0,IF(OR(G344="",G344="Split"),N(E344)*IFERROR(N(INDEX(Kids!$F$6:$F$11,MATCH(C344,Kids!$B$6:$B$11,0))),0),IF(G344="Save",N(E344),0)))</f>
        <v/>
      </c>
    </row>
    <row r="345">
      <c r="A345" s="1" t="n"/>
      <c r="B345" s="34" t="n"/>
      <c r="C345" s="30" t="n"/>
      <c r="D345" s="31" t="n"/>
      <c r="E345" s="35" t="n"/>
      <c r="F345" s="35" t="n"/>
      <c r="G345" s="33" t="n"/>
      <c r="H345" s="1">
        <f>IF(C345="",0,IF(OR(G345="",G345="Split"),(N(E345)-N(F345))*IFERROR(N(INDEX(Kids!$F$6:$F$11,MATCH(C345,Kids!$B$6:$B$11,0))),0),IF(G345="Save",(N(E345)-N(F345)),0)))</f>
        <v/>
      </c>
      <c r="I345">
        <f>IF(C345="",0,(N(E345)-N(F345))-H345-J345)</f>
        <v/>
      </c>
      <c r="J345">
        <f>IF(C345="",0,IF(OR(G345="",G345="Split"),(N(E345)-N(F345))*IFERROR(N(INDEX(Kids!$G$6:$G$11,MATCH(C345,Kids!$B$6:$B$11,0))),0),IF(G345="Give",(N(E345)-N(F345)),0)))</f>
        <v/>
      </c>
      <c r="K345">
        <f>IF(C345="",0,IF(OR(G345="",G345="Split"),N(E345)*IFERROR(N(INDEX(Kids!$F$6:$F$11,MATCH(C345,Kids!$B$6:$B$11,0))),0),IF(G345="Save",N(E345),0)))</f>
        <v/>
      </c>
    </row>
    <row r="346">
      <c r="A346" s="1" t="n"/>
      <c r="B346" s="34" t="n"/>
      <c r="C346" s="30" t="n"/>
      <c r="D346" s="31" t="n"/>
      <c r="E346" s="35" t="n"/>
      <c r="F346" s="35" t="n"/>
      <c r="G346" s="33" t="n"/>
      <c r="H346" s="1">
        <f>IF(C346="",0,IF(OR(G346="",G346="Split"),(N(E346)-N(F346))*IFERROR(N(INDEX(Kids!$F$6:$F$11,MATCH(C346,Kids!$B$6:$B$11,0))),0),IF(G346="Save",(N(E346)-N(F346)),0)))</f>
        <v/>
      </c>
      <c r="I346">
        <f>IF(C346="",0,(N(E346)-N(F346))-H346-J346)</f>
        <v/>
      </c>
      <c r="J346">
        <f>IF(C346="",0,IF(OR(G346="",G346="Split"),(N(E346)-N(F346))*IFERROR(N(INDEX(Kids!$G$6:$G$11,MATCH(C346,Kids!$B$6:$B$11,0))),0),IF(G346="Give",(N(E346)-N(F346)),0)))</f>
        <v/>
      </c>
      <c r="K346">
        <f>IF(C346="",0,IF(OR(G346="",G346="Split"),N(E346)*IFERROR(N(INDEX(Kids!$F$6:$F$11,MATCH(C346,Kids!$B$6:$B$11,0))),0),IF(G346="Save",N(E346),0)))</f>
        <v/>
      </c>
    </row>
    <row r="347">
      <c r="A347" s="1" t="n"/>
      <c r="B347" s="34" t="n"/>
      <c r="C347" s="30" t="n"/>
      <c r="D347" s="31" t="n"/>
      <c r="E347" s="35" t="n"/>
      <c r="F347" s="35" t="n"/>
      <c r="G347" s="33" t="n"/>
      <c r="H347" s="1">
        <f>IF(C347="",0,IF(OR(G347="",G347="Split"),(N(E347)-N(F347))*IFERROR(N(INDEX(Kids!$F$6:$F$11,MATCH(C347,Kids!$B$6:$B$11,0))),0),IF(G347="Save",(N(E347)-N(F347)),0)))</f>
        <v/>
      </c>
      <c r="I347">
        <f>IF(C347="",0,(N(E347)-N(F347))-H347-J347)</f>
        <v/>
      </c>
      <c r="J347">
        <f>IF(C347="",0,IF(OR(G347="",G347="Split"),(N(E347)-N(F347))*IFERROR(N(INDEX(Kids!$G$6:$G$11,MATCH(C347,Kids!$B$6:$B$11,0))),0),IF(G347="Give",(N(E347)-N(F347)),0)))</f>
        <v/>
      </c>
      <c r="K347">
        <f>IF(C347="",0,IF(OR(G347="",G347="Split"),N(E347)*IFERROR(N(INDEX(Kids!$F$6:$F$11,MATCH(C347,Kids!$B$6:$B$11,0))),0),IF(G347="Save",N(E347),0)))</f>
        <v/>
      </c>
    </row>
    <row r="348">
      <c r="A348" s="1" t="n"/>
      <c r="B348" s="34" t="n"/>
      <c r="C348" s="30" t="n"/>
      <c r="D348" s="31" t="n"/>
      <c r="E348" s="35" t="n"/>
      <c r="F348" s="35" t="n"/>
      <c r="G348" s="33" t="n"/>
      <c r="H348" s="1">
        <f>IF(C348="",0,IF(OR(G348="",G348="Split"),(N(E348)-N(F348))*IFERROR(N(INDEX(Kids!$F$6:$F$11,MATCH(C348,Kids!$B$6:$B$11,0))),0),IF(G348="Save",(N(E348)-N(F348)),0)))</f>
        <v/>
      </c>
      <c r="I348">
        <f>IF(C348="",0,(N(E348)-N(F348))-H348-J348)</f>
        <v/>
      </c>
      <c r="J348">
        <f>IF(C348="",0,IF(OR(G348="",G348="Split"),(N(E348)-N(F348))*IFERROR(N(INDEX(Kids!$G$6:$G$11,MATCH(C348,Kids!$B$6:$B$11,0))),0),IF(G348="Give",(N(E348)-N(F348)),0)))</f>
        <v/>
      </c>
      <c r="K348">
        <f>IF(C348="",0,IF(OR(G348="",G348="Split"),N(E348)*IFERROR(N(INDEX(Kids!$F$6:$F$11,MATCH(C348,Kids!$B$6:$B$11,0))),0),IF(G348="Save",N(E348),0)))</f>
        <v/>
      </c>
    </row>
    <row r="349">
      <c r="A349" s="1" t="n"/>
      <c r="B349" s="34" t="n"/>
      <c r="C349" s="30" t="n"/>
      <c r="D349" s="31" t="n"/>
      <c r="E349" s="35" t="n"/>
      <c r="F349" s="35" t="n"/>
      <c r="G349" s="33" t="n"/>
      <c r="H349" s="1">
        <f>IF(C349="",0,IF(OR(G349="",G349="Split"),(N(E349)-N(F349))*IFERROR(N(INDEX(Kids!$F$6:$F$11,MATCH(C349,Kids!$B$6:$B$11,0))),0),IF(G349="Save",(N(E349)-N(F349)),0)))</f>
        <v/>
      </c>
      <c r="I349">
        <f>IF(C349="",0,(N(E349)-N(F349))-H349-J349)</f>
        <v/>
      </c>
      <c r="J349">
        <f>IF(C349="",0,IF(OR(G349="",G349="Split"),(N(E349)-N(F349))*IFERROR(N(INDEX(Kids!$G$6:$G$11,MATCH(C349,Kids!$B$6:$B$11,0))),0),IF(G349="Give",(N(E349)-N(F349)),0)))</f>
        <v/>
      </c>
      <c r="K349">
        <f>IF(C349="",0,IF(OR(G349="",G349="Split"),N(E349)*IFERROR(N(INDEX(Kids!$F$6:$F$11,MATCH(C349,Kids!$B$6:$B$11,0))),0),IF(G349="Save",N(E349),0)))</f>
        <v/>
      </c>
    </row>
    <row r="350">
      <c r="A350" s="1" t="n"/>
      <c r="B350" s="34" t="n"/>
      <c r="C350" s="30" t="n"/>
      <c r="D350" s="31" t="n"/>
      <c r="E350" s="35" t="n"/>
      <c r="F350" s="35" t="n"/>
      <c r="G350" s="33" t="n"/>
      <c r="H350" s="1">
        <f>IF(C350="",0,IF(OR(G350="",G350="Split"),(N(E350)-N(F350))*IFERROR(N(INDEX(Kids!$F$6:$F$11,MATCH(C350,Kids!$B$6:$B$11,0))),0),IF(G350="Save",(N(E350)-N(F350)),0)))</f>
        <v/>
      </c>
      <c r="I350">
        <f>IF(C350="",0,(N(E350)-N(F350))-H350-J350)</f>
        <v/>
      </c>
      <c r="J350">
        <f>IF(C350="",0,IF(OR(G350="",G350="Split"),(N(E350)-N(F350))*IFERROR(N(INDEX(Kids!$G$6:$G$11,MATCH(C350,Kids!$B$6:$B$11,0))),0),IF(G350="Give",(N(E350)-N(F350)),0)))</f>
        <v/>
      </c>
      <c r="K350">
        <f>IF(C350="",0,IF(OR(G350="",G350="Split"),N(E350)*IFERROR(N(INDEX(Kids!$F$6:$F$11,MATCH(C350,Kids!$B$6:$B$11,0))),0),IF(G350="Save",N(E350),0)))</f>
        <v/>
      </c>
    </row>
    <row r="351">
      <c r="A351" s="1" t="n"/>
      <c r="B351" s="34" t="n"/>
      <c r="C351" s="30" t="n"/>
      <c r="D351" s="31" t="n"/>
      <c r="E351" s="35" t="n"/>
      <c r="F351" s="35" t="n"/>
      <c r="G351" s="33" t="n"/>
      <c r="H351" s="1">
        <f>IF(C351="",0,IF(OR(G351="",G351="Split"),(N(E351)-N(F351))*IFERROR(N(INDEX(Kids!$F$6:$F$11,MATCH(C351,Kids!$B$6:$B$11,0))),0),IF(G351="Save",(N(E351)-N(F351)),0)))</f>
        <v/>
      </c>
      <c r="I351">
        <f>IF(C351="",0,(N(E351)-N(F351))-H351-J351)</f>
        <v/>
      </c>
      <c r="J351">
        <f>IF(C351="",0,IF(OR(G351="",G351="Split"),(N(E351)-N(F351))*IFERROR(N(INDEX(Kids!$G$6:$G$11,MATCH(C351,Kids!$B$6:$B$11,0))),0),IF(G351="Give",(N(E351)-N(F351)),0)))</f>
        <v/>
      </c>
      <c r="K351">
        <f>IF(C351="",0,IF(OR(G351="",G351="Split"),N(E351)*IFERROR(N(INDEX(Kids!$F$6:$F$11,MATCH(C351,Kids!$B$6:$B$11,0))),0),IF(G351="Save",N(E351),0)))</f>
        <v/>
      </c>
    </row>
    <row r="352">
      <c r="A352" s="1" t="n"/>
      <c r="B352" s="34" t="n"/>
      <c r="C352" s="30" t="n"/>
      <c r="D352" s="31" t="n"/>
      <c r="E352" s="35" t="n"/>
      <c r="F352" s="35" t="n"/>
      <c r="G352" s="33" t="n"/>
      <c r="H352" s="1">
        <f>IF(C352="",0,IF(OR(G352="",G352="Split"),(N(E352)-N(F352))*IFERROR(N(INDEX(Kids!$F$6:$F$11,MATCH(C352,Kids!$B$6:$B$11,0))),0),IF(G352="Save",(N(E352)-N(F352)),0)))</f>
        <v/>
      </c>
      <c r="I352">
        <f>IF(C352="",0,(N(E352)-N(F352))-H352-J352)</f>
        <v/>
      </c>
      <c r="J352">
        <f>IF(C352="",0,IF(OR(G352="",G352="Split"),(N(E352)-N(F352))*IFERROR(N(INDEX(Kids!$G$6:$G$11,MATCH(C352,Kids!$B$6:$B$11,0))),0),IF(G352="Give",(N(E352)-N(F352)),0)))</f>
        <v/>
      </c>
      <c r="K352">
        <f>IF(C352="",0,IF(OR(G352="",G352="Split"),N(E352)*IFERROR(N(INDEX(Kids!$F$6:$F$11,MATCH(C352,Kids!$B$6:$B$11,0))),0),IF(G352="Save",N(E352),0)))</f>
        <v/>
      </c>
    </row>
    <row r="353">
      <c r="A353" s="1" t="n"/>
      <c r="B353" s="34" t="n"/>
      <c r="C353" s="30" t="n"/>
      <c r="D353" s="31" t="n"/>
      <c r="E353" s="35" t="n"/>
      <c r="F353" s="35" t="n"/>
      <c r="G353" s="33" t="n"/>
      <c r="H353" s="1">
        <f>IF(C353="",0,IF(OR(G353="",G353="Split"),(N(E353)-N(F353))*IFERROR(N(INDEX(Kids!$F$6:$F$11,MATCH(C353,Kids!$B$6:$B$11,0))),0),IF(G353="Save",(N(E353)-N(F353)),0)))</f>
        <v/>
      </c>
      <c r="I353">
        <f>IF(C353="",0,(N(E353)-N(F353))-H353-J353)</f>
        <v/>
      </c>
      <c r="J353">
        <f>IF(C353="",0,IF(OR(G353="",G353="Split"),(N(E353)-N(F353))*IFERROR(N(INDEX(Kids!$G$6:$G$11,MATCH(C353,Kids!$B$6:$B$11,0))),0),IF(G353="Give",(N(E353)-N(F353)),0)))</f>
        <v/>
      </c>
      <c r="K353">
        <f>IF(C353="",0,IF(OR(G353="",G353="Split"),N(E353)*IFERROR(N(INDEX(Kids!$F$6:$F$11,MATCH(C353,Kids!$B$6:$B$11,0))),0),IF(G353="Save",N(E353),0)))</f>
        <v/>
      </c>
    </row>
    <row r="354">
      <c r="A354" s="1" t="n"/>
      <c r="B354" s="34" t="n"/>
      <c r="C354" s="30" t="n"/>
      <c r="D354" s="31" t="n"/>
      <c r="E354" s="35" t="n"/>
      <c r="F354" s="35" t="n"/>
      <c r="G354" s="33" t="n"/>
      <c r="H354" s="1">
        <f>IF(C354="",0,IF(OR(G354="",G354="Split"),(N(E354)-N(F354))*IFERROR(N(INDEX(Kids!$F$6:$F$11,MATCH(C354,Kids!$B$6:$B$11,0))),0),IF(G354="Save",(N(E354)-N(F354)),0)))</f>
        <v/>
      </c>
      <c r="I354">
        <f>IF(C354="",0,(N(E354)-N(F354))-H354-J354)</f>
        <v/>
      </c>
      <c r="J354">
        <f>IF(C354="",0,IF(OR(G354="",G354="Split"),(N(E354)-N(F354))*IFERROR(N(INDEX(Kids!$G$6:$G$11,MATCH(C354,Kids!$B$6:$B$11,0))),0),IF(G354="Give",(N(E354)-N(F354)),0)))</f>
        <v/>
      </c>
      <c r="K354">
        <f>IF(C354="",0,IF(OR(G354="",G354="Split"),N(E354)*IFERROR(N(INDEX(Kids!$F$6:$F$11,MATCH(C354,Kids!$B$6:$B$11,0))),0),IF(G354="Save",N(E354),0)))</f>
        <v/>
      </c>
    </row>
    <row r="355">
      <c r="A355" s="1" t="n"/>
      <c r="B355" s="34" t="n"/>
      <c r="C355" s="30" t="n"/>
      <c r="D355" s="31" t="n"/>
      <c r="E355" s="35" t="n"/>
      <c r="F355" s="35" t="n"/>
      <c r="G355" s="33" t="n"/>
      <c r="H355" s="1">
        <f>IF(C355="",0,IF(OR(G355="",G355="Split"),(N(E355)-N(F355))*IFERROR(N(INDEX(Kids!$F$6:$F$11,MATCH(C355,Kids!$B$6:$B$11,0))),0),IF(G355="Save",(N(E355)-N(F355)),0)))</f>
        <v/>
      </c>
      <c r="I355">
        <f>IF(C355="",0,(N(E355)-N(F355))-H355-J355)</f>
        <v/>
      </c>
      <c r="J355">
        <f>IF(C355="",0,IF(OR(G355="",G355="Split"),(N(E355)-N(F355))*IFERROR(N(INDEX(Kids!$G$6:$G$11,MATCH(C355,Kids!$B$6:$B$11,0))),0),IF(G355="Give",(N(E355)-N(F355)),0)))</f>
        <v/>
      </c>
      <c r="K355">
        <f>IF(C355="",0,IF(OR(G355="",G355="Split"),N(E355)*IFERROR(N(INDEX(Kids!$F$6:$F$11,MATCH(C355,Kids!$B$6:$B$11,0))),0),IF(G355="Save",N(E355),0)))</f>
        <v/>
      </c>
    </row>
    <row r="356">
      <c r="A356" s="1" t="n"/>
      <c r="B356" s="34" t="n"/>
      <c r="C356" s="30" t="n"/>
      <c r="D356" s="31" t="n"/>
      <c r="E356" s="35" t="n"/>
      <c r="F356" s="35" t="n"/>
      <c r="G356" s="33" t="n"/>
      <c r="H356" s="1">
        <f>IF(C356="",0,IF(OR(G356="",G356="Split"),(N(E356)-N(F356))*IFERROR(N(INDEX(Kids!$F$6:$F$11,MATCH(C356,Kids!$B$6:$B$11,0))),0),IF(G356="Save",(N(E356)-N(F356)),0)))</f>
        <v/>
      </c>
      <c r="I356">
        <f>IF(C356="",0,(N(E356)-N(F356))-H356-J356)</f>
        <v/>
      </c>
      <c r="J356">
        <f>IF(C356="",0,IF(OR(G356="",G356="Split"),(N(E356)-N(F356))*IFERROR(N(INDEX(Kids!$G$6:$G$11,MATCH(C356,Kids!$B$6:$B$11,0))),0),IF(G356="Give",(N(E356)-N(F356)),0)))</f>
        <v/>
      </c>
      <c r="K356">
        <f>IF(C356="",0,IF(OR(G356="",G356="Split"),N(E356)*IFERROR(N(INDEX(Kids!$F$6:$F$11,MATCH(C356,Kids!$B$6:$B$11,0))),0),IF(G356="Save",N(E356),0)))</f>
        <v/>
      </c>
    </row>
    <row r="357">
      <c r="A357" s="1" t="n"/>
      <c r="B357" s="34" t="n"/>
      <c r="C357" s="30" t="n"/>
      <c r="D357" s="31" t="n"/>
      <c r="E357" s="35" t="n"/>
      <c r="F357" s="35" t="n"/>
      <c r="G357" s="33" t="n"/>
      <c r="H357" s="1">
        <f>IF(C357="",0,IF(OR(G357="",G357="Split"),(N(E357)-N(F357))*IFERROR(N(INDEX(Kids!$F$6:$F$11,MATCH(C357,Kids!$B$6:$B$11,0))),0),IF(G357="Save",(N(E357)-N(F357)),0)))</f>
        <v/>
      </c>
      <c r="I357">
        <f>IF(C357="",0,(N(E357)-N(F357))-H357-J357)</f>
        <v/>
      </c>
      <c r="J357">
        <f>IF(C357="",0,IF(OR(G357="",G357="Split"),(N(E357)-N(F357))*IFERROR(N(INDEX(Kids!$G$6:$G$11,MATCH(C357,Kids!$B$6:$B$11,0))),0),IF(G357="Give",(N(E357)-N(F357)),0)))</f>
        <v/>
      </c>
      <c r="K357">
        <f>IF(C357="",0,IF(OR(G357="",G357="Split"),N(E357)*IFERROR(N(INDEX(Kids!$F$6:$F$11,MATCH(C357,Kids!$B$6:$B$11,0))),0),IF(G357="Save",N(E357),0)))</f>
        <v/>
      </c>
    </row>
    <row r="358">
      <c r="A358" s="1" t="n"/>
      <c r="B358" s="34" t="n"/>
      <c r="C358" s="30" t="n"/>
      <c r="D358" s="31" t="n"/>
      <c r="E358" s="35" t="n"/>
      <c r="F358" s="35" t="n"/>
      <c r="G358" s="33" t="n"/>
      <c r="H358" s="1">
        <f>IF(C358="",0,IF(OR(G358="",G358="Split"),(N(E358)-N(F358))*IFERROR(N(INDEX(Kids!$F$6:$F$11,MATCH(C358,Kids!$B$6:$B$11,0))),0),IF(G358="Save",(N(E358)-N(F358)),0)))</f>
        <v/>
      </c>
      <c r="I358">
        <f>IF(C358="",0,(N(E358)-N(F358))-H358-J358)</f>
        <v/>
      </c>
      <c r="J358">
        <f>IF(C358="",0,IF(OR(G358="",G358="Split"),(N(E358)-N(F358))*IFERROR(N(INDEX(Kids!$G$6:$G$11,MATCH(C358,Kids!$B$6:$B$11,0))),0),IF(G358="Give",(N(E358)-N(F358)),0)))</f>
        <v/>
      </c>
      <c r="K358">
        <f>IF(C358="",0,IF(OR(G358="",G358="Split"),N(E358)*IFERROR(N(INDEX(Kids!$F$6:$F$11,MATCH(C358,Kids!$B$6:$B$11,0))),0),IF(G358="Save",N(E358),0)))</f>
        <v/>
      </c>
    </row>
    <row r="359">
      <c r="A359" s="1" t="n"/>
      <c r="B359" s="34" t="n"/>
      <c r="C359" s="30" t="n"/>
      <c r="D359" s="31" t="n"/>
      <c r="E359" s="35" t="n"/>
      <c r="F359" s="35" t="n"/>
      <c r="G359" s="33" t="n"/>
      <c r="H359" s="1">
        <f>IF(C359="",0,IF(OR(G359="",G359="Split"),(N(E359)-N(F359))*IFERROR(N(INDEX(Kids!$F$6:$F$11,MATCH(C359,Kids!$B$6:$B$11,0))),0),IF(G359="Save",(N(E359)-N(F359)),0)))</f>
        <v/>
      </c>
      <c r="I359">
        <f>IF(C359="",0,(N(E359)-N(F359))-H359-J359)</f>
        <v/>
      </c>
      <c r="J359">
        <f>IF(C359="",0,IF(OR(G359="",G359="Split"),(N(E359)-N(F359))*IFERROR(N(INDEX(Kids!$G$6:$G$11,MATCH(C359,Kids!$B$6:$B$11,0))),0),IF(G359="Give",(N(E359)-N(F359)),0)))</f>
        <v/>
      </c>
      <c r="K359">
        <f>IF(C359="",0,IF(OR(G359="",G359="Split"),N(E359)*IFERROR(N(INDEX(Kids!$F$6:$F$11,MATCH(C359,Kids!$B$6:$B$11,0))),0),IF(G359="Save",N(E359),0)))</f>
        <v/>
      </c>
    </row>
    <row r="360">
      <c r="A360" s="1" t="n"/>
      <c r="B360" s="34" t="n"/>
      <c r="C360" s="30" t="n"/>
      <c r="D360" s="31" t="n"/>
      <c r="E360" s="35" t="n"/>
      <c r="F360" s="35" t="n"/>
      <c r="G360" s="33" t="n"/>
      <c r="H360" s="1">
        <f>IF(C360="",0,IF(OR(G360="",G360="Split"),(N(E360)-N(F360))*IFERROR(N(INDEX(Kids!$F$6:$F$11,MATCH(C360,Kids!$B$6:$B$11,0))),0),IF(G360="Save",(N(E360)-N(F360)),0)))</f>
        <v/>
      </c>
      <c r="I360">
        <f>IF(C360="",0,(N(E360)-N(F360))-H360-J360)</f>
        <v/>
      </c>
      <c r="J360">
        <f>IF(C360="",0,IF(OR(G360="",G360="Split"),(N(E360)-N(F360))*IFERROR(N(INDEX(Kids!$G$6:$G$11,MATCH(C360,Kids!$B$6:$B$11,0))),0),IF(G360="Give",(N(E360)-N(F360)),0)))</f>
        <v/>
      </c>
      <c r="K360">
        <f>IF(C360="",0,IF(OR(G360="",G360="Split"),N(E360)*IFERROR(N(INDEX(Kids!$F$6:$F$11,MATCH(C360,Kids!$B$6:$B$11,0))),0),IF(G360="Save",N(E360),0)))</f>
        <v/>
      </c>
    </row>
    <row r="361">
      <c r="A361" s="1" t="n"/>
      <c r="B361" s="34" t="n"/>
      <c r="C361" s="30" t="n"/>
      <c r="D361" s="31" t="n"/>
      <c r="E361" s="35" t="n"/>
      <c r="F361" s="35" t="n"/>
      <c r="G361" s="33" t="n"/>
      <c r="H361" s="1">
        <f>IF(C361="",0,IF(OR(G361="",G361="Split"),(N(E361)-N(F361))*IFERROR(N(INDEX(Kids!$F$6:$F$11,MATCH(C361,Kids!$B$6:$B$11,0))),0),IF(G361="Save",(N(E361)-N(F361)),0)))</f>
        <v/>
      </c>
      <c r="I361">
        <f>IF(C361="",0,(N(E361)-N(F361))-H361-J361)</f>
        <v/>
      </c>
      <c r="J361">
        <f>IF(C361="",0,IF(OR(G361="",G361="Split"),(N(E361)-N(F361))*IFERROR(N(INDEX(Kids!$G$6:$G$11,MATCH(C361,Kids!$B$6:$B$11,0))),0),IF(G361="Give",(N(E361)-N(F361)),0)))</f>
        <v/>
      </c>
      <c r="K361">
        <f>IF(C361="",0,IF(OR(G361="",G361="Split"),N(E361)*IFERROR(N(INDEX(Kids!$F$6:$F$11,MATCH(C361,Kids!$B$6:$B$11,0))),0),IF(G361="Save",N(E361),0)))</f>
        <v/>
      </c>
    </row>
    <row r="362">
      <c r="A362" s="1" t="n"/>
      <c r="B362" s="34" t="n"/>
      <c r="C362" s="30" t="n"/>
      <c r="D362" s="31" t="n"/>
      <c r="E362" s="35" t="n"/>
      <c r="F362" s="35" t="n"/>
      <c r="G362" s="33" t="n"/>
      <c r="H362" s="1">
        <f>IF(C362="",0,IF(OR(G362="",G362="Split"),(N(E362)-N(F362))*IFERROR(N(INDEX(Kids!$F$6:$F$11,MATCH(C362,Kids!$B$6:$B$11,0))),0),IF(G362="Save",(N(E362)-N(F362)),0)))</f>
        <v/>
      </c>
      <c r="I362">
        <f>IF(C362="",0,(N(E362)-N(F362))-H362-J362)</f>
        <v/>
      </c>
      <c r="J362">
        <f>IF(C362="",0,IF(OR(G362="",G362="Split"),(N(E362)-N(F362))*IFERROR(N(INDEX(Kids!$G$6:$G$11,MATCH(C362,Kids!$B$6:$B$11,0))),0),IF(G362="Give",(N(E362)-N(F362)),0)))</f>
        <v/>
      </c>
      <c r="K362">
        <f>IF(C362="",0,IF(OR(G362="",G362="Split"),N(E362)*IFERROR(N(INDEX(Kids!$F$6:$F$11,MATCH(C362,Kids!$B$6:$B$11,0))),0),IF(G362="Save",N(E362),0)))</f>
        <v/>
      </c>
    </row>
    <row r="363">
      <c r="A363" s="1" t="n"/>
      <c r="B363" s="34" t="n"/>
      <c r="C363" s="30" t="n"/>
      <c r="D363" s="31" t="n"/>
      <c r="E363" s="35" t="n"/>
      <c r="F363" s="35" t="n"/>
      <c r="G363" s="33" t="n"/>
      <c r="H363" s="1">
        <f>IF(C363="",0,IF(OR(G363="",G363="Split"),(N(E363)-N(F363))*IFERROR(N(INDEX(Kids!$F$6:$F$11,MATCH(C363,Kids!$B$6:$B$11,0))),0),IF(G363="Save",(N(E363)-N(F363)),0)))</f>
        <v/>
      </c>
      <c r="I363">
        <f>IF(C363="",0,(N(E363)-N(F363))-H363-J363)</f>
        <v/>
      </c>
      <c r="J363">
        <f>IF(C363="",0,IF(OR(G363="",G363="Split"),(N(E363)-N(F363))*IFERROR(N(INDEX(Kids!$G$6:$G$11,MATCH(C363,Kids!$B$6:$B$11,0))),0),IF(G363="Give",(N(E363)-N(F363)),0)))</f>
        <v/>
      </c>
      <c r="K363">
        <f>IF(C363="",0,IF(OR(G363="",G363="Split"),N(E363)*IFERROR(N(INDEX(Kids!$F$6:$F$11,MATCH(C363,Kids!$B$6:$B$11,0))),0),IF(G363="Save",N(E363),0)))</f>
        <v/>
      </c>
    </row>
    <row r="364">
      <c r="A364" s="1" t="n"/>
      <c r="B364" s="34" t="n"/>
      <c r="C364" s="30" t="n"/>
      <c r="D364" s="31" t="n"/>
      <c r="E364" s="35" t="n"/>
      <c r="F364" s="35" t="n"/>
      <c r="G364" s="33" t="n"/>
      <c r="H364" s="1">
        <f>IF(C364="",0,IF(OR(G364="",G364="Split"),(N(E364)-N(F364))*IFERROR(N(INDEX(Kids!$F$6:$F$11,MATCH(C364,Kids!$B$6:$B$11,0))),0),IF(G364="Save",(N(E364)-N(F364)),0)))</f>
        <v/>
      </c>
      <c r="I364">
        <f>IF(C364="",0,(N(E364)-N(F364))-H364-J364)</f>
        <v/>
      </c>
      <c r="J364">
        <f>IF(C364="",0,IF(OR(G364="",G364="Split"),(N(E364)-N(F364))*IFERROR(N(INDEX(Kids!$G$6:$G$11,MATCH(C364,Kids!$B$6:$B$11,0))),0),IF(G364="Give",(N(E364)-N(F364)),0)))</f>
        <v/>
      </c>
      <c r="K364">
        <f>IF(C364="",0,IF(OR(G364="",G364="Split"),N(E364)*IFERROR(N(INDEX(Kids!$F$6:$F$11,MATCH(C364,Kids!$B$6:$B$11,0))),0),IF(G364="Save",N(E364),0)))</f>
        <v/>
      </c>
    </row>
    <row r="365">
      <c r="A365" s="1" t="n"/>
      <c r="B365" s="34" t="n"/>
      <c r="C365" s="30" t="n"/>
      <c r="D365" s="31" t="n"/>
      <c r="E365" s="35" t="n"/>
      <c r="F365" s="35" t="n"/>
      <c r="G365" s="33" t="n"/>
      <c r="H365" s="1">
        <f>IF(C365="",0,IF(OR(G365="",G365="Split"),(N(E365)-N(F365))*IFERROR(N(INDEX(Kids!$F$6:$F$11,MATCH(C365,Kids!$B$6:$B$11,0))),0),IF(G365="Save",(N(E365)-N(F365)),0)))</f>
        <v/>
      </c>
      <c r="I365">
        <f>IF(C365="",0,(N(E365)-N(F365))-H365-J365)</f>
        <v/>
      </c>
      <c r="J365">
        <f>IF(C365="",0,IF(OR(G365="",G365="Split"),(N(E365)-N(F365))*IFERROR(N(INDEX(Kids!$G$6:$G$11,MATCH(C365,Kids!$B$6:$B$11,0))),0),IF(G365="Give",(N(E365)-N(F365)),0)))</f>
        <v/>
      </c>
      <c r="K365">
        <f>IF(C365="",0,IF(OR(G365="",G365="Split"),N(E365)*IFERROR(N(INDEX(Kids!$F$6:$F$11,MATCH(C365,Kids!$B$6:$B$11,0))),0),IF(G365="Save",N(E365),0)))</f>
        <v/>
      </c>
    </row>
    <row r="366">
      <c r="A366" s="1" t="n"/>
      <c r="B366" s="34" t="n"/>
      <c r="C366" s="30" t="n"/>
      <c r="D366" s="31" t="n"/>
      <c r="E366" s="35" t="n"/>
      <c r="F366" s="35" t="n"/>
      <c r="G366" s="33" t="n"/>
      <c r="H366" s="1">
        <f>IF(C366="",0,IF(OR(G366="",G366="Split"),(N(E366)-N(F366))*IFERROR(N(INDEX(Kids!$F$6:$F$11,MATCH(C366,Kids!$B$6:$B$11,0))),0),IF(G366="Save",(N(E366)-N(F366)),0)))</f>
        <v/>
      </c>
      <c r="I366">
        <f>IF(C366="",0,(N(E366)-N(F366))-H366-J366)</f>
        <v/>
      </c>
      <c r="J366">
        <f>IF(C366="",0,IF(OR(G366="",G366="Split"),(N(E366)-N(F366))*IFERROR(N(INDEX(Kids!$G$6:$G$11,MATCH(C366,Kids!$B$6:$B$11,0))),0),IF(G366="Give",(N(E366)-N(F366)),0)))</f>
        <v/>
      </c>
      <c r="K366">
        <f>IF(C366="",0,IF(OR(G366="",G366="Split"),N(E366)*IFERROR(N(INDEX(Kids!$F$6:$F$11,MATCH(C366,Kids!$B$6:$B$11,0))),0),IF(G366="Save",N(E366),0)))</f>
        <v/>
      </c>
    </row>
    <row r="367">
      <c r="A367" s="1" t="n"/>
      <c r="B367" s="34" t="n"/>
      <c r="C367" s="30" t="n"/>
      <c r="D367" s="31" t="n"/>
      <c r="E367" s="35" t="n"/>
      <c r="F367" s="35" t="n"/>
      <c r="G367" s="33" t="n"/>
      <c r="H367" s="1">
        <f>IF(C367="",0,IF(OR(G367="",G367="Split"),(N(E367)-N(F367))*IFERROR(N(INDEX(Kids!$F$6:$F$11,MATCH(C367,Kids!$B$6:$B$11,0))),0),IF(G367="Save",(N(E367)-N(F367)),0)))</f>
        <v/>
      </c>
      <c r="I367">
        <f>IF(C367="",0,(N(E367)-N(F367))-H367-J367)</f>
        <v/>
      </c>
      <c r="J367">
        <f>IF(C367="",0,IF(OR(G367="",G367="Split"),(N(E367)-N(F367))*IFERROR(N(INDEX(Kids!$G$6:$G$11,MATCH(C367,Kids!$B$6:$B$11,0))),0),IF(G367="Give",(N(E367)-N(F367)),0)))</f>
        <v/>
      </c>
      <c r="K367">
        <f>IF(C367="",0,IF(OR(G367="",G367="Split"),N(E367)*IFERROR(N(INDEX(Kids!$F$6:$F$11,MATCH(C367,Kids!$B$6:$B$11,0))),0),IF(G367="Save",N(E367),0)))</f>
        <v/>
      </c>
    </row>
    <row r="368">
      <c r="A368" s="1" t="n"/>
      <c r="B368" s="34" t="n"/>
      <c r="C368" s="30" t="n"/>
      <c r="D368" s="31" t="n"/>
      <c r="E368" s="35" t="n"/>
      <c r="F368" s="35" t="n"/>
      <c r="G368" s="33" t="n"/>
      <c r="H368" s="1">
        <f>IF(C368="",0,IF(OR(G368="",G368="Split"),(N(E368)-N(F368))*IFERROR(N(INDEX(Kids!$F$6:$F$11,MATCH(C368,Kids!$B$6:$B$11,0))),0),IF(G368="Save",(N(E368)-N(F368)),0)))</f>
        <v/>
      </c>
      <c r="I368">
        <f>IF(C368="",0,(N(E368)-N(F368))-H368-J368)</f>
        <v/>
      </c>
      <c r="J368">
        <f>IF(C368="",0,IF(OR(G368="",G368="Split"),(N(E368)-N(F368))*IFERROR(N(INDEX(Kids!$G$6:$G$11,MATCH(C368,Kids!$B$6:$B$11,0))),0),IF(G368="Give",(N(E368)-N(F368)),0)))</f>
        <v/>
      </c>
      <c r="K368">
        <f>IF(C368="",0,IF(OR(G368="",G368="Split"),N(E368)*IFERROR(N(INDEX(Kids!$F$6:$F$11,MATCH(C368,Kids!$B$6:$B$11,0))),0),IF(G368="Save",N(E368),0)))</f>
        <v/>
      </c>
    </row>
    <row r="369">
      <c r="A369" s="1" t="n"/>
      <c r="B369" s="34" t="n"/>
      <c r="C369" s="30" t="n"/>
      <c r="D369" s="31" t="n"/>
      <c r="E369" s="35" t="n"/>
      <c r="F369" s="35" t="n"/>
      <c r="G369" s="33" t="n"/>
      <c r="H369" s="1">
        <f>IF(C369="",0,IF(OR(G369="",G369="Split"),(N(E369)-N(F369))*IFERROR(N(INDEX(Kids!$F$6:$F$11,MATCH(C369,Kids!$B$6:$B$11,0))),0),IF(G369="Save",(N(E369)-N(F369)),0)))</f>
        <v/>
      </c>
      <c r="I369">
        <f>IF(C369="",0,(N(E369)-N(F369))-H369-J369)</f>
        <v/>
      </c>
      <c r="J369">
        <f>IF(C369="",0,IF(OR(G369="",G369="Split"),(N(E369)-N(F369))*IFERROR(N(INDEX(Kids!$G$6:$G$11,MATCH(C369,Kids!$B$6:$B$11,0))),0),IF(G369="Give",(N(E369)-N(F369)),0)))</f>
        <v/>
      </c>
      <c r="K369">
        <f>IF(C369="",0,IF(OR(G369="",G369="Split"),N(E369)*IFERROR(N(INDEX(Kids!$F$6:$F$11,MATCH(C369,Kids!$B$6:$B$11,0))),0),IF(G369="Save",N(E369),0)))</f>
        <v/>
      </c>
    </row>
    <row r="370">
      <c r="A370" s="1" t="n"/>
      <c r="B370" s="34" t="n"/>
      <c r="C370" s="30" t="n"/>
      <c r="D370" s="31" t="n"/>
      <c r="E370" s="35" t="n"/>
      <c r="F370" s="35" t="n"/>
      <c r="G370" s="33" t="n"/>
      <c r="H370" s="1">
        <f>IF(C370="",0,IF(OR(G370="",G370="Split"),(N(E370)-N(F370))*IFERROR(N(INDEX(Kids!$F$6:$F$11,MATCH(C370,Kids!$B$6:$B$11,0))),0),IF(G370="Save",(N(E370)-N(F370)),0)))</f>
        <v/>
      </c>
      <c r="I370">
        <f>IF(C370="",0,(N(E370)-N(F370))-H370-J370)</f>
        <v/>
      </c>
      <c r="J370">
        <f>IF(C370="",0,IF(OR(G370="",G370="Split"),(N(E370)-N(F370))*IFERROR(N(INDEX(Kids!$G$6:$G$11,MATCH(C370,Kids!$B$6:$B$11,0))),0),IF(G370="Give",(N(E370)-N(F370)),0)))</f>
        <v/>
      </c>
      <c r="K370">
        <f>IF(C370="",0,IF(OR(G370="",G370="Split"),N(E370)*IFERROR(N(INDEX(Kids!$F$6:$F$11,MATCH(C370,Kids!$B$6:$B$11,0))),0),IF(G370="Save",N(E370),0)))</f>
        <v/>
      </c>
    </row>
    <row r="371">
      <c r="A371" s="1" t="n"/>
      <c r="B371" s="34" t="n"/>
      <c r="C371" s="30" t="n"/>
      <c r="D371" s="31" t="n"/>
      <c r="E371" s="35" t="n"/>
      <c r="F371" s="35" t="n"/>
      <c r="G371" s="33" t="n"/>
      <c r="H371" s="1">
        <f>IF(C371="",0,IF(OR(G371="",G371="Split"),(N(E371)-N(F371))*IFERROR(N(INDEX(Kids!$F$6:$F$11,MATCH(C371,Kids!$B$6:$B$11,0))),0),IF(G371="Save",(N(E371)-N(F371)),0)))</f>
        <v/>
      </c>
      <c r="I371">
        <f>IF(C371="",0,(N(E371)-N(F371))-H371-J371)</f>
        <v/>
      </c>
      <c r="J371">
        <f>IF(C371="",0,IF(OR(G371="",G371="Split"),(N(E371)-N(F371))*IFERROR(N(INDEX(Kids!$G$6:$G$11,MATCH(C371,Kids!$B$6:$B$11,0))),0),IF(G371="Give",(N(E371)-N(F371)),0)))</f>
        <v/>
      </c>
      <c r="K371">
        <f>IF(C371="",0,IF(OR(G371="",G371="Split"),N(E371)*IFERROR(N(INDEX(Kids!$F$6:$F$11,MATCH(C371,Kids!$B$6:$B$11,0))),0),IF(G371="Save",N(E371),0)))</f>
        <v/>
      </c>
    </row>
    <row r="372">
      <c r="A372" s="1" t="n"/>
      <c r="B372" s="34" t="n"/>
      <c r="C372" s="30" t="n"/>
      <c r="D372" s="31" t="n"/>
      <c r="E372" s="35" t="n"/>
      <c r="F372" s="35" t="n"/>
      <c r="G372" s="33" t="n"/>
      <c r="H372" s="1">
        <f>IF(C372="",0,IF(OR(G372="",G372="Split"),(N(E372)-N(F372))*IFERROR(N(INDEX(Kids!$F$6:$F$11,MATCH(C372,Kids!$B$6:$B$11,0))),0),IF(G372="Save",(N(E372)-N(F372)),0)))</f>
        <v/>
      </c>
      <c r="I372">
        <f>IF(C372="",0,(N(E372)-N(F372))-H372-J372)</f>
        <v/>
      </c>
      <c r="J372">
        <f>IF(C372="",0,IF(OR(G372="",G372="Split"),(N(E372)-N(F372))*IFERROR(N(INDEX(Kids!$G$6:$G$11,MATCH(C372,Kids!$B$6:$B$11,0))),0),IF(G372="Give",(N(E372)-N(F372)),0)))</f>
        <v/>
      </c>
      <c r="K372">
        <f>IF(C372="",0,IF(OR(G372="",G372="Split"),N(E372)*IFERROR(N(INDEX(Kids!$F$6:$F$11,MATCH(C372,Kids!$B$6:$B$11,0))),0),IF(G372="Save",N(E372),0)))</f>
        <v/>
      </c>
    </row>
    <row r="373">
      <c r="A373" s="1" t="n"/>
      <c r="B373" s="34" t="n"/>
      <c r="C373" s="30" t="n"/>
      <c r="D373" s="31" t="n"/>
      <c r="E373" s="35" t="n"/>
      <c r="F373" s="35" t="n"/>
      <c r="G373" s="33" t="n"/>
      <c r="H373" s="1">
        <f>IF(C373="",0,IF(OR(G373="",G373="Split"),(N(E373)-N(F373))*IFERROR(N(INDEX(Kids!$F$6:$F$11,MATCH(C373,Kids!$B$6:$B$11,0))),0),IF(G373="Save",(N(E373)-N(F373)),0)))</f>
        <v/>
      </c>
      <c r="I373">
        <f>IF(C373="",0,(N(E373)-N(F373))-H373-J373)</f>
        <v/>
      </c>
      <c r="J373">
        <f>IF(C373="",0,IF(OR(G373="",G373="Split"),(N(E373)-N(F373))*IFERROR(N(INDEX(Kids!$G$6:$G$11,MATCH(C373,Kids!$B$6:$B$11,0))),0),IF(G373="Give",(N(E373)-N(F373)),0)))</f>
        <v/>
      </c>
      <c r="K373">
        <f>IF(C373="",0,IF(OR(G373="",G373="Split"),N(E373)*IFERROR(N(INDEX(Kids!$F$6:$F$11,MATCH(C373,Kids!$B$6:$B$11,0))),0),IF(G373="Save",N(E373),0)))</f>
        <v/>
      </c>
    </row>
    <row r="374">
      <c r="A374" s="1" t="n"/>
      <c r="B374" s="34" t="n"/>
      <c r="C374" s="30" t="n"/>
      <c r="D374" s="31" t="n"/>
      <c r="E374" s="35" t="n"/>
      <c r="F374" s="35" t="n"/>
      <c r="G374" s="33" t="n"/>
      <c r="H374" s="1">
        <f>IF(C374="",0,IF(OR(G374="",G374="Split"),(N(E374)-N(F374))*IFERROR(N(INDEX(Kids!$F$6:$F$11,MATCH(C374,Kids!$B$6:$B$11,0))),0),IF(G374="Save",(N(E374)-N(F374)),0)))</f>
        <v/>
      </c>
      <c r="I374">
        <f>IF(C374="",0,(N(E374)-N(F374))-H374-J374)</f>
        <v/>
      </c>
      <c r="J374">
        <f>IF(C374="",0,IF(OR(G374="",G374="Split"),(N(E374)-N(F374))*IFERROR(N(INDEX(Kids!$G$6:$G$11,MATCH(C374,Kids!$B$6:$B$11,0))),0),IF(G374="Give",(N(E374)-N(F374)),0)))</f>
        <v/>
      </c>
      <c r="K374">
        <f>IF(C374="",0,IF(OR(G374="",G374="Split"),N(E374)*IFERROR(N(INDEX(Kids!$F$6:$F$11,MATCH(C374,Kids!$B$6:$B$11,0))),0),IF(G374="Save",N(E374),0)))</f>
        <v/>
      </c>
    </row>
    <row r="375">
      <c r="A375" s="1" t="n"/>
      <c r="B375" s="34" t="n"/>
      <c r="C375" s="30" t="n"/>
      <c r="D375" s="31" t="n"/>
      <c r="E375" s="35" t="n"/>
      <c r="F375" s="35" t="n"/>
      <c r="G375" s="33" t="n"/>
      <c r="H375" s="1">
        <f>IF(C375="",0,IF(OR(G375="",G375="Split"),(N(E375)-N(F375))*IFERROR(N(INDEX(Kids!$F$6:$F$11,MATCH(C375,Kids!$B$6:$B$11,0))),0),IF(G375="Save",(N(E375)-N(F375)),0)))</f>
        <v/>
      </c>
      <c r="I375">
        <f>IF(C375="",0,(N(E375)-N(F375))-H375-J375)</f>
        <v/>
      </c>
      <c r="J375">
        <f>IF(C375="",0,IF(OR(G375="",G375="Split"),(N(E375)-N(F375))*IFERROR(N(INDEX(Kids!$G$6:$G$11,MATCH(C375,Kids!$B$6:$B$11,0))),0),IF(G375="Give",(N(E375)-N(F375)),0)))</f>
        <v/>
      </c>
      <c r="K375">
        <f>IF(C375="",0,IF(OR(G375="",G375="Split"),N(E375)*IFERROR(N(INDEX(Kids!$F$6:$F$11,MATCH(C375,Kids!$B$6:$B$11,0))),0),IF(G375="Save",N(E375),0)))</f>
        <v/>
      </c>
    </row>
    <row r="376">
      <c r="A376" s="1" t="n"/>
      <c r="B376" s="34" t="n"/>
      <c r="C376" s="30" t="n"/>
      <c r="D376" s="31" t="n"/>
      <c r="E376" s="35" t="n"/>
      <c r="F376" s="35" t="n"/>
      <c r="G376" s="33" t="n"/>
      <c r="H376" s="1">
        <f>IF(C376="",0,IF(OR(G376="",G376="Split"),(N(E376)-N(F376))*IFERROR(N(INDEX(Kids!$F$6:$F$11,MATCH(C376,Kids!$B$6:$B$11,0))),0),IF(G376="Save",(N(E376)-N(F376)),0)))</f>
        <v/>
      </c>
      <c r="I376">
        <f>IF(C376="",0,(N(E376)-N(F376))-H376-J376)</f>
        <v/>
      </c>
      <c r="J376">
        <f>IF(C376="",0,IF(OR(G376="",G376="Split"),(N(E376)-N(F376))*IFERROR(N(INDEX(Kids!$G$6:$G$11,MATCH(C376,Kids!$B$6:$B$11,0))),0),IF(G376="Give",(N(E376)-N(F376)),0)))</f>
        <v/>
      </c>
      <c r="K376">
        <f>IF(C376="",0,IF(OR(G376="",G376="Split"),N(E376)*IFERROR(N(INDEX(Kids!$F$6:$F$11,MATCH(C376,Kids!$B$6:$B$11,0))),0),IF(G376="Save",N(E376),0)))</f>
        <v/>
      </c>
    </row>
    <row r="377">
      <c r="A377" s="1" t="n"/>
      <c r="B377" s="34" t="n"/>
      <c r="C377" s="30" t="n"/>
      <c r="D377" s="31" t="n"/>
      <c r="E377" s="35" t="n"/>
      <c r="F377" s="35" t="n"/>
      <c r="G377" s="33" t="n"/>
      <c r="H377" s="1">
        <f>IF(C377="",0,IF(OR(G377="",G377="Split"),(N(E377)-N(F377))*IFERROR(N(INDEX(Kids!$F$6:$F$11,MATCH(C377,Kids!$B$6:$B$11,0))),0),IF(G377="Save",(N(E377)-N(F377)),0)))</f>
        <v/>
      </c>
      <c r="I377">
        <f>IF(C377="",0,(N(E377)-N(F377))-H377-J377)</f>
        <v/>
      </c>
      <c r="J377">
        <f>IF(C377="",0,IF(OR(G377="",G377="Split"),(N(E377)-N(F377))*IFERROR(N(INDEX(Kids!$G$6:$G$11,MATCH(C377,Kids!$B$6:$B$11,0))),0),IF(G377="Give",(N(E377)-N(F377)),0)))</f>
        <v/>
      </c>
      <c r="K377">
        <f>IF(C377="",0,IF(OR(G377="",G377="Split"),N(E377)*IFERROR(N(INDEX(Kids!$F$6:$F$11,MATCH(C377,Kids!$B$6:$B$11,0))),0),IF(G377="Save",N(E377),0)))</f>
        <v/>
      </c>
    </row>
    <row r="378">
      <c r="A378" s="1" t="n"/>
      <c r="B378" s="34" t="n"/>
      <c r="C378" s="30" t="n"/>
      <c r="D378" s="31" t="n"/>
      <c r="E378" s="35" t="n"/>
      <c r="F378" s="35" t="n"/>
      <c r="G378" s="33" t="n"/>
      <c r="H378" s="1">
        <f>IF(C378="",0,IF(OR(G378="",G378="Split"),(N(E378)-N(F378))*IFERROR(N(INDEX(Kids!$F$6:$F$11,MATCH(C378,Kids!$B$6:$B$11,0))),0),IF(G378="Save",(N(E378)-N(F378)),0)))</f>
        <v/>
      </c>
      <c r="I378">
        <f>IF(C378="",0,(N(E378)-N(F378))-H378-J378)</f>
        <v/>
      </c>
      <c r="J378">
        <f>IF(C378="",0,IF(OR(G378="",G378="Split"),(N(E378)-N(F378))*IFERROR(N(INDEX(Kids!$G$6:$G$11,MATCH(C378,Kids!$B$6:$B$11,0))),0),IF(G378="Give",(N(E378)-N(F378)),0)))</f>
        <v/>
      </c>
      <c r="K378">
        <f>IF(C378="",0,IF(OR(G378="",G378="Split"),N(E378)*IFERROR(N(INDEX(Kids!$F$6:$F$11,MATCH(C378,Kids!$B$6:$B$11,0))),0),IF(G378="Save",N(E378),0)))</f>
        <v/>
      </c>
    </row>
    <row r="379">
      <c r="A379" s="1" t="n"/>
      <c r="B379" s="34" t="n"/>
      <c r="C379" s="30" t="n"/>
      <c r="D379" s="31" t="n"/>
      <c r="E379" s="35" t="n"/>
      <c r="F379" s="35" t="n"/>
      <c r="G379" s="33" t="n"/>
      <c r="H379" s="1">
        <f>IF(C379="",0,IF(OR(G379="",G379="Split"),(N(E379)-N(F379))*IFERROR(N(INDEX(Kids!$F$6:$F$11,MATCH(C379,Kids!$B$6:$B$11,0))),0),IF(G379="Save",(N(E379)-N(F379)),0)))</f>
        <v/>
      </c>
      <c r="I379">
        <f>IF(C379="",0,(N(E379)-N(F379))-H379-J379)</f>
        <v/>
      </c>
      <c r="J379">
        <f>IF(C379="",0,IF(OR(G379="",G379="Split"),(N(E379)-N(F379))*IFERROR(N(INDEX(Kids!$G$6:$G$11,MATCH(C379,Kids!$B$6:$B$11,0))),0),IF(G379="Give",(N(E379)-N(F379)),0)))</f>
        <v/>
      </c>
      <c r="K379">
        <f>IF(C379="",0,IF(OR(G379="",G379="Split"),N(E379)*IFERROR(N(INDEX(Kids!$F$6:$F$11,MATCH(C379,Kids!$B$6:$B$11,0))),0),IF(G379="Save",N(E379),0)))</f>
        <v/>
      </c>
    </row>
    <row r="380">
      <c r="A380" s="1" t="n"/>
      <c r="B380" s="34" t="n"/>
      <c r="C380" s="30" t="n"/>
      <c r="D380" s="31" t="n"/>
      <c r="E380" s="35" t="n"/>
      <c r="F380" s="35" t="n"/>
      <c r="G380" s="33" t="n"/>
      <c r="H380" s="1">
        <f>IF(C380="",0,IF(OR(G380="",G380="Split"),(N(E380)-N(F380))*IFERROR(N(INDEX(Kids!$F$6:$F$11,MATCH(C380,Kids!$B$6:$B$11,0))),0),IF(G380="Save",(N(E380)-N(F380)),0)))</f>
        <v/>
      </c>
      <c r="I380">
        <f>IF(C380="",0,(N(E380)-N(F380))-H380-J380)</f>
        <v/>
      </c>
      <c r="J380">
        <f>IF(C380="",0,IF(OR(G380="",G380="Split"),(N(E380)-N(F380))*IFERROR(N(INDEX(Kids!$G$6:$G$11,MATCH(C380,Kids!$B$6:$B$11,0))),0),IF(G380="Give",(N(E380)-N(F380)),0)))</f>
        <v/>
      </c>
      <c r="K380">
        <f>IF(C380="",0,IF(OR(G380="",G380="Split"),N(E380)*IFERROR(N(INDEX(Kids!$F$6:$F$11,MATCH(C380,Kids!$B$6:$B$11,0))),0),IF(G380="Save",N(E380),0)))</f>
        <v/>
      </c>
    </row>
    <row r="381">
      <c r="A381" s="1" t="n"/>
      <c r="B381" s="34" t="n"/>
      <c r="C381" s="30" t="n"/>
      <c r="D381" s="31" t="n"/>
      <c r="E381" s="35" t="n"/>
      <c r="F381" s="35" t="n"/>
      <c r="G381" s="33" t="n"/>
      <c r="H381" s="1">
        <f>IF(C381="",0,IF(OR(G381="",G381="Split"),(N(E381)-N(F381))*IFERROR(N(INDEX(Kids!$F$6:$F$11,MATCH(C381,Kids!$B$6:$B$11,0))),0),IF(G381="Save",(N(E381)-N(F381)),0)))</f>
        <v/>
      </c>
      <c r="I381">
        <f>IF(C381="",0,(N(E381)-N(F381))-H381-J381)</f>
        <v/>
      </c>
      <c r="J381">
        <f>IF(C381="",0,IF(OR(G381="",G381="Split"),(N(E381)-N(F381))*IFERROR(N(INDEX(Kids!$G$6:$G$11,MATCH(C381,Kids!$B$6:$B$11,0))),0),IF(G381="Give",(N(E381)-N(F381)),0)))</f>
        <v/>
      </c>
      <c r="K381">
        <f>IF(C381="",0,IF(OR(G381="",G381="Split"),N(E381)*IFERROR(N(INDEX(Kids!$F$6:$F$11,MATCH(C381,Kids!$B$6:$B$11,0))),0),IF(G381="Save",N(E381),0)))</f>
        <v/>
      </c>
    </row>
    <row r="382">
      <c r="A382" s="1" t="n"/>
      <c r="B382" s="34" t="n"/>
      <c r="C382" s="30" t="n"/>
      <c r="D382" s="31" t="n"/>
      <c r="E382" s="35" t="n"/>
      <c r="F382" s="35" t="n"/>
      <c r="G382" s="33" t="n"/>
      <c r="H382" s="1">
        <f>IF(C382="",0,IF(OR(G382="",G382="Split"),(N(E382)-N(F382))*IFERROR(N(INDEX(Kids!$F$6:$F$11,MATCH(C382,Kids!$B$6:$B$11,0))),0),IF(G382="Save",(N(E382)-N(F382)),0)))</f>
        <v/>
      </c>
      <c r="I382">
        <f>IF(C382="",0,(N(E382)-N(F382))-H382-J382)</f>
        <v/>
      </c>
      <c r="J382">
        <f>IF(C382="",0,IF(OR(G382="",G382="Split"),(N(E382)-N(F382))*IFERROR(N(INDEX(Kids!$G$6:$G$11,MATCH(C382,Kids!$B$6:$B$11,0))),0),IF(G382="Give",(N(E382)-N(F382)),0)))</f>
        <v/>
      </c>
      <c r="K382">
        <f>IF(C382="",0,IF(OR(G382="",G382="Split"),N(E382)*IFERROR(N(INDEX(Kids!$F$6:$F$11,MATCH(C382,Kids!$B$6:$B$11,0))),0),IF(G382="Save",N(E382),0)))</f>
        <v/>
      </c>
    </row>
    <row r="383">
      <c r="A383" s="1" t="n"/>
      <c r="B383" s="34" t="n"/>
      <c r="C383" s="30" t="n"/>
      <c r="D383" s="31" t="n"/>
      <c r="E383" s="35" t="n"/>
      <c r="F383" s="35" t="n"/>
      <c r="G383" s="33" t="n"/>
      <c r="H383" s="1">
        <f>IF(C383="",0,IF(OR(G383="",G383="Split"),(N(E383)-N(F383))*IFERROR(N(INDEX(Kids!$F$6:$F$11,MATCH(C383,Kids!$B$6:$B$11,0))),0),IF(G383="Save",(N(E383)-N(F383)),0)))</f>
        <v/>
      </c>
      <c r="I383">
        <f>IF(C383="",0,(N(E383)-N(F383))-H383-J383)</f>
        <v/>
      </c>
      <c r="J383">
        <f>IF(C383="",0,IF(OR(G383="",G383="Split"),(N(E383)-N(F383))*IFERROR(N(INDEX(Kids!$G$6:$G$11,MATCH(C383,Kids!$B$6:$B$11,0))),0),IF(G383="Give",(N(E383)-N(F383)),0)))</f>
        <v/>
      </c>
      <c r="K383">
        <f>IF(C383="",0,IF(OR(G383="",G383="Split"),N(E383)*IFERROR(N(INDEX(Kids!$F$6:$F$11,MATCH(C383,Kids!$B$6:$B$11,0))),0),IF(G383="Save",N(E383),0)))</f>
        <v/>
      </c>
    </row>
    <row r="384">
      <c r="A384" s="1" t="n"/>
      <c r="B384" s="34" t="n"/>
      <c r="C384" s="30" t="n"/>
      <c r="D384" s="31" t="n"/>
      <c r="E384" s="35" t="n"/>
      <c r="F384" s="35" t="n"/>
      <c r="G384" s="33" t="n"/>
      <c r="H384" s="1">
        <f>IF(C384="",0,IF(OR(G384="",G384="Split"),(N(E384)-N(F384))*IFERROR(N(INDEX(Kids!$F$6:$F$11,MATCH(C384,Kids!$B$6:$B$11,0))),0),IF(G384="Save",(N(E384)-N(F384)),0)))</f>
        <v/>
      </c>
      <c r="I384">
        <f>IF(C384="",0,(N(E384)-N(F384))-H384-J384)</f>
        <v/>
      </c>
      <c r="J384">
        <f>IF(C384="",0,IF(OR(G384="",G384="Split"),(N(E384)-N(F384))*IFERROR(N(INDEX(Kids!$G$6:$G$11,MATCH(C384,Kids!$B$6:$B$11,0))),0),IF(G384="Give",(N(E384)-N(F384)),0)))</f>
        <v/>
      </c>
      <c r="K384">
        <f>IF(C384="",0,IF(OR(G384="",G384="Split"),N(E384)*IFERROR(N(INDEX(Kids!$F$6:$F$11,MATCH(C384,Kids!$B$6:$B$11,0))),0),IF(G384="Save",N(E384),0)))</f>
        <v/>
      </c>
    </row>
    <row r="385">
      <c r="A385" s="1" t="n"/>
      <c r="B385" s="34" t="n"/>
      <c r="C385" s="30" t="n"/>
      <c r="D385" s="31" t="n"/>
      <c r="E385" s="35" t="n"/>
      <c r="F385" s="35" t="n"/>
      <c r="G385" s="33" t="n"/>
      <c r="H385" s="1">
        <f>IF(C385="",0,IF(OR(G385="",G385="Split"),(N(E385)-N(F385))*IFERROR(N(INDEX(Kids!$F$6:$F$11,MATCH(C385,Kids!$B$6:$B$11,0))),0),IF(G385="Save",(N(E385)-N(F385)),0)))</f>
        <v/>
      </c>
      <c r="I385">
        <f>IF(C385="",0,(N(E385)-N(F385))-H385-J385)</f>
        <v/>
      </c>
      <c r="J385">
        <f>IF(C385="",0,IF(OR(G385="",G385="Split"),(N(E385)-N(F385))*IFERROR(N(INDEX(Kids!$G$6:$G$11,MATCH(C385,Kids!$B$6:$B$11,0))),0),IF(G385="Give",(N(E385)-N(F385)),0)))</f>
        <v/>
      </c>
      <c r="K385">
        <f>IF(C385="",0,IF(OR(G385="",G385="Split"),N(E385)*IFERROR(N(INDEX(Kids!$F$6:$F$11,MATCH(C385,Kids!$B$6:$B$11,0))),0),IF(G385="Save",N(E385),0)))</f>
        <v/>
      </c>
    </row>
    <row r="386">
      <c r="A386" s="1" t="n"/>
      <c r="B386" s="34" t="n"/>
      <c r="C386" s="30" t="n"/>
      <c r="D386" s="31" t="n"/>
      <c r="E386" s="35" t="n"/>
      <c r="F386" s="35" t="n"/>
      <c r="G386" s="33" t="n"/>
      <c r="H386" s="1">
        <f>IF(C386="",0,IF(OR(G386="",G386="Split"),(N(E386)-N(F386))*IFERROR(N(INDEX(Kids!$F$6:$F$11,MATCH(C386,Kids!$B$6:$B$11,0))),0),IF(G386="Save",(N(E386)-N(F386)),0)))</f>
        <v/>
      </c>
      <c r="I386">
        <f>IF(C386="",0,(N(E386)-N(F386))-H386-J386)</f>
        <v/>
      </c>
      <c r="J386">
        <f>IF(C386="",0,IF(OR(G386="",G386="Split"),(N(E386)-N(F386))*IFERROR(N(INDEX(Kids!$G$6:$G$11,MATCH(C386,Kids!$B$6:$B$11,0))),0),IF(G386="Give",(N(E386)-N(F386)),0)))</f>
        <v/>
      </c>
      <c r="K386">
        <f>IF(C386="",0,IF(OR(G386="",G386="Split"),N(E386)*IFERROR(N(INDEX(Kids!$F$6:$F$11,MATCH(C386,Kids!$B$6:$B$11,0))),0),IF(G386="Save",N(E386),0)))</f>
        <v/>
      </c>
    </row>
    <row r="387">
      <c r="A387" s="1" t="n"/>
      <c r="B387" s="34" t="n"/>
      <c r="C387" s="30" t="n"/>
      <c r="D387" s="31" t="n"/>
      <c r="E387" s="35" t="n"/>
      <c r="F387" s="35" t="n"/>
      <c r="G387" s="33" t="n"/>
      <c r="H387" s="1">
        <f>IF(C387="",0,IF(OR(G387="",G387="Split"),(N(E387)-N(F387))*IFERROR(N(INDEX(Kids!$F$6:$F$11,MATCH(C387,Kids!$B$6:$B$11,0))),0),IF(G387="Save",(N(E387)-N(F387)),0)))</f>
        <v/>
      </c>
      <c r="I387">
        <f>IF(C387="",0,(N(E387)-N(F387))-H387-J387)</f>
        <v/>
      </c>
      <c r="J387">
        <f>IF(C387="",0,IF(OR(G387="",G387="Split"),(N(E387)-N(F387))*IFERROR(N(INDEX(Kids!$G$6:$G$11,MATCH(C387,Kids!$B$6:$B$11,0))),0),IF(G387="Give",(N(E387)-N(F387)),0)))</f>
        <v/>
      </c>
      <c r="K387">
        <f>IF(C387="",0,IF(OR(G387="",G387="Split"),N(E387)*IFERROR(N(INDEX(Kids!$F$6:$F$11,MATCH(C387,Kids!$B$6:$B$11,0))),0),IF(G387="Save",N(E387),0)))</f>
        <v/>
      </c>
    </row>
    <row r="388">
      <c r="A388" s="1" t="n"/>
      <c r="B388" s="34" t="n"/>
      <c r="C388" s="30" t="n"/>
      <c r="D388" s="31" t="n"/>
      <c r="E388" s="35" t="n"/>
      <c r="F388" s="35" t="n"/>
      <c r="G388" s="33" t="n"/>
      <c r="H388" s="1">
        <f>IF(C388="",0,IF(OR(G388="",G388="Split"),(N(E388)-N(F388))*IFERROR(N(INDEX(Kids!$F$6:$F$11,MATCH(C388,Kids!$B$6:$B$11,0))),0),IF(G388="Save",(N(E388)-N(F388)),0)))</f>
        <v/>
      </c>
      <c r="I388">
        <f>IF(C388="",0,(N(E388)-N(F388))-H388-J388)</f>
        <v/>
      </c>
      <c r="J388">
        <f>IF(C388="",0,IF(OR(G388="",G388="Split"),(N(E388)-N(F388))*IFERROR(N(INDEX(Kids!$G$6:$G$11,MATCH(C388,Kids!$B$6:$B$11,0))),0),IF(G388="Give",(N(E388)-N(F388)),0)))</f>
        <v/>
      </c>
      <c r="K388">
        <f>IF(C388="",0,IF(OR(G388="",G388="Split"),N(E388)*IFERROR(N(INDEX(Kids!$F$6:$F$11,MATCH(C388,Kids!$B$6:$B$11,0))),0),IF(G388="Save",N(E388),0)))</f>
        <v/>
      </c>
    </row>
    <row r="389">
      <c r="A389" s="1" t="n"/>
      <c r="B389" s="34" t="n"/>
      <c r="C389" s="30" t="n"/>
      <c r="D389" s="31" t="n"/>
      <c r="E389" s="35" t="n"/>
      <c r="F389" s="35" t="n"/>
      <c r="G389" s="33" t="n"/>
      <c r="H389" s="1">
        <f>IF(C389="",0,IF(OR(G389="",G389="Split"),(N(E389)-N(F389))*IFERROR(N(INDEX(Kids!$F$6:$F$11,MATCH(C389,Kids!$B$6:$B$11,0))),0),IF(G389="Save",(N(E389)-N(F389)),0)))</f>
        <v/>
      </c>
      <c r="I389">
        <f>IF(C389="",0,(N(E389)-N(F389))-H389-J389)</f>
        <v/>
      </c>
      <c r="J389">
        <f>IF(C389="",0,IF(OR(G389="",G389="Split"),(N(E389)-N(F389))*IFERROR(N(INDEX(Kids!$G$6:$G$11,MATCH(C389,Kids!$B$6:$B$11,0))),0),IF(G389="Give",(N(E389)-N(F389)),0)))</f>
        <v/>
      </c>
      <c r="K389">
        <f>IF(C389="",0,IF(OR(G389="",G389="Split"),N(E389)*IFERROR(N(INDEX(Kids!$F$6:$F$11,MATCH(C389,Kids!$B$6:$B$11,0))),0),IF(G389="Save",N(E389),0)))</f>
        <v/>
      </c>
    </row>
    <row r="390">
      <c r="A390" s="1" t="n"/>
      <c r="B390" s="34" t="n"/>
      <c r="C390" s="30" t="n"/>
      <c r="D390" s="31" t="n"/>
      <c r="E390" s="35" t="n"/>
      <c r="F390" s="35" t="n"/>
      <c r="G390" s="33" t="n"/>
      <c r="H390" s="1">
        <f>IF(C390="",0,IF(OR(G390="",G390="Split"),(N(E390)-N(F390))*IFERROR(N(INDEX(Kids!$F$6:$F$11,MATCH(C390,Kids!$B$6:$B$11,0))),0),IF(G390="Save",(N(E390)-N(F390)),0)))</f>
        <v/>
      </c>
      <c r="I390">
        <f>IF(C390="",0,(N(E390)-N(F390))-H390-J390)</f>
        <v/>
      </c>
      <c r="J390">
        <f>IF(C390="",0,IF(OR(G390="",G390="Split"),(N(E390)-N(F390))*IFERROR(N(INDEX(Kids!$G$6:$G$11,MATCH(C390,Kids!$B$6:$B$11,0))),0),IF(G390="Give",(N(E390)-N(F390)),0)))</f>
        <v/>
      </c>
      <c r="K390">
        <f>IF(C390="",0,IF(OR(G390="",G390="Split"),N(E390)*IFERROR(N(INDEX(Kids!$F$6:$F$11,MATCH(C390,Kids!$B$6:$B$11,0))),0),IF(G390="Save",N(E390),0)))</f>
        <v/>
      </c>
    </row>
    <row r="391">
      <c r="A391" s="1" t="n"/>
      <c r="B391" s="34" t="n"/>
      <c r="C391" s="30" t="n"/>
      <c r="D391" s="31" t="n"/>
      <c r="E391" s="35" t="n"/>
      <c r="F391" s="35" t="n"/>
      <c r="G391" s="33" t="n"/>
      <c r="H391" s="1">
        <f>IF(C391="",0,IF(OR(G391="",G391="Split"),(N(E391)-N(F391))*IFERROR(N(INDEX(Kids!$F$6:$F$11,MATCH(C391,Kids!$B$6:$B$11,0))),0),IF(G391="Save",(N(E391)-N(F391)),0)))</f>
        <v/>
      </c>
      <c r="I391">
        <f>IF(C391="",0,(N(E391)-N(F391))-H391-J391)</f>
        <v/>
      </c>
      <c r="J391">
        <f>IF(C391="",0,IF(OR(G391="",G391="Split"),(N(E391)-N(F391))*IFERROR(N(INDEX(Kids!$G$6:$G$11,MATCH(C391,Kids!$B$6:$B$11,0))),0),IF(G391="Give",(N(E391)-N(F391)),0)))</f>
        <v/>
      </c>
      <c r="K391">
        <f>IF(C391="",0,IF(OR(G391="",G391="Split"),N(E391)*IFERROR(N(INDEX(Kids!$F$6:$F$11,MATCH(C391,Kids!$B$6:$B$11,0))),0),IF(G391="Save",N(E391),0)))</f>
        <v/>
      </c>
    </row>
    <row r="392">
      <c r="A392" s="1" t="n"/>
      <c r="B392" s="34" t="n"/>
      <c r="C392" s="30" t="n"/>
      <c r="D392" s="31" t="n"/>
      <c r="E392" s="35" t="n"/>
      <c r="F392" s="35" t="n"/>
      <c r="G392" s="33" t="n"/>
      <c r="H392" s="1">
        <f>IF(C392="",0,IF(OR(G392="",G392="Split"),(N(E392)-N(F392))*IFERROR(N(INDEX(Kids!$F$6:$F$11,MATCH(C392,Kids!$B$6:$B$11,0))),0),IF(G392="Save",(N(E392)-N(F392)),0)))</f>
        <v/>
      </c>
      <c r="I392">
        <f>IF(C392="",0,(N(E392)-N(F392))-H392-J392)</f>
        <v/>
      </c>
      <c r="J392">
        <f>IF(C392="",0,IF(OR(G392="",G392="Split"),(N(E392)-N(F392))*IFERROR(N(INDEX(Kids!$G$6:$G$11,MATCH(C392,Kids!$B$6:$B$11,0))),0),IF(G392="Give",(N(E392)-N(F392)),0)))</f>
        <v/>
      </c>
      <c r="K392">
        <f>IF(C392="",0,IF(OR(G392="",G392="Split"),N(E392)*IFERROR(N(INDEX(Kids!$F$6:$F$11,MATCH(C392,Kids!$B$6:$B$11,0))),0),IF(G392="Save",N(E392),0)))</f>
        <v/>
      </c>
    </row>
    <row r="393">
      <c r="A393" s="1" t="n"/>
      <c r="B393" s="34" t="n"/>
      <c r="C393" s="30" t="n"/>
      <c r="D393" s="31" t="n"/>
      <c r="E393" s="35" t="n"/>
      <c r="F393" s="35" t="n"/>
      <c r="G393" s="33" t="n"/>
      <c r="H393" s="1">
        <f>IF(C393="",0,IF(OR(G393="",G393="Split"),(N(E393)-N(F393))*IFERROR(N(INDEX(Kids!$F$6:$F$11,MATCH(C393,Kids!$B$6:$B$11,0))),0),IF(G393="Save",(N(E393)-N(F393)),0)))</f>
        <v/>
      </c>
      <c r="I393">
        <f>IF(C393="",0,(N(E393)-N(F393))-H393-J393)</f>
        <v/>
      </c>
      <c r="J393">
        <f>IF(C393="",0,IF(OR(G393="",G393="Split"),(N(E393)-N(F393))*IFERROR(N(INDEX(Kids!$G$6:$G$11,MATCH(C393,Kids!$B$6:$B$11,0))),0),IF(G393="Give",(N(E393)-N(F393)),0)))</f>
        <v/>
      </c>
      <c r="K393">
        <f>IF(C393="",0,IF(OR(G393="",G393="Split"),N(E393)*IFERROR(N(INDEX(Kids!$F$6:$F$11,MATCH(C393,Kids!$B$6:$B$11,0))),0),IF(G393="Save",N(E393),0)))</f>
        <v/>
      </c>
    </row>
    <row r="394">
      <c r="A394" s="1" t="n"/>
      <c r="B394" s="34" t="n"/>
      <c r="C394" s="30" t="n"/>
      <c r="D394" s="31" t="n"/>
      <c r="E394" s="35" t="n"/>
      <c r="F394" s="35" t="n"/>
      <c r="G394" s="33" t="n"/>
      <c r="H394" s="1">
        <f>IF(C394="",0,IF(OR(G394="",G394="Split"),(N(E394)-N(F394))*IFERROR(N(INDEX(Kids!$F$6:$F$11,MATCH(C394,Kids!$B$6:$B$11,0))),0),IF(G394="Save",(N(E394)-N(F394)),0)))</f>
        <v/>
      </c>
      <c r="I394">
        <f>IF(C394="",0,(N(E394)-N(F394))-H394-J394)</f>
        <v/>
      </c>
      <c r="J394">
        <f>IF(C394="",0,IF(OR(G394="",G394="Split"),(N(E394)-N(F394))*IFERROR(N(INDEX(Kids!$G$6:$G$11,MATCH(C394,Kids!$B$6:$B$11,0))),0),IF(G394="Give",(N(E394)-N(F394)),0)))</f>
        <v/>
      </c>
      <c r="K394">
        <f>IF(C394="",0,IF(OR(G394="",G394="Split"),N(E394)*IFERROR(N(INDEX(Kids!$F$6:$F$11,MATCH(C394,Kids!$B$6:$B$11,0))),0),IF(G394="Save",N(E394),0)))</f>
        <v/>
      </c>
    </row>
    <row r="395">
      <c r="A395" s="1" t="n"/>
      <c r="B395" s="34" t="n"/>
      <c r="C395" s="30" t="n"/>
      <c r="D395" s="31" t="n"/>
      <c r="E395" s="35" t="n"/>
      <c r="F395" s="35" t="n"/>
      <c r="G395" s="33" t="n"/>
      <c r="H395" s="1">
        <f>IF(C395="",0,IF(OR(G395="",G395="Split"),(N(E395)-N(F395))*IFERROR(N(INDEX(Kids!$F$6:$F$11,MATCH(C395,Kids!$B$6:$B$11,0))),0),IF(G395="Save",(N(E395)-N(F395)),0)))</f>
        <v/>
      </c>
      <c r="I395">
        <f>IF(C395="",0,(N(E395)-N(F395))-H395-J395)</f>
        <v/>
      </c>
      <c r="J395">
        <f>IF(C395="",0,IF(OR(G395="",G395="Split"),(N(E395)-N(F395))*IFERROR(N(INDEX(Kids!$G$6:$G$11,MATCH(C395,Kids!$B$6:$B$11,0))),0),IF(G395="Give",(N(E395)-N(F395)),0)))</f>
        <v/>
      </c>
      <c r="K395">
        <f>IF(C395="",0,IF(OR(G395="",G395="Split"),N(E395)*IFERROR(N(INDEX(Kids!$F$6:$F$11,MATCH(C395,Kids!$B$6:$B$11,0))),0),IF(G395="Save",N(E395),0)))</f>
        <v/>
      </c>
    </row>
    <row r="396">
      <c r="A396" s="1" t="n"/>
      <c r="B396" s="34" t="n"/>
      <c r="C396" s="30" t="n"/>
      <c r="D396" s="31" t="n"/>
      <c r="E396" s="35" t="n"/>
      <c r="F396" s="35" t="n"/>
      <c r="G396" s="33" t="n"/>
      <c r="H396" s="1">
        <f>IF(C396="",0,IF(OR(G396="",G396="Split"),(N(E396)-N(F396))*IFERROR(N(INDEX(Kids!$F$6:$F$11,MATCH(C396,Kids!$B$6:$B$11,0))),0),IF(G396="Save",(N(E396)-N(F396)),0)))</f>
        <v/>
      </c>
      <c r="I396">
        <f>IF(C396="",0,(N(E396)-N(F396))-H396-J396)</f>
        <v/>
      </c>
      <c r="J396">
        <f>IF(C396="",0,IF(OR(G396="",G396="Split"),(N(E396)-N(F396))*IFERROR(N(INDEX(Kids!$G$6:$G$11,MATCH(C396,Kids!$B$6:$B$11,0))),0),IF(G396="Give",(N(E396)-N(F396)),0)))</f>
        <v/>
      </c>
      <c r="K396">
        <f>IF(C396="",0,IF(OR(G396="",G396="Split"),N(E396)*IFERROR(N(INDEX(Kids!$F$6:$F$11,MATCH(C396,Kids!$B$6:$B$11,0))),0),IF(G396="Save",N(E396),0)))</f>
        <v/>
      </c>
    </row>
    <row r="397">
      <c r="A397" s="1" t="n"/>
      <c r="B397" s="34" t="n"/>
      <c r="C397" s="30" t="n"/>
      <c r="D397" s="31" t="n"/>
      <c r="E397" s="35" t="n"/>
      <c r="F397" s="35" t="n"/>
      <c r="G397" s="33" t="n"/>
      <c r="H397" s="1">
        <f>IF(C397="",0,IF(OR(G397="",G397="Split"),(N(E397)-N(F397))*IFERROR(N(INDEX(Kids!$F$6:$F$11,MATCH(C397,Kids!$B$6:$B$11,0))),0),IF(G397="Save",(N(E397)-N(F397)),0)))</f>
        <v/>
      </c>
      <c r="I397">
        <f>IF(C397="",0,(N(E397)-N(F397))-H397-J397)</f>
        <v/>
      </c>
      <c r="J397">
        <f>IF(C397="",0,IF(OR(G397="",G397="Split"),(N(E397)-N(F397))*IFERROR(N(INDEX(Kids!$G$6:$G$11,MATCH(C397,Kids!$B$6:$B$11,0))),0),IF(G397="Give",(N(E397)-N(F397)),0)))</f>
        <v/>
      </c>
      <c r="K397">
        <f>IF(C397="",0,IF(OR(G397="",G397="Split"),N(E397)*IFERROR(N(INDEX(Kids!$F$6:$F$11,MATCH(C397,Kids!$B$6:$B$11,0))),0),IF(G397="Save",N(E397),0)))</f>
        <v/>
      </c>
    </row>
    <row r="398">
      <c r="A398" s="1" t="n"/>
      <c r="B398" s="34" t="n"/>
      <c r="C398" s="30" t="n"/>
      <c r="D398" s="31" t="n"/>
      <c r="E398" s="35" t="n"/>
      <c r="F398" s="35" t="n"/>
      <c r="G398" s="33" t="n"/>
      <c r="H398" s="1">
        <f>IF(C398="",0,IF(OR(G398="",G398="Split"),(N(E398)-N(F398))*IFERROR(N(INDEX(Kids!$F$6:$F$11,MATCH(C398,Kids!$B$6:$B$11,0))),0),IF(G398="Save",(N(E398)-N(F398)),0)))</f>
        <v/>
      </c>
      <c r="I398">
        <f>IF(C398="",0,(N(E398)-N(F398))-H398-J398)</f>
        <v/>
      </c>
      <c r="J398">
        <f>IF(C398="",0,IF(OR(G398="",G398="Split"),(N(E398)-N(F398))*IFERROR(N(INDEX(Kids!$G$6:$G$11,MATCH(C398,Kids!$B$6:$B$11,0))),0),IF(G398="Give",(N(E398)-N(F398)),0)))</f>
        <v/>
      </c>
      <c r="K398">
        <f>IF(C398="",0,IF(OR(G398="",G398="Split"),N(E398)*IFERROR(N(INDEX(Kids!$F$6:$F$11,MATCH(C398,Kids!$B$6:$B$11,0))),0),IF(G398="Save",N(E398),0)))</f>
        <v/>
      </c>
    </row>
    <row r="399">
      <c r="A399" s="1" t="n"/>
      <c r="B399" s="34" t="n"/>
      <c r="C399" s="30" t="n"/>
      <c r="D399" s="31" t="n"/>
      <c r="E399" s="35" t="n"/>
      <c r="F399" s="35" t="n"/>
      <c r="G399" s="33" t="n"/>
      <c r="H399" s="1">
        <f>IF(C399="",0,IF(OR(G399="",G399="Split"),(N(E399)-N(F399))*IFERROR(N(INDEX(Kids!$F$6:$F$11,MATCH(C399,Kids!$B$6:$B$11,0))),0),IF(G399="Save",(N(E399)-N(F399)),0)))</f>
        <v/>
      </c>
      <c r="I399">
        <f>IF(C399="",0,(N(E399)-N(F399))-H399-J399)</f>
        <v/>
      </c>
      <c r="J399">
        <f>IF(C399="",0,IF(OR(G399="",G399="Split"),(N(E399)-N(F399))*IFERROR(N(INDEX(Kids!$G$6:$G$11,MATCH(C399,Kids!$B$6:$B$11,0))),0),IF(G399="Give",(N(E399)-N(F399)),0)))</f>
        <v/>
      </c>
      <c r="K399">
        <f>IF(C399="",0,IF(OR(G399="",G399="Split"),N(E399)*IFERROR(N(INDEX(Kids!$F$6:$F$11,MATCH(C399,Kids!$B$6:$B$11,0))),0),IF(G399="Save",N(E399),0)))</f>
        <v/>
      </c>
    </row>
    <row r="400">
      <c r="A400" s="1" t="n"/>
      <c r="B400" s="34" t="n"/>
      <c r="C400" s="30" t="n"/>
      <c r="D400" s="31" t="n"/>
      <c r="E400" s="35" t="n"/>
      <c r="F400" s="35" t="n"/>
      <c r="G400" s="33" t="n"/>
      <c r="H400" s="1">
        <f>IF(C400="",0,IF(OR(G400="",G400="Split"),(N(E400)-N(F400))*IFERROR(N(INDEX(Kids!$F$6:$F$11,MATCH(C400,Kids!$B$6:$B$11,0))),0),IF(G400="Save",(N(E400)-N(F400)),0)))</f>
        <v/>
      </c>
      <c r="I400">
        <f>IF(C400="",0,(N(E400)-N(F400))-H400-J400)</f>
        <v/>
      </c>
      <c r="J400">
        <f>IF(C400="",0,IF(OR(G400="",G400="Split"),(N(E400)-N(F400))*IFERROR(N(INDEX(Kids!$G$6:$G$11,MATCH(C400,Kids!$B$6:$B$11,0))),0),IF(G400="Give",(N(E400)-N(F400)),0)))</f>
        <v/>
      </c>
      <c r="K400">
        <f>IF(C400="",0,IF(OR(G400="",G400="Split"),N(E400)*IFERROR(N(INDEX(Kids!$F$6:$F$11,MATCH(C400,Kids!$B$6:$B$11,0))),0),IF(G400="Save",N(E400),0)))</f>
        <v/>
      </c>
    </row>
    <row r="401">
      <c r="A401" s="1" t="n"/>
      <c r="B401" s="34" t="n"/>
      <c r="C401" s="30" t="n"/>
      <c r="D401" s="31" t="n"/>
      <c r="E401" s="35" t="n"/>
      <c r="F401" s="35" t="n"/>
      <c r="G401" s="33" t="n"/>
      <c r="H401" s="1">
        <f>IF(C401="",0,IF(OR(G401="",G401="Split"),(N(E401)-N(F401))*IFERROR(N(INDEX(Kids!$F$6:$F$11,MATCH(C401,Kids!$B$6:$B$11,0))),0),IF(G401="Save",(N(E401)-N(F401)),0)))</f>
        <v/>
      </c>
      <c r="I401">
        <f>IF(C401="",0,(N(E401)-N(F401))-H401-J401)</f>
        <v/>
      </c>
      <c r="J401">
        <f>IF(C401="",0,IF(OR(G401="",G401="Split"),(N(E401)-N(F401))*IFERROR(N(INDEX(Kids!$G$6:$G$11,MATCH(C401,Kids!$B$6:$B$11,0))),0),IF(G401="Give",(N(E401)-N(F401)),0)))</f>
        <v/>
      </c>
      <c r="K401">
        <f>IF(C401="",0,IF(OR(G401="",G401="Split"),N(E401)*IFERROR(N(INDEX(Kids!$F$6:$F$11,MATCH(C401,Kids!$B$6:$B$11,0))),0),IF(G401="Save",N(E401),0)))</f>
        <v/>
      </c>
    </row>
    <row r="402">
      <c r="A402" s="1" t="n"/>
      <c r="B402" s="34" t="n"/>
      <c r="C402" s="30" t="n"/>
      <c r="D402" s="31" t="n"/>
      <c r="E402" s="35" t="n"/>
      <c r="F402" s="35" t="n"/>
      <c r="G402" s="33" t="n"/>
      <c r="H402" s="1">
        <f>IF(C402="",0,IF(OR(G402="",G402="Split"),(N(E402)-N(F402))*IFERROR(N(INDEX(Kids!$F$6:$F$11,MATCH(C402,Kids!$B$6:$B$11,0))),0),IF(G402="Save",(N(E402)-N(F402)),0)))</f>
        <v/>
      </c>
      <c r="I402">
        <f>IF(C402="",0,(N(E402)-N(F402))-H402-J402)</f>
        <v/>
      </c>
      <c r="J402">
        <f>IF(C402="",0,IF(OR(G402="",G402="Split"),(N(E402)-N(F402))*IFERROR(N(INDEX(Kids!$G$6:$G$11,MATCH(C402,Kids!$B$6:$B$11,0))),0),IF(G402="Give",(N(E402)-N(F402)),0)))</f>
        <v/>
      </c>
      <c r="K402">
        <f>IF(C402="",0,IF(OR(G402="",G402="Split"),N(E402)*IFERROR(N(INDEX(Kids!$F$6:$F$11,MATCH(C402,Kids!$B$6:$B$11,0))),0),IF(G402="Save",N(E402),0)))</f>
        <v/>
      </c>
    </row>
    <row r="403">
      <c r="A403" s="1" t="n"/>
      <c r="B403" s="34" t="n"/>
      <c r="C403" s="30" t="n"/>
      <c r="D403" s="31" t="n"/>
      <c r="E403" s="35" t="n"/>
      <c r="F403" s="35" t="n"/>
      <c r="G403" s="33" t="n"/>
      <c r="H403" s="1">
        <f>IF(C403="",0,IF(OR(G403="",G403="Split"),(N(E403)-N(F403))*IFERROR(N(INDEX(Kids!$F$6:$F$11,MATCH(C403,Kids!$B$6:$B$11,0))),0),IF(G403="Save",(N(E403)-N(F403)),0)))</f>
        <v/>
      </c>
      <c r="I403">
        <f>IF(C403="",0,(N(E403)-N(F403))-H403-J403)</f>
        <v/>
      </c>
      <c r="J403">
        <f>IF(C403="",0,IF(OR(G403="",G403="Split"),(N(E403)-N(F403))*IFERROR(N(INDEX(Kids!$G$6:$G$11,MATCH(C403,Kids!$B$6:$B$11,0))),0),IF(G403="Give",(N(E403)-N(F403)),0)))</f>
        <v/>
      </c>
      <c r="K403">
        <f>IF(C403="",0,IF(OR(G403="",G403="Split"),N(E403)*IFERROR(N(INDEX(Kids!$F$6:$F$11,MATCH(C403,Kids!$B$6:$B$11,0))),0),IF(G403="Save",N(E403),0)))</f>
        <v/>
      </c>
    </row>
    <row r="404">
      <c r="A404" s="1" t="n"/>
      <c r="B404" s="34" t="n"/>
      <c r="C404" s="30" t="n"/>
      <c r="D404" s="31" t="n"/>
      <c r="E404" s="35" t="n"/>
      <c r="F404" s="35" t="n"/>
      <c r="G404" s="33" t="n"/>
      <c r="H404" s="1">
        <f>IF(C404="",0,IF(OR(G404="",G404="Split"),(N(E404)-N(F404))*IFERROR(N(INDEX(Kids!$F$6:$F$11,MATCH(C404,Kids!$B$6:$B$11,0))),0),IF(G404="Save",(N(E404)-N(F404)),0)))</f>
        <v/>
      </c>
      <c r="I404">
        <f>IF(C404="",0,(N(E404)-N(F404))-H404-J404)</f>
        <v/>
      </c>
      <c r="J404">
        <f>IF(C404="",0,IF(OR(G404="",G404="Split"),(N(E404)-N(F404))*IFERROR(N(INDEX(Kids!$G$6:$G$11,MATCH(C404,Kids!$B$6:$B$11,0))),0),IF(G404="Give",(N(E404)-N(F404)),0)))</f>
        <v/>
      </c>
      <c r="K404">
        <f>IF(C404="",0,IF(OR(G404="",G404="Split"),N(E404)*IFERROR(N(INDEX(Kids!$F$6:$F$11,MATCH(C404,Kids!$B$6:$B$11,0))),0),IF(G404="Save",N(E404),0)))</f>
        <v/>
      </c>
    </row>
    <row r="405">
      <c r="A405" s="1" t="n"/>
      <c r="B405" s="34" t="n"/>
      <c r="C405" s="30" t="n"/>
      <c r="D405" s="31" t="n"/>
      <c r="E405" s="35" t="n"/>
      <c r="F405" s="35" t="n"/>
      <c r="G405" s="33" t="n"/>
      <c r="H405" s="1">
        <f>IF(C405="",0,IF(OR(G405="",G405="Split"),(N(E405)-N(F405))*IFERROR(N(INDEX(Kids!$F$6:$F$11,MATCH(C405,Kids!$B$6:$B$11,0))),0),IF(G405="Save",(N(E405)-N(F405)),0)))</f>
        <v/>
      </c>
      <c r="I405">
        <f>IF(C405="",0,(N(E405)-N(F405))-H405-J405)</f>
        <v/>
      </c>
      <c r="J405">
        <f>IF(C405="",0,IF(OR(G405="",G405="Split"),(N(E405)-N(F405))*IFERROR(N(INDEX(Kids!$G$6:$G$11,MATCH(C405,Kids!$B$6:$B$11,0))),0),IF(G405="Give",(N(E405)-N(F405)),0)))</f>
        <v/>
      </c>
      <c r="K405">
        <f>IF(C405="",0,IF(OR(G405="",G405="Split"),N(E405)*IFERROR(N(INDEX(Kids!$F$6:$F$11,MATCH(C405,Kids!$B$6:$B$11,0))),0),IF(G405="Save",N(E405),0)))</f>
        <v/>
      </c>
    </row>
    <row r="406">
      <c r="A406" s="1" t="n"/>
      <c r="B406" s="34" t="n"/>
      <c r="C406" s="30" t="n"/>
      <c r="D406" s="31" t="n"/>
      <c r="E406" s="35" t="n"/>
      <c r="F406" s="35" t="n"/>
      <c r="G406" s="33" t="n"/>
      <c r="H406" s="1">
        <f>IF(C406="",0,IF(OR(G406="",G406="Split"),(N(E406)-N(F406))*IFERROR(N(INDEX(Kids!$F$6:$F$11,MATCH(C406,Kids!$B$6:$B$11,0))),0),IF(G406="Save",(N(E406)-N(F406)),0)))</f>
        <v/>
      </c>
      <c r="I406">
        <f>IF(C406="",0,(N(E406)-N(F406))-H406-J406)</f>
        <v/>
      </c>
      <c r="J406">
        <f>IF(C406="",0,IF(OR(G406="",G406="Split"),(N(E406)-N(F406))*IFERROR(N(INDEX(Kids!$G$6:$G$11,MATCH(C406,Kids!$B$6:$B$11,0))),0),IF(G406="Give",(N(E406)-N(F406)),0)))</f>
        <v/>
      </c>
      <c r="K406">
        <f>IF(C406="",0,IF(OR(G406="",G406="Split"),N(E406)*IFERROR(N(INDEX(Kids!$F$6:$F$11,MATCH(C406,Kids!$B$6:$B$11,0))),0),IF(G406="Save",N(E406),0)))</f>
        <v/>
      </c>
    </row>
    <row r="407">
      <c r="A407" s="1" t="n"/>
      <c r="B407" s="34" t="n"/>
      <c r="C407" s="30" t="n"/>
      <c r="D407" s="31" t="n"/>
      <c r="E407" s="35" t="n"/>
      <c r="F407" s="35" t="n"/>
      <c r="G407" s="33" t="n"/>
      <c r="H407" s="1">
        <f>IF(C407="",0,IF(OR(G407="",G407="Split"),(N(E407)-N(F407))*IFERROR(N(INDEX(Kids!$F$6:$F$11,MATCH(C407,Kids!$B$6:$B$11,0))),0),IF(G407="Save",(N(E407)-N(F407)),0)))</f>
        <v/>
      </c>
      <c r="I407">
        <f>IF(C407="",0,(N(E407)-N(F407))-H407-J407)</f>
        <v/>
      </c>
      <c r="J407">
        <f>IF(C407="",0,IF(OR(G407="",G407="Split"),(N(E407)-N(F407))*IFERROR(N(INDEX(Kids!$G$6:$G$11,MATCH(C407,Kids!$B$6:$B$11,0))),0),IF(G407="Give",(N(E407)-N(F407)),0)))</f>
        <v/>
      </c>
      <c r="K407">
        <f>IF(C407="",0,IF(OR(G407="",G407="Split"),N(E407)*IFERROR(N(INDEX(Kids!$F$6:$F$11,MATCH(C407,Kids!$B$6:$B$11,0))),0),IF(G407="Save",N(E407),0)))</f>
        <v/>
      </c>
    </row>
    <row r="408">
      <c r="A408" s="1" t="n"/>
      <c r="B408" s="34" t="n"/>
      <c r="C408" s="30" t="n"/>
      <c r="D408" s="31" t="n"/>
      <c r="E408" s="35" t="n"/>
      <c r="F408" s="35" t="n"/>
      <c r="G408" s="33" t="n"/>
      <c r="H408" s="1">
        <f>IF(C408="",0,IF(OR(G408="",G408="Split"),(N(E408)-N(F408))*IFERROR(N(INDEX(Kids!$F$6:$F$11,MATCH(C408,Kids!$B$6:$B$11,0))),0),IF(G408="Save",(N(E408)-N(F408)),0)))</f>
        <v/>
      </c>
      <c r="I408">
        <f>IF(C408="",0,(N(E408)-N(F408))-H408-J408)</f>
        <v/>
      </c>
      <c r="J408">
        <f>IF(C408="",0,IF(OR(G408="",G408="Split"),(N(E408)-N(F408))*IFERROR(N(INDEX(Kids!$G$6:$G$11,MATCH(C408,Kids!$B$6:$B$11,0))),0),IF(G408="Give",(N(E408)-N(F408)),0)))</f>
        <v/>
      </c>
      <c r="K408">
        <f>IF(C408="",0,IF(OR(G408="",G408="Split"),N(E408)*IFERROR(N(INDEX(Kids!$F$6:$F$11,MATCH(C408,Kids!$B$6:$B$11,0))),0),IF(G408="Save",N(E408),0)))</f>
        <v/>
      </c>
    </row>
    <row r="409">
      <c r="A409" s="1" t="n"/>
      <c r="B409" s="34" t="n"/>
      <c r="C409" s="30" t="n"/>
      <c r="D409" s="31" t="n"/>
      <c r="E409" s="35" t="n"/>
      <c r="F409" s="35" t="n"/>
      <c r="G409" s="33" t="n"/>
      <c r="H409" s="1">
        <f>IF(C409="",0,IF(OR(G409="",G409="Split"),(N(E409)-N(F409))*IFERROR(N(INDEX(Kids!$F$6:$F$11,MATCH(C409,Kids!$B$6:$B$11,0))),0),IF(G409="Save",(N(E409)-N(F409)),0)))</f>
        <v/>
      </c>
      <c r="I409">
        <f>IF(C409="",0,(N(E409)-N(F409))-H409-J409)</f>
        <v/>
      </c>
      <c r="J409">
        <f>IF(C409="",0,IF(OR(G409="",G409="Split"),(N(E409)-N(F409))*IFERROR(N(INDEX(Kids!$G$6:$G$11,MATCH(C409,Kids!$B$6:$B$11,0))),0),IF(G409="Give",(N(E409)-N(F409)),0)))</f>
        <v/>
      </c>
      <c r="K409">
        <f>IF(C409="",0,IF(OR(G409="",G409="Split"),N(E409)*IFERROR(N(INDEX(Kids!$F$6:$F$11,MATCH(C409,Kids!$B$6:$B$11,0))),0),IF(G409="Save",N(E409),0)))</f>
        <v/>
      </c>
    </row>
    <row r="410">
      <c r="A410" s="1" t="n"/>
      <c r="B410" s="34" t="n"/>
      <c r="C410" s="30" t="n"/>
      <c r="D410" s="31" t="n"/>
      <c r="E410" s="35" t="n"/>
      <c r="F410" s="35" t="n"/>
      <c r="G410" s="33" t="n"/>
      <c r="H410" s="1">
        <f>IF(C410="",0,IF(OR(G410="",G410="Split"),(N(E410)-N(F410))*IFERROR(N(INDEX(Kids!$F$6:$F$11,MATCH(C410,Kids!$B$6:$B$11,0))),0),IF(G410="Save",(N(E410)-N(F410)),0)))</f>
        <v/>
      </c>
      <c r="I410">
        <f>IF(C410="",0,(N(E410)-N(F410))-H410-J410)</f>
        <v/>
      </c>
      <c r="J410">
        <f>IF(C410="",0,IF(OR(G410="",G410="Split"),(N(E410)-N(F410))*IFERROR(N(INDEX(Kids!$G$6:$G$11,MATCH(C410,Kids!$B$6:$B$11,0))),0),IF(G410="Give",(N(E410)-N(F410)),0)))</f>
        <v/>
      </c>
      <c r="K410">
        <f>IF(C410="",0,IF(OR(G410="",G410="Split"),N(E410)*IFERROR(N(INDEX(Kids!$F$6:$F$11,MATCH(C410,Kids!$B$6:$B$11,0))),0),IF(G410="Save",N(E410),0)))</f>
        <v/>
      </c>
    </row>
    <row r="411">
      <c r="A411" s="1" t="n"/>
      <c r="B411" s="34" t="n"/>
      <c r="C411" s="30" t="n"/>
      <c r="D411" s="31" t="n"/>
      <c r="E411" s="35" t="n"/>
      <c r="F411" s="35" t="n"/>
      <c r="G411" s="33" t="n"/>
      <c r="H411" s="1">
        <f>IF(C411="",0,IF(OR(G411="",G411="Split"),(N(E411)-N(F411))*IFERROR(N(INDEX(Kids!$F$6:$F$11,MATCH(C411,Kids!$B$6:$B$11,0))),0),IF(G411="Save",(N(E411)-N(F411)),0)))</f>
        <v/>
      </c>
      <c r="I411">
        <f>IF(C411="",0,(N(E411)-N(F411))-H411-J411)</f>
        <v/>
      </c>
      <c r="J411">
        <f>IF(C411="",0,IF(OR(G411="",G411="Split"),(N(E411)-N(F411))*IFERROR(N(INDEX(Kids!$G$6:$G$11,MATCH(C411,Kids!$B$6:$B$11,0))),0),IF(G411="Give",(N(E411)-N(F411)),0)))</f>
        <v/>
      </c>
      <c r="K411">
        <f>IF(C411="",0,IF(OR(G411="",G411="Split"),N(E411)*IFERROR(N(INDEX(Kids!$F$6:$F$11,MATCH(C411,Kids!$B$6:$B$11,0))),0),IF(G411="Save",N(E411),0)))</f>
        <v/>
      </c>
    </row>
    <row r="412">
      <c r="A412" s="1" t="n"/>
      <c r="B412" s="34" t="n"/>
      <c r="C412" s="30" t="n"/>
      <c r="D412" s="31" t="n"/>
      <c r="E412" s="35" t="n"/>
      <c r="F412" s="35" t="n"/>
      <c r="G412" s="33" t="n"/>
      <c r="H412" s="1">
        <f>IF(C412="",0,IF(OR(G412="",G412="Split"),(N(E412)-N(F412))*IFERROR(N(INDEX(Kids!$F$6:$F$11,MATCH(C412,Kids!$B$6:$B$11,0))),0),IF(G412="Save",(N(E412)-N(F412)),0)))</f>
        <v/>
      </c>
      <c r="I412">
        <f>IF(C412="",0,(N(E412)-N(F412))-H412-J412)</f>
        <v/>
      </c>
      <c r="J412">
        <f>IF(C412="",0,IF(OR(G412="",G412="Split"),(N(E412)-N(F412))*IFERROR(N(INDEX(Kids!$G$6:$G$11,MATCH(C412,Kids!$B$6:$B$11,0))),0),IF(G412="Give",(N(E412)-N(F412)),0)))</f>
        <v/>
      </c>
      <c r="K412">
        <f>IF(C412="",0,IF(OR(G412="",G412="Split"),N(E412)*IFERROR(N(INDEX(Kids!$F$6:$F$11,MATCH(C412,Kids!$B$6:$B$11,0))),0),IF(G412="Save",N(E412),0)))</f>
        <v/>
      </c>
    </row>
    <row r="413">
      <c r="A413" s="1" t="n"/>
      <c r="B413" s="34" t="n"/>
      <c r="C413" s="30" t="n"/>
      <c r="D413" s="31" t="n"/>
      <c r="E413" s="35" t="n"/>
      <c r="F413" s="35" t="n"/>
      <c r="G413" s="33" t="n"/>
      <c r="H413" s="1">
        <f>IF(C413="",0,IF(OR(G413="",G413="Split"),(N(E413)-N(F413))*IFERROR(N(INDEX(Kids!$F$6:$F$11,MATCH(C413,Kids!$B$6:$B$11,0))),0),IF(G413="Save",(N(E413)-N(F413)),0)))</f>
        <v/>
      </c>
      <c r="I413">
        <f>IF(C413="",0,(N(E413)-N(F413))-H413-J413)</f>
        <v/>
      </c>
      <c r="J413">
        <f>IF(C413="",0,IF(OR(G413="",G413="Split"),(N(E413)-N(F413))*IFERROR(N(INDEX(Kids!$G$6:$G$11,MATCH(C413,Kids!$B$6:$B$11,0))),0),IF(G413="Give",(N(E413)-N(F413)),0)))</f>
        <v/>
      </c>
      <c r="K413">
        <f>IF(C413="",0,IF(OR(G413="",G413="Split"),N(E413)*IFERROR(N(INDEX(Kids!$F$6:$F$11,MATCH(C413,Kids!$B$6:$B$11,0))),0),IF(G413="Save",N(E413),0)))</f>
        <v/>
      </c>
    </row>
    <row r="414">
      <c r="A414" s="1" t="n"/>
      <c r="B414" s="34" t="n"/>
      <c r="C414" s="30" t="n"/>
      <c r="D414" s="31" t="n"/>
      <c r="E414" s="35" t="n"/>
      <c r="F414" s="35" t="n"/>
      <c r="G414" s="33" t="n"/>
      <c r="H414" s="1">
        <f>IF(C414="",0,IF(OR(G414="",G414="Split"),(N(E414)-N(F414))*IFERROR(N(INDEX(Kids!$F$6:$F$11,MATCH(C414,Kids!$B$6:$B$11,0))),0),IF(G414="Save",(N(E414)-N(F414)),0)))</f>
        <v/>
      </c>
      <c r="I414">
        <f>IF(C414="",0,(N(E414)-N(F414))-H414-J414)</f>
        <v/>
      </c>
      <c r="J414">
        <f>IF(C414="",0,IF(OR(G414="",G414="Split"),(N(E414)-N(F414))*IFERROR(N(INDEX(Kids!$G$6:$G$11,MATCH(C414,Kids!$B$6:$B$11,0))),0),IF(G414="Give",(N(E414)-N(F414)),0)))</f>
        <v/>
      </c>
      <c r="K414">
        <f>IF(C414="",0,IF(OR(G414="",G414="Split"),N(E414)*IFERROR(N(INDEX(Kids!$F$6:$F$11,MATCH(C414,Kids!$B$6:$B$11,0))),0),IF(G414="Save",N(E414),0)))</f>
        <v/>
      </c>
    </row>
    <row r="415">
      <c r="A415" s="1" t="n"/>
      <c r="B415" s="34" t="n"/>
      <c r="C415" s="30" t="n"/>
      <c r="D415" s="31" t="n"/>
      <c r="E415" s="35" t="n"/>
      <c r="F415" s="35" t="n"/>
      <c r="G415" s="33" t="n"/>
      <c r="H415" s="1">
        <f>IF(C415="",0,IF(OR(G415="",G415="Split"),(N(E415)-N(F415))*IFERROR(N(INDEX(Kids!$F$6:$F$11,MATCH(C415,Kids!$B$6:$B$11,0))),0),IF(G415="Save",(N(E415)-N(F415)),0)))</f>
        <v/>
      </c>
      <c r="I415">
        <f>IF(C415="",0,(N(E415)-N(F415))-H415-J415)</f>
        <v/>
      </c>
      <c r="J415">
        <f>IF(C415="",0,IF(OR(G415="",G415="Split"),(N(E415)-N(F415))*IFERROR(N(INDEX(Kids!$G$6:$G$11,MATCH(C415,Kids!$B$6:$B$11,0))),0),IF(G415="Give",(N(E415)-N(F415)),0)))</f>
        <v/>
      </c>
      <c r="K415">
        <f>IF(C415="",0,IF(OR(G415="",G415="Split"),N(E415)*IFERROR(N(INDEX(Kids!$F$6:$F$11,MATCH(C415,Kids!$B$6:$B$11,0))),0),IF(G415="Save",N(E415),0)))</f>
        <v/>
      </c>
    </row>
    <row r="416">
      <c r="A416" s="1" t="n"/>
      <c r="B416" s="34" t="n"/>
      <c r="C416" s="30" t="n"/>
      <c r="D416" s="31" t="n"/>
      <c r="E416" s="35" t="n"/>
      <c r="F416" s="35" t="n"/>
      <c r="G416" s="33" t="n"/>
      <c r="H416" s="1">
        <f>IF(C416="",0,IF(OR(G416="",G416="Split"),(N(E416)-N(F416))*IFERROR(N(INDEX(Kids!$F$6:$F$11,MATCH(C416,Kids!$B$6:$B$11,0))),0),IF(G416="Save",(N(E416)-N(F416)),0)))</f>
        <v/>
      </c>
      <c r="I416">
        <f>IF(C416="",0,(N(E416)-N(F416))-H416-J416)</f>
        <v/>
      </c>
      <c r="J416">
        <f>IF(C416="",0,IF(OR(G416="",G416="Split"),(N(E416)-N(F416))*IFERROR(N(INDEX(Kids!$G$6:$G$11,MATCH(C416,Kids!$B$6:$B$11,0))),0),IF(G416="Give",(N(E416)-N(F416)),0)))</f>
        <v/>
      </c>
      <c r="K416">
        <f>IF(C416="",0,IF(OR(G416="",G416="Split"),N(E416)*IFERROR(N(INDEX(Kids!$F$6:$F$11,MATCH(C416,Kids!$B$6:$B$11,0))),0),IF(G416="Save",N(E416),0)))</f>
        <v/>
      </c>
    </row>
    <row r="417">
      <c r="A417" s="1" t="n"/>
      <c r="B417" s="34" t="n"/>
      <c r="C417" s="30" t="n"/>
      <c r="D417" s="31" t="n"/>
      <c r="E417" s="35" t="n"/>
      <c r="F417" s="35" t="n"/>
      <c r="G417" s="33" t="n"/>
      <c r="H417" s="1">
        <f>IF(C417="",0,IF(OR(G417="",G417="Split"),(N(E417)-N(F417))*IFERROR(N(INDEX(Kids!$F$6:$F$11,MATCH(C417,Kids!$B$6:$B$11,0))),0),IF(G417="Save",(N(E417)-N(F417)),0)))</f>
        <v/>
      </c>
      <c r="I417">
        <f>IF(C417="",0,(N(E417)-N(F417))-H417-J417)</f>
        <v/>
      </c>
      <c r="J417">
        <f>IF(C417="",0,IF(OR(G417="",G417="Split"),(N(E417)-N(F417))*IFERROR(N(INDEX(Kids!$G$6:$G$11,MATCH(C417,Kids!$B$6:$B$11,0))),0),IF(G417="Give",(N(E417)-N(F417)),0)))</f>
        <v/>
      </c>
      <c r="K417">
        <f>IF(C417="",0,IF(OR(G417="",G417="Split"),N(E417)*IFERROR(N(INDEX(Kids!$F$6:$F$11,MATCH(C417,Kids!$B$6:$B$11,0))),0),IF(G417="Save",N(E417),0)))</f>
        <v/>
      </c>
    </row>
    <row r="418">
      <c r="A418" s="1" t="n"/>
      <c r="B418" s="34" t="n"/>
      <c r="C418" s="30" t="n"/>
      <c r="D418" s="31" t="n"/>
      <c r="E418" s="35" t="n"/>
      <c r="F418" s="35" t="n"/>
      <c r="G418" s="33" t="n"/>
      <c r="H418" s="1">
        <f>IF(C418="",0,IF(OR(G418="",G418="Split"),(N(E418)-N(F418))*IFERROR(N(INDEX(Kids!$F$6:$F$11,MATCH(C418,Kids!$B$6:$B$11,0))),0),IF(G418="Save",(N(E418)-N(F418)),0)))</f>
        <v/>
      </c>
      <c r="I418">
        <f>IF(C418="",0,(N(E418)-N(F418))-H418-J418)</f>
        <v/>
      </c>
      <c r="J418">
        <f>IF(C418="",0,IF(OR(G418="",G418="Split"),(N(E418)-N(F418))*IFERROR(N(INDEX(Kids!$G$6:$G$11,MATCH(C418,Kids!$B$6:$B$11,0))),0),IF(G418="Give",(N(E418)-N(F418)),0)))</f>
        <v/>
      </c>
      <c r="K418">
        <f>IF(C418="",0,IF(OR(G418="",G418="Split"),N(E418)*IFERROR(N(INDEX(Kids!$F$6:$F$11,MATCH(C418,Kids!$B$6:$B$11,0))),0),IF(G418="Save",N(E418),0)))</f>
        <v/>
      </c>
    </row>
    <row r="419">
      <c r="A419" s="1" t="n"/>
      <c r="B419" s="34" t="n"/>
      <c r="C419" s="30" t="n"/>
      <c r="D419" s="31" t="n"/>
      <c r="E419" s="35" t="n"/>
      <c r="F419" s="35" t="n"/>
      <c r="G419" s="33" t="n"/>
      <c r="H419" s="1">
        <f>IF(C419="",0,IF(OR(G419="",G419="Split"),(N(E419)-N(F419))*IFERROR(N(INDEX(Kids!$F$6:$F$11,MATCH(C419,Kids!$B$6:$B$11,0))),0),IF(G419="Save",(N(E419)-N(F419)),0)))</f>
        <v/>
      </c>
      <c r="I419">
        <f>IF(C419="",0,(N(E419)-N(F419))-H419-J419)</f>
        <v/>
      </c>
      <c r="J419">
        <f>IF(C419="",0,IF(OR(G419="",G419="Split"),(N(E419)-N(F419))*IFERROR(N(INDEX(Kids!$G$6:$G$11,MATCH(C419,Kids!$B$6:$B$11,0))),0),IF(G419="Give",(N(E419)-N(F419)),0)))</f>
        <v/>
      </c>
      <c r="K419">
        <f>IF(C419="",0,IF(OR(G419="",G419="Split"),N(E419)*IFERROR(N(INDEX(Kids!$F$6:$F$11,MATCH(C419,Kids!$B$6:$B$11,0))),0),IF(G419="Save",N(E419),0)))</f>
        <v/>
      </c>
    </row>
    <row r="420">
      <c r="A420" s="1" t="n"/>
      <c r="B420" s="34" t="n"/>
      <c r="C420" s="30" t="n"/>
      <c r="D420" s="31" t="n"/>
      <c r="E420" s="35" t="n"/>
      <c r="F420" s="35" t="n"/>
      <c r="G420" s="33" t="n"/>
      <c r="H420" s="1">
        <f>IF(C420="",0,IF(OR(G420="",G420="Split"),(N(E420)-N(F420))*IFERROR(N(INDEX(Kids!$F$6:$F$11,MATCH(C420,Kids!$B$6:$B$11,0))),0),IF(G420="Save",(N(E420)-N(F420)),0)))</f>
        <v/>
      </c>
      <c r="I420">
        <f>IF(C420="",0,(N(E420)-N(F420))-H420-J420)</f>
        <v/>
      </c>
      <c r="J420">
        <f>IF(C420="",0,IF(OR(G420="",G420="Split"),(N(E420)-N(F420))*IFERROR(N(INDEX(Kids!$G$6:$G$11,MATCH(C420,Kids!$B$6:$B$11,0))),0),IF(G420="Give",(N(E420)-N(F420)),0)))</f>
        <v/>
      </c>
      <c r="K420">
        <f>IF(C420="",0,IF(OR(G420="",G420="Split"),N(E420)*IFERROR(N(INDEX(Kids!$F$6:$F$11,MATCH(C420,Kids!$B$6:$B$11,0))),0),IF(G420="Save",N(E420),0)))</f>
        <v/>
      </c>
    </row>
    <row r="421">
      <c r="A421" s="1" t="n"/>
      <c r="B421" s="34" t="n"/>
      <c r="C421" s="30" t="n"/>
      <c r="D421" s="31" t="n"/>
      <c r="E421" s="35" t="n"/>
      <c r="F421" s="35" t="n"/>
      <c r="G421" s="33" t="n"/>
      <c r="H421" s="1">
        <f>IF(C421="",0,IF(OR(G421="",G421="Split"),(N(E421)-N(F421))*IFERROR(N(INDEX(Kids!$F$6:$F$11,MATCH(C421,Kids!$B$6:$B$11,0))),0),IF(G421="Save",(N(E421)-N(F421)),0)))</f>
        <v/>
      </c>
      <c r="I421">
        <f>IF(C421="",0,(N(E421)-N(F421))-H421-J421)</f>
        <v/>
      </c>
      <c r="J421">
        <f>IF(C421="",0,IF(OR(G421="",G421="Split"),(N(E421)-N(F421))*IFERROR(N(INDEX(Kids!$G$6:$G$11,MATCH(C421,Kids!$B$6:$B$11,0))),0),IF(G421="Give",(N(E421)-N(F421)),0)))</f>
        <v/>
      </c>
      <c r="K421">
        <f>IF(C421="",0,IF(OR(G421="",G421="Split"),N(E421)*IFERROR(N(INDEX(Kids!$F$6:$F$11,MATCH(C421,Kids!$B$6:$B$11,0))),0),IF(G421="Save",N(E421),0)))</f>
        <v/>
      </c>
    </row>
    <row r="422">
      <c r="A422" s="1" t="n"/>
      <c r="B422" s="34" t="n"/>
      <c r="C422" s="30" t="n"/>
      <c r="D422" s="31" t="n"/>
      <c r="E422" s="35" t="n"/>
      <c r="F422" s="35" t="n"/>
      <c r="G422" s="33" t="n"/>
      <c r="H422" s="1">
        <f>IF(C422="",0,IF(OR(G422="",G422="Split"),(N(E422)-N(F422))*IFERROR(N(INDEX(Kids!$F$6:$F$11,MATCH(C422,Kids!$B$6:$B$11,0))),0),IF(G422="Save",(N(E422)-N(F422)),0)))</f>
        <v/>
      </c>
      <c r="I422">
        <f>IF(C422="",0,(N(E422)-N(F422))-H422-J422)</f>
        <v/>
      </c>
      <c r="J422">
        <f>IF(C422="",0,IF(OR(G422="",G422="Split"),(N(E422)-N(F422))*IFERROR(N(INDEX(Kids!$G$6:$G$11,MATCH(C422,Kids!$B$6:$B$11,0))),0),IF(G422="Give",(N(E422)-N(F422)),0)))</f>
        <v/>
      </c>
      <c r="K422">
        <f>IF(C422="",0,IF(OR(G422="",G422="Split"),N(E422)*IFERROR(N(INDEX(Kids!$F$6:$F$11,MATCH(C422,Kids!$B$6:$B$11,0))),0),IF(G422="Save",N(E422),0)))</f>
        <v/>
      </c>
    </row>
    <row r="423">
      <c r="A423" s="1" t="n"/>
      <c r="B423" s="34" t="n"/>
      <c r="C423" s="30" t="n"/>
      <c r="D423" s="31" t="n"/>
      <c r="E423" s="35" t="n"/>
      <c r="F423" s="35" t="n"/>
      <c r="G423" s="33" t="n"/>
      <c r="H423" s="1">
        <f>IF(C423="",0,IF(OR(G423="",G423="Split"),(N(E423)-N(F423))*IFERROR(N(INDEX(Kids!$F$6:$F$11,MATCH(C423,Kids!$B$6:$B$11,0))),0),IF(G423="Save",(N(E423)-N(F423)),0)))</f>
        <v/>
      </c>
      <c r="I423">
        <f>IF(C423="",0,(N(E423)-N(F423))-H423-J423)</f>
        <v/>
      </c>
      <c r="J423">
        <f>IF(C423="",0,IF(OR(G423="",G423="Split"),(N(E423)-N(F423))*IFERROR(N(INDEX(Kids!$G$6:$G$11,MATCH(C423,Kids!$B$6:$B$11,0))),0),IF(G423="Give",(N(E423)-N(F423)),0)))</f>
        <v/>
      </c>
      <c r="K423">
        <f>IF(C423="",0,IF(OR(G423="",G423="Split"),N(E423)*IFERROR(N(INDEX(Kids!$F$6:$F$11,MATCH(C423,Kids!$B$6:$B$11,0))),0),IF(G423="Save",N(E423),0)))</f>
        <v/>
      </c>
    </row>
    <row r="424">
      <c r="A424" s="1" t="n"/>
      <c r="B424" s="34" t="n"/>
      <c r="C424" s="30" t="n"/>
      <c r="D424" s="31" t="n"/>
      <c r="E424" s="35" t="n"/>
      <c r="F424" s="35" t="n"/>
      <c r="G424" s="33" t="n"/>
      <c r="H424" s="1">
        <f>IF(C424="",0,IF(OR(G424="",G424="Split"),(N(E424)-N(F424))*IFERROR(N(INDEX(Kids!$F$6:$F$11,MATCH(C424,Kids!$B$6:$B$11,0))),0),IF(G424="Save",(N(E424)-N(F424)),0)))</f>
        <v/>
      </c>
      <c r="I424">
        <f>IF(C424="",0,(N(E424)-N(F424))-H424-J424)</f>
        <v/>
      </c>
      <c r="J424">
        <f>IF(C424="",0,IF(OR(G424="",G424="Split"),(N(E424)-N(F424))*IFERROR(N(INDEX(Kids!$G$6:$G$11,MATCH(C424,Kids!$B$6:$B$11,0))),0),IF(G424="Give",(N(E424)-N(F424)),0)))</f>
        <v/>
      </c>
      <c r="K424">
        <f>IF(C424="",0,IF(OR(G424="",G424="Split"),N(E424)*IFERROR(N(INDEX(Kids!$F$6:$F$11,MATCH(C424,Kids!$B$6:$B$11,0))),0),IF(G424="Save",N(E424),0)))</f>
        <v/>
      </c>
    </row>
    <row r="425">
      <c r="A425" s="1" t="n"/>
      <c r="B425" s="34" t="n"/>
      <c r="C425" s="30" t="n"/>
      <c r="D425" s="31" t="n"/>
      <c r="E425" s="35" t="n"/>
      <c r="F425" s="35" t="n"/>
      <c r="G425" s="33" t="n"/>
      <c r="H425" s="1">
        <f>IF(C425="",0,IF(OR(G425="",G425="Split"),(N(E425)-N(F425))*IFERROR(N(INDEX(Kids!$F$6:$F$11,MATCH(C425,Kids!$B$6:$B$11,0))),0),IF(G425="Save",(N(E425)-N(F425)),0)))</f>
        <v/>
      </c>
      <c r="I425">
        <f>IF(C425="",0,(N(E425)-N(F425))-H425-J425)</f>
        <v/>
      </c>
      <c r="J425">
        <f>IF(C425="",0,IF(OR(G425="",G425="Split"),(N(E425)-N(F425))*IFERROR(N(INDEX(Kids!$G$6:$G$11,MATCH(C425,Kids!$B$6:$B$11,0))),0),IF(G425="Give",(N(E425)-N(F425)),0)))</f>
        <v/>
      </c>
      <c r="K425">
        <f>IF(C425="",0,IF(OR(G425="",G425="Split"),N(E425)*IFERROR(N(INDEX(Kids!$F$6:$F$11,MATCH(C425,Kids!$B$6:$B$11,0))),0),IF(G425="Save",N(E425),0)))</f>
        <v/>
      </c>
    </row>
    <row r="426">
      <c r="A426" s="1" t="n"/>
      <c r="B426" s="34" t="n"/>
      <c r="C426" s="30" t="n"/>
      <c r="D426" s="31" t="n"/>
      <c r="E426" s="35" t="n"/>
      <c r="F426" s="35" t="n"/>
      <c r="G426" s="33" t="n"/>
      <c r="H426" s="1">
        <f>IF(C426="",0,IF(OR(G426="",G426="Split"),(N(E426)-N(F426))*IFERROR(N(INDEX(Kids!$F$6:$F$11,MATCH(C426,Kids!$B$6:$B$11,0))),0),IF(G426="Save",(N(E426)-N(F426)),0)))</f>
        <v/>
      </c>
      <c r="I426">
        <f>IF(C426="",0,(N(E426)-N(F426))-H426-J426)</f>
        <v/>
      </c>
      <c r="J426">
        <f>IF(C426="",0,IF(OR(G426="",G426="Split"),(N(E426)-N(F426))*IFERROR(N(INDEX(Kids!$G$6:$G$11,MATCH(C426,Kids!$B$6:$B$11,0))),0),IF(G426="Give",(N(E426)-N(F426)),0)))</f>
        <v/>
      </c>
      <c r="K426">
        <f>IF(C426="",0,IF(OR(G426="",G426="Split"),N(E426)*IFERROR(N(INDEX(Kids!$F$6:$F$11,MATCH(C426,Kids!$B$6:$B$11,0))),0),IF(G426="Save",N(E426),0)))</f>
        <v/>
      </c>
    </row>
    <row r="427">
      <c r="A427" s="1" t="n"/>
      <c r="B427" s="34" t="n"/>
      <c r="C427" s="30" t="n"/>
      <c r="D427" s="31" t="n"/>
      <c r="E427" s="35" t="n"/>
      <c r="F427" s="35" t="n"/>
      <c r="G427" s="33" t="n"/>
      <c r="H427" s="1">
        <f>IF(C427="",0,IF(OR(G427="",G427="Split"),(N(E427)-N(F427))*IFERROR(N(INDEX(Kids!$F$6:$F$11,MATCH(C427,Kids!$B$6:$B$11,0))),0),IF(G427="Save",(N(E427)-N(F427)),0)))</f>
        <v/>
      </c>
      <c r="I427">
        <f>IF(C427="",0,(N(E427)-N(F427))-H427-J427)</f>
        <v/>
      </c>
      <c r="J427">
        <f>IF(C427="",0,IF(OR(G427="",G427="Split"),(N(E427)-N(F427))*IFERROR(N(INDEX(Kids!$G$6:$G$11,MATCH(C427,Kids!$B$6:$B$11,0))),0),IF(G427="Give",(N(E427)-N(F427)),0)))</f>
        <v/>
      </c>
      <c r="K427">
        <f>IF(C427="",0,IF(OR(G427="",G427="Split"),N(E427)*IFERROR(N(INDEX(Kids!$F$6:$F$11,MATCH(C427,Kids!$B$6:$B$11,0))),0),IF(G427="Save",N(E427),0)))</f>
        <v/>
      </c>
    </row>
    <row r="428">
      <c r="A428" s="1" t="n"/>
      <c r="B428" s="34" t="n"/>
      <c r="C428" s="30" t="n"/>
      <c r="D428" s="31" t="n"/>
      <c r="E428" s="35" t="n"/>
      <c r="F428" s="35" t="n"/>
      <c r="G428" s="33" t="n"/>
      <c r="H428" s="1">
        <f>IF(C428="",0,IF(OR(G428="",G428="Split"),(N(E428)-N(F428))*IFERROR(N(INDEX(Kids!$F$6:$F$11,MATCH(C428,Kids!$B$6:$B$11,0))),0),IF(G428="Save",(N(E428)-N(F428)),0)))</f>
        <v/>
      </c>
      <c r="I428">
        <f>IF(C428="",0,(N(E428)-N(F428))-H428-J428)</f>
        <v/>
      </c>
      <c r="J428">
        <f>IF(C428="",0,IF(OR(G428="",G428="Split"),(N(E428)-N(F428))*IFERROR(N(INDEX(Kids!$G$6:$G$11,MATCH(C428,Kids!$B$6:$B$11,0))),0),IF(G428="Give",(N(E428)-N(F428)),0)))</f>
        <v/>
      </c>
      <c r="K428">
        <f>IF(C428="",0,IF(OR(G428="",G428="Split"),N(E428)*IFERROR(N(INDEX(Kids!$F$6:$F$11,MATCH(C428,Kids!$B$6:$B$11,0))),0),IF(G428="Save",N(E428),0)))</f>
        <v/>
      </c>
    </row>
    <row r="429">
      <c r="A429" s="1" t="n"/>
      <c r="B429" s="34" t="n"/>
      <c r="C429" s="30" t="n"/>
      <c r="D429" s="31" t="n"/>
      <c r="E429" s="35" t="n"/>
      <c r="F429" s="35" t="n"/>
      <c r="G429" s="33" t="n"/>
      <c r="H429" s="1">
        <f>IF(C429="",0,IF(OR(G429="",G429="Split"),(N(E429)-N(F429))*IFERROR(N(INDEX(Kids!$F$6:$F$11,MATCH(C429,Kids!$B$6:$B$11,0))),0),IF(G429="Save",(N(E429)-N(F429)),0)))</f>
        <v/>
      </c>
      <c r="I429">
        <f>IF(C429="",0,(N(E429)-N(F429))-H429-J429)</f>
        <v/>
      </c>
      <c r="J429">
        <f>IF(C429="",0,IF(OR(G429="",G429="Split"),(N(E429)-N(F429))*IFERROR(N(INDEX(Kids!$G$6:$G$11,MATCH(C429,Kids!$B$6:$B$11,0))),0),IF(G429="Give",(N(E429)-N(F429)),0)))</f>
        <v/>
      </c>
      <c r="K429">
        <f>IF(C429="",0,IF(OR(G429="",G429="Split"),N(E429)*IFERROR(N(INDEX(Kids!$F$6:$F$11,MATCH(C429,Kids!$B$6:$B$11,0))),0),IF(G429="Save",N(E429),0)))</f>
        <v/>
      </c>
    </row>
    <row r="430">
      <c r="A430" s="1" t="n"/>
      <c r="B430" s="34" t="n"/>
      <c r="C430" s="30" t="n"/>
      <c r="D430" s="31" t="n"/>
      <c r="E430" s="35" t="n"/>
      <c r="F430" s="35" t="n"/>
      <c r="G430" s="33" t="n"/>
      <c r="H430" s="1">
        <f>IF(C430="",0,IF(OR(G430="",G430="Split"),(N(E430)-N(F430))*IFERROR(N(INDEX(Kids!$F$6:$F$11,MATCH(C430,Kids!$B$6:$B$11,0))),0),IF(G430="Save",(N(E430)-N(F430)),0)))</f>
        <v/>
      </c>
      <c r="I430">
        <f>IF(C430="",0,(N(E430)-N(F430))-H430-J430)</f>
        <v/>
      </c>
      <c r="J430">
        <f>IF(C430="",0,IF(OR(G430="",G430="Split"),(N(E430)-N(F430))*IFERROR(N(INDEX(Kids!$G$6:$G$11,MATCH(C430,Kids!$B$6:$B$11,0))),0),IF(G430="Give",(N(E430)-N(F430)),0)))</f>
        <v/>
      </c>
      <c r="K430">
        <f>IF(C430="",0,IF(OR(G430="",G430="Split"),N(E430)*IFERROR(N(INDEX(Kids!$F$6:$F$11,MATCH(C430,Kids!$B$6:$B$11,0))),0),IF(G430="Save",N(E430),0)))</f>
        <v/>
      </c>
    </row>
    <row r="431">
      <c r="A431" s="1" t="n"/>
      <c r="B431" s="34" t="n"/>
      <c r="C431" s="30" t="n"/>
      <c r="D431" s="31" t="n"/>
      <c r="E431" s="35" t="n"/>
      <c r="F431" s="35" t="n"/>
      <c r="G431" s="33" t="n"/>
      <c r="H431" s="1">
        <f>IF(C431="",0,IF(OR(G431="",G431="Split"),(N(E431)-N(F431))*IFERROR(N(INDEX(Kids!$F$6:$F$11,MATCH(C431,Kids!$B$6:$B$11,0))),0),IF(G431="Save",(N(E431)-N(F431)),0)))</f>
        <v/>
      </c>
      <c r="I431">
        <f>IF(C431="",0,(N(E431)-N(F431))-H431-J431)</f>
        <v/>
      </c>
      <c r="J431">
        <f>IF(C431="",0,IF(OR(G431="",G431="Split"),(N(E431)-N(F431))*IFERROR(N(INDEX(Kids!$G$6:$G$11,MATCH(C431,Kids!$B$6:$B$11,0))),0),IF(G431="Give",(N(E431)-N(F431)),0)))</f>
        <v/>
      </c>
      <c r="K431">
        <f>IF(C431="",0,IF(OR(G431="",G431="Split"),N(E431)*IFERROR(N(INDEX(Kids!$F$6:$F$11,MATCH(C431,Kids!$B$6:$B$11,0))),0),IF(G431="Save",N(E431),0)))</f>
        <v/>
      </c>
    </row>
    <row r="432">
      <c r="A432" s="1" t="n"/>
      <c r="B432" s="34" t="n"/>
      <c r="C432" s="30" t="n"/>
      <c r="D432" s="31" t="n"/>
      <c r="E432" s="35" t="n"/>
      <c r="F432" s="35" t="n"/>
      <c r="G432" s="33" t="n"/>
      <c r="H432" s="1">
        <f>IF(C432="",0,IF(OR(G432="",G432="Split"),(N(E432)-N(F432))*IFERROR(N(INDEX(Kids!$F$6:$F$11,MATCH(C432,Kids!$B$6:$B$11,0))),0),IF(G432="Save",(N(E432)-N(F432)),0)))</f>
        <v/>
      </c>
      <c r="I432">
        <f>IF(C432="",0,(N(E432)-N(F432))-H432-J432)</f>
        <v/>
      </c>
      <c r="J432">
        <f>IF(C432="",0,IF(OR(G432="",G432="Split"),(N(E432)-N(F432))*IFERROR(N(INDEX(Kids!$G$6:$G$11,MATCH(C432,Kids!$B$6:$B$11,0))),0),IF(G432="Give",(N(E432)-N(F432)),0)))</f>
        <v/>
      </c>
      <c r="K432">
        <f>IF(C432="",0,IF(OR(G432="",G432="Split"),N(E432)*IFERROR(N(INDEX(Kids!$F$6:$F$11,MATCH(C432,Kids!$B$6:$B$11,0))),0),IF(G432="Save",N(E432),0)))</f>
        <v/>
      </c>
    </row>
    <row r="433">
      <c r="A433" s="1" t="n"/>
      <c r="B433" s="34" t="n"/>
      <c r="C433" s="30" t="n"/>
      <c r="D433" s="31" t="n"/>
      <c r="E433" s="35" t="n"/>
      <c r="F433" s="35" t="n"/>
      <c r="G433" s="33" t="n"/>
      <c r="H433" s="1">
        <f>IF(C433="",0,IF(OR(G433="",G433="Split"),(N(E433)-N(F433))*IFERROR(N(INDEX(Kids!$F$6:$F$11,MATCH(C433,Kids!$B$6:$B$11,0))),0),IF(G433="Save",(N(E433)-N(F433)),0)))</f>
        <v/>
      </c>
      <c r="I433">
        <f>IF(C433="",0,(N(E433)-N(F433))-H433-J433)</f>
        <v/>
      </c>
      <c r="J433">
        <f>IF(C433="",0,IF(OR(G433="",G433="Split"),(N(E433)-N(F433))*IFERROR(N(INDEX(Kids!$G$6:$G$11,MATCH(C433,Kids!$B$6:$B$11,0))),0),IF(G433="Give",(N(E433)-N(F433)),0)))</f>
        <v/>
      </c>
      <c r="K433">
        <f>IF(C433="",0,IF(OR(G433="",G433="Split"),N(E433)*IFERROR(N(INDEX(Kids!$F$6:$F$11,MATCH(C433,Kids!$B$6:$B$11,0))),0),IF(G433="Save",N(E433),0)))</f>
        <v/>
      </c>
    </row>
    <row r="434">
      <c r="A434" s="1" t="n"/>
      <c r="B434" s="34" t="n"/>
      <c r="C434" s="30" t="n"/>
      <c r="D434" s="31" t="n"/>
      <c r="E434" s="35" t="n"/>
      <c r="F434" s="35" t="n"/>
      <c r="G434" s="33" t="n"/>
      <c r="H434" s="1">
        <f>IF(C434="",0,IF(OR(G434="",G434="Split"),(N(E434)-N(F434))*IFERROR(N(INDEX(Kids!$F$6:$F$11,MATCH(C434,Kids!$B$6:$B$11,0))),0),IF(G434="Save",(N(E434)-N(F434)),0)))</f>
        <v/>
      </c>
      <c r="I434">
        <f>IF(C434="",0,(N(E434)-N(F434))-H434-J434)</f>
        <v/>
      </c>
      <c r="J434">
        <f>IF(C434="",0,IF(OR(G434="",G434="Split"),(N(E434)-N(F434))*IFERROR(N(INDEX(Kids!$G$6:$G$11,MATCH(C434,Kids!$B$6:$B$11,0))),0),IF(G434="Give",(N(E434)-N(F434)),0)))</f>
        <v/>
      </c>
      <c r="K434">
        <f>IF(C434="",0,IF(OR(G434="",G434="Split"),N(E434)*IFERROR(N(INDEX(Kids!$F$6:$F$11,MATCH(C434,Kids!$B$6:$B$11,0))),0),IF(G434="Save",N(E434),0)))</f>
        <v/>
      </c>
    </row>
    <row r="435">
      <c r="A435" s="1" t="n"/>
      <c r="B435" s="34" t="n"/>
      <c r="C435" s="30" t="n"/>
      <c r="D435" s="31" t="n"/>
      <c r="E435" s="35" t="n"/>
      <c r="F435" s="35" t="n"/>
      <c r="G435" s="33" t="n"/>
      <c r="H435" s="1">
        <f>IF(C435="",0,IF(OR(G435="",G435="Split"),(N(E435)-N(F435))*IFERROR(N(INDEX(Kids!$F$6:$F$11,MATCH(C435,Kids!$B$6:$B$11,0))),0),IF(G435="Save",(N(E435)-N(F435)),0)))</f>
        <v/>
      </c>
      <c r="I435">
        <f>IF(C435="",0,(N(E435)-N(F435))-H435-J435)</f>
        <v/>
      </c>
      <c r="J435">
        <f>IF(C435="",0,IF(OR(G435="",G435="Split"),(N(E435)-N(F435))*IFERROR(N(INDEX(Kids!$G$6:$G$11,MATCH(C435,Kids!$B$6:$B$11,0))),0),IF(G435="Give",(N(E435)-N(F435)),0)))</f>
        <v/>
      </c>
      <c r="K435">
        <f>IF(C435="",0,IF(OR(G435="",G435="Split"),N(E435)*IFERROR(N(INDEX(Kids!$F$6:$F$11,MATCH(C435,Kids!$B$6:$B$11,0))),0),IF(G435="Save",N(E435),0)))</f>
        <v/>
      </c>
    </row>
    <row r="436">
      <c r="A436" s="1" t="n"/>
      <c r="B436" s="34" t="n"/>
      <c r="C436" s="30" t="n"/>
      <c r="D436" s="31" t="n"/>
      <c r="E436" s="35" t="n"/>
      <c r="F436" s="35" t="n"/>
      <c r="G436" s="33" t="n"/>
      <c r="H436" s="1">
        <f>IF(C436="",0,IF(OR(G436="",G436="Split"),(N(E436)-N(F436))*IFERROR(N(INDEX(Kids!$F$6:$F$11,MATCH(C436,Kids!$B$6:$B$11,0))),0),IF(G436="Save",(N(E436)-N(F436)),0)))</f>
        <v/>
      </c>
      <c r="I436">
        <f>IF(C436="",0,(N(E436)-N(F436))-H436-J436)</f>
        <v/>
      </c>
      <c r="J436">
        <f>IF(C436="",0,IF(OR(G436="",G436="Split"),(N(E436)-N(F436))*IFERROR(N(INDEX(Kids!$G$6:$G$11,MATCH(C436,Kids!$B$6:$B$11,0))),0),IF(G436="Give",(N(E436)-N(F436)),0)))</f>
        <v/>
      </c>
      <c r="K436">
        <f>IF(C436="",0,IF(OR(G436="",G436="Split"),N(E436)*IFERROR(N(INDEX(Kids!$F$6:$F$11,MATCH(C436,Kids!$B$6:$B$11,0))),0),IF(G436="Save",N(E436),0)))</f>
        <v/>
      </c>
    </row>
    <row r="437">
      <c r="A437" s="1" t="n"/>
      <c r="B437" s="34" t="n"/>
      <c r="C437" s="30" t="n"/>
      <c r="D437" s="31" t="n"/>
      <c r="E437" s="35" t="n"/>
      <c r="F437" s="35" t="n"/>
      <c r="G437" s="33" t="n"/>
      <c r="H437" s="1">
        <f>IF(C437="",0,IF(OR(G437="",G437="Split"),(N(E437)-N(F437))*IFERROR(N(INDEX(Kids!$F$6:$F$11,MATCH(C437,Kids!$B$6:$B$11,0))),0),IF(G437="Save",(N(E437)-N(F437)),0)))</f>
        <v/>
      </c>
      <c r="I437">
        <f>IF(C437="",0,(N(E437)-N(F437))-H437-J437)</f>
        <v/>
      </c>
      <c r="J437">
        <f>IF(C437="",0,IF(OR(G437="",G437="Split"),(N(E437)-N(F437))*IFERROR(N(INDEX(Kids!$G$6:$G$11,MATCH(C437,Kids!$B$6:$B$11,0))),0),IF(G437="Give",(N(E437)-N(F437)),0)))</f>
        <v/>
      </c>
      <c r="K437">
        <f>IF(C437="",0,IF(OR(G437="",G437="Split"),N(E437)*IFERROR(N(INDEX(Kids!$F$6:$F$11,MATCH(C437,Kids!$B$6:$B$11,0))),0),IF(G437="Save",N(E437),0)))</f>
        <v/>
      </c>
    </row>
    <row r="438">
      <c r="A438" s="1" t="n"/>
      <c r="B438" s="34" t="n"/>
      <c r="C438" s="30" t="n"/>
      <c r="D438" s="31" t="n"/>
      <c r="E438" s="35" t="n"/>
      <c r="F438" s="35" t="n"/>
      <c r="G438" s="33" t="n"/>
      <c r="H438" s="1">
        <f>IF(C438="",0,IF(OR(G438="",G438="Split"),(N(E438)-N(F438))*IFERROR(N(INDEX(Kids!$F$6:$F$11,MATCH(C438,Kids!$B$6:$B$11,0))),0),IF(G438="Save",(N(E438)-N(F438)),0)))</f>
        <v/>
      </c>
      <c r="I438">
        <f>IF(C438="",0,(N(E438)-N(F438))-H438-J438)</f>
        <v/>
      </c>
      <c r="J438">
        <f>IF(C438="",0,IF(OR(G438="",G438="Split"),(N(E438)-N(F438))*IFERROR(N(INDEX(Kids!$G$6:$G$11,MATCH(C438,Kids!$B$6:$B$11,0))),0),IF(G438="Give",(N(E438)-N(F438)),0)))</f>
        <v/>
      </c>
      <c r="K438">
        <f>IF(C438="",0,IF(OR(G438="",G438="Split"),N(E438)*IFERROR(N(INDEX(Kids!$F$6:$F$11,MATCH(C438,Kids!$B$6:$B$11,0))),0),IF(G438="Save",N(E438),0)))</f>
        <v/>
      </c>
    </row>
    <row r="439">
      <c r="A439" s="1" t="n"/>
      <c r="B439" s="34" t="n"/>
      <c r="C439" s="30" t="n"/>
      <c r="D439" s="31" t="n"/>
      <c r="E439" s="35" t="n"/>
      <c r="F439" s="35" t="n"/>
      <c r="G439" s="33" t="n"/>
      <c r="H439" s="1">
        <f>IF(C439="",0,IF(OR(G439="",G439="Split"),(N(E439)-N(F439))*IFERROR(N(INDEX(Kids!$F$6:$F$11,MATCH(C439,Kids!$B$6:$B$11,0))),0),IF(G439="Save",(N(E439)-N(F439)),0)))</f>
        <v/>
      </c>
      <c r="I439">
        <f>IF(C439="",0,(N(E439)-N(F439))-H439-J439)</f>
        <v/>
      </c>
      <c r="J439">
        <f>IF(C439="",0,IF(OR(G439="",G439="Split"),(N(E439)-N(F439))*IFERROR(N(INDEX(Kids!$G$6:$G$11,MATCH(C439,Kids!$B$6:$B$11,0))),0),IF(G439="Give",(N(E439)-N(F439)),0)))</f>
        <v/>
      </c>
      <c r="K439">
        <f>IF(C439="",0,IF(OR(G439="",G439="Split"),N(E439)*IFERROR(N(INDEX(Kids!$F$6:$F$11,MATCH(C439,Kids!$B$6:$B$11,0))),0),IF(G439="Save",N(E439),0)))</f>
        <v/>
      </c>
    </row>
    <row r="440">
      <c r="A440" s="1" t="n"/>
      <c r="B440" s="34" t="n"/>
      <c r="C440" s="30" t="n"/>
      <c r="D440" s="31" t="n"/>
      <c r="E440" s="35" t="n"/>
      <c r="F440" s="35" t="n"/>
      <c r="G440" s="33" t="n"/>
      <c r="H440" s="1">
        <f>IF(C440="",0,IF(OR(G440="",G440="Split"),(N(E440)-N(F440))*IFERROR(N(INDEX(Kids!$F$6:$F$11,MATCH(C440,Kids!$B$6:$B$11,0))),0),IF(G440="Save",(N(E440)-N(F440)),0)))</f>
        <v/>
      </c>
      <c r="I440">
        <f>IF(C440="",0,(N(E440)-N(F440))-H440-J440)</f>
        <v/>
      </c>
      <c r="J440">
        <f>IF(C440="",0,IF(OR(G440="",G440="Split"),(N(E440)-N(F440))*IFERROR(N(INDEX(Kids!$G$6:$G$11,MATCH(C440,Kids!$B$6:$B$11,0))),0),IF(G440="Give",(N(E440)-N(F440)),0)))</f>
        <v/>
      </c>
      <c r="K440">
        <f>IF(C440="",0,IF(OR(G440="",G440="Split"),N(E440)*IFERROR(N(INDEX(Kids!$F$6:$F$11,MATCH(C440,Kids!$B$6:$B$11,0))),0),IF(G440="Save",N(E440),0)))</f>
        <v/>
      </c>
    </row>
    <row r="441">
      <c r="A441" s="1" t="n"/>
      <c r="B441" s="34" t="n"/>
      <c r="C441" s="30" t="n"/>
      <c r="D441" s="31" t="n"/>
      <c r="E441" s="35" t="n"/>
      <c r="F441" s="35" t="n"/>
      <c r="G441" s="33" t="n"/>
      <c r="H441" s="1">
        <f>IF(C441="",0,IF(OR(G441="",G441="Split"),(N(E441)-N(F441))*IFERROR(N(INDEX(Kids!$F$6:$F$11,MATCH(C441,Kids!$B$6:$B$11,0))),0),IF(G441="Save",(N(E441)-N(F441)),0)))</f>
        <v/>
      </c>
      <c r="I441">
        <f>IF(C441="",0,(N(E441)-N(F441))-H441-J441)</f>
        <v/>
      </c>
      <c r="J441">
        <f>IF(C441="",0,IF(OR(G441="",G441="Split"),(N(E441)-N(F441))*IFERROR(N(INDEX(Kids!$G$6:$G$11,MATCH(C441,Kids!$B$6:$B$11,0))),0),IF(G441="Give",(N(E441)-N(F441)),0)))</f>
        <v/>
      </c>
      <c r="K441">
        <f>IF(C441="",0,IF(OR(G441="",G441="Split"),N(E441)*IFERROR(N(INDEX(Kids!$F$6:$F$11,MATCH(C441,Kids!$B$6:$B$11,0))),0),IF(G441="Save",N(E441),0)))</f>
        <v/>
      </c>
    </row>
    <row r="442">
      <c r="A442" s="1" t="n"/>
      <c r="B442" s="34" t="n"/>
      <c r="C442" s="30" t="n"/>
      <c r="D442" s="31" t="n"/>
      <c r="E442" s="35" t="n"/>
      <c r="F442" s="35" t="n"/>
      <c r="G442" s="33" t="n"/>
      <c r="H442" s="1">
        <f>IF(C442="",0,IF(OR(G442="",G442="Split"),(N(E442)-N(F442))*IFERROR(N(INDEX(Kids!$F$6:$F$11,MATCH(C442,Kids!$B$6:$B$11,0))),0),IF(G442="Save",(N(E442)-N(F442)),0)))</f>
        <v/>
      </c>
      <c r="I442">
        <f>IF(C442="",0,(N(E442)-N(F442))-H442-J442)</f>
        <v/>
      </c>
      <c r="J442">
        <f>IF(C442="",0,IF(OR(G442="",G442="Split"),(N(E442)-N(F442))*IFERROR(N(INDEX(Kids!$G$6:$G$11,MATCH(C442,Kids!$B$6:$B$11,0))),0),IF(G442="Give",(N(E442)-N(F442)),0)))</f>
        <v/>
      </c>
      <c r="K442">
        <f>IF(C442="",0,IF(OR(G442="",G442="Split"),N(E442)*IFERROR(N(INDEX(Kids!$F$6:$F$11,MATCH(C442,Kids!$B$6:$B$11,0))),0),IF(G442="Save",N(E442),0)))</f>
        <v/>
      </c>
    </row>
    <row r="443">
      <c r="A443" s="1" t="n"/>
      <c r="B443" s="34" t="n"/>
      <c r="C443" s="30" t="n"/>
      <c r="D443" s="31" t="n"/>
      <c r="E443" s="35" t="n"/>
      <c r="F443" s="35" t="n"/>
      <c r="G443" s="33" t="n"/>
      <c r="H443" s="1">
        <f>IF(C443="",0,IF(OR(G443="",G443="Split"),(N(E443)-N(F443))*IFERROR(N(INDEX(Kids!$F$6:$F$11,MATCH(C443,Kids!$B$6:$B$11,0))),0),IF(G443="Save",(N(E443)-N(F443)),0)))</f>
        <v/>
      </c>
      <c r="I443">
        <f>IF(C443="",0,(N(E443)-N(F443))-H443-J443)</f>
        <v/>
      </c>
      <c r="J443">
        <f>IF(C443="",0,IF(OR(G443="",G443="Split"),(N(E443)-N(F443))*IFERROR(N(INDEX(Kids!$G$6:$G$11,MATCH(C443,Kids!$B$6:$B$11,0))),0),IF(G443="Give",(N(E443)-N(F443)),0)))</f>
        <v/>
      </c>
      <c r="K443">
        <f>IF(C443="",0,IF(OR(G443="",G443="Split"),N(E443)*IFERROR(N(INDEX(Kids!$F$6:$F$11,MATCH(C443,Kids!$B$6:$B$11,0))),0),IF(G443="Save",N(E443),0)))</f>
        <v/>
      </c>
    </row>
    <row r="444">
      <c r="A444" s="1" t="n"/>
      <c r="B444" s="34" t="n"/>
      <c r="C444" s="30" t="n"/>
      <c r="D444" s="31" t="n"/>
      <c r="E444" s="35" t="n"/>
      <c r="F444" s="35" t="n"/>
      <c r="G444" s="33" t="n"/>
      <c r="H444" s="1">
        <f>IF(C444="",0,IF(OR(G444="",G444="Split"),(N(E444)-N(F444))*IFERROR(N(INDEX(Kids!$F$6:$F$11,MATCH(C444,Kids!$B$6:$B$11,0))),0),IF(G444="Save",(N(E444)-N(F444)),0)))</f>
        <v/>
      </c>
      <c r="I444">
        <f>IF(C444="",0,(N(E444)-N(F444))-H444-J444)</f>
        <v/>
      </c>
      <c r="J444">
        <f>IF(C444="",0,IF(OR(G444="",G444="Split"),(N(E444)-N(F444))*IFERROR(N(INDEX(Kids!$G$6:$G$11,MATCH(C444,Kids!$B$6:$B$11,0))),0),IF(G444="Give",(N(E444)-N(F444)),0)))</f>
        <v/>
      </c>
      <c r="K444">
        <f>IF(C444="",0,IF(OR(G444="",G444="Split"),N(E444)*IFERROR(N(INDEX(Kids!$F$6:$F$11,MATCH(C444,Kids!$B$6:$B$11,0))),0),IF(G444="Save",N(E444),0)))</f>
        <v/>
      </c>
    </row>
    <row r="445">
      <c r="A445" s="1" t="n"/>
      <c r="B445" s="34" t="n"/>
      <c r="C445" s="30" t="n"/>
      <c r="D445" s="31" t="n"/>
      <c r="E445" s="35" t="n"/>
      <c r="F445" s="35" t="n"/>
      <c r="G445" s="33" t="n"/>
      <c r="H445" s="1">
        <f>IF(C445="",0,IF(OR(G445="",G445="Split"),(N(E445)-N(F445))*IFERROR(N(INDEX(Kids!$F$6:$F$11,MATCH(C445,Kids!$B$6:$B$11,0))),0),IF(G445="Save",(N(E445)-N(F445)),0)))</f>
        <v/>
      </c>
      <c r="I445">
        <f>IF(C445="",0,(N(E445)-N(F445))-H445-J445)</f>
        <v/>
      </c>
      <c r="J445">
        <f>IF(C445="",0,IF(OR(G445="",G445="Split"),(N(E445)-N(F445))*IFERROR(N(INDEX(Kids!$G$6:$G$11,MATCH(C445,Kids!$B$6:$B$11,0))),0),IF(G445="Give",(N(E445)-N(F445)),0)))</f>
        <v/>
      </c>
      <c r="K445">
        <f>IF(C445="",0,IF(OR(G445="",G445="Split"),N(E445)*IFERROR(N(INDEX(Kids!$F$6:$F$11,MATCH(C445,Kids!$B$6:$B$11,0))),0),IF(G445="Save",N(E445),0)))</f>
        <v/>
      </c>
    </row>
    <row r="446">
      <c r="A446" s="1" t="n"/>
      <c r="B446" s="34" t="n"/>
      <c r="C446" s="30" t="n"/>
      <c r="D446" s="31" t="n"/>
      <c r="E446" s="35" t="n"/>
      <c r="F446" s="35" t="n"/>
      <c r="G446" s="33" t="n"/>
      <c r="H446" s="1">
        <f>IF(C446="",0,IF(OR(G446="",G446="Split"),(N(E446)-N(F446))*IFERROR(N(INDEX(Kids!$F$6:$F$11,MATCH(C446,Kids!$B$6:$B$11,0))),0),IF(G446="Save",(N(E446)-N(F446)),0)))</f>
        <v/>
      </c>
      <c r="I446">
        <f>IF(C446="",0,(N(E446)-N(F446))-H446-J446)</f>
        <v/>
      </c>
      <c r="J446">
        <f>IF(C446="",0,IF(OR(G446="",G446="Split"),(N(E446)-N(F446))*IFERROR(N(INDEX(Kids!$G$6:$G$11,MATCH(C446,Kids!$B$6:$B$11,0))),0),IF(G446="Give",(N(E446)-N(F446)),0)))</f>
        <v/>
      </c>
      <c r="K446">
        <f>IF(C446="",0,IF(OR(G446="",G446="Split"),N(E446)*IFERROR(N(INDEX(Kids!$F$6:$F$11,MATCH(C446,Kids!$B$6:$B$11,0))),0),IF(G446="Save",N(E446),0)))</f>
        <v/>
      </c>
    </row>
    <row r="447">
      <c r="A447" s="1" t="n"/>
      <c r="B447" s="34" t="n"/>
      <c r="C447" s="30" t="n"/>
      <c r="D447" s="31" t="n"/>
      <c r="E447" s="35" t="n"/>
      <c r="F447" s="35" t="n"/>
      <c r="G447" s="33" t="n"/>
      <c r="H447" s="1">
        <f>IF(C447="",0,IF(OR(G447="",G447="Split"),(N(E447)-N(F447))*IFERROR(N(INDEX(Kids!$F$6:$F$11,MATCH(C447,Kids!$B$6:$B$11,0))),0),IF(G447="Save",(N(E447)-N(F447)),0)))</f>
        <v/>
      </c>
      <c r="I447">
        <f>IF(C447="",0,(N(E447)-N(F447))-H447-J447)</f>
        <v/>
      </c>
      <c r="J447">
        <f>IF(C447="",0,IF(OR(G447="",G447="Split"),(N(E447)-N(F447))*IFERROR(N(INDEX(Kids!$G$6:$G$11,MATCH(C447,Kids!$B$6:$B$11,0))),0),IF(G447="Give",(N(E447)-N(F447)),0)))</f>
        <v/>
      </c>
      <c r="K447">
        <f>IF(C447="",0,IF(OR(G447="",G447="Split"),N(E447)*IFERROR(N(INDEX(Kids!$F$6:$F$11,MATCH(C447,Kids!$B$6:$B$11,0))),0),IF(G447="Save",N(E447),0)))</f>
        <v/>
      </c>
    </row>
    <row r="448">
      <c r="A448" s="1" t="n"/>
      <c r="B448" s="34" t="n"/>
      <c r="C448" s="30" t="n"/>
      <c r="D448" s="31" t="n"/>
      <c r="E448" s="35" t="n"/>
      <c r="F448" s="35" t="n"/>
      <c r="G448" s="33" t="n"/>
      <c r="H448" s="1">
        <f>IF(C448="",0,IF(OR(G448="",G448="Split"),(N(E448)-N(F448))*IFERROR(N(INDEX(Kids!$F$6:$F$11,MATCH(C448,Kids!$B$6:$B$11,0))),0),IF(G448="Save",(N(E448)-N(F448)),0)))</f>
        <v/>
      </c>
      <c r="I448">
        <f>IF(C448="",0,(N(E448)-N(F448))-H448-J448)</f>
        <v/>
      </c>
      <c r="J448">
        <f>IF(C448="",0,IF(OR(G448="",G448="Split"),(N(E448)-N(F448))*IFERROR(N(INDEX(Kids!$G$6:$G$11,MATCH(C448,Kids!$B$6:$B$11,0))),0),IF(G448="Give",(N(E448)-N(F448)),0)))</f>
        <v/>
      </c>
      <c r="K448">
        <f>IF(C448="",0,IF(OR(G448="",G448="Split"),N(E448)*IFERROR(N(INDEX(Kids!$F$6:$F$11,MATCH(C448,Kids!$B$6:$B$11,0))),0),IF(G448="Save",N(E448),0)))</f>
        <v/>
      </c>
    </row>
    <row r="449">
      <c r="A449" s="1" t="n"/>
      <c r="B449" s="34" t="n"/>
      <c r="C449" s="30" t="n"/>
      <c r="D449" s="31" t="n"/>
      <c r="E449" s="35" t="n"/>
      <c r="F449" s="35" t="n"/>
      <c r="G449" s="33" t="n"/>
      <c r="H449" s="1">
        <f>IF(C449="",0,IF(OR(G449="",G449="Split"),(N(E449)-N(F449))*IFERROR(N(INDEX(Kids!$F$6:$F$11,MATCH(C449,Kids!$B$6:$B$11,0))),0),IF(G449="Save",(N(E449)-N(F449)),0)))</f>
        <v/>
      </c>
      <c r="I449">
        <f>IF(C449="",0,(N(E449)-N(F449))-H449-J449)</f>
        <v/>
      </c>
      <c r="J449">
        <f>IF(C449="",0,IF(OR(G449="",G449="Split"),(N(E449)-N(F449))*IFERROR(N(INDEX(Kids!$G$6:$G$11,MATCH(C449,Kids!$B$6:$B$11,0))),0),IF(G449="Give",(N(E449)-N(F449)),0)))</f>
        <v/>
      </c>
      <c r="K449">
        <f>IF(C449="",0,IF(OR(G449="",G449="Split"),N(E449)*IFERROR(N(INDEX(Kids!$F$6:$F$11,MATCH(C449,Kids!$B$6:$B$11,0))),0),IF(G449="Save",N(E449),0)))</f>
        <v/>
      </c>
    </row>
    <row r="450">
      <c r="A450" s="1" t="n"/>
      <c r="B450" s="34" t="n"/>
      <c r="C450" s="30" t="n"/>
      <c r="D450" s="31" t="n"/>
      <c r="E450" s="35" t="n"/>
      <c r="F450" s="35" t="n"/>
      <c r="G450" s="33" t="n"/>
      <c r="H450" s="1">
        <f>IF(C450="",0,IF(OR(G450="",G450="Split"),(N(E450)-N(F450))*IFERROR(N(INDEX(Kids!$F$6:$F$11,MATCH(C450,Kids!$B$6:$B$11,0))),0),IF(G450="Save",(N(E450)-N(F450)),0)))</f>
        <v/>
      </c>
      <c r="I450">
        <f>IF(C450="",0,(N(E450)-N(F450))-H450-J450)</f>
        <v/>
      </c>
      <c r="J450">
        <f>IF(C450="",0,IF(OR(G450="",G450="Split"),(N(E450)-N(F450))*IFERROR(N(INDEX(Kids!$G$6:$G$11,MATCH(C450,Kids!$B$6:$B$11,0))),0),IF(G450="Give",(N(E450)-N(F450)),0)))</f>
        <v/>
      </c>
      <c r="K450">
        <f>IF(C450="",0,IF(OR(G450="",G450="Split"),N(E450)*IFERROR(N(INDEX(Kids!$F$6:$F$11,MATCH(C450,Kids!$B$6:$B$11,0))),0),IF(G450="Save",N(E450),0)))</f>
        <v/>
      </c>
    </row>
    <row r="451">
      <c r="A451" s="1" t="n"/>
      <c r="B451" s="34" t="n"/>
      <c r="C451" s="30" t="n"/>
      <c r="D451" s="31" t="n"/>
      <c r="E451" s="35" t="n"/>
      <c r="F451" s="35" t="n"/>
      <c r="G451" s="33" t="n"/>
      <c r="H451" s="1">
        <f>IF(C451="",0,IF(OR(G451="",G451="Split"),(N(E451)-N(F451))*IFERROR(N(INDEX(Kids!$F$6:$F$11,MATCH(C451,Kids!$B$6:$B$11,0))),0),IF(G451="Save",(N(E451)-N(F451)),0)))</f>
        <v/>
      </c>
      <c r="I451">
        <f>IF(C451="",0,(N(E451)-N(F451))-H451-J451)</f>
        <v/>
      </c>
      <c r="J451">
        <f>IF(C451="",0,IF(OR(G451="",G451="Split"),(N(E451)-N(F451))*IFERROR(N(INDEX(Kids!$G$6:$G$11,MATCH(C451,Kids!$B$6:$B$11,0))),0),IF(G451="Give",(N(E451)-N(F451)),0)))</f>
        <v/>
      </c>
      <c r="K451">
        <f>IF(C451="",0,IF(OR(G451="",G451="Split"),N(E451)*IFERROR(N(INDEX(Kids!$F$6:$F$11,MATCH(C451,Kids!$B$6:$B$11,0))),0),IF(G451="Save",N(E451),0)))</f>
        <v/>
      </c>
    </row>
    <row r="452">
      <c r="A452" s="1" t="n"/>
      <c r="B452" s="34" t="n"/>
      <c r="C452" s="30" t="n"/>
      <c r="D452" s="31" t="n"/>
      <c r="E452" s="35" t="n"/>
      <c r="F452" s="35" t="n"/>
      <c r="G452" s="33" t="n"/>
      <c r="H452" s="1">
        <f>IF(C452="",0,IF(OR(G452="",G452="Split"),(N(E452)-N(F452))*IFERROR(N(INDEX(Kids!$F$6:$F$11,MATCH(C452,Kids!$B$6:$B$11,0))),0),IF(G452="Save",(N(E452)-N(F452)),0)))</f>
        <v/>
      </c>
      <c r="I452">
        <f>IF(C452="",0,(N(E452)-N(F452))-H452-J452)</f>
        <v/>
      </c>
      <c r="J452">
        <f>IF(C452="",0,IF(OR(G452="",G452="Split"),(N(E452)-N(F452))*IFERROR(N(INDEX(Kids!$G$6:$G$11,MATCH(C452,Kids!$B$6:$B$11,0))),0),IF(G452="Give",(N(E452)-N(F452)),0)))</f>
        <v/>
      </c>
      <c r="K452">
        <f>IF(C452="",0,IF(OR(G452="",G452="Split"),N(E452)*IFERROR(N(INDEX(Kids!$F$6:$F$11,MATCH(C452,Kids!$B$6:$B$11,0))),0),IF(G452="Save",N(E452),0)))</f>
        <v/>
      </c>
    </row>
    <row r="453">
      <c r="A453" s="1" t="n"/>
      <c r="B453" s="34" t="n"/>
      <c r="C453" s="30" t="n"/>
      <c r="D453" s="31" t="n"/>
      <c r="E453" s="35" t="n"/>
      <c r="F453" s="35" t="n"/>
      <c r="G453" s="33" t="n"/>
      <c r="H453" s="1">
        <f>IF(C453="",0,IF(OR(G453="",G453="Split"),(N(E453)-N(F453))*IFERROR(N(INDEX(Kids!$F$6:$F$11,MATCH(C453,Kids!$B$6:$B$11,0))),0),IF(G453="Save",(N(E453)-N(F453)),0)))</f>
        <v/>
      </c>
      <c r="I453">
        <f>IF(C453="",0,(N(E453)-N(F453))-H453-J453)</f>
        <v/>
      </c>
      <c r="J453">
        <f>IF(C453="",0,IF(OR(G453="",G453="Split"),(N(E453)-N(F453))*IFERROR(N(INDEX(Kids!$G$6:$G$11,MATCH(C453,Kids!$B$6:$B$11,0))),0),IF(G453="Give",(N(E453)-N(F453)),0)))</f>
        <v/>
      </c>
      <c r="K453">
        <f>IF(C453="",0,IF(OR(G453="",G453="Split"),N(E453)*IFERROR(N(INDEX(Kids!$F$6:$F$11,MATCH(C453,Kids!$B$6:$B$11,0))),0),IF(G453="Save",N(E453),0)))</f>
        <v/>
      </c>
    </row>
    <row r="454">
      <c r="A454" s="1" t="n"/>
      <c r="B454" s="34" t="n"/>
      <c r="C454" s="30" t="n"/>
      <c r="D454" s="31" t="n"/>
      <c r="E454" s="35" t="n"/>
      <c r="F454" s="35" t="n"/>
      <c r="G454" s="33" t="n"/>
      <c r="H454" s="1">
        <f>IF(C454="",0,IF(OR(G454="",G454="Split"),(N(E454)-N(F454))*IFERROR(N(INDEX(Kids!$F$6:$F$11,MATCH(C454,Kids!$B$6:$B$11,0))),0),IF(G454="Save",(N(E454)-N(F454)),0)))</f>
        <v/>
      </c>
      <c r="I454">
        <f>IF(C454="",0,(N(E454)-N(F454))-H454-J454)</f>
        <v/>
      </c>
      <c r="J454">
        <f>IF(C454="",0,IF(OR(G454="",G454="Split"),(N(E454)-N(F454))*IFERROR(N(INDEX(Kids!$G$6:$G$11,MATCH(C454,Kids!$B$6:$B$11,0))),0),IF(G454="Give",(N(E454)-N(F454)),0)))</f>
        <v/>
      </c>
      <c r="K454">
        <f>IF(C454="",0,IF(OR(G454="",G454="Split"),N(E454)*IFERROR(N(INDEX(Kids!$F$6:$F$11,MATCH(C454,Kids!$B$6:$B$11,0))),0),IF(G454="Save",N(E454),0)))</f>
        <v/>
      </c>
    </row>
    <row r="455">
      <c r="A455" s="1" t="n"/>
      <c r="B455" s="34" t="n"/>
      <c r="C455" s="30" t="n"/>
      <c r="D455" s="31" t="n"/>
      <c r="E455" s="35" t="n"/>
      <c r="F455" s="35" t="n"/>
      <c r="G455" s="33" t="n"/>
      <c r="H455" s="1">
        <f>IF(C455="",0,IF(OR(G455="",G455="Split"),(N(E455)-N(F455))*IFERROR(N(INDEX(Kids!$F$6:$F$11,MATCH(C455,Kids!$B$6:$B$11,0))),0),IF(G455="Save",(N(E455)-N(F455)),0)))</f>
        <v/>
      </c>
      <c r="I455">
        <f>IF(C455="",0,(N(E455)-N(F455))-H455-J455)</f>
        <v/>
      </c>
      <c r="J455">
        <f>IF(C455="",0,IF(OR(G455="",G455="Split"),(N(E455)-N(F455))*IFERROR(N(INDEX(Kids!$G$6:$G$11,MATCH(C455,Kids!$B$6:$B$11,0))),0),IF(G455="Give",(N(E455)-N(F455)),0)))</f>
        <v/>
      </c>
      <c r="K455">
        <f>IF(C455="",0,IF(OR(G455="",G455="Split"),N(E455)*IFERROR(N(INDEX(Kids!$F$6:$F$11,MATCH(C455,Kids!$B$6:$B$11,0))),0),IF(G455="Save",N(E455),0)))</f>
        <v/>
      </c>
    </row>
    <row r="456">
      <c r="A456" s="1" t="n"/>
      <c r="B456" s="34" t="n"/>
      <c r="C456" s="30" t="n"/>
      <c r="D456" s="31" t="n"/>
      <c r="E456" s="35" t="n"/>
      <c r="F456" s="35" t="n"/>
      <c r="G456" s="33" t="n"/>
      <c r="H456" s="1">
        <f>IF(C456="",0,IF(OR(G456="",G456="Split"),(N(E456)-N(F456))*IFERROR(N(INDEX(Kids!$F$6:$F$11,MATCH(C456,Kids!$B$6:$B$11,0))),0),IF(G456="Save",(N(E456)-N(F456)),0)))</f>
        <v/>
      </c>
      <c r="I456">
        <f>IF(C456="",0,(N(E456)-N(F456))-H456-J456)</f>
        <v/>
      </c>
      <c r="J456">
        <f>IF(C456="",0,IF(OR(G456="",G456="Split"),(N(E456)-N(F456))*IFERROR(N(INDEX(Kids!$G$6:$G$11,MATCH(C456,Kids!$B$6:$B$11,0))),0),IF(G456="Give",(N(E456)-N(F456)),0)))</f>
        <v/>
      </c>
      <c r="K456">
        <f>IF(C456="",0,IF(OR(G456="",G456="Split"),N(E456)*IFERROR(N(INDEX(Kids!$F$6:$F$11,MATCH(C456,Kids!$B$6:$B$11,0))),0),IF(G456="Save",N(E456),0)))</f>
        <v/>
      </c>
    </row>
    <row r="457">
      <c r="A457" s="1" t="n"/>
      <c r="B457" s="34" t="n"/>
      <c r="C457" s="30" t="n"/>
      <c r="D457" s="31" t="n"/>
      <c r="E457" s="35" t="n"/>
      <c r="F457" s="35" t="n"/>
      <c r="G457" s="33" t="n"/>
      <c r="H457" s="1">
        <f>IF(C457="",0,IF(OR(G457="",G457="Split"),(N(E457)-N(F457))*IFERROR(N(INDEX(Kids!$F$6:$F$11,MATCH(C457,Kids!$B$6:$B$11,0))),0),IF(G457="Save",(N(E457)-N(F457)),0)))</f>
        <v/>
      </c>
      <c r="I457">
        <f>IF(C457="",0,(N(E457)-N(F457))-H457-J457)</f>
        <v/>
      </c>
      <c r="J457">
        <f>IF(C457="",0,IF(OR(G457="",G457="Split"),(N(E457)-N(F457))*IFERROR(N(INDEX(Kids!$G$6:$G$11,MATCH(C457,Kids!$B$6:$B$11,0))),0),IF(G457="Give",(N(E457)-N(F457)),0)))</f>
        <v/>
      </c>
      <c r="K457">
        <f>IF(C457="",0,IF(OR(G457="",G457="Split"),N(E457)*IFERROR(N(INDEX(Kids!$F$6:$F$11,MATCH(C457,Kids!$B$6:$B$11,0))),0),IF(G457="Save",N(E457),0)))</f>
        <v/>
      </c>
    </row>
    <row r="458">
      <c r="A458" s="1" t="n"/>
      <c r="B458" s="34" t="n"/>
      <c r="C458" s="30" t="n"/>
      <c r="D458" s="31" t="n"/>
      <c r="E458" s="35" t="n"/>
      <c r="F458" s="35" t="n"/>
      <c r="G458" s="33" t="n"/>
      <c r="H458" s="1">
        <f>IF(C458="",0,IF(OR(G458="",G458="Split"),(N(E458)-N(F458))*IFERROR(N(INDEX(Kids!$F$6:$F$11,MATCH(C458,Kids!$B$6:$B$11,0))),0),IF(G458="Save",(N(E458)-N(F458)),0)))</f>
        <v/>
      </c>
      <c r="I458">
        <f>IF(C458="",0,(N(E458)-N(F458))-H458-J458)</f>
        <v/>
      </c>
      <c r="J458">
        <f>IF(C458="",0,IF(OR(G458="",G458="Split"),(N(E458)-N(F458))*IFERROR(N(INDEX(Kids!$G$6:$G$11,MATCH(C458,Kids!$B$6:$B$11,0))),0),IF(G458="Give",(N(E458)-N(F458)),0)))</f>
        <v/>
      </c>
      <c r="K458">
        <f>IF(C458="",0,IF(OR(G458="",G458="Split"),N(E458)*IFERROR(N(INDEX(Kids!$F$6:$F$11,MATCH(C458,Kids!$B$6:$B$11,0))),0),IF(G458="Save",N(E458),0)))</f>
        <v/>
      </c>
    </row>
    <row r="459">
      <c r="A459" s="1" t="n"/>
      <c r="B459" s="34" t="n"/>
      <c r="C459" s="30" t="n"/>
      <c r="D459" s="31" t="n"/>
      <c r="E459" s="35" t="n"/>
      <c r="F459" s="35" t="n"/>
      <c r="G459" s="33" t="n"/>
      <c r="H459" s="1">
        <f>IF(C459="",0,IF(OR(G459="",G459="Split"),(N(E459)-N(F459))*IFERROR(N(INDEX(Kids!$F$6:$F$11,MATCH(C459,Kids!$B$6:$B$11,0))),0),IF(G459="Save",(N(E459)-N(F459)),0)))</f>
        <v/>
      </c>
      <c r="I459">
        <f>IF(C459="",0,(N(E459)-N(F459))-H459-J459)</f>
        <v/>
      </c>
      <c r="J459">
        <f>IF(C459="",0,IF(OR(G459="",G459="Split"),(N(E459)-N(F459))*IFERROR(N(INDEX(Kids!$G$6:$G$11,MATCH(C459,Kids!$B$6:$B$11,0))),0),IF(G459="Give",(N(E459)-N(F459)),0)))</f>
        <v/>
      </c>
      <c r="K459">
        <f>IF(C459="",0,IF(OR(G459="",G459="Split"),N(E459)*IFERROR(N(INDEX(Kids!$F$6:$F$11,MATCH(C459,Kids!$B$6:$B$11,0))),0),IF(G459="Save",N(E459),0)))</f>
        <v/>
      </c>
    </row>
    <row r="460">
      <c r="A460" s="1" t="n"/>
      <c r="B460" s="34" t="n"/>
      <c r="C460" s="30" t="n"/>
      <c r="D460" s="31" t="n"/>
      <c r="E460" s="35" t="n"/>
      <c r="F460" s="35" t="n"/>
      <c r="G460" s="33" t="n"/>
      <c r="H460" s="1">
        <f>IF(C460="",0,IF(OR(G460="",G460="Split"),(N(E460)-N(F460))*IFERROR(N(INDEX(Kids!$F$6:$F$11,MATCH(C460,Kids!$B$6:$B$11,0))),0),IF(G460="Save",(N(E460)-N(F460)),0)))</f>
        <v/>
      </c>
      <c r="I460">
        <f>IF(C460="",0,(N(E460)-N(F460))-H460-J460)</f>
        <v/>
      </c>
      <c r="J460">
        <f>IF(C460="",0,IF(OR(G460="",G460="Split"),(N(E460)-N(F460))*IFERROR(N(INDEX(Kids!$G$6:$G$11,MATCH(C460,Kids!$B$6:$B$11,0))),0),IF(G460="Give",(N(E460)-N(F460)),0)))</f>
        <v/>
      </c>
      <c r="K460">
        <f>IF(C460="",0,IF(OR(G460="",G460="Split"),N(E460)*IFERROR(N(INDEX(Kids!$F$6:$F$11,MATCH(C460,Kids!$B$6:$B$11,0))),0),IF(G460="Save",N(E460),0)))</f>
        <v/>
      </c>
    </row>
    <row r="461">
      <c r="A461" s="1" t="n"/>
      <c r="B461" s="34" t="n"/>
      <c r="C461" s="30" t="n"/>
      <c r="D461" s="31" t="n"/>
      <c r="E461" s="35" t="n"/>
      <c r="F461" s="35" t="n"/>
      <c r="G461" s="33" t="n"/>
      <c r="H461" s="1">
        <f>IF(C461="",0,IF(OR(G461="",G461="Split"),(N(E461)-N(F461))*IFERROR(N(INDEX(Kids!$F$6:$F$11,MATCH(C461,Kids!$B$6:$B$11,0))),0),IF(G461="Save",(N(E461)-N(F461)),0)))</f>
        <v/>
      </c>
      <c r="I461">
        <f>IF(C461="",0,(N(E461)-N(F461))-H461-J461)</f>
        <v/>
      </c>
      <c r="J461">
        <f>IF(C461="",0,IF(OR(G461="",G461="Split"),(N(E461)-N(F461))*IFERROR(N(INDEX(Kids!$G$6:$G$11,MATCH(C461,Kids!$B$6:$B$11,0))),0),IF(G461="Give",(N(E461)-N(F461)),0)))</f>
        <v/>
      </c>
      <c r="K461">
        <f>IF(C461="",0,IF(OR(G461="",G461="Split"),N(E461)*IFERROR(N(INDEX(Kids!$F$6:$F$11,MATCH(C461,Kids!$B$6:$B$11,0))),0),IF(G461="Save",N(E461),0)))</f>
        <v/>
      </c>
    </row>
    <row r="462">
      <c r="A462" s="1" t="n"/>
      <c r="B462" s="34" t="n"/>
      <c r="C462" s="30" t="n"/>
      <c r="D462" s="31" t="n"/>
      <c r="E462" s="35" t="n"/>
      <c r="F462" s="35" t="n"/>
      <c r="G462" s="33" t="n"/>
      <c r="H462" s="1">
        <f>IF(C462="",0,IF(OR(G462="",G462="Split"),(N(E462)-N(F462))*IFERROR(N(INDEX(Kids!$F$6:$F$11,MATCH(C462,Kids!$B$6:$B$11,0))),0),IF(G462="Save",(N(E462)-N(F462)),0)))</f>
        <v/>
      </c>
      <c r="I462">
        <f>IF(C462="",0,(N(E462)-N(F462))-H462-J462)</f>
        <v/>
      </c>
      <c r="J462">
        <f>IF(C462="",0,IF(OR(G462="",G462="Split"),(N(E462)-N(F462))*IFERROR(N(INDEX(Kids!$G$6:$G$11,MATCH(C462,Kids!$B$6:$B$11,0))),0),IF(G462="Give",(N(E462)-N(F462)),0)))</f>
        <v/>
      </c>
      <c r="K462">
        <f>IF(C462="",0,IF(OR(G462="",G462="Split"),N(E462)*IFERROR(N(INDEX(Kids!$F$6:$F$11,MATCH(C462,Kids!$B$6:$B$11,0))),0),IF(G462="Save",N(E462),0)))</f>
        <v/>
      </c>
    </row>
    <row r="463">
      <c r="A463" s="1" t="n"/>
      <c r="B463" s="34" t="n"/>
      <c r="C463" s="30" t="n"/>
      <c r="D463" s="31" t="n"/>
      <c r="E463" s="35" t="n"/>
      <c r="F463" s="35" t="n"/>
      <c r="G463" s="33" t="n"/>
      <c r="H463" s="1">
        <f>IF(C463="",0,IF(OR(G463="",G463="Split"),(N(E463)-N(F463))*IFERROR(N(INDEX(Kids!$F$6:$F$11,MATCH(C463,Kids!$B$6:$B$11,0))),0),IF(G463="Save",(N(E463)-N(F463)),0)))</f>
        <v/>
      </c>
      <c r="I463">
        <f>IF(C463="",0,(N(E463)-N(F463))-H463-J463)</f>
        <v/>
      </c>
      <c r="J463">
        <f>IF(C463="",0,IF(OR(G463="",G463="Split"),(N(E463)-N(F463))*IFERROR(N(INDEX(Kids!$G$6:$G$11,MATCH(C463,Kids!$B$6:$B$11,0))),0),IF(G463="Give",(N(E463)-N(F463)),0)))</f>
        <v/>
      </c>
      <c r="K463">
        <f>IF(C463="",0,IF(OR(G463="",G463="Split"),N(E463)*IFERROR(N(INDEX(Kids!$F$6:$F$11,MATCH(C463,Kids!$B$6:$B$11,0))),0),IF(G463="Save",N(E463),0)))</f>
        <v/>
      </c>
    </row>
    <row r="464">
      <c r="A464" s="1" t="n"/>
      <c r="B464" s="34" t="n"/>
      <c r="C464" s="30" t="n"/>
      <c r="D464" s="31" t="n"/>
      <c r="E464" s="35" t="n"/>
      <c r="F464" s="35" t="n"/>
      <c r="G464" s="33" t="n"/>
      <c r="H464" s="1">
        <f>IF(C464="",0,IF(OR(G464="",G464="Split"),(N(E464)-N(F464))*IFERROR(N(INDEX(Kids!$F$6:$F$11,MATCH(C464,Kids!$B$6:$B$11,0))),0),IF(G464="Save",(N(E464)-N(F464)),0)))</f>
        <v/>
      </c>
      <c r="I464">
        <f>IF(C464="",0,(N(E464)-N(F464))-H464-J464)</f>
        <v/>
      </c>
      <c r="J464">
        <f>IF(C464="",0,IF(OR(G464="",G464="Split"),(N(E464)-N(F464))*IFERROR(N(INDEX(Kids!$G$6:$G$11,MATCH(C464,Kids!$B$6:$B$11,0))),0),IF(G464="Give",(N(E464)-N(F464)),0)))</f>
        <v/>
      </c>
      <c r="K464">
        <f>IF(C464="",0,IF(OR(G464="",G464="Split"),N(E464)*IFERROR(N(INDEX(Kids!$F$6:$F$11,MATCH(C464,Kids!$B$6:$B$11,0))),0),IF(G464="Save",N(E464),0)))</f>
        <v/>
      </c>
    </row>
    <row r="465">
      <c r="A465" s="1" t="n"/>
      <c r="B465" s="34" t="n"/>
      <c r="C465" s="30" t="n"/>
      <c r="D465" s="31" t="n"/>
      <c r="E465" s="35" t="n"/>
      <c r="F465" s="35" t="n"/>
      <c r="G465" s="33" t="n"/>
      <c r="H465" s="1">
        <f>IF(C465="",0,IF(OR(G465="",G465="Split"),(N(E465)-N(F465))*IFERROR(N(INDEX(Kids!$F$6:$F$11,MATCH(C465,Kids!$B$6:$B$11,0))),0),IF(G465="Save",(N(E465)-N(F465)),0)))</f>
        <v/>
      </c>
      <c r="I465">
        <f>IF(C465="",0,(N(E465)-N(F465))-H465-J465)</f>
        <v/>
      </c>
      <c r="J465">
        <f>IF(C465="",0,IF(OR(G465="",G465="Split"),(N(E465)-N(F465))*IFERROR(N(INDEX(Kids!$G$6:$G$11,MATCH(C465,Kids!$B$6:$B$11,0))),0),IF(G465="Give",(N(E465)-N(F465)),0)))</f>
        <v/>
      </c>
      <c r="K465">
        <f>IF(C465="",0,IF(OR(G465="",G465="Split"),N(E465)*IFERROR(N(INDEX(Kids!$F$6:$F$11,MATCH(C465,Kids!$B$6:$B$11,0))),0),IF(G465="Save",N(E465),0)))</f>
        <v/>
      </c>
    </row>
    <row r="466">
      <c r="A466" s="1" t="n"/>
      <c r="B466" s="34" t="n"/>
      <c r="C466" s="30" t="n"/>
      <c r="D466" s="31" t="n"/>
      <c r="E466" s="35" t="n"/>
      <c r="F466" s="35" t="n"/>
      <c r="G466" s="33" t="n"/>
      <c r="H466" s="1">
        <f>IF(C466="",0,IF(OR(G466="",G466="Split"),(N(E466)-N(F466))*IFERROR(N(INDEX(Kids!$F$6:$F$11,MATCH(C466,Kids!$B$6:$B$11,0))),0),IF(G466="Save",(N(E466)-N(F466)),0)))</f>
        <v/>
      </c>
      <c r="I466">
        <f>IF(C466="",0,(N(E466)-N(F466))-H466-J466)</f>
        <v/>
      </c>
      <c r="J466">
        <f>IF(C466="",0,IF(OR(G466="",G466="Split"),(N(E466)-N(F466))*IFERROR(N(INDEX(Kids!$G$6:$G$11,MATCH(C466,Kids!$B$6:$B$11,0))),0),IF(G466="Give",(N(E466)-N(F466)),0)))</f>
        <v/>
      </c>
      <c r="K466">
        <f>IF(C466="",0,IF(OR(G466="",G466="Split"),N(E466)*IFERROR(N(INDEX(Kids!$F$6:$F$11,MATCH(C466,Kids!$B$6:$B$11,0))),0),IF(G466="Save",N(E466),0)))</f>
        <v/>
      </c>
    </row>
    <row r="467">
      <c r="A467" s="1" t="n"/>
      <c r="B467" s="34" t="n"/>
      <c r="C467" s="30" t="n"/>
      <c r="D467" s="31" t="n"/>
      <c r="E467" s="35" t="n"/>
      <c r="F467" s="35" t="n"/>
      <c r="G467" s="33" t="n"/>
      <c r="H467" s="1">
        <f>IF(C467="",0,IF(OR(G467="",G467="Split"),(N(E467)-N(F467))*IFERROR(N(INDEX(Kids!$F$6:$F$11,MATCH(C467,Kids!$B$6:$B$11,0))),0),IF(G467="Save",(N(E467)-N(F467)),0)))</f>
        <v/>
      </c>
      <c r="I467">
        <f>IF(C467="",0,(N(E467)-N(F467))-H467-J467)</f>
        <v/>
      </c>
      <c r="J467">
        <f>IF(C467="",0,IF(OR(G467="",G467="Split"),(N(E467)-N(F467))*IFERROR(N(INDEX(Kids!$G$6:$G$11,MATCH(C467,Kids!$B$6:$B$11,0))),0),IF(G467="Give",(N(E467)-N(F467)),0)))</f>
        <v/>
      </c>
      <c r="K467">
        <f>IF(C467="",0,IF(OR(G467="",G467="Split"),N(E467)*IFERROR(N(INDEX(Kids!$F$6:$F$11,MATCH(C467,Kids!$B$6:$B$11,0))),0),IF(G467="Save",N(E467),0)))</f>
        <v/>
      </c>
    </row>
    <row r="468">
      <c r="A468" s="1" t="n"/>
      <c r="B468" s="34" t="n"/>
      <c r="C468" s="30" t="n"/>
      <c r="D468" s="31" t="n"/>
      <c r="E468" s="35" t="n"/>
      <c r="F468" s="35" t="n"/>
      <c r="G468" s="33" t="n"/>
      <c r="H468" s="1">
        <f>IF(C468="",0,IF(OR(G468="",G468="Split"),(N(E468)-N(F468))*IFERROR(N(INDEX(Kids!$F$6:$F$11,MATCH(C468,Kids!$B$6:$B$11,0))),0),IF(G468="Save",(N(E468)-N(F468)),0)))</f>
        <v/>
      </c>
      <c r="I468">
        <f>IF(C468="",0,(N(E468)-N(F468))-H468-J468)</f>
        <v/>
      </c>
      <c r="J468">
        <f>IF(C468="",0,IF(OR(G468="",G468="Split"),(N(E468)-N(F468))*IFERROR(N(INDEX(Kids!$G$6:$G$11,MATCH(C468,Kids!$B$6:$B$11,0))),0),IF(G468="Give",(N(E468)-N(F468)),0)))</f>
        <v/>
      </c>
      <c r="K468">
        <f>IF(C468="",0,IF(OR(G468="",G468="Split"),N(E468)*IFERROR(N(INDEX(Kids!$F$6:$F$11,MATCH(C468,Kids!$B$6:$B$11,0))),0),IF(G468="Save",N(E468),0)))</f>
        <v/>
      </c>
    </row>
    <row r="469">
      <c r="A469" s="1" t="n"/>
      <c r="B469" s="34" t="n"/>
      <c r="C469" s="30" t="n"/>
      <c r="D469" s="31" t="n"/>
      <c r="E469" s="35" t="n"/>
      <c r="F469" s="35" t="n"/>
      <c r="G469" s="33" t="n"/>
      <c r="H469" s="1">
        <f>IF(C469="",0,IF(OR(G469="",G469="Split"),(N(E469)-N(F469))*IFERROR(N(INDEX(Kids!$F$6:$F$11,MATCH(C469,Kids!$B$6:$B$11,0))),0),IF(G469="Save",(N(E469)-N(F469)),0)))</f>
        <v/>
      </c>
      <c r="I469">
        <f>IF(C469="",0,(N(E469)-N(F469))-H469-J469)</f>
        <v/>
      </c>
      <c r="J469">
        <f>IF(C469="",0,IF(OR(G469="",G469="Split"),(N(E469)-N(F469))*IFERROR(N(INDEX(Kids!$G$6:$G$11,MATCH(C469,Kids!$B$6:$B$11,0))),0),IF(G469="Give",(N(E469)-N(F469)),0)))</f>
        <v/>
      </c>
      <c r="K469">
        <f>IF(C469="",0,IF(OR(G469="",G469="Split"),N(E469)*IFERROR(N(INDEX(Kids!$F$6:$F$11,MATCH(C469,Kids!$B$6:$B$11,0))),0),IF(G469="Save",N(E469),0)))</f>
        <v/>
      </c>
    </row>
    <row r="470">
      <c r="A470" s="1" t="n"/>
      <c r="B470" s="34" t="n"/>
      <c r="C470" s="30" t="n"/>
      <c r="D470" s="31" t="n"/>
      <c r="E470" s="35" t="n"/>
      <c r="F470" s="35" t="n"/>
      <c r="G470" s="33" t="n"/>
      <c r="H470" s="1">
        <f>IF(C470="",0,IF(OR(G470="",G470="Split"),(N(E470)-N(F470))*IFERROR(N(INDEX(Kids!$F$6:$F$11,MATCH(C470,Kids!$B$6:$B$11,0))),0),IF(G470="Save",(N(E470)-N(F470)),0)))</f>
        <v/>
      </c>
      <c r="I470">
        <f>IF(C470="",0,(N(E470)-N(F470))-H470-J470)</f>
        <v/>
      </c>
      <c r="J470">
        <f>IF(C470="",0,IF(OR(G470="",G470="Split"),(N(E470)-N(F470))*IFERROR(N(INDEX(Kids!$G$6:$G$11,MATCH(C470,Kids!$B$6:$B$11,0))),0),IF(G470="Give",(N(E470)-N(F470)),0)))</f>
        <v/>
      </c>
      <c r="K470">
        <f>IF(C470="",0,IF(OR(G470="",G470="Split"),N(E470)*IFERROR(N(INDEX(Kids!$F$6:$F$11,MATCH(C470,Kids!$B$6:$B$11,0))),0),IF(G470="Save",N(E470),0)))</f>
        <v/>
      </c>
    </row>
    <row r="471">
      <c r="A471" s="1" t="n"/>
      <c r="B471" s="34" t="n"/>
      <c r="C471" s="30" t="n"/>
      <c r="D471" s="31" t="n"/>
      <c r="E471" s="35" t="n"/>
      <c r="F471" s="35" t="n"/>
      <c r="G471" s="33" t="n"/>
      <c r="H471" s="1">
        <f>IF(C471="",0,IF(OR(G471="",G471="Split"),(N(E471)-N(F471))*IFERROR(N(INDEX(Kids!$F$6:$F$11,MATCH(C471,Kids!$B$6:$B$11,0))),0),IF(G471="Save",(N(E471)-N(F471)),0)))</f>
        <v/>
      </c>
      <c r="I471">
        <f>IF(C471="",0,(N(E471)-N(F471))-H471-J471)</f>
        <v/>
      </c>
      <c r="J471">
        <f>IF(C471="",0,IF(OR(G471="",G471="Split"),(N(E471)-N(F471))*IFERROR(N(INDEX(Kids!$G$6:$G$11,MATCH(C471,Kids!$B$6:$B$11,0))),0),IF(G471="Give",(N(E471)-N(F471)),0)))</f>
        <v/>
      </c>
      <c r="K471">
        <f>IF(C471="",0,IF(OR(G471="",G471="Split"),N(E471)*IFERROR(N(INDEX(Kids!$F$6:$F$11,MATCH(C471,Kids!$B$6:$B$11,0))),0),IF(G471="Save",N(E471),0)))</f>
        <v/>
      </c>
    </row>
    <row r="472">
      <c r="A472" s="1" t="n"/>
      <c r="B472" s="34" t="n"/>
      <c r="C472" s="30" t="n"/>
      <c r="D472" s="31" t="n"/>
      <c r="E472" s="35" t="n"/>
      <c r="F472" s="35" t="n"/>
      <c r="G472" s="33" t="n"/>
      <c r="H472" s="1">
        <f>IF(C472="",0,IF(OR(G472="",G472="Split"),(N(E472)-N(F472))*IFERROR(N(INDEX(Kids!$F$6:$F$11,MATCH(C472,Kids!$B$6:$B$11,0))),0),IF(G472="Save",(N(E472)-N(F472)),0)))</f>
        <v/>
      </c>
      <c r="I472">
        <f>IF(C472="",0,(N(E472)-N(F472))-H472-J472)</f>
        <v/>
      </c>
      <c r="J472">
        <f>IF(C472="",0,IF(OR(G472="",G472="Split"),(N(E472)-N(F472))*IFERROR(N(INDEX(Kids!$G$6:$G$11,MATCH(C472,Kids!$B$6:$B$11,0))),0),IF(G472="Give",(N(E472)-N(F472)),0)))</f>
        <v/>
      </c>
      <c r="K472">
        <f>IF(C472="",0,IF(OR(G472="",G472="Split"),N(E472)*IFERROR(N(INDEX(Kids!$F$6:$F$11,MATCH(C472,Kids!$B$6:$B$11,0))),0),IF(G472="Save",N(E472),0)))</f>
        <v/>
      </c>
    </row>
    <row r="473">
      <c r="A473" s="1" t="n"/>
      <c r="B473" s="34" t="n"/>
      <c r="C473" s="30" t="n"/>
      <c r="D473" s="31" t="n"/>
      <c r="E473" s="35" t="n"/>
      <c r="F473" s="35" t="n"/>
      <c r="G473" s="33" t="n"/>
      <c r="H473" s="1">
        <f>IF(C473="",0,IF(OR(G473="",G473="Split"),(N(E473)-N(F473))*IFERROR(N(INDEX(Kids!$F$6:$F$11,MATCH(C473,Kids!$B$6:$B$11,0))),0),IF(G473="Save",(N(E473)-N(F473)),0)))</f>
        <v/>
      </c>
      <c r="I473">
        <f>IF(C473="",0,(N(E473)-N(F473))-H473-J473)</f>
        <v/>
      </c>
      <c r="J473">
        <f>IF(C473="",0,IF(OR(G473="",G473="Split"),(N(E473)-N(F473))*IFERROR(N(INDEX(Kids!$G$6:$G$11,MATCH(C473,Kids!$B$6:$B$11,0))),0),IF(G473="Give",(N(E473)-N(F473)),0)))</f>
        <v/>
      </c>
      <c r="K473">
        <f>IF(C473="",0,IF(OR(G473="",G473="Split"),N(E473)*IFERROR(N(INDEX(Kids!$F$6:$F$11,MATCH(C473,Kids!$B$6:$B$11,0))),0),IF(G473="Save",N(E473),0)))</f>
        <v/>
      </c>
    </row>
    <row r="474">
      <c r="A474" s="1" t="n"/>
      <c r="B474" s="34" t="n"/>
      <c r="C474" s="30" t="n"/>
      <c r="D474" s="31" t="n"/>
      <c r="E474" s="35" t="n"/>
      <c r="F474" s="35" t="n"/>
      <c r="G474" s="33" t="n"/>
      <c r="H474" s="1">
        <f>IF(C474="",0,IF(OR(G474="",G474="Split"),(N(E474)-N(F474))*IFERROR(N(INDEX(Kids!$F$6:$F$11,MATCH(C474,Kids!$B$6:$B$11,0))),0),IF(G474="Save",(N(E474)-N(F474)),0)))</f>
        <v/>
      </c>
      <c r="I474">
        <f>IF(C474="",0,(N(E474)-N(F474))-H474-J474)</f>
        <v/>
      </c>
      <c r="J474">
        <f>IF(C474="",0,IF(OR(G474="",G474="Split"),(N(E474)-N(F474))*IFERROR(N(INDEX(Kids!$G$6:$G$11,MATCH(C474,Kids!$B$6:$B$11,0))),0),IF(G474="Give",(N(E474)-N(F474)),0)))</f>
        <v/>
      </c>
      <c r="K474">
        <f>IF(C474="",0,IF(OR(G474="",G474="Split"),N(E474)*IFERROR(N(INDEX(Kids!$F$6:$F$11,MATCH(C474,Kids!$B$6:$B$11,0))),0),IF(G474="Save",N(E474),0)))</f>
        <v/>
      </c>
    </row>
    <row r="475">
      <c r="A475" s="1" t="n"/>
      <c r="B475" s="34" t="n"/>
      <c r="C475" s="30" t="n"/>
      <c r="D475" s="31" t="n"/>
      <c r="E475" s="35" t="n"/>
      <c r="F475" s="35" t="n"/>
      <c r="G475" s="33" t="n"/>
      <c r="H475" s="1">
        <f>IF(C475="",0,IF(OR(G475="",G475="Split"),(N(E475)-N(F475))*IFERROR(N(INDEX(Kids!$F$6:$F$11,MATCH(C475,Kids!$B$6:$B$11,0))),0),IF(G475="Save",(N(E475)-N(F475)),0)))</f>
        <v/>
      </c>
      <c r="I475">
        <f>IF(C475="",0,(N(E475)-N(F475))-H475-J475)</f>
        <v/>
      </c>
      <c r="J475">
        <f>IF(C475="",0,IF(OR(G475="",G475="Split"),(N(E475)-N(F475))*IFERROR(N(INDEX(Kids!$G$6:$G$11,MATCH(C475,Kids!$B$6:$B$11,0))),0),IF(G475="Give",(N(E475)-N(F475)),0)))</f>
        <v/>
      </c>
      <c r="K475">
        <f>IF(C475="",0,IF(OR(G475="",G475="Split"),N(E475)*IFERROR(N(INDEX(Kids!$F$6:$F$11,MATCH(C475,Kids!$B$6:$B$11,0))),0),IF(G475="Save",N(E475),0)))</f>
        <v/>
      </c>
    </row>
    <row r="476">
      <c r="A476" s="1" t="n"/>
      <c r="B476" s="34" t="n"/>
      <c r="C476" s="30" t="n"/>
      <c r="D476" s="31" t="n"/>
      <c r="E476" s="35" t="n"/>
      <c r="F476" s="35" t="n"/>
      <c r="G476" s="33" t="n"/>
      <c r="H476" s="1">
        <f>IF(C476="",0,IF(OR(G476="",G476="Split"),(N(E476)-N(F476))*IFERROR(N(INDEX(Kids!$F$6:$F$11,MATCH(C476,Kids!$B$6:$B$11,0))),0),IF(G476="Save",(N(E476)-N(F476)),0)))</f>
        <v/>
      </c>
      <c r="I476">
        <f>IF(C476="",0,(N(E476)-N(F476))-H476-J476)</f>
        <v/>
      </c>
      <c r="J476">
        <f>IF(C476="",0,IF(OR(G476="",G476="Split"),(N(E476)-N(F476))*IFERROR(N(INDEX(Kids!$G$6:$G$11,MATCH(C476,Kids!$B$6:$B$11,0))),0),IF(G476="Give",(N(E476)-N(F476)),0)))</f>
        <v/>
      </c>
      <c r="K476">
        <f>IF(C476="",0,IF(OR(G476="",G476="Split"),N(E476)*IFERROR(N(INDEX(Kids!$F$6:$F$11,MATCH(C476,Kids!$B$6:$B$11,0))),0),IF(G476="Save",N(E476),0)))</f>
        <v/>
      </c>
    </row>
    <row r="477">
      <c r="A477" s="1" t="n"/>
      <c r="B477" s="34" t="n"/>
      <c r="C477" s="30" t="n"/>
      <c r="D477" s="31" t="n"/>
      <c r="E477" s="35" t="n"/>
      <c r="F477" s="35" t="n"/>
      <c r="G477" s="33" t="n"/>
      <c r="H477" s="1">
        <f>IF(C477="",0,IF(OR(G477="",G477="Split"),(N(E477)-N(F477))*IFERROR(N(INDEX(Kids!$F$6:$F$11,MATCH(C477,Kids!$B$6:$B$11,0))),0),IF(G477="Save",(N(E477)-N(F477)),0)))</f>
        <v/>
      </c>
      <c r="I477">
        <f>IF(C477="",0,(N(E477)-N(F477))-H477-J477)</f>
        <v/>
      </c>
      <c r="J477">
        <f>IF(C477="",0,IF(OR(G477="",G477="Split"),(N(E477)-N(F477))*IFERROR(N(INDEX(Kids!$G$6:$G$11,MATCH(C477,Kids!$B$6:$B$11,0))),0),IF(G477="Give",(N(E477)-N(F477)),0)))</f>
        <v/>
      </c>
      <c r="K477">
        <f>IF(C477="",0,IF(OR(G477="",G477="Split"),N(E477)*IFERROR(N(INDEX(Kids!$F$6:$F$11,MATCH(C477,Kids!$B$6:$B$11,0))),0),IF(G477="Save",N(E477),0)))</f>
        <v/>
      </c>
    </row>
    <row r="478">
      <c r="A478" s="1" t="n"/>
      <c r="B478" s="34" t="n"/>
      <c r="C478" s="30" t="n"/>
      <c r="D478" s="31" t="n"/>
      <c r="E478" s="35" t="n"/>
      <c r="F478" s="35" t="n"/>
      <c r="G478" s="33" t="n"/>
      <c r="H478" s="1">
        <f>IF(C478="",0,IF(OR(G478="",G478="Split"),(N(E478)-N(F478))*IFERROR(N(INDEX(Kids!$F$6:$F$11,MATCH(C478,Kids!$B$6:$B$11,0))),0),IF(G478="Save",(N(E478)-N(F478)),0)))</f>
        <v/>
      </c>
      <c r="I478">
        <f>IF(C478="",0,(N(E478)-N(F478))-H478-J478)</f>
        <v/>
      </c>
      <c r="J478">
        <f>IF(C478="",0,IF(OR(G478="",G478="Split"),(N(E478)-N(F478))*IFERROR(N(INDEX(Kids!$G$6:$G$11,MATCH(C478,Kids!$B$6:$B$11,0))),0),IF(G478="Give",(N(E478)-N(F478)),0)))</f>
        <v/>
      </c>
      <c r="K478">
        <f>IF(C478="",0,IF(OR(G478="",G478="Split"),N(E478)*IFERROR(N(INDEX(Kids!$F$6:$F$11,MATCH(C478,Kids!$B$6:$B$11,0))),0),IF(G478="Save",N(E478),0)))</f>
        <v/>
      </c>
    </row>
    <row r="479">
      <c r="A479" s="1" t="n"/>
      <c r="B479" s="34" t="n"/>
      <c r="C479" s="30" t="n"/>
      <c r="D479" s="31" t="n"/>
      <c r="E479" s="35" t="n"/>
      <c r="F479" s="35" t="n"/>
      <c r="G479" s="33" t="n"/>
      <c r="H479" s="1">
        <f>IF(C479="",0,IF(OR(G479="",G479="Split"),(N(E479)-N(F479))*IFERROR(N(INDEX(Kids!$F$6:$F$11,MATCH(C479,Kids!$B$6:$B$11,0))),0),IF(G479="Save",(N(E479)-N(F479)),0)))</f>
        <v/>
      </c>
      <c r="I479">
        <f>IF(C479="",0,(N(E479)-N(F479))-H479-J479)</f>
        <v/>
      </c>
      <c r="J479">
        <f>IF(C479="",0,IF(OR(G479="",G479="Split"),(N(E479)-N(F479))*IFERROR(N(INDEX(Kids!$G$6:$G$11,MATCH(C479,Kids!$B$6:$B$11,0))),0),IF(G479="Give",(N(E479)-N(F479)),0)))</f>
        <v/>
      </c>
      <c r="K479">
        <f>IF(C479="",0,IF(OR(G479="",G479="Split"),N(E479)*IFERROR(N(INDEX(Kids!$F$6:$F$11,MATCH(C479,Kids!$B$6:$B$11,0))),0),IF(G479="Save",N(E479),0)))</f>
        <v/>
      </c>
    </row>
    <row r="480">
      <c r="A480" s="1" t="n"/>
      <c r="B480" s="34" t="n"/>
      <c r="C480" s="30" t="n"/>
      <c r="D480" s="31" t="n"/>
      <c r="E480" s="35" t="n"/>
      <c r="F480" s="35" t="n"/>
      <c r="G480" s="33" t="n"/>
      <c r="H480" s="1">
        <f>IF(C480="",0,IF(OR(G480="",G480="Split"),(N(E480)-N(F480))*IFERROR(N(INDEX(Kids!$F$6:$F$11,MATCH(C480,Kids!$B$6:$B$11,0))),0),IF(G480="Save",(N(E480)-N(F480)),0)))</f>
        <v/>
      </c>
      <c r="I480">
        <f>IF(C480="",0,(N(E480)-N(F480))-H480-J480)</f>
        <v/>
      </c>
      <c r="J480">
        <f>IF(C480="",0,IF(OR(G480="",G480="Split"),(N(E480)-N(F480))*IFERROR(N(INDEX(Kids!$G$6:$G$11,MATCH(C480,Kids!$B$6:$B$11,0))),0),IF(G480="Give",(N(E480)-N(F480)),0)))</f>
        <v/>
      </c>
      <c r="K480">
        <f>IF(C480="",0,IF(OR(G480="",G480="Split"),N(E480)*IFERROR(N(INDEX(Kids!$F$6:$F$11,MATCH(C480,Kids!$B$6:$B$11,0))),0),IF(G480="Save",N(E480),0)))</f>
        <v/>
      </c>
    </row>
    <row r="481">
      <c r="A481" s="1" t="n"/>
      <c r="B481" s="34" t="n"/>
      <c r="C481" s="30" t="n"/>
      <c r="D481" s="31" t="n"/>
      <c r="E481" s="35" t="n"/>
      <c r="F481" s="35" t="n"/>
      <c r="G481" s="33" t="n"/>
      <c r="H481" s="1">
        <f>IF(C481="",0,IF(OR(G481="",G481="Split"),(N(E481)-N(F481))*IFERROR(N(INDEX(Kids!$F$6:$F$11,MATCH(C481,Kids!$B$6:$B$11,0))),0),IF(G481="Save",(N(E481)-N(F481)),0)))</f>
        <v/>
      </c>
      <c r="I481">
        <f>IF(C481="",0,(N(E481)-N(F481))-H481-J481)</f>
        <v/>
      </c>
      <c r="J481">
        <f>IF(C481="",0,IF(OR(G481="",G481="Split"),(N(E481)-N(F481))*IFERROR(N(INDEX(Kids!$G$6:$G$11,MATCH(C481,Kids!$B$6:$B$11,0))),0),IF(G481="Give",(N(E481)-N(F481)),0)))</f>
        <v/>
      </c>
      <c r="K481">
        <f>IF(C481="",0,IF(OR(G481="",G481="Split"),N(E481)*IFERROR(N(INDEX(Kids!$F$6:$F$11,MATCH(C481,Kids!$B$6:$B$11,0))),0),IF(G481="Save",N(E481),0)))</f>
        <v/>
      </c>
    </row>
    <row r="482">
      <c r="A482" s="1" t="n"/>
      <c r="B482" s="34" t="n"/>
      <c r="C482" s="30" t="n"/>
      <c r="D482" s="31" t="n"/>
      <c r="E482" s="35" t="n"/>
      <c r="F482" s="35" t="n"/>
      <c r="G482" s="33" t="n"/>
      <c r="H482" s="1">
        <f>IF(C482="",0,IF(OR(G482="",G482="Split"),(N(E482)-N(F482))*IFERROR(N(INDEX(Kids!$F$6:$F$11,MATCH(C482,Kids!$B$6:$B$11,0))),0),IF(G482="Save",(N(E482)-N(F482)),0)))</f>
        <v/>
      </c>
      <c r="I482">
        <f>IF(C482="",0,(N(E482)-N(F482))-H482-J482)</f>
        <v/>
      </c>
      <c r="J482">
        <f>IF(C482="",0,IF(OR(G482="",G482="Split"),(N(E482)-N(F482))*IFERROR(N(INDEX(Kids!$G$6:$G$11,MATCH(C482,Kids!$B$6:$B$11,0))),0),IF(G482="Give",(N(E482)-N(F482)),0)))</f>
        <v/>
      </c>
      <c r="K482">
        <f>IF(C482="",0,IF(OR(G482="",G482="Split"),N(E482)*IFERROR(N(INDEX(Kids!$F$6:$F$11,MATCH(C482,Kids!$B$6:$B$11,0))),0),IF(G482="Save",N(E482),0)))</f>
        <v/>
      </c>
    </row>
    <row r="483">
      <c r="A483" s="1" t="n"/>
      <c r="B483" s="34" t="n"/>
      <c r="C483" s="30" t="n"/>
      <c r="D483" s="31" t="n"/>
      <c r="E483" s="35" t="n"/>
      <c r="F483" s="35" t="n"/>
      <c r="G483" s="33" t="n"/>
      <c r="H483" s="1">
        <f>IF(C483="",0,IF(OR(G483="",G483="Split"),(N(E483)-N(F483))*IFERROR(N(INDEX(Kids!$F$6:$F$11,MATCH(C483,Kids!$B$6:$B$11,0))),0),IF(G483="Save",(N(E483)-N(F483)),0)))</f>
        <v/>
      </c>
      <c r="I483">
        <f>IF(C483="",0,(N(E483)-N(F483))-H483-J483)</f>
        <v/>
      </c>
      <c r="J483">
        <f>IF(C483="",0,IF(OR(G483="",G483="Split"),(N(E483)-N(F483))*IFERROR(N(INDEX(Kids!$G$6:$G$11,MATCH(C483,Kids!$B$6:$B$11,0))),0),IF(G483="Give",(N(E483)-N(F483)),0)))</f>
        <v/>
      </c>
      <c r="K483">
        <f>IF(C483="",0,IF(OR(G483="",G483="Split"),N(E483)*IFERROR(N(INDEX(Kids!$F$6:$F$11,MATCH(C483,Kids!$B$6:$B$11,0))),0),IF(G483="Save",N(E483),0)))</f>
        <v/>
      </c>
    </row>
    <row r="484">
      <c r="A484" s="1" t="n"/>
      <c r="B484" s="34" t="n"/>
      <c r="C484" s="30" t="n"/>
      <c r="D484" s="31" t="n"/>
      <c r="E484" s="35" t="n"/>
      <c r="F484" s="35" t="n"/>
      <c r="G484" s="33" t="n"/>
      <c r="H484" s="1">
        <f>IF(C484="",0,IF(OR(G484="",G484="Split"),(N(E484)-N(F484))*IFERROR(N(INDEX(Kids!$F$6:$F$11,MATCH(C484,Kids!$B$6:$B$11,0))),0),IF(G484="Save",(N(E484)-N(F484)),0)))</f>
        <v/>
      </c>
      <c r="I484">
        <f>IF(C484="",0,(N(E484)-N(F484))-H484-J484)</f>
        <v/>
      </c>
      <c r="J484">
        <f>IF(C484="",0,IF(OR(G484="",G484="Split"),(N(E484)-N(F484))*IFERROR(N(INDEX(Kids!$G$6:$G$11,MATCH(C484,Kids!$B$6:$B$11,0))),0),IF(G484="Give",(N(E484)-N(F484)),0)))</f>
        <v/>
      </c>
      <c r="K484">
        <f>IF(C484="",0,IF(OR(G484="",G484="Split"),N(E484)*IFERROR(N(INDEX(Kids!$F$6:$F$11,MATCH(C484,Kids!$B$6:$B$11,0))),0),IF(G484="Save",N(E484),0)))</f>
        <v/>
      </c>
    </row>
    <row r="485">
      <c r="A485" s="1" t="n"/>
      <c r="B485" s="34" t="n"/>
      <c r="C485" s="30" t="n"/>
      <c r="D485" s="31" t="n"/>
      <c r="E485" s="35" t="n"/>
      <c r="F485" s="35" t="n"/>
      <c r="G485" s="33" t="n"/>
      <c r="H485" s="1">
        <f>IF(C485="",0,IF(OR(G485="",G485="Split"),(N(E485)-N(F485))*IFERROR(N(INDEX(Kids!$F$6:$F$11,MATCH(C485,Kids!$B$6:$B$11,0))),0),IF(G485="Save",(N(E485)-N(F485)),0)))</f>
        <v/>
      </c>
      <c r="I485">
        <f>IF(C485="",0,(N(E485)-N(F485))-H485-J485)</f>
        <v/>
      </c>
      <c r="J485">
        <f>IF(C485="",0,IF(OR(G485="",G485="Split"),(N(E485)-N(F485))*IFERROR(N(INDEX(Kids!$G$6:$G$11,MATCH(C485,Kids!$B$6:$B$11,0))),0),IF(G485="Give",(N(E485)-N(F485)),0)))</f>
        <v/>
      </c>
      <c r="K485">
        <f>IF(C485="",0,IF(OR(G485="",G485="Split"),N(E485)*IFERROR(N(INDEX(Kids!$F$6:$F$11,MATCH(C485,Kids!$B$6:$B$11,0))),0),IF(G485="Save",N(E485),0)))</f>
        <v/>
      </c>
    </row>
    <row r="486">
      <c r="A486" s="1" t="n"/>
      <c r="B486" s="34" t="n"/>
      <c r="C486" s="30" t="n"/>
      <c r="D486" s="31" t="n"/>
      <c r="E486" s="35" t="n"/>
      <c r="F486" s="35" t="n"/>
      <c r="G486" s="33" t="n"/>
      <c r="H486" s="1">
        <f>IF(C486="",0,IF(OR(G486="",G486="Split"),(N(E486)-N(F486))*IFERROR(N(INDEX(Kids!$F$6:$F$11,MATCH(C486,Kids!$B$6:$B$11,0))),0),IF(G486="Save",(N(E486)-N(F486)),0)))</f>
        <v/>
      </c>
      <c r="I486">
        <f>IF(C486="",0,(N(E486)-N(F486))-H486-J486)</f>
        <v/>
      </c>
      <c r="J486">
        <f>IF(C486="",0,IF(OR(G486="",G486="Split"),(N(E486)-N(F486))*IFERROR(N(INDEX(Kids!$G$6:$G$11,MATCH(C486,Kids!$B$6:$B$11,0))),0),IF(G486="Give",(N(E486)-N(F486)),0)))</f>
        <v/>
      </c>
      <c r="K486">
        <f>IF(C486="",0,IF(OR(G486="",G486="Split"),N(E486)*IFERROR(N(INDEX(Kids!$F$6:$F$11,MATCH(C486,Kids!$B$6:$B$11,0))),0),IF(G486="Save",N(E486),0)))</f>
        <v/>
      </c>
    </row>
    <row r="487">
      <c r="A487" s="1" t="n"/>
      <c r="B487" s="34" t="n"/>
      <c r="C487" s="30" t="n"/>
      <c r="D487" s="31" t="n"/>
      <c r="E487" s="35" t="n"/>
      <c r="F487" s="35" t="n"/>
      <c r="G487" s="33" t="n"/>
      <c r="H487" s="1">
        <f>IF(C487="",0,IF(OR(G487="",G487="Split"),(N(E487)-N(F487))*IFERROR(N(INDEX(Kids!$F$6:$F$11,MATCH(C487,Kids!$B$6:$B$11,0))),0),IF(G487="Save",(N(E487)-N(F487)),0)))</f>
        <v/>
      </c>
      <c r="I487">
        <f>IF(C487="",0,(N(E487)-N(F487))-H487-J487)</f>
        <v/>
      </c>
      <c r="J487">
        <f>IF(C487="",0,IF(OR(G487="",G487="Split"),(N(E487)-N(F487))*IFERROR(N(INDEX(Kids!$G$6:$G$11,MATCH(C487,Kids!$B$6:$B$11,0))),0),IF(G487="Give",(N(E487)-N(F487)),0)))</f>
        <v/>
      </c>
      <c r="K487">
        <f>IF(C487="",0,IF(OR(G487="",G487="Split"),N(E487)*IFERROR(N(INDEX(Kids!$F$6:$F$11,MATCH(C487,Kids!$B$6:$B$11,0))),0),IF(G487="Save",N(E487),0)))</f>
        <v/>
      </c>
    </row>
    <row r="488">
      <c r="A488" s="1" t="n"/>
      <c r="B488" s="34" t="n"/>
      <c r="C488" s="30" t="n"/>
      <c r="D488" s="31" t="n"/>
      <c r="E488" s="35" t="n"/>
      <c r="F488" s="35" t="n"/>
      <c r="G488" s="33" t="n"/>
      <c r="H488" s="1">
        <f>IF(C488="",0,IF(OR(G488="",G488="Split"),(N(E488)-N(F488))*IFERROR(N(INDEX(Kids!$F$6:$F$11,MATCH(C488,Kids!$B$6:$B$11,0))),0),IF(G488="Save",(N(E488)-N(F488)),0)))</f>
        <v/>
      </c>
      <c r="I488">
        <f>IF(C488="",0,(N(E488)-N(F488))-H488-J488)</f>
        <v/>
      </c>
      <c r="J488">
        <f>IF(C488="",0,IF(OR(G488="",G488="Split"),(N(E488)-N(F488))*IFERROR(N(INDEX(Kids!$G$6:$G$11,MATCH(C488,Kids!$B$6:$B$11,0))),0),IF(G488="Give",(N(E488)-N(F488)),0)))</f>
        <v/>
      </c>
      <c r="K488">
        <f>IF(C488="",0,IF(OR(G488="",G488="Split"),N(E488)*IFERROR(N(INDEX(Kids!$F$6:$F$11,MATCH(C488,Kids!$B$6:$B$11,0))),0),IF(G488="Save",N(E488),0)))</f>
        <v/>
      </c>
    </row>
    <row r="489">
      <c r="A489" s="1" t="n"/>
      <c r="B489" s="34" t="n"/>
      <c r="C489" s="30" t="n"/>
      <c r="D489" s="31" t="n"/>
      <c r="E489" s="35" t="n"/>
      <c r="F489" s="35" t="n"/>
      <c r="G489" s="33" t="n"/>
      <c r="H489" s="1">
        <f>IF(C489="",0,IF(OR(G489="",G489="Split"),(N(E489)-N(F489))*IFERROR(N(INDEX(Kids!$F$6:$F$11,MATCH(C489,Kids!$B$6:$B$11,0))),0),IF(G489="Save",(N(E489)-N(F489)),0)))</f>
        <v/>
      </c>
      <c r="I489">
        <f>IF(C489="",0,(N(E489)-N(F489))-H489-J489)</f>
        <v/>
      </c>
      <c r="J489">
        <f>IF(C489="",0,IF(OR(G489="",G489="Split"),(N(E489)-N(F489))*IFERROR(N(INDEX(Kids!$G$6:$G$11,MATCH(C489,Kids!$B$6:$B$11,0))),0),IF(G489="Give",(N(E489)-N(F489)),0)))</f>
        <v/>
      </c>
      <c r="K489">
        <f>IF(C489="",0,IF(OR(G489="",G489="Split"),N(E489)*IFERROR(N(INDEX(Kids!$F$6:$F$11,MATCH(C489,Kids!$B$6:$B$11,0))),0),IF(G489="Save",N(E489),0)))</f>
        <v/>
      </c>
    </row>
    <row r="490">
      <c r="A490" s="1" t="n"/>
      <c r="B490" s="34" t="n"/>
      <c r="C490" s="30" t="n"/>
      <c r="D490" s="31" t="n"/>
      <c r="E490" s="35" t="n"/>
      <c r="F490" s="35" t="n"/>
      <c r="G490" s="33" t="n"/>
      <c r="H490" s="1">
        <f>IF(C490="",0,IF(OR(G490="",G490="Split"),(N(E490)-N(F490))*IFERROR(N(INDEX(Kids!$F$6:$F$11,MATCH(C490,Kids!$B$6:$B$11,0))),0),IF(G490="Save",(N(E490)-N(F490)),0)))</f>
        <v/>
      </c>
      <c r="I490">
        <f>IF(C490="",0,(N(E490)-N(F490))-H490-J490)</f>
        <v/>
      </c>
      <c r="J490">
        <f>IF(C490="",0,IF(OR(G490="",G490="Split"),(N(E490)-N(F490))*IFERROR(N(INDEX(Kids!$G$6:$G$11,MATCH(C490,Kids!$B$6:$B$11,0))),0),IF(G490="Give",(N(E490)-N(F490)),0)))</f>
        <v/>
      </c>
      <c r="K490">
        <f>IF(C490="",0,IF(OR(G490="",G490="Split"),N(E490)*IFERROR(N(INDEX(Kids!$F$6:$F$11,MATCH(C490,Kids!$B$6:$B$11,0))),0),IF(G490="Save",N(E490),0)))</f>
        <v/>
      </c>
    </row>
    <row r="491">
      <c r="A491" s="1" t="n"/>
      <c r="B491" s="34" t="n"/>
      <c r="C491" s="30" t="n"/>
      <c r="D491" s="31" t="n"/>
      <c r="E491" s="35" t="n"/>
      <c r="F491" s="35" t="n"/>
      <c r="G491" s="33" t="n"/>
      <c r="H491" s="1">
        <f>IF(C491="",0,IF(OR(G491="",G491="Split"),(N(E491)-N(F491))*IFERROR(N(INDEX(Kids!$F$6:$F$11,MATCH(C491,Kids!$B$6:$B$11,0))),0),IF(G491="Save",(N(E491)-N(F491)),0)))</f>
        <v/>
      </c>
      <c r="I491">
        <f>IF(C491="",0,(N(E491)-N(F491))-H491-J491)</f>
        <v/>
      </c>
      <c r="J491">
        <f>IF(C491="",0,IF(OR(G491="",G491="Split"),(N(E491)-N(F491))*IFERROR(N(INDEX(Kids!$G$6:$G$11,MATCH(C491,Kids!$B$6:$B$11,0))),0),IF(G491="Give",(N(E491)-N(F491)),0)))</f>
        <v/>
      </c>
      <c r="K491">
        <f>IF(C491="",0,IF(OR(G491="",G491="Split"),N(E491)*IFERROR(N(INDEX(Kids!$F$6:$F$11,MATCH(C491,Kids!$B$6:$B$11,0))),0),IF(G491="Save",N(E491),0)))</f>
        <v/>
      </c>
    </row>
    <row r="492">
      <c r="A492" s="1" t="n"/>
      <c r="B492" s="34" t="n"/>
      <c r="C492" s="30" t="n"/>
      <c r="D492" s="31" t="n"/>
      <c r="E492" s="35" t="n"/>
      <c r="F492" s="35" t="n"/>
      <c r="G492" s="33" t="n"/>
      <c r="H492" s="1">
        <f>IF(C492="",0,IF(OR(G492="",G492="Split"),(N(E492)-N(F492))*IFERROR(N(INDEX(Kids!$F$6:$F$11,MATCH(C492,Kids!$B$6:$B$11,0))),0),IF(G492="Save",(N(E492)-N(F492)),0)))</f>
        <v/>
      </c>
      <c r="I492">
        <f>IF(C492="",0,(N(E492)-N(F492))-H492-J492)</f>
        <v/>
      </c>
      <c r="J492">
        <f>IF(C492="",0,IF(OR(G492="",G492="Split"),(N(E492)-N(F492))*IFERROR(N(INDEX(Kids!$G$6:$G$11,MATCH(C492,Kids!$B$6:$B$11,0))),0),IF(G492="Give",(N(E492)-N(F492)),0)))</f>
        <v/>
      </c>
      <c r="K492">
        <f>IF(C492="",0,IF(OR(G492="",G492="Split"),N(E492)*IFERROR(N(INDEX(Kids!$F$6:$F$11,MATCH(C492,Kids!$B$6:$B$11,0))),0),IF(G492="Save",N(E492),0)))</f>
        <v/>
      </c>
    </row>
    <row r="493">
      <c r="A493" s="1" t="n"/>
      <c r="B493" s="34" t="n"/>
      <c r="C493" s="30" t="n"/>
      <c r="D493" s="31" t="n"/>
      <c r="E493" s="35" t="n"/>
      <c r="F493" s="35" t="n"/>
      <c r="G493" s="33" t="n"/>
      <c r="H493" s="1">
        <f>IF(C493="",0,IF(OR(G493="",G493="Split"),(N(E493)-N(F493))*IFERROR(N(INDEX(Kids!$F$6:$F$11,MATCH(C493,Kids!$B$6:$B$11,0))),0),IF(G493="Save",(N(E493)-N(F493)),0)))</f>
        <v/>
      </c>
      <c r="I493">
        <f>IF(C493="",0,(N(E493)-N(F493))-H493-J493)</f>
        <v/>
      </c>
      <c r="J493">
        <f>IF(C493="",0,IF(OR(G493="",G493="Split"),(N(E493)-N(F493))*IFERROR(N(INDEX(Kids!$G$6:$G$11,MATCH(C493,Kids!$B$6:$B$11,0))),0),IF(G493="Give",(N(E493)-N(F493)),0)))</f>
        <v/>
      </c>
      <c r="K493">
        <f>IF(C493="",0,IF(OR(G493="",G493="Split"),N(E493)*IFERROR(N(INDEX(Kids!$F$6:$F$11,MATCH(C493,Kids!$B$6:$B$11,0))),0),IF(G493="Save",N(E493),0)))</f>
        <v/>
      </c>
    </row>
    <row r="494">
      <c r="A494" s="1" t="n"/>
      <c r="B494" s="34" t="n"/>
      <c r="C494" s="30" t="n"/>
      <c r="D494" s="31" t="n"/>
      <c r="E494" s="35" t="n"/>
      <c r="F494" s="35" t="n"/>
      <c r="G494" s="33" t="n"/>
      <c r="H494" s="1">
        <f>IF(C494="",0,IF(OR(G494="",G494="Split"),(N(E494)-N(F494))*IFERROR(N(INDEX(Kids!$F$6:$F$11,MATCH(C494,Kids!$B$6:$B$11,0))),0),IF(G494="Save",(N(E494)-N(F494)),0)))</f>
        <v/>
      </c>
      <c r="I494">
        <f>IF(C494="",0,(N(E494)-N(F494))-H494-J494)</f>
        <v/>
      </c>
      <c r="J494">
        <f>IF(C494="",0,IF(OR(G494="",G494="Split"),(N(E494)-N(F494))*IFERROR(N(INDEX(Kids!$G$6:$G$11,MATCH(C494,Kids!$B$6:$B$11,0))),0),IF(G494="Give",(N(E494)-N(F494)),0)))</f>
        <v/>
      </c>
      <c r="K494">
        <f>IF(C494="",0,IF(OR(G494="",G494="Split"),N(E494)*IFERROR(N(INDEX(Kids!$F$6:$F$11,MATCH(C494,Kids!$B$6:$B$11,0))),0),IF(G494="Save",N(E494),0)))</f>
        <v/>
      </c>
    </row>
    <row r="495">
      <c r="A495" s="1" t="n"/>
      <c r="B495" s="34" t="n"/>
      <c r="C495" s="30" t="n"/>
      <c r="D495" s="31" t="n"/>
      <c r="E495" s="35" t="n"/>
      <c r="F495" s="35" t="n"/>
      <c r="G495" s="33" t="n"/>
      <c r="H495" s="1">
        <f>IF(C495="",0,IF(OR(G495="",G495="Split"),(N(E495)-N(F495))*IFERROR(N(INDEX(Kids!$F$6:$F$11,MATCH(C495,Kids!$B$6:$B$11,0))),0),IF(G495="Save",(N(E495)-N(F495)),0)))</f>
        <v/>
      </c>
      <c r="I495">
        <f>IF(C495="",0,(N(E495)-N(F495))-H495-J495)</f>
        <v/>
      </c>
      <c r="J495">
        <f>IF(C495="",0,IF(OR(G495="",G495="Split"),(N(E495)-N(F495))*IFERROR(N(INDEX(Kids!$G$6:$G$11,MATCH(C495,Kids!$B$6:$B$11,0))),0),IF(G495="Give",(N(E495)-N(F495)),0)))</f>
        <v/>
      </c>
      <c r="K495">
        <f>IF(C495="",0,IF(OR(G495="",G495="Split"),N(E495)*IFERROR(N(INDEX(Kids!$F$6:$F$11,MATCH(C495,Kids!$B$6:$B$11,0))),0),IF(G495="Save",N(E495),0)))</f>
        <v/>
      </c>
    </row>
    <row r="496">
      <c r="A496" s="1" t="n"/>
      <c r="B496" s="34" t="n"/>
      <c r="C496" s="30" t="n"/>
      <c r="D496" s="31" t="n"/>
      <c r="E496" s="35" t="n"/>
      <c r="F496" s="35" t="n"/>
      <c r="G496" s="33" t="n"/>
      <c r="H496" s="1">
        <f>IF(C496="",0,IF(OR(G496="",G496="Split"),(N(E496)-N(F496))*IFERROR(N(INDEX(Kids!$F$6:$F$11,MATCH(C496,Kids!$B$6:$B$11,0))),0),IF(G496="Save",(N(E496)-N(F496)),0)))</f>
        <v/>
      </c>
      <c r="I496">
        <f>IF(C496="",0,(N(E496)-N(F496))-H496-J496)</f>
        <v/>
      </c>
      <c r="J496">
        <f>IF(C496="",0,IF(OR(G496="",G496="Split"),(N(E496)-N(F496))*IFERROR(N(INDEX(Kids!$G$6:$G$11,MATCH(C496,Kids!$B$6:$B$11,0))),0),IF(G496="Give",(N(E496)-N(F496)),0)))</f>
        <v/>
      </c>
      <c r="K496">
        <f>IF(C496="",0,IF(OR(G496="",G496="Split"),N(E496)*IFERROR(N(INDEX(Kids!$F$6:$F$11,MATCH(C496,Kids!$B$6:$B$11,0))),0),IF(G496="Save",N(E496),0)))</f>
        <v/>
      </c>
    </row>
    <row r="497">
      <c r="A497" s="1" t="n"/>
      <c r="B497" s="34" t="n"/>
      <c r="C497" s="30" t="n"/>
      <c r="D497" s="31" t="n"/>
      <c r="E497" s="35" t="n"/>
      <c r="F497" s="35" t="n"/>
      <c r="G497" s="33" t="n"/>
      <c r="H497" s="1">
        <f>IF(C497="",0,IF(OR(G497="",G497="Split"),(N(E497)-N(F497))*IFERROR(N(INDEX(Kids!$F$6:$F$11,MATCH(C497,Kids!$B$6:$B$11,0))),0),IF(G497="Save",(N(E497)-N(F497)),0)))</f>
        <v/>
      </c>
      <c r="I497">
        <f>IF(C497="",0,(N(E497)-N(F497))-H497-J497)</f>
        <v/>
      </c>
      <c r="J497">
        <f>IF(C497="",0,IF(OR(G497="",G497="Split"),(N(E497)-N(F497))*IFERROR(N(INDEX(Kids!$G$6:$G$11,MATCH(C497,Kids!$B$6:$B$11,0))),0),IF(G497="Give",(N(E497)-N(F497)),0)))</f>
        <v/>
      </c>
      <c r="K497">
        <f>IF(C497="",0,IF(OR(G497="",G497="Split"),N(E497)*IFERROR(N(INDEX(Kids!$F$6:$F$11,MATCH(C497,Kids!$B$6:$B$11,0))),0),IF(G497="Save",N(E497),0)))</f>
        <v/>
      </c>
    </row>
    <row r="498">
      <c r="A498" s="1" t="n"/>
      <c r="B498" s="34" t="n"/>
      <c r="C498" s="30" t="n"/>
      <c r="D498" s="31" t="n"/>
      <c r="E498" s="35" t="n"/>
      <c r="F498" s="35" t="n"/>
      <c r="G498" s="33" t="n"/>
      <c r="H498" s="1">
        <f>IF(C498="",0,IF(OR(G498="",G498="Split"),(N(E498)-N(F498))*IFERROR(N(INDEX(Kids!$F$6:$F$11,MATCH(C498,Kids!$B$6:$B$11,0))),0),IF(G498="Save",(N(E498)-N(F498)),0)))</f>
        <v/>
      </c>
      <c r="I498">
        <f>IF(C498="",0,(N(E498)-N(F498))-H498-J498)</f>
        <v/>
      </c>
      <c r="J498">
        <f>IF(C498="",0,IF(OR(G498="",G498="Split"),(N(E498)-N(F498))*IFERROR(N(INDEX(Kids!$G$6:$G$11,MATCH(C498,Kids!$B$6:$B$11,0))),0),IF(G498="Give",(N(E498)-N(F498)),0)))</f>
        <v/>
      </c>
      <c r="K498">
        <f>IF(C498="",0,IF(OR(G498="",G498="Split"),N(E498)*IFERROR(N(INDEX(Kids!$F$6:$F$11,MATCH(C498,Kids!$B$6:$B$11,0))),0),IF(G498="Save",N(E498),0)))</f>
        <v/>
      </c>
    </row>
    <row r="499">
      <c r="A499" s="1" t="n"/>
      <c r="B499" s="34" t="n"/>
      <c r="C499" s="30" t="n"/>
      <c r="D499" s="31" t="n"/>
      <c r="E499" s="35" t="n"/>
      <c r="F499" s="35" t="n"/>
      <c r="G499" s="33" t="n"/>
      <c r="H499" s="1">
        <f>IF(C499="",0,IF(OR(G499="",G499="Split"),(N(E499)-N(F499))*IFERROR(N(INDEX(Kids!$F$6:$F$11,MATCH(C499,Kids!$B$6:$B$11,0))),0),IF(G499="Save",(N(E499)-N(F499)),0)))</f>
        <v/>
      </c>
      <c r="I499">
        <f>IF(C499="",0,(N(E499)-N(F499))-H499-J499)</f>
        <v/>
      </c>
      <c r="J499">
        <f>IF(C499="",0,IF(OR(G499="",G499="Split"),(N(E499)-N(F499))*IFERROR(N(INDEX(Kids!$G$6:$G$11,MATCH(C499,Kids!$B$6:$B$11,0))),0),IF(G499="Give",(N(E499)-N(F499)),0)))</f>
        <v/>
      </c>
      <c r="K499">
        <f>IF(C499="",0,IF(OR(G499="",G499="Split"),N(E499)*IFERROR(N(INDEX(Kids!$F$6:$F$11,MATCH(C499,Kids!$B$6:$B$11,0))),0),IF(G499="Save",N(E499),0)))</f>
        <v/>
      </c>
    </row>
    <row r="500">
      <c r="A500" s="1" t="n"/>
      <c r="B500" s="34" t="n"/>
      <c r="C500" s="30" t="n"/>
      <c r="D500" s="31" t="n"/>
      <c r="E500" s="35" t="n"/>
      <c r="F500" s="35" t="n"/>
      <c r="G500" s="33" t="n"/>
      <c r="H500" s="1">
        <f>IF(C500="",0,IF(OR(G500="",G500="Split"),(N(E500)-N(F500))*IFERROR(N(INDEX(Kids!$F$6:$F$11,MATCH(C500,Kids!$B$6:$B$11,0))),0),IF(G500="Save",(N(E500)-N(F500)),0)))</f>
        <v/>
      </c>
      <c r="I500">
        <f>IF(C500="",0,(N(E500)-N(F500))-H500-J500)</f>
        <v/>
      </c>
      <c r="J500">
        <f>IF(C500="",0,IF(OR(G500="",G500="Split"),(N(E500)-N(F500))*IFERROR(N(INDEX(Kids!$G$6:$G$11,MATCH(C500,Kids!$B$6:$B$11,0))),0),IF(G500="Give",(N(E500)-N(F500)),0)))</f>
        <v/>
      </c>
      <c r="K500">
        <f>IF(C500="",0,IF(OR(G500="",G500="Split"),N(E500)*IFERROR(N(INDEX(Kids!$F$6:$F$11,MATCH(C500,Kids!$B$6:$B$11,0))),0),IF(G500="Save",N(E500),0)))</f>
        <v/>
      </c>
    </row>
    <row r="501">
      <c r="A501" s="1" t="n"/>
      <c r="B501" s="34" t="n"/>
      <c r="C501" s="30" t="n"/>
      <c r="D501" s="31" t="n"/>
      <c r="E501" s="35" t="n"/>
      <c r="F501" s="35" t="n"/>
      <c r="G501" s="33" t="n"/>
      <c r="H501" s="1">
        <f>IF(C501="",0,IF(OR(G501="",G501="Split"),(N(E501)-N(F501))*IFERROR(N(INDEX(Kids!$F$6:$F$11,MATCH(C501,Kids!$B$6:$B$11,0))),0),IF(G501="Save",(N(E501)-N(F501)),0)))</f>
        <v/>
      </c>
      <c r="I501">
        <f>IF(C501="",0,(N(E501)-N(F501))-H501-J501)</f>
        <v/>
      </c>
      <c r="J501">
        <f>IF(C501="",0,IF(OR(G501="",G501="Split"),(N(E501)-N(F501))*IFERROR(N(INDEX(Kids!$G$6:$G$11,MATCH(C501,Kids!$B$6:$B$11,0))),0),IF(G501="Give",(N(E501)-N(F501)),0)))</f>
        <v/>
      </c>
      <c r="K501">
        <f>IF(C501="",0,IF(OR(G501="",G501="Split"),N(E501)*IFERROR(N(INDEX(Kids!$F$6:$F$11,MATCH(C501,Kids!$B$6:$B$11,0))),0),IF(G501="Save",N(E501),0)))</f>
        <v/>
      </c>
    </row>
    <row r="502">
      <c r="A502" s="1" t="n"/>
      <c r="B502" s="34" t="n"/>
      <c r="C502" s="30" t="n"/>
      <c r="D502" s="31" t="n"/>
      <c r="E502" s="35" t="n"/>
      <c r="F502" s="35" t="n"/>
      <c r="G502" s="33" t="n"/>
      <c r="H502" s="1">
        <f>IF(C502="",0,IF(OR(G502="",G502="Split"),(N(E502)-N(F502))*IFERROR(N(INDEX(Kids!$F$6:$F$11,MATCH(C502,Kids!$B$6:$B$11,0))),0),IF(G502="Save",(N(E502)-N(F502)),0)))</f>
        <v/>
      </c>
      <c r="I502">
        <f>IF(C502="",0,(N(E502)-N(F502))-H502-J502)</f>
        <v/>
      </c>
      <c r="J502">
        <f>IF(C502="",0,IF(OR(G502="",G502="Split"),(N(E502)-N(F502))*IFERROR(N(INDEX(Kids!$G$6:$G$11,MATCH(C502,Kids!$B$6:$B$11,0))),0),IF(G502="Give",(N(E502)-N(F502)),0)))</f>
        <v/>
      </c>
      <c r="K502">
        <f>IF(C502="",0,IF(OR(G502="",G502="Split"),N(E502)*IFERROR(N(INDEX(Kids!$F$6:$F$11,MATCH(C502,Kids!$B$6:$B$11,0))),0),IF(G502="Save",N(E502),0)))</f>
        <v/>
      </c>
    </row>
    <row r="503">
      <c r="A503" s="1" t="n"/>
      <c r="B503" s="34" t="n"/>
      <c r="C503" s="30" t="n"/>
      <c r="D503" s="31" t="n"/>
      <c r="E503" s="35" t="n"/>
      <c r="F503" s="35" t="n"/>
      <c r="G503" s="33" t="n"/>
      <c r="H503" s="1">
        <f>IF(C503="",0,IF(OR(G503="",G503="Split"),(N(E503)-N(F503))*IFERROR(N(INDEX(Kids!$F$6:$F$11,MATCH(C503,Kids!$B$6:$B$11,0))),0),IF(G503="Save",(N(E503)-N(F503)),0)))</f>
        <v/>
      </c>
      <c r="I503">
        <f>IF(C503="",0,(N(E503)-N(F503))-H503-J503)</f>
        <v/>
      </c>
      <c r="J503">
        <f>IF(C503="",0,IF(OR(G503="",G503="Split"),(N(E503)-N(F503))*IFERROR(N(INDEX(Kids!$G$6:$G$11,MATCH(C503,Kids!$B$6:$B$11,0))),0),IF(G503="Give",(N(E503)-N(F503)),0)))</f>
        <v/>
      </c>
      <c r="K503">
        <f>IF(C503="",0,IF(OR(G503="",G503="Split"),N(E503)*IFERROR(N(INDEX(Kids!$F$6:$F$11,MATCH(C503,Kids!$B$6:$B$11,0))),0),IF(G503="Save",N(E503),0)))</f>
        <v/>
      </c>
    </row>
    <row r="504">
      <c r="A504" s="1" t="n"/>
      <c r="B504" s="34" t="n"/>
      <c r="C504" s="30" t="n"/>
      <c r="D504" s="31" t="n"/>
      <c r="E504" s="35" t="n"/>
      <c r="F504" s="35" t="n"/>
      <c r="G504" s="33" t="n"/>
      <c r="H504" s="1">
        <f>IF(C504="",0,IF(OR(G504="",G504="Split"),(N(E504)-N(F504))*IFERROR(N(INDEX(Kids!$F$6:$F$11,MATCH(C504,Kids!$B$6:$B$11,0))),0),IF(G504="Save",(N(E504)-N(F504)),0)))</f>
        <v/>
      </c>
      <c r="I504">
        <f>IF(C504="",0,(N(E504)-N(F504))-H504-J504)</f>
        <v/>
      </c>
      <c r="J504">
        <f>IF(C504="",0,IF(OR(G504="",G504="Split"),(N(E504)-N(F504))*IFERROR(N(INDEX(Kids!$G$6:$G$11,MATCH(C504,Kids!$B$6:$B$11,0))),0),IF(G504="Give",(N(E504)-N(F504)),0)))</f>
        <v/>
      </c>
      <c r="K504">
        <f>IF(C504="",0,IF(OR(G504="",G504="Split"),N(E504)*IFERROR(N(INDEX(Kids!$F$6:$F$11,MATCH(C504,Kids!$B$6:$B$11,0))),0),IF(G504="Save",N(E504),0)))</f>
        <v/>
      </c>
    </row>
    <row r="505">
      <c r="A505" s="1" t="n"/>
      <c r="B505" s="34" t="n"/>
      <c r="C505" s="30" t="n"/>
      <c r="D505" s="31" t="n"/>
      <c r="E505" s="35" t="n"/>
      <c r="F505" s="35" t="n"/>
      <c r="G505" s="33" t="n"/>
      <c r="H505" s="1">
        <f>IF(C505="",0,IF(OR(G505="",G505="Split"),(N(E505)-N(F505))*IFERROR(N(INDEX(Kids!$F$6:$F$11,MATCH(C505,Kids!$B$6:$B$11,0))),0),IF(G505="Save",(N(E505)-N(F505)),0)))</f>
        <v/>
      </c>
      <c r="I505">
        <f>IF(C505="",0,(N(E505)-N(F505))-H505-J505)</f>
        <v/>
      </c>
      <c r="J505">
        <f>IF(C505="",0,IF(OR(G505="",G505="Split"),(N(E505)-N(F505))*IFERROR(N(INDEX(Kids!$G$6:$G$11,MATCH(C505,Kids!$B$6:$B$11,0))),0),IF(G505="Give",(N(E505)-N(F505)),0)))</f>
        <v/>
      </c>
      <c r="K505">
        <f>IF(C505="",0,IF(OR(G505="",G505="Split"),N(E505)*IFERROR(N(INDEX(Kids!$F$6:$F$11,MATCH(C505,Kids!$B$6:$B$11,0))),0),IF(G505="Save",N(E505),0)))</f>
        <v/>
      </c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</row>
  </sheetData>
  <dataValidations count="2">
    <dataValidation sqref="C6:C505" showDropDown="0" showInputMessage="0" showErrorMessage="1" allowBlank="1" type="list">
      <formula1>=Kids!$B$6:$B$11</formula1>
    </dataValidation>
    <dataValidation sqref="G6:G505" showDropDown="0" showInputMessage="0" showErrorMessage="1" allowBlank="1" type="list">
      <formula1>"Split,Save,Spend,Give"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" customWidth="1" min="3" max="3"/>
    <col width="11" customWidth="1" min="4" max="4"/>
    <col width="11" customWidth="1" min="5" max="5"/>
    <col width="9" customWidth="1" min="6" max="6"/>
    <col width="9" customWidth="1" min="7" max="7"/>
    <col width="9" customWidth="1" min="8" max="8"/>
    <col width="18" customWidth="1" min="9" max="9"/>
    <col width="11" customWidth="1" min="10" max="10"/>
    <col width="11" customWidth="1" min="11" max="11"/>
    <col width="11" customWidth="1" min="12" max="12"/>
    <col width="11" customWidth="1" min="13" max="13"/>
    <col width="20" customWidth="1" min="14" max="14"/>
    <col width="14" customWidth="1" min="15" max="15"/>
    <col hidden="1"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2" t="inlineStr">
        <is>
          <t>Kids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 t="inlineStr">
        <is>
          <t>Each child's pocket money: a base amount a week and so much a point, split into three jars.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30" customHeight="1">
      <c r="A5" s="1" t="n"/>
      <c r="B5" s="8" t="inlineStr">
        <is>
          <t>Name</t>
        </is>
      </c>
      <c r="C5" s="8" t="inlineStr">
        <is>
          <t>Age</t>
        </is>
      </c>
      <c r="D5" s="8" t="inlineStr">
        <is>
          <t>Base a week</t>
        </is>
      </c>
      <c r="E5" s="8" t="inlineStr">
        <is>
          <t>Per point</t>
        </is>
      </c>
      <c r="F5" s="8" t="inlineStr">
        <is>
          <t>Save</t>
        </is>
      </c>
      <c r="G5" s="8" t="inlineStr">
        <is>
          <t>Give</t>
        </is>
      </c>
      <c r="H5" s="8" t="inlineStr">
        <is>
          <t>Spend</t>
        </is>
      </c>
      <c r="I5" s="8" t="inlineStr">
        <is>
          <t>Goal</t>
        </is>
      </c>
      <c r="J5" s="8" t="inlineStr">
        <is>
          <t>Goal price</t>
        </is>
      </c>
      <c r="K5" s="8" t="inlineStr">
        <is>
          <t>Save jar</t>
        </is>
      </c>
      <c r="L5" s="8" t="inlineStr">
        <is>
          <t>Spend jar</t>
        </is>
      </c>
      <c r="M5" s="8" t="inlineStr">
        <is>
          <t>Give jar</t>
        </is>
      </c>
      <c r="N5" s="8" t="inlineStr">
        <is>
          <t>Goal saved</t>
        </is>
      </c>
      <c r="O5" s="8" t="inlineStr">
        <is>
          <t>Weeks to go</t>
        </is>
      </c>
      <c r="P5" s="1" t="n"/>
    </row>
    <row r="6" ht="20" customHeight="1">
      <c r="A6" s="1" t="n"/>
      <c r="B6" s="36" t="inlineStr">
        <is>
          <t>Mia</t>
        </is>
      </c>
      <c r="C6" s="32" t="n">
        <v>9</v>
      </c>
      <c r="D6" s="37" t="n">
        <v>2</v>
      </c>
      <c r="E6" s="37" t="n">
        <v>0.25</v>
      </c>
      <c r="F6" s="38" t="n">
        <v>0.4</v>
      </c>
      <c r="G6" s="38" t="n">
        <v>0.1</v>
      </c>
      <c r="H6" s="39">
        <f>IF(B6="","",1-N(F6)-N(G6))</f>
        <v/>
      </c>
      <c r="I6" s="40" t="inlineStr">
        <is>
          <t>Art kit</t>
        </is>
      </c>
      <c r="J6" s="37" t="n">
        <v>30</v>
      </c>
      <c r="K6" s="41">
        <f>IF(B6="","",SUMIFS(Money!$H$6:$H$505,Money!$C$6:$C$505,B6))</f>
        <v/>
      </c>
      <c r="L6" s="41">
        <f>IF(B6="","",SUMIFS(Money!$I$6:$I$505,Money!$C$6:$C$505,B6))</f>
        <v/>
      </c>
      <c r="M6" s="41">
        <f>IF(B6="","",SUMIFS(Money!$J$6:$J$505,Money!$C$6:$C$505,B6))</f>
        <v/>
      </c>
      <c r="N6" s="42">
        <f>IF(OR(B6="",N(J6)=0),"",REPT("█",MIN(12,MAX(0,ROUND((K6/J6)*12,0))))&amp;REPT("░",12-MIN(12,MAX(0,ROUND((K6/J6)*12,0)))))</f>
        <v/>
      </c>
      <c r="O6" s="10">
        <f>IF(OR(B6="",N(J6)=0),"",IF(K6&gt;=J6,"Reached",IF(N(Q6)&lt;=0,"",ROUNDUP(ROUND((J6-K6)/Q6,6),0))))</f>
        <v/>
      </c>
      <c r="P6" s="1" t="n"/>
      <c r="Q6">
        <f>IF(B6="","",SUMIFS(Money!$K$6:$K$505,Money!$C$6:$C$505,B6,Money!$B$6:$B$505,"&gt;"&amp;(TODAY()-28))/4)</f>
        <v/>
      </c>
    </row>
    <row r="7" ht="20" customHeight="1">
      <c r="A7" s="1" t="n"/>
      <c r="B7" s="36" t="inlineStr">
        <is>
          <t>Leo</t>
        </is>
      </c>
      <c r="C7" s="32" t="n">
        <v>7</v>
      </c>
      <c r="D7" s="37" t="n">
        <v>1.5</v>
      </c>
      <c r="E7" s="37" t="n">
        <v>0.2</v>
      </c>
      <c r="F7" s="38" t="n">
        <v>0.3</v>
      </c>
      <c r="G7" s="38" t="n">
        <v>0.1</v>
      </c>
      <c r="H7" s="39">
        <f>IF(B7="","",1-N(F7)-N(G7))</f>
        <v/>
      </c>
      <c r="I7" s="40" t="inlineStr">
        <is>
          <t>Building set</t>
        </is>
      </c>
      <c r="J7" s="37" t="n">
        <v>45</v>
      </c>
      <c r="K7" s="41">
        <f>IF(B7="","",SUMIFS(Money!$H$6:$H$505,Money!$C$6:$C$505,B7))</f>
        <v/>
      </c>
      <c r="L7" s="41">
        <f>IF(B7="","",SUMIFS(Money!$I$6:$I$505,Money!$C$6:$C$505,B7))</f>
        <v/>
      </c>
      <c r="M7" s="41">
        <f>IF(B7="","",SUMIFS(Money!$J$6:$J$505,Money!$C$6:$C$505,B7))</f>
        <v/>
      </c>
      <c r="N7" s="42">
        <f>IF(OR(B7="",N(J7)=0),"",REPT("█",MIN(12,MAX(0,ROUND((K7/J7)*12,0))))&amp;REPT("░",12-MIN(12,MAX(0,ROUND((K7/J7)*12,0)))))</f>
        <v/>
      </c>
      <c r="O7" s="10">
        <f>IF(OR(B7="",N(J7)=0),"",IF(K7&gt;=J7,"Reached",IF(N(Q7)&lt;=0,"",ROUNDUP(ROUND((J7-K7)/Q7,6),0))))</f>
        <v/>
      </c>
      <c r="P7" s="1" t="n"/>
      <c r="Q7">
        <f>IF(B7="","",SUMIFS(Money!$K$6:$K$505,Money!$C$6:$C$505,B7,Money!$B$6:$B$505,"&gt;"&amp;(TODAY()-28))/4)</f>
        <v/>
      </c>
    </row>
    <row r="8" ht="20" customHeight="1">
      <c r="A8" s="1" t="n"/>
      <c r="B8" s="36" t="inlineStr">
        <is>
          <t>Ava</t>
        </is>
      </c>
      <c r="C8" s="32" t="n">
        <v>12</v>
      </c>
      <c r="D8" s="37" t="n">
        <v>3</v>
      </c>
      <c r="E8" s="37" t="n">
        <v>0.3</v>
      </c>
      <c r="F8" s="38" t="n">
        <v>0.5</v>
      </c>
      <c r="G8" s="38" t="n">
        <v>0.1</v>
      </c>
      <c r="H8" s="39">
        <f>IF(B8="","",1-N(F8)-N(G8))</f>
        <v/>
      </c>
      <c r="I8" s="40" t="inlineStr">
        <is>
          <t>Headphones</t>
        </is>
      </c>
      <c r="J8" s="37" t="n">
        <v>60</v>
      </c>
      <c r="K8" s="41">
        <f>IF(B8="","",SUMIFS(Money!$H$6:$H$505,Money!$C$6:$C$505,B8))</f>
        <v/>
      </c>
      <c r="L8" s="41">
        <f>IF(B8="","",SUMIFS(Money!$I$6:$I$505,Money!$C$6:$C$505,B8))</f>
        <v/>
      </c>
      <c r="M8" s="41">
        <f>IF(B8="","",SUMIFS(Money!$J$6:$J$505,Money!$C$6:$C$505,B8))</f>
        <v/>
      </c>
      <c r="N8" s="42">
        <f>IF(OR(B8="",N(J8)=0),"",REPT("█",MIN(12,MAX(0,ROUND((K8/J8)*12,0))))&amp;REPT("░",12-MIN(12,MAX(0,ROUND((K8/J8)*12,0)))))</f>
        <v/>
      </c>
      <c r="O8" s="10">
        <f>IF(OR(B8="",N(J8)=0),"",IF(K8&gt;=J8,"Reached",IF(N(Q8)&lt;=0,"",ROUNDUP(ROUND((J8-K8)/Q8,6),0))))</f>
        <v/>
      </c>
      <c r="P8" s="1" t="n"/>
      <c r="Q8">
        <f>IF(B8="","",SUMIFS(Money!$K$6:$K$505,Money!$C$6:$C$505,B8,Money!$B$6:$B$505,"&gt;"&amp;(TODAY()-28))/4)</f>
        <v/>
      </c>
    </row>
    <row r="9" ht="20" customHeight="1">
      <c r="A9" s="1" t="n"/>
      <c r="B9" s="36" t="n"/>
      <c r="C9" s="32" t="n"/>
      <c r="D9" s="37" t="n"/>
      <c r="E9" s="37" t="n"/>
      <c r="F9" s="38" t="n"/>
      <c r="G9" s="38" t="n"/>
      <c r="H9" s="39">
        <f>IF(B9="","",1-N(F9)-N(G9))</f>
        <v/>
      </c>
      <c r="I9" s="40" t="n"/>
      <c r="J9" s="37" t="n"/>
      <c r="K9" s="41">
        <f>IF(B9="","",SUMIFS(Money!$H$6:$H$505,Money!$C$6:$C$505,B9))</f>
        <v/>
      </c>
      <c r="L9" s="41">
        <f>IF(B9="","",SUMIFS(Money!$I$6:$I$505,Money!$C$6:$C$505,B9))</f>
        <v/>
      </c>
      <c r="M9" s="41">
        <f>IF(B9="","",SUMIFS(Money!$J$6:$J$505,Money!$C$6:$C$505,B9))</f>
        <v/>
      </c>
      <c r="N9" s="42">
        <f>IF(OR(B9="",N(J9)=0),"",REPT("█",MIN(12,MAX(0,ROUND((K9/J9)*12,0))))&amp;REPT("░",12-MIN(12,MAX(0,ROUND((K9/J9)*12,0)))))</f>
        <v/>
      </c>
      <c r="O9" s="10">
        <f>IF(OR(B9="",N(J9)=0),"",IF(K9&gt;=J9,"Reached",IF(N(Q9)&lt;=0,"",ROUNDUP(ROUND((J9-K9)/Q9,6),0))))</f>
        <v/>
      </c>
      <c r="P9" s="1" t="n"/>
      <c r="Q9">
        <f>IF(B9="","",SUMIFS(Money!$K$6:$K$505,Money!$C$6:$C$505,B9,Money!$B$6:$B$505,"&gt;"&amp;(TODAY()-28))/4)</f>
        <v/>
      </c>
    </row>
    <row r="10" ht="20" customHeight="1">
      <c r="A10" s="1" t="n"/>
      <c r="B10" s="36" t="n"/>
      <c r="C10" s="32" t="n"/>
      <c r="D10" s="37" t="n"/>
      <c r="E10" s="37" t="n"/>
      <c r="F10" s="38" t="n"/>
      <c r="G10" s="38" t="n"/>
      <c r="H10" s="39">
        <f>IF(B10="","",1-N(F10)-N(G10))</f>
        <v/>
      </c>
      <c r="I10" s="40" t="n"/>
      <c r="J10" s="37" t="n"/>
      <c r="K10" s="41">
        <f>IF(B10="","",SUMIFS(Money!$H$6:$H$505,Money!$C$6:$C$505,B10))</f>
        <v/>
      </c>
      <c r="L10" s="41">
        <f>IF(B10="","",SUMIFS(Money!$I$6:$I$505,Money!$C$6:$C$505,B10))</f>
        <v/>
      </c>
      <c r="M10" s="41">
        <f>IF(B10="","",SUMIFS(Money!$J$6:$J$505,Money!$C$6:$C$505,B10))</f>
        <v/>
      </c>
      <c r="N10" s="42">
        <f>IF(OR(B10="",N(J10)=0),"",REPT("█",MIN(12,MAX(0,ROUND((K10/J10)*12,0))))&amp;REPT("░",12-MIN(12,MAX(0,ROUND((K10/J10)*12,0)))))</f>
        <v/>
      </c>
      <c r="O10" s="10">
        <f>IF(OR(B10="",N(J10)=0),"",IF(K10&gt;=J10,"Reached",IF(N(Q10)&lt;=0,"",ROUNDUP(ROUND((J10-K10)/Q10,6),0))))</f>
        <v/>
      </c>
      <c r="P10" s="1" t="n"/>
      <c r="Q10">
        <f>IF(B10="","",SUMIFS(Money!$K$6:$K$505,Money!$C$6:$C$505,B10,Money!$B$6:$B$505,"&gt;"&amp;(TODAY()-28))/4)</f>
        <v/>
      </c>
    </row>
    <row r="11" ht="20" customHeight="1">
      <c r="A11" s="1" t="n"/>
      <c r="B11" s="36" t="n"/>
      <c r="C11" s="32" t="n"/>
      <c r="D11" s="37" t="n"/>
      <c r="E11" s="37" t="n"/>
      <c r="F11" s="38" t="n"/>
      <c r="G11" s="38" t="n"/>
      <c r="H11" s="39">
        <f>IF(B11="","",1-N(F11)-N(G11))</f>
        <v/>
      </c>
      <c r="I11" s="40" t="n"/>
      <c r="J11" s="37" t="n"/>
      <c r="K11" s="41">
        <f>IF(B11="","",SUMIFS(Money!$H$6:$H$505,Money!$C$6:$C$505,B11))</f>
        <v/>
      </c>
      <c r="L11" s="41">
        <f>IF(B11="","",SUMIFS(Money!$I$6:$I$505,Money!$C$6:$C$505,B11))</f>
        <v/>
      </c>
      <c r="M11" s="41">
        <f>IF(B11="","",SUMIFS(Money!$J$6:$J$505,Money!$C$6:$C$505,B11))</f>
        <v/>
      </c>
      <c r="N11" s="42">
        <f>IF(OR(B11="",N(J11)=0),"",REPT("█",MIN(12,MAX(0,ROUND((K11/J11)*12,0))))&amp;REPT("░",12-MIN(12,MAX(0,ROUND((K11/J11)*12,0)))))</f>
        <v/>
      </c>
      <c r="O11" s="10">
        <f>IF(OR(B11="",N(J11)=0),"",IF(K11&gt;=J11,"Reached",IF(N(Q11)&lt;=0,"",ROUNDUP(ROUND((J11-K11)/Q11,6),0))))</f>
        <v/>
      </c>
      <c r="P11" s="1" t="n"/>
      <c r="Q11">
        <f>IF(B11="","",SUMIFS(Money!$K$6:$K$505,Money!$C$6:$C$505,B11,Money!$B$6:$B$505,"&gt;"&amp;(TODAY()-28))/4)</f>
        <v/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</sheetData>
  <conditionalFormatting sqref="O6:O11">
    <cfRule type="expression" priority="1" dxfId="0">
      <formula>O6="Reached"</formula>
    </cfRule>
  </conditionalFormatting>
  <conditionalFormatting sqref="H6:H11">
    <cfRule type="expression" priority="2" dxfId="3">
      <formula>AND(ISNUMBER(H6),H6&lt;0)</formula>
    </cfRule>
  </conditionalFormatting>
  <conditionalFormatting sqref="K6:M11">
    <cfRule type="expression" priority="3" dxfId="3">
      <formula>AND(ISNUMBER(K6),K6&lt;0)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64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The currency and the week the chart shows.</t>
        </is>
      </c>
      <c r="C3" s="1" t="n"/>
      <c r="D3" s="1" t="n"/>
      <c r="E3" s="1" t="n"/>
      <c r="F3" s="1" t="n"/>
    </row>
    <row r="4">
      <c r="A4" s="1" t="n"/>
      <c r="B4" s="43" t="inlineStr">
        <is>
          <t>Currency</t>
        </is>
      </c>
      <c r="C4" s="44" t="inlineStr">
        <is>
          <t>USD</t>
        </is>
      </c>
      <c r="D4" s="1" t="n"/>
      <c r="E4" s="26" t="inlineStr">
        <is>
          <t>Amounts have no currency sign, so any currency works.</t>
        </is>
      </c>
      <c r="F4" s="1" t="n"/>
    </row>
    <row r="5">
      <c r="A5" s="1" t="n"/>
      <c r="B5" s="43" t="inlineStr">
        <is>
          <t>Show another week</t>
        </is>
      </c>
      <c r="C5" s="45" t="n"/>
      <c r="D5" s="1" t="n"/>
      <c r="E5" s="26" t="inlineStr">
        <is>
          <t>Leave it empty for the week we are in. Type any day to see and print its week.</t>
        </is>
      </c>
      <c r="F5" s="1" t="n"/>
    </row>
    <row r="6">
      <c r="A6" s="1" t="n"/>
      <c r="B6" s="43" t="inlineStr">
        <is>
          <t>The week starts on</t>
        </is>
      </c>
      <c r="C6" s="46">
        <f>IF(C5="",TODAY(),C5)-WEEKDAY(IF(C5="",TODAY(),C5),3)</f>
        <v/>
      </c>
      <c r="D6" s="1" t="n"/>
      <c r="E6" s="26" t="inlineStr">
        <is>
          <t>The Monday of that week.</t>
        </is>
      </c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cells, and tick the boxes on This week.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47" t="inlineStr">
        <is>
          <t>1</t>
        </is>
      </c>
      <c r="C5" s="48" t="inlineStr">
        <is>
          <t>Kids: each child with a base amount a week, so much a point, and the shares to save and to give.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47" t="inlineStr">
        <is>
          <t>2</t>
        </is>
      </c>
      <c r="C7" s="48" t="inlineStr">
        <is>
          <t>Chores: each chore for each child, its points and an x on the days it is expected.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47" t="inlineStr">
        <is>
          <t>3</t>
        </is>
      </c>
      <c r="C9" s="48" t="inlineStr">
        <is>
          <t>This week: an x in the box when a chore is done.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47" t="inlineStr">
        <is>
          <t>4</t>
        </is>
      </c>
      <c r="C11" s="48" t="inlineStr">
        <is>
          <t>Fridge chart: pick a child in the yellow box and print the chart. It shows the ticks made so far.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47" t="inlineStr">
        <is>
          <t>5</t>
        </is>
      </c>
      <c r="C13" s="48" t="inlineStr">
        <is>
          <t>Pay day: the Dashboard shows what each child earned. Add it on Money as Pocket money, jar Split.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47" t="inlineStr">
        <is>
          <t>6</t>
        </is>
      </c>
      <c r="C15" s="48" t="inlineStr">
        <is>
          <t>Money: gifts in, and what they spend or give out of a jar. Each child's goal fills from the Save jar.</t>
        </is>
      </c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The example family and their money are made up. Delete them and add your own.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A new week: clear the boxes on This week. The money stays on the Money tab.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3" t="inlineStr">
        <is>
          <t>Works in Google Sheets and Microsoft Excel, in any currency.</t>
        </is>
      </c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2026-09-28T18:34:25Z</dcterms:created>
  <dcterms:modified xsi:type="dcterms:W3CDTF">2026-09-28T18:34:25Z</dcterms:modified>
</cp:coreProperties>
</file>