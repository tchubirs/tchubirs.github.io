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pplications" sheetId="2" state="visible" r:id="rId2"/>
    <sheet name="Interviews" sheetId="3" state="visible" r:id="rId3"/>
    <sheet name="Contacts" sheetId="4" state="visible" r:id="rId4"/>
    <sheet name="Settings" sheetId="5" state="visible" r:id="rId5"/>
    <sheet name="Start He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 MMM YYYY"/>
    <numFmt numFmtId="166" formatCode="hh:mm"/>
    <numFmt numFmtId="167" formatCode="0;;"/>
    <numFmt numFmtId="168" formatCode="0%;;"/>
    <numFmt numFmtId="169" formatCode="ddd d mmm"/>
    <numFmt numFmtId="170" formatCode="d mmm"/>
  </numFmts>
  <fonts count="14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b val="1"/>
      <color rgb="00B07A00"/>
      <sz val="16"/>
    </font>
    <font>
      <name val="Arial"/>
      <color rgb="001F6F78"/>
      <sz val="9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7" fillId="2" borderId="1" pivotButton="0" quotePrefix="0" xfId="0"/>
    <xf numFmtId="1" fontId="8" fillId="2" borderId="1" applyAlignment="1" pivotButton="0" quotePrefix="0" xfId="0">
      <alignment horizontal="right"/>
    </xf>
    <xf numFmtId="0" fontId="8" fillId="2" borderId="1" applyAlignment="1" pivotButton="0" quotePrefix="0" xfId="0">
      <alignment horizontal="right"/>
    </xf>
    <xf numFmtId="9" fontId="8" fillId="2" borderId="1" applyAlignment="1" pivotButton="0" quotePrefix="0" xfId="0">
      <alignment horizontal="right"/>
    </xf>
    <xf numFmtId="1" fontId="9" fillId="2" borderId="1" applyAlignment="1" pivotButton="0" quotePrefix="0" xfId="0">
      <alignment horizontal="right"/>
    </xf>
    <xf numFmtId="1" fontId="10" fillId="2" borderId="1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167" fontId="6" fillId="2" borderId="1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11" fillId="2" borderId="1" pivotButton="0" quotePrefix="0" xfId="0"/>
    <xf numFmtId="0" fontId="6" fillId="2" borderId="1" pivotButton="0" quotePrefix="0" xfId="0"/>
    <xf numFmtId="169" fontId="6" fillId="2" borderId="1" applyAlignment="1" pivotButton="0" quotePrefix="0" xfId="0">
      <alignment horizontal="center" vertical="center"/>
    </xf>
    <xf numFmtId="170" fontId="3" fillId="2" borderId="1" applyAlignment="1" pivotButton="0" quotePrefix="0" xfId="0">
      <alignment horizontal="center" vertical="center"/>
    </xf>
    <xf numFmtId="1" fontId="6" fillId="2" borderId="1" applyAlignment="1" pivotButton="0" quotePrefix="0" xfId="0">
      <alignment horizontal="center" vertical="center"/>
    </xf>
    <xf numFmtId="169" fontId="3" fillId="2" borderId="1" applyAlignment="1" pivotButton="0" quotePrefix="0" xfId="0">
      <alignment horizontal="center" vertical="center"/>
    </xf>
    <xf numFmtId="166" fontId="6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6" fillId="3" borderId="1" pivotButton="0" quotePrefix="0" xfId="0"/>
    <xf numFmtId="3" fontId="6" fillId="3" borderId="1" pivotButton="0" quotePrefix="0" xfId="0"/>
    <xf numFmtId="165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0" fontId="3" fillId="2" borderId="0" pivotButton="0" quotePrefix="0" xfId="0"/>
    <xf numFmtId="1" fontId="3" fillId="3" borderId="1" applyAlignment="1" pivotButton="0" quotePrefix="0" xfId="0">
      <alignment horizontal="center" vertical="center"/>
    </xf>
    <xf numFmtId="0" fontId="4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12" fillId="2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E3E8FF"/>
          <bgColor rgb="00E3E8FF"/>
        </patternFill>
      </fill>
    </dxf>
    <dxf>
      <font>
        <name val="Arial"/>
        <i val="1"/>
        <color rgb="006B7B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Applications a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'Dashboard'!C21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'Dashboard'!$B$22:$B$29</f>
            </numRef>
          </cat>
          <val>
            <numRef>
              <f>'Dashboard'!$C$22:$C$29</f>
            </numRef>
          </val>
        </ser>
        <ser>
          <idx val="1"/>
          <order val="1"/>
          <tx>
            <strRef>
              <f>'Dashboard'!D21</f>
            </strRef>
          </tx>
          <spPr>
            <a:solidFill>
              <a:srgbClr val="B8D3CF"/>
            </a:solidFill>
            <a:ln>
              <a:prstDash val="solid"/>
            </a:ln>
          </spPr>
          <cat>
            <numRef>
              <f>'Dashboard'!$B$22:$B$29</f>
            </numRef>
          </cat>
          <val>
            <numRef>
              <f>'Dashboard'!$D$22:$D$29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31</row>
      <rowOff>0</rowOff>
    </from>
    <ext cx="864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6" customWidth="1" min="5" max="5"/>
    <col width="3" customWidth="1" min="6" max="6"/>
    <col width="20" customWidth="1" min="7" max="7"/>
    <col width="22" customWidth="1" min="8" max="8"/>
    <col width="25" customWidth="1" min="9" max="9"/>
    <col width="12" customWidth="1" min="10" max="10"/>
    <col width="3" customWidth="1" min="11" max="11"/>
    <col hidden="1" width="13" customWidth="1" min="15" max="15"/>
    <col hidden="1" width="1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Job search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Where every application stands, and what to do next.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Applied</t>
        </is>
      </c>
      <c r="C4" s="4" t="inlineStr">
        <is>
          <t>This week</t>
        </is>
      </c>
      <c r="D4" s="4" t="inlineStr">
        <is>
          <t>Replies</t>
        </is>
      </c>
      <c r="E4" s="4" t="inlineStr">
        <is>
          <t>Interviews</t>
        </is>
      </c>
      <c r="F4" s="1" t="n"/>
      <c r="G4" s="4" t="inlineStr">
        <is>
          <t>Offers</t>
        </is>
      </c>
      <c r="H4" s="4" t="inlineStr">
        <is>
          <t>To follow up</t>
        </is>
      </c>
      <c r="I4" s="4" t="inlineStr">
        <is>
          <t>No reply</t>
        </is>
      </c>
      <c r="J4" s="4" t="inlineStr">
        <is>
          <t>Days searching</t>
        </is>
      </c>
      <c r="K4" s="1" t="n"/>
      <c r="L4" s="1" t="n"/>
    </row>
    <row r="5" ht="34" customHeight="1">
      <c r="A5" s="1" t="n"/>
      <c r="B5" s="5">
        <f>COUNT(Applications!$J$6:$J$305)</f>
        <v/>
      </c>
      <c r="C5" s="6">
        <f>COUNTIFS(Applications!$J$6:$J$305,"&gt;="&amp;(TODAY()-WEEKDAY(TODAY(),3)),Applications!$J$6:$J$305,"&lt;="&amp;((TODAY()-WEEKDAY(TODAY(),3))+6))&amp;" of "&amp;N(Settings!$C$4)</f>
        <v/>
      </c>
      <c r="D5" s="7">
        <f>IF(COUNT(Applications!$J$6:$J$305)=0,"",(COUNTIF(Applications!$K$6:$K$305,"Screening")+COUNTIF(Applications!$K$6:$K$305,"Interview")+COUNTIF(Applications!$K$6:$K$305,"Final interview")+COUNTIF(Applications!$K$6:$K$305,"Offer")+COUNTIF(Applications!$K$6:$K$305,"Accepted")+COUNTIF(Applications!$K$6:$K$305,"Rejected"))/COUNT(Applications!$J$6:$J$305))</f>
        <v/>
      </c>
      <c r="E5" s="5">
        <f>COUNTIFS(Interviews!$B$6:$B$205,"&lt;="&amp;TODAY())</f>
        <v/>
      </c>
      <c r="F5" s="1" t="n"/>
      <c r="G5" s="5">
        <f>COUNTIF(Applications!$K$6:$K$305,"Offer")+COUNTIF(Applications!$K$6:$K$305,"Accepted")</f>
        <v/>
      </c>
      <c r="H5" s="8">
        <f>COUNTIF(Applications!$R$6:$R$305,"Follow up")+COUNTIF(Applications!$R$6:$R$305,"Due*")</f>
        <v/>
      </c>
      <c r="I5" s="9">
        <f>COUNTIF(Applications!$R$6:$R$305,"No reply")</f>
        <v/>
      </c>
      <c r="J5" s="5">
        <f>IF(COUNT(Applications!$J$6:$J$305)=0,"",TODAY()-MIN(Applications!$J$6:$J$305))</f>
        <v/>
      </c>
      <c r="K5" s="1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30" customHeight="1">
      <c r="A8" s="1" t="n"/>
      <c r="B8" s="10" t="inlineStr">
        <is>
          <t>Pipeline</t>
        </is>
      </c>
      <c r="C8" s="10" t="inlineStr">
        <is>
          <t>Now</t>
        </is>
      </c>
      <c r="D8" s="10" t="inlineStr">
        <is>
          <t>Share</t>
        </is>
      </c>
      <c r="E8" s="10" t="inlineStr"/>
      <c r="F8" s="1" t="n"/>
      <c r="G8" s="10" t="inlineStr">
        <is>
          <t>Next steps</t>
        </is>
      </c>
      <c r="H8" s="10" t="inlineStr">
        <is>
          <t>Role</t>
        </is>
      </c>
      <c r="I8" s="10" t="inlineStr">
        <is>
          <t>What</t>
        </is>
      </c>
      <c r="J8" s="10" t="inlineStr">
        <is>
          <t>When</t>
        </is>
      </c>
      <c r="K8" s="1" t="n"/>
      <c r="L8" s="1" t="n"/>
    </row>
    <row r="9">
      <c r="A9" s="1" t="n"/>
      <c r="B9" s="11">
        <f>Settings!B11</f>
        <v/>
      </c>
      <c r="C9" s="12">
        <f>COUNTIF(Applications!$K$6:$K$305,B9)</f>
        <v/>
      </c>
      <c r="D9" s="13">
        <f>IF(COUNTA(Applications!$B$6:$B$305)=0,"",C9/COUNTA(Applications!$B$6:$B$305))</f>
        <v/>
      </c>
      <c r="E9" s="14">
        <f>IF(OR(D9="",N(D9)=0),"",REPT("█",MIN(12,MAX(0,ROUND((D9)*12,0))))&amp;REPT("░",12-MIN(12,MAX(0,ROUND((D9)*12,0)))))</f>
        <v/>
      </c>
      <c r="F9" s="1" t="n"/>
      <c r="G9" s="11">
        <f>IF(O9="","Nothing to do yet",INDEX(Applications!$B$6:$B$305,MATCH(O9,Applications!$V$6:$V$305,0)))</f>
        <v/>
      </c>
      <c r="H9" s="15">
        <f>IF(O9="","",INDEX(Applications!$C$6:$C$305,MATCH(O9,Applications!$V$6:$V$305,0)))</f>
        <v/>
      </c>
      <c r="I9" s="15">
        <f>IF(O9="","",INDEX(Applications!$W$6:$W$305,MATCH(O9,Applications!$V$6:$V$305,0)))</f>
        <v/>
      </c>
      <c r="J9" s="16">
        <f>IF(O9="","",INT(O9))</f>
        <v/>
      </c>
      <c r="K9" s="1" t="n"/>
      <c r="L9" s="1" t="n"/>
      <c r="O9">
        <f>IFERROR(SMALL(Applications!$V$6:$V$305,1),"")</f>
        <v/>
      </c>
    </row>
    <row r="10">
      <c r="A10" s="1" t="n"/>
      <c r="B10" s="11">
        <f>Settings!B12</f>
        <v/>
      </c>
      <c r="C10" s="12">
        <f>COUNTIF(Applications!$K$6:$K$305,B10)</f>
        <v/>
      </c>
      <c r="D10" s="13">
        <f>IF(COUNTA(Applications!$B$6:$B$305)=0,"",C10/COUNTA(Applications!$B$6:$B$305))</f>
        <v/>
      </c>
      <c r="E10" s="14">
        <f>IF(OR(D10="",N(D10)=0),"",REPT("█",MIN(12,MAX(0,ROUND((D10)*12,0))))&amp;REPT("░",12-MIN(12,MAX(0,ROUND((D10)*12,0)))))</f>
        <v/>
      </c>
      <c r="F10" s="1" t="n"/>
      <c r="G10" s="11">
        <f>IF(O10="","",INDEX(Applications!$B$6:$B$305,MATCH(O10,Applications!$V$6:$V$305,0)))</f>
        <v/>
      </c>
      <c r="H10" s="15">
        <f>IF(O10="","",INDEX(Applications!$C$6:$C$305,MATCH(O10,Applications!$V$6:$V$305,0)))</f>
        <v/>
      </c>
      <c r="I10" s="15">
        <f>IF(O10="","",INDEX(Applications!$W$6:$W$305,MATCH(O10,Applications!$V$6:$V$305,0)))</f>
        <v/>
      </c>
      <c r="J10" s="16">
        <f>IF(O10="","",INT(O10))</f>
        <v/>
      </c>
      <c r="K10" s="1" t="n"/>
      <c r="L10" s="1" t="n"/>
      <c r="O10">
        <f>IFERROR(SMALL(Applications!$V$6:$V$305,2),"")</f>
        <v/>
      </c>
    </row>
    <row r="11">
      <c r="A11" s="1" t="n"/>
      <c r="B11" s="11">
        <f>Settings!B13</f>
        <v/>
      </c>
      <c r="C11" s="12">
        <f>COUNTIF(Applications!$K$6:$K$305,B11)</f>
        <v/>
      </c>
      <c r="D11" s="13">
        <f>IF(COUNTA(Applications!$B$6:$B$305)=0,"",C11/COUNTA(Applications!$B$6:$B$305))</f>
        <v/>
      </c>
      <c r="E11" s="14">
        <f>IF(OR(D11="",N(D11)=0),"",REPT("█",MIN(12,MAX(0,ROUND((D11)*12,0))))&amp;REPT("░",12-MIN(12,MAX(0,ROUND((D11)*12,0)))))</f>
        <v/>
      </c>
      <c r="F11" s="1" t="n"/>
      <c r="G11" s="11">
        <f>IF(O11="","",INDEX(Applications!$B$6:$B$305,MATCH(O11,Applications!$V$6:$V$305,0)))</f>
        <v/>
      </c>
      <c r="H11" s="15">
        <f>IF(O11="","",INDEX(Applications!$C$6:$C$305,MATCH(O11,Applications!$V$6:$V$305,0)))</f>
        <v/>
      </c>
      <c r="I11" s="15">
        <f>IF(O11="","",INDEX(Applications!$W$6:$W$305,MATCH(O11,Applications!$V$6:$V$305,0)))</f>
        <v/>
      </c>
      <c r="J11" s="16">
        <f>IF(O11="","",INT(O11))</f>
        <v/>
      </c>
      <c r="K11" s="1" t="n"/>
      <c r="L11" s="1" t="n"/>
      <c r="O11">
        <f>IFERROR(SMALL(Applications!$V$6:$V$305,3),"")</f>
        <v/>
      </c>
    </row>
    <row r="12">
      <c r="A12" s="1" t="n"/>
      <c r="B12" s="11">
        <f>Settings!B14</f>
        <v/>
      </c>
      <c r="C12" s="12">
        <f>COUNTIF(Applications!$K$6:$K$305,B12)</f>
        <v/>
      </c>
      <c r="D12" s="13">
        <f>IF(COUNTA(Applications!$B$6:$B$305)=0,"",C12/COUNTA(Applications!$B$6:$B$305))</f>
        <v/>
      </c>
      <c r="E12" s="14">
        <f>IF(OR(D12="",N(D12)=0),"",REPT("█",MIN(12,MAX(0,ROUND((D12)*12,0))))&amp;REPT("░",12-MIN(12,MAX(0,ROUND((D12)*12,0)))))</f>
        <v/>
      </c>
      <c r="F12" s="1" t="n"/>
      <c r="G12" s="11">
        <f>IF(O12="","",INDEX(Applications!$B$6:$B$305,MATCH(O12,Applications!$V$6:$V$305,0)))</f>
        <v/>
      </c>
      <c r="H12" s="15">
        <f>IF(O12="","",INDEX(Applications!$C$6:$C$305,MATCH(O12,Applications!$V$6:$V$305,0)))</f>
        <v/>
      </c>
      <c r="I12" s="15">
        <f>IF(O12="","",INDEX(Applications!$W$6:$W$305,MATCH(O12,Applications!$V$6:$V$305,0)))</f>
        <v/>
      </c>
      <c r="J12" s="16">
        <f>IF(O12="","",INT(O12))</f>
        <v/>
      </c>
      <c r="K12" s="1" t="n"/>
      <c r="L12" s="1" t="n"/>
      <c r="O12">
        <f>IFERROR(SMALL(Applications!$V$6:$V$305,4),"")</f>
        <v/>
      </c>
    </row>
    <row r="13">
      <c r="A13" s="1" t="n"/>
      <c r="B13" s="11">
        <f>Settings!B15</f>
        <v/>
      </c>
      <c r="C13" s="12">
        <f>COUNTIF(Applications!$K$6:$K$305,B13)</f>
        <v/>
      </c>
      <c r="D13" s="13">
        <f>IF(COUNTA(Applications!$B$6:$B$305)=0,"",C13/COUNTA(Applications!$B$6:$B$305))</f>
        <v/>
      </c>
      <c r="E13" s="14">
        <f>IF(OR(D13="",N(D13)=0),"",REPT("█",MIN(12,MAX(0,ROUND((D13)*12,0))))&amp;REPT("░",12-MIN(12,MAX(0,ROUND((D13)*12,0)))))</f>
        <v/>
      </c>
      <c r="F13" s="1" t="n"/>
      <c r="G13" s="11">
        <f>IF(O13="","",INDEX(Applications!$B$6:$B$305,MATCH(O13,Applications!$V$6:$V$305,0)))</f>
        <v/>
      </c>
      <c r="H13" s="15">
        <f>IF(O13="","",INDEX(Applications!$C$6:$C$305,MATCH(O13,Applications!$V$6:$V$305,0)))</f>
        <v/>
      </c>
      <c r="I13" s="15">
        <f>IF(O13="","",INDEX(Applications!$W$6:$W$305,MATCH(O13,Applications!$V$6:$V$305,0)))</f>
        <v/>
      </c>
      <c r="J13" s="16">
        <f>IF(O13="","",INT(O13))</f>
        <v/>
      </c>
      <c r="K13" s="1" t="n"/>
      <c r="L13" s="1" t="n"/>
      <c r="O13">
        <f>IFERROR(SMALL(Applications!$V$6:$V$305,5),"")</f>
        <v/>
      </c>
    </row>
    <row r="14">
      <c r="A14" s="1" t="n"/>
      <c r="B14" s="11">
        <f>Settings!B16</f>
        <v/>
      </c>
      <c r="C14" s="12">
        <f>COUNTIF(Applications!$K$6:$K$305,B14)</f>
        <v/>
      </c>
      <c r="D14" s="13">
        <f>IF(COUNTA(Applications!$B$6:$B$305)=0,"",C14/COUNTA(Applications!$B$6:$B$305))</f>
        <v/>
      </c>
      <c r="E14" s="14">
        <f>IF(OR(D14="",N(D14)=0),"",REPT("█",MIN(12,MAX(0,ROUND((D14)*12,0))))&amp;REPT("░",12-MIN(12,MAX(0,ROUND((D14)*12,0)))))</f>
        <v/>
      </c>
      <c r="F14" s="1" t="n"/>
      <c r="G14" s="11">
        <f>IF(O14="","",INDEX(Applications!$B$6:$B$305,MATCH(O14,Applications!$V$6:$V$305,0)))</f>
        <v/>
      </c>
      <c r="H14" s="15">
        <f>IF(O14="","",INDEX(Applications!$C$6:$C$305,MATCH(O14,Applications!$V$6:$V$305,0)))</f>
        <v/>
      </c>
      <c r="I14" s="15">
        <f>IF(O14="","",INDEX(Applications!$W$6:$W$305,MATCH(O14,Applications!$V$6:$V$305,0)))</f>
        <v/>
      </c>
      <c r="J14" s="16">
        <f>IF(O14="","",INT(O14))</f>
        <v/>
      </c>
      <c r="K14" s="1" t="n"/>
      <c r="L14" s="1" t="n"/>
      <c r="O14">
        <f>IFERROR(SMALL(Applications!$V$6:$V$305,6),"")</f>
        <v/>
      </c>
    </row>
    <row r="15">
      <c r="A15" s="1" t="n"/>
      <c r="B15" s="11">
        <f>Settings!B17</f>
        <v/>
      </c>
      <c r="C15" s="12">
        <f>COUNTIF(Applications!$K$6:$K$305,B15)</f>
        <v/>
      </c>
      <c r="D15" s="13">
        <f>IF(COUNTA(Applications!$B$6:$B$305)=0,"",C15/COUNTA(Applications!$B$6:$B$305))</f>
        <v/>
      </c>
      <c r="E15" s="14">
        <f>IF(OR(D15="",N(D15)=0),"",REPT("█",MIN(12,MAX(0,ROUND((D15)*12,0))))&amp;REPT("░",12-MIN(12,MAX(0,ROUND((D15)*12,0)))))</f>
        <v/>
      </c>
      <c r="F15" s="1" t="n"/>
      <c r="G15" s="11">
        <f>IF(O15="","",INDEX(Applications!$B$6:$B$305,MATCH(O15,Applications!$V$6:$V$305,0)))</f>
        <v/>
      </c>
      <c r="H15" s="15">
        <f>IF(O15="","",INDEX(Applications!$C$6:$C$305,MATCH(O15,Applications!$V$6:$V$305,0)))</f>
        <v/>
      </c>
      <c r="I15" s="15">
        <f>IF(O15="","",INDEX(Applications!$W$6:$W$305,MATCH(O15,Applications!$V$6:$V$305,0)))</f>
        <v/>
      </c>
      <c r="J15" s="16">
        <f>IF(O15="","",INT(O15))</f>
        <v/>
      </c>
      <c r="K15" s="1" t="n"/>
      <c r="L15" s="1" t="n"/>
      <c r="O15">
        <f>IFERROR(SMALL(Applications!$V$6:$V$305,7),"")</f>
        <v/>
      </c>
    </row>
    <row r="16">
      <c r="A16" s="1" t="n"/>
      <c r="B16" s="11">
        <f>Settings!B18</f>
        <v/>
      </c>
      <c r="C16" s="12">
        <f>COUNTIF(Applications!$K$6:$K$305,B16)</f>
        <v/>
      </c>
      <c r="D16" s="13">
        <f>IF(COUNTA(Applications!$B$6:$B$305)=0,"",C16/COUNTA(Applications!$B$6:$B$305))</f>
        <v/>
      </c>
      <c r="E16" s="14">
        <f>IF(OR(D16="",N(D16)=0),"",REPT("█",MIN(12,MAX(0,ROUND((D16)*12,0))))&amp;REPT("░",12-MIN(12,MAX(0,ROUND((D16)*12,0)))))</f>
        <v/>
      </c>
      <c r="F16" s="1" t="n"/>
      <c r="G16" s="11">
        <f>IF(O16="","",INDEX(Applications!$B$6:$B$305,MATCH(O16,Applications!$V$6:$V$305,0)))</f>
        <v/>
      </c>
      <c r="H16" s="15">
        <f>IF(O16="","",INDEX(Applications!$C$6:$C$305,MATCH(O16,Applications!$V$6:$V$305,0)))</f>
        <v/>
      </c>
      <c r="I16" s="15">
        <f>IF(O16="","",INDEX(Applications!$W$6:$W$305,MATCH(O16,Applications!$V$6:$V$305,0)))</f>
        <v/>
      </c>
      <c r="J16" s="16">
        <f>IF(O16="","",INT(O16))</f>
        <v/>
      </c>
      <c r="K16" s="1" t="n"/>
      <c r="L16" s="1" t="n"/>
      <c r="O16">
        <f>IFERROR(SMALL(Applications!$V$6:$V$305,8),"")</f>
        <v/>
      </c>
    </row>
    <row r="17">
      <c r="A17" s="1" t="n"/>
      <c r="B17" s="11">
        <f>Settings!B19</f>
        <v/>
      </c>
      <c r="C17" s="12">
        <f>COUNTIF(Applications!$K$6:$K$305,B17)</f>
        <v/>
      </c>
      <c r="D17" s="13">
        <f>IF(COUNTA(Applications!$B$6:$B$305)=0,"",C17/COUNTA(Applications!$B$6:$B$305))</f>
        <v/>
      </c>
      <c r="E17" s="14">
        <f>IF(OR(D17="",N(D17)=0),"",REPT("█",MIN(12,MAX(0,ROUND((D17)*12,0))))&amp;REPT("░",12-MIN(12,MAX(0,ROUND((D17)*12,0)))))</f>
        <v/>
      </c>
      <c r="F17" s="1" t="n"/>
      <c r="G17" s="11">
        <f>IF(O17="","",INDEX(Applications!$B$6:$B$305,MATCH(O17,Applications!$V$6:$V$305,0)))</f>
        <v/>
      </c>
      <c r="H17" s="15">
        <f>IF(O17="","",INDEX(Applications!$C$6:$C$305,MATCH(O17,Applications!$V$6:$V$305,0)))</f>
        <v/>
      </c>
      <c r="I17" s="15">
        <f>IF(O17="","",INDEX(Applications!$W$6:$W$305,MATCH(O17,Applications!$V$6:$V$305,0)))</f>
        <v/>
      </c>
      <c r="J17" s="16">
        <f>IF(O17="","",INT(O17))</f>
        <v/>
      </c>
      <c r="K17" s="1" t="n"/>
      <c r="L17" s="1" t="n"/>
      <c r="O17">
        <f>IFERROR(SMALL(Applications!$V$6:$V$305,9),"")</f>
        <v/>
      </c>
    </row>
    <row r="18">
      <c r="A18" s="1" t="n"/>
      <c r="B18" s="1" t="n"/>
      <c r="C18" s="1" t="n"/>
      <c r="D18" s="1" t="n"/>
      <c r="E18" s="1" t="n"/>
      <c r="F18" s="1" t="n"/>
      <c r="G18" s="11">
        <f>IF(O18="","",INDEX(Applications!$B$6:$B$305,MATCH(O18,Applications!$V$6:$V$305,0)))</f>
        <v/>
      </c>
      <c r="H18" s="15">
        <f>IF(O18="","",INDEX(Applications!$C$6:$C$305,MATCH(O18,Applications!$V$6:$V$305,0)))</f>
        <v/>
      </c>
      <c r="I18" s="15">
        <f>IF(O18="","",INDEX(Applications!$W$6:$W$305,MATCH(O18,Applications!$V$6:$V$305,0)))</f>
        <v/>
      </c>
      <c r="J18" s="16">
        <f>IF(O18="","",INT(O18))</f>
        <v/>
      </c>
      <c r="K18" s="1" t="n"/>
      <c r="L18" s="1" t="n"/>
      <c r="O18">
        <f>IFERROR(SMALL(Applications!$V$6:$V$305,10),"")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 ht="30" customHeight="1">
      <c r="A21" s="1" t="n"/>
      <c r="B21" s="10" t="inlineStr">
        <is>
          <t>Week of</t>
        </is>
      </c>
      <c r="C21" s="10" t="inlineStr">
        <is>
          <t>Applied</t>
        </is>
      </c>
      <c r="D21" s="10" t="inlineStr">
        <is>
          <t>Goal</t>
        </is>
      </c>
      <c r="E21" s="1" t="n"/>
      <c r="F21" s="1" t="n"/>
      <c r="G21" s="10" t="inlineStr">
        <is>
          <t>Coming interviews</t>
        </is>
      </c>
      <c r="H21" s="10" t="inlineStr">
        <is>
          <t>Company</t>
        </is>
      </c>
      <c r="I21" s="10" t="inlineStr">
        <is>
          <t>Type</t>
        </is>
      </c>
      <c r="J21" s="10" t="inlineStr">
        <is>
          <t>Time</t>
        </is>
      </c>
      <c r="K21" s="1" t="n"/>
      <c r="L21" s="1" t="n"/>
    </row>
    <row r="22">
      <c r="A22" s="1" t="n"/>
      <c r="B22" s="17">
        <f>((TODAY()-WEEKDAY(TODAY(),3))-49)</f>
        <v/>
      </c>
      <c r="C22" s="18">
        <f>COUNTIFS(Applications!$J$6:$J$305,"&gt;="&amp;B22,Applications!$J$6:$J$305,"&lt;="&amp;(B22+6))</f>
        <v/>
      </c>
      <c r="D22" s="18">
        <f>N(Settings!$C$4)</f>
        <v/>
      </c>
      <c r="E22" s="1" t="n"/>
      <c r="F22" s="1" t="n"/>
      <c r="G22" s="19">
        <f>IF(P22="","None booked yet",INT(P22))</f>
        <v/>
      </c>
      <c r="H22" s="15">
        <f>IF(P22="","",INDEX(Interviews!$D$6:$D$205,MATCH(P22,Interviews!$L$6:$L$205,0)))</f>
        <v/>
      </c>
      <c r="I22" s="15">
        <f>IF(P22="","",IF(INDEX(Interviews!$F$6:$F$205,MATCH(P22,Interviews!$L$6:$L$205,0))="","",INDEX(Interviews!$F$6:$F$205,MATCH(P22,Interviews!$L$6:$L$205,0))))</f>
        <v/>
      </c>
      <c r="J22" s="20">
        <f>IF(P22="","",IF(INDEX(Interviews!$C$6:$C$205,MATCH(P22,Interviews!$L$6:$L$205,0))="","",INDEX(Interviews!$C$6:$C$205,MATCH(P22,Interviews!$L$6:$L$205,0))))</f>
        <v/>
      </c>
      <c r="K22" s="1" t="n"/>
      <c r="L22" s="1" t="n"/>
      <c r="P22">
        <f>IFERROR(SMALL(Interviews!$L$6:$L$205,1),"")</f>
        <v/>
      </c>
    </row>
    <row r="23">
      <c r="A23" s="1" t="n"/>
      <c r="B23" s="17">
        <f>((TODAY()-WEEKDAY(TODAY(),3))-42)</f>
        <v/>
      </c>
      <c r="C23" s="18">
        <f>COUNTIFS(Applications!$J$6:$J$305,"&gt;="&amp;B23,Applications!$J$6:$J$305,"&lt;="&amp;(B23+6))</f>
        <v/>
      </c>
      <c r="D23" s="18">
        <f>N(Settings!$C$4)</f>
        <v/>
      </c>
      <c r="E23" s="1" t="n"/>
      <c r="F23" s="1" t="n"/>
      <c r="G23" s="19">
        <f>IF(P23="","",INT(P23))</f>
        <v/>
      </c>
      <c r="H23" s="15">
        <f>IF(P23="","",INDEX(Interviews!$D$6:$D$205,MATCH(P23,Interviews!$L$6:$L$205,0)))</f>
        <v/>
      </c>
      <c r="I23" s="15">
        <f>IF(P23="","",IF(INDEX(Interviews!$F$6:$F$205,MATCH(P23,Interviews!$L$6:$L$205,0))="","",INDEX(Interviews!$F$6:$F$205,MATCH(P23,Interviews!$L$6:$L$205,0))))</f>
        <v/>
      </c>
      <c r="J23" s="20">
        <f>IF(P23="","",IF(INDEX(Interviews!$C$6:$C$205,MATCH(P23,Interviews!$L$6:$L$205,0))="","",INDEX(Interviews!$C$6:$C$205,MATCH(P23,Interviews!$L$6:$L$205,0))))</f>
        <v/>
      </c>
      <c r="K23" s="1" t="n"/>
      <c r="L23" s="1" t="n"/>
      <c r="P23">
        <f>IFERROR(SMALL(Interviews!$L$6:$L$205,2),"")</f>
        <v/>
      </c>
    </row>
    <row r="24">
      <c r="A24" s="1" t="n"/>
      <c r="B24" s="17">
        <f>((TODAY()-WEEKDAY(TODAY(),3))-35)</f>
        <v/>
      </c>
      <c r="C24" s="18">
        <f>COUNTIFS(Applications!$J$6:$J$305,"&gt;="&amp;B24,Applications!$J$6:$J$305,"&lt;="&amp;(B24+6))</f>
        <v/>
      </c>
      <c r="D24" s="18">
        <f>N(Settings!$C$4)</f>
        <v/>
      </c>
      <c r="E24" s="1" t="n"/>
      <c r="F24" s="1" t="n"/>
      <c r="G24" s="19">
        <f>IF(P24="","",INT(P24))</f>
        <v/>
      </c>
      <c r="H24" s="15">
        <f>IF(P24="","",INDEX(Interviews!$D$6:$D$205,MATCH(P24,Interviews!$L$6:$L$205,0)))</f>
        <v/>
      </c>
      <c r="I24" s="15">
        <f>IF(P24="","",IF(INDEX(Interviews!$F$6:$F$205,MATCH(P24,Interviews!$L$6:$L$205,0))="","",INDEX(Interviews!$F$6:$F$205,MATCH(P24,Interviews!$L$6:$L$205,0))))</f>
        <v/>
      </c>
      <c r="J24" s="20">
        <f>IF(P24="","",IF(INDEX(Interviews!$C$6:$C$205,MATCH(P24,Interviews!$L$6:$L$205,0))="","",INDEX(Interviews!$C$6:$C$205,MATCH(P24,Interviews!$L$6:$L$205,0))))</f>
        <v/>
      </c>
      <c r="K24" s="1" t="n"/>
      <c r="L24" s="1" t="n"/>
      <c r="P24">
        <f>IFERROR(SMALL(Interviews!$L$6:$L$205,3),"")</f>
        <v/>
      </c>
    </row>
    <row r="25">
      <c r="A25" s="1" t="n"/>
      <c r="B25" s="17">
        <f>((TODAY()-WEEKDAY(TODAY(),3))-28)</f>
        <v/>
      </c>
      <c r="C25" s="18">
        <f>COUNTIFS(Applications!$J$6:$J$305,"&gt;="&amp;B25,Applications!$J$6:$J$305,"&lt;="&amp;(B25+6))</f>
        <v/>
      </c>
      <c r="D25" s="18">
        <f>N(Settings!$C$4)</f>
        <v/>
      </c>
      <c r="E25" s="1" t="n"/>
      <c r="F25" s="1" t="n"/>
      <c r="G25" s="19">
        <f>IF(P25="","",INT(P25))</f>
        <v/>
      </c>
      <c r="H25" s="15">
        <f>IF(P25="","",INDEX(Interviews!$D$6:$D$205,MATCH(P25,Interviews!$L$6:$L$205,0)))</f>
        <v/>
      </c>
      <c r="I25" s="15">
        <f>IF(P25="","",IF(INDEX(Interviews!$F$6:$F$205,MATCH(P25,Interviews!$L$6:$L$205,0))="","",INDEX(Interviews!$F$6:$F$205,MATCH(P25,Interviews!$L$6:$L$205,0))))</f>
        <v/>
      </c>
      <c r="J25" s="20">
        <f>IF(P25="","",IF(INDEX(Interviews!$C$6:$C$205,MATCH(P25,Interviews!$L$6:$L$205,0))="","",INDEX(Interviews!$C$6:$C$205,MATCH(P25,Interviews!$L$6:$L$205,0))))</f>
        <v/>
      </c>
      <c r="K25" s="1" t="n"/>
      <c r="L25" s="1" t="n"/>
      <c r="P25">
        <f>IFERROR(SMALL(Interviews!$L$6:$L$205,4),"")</f>
        <v/>
      </c>
    </row>
    <row r="26">
      <c r="A26" s="1" t="n"/>
      <c r="B26" s="17">
        <f>((TODAY()-WEEKDAY(TODAY(),3))-21)</f>
        <v/>
      </c>
      <c r="C26" s="18">
        <f>COUNTIFS(Applications!$J$6:$J$305,"&gt;="&amp;B26,Applications!$J$6:$J$305,"&lt;="&amp;(B26+6))</f>
        <v/>
      </c>
      <c r="D26" s="18">
        <f>N(Settings!$C$4)</f>
        <v/>
      </c>
      <c r="E26" s="1" t="n"/>
      <c r="F26" s="1" t="n"/>
      <c r="G26" s="19">
        <f>IF(P26="","",INT(P26))</f>
        <v/>
      </c>
      <c r="H26" s="15">
        <f>IF(P26="","",INDEX(Interviews!$D$6:$D$205,MATCH(P26,Interviews!$L$6:$L$205,0)))</f>
        <v/>
      </c>
      <c r="I26" s="15">
        <f>IF(P26="","",IF(INDEX(Interviews!$F$6:$F$205,MATCH(P26,Interviews!$L$6:$L$205,0))="","",INDEX(Interviews!$F$6:$F$205,MATCH(P26,Interviews!$L$6:$L$205,0))))</f>
        <v/>
      </c>
      <c r="J26" s="20">
        <f>IF(P26="","",IF(INDEX(Interviews!$C$6:$C$205,MATCH(P26,Interviews!$L$6:$L$205,0))="","",INDEX(Interviews!$C$6:$C$205,MATCH(P26,Interviews!$L$6:$L$205,0))))</f>
        <v/>
      </c>
      <c r="K26" s="1" t="n"/>
      <c r="L26" s="1" t="n"/>
      <c r="P26">
        <f>IFERROR(SMALL(Interviews!$L$6:$L$205,5),"")</f>
        <v/>
      </c>
    </row>
    <row r="27">
      <c r="A27" s="1" t="n"/>
      <c r="B27" s="17">
        <f>((TODAY()-WEEKDAY(TODAY(),3))-14)</f>
        <v/>
      </c>
      <c r="C27" s="18">
        <f>COUNTIFS(Applications!$J$6:$J$305,"&gt;="&amp;B27,Applications!$J$6:$J$305,"&lt;="&amp;(B27+6))</f>
        <v/>
      </c>
      <c r="D27" s="18">
        <f>N(Settings!$C$4)</f>
        <v/>
      </c>
      <c r="E27" s="1" t="n"/>
      <c r="F27" s="1" t="n"/>
      <c r="G27" s="19">
        <f>IF(P27="","",INT(P27))</f>
        <v/>
      </c>
      <c r="H27" s="15">
        <f>IF(P27="","",INDEX(Interviews!$D$6:$D$205,MATCH(P27,Interviews!$L$6:$L$205,0)))</f>
        <v/>
      </c>
      <c r="I27" s="15">
        <f>IF(P27="","",IF(INDEX(Interviews!$F$6:$F$205,MATCH(P27,Interviews!$L$6:$L$205,0))="","",INDEX(Interviews!$F$6:$F$205,MATCH(P27,Interviews!$L$6:$L$205,0))))</f>
        <v/>
      </c>
      <c r="J27" s="20">
        <f>IF(P27="","",IF(INDEX(Interviews!$C$6:$C$205,MATCH(P27,Interviews!$L$6:$L$205,0))="","",INDEX(Interviews!$C$6:$C$205,MATCH(P27,Interviews!$L$6:$L$205,0))))</f>
        <v/>
      </c>
      <c r="K27" s="1" t="n"/>
      <c r="L27" s="1" t="n"/>
      <c r="P27">
        <f>IFERROR(SMALL(Interviews!$L$6:$L$205,6),"")</f>
        <v/>
      </c>
    </row>
    <row r="28">
      <c r="A28" s="1" t="n"/>
      <c r="B28" s="17">
        <f>((TODAY()-WEEKDAY(TODAY(),3))-7)</f>
        <v/>
      </c>
      <c r="C28" s="18">
        <f>COUNTIFS(Applications!$J$6:$J$305,"&gt;="&amp;B28,Applications!$J$6:$J$305,"&lt;="&amp;(B28+6))</f>
        <v/>
      </c>
      <c r="D28" s="18">
        <f>N(Settings!$C$4)</f>
        <v/>
      </c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7">
        <f>((TODAY()-WEEKDAY(TODAY(),3))-0)</f>
        <v/>
      </c>
      <c r="C29" s="18">
        <f>COUNTIFS(Applications!$J$6:$J$305,"&gt;="&amp;B29,Applications!$J$6:$J$305,"&lt;="&amp;(B29+6))</f>
        <v/>
      </c>
      <c r="D29" s="18">
        <f>N(Settings!$C$4)</f>
        <v/>
      </c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</sheetData>
  <conditionalFormatting sqref="J9:J18">
    <cfRule type="expression" priority="1" dxfId="0">
      <formula>AND(ISNUMBER(J9),J9&lt;TODAY())</formula>
    </cfRule>
    <cfRule type="expression" priority="2" dxfId="1">
      <formula>AND(ISNUMBER(J9),J9-TODAY()&lt;=2)</formula>
    </cfRule>
  </conditionalFormatting>
  <conditionalFormatting sqref="C22:C29">
    <cfRule type="expression" priority="3" dxfId="2">
      <formula>C22&gt;=D22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17" customWidth="1" min="4" max="4"/>
    <col width="24" customWidth="1" min="5" max="5"/>
    <col width="11" customWidth="1" min="6" max="6"/>
    <col width="11" customWidth="1" min="7" max="7"/>
    <col width="13" customWidth="1" min="8" max="8"/>
    <col width="12" customWidth="1" min="9" max="9"/>
    <col width="12" customWidth="1" min="10" max="10"/>
    <col width="15" customWidth="1" min="11" max="11"/>
    <col width="12" customWidth="1" min="12" max="12"/>
    <col width="26" customWidth="1" min="13" max="13"/>
    <col width="12" customWidth="1" min="14" max="14"/>
    <col width="9" customWidth="1" min="15" max="15"/>
    <col width="13" customWidth="1" min="16" max="16"/>
    <col width="8" customWidth="1" min="17" max="17"/>
    <col width="20" customWidth="1" min="18" max="18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2" customHeight="1">
      <c r="A2" s="1" t="n"/>
      <c r="B2" s="2" t="inlineStr">
        <is>
          <t>Applications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B3" s="3" t="inlineStr">
        <is>
          <t>One line per job. Keep the stage and the last contact up to date: the status and the next steps follow.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30" customHeight="1">
      <c r="A5" s="1" t="n"/>
      <c r="B5" s="10" t="inlineStr">
        <is>
          <t>Company</t>
        </is>
      </c>
      <c r="C5" s="10" t="inlineStr">
        <is>
          <t>Role</t>
        </is>
      </c>
      <c r="D5" s="10" t="inlineStr">
        <is>
          <t>Where</t>
        </is>
      </c>
      <c r="E5" s="10" t="inlineStr">
        <is>
          <t>Link</t>
        </is>
      </c>
      <c r="F5" s="10" t="inlineStr">
        <is>
          <t>Pay from</t>
        </is>
      </c>
      <c r="G5" s="10" t="inlineStr">
        <is>
          <t>Pay to</t>
        </is>
      </c>
      <c r="H5" s="10" t="inlineStr">
        <is>
          <t>Source</t>
        </is>
      </c>
      <c r="I5" s="10" t="inlineStr">
        <is>
          <t>Saved on</t>
        </is>
      </c>
      <c r="J5" s="10" t="inlineStr">
        <is>
          <t>Applied on</t>
        </is>
      </c>
      <c r="K5" s="10" t="inlineStr">
        <is>
          <t>Stage</t>
        </is>
      </c>
      <c r="L5" s="10" t="inlineStr">
        <is>
          <t>Last contact</t>
        </is>
      </c>
      <c r="M5" s="10" t="inlineStr">
        <is>
          <t>Next step</t>
        </is>
      </c>
      <c r="N5" s="10" t="inlineStr">
        <is>
          <t>Next step on</t>
        </is>
      </c>
      <c r="O5" s="10" t="inlineStr">
        <is>
          <t>Priority</t>
        </is>
      </c>
      <c r="P5" s="10" t="inlineStr">
        <is>
          <t>Contact</t>
        </is>
      </c>
      <c r="Q5" s="10" t="inlineStr">
        <is>
          <t>Days</t>
        </is>
      </c>
      <c r="R5" s="10" t="inlineStr">
        <is>
          <t>Status</t>
        </is>
      </c>
      <c r="S5" s="1" t="n"/>
    </row>
    <row r="6">
      <c r="A6" s="1" t="n"/>
      <c r="B6" s="21" t="inlineStr">
        <is>
          <t>Fernhill Labs</t>
        </is>
      </c>
      <c r="C6" s="22" t="inlineStr">
        <is>
          <t>Product Designer</t>
        </is>
      </c>
      <c r="D6" s="22" t="inlineStr">
        <is>
          <t>Remote</t>
        </is>
      </c>
      <c r="E6" s="22" t="inlineStr">
        <is>
          <t>fernhill.example/jobs/41</t>
        </is>
      </c>
      <c r="F6" s="23" t="n">
        <v>90000</v>
      </c>
      <c r="G6" s="23" t="n">
        <v>105000</v>
      </c>
      <c r="H6" s="22" t="inlineStr">
        <is>
          <t>Job board</t>
        </is>
      </c>
      <c r="I6" s="24" t="n">
        <v>46245</v>
      </c>
      <c r="J6" s="24" t="n">
        <v>46246</v>
      </c>
      <c r="K6" s="25" t="inlineStr">
        <is>
          <t>Rejected</t>
        </is>
      </c>
      <c r="L6" s="24" t="n">
        <v>46263</v>
      </c>
      <c r="M6" s="22" t="n"/>
      <c r="N6" s="24" t="n"/>
      <c r="O6" s="25" t="inlineStr">
        <is>
          <t>Medium</t>
        </is>
      </c>
      <c r="P6" s="22" t="n"/>
      <c r="Q6" s="18">
        <f>IF(OR(B6="",J6=""),"",TODAY()-J6)</f>
        <v/>
      </c>
      <c r="R6" s="26">
        <f>IF(B6="","",IF(OR(K6="Accepted",K6="Rejected",K6="Withdrawn"),K6,IF(K6="Offer",IF(N6="","Offer","Offer, reply by "&amp;DAY(N6)&amp;" "&amp;CHOOSE(MONTH(N6),"Jan","Feb","Mar","Apr","May","Jun","Jul","Aug","Sep","Oct","Nov","Dec")),IF(OR(K6="",K6="Saved"),IF(N6="","To apply",IF(N6&lt;TODAY(),"Closing date passed","Apply by "&amp;DAY(N6)&amp;" "&amp;CHOOSE(MONTH(N6),"Jan","Feb","Mar","Apr","May","Jun","Jul","Aug","Sep","Oct","Nov","Dec"))),IF(AND(N6="",T6&gt;0,TODAY()-T6&gt;=N(Settings!$C$6)),"No reply",IF(U6="","Waiting",IF(U6&lt;TODAY(),"Follow up",IF(U6-TODAY()&lt;=2,"Due "&amp;DAY(U6)&amp;" "&amp;CHOOSE(MONTH(U6),"Jan","Feb","Mar","Apr","May","Jun","Jul","Aug","Sep","Oct","Nov","Dec"),"Waiting"))))))))</f>
        <v/>
      </c>
      <c r="S6" s="1" t="n"/>
      <c r="T6">
        <f>MAX(N(J6),N(L6))</f>
        <v/>
      </c>
      <c r="U6">
        <f>IF(N6&lt;&gt;"",N6,IF(T6=0,"",T6+N(Settings!$C$5)))</f>
        <v/>
      </c>
      <c r="V6">
        <f>IF(AND(B6&lt;&gt;"",U6&lt;&gt;"",OR(R6="Follow up",LEFT(R6,3)="Due",R6="Waiting",LEFT(R6,5)="Apply",LEFT(R6,5)="Offer")),U6+ROW()/10000000,"")</f>
        <v/>
      </c>
      <c r="W6">
        <f>IF(B6="","",IF(M6&lt;&gt;"",M6,IF(OR(K6="",K6="Saved"),"Apply",IF(K6="Offer","Reply to the offer","Follow up"))))</f>
        <v/>
      </c>
    </row>
    <row r="7">
      <c r="A7" s="1" t="n"/>
      <c r="B7" s="21" t="inlineStr">
        <is>
          <t>Quillmark</t>
        </is>
      </c>
      <c r="C7" s="22" t="inlineStr">
        <is>
          <t>UX Designer</t>
        </is>
      </c>
      <c r="D7" s="22" t="inlineStr">
        <is>
          <t>Hybrid, Riverton</t>
        </is>
      </c>
      <c r="E7" s="22" t="inlineStr">
        <is>
          <t>quillmark.example/careers</t>
        </is>
      </c>
      <c r="F7" s="23" t="n">
        <v>85000</v>
      </c>
      <c r="G7" s="23" t="n">
        <v>95000</v>
      </c>
      <c r="H7" s="22" t="inlineStr">
        <is>
          <t>Company site</t>
        </is>
      </c>
      <c r="I7" s="24" t="n">
        <v>46247</v>
      </c>
      <c r="J7" s="24" t="n">
        <v>46248</v>
      </c>
      <c r="K7" s="25" t="inlineStr">
        <is>
          <t>Applied</t>
        </is>
      </c>
      <c r="L7" s="24" t="n"/>
      <c r="M7" s="22" t="n"/>
      <c r="N7" s="24" t="n"/>
      <c r="O7" s="25" t="inlineStr">
        <is>
          <t>Low</t>
        </is>
      </c>
      <c r="P7" s="22" t="n"/>
      <c r="Q7" s="18">
        <f>IF(OR(B7="",J7=""),"",TODAY()-J7)</f>
        <v/>
      </c>
      <c r="R7" s="26">
        <f>IF(B7="","",IF(OR(K7="Accepted",K7="Rejected",K7="Withdrawn"),K7,IF(K7="Offer",IF(N7="","Offer","Offer, reply by "&amp;DAY(N7)&amp;" "&amp;CHOOSE(MONTH(N7),"Jan","Feb","Mar","Apr","May","Jun","Jul","Aug","Sep","Oct","Nov","Dec")),IF(OR(K7="",K7="Saved"),IF(N7="","To apply",IF(N7&lt;TODAY(),"Closing date passed","Apply by "&amp;DAY(N7)&amp;" "&amp;CHOOSE(MONTH(N7),"Jan","Feb","Mar","Apr","May","Jun","Jul","Aug","Sep","Oct","Nov","Dec"))),IF(AND(N7="",T7&gt;0,TODAY()-T7&gt;=N(Settings!$C$6)),"No reply",IF(U7="","Waiting",IF(U7&lt;TODAY(),"Follow up",IF(U7-TODAY()&lt;=2,"Due "&amp;DAY(U7)&amp;" "&amp;CHOOSE(MONTH(U7),"Jan","Feb","Mar","Apr","May","Jun","Jul","Aug","Sep","Oct","Nov","Dec"),"Waiting"))))))))</f>
        <v/>
      </c>
      <c r="S7" s="1" t="n"/>
      <c r="T7">
        <f>MAX(N(J7),N(L7))</f>
        <v/>
      </c>
      <c r="U7">
        <f>IF(N7&lt;&gt;"",N7,IF(T7=0,"",T7+N(Settings!$C$5)))</f>
        <v/>
      </c>
      <c r="V7">
        <f>IF(AND(B7&lt;&gt;"",U7&lt;&gt;"",OR(R7="Follow up",LEFT(R7,3)="Due",R7="Waiting",LEFT(R7,5)="Apply",LEFT(R7,5)="Offer")),U7+ROW()/10000000,"")</f>
        <v/>
      </c>
      <c r="W7">
        <f>IF(B7="","",IF(M7&lt;&gt;"",M7,IF(OR(K7="",K7="Saved"),"Apply",IF(K7="Offer","Reply to the offer","Follow up"))))</f>
        <v/>
      </c>
    </row>
    <row r="8">
      <c r="A8" s="1" t="n"/>
      <c r="B8" s="21" t="inlineStr">
        <is>
          <t>Tidewell Health</t>
        </is>
      </c>
      <c r="C8" s="22" t="inlineStr">
        <is>
          <t>Senior Product Designer</t>
        </is>
      </c>
      <c r="D8" s="22" t="inlineStr">
        <is>
          <t>Remote</t>
        </is>
      </c>
      <c r="E8" s="22" t="inlineStr">
        <is>
          <t>tidewell.example/jobs/ux</t>
        </is>
      </c>
      <c r="F8" s="23" t="n">
        <v>105000</v>
      </c>
      <c r="G8" s="23" t="n">
        <v>120000</v>
      </c>
      <c r="H8" s="22" t="inlineStr">
        <is>
          <t>Referral</t>
        </is>
      </c>
      <c r="I8" s="24" t="n">
        <v>46249</v>
      </c>
      <c r="J8" s="24" t="n">
        <v>46251</v>
      </c>
      <c r="K8" s="25" t="inlineStr">
        <is>
          <t>Final interview</t>
        </is>
      </c>
      <c r="L8" s="24" t="n">
        <v>46291</v>
      </c>
      <c r="M8" s="22" t="inlineStr">
        <is>
          <t>Final round</t>
        </is>
      </c>
      <c r="N8" s="24" t="n">
        <v>46296</v>
      </c>
      <c r="O8" s="25" t="inlineStr">
        <is>
          <t>High</t>
        </is>
      </c>
      <c r="P8" s="22" t="inlineStr">
        <is>
          <t>Nina Park</t>
        </is>
      </c>
      <c r="Q8" s="18">
        <f>IF(OR(B8="",J8=""),"",TODAY()-J8)</f>
        <v/>
      </c>
      <c r="R8" s="26">
        <f>IF(B8="","",IF(OR(K8="Accepted",K8="Rejected",K8="Withdrawn"),K8,IF(K8="Offer",IF(N8="","Offer","Offer, reply by "&amp;DAY(N8)&amp;" "&amp;CHOOSE(MONTH(N8),"Jan","Feb","Mar","Apr","May","Jun","Jul","Aug","Sep","Oct","Nov","Dec")),IF(OR(K8="",K8="Saved"),IF(N8="","To apply",IF(N8&lt;TODAY(),"Closing date passed","Apply by "&amp;DAY(N8)&amp;" "&amp;CHOOSE(MONTH(N8),"Jan","Feb","Mar","Apr","May","Jun","Jul","Aug","Sep","Oct","Nov","Dec"))),IF(AND(N8="",T8&gt;0,TODAY()-T8&gt;=N(Settings!$C$6)),"No reply",IF(U8="","Waiting",IF(U8&lt;TODAY(),"Follow up",IF(U8-TODAY()&lt;=2,"Due "&amp;DAY(U8)&amp;" "&amp;CHOOSE(MONTH(U8),"Jan","Feb","Mar","Apr","May","Jun","Jul","Aug","Sep","Oct","Nov","Dec"),"Waiting"))))))))</f>
        <v/>
      </c>
      <c r="S8" s="1" t="n"/>
      <c r="T8">
        <f>MAX(N(J8),N(L8))</f>
        <v/>
      </c>
      <c r="U8">
        <f>IF(N8&lt;&gt;"",N8,IF(T8=0,"",T8+N(Settings!$C$5)))</f>
        <v/>
      </c>
      <c r="V8">
        <f>IF(AND(B8&lt;&gt;"",U8&lt;&gt;"",OR(R8="Follow up",LEFT(R8,3)="Due",R8="Waiting",LEFT(R8,5)="Apply",LEFT(R8,5)="Offer")),U8+ROW()/10000000,"")</f>
        <v/>
      </c>
      <c r="W8">
        <f>IF(B8="","",IF(M8&lt;&gt;"",M8,IF(OR(K8="",K8="Saved"),"Apply",IF(K8="Offer","Reply to the offer","Follow up"))))</f>
        <v/>
      </c>
    </row>
    <row r="9">
      <c r="A9" s="1" t="n"/>
      <c r="B9" s="21" t="inlineStr">
        <is>
          <t>Brambleton Bank</t>
        </is>
      </c>
      <c r="C9" s="22" t="inlineStr">
        <is>
          <t>UI Designer</t>
        </is>
      </c>
      <c r="D9" s="22" t="inlineStr">
        <is>
          <t>On site, Eastbridge</t>
        </is>
      </c>
      <c r="E9" s="22" t="inlineStr">
        <is>
          <t>brambleton.example/jobs</t>
        </is>
      </c>
      <c r="F9" s="23" t="n">
        <v>80000</v>
      </c>
      <c r="G9" s="23" t="n">
        <v>92000</v>
      </c>
      <c r="H9" s="22" t="inlineStr">
        <is>
          <t>Recruiter</t>
        </is>
      </c>
      <c r="I9" s="24" t="n">
        <v>46253</v>
      </c>
      <c r="J9" s="24" t="n">
        <v>46254</v>
      </c>
      <c r="K9" s="25" t="inlineStr">
        <is>
          <t>Rejected</t>
        </is>
      </c>
      <c r="L9" s="24" t="n">
        <v>46273</v>
      </c>
      <c r="M9" s="22" t="n"/>
      <c r="N9" s="24" t="n"/>
      <c r="O9" s="25" t="inlineStr">
        <is>
          <t>Low</t>
        </is>
      </c>
      <c r="P9" s="22" t="inlineStr">
        <is>
          <t>Owen Hart</t>
        </is>
      </c>
      <c r="Q9" s="18">
        <f>IF(OR(B9="",J9=""),"",TODAY()-J9)</f>
        <v/>
      </c>
      <c r="R9" s="26">
        <f>IF(B9="","",IF(OR(K9="Accepted",K9="Rejected",K9="Withdrawn"),K9,IF(K9="Offer",IF(N9="","Offer","Offer, reply by "&amp;DAY(N9)&amp;" "&amp;CHOOSE(MONTH(N9),"Jan","Feb","Mar","Apr","May","Jun","Jul","Aug","Sep","Oct","Nov","Dec")),IF(OR(K9="",K9="Saved"),IF(N9="","To apply",IF(N9&lt;TODAY(),"Closing date passed","Apply by "&amp;DAY(N9)&amp;" "&amp;CHOOSE(MONTH(N9),"Jan","Feb","Mar","Apr","May","Jun","Jul","Aug","Sep","Oct","Nov","Dec"))),IF(AND(N9="",T9&gt;0,TODAY()-T9&gt;=N(Settings!$C$6)),"No reply",IF(U9="","Waiting",IF(U9&lt;TODAY(),"Follow up",IF(U9-TODAY()&lt;=2,"Due "&amp;DAY(U9)&amp;" "&amp;CHOOSE(MONTH(U9),"Jan","Feb","Mar","Apr","May","Jun","Jul","Aug","Sep","Oct","Nov","Dec"),"Waiting"))))))))</f>
        <v/>
      </c>
      <c r="S9" s="1" t="n"/>
      <c r="T9">
        <f>MAX(N(J9),N(L9))</f>
        <v/>
      </c>
      <c r="U9">
        <f>IF(N9&lt;&gt;"",N9,IF(T9=0,"",T9+N(Settings!$C$5)))</f>
        <v/>
      </c>
      <c r="V9">
        <f>IF(AND(B9&lt;&gt;"",U9&lt;&gt;"",OR(R9="Follow up",LEFT(R9,3)="Due",R9="Waiting",LEFT(R9,5)="Apply",LEFT(R9,5)="Offer")),U9+ROW()/10000000,"")</f>
        <v/>
      </c>
      <c r="W9">
        <f>IF(B9="","",IF(M9&lt;&gt;"",M9,IF(OR(K9="",K9="Saved"),"Apply",IF(K9="Offer","Reply to the offer","Follow up"))))</f>
        <v/>
      </c>
    </row>
    <row r="10">
      <c r="A10" s="1" t="n"/>
      <c r="B10" s="21" t="inlineStr">
        <is>
          <t>Copperleaf Books</t>
        </is>
      </c>
      <c r="C10" s="22" t="inlineStr">
        <is>
          <t>UX Designer</t>
        </is>
      </c>
      <c r="D10" s="22" t="inlineStr">
        <is>
          <t>Remote</t>
        </is>
      </c>
      <c r="E10" s="22" t="inlineStr">
        <is>
          <t>copperleaf.example/jobs</t>
        </is>
      </c>
      <c r="F10" s="23" t="n">
        <v>80000</v>
      </c>
      <c r="G10" s="23" t="n">
        <v>90000</v>
      </c>
      <c r="H10" s="22" t="inlineStr">
        <is>
          <t>Job board</t>
        </is>
      </c>
      <c r="I10" s="24" t="n">
        <v>46255</v>
      </c>
      <c r="J10" s="24" t="n">
        <v>46256</v>
      </c>
      <c r="K10" s="25" t="inlineStr">
        <is>
          <t>Applied</t>
        </is>
      </c>
      <c r="L10" s="24" t="n"/>
      <c r="M10" s="22" t="n"/>
      <c r="N10" s="24" t="n"/>
      <c r="O10" s="25" t="inlineStr">
        <is>
          <t>Low</t>
        </is>
      </c>
      <c r="P10" s="22" t="n"/>
      <c r="Q10" s="18">
        <f>IF(OR(B10="",J10=""),"",TODAY()-J10)</f>
        <v/>
      </c>
      <c r="R10" s="26">
        <f>IF(B10="","",IF(OR(K10="Accepted",K10="Rejected",K10="Withdrawn"),K10,IF(K10="Offer",IF(N10="","Offer","Offer, reply by "&amp;DAY(N10)&amp;" "&amp;CHOOSE(MONTH(N10),"Jan","Feb","Mar","Apr","May","Jun","Jul","Aug","Sep","Oct","Nov","Dec")),IF(OR(K10="",K10="Saved"),IF(N10="","To apply",IF(N10&lt;TODAY(),"Closing date passed","Apply by "&amp;DAY(N10)&amp;" "&amp;CHOOSE(MONTH(N10),"Jan","Feb","Mar","Apr","May","Jun","Jul","Aug","Sep","Oct","Nov","Dec"))),IF(AND(N10="",T10&gt;0,TODAY()-T10&gt;=N(Settings!$C$6)),"No reply",IF(U10="","Waiting",IF(U10&lt;TODAY(),"Follow up",IF(U10-TODAY()&lt;=2,"Due "&amp;DAY(U10)&amp;" "&amp;CHOOSE(MONTH(U10),"Jan","Feb","Mar","Apr","May","Jun","Jul","Aug","Sep","Oct","Nov","Dec"),"Waiting"))))))))</f>
        <v/>
      </c>
      <c r="S10" s="1" t="n"/>
      <c r="T10">
        <f>MAX(N(J10),N(L10))</f>
        <v/>
      </c>
      <c r="U10">
        <f>IF(N10&lt;&gt;"",N10,IF(T10=0,"",T10+N(Settings!$C$5)))</f>
        <v/>
      </c>
      <c r="V10">
        <f>IF(AND(B10&lt;&gt;"",U10&lt;&gt;"",OR(R10="Follow up",LEFT(R10,3)="Due",R10="Waiting",LEFT(R10,5)="Apply",LEFT(R10,5)="Offer")),U10+ROW()/10000000,"")</f>
        <v/>
      </c>
      <c r="W10">
        <f>IF(B10="","",IF(M10&lt;&gt;"",M10,IF(OR(K10="",K10="Saved"),"Apply",IF(K10="Offer","Reply to the offer","Follow up"))))</f>
        <v/>
      </c>
    </row>
    <row r="11">
      <c r="A11" s="1" t="n"/>
      <c r="B11" s="21" t="inlineStr">
        <is>
          <t>Larkspur Learning</t>
        </is>
      </c>
      <c r="C11" s="22" t="inlineStr">
        <is>
          <t>Product Designer</t>
        </is>
      </c>
      <c r="D11" s="22" t="inlineStr">
        <is>
          <t>Remote</t>
        </is>
      </c>
      <c r="E11" s="22" t="inlineStr">
        <is>
          <t>larkspur.example/join</t>
        </is>
      </c>
      <c r="F11" s="23" t="n">
        <v>88000</v>
      </c>
      <c r="G11" s="23" t="n">
        <v>100000</v>
      </c>
      <c r="H11" s="22" t="inlineStr">
        <is>
          <t>Job board</t>
        </is>
      </c>
      <c r="I11" s="24" t="n">
        <v>46257</v>
      </c>
      <c r="J11" s="24" t="n">
        <v>46258</v>
      </c>
      <c r="K11" s="25" t="inlineStr">
        <is>
          <t>Offer</t>
        </is>
      </c>
      <c r="L11" s="24" t="n">
        <v>46292</v>
      </c>
      <c r="M11" s="22" t="inlineStr">
        <is>
          <t>Reply to the offer</t>
        </is>
      </c>
      <c r="N11" s="24" t="n">
        <v>46297</v>
      </c>
      <c r="O11" s="25" t="inlineStr">
        <is>
          <t>High</t>
        </is>
      </c>
      <c r="P11" s="22" t="n"/>
      <c r="Q11" s="18">
        <f>IF(OR(B11="",J11=""),"",TODAY()-J11)</f>
        <v/>
      </c>
      <c r="R11" s="26">
        <f>IF(B11="","",IF(OR(K11="Accepted",K11="Rejected",K11="Withdrawn"),K11,IF(K11="Offer",IF(N11="","Offer","Offer, reply by "&amp;DAY(N11)&amp;" "&amp;CHOOSE(MONTH(N11),"Jan","Feb","Mar","Apr","May","Jun","Jul","Aug","Sep","Oct","Nov","Dec")),IF(OR(K11="",K11="Saved"),IF(N11="","To apply",IF(N11&lt;TODAY(),"Closing date passed","Apply by "&amp;DAY(N11)&amp;" "&amp;CHOOSE(MONTH(N11),"Jan","Feb","Mar","Apr","May","Jun","Jul","Aug","Sep","Oct","Nov","Dec"))),IF(AND(N11="",T11&gt;0,TODAY()-T11&gt;=N(Settings!$C$6)),"No reply",IF(U11="","Waiting",IF(U11&lt;TODAY(),"Follow up",IF(U11-TODAY()&lt;=2,"Due "&amp;DAY(U11)&amp;" "&amp;CHOOSE(MONTH(U11),"Jan","Feb","Mar","Apr","May","Jun","Jul","Aug","Sep","Oct","Nov","Dec"),"Waiting"))))))))</f>
        <v/>
      </c>
      <c r="S11" s="1" t="n"/>
      <c r="T11">
        <f>MAX(N(J11),N(L11))</f>
        <v/>
      </c>
      <c r="U11">
        <f>IF(N11&lt;&gt;"",N11,IF(T11=0,"",T11+N(Settings!$C$5)))</f>
        <v/>
      </c>
      <c r="V11">
        <f>IF(AND(B11&lt;&gt;"",U11&lt;&gt;"",OR(R11="Follow up",LEFT(R11,3)="Due",R11="Waiting",LEFT(R11,5)="Apply",LEFT(R11,5)="Offer")),U11+ROW()/10000000,"")</f>
        <v/>
      </c>
      <c r="W11">
        <f>IF(B11="","",IF(M11&lt;&gt;"",M11,IF(OR(K11="",K11="Saved"),"Apply",IF(K11="Offer","Reply to the offer","Follow up"))))</f>
        <v/>
      </c>
    </row>
    <row r="12">
      <c r="A12" s="1" t="n"/>
      <c r="B12" s="21" t="inlineStr">
        <is>
          <t>Oakhaven Foods</t>
        </is>
      </c>
      <c r="C12" s="22" t="inlineStr">
        <is>
          <t>UX Designer</t>
        </is>
      </c>
      <c r="D12" s="22" t="inlineStr">
        <is>
          <t>Hybrid, Riverton</t>
        </is>
      </c>
      <c r="E12" s="22" t="inlineStr">
        <is>
          <t>oakhaven.example/careers/12</t>
        </is>
      </c>
      <c r="F12" s="23" t="n">
        <v>82000</v>
      </c>
      <c r="G12" s="23" t="n">
        <v>90000</v>
      </c>
      <c r="H12" s="22" t="inlineStr">
        <is>
          <t>Job board</t>
        </is>
      </c>
      <c r="I12" s="24" t="n">
        <v>46260</v>
      </c>
      <c r="J12" s="24" t="n">
        <v>46260</v>
      </c>
      <c r="K12" s="25" t="inlineStr">
        <is>
          <t>Applied</t>
        </is>
      </c>
      <c r="L12" s="24" t="n"/>
      <c r="M12" s="22" t="n"/>
      <c r="N12" s="24" t="n"/>
      <c r="O12" s="25" t="inlineStr">
        <is>
          <t>Medium</t>
        </is>
      </c>
      <c r="P12" s="22" t="n"/>
      <c r="Q12" s="18">
        <f>IF(OR(B12="",J12=""),"",TODAY()-J12)</f>
        <v/>
      </c>
      <c r="R12" s="26">
        <f>IF(B12="","",IF(OR(K12="Accepted",K12="Rejected",K12="Withdrawn"),K12,IF(K12="Offer",IF(N12="","Offer","Offer, reply by "&amp;DAY(N12)&amp;" "&amp;CHOOSE(MONTH(N12),"Jan","Feb","Mar","Apr","May","Jun","Jul","Aug","Sep","Oct","Nov","Dec")),IF(OR(K12="",K12="Saved"),IF(N12="","To apply",IF(N12&lt;TODAY(),"Closing date passed","Apply by "&amp;DAY(N12)&amp;" "&amp;CHOOSE(MONTH(N12),"Jan","Feb","Mar","Apr","May","Jun","Jul","Aug","Sep","Oct","Nov","Dec"))),IF(AND(N12="",T12&gt;0,TODAY()-T12&gt;=N(Settings!$C$6)),"No reply",IF(U12="","Waiting",IF(U12&lt;TODAY(),"Follow up",IF(U12-TODAY()&lt;=2,"Due "&amp;DAY(U12)&amp;" "&amp;CHOOSE(MONTH(U12),"Jan","Feb","Mar","Apr","May","Jun","Jul","Aug","Sep","Oct","Nov","Dec"),"Waiting"))))))))</f>
        <v/>
      </c>
      <c r="S12" s="1" t="n"/>
      <c r="T12">
        <f>MAX(N(J12),N(L12))</f>
        <v/>
      </c>
      <c r="U12">
        <f>IF(N12&lt;&gt;"",N12,IF(T12=0,"",T12+N(Settings!$C$5)))</f>
        <v/>
      </c>
      <c r="V12">
        <f>IF(AND(B12&lt;&gt;"",U12&lt;&gt;"",OR(R12="Follow up",LEFT(R12,3)="Due",R12="Waiting",LEFT(R12,5)="Apply",LEFT(R12,5)="Offer")),U12+ROW()/10000000,"")</f>
        <v/>
      </c>
      <c r="W12">
        <f>IF(B12="","",IF(M12&lt;&gt;"",M12,IF(OR(K12="",K12="Saved"),"Apply",IF(K12="Offer","Reply to the offer","Follow up"))))</f>
        <v/>
      </c>
    </row>
    <row r="13">
      <c r="A13" s="1" t="n"/>
      <c r="B13" s="21" t="inlineStr">
        <is>
          <t>Driftwood Hotels</t>
        </is>
      </c>
      <c r="C13" s="22" t="inlineStr">
        <is>
          <t>Product Designer</t>
        </is>
      </c>
      <c r="D13" s="22" t="inlineStr">
        <is>
          <t>On site, Seaford</t>
        </is>
      </c>
      <c r="E13" s="22" t="inlineStr">
        <is>
          <t>driftwood.example/careers</t>
        </is>
      </c>
      <c r="F13" s="23" t="n">
        <v>84000</v>
      </c>
      <c r="G13" s="23" t="n">
        <v>94000</v>
      </c>
      <c r="H13" s="22" t="inlineStr">
        <is>
          <t>Job board</t>
        </is>
      </c>
      <c r="I13" s="24" t="n">
        <v>46262</v>
      </c>
      <c r="J13" s="24" t="n">
        <v>46263</v>
      </c>
      <c r="K13" s="25" t="inlineStr">
        <is>
          <t>Rejected</t>
        </is>
      </c>
      <c r="L13" s="24" t="n">
        <v>46275</v>
      </c>
      <c r="M13" s="22" t="n"/>
      <c r="N13" s="24" t="n"/>
      <c r="O13" s="25" t="inlineStr">
        <is>
          <t>Medium</t>
        </is>
      </c>
      <c r="P13" s="22" t="n"/>
      <c r="Q13" s="18">
        <f>IF(OR(B13="",J13=""),"",TODAY()-J13)</f>
        <v/>
      </c>
      <c r="R13" s="26">
        <f>IF(B13="","",IF(OR(K13="Accepted",K13="Rejected",K13="Withdrawn"),K13,IF(K13="Offer",IF(N13="","Offer","Offer, reply by "&amp;DAY(N13)&amp;" "&amp;CHOOSE(MONTH(N13),"Jan","Feb","Mar","Apr","May","Jun","Jul","Aug","Sep","Oct","Nov","Dec")),IF(OR(K13="",K13="Saved"),IF(N13="","To apply",IF(N13&lt;TODAY(),"Closing date passed","Apply by "&amp;DAY(N13)&amp;" "&amp;CHOOSE(MONTH(N13),"Jan","Feb","Mar","Apr","May","Jun","Jul","Aug","Sep","Oct","Nov","Dec"))),IF(AND(N13="",T13&gt;0,TODAY()-T13&gt;=N(Settings!$C$6)),"No reply",IF(U13="","Waiting",IF(U13&lt;TODAY(),"Follow up",IF(U13-TODAY()&lt;=2,"Due "&amp;DAY(U13)&amp;" "&amp;CHOOSE(MONTH(U13),"Jan","Feb","Mar","Apr","May","Jun","Jul","Aug","Sep","Oct","Nov","Dec"),"Waiting"))))))))</f>
        <v/>
      </c>
      <c r="S13" s="1" t="n"/>
      <c r="T13">
        <f>MAX(N(J13),N(L13))</f>
        <v/>
      </c>
      <c r="U13">
        <f>IF(N13&lt;&gt;"",N13,IF(T13=0,"",T13+N(Settings!$C$5)))</f>
        <v/>
      </c>
      <c r="V13">
        <f>IF(AND(B13&lt;&gt;"",U13&lt;&gt;"",OR(R13="Follow up",LEFT(R13,3)="Due",R13="Waiting",LEFT(R13,5)="Apply",LEFT(R13,5)="Offer")),U13+ROW()/10000000,"")</f>
        <v/>
      </c>
      <c r="W13">
        <f>IF(B13="","",IF(M13&lt;&gt;"",M13,IF(OR(K13="",K13="Saved"),"Apply",IF(K13="Offer","Reply to the offer","Follow up"))))</f>
        <v/>
      </c>
    </row>
    <row r="14">
      <c r="A14" s="1" t="n"/>
      <c r="B14" s="21" t="inlineStr">
        <is>
          <t>Wrenfield Travel</t>
        </is>
      </c>
      <c r="C14" s="22" t="inlineStr">
        <is>
          <t>Product Designer</t>
        </is>
      </c>
      <c r="D14" s="22" t="inlineStr">
        <is>
          <t>Remote</t>
        </is>
      </c>
      <c r="E14" s="22" t="inlineStr">
        <is>
          <t>wrenfield.example/jobs/7</t>
        </is>
      </c>
      <c r="F14" s="23" t="n">
        <v>92000</v>
      </c>
      <c r="G14" s="23" t="n">
        <v>104000</v>
      </c>
      <c r="H14" s="22" t="inlineStr">
        <is>
          <t>Company site</t>
        </is>
      </c>
      <c r="I14" s="24" t="n">
        <v>46263</v>
      </c>
      <c r="J14" s="24" t="n">
        <v>46264</v>
      </c>
      <c r="K14" s="25" t="inlineStr">
        <is>
          <t>Interview</t>
        </is>
      </c>
      <c r="L14" s="24" t="n">
        <v>46288</v>
      </c>
      <c r="M14" s="22" t="inlineStr">
        <is>
          <t>Portfolio review</t>
        </is>
      </c>
      <c r="N14" s="24" t="n">
        <v>46299</v>
      </c>
      <c r="O14" s="25" t="inlineStr">
        <is>
          <t>High</t>
        </is>
      </c>
      <c r="P14" s="22" t="n"/>
      <c r="Q14" s="18">
        <f>IF(OR(B14="",J14=""),"",TODAY()-J14)</f>
        <v/>
      </c>
      <c r="R14" s="26">
        <f>IF(B14="","",IF(OR(K14="Accepted",K14="Rejected",K14="Withdrawn"),K14,IF(K14="Offer",IF(N14="","Offer","Offer, reply by "&amp;DAY(N14)&amp;" "&amp;CHOOSE(MONTH(N14),"Jan","Feb","Mar","Apr","May","Jun","Jul","Aug","Sep","Oct","Nov","Dec")),IF(OR(K14="",K14="Saved"),IF(N14="","To apply",IF(N14&lt;TODAY(),"Closing date passed","Apply by "&amp;DAY(N14)&amp;" "&amp;CHOOSE(MONTH(N14),"Jan","Feb","Mar","Apr","May","Jun","Jul","Aug","Sep","Oct","Nov","Dec"))),IF(AND(N14="",T14&gt;0,TODAY()-T14&gt;=N(Settings!$C$6)),"No reply",IF(U14="","Waiting",IF(U14&lt;TODAY(),"Follow up",IF(U14-TODAY()&lt;=2,"Due "&amp;DAY(U14)&amp;" "&amp;CHOOSE(MONTH(U14),"Jan","Feb","Mar","Apr","May","Jun","Jul","Aug","Sep","Oct","Nov","Dec"),"Waiting"))))))))</f>
        <v/>
      </c>
      <c r="S14" s="1" t="n"/>
      <c r="T14">
        <f>MAX(N(J14),N(L14))</f>
        <v/>
      </c>
      <c r="U14">
        <f>IF(N14&lt;&gt;"",N14,IF(T14=0,"",T14+N(Settings!$C$5)))</f>
        <v/>
      </c>
      <c r="V14">
        <f>IF(AND(B14&lt;&gt;"",U14&lt;&gt;"",OR(R14="Follow up",LEFT(R14,3)="Due",R14="Waiting",LEFT(R14,5)="Apply",LEFT(R14,5)="Offer")),U14+ROW()/10000000,"")</f>
        <v/>
      </c>
      <c r="W14">
        <f>IF(B14="","",IF(M14&lt;&gt;"",M14,IF(OR(K14="",K14="Saved"),"Apply",IF(K14="Offer","Reply to the offer","Follow up"))))</f>
        <v/>
      </c>
    </row>
    <row r="15">
      <c r="A15" s="1" t="n"/>
      <c r="B15" s="21" t="inlineStr">
        <is>
          <t>Cloverdale Logistics</t>
        </is>
      </c>
      <c r="C15" s="22" t="inlineStr">
        <is>
          <t>UX Designer</t>
        </is>
      </c>
      <c r="D15" s="22" t="inlineStr">
        <is>
          <t>On site, Northam</t>
        </is>
      </c>
      <c r="E15" s="22" t="inlineStr">
        <is>
          <t>cloverdale.example/jobs</t>
        </is>
      </c>
      <c r="F15" s="23" t="n">
        <v>78000</v>
      </c>
      <c r="G15" s="23" t="n">
        <v>88000</v>
      </c>
      <c r="H15" s="22" t="inlineStr">
        <is>
          <t>Job board</t>
        </is>
      </c>
      <c r="I15" s="24" t="n">
        <v>46266</v>
      </c>
      <c r="J15" s="24" t="n">
        <v>46267</v>
      </c>
      <c r="K15" s="25" t="inlineStr">
        <is>
          <t>Withdrawn</t>
        </is>
      </c>
      <c r="L15" s="24" t="n">
        <v>46278</v>
      </c>
      <c r="M15" s="22" t="n"/>
      <c r="N15" s="24" t="n"/>
      <c r="O15" s="25" t="inlineStr">
        <is>
          <t>Low</t>
        </is>
      </c>
      <c r="P15" s="22" t="n"/>
      <c r="Q15" s="18">
        <f>IF(OR(B15="",J15=""),"",TODAY()-J15)</f>
        <v/>
      </c>
      <c r="R15" s="26">
        <f>IF(B15="","",IF(OR(K15="Accepted",K15="Rejected",K15="Withdrawn"),K15,IF(K15="Offer",IF(N15="","Offer","Offer, reply by "&amp;DAY(N15)&amp;" "&amp;CHOOSE(MONTH(N15),"Jan","Feb","Mar","Apr","May","Jun","Jul","Aug","Sep","Oct","Nov","Dec")),IF(OR(K15="",K15="Saved"),IF(N15="","To apply",IF(N15&lt;TODAY(),"Closing date passed","Apply by "&amp;DAY(N15)&amp;" "&amp;CHOOSE(MONTH(N15),"Jan","Feb","Mar","Apr","May","Jun","Jul","Aug","Sep","Oct","Nov","Dec"))),IF(AND(N15="",T15&gt;0,TODAY()-T15&gt;=N(Settings!$C$6)),"No reply",IF(U15="","Waiting",IF(U15&lt;TODAY(),"Follow up",IF(U15-TODAY()&lt;=2,"Due "&amp;DAY(U15)&amp;" "&amp;CHOOSE(MONTH(U15),"Jan","Feb","Mar","Apr","May","Jun","Jul","Aug","Sep","Oct","Nov","Dec"),"Waiting"))))))))</f>
        <v/>
      </c>
      <c r="S15" s="1" t="n"/>
      <c r="T15">
        <f>MAX(N(J15),N(L15))</f>
        <v/>
      </c>
      <c r="U15">
        <f>IF(N15&lt;&gt;"",N15,IF(T15=0,"",T15+N(Settings!$C$5)))</f>
        <v/>
      </c>
      <c r="V15">
        <f>IF(AND(B15&lt;&gt;"",U15&lt;&gt;"",OR(R15="Follow up",LEFT(R15,3)="Due",R15="Waiting",LEFT(R15,5)="Apply",LEFT(R15,5)="Offer")),U15+ROW()/10000000,"")</f>
        <v/>
      </c>
      <c r="W15">
        <f>IF(B15="","",IF(M15&lt;&gt;"",M15,IF(OR(K15="",K15="Saved"),"Apply",IF(K15="Offer","Reply to the offer","Follow up"))))</f>
        <v/>
      </c>
    </row>
    <row r="16">
      <c r="A16" s="1" t="n"/>
      <c r="B16" s="21" t="inlineStr">
        <is>
          <t>Hollowbrook Media</t>
        </is>
      </c>
      <c r="C16" s="22" t="inlineStr">
        <is>
          <t>Design Lead</t>
        </is>
      </c>
      <c r="D16" s="22" t="inlineStr">
        <is>
          <t>Remote</t>
        </is>
      </c>
      <c r="E16" s="22" t="inlineStr">
        <is>
          <t>hollowbrook.example/careers/3</t>
        </is>
      </c>
      <c r="F16" s="23" t="n">
        <v>115000</v>
      </c>
      <c r="G16" s="23" t="n">
        <v>130000</v>
      </c>
      <c r="H16" s="22" t="inlineStr">
        <is>
          <t>Recruiter</t>
        </is>
      </c>
      <c r="I16" s="24" t="n">
        <v>46269</v>
      </c>
      <c r="J16" s="24" t="n">
        <v>46270</v>
      </c>
      <c r="K16" s="25" t="inlineStr">
        <is>
          <t>Screening</t>
        </is>
      </c>
      <c r="L16" s="24" t="n">
        <v>46284</v>
      </c>
      <c r="M16" s="22" t="n"/>
      <c r="N16" s="24" t="n"/>
      <c r="O16" s="25" t="inlineStr">
        <is>
          <t>Medium</t>
        </is>
      </c>
      <c r="P16" s="22" t="inlineStr">
        <is>
          <t>Owen Hart</t>
        </is>
      </c>
      <c r="Q16" s="18">
        <f>IF(OR(B16="",J16=""),"",TODAY()-J16)</f>
        <v/>
      </c>
      <c r="R16" s="26">
        <f>IF(B16="","",IF(OR(K16="Accepted",K16="Rejected",K16="Withdrawn"),K16,IF(K16="Offer",IF(N16="","Offer","Offer, reply by "&amp;DAY(N16)&amp;" "&amp;CHOOSE(MONTH(N16),"Jan","Feb","Mar","Apr","May","Jun","Jul","Aug","Sep","Oct","Nov","Dec")),IF(OR(K16="",K16="Saved"),IF(N16="","To apply",IF(N16&lt;TODAY(),"Closing date passed","Apply by "&amp;DAY(N16)&amp;" "&amp;CHOOSE(MONTH(N16),"Jan","Feb","Mar","Apr","May","Jun","Jul","Aug","Sep","Oct","Nov","Dec"))),IF(AND(N16="",T16&gt;0,TODAY()-T16&gt;=N(Settings!$C$6)),"No reply",IF(U16="","Waiting",IF(U16&lt;TODAY(),"Follow up",IF(U16-TODAY()&lt;=2,"Due "&amp;DAY(U16)&amp;" "&amp;CHOOSE(MONTH(U16),"Jan","Feb","Mar","Apr","May","Jun","Jul","Aug","Sep","Oct","Nov","Dec"),"Waiting"))))))))</f>
        <v/>
      </c>
      <c r="S16" s="1" t="n"/>
      <c r="T16">
        <f>MAX(N(J16),N(L16))</f>
        <v/>
      </c>
      <c r="U16">
        <f>IF(N16&lt;&gt;"",N16,IF(T16=0,"",T16+N(Settings!$C$5)))</f>
        <v/>
      </c>
      <c r="V16">
        <f>IF(AND(B16&lt;&gt;"",U16&lt;&gt;"",OR(R16="Follow up",LEFT(R16,3)="Due",R16="Waiting",LEFT(R16,5)="Apply",LEFT(R16,5)="Offer")),U16+ROW()/10000000,"")</f>
        <v/>
      </c>
      <c r="W16">
        <f>IF(B16="","",IF(M16&lt;&gt;"",M16,IF(OR(K16="",K16="Saved"),"Apply",IF(K16="Offer","Reply to the offer","Follow up"))))</f>
        <v/>
      </c>
    </row>
    <row r="17">
      <c r="A17" s="1" t="n"/>
      <c r="B17" s="21" t="inlineStr">
        <is>
          <t>Emberly Home</t>
        </is>
      </c>
      <c r="C17" s="22" t="inlineStr">
        <is>
          <t>UI Designer</t>
        </is>
      </c>
      <c r="D17" s="22" t="inlineStr">
        <is>
          <t>Remote</t>
        </is>
      </c>
      <c r="E17" s="22" t="inlineStr">
        <is>
          <t>emberly.example/jobs/4</t>
        </is>
      </c>
      <c r="F17" s="23" t="n">
        <v>78000</v>
      </c>
      <c r="G17" s="23" t="n">
        <v>90000</v>
      </c>
      <c r="H17" s="22" t="inlineStr">
        <is>
          <t>Company site</t>
        </is>
      </c>
      <c r="I17" s="24" t="n">
        <v>46269</v>
      </c>
      <c r="J17" s="24" t="n">
        <v>46271</v>
      </c>
      <c r="K17" s="25" t="inlineStr">
        <is>
          <t>Rejected</t>
        </is>
      </c>
      <c r="L17" s="24" t="n">
        <v>46283</v>
      </c>
      <c r="M17" s="22" t="n"/>
      <c r="N17" s="24" t="n"/>
      <c r="O17" s="25" t="inlineStr">
        <is>
          <t>Low</t>
        </is>
      </c>
      <c r="P17" s="22" t="n"/>
      <c r="Q17" s="18">
        <f>IF(OR(B17="",J17=""),"",TODAY()-J17)</f>
        <v/>
      </c>
      <c r="R17" s="26">
        <f>IF(B17="","",IF(OR(K17="Accepted",K17="Rejected",K17="Withdrawn"),K17,IF(K17="Offer",IF(N17="","Offer","Offer, reply by "&amp;DAY(N17)&amp;" "&amp;CHOOSE(MONTH(N17),"Jan","Feb","Mar","Apr","May","Jun","Jul","Aug","Sep","Oct","Nov","Dec")),IF(OR(K17="",K17="Saved"),IF(N17="","To apply",IF(N17&lt;TODAY(),"Closing date passed","Apply by "&amp;DAY(N17)&amp;" "&amp;CHOOSE(MONTH(N17),"Jan","Feb","Mar","Apr","May","Jun","Jul","Aug","Sep","Oct","Nov","Dec"))),IF(AND(N17="",T17&gt;0,TODAY()-T17&gt;=N(Settings!$C$6)),"No reply",IF(U17="","Waiting",IF(U17&lt;TODAY(),"Follow up",IF(U17-TODAY()&lt;=2,"Due "&amp;DAY(U17)&amp;" "&amp;CHOOSE(MONTH(U17),"Jan","Feb","Mar","Apr","May","Jun","Jul","Aug","Sep","Oct","Nov","Dec"),"Waiting"))))))))</f>
        <v/>
      </c>
      <c r="S17" s="1" t="n"/>
      <c r="T17">
        <f>MAX(N(J17),N(L17))</f>
        <v/>
      </c>
      <c r="U17">
        <f>IF(N17&lt;&gt;"",N17,IF(T17=0,"",T17+N(Settings!$C$5)))</f>
        <v/>
      </c>
      <c r="V17">
        <f>IF(AND(B17&lt;&gt;"",U17&lt;&gt;"",OR(R17="Follow up",LEFT(R17,3)="Due",R17="Waiting",LEFT(R17,5)="Apply",LEFT(R17,5)="Offer")),U17+ROW()/10000000,"")</f>
        <v/>
      </c>
      <c r="W17">
        <f>IF(B17="","",IF(M17&lt;&gt;"",M17,IF(OR(K17="",K17="Saved"),"Apply",IF(K17="Offer","Reply to the offer","Follow up"))))</f>
        <v/>
      </c>
    </row>
    <row r="18">
      <c r="A18" s="1" t="n"/>
      <c r="B18" s="21" t="inlineStr">
        <is>
          <t>Starling Software</t>
        </is>
      </c>
      <c r="C18" s="22" t="inlineStr">
        <is>
          <t>Senior Product Designer</t>
        </is>
      </c>
      <c r="D18" s="22" t="inlineStr">
        <is>
          <t>Remote</t>
        </is>
      </c>
      <c r="E18" s="22" t="inlineStr">
        <is>
          <t>starling.example/jobs/22</t>
        </is>
      </c>
      <c r="F18" s="23" t="n">
        <v>110000</v>
      </c>
      <c r="G18" s="23" t="n">
        <v>125000</v>
      </c>
      <c r="H18" s="22" t="inlineStr">
        <is>
          <t>Referral</t>
        </is>
      </c>
      <c r="I18" s="24" t="n">
        <v>46273</v>
      </c>
      <c r="J18" s="24" t="n">
        <v>46274</v>
      </c>
      <c r="K18" s="25" t="inlineStr">
        <is>
          <t>Interview</t>
        </is>
      </c>
      <c r="L18" s="24" t="n">
        <v>46290</v>
      </c>
      <c r="M18" s="22" t="inlineStr">
        <is>
          <t>Take-home task due</t>
        </is>
      </c>
      <c r="N18" s="24" t="n">
        <v>46294</v>
      </c>
      <c r="O18" s="25" t="inlineStr">
        <is>
          <t>High</t>
        </is>
      </c>
      <c r="P18" s="22" t="inlineStr">
        <is>
          <t>Leo Grant</t>
        </is>
      </c>
      <c r="Q18" s="18">
        <f>IF(OR(B18="",J18=""),"",TODAY()-J18)</f>
        <v/>
      </c>
      <c r="R18" s="26">
        <f>IF(B18="","",IF(OR(K18="Accepted",K18="Rejected",K18="Withdrawn"),K18,IF(K18="Offer",IF(N18="","Offer","Offer, reply by "&amp;DAY(N18)&amp;" "&amp;CHOOSE(MONTH(N18),"Jan","Feb","Mar","Apr","May","Jun","Jul","Aug","Sep","Oct","Nov","Dec")),IF(OR(K18="",K18="Saved"),IF(N18="","To apply",IF(N18&lt;TODAY(),"Closing date passed","Apply by "&amp;DAY(N18)&amp;" "&amp;CHOOSE(MONTH(N18),"Jan","Feb","Mar","Apr","May","Jun","Jul","Aug","Sep","Oct","Nov","Dec"))),IF(AND(N18="",T18&gt;0,TODAY()-T18&gt;=N(Settings!$C$6)),"No reply",IF(U18="","Waiting",IF(U18&lt;TODAY(),"Follow up",IF(U18-TODAY()&lt;=2,"Due "&amp;DAY(U18)&amp;" "&amp;CHOOSE(MONTH(U18),"Jan","Feb","Mar","Apr","May","Jun","Jul","Aug","Sep","Oct","Nov","Dec"),"Waiting"))))))))</f>
        <v/>
      </c>
      <c r="S18" s="1" t="n"/>
      <c r="T18">
        <f>MAX(N(J18),N(L18))</f>
        <v/>
      </c>
      <c r="U18">
        <f>IF(N18&lt;&gt;"",N18,IF(T18=0,"",T18+N(Settings!$C$5)))</f>
        <v/>
      </c>
      <c r="V18">
        <f>IF(AND(B18&lt;&gt;"",U18&lt;&gt;"",OR(R18="Follow up",LEFT(R18,3)="Due",R18="Waiting",LEFT(R18,5)="Apply",LEFT(R18,5)="Offer")),U18+ROW()/10000000,"")</f>
        <v/>
      </c>
      <c r="W18">
        <f>IF(B18="","",IF(M18&lt;&gt;"",M18,IF(OR(K18="",K18="Saved"),"Apply",IF(K18="Offer","Reply to the offer","Follow up"))))</f>
        <v/>
      </c>
    </row>
    <row r="19">
      <c r="A19" s="1" t="n"/>
      <c r="B19" s="21" t="inlineStr">
        <is>
          <t>Pebblestone Games</t>
        </is>
      </c>
      <c r="C19" s="22" t="inlineStr">
        <is>
          <t>UI Designer</t>
        </is>
      </c>
      <c r="D19" s="22" t="inlineStr">
        <is>
          <t>Hybrid, Riverton</t>
        </is>
      </c>
      <c r="E19" s="22" t="inlineStr">
        <is>
          <t>pebblestone.example/jobs</t>
        </is>
      </c>
      <c r="F19" s="23" t="n">
        <v>80000</v>
      </c>
      <c r="G19" s="23" t="n">
        <v>95000</v>
      </c>
      <c r="H19" s="22" t="inlineStr">
        <is>
          <t>Job board</t>
        </is>
      </c>
      <c r="I19" s="24" t="n">
        <v>46276</v>
      </c>
      <c r="J19" s="24" t="n">
        <v>46277</v>
      </c>
      <c r="K19" s="25" t="inlineStr">
        <is>
          <t>Rejected</t>
        </is>
      </c>
      <c r="L19" s="24" t="n">
        <v>46289</v>
      </c>
      <c r="M19" s="22" t="n"/>
      <c r="N19" s="24" t="n"/>
      <c r="O19" s="25" t="inlineStr">
        <is>
          <t>Medium</t>
        </is>
      </c>
      <c r="P19" s="22" t="n"/>
      <c r="Q19" s="18">
        <f>IF(OR(B19="",J19=""),"",TODAY()-J19)</f>
        <v/>
      </c>
      <c r="R19" s="26">
        <f>IF(B19="","",IF(OR(K19="Accepted",K19="Rejected",K19="Withdrawn"),K19,IF(K19="Offer",IF(N19="","Offer","Offer, reply by "&amp;DAY(N19)&amp;" "&amp;CHOOSE(MONTH(N19),"Jan","Feb","Mar","Apr","May","Jun","Jul","Aug","Sep","Oct","Nov","Dec")),IF(OR(K19="",K19="Saved"),IF(N19="","To apply",IF(N19&lt;TODAY(),"Closing date passed","Apply by "&amp;DAY(N19)&amp;" "&amp;CHOOSE(MONTH(N19),"Jan","Feb","Mar","Apr","May","Jun","Jul","Aug","Sep","Oct","Nov","Dec"))),IF(AND(N19="",T19&gt;0,TODAY()-T19&gt;=N(Settings!$C$6)),"No reply",IF(U19="","Waiting",IF(U19&lt;TODAY(),"Follow up",IF(U19-TODAY()&lt;=2,"Due "&amp;DAY(U19)&amp;" "&amp;CHOOSE(MONTH(U19),"Jan","Feb","Mar","Apr","May","Jun","Jul","Aug","Sep","Oct","Nov","Dec"),"Waiting"))))))))</f>
        <v/>
      </c>
      <c r="S19" s="1" t="n"/>
      <c r="T19">
        <f>MAX(N(J19),N(L19))</f>
        <v/>
      </c>
      <c r="U19">
        <f>IF(N19&lt;&gt;"",N19,IF(T19=0,"",T19+N(Settings!$C$5)))</f>
        <v/>
      </c>
      <c r="V19">
        <f>IF(AND(B19&lt;&gt;"",U19&lt;&gt;"",OR(R19="Follow up",LEFT(R19,3)="Due",R19="Waiting",LEFT(R19,5)="Apply",LEFT(R19,5)="Offer")),U19+ROW()/10000000,"")</f>
        <v/>
      </c>
      <c r="W19">
        <f>IF(B19="","",IF(M19&lt;&gt;"",M19,IF(OR(K19="",K19="Saved"),"Apply",IF(K19="Offer","Reply to the offer","Follow up"))))</f>
        <v/>
      </c>
    </row>
    <row r="20">
      <c r="A20" s="1" t="n"/>
      <c r="B20" s="21" t="inlineStr">
        <is>
          <t>Foxglove Health</t>
        </is>
      </c>
      <c r="C20" s="22" t="inlineStr">
        <is>
          <t>Product Designer</t>
        </is>
      </c>
      <c r="D20" s="22" t="inlineStr">
        <is>
          <t>Hybrid, Riverton</t>
        </is>
      </c>
      <c r="E20" s="22" t="inlineStr">
        <is>
          <t>foxglove.example/jobs</t>
        </is>
      </c>
      <c r="F20" s="23" t="n">
        <v>90000</v>
      </c>
      <c r="G20" s="23" t="n">
        <v>102000</v>
      </c>
      <c r="H20" s="22" t="inlineStr">
        <is>
          <t>Job board</t>
        </is>
      </c>
      <c r="I20" s="24" t="n">
        <v>46279</v>
      </c>
      <c r="J20" s="24" t="n">
        <v>46280</v>
      </c>
      <c r="K20" s="25" t="inlineStr">
        <is>
          <t>Applied</t>
        </is>
      </c>
      <c r="L20" s="24" t="n"/>
      <c r="M20" s="22" t="n"/>
      <c r="N20" s="24" t="n"/>
      <c r="O20" s="25" t="inlineStr">
        <is>
          <t>Medium</t>
        </is>
      </c>
      <c r="P20" s="22" t="n"/>
      <c r="Q20" s="18">
        <f>IF(OR(B20="",J20=""),"",TODAY()-J20)</f>
        <v/>
      </c>
      <c r="R20" s="26">
        <f>IF(B20="","",IF(OR(K20="Accepted",K20="Rejected",K20="Withdrawn"),K20,IF(K20="Offer",IF(N20="","Offer","Offer, reply by "&amp;DAY(N20)&amp;" "&amp;CHOOSE(MONTH(N20),"Jan","Feb","Mar","Apr","May","Jun","Jul","Aug","Sep","Oct","Nov","Dec")),IF(OR(K20="",K20="Saved"),IF(N20="","To apply",IF(N20&lt;TODAY(),"Closing date passed","Apply by "&amp;DAY(N20)&amp;" "&amp;CHOOSE(MONTH(N20),"Jan","Feb","Mar","Apr","May","Jun","Jul","Aug","Sep","Oct","Nov","Dec"))),IF(AND(N20="",T20&gt;0,TODAY()-T20&gt;=N(Settings!$C$6)),"No reply",IF(U20="","Waiting",IF(U20&lt;TODAY(),"Follow up",IF(U20-TODAY()&lt;=2,"Due "&amp;DAY(U20)&amp;" "&amp;CHOOSE(MONTH(U20),"Jan","Feb","Mar","Apr","May","Jun","Jul","Aug","Sep","Oct","Nov","Dec"),"Waiting"))))))))</f>
        <v/>
      </c>
      <c r="S20" s="1" t="n"/>
      <c r="T20">
        <f>MAX(N(J20),N(L20))</f>
        <v/>
      </c>
      <c r="U20">
        <f>IF(N20&lt;&gt;"",N20,IF(T20=0,"",T20+N(Settings!$C$5)))</f>
        <v/>
      </c>
      <c r="V20">
        <f>IF(AND(B20&lt;&gt;"",U20&lt;&gt;"",OR(R20="Follow up",LEFT(R20,3)="Due",R20="Waiting",LEFT(R20,5)="Apply",LEFT(R20,5)="Offer")),U20+ROW()/10000000,"")</f>
        <v/>
      </c>
      <c r="W20">
        <f>IF(B20="","",IF(M20&lt;&gt;"",M20,IF(OR(K20="",K20="Saved"),"Apply",IF(K20="Offer","Reply to the offer","Follow up"))))</f>
        <v/>
      </c>
    </row>
    <row r="21">
      <c r="A21" s="1" t="n"/>
      <c r="B21" s="21" t="inlineStr">
        <is>
          <t>Thistle Insurance</t>
        </is>
      </c>
      <c r="C21" s="22" t="inlineStr">
        <is>
          <t>Product Designer</t>
        </is>
      </c>
      <c r="D21" s="22" t="inlineStr">
        <is>
          <t>On site, Westford</t>
        </is>
      </c>
      <c r="E21" s="22" t="inlineStr">
        <is>
          <t>thistle.example/careers</t>
        </is>
      </c>
      <c r="F21" s="23" t="n">
        <v>86000</v>
      </c>
      <c r="G21" s="23" t="n">
        <v>98000</v>
      </c>
      <c r="H21" s="22" t="inlineStr">
        <is>
          <t>Job board</t>
        </is>
      </c>
      <c r="I21" s="24" t="n">
        <v>46281</v>
      </c>
      <c r="J21" s="24" t="n">
        <v>46282</v>
      </c>
      <c r="K21" s="25" t="inlineStr">
        <is>
          <t>Applied</t>
        </is>
      </c>
      <c r="L21" s="24" t="n"/>
      <c r="M21" s="22" t="n"/>
      <c r="N21" s="24" t="n"/>
      <c r="O21" s="25" t="inlineStr">
        <is>
          <t>Low</t>
        </is>
      </c>
      <c r="P21" s="22" t="n"/>
      <c r="Q21" s="18">
        <f>IF(OR(B21="",J21=""),"",TODAY()-J21)</f>
        <v/>
      </c>
      <c r="R21" s="26">
        <f>IF(B21="","",IF(OR(K21="Accepted",K21="Rejected",K21="Withdrawn"),K21,IF(K21="Offer",IF(N21="","Offer","Offer, reply by "&amp;DAY(N21)&amp;" "&amp;CHOOSE(MONTH(N21),"Jan","Feb","Mar","Apr","May","Jun","Jul","Aug","Sep","Oct","Nov","Dec")),IF(OR(K21="",K21="Saved"),IF(N21="","To apply",IF(N21&lt;TODAY(),"Closing date passed","Apply by "&amp;DAY(N21)&amp;" "&amp;CHOOSE(MONTH(N21),"Jan","Feb","Mar","Apr","May","Jun","Jul","Aug","Sep","Oct","Nov","Dec"))),IF(AND(N21="",T21&gt;0,TODAY()-T21&gt;=N(Settings!$C$6)),"No reply",IF(U21="","Waiting",IF(U21&lt;TODAY(),"Follow up",IF(U21-TODAY()&lt;=2,"Due "&amp;DAY(U21)&amp;" "&amp;CHOOSE(MONTH(U21),"Jan","Feb","Mar","Apr","May","Jun","Jul","Aug","Sep","Oct","Nov","Dec"),"Waiting"))))))))</f>
        <v/>
      </c>
      <c r="S21" s="1" t="n"/>
      <c r="T21">
        <f>MAX(N(J21),N(L21))</f>
        <v/>
      </c>
      <c r="U21">
        <f>IF(N21&lt;&gt;"",N21,IF(T21=0,"",T21+N(Settings!$C$5)))</f>
        <v/>
      </c>
      <c r="V21">
        <f>IF(AND(B21&lt;&gt;"",U21&lt;&gt;"",OR(R21="Follow up",LEFT(R21,3)="Due",R21="Waiting",LEFT(R21,5)="Apply",LEFT(R21,5)="Offer")),U21+ROW()/10000000,"")</f>
        <v/>
      </c>
      <c r="W21">
        <f>IF(B21="","",IF(M21&lt;&gt;"",M21,IF(OR(K21="",K21="Saved"),"Apply",IF(K21="Offer","Reply to the offer","Follow up"))))</f>
        <v/>
      </c>
    </row>
    <row r="22">
      <c r="A22" s="1" t="n"/>
      <c r="B22" s="21" t="inlineStr">
        <is>
          <t>Marigold Retail</t>
        </is>
      </c>
      <c r="C22" s="22" t="inlineStr">
        <is>
          <t>UX Designer</t>
        </is>
      </c>
      <c r="D22" s="22" t="inlineStr">
        <is>
          <t>Remote</t>
        </is>
      </c>
      <c r="E22" s="22" t="inlineStr">
        <is>
          <t>marigold.example/jobs/9</t>
        </is>
      </c>
      <c r="F22" s="23" t="n">
        <v>84000</v>
      </c>
      <c r="G22" s="23" t="n">
        <v>96000</v>
      </c>
      <c r="H22" s="22" t="inlineStr">
        <is>
          <t>Company site</t>
        </is>
      </c>
      <c r="I22" s="24" t="n">
        <v>46285</v>
      </c>
      <c r="J22" s="24" t="n">
        <v>46285</v>
      </c>
      <c r="K22" s="25" t="inlineStr">
        <is>
          <t>Applied</t>
        </is>
      </c>
      <c r="L22" s="24" t="n"/>
      <c r="M22" s="22" t="n"/>
      <c r="N22" s="24" t="n"/>
      <c r="O22" s="25" t="inlineStr">
        <is>
          <t>Medium</t>
        </is>
      </c>
      <c r="P22" s="22" t="n"/>
      <c r="Q22" s="18">
        <f>IF(OR(B22="",J22=""),"",TODAY()-J22)</f>
        <v/>
      </c>
      <c r="R22" s="26">
        <f>IF(B22="","",IF(OR(K22="Accepted",K22="Rejected",K22="Withdrawn"),K22,IF(K22="Offer",IF(N22="","Offer","Offer, reply by "&amp;DAY(N22)&amp;" "&amp;CHOOSE(MONTH(N22),"Jan","Feb","Mar","Apr","May","Jun","Jul","Aug","Sep","Oct","Nov","Dec")),IF(OR(K22="",K22="Saved"),IF(N22="","To apply",IF(N22&lt;TODAY(),"Closing date passed","Apply by "&amp;DAY(N22)&amp;" "&amp;CHOOSE(MONTH(N22),"Jan","Feb","Mar","Apr","May","Jun","Jul","Aug","Sep","Oct","Nov","Dec"))),IF(AND(N22="",T22&gt;0,TODAY()-T22&gt;=N(Settings!$C$6)),"No reply",IF(U22="","Waiting",IF(U22&lt;TODAY(),"Follow up",IF(U22-TODAY()&lt;=2,"Due "&amp;DAY(U22)&amp;" "&amp;CHOOSE(MONTH(U22),"Jan","Feb","Mar","Apr","May","Jun","Jul","Aug","Sep","Oct","Nov","Dec"),"Waiting"))))))))</f>
        <v/>
      </c>
      <c r="S22" s="1" t="n"/>
      <c r="T22">
        <f>MAX(N(J22),N(L22))</f>
        <v/>
      </c>
      <c r="U22">
        <f>IF(N22&lt;&gt;"",N22,IF(T22=0,"",T22+N(Settings!$C$5)))</f>
        <v/>
      </c>
      <c r="V22">
        <f>IF(AND(B22&lt;&gt;"",U22&lt;&gt;"",OR(R22="Follow up",LEFT(R22,3)="Due",R22="Waiting",LEFT(R22,5)="Apply",LEFT(R22,5)="Offer")),U22+ROW()/10000000,"")</f>
        <v/>
      </c>
      <c r="W22">
        <f>IF(B22="","",IF(M22&lt;&gt;"",M22,IF(OR(K22="",K22="Saved"),"Apply",IF(K22="Offer","Reply to the offer","Follow up"))))</f>
        <v/>
      </c>
    </row>
    <row r="23">
      <c r="A23" s="1" t="n"/>
      <c r="B23" s="21" t="inlineStr">
        <is>
          <t>Silverfin Travel</t>
        </is>
      </c>
      <c r="C23" s="22" t="inlineStr">
        <is>
          <t>Design Lead</t>
        </is>
      </c>
      <c r="D23" s="22" t="inlineStr">
        <is>
          <t>On site, Eastbridge</t>
        </is>
      </c>
      <c r="E23" s="22" t="inlineStr">
        <is>
          <t>silverfin.example/jobs</t>
        </is>
      </c>
      <c r="F23" s="23" t="n">
        <v>120000</v>
      </c>
      <c r="G23" s="23" t="n">
        <v>135000</v>
      </c>
      <c r="H23" s="22" t="inlineStr">
        <is>
          <t>Recruiter</t>
        </is>
      </c>
      <c r="I23" s="24" t="n">
        <v>46287</v>
      </c>
      <c r="J23" s="24" t="n"/>
      <c r="K23" s="25" t="inlineStr">
        <is>
          <t>Saved</t>
        </is>
      </c>
      <c r="L23" s="24" t="n"/>
      <c r="M23" s="22" t="inlineStr">
        <is>
          <t>Apply before it closes</t>
        </is>
      </c>
      <c r="N23" s="24" t="n">
        <v>46292</v>
      </c>
      <c r="O23" s="25" t="inlineStr">
        <is>
          <t>Low</t>
        </is>
      </c>
      <c r="P23" s="22" t="inlineStr">
        <is>
          <t>Owen Hart</t>
        </is>
      </c>
      <c r="Q23" s="18">
        <f>IF(OR(B23="",J23=""),"",TODAY()-J23)</f>
        <v/>
      </c>
      <c r="R23" s="26">
        <f>IF(B23="","",IF(OR(K23="Accepted",K23="Rejected",K23="Withdrawn"),K23,IF(K23="Offer",IF(N23="","Offer","Offer, reply by "&amp;DAY(N23)&amp;" "&amp;CHOOSE(MONTH(N23),"Jan","Feb","Mar","Apr","May","Jun","Jul","Aug","Sep","Oct","Nov","Dec")),IF(OR(K23="",K23="Saved"),IF(N23="","To apply",IF(N23&lt;TODAY(),"Closing date passed","Apply by "&amp;DAY(N23)&amp;" "&amp;CHOOSE(MONTH(N23),"Jan","Feb","Mar","Apr","May","Jun","Jul","Aug","Sep","Oct","Nov","Dec"))),IF(AND(N23="",T23&gt;0,TODAY()-T23&gt;=N(Settings!$C$6)),"No reply",IF(U23="","Waiting",IF(U23&lt;TODAY(),"Follow up",IF(U23-TODAY()&lt;=2,"Due "&amp;DAY(U23)&amp;" "&amp;CHOOSE(MONTH(U23),"Jan","Feb","Mar","Apr","May","Jun","Jul","Aug","Sep","Oct","Nov","Dec"),"Waiting"))))))))</f>
        <v/>
      </c>
      <c r="S23" s="1" t="n"/>
      <c r="T23">
        <f>MAX(N(J23),N(L23))</f>
        <v/>
      </c>
      <c r="U23">
        <f>IF(N23&lt;&gt;"",N23,IF(T23=0,"",T23+N(Settings!$C$5)))</f>
        <v/>
      </c>
      <c r="V23">
        <f>IF(AND(B23&lt;&gt;"",U23&lt;&gt;"",OR(R23="Follow up",LEFT(R23,3)="Due",R23="Waiting",LEFT(R23,5)="Apply",LEFT(R23,5)="Offer")),U23+ROW()/10000000,"")</f>
        <v/>
      </c>
      <c r="W23">
        <f>IF(B23="","",IF(M23&lt;&gt;"",M23,IF(OR(K23="",K23="Saved"),"Apply",IF(K23="Offer","Reply to the offer","Follow up"))))</f>
        <v/>
      </c>
    </row>
    <row r="24">
      <c r="A24" s="1" t="n"/>
      <c r="B24" s="21" t="inlineStr">
        <is>
          <t>Kestrel Analytics</t>
        </is>
      </c>
      <c r="C24" s="22" t="inlineStr">
        <is>
          <t>Product Designer</t>
        </is>
      </c>
      <c r="D24" s="22" t="inlineStr">
        <is>
          <t>Remote</t>
        </is>
      </c>
      <c r="E24" s="22" t="inlineStr">
        <is>
          <t>kestrel.example/jobs/5</t>
        </is>
      </c>
      <c r="F24" s="23" t="n">
        <v>95000</v>
      </c>
      <c r="G24" s="23" t="n">
        <v>110000</v>
      </c>
      <c r="H24" s="22" t="inlineStr">
        <is>
          <t>Job board</t>
        </is>
      </c>
      <c r="I24" s="24" t="n">
        <v>46288</v>
      </c>
      <c r="J24" s="24" t="n">
        <v>46289</v>
      </c>
      <c r="K24" s="25" t="inlineStr">
        <is>
          <t>Applied</t>
        </is>
      </c>
      <c r="L24" s="24" t="n"/>
      <c r="M24" s="22" t="n"/>
      <c r="N24" s="24" t="n"/>
      <c r="O24" s="25" t="inlineStr">
        <is>
          <t>High</t>
        </is>
      </c>
      <c r="P24" s="22" t="n"/>
      <c r="Q24" s="18">
        <f>IF(OR(B24="",J24=""),"",TODAY()-J24)</f>
        <v/>
      </c>
      <c r="R24" s="26">
        <f>IF(B24="","",IF(OR(K24="Accepted",K24="Rejected",K24="Withdrawn"),K24,IF(K24="Offer",IF(N24="","Offer","Offer, reply by "&amp;DAY(N24)&amp;" "&amp;CHOOSE(MONTH(N24),"Jan","Feb","Mar","Apr","May","Jun","Jul","Aug","Sep","Oct","Nov","Dec")),IF(OR(K24="",K24="Saved"),IF(N24="","To apply",IF(N24&lt;TODAY(),"Closing date passed","Apply by "&amp;DAY(N24)&amp;" "&amp;CHOOSE(MONTH(N24),"Jan","Feb","Mar","Apr","May","Jun","Jul","Aug","Sep","Oct","Nov","Dec"))),IF(AND(N24="",T24&gt;0,TODAY()-T24&gt;=N(Settings!$C$6)),"No reply",IF(U24="","Waiting",IF(U24&lt;TODAY(),"Follow up",IF(U24-TODAY()&lt;=2,"Due "&amp;DAY(U24)&amp;" "&amp;CHOOSE(MONTH(U24),"Jan","Feb","Mar","Apr","May","Jun","Jul","Aug","Sep","Oct","Nov","Dec"),"Waiting"))))))))</f>
        <v/>
      </c>
      <c r="S24" s="1" t="n"/>
      <c r="T24">
        <f>MAX(N(J24),N(L24))</f>
        <v/>
      </c>
      <c r="U24">
        <f>IF(N24&lt;&gt;"",N24,IF(T24=0,"",T24+N(Settings!$C$5)))</f>
        <v/>
      </c>
      <c r="V24">
        <f>IF(AND(B24&lt;&gt;"",U24&lt;&gt;"",OR(R24="Follow up",LEFT(R24,3)="Due",R24="Waiting",LEFT(R24,5)="Apply",LEFT(R24,5)="Offer")),U24+ROW()/10000000,"")</f>
        <v/>
      </c>
      <c r="W24">
        <f>IF(B24="","",IF(M24&lt;&gt;"",M24,IF(OR(K24="",K24="Saved"),"Apply",IF(K24="Offer","Reply to the offer","Follow up"))))</f>
        <v/>
      </c>
    </row>
    <row r="25">
      <c r="A25" s="1" t="n"/>
      <c r="B25" s="21" t="inlineStr">
        <is>
          <t>Ashgrove Studio</t>
        </is>
      </c>
      <c r="C25" s="22" t="inlineStr">
        <is>
          <t>Senior Product Designer</t>
        </is>
      </c>
      <c r="D25" s="22" t="inlineStr">
        <is>
          <t>Hybrid, Riverton</t>
        </is>
      </c>
      <c r="E25" s="22" t="inlineStr">
        <is>
          <t>ashgrove.example/jobs</t>
        </is>
      </c>
      <c r="F25" s="23" t="n">
        <v>100000</v>
      </c>
      <c r="G25" s="23" t="n">
        <v>115000</v>
      </c>
      <c r="H25" s="22" t="inlineStr">
        <is>
          <t>Referral</t>
        </is>
      </c>
      <c r="I25" s="24" t="n">
        <v>46290</v>
      </c>
      <c r="J25" s="24" t="n">
        <v>46291</v>
      </c>
      <c r="K25" s="25" t="inlineStr">
        <is>
          <t>Screening</t>
        </is>
      </c>
      <c r="L25" s="24" t="n">
        <v>46292</v>
      </c>
      <c r="M25" s="22" t="inlineStr">
        <is>
          <t>Call with the recruiter</t>
        </is>
      </c>
      <c r="N25" s="24" t="n">
        <v>46295</v>
      </c>
      <c r="O25" s="25" t="inlineStr">
        <is>
          <t>High</t>
        </is>
      </c>
      <c r="P25" s="22" t="inlineStr">
        <is>
          <t>Nina Park</t>
        </is>
      </c>
      <c r="Q25" s="18">
        <f>IF(OR(B25="",J25=""),"",TODAY()-J25)</f>
        <v/>
      </c>
      <c r="R25" s="26">
        <f>IF(B25="","",IF(OR(K25="Accepted",K25="Rejected",K25="Withdrawn"),K25,IF(K25="Offer",IF(N25="","Offer","Offer, reply by "&amp;DAY(N25)&amp;" "&amp;CHOOSE(MONTH(N25),"Jan","Feb","Mar","Apr","May","Jun","Jul","Aug","Sep","Oct","Nov","Dec")),IF(OR(K25="",K25="Saved"),IF(N25="","To apply",IF(N25&lt;TODAY(),"Closing date passed","Apply by "&amp;DAY(N25)&amp;" "&amp;CHOOSE(MONTH(N25),"Jan","Feb","Mar","Apr","May","Jun","Jul","Aug","Sep","Oct","Nov","Dec"))),IF(AND(N25="",T25&gt;0,TODAY()-T25&gt;=N(Settings!$C$6)),"No reply",IF(U25="","Waiting",IF(U25&lt;TODAY(),"Follow up",IF(U25-TODAY()&lt;=2,"Due "&amp;DAY(U25)&amp;" "&amp;CHOOSE(MONTH(U25),"Jan","Feb","Mar","Apr","May","Jun","Jul","Aug","Sep","Oct","Nov","Dec"),"Waiting"))))))))</f>
        <v/>
      </c>
      <c r="S25" s="1" t="n"/>
      <c r="T25">
        <f>MAX(N(J25),N(L25))</f>
        <v/>
      </c>
      <c r="U25">
        <f>IF(N25&lt;&gt;"",N25,IF(T25=0,"",T25+N(Settings!$C$5)))</f>
        <v/>
      </c>
      <c r="V25">
        <f>IF(AND(B25&lt;&gt;"",U25&lt;&gt;"",OR(R25="Follow up",LEFT(R25,3)="Due",R25="Waiting",LEFT(R25,5)="Apply",LEFT(R25,5)="Offer")),U25+ROW()/10000000,"")</f>
        <v/>
      </c>
      <c r="W25">
        <f>IF(B25="","",IF(M25&lt;&gt;"",M25,IF(OR(K25="",K25="Saved"),"Apply",IF(K25="Offer","Reply to the offer","Follow up"))))</f>
        <v/>
      </c>
    </row>
    <row r="26">
      <c r="A26" s="1" t="n"/>
      <c r="B26" s="21" t="inlineStr">
        <is>
          <t>Glimmerglass Energy</t>
        </is>
      </c>
      <c r="C26" s="22" t="inlineStr">
        <is>
          <t>UX Designer</t>
        </is>
      </c>
      <c r="D26" s="22" t="inlineStr">
        <is>
          <t>Remote</t>
        </is>
      </c>
      <c r="E26" s="22" t="inlineStr">
        <is>
          <t>glimmerglass.example/careers</t>
        </is>
      </c>
      <c r="F26" s="23" t="n">
        <v>90000</v>
      </c>
      <c r="G26" s="23" t="n">
        <v>100000</v>
      </c>
      <c r="H26" s="22" t="inlineStr">
        <is>
          <t>Job board</t>
        </is>
      </c>
      <c r="I26" s="24" t="n">
        <v>46291</v>
      </c>
      <c r="J26" s="24" t="n"/>
      <c r="K26" s="25" t="inlineStr">
        <is>
          <t>Saved</t>
        </is>
      </c>
      <c r="L26" s="24" t="n"/>
      <c r="M26" s="22" t="inlineStr">
        <is>
          <t>Apply</t>
        </is>
      </c>
      <c r="N26" s="24" t="n">
        <v>46298</v>
      </c>
      <c r="O26" s="25" t="inlineStr">
        <is>
          <t>Medium</t>
        </is>
      </c>
      <c r="P26" s="22" t="n"/>
      <c r="Q26" s="18">
        <f>IF(OR(B26="",J26=""),"",TODAY()-J26)</f>
        <v/>
      </c>
      <c r="R26" s="26">
        <f>IF(B26="","",IF(OR(K26="Accepted",K26="Rejected",K26="Withdrawn"),K26,IF(K26="Offer",IF(N26="","Offer","Offer, reply by "&amp;DAY(N26)&amp;" "&amp;CHOOSE(MONTH(N26),"Jan","Feb","Mar","Apr","May","Jun","Jul","Aug","Sep","Oct","Nov","Dec")),IF(OR(K26="",K26="Saved"),IF(N26="","To apply",IF(N26&lt;TODAY(),"Closing date passed","Apply by "&amp;DAY(N26)&amp;" "&amp;CHOOSE(MONTH(N26),"Jan","Feb","Mar","Apr","May","Jun","Jul","Aug","Sep","Oct","Nov","Dec"))),IF(AND(N26="",T26&gt;0,TODAY()-T26&gt;=N(Settings!$C$6)),"No reply",IF(U26="","Waiting",IF(U26&lt;TODAY(),"Follow up",IF(U26-TODAY()&lt;=2,"Due "&amp;DAY(U26)&amp;" "&amp;CHOOSE(MONTH(U26),"Jan","Feb","Mar","Apr","May","Jun","Jul","Aug","Sep","Oct","Nov","Dec"),"Waiting"))))))))</f>
        <v/>
      </c>
      <c r="S26" s="1" t="n"/>
      <c r="T26">
        <f>MAX(N(J26),N(L26))</f>
        <v/>
      </c>
      <c r="U26">
        <f>IF(N26&lt;&gt;"",N26,IF(T26=0,"",T26+N(Settings!$C$5)))</f>
        <v/>
      </c>
      <c r="V26">
        <f>IF(AND(B26&lt;&gt;"",U26&lt;&gt;"",OR(R26="Follow up",LEFT(R26,3)="Due",R26="Waiting",LEFT(R26,5)="Apply",LEFT(R26,5)="Offer")),U26+ROW()/10000000,"")</f>
        <v/>
      </c>
      <c r="W26">
        <f>IF(B26="","",IF(M26&lt;&gt;"",M26,IF(OR(K26="",K26="Saved"),"Apply",IF(K26="Offer","Reply to the offer","Follow up"))))</f>
        <v/>
      </c>
    </row>
    <row r="27">
      <c r="A27" s="1" t="n"/>
      <c r="B27" s="21" t="inlineStr">
        <is>
          <t>Pinecrest Studio</t>
        </is>
      </c>
      <c r="C27" s="22" t="inlineStr">
        <is>
          <t>Product Designer</t>
        </is>
      </c>
      <c r="D27" s="22" t="inlineStr">
        <is>
          <t>Remote</t>
        </is>
      </c>
      <c r="E27" s="22" t="inlineStr">
        <is>
          <t>pinecrest.example/jobs/2</t>
        </is>
      </c>
      <c r="F27" s="23" t="n">
        <v>88000</v>
      </c>
      <c r="G27" s="23" t="n">
        <v>99000</v>
      </c>
      <c r="H27" s="22" t="inlineStr">
        <is>
          <t>Company site</t>
        </is>
      </c>
      <c r="I27" s="24" t="n">
        <v>46292</v>
      </c>
      <c r="J27" s="24" t="n"/>
      <c r="K27" s="25" t="inlineStr">
        <is>
          <t>Saved</t>
        </is>
      </c>
      <c r="L27" s="24" t="n"/>
      <c r="M27" s="22" t="n"/>
      <c r="N27" s="24" t="n"/>
      <c r="O27" s="25" t="inlineStr">
        <is>
          <t>Medium</t>
        </is>
      </c>
      <c r="P27" s="22" t="n"/>
      <c r="Q27" s="18">
        <f>IF(OR(B27="",J27=""),"",TODAY()-J27)</f>
        <v/>
      </c>
      <c r="R27" s="26">
        <f>IF(B27="","",IF(OR(K27="Accepted",K27="Rejected",K27="Withdrawn"),K27,IF(K27="Offer",IF(N27="","Offer","Offer, reply by "&amp;DAY(N27)&amp;" "&amp;CHOOSE(MONTH(N27),"Jan","Feb","Mar","Apr","May","Jun","Jul","Aug","Sep","Oct","Nov","Dec")),IF(OR(K27="",K27="Saved"),IF(N27="","To apply",IF(N27&lt;TODAY(),"Closing date passed","Apply by "&amp;DAY(N27)&amp;" "&amp;CHOOSE(MONTH(N27),"Jan","Feb","Mar","Apr","May","Jun","Jul","Aug","Sep","Oct","Nov","Dec"))),IF(AND(N27="",T27&gt;0,TODAY()-T27&gt;=N(Settings!$C$6)),"No reply",IF(U27="","Waiting",IF(U27&lt;TODAY(),"Follow up",IF(U27-TODAY()&lt;=2,"Due "&amp;DAY(U27)&amp;" "&amp;CHOOSE(MONTH(U27),"Jan","Feb","Mar","Apr","May","Jun","Jul","Aug","Sep","Oct","Nov","Dec"),"Waiting"))))))))</f>
        <v/>
      </c>
      <c r="S27" s="1" t="n"/>
      <c r="T27">
        <f>MAX(N(J27),N(L27))</f>
        <v/>
      </c>
      <c r="U27">
        <f>IF(N27&lt;&gt;"",N27,IF(T27=0,"",T27+N(Settings!$C$5)))</f>
        <v/>
      </c>
      <c r="V27">
        <f>IF(AND(B27&lt;&gt;"",U27&lt;&gt;"",OR(R27="Follow up",LEFT(R27,3)="Due",R27="Waiting",LEFT(R27,5)="Apply",LEFT(R27,5)="Offer")),U27+ROW()/10000000,"")</f>
        <v/>
      </c>
      <c r="W27">
        <f>IF(B27="","",IF(M27&lt;&gt;"",M27,IF(OR(K27="",K27="Saved"),"Apply",IF(K27="Offer","Reply to the offer","Follow up"))))</f>
        <v/>
      </c>
    </row>
    <row r="28">
      <c r="A28" s="1" t="n"/>
      <c r="B28" s="21" t="inlineStr">
        <is>
          <t>Juniper Bank</t>
        </is>
      </c>
      <c r="C28" s="22" t="inlineStr">
        <is>
          <t>Product Designer</t>
        </is>
      </c>
      <c r="D28" s="22" t="inlineStr">
        <is>
          <t>Remote</t>
        </is>
      </c>
      <c r="E28" s="22" t="inlineStr">
        <is>
          <t>juniper.example/careers/8</t>
        </is>
      </c>
      <c r="F28" s="23" t="n">
        <v>95000</v>
      </c>
      <c r="G28" s="23" t="n">
        <v>108000</v>
      </c>
      <c r="H28" s="22" t="inlineStr">
        <is>
          <t>Recruiter</t>
        </is>
      </c>
      <c r="I28" s="24" t="n">
        <v>46292</v>
      </c>
      <c r="J28" s="24" t="n">
        <v>46293</v>
      </c>
      <c r="K28" s="25" t="inlineStr">
        <is>
          <t>Applied</t>
        </is>
      </c>
      <c r="L28" s="24" t="n"/>
      <c r="M28" s="22" t="n"/>
      <c r="N28" s="24" t="n"/>
      <c r="O28" s="25" t="inlineStr">
        <is>
          <t>High</t>
        </is>
      </c>
      <c r="P28" s="22" t="inlineStr">
        <is>
          <t>Owen Hart</t>
        </is>
      </c>
      <c r="Q28" s="18">
        <f>IF(OR(B28="",J28=""),"",TODAY()-J28)</f>
        <v/>
      </c>
      <c r="R28" s="26">
        <f>IF(B28="","",IF(OR(K28="Accepted",K28="Rejected",K28="Withdrawn"),K28,IF(K28="Offer",IF(N28="","Offer","Offer, reply by "&amp;DAY(N28)&amp;" "&amp;CHOOSE(MONTH(N28),"Jan","Feb","Mar","Apr","May","Jun","Jul","Aug","Sep","Oct","Nov","Dec")),IF(OR(K28="",K28="Saved"),IF(N28="","To apply",IF(N28&lt;TODAY(),"Closing date passed","Apply by "&amp;DAY(N28)&amp;" "&amp;CHOOSE(MONTH(N28),"Jan","Feb","Mar","Apr","May","Jun","Jul","Aug","Sep","Oct","Nov","Dec"))),IF(AND(N28="",T28&gt;0,TODAY()-T28&gt;=N(Settings!$C$6)),"No reply",IF(U28="","Waiting",IF(U28&lt;TODAY(),"Follow up",IF(U28-TODAY()&lt;=2,"Due "&amp;DAY(U28)&amp;" "&amp;CHOOSE(MONTH(U28),"Jan","Feb","Mar","Apr","May","Jun","Jul","Aug","Sep","Oct","Nov","Dec"),"Waiting"))))))))</f>
        <v/>
      </c>
      <c r="S28" s="1" t="n"/>
      <c r="T28">
        <f>MAX(N(J28),N(L28))</f>
        <v/>
      </c>
      <c r="U28">
        <f>IF(N28&lt;&gt;"",N28,IF(T28=0,"",T28+N(Settings!$C$5)))</f>
        <v/>
      </c>
      <c r="V28">
        <f>IF(AND(B28&lt;&gt;"",U28&lt;&gt;"",OR(R28="Follow up",LEFT(R28,3)="Due",R28="Waiting",LEFT(R28,5)="Apply",LEFT(R28,5)="Offer")),U28+ROW()/10000000,"")</f>
        <v/>
      </c>
      <c r="W28">
        <f>IF(B28="","",IF(M28&lt;&gt;"",M28,IF(OR(K28="",K28="Saved"),"Apply",IF(K28="Offer","Reply to the offer","Follow up"))))</f>
        <v/>
      </c>
    </row>
    <row r="29">
      <c r="A29" s="1" t="n"/>
      <c r="B29" s="21" t="n"/>
      <c r="C29" s="22" t="n"/>
      <c r="D29" s="22" t="n"/>
      <c r="E29" s="22" t="n"/>
      <c r="F29" s="23" t="n"/>
      <c r="G29" s="23" t="n"/>
      <c r="H29" s="22" t="n"/>
      <c r="I29" s="24" t="n"/>
      <c r="J29" s="24" t="n"/>
      <c r="K29" s="25" t="n"/>
      <c r="L29" s="24" t="n"/>
      <c r="M29" s="22" t="n"/>
      <c r="N29" s="24" t="n"/>
      <c r="O29" s="25" t="n"/>
      <c r="P29" s="22" t="n"/>
      <c r="Q29" s="18">
        <f>IF(OR(B29="",J29=""),"",TODAY()-J29)</f>
        <v/>
      </c>
      <c r="R29" s="26">
        <f>IF(B29="","",IF(OR(K29="Accepted",K29="Rejected",K29="Withdrawn"),K29,IF(K29="Offer",IF(N29="","Offer","Offer, reply by "&amp;DAY(N29)&amp;" "&amp;CHOOSE(MONTH(N29),"Jan","Feb","Mar","Apr","May","Jun","Jul","Aug","Sep","Oct","Nov","Dec")),IF(OR(K29="",K29="Saved"),IF(N29="","To apply",IF(N29&lt;TODAY(),"Closing date passed","Apply by "&amp;DAY(N29)&amp;" "&amp;CHOOSE(MONTH(N29),"Jan","Feb","Mar","Apr","May","Jun","Jul","Aug","Sep","Oct","Nov","Dec"))),IF(AND(N29="",T29&gt;0,TODAY()-T29&gt;=N(Settings!$C$6)),"No reply",IF(U29="","Waiting",IF(U29&lt;TODAY(),"Follow up",IF(U29-TODAY()&lt;=2,"Due "&amp;DAY(U29)&amp;" "&amp;CHOOSE(MONTH(U29),"Jan","Feb","Mar","Apr","May","Jun","Jul","Aug","Sep","Oct","Nov","Dec"),"Waiting"))))))))</f>
        <v/>
      </c>
      <c r="S29" s="1" t="n"/>
      <c r="T29">
        <f>MAX(N(J29),N(L29))</f>
        <v/>
      </c>
      <c r="U29">
        <f>IF(N29&lt;&gt;"",N29,IF(T29=0,"",T29+N(Settings!$C$5)))</f>
        <v/>
      </c>
      <c r="V29">
        <f>IF(AND(B29&lt;&gt;"",U29&lt;&gt;"",OR(R29="Follow up",LEFT(R29,3)="Due",R29="Waiting",LEFT(R29,5)="Apply",LEFT(R29,5)="Offer")),U29+ROW()/10000000,"")</f>
        <v/>
      </c>
      <c r="W29">
        <f>IF(B29="","",IF(M29&lt;&gt;"",M29,IF(OR(K29="",K29="Saved"),"Apply",IF(K29="Offer","Reply to the offer","Follow up"))))</f>
        <v/>
      </c>
    </row>
    <row r="30">
      <c r="A30" s="1" t="n"/>
      <c r="B30" s="21" t="n"/>
      <c r="C30" s="22" t="n"/>
      <c r="D30" s="22" t="n"/>
      <c r="E30" s="22" t="n"/>
      <c r="F30" s="23" t="n"/>
      <c r="G30" s="23" t="n"/>
      <c r="H30" s="22" t="n"/>
      <c r="I30" s="24" t="n"/>
      <c r="J30" s="24" t="n"/>
      <c r="K30" s="25" t="n"/>
      <c r="L30" s="24" t="n"/>
      <c r="M30" s="22" t="n"/>
      <c r="N30" s="24" t="n"/>
      <c r="O30" s="25" t="n"/>
      <c r="P30" s="22" t="n"/>
      <c r="Q30" s="18">
        <f>IF(OR(B30="",J30=""),"",TODAY()-J30)</f>
        <v/>
      </c>
      <c r="R30" s="26">
        <f>IF(B30="","",IF(OR(K30="Accepted",K30="Rejected",K30="Withdrawn"),K30,IF(K30="Offer",IF(N30="","Offer","Offer, reply by "&amp;DAY(N30)&amp;" "&amp;CHOOSE(MONTH(N30),"Jan","Feb","Mar","Apr","May","Jun","Jul","Aug","Sep","Oct","Nov","Dec")),IF(OR(K30="",K30="Saved"),IF(N30="","To apply",IF(N30&lt;TODAY(),"Closing date passed","Apply by "&amp;DAY(N30)&amp;" "&amp;CHOOSE(MONTH(N30),"Jan","Feb","Mar","Apr","May","Jun","Jul","Aug","Sep","Oct","Nov","Dec"))),IF(AND(N30="",T30&gt;0,TODAY()-T30&gt;=N(Settings!$C$6)),"No reply",IF(U30="","Waiting",IF(U30&lt;TODAY(),"Follow up",IF(U30-TODAY()&lt;=2,"Due "&amp;DAY(U30)&amp;" "&amp;CHOOSE(MONTH(U30),"Jan","Feb","Mar","Apr","May","Jun","Jul","Aug","Sep","Oct","Nov","Dec"),"Waiting"))))))))</f>
        <v/>
      </c>
      <c r="S30" s="1" t="n"/>
      <c r="T30">
        <f>MAX(N(J30),N(L30))</f>
        <v/>
      </c>
      <c r="U30">
        <f>IF(N30&lt;&gt;"",N30,IF(T30=0,"",T30+N(Settings!$C$5)))</f>
        <v/>
      </c>
      <c r="V30">
        <f>IF(AND(B30&lt;&gt;"",U30&lt;&gt;"",OR(R30="Follow up",LEFT(R30,3)="Due",R30="Waiting",LEFT(R30,5)="Apply",LEFT(R30,5)="Offer")),U30+ROW()/10000000,"")</f>
        <v/>
      </c>
      <c r="W30">
        <f>IF(B30="","",IF(M30&lt;&gt;"",M30,IF(OR(K30="",K30="Saved"),"Apply",IF(K30="Offer","Reply to the offer","Follow up"))))</f>
        <v/>
      </c>
    </row>
    <row r="31">
      <c r="A31" s="1" t="n"/>
      <c r="B31" s="21" t="n"/>
      <c r="C31" s="22" t="n"/>
      <c r="D31" s="22" t="n"/>
      <c r="E31" s="22" t="n"/>
      <c r="F31" s="23" t="n"/>
      <c r="G31" s="23" t="n"/>
      <c r="H31" s="22" t="n"/>
      <c r="I31" s="24" t="n"/>
      <c r="J31" s="24" t="n"/>
      <c r="K31" s="25" t="n"/>
      <c r="L31" s="24" t="n"/>
      <c r="M31" s="22" t="n"/>
      <c r="N31" s="24" t="n"/>
      <c r="O31" s="25" t="n"/>
      <c r="P31" s="22" t="n"/>
      <c r="Q31" s="18">
        <f>IF(OR(B31="",J31=""),"",TODAY()-J31)</f>
        <v/>
      </c>
      <c r="R31" s="26">
        <f>IF(B31="","",IF(OR(K31="Accepted",K31="Rejected",K31="Withdrawn"),K31,IF(K31="Offer",IF(N31="","Offer","Offer, reply by "&amp;DAY(N31)&amp;" "&amp;CHOOSE(MONTH(N31),"Jan","Feb","Mar","Apr","May","Jun","Jul","Aug","Sep","Oct","Nov","Dec")),IF(OR(K31="",K31="Saved"),IF(N31="","To apply",IF(N31&lt;TODAY(),"Closing date passed","Apply by "&amp;DAY(N31)&amp;" "&amp;CHOOSE(MONTH(N31),"Jan","Feb","Mar","Apr","May","Jun","Jul","Aug","Sep","Oct","Nov","Dec"))),IF(AND(N31="",T31&gt;0,TODAY()-T31&gt;=N(Settings!$C$6)),"No reply",IF(U31="","Waiting",IF(U31&lt;TODAY(),"Follow up",IF(U31-TODAY()&lt;=2,"Due "&amp;DAY(U31)&amp;" "&amp;CHOOSE(MONTH(U31),"Jan","Feb","Mar","Apr","May","Jun","Jul","Aug","Sep","Oct","Nov","Dec"),"Waiting"))))))))</f>
        <v/>
      </c>
      <c r="S31" s="1" t="n"/>
      <c r="T31">
        <f>MAX(N(J31),N(L31))</f>
        <v/>
      </c>
      <c r="U31">
        <f>IF(N31&lt;&gt;"",N31,IF(T31=0,"",T31+N(Settings!$C$5)))</f>
        <v/>
      </c>
      <c r="V31">
        <f>IF(AND(B31&lt;&gt;"",U31&lt;&gt;"",OR(R31="Follow up",LEFT(R31,3)="Due",R31="Waiting",LEFT(R31,5)="Apply",LEFT(R31,5)="Offer")),U31+ROW()/10000000,"")</f>
        <v/>
      </c>
      <c r="W31">
        <f>IF(B31="","",IF(M31&lt;&gt;"",M31,IF(OR(K31="",K31="Saved"),"Apply",IF(K31="Offer","Reply to the offer","Follow up"))))</f>
        <v/>
      </c>
    </row>
    <row r="32">
      <c r="A32" s="1" t="n"/>
      <c r="B32" s="21" t="n"/>
      <c r="C32" s="22" t="n"/>
      <c r="D32" s="22" t="n"/>
      <c r="E32" s="22" t="n"/>
      <c r="F32" s="23" t="n"/>
      <c r="G32" s="23" t="n"/>
      <c r="H32" s="22" t="n"/>
      <c r="I32" s="24" t="n"/>
      <c r="J32" s="24" t="n"/>
      <c r="K32" s="25" t="n"/>
      <c r="L32" s="24" t="n"/>
      <c r="M32" s="22" t="n"/>
      <c r="N32" s="24" t="n"/>
      <c r="O32" s="25" t="n"/>
      <c r="P32" s="22" t="n"/>
      <c r="Q32" s="18">
        <f>IF(OR(B32="",J32=""),"",TODAY()-J32)</f>
        <v/>
      </c>
      <c r="R32" s="26">
        <f>IF(B32="","",IF(OR(K32="Accepted",K32="Rejected",K32="Withdrawn"),K32,IF(K32="Offer",IF(N32="","Offer","Offer, reply by "&amp;DAY(N32)&amp;" "&amp;CHOOSE(MONTH(N32),"Jan","Feb","Mar","Apr","May","Jun","Jul","Aug","Sep","Oct","Nov","Dec")),IF(OR(K32="",K32="Saved"),IF(N32="","To apply",IF(N32&lt;TODAY(),"Closing date passed","Apply by "&amp;DAY(N32)&amp;" "&amp;CHOOSE(MONTH(N32),"Jan","Feb","Mar","Apr","May","Jun","Jul","Aug","Sep","Oct","Nov","Dec"))),IF(AND(N32="",T32&gt;0,TODAY()-T32&gt;=N(Settings!$C$6)),"No reply",IF(U32="","Waiting",IF(U32&lt;TODAY(),"Follow up",IF(U32-TODAY()&lt;=2,"Due "&amp;DAY(U32)&amp;" "&amp;CHOOSE(MONTH(U32),"Jan","Feb","Mar","Apr","May","Jun","Jul","Aug","Sep","Oct","Nov","Dec"),"Waiting"))))))))</f>
        <v/>
      </c>
      <c r="S32" s="1" t="n"/>
      <c r="T32">
        <f>MAX(N(J32),N(L32))</f>
        <v/>
      </c>
      <c r="U32">
        <f>IF(N32&lt;&gt;"",N32,IF(T32=0,"",T32+N(Settings!$C$5)))</f>
        <v/>
      </c>
      <c r="V32">
        <f>IF(AND(B32&lt;&gt;"",U32&lt;&gt;"",OR(R32="Follow up",LEFT(R32,3)="Due",R32="Waiting",LEFT(R32,5)="Apply",LEFT(R32,5)="Offer")),U32+ROW()/10000000,"")</f>
        <v/>
      </c>
      <c r="W32">
        <f>IF(B32="","",IF(M32&lt;&gt;"",M32,IF(OR(K32="",K32="Saved"),"Apply",IF(K32="Offer","Reply to the offer","Follow up"))))</f>
        <v/>
      </c>
    </row>
    <row r="33">
      <c r="A33" s="1" t="n"/>
      <c r="B33" s="21" t="n"/>
      <c r="C33" s="22" t="n"/>
      <c r="D33" s="22" t="n"/>
      <c r="E33" s="22" t="n"/>
      <c r="F33" s="23" t="n"/>
      <c r="G33" s="23" t="n"/>
      <c r="H33" s="22" t="n"/>
      <c r="I33" s="24" t="n"/>
      <c r="J33" s="24" t="n"/>
      <c r="K33" s="25" t="n"/>
      <c r="L33" s="24" t="n"/>
      <c r="M33" s="22" t="n"/>
      <c r="N33" s="24" t="n"/>
      <c r="O33" s="25" t="n"/>
      <c r="P33" s="22" t="n"/>
      <c r="Q33" s="18">
        <f>IF(OR(B33="",J33=""),"",TODAY()-J33)</f>
        <v/>
      </c>
      <c r="R33" s="26">
        <f>IF(B33="","",IF(OR(K33="Accepted",K33="Rejected",K33="Withdrawn"),K33,IF(K33="Offer",IF(N33="","Offer","Offer, reply by "&amp;DAY(N33)&amp;" "&amp;CHOOSE(MONTH(N33),"Jan","Feb","Mar","Apr","May","Jun","Jul","Aug","Sep","Oct","Nov","Dec")),IF(OR(K33="",K33="Saved"),IF(N33="","To apply",IF(N33&lt;TODAY(),"Closing date passed","Apply by "&amp;DAY(N33)&amp;" "&amp;CHOOSE(MONTH(N33),"Jan","Feb","Mar","Apr","May","Jun","Jul","Aug","Sep","Oct","Nov","Dec"))),IF(AND(N33="",T33&gt;0,TODAY()-T33&gt;=N(Settings!$C$6)),"No reply",IF(U33="","Waiting",IF(U33&lt;TODAY(),"Follow up",IF(U33-TODAY()&lt;=2,"Due "&amp;DAY(U33)&amp;" "&amp;CHOOSE(MONTH(U33),"Jan","Feb","Mar","Apr","May","Jun","Jul","Aug","Sep","Oct","Nov","Dec"),"Waiting"))))))))</f>
        <v/>
      </c>
      <c r="S33" s="1" t="n"/>
      <c r="T33">
        <f>MAX(N(J33),N(L33))</f>
        <v/>
      </c>
      <c r="U33">
        <f>IF(N33&lt;&gt;"",N33,IF(T33=0,"",T33+N(Settings!$C$5)))</f>
        <v/>
      </c>
      <c r="V33">
        <f>IF(AND(B33&lt;&gt;"",U33&lt;&gt;"",OR(R33="Follow up",LEFT(R33,3)="Due",R33="Waiting",LEFT(R33,5)="Apply",LEFT(R33,5)="Offer")),U33+ROW()/10000000,"")</f>
        <v/>
      </c>
      <c r="W33">
        <f>IF(B33="","",IF(M33&lt;&gt;"",M33,IF(OR(K33="",K33="Saved"),"Apply",IF(K33="Offer","Reply to the offer","Follow up"))))</f>
        <v/>
      </c>
    </row>
    <row r="34">
      <c r="A34" s="1" t="n"/>
      <c r="B34" s="21" t="n"/>
      <c r="C34" s="22" t="n"/>
      <c r="D34" s="22" t="n"/>
      <c r="E34" s="22" t="n"/>
      <c r="F34" s="23" t="n"/>
      <c r="G34" s="23" t="n"/>
      <c r="H34" s="22" t="n"/>
      <c r="I34" s="24" t="n"/>
      <c r="J34" s="24" t="n"/>
      <c r="K34" s="25" t="n"/>
      <c r="L34" s="24" t="n"/>
      <c r="M34" s="22" t="n"/>
      <c r="N34" s="24" t="n"/>
      <c r="O34" s="25" t="n"/>
      <c r="P34" s="22" t="n"/>
      <c r="Q34" s="18">
        <f>IF(OR(B34="",J34=""),"",TODAY()-J34)</f>
        <v/>
      </c>
      <c r="R34" s="26">
        <f>IF(B34="","",IF(OR(K34="Accepted",K34="Rejected",K34="Withdrawn"),K34,IF(K34="Offer",IF(N34="","Offer","Offer, reply by "&amp;DAY(N34)&amp;" "&amp;CHOOSE(MONTH(N34),"Jan","Feb","Mar","Apr","May","Jun","Jul","Aug","Sep","Oct","Nov","Dec")),IF(OR(K34="",K34="Saved"),IF(N34="","To apply",IF(N34&lt;TODAY(),"Closing date passed","Apply by "&amp;DAY(N34)&amp;" "&amp;CHOOSE(MONTH(N34),"Jan","Feb","Mar","Apr","May","Jun","Jul","Aug","Sep","Oct","Nov","Dec"))),IF(AND(N34="",T34&gt;0,TODAY()-T34&gt;=N(Settings!$C$6)),"No reply",IF(U34="","Waiting",IF(U34&lt;TODAY(),"Follow up",IF(U34-TODAY()&lt;=2,"Due "&amp;DAY(U34)&amp;" "&amp;CHOOSE(MONTH(U34),"Jan","Feb","Mar","Apr","May","Jun","Jul","Aug","Sep","Oct","Nov","Dec"),"Waiting"))))))))</f>
        <v/>
      </c>
      <c r="S34" s="1" t="n"/>
      <c r="T34">
        <f>MAX(N(J34),N(L34))</f>
        <v/>
      </c>
      <c r="U34">
        <f>IF(N34&lt;&gt;"",N34,IF(T34=0,"",T34+N(Settings!$C$5)))</f>
        <v/>
      </c>
      <c r="V34">
        <f>IF(AND(B34&lt;&gt;"",U34&lt;&gt;"",OR(R34="Follow up",LEFT(R34,3)="Due",R34="Waiting",LEFT(R34,5)="Apply",LEFT(R34,5)="Offer")),U34+ROW()/10000000,"")</f>
        <v/>
      </c>
      <c r="W34">
        <f>IF(B34="","",IF(M34&lt;&gt;"",M34,IF(OR(K34="",K34="Saved"),"Apply",IF(K34="Offer","Reply to the offer","Follow up"))))</f>
        <v/>
      </c>
    </row>
    <row r="35">
      <c r="A35" s="1" t="n"/>
      <c r="B35" s="21" t="n"/>
      <c r="C35" s="22" t="n"/>
      <c r="D35" s="22" t="n"/>
      <c r="E35" s="22" t="n"/>
      <c r="F35" s="23" t="n"/>
      <c r="G35" s="23" t="n"/>
      <c r="H35" s="22" t="n"/>
      <c r="I35" s="24" t="n"/>
      <c r="J35" s="24" t="n"/>
      <c r="K35" s="25" t="n"/>
      <c r="L35" s="24" t="n"/>
      <c r="M35" s="22" t="n"/>
      <c r="N35" s="24" t="n"/>
      <c r="O35" s="25" t="n"/>
      <c r="P35" s="22" t="n"/>
      <c r="Q35" s="18">
        <f>IF(OR(B35="",J35=""),"",TODAY()-J35)</f>
        <v/>
      </c>
      <c r="R35" s="26">
        <f>IF(B35="","",IF(OR(K35="Accepted",K35="Rejected",K35="Withdrawn"),K35,IF(K35="Offer",IF(N35="","Offer","Offer, reply by "&amp;DAY(N35)&amp;" "&amp;CHOOSE(MONTH(N35),"Jan","Feb","Mar","Apr","May","Jun","Jul","Aug","Sep","Oct","Nov","Dec")),IF(OR(K35="",K35="Saved"),IF(N35="","To apply",IF(N35&lt;TODAY(),"Closing date passed","Apply by "&amp;DAY(N35)&amp;" "&amp;CHOOSE(MONTH(N35),"Jan","Feb","Mar","Apr","May","Jun","Jul","Aug","Sep","Oct","Nov","Dec"))),IF(AND(N35="",T35&gt;0,TODAY()-T35&gt;=N(Settings!$C$6)),"No reply",IF(U35="","Waiting",IF(U35&lt;TODAY(),"Follow up",IF(U35-TODAY()&lt;=2,"Due "&amp;DAY(U35)&amp;" "&amp;CHOOSE(MONTH(U35),"Jan","Feb","Mar","Apr","May","Jun","Jul","Aug","Sep","Oct","Nov","Dec"),"Waiting"))))))))</f>
        <v/>
      </c>
      <c r="S35" s="1" t="n"/>
      <c r="T35">
        <f>MAX(N(J35),N(L35))</f>
        <v/>
      </c>
      <c r="U35">
        <f>IF(N35&lt;&gt;"",N35,IF(T35=0,"",T35+N(Settings!$C$5)))</f>
        <v/>
      </c>
      <c r="V35">
        <f>IF(AND(B35&lt;&gt;"",U35&lt;&gt;"",OR(R35="Follow up",LEFT(R35,3)="Due",R35="Waiting",LEFT(R35,5)="Apply",LEFT(R35,5)="Offer")),U35+ROW()/10000000,"")</f>
        <v/>
      </c>
      <c r="W35">
        <f>IF(B35="","",IF(M35&lt;&gt;"",M35,IF(OR(K35="",K35="Saved"),"Apply",IF(K35="Offer","Reply to the offer","Follow up"))))</f>
        <v/>
      </c>
    </row>
    <row r="36">
      <c r="A36" s="1" t="n"/>
      <c r="B36" s="21" t="n"/>
      <c r="C36" s="22" t="n"/>
      <c r="D36" s="22" t="n"/>
      <c r="E36" s="22" t="n"/>
      <c r="F36" s="23" t="n"/>
      <c r="G36" s="23" t="n"/>
      <c r="H36" s="22" t="n"/>
      <c r="I36" s="24" t="n"/>
      <c r="J36" s="24" t="n"/>
      <c r="K36" s="25" t="n"/>
      <c r="L36" s="24" t="n"/>
      <c r="M36" s="22" t="n"/>
      <c r="N36" s="24" t="n"/>
      <c r="O36" s="25" t="n"/>
      <c r="P36" s="22" t="n"/>
      <c r="Q36" s="18">
        <f>IF(OR(B36="",J36=""),"",TODAY()-J36)</f>
        <v/>
      </c>
      <c r="R36" s="26">
        <f>IF(B36="","",IF(OR(K36="Accepted",K36="Rejected",K36="Withdrawn"),K36,IF(K36="Offer",IF(N36="","Offer","Offer, reply by "&amp;DAY(N36)&amp;" "&amp;CHOOSE(MONTH(N36),"Jan","Feb","Mar","Apr","May","Jun","Jul","Aug","Sep","Oct","Nov","Dec")),IF(OR(K36="",K36="Saved"),IF(N36="","To apply",IF(N36&lt;TODAY(),"Closing date passed","Apply by "&amp;DAY(N36)&amp;" "&amp;CHOOSE(MONTH(N36),"Jan","Feb","Mar","Apr","May","Jun","Jul","Aug","Sep","Oct","Nov","Dec"))),IF(AND(N36="",T36&gt;0,TODAY()-T36&gt;=N(Settings!$C$6)),"No reply",IF(U36="","Waiting",IF(U36&lt;TODAY(),"Follow up",IF(U36-TODAY()&lt;=2,"Due "&amp;DAY(U36)&amp;" "&amp;CHOOSE(MONTH(U36),"Jan","Feb","Mar","Apr","May","Jun","Jul","Aug","Sep","Oct","Nov","Dec"),"Waiting"))))))))</f>
        <v/>
      </c>
      <c r="S36" s="1" t="n"/>
      <c r="T36">
        <f>MAX(N(J36),N(L36))</f>
        <v/>
      </c>
      <c r="U36">
        <f>IF(N36&lt;&gt;"",N36,IF(T36=0,"",T36+N(Settings!$C$5)))</f>
        <v/>
      </c>
      <c r="V36">
        <f>IF(AND(B36&lt;&gt;"",U36&lt;&gt;"",OR(R36="Follow up",LEFT(R36,3)="Due",R36="Waiting",LEFT(R36,5)="Apply",LEFT(R36,5)="Offer")),U36+ROW()/10000000,"")</f>
        <v/>
      </c>
      <c r="W36">
        <f>IF(B36="","",IF(M36&lt;&gt;"",M36,IF(OR(K36="",K36="Saved"),"Apply",IF(K36="Offer","Reply to the offer","Follow up"))))</f>
        <v/>
      </c>
    </row>
    <row r="37">
      <c r="A37" s="1" t="n"/>
      <c r="B37" s="21" t="n"/>
      <c r="C37" s="22" t="n"/>
      <c r="D37" s="22" t="n"/>
      <c r="E37" s="22" t="n"/>
      <c r="F37" s="23" t="n"/>
      <c r="G37" s="23" t="n"/>
      <c r="H37" s="22" t="n"/>
      <c r="I37" s="24" t="n"/>
      <c r="J37" s="24" t="n"/>
      <c r="K37" s="25" t="n"/>
      <c r="L37" s="24" t="n"/>
      <c r="M37" s="22" t="n"/>
      <c r="N37" s="24" t="n"/>
      <c r="O37" s="25" t="n"/>
      <c r="P37" s="22" t="n"/>
      <c r="Q37" s="18">
        <f>IF(OR(B37="",J37=""),"",TODAY()-J37)</f>
        <v/>
      </c>
      <c r="R37" s="26">
        <f>IF(B37="","",IF(OR(K37="Accepted",K37="Rejected",K37="Withdrawn"),K37,IF(K37="Offer",IF(N37="","Offer","Offer, reply by "&amp;DAY(N37)&amp;" "&amp;CHOOSE(MONTH(N37),"Jan","Feb","Mar","Apr","May","Jun","Jul","Aug","Sep","Oct","Nov","Dec")),IF(OR(K37="",K37="Saved"),IF(N37="","To apply",IF(N37&lt;TODAY(),"Closing date passed","Apply by "&amp;DAY(N37)&amp;" "&amp;CHOOSE(MONTH(N37),"Jan","Feb","Mar","Apr","May","Jun","Jul","Aug","Sep","Oct","Nov","Dec"))),IF(AND(N37="",T37&gt;0,TODAY()-T37&gt;=N(Settings!$C$6)),"No reply",IF(U37="","Waiting",IF(U37&lt;TODAY(),"Follow up",IF(U37-TODAY()&lt;=2,"Due "&amp;DAY(U37)&amp;" "&amp;CHOOSE(MONTH(U37),"Jan","Feb","Mar","Apr","May","Jun","Jul","Aug","Sep","Oct","Nov","Dec"),"Waiting"))))))))</f>
        <v/>
      </c>
      <c r="S37" s="1" t="n"/>
      <c r="T37">
        <f>MAX(N(J37),N(L37))</f>
        <v/>
      </c>
      <c r="U37">
        <f>IF(N37&lt;&gt;"",N37,IF(T37=0,"",T37+N(Settings!$C$5)))</f>
        <v/>
      </c>
      <c r="V37">
        <f>IF(AND(B37&lt;&gt;"",U37&lt;&gt;"",OR(R37="Follow up",LEFT(R37,3)="Due",R37="Waiting",LEFT(R37,5)="Apply",LEFT(R37,5)="Offer")),U37+ROW()/10000000,"")</f>
        <v/>
      </c>
      <c r="W37">
        <f>IF(B37="","",IF(M37&lt;&gt;"",M37,IF(OR(K37="",K37="Saved"),"Apply",IF(K37="Offer","Reply to the offer","Follow up"))))</f>
        <v/>
      </c>
    </row>
    <row r="38">
      <c r="A38" s="1" t="n"/>
      <c r="B38" s="21" t="n"/>
      <c r="C38" s="22" t="n"/>
      <c r="D38" s="22" t="n"/>
      <c r="E38" s="22" t="n"/>
      <c r="F38" s="23" t="n"/>
      <c r="G38" s="23" t="n"/>
      <c r="H38" s="22" t="n"/>
      <c r="I38" s="24" t="n"/>
      <c r="J38" s="24" t="n"/>
      <c r="K38" s="25" t="n"/>
      <c r="L38" s="24" t="n"/>
      <c r="M38" s="22" t="n"/>
      <c r="N38" s="24" t="n"/>
      <c r="O38" s="25" t="n"/>
      <c r="P38" s="22" t="n"/>
      <c r="Q38" s="18">
        <f>IF(OR(B38="",J38=""),"",TODAY()-J38)</f>
        <v/>
      </c>
      <c r="R38" s="26">
        <f>IF(B38="","",IF(OR(K38="Accepted",K38="Rejected",K38="Withdrawn"),K38,IF(K38="Offer",IF(N38="","Offer","Offer, reply by "&amp;DAY(N38)&amp;" "&amp;CHOOSE(MONTH(N38),"Jan","Feb","Mar","Apr","May","Jun","Jul","Aug","Sep","Oct","Nov","Dec")),IF(OR(K38="",K38="Saved"),IF(N38="","To apply",IF(N38&lt;TODAY(),"Closing date passed","Apply by "&amp;DAY(N38)&amp;" "&amp;CHOOSE(MONTH(N38),"Jan","Feb","Mar","Apr","May","Jun","Jul","Aug","Sep","Oct","Nov","Dec"))),IF(AND(N38="",T38&gt;0,TODAY()-T38&gt;=N(Settings!$C$6)),"No reply",IF(U38="","Waiting",IF(U38&lt;TODAY(),"Follow up",IF(U38-TODAY()&lt;=2,"Due "&amp;DAY(U38)&amp;" "&amp;CHOOSE(MONTH(U38),"Jan","Feb","Mar","Apr","May","Jun","Jul","Aug","Sep","Oct","Nov","Dec"),"Waiting"))))))))</f>
        <v/>
      </c>
      <c r="S38" s="1" t="n"/>
      <c r="T38">
        <f>MAX(N(J38),N(L38))</f>
        <v/>
      </c>
      <c r="U38">
        <f>IF(N38&lt;&gt;"",N38,IF(T38=0,"",T38+N(Settings!$C$5)))</f>
        <v/>
      </c>
      <c r="V38">
        <f>IF(AND(B38&lt;&gt;"",U38&lt;&gt;"",OR(R38="Follow up",LEFT(R38,3)="Due",R38="Waiting",LEFT(R38,5)="Apply",LEFT(R38,5)="Offer")),U38+ROW()/10000000,"")</f>
        <v/>
      </c>
      <c r="W38">
        <f>IF(B38="","",IF(M38&lt;&gt;"",M38,IF(OR(K38="",K38="Saved"),"Apply",IF(K38="Offer","Reply to the offer","Follow up"))))</f>
        <v/>
      </c>
    </row>
    <row r="39">
      <c r="A39" s="1" t="n"/>
      <c r="B39" s="21" t="n"/>
      <c r="C39" s="22" t="n"/>
      <c r="D39" s="22" t="n"/>
      <c r="E39" s="22" t="n"/>
      <c r="F39" s="23" t="n"/>
      <c r="G39" s="23" t="n"/>
      <c r="H39" s="22" t="n"/>
      <c r="I39" s="24" t="n"/>
      <c r="J39" s="24" t="n"/>
      <c r="K39" s="25" t="n"/>
      <c r="L39" s="24" t="n"/>
      <c r="M39" s="22" t="n"/>
      <c r="N39" s="24" t="n"/>
      <c r="O39" s="25" t="n"/>
      <c r="P39" s="22" t="n"/>
      <c r="Q39" s="18">
        <f>IF(OR(B39="",J39=""),"",TODAY()-J39)</f>
        <v/>
      </c>
      <c r="R39" s="26">
        <f>IF(B39="","",IF(OR(K39="Accepted",K39="Rejected",K39="Withdrawn"),K39,IF(K39="Offer",IF(N39="","Offer","Offer, reply by "&amp;DAY(N39)&amp;" "&amp;CHOOSE(MONTH(N39),"Jan","Feb","Mar","Apr","May","Jun","Jul","Aug","Sep","Oct","Nov","Dec")),IF(OR(K39="",K39="Saved"),IF(N39="","To apply",IF(N39&lt;TODAY(),"Closing date passed","Apply by "&amp;DAY(N39)&amp;" "&amp;CHOOSE(MONTH(N39),"Jan","Feb","Mar","Apr","May","Jun","Jul","Aug","Sep","Oct","Nov","Dec"))),IF(AND(N39="",T39&gt;0,TODAY()-T39&gt;=N(Settings!$C$6)),"No reply",IF(U39="","Waiting",IF(U39&lt;TODAY(),"Follow up",IF(U39-TODAY()&lt;=2,"Due "&amp;DAY(U39)&amp;" "&amp;CHOOSE(MONTH(U39),"Jan","Feb","Mar","Apr","May","Jun","Jul","Aug","Sep","Oct","Nov","Dec"),"Waiting"))))))))</f>
        <v/>
      </c>
      <c r="S39" s="1" t="n"/>
      <c r="T39">
        <f>MAX(N(J39),N(L39))</f>
        <v/>
      </c>
      <c r="U39">
        <f>IF(N39&lt;&gt;"",N39,IF(T39=0,"",T39+N(Settings!$C$5)))</f>
        <v/>
      </c>
      <c r="V39">
        <f>IF(AND(B39&lt;&gt;"",U39&lt;&gt;"",OR(R39="Follow up",LEFT(R39,3)="Due",R39="Waiting",LEFT(R39,5)="Apply",LEFT(R39,5)="Offer")),U39+ROW()/10000000,"")</f>
        <v/>
      </c>
      <c r="W39">
        <f>IF(B39="","",IF(M39&lt;&gt;"",M39,IF(OR(K39="",K39="Saved"),"Apply",IF(K39="Offer","Reply to the offer","Follow up"))))</f>
        <v/>
      </c>
    </row>
    <row r="40">
      <c r="A40" s="1" t="n"/>
      <c r="B40" s="21" t="n"/>
      <c r="C40" s="22" t="n"/>
      <c r="D40" s="22" t="n"/>
      <c r="E40" s="22" t="n"/>
      <c r="F40" s="23" t="n"/>
      <c r="G40" s="23" t="n"/>
      <c r="H40" s="22" t="n"/>
      <c r="I40" s="24" t="n"/>
      <c r="J40" s="24" t="n"/>
      <c r="K40" s="25" t="n"/>
      <c r="L40" s="24" t="n"/>
      <c r="M40" s="22" t="n"/>
      <c r="N40" s="24" t="n"/>
      <c r="O40" s="25" t="n"/>
      <c r="P40" s="22" t="n"/>
      <c r="Q40" s="18">
        <f>IF(OR(B40="",J40=""),"",TODAY()-J40)</f>
        <v/>
      </c>
      <c r="R40" s="26">
        <f>IF(B40="","",IF(OR(K40="Accepted",K40="Rejected",K40="Withdrawn"),K40,IF(K40="Offer",IF(N40="","Offer","Offer, reply by "&amp;DAY(N40)&amp;" "&amp;CHOOSE(MONTH(N40),"Jan","Feb","Mar","Apr","May","Jun","Jul","Aug","Sep","Oct","Nov","Dec")),IF(OR(K40="",K40="Saved"),IF(N40="","To apply",IF(N40&lt;TODAY(),"Closing date passed","Apply by "&amp;DAY(N40)&amp;" "&amp;CHOOSE(MONTH(N40),"Jan","Feb","Mar","Apr","May","Jun","Jul","Aug","Sep","Oct","Nov","Dec"))),IF(AND(N40="",T40&gt;0,TODAY()-T40&gt;=N(Settings!$C$6)),"No reply",IF(U40="","Waiting",IF(U40&lt;TODAY(),"Follow up",IF(U40-TODAY()&lt;=2,"Due "&amp;DAY(U40)&amp;" "&amp;CHOOSE(MONTH(U40),"Jan","Feb","Mar","Apr","May","Jun","Jul","Aug","Sep","Oct","Nov","Dec"),"Waiting"))))))))</f>
        <v/>
      </c>
      <c r="S40" s="1" t="n"/>
      <c r="T40">
        <f>MAX(N(J40),N(L40))</f>
        <v/>
      </c>
      <c r="U40">
        <f>IF(N40&lt;&gt;"",N40,IF(T40=0,"",T40+N(Settings!$C$5)))</f>
        <v/>
      </c>
      <c r="V40">
        <f>IF(AND(B40&lt;&gt;"",U40&lt;&gt;"",OR(R40="Follow up",LEFT(R40,3)="Due",R40="Waiting",LEFT(R40,5)="Apply",LEFT(R40,5)="Offer")),U40+ROW()/10000000,"")</f>
        <v/>
      </c>
      <c r="W40">
        <f>IF(B40="","",IF(M40&lt;&gt;"",M40,IF(OR(K40="",K40="Saved"),"Apply",IF(K40="Offer","Reply to the offer","Follow up"))))</f>
        <v/>
      </c>
    </row>
    <row r="41">
      <c r="A41" s="1" t="n"/>
      <c r="B41" s="21" t="n"/>
      <c r="C41" s="22" t="n"/>
      <c r="D41" s="22" t="n"/>
      <c r="E41" s="22" t="n"/>
      <c r="F41" s="23" t="n"/>
      <c r="G41" s="23" t="n"/>
      <c r="H41" s="22" t="n"/>
      <c r="I41" s="24" t="n"/>
      <c r="J41" s="24" t="n"/>
      <c r="K41" s="25" t="n"/>
      <c r="L41" s="24" t="n"/>
      <c r="M41" s="22" t="n"/>
      <c r="N41" s="24" t="n"/>
      <c r="O41" s="25" t="n"/>
      <c r="P41" s="22" t="n"/>
      <c r="Q41" s="18">
        <f>IF(OR(B41="",J41=""),"",TODAY()-J41)</f>
        <v/>
      </c>
      <c r="R41" s="26">
        <f>IF(B41="","",IF(OR(K41="Accepted",K41="Rejected",K41="Withdrawn"),K41,IF(K41="Offer",IF(N41="","Offer","Offer, reply by "&amp;DAY(N41)&amp;" "&amp;CHOOSE(MONTH(N41),"Jan","Feb","Mar","Apr","May","Jun","Jul","Aug","Sep","Oct","Nov","Dec")),IF(OR(K41="",K41="Saved"),IF(N41="","To apply",IF(N41&lt;TODAY(),"Closing date passed","Apply by "&amp;DAY(N41)&amp;" "&amp;CHOOSE(MONTH(N41),"Jan","Feb","Mar","Apr","May","Jun","Jul","Aug","Sep","Oct","Nov","Dec"))),IF(AND(N41="",T41&gt;0,TODAY()-T41&gt;=N(Settings!$C$6)),"No reply",IF(U41="","Waiting",IF(U41&lt;TODAY(),"Follow up",IF(U41-TODAY()&lt;=2,"Due "&amp;DAY(U41)&amp;" "&amp;CHOOSE(MONTH(U41),"Jan","Feb","Mar","Apr","May","Jun","Jul","Aug","Sep","Oct","Nov","Dec"),"Waiting"))))))))</f>
        <v/>
      </c>
      <c r="S41" s="1" t="n"/>
      <c r="T41">
        <f>MAX(N(J41),N(L41))</f>
        <v/>
      </c>
      <c r="U41">
        <f>IF(N41&lt;&gt;"",N41,IF(T41=0,"",T41+N(Settings!$C$5)))</f>
        <v/>
      </c>
      <c r="V41">
        <f>IF(AND(B41&lt;&gt;"",U41&lt;&gt;"",OR(R41="Follow up",LEFT(R41,3)="Due",R41="Waiting",LEFT(R41,5)="Apply",LEFT(R41,5)="Offer")),U41+ROW()/10000000,"")</f>
        <v/>
      </c>
      <c r="W41">
        <f>IF(B41="","",IF(M41&lt;&gt;"",M41,IF(OR(K41="",K41="Saved"),"Apply",IF(K41="Offer","Reply to the offer","Follow up"))))</f>
        <v/>
      </c>
    </row>
    <row r="42">
      <c r="A42" s="1" t="n"/>
      <c r="B42" s="21" t="n"/>
      <c r="C42" s="22" t="n"/>
      <c r="D42" s="22" t="n"/>
      <c r="E42" s="22" t="n"/>
      <c r="F42" s="23" t="n"/>
      <c r="G42" s="23" t="n"/>
      <c r="H42" s="22" t="n"/>
      <c r="I42" s="24" t="n"/>
      <c r="J42" s="24" t="n"/>
      <c r="K42" s="25" t="n"/>
      <c r="L42" s="24" t="n"/>
      <c r="M42" s="22" t="n"/>
      <c r="N42" s="24" t="n"/>
      <c r="O42" s="25" t="n"/>
      <c r="P42" s="22" t="n"/>
      <c r="Q42" s="18">
        <f>IF(OR(B42="",J42=""),"",TODAY()-J42)</f>
        <v/>
      </c>
      <c r="R42" s="26">
        <f>IF(B42="","",IF(OR(K42="Accepted",K42="Rejected",K42="Withdrawn"),K42,IF(K42="Offer",IF(N42="","Offer","Offer, reply by "&amp;DAY(N42)&amp;" "&amp;CHOOSE(MONTH(N42),"Jan","Feb","Mar","Apr","May","Jun","Jul","Aug","Sep","Oct","Nov","Dec")),IF(OR(K42="",K42="Saved"),IF(N42="","To apply",IF(N42&lt;TODAY(),"Closing date passed","Apply by "&amp;DAY(N42)&amp;" "&amp;CHOOSE(MONTH(N42),"Jan","Feb","Mar","Apr","May","Jun","Jul","Aug","Sep","Oct","Nov","Dec"))),IF(AND(N42="",T42&gt;0,TODAY()-T42&gt;=N(Settings!$C$6)),"No reply",IF(U42="","Waiting",IF(U42&lt;TODAY(),"Follow up",IF(U42-TODAY()&lt;=2,"Due "&amp;DAY(U42)&amp;" "&amp;CHOOSE(MONTH(U42),"Jan","Feb","Mar","Apr","May","Jun","Jul","Aug","Sep","Oct","Nov","Dec"),"Waiting"))))))))</f>
        <v/>
      </c>
      <c r="S42" s="1" t="n"/>
      <c r="T42">
        <f>MAX(N(J42),N(L42))</f>
        <v/>
      </c>
      <c r="U42">
        <f>IF(N42&lt;&gt;"",N42,IF(T42=0,"",T42+N(Settings!$C$5)))</f>
        <v/>
      </c>
      <c r="V42">
        <f>IF(AND(B42&lt;&gt;"",U42&lt;&gt;"",OR(R42="Follow up",LEFT(R42,3)="Due",R42="Waiting",LEFT(R42,5)="Apply",LEFT(R42,5)="Offer")),U42+ROW()/10000000,"")</f>
        <v/>
      </c>
      <c r="W42">
        <f>IF(B42="","",IF(M42&lt;&gt;"",M42,IF(OR(K42="",K42="Saved"),"Apply",IF(K42="Offer","Reply to the offer","Follow up"))))</f>
        <v/>
      </c>
    </row>
    <row r="43">
      <c r="A43" s="1" t="n"/>
      <c r="B43" s="21" t="n"/>
      <c r="C43" s="22" t="n"/>
      <c r="D43" s="22" t="n"/>
      <c r="E43" s="22" t="n"/>
      <c r="F43" s="23" t="n"/>
      <c r="G43" s="23" t="n"/>
      <c r="H43" s="22" t="n"/>
      <c r="I43" s="24" t="n"/>
      <c r="J43" s="24" t="n"/>
      <c r="K43" s="25" t="n"/>
      <c r="L43" s="24" t="n"/>
      <c r="M43" s="22" t="n"/>
      <c r="N43" s="24" t="n"/>
      <c r="O43" s="25" t="n"/>
      <c r="P43" s="22" t="n"/>
      <c r="Q43" s="18">
        <f>IF(OR(B43="",J43=""),"",TODAY()-J43)</f>
        <v/>
      </c>
      <c r="R43" s="26">
        <f>IF(B43="","",IF(OR(K43="Accepted",K43="Rejected",K43="Withdrawn"),K43,IF(K43="Offer",IF(N43="","Offer","Offer, reply by "&amp;DAY(N43)&amp;" "&amp;CHOOSE(MONTH(N43),"Jan","Feb","Mar","Apr","May","Jun","Jul","Aug","Sep","Oct","Nov","Dec")),IF(OR(K43="",K43="Saved"),IF(N43="","To apply",IF(N43&lt;TODAY(),"Closing date passed","Apply by "&amp;DAY(N43)&amp;" "&amp;CHOOSE(MONTH(N43),"Jan","Feb","Mar","Apr","May","Jun","Jul","Aug","Sep","Oct","Nov","Dec"))),IF(AND(N43="",T43&gt;0,TODAY()-T43&gt;=N(Settings!$C$6)),"No reply",IF(U43="","Waiting",IF(U43&lt;TODAY(),"Follow up",IF(U43-TODAY()&lt;=2,"Due "&amp;DAY(U43)&amp;" "&amp;CHOOSE(MONTH(U43),"Jan","Feb","Mar","Apr","May","Jun","Jul","Aug","Sep","Oct","Nov","Dec"),"Waiting"))))))))</f>
        <v/>
      </c>
      <c r="S43" s="1" t="n"/>
      <c r="T43">
        <f>MAX(N(J43),N(L43))</f>
        <v/>
      </c>
      <c r="U43">
        <f>IF(N43&lt;&gt;"",N43,IF(T43=0,"",T43+N(Settings!$C$5)))</f>
        <v/>
      </c>
      <c r="V43">
        <f>IF(AND(B43&lt;&gt;"",U43&lt;&gt;"",OR(R43="Follow up",LEFT(R43,3)="Due",R43="Waiting",LEFT(R43,5)="Apply",LEFT(R43,5)="Offer")),U43+ROW()/10000000,"")</f>
        <v/>
      </c>
      <c r="W43">
        <f>IF(B43="","",IF(M43&lt;&gt;"",M43,IF(OR(K43="",K43="Saved"),"Apply",IF(K43="Offer","Reply to the offer","Follow up"))))</f>
        <v/>
      </c>
    </row>
    <row r="44">
      <c r="A44" s="1" t="n"/>
      <c r="B44" s="21" t="n"/>
      <c r="C44" s="22" t="n"/>
      <c r="D44" s="22" t="n"/>
      <c r="E44" s="22" t="n"/>
      <c r="F44" s="23" t="n"/>
      <c r="G44" s="23" t="n"/>
      <c r="H44" s="22" t="n"/>
      <c r="I44" s="24" t="n"/>
      <c r="J44" s="24" t="n"/>
      <c r="K44" s="25" t="n"/>
      <c r="L44" s="24" t="n"/>
      <c r="M44" s="22" t="n"/>
      <c r="N44" s="24" t="n"/>
      <c r="O44" s="25" t="n"/>
      <c r="P44" s="22" t="n"/>
      <c r="Q44" s="18">
        <f>IF(OR(B44="",J44=""),"",TODAY()-J44)</f>
        <v/>
      </c>
      <c r="R44" s="26">
        <f>IF(B44="","",IF(OR(K44="Accepted",K44="Rejected",K44="Withdrawn"),K44,IF(K44="Offer",IF(N44="","Offer","Offer, reply by "&amp;DAY(N44)&amp;" "&amp;CHOOSE(MONTH(N44),"Jan","Feb","Mar","Apr","May","Jun","Jul","Aug","Sep","Oct","Nov","Dec")),IF(OR(K44="",K44="Saved"),IF(N44="","To apply",IF(N44&lt;TODAY(),"Closing date passed","Apply by "&amp;DAY(N44)&amp;" "&amp;CHOOSE(MONTH(N44),"Jan","Feb","Mar","Apr","May","Jun","Jul","Aug","Sep","Oct","Nov","Dec"))),IF(AND(N44="",T44&gt;0,TODAY()-T44&gt;=N(Settings!$C$6)),"No reply",IF(U44="","Waiting",IF(U44&lt;TODAY(),"Follow up",IF(U44-TODAY()&lt;=2,"Due "&amp;DAY(U44)&amp;" "&amp;CHOOSE(MONTH(U44),"Jan","Feb","Mar","Apr","May","Jun","Jul","Aug","Sep","Oct","Nov","Dec"),"Waiting"))))))))</f>
        <v/>
      </c>
      <c r="S44" s="1" t="n"/>
      <c r="T44">
        <f>MAX(N(J44),N(L44))</f>
        <v/>
      </c>
      <c r="U44">
        <f>IF(N44&lt;&gt;"",N44,IF(T44=0,"",T44+N(Settings!$C$5)))</f>
        <v/>
      </c>
      <c r="V44">
        <f>IF(AND(B44&lt;&gt;"",U44&lt;&gt;"",OR(R44="Follow up",LEFT(R44,3)="Due",R44="Waiting",LEFT(R44,5)="Apply",LEFT(R44,5)="Offer")),U44+ROW()/10000000,"")</f>
        <v/>
      </c>
      <c r="W44">
        <f>IF(B44="","",IF(M44&lt;&gt;"",M44,IF(OR(K44="",K44="Saved"),"Apply",IF(K44="Offer","Reply to the offer","Follow up"))))</f>
        <v/>
      </c>
    </row>
    <row r="45">
      <c r="A45" s="1" t="n"/>
      <c r="B45" s="21" t="n"/>
      <c r="C45" s="22" t="n"/>
      <c r="D45" s="22" t="n"/>
      <c r="E45" s="22" t="n"/>
      <c r="F45" s="23" t="n"/>
      <c r="G45" s="23" t="n"/>
      <c r="H45" s="22" t="n"/>
      <c r="I45" s="24" t="n"/>
      <c r="J45" s="24" t="n"/>
      <c r="K45" s="25" t="n"/>
      <c r="L45" s="24" t="n"/>
      <c r="M45" s="22" t="n"/>
      <c r="N45" s="24" t="n"/>
      <c r="O45" s="25" t="n"/>
      <c r="P45" s="22" t="n"/>
      <c r="Q45" s="18">
        <f>IF(OR(B45="",J45=""),"",TODAY()-J45)</f>
        <v/>
      </c>
      <c r="R45" s="26">
        <f>IF(B45="","",IF(OR(K45="Accepted",K45="Rejected",K45="Withdrawn"),K45,IF(K45="Offer",IF(N45="","Offer","Offer, reply by "&amp;DAY(N45)&amp;" "&amp;CHOOSE(MONTH(N45),"Jan","Feb","Mar","Apr","May","Jun","Jul","Aug","Sep","Oct","Nov","Dec")),IF(OR(K45="",K45="Saved"),IF(N45="","To apply",IF(N45&lt;TODAY(),"Closing date passed","Apply by "&amp;DAY(N45)&amp;" "&amp;CHOOSE(MONTH(N45),"Jan","Feb","Mar","Apr","May","Jun","Jul","Aug","Sep","Oct","Nov","Dec"))),IF(AND(N45="",T45&gt;0,TODAY()-T45&gt;=N(Settings!$C$6)),"No reply",IF(U45="","Waiting",IF(U45&lt;TODAY(),"Follow up",IF(U45-TODAY()&lt;=2,"Due "&amp;DAY(U45)&amp;" "&amp;CHOOSE(MONTH(U45),"Jan","Feb","Mar","Apr","May","Jun","Jul","Aug","Sep","Oct","Nov","Dec"),"Waiting"))))))))</f>
        <v/>
      </c>
      <c r="S45" s="1" t="n"/>
      <c r="T45">
        <f>MAX(N(J45),N(L45))</f>
        <v/>
      </c>
      <c r="U45">
        <f>IF(N45&lt;&gt;"",N45,IF(T45=0,"",T45+N(Settings!$C$5)))</f>
        <v/>
      </c>
      <c r="V45">
        <f>IF(AND(B45&lt;&gt;"",U45&lt;&gt;"",OR(R45="Follow up",LEFT(R45,3)="Due",R45="Waiting",LEFT(R45,5)="Apply",LEFT(R45,5)="Offer")),U45+ROW()/10000000,"")</f>
        <v/>
      </c>
      <c r="W45">
        <f>IF(B45="","",IF(M45&lt;&gt;"",M45,IF(OR(K45="",K45="Saved"),"Apply",IF(K45="Offer","Reply to the offer","Follow up"))))</f>
        <v/>
      </c>
    </row>
    <row r="46">
      <c r="A46" s="1" t="n"/>
      <c r="B46" s="21" t="n"/>
      <c r="C46" s="22" t="n"/>
      <c r="D46" s="22" t="n"/>
      <c r="E46" s="22" t="n"/>
      <c r="F46" s="23" t="n"/>
      <c r="G46" s="23" t="n"/>
      <c r="H46" s="22" t="n"/>
      <c r="I46" s="24" t="n"/>
      <c r="J46" s="24" t="n"/>
      <c r="K46" s="25" t="n"/>
      <c r="L46" s="24" t="n"/>
      <c r="M46" s="22" t="n"/>
      <c r="N46" s="24" t="n"/>
      <c r="O46" s="25" t="n"/>
      <c r="P46" s="22" t="n"/>
      <c r="Q46" s="18">
        <f>IF(OR(B46="",J46=""),"",TODAY()-J46)</f>
        <v/>
      </c>
      <c r="R46" s="26">
        <f>IF(B46="","",IF(OR(K46="Accepted",K46="Rejected",K46="Withdrawn"),K46,IF(K46="Offer",IF(N46="","Offer","Offer, reply by "&amp;DAY(N46)&amp;" "&amp;CHOOSE(MONTH(N46),"Jan","Feb","Mar","Apr","May","Jun","Jul","Aug","Sep","Oct","Nov","Dec")),IF(OR(K46="",K46="Saved"),IF(N46="","To apply",IF(N46&lt;TODAY(),"Closing date passed","Apply by "&amp;DAY(N46)&amp;" "&amp;CHOOSE(MONTH(N46),"Jan","Feb","Mar","Apr","May","Jun","Jul","Aug","Sep","Oct","Nov","Dec"))),IF(AND(N46="",T46&gt;0,TODAY()-T46&gt;=N(Settings!$C$6)),"No reply",IF(U46="","Waiting",IF(U46&lt;TODAY(),"Follow up",IF(U46-TODAY()&lt;=2,"Due "&amp;DAY(U46)&amp;" "&amp;CHOOSE(MONTH(U46),"Jan","Feb","Mar","Apr","May","Jun","Jul","Aug","Sep","Oct","Nov","Dec"),"Waiting"))))))))</f>
        <v/>
      </c>
      <c r="S46" s="1" t="n"/>
      <c r="T46">
        <f>MAX(N(J46),N(L46))</f>
        <v/>
      </c>
      <c r="U46">
        <f>IF(N46&lt;&gt;"",N46,IF(T46=0,"",T46+N(Settings!$C$5)))</f>
        <v/>
      </c>
      <c r="V46">
        <f>IF(AND(B46&lt;&gt;"",U46&lt;&gt;"",OR(R46="Follow up",LEFT(R46,3)="Due",R46="Waiting",LEFT(R46,5)="Apply",LEFT(R46,5)="Offer")),U46+ROW()/10000000,"")</f>
        <v/>
      </c>
      <c r="W46">
        <f>IF(B46="","",IF(M46&lt;&gt;"",M46,IF(OR(K46="",K46="Saved"),"Apply",IF(K46="Offer","Reply to the offer","Follow up"))))</f>
        <v/>
      </c>
    </row>
    <row r="47">
      <c r="A47" s="1" t="n"/>
      <c r="B47" s="21" t="n"/>
      <c r="C47" s="22" t="n"/>
      <c r="D47" s="22" t="n"/>
      <c r="E47" s="22" t="n"/>
      <c r="F47" s="23" t="n"/>
      <c r="G47" s="23" t="n"/>
      <c r="H47" s="22" t="n"/>
      <c r="I47" s="24" t="n"/>
      <c r="J47" s="24" t="n"/>
      <c r="K47" s="25" t="n"/>
      <c r="L47" s="24" t="n"/>
      <c r="M47" s="22" t="n"/>
      <c r="N47" s="24" t="n"/>
      <c r="O47" s="25" t="n"/>
      <c r="P47" s="22" t="n"/>
      <c r="Q47" s="18">
        <f>IF(OR(B47="",J47=""),"",TODAY()-J47)</f>
        <v/>
      </c>
      <c r="R47" s="26">
        <f>IF(B47="","",IF(OR(K47="Accepted",K47="Rejected",K47="Withdrawn"),K47,IF(K47="Offer",IF(N47="","Offer","Offer, reply by "&amp;DAY(N47)&amp;" "&amp;CHOOSE(MONTH(N47),"Jan","Feb","Mar","Apr","May","Jun","Jul","Aug","Sep","Oct","Nov","Dec")),IF(OR(K47="",K47="Saved"),IF(N47="","To apply",IF(N47&lt;TODAY(),"Closing date passed","Apply by "&amp;DAY(N47)&amp;" "&amp;CHOOSE(MONTH(N47),"Jan","Feb","Mar","Apr","May","Jun","Jul","Aug","Sep","Oct","Nov","Dec"))),IF(AND(N47="",T47&gt;0,TODAY()-T47&gt;=N(Settings!$C$6)),"No reply",IF(U47="","Waiting",IF(U47&lt;TODAY(),"Follow up",IF(U47-TODAY()&lt;=2,"Due "&amp;DAY(U47)&amp;" "&amp;CHOOSE(MONTH(U47),"Jan","Feb","Mar","Apr","May","Jun","Jul","Aug","Sep","Oct","Nov","Dec"),"Waiting"))))))))</f>
        <v/>
      </c>
      <c r="S47" s="1" t="n"/>
      <c r="T47">
        <f>MAX(N(J47),N(L47))</f>
        <v/>
      </c>
      <c r="U47">
        <f>IF(N47&lt;&gt;"",N47,IF(T47=0,"",T47+N(Settings!$C$5)))</f>
        <v/>
      </c>
      <c r="V47">
        <f>IF(AND(B47&lt;&gt;"",U47&lt;&gt;"",OR(R47="Follow up",LEFT(R47,3)="Due",R47="Waiting",LEFT(R47,5)="Apply",LEFT(R47,5)="Offer")),U47+ROW()/10000000,"")</f>
        <v/>
      </c>
      <c r="W47">
        <f>IF(B47="","",IF(M47&lt;&gt;"",M47,IF(OR(K47="",K47="Saved"),"Apply",IF(K47="Offer","Reply to the offer","Follow up"))))</f>
        <v/>
      </c>
    </row>
    <row r="48">
      <c r="A48" s="1" t="n"/>
      <c r="B48" s="21" t="n"/>
      <c r="C48" s="22" t="n"/>
      <c r="D48" s="22" t="n"/>
      <c r="E48" s="22" t="n"/>
      <c r="F48" s="23" t="n"/>
      <c r="G48" s="23" t="n"/>
      <c r="H48" s="22" t="n"/>
      <c r="I48" s="24" t="n"/>
      <c r="J48" s="24" t="n"/>
      <c r="K48" s="25" t="n"/>
      <c r="L48" s="24" t="n"/>
      <c r="M48" s="22" t="n"/>
      <c r="N48" s="24" t="n"/>
      <c r="O48" s="25" t="n"/>
      <c r="P48" s="22" t="n"/>
      <c r="Q48" s="18">
        <f>IF(OR(B48="",J48=""),"",TODAY()-J48)</f>
        <v/>
      </c>
      <c r="R48" s="26">
        <f>IF(B48="","",IF(OR(K48="Accepted",K48="Rejected",K48="Withdrawn"),K48,IF(K48="Offer",IF(N48="","Offer","Offer, reply by "&amp;DAY(N48)&amp;" "&amp;CHOOSE(MONTH(N48),"Jan","Feb","Mar","Apr","May","Jun","Jul","Aug","Sep","Oct","Nov","Dec")),IF(OR(K48="",K48="Saved"),IF(N48="","To apply",IF(N48&lt;TODAY(),"Closing date passed","Apply by "&amp;DAY(N48)&amp;" "&amp;CHOOSE(MONTH(N48),"Jan","Feb","Mar","Apr","May","Jun","Jul","Aug","Sep","Oct","Nov","Dec"))),IF(AND(N48="",T48&gt;0,TODAY()-T48&gt;=N(Settings!$C$6)),"No reply",IF(U48="","Waiting",IF(U48&lt;TODAY(),"Follow up",IF(U48-TODAY()&lt;=2,"Due "&amp;DAY(U48)&amp;" "&amp;CHOOSE(MONTH(U48),"Jan","Feb","Mar","Apr","May","Jun","Jul","Aug","Sep","Oct","Nov","Dec"),"Waiting"))))))))</f>
        <v/>
      </c>
      <c r="S48" s="1" t="n"/>
      <c r="T48">
        <f>MAX(N(J48),N(L48))</f>
        <v/>
      </c>
      <c r="U48">
        <f>IF(N48&lt;&gt;"",N48,IF(T48=0,"",T48+N(Settings!$C$5)))</f>
        <v/>
      </c>
      <c r="V48">
        <f>IF(AND(B48&lt;&gt;"",U48&lt;&gt;"",OR(R48="Follow up",LEFT(R48,3)="Due",R48="Waiting",LEFT(R48,5)="Apply",LEFT(R48,5)="Offer")),U48+ROW()/10000000,"")</f>
        <v/>
      </c>
      <c r="W48">
        <f>IF(B48="","",IF(M48&lt;&gt;"",M48,IF(OR(K48="",K48="Saved"),"Apply",IF(K48="Offer","Reply to the offer","Follow up"))))</f>
        <v/>
      </c>
    </row>
    <row r="49">
      <c r="A49" s="1" t="n"/>
      <c r="B49" s="21" t="n"/>
      <c r="C49" s="22" t="n"/>
      <c r="D49" s="22" t="n"/>
      <c r="E49" s="22" t="n"/>
      <c r="F49" s="23" t="n"/>
      <c r="G49" s="23" t="n"/>
      <c r="H49" s="22" t="n"/>
      <c r="I49" s="24" t="n"/>
      <c r="J49" s="24" t="n"/>
      <c r="K49" s="25" t="n"/>
      <c r="L49" s="24" t="n"/>
      <c r="M49" s="22" t="n"/>
      <c r="N49" s="24" t="n"/>
      <c r="O49" s="25" t="n"/>
      <c r="P49" s="22" t="n"/>
      <c r="Q49" s="18">
        <f>IF(OR(B49="",J49=""),"",TODAY()-J49)</f>
        <v/>
      </c>
      <c r="R49" s="26">
        <f>IF(B49="","",IF(OR(K49="Accepted",K49="Rejected",K49="Withdrawn"),K49,IF(K49="Offer",IF(N49="","Offer","Offer, reply by "&amp;DAY(N49)&amp;" "&amp;CHOOSE(MONTH(N49),"Jan","Feb","Mar","Apr","May","Jun","Jul","Aug","Sep","Oct","Nov","Dec")),IF(OR(K49="",K49="Saved"),IF(N49="","To apply",IF(N49&lt;TODAY(),"Closing date passed","Apply by "&amp;DAY(N49)&amp;" "&amp;CHOOSE(MONTH(N49),"Jan","Feb","Mar","Apr","May","Jun","Jul","Aug","Sep","Oct","Nov","Dec"))),IF(AND(N49="",T49&gt;0,TODAY()-T49&gt;=N(Settings!$C$6)),"No reply",IF(U49="","Waiting",IF(U49&lt;TODAY(),"Follow up",IF(U49-TODAY()&lt;=2,"Due "&amp;DAY(U49)&amp;" "&amp;CHOOSE(MONTH(U49),"Jan","Feb","Mar","Apr","May","Jun","Jul","Aug","Sep","Oct","Nov","Dec"),"Waiting"))))))))</f>
        <v/>
      </c>
      <c r="S49" s="1" t="n"/>
      <c r="T49">
        <f>MAX(N(J49),N(L49))</f>
        <v/>
      </c>
      <c r="U49">
        <f>IF(N49&lt;&gt;"",N49,IF(T49=0,"",T49+N(Settings!$C$5)))</f>
        <v/>
      </c>
      <c r="V49">
        <f>IF(AND(B49&lt;&gt;"",U49&lt;&gt;"",OR(R49="Follow up",LEFT(R49,3)="Due",R49="Waiting",LEFT(R49,5)="Apply",LEFT(R49,5)="Offer")),U49+ROW()/10000000,"")</f>
        <v/>
      </c>
      <c r="W49">
        <f>IF(B49="","",IF(M49&lt;&gt;"",M49,IF(OR(K49="",K49="Saved"),"Apply",IF(K49="Offer","Reply to the offer","Follow up"))))</f>
        <v/>
      </c>
    </row>
    <row r="50">
      <c r="A50" s="1" t="n"/>
      <c r="B50" s="21" t="n"/>
      <c r="C50" s="22" t="n"/>
      <c r="D50" s="22" t="n"/>
      <c r="E50" s="22" t="n"/>
      <c r="F50" s="23" t="n"/>
      <c r="G50" s="23" t="n"/>
      <c r="H50" s="22" t="n"/>
      <c r="I50" s="24" t="n"/>
      <c r="J50" s="24" t="n"/>
      <c r="K50" s="25" t="n"/>
      <c r="L50" s="24" t="n"/>
      <c r="M50" s="22" t="n"/>
      <c r="N50" s="24" t="n"/>
      <c r="O50" s="25" t="n"/>
      <c r="P50" s="22" t="n"/>
      <c r="Q50" s="18">
        <f>IF(OR(B50="",J50=""),"",TODAY()-J50)</f>
        <v/>
      </c>
      <c r="R50" s="26">
        <f>IF(B50="","",IF(OR(K50="Accepted",K50="Rejected",K50="Withdrawn"),K50,IF(K50="Offer",IF(N50="","Offer","Offer, reply by "&amp;DAY(N50)&amp;" "&amp;CHOOSE(MONTH(N50),"Jan","Feb","Mar","Apr","May","Jun","Jul","Aug","Sep","Oct","Nov","Dec")),IF(OR(K50="",K50="Saved"),IF(N50="","To apply",IF(N50&lt;TODAY(),"Closing date passed","Apply by "&amp;DAY(N50)&amp;" "&amp;CHOOSE(MONTH(N50),"Jan","Feb","Mar","Apr","May","Jun","Jul","Aug","Sep","Oct","Nov","Dec"))),IF(AND(N50="",T50&gt;0,TODAY()-T50&gt;=N(Settings!$C$6)),"No reply",IF(U50="","Waiting",IF(U50&lt;TODAY(),"Follow up",IF(U50-TODAY()&lt;=2,"Due "&amp;DAY(U50)&amp;" "&amp;CHOOSE(MONTH(U50),"Jan","Feb","Mar","Apr","May","Jun","Jul","Aug","Sep","Oct","Nov","Dec"),"Waiting"))))))))</f>
        <v/>
      </c>
      <c r="S50" s="1" t="n"/>
      <c r="T50">
        <f>MAX(N(J50),N(L50))</f>
        <v/>
      </c>
      <c r="U50">
        <f>IF(N50&lt;&gt;"",N50,IF(T50=0,"",T50+N(Settings!$C$5)))</f>
        <v/>
      </c>
      <c r="V50">
        <f>IF(AND(B50&lt;&gt;"",U50&lt;&gt;"",OR(R50="Follow up",LEFT(R50,3)="Due",R50="Waiting",LEFT(R50,5)="Apply",LEFT(R50,5)="Offer")),U50+ROW()/10000000,"")</f>
        <v/>
      </c>
      <c r="W50">
        <f>IF(B50="","",IF(M50&lt;&gt;"",M50,IF(OR(K50="",K50="Saved"),"Apply",IF(K50="Offer","Reply to the offer","Follow up"))))</f>
        <v/>
      </c>
    </row>
    <row r="51">
      <c r="A51" s="1" t="n"/>
      <c r="B51" s="21" t="n"/>
      <c r="C51" s="22" t="n"/>
      <c r="D51" s="22" t="n"/>
      <c r="E51" s="22" t="n"/>
      <c r="F51" s="23" t="n"/>
      <c r="G51" s="23" t="n"/>
      <c r="H51" s="22" t="n"/>
      <c r="I51" s="24" t="n"/>
      <c r="J51" s="24" t="n"/>
      <c r="K51" s="25" t="n"/>
      <c r="L51" s="24" t="n"/>
      <c r="M51" s="22" t="n"/>
      <c r="N51" s="24" t="n"/>
      <c r="O51" s="25" t="n"/>
      <c r="P51" s="22" t="n"/>
      <c r="Q51" s="18">
        <f>IF(OR(B51="",J51=""),"",TODAY()-J51)</f>
        <v/>
      </c>
      <c r="R51" s="26">
        <f>IF(B51="","",IF(OR(K51="Accepted",K51="Rejected",K51="Withdrawn"),K51,IF(K51="Offer",IF(N51="","Offer","Offer, reply by "&amp;DAY(N51)&amp;" "&amp;CHOOSE(MONTH(N51),"Jan","Feb","Mar","Apr","May","Jun","Jul","Aug","Sep","Oct","Nov","Dec")),IF(OR(K51="",K51="Saved"),IF(N51="","To apply",IF(N51&lt;TODAY(),"Closing date passed","Apply by "&amp;DAY(N51)&amp;" "&amp;CHOOSE(MONTH(N51),"Jan","Feb","Mar","Apr","May","Jun","Jul","Aug","Sep","Oct","Nov","Dec"))),IF(AND(N51="",T51&gt;0,TODAY()-T51&gt;=N(Settings!$C$6)),"No reply",IF(U51="","Waiting",IF(U51&lt;TODAY(),"Follow up",IF(U51-TODAY()&lt;=2,"Due "&amp;DAY(U51)&amp;" "&amp;CHOOSE(MONTH(U51),"Jan","Feb","Mar","Apr","May","Jun","Jul","Aug","Sep","Oct","Nov","Dec"),"Waiting"))))))))</f>
        <v/>
      </c>
      <c r="S51" s="1" t="n"/>
      <c r="T51">
        <f>MAX(N(J51),N(L51))</f>
        <v/>
      </c>
      <c r="U51">
        <f>IF(N51&lt;&gt;"",N51,IF(T51=0,"",T51+N(Settings!$C$5)))</f>
        <v/>
      </c>
      <c r="V51">
        <f>IF(AND(B51&lt;&gt;"",U51&lt;&gt;"",OR(R51="Follow up",LEFT(R51,3)="Due",R51="Waiting",LEFT(R51,5)="Apply",LEFT(R51,5)="Offer")),U51+ROW()/10000000,"")</f>
        <v/>
      </c>
      <c r="W51">
        <f>IF(B51="","",IF(M51&lt;&gt;"",M51,IF(OR(K51="",K51="Saved"),"Apply",IF(K51="Offer","Reply to the offer","Follow up"))))</f>
        <v/>
      </c>
    </row>
    <row r="52">
      <c r="A52" s="1" t="n"/>
      <c r="B52" s="21" t="n"/>
      <c r="C52" s="22" t="n"/>
      <c r="D52" s="22" t="n"/>
      <c r="E52" s="22" t="n"/>
      <c r="F52" s="23" t="n"/>
      <c r="G52" s="23" t="n"/>
      <c r="H52" s="22" t="n"/>
      <c r="I52" s="24" t="n"/>
      <c r="J52" s="24" t="n"/>
      <c r="K52" s="25" t="n"/>
      <c r="L52" s="24" t="n"/>
      <c r="M52" s="22" t="n"/>
      <c r="N52" s="24" t="n"/>
      <c r="O52" s="25" t="n"/>
      <c r="P52" s="22" t="n"/>
      <c r="Q52" s="18">
        <f>IF(OR(B52="",J52=""),"",TODAY()-J52)</f>
        <v/>
      </c>
      <c r="R52" s="26">
        <f>IF(B52="","",IF(OR(K52="Accepted",K52="Rejected",K52="Withdrawn"),K52,IF(K52="Offer",IF(N52="","Offer","Offer, reply by "&amp;DAY(N52)&amp;" "&amp;CHOOSE(MONTH(N52),"Jan","Feb","Mar","Apr","May","Jun","Jul","Aug","Sep","Oct","Nov","Dec")),IF(OR(K52="",K52="Saved"),IF(N52="","To apply",IF(N52&lt;TODAY(),"Closing date passed","Apply by "&amp;DAY(N52)&amp;" "&amp;CHOOSE(MONTH(N52),"Jan","Feb","Mar","Apr","May","Jun","Jul","Aug","Sep","Oct","Nov","Dec"))),IF(AND(N52="",T52&gt;0,TODAY()-T52&gt;=N(Settings!$C$6)),"No reply",IF(U52="","Waiting",IF(U52&lt;TODAY(),"Follow up",IF(U52-TODAY()&lt;=2,"Due "&amp;DAY(U52)&amp;" "&amp;CHOOSE(MONTH(U52),"Jan","Feb","Mar","Apr","May","Jun","Jul","Aug","Sep","Oct","Nov","Dec"),"Waiting"))))))))</f>
        <v/>
      </c>
      <c r="S52" s="1" t="n"/>
      <c r="T52">
        <f>MAX(N(J52),N(L52))</f>
        <v/>
      </c>
      <c r="U52">
        <f>IF(N52&lt;&gt;"",N52,IF(T52=0,"",T52+N(Settings!$C$5)))</f>
        <v/>
      </c>
      <c r="V52">
        <f>IF(AND(B52&lt;&gt;"",U52&lt;&gt;"",OR(R52="Follow up",LEFT(R52,3)="Due",R52="Waiting",LEFT(R52,5)="Apply",LEFT(R52,5)="Offer")),U52+ROW()/10000000,"")</f>
        <v/>
      </c>
      <c r="W52">
        <f>IF(B52="","",IF(M52&lt;&gt;"",M52,IF(OR(K52="",K52="Saved"),"Apply",IF(K52="Offer","Reply to the offer","Follow up"))))</f>
        <v/>
      </c>
    </row>
    <row r="53">
      <c r="A53" s="1" t="n"/>
      <c r="B53" s="21" t="n"/>
      <c r="C53" s="22" t="n"/>
      <c r="D53" s="22" t="n"/>
      <c r="E53" s="22" t="n"/>
      <c r="F53" s="23" t="n"/>
      <c r="G53" s="23" t="n"/>
      <c r="H53" s="22" t="n"/>
      <c r="I53" s="24" t="n"/>
      <c r="J53" s="24" t="n"/>
      <c r="K53" s="25" t="n"/>
      <c r="L53" s="24" t="n"/>
      <c r="M53" s="22" t="n"/>
      <c r="N53" s="24" t="n"/>
      <c r="O53" s="25" t="n"/>
      <c r="P53" s="22" t="n"/>
      <c r="Q53" s="18">
        <f>IF(OR(B53="",J53=""),"",TODAY()-J53)</f>
        <v/>
      </c>
      <c r="R53" s="26">
        <f>IF(B53="","",IF(OR(K53="Accepted",K53="Rejected",K53="Withdrawn"),K53,IF(K53="Offer",IF(N53="","Offer","Offer, reply by "&amp;DAY(N53)&amp;" "&amp;CHOOSE(MONTH(N53),"Jan","Feb","Mar","Apr","May","Jun","Jul","Aug","Sep","Oct","Nov","Dec")),IF(OR(K53="",K53="Saved"),IF(N53="","To apply",IF(N53&lt;TODAY(),"Closing date passed","Apply by "&amp;DAY(N53)&amp;" "&amp;CHOOSE(MONTH(N53),"Jan","Feb","Mar","Apr","May","Jun","Jul","Aug","Sep","Oct","Nov","Dec"))),IF(AND(N53="",T53&gt;0,TODAY()-T53&gt;=N(Settings!$C$6)),"No reply",IF(U53="","Waiting",IF(U53&lt;TODAY(),"Follow up",IF(U53-TODAY()&lt;=2,"Due "&amp;DAY(U53)&amp;" "&amp;CHOOSE(MONTH(U53),"Jan","Feb","Mar","Apr","May","Jun","Jul","Aug","Sep","Oct","Nov","Dec"),"Waiting"))))))))</f>
        <v/>
      </c>
      <c r="S53" s="1" t="n"/>
      <c r="T53">
        <f>MAX(N(J53),N(L53))</f>
        <v/>
      </c>
      <c r="U53">
        <f>IF(N53&lt;&gt;"",N53,IF(T53=0,"",T53+N(Settings!$C$5)))</f>
        <v/>
      </c>
      <c r="V53">
        <f>IF(AND(B53&lt;&gt;"",U53&lt;&gt;"",OR(R53="Follow up",LEFT(R53,3)="Due",R53="Waiting",LEFT(R53,5)="Apply",LEFT(R53,5)="Offer")),U53+ROW()/10000000,"")</f>
        <v/>
      </c>
      <c r="W53">
        <f>IF(B53="","",IF(M53&lt;&gt;"",M53,IF(OR(K53="",K53="Saved"),"Apply",IF(K53="Offer","Reply to the offer","Follow up"))))</f>
        <v/>
      </c>
    </row>
    <row r="54">
      <c r="A54" s="1" t="n"/>
      <c r="B54" s="21" t="n"/>
      <c r="C54" s="22" t="n"/>
      <c r="D54" s="22" t="n"/>
      <c r="E54" s="22" t="n"/>
      <c r="F54" s="23" t="n"/>
      <c r="G54" s="23" t="n"/>
      <c r="H54" s="22" t="n"/>
      <c r="I54" s="24" t="n"/>
      <c r="J54" s="24" t="n"/>
      <c r="K54" s="25" t="n"/>
      <c r="L54" s="24" t="n"/>
      <c r="M54" s="22" t="n"/>
      <c r="N54" s="24" t="n"/>
      <c r="O54" s="25" t="n"/>
      <c r="P54" s="22" t="n"/>
      <c r="Q54" s="18">
        <f>IF(OR(B54="",J54=""),"",TODAY()-J54)</f>
        <v/>
      </c>
      <c r="R54" s="26">
        <f>IF(B54="","",IF(OR(K54="Accepted",K54="Rejected",K54="Withdrawn"),K54,IF(K54="Offer",IF(N54="","Offer","Offer, reply by "&amp;DAY(N54)&amp;" "&amp;CHOOSE(MONTH(N54),"Jan","Feb","Mar","Apr","May","Jun","Jul","Aug","Sep","Oct","Nov","Dec")),IF(OR(K54="",K54="Saved"),IF(N54="","To apply",IF(N54&lt;TODAY(),"Closing date passed","Apply by "&amp;DAY(N54)&amp;" "&amp;CHOOSE(MONTH(N54),"Jan","Feb","Mar","Apr","May","Jun","Jul","Aug","Sep","Oct","Nov","Dec"))),IF(AND(N54="",T54&gt;0,TODAY()-T54&gt;=N(Settings!$C$6)),"No reply",IF(U54="","Waiting",IF(U54&lt;TODAY(),"Follow up",IF(U54-TODAY()&lt;=2,"Due "&amp;DAY(U54)&amp;" "&amp;CHOOSE(MONTH(U54),"Jan","Feb","Mar","Apr","May","Jun","Jul","Aug","Sep","Oct","Nov","Dec"),"Waiting"))))))))</f>
        <v/>
      </c>
      <c r="S54" s="1" t="n"/>
      <c r="T54">
        <f>MAX(N(J54),N(L54))</f>
        <v/>
      </c>
      <c r="U54">
        <f>IF(N54&lt;&gt;"",N54,IF(T54=0,"",T54+N(Settings!$C$5)))</f>
        <v/>
      </c>
      <c r="V54">
        <f>IF(AND(B54&lt;&gt;"",U54&lt;&gt;"",OR(R54="Follow up",LEFT(R54,3)="Due",R54="Waiting",LEFT(R54,5)="Apply",LEFT(R54,5)="Offer")),U54+ROW()/10000000,"")</f>
        <v/>
      </c>
      <c r="W54">
        <f>IF(B54="","",IF(M54&lt;&gt;"",M54,IF(OR(K54="",K54="Saved"),"Apply",IF(K54="Offer","Reply to the offer","Follow up"))))</f>
        <v/>
      </c>
    </row>
    <row r="55">
      <c r="A55" s="1" t="n"/>
      <c r="B55" s="21" t="n"/>
      <c r="C55" s="22" t="n"/>
      <c r="D55" s="22" t="n"/>
      <c r="E55" s="22" t="n"/>
      <c r="F55" s="23" t="n"/>
      <c r="G55" s="23" t="n"/>
      <c r="H55" s="22" t="n"/>
      <c r="I55" s="24" t="n"/>
      <c r="J55" s="24" t="n"/>
      <c r="K55" s="25" t="n"/>
      <c r="L55" s="24" t="n"/>
      <c r="M55" s="22" t="n"/>
      <c r="N55" s="24" t="n"/>
      <c r="O55" s="25" t="n"/>
      <c r="P55" s="22" t="n"/>
      <c r="Q55" s="18">
        <f>IF(OR(B55="",J55=""),"",TODAY()-J55)</f>
        <v/>
      </c>
      <c r="R55" s="26">
        <f>IF(B55="","",IF(OR(K55="Accepted",K55="Rejected",K55="Withdrawn"),K55,IF(K55="Offer",IF(N55="","Offer","Offer, reply by "&amp;DAY(N55)&amp;" "&amp;CHOOSE(MONTH(N55),"Jan","Feb","Mar","Apr","May","Jun","Jul","Aug","Sep","Oct","Nov","Dec")),IF(OR(K55="",K55="Saved"),IF(N55="","To apply",IF(N55&lt;TODAY(),"Closing date passed","Apply by "&amp;DAY(N55)&amp;" "&amp;CHOOSE(MONTH(N55),"Jan","Feb","Mar","Apr","May","Jun","Jul","Aug","Sep","Oct","Nov","Dec"))),IF(AND(N55="",T55&gt;0,TODAY()-T55&gt;=N(Settings!$C$6)),"No reply",IF(U55="","Waiting",IF(U55&lt;TODAY(),"Follow up",IF(U55-TODAY()&lt;=2,"Due "&amp;DAY(U55)&amp;" "&amp;CHOOSE(MONTH(U55),"Jan","Feb","Mar","Apr","May","Jun","Jul","Aug","Sep","Oct","Nov","Dec"),"Waiting"))))))))</f>
        <v/>
      </c>
      <c r="S55" s="1" t="n"/>
      <c r="T55">
        <f>MAX(N(J55),N(L55))</f>
        <v/>
      </c>
      <c r="U55">
        <f>IF(N55&lt;&gt;"",N55,IF(T55=0,"",T55+N(Settings!$C$5)))</f>
        <v/>
      </c>
      <c r="V55">
        <f>IF(AND(B55&lt;&gt;"",U55&lt;&gt;"",OR(R55="Follow up",LEFT(R55,3)="Due",R55="Waiting",LEFT(R55,5)="Apply",LEFT(R55,5)="Offer")),U55+ROW()/10000000,"")</f>
        <v/>
      </c>
      <c r="W55">
        <f>IF(B55="","",IF(M55&lt;&gt;"",M55,IF(OR(K55="",K55="Saved"),"Apply",IF(K55="Offer","Reply to the offer","Follow up"))))</f>
        <v/>
      </c>
    </row>
    <row r="56">
      <c r="A56" s="1" t="n"/>
      <c r="B56" s="21" t="n"/>
      <c r="C56" s="22" t="n"/>
      <c r="D56" s="22" t="n"/>
      <c r="E56" s="22" t="n"/>
      <c r="F56" s="23" t="n"/>
      <c r="G56" s="23" t="n"/>
      <c r="H56" s="22" t="n"/>
      <c r="I56" s="24" t="n"/>
      <c r="J56" s="24" t="n"/>
      <c r="K56" s="25" t="n"/>
      <c r="L56" s="24" t="n"/>
      <c r="M56" s="22" t="n"/>
      <c r="N56" s="24" t="n"/>
      <c r="O56" s="25" t="n"/>
      <c r="P56" s="22" t="n"/>
      <c r="Q56" s="18">
        <f>IF(OR(B56="",J56=""),"",TODAY()-J56)</f>
        <v/>
      </c>
      <c r="R56" s="26">
        <f>IF(B56="","",IF(OR(K56="Accepted",K56="Rejected",K56="Withdrawn"),K56,IF(K56="Offer",IF(N56="","Offer","Offer, reply by "&amp;DAY(N56)&amp;" "&amp;CHOOSE(MONTH(N56),"Jan","Feb","Mar","Apr","May","Jun","Jul","Aug","Sep","Oct","Nov","Dec")),IF(OR(K56="",K56="Saved"),IF(N56="","To apply",IF(N56&lt;TODAY(),"Closing date passed","Apply by "&amp;DAY(N56)&amp;" "&amp;CHOOSE(MONTH(N56),"Jan","Feb","Mar","Apr","May","Jun","Jul","Aug","Sep","Oct","Nov","Dec"))),IF(AND(N56="",T56&gt;0,TODAY()-T56&gt;=N(Settings!$C$6)),"No reply",IF(U56="","Waiting",IF(U56&lt;TODAY(),"Follow up",IF(U56-TODAY()&lt;=2,"Due "&amp;DAY(U56)&amp;" "&amp;CHOOSE(MONTH(U56),"Jan","Feb","Mar","Apr","May","Jun","Jul","Aug","Sep","Oct","Nov","Dec"),"Waiting"))))))))</f>
        <v/>
      </c>
      <c r="S56" s="1" t="n"/>
      <c r="T56">
        <f>MAX(N(J56),N(L56))</f>
        <v/>
      </c>
      <c r="U56">
        <f>IF(N56&lt;&gt;"",N56,IF(T56=0,"",T56+N(Settings!$C$5)))</f>
        <v/>
      </c>
      <c r="V56">
        <f>IF(AND(B56&lt;&gt;"",U56&lt;&gt;"",OR(R56="Follow up",LEFT(R56,3)="Due",R56="Waiting",LEFT(R56,5)="Apply",LEFT(R56,5)="Offer")),U56+ROW()/10000000,"")</f>
        <v/>
      </c>
      <c r="W56">
        <f>IF(B56="","",IF(M56&lt;&gt;"",M56,IF(OR(K56="",K56="Saved"),"Apply",IF(K56="Offer","Reply to the offer","Follow up"))))</f>
        <v/>
      </c>
    </row>
    <row r="57">
      <c r="A57" s="1" t="n"/>
      <c r="B57" s="21" t="n"/>
      <c r="C57" s="22" t="n"/>
      <c r="D57" s="22" t="n"/>
      <c r="E57" s="22" t="n"/>
      <c r="F57" s="23" t="n"/>
      <c r="G57" s="23" t="n"/>
      <c r="H57" s="22" t="n"/>
      <c r="I57" s="24" t="n"/>
      <c r="J57" s="24" t="n"/>
      <c r="K57" s="25" t="n"/>
      <c r="L57" s="24" t="n"/>
      <c r="M57" s="22" t="n"/>
      <c r="N57" s="24" t="n"/>
      <c r="O57" s="25" t="n"/>
      <c r="P57" s="22" t="n"/>
      <c r="Q57" s="18">
        <f>IF(OR(B57="",J57=""),"",TODAY()-J57)</f>
        <v/>
      </c>
      <c r="R57" s="26">
        <f>IF(B57="","",IF(OR(K57="Accepted",K57="Rejected",K57="Withdrawn"),K57,IF(K57="Offer",IF(N57="","Offer","Offer, reply by "&amp;DAY(N57)&amp;" "&amp;CHOOSE(MONTH(N57),"Jan","Feb","Mar","Apr","May","Jun","Jul","Aug","Sep","Oct","Nov","Dec")),IF(OR(K57="",K57="Saved"),IF(N57="","To apply",IF(N57&lt;TODAY(),"Closing date passed","Apply by "&amp;DAY(N57)&amp;" "&amp;CHOOSE(MONTH(N57),"Jan","Feb","Mar","Apr","May","Jun","Jul","Aug","Sep","Oct","Nov","Dec"))),IF(AND(N57="",T57&gt;0,TODAY()-T57&gt;=N(Settings!$C$6)),"No reply",IF(U57="","Waiting",IF(U57&lt;TODAY(),"Follow up",IF(U57-TODAY()&lt;=2,"Due "&amp;DAY(U57)&amp;" "&amp;CHOOSE(MONTH(U57),"Jan","Feb","Mar","Apr","May","Jun","Jul","Aug","Sep","Oct","Nov","Dec"),"Waiting"))))))))</f>
        <v/>
      </c>
      <c r="S57" s="1" t="n"/>
      <c r="T57">
        <f>MAX(N(J57),N(L57))</f>
        <v/>
      </c>
      <c r="U57">
        <f>IF(N57&lt;&gt;"",N57,IF(T57=0,"",T57+N(Settings!$C$5)))</f>
        <v/>
      </c>
      <c r="V57">
        <f>IF(AND(B57&lt;&gt;"",U57&lt;&gt;"",OR(R57="Follow up",LEFT(R57,3)="Due",R57="Waiting",LEFT(R57,5)="Apply",LEFT(R57,5)="Offer")),U57+ROW()/10000000,"")</f>
        <v/>
      </c>
      <c r="W57">
        <f>IF(B57="","",IF(M57&lt;&gt;"",M57,IF(OR(K57="",K57="Saved"),"Apply",IF(K57="Offer","Reply to the offer","Follow up"))))</f>
        <v/>
      </c>
    </row>
    <row r="58">
      <c r="A58" s="1" t="n"/>
      <c r="B58" s="21" t="n"/>
      <c r="C58" s="22" t="n"/>
      <c r="D58" s="22" t="n"/>
      <c r="E58" s="22" t="n"/>
      <c r="F58" s="23" t="n"/>
      <c r="G58" s="23" t="n"/>
      <c r="H58" s="22" t="n"/>
      <c r="I58" s="24" t="n"/>
      <c r="J58" s="24" t="n"/>
      <c r="K58" s="25" t="n"/>
      <c r="L58" s="24" t="n"/>
      <c r="M58" s="22" t="n"/>
      <c r="N58" s="24" t="n"/>
      <c r="O58" s="25" t="n"/>
      <c r="P58" s="22" t="n"/>
      <c r="Q58" s="18">
        <f>IF(OR(B58="",J58=""),"",TODAY()-J58)</f>
        <v/>
      </c>
      <c r="R58" s="26">
        <f>IF(B58="","",IF(OR(K58="Accepted",K58="Rejected",K58="Withdrawn"),K58,IF(K58="Offer",IF(N58="","Offer","Offer, reply by "&amp;DAY(N58)&amp;" "&amp;CHOOSE(MONTH(N58),"Jan","Feb","Mar","Apr","May","Jun","Jul","Aug","Sep","Oct","Nov","Dec")),IF(OR(K58="",K58="Saved"),IF(N58="","To apply",IF(N58&lt;TODAY(),"Closing date passed","Apply by "&amp;DAY(N58)&amp;" "&amp;CHOOSE(MONTH(N58),"Jan","Feb","Mar","Apr","May","Jun","Jul","Aug","Sep","Oct","Nov","Dec"))),IF(AND(N58="",T58&gt;0,TODAY()-T58&gt;=N(Settings!$C$6)),"No reply",IF(U58="","Waiting",IF(U58&lt;TODAY(),"Follow up",IF(U58-TODAY()&lt;=2,"Due "&amp;DAY(U58)&amp;" "&amp;CHOOSE(MONTH(U58),"Jan","Feb","Mar","Apr","May","Jun","Jul","Aug","Sep","Oct","Nov","Dec"),"Waiting"))))))))</f>
        <v/>
      </c>
      <c r="S58" s="1" t="n"/>
      <c r="T58">
        <f>MAX(N(J58),N(L58))</f>
        <v/>
      </c>
      <c r="U58">
        <f>IF(N58&lt;&gt;"",N58,IF(T58=0,"",T58+N(Settings!$C$5)))</f>
        <v/>
      </c>
      <c r="V58">
        <f>IF(AND(B58&lt;&gt;"",U58&lt;&gt;"",OR(R58="Follow up",LEFT(R58,3)="Due",R58="Waiting",LEFT(R58,5)="Apply",LEFT(R58,5)="Offer")),U58+ROW()/10000000,"")</f>
        <v/>
      </c>
      <c r="W58">
        <f>IF(B58="","",IF(M58&lt;&gt;"",M58,IF(OR(K58="",K58="Saved"),"Apply",IF(K58="Offer","Reply to the offer","Follow up"))))</f>
        <v/>
      </c>
    </row>
    <row r="59">
      <c r="A59" s="1" t="n"/>
      <c r="B59" s="21" t="n"/>
      <c r="C59" s="22" t="n"/>
      <c r="D59" s="22" t="n"/>
      <c r="E59" s="22" t="n"/>
      <c r="F59" s="23" t="n"/>
      <c r="G59" s="23" t="n"/>
      <c r="H59" s="22" t="n"/>
      <c r="I59" s="24" t="n"/>
      <c r="J59" s="24" t="n"/>
      <c r="K59" s="25" t="n"/>
      <c r="L59" s="24" t="n"/>
      <c r="M59" s="22" t="n"/>
      <c r="N59" s="24" t="n"/>
      <c r="O59" s="25" t="n"/>
      <c r="P59" s="22" t="n"/>
      <c r="Q59" s="18">
        <f>IF(OR(B59="",J59=""),"",TODAY()-J59)</f>
        <v/>
      </c>
      <c r="R59" s="26">
        <f>IF(B59="","",IF(OR(K59="Accepted",K59="Rejected",K59="Withdrawn"),K59,IF(K59="Offer",IF(N59="","Offer","Offer, reply by "&amp;DAY(N59)&amp;" "&amp;CHOOSE(MONTH(N59),"Jan","Feb","Mar","Apr","May","Jun","Jul","Aug","Sep","Oct","Nov","Dec")),IF(OR(K59="",K59="Saved"),IF(N59="","To apply",IF(N59&lt;TODAY(),"Closing date passed","Apply by "&amp;DAY(N59)&amp;" "&amp;CHOOSE(MONTH(N59),"Jan","Feb","Mar","Apr","May","Jun","Jul","Aug","Sep","Oct","Nov","Dec"))),IF(AND(N59="",T59&gt;0,TODAY()-T59&gt;=N(Settings!$C$6)),"No reply",IF(U59="","Waiting",IF(U59&lt;TODAY(),"Follow up",IF(U59-TODAY()&lt;=2,"Due "&amp;DAY(U59)&amp;" "&amp;CHOOSE(MONTH(U59),"Jan","Feb","Mar","Apr","May","Jun","Jul","Aug","Sep","Oct","Nov","Dec"),"Waiting"))))))))</f>
        <v/>
      </c>
      <c r="S59" s="1" t="n"/>
      <c r="T59">
        <f>MAX(N(J59),N(L59))</f>
        <v/>
      </c>
      <c r="U59">
        <f>IF(N59&lt;&gt;"",N59,IF(T59=0,"",T59+N(Settings!$C$5)))</f>
        <v/>
      </c>
      <c r="V59">
        <f>IF(AND(B59&lt;&gt;"",U59&lt;&gt;"",OR(R59="Follow up",LEFT(R59,3)="Due",R59="Waiting",LEFT(R59,5)="Apply",LEFT(R59,5)="Offer")),U59+ROW()/10000000,"")</f>
        <v/>
      </c>
      <c r="W59">
        <f>IF(B59="","",IF(M59&lt;&gt;"",M59,IF(OR(K59="",K59="Saved"),"Apply",IF(K59="Offer","Reply to the offer","Follow up"))))</f>
        <v/>
      </c>
    </row>
    <row r="60">
      <c r="A60" s="1" t="n"/>
      <c r="B60" s="21" t="n"/>
      <c r="C60" s="22" t="n"/>
      <c r="D60" s="22" t="n"/>
      <c r="E60" s="22" t="n"/>
      <c r="F60" s="23" t="n"/>
      <c r="G60" s="23" t="n"/>
      <c r="H60" s="22" t="n"/>
      <c r="I60" s="24" t="n"/>
      <c r="J60" s="24" t="n"/>
      <c r="K60" s="25" t="n"/>
      <c r="L60" s="24" t="n"/>
      <c r="M60" s="22" t="n"/>
      <c r="N60" s="24" t="n"/>
      <c r="O60" s="25" t="n"/>
      <c r="P60" s="22" t="n"/>
      <c r="Q60" s="18">
        <f>IF(OR(B60="",J60=""),"",TODAY()-J60)</f>
        <v/>
      </c>
      <c r="R60" s="26">
        <f>IF(B60="","",IF(OR(K60="Accepted",K60="Rejected",K60="Withdrawn"),K60,IF(K60="Offer",IF(N60="","Offer","Offer, reply by "&amp;DAY(N60)&amp;" "&amp;CHOOSE(MONTH(N60),"Jan","Feb","Mar","Apr","May","Jun","Jul","Aug","Sep","Oct","Nov","Dec")),IF(OR(K60="",K60="Saved"),IF(N60="","To apply",IF(N60&lt;TODAY(),"Closing date passed","Apply by "&amp;DAY(N60)&amp;" "&amp;CHOOSE(MONTH(N60),"Jan","Feb","Mar","Apr","May","Jun","Jul","Aug","Sep","Oct","Nov","Dec"))),IF(AND(N60="",T60&gt;0,TODAY()-T60&gt;=N(Settings!$C$6)),"No reply",IF(U60="","Waiting",IF(U60&lt;TODAY(),"Follow up",IF(U60-TODAY()&lt;=2,"Due "&amp;DAY(U60)&amp;" "&amp;CHOOSE(MONTH(U60),"Jan","Feb","Mar","Apr","May","Jun","Jul","Aug","Sep","Oct","Nov","Dec"),"Waiting"))))))))</f>
        <v/>
      </c>
      <c r="S60" s="1" t="n"/>
      <c r="T60">
        <f>MAX(N(J60),N(L60))</f>
        <v/>
      </c>
      <c r="U60">
        <f>IF(N60&lt;&gt;"",N60,IF(T60=0,"",T60+N(Settings!$C$5)))</f>
        <v/>
      </c>
      <c r="V60">
        <f>IF(AND(B60&lt;&gt;"",U60&lt;&gt;"",OR(R60="Follow up",LEFT(R60,3)="Due",R60="Waiting",LEFT(R60,5)="Apply",LEFT(R60,5)="Offer")),U60+ROW()/10000000,"")</f>
        <v/>
      </c>
      <c r="W60">
        <f>IF(B60="","",IF(M60&lt;&gt;"",M60,IF(OR(K60="",K60="Saved"),"Apply",IF(K60="Offer","Reply to the offer","Follow up"))))</f>
        <v/>
      </c>
    </row>
    <row r="61">
      <c r="A61" s="1" t="n"/>
      <c r="B61" s="21" t="n"/>
      <c r="C61" s="22" t="n"/>
      <c r="D61" s="22" t="n"/>
      <c r="E61" s="22" t="n"/>
      <c r="F61" s="23" t="n"/>
      <c r="G61" s="23" t="n"/>
      <c r="H61" s="22" t="n"/>
      <c r="I61" s="24" t="n"/>
      <c r="J61" s="24" t="n"/>
      <c r="K61" s="25" t="n"/>
      <c r="L61" s="24" t="n"/>
      <c r="M61" s="22" t="n"/>
      <c r="N61" s="24" t="n"/>
      <c r="O61" s="25" t="n"/>
      <c r="P61" s="22" t="n"/>
      <c r="Q61" s="18">
        <f>IF(OR(B61="",J61=""),"",TODAY()-J61)</f>
        <v/>
      </c>
      <c r="R61" s="26">
        <f>IF(B61="","",IF(OR(K61="Accepted",K61="Rejected",K61="Withdrawn"),K61,IF(K61="Offer",IF(N61="","Offer","Offer, reply by "&amp;DAY(N61)&amp;" "&amp;CHOOSE(MONTH(N61),"Jan","Feb","Mar","Apr","May","Jun","Jul","Aug","Sep","Oct","Nov","Dec")),IF(OR(K61="",K61="Saved"),IF(N61="","To apply",IF(N61&lt;TODAY(),"Closing date passed","Apply by "&amp;DAY(N61)&amp;" "&amp;CHOOSE(MONTH(N61),"Jan","Feb","Mar","Apr","May","Jun","Jul","Aug","Sep","Oct","Nov","Dec"))),IF(AND(N61="",T61&gt;0,TODAY()-T61&gt;=N(Settings!$C$6)),"No reply",IF(U61="","Waiting",IF(U61&lt;TODAY(),"Follow up",IF(U61-TODAY()&lt;=2,"Due "&amp;DAY(U61)&amp;" "&amp;CHOOSE(MONTH(U61),"Jan","Feb","Mar","Apr","May","Jun","Jul","Aug","Sep","Oct","Nov","Dec"),"Waiting"))))))))</f>
        <v/>
      </c>
      <c r="S61" s="1" t="n"/>
      <c r="T61">
        <f>MAX(N(J61),N(L61))</f>
        <v/>
      </c>
      <c r="U61">
        <f>IF(N61&lt;&gt;"",N61,IF(T61=0,"",T61+N(Settings!$C$5)))</f>
        <v/>
      </c>
      <c r="V61">
        <f>IF(AND(B61&lt;&gt;"",U61&lt;&gt;"",OR(R61="Follow up",LEFT(R61,3)="Due",R61="Waiting",LEFT(R61,5)="Apply",LEFT(R61,5)="Offer")),U61+ROW()/10000000,"")</f>
        <v/>
      </c>
      <c r="W61">
        <f>IF(B61="","",IF(M61&lt;&gt;"",M61,IF(OR(K61="",K61="Saved"),"Apply",IF(K61="Offer","Reply to the offer","Follow up"))))</f>
        <v/>
      </c>
    </row>
    <row r="62">
      <c r="A62" s="1" t="n"/>
      <c r="B62" s="21" t="n"/>
      <c r="C62" s="22" t="n"/>
      <c r="D62" s="22" t="n"/>
      <c r="E62" s="22" t="n"/>
      <c r="F62" s="23" t="n"/>
      <c r="G62" s="23" t="n"/>
      <c r="H62" s="22" t="n"/>
      <c r="I62" s="24" t="n"/>
      <c r="J62" s="24" t="n"/>
      <c r="K62" s="25" t="n"/>
      <c r="L62" s="24" t="n"/>
      <c r="M62" s="22" t="n"/>
      <c r="N62" s="24" t="n"/>
      <c r="O62" s="25" t="n"/>
      <c r="P62" s="22" t="n"/>
      <c r="Q62" s="18">
        <f>IF(OR(B62="",J62=""),"",TODAY()-J62)</f>
        <v/>
      </c>
      <c r="R62" s="26">
        <f>IF(B62="","",IF(OR(K62="Accepted",K62="Rejected",K62="Withdrawn"),K62,IF(K62="Offer",IF(N62="","Offer","Offer, reply by "&amp;DAY(N62)&amp;" "&amp;CHOOSE(MONTH(N62),"Jan","Feb","Mar","Apr","May","Jun","Jul","Aug","Sep","Oct","Nov","Dec")),IF(OR(K62="",K62="Saved"),IF(N62="","To apply",IF(N62&lt;TODAY(),"Closing date passed","Apply by "&amp;DAY(N62)&amp;" "&amp;CHOOSE(MONTH(N62),"Jan","Feb","Mar","Apr","May","Jun","Jul","Aug","Sep","Oct","Nov","Dec"))),IF(AND(N62="",T62&gt;0,TODAY()-T62&gt;=N(Settings!$C$6)),"No reply",IF(U62="","Waiting",IF(U62&lt;TODAY(),"Follow up",IF(U62-TODAY()&lt;=2,"Due "&amp;DAY(U62)&amp;" "&amp;CHOOSE(MONTH(U62),"Jan","Feb","Mar","Apr","May","Jun","Jul","Aug","Sep","Oct","Nov","Dec"),"Waiting"))))))))</f>
        <v/>
      </c>
      <c r="S62" s="1" t="n"/>
      <c r="T62">
        <f>MAX(N(J62),N(L62))</f>
        <v/>
      </c>
      <c r="U62">
        <f>IF(N62&lt;&gt;"",N62,IF(T62=0,"",T62+N(Settings!$C$5)))</f>
        <v/>
      </c>
      <c r="V62">
        <f>IF(AND(B62&lt;&gt;"",U62&lt;&gt;"",OR(R62="Follow up",LEFT(R62,3)="Due",R62="Waiting",LEFT(R62,5)="Apply",LEFT(R62,5)="Offer")),U62+ROW()/10000000,"")</f>
        <v/>
      </c>
      <c r="W62">
        <f>IF(B62="","",IF(M62&lt;&gt;"",M62,IF(OR(K62="",K62="Saved"),"Apply",IF(K62="Offer","Reply to the offer","Follow up"))))</f>
        <v/>
      </c>
    </row>
    <row r="63">
      <c r="A63" s="1" t="n"/>
      <c r="B63" s="21" t="n"/>
      <c r="C63" s="22" t="n"/>
      <c r="D63" s="22" t="n"/>
      <c r="E63" s="22" t="n"/>
      <c r="F63" s="23" t="n"/>
      <c r="G63" s="23" t="n"/>
      <c r="H63" s="22" t="n"/>
      <c r="I63" s="24" t="n"/>
      <c r="J63" s="24" t="n"/>
      <c r="K63" s="25" t="n"/>
      <c r="L63" s="24" t="n"/>
      <c r="M63" s="22" t="n"/>
      <c r="N63" s="24" t="n"/>
      <c r="O63" s="25" t="n"/>
      <c r="P63" s="22" t="n"/>
      <c r="Q63" s="18">
        <f>IF(OR(B63="",J63=""),"",TODAY()-J63)</f>
        <v/>
      </c>
      <c r="R63" s="26">
        <f>IF(B63="","",IF(OR(K63="Accepted",K63="Rejected",K63="Withdrawn"),K63,IF(K63="Offer",IF(N63="","Offer","Offer, reply by "&amp;DAY(N63)&amp;" "&amp;CHOOSE(MONTH(N63),"Jan","Feb","Mar","Apr","May","Jun","Jul","Aug","Sep","Oct","Nov","Dec")),IF(OR(K63="",K63="Saved"),IF(N63="","To apply",IF(N63&lt;TODAY(),"Closing date passed","Apply by "&amp;DAY(N63)&amp;" "&amp;CHOOSE(MONTH(N63),"Jan","Feb","Mar","Apr","May","Jun","Jul","Aug","Sep","Oct","Nov","Dec"))),IF(AND(N63="",T63&gt;0,TODAY()-T63&gt;=N(Settings!$C$6)),"No reply",IF(U63="","Waiting",IF(U63&lt;TODAY(),"Follow up",IF(U63-TODAY()&lt;=2,"Due "&amp;DAY(U63)&amp;" "&amp;CHOOSE(MONTH(U63),"Jan","Feb","Mar","Apr","May","Jun","Jul","Aug","Sep","Oct","Nov","Dec"),"Waiting"))))))))</f>
        <v/>
      </c>
      <c r="S63" s="1" t="n"/>
      <c r="T63">
        <f>MAX(N(J63),N(L63))</f>
        <v/>
      </c>
      <c r="U63">
        <f>IF(N63&lt;&gt;"",N63,IF(T63=0,"",T63+N(Settings!$C$5)))</f>
        <v/>
      </c>
      <c r="V63">
        <f>IF(AND(B63&lt;&gt;"",U63&lt;&gt;"",OR(R63="Follow up",LEFT(R63,3)="Due",R63="Waiting",LEFT(R63,5)="Apply",LEFT(R63,5)="Offer")),U63+ROW()/10000000,"")</f>
        <v/>
      </c>
      <c r="W63">
        <f>IF(B63="","",IF(M63&lt;&gt;"",M63,IF(OR(K63="",K63="Saved"),"Apply",IF(K63="Offer","Reply to the offer","Follow up"))))</f>
        <v/>
      </c>
    </row>
    <row r="64">
      <c r="A64" s="1" t="n"/>
      <c r="B64" s="21" t="n"/>
      <c r="C64" s="22" t="n"/>
      <c r="D64" s="22" t="n"/>
      <c r="E64" s="22" t="n"/>
      <c r="F64" s="23" t="n"/>
      <c r="G64" s="23" t="n"/>
      <c r="H64" s="22" t="n"/>
      <c r="I64" s="24" t="n"/>
      <c r="J64" s="24" t="n"/>
      <c r="K64" s="25" t="n"/>
      <c r="L64" s="24" t="n"/>
      <c r="M64" s="22" t="n"/>
      <c r="N64" s="24" t="n"/>
      <c r="O64" s="25" t="n"/>
      <c r="P64" s="22" t="n"/>
      <c r="Q64" s="18">
        <f>IF(OR(B64="",J64=""),"",TODAY()-J64)</f>
        <v/>
      </c>
      <c r="R64" s="26">
        <f>IF(B64="","",IF(OR(K64="Accepted",K64="Rejected",K64="Withdrawn"),K64,IF(K64="Offer",IF(N64="","Offer","Offer, reply by "&amp;DAY(N64)&amp;" "&amp;CHOOSE(MONTH(N64),"Jan","Feb","Mar","Apr","May","Jun","Jul","Aug","Sep","Oct","Nov","Dec")),IF(OR(K64="",K64="Saved"),IF(N64="","To apply",IF(N64&lt;TODAY(),"Closing date passed","Apply by "&amp;DAY(N64)&amp;" "&amp;CHOOSE(MONTH(N64),"Jan","Feb","Mar","Apr","May","Jun","Jul","Aug","Sep","Oct","Nov","Dec"))),IF(AND(N64="",T64&gt;0,TODAY()-T64&gt;=N(Settings!$C$6)),"No reply",IF(U64="","Waiting",IF(U64&lt;TODAY(),"Follow up",IF(U64-TODAY()&lt;=2,"Due "&amp;DAY(U64)&amp;" "&amp;CHOOSE(MONTH(U64),"Jan","Feb","Mar","Apr","May","Jun","Jul","Aug","Sep","Oct","Nov","Dec"),"Waiting"))))))))</f>
        <v/>
      </c>
      <c r="S64" s="1" t="n"/>
      <c r="T64">
        <f>MAX(N(J64),N(L64))</f>
        <v/>
      </c>
      <c r="U64">
        <f>IF(N64&lt;&gt;"",N64,IF(T64=0,"",T64+N(Settings!$C$5)))</f>
        <v/>
      </c>
      <c r="V64">
        <f>IF(AND(B64&lt;&gt;"",U64&lt;&gt;"",OR(R64="Follow up",LEFT(R64,3)="Due",R64="Waiting",LEFT(R64,5)="Apply",LEFT(R64,5)="Offer")),U64+ROW()/10000000,"")</f>
        <v/>
      </c>
      <c r="W64">
        <f>IF(B64="","",IF(M64&lt;&gt;"",M64,IF(OR(K64="",K64="Saved"),"Apply",IF(K64="Offer","Reply to the offer","Follow up"))))</f>
        <v/>
      </c>
    </row>
    <row r="65">
      <c r="A65" s="1" t="n"/>
      <c r="B65" s="21" t="n"/>
      <c r="C65" s="22" t="n"/>
      <c r="D65" s="22" t="n"/>
      <c r="E65" s="22" t="n"/>
      <c r="F65" s="23" t="n"/>
      <c r="G65" s="23" t="n"/>
      <c r="H65" s="22" t="n"/>
      <c r="I65" s="24" t="n"/>
      <c r="J65" s="24" t="n"/>
      <c r="K65" s="25" t="n"/>
      <c r="L65" s="24" t="n"/>
      <c r="M65" s="22" t="n"/>
      <c r="N65" s="24" t="n"/>
      <c r="O65" s="25" t="n"/>
      <c r="P65" s="22" t="n"/>
      <c r="Q65" s="18">
        <f>IF(OR(B65="",J65=""),"",TODAY()-J65)</f>
        <v/>
      </c>
      <c r="R65" s="26">
        <f>IF(B65="","",IF(OR(K65="Accepted",K65="Rejected",K65="Withdrawn"),K65,IF(K65="Offer",IF(N65="","Offer","Offer, reply by "&amp;DAY(N65)&amp;" "&amp;CHOOSE(MONTH(N65),"Jan","Feb","Mar","Apr","May","Jun","Jul","Aug","Sep","Oct","Nov","Dec")),IF(OR(K65="",K65="Saved"),IF(N65="","To apply",IF(N65&lt;TODAY(),"Closing date passed","Apply by "&amp;DAY(N65)&amp;" "&amp;CHOOSE(MONTH(N65),"Jan","Feb","Mar","Apr","May","Jun","Jul","Aug","Sep","Oct","Nov","Dec"))),IF(AND(N65="",T65&gt;0,TODAY()-T65&gt;=N(Settings!$C$6)),"No reply",IF(U65="","Waiting",IF(U65&lt;TODAY(),"Follow up",IF(U65-TODAY()&lt;=2,"Due "&amp;DAY(U65)&amp;" "&amp;CHOOSE(MONTH(U65),"Jan","Feb","Mar","Apr","May","Jun","Jul","Aug","Sep","Oct","Nov","Dec"),"Waiting"))))))))</f>
        <v/>
      </c>
      <c r="S65" s="1" t="n"/>
      <c r="T65">
        <f>MAX(N(J65),N(L65))</f>
        <v/>
      </c>
      <c r="U65">
        <f>IF(N65&lt;&gt;"",N65,IF(T65=0,"",T65+N(Settings!$C$5)))</f>
        <v/>
      </c>
      <c r="V65">
        <f>IF(AND(B65&lt;&gt;"",U65&lt;&gt;"",OR(R65="Follow up",LEFT(R65,3)="Due",R65="Waiting",LEFT(R65,5)="Apply",LEFT(R65,5)="Offer")),U65+ROW()/10000000,"")</f>
        <v/>
      </c>
      <c r="W65">
        <f>IF(B65="","",IF(M65&lt;&gt;"",M65,IF(OR(K65="",K65="Saved"),"Apply",IF(K65="Offer","Reply to the offer","Follow up"))))</f>
        <v/>
      </c>
    </row>
    <row r="66">
      <c r="A66" s="1" t="n"/>
      <c r="B66" s="21" t="n"/>
      <c r="C66" s="22" t="n"/>
      <c r="D66" s="22" t="n"/>
      <c r="E66" s="22" t="n"/>
      <c r="F66" s="23" t="n"/>
      <c r="G66" s="23" t="n"/>
      <c r="H66" s="22" t="n"/>
      <c r="I66" s="24" t="n"/>
      <c r="J66" s="24" t="n"/>
      <c r="K66" s="25" t="n"/>
      <c r="L66" s="24" t="n"/>
      <c r="M66" s="22" t="n"/>
      <c r="N66" s="24" t="n"/>
      <c r="O66" s="25" t="n"/>
      <c r="P66" s="22" t="n"/>
      <c r="Q66" s="18">
        <f>IF(OR(B66="",J66=""),"",TODAY()-J66)</f>
        <v/>
      </c>
      <c r="R66" s="26">
        <f>IF(B66="","",IF(OR(K66="Accepted",K66="Rejected",K66="Withdrawn"),K66,IF(K66="Offer",IF(N66="","Offer","Offer, reply by "&amp;DAY(N66)&amp;" "&amp;CHOOSE(MONTH(N66),"Jan","Feb","Mar","Apr","May","Jun","Jul","Aug","Sep","Oct","Nov","Dec")),IF(OR(K66="",K66="Saved"),IF(N66="","To apply",IF(N66&lt;TODAY(),"Closing date passed","Apply by "&amp;DAY(N66)&amp;" "&amp;CHOOSE(MONTH(N66),"Jan","Feb","Mar","Apr","May","Jun","Jul","Aug","Sep","Oct","Nov","Dec"))),IF(AND(N66="",T66&gt;0,TODAY()-T66&gt;=N(Settings!$C$6)),"No reply",IF(U66="","Waiting",IF(U66&lt;TODAY(),"Follow up",IF(U66-TODAY()&lt;=2,"Due "&amp;DAY(U66)&amp;" "&amp;CHOOSE(MONTH(U66),"Jan","Feb","Mar","Apr","May","Jun","Jul","Aug","Sep","Oct","Nov","Dec"),"Waiting"))))))))</f>
        <v/>
      </c>
      <c r="S66" s="1" t="n"/>
      <c r="T66">
        <f>MAX(N(J66),N(L66))</f>
        <v/>
      </c>
      <c r="U66">
        <f>IF(N66&lt;&gt;"",N66,IF(T66=0,"",T66+N(Settings!$C$5)))</f>
        <v/>
      </c>
      <c r="V66">
        <f>IF(AND(B66&lt;&gt;"",U66&lt;&gt;"",OR(R66="Follow up",LEFT(R66,3)="Due",R66="Waiting",LEFT(R66,5)="Apply",LEFT(R66,5)="Offer")),U66+ROW()/10000000,"")</f>
        <v/>
      </c>
      <c r="W66">
        <f>IF(B66="","",IF(M66&lt;&gt;"",M66,IF(OR(K66="",K66="Saved"),"Apply",IF(K66="Offer","Reply to the offer","Follow up"))))</f>
        <v/>
      </c>
    </row>
    <row r="67">
      <c r="A67" s="1" t="n"/>
      <c r="B67" s="21" t="n"/>
      <c r="C67" s="22" t="n"/>
      <c r="D67" s="22" t="n"/>
      <c r="E67" s="22" t="n"/>
      <c r="F67" s="23" t="n"/>
      <c r="G67" s="23" t="n"/>
      <c r="H67" s="22" t="n"/>
      <c r="I67" s="24" t="n"/>
      <c r="J67" s="24" t="n"/>
      <c r="K67" s="25" t="n"/>
      <c r="L67" s="24" t="n"/>
      <c r="M67" s="22" t="n"/>
      <c r="N67" s="24" t="n"/>
      <c r="O67" s="25" t="n"/>
      <c r="P67" s="22" t="n"/>
      <c r="Q67" s="18">
        <f>IF(OR(B67="",J67=""),"",TODAY()-J67)</f>
        <v/>
      </c>
      <c r="R67" s="26">
        <f>IF(B67="","",IF(OR(K67="Accepted",K67="Rejected",K67="Withdrawn"),K67,IF(K67="Offer",IF(N67="","Offer","Offer, reply by "&amp;DAY(N67)&amp;" "&amp;CHOOSE(MONTH(N67),"Jan","Feb","Mar","Apr","May","Jun","Jul","Aug","Sep","Oct","Nov","Dec")),IF(OR(K67="",K67="Saved"),IF(N67="","To apply",IF(N67&lt;TODAY(),"Closing date passed","Apply by "&amp;DAY(N67)&amp;" "&amp;CHOOSE(MONTH(N67),"Jan","Feb","Mar","Apr","May","Jun","Jul","Aug","Sep","Oct","Nov","Dec"))),IF(AND(N67="",T67&gt;0,TODAY()-T67&gt;=N(Settings!$C$6)),"No reply",IF(U67="","Waiting",IF(U67&lt;TODAY(),"Follow up",IF(U67-TODAY()&lt;=2,"Due "&amp;DAY(U67)&amp;" "&amp;CHOOSE(MONTH(U67),"Jan","Feb","Mar","Apr","May","Jun","Jul","Aug","Sep","Oct","Nov","Dec"),"Waiting"))))))))</f>
        <v/>
      </c>
      <c r="S67" s="1" t="n"/>
      <c r="T67">
        <f>MAX(N(J67),N(L67))</f>
        <v/>
      </c>
      <c r="U67">
        <f>IF(N67&lt;&gt;"",N67,IF(T67=0,"",T67+N(Settings!$C$5)))</f>
        <v/>
      </c>
      <c r="V67">
        <f>IF(AND(B67&lt;&gt;"",U67&lt;&gt;"",OR(R67="Follow up",LEFT(R67,3)="Due",R67="Waiting",LEFT(R67,5)="Apply",LEFT(R67,5)="Offer")),U67+ROW()/10000000,"")</f>
        <v/>
      </c>
      <c r="W67">
        <f>IF(B67="","",IF(M67&lt;&gt;"",M67,IF(OR(K67="",K67="Saved"),"Apply",IF(K67="Offer","Reply to the offer","Follow up"))))</f>
        <v/>
      </c>
    </row>
    <row r="68">
      <c r="A68" s="1" t="n"/>
      <c r="B68" s="21" t="n"/>
      <c r="C68" s="22" t="n"/>
      <c r="D68" s="22" t="n"/>
      <c r="E68" s="22" t="n"/>
      <c r="F68" s="23" t="n"/>
      <c r="G68" s="23" t="n"/>
      <c r="H68" s="22" t="n"/>
      <c r="I68" s="24" t="n"/>
      <c r="J68" s="24" t="n"/>
      <c r="K68" s="25" t="n"/>
      <c r="L68" s="24" t="n"/>
      <c r="M68" s="22" t="n"/>
      <c r="N68" s="24" t="n"/>
      <c r="O68" s="25" t="n"/>
      <c r="P68" s="22" t="n"/>
      <c r="Q68" s="18">
        <f>IF(OR(B68="",J68=""),"",TODAY()-J68)</f>
        <v/>
      </c>
      <c r="R68" s="26">
        <f>IF(B68="","",IF(OR(K68="Accepted",K68="Rejected",K68="Withdrawn"),K68,IF(K68="Offer",IF(N68="","Offer","Offer, reply by "&amp;DAY(N68)&amp;" "&amp;CHOOSE(MONTH(N68),"Jan","Feb","Mar","Apr","May","Jun","Jul","Aug","Sep","Oct","Nov","Dec")),IF(OR(K68="",K68="Saved"),IF(N68="","To apply",IF(N68&lt;TODAY(),"Closing date passed","Apply by "&amp;DAY(N68)&amp;" "&amp;CHOOSE(MONTH(N68),"Jan","Feb","Mar","Apr","May","Jun","Jul","Aug","Sep","Oct","Nov","Dec"))),IF(AND(N68="",T68&gt;0,TODAY()-T68&gt;=N(Settings!$C$6)),"No reply",IF(U68="","Waiting",IF(U68&lt;TODAY(),"Follow up",IF(U68-TODAY()&lt;=2,"Due "&amp;DAY(U68)&amp;" "&amp;CHOOSE(MONTH(U68),"Jan","Feb","Mar","Apr","May","Jun","Jul","Aug","Sep","Oct","Nov","Dec"),"Waiting"))))))))</f>
        <v/>
      </c>
      <c r="S68" s="1" t="n"/>
      <c r="T68">
        <f>MAX(N(J68),N(L68))</f>
        <v/>
      </c>
      <c r="U68">
        <f>IF(N68&lt;&gt;"",N68,IF(T68=0,"",T68+N(Settings!$C$5)))</f>
        <v/>
      </c>
      <c r="V68">
        <f>IF(AND(B68&lt;&gt;"",U68&lt;&gt;"",OR(R68="Follow up",LEFT(R68,3)="Due",R68="Waiting",LEFT(R68,5)="Apply",LEFT(R68,5)="Offer")),U68+ROW()/10000000,"")</f>
        <v/>
      </c>
      <c r="W68">
        <f>IF(B68="","",IF(M68&lt;&gt;"",M68,IF(OR(K68="",K68="Saved"),"Apply",IF(K68="Offer","Reply to the offer","Follow up"))))</f>
        <v/>
      </c>
    </row>
    <row r="69">
      <c r="A69" s="1" t="n"/>
      <c r="B69" s="21" t="n"/>
      <c r="C69" s="22" t="n"/>
      <c r="D69" s="22" t="n"/>
      <c r="E69" s="22" t="n"/>
      <c r="F69" s="23" t="n"/>
      <c r="G69" s="23" t="n"/>
      <c r="H69" s="22" t="n"/>
      <c r="I69" s="24" t="n"/>
      <c r="J69" s="24" t="n"/>
      <c r="K69" s="25" t="n"/>
      <c r="L69" s="24" t="n"/>
      <c r="M69" s="22" t="n"/>
      <c r="N69" s="24" t="n"/>
      <c r="O69" s="25" t="n"/>
      <c r="P69" s="22" t="n"/>
      <c r="Q69" s="18">
        <f>IF(OR(B69="",J69=""),"",TODAY()-J69)</f>
        <v/>
      </c>
      <c r="R69" s="26">
        <f>IF(B69="","",IF(OR(K69="Accepted",K69="Rejected",K69="Withdrawn"),K69,IF(K69="Offer",IF(N69="","Offer","Offer, reply by "&amp;DAY(N69)&amp;" "&amp;CHOOSE(MONTH(N69),"Jan","Feb","Mar","Apr","May","Jun","Jul","Aug","Sep","Oct","Nov","Dec")),IF(OR(K69="",K69="Saved"),IF(N69="","To apply",IF(N69&lt;TODAY(),"Closing date passed","Apply by "&amp;DAY(N69)&amp;" "&amp;CHOOSE(MONTH(N69),"Jan","Feb","Mar","Apr","May","Jun","Jul","Aug","Sep","Oct","Nov","Dec"))),IF(AND(N69="",T69&gt;0,TODAY()-T69&gt;=N(Settings!$C$6)),"No reply",IF(U69="","Waiting",IF(U69&lt;TODAY(),"Follow up",IF(U69-TODAY()&lt;=2,"Due "&amp;DAY(U69)&amp;" "&amp;CHOOSE(MONTH(U69),"Jan","Feb","Mar","Apr","May","Jun","Jul","Aug","Sep","Oct","Nov","Dec"),"Waiting"))))))))</f>
        <v/>
      </c>
      <c r="S69" s="1" t="n"/>
      <c r="T69">
        <f>MAX(N(J69),N(L69))</f>
        <v/>
      </c>
      <c r="U69">
        <f>IF(N69&lt;&gt;"",N69,IF(T69=0,"",T69+N(Settings!$C$5)))</f>
        <v/>
      </c>
      <c r="V69">
        <f>IF(AND(B69&lt;&gt;"",U69&lt;&gt;"",OR(R69="Follow up",LEFT(R69,3)="Due",R69="Waiting",LEFT(R69,5)="Apply",LEFT(R69,5)="Offer")),U69+ROW()/10000000,"")</f>
        <v/>
      </c>
      <c r="W69">
        <f>IF(B69="","",IF(M69&lt;&gt;"",M69,IF(OR(K69="",K69="Saved"),"Apply",IF(K69="Offer","Reply to the offer","Follow up"))))</f>
        <v/>
      </c>
    </row>
    <row r="70">
      <c r="A70" s="1" t="n"/>
      <c r="B70" s="21" t="n"/>
      <c r="C70" s="22" t="n"/>
      <c r="D70" s="22" t="n"/>
      <c r="E70" s="22" t="n"/>
      <c r="F70" s="23" t="n"/>
      <c r="G70" s="23" t="n"/>
      <c r="H70" s="22" t="n"/>
      <c r="I70" s="24" t="n"/>
      <c r="J70" s="24" t="n"/>
      <c r="K70" s="25" t="n"/>
      <c r="L70" s="24" t="n"/>
      <c r="M70" s="22" t="n"/>
      <c r="N70" s="24" t="n"/>
      <c r="O70" s="25" t="n"/>
      <c r="P70" s="22" t="n"/>
      <c r="Q70" s="18">
        <f>IF(OR(B70="",J70=""),"",TODAY()-J70)</f>
        <v/>
      </c>
      <c r="R70" s="26">
        <f>IF(B70="","",IF(OR(K70="Accepted",K70="Rejected",K70="Withdrawn"),K70,IF(K70="Offer",IF(N70="","Offer","Offer, reply by "&amp;DAY(N70)&amp;" "&amp;CHOOSE(MONTH(N70),"Jan","Feb","Mar","Apr","May","Jun","Jul","Aug","Sep","Oct","Nov","Dec")),IF(OR(K70="",K70="Saved"),IF(N70="","To apply",IF(N70&lt;TODAY(),"Closing date passed","Apply by "&amp;DAY(N70)&amp;" "&amp;CHOOSE(MONTH(N70),"Jan","Feb","Mar","Apr","May","Jun","Jul","Aug","Sep","Oct","Nov","Dec"))),IF(AND(N70="",T70&gt;0,TODAY()-T70&gt;=N(Settings!$C$6)),"No reply",IF(U70="","Waiting",IF(U70&lt;TODAY(),"Follow up",IF(U70-TODAY()&lt;=2,"Due "&amp;DAY(U70)&amp;" "&amp;CHOOSE(MONTH(U70),"Jan","Feb","Mar","Apr","May","Jun","Jul","Aug","Sep","Oct","Nov","Dec"),"Waiting"))))))))</f>
        <v/>
      </c>
      <c r="S70" s="1" t="n"/>
      <c r="T70">
        <f>MAX(N(J70),N(L70))</f>
        <v/>
      </c>
      <c r="U70">
        <f>IF(N70&lt;&gt;"",N70,IF(T70=0,"",T70+N(Settings!$C$5)))</f>
        <v/>
      </c>
      <c r="V70">
        <f>IF(AND(B70&lt;&gt;"",U70&lt;&gt;"",OR(R70="Follow up",LEFT(R70,3)="Due",R70="Waiting",LEFT(R70,5)="Apply",LEFT(R70,5)="Offer")),U70+ROW()/10000000,"")</f>
        <v/>
      </c>
      <c r="W70">
        <f>IF(B70="","",IF(M70&lt;&gt;"",M70,IF(OR(K70="",K70="Saved"),"Apply",IF(K70="Offer","Reply to the offer","Follow up"))))</f>
        <v/>
      </c>
    </row>
    <row r="71">
      <c r="A71" s="1" t="n"/>
      <c r="B71" s="21" t="n"/>
      <c r="C71" s="22" t="n"/>
      <c r="D71" s="22" t="n"/>
      <c r="E71" s="22" t="n"/>
      <c r="F71" s="23" t="n"/>
      <c r="G71" s="23" t="n"/>
      <c r="H71" s="22" t="n"/>
      <c r="I71" s="24" t="n"/>
      <c r="J71" s="24" t="n"/>
      <c r="K71" s="25" t="n"/>
      <c r="L71" s="24" t="n"/>
      <c r="M71" s="22" t="n"/>
      <c r="N71" s="24" t="n"/>
      <c r="O71" s="25" t="n"/>
      <c r="P71" s="22" t="n"/>
      <c r="Q71" s="18">
        <f>IF(OR(B71="",J71=""),"",TODAY()-J71)</f>
        <v/>
      </c>
      <c r="R71" s="26">
        <f>IF(B71="","",IF(OR(K71="Accepted",K71="Rejected",K71="Withdrawn"),K71,IF(K71="Offer",IF(N71="","Offer","Offer, reply by "&amp;DAY(N71)&amp;" "&amp;CHOOSE(MONTH(N71),"Jan","Feb","Mar","Apr","May","Jun","Jul","Aug","Sep","Oct","Nov","Dec")),IF(OR(K71="",K71="Saved"),IF(N71="","To apply",IF(N71&lt;TODAY(),"Closing date passed","Apply by "&amp;DAY(N71)&amp;" "&amp;CHOOSE(MONTH(N71),"Jan","Feb","Mar","Apr","May","Jun","Jul","Aug","Sep","Oct","Nov","Dec"))),IF(AND(N71="",T71&gt;0,TODAY()-T71&gt;=N(Settings!$C$6)),"No reply",IF(U71="","Waiting",IF(U71&lt;TODAY(),"Follow up",IF(U71-TODAY()&lt;=2,"Due "&amp;DAY(U71)&amp;" "&amp;CHOOSE(MONTH(U71),"Jan","Feb","Mar","Apr","May","Jun","Jul","Aug","Sep","Oct","Nov","Dec"),"Waiting"))))))))</f>
        <v/>
      </c>
      <c r="S71" s="1" t="n"/>
      <c r="T71">
        <f>MAX(N(J71),N(L71))</f>
        <v/>
      </c>
      <c r="U71">
        <f>IF(N71&lt;&gt;"",N71,IF(T71=0,"",T71+N(Settings!$C$5)))</f>
        <v/>
      </c>
      <c r="V71">
        <f>IF(AND(B71&lt;&gt;"",U71&lt;&gt;"",OR(R71="Follow up",LEFT(R71,3)="Due",R71="Waiting",LEFT(R71,5)="Apply",LEFT(R71,5)="Offer")),U71+ROW()/10000000,"")</f>
        <v/>
      </c>
      <c r="W71">
        <f>IF(B71="","",IF(M71&lt;&gt;"",M71,IF(OR(K71="",K71="Saved"),"Apply",IF(K71="Offer","Reply to the offer","Follow up"))))</f>
        <v/>
      </c>
    </row>
    <row r="72">
      <c r="A72" s="1" t="n"/>
      <c r="B72" s="21" t="n"/>
      <c r="C72" s="22" t="n"/>
      <c r="D72" s="22" t="n"/>
      <c r="E72" s="22" t="n"/>
      <c r="F72" s="23" t="n"/>
      <c r="G72" s="23" t="n"/>
      <c r="H72" s="22" t="n"/>
      <c r="I72" s="24" t="n"/>
      <c r="J72" s="24" t="n"/>
      <c r="K72" s="25" t="n"/>
      <c r="L72" s="24" t="n"/>
      <c r="M72" s="22" t="n"/>
      <c r="N72" s="24" t="n"/>
      <c r="O72" s="25" t="n"/>
      <c r="P72" s="22" t="n"/>
      <c r="Q72" s="18">
        <f>IF(OR(B72="",J72=""),"",TODAY()-J72)</f>
        <v/>
      </c>
      <c r="R72" s="26">
        <f>IF(B72="","",IF(OR(K72="Accepted",K72="Rejected",K72="Withdrawn"),K72,IF(K72="Offer",IF(N72="","Offer","Offer, reply by "&amp;DAY(N72)&amp;" "&amp;CHOOSE(MONTH(N72),"Jan","Feb","Mar","Apr","May","Jun","Jul","Aug","Sep","Oct","Nov","Dec")),IF(OR(K72="",K72="Saved"),IF(N72="","To apply",IF(N72&lt;TODAY(),"Closing date passed","Apply by "&amp;DAY(N72)&amp;" "&amp;CHOOSE(MONTH(N72),"Jan","Feb","Mar","Apr","May","Jun","Jul","Aug","Sep","Oct","Nov","Dec"))),IF(AND(N72="",T72&gt;0,TODAY()-T72&gt;=N(Settings!$C$6)),"No reply",IF(U72="","Waiting",IF(U72&lt;TODAY(),"Follow up",IF(U72-TODAY()&lt;=2,"Due "&amp;DAY(U72)&amp;" "&amp;CHOOSE(MONTH(U72),"Jan","Feb","Mar","Apr","May","Jun","Jul","Aug","Sep","Oct","Nov","Dec"),"Waiting"))))))))</f>
        <v/>
      </c>
      <c r="S72" s="1" t="n"/>
      <c r="T72">
        <f>MAX(N(J72),N(L72))</f>
        <v/>
      </c>
      <c r="U72">
        <f>IF(N72&lt;&gt;"",N72,IF(T72=0,"",T72+N(Settings!$C$5)))</f>
        <v/>
      </c>
      <c r="V72">
        <f>IF(AND(B72&lt;&gt;"",U72&lt;&gt;"",OR(R72="Follow up",LEFT(R72,3)="Due",R72="Waiting",LEFT(R72,5)="Apply",LEFT(R72,5)="Offer")),U72+ROW()/10000000,"")</f>
        <v/>
      </c>
      <c r="W72">
        <f>IF(B72="","",IF(M72&lt;&gt;"",M72,IF(OR(K72="",K72="Saved"),"Apply",IF(K72="Offer","Reply to the offer","Follow up"))))</f>
        <v/>
      </c>
    </row>
    <row r="73">
      <c r="A73" s="1" t="n"/>
      <c r="B73" s="21" t="n"/>
      <c r="C73" s="22" t="n"/>
      <c r="D73" s="22" t="n"/>
      <c r="E73" s="22" t="n"/>
      <c r="F73" s="23" t="n"/>
      <c r="G73" s="23" t="n"/>
      <c r="H73" s="22" t="n"/>
      <c r="I73" s="24" t="n"/>
      <c r="J73" s="24" t="n"/>
      <c r="K73" s="25" t="n"/>
      <c r="L73" s="24" t="n"/>
      <c r="M73" s="22" t="n"/>
      <c r="N73" s="24" t="n"/>
      <c r="O73" s="25" t="n"/>
      <c r="P73" s="22" t="n"/>
      <c r="Q73" s="18">
        <f>IF(OR(B73="",J73=""),"",TODAY()-J73)</f>
        <v/>
      </c>
      <c r="R73" s="26">
        <f>IF(B73="","",IF(OR(K73="Accepted",K73="Rejected",K73="Withdrawn"),K73,IF(K73="Offer",IF(N73="","Offer","Offer, reply by "&amp;DAY(N73)&amp;" "&amp;CHOOSE(MONTH(N73),"Jan","Feb","Mar","Apr","May","Jun","Jul","Aug","Sep","Oct","Nov","Dec")),IF(OR(K73="",K73="Saved"),IF(N73="","To apply",IF(N73&lt;TODAY(),"Closing date passed","Apply by "&amp;DAY(N73)&amp;" "&amp;CHOOSE(MONTH(N73),"Jan","Feb","Mar","Apr","May","Jun","Jul","Aug","Sep","Oct","Nov","Dec"))),IF(AND(N73="",T73&gt;0,TODAY()-T73&gt;=N(Settings!$C$6)),"No reply",IF(U73="","Waiting",IF(U73&lt;TODAY(),"Follow up",IF(U73-TODAY()&lt;=2,"Due "&amp;DAY(U73)&amp;" "&amp;CHOOSE(MONTH(U73),"Jan","Feb","Mar","Apr","May","Jun","Jul","Aug","Sep","Oct","Nov","Dec"),"Waiting"))))))))</f>
        <v/>
      </c>
      <c r="S73" s="1" t="n"/>
      <c r="T73">
        <f>MAX(N(J73),N(L73))</f>
        <v/>
      </c>
      <c r="U73">
        <f>IF(N73&lt;&gt;"",N73,IF(T73=0,"",T73+N(Settings!$C$5)))</f>
        <v/>
      </c>
      <c r="V73">
        <f>IF(AND(B73&lt;&gt;"",U73&lt;&gt;"",OR(R73="Follow up",LEFT(R73,3)="Due",R73="Waiting",LEFT(R73,5)="Apply",LEFT(R73,5)="Offer")),U73+ROW()/10000000,"")</f>
        <v/>
      </c>
      <c r="W73">
        <f>IF(B73="","",IF(M73&lt;&gt;"",M73,IF(OR(K73="",K73="Saved"),"Apply",IF(K73="Offer","Reply to the offer","Follow up"))))</f>
        <v/>
      </c>
    </row>
    <row r="74">
      <c r="A74" s="1" t="n"/>
      <c r="B74" s="21" t="n"/>
      <c r="C74" s="22" t="n"/>
      <c r="D74" s="22" t="n"/>
      <c r="E74" s="22" t="n"/>
      <c r="F74" s="23" t="n"/>
      <c r="G74" s="23" t="n"/>
      <c r="H74" s="22" t="n"/>
      <c r="I74" s="24" t="n"/>
      <c r="J74" s="24" t="n"/>
      <c r="K74" s="25" t="n"/>
      <c r="L74" s="24" t="n"/>
      <c r="M74" s="22" t="n"/>
      <c r="N74" s="24" t="n"/>
      <c r="O74" s="25" t="n"/>
      <c r="P74" s="22" t="n"/>
      <c r="Q74" s="18">
        <f>IF(OR(B74="",J74=""),"",TODAY()-J74)</f>
        <v/>
      </c>
      <c r="R74" s="26">
        <f>IF(B74="","",IF(OR(K74="Accepted",K74="Rejected",K74="Withdrawn"),K74,IF(K74="Offer",IF(N74="","Offer","Offer, reply by "&amp;DAY(N74)&amp;" "&amp;CHOOSE(MONTH(N74),"Jan","Feb","Mar","Apr","May","Jun","Jul","Aug","Sep","Oct","Nov","Dec")),IF(OR(K74="",K74="Saved"),IF(N74="","To apply",IF(N74&lt;TODAY(),"Closing date passed","Apply by "&amp;DAY(N74)&amp;" "&amp;CHOOSE(MONTH(N74),"Jan","Feb","Mar","Apr","May","Jun","Jul","Aug","Sep","Oct","Nov","Dec"))),IF(AND(N74="",T74&gt;0,TODAY()-T74&gt;=N(Settings!$C$6)),"No reply",IF(U74="","Waiting",IF(U74&lt;TODAY(),"Follow up",IF(U74-TODAY()&lt;=2,"Due "&amp;DAY(U74)&amp;" "&amp;CHOOSE(MONTH(U74),"Jan","Feb","Mar","Apr","May","Jun","Jul","Aug","Sep","Oct","Nov","Dec"),"Waiting"))))))))</f>
        <v/>
      </c>
      <c r="S74" s="1" t="n"/>
      <c r="T74">
        <f>MAX(N(J74),N(L74))</f>
        <v/>
      </c>
      <c r="U74">
        <f>IF(N74&lt;&gt;"",N74,IF(T74=0,"",T74+N(Settings!$C$5)))</f>
        <v/>
      </c>
      <c r="V74">
        <f>IF(AND(B74&lt;&gt;"",U74&lt;&gt;"",OR(R74="Follow up",LEFT(R74,3)="Due",R74="Waiting",LEFT(R74,5)="Apply",LEFT(R74,5)="Offer")),U74+ROW()/10000000,"")</f>
        <v/>
      </c>
      <c r="W74">
        <f>IF(B74="","",IF(M74&lt;&gt;"",M74,IF(OR(K74="",K74="Saved"),"Apply",IF(K74="Offer","Reply to the offer","Follow up"))))</f>
        <v/>
      </c>
    </row>
    <row r="75">
      <c r="A75" s="1" t="n"/>
      <c r="B75" s="21" t="n"/>
      <c r="C75" s="22" t="n"/>
      <c r="D75" s="22" t="n"/>
      <c r="E75" s="22" t="n"/>
      <c r="F75" s="23" t="n"/>
      <c r="G75" s="23" t="n"/>
      <c r="H75" s="22" t="n"/>
      <c r="I75" s="24" t="n"/>
      <c r="J75" s="24" t="n"/>
      <c r="K75" s="25" t="n"/>
      <c r="L75" s="24" t="n"/>
      <c r="M75" s="22" t="n"/>
      <c r="N75" s="24" t="n"/>
      <c r="O75" s="25" t="n"/>
      <c r="P75" s="22" t="n"/>
      <c r="Q75" s="18">
        <f>IF(OR(B75="",J75=""),"",TODAY()-J75)</f>
        <v/>
      </c>
      <c r="R75" s="26">
        <f>IF(B75="","",IF(OR(K75="Accepted",K75="Rejected",K75="Withdrawn"),K75,IF(K75="Offer",IF(N75="","Offer","Offer, reply by "&amp;DAY(N75)&amp;" "&amp;CHOOSE(MONTH(N75),"Jan","Feb","Mar","Apr","May","Jun","Jul","Aug","Sep","Oct","Nov","Dec")),IF(OR(K75="",K75="Saved"),IF(N75="","To apply",IF(N75&lt;TODAY(),"Closing date passed","Apply by "&amp;DAY(N75)&amp;" "&amp;CHOOSE(MONTH(N75),"Jan","Feb","Mar","Apr","May","Jun","Jul","Aug","Sep","Oct","Nov","Dec"))),IF(AND(N75="",T75&gt;0,TODAY()-T75&gt;=N(Settings!$C$6)),"No reply",IF(U75="","Waiting",IF(U75&lt;TODAY(),"Follow up",IF(U75-TODAY()&lt;=2,"Due "&amp;DAY(U75)&amp;" "&amp;CHOOSE(MONTH(U75),"Jan","Feb","Mar","Apr","May","Jun","Jul","Aug","Sep","Oct","Nov","Dec"),"Waiting"))))))))</f>
        <v/>
      </c>
      <c r="S75" s="1" t="n"/>
      <c r="T75">
        <f>MAX(N(J75),N(L75))</f>
        <v/>
      </c>
      <c r="U75">
        <f>IF(N75&lt;&gt;"",N75,IF(T75=0,"",T75+N(Settings!$C$5)))</f>
        <v/>
      </c>
      <c r="V75">
        <f>IF(AND(B75&lt;&gt;"",U75&lt;&gt;"",OR(R75="Follow up",LEFT(R75,3)="Due",R75="Waiting",LEFT(R75,5)="Apply",LEFT(R75,5)="Offer")),U75+ROW()/10000000,"")</f>
        <v/>
      </c>
      <c r="W75">
        <f>IF(B75="","",IF(M75&lt;&gt;"",M75,IF(OR(K75="",K75="Saved"),"Apply",IF(K75="Offer","Reply to the offer","Follow up"))))</f>
        <v/>
      </c>
    </row>
    <row r="76">
      <c r="A76" s="1" t="n"/>
      <c r="B76" s="21" t="n"/>
      <c r="C76" s="22" t="n"/>
      <c r="D76" s="22" t="n"/>
      <c r="E76" s="22" t="n"/>
      <c r="F76" s="23" t="n"/>
      <c r="G76" s="23" t="n"/>
      <c r="H76" s="22" t="n"/>
      <c r="I76" s="24" t="n"/>
      <c r="J76" s="24" t="n"/>
      <c r="K76" s="25" t="n"/>
      <c r="L76" s="24" t="n"/>
      <c r="M76" s="22" t="n"/>
      <c r="N76" s="24" t="n"/>
      <c r="O76" s="25" t="n"/>
      <c r="P76" s="22" t="n"/>
      <c r="Q76" s="18">
        <f>IF(OR(B76="",J76=""),"",TODAY()-J76)</f>
        <v/>
      </c>
      <c r="R76" s="26">
        <f>IF(B76="","",IF(OR(K76="Accepted",K76="Rejected",K76="Withdrawn"),K76,IF(K76="Offer",IF(N76="","Offer","Offer, reply by "&amp;DAY(N76)&amp;" "&amp;CHOOSE(MONTH(N76),"Jan","Feb","Mar","Apr","May","Jun","Jul","Aug","Sep","Oct","Nov","Dec")),IF(OR(K76="",K76="Saved"),IF(N76="","To apply",IF(N76&lt;TODAY(),"Closing date passed","Apply by "&amp;DAY(N76)&amp;" "&amp;CHOOSE(MONTH(N76),"Jan","Feb","Mar","Apr","May","Jun","Jul","Aug","Sep","Oct","Nov","Dec"))),IF(AND(N76="",T76&gt;0,TODAY()-T76&gt;=N(Settings!$C$6)),"No reply",IF(U76="","Waiting",IF(U76&lt;TODAY(),"Follow up",IF(U76-TODAY()&lt;=2,"Due "&amp;DAY(U76)&amp;" "&amp;CHOOSE(MONTH(U76),"Jan","Feb","Mar","Apr","May","Jun","Jul","Aug","Sep","Oct","Nov","Dec"),"Waiting"))))))))</f>
        <v/>
      </c>
      <c r="S76" s="1" t="n"/>
      <c r="T76">
        <f>MAX(N(J76),N(L76))</f>
        <v/>
      </c>
      <c r="U76">
        <f>IF(N76&lt;&gt;"",N76,IF(T76=0,"",T76+N(Settings!$C$5)))</f>
        <v/>
      </c>
      <c r="V76">
        <f>IF(AND(B76&lt;&gt;"",U76&lt;&gt;"",OR(R76="Follow up",LEFT(R76,3)="Due",R76="Waiting",LEFT(R76,5)="Apply",LEFT(R76,5)="Offer")),U76+ROW()/10000000,"")</f>
        <v/>
      </c>
      <c r="W76">
        <f>IF(B76="","",IF(M76&lt;&gt;"",M76,IF(OR(K76="",K76="Saved"),"Apply",IF(K76="Offer","Reply to the offer","Follow up"))))</f>
        <v/>
      </c>
    </row>
    <row r="77">
      <c r="A77" s="1" t="n"/>
      <c r="B77" s="21" t="n"/>
      <c r="C77" s="22" t="n"/>
      <c r="D77" s="22" t="n"/>
      <c r="E77" s="22" t="n"/>
      <c r="F77" s="23" t="n"/>
      <c r="G77" s="23" t="n"/>
      <c r="H77" s="22" t="n"/>
      <c r="I77" s="24" t="n"/>
      <c r="J77" s="24" t="n"/>
      <c r="K77" s="25" t="n"/>
      <c r="L77" s="24" t="n"/>
      <c r="M77" s="22" t="n"/>
      <c r="N77" s="24" t="n"/>
      <c r="O77" s="25" t="n"/>
      <c r="P77" s="22" t="n"/>
      <c r="Q77" s="18">
        <f>IF(OR(B77="",J77=""),"",TODAY()-J77)</f>
        <v/>
      </c>
      <c r="R77" s="26">
        <f>IF(B77="","",IF(OR(K77="Accepted",K77="Rejected",K77="Withdrawn"),K77,IF(K77="Offer",IF(N77="","Offer","Offer, reply by "&amp;DAY(N77)&amp;" "&amp;CHOOSE(MONTH(N77),"Jan","Feb","Mar","Apr","May","Jun","Jul","Aug","Sep","Oct","Nov","Dec")),IF(OR(K77="",K77="Saved"),IF(N77="","To apply",IF(N77&lt;TODAY(),"Closing date passed","Apply by "&amp;DAY(N77)&amp;" "&amp;CHOOSE(MONTH(N77),"Jan","Feb","Mar","Apr","May","Jun","Jul","Aug","Sep","Oct","Nov","Dec"))),IF(AND(N77="",T77&gt;0,TODAY()-T77&gt;=N(Settings!$C$6)),"No reply",IF(U77="","Waiting",IF(U77&lt;TODAY(),"Follow up",IF(U77-TODAY()&lt;=2,"Due "&amp;DAY(U77)&amp;" "&amp;CHOOSE(MONTH(U77),"Jan","Feb","Mar","Apr","May","Jun","Jul","Aug","Sep","Oct","Nov","Dec"),"Waiting"))))))))</f>
        <v/>
      </c>
      <c r="S77" s="1" t="n"/>
      <c r="T77">
        <f>MAX(N(J77),N(L77))</f>
        <v/>
      </c>
      <c r="U77">
        <f>IF(N77&lt;&gt;"",N77,IF(T77=0,"",T77+N(Settings!$C$5)))</f>
        <v/>
      </c>
      <c r="V77">
        <f>IF(AND(B77&lt;&gt;"",U77&lt;&gt;"",OR(R77="Follow up",LEFT(R77,3)="Due",R77="Waiting",LEFT(R77,5)="Apply",LEFT(R77,5)="Offer")),U77+ROW()/10000000,"")</f>
        <v/>
      </c>
      <c r="W77">
        <f>IF(B77="","",IF(M77&lt;&gt;"",M77,IF(OR(K77="",K77="Saved"),"Apply",IF(K77="Offer","Reply to the offer","Follow up"))))</f>
        <v/>
      </c>
    </row>
    <row r="78">
      <c r="A78" s="1" t="n"/>
      <c r="B78" s="21" t="n"/>
      <c r="C78" s="22" t="n"/>
      <c r="D78" s="22" t="n"/>
      <c r="E78" s="22" t="n"/>
      <c r="F78" s="23" t="n"/>
      <c r="G78" s="23" t="n"/>
      <c r="H78" s="22" t="n"/>
      <c r="I78" s="24" t="n"/>
      <c r="J78" s="24" t="n"/>
      <c r="K78" s="25" t="n"/>
      <c r="L78" s="24" t="n"/>
      <c r="M78" s="22" t="n"/>
      <c r="N78" s="24" t="n"/>
      <c r="O78" s="25" t="n"/>
      <c r="P78" s="22" t="n"/>
      <c r="Q78" s="18">
        <f>IF(OR(B78="",J78=""),"",TODAY()-J78)</f>
        <v/>
      </c>
      <c r="R78" s="26">
        <f>IF(B78="","",IF(OR(K78="Accepted",K78="Rejected",K78="Withdrawn"),K78,IF(K78="Offer",IF(N78="","Offer","Offer, reply by "&amp;DAY(N78)&amp;" "&amp;CHOOSE(MONTH(N78),"Jan","Feb","Mar","Apr","May","Jun","Jul","Aug","Sep","Oct","Nov","Dec")),IF(OR(K78="",K78="Saved"),IF(N78="","To apply",IF(N78&lt;TODAY(),"Closing date passed","Apply by "&amp;DAY(N78)&amp;" "&amp;CHOOSE(MONTH(N78),"Jan","Feb","Mar","Apr","May","Jun","Jul","Aug","Sep","Oct","Nov","Dec"))),IF(AND(N78="",T78&gt;0,TODAY()-T78&gt;=N(Settings!$C$6)),"No reply",IF(U78="","Waiting",IF(U78&lt;TODAY(),"Follow up",IF(U78-TODAY()&lt;=2,"Due "&amp;DAY(U78)&amp;" "&amp;CHOOSE(MONTH(U78),"Jan","Feb","Mar","Apr","May","Jun","Jul","Aug","Sep","Oct","Nov","Dec"),"Waiting"))))))))</f>
        <v/>
      </c>
      <c r="S78" s="1" t="n"/>
      <c r="T78">
        <f>MAX(N(J78),N(L78))</f>
        <v/>
      </c>
      <c r="U78">
        <f>IF(N78&lt;&gt;"",N78,IF(T78=0,"",T78+N(Settings!$C$5)))</f>
        <v/>
      </c>
      <c r="V78">
        <f>IF(AND(B78&lt;&gt;"",U78&lt;&gt;"",OR(R78="Follow up",LEFT(R78,3)="Due",R78="Waiting",LEFT(R78,5)="Apply",LEFT(R78,5)="Offer")),U78+ROW()/10000000,"")</f>
        <v/>
      </c>
      <c r="W78">
        <f>IF(B78="","",IF(M78&lt;&gt;"",M78,IF(OR(K78="",K78="Saved"),"Apply",IF(K78="Offer","Reply to the offer","Follow up"))))</f>
        <v/>
      </c>
    </row>
    <row r="79">
      <c r="A79" s="1" t="n"/>
      <c r="B79" s="21" t="n"/>
      <c r="C79" s="22" t="n"/>
      <c r="D79" s="22" t="n"/>
      <c r="E79" s="22" t="n"/>
      <c r="F79" s="23" t="n"/>
      <c r="G79" s="23" t="n"/>
      <c r="H79" s="22" t="n"/>
      <c r="I79" s="24" t="n"/>
      <c r="J79" s="24" t="n"/>
      <c r="K79" s="25" t="n"/>
      <c r="L79" s="24" t="n"/>
      <c r="M79" s="22" t="n"/>
      <c r="N79" s="24" t="n"/>
      <c r="O79" s="25" t="n"/>
      <c r="P79" s="22" t="n"/>
      <c r="Q79" s="18">
        <f>IF(OR(B79="",J79=""),"",TODAY()-J79)</f>
        <v/>
      </c>
      <c r="R79" s="26">
        <f>IF(B79="","",IF(OR(K79="Accepted",K79="Rejected",K79="Withdrawn"),K79,IF(K79="Offer",IF(N79="","Offer","Offer, reply by "&amp;DAY(N79)&amp;" "&amp;CHOOSE(MONTH(N79),"Jan","Feb","Mar","Apr","May","Jun","Jul","Aug","Sep","Oct","Nov","Dec")),IF(OR(K79="",K79="Saved"),IF(N79="","To apply",IF(N79&lt;TODAY(),"Closing date passed","Apply by "&amp;DAY(N79)&amp;" "&amp;CHOOSE(MONTH(N79),"Jan","Feb","Mar","Apr","May","Jun","Jul","Aug","Sep","Oct","Nov","Dec"))),IF(AND(N79="",T79&gt;0,TODAY()-T79&gt;=N(Settings!$C$6)),"No reply",IF(U79="","Waiting",IF(U79&lt;TODAY(),"Follow up",IF(U79-TODAY()&lt;=2,"Due "&amp;DAY(U79)&amp;" "&amp;CHOOSE(MONTH(U79),"Jan","Feb","Mar","Apr","May","Jun","Jul","Aug","Sep","Oct","Nov","Dec"),"Waiting"))))))))</f>
        <v/>
      </c>
      <c r="S79" s="1" t="n"/>
      <c r="T79">
        <f>MAX(N(J79),N(L79))</f>
        <v/>
      </c>
      <c r="U79">
        <f>IF(N79&lt;&gt;"",N79,IF(T79=0,"",T79+N(Settings!$C$5)))</f>
        <v/>
      </c>
      <c r="V79">
        <f>IF(AND(B79&lt;&gt;"",U79&lt;&gt;"",OR(R79="Follow up",LEFT(R79,3)="Due",R79="Waiting",LEFT(R79,5)="Apply",LEFT(R79,5)="Offer")),U79+ROW()/10000000,"")</f>
        <v/>
      </c>
      <c r="W79">
        <f>IF(B79="","",IF(M79&lt;&gt;"",M79,IF(OR(K79="",K79="Saved"),"Apply",IF(K79="Offer","Reply to the offer","Follow up"))))</f>
        <v/>
      </c>
    </row>
    <row r="80">
      <c r="A80" s="1" t="n"/>
      <c r="B80" s="21" t="n"/>
      <c r="C80" s="22" t="n"/>
      <c r="D80" s="22" t="n"/>
      <c r="E80" s="22" t="n"/>
      <c r="F80" s="23" t="n"/>
      <c r="G80" s="23" t="n"/>
      <c r="H80" s="22" t="n"/>
      <c r="I80" s="24" t="n"/>
      <c r="J80" s="24" t="n"/>
      <c r="K80" s="25" t="n"/>
      <c r="L80" s="24" t="n"/>
      <c r="M80" s="22" t="n"/>
      <c r="N80" s="24" t="n"/>
      <c r="O80" s="25" t="n"/>
      <c r="P80" s="22" t="n"/>
      <c r="Q80" s="18">
        <f>IF(OR(B80="",J80=""),"",TODAY()-J80)</f>
        <v/>
      </c>
      <c r="R80" s="26">
        <f>IF(B80="","",IF(OR(K80="Accepted",K80="Rejected",K80="Withdrawn"),K80,IF(K80="Offer",IF(N80="","Offer","Offer, reply by "&amp;DAY(N80)&amp;" "&amp;CHOOSE(MONTH(N80),"Jan","Feb","Mar","Apr","May","Jun","Jul","Aug","Sep","Oct","Nov","Dec")),IF(OR(K80="",K80="Saved"),IF(N80="","To apply",IF(N80&lt;TODAY(),"Closing date passed","Apply by "&amp;DAY(N80)&amp;" "&amp;CHOOSE(MONTH(N80),"Jan","Feb","Mar","Apr","May","Jun","Jul","Aug","Sep","Oct","Nov","Dec"))),IF(AND(N80="",T80&gt;0,TODAY()-T80&gt;=N(Settings!$C$6)),"No reply",IF(U80="","Waiting",IF(U80&lt;TODAY(),"Follow up",IF(U80-TODAY()&lt;=2,"Due "&amp;DAY(U80)&amp;" "&amp;CHOOSE(MONTH(U80),"Jan","Feb","Mar","Apr","May","Jun","Jul","Aug","Sep","Oct","Nov","Dec"),"Waiting"))))))))</f>
        <v/>
      </c>
      <c r="S80" s="1" t="n"/>
      <c r="T80">
        <f>MAX(N(J80),N(L80))</f>
        <v/>
      </c>
      <c r="U80">
        <f>IF(N80&lt;&gt;"",N80,IF(T80=0,"",T80+N(Settings!$C$5)))</f>
        <v/>
      </c>
      <c r="V80">
        <f>IF(AND(B80&lt;&gt;"",U80&lt;&gt;"",OR(R80="Follow up",LEFT(R80,3)="Due",R80="Waiting",LEFT(R80,5)="Apply",LEFT(R80,5)="Offer")),U80+ROW()/10000000,"")</f>
        <v/>
      </c>
      <c r="W80">
        <f>IF(B80="","",IF(M80&lt;&gt;"",M80,IF(OR(K80="",K80="Saved"),"Apply",IF(K80="Offer","Reply to the offer","Follow up"))))</f>
        <v/>
      </c>
    </row>
    <row r="81">
      <c r="A81" s="1" t="n"/>
      <c r="B81" s="21" t="n"/>
      <c r="C81" s="22" t="n"/>
      <c r="D81" s="22" t="n"/>
      <c r="E81" s="22" t="n"/>
      <c r="F81" s="23" t="n"/>
      <c r="G81" s="23" t="n"/>
      <c r="H81" s="22" t="n"/>
      <c r="I81" s="24" t="n"/>
      <c r="J81" s="24" t="n"/>
      <c r="K81" s="25" t="n"/>
      <c r="L81" s="24" t="n"/>
      <c r="M81" s="22" t="n"/>
      <c r="N81" s="24" t="n"/>
      <c r="O81" s="25" t="n"/>
      <c r="P81" s="22" t="n"/>
      <c r="Q81" s="18">
        <f>IF(OR(B81="",J81=""),"",TODAY()-J81)</f>
        <v/>
      </c>
      <c r="R81" s="26">
        <f>IF(B81="","",IF(OR(K81="Accepted",K81="Rejected",K81="Withdrawn"),K81,IF(K81="Offer",IF(N81="","Offer","Offer, reply by "&amp;DAY(N81)&amp;" "&amp;CHOOSE(MONTH(N81),"Jan","Feb","Mar","Apr","May","Jun","Jul","Aug","Sep","Oct","Nov","Dec")),IF(OR(K81="",K81="Saved"),IF(N81="","To apply",IF(N81&lt;TODAY(),"Closing date passed","Apply by "&amp;DAY(N81)&amp;" "&amp;CHOOSE(MONTH(N81),"Jan","Feb","Mar","Apr","May","Jun","Jul","Aug","Sep","Oct","Nov","Dec"))),IF(AND(N81="",T81&gt;0,TODAY()-T81&gt;=N(Settings!$C$6)),"No reply",IF(U81="","Waiting",IF(U81&lt;TODAY(),"Follow up",IF(U81-TODAY()&lt;=2,"Due "&amp;DAY(U81)&amp;" "&amp;CHOOSE(MONTH(U81),"Jan","Feb","Mar","Apr","May","Jun","Jul","Aug","Sep","Oct","Nov","Dec"),"Waiting"))))))))</f>
        <v/>
      </c>
      <c r="S81" s="1" t="n"/>
      <c r="T81">
        <f>MAX(N(J81),N(L81))</f>
        <v/>
      </c>
      <c r="U81">
        <f>IF(N81&lt;&gt;"",N81,IF(T81=0,"",T81+N(Settings!$C$5)))</f>
        <v/>
      </c>
      <c r="V81">
        <f>IF(AND(B81&lt;&gt;"",U81&lt;&gt;"",OR(R81="Follow up",LEFT(R81,3)="Due",R81="Waiting",LEFT(R81,5)="Apply",LEFT(R81,5)="Offer")),U81+ROW()/10000000,"")</f>
        <v/>
      </c>
      <c r="W81">
        <f>IF(B81="","",IF(M81&lt;&gt;"",M81,IF(OR(K81="",K81="Saved"),"Apply",IF(K81="Offer","Reply to the offer","Follow up"))))</f>
        <v/>
      </c>
    </row>
    <row r="82">
      <c r="A82" s="1" t="n"/>
      <c r="B82" s="21" t="n"/>
      <c r="C82" s="22" t="n"/>
      <c r="D82" s="22" t="n"/>
      <c r="E82" s="22" t="n"/>
      <c r="F82" s="23" t="n"/>
      <c r="G82" s="23" t="n"/>
      <c r="H82" s="22" t="n"/>
      <c r="I82" s="24" t="n"/>
      <c r="J82" s="24" t="n"/>
      <c r="K82" s="25" t="n"/>
      <c r="L82" s="24" t="n"/>
      <c r="M82" s="22" t="n"/>
      <c r="N82" s="24" t="n"/>
      <c r="O82" s="25" t="n"/>
      <c r="P82" s="22" t="n"/>
      <c r="Q82" s="18">
        <f>IF(OR(B82="",J82=""),"",TODAY()-J82)</f>
        <v/>
      </c>
      <c r="R82" s="26">
        <f>IF(B82="","",IF(OR(K82="Accepted",K82="Rejected",K82="Withdrawn"),K82,IF(K82="Offer",IF(N82="","Offer","Offer, reply by "&amp;DAY(N82)&amp;" "&amp;CHOOSE(MONTH(N82),"Jan","Feb","Mar","Apr","May","Jun","Jul","Aug","Sep","Oct","Nov","Dec")),IF(OR(K82="",K82="Saved"),IF(N82="","To apply",IF(N82&lt;TODAY(),"Closing date passed","Apply by "&amp;DAY(N82)&amp;" "&amp;CHOOSE(MONTH(N82),"Jan","Feb","Mar","Apr","May","Jun","Jul","Aug","Sep","Oct","Nov","Dec"))),IF(AND(N82="",T82&gt;0,TODAY()-T82&gt;=N(Settings!$C$6)),"No reply",IF(U82="","Waiting",IF(U82&lt;TODAY(),"Follow up",IF(U82-TODAY()&lt;=2,"Due "&amp;DAY(U82)&amp;" "&amp;CHOOSE(MONTH(U82),"Jan","Feb","Mar","Apr","May","Jun","Jul","Aug","Sep","Oct","Nov","Dec"),"Waiting"))))))))</f>
        <v/>
      </c>
      <c r="S82" s="1" t="n"/>
      <c r="T82">
        <f>MAX(N(J82),N(L82))</f>
        <v/>
      </c>
      <c r="U82">
        <f>IF(N82&lt;&gt;"",N82,IF(T82=0,"",T82+N(Settings!$C$5)))</f>
        <v/>
      </c>
      <c r="V82">
        <f>IF(AND(B82&lt;&gt;"",U82&lt;&gt;"",OR(R82="Follow up",LEFT(R82,3)="Due",R82="Waiting",LEFT(R82,5)="Apply",LEFT(R82,5)="Offer")),U82+ROW()/10000000,"")</f>
        <v/>
      </c>
      <c r="W82">
        <f>IF(B82="","",IF(M82&lt;&gt;"",M82,IF(OR(K82="",K82="Saved"),"Apply",IF(K82="Offer","Reply to the offer","Follow up"))))</f>
        <v/>
      </c>
    </row>
    <row r="83">
      <c r="A83" s="1" t="n"/>
      <c r="B83" s="21" t="n"/>
      <c r="C83" s="22" t="n"/>
      <c r="D83" s="22" t="n"/>
      <c r="E83" s="22" t="n"/>
      <c r="F83" s="23" t="n"/>
      <c r="G83" s="23" t="n"/>
      <c r="H83" s="22" t="n"/>
      <c r="I83" s="24" t="n"/>
      <c r="J83" s="24" t="n"/>
      <c r="K83" s="25" t="n"/>
      <c r="L83" s="24" t="n"/>
      <c r="M83" s="22" t="n"/>
      <c r="N83" s="24" t="n"/>
      <c r="O83" s="25" t="n"/>
      <c r="P83" s="22" t="n"/>
      <c r="Q83" s="18">
        <f>IF(OR(B83="",J83=""),"",TODAY()-J83)</f>
        <v/>
      </c>
      <c r="R83" s="26">
        <f>IF(B83="","",IF(OR(K83="Accepted",K83="Rejected",K83="Withdrawn"),K83,IF(K83="Offer",IF(N83="","Offer","Offer, reply by "&amp;DAY(N83)&amp;" "&amp;CHOOSE(MONTH(N83),"Jan","Feb","Mar","Apr","May","Jun","Jul","Aug","Sep","Oct","Nov","Dec")),IF(OR(K83="",K83="Saved"),IF(N83="","To apply",IF(N83&lt;TODAY(),"Closing date passed","Apply by "&amp;DAY(N83)&amp;" "&amp;CHOOSE(MONTH(N83),"Jan","Feb","Mar","Apr","May","Jun","Jul","Aug","Sep","Oct","Nov","Dec"))),IF(AND(N83="",T83&gt;0,TODAY()-T83&gt;=N(Settings!$C$6)),"No reply",IF(U83="","Waiting",IF(U83&lt;TODAY(),"Follow up",IF(U83-TODAY()&lt;=2,"Due "&amp;DAY(U83)&amp;" "&amp;CHOOSE(MONTH(U83),"Jan","Feb","Mar","Apr","May","Jun","Jul","Aug","Sep","Oct","Nov","Dec"),"Waiting"))))))))</f>
        <v/>
      </c>
      <c r="S83" s="1" t="n"/>
      <c r="T83">
        <f>MAX(N(J83),N(L83))</f>
        <v/>
      </c>
      <c r="U83">
        <f>IF(N83&lt;&gt;"",N83,IF(T83=0,"",T83+N(Settings!$C$5)))</f>
        <v/>
      </c>
      <c r="V83">
        <f>IF(AND(B83&lt;&gt;"",U83&lt;&gt;"",OR(R83="Follow up",LEFT(R83,3)="Due",R83="Waiting",LEFT(R83,5)="Apply",LEFT(R83,5)="Offer")),U83+ROW()/10000000,"")</f>
        <v/>
      </c>
      <c r="W83">
        <f>IF(B83="","",IF(M83&lt;&gt;"",M83,IF(OR(K83="",K83="Saved"),"Apply",IF(K83="Offer","Reply to the offer","Follow up"))))</f>
        <v/>
      </c>
    </row>
    <row r="84">
      <c r="A84" s="1" t="n"/>
      <c r="B84" s="21" t="n"/>
      <c r="C84" s="22" t="n"/>
      <c r="D84" s="22" t="n"/>
      <c r="E84" s="22" t="n"/>
      <c r="F84" s="23" t="n"/>
      <c r="G84" s="23" t="n"/>
      <c r="H84" s="22" t="n"/>
      <c r="I84" s="24" t="n"/>
      <c r="J84" s="24" t="n"/>
      <c r="K84" s="25" t="n"/>
      <c r="L84" s="24" t="n"/>
      <c r="M84" s="22" t="n"/>
      <c r="N84" s="24" t="n"/>
      <c r="O84" s="25" t="n"/>
      <c r="P84" s="22" t="n"/>
      <c r="Q84" s="18">
        <f>IF(OR(B84="",J84=""),"",TODAY()-J84)</f>
        <v/>
      </c>
      <c r="R84" s="26">
        <f>IF(B84="","",IF(OR(K84="Accepted",K84="Rejected",K84="Withdrawn"),K84,IF(K84="Offer",IF(N84="","Offer","Offer, reply by "&amp;DAY(N84)&amp;" "&amp;CHOOSE(MONTH(N84),"Jan","Feb","Mar","Apr","May","Jun","Jul","Aug","Sep","Oct","Nov","Dec")),IF(OR(K84="",K84="Saved"),IF(N84="","To apply",IF(N84&lt;TODAY(),"Closing date passed","Apply by "&amp;DAY(N84)&amp;" "&amp;CHOOSE(MONTH(N84),"Jan","Feb","Mar","Apr","May","Jun","Jul","Aug","Sep","Oct","Nov","Dec"))),IF(AND(N84="",T84&gt;0,TODAY()-T84&gt;=N(Settings!$C$6)),"No reply",IF(U84="","Waiting",IF(U84&lt;TODAY(),"Follow up",IF(U84-TODAY()&lt;=2,"Due "&amp;DAY(U84)&amp;" "&amp;CHOOSE(MONTH(U84),"Jan","Feb","Mar","Apr","May","Jun","Jul","Aug","Sep","Oct","Nov","Dec"),"Waiting"))))))))</f>
        <v/>
      </c>
      <c r="S84" s="1" t="n"/>
      <c r="T84">
        <f>MAX(N(J84),N(L84))</f>
        <v/>
      </c>
      <c r="U84">
        <f>IF(N84&lt;&gt;"",N84,IF(T84=0,"",T84+N(Settings!$C$5)))</f>
        <v/>
      </c>
      <c r="V84">
        <f>IF(AND(B84&lt;&gt;"",U84&lt;&gt;"",OR(R84="Follow up",LEFT(R84,3)="Due",R84="Waiting",LEFT(R84,5)="Apply",LEFT(R84,5)="Offer")),U84+ROW()/10000000,"")</f>
        <v/>
      </c>
      <c r="W84">
        <f>IF(B84="","",IF(M84&lt;&gt;"",M84,IF(OR(K84="",K84="Saved"),"Apply",IF(K84="Offer","Reply to the offer","Follow up"))))</f>
        <v/>
      </c>
    </row>
    <row r="85">
      <c r="A85" s="1" t="n"/>
      <c r="B85" s="21" t="n"/>
      <c r="C85" s="22" t="n"/>
      <c r="D85" s="22" t="n"/>
      <c r="E85" s="22" t="n"/>
      <c r="F85" s="23" t="n"/>
      <c r="G85" s="23" t="n"/>
      <c r="H85" s="22" t="n"/>
      <c r="I85" s="24" t="n"/>
      <c r="J85" s="24" t="n"/>
      <c r="K85" s="25" t="n"/>
      <c r="L85" s="24" t="n"/>
      <c r="M85" s="22" t="n"/>
      <c r="N85" s="24" t="n"/>
      <c r="O85" s="25" t="n"/>
      <c r="P85" s="22" t="n"/>
      <c r="Q85" s="18">
        <f>IF(OR(B85="",J85=""),"",TODAY()-J85)</f>
        <v/>
      </c>
      <c r="R85" s="26">
        <f>IF(B85="","",IF(OR(K85="Accepted",K85="Rejected",K85="Withdrawn"),K85,IF(K85="Offer",IF(N85="","Offer","Offer, reply by "&amp;DAY(N85)&amp;" "&amp;CHOOSE(MONTH(N85),"Jan","Feb","Mar","Apr","May","Jun","Jul","Aug","Sep","Oct","Nov","Dec")),IF(OR(K85="",K85="Saved"),IF(N85="","To apply",IF(N85&lt;TODAY(),"Closing date passed","Apply by "&amp;DAY(N85)&amp;" "&amp;CHOOSE(MONTH(N85),"Jan","Feb","Mar","Apr","May","Jun","Jul","Aug","Sep","Oct","Nov","Dec"))),IF(AND(N85="",T85&gt;0,TODAY()-T85&gt;=N(Settings!$C$6)),"No reply",IF(U85="","Waiting",IF(U85&lt;TODAY(),"Follow up",IF(U85-TODAY()&lt;=2,"Due "&amp;DAY(U85)&amp;" "&amp;CHOOSE(MONTH(U85),"Jan","Feb","Mar","Apr","May","Jun","Jul","Aug","Sep","Oct","Nov","Dec"),"Waiting"))))))))</f>
        <v/>
      </c>
      <c r="S85" s="1" t="n"/>
      <c r="T85">
        <f>MAX(N(J85),N(L85))</f>
        <v/>
      </c>
      <c r="U85">
        <f>IF(N85&lt;&gt;"",N85,IF(T85=0,"",T85+N(Settings!$C$5)))</f>
        <v/>
      </c>
      <c r="V85">
        <f>IF(AND(B85&lt;&gt;"",U85&lt;&gt;"",OR(R85="Follow up",LEFT(R85,3)="Due",R85="Waiting",LEFT(R85,5)="Apply",LEFT(R85,5)="Offer")),U85+ROW()/10000000,"")</f>
        <v/>
      </c>
      <c r="W85">
        <f>IF(B85="","",IF(M85&lt;&gt;"",M85,IF(OR(K85="",K85="Saved"),"Apply",IF(K85="Offer","Reply to the offer","Follow up"))))</f>
        <v/>
      </c>
    </row>
    <row r="86">
      <c r="A86" s="1" t="n"/>
      <c r="B86" s="21" t="n"/>
      <c r="C86" s="22" t="n"/>
      <c r="D86" s="22" t="n"/>
      <c r="E86" s="22" t="n"/>
      <c r="F86" s="23" t="n"/>
      <c r="G86" s="23" t="n"/>
      <c r="H86" s="22" t="n"/>
      <c r="I86" s="24" t="n"/>
      <c r="J86" s="24" t="n"/>
      <c r="K86" s="25" t="n"/>
      <c r="L86" s="24" t="n"/>
      <c r="M86" s="22" t="n"/>
      <c r="N86" s="24" t="n"/>
      <c r="O86" s="25" t="n"/>
      <c r="P86" s="22" t="n"/>
      <c r="Q86" s="18">
        <f>IF(OR(B86="",J86=""),"",TODAY()-J86)</f>
        <v/>
      </c>
      <c r="R86" s="26">
        <f>IF(B86="","",IF(OR(K86="Accepted",K86="Rejected",K86="Withdrawn"),K86,IF(K86="Offer",IF(N86="","Offer","Offer, reply by "&amp;DAY(N86)&amp;" "&amp;CHOOSE(MONTH(N86),"Jan","Feb","Mar","Apr","May","Jun","Jul","Aug","Sep","Oct","Nov","Dec")),IF(OR(K86="",K86="Saved"),IF(N86="","To apply",IF(N86&lt;TODAY(),"Closing date passed","Apply by "&amp;DAY(N86)&amp;" "&amp;CHOOSE(MONTH(N86),"Jan","Feb","Mar","Apr","May","Jun","Jul","Aug","Sep","Oct","Nov","Dec"))),IF(AND(N86="",T86&gt;0,TODAY()-T86&gt;=N(Settings!$C$6)),"No reply",IF(U86="","Waiting",IF(U86&lt;TODAY(),"Follow up",IF(U86-TODAY()&lt;=2,"Due "&amp;DAY(U86)&amp;" "&amp;CHOOSE(MONTH(U86),"Jan","Feb","Mar","Apr","May","Jun","Jul","Aug","Sep","Oct","Nov","Dec"),"Waiting"))))))))</f>
        <v/>
      </c>
      <c r="S86" s="1" t="n"/>
      <c r="T86">
        <f>MAX(N(J86),N(L86))</f>
        <v/>
      </c>
      <c r="U86">
        <f>IF(N86&lt;&gt;"",N86,IF(T86=0,"",T86+N(Settings!$C$5)))</f>
        <v/>
      </c>
      <c r="V86">
        <f>IF(AND(B86&lt;&gt;"",U86&lt;&gt;"",OR(R86="Follow up",LEFT(R86,3)="Due",R86="Waiting",LEFT(R86,5)="Apply",LEFT(R86,5)="Offer")),U86+ROW()/10000000,"")</f>
        <v/>
      </c>
      <c r="W86">
        <f>IF(B86="","",IF(M86&lt;&gt;"",M86,IF(OR(K86="",K86="Saved"),"Apply",IF(K86="Offer","Reply to the offer","Follow up"))))</f>
        <v/>
      </c>
    </row>
    <row r="87">
      <c r="A87" s="1" t="n"/>
      <c r="B87" s="21" t="n"/>
      <c r="C87" s="22" t="n"/>
      <c r="D87" s="22" t="n"/>
      <c r="E87" s="22" t="n"/>
      <c r="F87" s="23" t="n"/>
      <c r="G87" s="23" t="n"/>
      <c r="H87" s="22" t="n"/>
      <c r="I87" s="24" t="n"/>
      <c r="J87" s="24" t="n"/>
      <c r="K87" s="25" t="n"/>
      <c r="L87" s="24" t="n"/>
      <c r="M87" s="22" t="n"/>
      <c r="N87" s="24" t="n"/>
      <c r="O87" s="25" t="n"/>
      <c r="P87" s="22" t="n"/>
      <c r="Q87" s="18">
        <f>IF(OR(B87="",J87=""),"",TODAY()-J87)</f>
        <v/>
      </c>
      <c r="R87" s="26">
        <f>IF(B87="","",IF(OR(K87="Accepted",K87="Rejected",K87="Withdrawn"),K87,IF(K87="Offer",IF(N87="","Offer","Offer, reply by "&amp;DAY(N87)&amp;" "&amp;CHOOSE(MONTH(N87),"Jan","Feb","Mar","Apr","May","Jun","Jul","Aug","Sep","Oct","Nov","Dec")),IF(OR(K87="",K87="Saved"),IF(N87="","To apply",IF(N87&lt;TODAY(),"Closing date passed","Apply by "&amp;DAY(N87)&amp;" "&amp;CHOOSE(MONTH(N87),"Jan","Feb","Mar","Apr","May","Jun","Jul","Aug","Sep","Oct","Nov","Dec"))),IF(AND(N87="",T87&gt;0,TODAY()-T87&gt;=N(Settings!$C$6)),"No reply",IF(U87="","Waiting",IF(U87&lt;TODAY(),"Follow up",IF(U87-TODAY()&lt;=2,"Due "&amp;DAY(U87)&amp;" "&amp;CHOOSE(MONTH(U87),"Jan","Feb","Mar","Apr","May","Jun","Jul","Aug","Sep","Oct","Nov","Dec"),"Waiting"))))))))</f>
        <v/>
      </c>
      <c r="S87" s="1" t="n"/>
      <c r="T87">
        <f>MAX(N(J87),N(L87))</f>
        <v/>
      </c>
      <c r="U87">
        <f>IF(N87&lt;&gt;"",N87,IF(T87=0,"",T87+N(Settings!$C$5)))</f>
        <v/>
      </c>
      <c r="V87">
        <f>IF(AND(B87&lt;&gt;"",U87&lt;&gt;"",OR(R87="Follow up",LEFT(R87,3)="Due",R87="Waiting",LEFT(R87,5)="Apply",LEFT(R87,5)="Offer")),U87+ROW()/10000000,"")</f>
        <v/>
      </c>
      <c r="W87">
        <f>IF(B87="","",IF(M87&lt;&gt;"",M87,IF(OR(K87="",K87="Saved"),"Apply",IF(K87="Offer","Reply to the offer","Follow up"))))</f>
        <v/>
      </c>
    </row>
    <row r="88">
      <c r="A88" s="1" t="n"/>
      <c r="B88" s="21" t="n"/>
      <c r="C88" s="22" t="n"/>
      <c r="D88" s="22" t="n"/>
      <c r="E88" s="22" t="n"/>
      <c r="F88" s="23" t="n"/>
      <c r="G88" s="23" t="n"/>
      <c r="H88" s="22" t="n"/>
      <c r="I88" s="24" t="n"/>
      <c r="J88" s="24" t="n"/>
      <c r="K88" s="25" t="n"/>
      <c r="L88" s="24" t="n"/>
      <c r="M88" s="22" t="n"/>
      <c r="N88" s="24" t="n"/>
      <c r="O88" s="25" t="n"/>
      <c r="P88" s="22" t="n"/>
      <c r="Q88" s="18">
        <f>IF(OR(B88="",J88=""),"",TODAY()-J88)</f>
        <v/>
      </c>
      <c r="R88" s="26">
        <f>IF(B88="","",IF(OR(K88="Accepted",K88="Rejected",K88="Withdrawn"),K88,IF(K88="Offer",IF(N88="","Offer","Offer, reply by "&amp;DAY(N88)&amp;" "&amp;CHOOSE(MONTH(N88),"Jan","Feb","Mar","Apr","May","Jun","Jul","Aug","Sep","Oct","Nov","Dec")),IF(OR(K88="",K88="Saved"),IF(N88="","To apply",IF(N88&lt;TODAY(),"Closing date passed","Apply by "&amp;DAY(N88)&amp;" "&amp;CHOOSE(MONTH(N88),"Jan","Feb","Mar","Apr","May","Jun","Jul","Aug","Sep","Oct","Nov","Dec"))),IF(AND(N88="",T88&gt;0,TODAY()-T88&gt;=N(Settings!$C$6)),"No reply",IF(U88="","Waiting",IF(U88&lt;TODAY(),"Follow up",IF(U88-TODAY()&lt;=2,"Due "&amp;DAY(U88)&amp;" "&amp;CHOOSE(MONTH(U88),"Jan","Feb","Mar","Apr","May","Jun","Jul","Aug","Sep","Oct","Nov","Dec"),"Waiting"))))))))</f>
        <v/>
      </c>
      <c r="S88" s="1" t="n"/>
      <c r="T88">
        <f>MAX(N(J88),N(L88))</f>
        <v/>
      </c>
      <c r="U88">
        <f>IF(N88&lt;&gt;"",N88,IF(T88=0,"",T88+N(Settings!$C$5)))</f>
        <v/>
      </c>
      <c r="V88">
        <f>IF(AND(B88&lt;&gt;"",U88&lt;&gt;"",OR(R88="Follow up",LEFT(R88,3)="Due",R88="Waiting",LEFT(R88,5)="Apply",LEFT(R88,5)="Offer")),U88+ROW()/10000000,"")</f>
        <v/>
      </c>
      <c r="W88">
        <f>IF(B88="","",IF(M88&lt;&gt;"",M88,IF(OR(K88="",K88="Saved"),"Apply",IF(K88="Offer","Reply to the offer","Follow up"))))</f>
        <v/>
      </c>
    </row>
    <row r="89">
      <c r="A89" s="1" t="n"/>
      <c r="B89" s="21" t="n"/>
      <c r="C89" s="22" t="n"/>
      <c r="D89" s="22" t="n"/>
      <c r="E89" s="22" t="n"/>
      <c r="F89" s="23" t="n"/>
      <c r="G89" s="23" t="n"/>
      <c r="H89" s="22" t="n"/>
      <c r="I89" s="24" t="n"/>
      <c r="J89" s="24" t="n"/>
      <c r="K89" s="25" t="n"/>
      <c r="L89" s="24" t="n"/>
      <c r="M89" s="22" t="n"/>
      <c r="N89" s="24" t="n"/>
      <c r="O89" s="25" t="n"/>
      <c r="P89" s="22" t="n"/>
      <c r="Q89" s="18">
        <f>IF(OR(B89="",J89=""),"",TODAY()-J89)</f>
        <v/>
      </c>
      <c r="R89" s="26">
        <f>IF(B89="","",IF(OR(K89="Accepted",K89="Rejected",K89="Withdrawn"),K89,IF(K89="Offer",IF(N89="","Offer","Offer, reply by "&amp;DAY(N89)&amp;" "&amp;CHOOSE(MONTH(N89),"Jan","Feb","Mar","Apr","May","Jun","Jul","Aug","Sep","Oct","Nov","Dec")),IF(OR(K89="",K89="Saved"),IF(N89="","To apply",IF(N89&lt;TODAY(),"Closing date passed","Apply by "&amp;DAY(N89)&amp;" "&amp;CHOOSE(MONTH(N89),"Jan","Feb","Mar","Apr","May","Jun","Jul","Aug","Sep","Oct","Nov","Dec"))),IF(AND(N89="",T89&gt;0,TODAY()-T89&gt;=N(Settings!$C$6)),"No reply",IF(U89="","Waiting",IF(U89&lt;TODAY(),"Follow up",IF(U89-TODAY()&lt;=2,"Due "&amp;DAY(U89)&amp;" "&amp;CHOOSE(MONTH(U89),"Jan","Feb","Mar","Apr","May","Jun","Jul","Aug","Sep","Oct","Nov","Dec"),"Waiting"))))))))</f>
        <v/>
      </c>
      <c r="S89" s="1" t="n"/>
      <c r="T89">
        <f>MAX(N(J89),N(L89))</f>
        <v/>
      </c>
      <c r="U89">
        <f>IF(N89&lt;&gt;"",N89,IF(T89=0,"",T89+N(Settings!$C$5)))</f>
        <v/>
      </c>
      <c r="V89">
        <f>IF(AND(B89&lt;&gt;"",U89&lt;&gt;"",OR(R89="Follow up",LEFT(R89,3)="Due",R89="Waiting",LEFT(R89,5)="Apply",LEFT(R89,5)="Offer")),U89+ROW()/10000000,"")</f>
        <v/>
      </c>
      <c r="W89">
        <f>IF(B89="","",IF(M89&lt;&gt;"",M89,IF(OR(K89="",K89="Saved"),"Apply",IF(K89="Offer","Reply to the offer","Follow up"))))</f>
        <v/>
      </c>
    </row>
    <row r="90">
      <c r="A90" s="1" t="n"/>
      <c r="B90" s="21" t="n"/>
      <c r="C90" s="22" t="n"/>
      <c r="D90" s="22" t="n"/>
      <c r="E90" s="22" t="n"/>
      <c r="F90" s="23" t="n"/>
      <c r="G90" s="23" t="n"/>
      <c r="H90" s="22" t="n"/>
      <c r="I90" s="24" t="n"/>
      <c r="J90" s="24" t="n"/>
      <c r="K90" s="25" t="n"/>
      <c r="L90" s="24" t="n"/>
      <c r="M90" s="22" t="n"/>
      <c r="N90" s="24" t="n"/>
      <c r="O90" s="25" t="n"/>
      <c r="P90" s="22" t="n"/>
      <c r="Q90" s="18">
        <f>IF(OR(B90="",J90=""),"",TODAY()-J90)</f>
        <v/>
      </c>
      <c r="R90" s="26">
        <f>IF(B90="","",IF(OR(K90="Accepted",K90="Rejected",K90="Withdrawn"),K90,IF(K90="Offer",IF(N90="","Offer","Offer, reply by "&amp;DAY(N90)&amp;" "&amp;CHOOSE(MONTH(N90),"Jan","Feb","Mar","Apr","May","Jun","Jul","Aug","Sep","Oct","Nov","Dec")),IF(OR(K90="",K90="Saved"),IF(N90="","To apply",IF(N90&lt;TODAY(),"Closing date passed","Apply by "&amp;DAY(N90)&amp;" "&amp;CHOOSE(MONTH(N90),"Jan","Feb","Mar","Apr","May","Jun","Jul","Aug","Sep","Oct","Nov","Dec"))),IF(AND(N90="",T90&gt;0,TODAY()-T90&gt;=N(Settings!$C$6)),"No reply",IF(U90="","Waiting",IF(U90&lt;TODAY(),"Follow up",IF(U90-TODAY()&lt;=2,"Due "&amp;DAY(U90)&amp;" "&amp;CHOOSE(MONTH(U90),"Jan","Feb","Mar","Apr","May","Jun","Jul","Aug","Sep","Oct","Nov","Dec"),"Waiting"))))))))</f>
        <v/>
      </c>
      <c r="S90" s="1" t="n"/>
      <c r="T90">
        <f>MAX(N(J90),N(L90))</f>
        <v/>
      </c>
      <c r="U90">
        <f>IF(N90&lt;&gt;"",N90,IF(T90=0,"",T90+N(Settings!$C$5)))</f>
        <v/>
      </c>
      <c r="V90">
        <f>IF(AND(B90&lt;&gt;"",U90&lt;&gt;"",OR(R90="Follow up",LEFT(R90,3)="Due",R90="Waiting",LEFT(R90,5)="Apply",LEFT(R90,5)="Offer")),U90+ROW()/10000000,"")</f>
        <v/>
      </c>
      <c r="W90">
        <f>IF(B90="","",IF(M90&lt;&gt;"",M90,IF(OR(K90="",K90="Saved"),"Apply",IF(K90="Offer","Reply to the offer","Follow up"))))</f>
        <v/>
      </c>
    </row>
    <row r="91">
      <c r="A91" s="1" t="n"/>
      <c r="B91" s="21" t="n"/>
      <c r="C91" s="22" t="n"/>
      <c r="D91" s="22" t="n"/>
      <c r="E91" s="22" t="n"/>
      <c r="F91" s="23" t="n"/>
      <c r="G91" s="23" t="n"/>
      <c r="H91" s="22" t="n"/>
      <c r="I91" s="24" t="n"/>
      <c r="J91" s="24" t="n"/>
      <c r="K91" s="25" t="n"/>
      <c r="L91" s="24" t="n"/>
      <c r="M91" s="22" t="n"/>
      <c r="N91" s="24" t="n"/>
      <c r="O91" s="25" t="n"/>
      <c r="P91" s="22" t="n"/>
      <c r="Q91" s="18">
        <f>IF(OR(B91="",J91=""),"",TODAY()-J91)</f>
        <v/>
      </c>
      <c r="R91" s="26">
        <f>IF(B91="","",IF(OR(K91="Accepted",K91="Rejected",K91="Withdrawn"),K91,IF(K91="Offer",IF(N91="","Offer","Offer, reply by "&amp;DAY(N91)&amp;" "&amp;CHOOSE(MONTH(N91),"Jan","Feb","Mar","Apr","May","Jun","Jul","Aug","Sep","Oct","Nov","Dec")),IF(OR(K91="",K91="Saved"),IF(N91="","To apply",IF(N91&lt;TODAY(),"Closing date passed","Apply by "&amp;DAY(N91)&amp;" "&amp;CHOOSE(MONTH(N91),"Jan","Feb","Mar","Apr","May","Jun","Jul","Aug","Sep","Oct","Nov","Dec"))),IF(AND(N91="",T91&gt;0,TODAY()-T91&gt;=N(Settings!$C$6)),"No reply",IF(U91="","Waiting",IF(U91&lt;TODAY(),"Follow up",IF(U91-TODAY()&lt;=2,"Due "&amp;DAY(U91)&amp;" "&amp;CHOOSE(MONTH(U91),"Jan","Feb","Mar","Apr","May","Jun","Jul","Aug","Sep","Oct","Nov","Dec"),"Waiting"))))))))</f>
        <v/>
      </c>
      <c r="S91" s="1" t="n"/>
      <c r="T91">
        <f>MAX(N(J91),N(L91))</f>
        <v/>
      </c>
      <c r="U91">
        <f>IF(N91&lt;&gt;"",N91,IF(T91=0,"",T91+N(Settings!$C$5)))</f>
        <v/>
      </c>
      <c r="V91">
        <f>IF(AND(B91&lt;&gt;"",U91&lt;&gt;"",OR(R91="Follow up",LEFT(R91,3)="Due",R91="Waiting",LEFT(R91,5)="Apply",LEFT(R91,5)="Offer")),U91+ROW()/10000000,"")</f>
        <v/>
      </c>
      <c r="W91">
        <f>IF(B91="","",IF(M91&lt;&gt;"",M91,IF(OR(K91="",K91="Saved"),"Apply",IF(K91="Offer","Reply to the offer","Follow up"))))</f>
        <v/>
      </c>
    </row>
    <row r="92">
      <c r="A92" s="1" t="n"/>
      <c r="B92" s="21" t="n"/>
      <c r="C92" s="22" t="n"/>
      <c r="D92" s="22" t="n"/>
      <c r="E92" s="22" t="n"/>
      <c r="F92" s="23" t="n"/>
      <c r="G92" s="23" t="n"/>
      <c r="H92" s="22" t="n"/>
      <c r="I92" s="24" t="n"/>
      <c r="J92" s="24" t="n"/>
      <c r="K92" s="25" t="n"/>
      <c r="L92" s="24" t="n"/>
      <c r="M92" s="22" t="n"/>
      <c r="N92" s="24" t="n"/>
      <c r="O92" s="25" t="n"/>
      <c r="P92" s="22" t="n"/>
      <c r="Q92" s="18">
        <f>IF(OR(B92="",J92=""),"",TODAY()-J92)</f>
        <v/>
      </c>
      <c r="R92" s="26">
        <f>IF(B92="","",IF(OR(K92="Accepted",K92="Rejected",K92="Withdrawn"),K92,IF(K92="Offer",IF(N92="","Offer","Offer, reply by "&amp;DAY(N92)&amp;" "&amp;CHOOSE(MONTH(N92),"Jan","Feb","Mar","Apr","May","Jun","Jul","Aug","Sep","Oct","Nov","Dec")),IF(OR(K92="",K92="Saved"),IF(N92="","To apply",IF(N92&lt;TODAY(),"Closing date passed","Apply by "&amp;DAY(N92)&amp;" "&amp;CHOOSE(MONTH(N92),"Jan","Feb","Mar","Apr","May","Jun","Jul","Aug","Sep","Oct","Nov","Dec"))),IF(AND(N92="",T92&gt;0,TODAY()-T92&gt;=N(Settings!$C$6)),"No reply",IF(U92="","Waiting",IF(U92&lt;TODAY(),"Follow up",IF(U92-TODAY()&lt;=2,"Due "&amp;DAY(U92)&amp;" "&amp;CHOOSE(MONTH(U92),"Jan","Feb","Mar","Apr","May","Jun","Jul","Aug","Sep","Oct","Nov","Dec"),"Waiting"))))))))</f>
        <v/>
      </c>
      <c r="S92" s="1" t="n"/>
      <c r="T92">
        <f>MAX(N(J92),N(L92))</f>
        <v/>
      </c>
      <c r="U92">
        <f>IF(N92&lt;&gt;"",N92,IF(T92=0,"",T92+N(Settings!$C$5)))</f>
        <v/>
      </c>
      <c r="V92">
        <f>IF(AND(B92&lt;&gt;"",U92&lt;&gt;"",OR(R92="Follow up",LEFT(R92,3)="Due",R92="Waiting",LEFT(R92,5)="Apply",LEFT(R92,5)="Offer")),U92+ROW()/10000000,"")</f>
        <v/>
      </c>
      <c r="W92">
        <f>IF(B92="","",IF(M92&lt;&gt;"",M92,IF(OR(K92="",K92="Saved"),"Apply",IF(K92="Offer","Reply to the offer","Follow up"))))</f>
        <v/>
      </c>
    </row>
    <row r="93">
      <c r="A93" s="1" t="n"/>
      <c r="B93" s="21" t="n"/>
      <c r="C93" s="22" t="n"/>
      <c r="D93" s="22" t="n"/>
      <c r="E93" s="22" t="n"/>
      <c r="F93" s="23" t="n"/>
      <c r="G93" s="23" t="n"/>
      <c r="H93" s="22" t="n"/>
      <c r="I93" s="24" t="n"/>
      <c r="J93" s="24" t="n"/>
      <c r="K93" s="25" t="n"/>
      <c r="L93" s="24" t="n"/>
      <c r="M93" s="22" t="n"/>
      <c r="N93" s="24" t="n"/>
      <c r="O93" s="25" t="n"/>
      <c r="P93" s="22" t="n"/>
      <c r="Q93" s="18">
        <f>IF(OR(B93="",J93=""),"",TODAY()-J93)</f>
        <v/>
      </c>
      <c r="R93" s="26">
        <f>IF(B93="","",IF(OR(K93="Accepted",K93="Rejected",K93="Withdrawn"),K93,IF(K93="Offer",IF(N93="","Offer","Offer, reply by "&amp;DAY(N93)&amp;" "&amp;CHOOSE(MONTH(N93),"Jan","Feb","Mar","Apr","May","Jun","Jul","Aug","Sep","Oct","Nov","Dec")),IF(OR(K93="",K93="Saved"),IF(N93="","To apply",IF(N93&lt;TODAY(),"Closing date passed","Apply by "&amp;DAY(N93)&amp;" "&amp;CHOOSE(MONTH(N93),"Jan","Feb","Mar","Apr","May","Jun","Jul","Aug","Sep","Oct","Nov","Dec"))),IF(AND(N93="",T93&gt;0,TODAY()-T93&gt;=N(Settings!$C$6)),"No reply",IF(U93="","Waiting",IF(U93&lt;TODAY(),"Follow up",IF(U93-TODAY()&lt;=2,"Due "&amp;DAY(U93)&amp;" "&amp;CHOOSE(MONTH(U93),"Jan","Feb","Mar","Apr","May","Jun","Jul","Aug","Sep","Oct","Nov","Dec"),"Waiting"))))))))</f>
        <v/>
      </c>
      <c r="S93" s="1" t="n"/>
      <c r="T93">
        <f>MAX(N(J93),N(L93))</f>
        <v/>
      </c>
      <c r="U93">
        <f>IF(N93&lt;&gt;"",N93,IF(T93=0,"",T93+N(Settings!$C$5)))</f>
        <v/>
      </c>
      <c r="V93">
        <f>IF(AND(B93&lt;&gt;"",U93&lt;&gt;"",OR(R93="Follow up",LEFT(R93,3)="Due",R93="Waiting",LEFT(R93,5)="Apply",LEFT(R93,5)="Offer")),U93+ROW()/10000000,"")</f>
        <v/>
      </c>
      <c r="W93">
        <f>IF(B93="","",IF(M93&lt;&gt;"",M93,IF(OR(K93="",K93="Saved"),"Apply",IF(K93="Offer","Reply to the offer","Follow up"))))</f>
        <v/>
      </c>
    </row>
    <row r="94">
      <c r="A94" s="1" t="n"/>
      <c r="B94" s="21" t="n"/>
      <c r="C94" s="22" t="n"/>
      <c r="D94" s="22" t="n"/>
      <c r="E94" s="22" t="n"/>
      <c r="F94" s="23" t="n"/>
      <c r="G94" s="23" t="n"/>
      <c r="H94" s="22" t="n"/>
      <c r="I94" s="24" t="n"/>
      <c r="J94" s="24" t="n"/>
      <c r="K94" s="25" t="n"/>
      <c r="L94" s="24" t="n"/>
      <c r="M94" s="22" t="n"/>
      <c r="N94" s="24" t="n"/>
      <c r="O94" s="25" t="n"/>
      <c r="P94" s="22" t="n"/>
      <c r="Q94" s="18">
        <f>IF(OR(B94="",J94=""),"",TODAY()-J94)</f>
        <v/>
      </c>
      <c r="R94" s="26">
        <f>IF(B94="","",IF(OR(K94="Accepted",K94="Rejected",K94="Withdrawn"),K94,IF(K94="Offer",IF(N94="","Offer","Offer, reply by "&amp;DAY(N94)&amp;" "&amp;CHOOSE(MONTH(N94),"Jan","Feb","Mar","Apr","May","Jun","Jul","Aug","Sep","Oct","Nov","Dec")),IF(OR(K94="",K94="Saved"),IF(N94="","To apply",IF(N94&lt;TODAY(),"Closing date passed","Apply by "&amp;DAY(N94)&amp;" "&amp;CHOOSE(MONTH(N94),"Jan","Feb","Mar","Apr","May","Jun","Jul","Aug","Sep","Oct","Nov","Dec"))),IF(AND(N94="",T94&gt;0,TODAY()-T94&gt;=N(Settings!$C$6)),"No reply",IF(U94="","Waiting",IF(U94&lt;TODAY(),"Follow up",IF(U94-TODAY()&lt;=2,"Due "&amp;DAY(U94)&amp;" "&amp;CHOOSE(MONTH(U94),"Jan","Feb","Mar","Apr","May","Jun","Jul","Aug","Sep","Oct","Nov","Dec"),"Waiting"))))))))</f>
        <v/>
      </c>
      <c r="S94" s="1" t="n"/>
      <c r="T94">
        <f>MAX(N(J94),N(L94))</f>
        <v/>
      </c>
      <c r="U94">
        <f>IF(N94&lt;&gt;"",N94,IF(T94=0,"",T94+N(Settings!$C$5)))</f>
        <v/>
      </c>
      <c r="V94">
        <f>IF(AND(B94&lt;&gt;"",U94&lt;&gt;"",OR(R94="Follow up",LEFT(R94,3)="Due",R94="Waiting",LEFT(R94,5)="Apply",LEFT(R94,5)="Offer")),U94+ROW()/10000000,"")</f>
        <v/>
      </c>
      <c r="W94">
        <f>IF(B94="","",IF(M94&lt;&gt;"",M94,IF(OR(K94="",K94="Saved"),"Apply",IF(K94="Offer","Reply to the offer","Follow up"))))</f>
        <v/>
      </c>
    </row>
    <row r="95">
      <c r="A95" s="1" t="n"/>
      <c r="B95" s="21" t="n"/>
      <c r="C95" s="22" t="n"/>
      <c r="D95" s="22" t="n"/>
      <c r="E95" s="22" t="n"/>
      <c r="F95" s="23" t="n"/>
      <c r="G95" s="23" t="n"/>
      <c r="H95" s="22" t="n"/>
      <c r="I95" s="24" t="n"/>
      <c r="J95" s="24" t="n"/>
      <c r="K95" s="25" t="n"/>
      <c r="L95" s="24" t="n"/>
      <c r="M95" s="22" t="n"/>
      <c r="N95" s="24" t="n"/>
      <c r="O95" s="25" t="n"/>
      <c r="P95" s="22" t="n"/>
      <c r="Q95" s="18">
        <f>IF(OR(B95="",J95=""),"",TODAY()-J95)</f>
        <v/>
      </c>
      <c r="R95" s="26">
        <f>IF(B95="","",IF(OR(K95="Accepted",K95="Rejected",K95="Withdrawn"),K95,IF(K95="Offer",IF(N95="","Offer","Offer, reply by "&amp;DAY(N95)&amp;" "&amp;CHOOSE(MONTH(N95),"Jan","Feb","Mar","Apr","May","Jun","Jul","Aug","Sep","Oct","Nov","Dec")),IF(OR(K95="",K95="Saved"),IF(N95="","To apply",IF(N95&lt;TODAY(),"Closing date passed","Apply by "&amp;DAY(N95)&amp;" "&amp;CHOOSE(MONTH(N95),"Jan","Feb","Mar","Apr","May","Jun","Jul","Aug","Sep","Oct","Nov","Dec"))),IF(AND(N95="",T95&gt;0,TODAY()-T95&gt;=N(Settings!$C$6)),"No reply",IF(U95="","Waiting",IF(U95&lt;TODAY(),"Follow up",IF(U95-TODAY()&lt;=2,"Due "&amp;DAY(U95)&amp;" "&amp;CHOOSE(MONTH(U95),"Jan","Feb","Mar","Apr","May","Jun","Jul","Aug","Sep","Oct","Nov","Dec"),"Waiting"))))))))</f>
        <v/>
      </c>
      <c r="S95" s="1" t="n"/>
      <c r="T95">
        <f>MAX(N(J95),N(L95))</f>
        <v/>
      </c>
      <c r="U95">
        <f>IF(N95&lt;&gt;"",N95,IF(T95=0,"",T95+N(Settings!$C$5)))</f>
        <v/>
      </c>
      <c r="V95">
        <f>IF(AND(B95&lt;&gt;"",U95&lt;&gt;"",OR(R95="Follow up",LEFT(R95,3)="Due",R95="Waiting",LEFT(R95,5)="Apply",LEFT(R95,5)="Offer")),U95+ROW()/10000000,"")</f>
        <v/>
      </c>
      <c r="W95">
        <f>IF(B95="","",IF(M95&lt;&gt;"",M95,IF(OR(K95="",K95="Saved"),"Apply",IF(K95="Offer","Reply to the offer","Follow up"))))</f>
        <v/>
      </c>
    </row>
    <row r="96">
      <c r="A96" s="1" t="n"/>
      <c r="B96" s="21" t="n"/>
      <c r="C96" s="22" t="n"/>
      <c r="D96" s="22" t="n"/>
      <c r="E96" s="22" t="n"/>
      <c r="F96" s="23" t="n"/>
      <c r="G96" s="23" t="n"/>
      <c r="H96" s="22" t="n"/>
      <c r="I96" s="24" t="n"/>
      <c r="J96" s="24" t="n"/>
      <c r="K96" s="25" t="n"/>
      <c r="L96" s="24" t="n"/>
      <c r="M96" s="22" t="n"/>
      <c r="N96" s="24" t="n"/>
      <c r="O96" s="25" t="n"/>
      <c r="P96" s="22" t="n"/>
      <c r="Q96" s="18">
        <f>IF(OR(B96="",J96=""),"",TODAY()-J96)</f>
        <v/>
      </c>
      <c r="R96" s="26">
        <f>IF(B96="","",IF(OR(K96="Accepted",K96="Rejected",K96="Withdrawn"),K96,IF(K96="Offer",IF(N96="","Offer","Offer, reply by "&amp;DAY(N96)&amp;" "&amp;CHOOSE(MONTH(N96),"Jan","Feb","Mar","Apr","May","Jun","Jul","Aug","Sep","Oct","Nov","Dec")),IF(OR(K96="",K96="Saved"),IF(N96="","To apply",IF(N96&lt;TODAY(),"Closing date passed","Apply by "&amp;DAY(N96)&amp;" "&amp;CHOOSE(MONTH(N96),"Jan","Feb","Mar","Apr","May","Jun","Jul","Aug","Sep","Oct","Nov","Dec"))),IF(AND(N96="",T96&gt;0,TODAY()-T96&gt;=N(Settings!$C$6)),"No reply",IF(U96="","Waiting",IF(U96&lt;TODAY(),"Follow up",IF(U96-TODAY()&lt;=2,"Due "&amp;DAY(U96)&amp;" "&amp;CHOOSE(MONTH(U96),"Jan","Feb","Mar","Apr","May","Jun","Jul","Aug","Sep","Oct","Nov","Dec"),"Waiting"))))))))</f>
        <v/>
      </c>
      <c r="S96" s="1" t="n"/>
      <c r="T96">
        <f>MAX(N(J96),N(L96))</f>
        <v/>
      </c>
      <c r="U96">
        <f>IF(N96&lt;&gt;"",N96,IF(T96=0,"",T96+N(Settings!$C$5)))</f>
        <v/>
      </c>
      <c r="V96">
        <f>IF(AND(B96&lt;&gt;"",U96&lt;&gt;"",OR(R96="Follow up",LEFT(R96,3)="Due",R96="Waiting",LEFT(R96,5)="Apply",LEFT(R96,5)="Offer")),U96+ROW()/10000000,"")</f>
        <v/>
      </c>
      <c r="W96">
        <f>IF(B96="","",IF(M96&lt;&gt;"",M96,IF(OR(K96="",K96="Saved"),"Apply",IF(K96="Offer","Reply to the offer","Follow up"))))</f>
        <v/>
      </c>
    </row>
    <row r="97">
      <c r="A97" s="1" t="n"/>
      <c r="B97" s="21" t="n"/>
      <c r="C97" s="22" t="n"/>
      <c r="D97" s="22" t="n"/>
      <c r="E97" s="22" t="n"/>
      <c r="F97" s="23" t="n"/>
      <c r="G97" s="23" t="n"/>
      <c r="H97" s="22" t="n"/>
      <c r="I97" s="24" t="n"/>
      <c r="J97" s="24" t="n"/>
      <c r="K97" s="25" t="n"/>
      <c r="L97" s="24" t="n"/>
      <c r="M97" s="22" t="n"/>
      <c r="N97" s="24" t="n"/>
      <c r="O97" s="25" t="n"/>
      <c r="P97" s="22" t="n"/>
      <c r="Q97" s="18">
        <f>IF(OR(B97="",J97=""),"",TODAY()-J97)</f>
        <v/>
      </c>
      <c r="R97" s="26">
        <f>IF(B97="","",IF(OR(K97="Accepted",K97="Rejected",K97="Withdrawn"),K97,IF(K97="Offer",IF(N97="","Offer","Offer, reply by "&amp;DAY(N97)&amp;" "&amp;CHOOSE(MONTH(N97),"Jan","Feb","Mar","Apr","May","Jun","Jul","Aug","Sep","Oct","Nov","Dec")),IF(OR(K97="",K97="Saved"),IF(N97="","To apply",IF(N97&lt;TODAY(),"Closing date passed","Apply by "&amp;DAY(N97)&amp;" "&amp;CHOOSE(MONTH(N97),"Jan","Feb","Mar","Apr","May","Jun","Jul","Aug","Sep","Oct","Nov","Dec"))),IF(AND(N97="",T97&gt;0,TODAY()-T97&gt;=N(Settings!$C$6)),"No reply",IF(U97="","Waiting",IF(U97&lt;TODAY(),"Follow up",IF(U97-TODAY()&lt;=2,"Due "&amp;DAY(U97)&amp;" "&amp;CHOOSE(MONTH(U97),"Jan","Feb","Mar","Apr","May","Jun","Jul","Aug","Sep","Oct","Nov","Dec"),"Waiting"))))))))</f>
        <v/>
      </c>
      <c r="S97" s="1" t="n"/>
      <c r="T97">
        <f>MAX(N(J97),N(L97))</f>
        <v/>
      </c>
      <c r="U97">
        <f>IF(N97&lt;&gt;"",N97,IF(T97=0,"",T97+N(Settings!$C$5)))</f>
        <v/>
      </c>
      <c r="V97">
        <f>IF(AND(B97&lt;&gt;"",U97&lt;&gt;"",OR(R97="Follow up",LEFT(R97,3)="Due",R97="Waiting",LEFT(R97,5)="Apply",LEFT(R97,5)="Offer")),U97+ROW()/10000000,"")</f>
        <v/>
      </c>
      <c r="W97">
        <f>IF(B97="","",IF(M97&lt;&gt;"",M97,IF(OR(K97="",K97="Saved"),"Apply",IF(K97="Offer","Reply to the offer","Follow up"))))</f>
        <v/>
      </c>
    </row>
    <row r="98">
      <c r="A98" s="1" t="n"/>
      <c r="B98" s="21" t="n"/>
      <c r="C98" s="22" t="n"/>
      <c r="D98" s="22" t="n"/>
      <c r="E98" s="22" t="n"/>
      <c r="F98" s="23" t="n"/>
      <c r="G98" s="23" t="n"/>
      <c r="H98" s="22" t="n"/>
      <c r="I98" s="24" t="n"/>
      <c r="J98" s="24" t="n"/>
      <c r="K98" s="25" t="n"/>
      <c r="L98" s="24" t="n"/>
      <c r="M98" s="22" t="n"/>
      <c r="N98" s="24" t="n"/>
      <c r="O98" s="25" t="n"/>
      <c r="P98" s="22" t="n"/>
      <c r="Q98" s="18">
        <f>IF(OR(B98="",J98=""),"",TODAY()-J98)</f>
        <v/>
      </c>
      <c r="R98" s="26">
        <f>IF(B98="","",IF(OR(K98="Accepted",K98="Rejected",K98="Withdrawn"),K98,IF(K98="Offer",IF(N98="","Offer","Offer, reply by "&amp;DAY(N98)&amp;" "&amp;CHOOSE(MONTH(N98),"Jan","Feb","Mar","Apr","May","Jun","Jul","Aug","Sep","Oct","Nov","Dec")),IF(OR(K98="",K98="Saved"),IF(N98="","To apply",IF(N98&lt;TODAY(),"Closing date passed","Apply by "&amp;DAY(N98)&amp;" "&amp;CHOOSE(MONTH(N98),"Jan","Feb","Mar","Apr","May","Jun","Jul","Aug","Sep","Oct","Nov","Dec"))),IF(AND(N98="",T98&gt;0,TODAY()-T98&gt;=N(Settings!$C$6)),"No reply",IF(U98="","Waiting",IF(U98&lt;TODAY(),"Follow up",IF(U98-TODAY()&lt;=2,"Due "&amp;DAY(U98)&amp;" "&amp;CHOOSE(MONTH(U98),"Jan","Feb","Mar","Apr","May","Jun","Jul","Aug","Sep","Oct","Nov","Dec"),"Waiting"))))))))</f>
        <v/>
      </c>
      <c r="S98" s="1" t="n"/>
      <c r="T98">
        <f>MAX(N(J98),N(L98))</f>
        <v/>
      </c>
      <c r="U98">
        <f>IF(N98&lt;&gt;"",N98,IF(T98=0,"",T98+N(Settings!$C$5)))</f>
        <v/>
      </c>
      <c r="V98">
        <f>IF(AND(B98&lt;&gt;"",U98&lt;&gt;"",OR(R98="Follow up",LEFT(R98,3)="Due",R98="Waiting",LEFT(R98,5)="Apply",LEFT(R98,5)="Offer")),U98+ROW()/10000000,"")</f>
        <v/>
      </c>
      <c r="W98">
        <f>IF(B98="","",IF(M98&lt;&gt;"",M98,IF(OR(K98="",K98="Saved"),"Apply",IF(K98="Offer","Reply to the offer","Follow up"))))</f>
        <v/>
      </c>
    </row>
    <row r="99">
      <c r="A99" s="1" t="n"/>
      <c r="B99" s="21" t="n"/>
      <c r="C99" s="22" t="n"/>
      <c r="D99" s="22" t="n"/>
      <c r="E99" s="22" t="n"/>
      <c r="F99" s="23" t="n"/>
      <c r="G99" s="23" t="n"/>
      <c r="H99" s="22" t="n"/>
      <c r="I99" s="24" t="n"/>
      <c r="J99" s="24" t="n"/>
      <c r="K99" s="25" t="n"/>
      <c r="L99" s="24" t="n"/>
      <c r="M99" s="22" t="n"/>
      <c r="N99" s="24" t="n"/>
      <c r="O99" s="25" t="n"/>
      <c r="P99" s="22" t="n"/>
      <c r="Q99" s="18">
        <f>IF(OR(B99="",J99=""),"",TODAY()-J99)</f>
        <v/>
      </c>
      <c r="R99" s="26">
        <f>IF(B99="","",IF(OR(K99="Accepted",K99="Rejected",K99="Withdrawn"),K99,IF(K99="Offer",IF(N99="","Offer","Offer, reply by "&amp;DAY(N99)&amp;" "&amp;CHOOSE(MONTH(N99),"Jan","Feb","Mar","Apr","May","Jun","Jul","Aug","Sep","Oct","Nov","Dec")),IF(OR(K99="",K99="Saved"),IF(N99="","To apply",IF(N99&lt;TODAY(),"Closing date passed","Apply by "&amp;DAY(N99)&amp;" "&amp;CHOOSE(MONTH(N99),"Jan","Feb","Mar","Apr","May","Jun","Jul","Aug","Sep","Oct","Nov","Dec"))),IF(AND(N99="",T99&gt;0,TODAY()-T99&gt;=N(Settings!$C$6)),"No reply",IF(U99="","Waiting",IF(U99&lt;TODAY(),"Follow up",IF(U99-TODAY()&lt;=2,"Due "&amp;DAY(U99)&amp;" "&amp;CHOOSE(MONTH(U99),"Jan","Feb","Mar","Apr","May","Jun","Jul","Aug","Sep","Oct","Nov","Dec"),"Waiting"))))))))</f>
        <v/>
      </c>
      <c r="S99" s="1" t="n"/>
      <c r="T99">
        <f>MAX(N(J99),N(L99))</f>
        <v/>
      </c>
      <c r="U99">
        <f>IF(N99&lt;&gt;"",N99,IF(T99=0,"",T99+N(Settings!$C$5)))</f>
        <v/>
      </c>
      <c r="V99">
        <f>IF(AND(B99&lt;&gt;"",U99&lt;&gt;"",OR(R99="Follow up",LEFT(R99,3)="Due",R99="Waiting",LEFT(R99,5)="Apply",LEFT(R99,5)="Offer")),U99+ROW()/10000000,"")</f>
        <v/>
      </c>
      <c r="W99">
        <f>IF(B99="","",IF(M99&lt;&gt;"",M99,IF(OR(K99="",K99="Saved"),"Apply",IF(K99="Offer","Reply to the offer","Follow up"))))</f>
        <v/>
      </c>
    </row>
    <row r="100">
      <c r="A100" s="1" t="n"/>
      <c r="B100" s="21" t="n"/>
      <c r="C100" s="22" t="n"/>
      <c r="D100" s="22" t="n"/>
      <c r="E100" s="22" t="n"/>
      <c r="F100" s="23" t="n"/>
      <c r="G100" s="23" t="n"/>
      <c r="H100" s="22" t="n"/>
      <c r="I100" s="24" t="n"/>
      <c r="J100" s="24" t="n"/>
      <c r="K100" s="25" t="n"/>
      <c r="L100" s="24" t="n"/>
      <c r="M100" s="22" t="n"/>
      <c r="N100" s="24" t="n"/>
      <c r="O100" s="25" t="n"/>
      <c r="P100" s="22" t="n"/>
      <c r="Q100" s="18">
        <f>IF(OR(B100="",J100=""),"",TODAY()-J100)</f>
        <v/>
      </c>
      <c r="R100" s="26">
        <f>IF(B100="","",IF(OR(K100="Accepted",K100="Rejected",K100="Withdrawn"),K100,IF(K100="Offer",IF(N100="","Offer","Offer, reply by "&amp;DAY(N100)&amp;" "&amp;CHOOSE(MONTH(N100),"Jan","Feb","Mar","Apr","May","Jun","Jul","Aug","Sep","Oct","Nov","Dec")),IF(OR(K100="",K100="Saved"),IF(N100="","To apply",IF(N100&lt;TODAY(),"Closing date passed","Apply by "&amp;DAY(N100)&amp;" "&amp;CHOOSE(MONTH(N100),"Jan","Feb","Mar","Apr","May","Jun","Jul","Aug","Sep","Oct","Nov","Dec"))),IF(AND(N100="",T100&gt;0,TODAY()-T100&gt;=N(Settings!$C$6)),"No reply",IF(U100="","Waiting",IF(U100&lt;TODAY(),"Follow up",IF(U100-TODAY()&lt;=2,"Due "&amp;DAY(U100)&amp;" "&amp;CHOOSE(MONTH(U100),"Jan","Feb","Mar","Apr","May","Jun","Jul","Aug","Sep","Oct","Nov","Dec"),"Waiting"))))))))</f>
        <v/>
      </c>
      <c r="S100" s="1" t="n"/>
      <c r="T100">
        <f>MAX(N(J100),N(L100))</f>
        <v/>
      </c>
      <c r="U100">
        <f>IF(N100&lt;&gt;"",N100,IF(T100=0,"",T100+N(Settings!$C$5)))</f>
        <v/>
      </c>
      <c r="V100">
        <f>IF(AND(B100&lt;&gt;"",U100&lt;&gt;"",OR(R100="Follow up",LEFT(R100,3)="Due",R100="Waiting",LEFT(R100,5)="Apply",LEFT(R100,5)="Offer")),U100+ROW()/10000000,"")</f>
        <v/>
      </c>
      <c r="W100">
        <f>IF(B100="","",IF(M100&lt;&gt;"",M100,IF(OR(K100="",K100="Saved"),"Apply",IF(K100="Offer","Reply to the offer","Follow up"))))</f>
        <v/>
      </c>
    </row>
    <row r="101">
      <c r="A101" s="1" t="n"/>
      <c r="B101" s="21" t="n"/>
      <c r="C101" s="22" t="n"/>
      <c r="D101" s="22" t="n"/>
      <c r="E101" s="22" t="n"/>
      <c r="F101" s="23" t="n"/>
      <c r="G101" s="23" t="n"/>
      <c r="H101" s="22" t="n"/>
      <c r="I101" s="24" t="n"/>
      <c r="J101" s="24" t="n"/>
      <c r="K101" s="25" t="n"/>
      <c r="L101" s="24" t="n"/>
      <c r="M101" s="22" t="n"/>
      <c r="N101" s="24" t="n"/>
      <c r="O101" s="25" t="n"/>
      <c r="P101" s="22" t="n"/>
      <c r="Q101" s="18">
        <f>IF(OR(B101="",J101=""),"",TODAY()-J101)</f>
        <v/>
      </c>
      <c r="R101" s="26">
        <f>IF(B101="","",IF(OR(K101="Accepted",K101="Rejected",K101="Withdrawn"),K101,IF(K101="Offer",IF(N101="","Offer","Offer, reply by "&amp;DAY(N101)&amp;" "&amp;CHOOSE(MONTH(N101),"Jan","Feb","Mar","Apr","May","Jun","Jul","Aug","Sep","Oct","Nov","Dec")),IF(OR(K101="",K101="Saved"),IF(N101="","To apply",IF(N101&lt;TODAY(),"Closing date passed","Apply by "&amp;DAY(N101)&amp;" "&amp;CHOOSE(MONTH(N101),"Jan","Feb","Mar","Apr","May","Jun","Jul","Aug","Sep","Oct","Nov","Dec"))),IF(AND(N101="",T101&gt;0,TODAY()-T101&gt;=N(Settings!$C$6)),"No reply",IF(U101="","Waiting",IF(U101&lt;TODAY(),"Follow up",IF(U101-TODAY()&lt;=2,"Due "&amp;DAY(U101)&amp;" "&amp;CHOOSE(MONTH(U101),"Jan","Feb","Mar","Apr","May","Jun","Jul","Aug","Sep","Oct","Nov","Dec"),"Waiting"))))))))</f>
        <v/>
      </c>
      <c r="S101" s="1" t="n"/>
      <c r="T101">
        <f>MAX(N(J101),N(L101))</f>
        <v/>
      </c>
      <c r="U101">
        <f>IF(N101&lt;&gt;"",N101,IF(T101=0,"",T101+N(Settings!$C$5)))</f>
        <v/>
      </c>
      <c r="V101">
        <f>IF(AND(B101&lt;&gt;"",U101&lt;&gt;"",OR(R101="Follow up",LEFT(R101,3)="Due",R101="Waiting",LEFT(R101,5)="Apply",LEFT(R101,5)="Offer")),U101+ROW()/10000000,"")</f>
        <v/>
      </c>
      <c r="W101">
        <f>IF(B101="","",IF(M101&lt;&gt;"",M101,IF(OR(K101="",K101="Saved"),"Apply",IF(K101="Offer","Reply to the offer","Follow up"))))</f>
        <v/>
      </c>
    </row>
    <row r="102">
      <c r="A102" s="1" t="n"/>
      <c r="B102" s="21" t="n"/>
      <c r="C102" s="22" t="n"/>
      <c r="D102" s="22" t="n"/>
      <c r="E102" s="22" t="n"/>
      <c r="F102" s="23" t="n"/>
      <c r="G102" s="23" t="n"/>
      <c r="H102" s="22" t="n"/>
      <c r="I102" s="24" t="n"/>
      <c r="J102" s="24" t="n"/>
      <c r="K102" s="25" t="n"/>
      <c r="L102" s="24" t="n"/>
      <c r="M102" s="22" t="n"/>
      <c r="N102" s="24" t="n"/>
      <c r="O102" s="25" t="n"/>
      <c r="P102" s="22" t="n"/>
      <c r="Q102" s="18">
        <f>IF(OR(B102="",J102=""),"",TODAY()-J102)</f>
        <v/>
      </c>
      <c r="R102" s="26">
        <f>IF(B102="","",IF(OR(K102="Accepted",K102="Rejected",K102="Withdrawn"),K102,IF(K102="Offer",IF(N102="","Offer","Offer, reply by "&amp;DAY(N102)&amp;" "&amp;CHOOSE(MONTH(N102),"Jan","Feb","Mar","Apr","May","Jun","Jul","Aug","Sep","Oct","Nov","Dec")),IF(OR(K102="",K102="Saved"),IF(N102="","To apply",IF(N102&lt;TODAY(),"Closing date passed","Apply by "&amp;DAY(N102)&amp;" "&amp;CHOOSE(MONTH(N102),"Jan","Feb","Mar","Apr","May","Jun","Jul","Aug","Sep","Oct","Nov","Dec"))),IF(AND(N102="",T102&gt;0,TODAY()-T102&gt;=N(Settings!$C$6)),"No reply",IF(U102="","Waiting",IF(U102&lt;TODAY(),"Follow up",IF(U102-TODAY()&lt;=2,"Due "&amp;DAY(U102)&amp;" "&amp;CHOOSE(MONTH(U102),"Jan","Feb","Mar","Apr","May","Jun","Jul","Aug","Sep","Oct","Nov","Dec"),"Waiting"))))))))</f>
        <v/>
      </c>
      <c r="S102" s="1" t="n"/>
      <c r="T102">
        <f>MAX(N(J102),N(L102))</f>
        <v/>
      </c>
      <c r="U102">
        <f>IF(N102&lt;&gt;"",N102,IF(T102=0,"",T102+N(Settings!$C$5)))</f>
        <v/>
      </c>
      <c r="V102">
        <f>IF(AND(B102&lt;&gt;"",U102&lt;&gt;"",OR(R102="Follow up",LEFT(R102,3)="Due",R102="Waiting",LEFT(R102,5)="Apply",LEFT(R102,5)="Offer")),U102+ROW()/10000000,"")</f>
        <v/>
      </c>
      <c r="W102">
        <f>IF(B102="","",IF(M102&lt;&gt;"",M102,IF(OR(K102="",K102="Saved"),"Apply",IF(K102="Offer","Reply to the offer","Follow up"))))</f>
        <v/>
      </c>
    </row>
    <row r="103">
      <c r="A103" s="1" t="n"/>
      <c r="B103" s="21" t="n"/>
      <c r="C103" s="22" t="n"/>
      <c r="D103" s="22" t="n"/>
      <c r="E103" s="22" t="n"/>
      <c r="F103" s="23" t="n"/>
      <c r="G103" s="23" t="n"/>
      <c r="H103" s="22" t="n"/>
      <c r="I103" s="24" t="n"/>
      <c r="J103" s="24" t="n"/>
      <c r="K103" s="25" t="n"/>
      <c r="L103" s="24" t="n"/>
      <c r="M103" s="22" t="n"/>
      <c r="N103" s="24" t="n"/>
      <c r="O103" s="25" t="n"/>
      <c r="P103" s="22" t="n"/>
      <c r="Q103" s="18">
        <f>IF(OR(B103="",J103=""),"",TODAY()-J103)</f>
        <v/>
      </c>
      <c r="R103" s="26">
        <f>IF(B103="","",IF(OR(K103="Accepted",K103="Rejected",K103="Withdrawn"),K103,IF(K103="Offer",IF(N103="","Offer","Offer, reply by "&amp;DAY(N103)&amp;" "&amp;CHOOSE(MONTH(N103),"Jan","Feb","Mar","Apr","May","Jun","Jul","Aug","Sep","Oct","Nov","Dec")),IF(OR(K103="",K103="Saved"),IF(N103="","To apply",IF(N103&lt;TODAY(),"Closing date passed","Apply by "&amp;DAY(N103)&amp;" "&amp;CHOOSE(MONTH(N103),"Jan","Feb","Mar","Apr","May","Jun","Jul","Aug","Sep","Oct","Nov","Dec"))),IF(AND(N103="",T103&gt;0,TODAY()-T103&gt;=N(Settings!$C$6)),"No reply",IF(U103="","Waiting",IF(U103&lt;TODAY(),"Follow up",IF(U103-TODAY()&lt;=2,"Due "&amp;DAY(U103)&amp;" "&amp;CHOOSE(MONTH(U103),"Jan","Feb","Mar","Apr","May","Jun","Jul","Aug","Sep","Oct","Nov","Dec"),"Waiting"))))))))</f>
        <v/>
      </c>
      <c r="S103" s="1" t="n"/>
      <c r="T103">
        <f>MAX(N(J103),N(L103))</f>
        <v/>
      </c>
      <c r="U103">
        <f>IF(N103&lt;&gt;"",N103,IF(T103=0,"",T103+N(Settings!$C$5)))</f>
        <v/>
      </c>
      <c r="V103">
        <f>IF(AND(B103&lt;&gt;"",U103&lt;&gt;"",OR(R103="Follow up",LEFT(R103,3)="Due",R103="Waiting",LEFT(R103,5)="Apply",LEFT(R103,5)="Offer")),U103+ROW()/10000000,"")</f>
        <v/>
      </c>
      <c r="W103">
        <f>IF(B103="","",IF(M103&lt;&gt;"",M103,IF(OR(K103="",K103="Saved"),"Apply",IF(K103="Offer","Reply to the offer","Follow up"))))</f>
        <v/>
      </c>
    </row>
    <row r="104">
      <c r="A104" s="1" t="n"/>
      <c r="B104" s="21" t="n"/>
      <c r="C104" s="22" t="n"/>
      <c r="D104" s="22" t="n"/>
      <c r="E104" s="22" t="n"/>
      <c r="F104" s="23" t="n"/>
      <c r="G104" s="23" t="n"/>
      <c r="H104" s="22" t="n"/>
      <c r="I104" s="24" t="n"/>
      <c r="J104" s="24" t="n"/>
      <c r="K104" s="25" t="n"/>
      <c r="L104" s="24" t="n"/>
      <c r="M104" s="22" t="n"/>
      <c r="N104" s="24" t="n"/>
      <c r="O104" s="25" t="n"/>
      <c r="P104" s="22" t="n"/>
      <c r="Q104" s="18">
        <f>IF(OR(B104="",J104=""),"",TODAY()-J104)</f>
        <v/>
      </c>
      <c r="R104" s="26">
        <f>IF(B104="","",IF(OR(K104="Accepted",K104="Rejected",K104="Withdrawn"),K104,IF(K104="Offer",IF(N104="","Offer","Offer, reply by "&amp;DAY(N104)&amp;" "&amp;CHOOSE(MONTH(N104),"Jan","Feb","Mar","Apr","May","Jun","Jul","Aug","Sep","Oct","Nov","Dec")),IF(OR(K104="",K104="Saved"),IF(N104="","To apply",IF(N104&lt;TODAY(),"Closing date passed","Apply by "&amp;DAY(N104)&amp;" "&amp;CHOOSE(MONTH(N104),"Jan","Feb","Mar","Apr","May","Jun","Jul","Aug","Sep","Oct","Nov","Dec"))),IF(AND(N104="",T104&gt;0,TODAY()-T104&gt;=N(Settings!$C$6)),"No reply",IF(U104="","Waiting",IF(U104&lt;TODAY(),"Follow up",IF(U104-TODAY()&lt;=2,"Due "&amp;DAY(U104)&amp;" "&amp;CHOOSE(MONTH(U104),"Jan","Feb","Mar","Apr","May","Jun","Jul","Aug","Sep","Oct","Nov","Dec"),"Waiting"))))))))</f>
        <v/>
      </c>
      <c r="S104" s="1" t="n"/>
      <c r="T104">
        <f>MAX(N(J104),N(L104))</f>
        <v/>
      </c>
      <c r="U104">
        <f>IF(N104&lt;&gt;"",N104,IF(T104=0,"",T104+N(Settings!$C$5)))</f>
        <v/>
      </c>
      <c r="V104">
        <f>IF(AND(B104&lt;&gt;"",U104&lt;&gt;"",OR(R104="Follow up",LEFT(R104,3)="Due",R104="Waiting",LEFT(R104,5)="Apply",LEFT(R104,5)="Offer")),U104+ROW()/10000000,"")</f>
        <v/>
      </c>
      <c r="W104">
        <f>IF(B104="","",IF(M104&lt;&gt;"",M104,IF(OR(K104="",K104="Saved"),"Apply",IF(K104="Offer","Reply to the offer","Follow up"))))</f>
        <v/>
      </c>
    </row>
    <row r="105">
      <c r="A105" s="1" t="n"/>
      <c r="B105" s="21" t="n"/>
      <c r="C105" s="22" t="n"/>
      <c r="D105" s="22" t="n"/>
      <c r="E105" s="22" t="n"/>
      <c r="F105" s="23" t="n"/>
      <c r="G105" s="23" t="n"/>
      <c r="H105" s="22" t="n"/>
      <c r="I105" s="24" t="n"/>
      <c r="J105" s="24" t="n"/>
      <c r="K105" s="25" t="n"/>
      <c r="L105" s="24" t="n"/>
      <c r="M105" s="22" t="n"/>
      <c r="N105" s="24" t="n"/>
      <c r="O105" s="25" t="n"/>
      <c r="P105" s="22" t="n"/>
      <c r="Q105" s="18">
        <f>IF(OR(B105="",J105=""),"",TODAY()-J105)</f>
        <v/>
      </c>
      <c r="R105" s="26">
        <f>IF(B105="","",IF(OR(K105="Accepted",K105="Rejected",K105="Withdrawn"),K105,IF(K105="Offer",IF(N105="","Offer","Offer, reply by "&amp;DAY(N105)&amp;" "&amp;CHOOSE(MONTH(N105),"Jan","Feb","Mar","Apr","May","Jun","Jul","Aug","Sep","Oct","Nov","Dec")),IF(OR(K105="",K105="Saved"),IF(N105="","To apply",IF(N105&lt;TODAY(),"Closing date passed","Apply by "&amp;DAY(N105)&amp;" "&amp;CHOOSE(MONTH(N105),"Jan","Feb","Mar","Apr","May","Jun","Jul","Aug","Sep","Oct","Nov","Dec"))),IF(AND(N105="",T105&gt;0,TODAY()-T105&gt;=N(Settings!$C$6)),"No reply",IF(U105="","Waiting",IF(U105&lt;TODAY(),"Follow up",IF(U105-TODAY()&lt;=2,"Due "&amp;DAY(U105)&amp;" "&amp;CHOOSE(MONTH(U105),"Jan","Feb","Mar","Apr","May","Jun","Jul","Aug","Sep","Oct","Nov","Dec"),"Waiting"))))))))</f>
        <v/>
      </c>
      <c r="S105" s="1" t="n"/>
      <c r="T105">
        <f>MAX(N(J105),N(L105))</f>
        <v/>
      </c>
      <c r="U105">
        <f>IF(N105&lt;&gt;"",N105,IF(T105=0,"",T105+N(Settings!$C$5)))</f>
        <v/>
      </c>
      <c r="V105">
        <f>IF(AND(B105&lt;&gt;"",U105&lt;&gt;"",OR(R105="Follow up",LEFT(R105,3)="Due",R105="Waiting",LEFT(R105,5)="Apply",LEFT(R105,5)="Offer")),U105+ROW()/10000000,"")</f>
        <v/>
      </c>
      <c r="W105">
        <f>IF(B105="","",IF(M105&lt;&gt;"",M105,IF(OR(K105="",K105="Saved"),"Apply",IF(K105="Offer","Reply to the offer","Follow up"))))</f>
        <v/>
      </c>
    </row>
    <row r="106">
      <c r="A106" s="1" t="n"/>
      <c r="B106" s="21" t="n"/>
      <c r="C106" s="22" t="n"/>
      <c r="D106" s="22" t="n"/>
      <c r="E106" s="22" t="n"/>
      <c r="F106" s="23" t="n"/>
      <c r="G106" s="23" t="n"/>
      <c r="H106" s="22" t="n"/>
      <c r="I106" s="24" t="n"/>
      <c r="J106" s="24" t="n"/>
      <c r="K106" s="25" t="n"/>
      <c r="L106" s="24" t="n"/>
      <c r="M106" s="22" t="n"/>
      <c r="N106" s="24" t="n"/>
      <c r="O106" s="25" t="n"/>
      <c r="P106" s="22" t="n"/>
      <c r="Q106" s="18">
        <f>IF(OR(B106="",J106=""),"",TODAY()-J106)</f>
        <v/>
      </c>
      <c r="R106" s="26">
        <f>IF(B106="","",IF(OR(K106="Accepted",K106="Rejected",K106="Withdrawn"),K106,IF(K106="Offer",IF(N106="","Offer","Offer, reply by "&amp;DAY(N106)&amp;" "&amp;CHOOSE(MONTH(N106),"Jan","Feb","Mar","Apr","May","Jun","Jul","Aug","Sep","Oct","Nov","Dec")),IF(OR(K106="",K106="Saved"),IF(N106="","To apply",IF(N106&lt;TODAY(),"Closing date passed","Apply by "&amp;DAY(N106)&amp;" "&amp;CHOOSE(MONTH(N106),"Jan","Feb","Mar","Apr","May","Jun","Jul","Aug","Sep","Oct","Nov","Dec"))),IF(AND(N106="",T106&gt;0,TODAY()-T106&gt;=N(Settings!$C$6)),"No reply",IF(U106="","Waiting",IF(U106&lt;TODAY(),"Follow up",IF(U106-TODAY()&lt;=2,"Due "&amp;DAY(U106)&amp;" "&amp;CHOOSE(MONTH(U106),"Jan","Feb","Mar","Apr","May","Jun","Jul","Aug","Sep","Oct","Nov","Dec"),"Waiting"))))))))</f>
        <v/>
      </c>
      <c r="S106" s="1" t="n"/>
      <c r="T106">
        <f>MAX(N(J106),N(L106))</f>
        <v/>
      </c>
      <c r="U106">
        <f>IF(N106&lt;&gt;"",N106,IF(T106=0,"",T106+N(Settings!$C$5)))</f>
        <v/>
      </c>
      <c r="V106">
        <f>IF(AND(B106&lt;&gt;"",U106&lt;&gt;"",OR(R106="Follow up",LEFT(R106,3)="Due",R106="Waiting",LEFT(R106,5)="Apply",LEFT(R106,5)="Offer")),U106+ROW()/10000000,"")</f>
        <v/>
      </c>
      <c r="W106">
        <f>IF(B106="","",IF(M106&lt;&gt;"",M106,IF(OR(K106="",K106="Saved"),"Apply",IF(K106="Offer","Reply to the offer","Follow up"))))</f>
        <v/>
      </c>
    </row>
    <row r="107">
      <c r="A107" s="1" t="n"/>
      <c r="B107" s="21" t="n"/>
      <c r="C107" s="22" t="n"/>
      <c r="D107" s="22" t="n"/>
      <c r="E107" s="22" t="n"/>
      <c r="F107" s="23" t="n"/>
      <c r="G107" s="23" t="n"/>
      <c r="H107" s="22" t="n"/>
      <c r="I107" s="24" t="n"/>
      <c r="J107" s="24" t="n"/>
      <c r="K107" s="25" t="n"/>
      <c r="L107" s="24" t="n"/>
      <c r="M107" s="22" t="n"/>
      <c r="N107" s="24" t="n"/>
      <c r="O107" s="25" t="n"/>
      <c r="P107" s="22" t="n"/>
      <c r="Q107" s="18">
        <f>IF(OR(B107="",J107=""),"",TODAY()-J107)</f>
        <v/>
      </c>
      <c r="R107" s="26">
        <f>IF(B107="","",IF(OR(K107="Accepted",K107="Rejected",K107="Withdrawn"),K107,IF(K107="Offer",IF(N107="","Offer","Offer, reply by "&amp;DAY(N107)&amp;" "&amp;CHOOSE(MONTH(N107),"Jan","Feb","Mar","Apr","May","Jun","Jul","Aug","Sep","Oct","Nov","Dec")),IF(OR(K107="",K107="Saved"),IF(N107="","To apply",IF(N107&lt;TODAY(),"Closing date passed","Apply by "&amp;DAY(N107)&amp;" "&amp;CHOOSE(MONTH(N107),"Jan","Feb","Mar","Apr","May","Jun","Jul","Aug","Sep","Oct","Nov","Dec"))),IF(AND(N107="",T107&gt;0,TODAY()-T107&gt;=N(Settings!$C$6)),"No reply",IF(U107="","Waiting",IF(U107&lt;TODAY(),"Follow up",IF(U107-TODAY()&lt;=2,"Due "&amp;DAY(U107)&amp;" "&amp;CHOOSE(MONTH(U107),"Jan","Feb","Mar","Apr","May","Jun","Jul","Aug","Sep","Oct","Nov","Dec"),"Waiting"))))))))</f>
        <v/>
      </c>
      <c r="S107" s="1" t="n"/>
      <c r="T107">
        <f>MAX(N(J107),N(L107))</f>
        <v/>
      </c>
      <c r="U107">
        <f>IF(N107&lt;&gt;"",N107,IF(T107=0,"",T107+N(Settings!$C$5)))</f>
        <v/>
      </c>
      <c r="V107">
        <f>IF(AND(B107&lt;&gt;"",U107&lt;&gt;"",OR(R107="Follow up",LEFT(R107,3)="Due",R107="Waiting",LEFT(R107,5)="Apply",LEFT(R107,5)="Offer")),U107+ROW()/10000000,"")</f>
        <v/>
      </c>
      <c r="W107">
        <f>IF(B107="","",IF(M107&lt;&gt;"",M107,IF(OR(K107="",K107="Saved"),"Apply",IF(K107="Offer","Reply to the offer","Follow up"))))</f>
        <v/>
      </c>
    </row>
    <row r="108">
      <c r="A108" s="1" t="n"/>
      <c r="B108" s="21" t="n"/>
      <c r="C108" s="22" t="n"/>
      <c r="D108" s="22" t="n"/>
      <c r="E108" s="22" t="n"/>
      <c r="F108" s="23" t="n"/>
      <c r="G108" s="23" t="n"/>
      <c r="H108" s="22" t="n"/>
      <c r="I108" s="24" t="n"/>
      <c r="J108" s="24" t="n"/>
      <c r="K108" s="25" t="n"/>
      <c r="L108" s="24" t="n"/>
      <c r="M108" s="22" t="n"/>
      <c r="N108" s="24" t="n"/>
      <c r="O108" s="25" t="n"/>
      <c r="P108" s="22" t="n"/>
      <c r="Q108" s="18">
        <f>IF(OR(B108="",J108=""),"",TODAY()-J108)</f>
        <v/>
      </c>
      <c r="R108" s="26">
        <f>IF(B108="","",IF(OR(K108="Accepted",K108="Rejected",K108="Withdrawn"),K108,IF(K108="Offer",IF(N108="","Offer","Offer, reply by "&amp;DAY(N108)&amp;" "&amp;CHOOSE(MONTH(N108),"Jan","Feb","Mar","Apr","May","Jun","Jul","Aug","Sep","Oct","Nov","Dec")),IF(OR(K108="",K108="Saved"),IF(N108="","To apply",IF(N108&lt;TODAY(),"Closing date passed","Apply by "&amp;DAY(N108)&amp;" "&amp;CHOOSE(MONTH(N108),"Jan","Feb","Mar","Apr","May","Jun","Jul","Aug","Sep","Oct","Nov","Dec"))),IF(AND(N108="",T108&gt;0,TODAY()-T108&gt;=N(Settings!$C$6)),"No reply",IF(U108="","Waiting",IF(U108&lt;TODAY(),"Follow up",IF(U108-TODAY()&lt;=2,"Due "&amp;DAY(U108)&amp;" "&amp;CHOOSE(MONTH(U108),"Jan","Feb","Mar","Apr","May","Jun","Jul","Aug","Sep","Oct","Nov","Dec"),"Waiting"))))))))</f>
        <v/>
      </c>
      <c r="S108" s="1" t="n"/>
      <c r="T108">
        <f>MAX(N(J108),N(L108))</f>
        <v/>
      </c>
      <c r="U108">
        <f>IF(N108&lt;&gt;"",N108,IF(T108=0,"",T108+N(Settings!$C$5)))</f>
        <v/>
      </c>
      <c r="V108">
        <f>IF(AND(B108&lt;&gt;"",U108&lt;&gt;"",OR(R108="Follow up",LEFT(R108,3)="Due",R108="Waiting",LEFT(R108,5)="Apply",LEFT(R108,5)="Offer")),U108+ROW()/10000000,"")</f>
        <v/>
      </c>
      <c r="W108">
        <f>IF(B108="","",IF(M108&lt;&gt;"",M108,IF(OR(K108="",K108="Saved"),"Apply",IF(K108="Offer","Reply to the offer","Follow up"))))</f>
        <v/>
      </c>
    </row>
    <row r="109">
      <c r="A109" s="1" t="n"/>
      <c r="B109" s="21" t="n"/>
      <c r="C109" s="22" t="n"/>
      <c r="D109" s="22" t="n"/>
      <c r="E109" s="22" t="n"/>
      <c r="F109" s="23" t="n"/>
      <c r="G109" s="23" t="n"/>
      <c r="H109" s="22" t="n"/>
      <c r="I109" s="24" t="n"/>
      <c r="J109" s="24" t="n"/>
      <c r="K109" s="25" t="n"/>
      <c r="L109" s="24" t="n"/>
      <c r="M109" s="22" t="n"/>
      <c r="N109" s="24" t="n"/>
      <c r="O109" s="25" t="n"/>
      <c r="P109" s="22" t="n"/>
      <c r="Q109" s="18">
        <f>IF(OR(B109="",J109=""),"",TODAY()-J109)</f>
        <v/>
      </c>
      <c r="R109" s="26">
        <f>IF(B109="","",IF(OR(K109="Accepted",K109="Rejected",K109="Withdrawn"),K109,IF(K109="Offer",IF(N109="","Offer","Offer, reply by "&amp;DAY(N109)&amp;" "&amp;CHOOSE(MONTH(N109),"Jan","Feb","Mar","Apr","May","Jun","Jul","Aug","Sep","Oct","Nov","Dec")),IF(OR(K109="",K109="Saved"),IF(N109="","To apply",IF(N109&lt;TODAY(),"Closing date passed","Apply by "&amp;DAY(N109)&amp;" "&amp;CHOOSE(MONTH(N109),"Jan","Feb","Mar","Apr","May","Jun","Jul","Aug","Sep","Oct","Nov","Dec"))),IF(AND(N109="",T109&gt;0,TODAY()-T109&gt;=N(Settings!$C$6)),"No reply",IF(U109="","Waiting",IF(U109&lt;TODAY(),"Follow up",IF(U109-TODAY()&lt;=2,"Due "&amp;DAY(U109)&amp;" "&amp;CHOOSE(MONTH(U109),"Jan","Feb","Mar","Apr","May","Jun","Jul","Aug","Sep","Oct","Nov","Dec"),"Waiting"))))))))</f>
        <v/>
      </c>
      <c r="S109" s="1" t="n"/>
      <c r="T109">
        <f>MAX(N(J109),N(L109))</f>
        <v/>
      </c>
      <c r="U109">
        <f>IF(N109&lt;&gt;"",N109,IF(T109=0,"",T109+N(Settings!$C$5)))</f>
        <v/>
      </c>
      <c r="V109">
        <f>IF(AND(B109&lt;&gt;"",U109&lt;&gt;"",OR(R109="Follow up",LEFT(R109,3)="Due",R109="Waiting",LEFT(R109,5)="Apply",LEFT(R109,5)="Offer")),U109+ROW()/10000000,"")</f>
        <v/>
      </c>
      <c r="W109">
        <f>IF(B109="","",IF(M109&lt;&gt;"",M109,IF(OR(K109="",K109="Saved"),"Apply",IF(K109="Offer","Reply to the offer","Follow up"))))</f>
        <v/>
      </c>
    </row>
    <row r="110">
      <c r="A110" s="1" t="n"/>
      <c r="B110" s="21" t="n"/>
      <c r="C110" s="22" t="n"/>
      <c r="D110" s="22" t="n"/>
      <c r="E110" s="22" t="n"/>
      <c r="F110" s="23" t="n"/>
      <c r="G110" s="23" t="n"/>
      <c r="H110" s="22" t="n"/>
      <c r="I110" s="24" t="n"/>
      <c r="J110" s="24" t="n"/>
      <c r="K110" s="25" t="n"/>
      <c r="L110" s="24" t="n"/>
      <c r="M110" s="22" t="n"/>
      <c r="N110" s="24" t="n"/>
      <c r="O110" s="25" t="n"/>
      <c r="P110" s="22" t="n"/>
      <c r="Q110" s="18">
        <f>IF(OR(B110="",J110=""),"",TODAY()-J110)</f>
        <v/>
      </c>
      <c r="R110" s="26">
        <f>IF(B110="","",IF(OR(K110="Accepted",K110="Rejected",K110="Withdrawn"),K110,IF(K110="Offer",IF(N110="","Offer","Offer, reply by "&amp;DAY(N110)&amp;" "&amp;CHOOSE(MONTH(N110),"Jan","Feb","Mar","Apr","May","Jun","Jul","Aug","Sep","Oct","Nov","Dec")),IF(OR(K110="",K110="Saved"),IF(N110="","To apply",IF(N110&lt;TODAY(),"Closing date passed","Apply by "&amp;DAY(N110)&amp;" "&amp;CHOOSE(MONTH(N110),"Jan","Feb","Mar","Apr","May","Jun","Jul","Aug","Sep","Oct","Nov","Dec"))),IF(AND(N110="",T110&gt;0,TODAY()-T110&gt;=N(Settings!$C$6)),"No reply",IF(U110="","Waiting",IF(U110&lt;TODAY(),"Follow up",IF(U110-TODAY()&lt;=2,"Due "&amp;DAY(U110)&amp;" "&amp;CHOOSE(MONTH(U110),"Jan","Feb","Mar","Apr","May","Jun","Jul","Aug","Sep","Oct","Nov","Dec"),"Waiting"))))))))</f>
        <v/>
      </c>
      <c r="S110" s="1" t="n"/>
      <c r="T110">
        <f>MAX(N(J110),N(L110))</f>
        <v/>
      </c>
      <c r="U110">
        <f>IF(N110&lt;&gt;"",N110,IF(T110=0,"",T110+N(Settings!$C$5)))</f>
        <v/>
      </c>
      <c r="V110">
        <f>IF(AND(B110&lt;&gt;"",U110&lt;&gt;"",OR(R110="Follow up",LEFT(R110,3)="Due",R110="Waiting",LEFT(R110,5)="Apply",LEFT(R110,5)="Offer")),U110+ROW()/10000000,"")</f>
        <v/>
      </c>
      <c r="W110">
        <f>IF(B110="","",IF(M110&lt;&gt;"",M110,IF(OR(K110="",K110="Saved"),"Apply",IF(K110="Offer","Reply to the offer","Follow up"))))</f>
        <v/>
      </c>
    </row>
    <row r="111">
      <c r="A111" s="1" t="n"/>
      <c r="B111" s="21" t="n"/>
      <c r="C111" s="22" t="n"/>
      <c r="D111" s="22" t="n"/>
      <c r="E111" s="22" t="n"/>
      <c r="F111" s="23" t="n"/>
      <c r="G111" s="23" t="n"/>
      <c r="H111" s="22" t="n"/>
      <c r="I111" s="24" t="n"/>
      <c r="J111" s="24" t="n"/>
      <c r="K111" s="25" t="n"/>
      <c r="L111" s="24" t="n"/>
      <c r="M111" s="22" t="n"/>
      <c r="N111" s="24" t="n"/>
      <c r="O111" s="25" t="n"/>
      <c r="P111" s="22" t="n"/>
      <c r="Q111" s="18">
        <f>IF(OR(B111="",J111=""),"",TODAY()-J111)</f>
        <v/>
      </c>
      <c r="R111" s="26">
        <f>IF(B111="","",IF(OR(K111="Accepted",K111="Rejected",K111="Withdrawn"),K111,IF(K111="Offer",IF(N111="","Offer","Offer, reply by "&amp;DAY(N111)&amp;" "&amp;CHOOSE(MONTH(N111),"Jan","Feb","Mar","Apr","May","Jun","Jul","Aug","Sep","Oct","Nov","Dec")),IF(OR(K111="",K111="Saved"),IF(N111="","To apply",IF(N111&lt;TODAY(),"Closing date passed","Apply by "&amp;DAY(N111)&amp;" "&amp;CHOOSE(MONTH(N111),"Jan","Feb","Mar","Apr","May","Jun","Jul","Aug","Sep","Oct","Nov","Dec"))),IF(AND(N111="",T111&gt;0,TODAY()-T111&gt;=N(Settings!$C$6)),"No reply",IF(U111="","Waiting",IF(U111&lt;TODAY(),"Follow up",IF(U111-TODAY()&lt;=2,"Due "&amp;DAY(U111)&amp;" "&amp;CHOOSE(MONTH(U111),"Jan","Feb","Mar","Apr","May","Jun","Jul","Aug","Sep","Oct","Nov","Dec"),"Waiting"))))))))</f>
        <v/>
      </c>
      <c r="S111" s="1" t="n"/>
      <c r="T111">
        <f>MAX(N(J111),N(L111))</f>
        <v/>
      </c>
      <c r="U111">
        <f>IF(N111&lt;&gt;"",N111,IF(T111=0,"",T111+N(Settings!$C$5)))</f>
        <v/>
      </c>
      <c r="V111">
        <f>IF(AND(B111&lt;&gt;"",U111&lt;&gt;"",OR(R111="Follow up",LEFT(R111,3)="Due",R111="Waiting",LEFT(R111,5)="Apply",LEFT(R111,5)="Offer")),U111+ROW()/10000000,"")</f>
        <v/>
      </c>
      <c r="W111">
        <f>IF(B111="","",IF(M111&lt;&gt;"",M111,IF(OR(K111="",K111="Saved"),"Apply",IF(K111="Offer","Reply to the offer","Follow up"))))</f>
        <v/>
      </c>
    </row>
    <row r="112">
      <c r="A112" s="1" t="n"/>
      <c r="B112" s="21" t="n"/>
      <c r="C112" s="22" t="n"/>
      <c r="D112" s="22" t="n"/>
      <c r="E112" s="22" t="n"/>
      <c r="F112" s="23" t="n"/>
      <c r="G112" s="23" t="n"/>
      <c r="H112" s="22" t="n"/>
      <c r="I112" s="24" t="n"/>
      <c r="J112" s="24" t="n"/>
      <c r="K112" s="25" t="n"/>
      <c r="L112" s="24" t="n"/>
      <c r="M112" s="22" t="n"/>
      <c r="N112" s="24" t="n"/>
      <c r="O112" s="25" t="n"/>
      <c r="P112" s="22" t="n"/>
      <c r="Q112" s="18">
        <f>IF(OR(B112="",J112=""),"",TODAY()-J112)</f>
        <v/>
      </c>
      <c r="R112" s="26">
        <f>IF(B112="","",IF(OR(K112="Accepted",K112="Rejected",K112="Withdrawn"),K112,IF(K112="Offer",IF(N112="","Offer","Offer, reply by "&amp;DAY(N112)&amp;" "&amp;CHOOSE(MONTH(N112),"Jan","Feb","Mar","Apr","May","Jun","Jul","Aug","Sep","Oct","Nov","Dec")),IF(OR(K112="",K112="Saved"),IF(N112="","To apply",IF(N112&lt;TODAY(),"Closing date passed","Apply by "&amp;DAY(N112)&amp;" "&amp;CHOOSE(MONTH(N112),"Jan","Feb","Mar","Apr","May","Jun","Jul","Aug","Sep","Oct","Nov","Dec"))),IF(AND(N112="",T112&gt;0,TODAY()-T112&gt;=N(Settings!$C$6)),"No reply",IF(U112="","Waiting",IF(U112&lt;TODAY(),"Follow up",IF(U112-TODAY()&lt;=2,"Due "&amp;DAY(U112)&amp;" "&amp;CHOOSE(MONTH(U112),"Jan","Feb","Mar","Apr","May","Jun","Jul","Aug","Sep","Oct","Nov","Dec"),"Waiting"))))))))</f>
        <v/>
      </c>
      <c r="S112" s="1" t="n"/>
      <c r="T112">
        <f>MAX(N(J112),N(L112))</f>
        <v/>
      </c>
      <c r="U112">
        <f>IF(N112&lt;&gt;"",N112,IF(T112=0,"",T112+N(Settings!$C$5)))</f>
        <v/>
      </c>
      <c r="V112">
        <f>IF(AND(B112&lt;&gt;"",U112&lt;&gt;"",OR(R112="Follow up",LEFT(R112,3)="Due",R112="Waiting",LEFT(R112,5)="Apply",LEFT(R112,5)="Offer")),U112+ROW()/10000000,"")</f>
        <v/>
      </c>
      <c r="W112">
        <f>IF(B112="","",IF(M112&lt;&gt;"",M112,IF(OR(K112="",K112="Saved"),"Apply",IF(K112="Offer","Reply to the offer","Follow up"))))</f>
        <v/>
      </c>
    </row>
    <row r="113">
      <c r="A113" s="1" t="n"/>
      <c r="B113" s="21" t="n"/>
      <c r="C113" s="22" t="n"/>
      <c r="D113" s="22" t="n"/>
      <c r="E113" s="22" t="n"/>
      <c r="F113" s="23" t="n"/>
      <c r="G113" s="23" t="n"/>
      <c r="H113" s="22" t="n"/>
      <c r="I113" s="24" t="n"/>
      <c r="J113" s="24" t="n"/>
      <c r="K113" s="25" t="n"/>
      <c r="L113" s="24" t="n"/>
      <c r="M113" s="22" t="n"/>
      <c r="N113" s="24" t="n"/>
      <c r="O113" s="25" t="n"/>
      <c r="P113" s="22" t="n"/>
      <c r="Q113" s="18">
        <f>IF(OR(B113="",J113=""),"",TODAY()-J113)</f>
        <v/>
      </c>
      <c r="R113" s="26">
        <f>IF(B113="","",IF(OR(K113="Accepted",K113="Rejected",K113="Withdrawn"),K113,IF(K113="Offer",IF(N113="","Offer","Offer, reply by "&amp;DAY(N113)&amp;" "&amp;CHOOSE(MONTH(N113),"Jan","Feb","Mar","Apr","May","Jun","Jul","Aug","Sep","Oct","Nov","Dec")),IF(OR(K113="",K113="Saved"),IF(N113="","To apply",IF(N113&lt;TODAY(),"Closing date passed","Apply by "&amp;DAY(N113)&amp;" "&amp;CHOOSE(MONTH(N113),"Jan","Feb","Mar","Apr","May","Jun","Jul","Aug","Sep","Oct","Nov","Dec"))),IF(AND(N113="",T113&gt;0,TODAY()-T113&gt;=N(Settings!$C$6)),"No reply",IF(U113="","Waiting",IF(U113&lt;TODAY(),"Follow up",IF(U113-TODAY()&lt;=2,"Due "&amp;DAY(U113)&amp;" "&amp;CHOOSE(MONTH(U113),"Jan","Feb","Mar","Apr","May","Jun","Jul","Aug","Sep","Oct","Nov","Dec"),"Waiting"))))))))</f>
        <v/>
      </c>
      <c r="S113" s="1" t="n"/>
      <c r="T113">
        <f>MAX(N(J113),N(L113))</f>
        <v/>
      </c>
      <c r="U113">
        <f>IF(N113&lt;&gt;"",N113,IF(T113=0,"",T113+N(Settings!$C$5)))</f>
        <v/>
      </c>
      <c r="V113">
        <f>IF(AND(B113&lt;&gt;"",U113&lt;&gt;"",OR(R113="Follow up",LEFT(R113,3)="Due",R113="Waiting",LEFT(R113,5)="Apply",LEFT(R113,5)="Offer")),U113+ROW()/10000000,"")</f>
        <v/>
      </c>
      <c r="W113">
        <f>IF(B113="","",IF(M113&lt;&gt;"",M113,IF(OR(K113="",K113="Saved"),"Apply",IF(K113="Offer","Reply to the offer","Follow up"))))</f>
        <v/>
      </c>
    </row>
    <row r="114">
      <c r="A114" s="1" t="n"/>
      <c r="B114" s="21" t="n"/>
      <c r="C114" s="22" t="n"/>
      <c r="D114" s="22" t="n"/>
      <c r="E114" s="22" t="n"/>
      <c r="F114" s="23" t="n"/>
      <c r="G114" s="23" t="n"/>
      <c r="H114" s="22" t="n"/>
      <c r="I114" s="24" t="n"/>
      <c r="J114" s="24" t="n"/>
      <c r="K114" s="25" t="n"/>
      <c r="L114" s="24" t="n"/>
      <c r="M114" s="22" t="n"/>
      <c r="N114" s="24" t="n"/>
      <c r="O114" s="25" t="n"/>
      <c r="P114" s="22" t="n"/>
      <c r="Q114" s="18">
        <f>IF(OR(B114="",J114=""),"",TODAY()-J114)</f>
        <v/>
      </c>
      <c r="R114" s="26">
        <f>IF(B114="","",IF(OR(K114="Accepted",K114="Rejected",K114="Withdrawn"),K114,IF(K114="Offer",IF(N114="","Offer","Offer, reply by "&amp;DAY(N114)&amp;" "&amp;CHOOSE(MONTH(N114),"Jan","Feb","Mar","Apr","May","Jun","Jul","Aug","Sep","Oct","Nov","Dec")),IF(OR(K114="",K114="Saved"),IF(N114="","To apply",IF(N114&lt;TODAY(),"Closing date passed","Apply by "&amp;DAY(N114)&amp;" "&amp;CHOOSE(MONTH(N114),"Jan","Feb","Mar","Apr","May","Jun","Jul","Aug","Sep","Oct","Nov","Dec"))),IF(AND(N114="",T114&gt;0,TODAY()-T114&gt;=N(Settings!$C$6)),"No reply",IF(U114="","Waiting",IF(U114&lt;TODAY(),"Follow up",IF(U114-TODAY()&lt;=2,"Due "&amp;DAY(U114)&amp;" "&amp;CHOOSE(MONTH(U114),"Jan","Feb","Mar","Apr","May","Jun","Jul","Aug","Sep","Oct","Nov","Dec"),"Waiting"))))))))</f>
        <v/>
      </c>
      <c r="S114" s="1" t="n"/>
      <c r="T114">
        <f>MAX(N(J114),N(L114))</f>
        <v/>
      </c>
      <c r="U114">
        <f>IF(N114&lt;&gt;"",N114,IF(T114=0,"",T114+N(Settings!$C$5)))</f>
        <v/>
      </c>
      <c r="V114">
        <f>IF(AND(B114&lt;&gt;"",U114&lt;&gt;"",OR(R114="Follow up",LEFT(R114,3)="Due",R114="Waiting",LEFT(R114,5)="Apply",LEFT(R114,5)="Offer")),U114+ROW()/10000000,"")</f>
        <v/>
      </c>
      <c r="W114">
        <f>IF(B114="","",IF(M114&lt;&gt;"",M114,IF(OR(K114="",K114="Saved"),"Apply",IF(K114="Offer","Reply to the offer","Follow up"))))</f>
        <v/>
      </c>
    </row>
    <row r="115">
      <c r="A115" s="1" t="n"/>
      <c r="B115" s="21" t="n"/>
      <c r="C115" s="22" t="n"/>
      <c r="D115" s="22" t="n"/>
      <c r="E115" s="22" t="n"/>
      <c r="F115" s="23" t="n"/>
      <c r="G115" s="23" t="n"/>
      <c r="H115" s="22" t="n"/>
      <c r="I115" s="24" t="n"/>
      <c r="J115" s="24" t="n"/>
      <c r="K115" s="25" t="n"/>
      <c r="L115" s="24" t="n"/>
      <c r="M115" s="22" t="n"/>
      <c r="N115" s="24" t="n"/>
      <c r="O115" s="25" t="n"/>
      <c r="P115" s="22" t="n"/>
      <c r="Q115" s="18">
        <f>IF(OR(B115="",J115=""),"",TODAY()-J115)</f>
        <v/>
      </c>
      <c r="R115" s="26">
        <f>IF(B115="","",IF(OR(K115="Accepted",K115="Rejected",K115="Withdrawn"),K115,IF(K115="Offer",IF(N115="","Offer","Offer, reply by "&amp;DAY(N115)&amp;" "&amp;CHOOSE(MONTH(N115),"Jan","Feb","Mar","Apr","May","Jun","Jul","Aug","Sep","Oct","Nov","Dec")),IF(OR(K115="",K115="Saved"),IF(N115="","To apply",IF(N115&lt;TODAY(),"Closing date passed","Apply by "&amp;DAY(N115)&amp;" "&amp;CHOOSE(MONTH(N115),"Jan","Feb","Mar","Apr","May","Jun","Jul","Aug","Sep","Oct","Nov","Dec"))),IF(AND(N115="",T115&gt;0,TODAY()-T115&gt;=N(Settings!$C$6)),"No reply",IF(U115="","Waiting",IF(U115&lt;TODAY(),"Follow up",IF(U115-TODAY()&lt;=2,"Due "&amp;DAY(U115)&amp;" "&amp;CHOOSE(MONTH(U115),"Jan","Feb","Mar","Apr","May","Jun","Jul","Aug","Sep","Oct","Nov","Dec"),"Waiting"))))))))</f>
        <v/>
      </c>
      <c r="S115" s="1" t="n"/>
      <c r="T115">
        <f>MAX(N(J115),N(L115))</f>
        <v/>
      </c>
      <c r="U115">
        <f>IF(N115&lt;&gt;"",N115,IF(T115=0,"",T115+N(Settings!$C$5)))</f>
        <v/>
      </c>
      <c r="V115">
        <f>IF(AND(B115&lt;&gt;"",U115&lt;&gt;"",OR(R115="Follow up",LEFT(R115,3)="Due",R115="Waiting",LEFT(R115,5)="Apply",LEFT(R115,5)="Offer")),U115+ROW()/10000000,"")</f>
        <v/>
      </c>
      <c r="W115">
        <f>IF(B115="","",IF(M115&lt;&gt;"",M115,IF(OR(K115="",K115="Saved"),"Apply",IF(K115="Offer","Reply to the offer","Follow up"))))</f>
        <v/>
      </c>
    </row>
    <row r="116">
      <c r="A116" s="1" t="n"/>
      <c r="B116" s="21" t="n"/>
      <c r="C116" s="22" t="n"/>
      <c r="D116" s="22" t="n"/>
      <c r="E116" s="22" t="n"/>
      <c r="F116" s="23" t="n"/>
      <c r="G116" s="23" t="n"/>
      <c r="H116" s="22" t="n"/>
      <c r="I116" s="24" t="n"/>
      <c r="J116" s="24" t="n"/>
      <c r="K116" s="25" t="n"/>
      <c r="L116" s="24" t="n"/>
      <c r="M116" s="22" t="n"/>
      <c r="N116" s="24" t="n"/>
      <c r="O116" s="25" t="n"/>
      <c r="P116" s="22" t="n"/>
      <c r="Q116" s="18">
        <f>IF(OR(B116="",J116=""),"",TODAY()-J116)</f>
        <v/>
      </c>
      <c r="R116" s="26">
        <f>IF(B116="","",IF(OR(K116="Accepted",K116="Rejected",K116="Withdrawn"),K116,IF(K116="Offer",IF(N116="","Offer","Offer, reply by "&amp;DAY(N116)&amp;" "&amp;CHOOSE(MONTH(N116),"Jan","Feb","Mar","Apr","May","Jun","Jul","Aug","Sep","Oct","Nov","Dec")),IF(OR(K116="",K116="Saved"),IF(N116="","To apply",IF(N116&lt;TODAY(),"Closing date passed","Apply by "&amp;DAY(N116)&amp;" "&amp;CHOOSE(MONTH(N116),"Jan","Feb","Mar","Apr","May","Jun","Jul","Aug","Sep","Oct","Nov","Dec"))),IF(AND(N116="",T116&gt;0,TODAY()-T116&gt;=N(Settings!$C$6)),"No reply",IF(U116="","Waiting",IF(U116&lt;TODAY(),"Follow up",IF(U116-TODAY()&lt;=2,"Due "&amp;DAY(U116)&amp;" "&amp;CHOOSE(MONTH(U116),"Jan","Feb","Mar","Apr","May","Jun","Jul","Aug","Sep","Oct","Nov","Dec"),"Waiting"))))))))</f>
        <v/>
      </c>
      <c r="S116" s="1" t="n"/>
      <c r="T116">
        <f>MAX(N(J116),N(L116))</f>
        <v/>
      </c>
      <c r="U116">
        <f>IF(N116&lt;&gt;"",N116,IF(T116=0,"",T116+N(Settings!$C$5)))</f>
        <v/>
      </c>
      <c r="V116">
        <f>IF(AND(B116&lt;&gt;"",U116&lt;&gt;"",OR(R116="Follow up",LEFT(R116,3)="Due",R116="Waiting",LEFT(R116,5)="Apply",LEFT(R116,5)="Offer")),U116+ROW()/10000000,"")</f>
        <v/>
      </c>
      <c r="W116">
        <f>IF(B116="","",IF(M116&lt;&gt;"",M116,IF(OR(K116="",K116="Saved"),"Apply",IF(K116="Offer","Reply to the offer","Follow up"))))</f>
        <v/>
      </c>
    </row>
    <row r="117">
      <c r="A117" s="1" t="n"/>
      <c r="B117" s="21" t="n"/>
      <c r="C117" s="22" t="n"/>
      <c r="D117" s="22" t="n"/>
      <c r="E117" s="22" t="n"/>
      <c r="F117" s="23" t="n"/>
      <c r="G117" s="23" t="n"/>
      <c r="H117" s="22" t="n"/>
      <c r="I117" s="24" t="n"/>
      <c r="J117" s="24" t="n"/>
      <c r="K117" s="25" t="n"/>
      <c r="L117" s="24" t="n"/>
      <c r="M117" s="22" t="n"/>
      <c r="N117" s="24" t="n"/>
      <c r="O117" s="25" t="n"/>
      <c r="P117" s="22" t="n"/>
      <c r="Q117" s="18">
        <f>IF(OR(B117="",J117=""),"",TODAY()-J117)</f>
        <v/>
      </c>
      <c r="R117" s="26">
        <f>IF(B117="","",IF(OR(K117="Accepted",K117="Rejected",K117="Withdrawn"),K117,IF(K117="Offer",IF(N117="","Offer","Offer, reply by "&amp;DAY(N117)&amp;" "&amp;CHOOSE(MONTH(N117),"Jan","Feb","Mar","Apr","May","Jun","Jul","Aug","Sep","Oct","Nov","Dec")),IF(OR(K117="",K117="Saved"),IF(N117="","To apply",IF(N117&lt;TODAY(),"Closing date passed","Apply by "&amp;DAY(N117)&amp;" "&amp;CHOOSE(MONTH(N117),"Jan","Feb","Mar","Apr","May","Jun","Jul","Aug","Sep","Oct","Nov","Dec"))),IF(AND(N117="",T117&gt;0,TODAY()-T117&gt;=N(Settings!$C$6)),"No reply",IF(U117="","Waiting",IF(U117&lt;TODAY(),"Follow up",IF(U117-TODAY()&lt;=2,"Due "&amp;DAY(U117)&amp;" "&amp;CHOOSE(MONTH(U117),"Jan","Feb","Mar","Apr","May","Jun","Jul","Aug","Sep","Oct","Nov","Dec"),"Waiting"))))))))</f>
        <v/>
      </c>
      <c r="S117" s="1" t="n"/>
      <c r="T117">
        <f>MAX(N(J117),N(L117))</f>
        <v/>
      </c>
      <c r="U117">
        <f>IF(N117&lt;&gt;"",N117,IF(T117=0,"",T117+N(Settings!$C$5)))</f>
        <v/>
      </c>
      <c r="V117">
        <f>IF(AND(B117&lt;&gt;"",U117&lt;&gt;"",OR(R117="Follow up",LEFT(R117,3)="Due",R117="Waiting",LEFT(R117,5)="Apply",LEFT(R117,5)="Offer")),U117+ROW()/10000000,"")</f>
        <v/>
      </c>
      <c r="W117">
        <f>IF(B117="","",IF(M117&lt;&gt;"",M117,IF(OR(K117="",K117="Saved"),"Apply",IF(K117="Offer","Reply to the offer","Follow up"))))</f>
        <v/>
      </c>
    </row>
    <row r="118">
      <c r="A118" s="1" t="n"/>
      <c r="B118" s="21" t="n"/>
      <c r="C118" s="22" t="n"/>
      <c r="D118" s="22" t="n"/>
      <c r="E118" s="22" t="n"/>
      <c r="F118" s="23" t="n"/>
      <c r="G118" s="23" t="n"/>
      <c r="H118" s="22" t="n"/>
      <c r="I118" s="24" t="n"/>
      <c r="J118" s="24" t="n"/>
      <c r="K118" s="25" t="n"/>
      <c r="L118" s="24" t="n"/>
      <c r="M118" s="22" t="n"/>
      <c r="N118" s="24" t="n"/>
      <c r="O118" s="25" t="n"/>
      <c r="P118" s="22" t="n"/>
      <c r="Q118" s="18">
        <f>IF(OR(B118="",J118=""),"",TODAY()-J118)</f>
        <v/>
      </c>
      <c r="R118" s="26">
        <f>IF(B118="","",IF(OR(K118="Accepted",K118="Rejected",K118="Withdrawn"),K118,IF(K118="Offer",IF(N118="","Offer","Offer, reply by "&amp;DAY(N118)&amp;" "&amp;CHOOSE(MONTH(N118),"Jan","Feb","Mar","Apr","May","Jun","Jul","Aug","Sep","Oct","Nov","Dec")),IF(OR(K118="",K118="Saved"),IF(N118="","To apply",IF(N118&lt;TODAY(),"Closing date passed","Apply by "&amp;DAY(N118)&amp;" "&amp;CHOOSE(MONTH(N118),"Jan","Feb","Mar","Apr","May","Jun","Jul","Aug","Sep","Oct","Nov","Dec"))),IF(AND(N118="",T118&gt;0,TODAY()-T118&gt;=N(Settings!$C$6)),"No reply",IF(U118="","Waiting",IF(U118&lt;TODAY(),"Follow up",IF(U118-TODAY()&lt;=2,"Due "&amp;DAY(U118)&amp;" "&amp;CHOOSE(MONTH(U118),"Jan","Feb","Mar","Apr","May","Jun","Jul","Aug","Sep","Oct","Nov","Dec"),"Waiting"))))))))</f>
        <v/>
      </c>
      <c r="S118" s="1" t="n"/>
      <c r="T118">
        <f>MAX(N(J118),N(L118))</f>
        <v/>
      </c>
      <c r="U118">
        <f>IF(N118&lt;&gt;"",N118,IF(T118=0,"",T118+N(Settings!$C$5)))</f>
        <v/>
      </c>
      <c r="V118">
        <f>IF(AND(B118&lt;&gt;"",U118&lt;&gt;"",OR(R118="Follow up",LEFT(R118,3)="Due",R118="Waiting",LEFT(R118,5)="Apply",LEFT(R118,5)="Offer")),U118+ROW()/10000000,"")</f>
        <v/>
      </c>
      <c r="W118">
        <f>IF(B118="","",IF(M118&lt;&gt;"",M118,IF(OR(K118="",K118="Saved"),"Apply",IF(K118="Offer","Reply to the offer","Follow up"))))</f>
        <v/>
      </c>
    </row>
    <row r="119">
      <c r="A119" s="1" t="n"/>
      <c r="B119" s="21" t="n"/>
      <c r="C119" s="22" t="n"/>
      <c r="D119" s="22" t="n"/>
      <c r="E119" s="22" t="n"/>
      <c r="F119" s="23" t="n"/>
      <c r="G119" s="23" t="n"/>
      <c r="H119" s="22" t="n"/>
      <c r="I119" s="24" t="n"/>
      <c r="J119" s="24" t="n"/>
      <c r="K119" s="25" t="n"/>
      <c r="L119" s="24" t="n"/>
      <c r="M119" s="22" t="n"/>
      <c r="N119" s="24" t="n"/>
      <c r="O119" s="25" t="n"/>
      <c r="P119" s="22" t="n"/>
      <c r="Q119" s="18">
        <f>IF(OR(B119="",J119=""),"",TODAY()-J119)</f>
        <v/>
      </c>
      <c r="R119" s="26">
        <f>IF(B119="","",IF(OR(K119="Accepted",K119="Rejected",K119="Withdrawn"),K119,IF(K119="Offer",IF(N119="","Offer","Offer, reply by "&amp;DAY(N119)&amp;" "&amp;CHOOSE(MONTH(N119),"Jan","Feb","Mar","Apr","May","Jun","Jul","Aug","Sep","Oct","Nov","Dec")),IF(OR(K119="",K119="Saved"),IF(N119="","To apply",IF(N119&lt;TODAY(),"Closing date passed","Apply by "&amp;DAY(N119)&amp;" "&amp;CHOOSE(MONTH(N119),"Jan","Feb","Mar","Apr","May","Jun","Jul","Aug","Sep","Oct","Nov","Dec"))),IF(AND(N119="",T119&gt;0,TODAY()-T119&gt;=N(Settings!$C$6)),"No reply",IF(U119="","Waiting",IF(U119&lt;TODAY(),"Follow up",IF(U119-TODAY()&lt;=2,"Due "&amp;DAY(U119)&amp;" "&amp;CHOOSE(MONTH(U119),"Jan","Feb","Mar","Apr","May","Jun","Jul","Aug","Sep","Oct","Nov","Dec"),"Waiting"))))))))</f>
        <v/>
      </c>
      <c r="S119" s="1" t="n"/>
      <c r="T119">
        <f>MAX(N(J119),N(L119))</f>
        <v/>
      </c>
      <c r="U119">
        <f>IF(N119&lt;&gt;"",N119,IF(T119=0,"",T119+N(Settings!$C$5)))</f>
        <v/>
      </c>
      <c r="V119">
        <f>IF(AND(B119&lt;&gt;"",U119&lt;&gt;"",OR(R119="Follow up",LEFT(R119,3)="Due",R119="Waiting",LEFT(R119,5)="Apply",LEFT(R119,5)="Offer")),U119+ROW()/10000000,"")</f>
        <v/>
      </c>
      <c r="W119">
        <f>IF(B119="","",IF(M119&lt;&gt;"",M119,IF(OR(K119="",K119="Saved"),"Apply",IF(K119="Offer","Reply to the offer","Follow up"))))</f>
        <v/>
      </c>
    </row>
    <row r="120">
      <c r="A120" s="1" t="n"/>
      <c r="B120" s="21" t="n"/>
      <c r="C120" s="22" t="n"/>
      <c r="D120" s="22" t="n"/>
      <c r="E120" s="22" t="n"/>
      <c r="F120" s="23" t="n"/>
      <c r="G120" s="23" t="n"/>
      <c r="H120" s="22" t="n"/>
      <c r="I120" s="24" t="n"/>
      <c r="J120" s="24" t="n"/>
      <c r="K120" s="25" t="n"/>
      <c r="L120" s="24" t="n"/>
      <c r="M120" s="22" t="n"/>
      <c r="N120" s="24" t="n"/>
      <c r="O120" s="25" t="n"/>
      <c r="P120" s="22" t="n"/>
      <c r="Q120" s="18">
        <f>IF(OR(B120="",J120=""),"",TODAY()-J120)</f>
        <v/>
      </c>
      <c r="R120" s="26">
        <f>IF(B120="","",IF(OR(K120="Accepted",K120="Rejected",K120="Withdrawn"),K120,IF(K120="Offer",IF(N120="","Offer","Offer, reply by "&amp;DAY(N120)&amp;" "&amp;CHOOSE(MONTH(N120),"Jan","Feb","Mar","Apr","May","Jun","Jul","Aug","Sep","Oct","Nov","Dec")),IF(OR(K120="",K120="Saved"),IF(N120="","To apply",IF(N120&lt;TODAY(),"Closing date passed","Apply by "&amp;DAY(N120)&amp;" "&amp;CHOOSE(MONTH(N120),"Jan","Feb","Mar","Apr","May","Jun","Jul","Aug","Sep","Oct","Nov","Dec"))),IF(AND(N120="",T120&gt;0,TODAY()-T120&gt;=N(Settings!$C$6)),"No reply",IF(U120="","Waiting",IF(U120&lt;TODAY(),"Follow up",IF(U120-TODAY()&lt;=2,"Due "&amp;DAY(U120)&amp;" "&amp;CHOOSE(MONTH(U120),"Jan","Feb","Mar","Apr","May","Jun","Jul","Aug","Sep","Oct","Nov","Dec"),"Waiting"))))))))</f>
        <v/>
      </c>
      <c r="S120" s="1" t="n"/>
      <c r="T120">
        <f>MAX(N(J120),N(L120))</f>
        <v/>
      </c>
      <c r="U120">
        <f>IF(N120&lt;&gt;"",N120,IF(T120=0,"",T120+N(Settings!$C$5)))</f>
        <v/>
      </c>
      <c r="V120">
        <f>IF(AND(B120&lt;&gt;"",U120&lt;&gt;"",OR(R120="Follow up",LEFT(R120,3)="Due",R120="Waiting",LEFT(R120,5)="Apply",LEFT(R120,5)="Offer")),U120+ROW()/10000000,"")</f>
        <v/>
      </c>
      <c r="W120">
        <f>IF(B120="","",IF(M120&lt;&gt;"",M120,IF(OR(K120="",K120="Saved"),"Apply",IF(K120="Offer","Reply to the offer","Follow up"))))</f>
        <v/>
      </c>
    </row>
    <row r="121">
      <c r="A121" s="1" t="n"/>
      <c r="B121" s="21" t="n"/>
      <c r="C121" s="22" t="n"/>
      <c r="D121" s="22" t="n"/>
      <c r="E121" s="22" t="n"/>
      <c r="F121" s="23" t="n"/>
      <c r="G121" s="23" t="n"/>
      <c r="H121" s="22" t="n"/>
      <c r="I121" s="24" t="n"/>
      <c r="J121" s="24" t="n"/>
      <c r="K121" s="25" t="n"/>
      <c r="L121" s="24" t="n"/>
      <c r="M121" s="22" t="n"/>
      <c r="N121" s="24" t="n"/>
      <c r="O121" s="25" t="n"/>
      <c r="P121" s="22" t="n"/>
      <c r="Q121" s="18">
        <f>IF(OR(B121="",J121=""),"",TODAY()-J121)</f>
        <v/>
      </c>
      <c r="R121" s="26">
        <f>IF(B121="","",IF(OR(K121="Accepted",K121="Rejected",K121="Withdrawn"),K121,IF(K121="Offer",IF(N121="","Offer","Offer, reply by "&amp;DAY(N121)&amp;" "&amp;CHOOSE(MONTH(N121),"Jan","Feb","Mar","Apr","May","Jun","Jul","Aug","Sep","Oct","Nov","Dec")),IF(OR(K121="",K121="Saved"),IF(N121="","To apply",IF(N121&lt;TODAY(),"Closing date passed","Apply by "&amp;DAY(N121)&amp;" "&amp;CHOOSE(MONTH(N121),"Jan","Feb","Mar","Apr","May","Jun","Jul","Aug","Sep","Oct","Nov","Dec"))),IF(AND(N121="",T121&gt;0,TODAY()-T121&gt;=N(Settings!$C$6)),"No reply",IF(U121="","Waiting",IF(U121&lt;TODAY(),"Follow up",IF(U121-TODAY()&lt;=2,"Due "&amp;DAY(U121)&amp;" "&amp;CHOOSE(MONTH(U121),"Jan","Feb","Mar","Apr","May","Jun","Jul","Aug","Sep","Oct","Nov","Dec"),"Waiting"))))))))</f>
        <v/>
      </c>
      <c r="S121" s="1" t="n"/>
      <c r="T121">
        <f>MAX(N(J121),N(L121))</f>
        <v/>
      </c>
      <c r="U121">
        <f>IF(N121&lt;&gt;"",N121,IF(T121=0,"",T121+N(Settings!$C$5)))</f>
        <v/>
      </c>
      <c r="V121">
        <f>IF(AND(B121&lt;&gt;"",U121&lt;&gt;"",OR(R121="Follow up",LEFT(R121,3)="Due",R121="Waiting",LEFT(R121,5)="Apply",LEFT(R121,5)="Offer")),U121+ROW()/10000000,"")</f>
        <v/>
      </c>
      <c r="W121">
        <f>IF(B121="","",IF(M121&lt;&gt;"",M121,IF(OR(K121="",K121="Saved"),"Apply",IF(K121="Offer","Reply to the offer","Follow up"))))</f>
        <v/>
      </c>
    </row>
    <row r="122">
      <c r="A122" s="1" t="n"/>
      <c r="B122" s="21" t="n"/>
      <c r="C122" s="22" t="n"/>
      <c r="D122" s="22" t="n"/>
      <c r="E122" s="22" t="n"/>
      <c r="F122" s="23" t="n"/>
      <c r="G122" s="23" t="n"/>
      <c r="H122" s="22" t="n"/>
      <c r="I122" s="24" t="n"/>
      <c r="J122" s="24" t="n"/>
      <c r="K122" s="25" t="n"/>
      <c r="L122" s="24" t="n"/>
      <c r="M122" s="22" t="n"/>
      <c r="N122" s="24" t="n"/>
      <c r="O122" s="25" t="n"/>
      <c r="P122" s="22" t="n"/>
      <c r="Q122" s="18">
        <f>IF(OR(B122="",J122=""),"",TODAY()-J122)</f>
        <v/>
      </c>
      <c r="R122" s="26">
        <f>IF(B122="","",IF(OR(K122="Accepted",K122="Rejected",K122="Withdrawn"),K122,IF(K122="Offer",IF(N122="","Offer","Offer, reply by "&amp;DAY(N122)&amp;" "&amp;CHOOSE(MONTH(N122),"Jan","Feb","Mar","Apr","May","Jun","Jul","Aug","Sep","Oct","Nov","Dec")),IF(OR(K122="",K122="Saved"),IF(N122="","To apply",IF(N122&lt;TODAY(),"Closing date passed","Apply by "&amp;DAY(N122)&amp;" "&amp;CHOOSE(MONTH(N122),"Jan","Feb","Mar","Apr","May","Jun","Jul","Aug","Sep","Oct","Nov","Dec"))),IF(AND(N122="",T122&gt;0,TODAY()-T122&gt;=N(Settings!$C$6)),"No reply",IF(U122="","Waiting",IF(U122&lt;TODAY(),"Follow up",IF(U122-TODAY()&lt;=2,"Due "&amp;DAY(U122)&amp;" "&amp;CHOOSE(MONTH(U122),"Jan","Feb","Mar","Apr","May","Jun","Jul","Aug","Sep","Oct","Nov","Dec"),"Waiting"))))))))</f>
        <v/>
      </c>
      <c r="S122" s="1" t="n"/>
      <c r="T122">
        <f>MAX(N(J122),N(L122))</f>
        <v/>
      </c>
      <c r="U122">
        <f>IF(N122&lt;&gt;"",N122,IF(T122=0,"",T122+N(Settings!$C$5)))</f>
        <v/>
      </c>
      <c r="V122">
        <f>IF(AND(B122&lt;&gt;"",U122&lt;&gt;"",OR(R122="Follow up",LEFT(R122,3)="Due",R122="Waiting",LEFT(R122,5)="Apply",LEFT(R122,5)="Offer")),U122+ROW()/10000000,"")</f>
        <v/>
      </c>
      <c r="W122">
        <f>IF(B122="","",IF(M122&lt;&gt;"",M122,IF(OR(K122="",K122="Saved"),"Apply",IF(K122="Offer","Reply to the offer","Follow up"))))</f>
        <v/>
      </c>
    </row>
    <row r="123">
      <c r="A123" s="1" t="n"/>
      <c r="B123" s="21" t="n"/>
      <c r="C123" s="22" t="n"/>
      <c r="D123" s="22" t="n"/>
      <c r="E123" s="22" t="n"/>
      <c r="F123" s="23" t="n"/>
      <c r="G123" s="23" t="n"/>
      <c r="H123" s="22" t="n"/>
      <c r="I123" s="24" t="n"/>
      <c r="J123" s="24" t="n"/>
      <c r="K123" s="25" t="n"/>
      <c r="L123" s="24" t="n"/>
      <c r="M123" s="22" t="n"/>
      <c r="N123" s="24" t="n"/>
      <c r="O123" s="25" t="n"/>
      <c r="P123" s="22" t="n"/>
      <c r="Q123" s="18">
        <f>IF(OR(B123="",J123=""),"",TODAY()-J123)</f>
        <v/>
      </c>
      <c r="R123" s="26">
        <f>IF(B123="","",IF(OR(K123="Accepted",K123="Rejected",K123="Withdrawn"),K123,IF(K123="Offer",IF(N123="","Offer","Offer, reply by "&amp;DAY(N123)&amp;" "&amp;CHOOSE(MONTH(N123),"Jan","Feb","Mar","Apr","May","Jun","Jul","Aug","Sep","Oct","Nov","Dec")),IF(OR(K123="",K123="Saved"),IF(N123="","To apply",IF(N123&lt;TODAY(),"Closing date passed","Apply by "&amp;DAY(N123)&amp;" "&amp;CHOOSE(MONTH(N123),"Jan","Feb","Mar","Apr","May","Jun","Jul","Aug","Sep","Oct","Nov","Dec"))),IF(AND(N123="",T123&gt;0,TODAY()-T123&gt;=N(Settings!$C$6)),"No reply",IF(U123="","Waiting",IF(U123&lt;TODAY(),"Follow up",IF(U123-TODAY()&lt;=2,"Due "&amp;DAY(U123)&amp;" "&amp;CHOOSE(MONTH(U123),"Jan","Feb","Mar","Apr","May","Jun","Jul","Aug","Sep","Oct","Nov","Dec"),"Waiting"))))))))</f>
        <v/>
      </c>
      <c r="S123" s="1" t="n"/>
      <c r="T123">
        <f>MAX(N(J123),N(L123))</f>
        <v/>
      </c>
      <c r="U123">
        <f>IF(N123&lt;&gt;"",N123,IF(T123=0,"",T123+N(Settings!$C$5)))</f>
        <v/>
      </c>
      <c r="V123">
        <f>IF(AND(B123&lt;&gt;"",U123&lt;&gt;"",OR(R123="Follow up",LEFT(R123,3)="Due",R123="Waiting",LEFT(R123,5)="Apply",LEFT(R123,5)="Offer")),U123+ROW()/10000000,"")</f>
        <v/>
      </c>
      <c r="W123">
        <f>IF(B123="","",IF(M123&lt;&gt;"",M123,IF(OR(K123="",K123="Saved"),"Apply",IF(K123="Offer","Reply to the offer","Follow up"))))</f>
        <v/>
      </c>
    </row>
    <row r="124">
      <c r="A124" s="1" t="n"/>
      <c r="B124" s="21" t="n"/>
      <c r="C124" s="22" t="n"/>
      <c r="D124" s="22" t="n"/>
      <c r="E124" s="22" t="n"/>
      <c r="F124" s="23" t="n"/>
      <c r="G124" s="23" t="n"/>
      <c r="H124" s="22" t="n"/>
      <c r="I124" s="24" t="n"/>
      <c r="J124" s="24" t="n"/>
      <c r="K124" s="25" t="n"/>
      <c r="L124" s="24" t="n"/>
      <c r="M124" s="22" t="n"/>
      <c r="N124" s="24" t="n"/>
      <c r="O124" s="25" t="n"/>
      <c r="P124" s="22" t="n"/>
      <c r="Q124" s="18">
        <f>IF(OR(B124="",J124=""),"",TODAY()-J124)</f>
        <v/>
      </c>
      <c r="R124" s="26">
        <f>IF(B124="","",IF(OR(K124="Accepted",K124="Rejected",K124="Withdrawn"),K124,IF(K124="Offer",IF(N124="","Offer","Offer, reply by "&amp;DAY(N124)&amp;" "&amp;CHOOSE(MONTH(N124),"Jan","Feb","Mar","Apr","May","Jun","Jul","Aug","Sep","Oct","Nov","Dec")),IF(OR(K124="",K124="Saved"),IF(N124="","To apply",IF(N124&lt;TODAY(),"Closing date passed","Apply by "&amp;DAY(N124)&amp;" "&amp;CHOOSE(MONTH(N124),"Jan","Feb","Mar","Apr","May","Jun","Jul","Aug","Sep","Oct","Nov","Dec"))),IF(AND(N124="",T124&gt;0,TODAY()-T124&gt;=N(Settings!$C$6)),"No reply",IF(U124="","Waiting",IF(U124&lt;TODAY(),"Follow up",IF(U124-TODAY()&lt;=2,"Due "&amp;DAY(U124)&amp;" "&amp;CHOOSE(MONTH(U124),"Jan","Feb","Mar","Apr","May","Jun","Jul","Aug","Sep","Oct","Nov","Dec"),"Waiting"))))))))</f>
        <v/>
      </c>
      <c r="S124" s="1" t="n"/>
      <c r="T124">
        <f>MAX(N(J124),N(L124))</f>
        <v/>
      </c>
      <c r="U124">
        <f>IF(N124&lt;&gt;"",N124,IF(T124=0,"",T124+N(Settings!$C$5)))</f>
        <v/>
      </c>
      <c r="V124">
        <f>IF(AND(B124&lt;&gt;"",U124&lt;&gt;"",OR(R124="Follow up",LEFT(R124,3)="Due",R124="Waiting",LEFT(R124,5)="Apply",LEFT(R124,5)="Offer")),U124+ROW()/10000000,"")</f>
        <v/>
      </c>
      <c r="W124">
        <f>IF(B124="","",IF(M124&lt;&gt;"",M124,IF(OR(K124="",K124="Saved"),"Apply",IF(K124="Offer","Reply to the offer","Follow up"))))</f>
        <v/>
      </c>
    </row>
    <row r="125">
      <c r="A125" s="1" t="n"/>
      <c r="B125" s="21" t="n"/>
      <c r="C125" s="22" t="n"/>
      <c r="D125" s="22" t="n"/>
      <c r="E125" s="22" t="n"/>
      <c r="F125" s="23" t="n"/>
      <c r="G125" s="23" t="n"/>
      <c r="H125" s="22" t="n"/>
      <c r="I125" s="24" t="n"/>
      <c r="J125" s="24" t="n"/>
      <c r="K125" s="25" t="n"/>
      <c r="L125" s="24" t="n"/>
      <c r="M125" s="22" t="n"/>
      <c r="N125" s="24" t="n"/>
      <c r="O125" s="25" t="n"/>
      <c r="P125" s="22" t="n"/>
      <c r="Q125" s="18">
        <f>IF(OR(B125="",J125=""),"",TODAY()-J125)</f>
        <v/>
      </c>
      <c r="R125" s="26">
        <f>IF(B125="","",IF(OR(K125="Accepted",K125="Rejected",K125="Withdrawn"),K125,IF(K125="Offer",IF(N125="","Offer","Offer, reply by "&amp;DAY(N125)&amp;" "&amp;CHOOSE(MONTH(N125),"Jan","Feb","Mar","Apr","May","Jun","Jul","Aug","Sep","Oct","Nov","Dec")),IF(OR(K125="",K125="Saved"),IF(N125="","To apply",IF(N125&lt;TODAY(),"Closing date passed","Apply by "&amp;DAY(N125)&amp;" "&amp;CHOOSE(MONTH(N125),"Jan","Feb","Mar","Apr","May","Jun","Jul","Aug","Sep","Oct","Nov","Dec"))),IF(AND(N125="",T125&gt;0,TODAY()-T125&gt;=N(Settings!$C$6)),"No reply",IF(U125="","Waiting",IF(U125&lt;TODAY(),"Follow up",IF(U125-TODAY()&lt;=2,"Due "&amp;DAY(U125)&amp;" "&amp;CHOOSE(MONTH(U125),"Jan","Feb","Mar","Apr","May","Jun","Jul","Aug","Sep","Oct","Nov","Dec"),"Waiting"))))))))</f>
        <v/>
      </c>
      <c r="S125" s="1" t="n"/>
      <c r="T125">
        <f>MAX(N(J125),N(L125))</f>
        <v/>
      </c>
      <c r="U125">
        <f>IF(N125&lt;&gt;"",N125,IF(T125=0,"",T125+N(Settings!$C$5)))</f>
        <v/>
      </c>
      <c r="V125">
        <f>IF(AND(B125&lt;&gt;"",U125&lt;&gt;"",OR(R125="Follow up",LEFT(R125,3)="Due",R125="Waiting",LEFT(R125,5)="Apply",LEFT(R125,5)="Offer")),U125+ROW()/10000000,"")</f>
        <v/>
      </c>
      <c r="W125">
        <f>IF(B125="","",IF(M125&lt;&gt;"",M125,IF(OR(K125="",K125="Saved"),"Apply",IF(K125="Offer","Reply to the offer","Follow up"))))</f>
        <v/>
      </c>
    </row>
    <row r="126">
      <c r="A126" s="1" t="n"/>
      <c r="B126" s="21" t="n"/>
      <c r="C126" s="22" t="n"/>
      <c r="D126" s="22" t="n"/>
      <c r="E126" s="22" t="n"/>
      <c r="F126" s="23" t="n"/>
      <c r="G126" s="23" t="n"/>
      <c r="H126" s="22" t="n"/>
      <c r="I126" s="24" t="n"/>
      <c r="J126" s="24" t="n"/>
      <c r="K126" s="25" t="n"/>
      <c r="L126" s="24" t="n"/>
      <c r="M126" s="22" t="n"/>
      <c r="N126" s="24" t="n"/>
      <c r="O126" s="25" t="n"/>
      <c r="P126" s="22" t="n"/>
      <c r="Q126" s="18">
        <f>IF(OR(B126="",J126=""),"",TODAY()-J126)</f>
        <v/>
      </c>
      <c r="R126" s="26">
        <f>IF(B126="","",IF(OR(K126="Accepted",K126="Rejected",K126="Withdrawn"),K126,IF(K126="Offer",IF(N126="","Offer","Offer, reply by "&amp;DAY(N126)&amp;" "&amp;CHOOSE(MONTH(N126),"Jan","Feb","Mar","Apr","May","Jun","Jul","Aug","Sep","Oct","Nov","Dec")),IF(OR(K126="",K126="Saved"),IF(N126="","To apply",IF(N126&lt;TODAY(),"Closing date passed","Apply by "&amp;DAY(N126)&amp;" "&amp;CHOOSE(MONTH(N126),"Jan","Feb","Mar","Apr","May","Jun","Jul","Aug","Sep","Oct","Nov","Dec"))),IF(AND(N126="",T126&gt;0,TODAY()-T126&gt;=N(Settings!$C$6)),"No reply",IF(U126="","Waiting",IF(U126&lt;TODAY(),"Follow up",IF(U126-TODAY()&lt;=2,"Due "&amp;DAY(U126)&amp;" "&amp;CHOOSE(MONTH(U126),"Jan","Feb","Mar","Apr","May","Jun","Jul","Aug","Sep","Oct","Nov","Dec"),"Waiting"))))))))</f>
        <v/>
      </c>
      <c r="S126" s="1" t="n"/>
      <c r="T126">
        <f>MAX(N(J126),N(L126))</f>
        <v/>
      </c>
      <c r="U126">
        <f>IF(N126&lt;&gt;"",N126,IF(T126=0,"",T126+N(Settings!$C$5)))</f>
        <v/>
      </c>
      <c r="V126">
        <f>IF(AND(B126&lt;&gt;"",U126&lt;&gt;"",OR(R126="Follow up",LEFT(R126,3)="Due",R126="Waiting",LEFT(R126,5)="Apply",LEFT(R126,5)="Offer")),U126+ROW()/10000000,"")</f>
        <v/>
      </c>
      <c r="W126">
        <f>IF(B126="","",IF(M126&lt;&gt;"",M126,IF(OR(K126="",K126="Saved"),"Apply",IF(K126="Offer","Reply to the offer","Follow up"))))</f>
        <v/>
      </c>
    </row>
    <row r="127">
      <c r="A127" s="1" t="n"/>
      <c r="B127" s="21" t="n"/>
      <c r="C127" s="22" t="n"/>
      <c r="D127" s="22" t="n"/>
      <c r="E127" s="22" t="n"/>
      <c r="F127" s="23" t="n"/>
      <c r="G127" s="23" t="n"/>
      <c r="H127" s="22" t="n"/>
      <c r="I127" s="24" t="n"/>
      <c r="J127" s="24" t="n"/>
      <c r="K127" s="25" t="n"/>
      <c r="L127" s="24" t="n"/>
      <c r="M127" s="22" t="n"/>
      <c r="N127" s="24" t="n"/>
      <c r="O127" s="25" t="n"/>
      <c r="P127" s="22" t="n"/>
      <c r="Q127" s="18">
        <f>IF(OR(B127="",J127=""),"",TODAY()-J127)</f>
        <v/>
      </c>
      <c r="R127" s="26">
        <f>IF(B127="","",IF(OR(K127="Accepted",K127="Rejected",K127="Withdrawn"),K127,IF(K127="Offer",IF(N127="","Offer","Offer, reply by "&amp;DAY(N127)&amp;" "&amp;CHOOSE(MONTH(N127),"Jan","Feb","Mar","Apr","May","Jun","Jul","Aug","Sep","Oct","Nov","Dec")),IF(OR(K127="",K127="Saved"),IF(N127="","To apply",IF(N127&lt;TODAY(),"Closing date passed","Apply by "&amp;DAY(N127)&amp;" "&amp;CHOOSE(MONTH(N127),"Jan","Feb","Mar","Apr","May","Jun","Jul","Aug","Sep","Oct","Nov","Dec"))),IF(AND(N127="",T127&gt;0,TODAY()-T127&gt;=N(Settings!$C$6)),"No reply",IF(U127="","Waiting",IF(U127&lt;TODAY(),"Follow up",IF(U127-TODAY()&lt;=2,"Due "&amp;DAY(U127)&amp;" "&amp;CHOOSE(MONTH(U127),"Jan","Feb","Mar","Apr","May","Jun","Jul","Aug","Sep","Oct","Nov","Dec"),"Waiting"))))))))</f>
        <v/>
      </c>
      <c r="S127" s="1" t="n"/>
      <c r="T127">
        <f>MAX(N(J127),N(L127))</f>
        <v/>
      </c>
      <c r="U127">
        <f>IF(N127&lt;&gt;"",N127,IF(T127=0,"",T127+N(Settings!$C$5)))</f>
        <v/>
      </c>
      <c r="V127">
        <f>IF(AND(B127&lt;&gt;"",U127&lt;&gt;"",OR(R127="Follow up",LEFT(R127,3)="Due",R127="Waiting",LEFT(R127,5)="Apply",LEFT(R127,5)="Offer")),U127+ROW()/10000000,"")</f>
        <v/>
      </c>
      <c r="W127">
        <f>IF(B127="","",IF(M127&lt;&gt;"",M127,IF(OR(K127="",K127="Saved"),"Apply",IF(K127="Offer","Reply to the offer","Follow up"))))</f>
        <v/>
      </c>
    </row>
    <row r="128">
      <c r="A128" s="1" t="n"/>
      <c r="B128" s="21" t="n"/>
      <c r="C128" s="22" t="n"/>
      <c r="D128" s="22" t="n"/>
      <c r="E128" s="22" t="n"/>
      <c r="F128" s="23" t="n"/>
      <c r="G128" s="23" t="n"/>
      <c r="H128" s="22" t="n"/>
      <c r="I128" s="24" t="n"/>
      <c r="J128" s="24" t="n"/>
      <c r="K128" s="25" t="n"/>
      <c r="L128" s="24" t="n"/>
      <c r="M128" s="22" t="n"/>
      <c r="N128" s="24" t="n"/>
      <c r="O128" s="25" t="n"/>
      <c r="P128" s="22" t="n"/>
      <c r="Q128" s="18">
        <f>IF(OR(B128="",J128=""),"",TODAY()-J128)</f>
        <v/>
      </c>
      <c r="R128" s="26">
        <f>IF(B128="","",IF(OR(K128="Accepted",K128="Rejected",K128="Withdrawn"),K128,IF(K128="Offer",IF(N128="","Offer","Offer, reply by "&amp;DAY(N128)&amp;" "&amp;CHOOSE(MONTH(N128),"Jan","Feb","Mar","Apr","May","Jun","Jul","Aug","Sep","Oct","Nov","Dec")),IF(OR(K128="",K128="Saved"),IF(N128="","To apply",IF(N128&lt;TODAY(),"Closing date passed","Apply by "&amp;DAY(N128)&amp;" "&amp;CHOOSE(MONTH(N128),"Jan","Feb","Mar","Apr","May","Jun","Jul","Aug","Sep","Oct","Nov","Dec"))),IF(AND(N128="",T128&gt;0,TODAY()-T128&gt;=N(Settings!$C$6)),"No reply",IF(U128="","Waiting",IF(U128&lt;TODAY(),"Follow up",IF(U128-TODAY()&lt;=2,"Due "&amp;DAY(U128)&amp;" "&amp;CHOOSE(MONTH(U128),"Jan","Feb","Mar","Apr","May","Jun","Jul","Aug","Sep","Oct","Nov","Dec"),"Waiting"))))))))</f>
        <v/>
      </c>
      <c r="S128" s="1" t="n"/>
      <c r="T128">
        <f>MAX(N(J128),N(L128))</f>
        <v/>
      </c>
      <c r="U128">
        <f>IF(N128&lt;&gt;"",N128,IF(T128=0,"",T128+N(Settings!$C$5)))</f>
        <v/>
      </c>
      <c r="V128">
        <f>IF(AND(B128&lt;&gt;"",U128&lt;&gt;"",OR(R128="Follow up",LEFT(R128,3)="Due",R128="Waiting",LEFT(R128,5)="Apply",LEFT(R128,5)="Offer")),U128+ROW()/10000000,"")</f>
        <v/>
      </c>
      <c r="W128">
        <f>IF(B128="","",IF(M128&lt;&gt;"",M128,IF(OR(K128="",K128="Saved"),"Apply",IF(K128="Offer","Reply to the offer","Follow up"))))</f>
        <v/>
      </c>
    </row>
    <row r="129">
      <c r="A129" s="1" t="n"/>
      <c r="B129" s="21" t="n"/>
      <c r="C129" s="22" t="n"/>
      <c r="D129" s="22" t="n"/>
      <c r="E129" s="22" t="n"/>
      <c r="F129" s="23" t="n"/>
      <c r="G129" s="23" t="n"/>
      <c r="H129" s="22" t="n"/>
      <c r="I129" s="24" t="n"/>
      <c r="J129" s="24" t="n"/>
      <c r="K129" s="25" t="n"/>
      <c r="L129" s="24" t="n"/>
      <c r="M129" s="22" t="n"/>
      <c r="N129" s="24" t="n"/>
      <c r="O129" s="25" t="n"/>
      <c r="P129" s="22" t="n"/>
      <c r="Q129" s="18">
        <f>IF(OR(B129="",J129=""),"",TODAY()-J129)</f>
        <v/>
      </c>
      <c r="R129" s="26">
        <f>IF(B129="","",IF(OR(K129="Accepted",K129="Rejected",K129="Withdrawn"),K129,IF(K129="Offer",IF(N129="","Offer","Offer, reply by "&amp;DAY(N129)&amp;" "&amp;CHOOSE(MONTH(N129),"Jan","Feb","Mar","Apr","May","Jun","Jul","Aug","Sep","Oct","Nov","Dec")),IF(OR(K129="",K129="Saved"),IF(N129="","To apply",IF(N129&lt;TODAY(),"Closing date passed","Apply by "&amp;DAY(N129)&amp;" "&amp;CHOOSE(MONTH(N129),"Jan","Feb","Mar","Apr","May","Jun","Jul","Aug","Sep","Oct","Nov","Dec"))),IF(AND(N129="",T129&gt;0,TODAY()-T129&gt;=N(Settings!$C$6)),"No reply",IF(U129="","Waiting",IF(U129&lt;TODAY(),"Follow up",IF(U129-TODAY()&lt;=2,"Due "&amp;DAY(U129)&amp;" "&amp;CHOOSE(MONTH(U129),"Jan","Feb","Mar","Apr","May","Jun","Jul","Aug","Sep","Oct","Nov","Dec"),"Waiting"))))))))</f>
        <v/>
      </c>
      <c r="S129" s="1" t="n"/>
      <c r="T129">
        <f>MAX(N(J129),N(L129))</f>
        <v/>
      </c>
      <c r="U129">
        <f>IF(N129&lt;&gt;"",N129,IF(T129=0,"",T129+N(Settings!$C$5)))</f>
        <v/>
      </c>
      <c r="V129">
        <f>IF(AND(B129&lt;&gt;"",U129&lt;&gt;"",OR(R129="Follow up",LEFT(R129,3)="Due",R129="Waiting",LEFT(R129,5)="Apply",LEFT(R129,5)="Offer")),U129+ROW()/10000000,"")</f>
        <v/>
      </c>
      <c r="W129">
        <f>IF(B129="","",IF(M129&lt;&gt;"",M129,IF(OR(K129="",K129="Saved"),"Apply",IF(K129="Offer","Reply to the offer","Follow up"))))</f>
        <v/>
      </c>
    </row>
    <row r="130">
      <c r="A130" s="1" t="n"/>
      <c r="B130" s="21" t="n"/>
      <c r="C130" s="22" t="n"/>
      <c r="D130" s="22" t="n"/>
      <c r="E130" s="22" t="n"/>
      <c r="F130" s="23" t="n"/>
      <c r="G130" s="23" t="n"/>
      <c r="H130" s="22" t="n"/>
      <c r="I130" s="24" t="n"/>
      <c r="J130" s="24" t="n"/>
      <c r="K130" s="25" t="n"/>
      <c r="L130" s="24" t="n"/>
      <c r="M130" s="22" t="n"/>
      <c r="N130" s="24" t="n"/>
      <c r="O130" s="25" t="n"/>
      <c r="P130" s="22" t="n"/>
      <c r="Q130" s="18">
        <f>IF(OR(B130="",J130=""),"",TODAY()-J130)</f>
        <v/>
      </c>
      <c r="R130" s="26">
        <f>IF(B130="","",IF(OR(K130="Accepted",K130="Rejected",K130="Withdrawn"),K130,IF(K130="Offer",IF(N130="","Offer","Offer, reply by "&amp;DAY(N130)&amp;" "&amp;CHOOSE(MONTH(N130),"Jan","Feb","Mar","Apr","May","Jun","Jul","Aug","Sep","Oct","Nov","Dec")),IF(OR(K130="",K130="Saved"),IF(N130="","To apply",IF(N130&lt;TODAY(),"Closing date passed","Apply by "&amp;DAY(N130)&amp;" "&amp;CHOOSE(MONTH(N130),"Jan","Feb","Mar","Apr","May","Jun","Jul","Aug","Sep","Oct","Nov","Dec"))),IF(AND(N130="",T130&gt;0,TODAY()-T130&gt;=N(Settings!$C$6)),"No reply",IF(U130="","Waiting",IF(U130&lt;TODAY(),"Follow up",IF(U130-TODAY()&lt;=2,"Due "&amp;DAY(U130)&amp;" "&amp;CHOOSE(MONTH(U130),"Jan","Feb","Mar","Apr","May","Jun","Jul","Aug","Sep","Oct","Nov","Dec"),"Waiting"))))))))</f>
        <v/>
      </c>
      <c r="S130" s="1" t="n"/>
      <c r="T130">
        <f>MAX(N(J130),N(L130))</f>
        <v/>
      </c>
      <c r="U130">
        <f>IF(N130&lt;&gt;"",N130,IF(T130=0,"",T130+N(Settings!$C$5)))</f>
        <v/>
      </c>
      <c r="V130">
        <f>IF(AND(B130&lt;&gt;"",U130&lt;&gt;"",OR(R130="Follow up",LEFT(R130,3)="Due",R130="Waiting",LEFT(R130,5)="Apply",LEFT(R130,5)="Offer")),U130+ROW()/10000000,"")</f>
        <v/>
      </c>
      <c r="W130">
        <f>IF(B130="","",IF(M130&lt;&gt;"",M130,IF(OR(K130="",K130="Saved"),"Apply",IF(K130="Offer","Reply to the offer","Follow up"))))</f>
        <v/>
      </c>
    </row>
    <row r="131">
      <c r="A131" s="1" t="n"/>
      <c r="B131" s="21" t="n"/>
      <c r="C131" s="22" t="n"/>
      <c r="D131" s="22" t="n"/>
      <c r="E131" s="22" t="n"/>
      <c r="F131" s="23" t="n"/>
      <c r="G131" s="23" t="n"/>
      <c r="H131" s="22" t="n"/>
      <c r="I131" s="24" t="n"/>
      <c r="J131" s="24" t="n"/>
      <c r="K131" s="25" t="n"/>
      <c r="L131" s="24" t="n"/>
      <c r="M131" s="22" t="n"/>
      <c r="N131" s="24" t="n"/>
      <c r="O131" s="25" t="n"/>
      <c r="P131" s="22" t="n"/>
      <c r="Q131" s="18">
        <f>IF(OR(B131="",J131=""),"",TODAY()-J131)</f>
        <v/>
      </c>
      <c r="R131" s="26">
        <f>IF(B131="","",IF(OR(K131="Accepted",K131="Rejected",K131="Withdrawn"),K131,IF(K131="Offer",IF(N131="","Offer","Offer, reply by "&amp;DAY(N131)&amp;" "&amp;CHOOSE(MONTH(N131),"Jan","Feb","Mar","Apr","May","Jun","Jul","Aug","Sep","Oct","Nov","Dec")),IF(OR(K131="",K131="Saved"),IF(N131="","To apply",IF(N131&lt;TODAY(),"Closing date passed","Apply by "&amp;DAY(N131)&amp;" "&amp;CHOOSE(MONTH(N131),"Jan","Feb","Mar","Apr","May","Jun","Jul","Aug","Sep","Oct","Nov","Dec"))),IF(AND(N131="",T131&gt;0,TODAY()-T131&gt;=N(Settings!$C$6)),"No reply",IF(U131="","Waiting",IF(U131&lt;TODAY(),"Follow up",IF(U131-TODAY()&lt;=2,"Due "&amp;DAY(U131)&amp;" "&amp;CHOOSE(MONTH(U131),"Jan","Feb","Mar","Apr","May","Jun","Jul","Aug","Sep","Oct","Nov","Dec"),"Waiting"))))))))</f>
        <v/>
      </c>
      <c r="S131" s="1" t="n"/>
      <c r="T131">
        <f>MAX(N(J131),N(L131))</f>
        <v/>
      </c>
      <c r="U131">
        <f>IF(N131&lt;&gt;"",N131,IF(T131=0,"",T131+N(Settings!$C$5)))</f>
        <v/>
      </c>
      <c r="V131">
        <f>IF(AND(B131&lt;&gt;"",U131&lt;&gt;"",OR(R131="Follow up",LEFT(R131,3)="Due",R131="Waiting",LEFT(R131,5)="Apply",LEFT(R131,5)="Offer")),U131+ROW()/10000000,"")</f>
        <v/>
      </c>
      <c r="W131">
        <f>IF(B131="","",IF(M131&lt;&gt;"",M131,IF(OR(K131="",K131="Saved"),"Apply",IF(K131="Offer","Reply to the offer","Follow up"))))</f>
        <v/>
      </c>
    </row>
    <row r="132">
      <c r="A132" s="1" t="n"/>
      <c r="B132" s="21" t="n"/>
      <c r="C132" s="22" t="n"/>
      <c r="D132" s="22" t="n"/>
      <c r="E132" s="22" t="n"/>
      <c r="F132" s="23" t="n"/>
      <c r="G132" s="23" t="n"/>
      <c r="H132" s="22" t="n"/>
      <c r="I132" s="24" t="n"/>
      <c r="J132" s="24" t="n"/>
      <c r="K132" s="25" t="n"/>
      <c r="L132" s="24" t="n"/>
      <c r="M132" s="22" t="n"/>
      <c r="N132" s="24" t="n"/>
      <c r="O132" s="25" t="n"/>
      <c r="P132" s="22" t="n"/>
      <c r="Q132" s="18">
        <f>IF(OR(B132="",J132=""),"",TODAY()-J132)</f>
        <v/>
      </c>
      <c r="R132" s="26">
        <f>IF(B132="","",IF(OR(K132="Accepted",K132="Rejected",K132="Withdrawn"),K132,IF(K132="Offer",IF(N132="","Offer","Offer, reply by "&amp;DAY(N132)&amp;" "&amp;CHOOSE(MONTH(N132),"Jan","Feb","Mar","Apr","May","Jun","Jul","Aug","Sep","Oct","Nov","Dec")),IF(OR(K132="",K132="Saved"),IF(N132="","To apply",IF(N132&lt;TODAY(),"Closing date passed","Apply by "&amp;DAY(N132)&amp;" "&amp;CHOOSE(MONTH(N132),"Jan","Feb","Mar","Apr","May","Jun","Jul","Aug","Sep","Oct","Nov","Dec"))),IF(AND(N132="",T132&gt;0,TODAY()-T132&gt;=N(Settings!$C$6)),"No reply",IF(U132="","Waiting",IF(U132&lt;TODAY(),"Follow up",IF(U132-TODAY()&lt;=2,"Due "&amp;DAY(U132)&amp;" "&amp;CHOOSE(MONTH(U132),"Jan","Feb","Mar","Apr","May","Jun","Jul","Aug","Sep","Oct","Nov","Dec"),"Waiting"))))))))</f>
        <v/>
      </c>
      <c r="S132" s="1" t="n"/>
      <c r="T132">
        <f>MAX(N(J132),N(L132))</f>
        <v/>
      </c>
      <c r="U132">
        <f>IF(N132&lt;&gt;"",N132,IF(T132=0,"",T132+N(Settings!$C$5)))</f>
        <v/>
      </c>
      <c r="V132">
        <f>IF(AND(B132&lt;&gt;"",U132&lt;&gt;"",OR(R132="Follow up",LEFT(R132,3)="Due",R132="Waiting",LEFT(R132,5)="Apply",LEFT(R132,5)="Offer")),U132+ROW()/10000000,"")</f>
        <v/>
      </c>
      <c r="W132">
        <f>IF(B132="","",IF(M132&lt;&gt;"",M132,IF(OR(K132="",K132="Saved"),"Apply",IF(K132="Offer","Reply to the offer","Follow up"))))</f>
        <v/>
      </c>
    </row>
    <row r="133">
      <c r="A133" s="1" t="n"/>
      <c r="B133" s="21" t="n"/>
      <c r="C133" s="22" t="n"/>
      <c r="D133" s="22" t="n"/>
      <c r="E133" s="22" t="n"/>
      <c r="F133" s="23" t="n"/>
      <c r="G133" s="23" t="n"/>
      <c r="H133" s="22" t="n"/>
      <c r="I133" s="24" t="n"/>
      <c r="J133" s="24" t="n"/>
      <c r="K133" s="25" t="n"/>
      <c r="L133" s="24" t="n"/>
      <c r="M133" s="22" t="n"/>
      <c r="N133" s="24" t="n"/>
      <c r="O133" s="25" t="n"/>
      <c r="P133" s="22" t="n"/>
      <c r="Q133" s="18">
        <f>IF(OR(B133="",J133=""),"",TODAY()-J133)</f>
        <v/>
      </c>
      <c r="R133" s="26">
        <f>IF(B133="","",IF(OR(K133="Accepted",K133="Rejected",K133="Withdrawn"),K133,IF(K133="Offer",IF(N133="","Offer","Offer, reply by "&amp;DAY(N133)&amp;" "&amp;CHOOSE(MONTH(N133),"Jan","Feb","Mar","Apr","May","Jun","Jul","Aug","Sep","Oct","Nov","Dec")),IF(OR(K133="",K133="Saved"),IF(N133="","To apply",IF(N133&lt;TODAY(),"Closing date passed","Apply by "&amp;DAY(N133)&amp;" "&amp;CHOOSE(MONTH(N133),"Jan","Feb","Mar","Apr","May","Jun","Jul","Aug","Sep","Oct","Nov","Dec"))),IF(AND(N133="",T133&gt;0,TODAY()-T133&gt;=N(Settings!$C$6)),"No reply",IF(U133="","Waiting",IF(U133&lt;TODAY(),"Follow up",IF(U133-TODAY()&lt;=2,"Due "&amp;DAY(U133)&amp;" "&amp;CHOOSE(MONTH(U133),"Jan","Feb","Mar","Apr","May","Jun","Jul","Aug","Sep","Oct","Nov","Dec"),"Waiting"))))))))</f>
        <v/>
      </c>
      <c r="S133" s="1" t="n"/>
      <c r="T133">
        <f>MAX(N(J133),N(L133))</f>
        <v/>
      </c>
      <c r="U133">
        <f>IF(N133&lt;&gt;"",N133,IF(T133=0,"",T133+N(Settings!$C$5)))</f>
        <v/>
      </c>
      <c r="V133">
        <f>IF(AND(B133&lt;&gt;"",U133&lt;&gt;"",OR(R133="Follow up",LEFT(R133,3)="Due",R133="Waiting",LEFT(R133,5)="Apply",LEFT(R133,5)="Offer")),U133+ROW()/10000000,"")</f>
        <v/>
      </c>
      <c r="W133">
        <f>IF(B133="","",IF(M133&lt;&gt;"",M133,IF(OR(K133="",K133="Saved"),"Apply",IF(K133="Offer","Reply to the offer","Follow up"))))</f>
        <v/>
      </c>
    </row>
    <row r="134">
      <c r="A134" s="1" t="n"/>
      <c r="B134" s="21" t="n"/>
      <c r="C134" s="22" t="n"/>
      <c r="D134" s="22" t="n"/>
      <c r="E134" s="22" t="n"/>
      <c r="F134" s="23" t="n"/>
      <c r="G134" s="23" t="n"/>
      <c r="H134" s="22" t="n"/>
      <c r="I134" s="24" t="n"/>
      <c r="J134" s="24" t="n"/>
      <c r="K134" s="25" t="n"/>
      <c r="L134" s="24" t="n"/>
      <c r="M134" s="22" t="n"/>
      <c r="N134" s="24" t="n"/>
      <c r="O134" s="25" t="n"/>
      <c r="P134" s="22" t="n"/>
      <c r="Q134" s="18">
        <f>IF(OR(B134="",J134=""),"",TODAY()-J134)</f>
        <v/>
      </c>
      <c r="R134" s="26">
        <f>IF(B134="","",IF(OR(K134="Accepted",K134="Rejected",K134="Withdrawn"),K134,IF(K134="Offer",IF(N134="","Offer","Offer, reply by "&amp;DAY(N134)&amp;" "&amp;CHOOSE(MONTH(N134),"Jan","Feb","Mar","Apr","May","Jun","Jul","Aug","Sep","Oct","Nov","Dec")),IF(OR(K134="",K134="Saved"),IF(N134="","To apply",IF(N134&lt;TODAY(),"Closing date passed","Apply by "&amp;DAY(N134)&amp;" "&amp;CHOOSE(MONTH(N134),"Jan","Feb","Mar","Apr","May","Jun","Jul","Aug","Sep","Oct","Nov","Dec"))),IF(AND(N134="",T134&gt;0,TODAY()-T134&gt;=N(Settings!$C$6)),"No reply",IF(U134="","Waiting",IF(U134&lt;TODAY(),"Follow up",IF(U134-TODAY()&lt;=2,"Due "&amp;DAY(U134)&amp;" "&amp;CHOOSE(MONTH(U134),"Jan","Feb","Mar","Apr","May","Jun","Jul","Aug","Sep","Oct","Nov","Dec"),"Waiting"))))))))</f>
        <v/>
      </c>
      <c r="S134" s="1" t="n"/>
      <c r="T134">
        <f>MAX(N(J134),N(L134))</f>
        <v/>
      </c>
      <c r="U134">
        <f>IF(N134&lt;&gt;"",N134,IF(T134=0,"",T134+N(Settings!$C$5)))</f>
        <v/>
      </c>
      <c r="V134">
        <f>IF(AND(B134&lt;&gt;"",U134&lt;&gt;"",OR(R134="Follow up",LEFT(R134,3)="Due",R134="Waiting",LEFT(R134,5)="Apply",LEFT(R134,5)="Offer")),U134+ROW()/10000000,"")</f>
        <v/>
      </c>
      <c r="W134">
        <f>IF(B134="","",IF(M134&lt;&gt;"",M134,IF(OR(K134="",K134="Saved"),"Apply",IF(K134="Offer","Reply to the offer","Follow up"))))</f>
        <v/>
      </c>
    </row>
    <row r="135">
      <c r="A135" s="1" t="n"/>
      <c r="B135" s="21" t="n"/>
      <c r="C135" s="22" t="n"/>
      <c r="D135" s="22" t="n"/>
      <c r="E135" s="22" t="n"/>
      <c r="F135" s="23" t="n"/>
      <c r="G135" s="23" t="n"/>
      <c r="H135" s="22" t="n"/>
      <c r="I135" s="24" t="n"/>
      <c r="J135" s="24" t="n"/>
      <c r="K135" s="25" t="n"/>
      <c r="L135" s="24" t="n"/>
      <c r="M135" s="22" t="n"/>
      <c r="N135" s="24" t="n"/>
      <c r="O135" s="25" t="n"/>
      <c r="P135" s="22" t="n"/>
      <c r="Q135" s="18">
        <f>IF(OR(B135="",J135=""),"",TODAY()-J135)</f>
        <v/>
      </c>
      <c r="R135" s="26">
        <f>IF(B135="","",IF(OR(K135="Accepted",K135="Rejected",K135="Withdrawn"),K135,IF(K135="Offer",IF(N135="","Offer","Offer, reply by "&amp;DAY(N135)&amp;" "&amp;CHOOSE(MONTH(N135),"Jan","Feb","Mar","Apr","May","Jun","Jul","Aug","Sep","Oct","Nov","Dec")),IF(OR(K135="",K135="Saved"),IF(N135="","To apply",IF(N135&lt;TODAY(),"Closing date passed","Apply by "&amp;DAY(N135)&amp;" "&amp;CHOOSE(MONTH(N135),"Jan","Feb","Mar","Apr","May","Jun","Jul","Aug","Sep","Oct","Nov","Dec"))),IF(AND(N135="",T135&gt;0,TODAY()-T135&gt;=N(Settings!$C$6)),"No reply",IF(U135="","Waiting",IF(U135&lt;TODAY(),"Follow up",IF(U135-TODAY()&lt;=2,"Due "&amp;DAY(U135)&amp;" "&amp;CHOOSE(MONTH(U135),"Jan","Feb","Mar","Apr","May","Jun","Jul","Aug","Sep","Oct","Nov","Dec"),"Waiting"))))))))</f>
        <v/>
      </c>
      <c r="S135" s="1" t="n"/>
      <c r="T135">
        <f>MAX(N(J135),N(L135))</f>
        <v/>
      </c>
      <c r="U135">
        <f>IF(N135&lt;&gt;"",N135,IF(T135=0,"",T135+N(Settings!$C$5)))</f>
        <v/>
      </c>
      <c r="V135">
        <f>IF(AND(B135&lt;&gt;"",U135&lt;&gt;"",OR(R135="Follow up",LEFT(R135,3)="Due",R135="Waiting",LEFT(R135,5)="Apply",LEFT(R135,5)="Offer")),U135+ROW()/10000000,"")</f>
        <v/>
      </c>
      <c r="W135">
        <f>IF(B135="","",IF(M135&lt;&gt;"",M135,IF(OR(K135="",K135="Saved"),"Apply",IF(K135="Offer","Reply to the offer","Follow up"))))</f>
        <v/>
      </c>
    </row>
    <row r="136">
      <c r="A136" s="1" t="n"/>
      <c r="B136" s="21" t="n"/>
      <c r="C136" s="22" t="n"/>
      <c r="D136" s="22" t="n"/>
      <c r="E136" s="22" t="n"/>
      <c r="F136" s="23" t="n"/>
      <c r="G136" s="23" t="n"/>
      <c r="H136" s="22" t="n"/>
      <c r="I136" s="24" t="n"/>
      <c r="J136" s="24" t="n"/>
      <c r="K136" s="25" t="n"/>
      <c r="L136" s="24" t="n"/>
      <c r="M136" s="22" t="n"/>
      <c r="N136" s="24" t="n"/>
      <c r="O136" s="25" t="n"/>
      <c r="P136" s="22" t="n"/>
      <c r="Q136" s="18">
        <f>IF(OR(B136="",J136=""),"",TODAY()-J136)</f>
        <v/>
      </c>
      <c r="R136" s="26">
        <f>IF(B136="","",IF(OR(K136="Accepted",K136="Rejected",K136="Withdrawn"),K136,IF(K136="Offer",IF(N136="","Offer","Offer, reply by "&amp;DAY(N136)&amp;" "&amp;CHOOSE(MONTH(N136),"Jan","Feb","Mar","Apr","May","Jun","Jul","Aug","Sep","Oct","Nov","Dec")),IF(OR(K136="",K136="Saved"),IF(N136="","To apply",IF(N136&lt;TODAY(),"Closing date passed","Apply by "&amp;DAY(N136)&amp;" "&amp;CHOOSE(MONTH(N136),"Jan","Feb","Mar","Apr","May","Jun","Jul","Aug","Sep","Oct","Nov","Dec"))),IF(AND(N136="",T136&gt;0,TODAY()-T136&gt;=N(Settings!$C$6)),"No reply",IF(U136="","Waiting",IF(U136&lt;TODAY(),"Follow up",IF(U136-TODAY()&lt;=2,"Due "&amp;DAY(U136)&amp;" "&amp;CHOOSE(MONTH(U136),"Jan","Feb","Mar","Apr","May","Jun","Jul","Aug","Sep","Oct","Nov","Dec"),"Waiting"))))))))</f>
        <v/>
      </c>
      <c r="S136" s="1" t="n"/>
      <c r="T136">
        <f>MAX(N(J136),N(L136))</f>
        <v/>
      </c>
      <c r="U136">
        <f>IF(N136&lt;&gt;"",N136,IF(T136=0,"",T136+N(Settings!$C$5)))</f>
        <v/>
      </c>
      <c r="V136">
        <f>IF(AND(B136&lt;&gt;"",U136&lt;&gt;"",OR(R136="Follow up",LEFT(R136,3)="Due",R136="Waiting",LEFT(R136,5)="Apply",LEFT(R136,5)="Offer")),U136+ROW()/10000000,"")</f>
        <v/>
      </c>
      <c r="W136">
        <f>IF(B136="","",IF(M136&lt;&gt;"",M136,IF(OR(K136="",K136="Saved"),"Apply",IF(K136="Offer","Reply to the offer","Follow up"))))</f>
        <v/>
      </c>
    </row>
    <row r="137">
      <c r="A137" s="1" t="n"/>
      <c r="B137" s="21" t="n"/>
      <c r="C137" s="22" t="n"/>
      <c r="D137" s="22" t="n"/>
      <c r="E137" s="22" t="n"/>
      <c r="F137" s="23" t="n"/>
      <c r="G137" s="23" t="n"/>
      <c r="H137" s="22" t="n"/>
      <c r="I137" s="24" t="n"/>
      <c r="J137" s="24" t="n"/>
      <c r="K137" s="25" t="n"/>
      <c r="L137" s="24" t="n"/>
      <c r="M137" s="22" t="n"/>
      <c r="N137" s="24" t="n"/>
      <c r="O137" s="25" t="n"/>
      <c r="P137" s="22" t="n"/>
      <c r="Q137" s="18">
        <f>IF(OR(B137="",J137=""),"",TODAY()-J137)</f>
        <v/>
      </c>
      <c r="R137" s="26">
        <f>IF(B137="","",IF(OR(K137="Accepted",K137="Rejected",K137="Withdrawn"),K137,IF(K137="Offer",IF(N137="","Offer","Offer, reply by "&amp;DAY(N137)&amp;" "&amp;CHOOSE(MONTH(N137),"Jan","Feb","Mar","Apr","May","Jun","Jul","Aug","Sep","Oct","Nov","Dec")),IF(OR(K137="",K137="Saved"),IF(N137="","To apply",IF(N137&lt;TODAY(),"Closing date passed","Apply by "&amp;DAY(N137)&amp;" "&amp;CHOOSE(MONTH(N137),"Jan","Feb","Mar","Apr","May","Jun","Jul","Aug","Sep","Oct","Nov","Dec"))),IF(AND(N137="",T137&gt;0,TODAY()-T137&gt;=N(Settings!$C$6)),"No reply",IF(U137="","Waiting",IF(U137&lt;TODAY(),"Follow up",IF(U137-TODAY()&lt;=2,"Due "&amp;DAY(U137)&amp;" "&amp;CHOOSE(MONTH(U137),"Jan","Feb","Mar","Apr","May","Jun","Jul","Aug","Sep","Oct","Nov","Dec"),"Waiting"))))))))</f>
        <v/>
      </c>
      <c r="S137" s="1" t="n"/>
      <c r="T137">
        <f>MAX(N(J137),N(L137))</f>
        <v/>
      </c>
      <c r="U137">
        <f>IF(N137&lt;&gt;"",N137,IF(T137=0,"",T137+N(Settings!$C$5)))</f>
        <v/>
      </c>
      <c r="V137">
        <f>IF(AND(B137&lt;&gt;"",U137&lt;&gt;"",OR(R137="Follow up",LEFT(R137,3)="Due",R137="Waiting",LEFT(R137,5)="Apply",LEFT(R137,5)="Offer")),U137+ROW()/10000000,"")</f>
        <v/>
      </c>
      <c r="W137">
        <f>IF(B137="","",IF(M137&lt;&gt;"",M137,IF(OR(K137="",K137="Saved"),"Apply",IF(K137="Offer","Reply to the offer","Follow up"))))</f>
        <v/>
      </c>
    </row>
    <row r="138">
      <c r="A138" s="1" t="n"/>
      <c r="B138" s="21" t="n"/>
      <c r="C138" s="22" t="n"/>
      <c r="D138" s="22" t="n"/>
      <c r="E138" s="22" t="n"/>
      <c r="F138" s="23" t="n"/>
      <c r="G138" s="23" t="n"/>
      <c r="H138" s="22" t="n"/>
      <c r="I138" s="24" t="n"/>
      <c r="J138" s="24" t="n"/>
      <c r="K138" s="25" t="n"/>
      <c r="L138" s="24" t="n"/>
      <c r="M138" s="22" t="n"/>
      <c r="N138" s="24" t="n"/>
      <c r="O138" s="25" t="n"/>
      <c r="P138" s="22" t="n"/>
      <c r="Q138" s="18">
        <f>IF(OR(B138="",J138=""),"",TODAY()-J138)</f>
        <v/>
      </c>
      <c r="R138" s="26">
        <f>IF(B138="","",IF(OR(K138="Accepted",K138="Rejected",K138="Withdrawn"),K138,IF(K138="Offer",IF(N138="","Offer","Offer, reply by "&amp;DAY(N138)&amp;" "&amp;CHOOSE(MONTH(N138),"Jan","Feb","Mar","Apr","May","Jun","Jul","Aug","Sep","Oct","Nov","Dec")),IF(OR(K138="",K138="Saved"),IF(N138="","To apply",IF(N138&lt;TODAY(),"Closing date passed","Apply by "&amp;DAY(N138)&amp;" "&amp;CHOOSE(MONTH(N138),"Jan","Feb","Mar","Apr","May","Jun","Jul","Aug","Sep","Oct","Nov","Dec"))),IF(AND(N138="",T138&gt;0,TODAY()-T138&gt;=N(Settings!$C$6)),"No reply",IF(U138="","Waiting",IF(U138&lt;TODAY(),"Follow up",IF(U138-TODAY()&lt;=2,"Due "&amp;DAY(U138)&amp;" "&amp;CHOOSE(MONTH(U138),"Jan","Feb","Mar","Apr","May","Jun","Jul","Aug","Sep","Oct","Nov","Dec"),"Waiting"))))))))</f>
        <v/>
      </c>
      <c r="S138" s="1" t="n"/>
      <c r="T138">
        <f>MAX(N(J138),N(L138))</f>
        <v/>
      </c>
      <c r="U138">
        <f>IF(N138&lt;&gt;"",N138,IF(T138=0,"",T138+N(Settings!$C$5)))</f>
        <v/>
      </c>
      <c r="V138">
        <f>IF(AND(B138&lt;&gt;"",U138&lt;&gt;"",OR(R138="Follow up",LEFT(R138,3)="Due",R138="Waiting",LEFT(R138,5)="Apply",LEFT(R138,5)="Offer")),U138+ROW()/10000000,"")</f>
        <v/>
      </c>
      <c r="W138">
        <f>IF(B138="","",IF(M138&lt;&gt;"",M138,IF(OR(K138="",K138="Saved"),"Apply",IF(K138="Offer","Reply to the offer","Follow up"))))</f>
        <v/>
      </c>
    </row>
    <row r="139">
      <c r="A139" s="1" t="n"/>
      <c r="B139" s="21" t="n"/>
      <c r="C139" s="22" t="n"/>
      <c r="D139" s="22" t="n"/>
      <c r="E139" s="22" t="n"/>
      <c r="F139" s="23" t="n"/>
      <c r="G139" s="23" t="n"/>
      <c r="H139" s="22" t="n"/>
      <c r="I139" s="24" t="n"/>
      <c r="J139" s="24" t="n"/>
      <c r="K139" s="25" t="n"/>
      <c r="L139" s="24" t="n"/>
      <c r="M139" s="22" t="n"/>
      <c r="N139" s="24" t="n"/>
      <c r="O139" s="25" t="n"/>
      <c r="P139" s="22" t="n"/>
      <c r="Q139" s="18">
        <f>IF(OR(B139="",J139=""),"",TODAY()-J139)</f>
        <v/>
      </c>
      <c r="R139" s="26">
        <f>IF(B139="","",IF(OR(K139="Accepted",K139="Rejected",K139="Withdrawn"),K139,IF(K139="Offer",IF(N139="","Offer","Offer, reply by "&amp;DAY(N139)&amp;" "&amp;CHOOSE(MONTH(N139),"Jan","Feb","Mar","Apr","May","Jun","Jul","Aug","Sep","Oct","Nov","Dec")),IF(OR(K139="",K139="Saved"),IF(N139="","To apply",IF(N139&lt;TODAY(),"Closing date passed","Apply by "&amp;DAY(N139)&amp;" "&amp;CHOOSE(MONTH(N139),"Jan","Feb","Mar","Apr","May","Jun","Jul","Aug","Sep","Oct","Nov","Dec"))),IF(AND(N139="",T139&gt;0,TODAY()-T139&gt;=N(Settings!$C$6)),"No reply",IF(U139="","Waiting",IF(U139&lt;TODAY(),"Follow up",IF(U139-TODAY()&lt;=2,"Due "&amp;DAY(U139)&amp;" "&amp;CHOOSE(MONTH(U139),"Jan","Feb","Mar","Apr","May","Jun","Jul","Aug","Sep","Oct","Nov","Dec"),"Waiting"))))))))</f>
        <v/>
      </c>
      <c r="S139" s="1" t="n"/>
      <c r="T139">
        <f>MAX(N(J139),N(L139))</f>
        <v/>
      </c>
      <c r="U139">
        <f>IF(N139&lt;&gt;"",N139,IF(T139=0,"",T139+N(Settings!$C$5)))</f>
        <v/>
      </c>
      <c r="V139">
        <f>IF(AND(B139&lt;&gt;"",U139&lt;&gt;"",OR(R139="Follow up",LEFT(R139,3)="Due",R139="Waiting",LEFT(R139,5)="Apply",LEFT(R139,5)="Offer")),U139+ROW()/10000000,"")</f>
        <v/>
      </c>
      <c r="W139">
        <f>IF(B139="","",IF(M139&lt;&gt;"",M139,IF(OR(K139="",K139="Saved"),"Apply",IF(K139="Offer","Reply to the offer","Follow up"))))</f>
        <v/>
      </c>
    </row>
    <row r="140">
      <c r="A140" s="1" t="n"/>
      <c r="B140" s="21" t="n"/>
      <c r="C140" s="22" t="n"/>
      <c r="D140" s="22" t="n"/>
      <c r="E140" s="22" t="n"/>
      <c r="F140" s="23" t="n"/>
      <c r="G140" s="23" t="n"/>
      <c r="H140" s="22" t="n"/>
      <c r="I140" s="24" t="n"/>
      <c r="J140" s="24" t="n"/>
      <c r="K140" s="25" t="n"/>
      <c r="L140" s="24" t="n"/>
      <c r="M140" s="22" t="n"/>
      <c r="N140" s="24" t="n"/>
      <c r="O140" s="25" t="n"/>
      <c r="P140" s="22" t="n"/>
      <c r="Q140" s="18">
        <f>IF(OR(B140="",J140=""),"",TODAY()-J140)</f>
        <v/>
      </c>
      <c r="R140" s="26">
        <f>IF(B140="","",IF(OR(K140="Accepted",K140="Rejected",K140="Withdrawn"),K140,IF(K140="Offer",IF(N140="","Offer","Offer, reply by "&amp;DAY(N140)&amp;" "&amp;CHOOSE(MONTH(N140),"Jan","Feb","Mar","Apr","May","Jun","Jul","Aug","Sep","Oct","Nov","Dec")),IF(OR(K140="",K140="Saved"),IF(N140="","To apply",IF(N140&lt;TODAY(),"Closing date passed","Apply by "&amp;DAY(N140)&amp;" "&amp;CHOOSE(MONTH(N140),"Jan","Feb","Mar","Apr","May","Jun","Jul","Aug","Sep","Oct","Nov","Dec"))),IF(AND(N140="",T140&gt;0,TODAY()-T140&gt;=N(Settings!$C$6)),"No reply",IF(U140="","Waiting",IF(U140&lt;TODAY(),"Follow up",IF(U140-TODAY()&lt;=2,"Due "&amp;DAY(U140)&amp;" "&amp;CHOOSE(MONTH(U140),"Jan","Feb","Mar","Apr","May","Jun","Jul","Aug","Sep","Oct","Nov","Dec"),"Waiting"))))))))</f>
        <v/>
      </c>
      <c r="S140" s="1" t="n"/>
      <c r="T140">
        <f>MAX(N(J140),N(L140))</f>
        <v/>
      </c>
      <c r="U140">
        <f>IF(N140&lt;&gt;"",N140,IF(T140=0,"",T140+N(Settings!$C$5)))</f>
        <v/>
      </c>
      <c r="V140">
        <f>IF(AND(B140&lt;&gt;"",U140&lt;&gt;"",OR(R140="Follow up",LEFT(R140,3)="Due",R140="Waiting",LEFT(R140,5)="Apply",LEFT(R140,5)="Offer")),U140+ROW()/10000000,"")</f>
        <v/>
      </c>
      <c r="W140">
        <f>IF(B140="","",IF(M140&lt;&gt;"",M140,IF(OR(K140="",K140="Saved"),"Apply",IF(K140="Offer","Reply to the offer","Follow up"))))</f>
        <v/>
      </c>
    </row>
    <row r="141">
      <c r="A141" s="1" t="n"/>
      <c r="B141" s="21" t="n"/>
      <c r="C141" s="22" t="n"/>
      <c r="D141" s="22" t="n"/>
      <c r="E141" s="22" t="n"/>
      <c r="F141" s="23" t="n"/>
      <c r="G141" s="23" t="n"/>
      <c r="H141" s="22" t="n"/>
      <c r="I141" s="24" t="n"/>
      <c r="J141" s="24" t="n"/>
      <c r="K141" s="25" t="n"/>
      <c r="L141" s="24" t="n"/>
      <c r="M141" s="22" t="n"/>
      <c r="N141" s="24" t="n"/>
      <c r="O141" s="25" t="n"/>
      <c r="P141" s="22" t="n"/>
      <c r="Q141" s="18">
        <f>IF(OR(B141="",J141=""),"",TODAY()-J141)</f>
        <v/>
      </c>
      <c r="R141" s="26">
        <f>IF(B141="","",IF(OR(K141="Accepted",K141="Rejected",K141="Withdrawn"),K141,IF(K141="Offer",IF(N141="","Offer","Offer, reply by "&amp;DAY(N141)&amp;" "&amp;CHOOSE(MONTH(N141),"Jan","Feb","Mar","Apr","May","Jun","Jul","Aug","Sep","Oct","Nov","Dec")),IF(OR(K141="",K141="Saved"),IF(N141="","To apply",IF(N141&lt;TODAY(),"Closing date passed","Apply by "&amp;DAY(N141)&amp;" "&amp;CHOOSE(MONTH(N141),"Jan","Feb","Mar","Apr","May","Jun","Jul","Aug","Sep","Oct","Nov","Dec"))),IF(AND(N141="",T141&gt;0,TODAY()-T141&gt;=N(Settings!$C$6)),"No reply",IF(U141="","Waiting",IF(U141&lt;TODAY(),"Follow up",IF(U141-TODAY()&lt;=2,"Due "&amp;DAY(U141)&amp;" "&amp;CHOOSE(MONTH(U141),"Jan","Feb","Mar","Apr","May","Jun","Jul","Aug","Sep","Oct","Nov","Dec"),"Waiting"))))))))</f>
        <v/>
      </c>
      <c r="S141" s="1" t="n"/>
      <c r="T141">
        <f>MAX(N(J141),N(L141))</f>
        <v/>
      </c>
      <c r="U141">
        <f>IF(N141&lt;&gt;"",N141,IF(T141=0,"",T141+N(Settings!$C$5)))</f>
        <v/>
      </c>
      <c r="V141">
        <f>IF(AND(B141&lt;&gt;"",U141&lt;&gt;"",OR(R141="Follow up",LEFT(R141,3)="Due",R141="Waiting",LEFT(R141,5)="Apply",LEFT(R141,5)="Offer")),U141+ROW()/10000000,"")</f>
        <v/>
      </c>
      <c r="W141">
        <f>IF(B141="","",IF(M141&lt;&gt;"",M141,IF(OR(K141="",K141="Saved"),"Apply",IF(K141="Offer","Reply to the offer","Follow up"))))</f>
        <v/>
      </c>
    </row>
    <row r="142">
      <c r="A142" s="1" t="n"/>
      <c r="B142" s="21" t="n"/>
      <c r="C142" s="22" t="n"/>
      <c r="D142" s="22" t="n"/>
      <c r="E142" s="22" t="n"/>
      <c r="F142" s="23" t="n"/>
      <c r="G142" s="23" t="n"/>
      <c r="H142" s="22" t="n"/>
      <c r="I142" s="24" t="n"/>
      <c r="J142" s="24" t="n"/>
      <c r="K142" s="25" t="n"/>
      <c r="L142" s="24" t="n"/>
      <c r="M142" s="22" t="n"/>
      <c r="N142" s="24" t="n"/>
      <c r="O142" s="25" t="n"/>
      <c r="P142" s="22" t="n"/>
      <c r="Q142" s="18">
        <f>IF(OR(B142="",J142=""),"",TODAY()-J142)</f>
        <v/>
      </c>
      <c r="R142" s="26">
        <f>IF(B142="","",IF(OR(K142="Accepted",K142="Rejected",K142="Withdrawn"),K142,IF(K142="Offer",IF(N142="","Offer","Offer, reply by "&amp;DAY(N142)&amp;" "&amp;CHOOSE(MONTH(N142),"Jan","Feb","Mar","Apr","May","Jun","Jul","Aug","Sep","Oct","Nov","Dec")),IF(OR(K142="",K142="Saved"),IF(N142="","To apply",IF(N142&lt;TODAY(),"Closing date passed","Apply by "&amp;DAY(N142)&amp;" "&amp;CHOOSE(MONTH(N142),"Jan","Feb","Mar","Apr","May","Jun","Jul","Aug","Sep","Oct","Nov","Dec"))),IF(AND(N142="",T142&gt;0,TODAY()-T142&gt;=N(Settings!$C$6)),"No reply",IF(U142="","Waiting",IF(U142&lt;TODAY(),"Follow up",IF(U142-TODAY()&lt;=2,"Due "&amp;DAY(U142)&amp;" "&amp;CHOOSE(MONTH(U142),"Jan","Feb","Mar","Apr","May","Jun","Jul","Aug","Sep","Oct","Nov","Dec"),"Waiting"))))))))</f>
        <v/>
      </c>
      <c r="S142" s="1" t="n"/>
      <c r="T142">
        <f>MAX(N(J142),N(L142))</f>
        <v/>
      </c>
      <c r="U142">
        <f>IF(N142&lt;&gt;"",N142,IF(T142=0,"",T142+N(Settings!$C$5)))</f>
        <v/>
      </c>
      <c r="V142">
        <f>IF(AND(B142&lt;&gt;"",U142&lt;&gt;"",OR(R142="Follow up",LEFT(R142,3)="Due",R142="Waiting",LEFT(R142,5)="Apply",LEFT(R142,5)="Offer")),U142+ROW()/10000000,"")</f>
        <v/>
      </c>
      <c r="W142">
        <f>IF(B142="","",IF(M142&lt;&gt;"",M142,IF(OR(K142="",K142="Saved"),"Apply",IF(K142="Offer","Reply to the offer","Follow up"))))</f>
        <v/>
      </c>
    </row>
    <row r="143">
      <c r="A143" s="1" t="n"/>
      <c r="B143" s="21" t="n"/>
      <c r="C143" s="22" t="n"/>
      <c r="D143" s="22" t="n"/>
      <c r="E143" s="22" t="n"/>
      <c r="F143" s="23" t="n"/>
      <c r="G143" s="23" t="n"/>
      <c r="H143" s="22" t="n"/>
      <c r="I143" s="24" t="n"/>
      <c r="J143" s="24" t="n"/>
      <c r="K143" s="25" t="n"/>
      <c r="L143" s="24" t="n"/>
      <c r="M143" s="22" t="n"/>
      <c r="N143" s="24" t="n"/>
      <c r="O143" s="25" t="n"/>
      <c r="P143" s="22" t="n"/>
      <c r="Q143" s="18">
        <f>IF(OR(B143="",J143=""),"",TODAY()-J143)</f>
        <v/>
      </c>
      <c r="R143" s="26">
        <f>IF(B143="","",IF(OR(K143="Accepted",K143="Rejected",K143="Withdrawn"),K143,IF(K143="Offer",IF(N143="","Offer","Offer, reply by "&amp;DAY(N143)&amp;" "&amp;CHOOSE(MONTH(N143),"Jan","Feb","Mar","Apr","May","Jun","Jul","Aug","Sep","Oct","Nov","Dec")),IF(OR(K143="",K143="Saved"),IF(N143="","To apply",IF(N143&lt;TODAY(),"Closing date passed","Apply by "&amp;DAY(N143)&amp;" "&amp;CHOOSE(MONTH(N143),"Jan","Feb","Mar","Apr","May","Jun","Jul","Aug","Sep","Oct","Nov","Dec"))),IF(AND(N143="",T143&gt;0,TODAY()-T143&gt;=N(Settings!$C$6)),"No reply",IF(U143="","Waiting",IF(U143&lt;TODAY(),"Follow up",IF(U143-TODAY()&lt;=2,"Due "&amp;DAY(U143)&amp;" "&amp;CHOOSE(MONTH(U143),"Jan","Feb","Mar","Apr","May","Jun","Jul","Aug","Sep","Oct","Nov","Dec"),"Waiting"))))))))</f>
        <v/>
      </c>
      <c r="S143" s="1" t="n"/>
      <c r="T143">
        <f>MAX(N(J143),N(L143))</f>
        <v/>
      </c>
      <c r="U143">
        <f>IF(N143&lt;&gt;"",N143,IF(T143=0,"",T143+N(Settings!$C$5)))</f>
        <v/>
      </c>
      <c r="V143">
        <f>IF(AND(B143&lt;&gt;"",U143&lt;&gt;"",OR(R143="Follow up",LEFT(R143,3)="Due",R143="Waiting",LEFT(R143,5)="Apply",LEFT(R143,5)="Offer")),U143+ROW()/10000000,"")</f>
        <v/>
      </c>
      <c r="W143">
        <f>IF(B143="","",IF(M143&lt;&gt;"",M143,IF(OR(K143="",K143="Saved"),"Apply",IF(K143="Offer","Reply to the offer","Follow up"))))</f>
        <v/>
      </c>
    </row>
    <row r="144">
      <c r="A144" s="1" t="n"/>
      <c r="B144" s="21" t="n"/>
      <c r="C144" s="22" t="n"/>
      <c r="D144" s="22" t="n"/>
      <c r="E144" s="22" t="n"/>
      <c r="F144" s="23" t="n"/>
      <c r="G144" s="23" t="n"/>
      <c r="H144" s="22" t="n"/>
      <c r="I144" s="24" t="n"/>
      <c r="J144" s="24" t="n"/>
      <c r="K144" s="25" t="n"/>
      <c r="L144" s="24" t="n"/>
      <c r="M144" s="22" t="n"/>
      <c r="N144" s="24" t="n"/>
      <c r="O144" s="25" t="n"/>
      <c r="P144" s="22" t="n"/>
      <c r="Q144" s="18">
        <f>IF(OR(B144="",J144=""),"",TODAY()-J144)</f>
        <v/>
      </c>
      <c r="R144" s="26">
        <f>IF(B144="","",IF(OR(K144="Accepted",K144="Rejected",K144="Withdrawn"),K144,IF(K144="Offer",IF(N144="","Offer","Offer, reply by "&amp;DAY(N144)&amp;" "&amp;CHOOSE(MONTH(N144),"Jan","Feb","Mar","Apr","May","Jun","Jul","Aug","Sep","Oct","Nov","Dec")),IF(OR(K144="",K144="Saved"),IF(N144="","To apply",IF(N144&lt;TODAY(),"Closing date passed","Apply by "&amp;DAY(N144)&amp;" "&amp;CHOOSE(MONTH(N144),"Jan","Feb","Mar","Apr","May","Jun","Jul","Aug","Sep","Oct","Nov","Dec"))),IF(AND(N144="",T144&gt;0,TODAY()-T144&gt;=N(Settings!$C$6)),"No reply",IF(U144="","Waiting",IF(U144&lt;TODAY(),"Follow up",IF(U144-TODAY()&lt;=2,"Due "&amp;DAY(U144)&amp;" "&amp;CHOOSE(MONTH(U144),"Jan","Feb","Mar","Apr","May","Jun","Jul","Aug","Sep","Oct","Nov","Dec"),"Waiting"))))))))</f>
        <v/>
      </c>
      <c r="S144" s="1" t="n"/>
      <c r="T144">
        <f>MAX(N(J144),N(L144))</f>
        <v/>
      </c>
      <c r="U144">
        <f>IF(N144&lt;&gt;"",N144,IF(T144=0,"",T144+N(Settings!$C$5)))</f>
        <v/>
      </c>
      <c r="V144">
        <f>IF(AND(B144&lt;&gt;"",U144&lt;&gt;"",OR(R144="Follow up",LEFT(R144,3)="Due",R144="Waiting",LEFT(R144,5)="Apply",LEFT(R144,5)="Offer")),U144+ROW()/10000000,"")</f>
        <v/>
      </c>
      <c r="W144">
        <f>IF(B144="","",IF(M144&lt;&gt;"",M144,IF(OR(K144="",K144="Saved"),"Apply",IF(K144="Offer","Reply to the offer","Follow up"))))</f>
        <v/>
      </c>
    </row>
    <row r="145">
      <c r="A145" s="1" t="n"/>
      <c r="B145" s="21" t="n"/>
      <c r="C145" s="22" t="n"/>
      <c r="D145" s="22" t="n"/>
      <c r="E145" s="22" t="n"/>
      <c r="F145" s="23" t="n"/>
      <c r="G145" s="23" t="n"/>
      <c r="H145" s="22" t="n"/>
      <c r="I145" s="24" t="n"/>
      <c r="J145" s="24" t="n"/>
      <c r="K145" s="25" t="n"/>
      <c r="L145" s="24" t="n"/>
      <c r="M145" s="22" t="n"/>
      <c r="N145" s="24" t="n"/>
      <c r="O145" s="25" t="n"/>
      <c r="P145" s="22" t="n"/>
      <c r="Q145" s="18">
        <f>IF(OR(B145="",J145=""),"",TODAY()-J145)</f>
        <v/>
      </c>
      <c r="R145" s="26">
        <f>IF(B145="","",IF(OR(K145="Accepted",K145="Rejected",K145="Withdrawn"),K145,IF(K145="Offer",IF(N145="","Offer","Offer, reply by "&amp;DAY(N145)&amp;" "&amp;CHOOSE(MONTH(N145),"Jan","Feb","Mar","Apr","May","Jun","Jul","Aug","Sep","Oct","Nov","Dec")),IF(OR(K145="",K145="Saved"),IF(N145="","To apply",IF(N145&lt;TODAY(),"Closing date passed","Apply by "&amp;DAY(N145)&amp;" "&amp;CHOOSE(MONTH(N145),"Jan","Feb","Mar","Apr","May","Jun","Jul","Aug","Sep","Oct","Nov","Dec"))),IF(AND(N145="",T145&gt;0,TODAY()-T145&gt;=N(Settings!$C$6)),"No reply",IF(U145="","Waiting",IF(U145&lt;TODAY(),"Follow up",IF(U145-TODAY()&lt;=2,"Due "&amp;DAY(U145)&amp;" "&amp;CHOOSE(MONTH(U145),"Jan","Feb","Mar","Apr","May","Jun","Jul","Aug","Sep","Oct","Nov","Dec"),"Waiting"))))))))</f>
        <v/>
      </c>
      <c r="S145" s="1" t="n"/>
      <c r="T145">
        <f>MAX(N(J145),N(L145))</f>
        <v/>
      </c>
      <c r="U145">
        <f>IF(N145&lt;&gt;"",N145,IF(T145=0,"",T145+N(Settings!$C$5)))</f>
        <v/>
      </c>
      <c r="V145">
        <f>IF(AND(B145&lt;&gt;"",U145&lt;&gt;"",OR(R145="Follow up",LEFT(R145,3)="Due",R145="Waiting",LEFT(R145,5)="Apply",LEFT(R145,5)="Offer")),U145+ROW()/10000000,"")</f>
        <v/>
      </c>
      <c r="W145">
        <f>IF(B145="","",IF(M145&lt;&gt;"",M145,IF(OR(K145="",K145="Saved"),"Apply",IF(K145="Offer","Reply to the offer","Follow up"))))</f>
        <v/>
      </c>
    </row>
    <row r="146">
      <c r="A146" s="1" t="n"/>
      <c r="B146" s="21" t="n"/>
      <c r="C146" s="22" t="n"/>
      <c r="D146" s="22" t="n"/>
      <c r="E146" s="22" t="n"/>
      <c r="F146" s="23" t="n"/>
      <c r="G146" s="23" t="n"/>
      <c r="H146" s="22" t="n"/>
      <c r="I146" s="24" t="n"/>
      <c r="J146" s="24" t="n"/>
      <c r="K146" s="25" t="n"/>
      <c r="L146" s="24" t="n"/>
      <c r="M146" s="22" t="n"/>
      <c r="N146" s="24" t="n"/>
      <c r="O146" s="25" t="n"/>
      <c r="P146" s="22" t="n"/>
      <c r="Q146" s="18">
        <f>IF(OR(B146="",J146=""),"",TODAY()-J146)</f>
        <v/>
      </c>
      <c r="R146" s="26">
        <f>IF(B146="","",IF(OR(K146="Accepted",K146="Rejected",K146="Withdrawn"),K146,IF(K146="Offer",IF(N146="","Offer","Offer, reply by "&amp;DAY(N146)&amp;" "&amp;CHOOSE(MONTH(N146),"Jan","Feb","Mar","Apr","May","Jun","Jul","Aug","Sep","Oct","Nov","Dec")),IF(OR(K146="",K146="Saved"),IF(N146="","To apply",IF(N146&lt;TODAY(),"Closing date passed","Apply by "&amp;DAY(N146)&amp;" "&amp;CHOOSE(MONTH(N146),"Jan","Feb","Mar","Apr","May","Jun","Jul","Aug","Sep","Oct","Nov","Dec"))),IF(AND(N146="",T146&gt;0,TODAY()-T146&gt;=N(Settings!$C$6)),"No reply",IF(U146="","Waiting",IF(U146&lt;TODAY(),"Follow up",IF(U146-TODAY()&lt;=2,"Due "&amp;DAY(U146)&amp;" "&amp;CHOOSE(MONTH(U146),"Jan","Feb","Mar","Apr","May","Jun","Jul","Aug","Sep","Oct","Nov","Dec"),"Waiting"))))))))</f>
        <v/>
      </c>
      <c r="S146" s="1" t="n"/>
      <c r="T146">
        <f>MAX(N(J146),N(L146))</f>
        <v/>
      </c>
      <c r="U146">
        <f>IF(N146&lt;&gt;"",N146,IF(T146=0,"",T146+N(Settings!$C$5)))</f>
        <v/>
      </c>
      <c r="V146">
        <f>IF(AND(B146&lt;&gt;"",U146&lt;&gt;"",OR(R146="Follow up",LEFT(R146,3)="Due",R146="Waiting",LEFT(R146,5)="Apply",LEFT(R146,5)="Offer")),U146+ROW()/10000000,"")</f>
        <v/>
      </c>
      <c r="W146">
        <f>IF(B146="","",IF(M146&lt;&gt;"",M146,IF(OR(K146="",K146="Saved"),"Apply",IF(K146="Offer","Reply to the offer","Follow up"))))</f>
        <v/>
      </c>
    </row>
    <row r="147">
      <c r="A147" s="1" t="n"/>
      <c r="B147" s="21" t="n"/>
      <c r="C147" s="22" t="n"/>
      <c r="D147" s="22" t="n"/>
      <c r="E147" s="22" t="n"/>
      <c r="F147" s="23" t="n"/>
      <c r="G147" s="23" t="n"/>
      <c r="H147" s="22" t="n"/>
      <c r="I147" s="24" t="n"/>
      <c r="J147" s="24" t="n"/>
      <c r="K147" s="25" t="n"/>
      <c r="L147" s="24" t="n"/>
      <c r="M147" s="22" t="n"/>
      <c r="N147" s="24" t="n"/>
      <c r="O147" s="25" t="n"/>
      <c r="P147" s="22" t="n"/>
      <c r="Q147" s="18">
        <f>IF(OR(B147="",J147=""),"",TODAY()-J147)</f>
        <v/>
      </c>
      <c r="R147" s="26">
        <f>IF(B147="","",IF(OR(K147="Accepted",K147="Rejected",K147="Withdrawn"),K147,IF(K147="Offer",IF(N147="","Offer","Offer, reply by "&amp;DAY(N147)&amp;" "&amp;CHOOSE(MONTH(N147),"Jan","Feb","Mar","Apr","May","Jun","Jul","Aug","Sep","Oct","Nov","Dec")),IF(OR(K147="",K147="Saved"),IF(N147="","To apply",IF(N147&lt;TODAY(),"Closing date passed","Apply by "&amp;DAY(N147)&amp;" "&amp;CHOOSE(MONTH(N147),"Jan","Feb","Mar","Apr","May","Jun","Jul","Aug","Sep","Oct","Nov","Dec"))),IF(AND(N147="",T147&gt;0,TODAY()-T147&gt;=N(Settings!$C$6)),"No reply",IF(U147="","Waiting",IF(U147&lt;TODAY(),"Follow up",IF(U147-TODAY()&lt;=2,"Due "&amp;DAY(U147)&amp;" "&amp;CHOOSE(MONTH(U147),"Jan","Feb","Mar","Apr","May","Jun","Jul","Aug","Sep","Oct","Nov","Dec"),"Waiting"))))))))</f>
        <v/>
      </c>
      <c r="S147" s="1" t="n"/>
      <c r="T147">
        <f>MAX(N(J147),N(L147))</f>
        <v/>
      </c>
      <c r="U147">
        <f>IF(N147&lt;&gt;"",N147,IF(T147=0,"",T147+N(Settings!$C$5)))</f>
        <v/>
      </c>
      <c r="V147">
        <f>IF(AND(B147&lt;&gt;"",U147&lt;&gt;"",OR(R147="Follow up",LEFT(R147,3)="Due",R147="Waiting",LEFT(R147,5)="Apply",LEFT(R147,5)="Offer")),U147+ROW()/10000000,"")</f>
        <v/>
      </c>
      <c r="W147">
        <f>IF(B147="","",IF(M147&lt;&gt;"",M147,IF(OR(K147="",K147="Saved"),"Apply",IF(K147="Offer","Reply to the offer","Follow up"))))</f>
        <v/>
      </c>
    </row>
    <row r="148">
      <c r="A148" s="1" t="n"/>
      <c r="B148" s="21" t="n"/>
      <c r="C148" s="22" t="n"/>
      <c r="D148" s="22" t="n"/>
      <c r="E148" s="22" t="n"/>
      <c r="F148" s="23" t="n"/>
      <c r="G148" s="23" t="n"/>
      <c r="H148" s="22" t="n"/>
      <c r="I148" s="24" t="n"/>
      <c r="J148" s="24" t="n"/>
      <c r="K148" s="25" t="n"/>
      <c r="L148" s="24" t="n"/>
      <c r="M148" s="22" t="n"/>
      <c r="N148" s="24" t="n"/>
      <c r="O148" s="25" t="n"/>
      <c r="P148" s="22" t="n"/>
      <c r="Q148" s="18">
        <f>IF(OR(B148="",J148=""),"",TODAY()-J148)</f>
        <v/>
      </c>
      <c r="R148" s="26">
        <f>IF(B148="","",IF(OR(K148="Accepted",K148="Rejected",K148="Withdrawn"),K148,IF(K148="Offer",IF(N148="","Offer","Offer, reply by "&amp;DAY(N148)&amp;" "&amp;CHOOSE(MONTH(N148),"Jan","Feb","Mar","Apr","May","Jun","Jul","Aug","Sep","Oct","Nov","Dec")),IF(OR(K148="",K148="Saved"),IF(N148="","To apply",IF(N148&lt;TODAY(),"Closing date passed","Apply by "&amp;DAY(N148)&amp;" "&amp;CHOOSE(MONTH(N148),"Jan","Feb","Mar","Apr","May","Jun","Jul","Aug","Sep","Oct","Nov","Dec"))),IF(AND(N148="",T148&gt;0,TODAY()-T148&gt;=N(Settings!$C$6)),"No reply",IF(U148="","Waiting",IF(U148&lt;TODAY(),"Follow up",IF(U148-TODAY()&lt;=2,"Due "&amp;DAY(U148)&amp;" "&amp;CHOOSE(MONTH(U148),"Jan","Feb","Mar","Apr","May","Jun","Jul","Aug","Sep","Oct","Nov","Dec"),"Waiting"))))))))</f>
        <v/>
      </c>
      <c r="S148" s="1" t="n"/>
      <c r="T148">
        <f>MAX(N(J148),N(L148))</f>
        <v/>
      </c>
      <c r="U148">
        <f>IF(N148&lt;&gt;"",N148,IF(T148=0,"",T148+N(Settings!$C$5)))</f>
        <v/>
      </c>
      <c r="V148">
        <f>IF(AND(B148&lt;&gt;"",U148&lt;&gt;"",OR(R148="Follow up",LEFT(R148,3)="Due",R148="Waiting",LEFT(R148,5)="Apply",LEFT(R148,5)="Offer")),U148+ROW()/10000000,"")</f>
        <v/>
      </c>
      <c r="W148">
        <f>IF(B148="","",IF(M148&lt;&gt;"",M148,IF(OR(K148="",K148="Saved"),"Apply",IF(K148="Offer","Reply to the offer","Follow up"))))</f>
        <v/>
      </c>
    </row>
    <row r="149">
      <c r="A149" s="1" t="n"/>
      <c r="B149" s="21" t="n"/>
      <c r="C149" s="22" t="n"/>
      <c r="D149" s="22" t="n"/>
      <c r="E149" s="22" t="n"/>
      <c r="F149" s="23" t="n"/>
      <c r="G149" s="23" t="n"/>
      <c r="H149" s="22" t="n"/>
      <c r="I149" s="24" t="n"/>
      <c r="J149" s="24" t="n"/>
      <c r="K149" s="25" t="n"/>
      <c r="L149" s="24" t="n"/>
      <c r="M149" s="22" t="n"/>
      <c r="N149" s="24" t="n"/>
      <c r="O149" s="25" t="n"/>
      <c r="P149" s="22" t="n"/>
      <c r="Q149" s="18">
        <f>IF(OR(B149="",J149=""),"",TODAY()-J149)</f>
        <v/>
      </c>
      <c r="R149" s="26">
        <f>IF(B149="","",IF(OR(K149="Accepted",K149="Rejected",K149="Withdrawn"),K149,IF(K149="Offer",IF(N149="","Offer","Offer, reply by "&amp;DAY(N149)&amp;" "&amp;CHOOSE(MONTH(N149),"Jan","Feb","Mar","Apr","May","Jun","Jul","Aug","Sep","Oct","Nov","Dec")),IF(OR(K149="",K149="Saved"),IF(N149="","To apply",IF(N149&lt;TODAY(),"Closing date passed","Apply by "&amp;DAY(N149)&amp;" "&amp;CHOOSE(MONTH(N149),"Jan","Feb","Mar","Apr","May","Jun","Jul","Aug","Sep","Oct","Nov","Dec"))),IF(AND(N149="",T149&gt;0,TODAY()-T149&gt;=N(Settings!$C$6)),"No reply",IF(U149="","Waiting",IF(U149&lt;TODAY(),"Follow up",IF(U149-TODAY()&lt;=2,"Due "&amp;DAY(U149)&amp;" "&amp;CHOOSE(MONTH(U149),"Jan","Feb","Mar","Apr","May","Jun","Jul","Aug","Sep","Oct","Nov","Dec"),"Waiting"))))))))</f>
        <v/>
      </c>
      <c r="S149" s="1" t="n"/>
      <c r="T149">
        <f>MAX(N(J149),N(L149))</f>
        <v/>
      </c>
      <c r="U149">
        <f>IF(N149&lt;&gt;"",N149,IF(T149=0,"",T149+N(Settings!$C$5)))</f>
        <v/>
      </c>
      <c r="V149">
        <f>IF(AND(B149&lt;&gt;"",U149&lt;&gt;"",OR(R149="Follow up",LEFT(R149,3)="Due",R149="Waiting",LEFT(R149,5)="Apply",LEFT(R149,5)="Offer")),U149+ROW()/10000000,"")</f>
        <v/>
      </c>
      <c r="W149">
        <f>IF(B149="","",IF(M149&lt;&gt;"",M149,IF(OR(K149="",K149="Saved"),"Apply",IF(K149="Offer","Reply to the offer","Follow up"))))</f>
        <v/>
      </c>
    </row>
    <row r="150">
      <c r="A150" s="1" t="n"/>
      <c r="B150" s="21" t="n"/>
      <c r="C150" s="22" t="n"/>
      <c r="D150" s="22" t="n"/>
      <c r="E150" s="22" t="n"/>
      <c r="F150" s="23" t="n"/>
      <c r="G150" s="23" t="n"/>
      <c r="H150" s="22" t="n"/>
      <c r="I150" s="24" t="n"/>
      <c r="J150" s="24" t="n"/>
      <c r="K150" s="25" t="n"/>
      <c r="L150" s="24" t="n"/>
      <c r="M150" s="22" t="n"/>
      <c r="N150" s="24" t="n"/>
      <c r="O150" s="25" t="n"/>
      <c r="P150" s="22" t="n"/>
      <c r="Q150" s="18">
        <f>IF(OR(B150="",J150=""),"",TODAY()-J150)</f>
        <v/>
      </c>
      <c r="R150" s="26">
        <f>IF(B150="","",IF(OR(K150="Accepted",K150="Rejected",K150="Withdrawn"),K150,IF(K150="Offer",IF(N150="","Offer","Offer, reply by "&amp;DAY(N150)&amp;" "&amp;CHOOSE(MONTH(N150),"Jan","Feb","Mar","Apr","May","Jun","Jul","Aug","Sep","Oct","Nov","Dec")),IF(OR(K150="",K150="Saved"),IF(N150="","To apply",IF(N150&lt;TODAY(),"Closing date passed","Apply by "&amp;DAY(N150)&amp;" "&amp;CHOOSE(MONTH(N150),"Jan","Feb","Mar","Apr","May","Jun","Jul","Aug","Sep","Oct","Nov","Dec"))),IF(AND(N150="",T150&gt;0,TODAY()-T150&gt;=N(Settings!$C$6)),"No reply",IF(U150="","Waiting",IF(U150&lt;TODAY(),"Follow up",IF(U150-TODAY()&lt;=2,"Due "&amp;DAY(U150)&amp;" "&amp;CHOOSE(MONTH(U150),"Jan","Feb","Mar","Apr","May","Jun","Jul","Aug","Sep","Oct","Nov","Dec"),"Waiting"))))))))</f>
        <v/>
      </c>
      <c r="S150" s="1" t="n"/>
      <c r="T150">
        <f>MAX(N(J150),N(L150))</f>
        <v/>
      </c>
      <c r="U150">
        <f>IF(N150&lt;&gt;"",N150,IF(T150=0,"",T150+N(Settings!$C$5)))</f>
        <v/>
      </c>
      <c r="V150">
        <f>IF(AND(B150&lt;&gt;"",U150&lt;&gt;"",OR(R150="Follow up",LEFT(R150,3)="Due",R150="Waiting",LEFT(R150,5)="Apply",LEFT(R150,5)="Offer")),U150+ROW()/10000000,"")</f>
        <v/>
      </c>
      <c r="W150">
        <f>IF(B150="","",IF(M150&lt;&gt;"",M150,IF(OR(K150="",K150="Saved"),"Apply",IF(K150="Offer","Reply to the offer","Follow up"))))</f>
        <v/>
      </c>
    </row>
    <row r="151">
      <c r="A151" s="1" t="n"/>
      <c r="B151" s="21" t="n"/>
      <c r="C151" s="22" t="n"/>
      <c r="D151" s="22" t="n"/>
      <c r="E151" s="22" t="n"/>
      <c r="F151" s="23" t="n"/>
      <c r="G151" s="23" t="n"/>
      <c r="H151" s="22" t="n"/>
      <c r="I151" s="24" t="n"/>
      <c r="J151" s="24" t="n"/>
      <c r="K151" s="25" t="n"/>
      <c r="L151" s="24" t="n"/>
      <c r="M151" s="22" t="n"/>
      <c r="N151" s="24" t="n"/>
      <c r="O151" s="25" t="n"/>
      <c r="P151" s="22" t="n"/>
      <c r="Q151" s="18">
        <f>IF(OR(B151="",J151=""),"",TODAY()-J151)</f>
        <v/>
      </c>
      <c r="R151" s="26">
        <f>IF(B151="","",IF(OR(K151="Accepted",K151="Rejected",K151="Withdrawn"),K151,IF(K151="Offer",IF(N151="","Offer","Offer, reply by "&amp;DAY(N151)&amp;" "&amp;CHOOSE(MONTH(N151),"Jan","Feb","Mar","Apr","May","Jun","Jul","Aug","Sep","Oct","Nov","Dec")),IF(OR(K151="",K151="Saved"),IF(N151="","To apply",IF(N151&lt;TODAY(),"Closing date passed","Apply by "&amp;DAY(N151)&amp;" "&amp;CHOOSE(MONTH(N151),"Jan","Feb","Mar","Apr","May","Jun","Jul","Aug","Sep","Oct","Nov","Dec"))),IF(AND(N151="",T151&gt;0,TODAY()-T151&gt;=N(Settings!$C$6)),"No reply",IF(U151="","Waiting",IF(U151&lt;TODAY(),"Follow up",IF(U151-TODAY()&lt;=2,"Due "&amp;DAY(U151)&amp;" "&amp;CHOOSE(MONTH(U151),"Jan","Feb","Mar","Apr","May","Jun","Jul","Aug","Sep","Oct","Nov","Dec"),"Waiting"))))))))</f>
        <v/>
      </c>
      <c r="S151" s="1" t="n"/>
      <c r="T151">
        <f>MAX(N(J151),N(L151))</f>
        <v/>
      </c>
      <c r="U151">
        <f>IF(N151&lt;&gt;"",N151,IF(T151=0,"",T151+N(Settings!$C$5)))</f>
        <v/>
      </c>
      <c r="V151">
        <f>IF(AND(B151&lt;&gt;"",U151&lt;&gt;"",OR(R151="Follow up",LEFT(R151,3)="Due",R151="Waiting",LEFT(R151,5)="Apply",LEFT(R151,5)="Offer")),U151+ROW()/10000000,"")</f>
        <v/>
      </c>
      <c r="W151">
        <f>IF(B151="","",IF(M151&lt;&gt;"",M151,IF(OR(K151="",K151="Saved"),"Apply",IF(K151="Offer","Reply to the offer","Follow up"))))</f>
        <v/>
      </c>
    </row>
    <row r="152">
      <c r="A152" s="1" t="n"/>
      <c r="B152" s="21" t="n"/>
      <c r="C152" s="22" t="n"/>
      <c r="D152" s="22" t="n"/>
      <c r="E152" s="22" t="n"/>
      <c r="F152" s="23" t="n"/>
      <c r="G152" s="23" t="n"/>
      <c r="H152" s="22" t="n"/>
      <c r="I152" s="24" t="n"/>
      <c r="J152" s="24" t="n"/>
      <c r="K152" s="25" t="n"/>
      <c r="L152" s="24" t="n"/>
      <c r="M152" s="22" t="n"/>
      <c r="N152" s="24" t="n"/>
      <c r="O152" s="25" t="n"/>
      <c r="P152" s="22" t="n"/>
      <c r="Q152" s="18">
        <f>IF(OR(B152="",J152=""),"",TODAY()-J152)</f>
        <v/>
      </c>
      <c r="R152" s="26">
        <f>IF(B152="","",IF(OR(K152="Accepted",K152="Rejected",K152="Withdrawn"),K152,IF(K152="Offer",IF(N152="","Offer","Offer, reply by "&amp;DAY(N152)&amp;" "&amp;CHOOSE(MONTH(N152),"Jan","Feb","Mar","Apr","May","Jun","Jul","Aug","Sep","Oct","Nov","Dec")),IF(OR(K152="",K152="Saved"),IF(N152="","To apply",IF(N152&lt;TODAY(),"Closing date passed","Apply by "&amp;DAY(N152)&amp;" "&amp;CHOOSE(MONTH(N152),"Jan","Feb","Mar","Apr","May","Jun","Jul","Aug","Sep","Oct","Nov","Dec"))),IF(AND(N152="",T152&gt;0,TODAY()-T152&gt;=N(Settings!$C$6)),"No reply",IF(U152="","Waiting",IF(U152&lt;TODAY(),"Follow up",IF(U152-TODAY()&lt;=2,"Due "&amp;DAY(U152)&amp;" "&amp;CHOOSE(MONTH(U152),"Jan","Feb","Mar","Apr","May","Jun","Jul","Aug","Sep","Oct","Nov","Dec"),"Waiting"))))))))</f>
        <v/>
      </c>
      <c r="S152" s="1" t="n"/>
      <c r="T152">
        <f>MAX(N(J152),N(L152))</f>
        <v/>
      </c>
      <c r="U152">
        <f>IF(N152&lt;&gt;"",N152,IF(T152=0,"",T152+N(Settings!$C$5)))</f>
        <v/>
      </c>
      <c r="V152">
        <f>IF(AND(B152&lt;&gt;"",U152&lt;&gt;"",OR(R152="Follow up",LEFT(R152,3)="Due",R152="Waiting",LEFT(R152,5)="Apply",LEFT(R152,5)="Offer")),U152+ROW()/10000000,"")</f>
        <v/>
      </c>
      <c r="W152">
        <f>IF(B152="","",IF(M152&lt;&gt;"",M152,IF(OR(K152="",K152="Saved"),"Apply",IF(K152="Offer","Reply to the offer","Follow up"))))</f>
        <v/>
      </c>
    </row>
    <row r="153">
      <c r="A153" s="1" t="n"/>
      <c r="B153" s="21" t="n"/>
      <c r="C153" s="22" t="n"/>
      <c r="D153" s="22" t="n"/>
      <c r="E153" s="22" t="n"/>
      <c r="F153" s="23" t="n"/>
      <c r="G153" s="23" t="n"/>
      <c r="H153" s="22" t="n"/>
      <c r="I153" s="24" t="n"/>
      <c r="J153" s="24" t="n"/>
      <c r="K153" s="25" t="n"/>
      <c r="L153" s="24" t="n"/>
      <c r="M153" s="22" t="n"/>
      <c r="N153" s="24" t="n"/>
      <c r="O153" s="25" t="n"/>
      <c r="P153" s="22" t="n"/>
      <c r="Q153" s="18">
        <f>IF(OR(B153="",J153=""),"",TODAY()-J153)</f>
        <v/>
      </c>
      <c r="R153" s="26">
        <f>IF(B153="","",IF(OR(K153="Accepted",K153="Rejected",K153="Withdrawn"),K153,IF(K153="Offer",IF(N153="","Offer","Offer, reply by "&amp;DAY(N153)&amp;" "&amp;CHOOSE(MONTH(N153),"Jan","Feb","Mar","Apr","May","Jun","Jul","Aug","Sep","Oct","Nov","Dec")),IF(OR(K153="",K153="Saved"),IF(N153="","To apply",IF(N153&lt;TODAY(),"Closing date passed","Apply by "&amp;DAY(N153)&amp;" "&amp;CHOOSE(MONTH(N153),"Jan","Feb","Mar","Apr","May","Jun","Jul","Aug","Sep","Oct","Nov","Dec"))),IF(AND(N153="",T153&gt;0,TODAY()-T153&gt;=N(Settings!$C$6)),"No reply",IF(U153="","Waiting",IF(U153&lt;TODAY(),"Follow up",IF(U153-TODAY()&lt;=2,"Due "&amp;DAY(U153)&amp;" "&amp;CHOOSE(MONTH(U153),"Jan","Feb","Mar","Apr","May","Jun","Jul","Aug","Sep","Oct","Nov","Dec"),"Waiting"))))))))</f>
        <v/>
      </c>
      <c r="S153" s="1" t="n"/>
      <c r="T153">
        <f>MAX(N(J153),N(L153))</f>
        <v/>
      </c>
      <c r="U153">
        <f>IF(N153&lt;&gt;"",N153,IF(T153=0,"",T153+N(Settings!$C$5)))</f>
        <v/>
      </c>
      <c r="V153">
        <f>IF(AND(B153&lt;&gt;"",U153&lt;&gt;"",OR(R153="Follow up",LEFT(R153,3)="Due",R153="Waiting",LEFT(R153,5)="Apply",LEFT(R153,5)="Offer")),U153+ROW()/10000000,"")</f>
        <v/>
      </c>
      <c r="W153">
        <f>IF(B153="","",IF(M153&lt;&gt;"",M153,IF(OR(K153="",K153="Saved"),"Apply",IF(K153="Offer","Reply to the offer","Follow up"))))</f>
        <v/>
      </c>
    </row>
    <row r="154">
      <c r="A154" s="1" t="n"/>
      <c r="B154" s="21" t="n"/>
      <c r="C154" s="22" t="n"/>
      <c r="D154" s="22" t="n"/>
      <c r="E154" s="22" t="n"/>
      <c r="F154" s="23" t="n"/>
      <c r="G154" s="23" t="n"/>
      <c r="H154" s="22" t="n"/>
      <c r="I154" s="24" t="n"/>
      <c r="J154" s="24" t="n"/>
      <c r="K154" s="25" t="n"/>
      <c r="L154" s="24" t="n"/>
      <c r="M154" s="22" t="n"/>
      <c r="N154" s="24" t="n"/>
      <c r="O154" s="25" t="n"/>
      <c r="P154" s="22" t="n"/>
      <c r="Q154" s="18">
        <f>IF(OR(B154="",J154=""),"",TODAY()-J154)</f>
        <v/>
      </c>
      <c r="R154" s="26">
        <f>IF(B154="","",IF(OR(K154="Accepted",K154="Rejected",K154="Withdrawn"),K154,IF(K154="Offer",IF(N154="","Offer","Offer, reply by "&amp;DAY(N154)&amp;" "&amp;CHOOSE(MONTH(N154),"Jan","Feb","Mar","Apr","May","Jun","Jul","Aug","Sep","Oct","Nov","Dec")),IF(OR(K154="",K154="Saved"),IF(N154="","To apply",IF(N154&lt;TODAY(),"Closing date passed","Apply by "&amp;DAY(N154)&amp;" "&amp;CHOOSE(MONTH(N154),"Jan","Feb","Mar","Apr","May","Jun","Jul","Aug","Sep","Oct","Nov","Dec"))),IF(AND(N154="",T154&gt;0,TODAY()-T154&gt;=N(Settings!$C$6)),"No reply",IF(U154="","Waiting",IF(U154&lt;TODAY(),"Follow up",IF(U154-TODAY()&lt;=2,"Due "&amp;DAY(U154)&amp;" "&amp;CHOOSE(MONTH(U154),"Jan","Feb","Mar","Apr","May","Jun","Jul","Aug","Sep","Oct","Nov","Dec"),"Waiting"))))))))</f>
        <v/>
      </c>
      <c r="S154" s="1" t="n"/>
      <c r="T154">
        <f>MAX(N(J154),N(L154))</f>
        <v/>
      </c>
      <c r="U154">
        <f>IF(N154&lt;&gt;"",N154,IF(T154=0,"",T154+N(Settings!$C$5)))</f>
        <v/>
      </c>
      <c r="V154">
        <f>IF(AND(B154&lt;&gt;"",U154&lt;&gt;"",OR(R154="Follow up",LEFT(R154,3)="Due",R154="Waiting",LEFT(R154,5)="Apply",LEFT(R154,5)="Offer")),U154+ROW()/10000000,"")</f>
        <v/>
      </c>
      <c r="W154">
        <f>IF(B154="","",IF(M154&lt;&gt;"",M154,IF(OR(K154="",K154="Saved"),"Apply",IF(K154="Offer","Reply to the offer","Follow up"))))</f>
        <v/>
      </c>
    </row>
    <row r="155">
      <c r="A155" s="1" t="n"/>
      <c r="B155" s="21" t="n"/>
      <c r="C155" s="22" t="n"/>
      <c r="D155" s="22" t="n"/>
      <c r="E155" s="22" t="n"/>
      <c r="F155" s="23" t="n"/>
      <c r="G155" s="23" t="n"/>
      <c r="H155" s="22" t="n"/>
      <c r="I155" s="24" t="n"/>
      <c r="J155" s="24" t="n"/>
      <c r="K155" s="25" t="n"/>
      <c r="L155" s="24" t="n"/>
      <c r="M155" s="22" t="n"/>
      <c r="N155" s="24" t="n"/>
      <c r="O155" s="25" t="n"/>
      <c r="P155" s="22" t="n"/>
      <c r="Q155" s="18">
        <f>IF(OR(B155="",J155=""),"",TODAY()-J155)</f>
        <v/>
      </c>
      <c r="R155" s="26">
        <f>IF(B155="","",IF(OR(K155="Accepted",K155="Rejected",K155="Withdrawn"),K155,IF(K155="Offer",IF(N155="","Offer","Offer, reply by "&amp;DAY(N155)&amp;" "&amp;CHOOSE(MONTH(N155),"Jan","Feb","Mar","Apr","May","Jun","Jul","Aug","Sep","Oct","Nov","Dec")),IF(OR(K155="",K155="Saved"),IF(N155="","To apply",IF(N155&lt;TODAY(),"Closing date passed","Apply by "&amp;DAY(N155)&amp;" "&amp;CHOOSE(MONTH(N155),"Jan","Feb","Mar","Apr","May","Jun","Jul","Aug","Sep","Oct","Nov","Dec"))),IF(AND(N155="",T155&gt;0,TODAY()-T155&gt;=N(Settings!$C$6)),"No reply",IF(U155="","Waiting",IF(U155&lt;TODAY(),"Follow up",IF(U155-TODAY()&lt;=2,"Due "&amp;DAY(U155)&amp;" "&amp;CHOOSE(MONTH(U155),"Jan","Feb","Mar","Apr","May","Jun","Jul","Aug","Sep","Oct","Nov","Dec"),"Waiting"))))))))</f>
        <v/>
      </c>
      <c r="S155" s="1" t="n"/>
      <c r="T155">
        <f>MAX(N(J155),N(L155))</f>
        <v/>
      </c>
      <c r="U155">
        <f>IF(N155&lt;&gt;"",N155,IF(T155=0,"",T155+N(Settings!$C$5)))</f>
        <v/>
      </c>
      <c r="V155">
        <f>IF(AND(B155&lt;&gt;"",U155&lt;&gt;"",OR(R155="Follow up",LEFT(R155,3)="Due",R155="Waiting",LEFT(R155,5)="Apply",LEFT(R155,5)="Offer")),U155+ROW()/10000000,"")</f>
        <v/>
      </c>
      <c r="W155">
        <f>IF(B155="","",IF(M155&lt;&gt;"",M155,IF(OR(K155="",K155="Saved"),"Apply",IF(K155="Offer","Reply to the offer","Follow up"))))</f>
        <v/>
      </c>
    </row>
    <row r="156">
      <c r="A156" s="1" t="n"/>
      <c r="B156" s="21" t="n"/>
      <c r="C156" s="22" t="n"/>
      <c r="D156" s="22" t="n"/>
      <c r="E156" s="22" t="n"/>
      <c r="F156" s="23" t="n"/>
      <c r="G156" s="23" t="n"/>
      <c r="H156" s="22" t="n"/>
      <c r="I156" s="24" t="n"/>
      <c r="J156" s="24" t="n"/>
      <c r="K156" s="25" t="n"/>
      <c r="L156" s="24" t="n"/>
      <c r="M156" s="22" t="n"/>
      <c r="N156" s="24" t="n"/>
      <c r="O156" s="25" t="n"/>
      <c r="P156" s="22" t="n"/>
      <c r="Q156" s="18">
        <f>IF(OR(B156="",J156=""),"",TODAY()-J156)</f>
        <v/>
      </c>
      <c r="R156" s="26">
        <f>IF(B156="","",IF(OR(K156="Accepted",K156="Rejected",K156="Withdrawn"),K156,IF(K156="Offer",IF(N156="","Offer","Offer, reply by "&amp;DAY(N156)&amp;" "&amp;CHOOSE(MONTH(N156),"Jan","Feb","Mar","Apr","May","Jun","Jul","Aug","Sep","Oct","Nov","Dec")),IF(OR(K156="",K156="Saved"),IF(N156="","To apply",IF(N156&lt;TODAY(),"Closing date passed","Apply by "&amp;DAY(N156)&amp;" "&amp;CHOOSE(MONTH(N156),"Jan","Feb","Mar","Apr","May","Jun","Jul","Aug","Sep","Oct","Nov","Dec"))),IF(AND(N156="",T156&gt;0,TODAY()-T156&gt;=N(Settings!$C$6)),"No reply",IF(U156="","Waiting",IF(U156&lt;TODAY(),"Follow up",IF(U156-TODAY()&lt;=2,"Due "&amp;DAY(U156)&amp;" "&amp;CHOOSE(MONTH(U156),"Jan","Feb","Mar","Apr","May","Jun","Jul","Aug","Sep","Oct","Nov","Dec"),"Waiting"))))))))</f>
        <v/>
      </c>
      <c r="S156" s="1" t="n"/>
      <c r="T156">
        <f>MAX(N(J156),N(L156))</f>
        <v/>
      </c>
      <c r="U156">
        <f>IF(N156&lt;&gt;"",N156,IF(T156=0,"",T156+N(Settings!$C$5)))</f>
        <v/>
      </c>
      <c r="V156">
        <f>IF(AND(B156&lt;&gt;"",U156&lt;&gt;"",OR(R156="Follow up",LEFT(R156,3)="Due",R156="Waiting",LEFT(R156,5)="Apply",LEFT(R156,5)="Offer")),U156+ROW()/10000000,"")</f>
        <v/>
      </c>
      <c r="W156">
        <f>IF(B156="","",IF(M156&lt;&gt;"",M156,IF(OR(K156="",K156="Saved"),"Apply",IF(K156="Offer","Reply to the offer","Follow up"))))</f>
        <v/>
      </c>
    </row>
    <row r="157">
      <c r="A157" s="1" t="n"/>
      <c r="B157" s="21" t="n"/>
      <c r="C157" s="22" t="n"/>
      <c r="D157" s="22" t="n"/>
      <c r="E157" s="22" t="n"/>
      <c r="F157" s="23" t="n"/>
      <c r="G157" s="23" t="n"/>
      <c r="H157" s="22" t="n"/>
      <c r="I157" s="24" t="n"/>
      <c r="J157" s="24" t="n"/>
      <c r="K157" s="25" t="n"/>
      <c r="L157" s="24" t="n"/>
      <c r="M157" s="22" t="n"/>
      <c r="N157" s="24" t="n"/>
      <c r="O157" s="25" t="n"/>
      <c r="P157" s="22" t="n"/>
      <c r="Q157" s="18">
        <f>IF(OR(B157="",J157=""),"",TODAY()-J157)</f>
        <v/>
      </c>
      <c r="R157" s="26">
        <f>IF(B157="","",IF(OR(K157="Accepted",K157="Rejected",K157="Withdrawn"),K157,IF(K157="Offer",IF(N157="","Offer","Offer, reply by "&amp;DAY(N157)&amp;" "&amp;CHOOSE(MONTH(N157),"Jan","Feb","Mar","Apr","May","Jun","Jul","Aug","Sep","Oct","Nov","Dec")),IF(OR(K157="",K157="Saved"),IF(N157="","To apply",IF(N157&lt;TODAY(),"Closing date passed","Apply by "&amp;DAY(N157)&amp;" "&amp;CHOOSE(MONTH(N157),"Jan","Feb","Mar","Apr","May","Jun","Jul","Aug","Sep","Oct","Nov","Dec"))),IF(AND(N157="",T157&gt;0,TODAY()-T157&gt;=N(Settings!$C$6)),"No reply",IF(U157="","Waiting",IF(U157&lt;TODAY(),"Follow up",IF(U157-TODAY()&lt;=2,"Due "&amp;DAY(U157)&amp;" "&amp;CHOOSE(MONTH(U157),"Jan","Feb","Mar","Apr","May","Jun","Jul","Aug","Sep","Oct","Nov","Dec"),"Waiting"))))))))</f>
        <v/>
      </c>
      <c r="S157" s="1" t="n"/>
      <c r="T157">
        <f>MAX(N(J157),N(L157))</f>
        <v/>
      </c>
      <c r="U157">
        <f>IF(N157&lt;&gt;"",N157,IF(T157=0,"",T157+N(Settings!$C$5)))</f>
        <v/>
      </c>
      <c r="V157">
        <f>IF(AND(B157&lt;&gt;"",U157&lt;&gt;"",OR(R157="Follow up",LEFT(R157,3)="Due",R157="Waiting",LEFT(R157,5)="Apply",LEFT(R157,5)="Offer")),U157+ROW()/10000000,"")</f>
        <v/>
      </c>
      <c r="W157">
        <f>IF(B157="","",IF(M157&lt;&gt;"",M157,IF(OR(K157="",K157="Saved"),"Apply",IF(K157="Offer","Reply to the offer","Follow up"))))</f>
        <v/>
      </c>
    </row>
    <row r="158">
      <c r="A158" s="1" t="n"/>
      <c r="B158" s="21" t="n"/>
      <c r="C158" s="22" t="n"/>
      <c r="D158" s="22" t="n"/>
      <c r="E158" s="22" t="n"/>
      <c r="F158" s="23" t="n"/>
      <c r="G158" s="23" t="n"/>
      <c r="H158" s="22" t="n"/>
      <c r="I158" s="24" t="n"/>
      <c r="J158" s="24" t="n"/>
      <c r="K158" s="25" t="n"/>
      <c r="L158" s="24" t="n"/>
      <c r="M158" s="22" t="n"/>
      <c r="N158" s="24" t="n"/>
      <c r="O158" s="25" t="n"/>
      <c r="P158" s="22" t="n"/>
      <c r="Q158" s="18">
        <f>IF(OR(B158="",J158=""),"",TODAY()-J158)</f>
        <v/>
      </c>
      <c r="R158" s="26">
        <f>IF(B158="","",IF(OR(K158="Accepted",K158="Rejected",K158="Withdrawn"),K158,IF(K158="Offer",IF(N158="","Offer","Offer, reply by "&amp;DAY(N158)&amp;" "&amp;CHOOSE(MONTH(N158),"Jan","Feb","Mar","Apr","May","Jun","Jul","Aug","Sep","Oct","Nov","Dec")),IF(OR(K158="",K158="Saved"),IF(N158="","To apply",IF(N158&lt;TODAY(),"Closing date passed","Apply by "&amp;DAY(N158)&amp;" "&amp;CHOOSE(MONTH(N158),"Jan","Feb","Mar","Apr","May","Jun","Jul","Aug","Sep","Oct","Nov","Dec"))),IF(AND(N158="",T158&gt;0,TODAY()-T158&gt;=N(Settings!$C$6)),"No reply",IF(U158="","Waiting",IF(U158&lt;TODAY(),"Follow up",IF(U158-TODAY()&lt;=2,"Due "&amp;DAY(U158)&amp;" "&amp;CHOOSE(MONTH(U158),"Jan","Feb","Mar","Apr","May","Jun","Jul","Aug","Sep","Oct","Nov","Dec"),"Waiting"))))))))</f>
        <v/>
      </c>
      <c r="S158" s="1" t="n"/>
      <c r="T158">
        <f>MAX(N(J158),N(L158))</f>
        <v/>
      </c>
      <c r="U158">
        <f>IF(N158&lt;&gt;"",N158,IF(T158=0,"",T158+N(Settings!$C$5)))</f>
        <v/>
      </c>
      <c r="V158">
        <f>IF(AND(B158&lt;&gt;"",U158&lt;&gt;"",OR(R158="Follow up",LEFT(R158,3)="Due",R158="Waiting",LEFT(R158,5)="Apply",LEFT(R158,5)="Offer")),U158+ROW()/10000000,"")</f>
        <v/>
      </c>
      <c r="W158">
        <f>IF(B158="","",IF(M158&lt;&gt;"",M158,IF(OR(K158="",K158="Saved"),"Apply",IF(K158="Offer","Reply to the offer","Follow up"))))</f>
        <v/>
      </c>
    </row>
    <row r="159">
      <c r="A159" s="1" t="n"/>
      <c r="B159" s="21" t="n"/>
      <c r="C159" s="22" t="n"/>
      <c r="D159" s="22" t="n"/>
      <c r="E159" s="22" t="n"/>
      <c r="F159" s="23" t="n"/>
      <c r="G159" s="23" t="n"/>
      <c r="H159" s="22" t="n"/>
      <c r="I159" s="24" t="n"/>
      <c r="J159" s="24" t="n"/>
      <c r="K159" s="25" t="n"/>
      <c r="L159" s="24" t="n"/>
      <c r="M159" s="22" t="n"/>
      <c r="N159" s="24" t="n"/>
      <c r="O159" s="25" t="n"/>
      <c r="P159" s="22" t="n"/>
      <c r="Q159" s="18">
        <f>IF(OR(B159="",J159=""),"",TODAY()-J159)</f>
        <v/>
      </c>
      <c r="R159" s="26">
        <f>IF(B159="","",IF(OR(K159="Accepted",K159="Rejected",K159="Withdrawn"),K159,IF(K159="Offer",IF(N159="","Offer","Offer, reply by "&amp;DAY(N159)&amp;" "&amp;CHOOSE(MONTH(N159),"Jan","Feb","Mar","Apr","May","Jun","Jul","Aug","Sep","Oct","Nov","Dec")),IF(OR(K159="",K159="Saved"),IF(N159="","To apply",IF(N159&lt;TODAY(),"Closing date passed","Apply by "&amp;DAY(N159)&amp;" "&amp;CHOOSE(MONTH(N159),"Jan","Feb","Mar","Apr","May","Jun","Jul","Aug","Sep","Oct","Nov","Dec"))),IF(AND(N159="",T159&gt;0,TODAY()-T159&gt;=N(Settings!$C$6)),"No reply",IF(U159="","Waiting",IF(U159&lt;TODAY(),"Follow up",IF(U159-TODAY()&lt;=2,"Due "&amp;DAY(U159)&amp;" "&amp;CHOOSE(MONTH(U159),"Jan","Feb","Mar","Apr","May","Jun","Jul","Aug","Sep","Oct","Nov","Dec"),"Waiting"))))))))</f>
        <v/>
      </c>
      <c r="S159" s="1" t="n"/>
      <c r="T159">
        <f>MAX(N(J159),N(L159))</f>
        <v/>
      </c>
      <c r="U159">
        <f>IF(N159&lt;&gt;"",N159,IF(T159=0,"",T159+N(Settings!$C$5)))</f>
        <v/>
      </c>
      <c r="V159">
        <f>IF(AND(B159&lt;&gt;"",U159&lt;&gt;"",OR(R159="Follow up",LEFT(R159,3)="Due",R159="Waiting",LEFT(R159,5)="Apply",LEFT(R159,5)="Offer")),U159+ROW()/10000000,"")</f>
        <v/>
      </c>
      <c r="W159">
        <f>IF(B159="","",IF(M159&lt;&gt;"",M159,IF(OR(K159="",K159="Saved"),"Apply",IF(K159="Offer","Reply to the offer","Follow up"))))</f>
        <v/>
      </c>
    </row>
    <row r="160">
      <c r="A160" s="1" t="n"/>
      <c r="B160" s="21" t="n"/>
      <c r="C160" s="22" t="n"/>
      <c r="D160" s="22" t="n"/>
      <c r="E160" s="22" t="n"/>
      <c r="F160" s="23" t="n"/>
      <c r="G160" s="23" t="n"/>
      <c r="H160" s="22" t="n"/>
      <c r="I160" s="24" t="n"/>
      <c r="J160" s="24" t="n"/>
      <c r="K160" s="25" t="n"/>
      <c r="L160" s="24" t="n"/>
      <c r="M160" s="22" t="n"/>
      <c r="N160" s="24" t="n"/>
      <c r="O160" s="25" t="n"/>
      <c r="P160" s="22" t="n"/>
      <c r="Q160" s="18">
        <f>IF(OR(B160="",J160=""),"",TODAY()-J160)</f>
        <v/>
      </c>
      <c r="R160" s="26">
        <f>IF(B160="","",IF(OR(K160="Accepted",K160="Rejected",K160="Withdrawn"),K160,IF(K160="Offer",IF(N160="","Offer","Offer, reply by "&amp;DAY(N160)&amp;" "&amp;CHOOSE(MONTH(N160),"Jan","Feb","Mar","Apr","May","Jun","Jul","Aug","Sep","Oct","Nov","Dec")),IF(OR(K160="",K160="Saved"),IF(N160="","To apply",IF(N160&lt;TODAY(),"Closing date passed","Apply by "&amp;DAY(N160)&amp;" "&amp;CHOOSE(MONTH(N160),"Jan","Feb","Mar","Apr","May","Jun","Jul","Aug","Sep","Oct","Nov","Dec"))),IF(AND(N160="",T160&gt;0,TODAY()-T160&gt;=N(Settings!$C$6)),"No reply",IF(U160="","Waiting",IF(U160&lt;TODAY(),"Follow up",IF(U160-TODAY()&lt;=2,"Due "&amp;DAY(U160)&amp;" "&amp;CHOOSE(MONTH(U160),"Jan","Feb","Mar","Apr","May","Jun","Jul","Aug","Sep","Oct","Nov","Dec"),"Waiting"))))))))</f>
        <v/>
      </c>
      <c r="S160" s="1" t="n"/>
      <c r="T160">
        <f>MAX(N(J160),N(L160))</f>
        <v/>
      </c>
      <c r="U160">
        <f>IF(N160&lt;&gt;"",N160,IF(T160=0,"",T160+N(Settings!$C$5)))</f>
        <v/>
      </c>
      <c r="V160">
        <f>IF(AND(B160&lt;&gt;"",U160&lt;&gt;"",OR(R160="Follow up",LEFT(R160,3)="Due",R160="Waiting",LEFT(R160,5)="Apply",LEFT(R160,5)="Offer")),U160+ROW()/10000000,"")</f>
        <v/>
      </c>
      <c r="W160">
        <f>IF(B160="","",IF(M160&lt;&gt;"",M160,IF(OR(K160="",K160="Saved"),"Apply",IF(K160="Offer","Reply to the offer","Follow up"))))</f>
        <v/>
      </c>
    </row>
    <row r="161">
      <c r="A161" s="1" t="n"/>
      <c r="B161" s="21" t="n"/>
      <c r="C161" s="22" t="n"/>
      <c r="D161" s="22" t="n"/>
      <c r="E161" s="22" t="n"/>
      <c r="F161" s="23" t="n"/>
      <c r="G161" s="23" t="n"/>
      <c r="H161" s="22" t="n"/>
      <c r="I161" s="24" t="n"/>
      <c r="J161" s="24" t="n"/>
      <c r="K161" s="25" t="n"/>
      <c r="L161" s="24" t="n"/>
      <c r="M161" s="22" t="n"/>
      <c r="N161" s="24" t="n"/>
      <c r="O161" s="25" t="n"/>
      <c r="P161" s="22" t="n"/>
      <c r="Q161" s="18">
        <f>IF(OR(B161="",J161=""),"",TODAY()-J161)</f>
        <v/>
      </c>
      <c r="R161" s="26">
        <f>IF(B161="","",IF(OR(K161="Accepted",K161="Rejected",K161="Withdrawn"),K161,IF(K161="Offer",IF(N161="","Offer","Offer, reply by "&amp;DAY(N161)&amp;" "&amp;CHOOSE(MONTH(N161),"Jan","Feb","Mar","Apr","May","Jun","Jul","Aug","Sep","Oct","Nov","Dec")),IF(OR(K161="",K161="Saved"),IF(N161="","To apply",IF(N161&lt;TODAY(),"Closing date passed","Apply by "&amp;DAY(N161)&amp;" "&amp;CHOOSE(MONTH(N161),"Jan","Feb","Mar","Apr","May","Jun","Jul","Aug","Sep","Oct","Nov","Dec"))),IF(AND(N161="",T161&gt;0,TODAY()-T161&gt;=N(Settings!$C$6)),"No reply",IF(U161="","Waiting",IF(U161&lt;TODAY(),"Follow up",IF(U161-TODAY()&lt;=2,"Due "&amp;DAY(U161)&amp;" "&amp;CHOOSE(MONTH(U161),"Jan","Feb","Mar","Apr","May","Jun","Jul","Aug","Sep","Oct","Nov","Dec"),"Waiting"))))))))</f>
        <v/>
      </c>
      <c r="S161" s="1" t="n"/>
      <c r="T161">
        <f>MAX(N(J161),N(L161))</f>
        <v/>
      </c>
      <c r="U161">
        <f>IF(N161&lt;&gt;"",N161,IF(T161=0,"",T161+N(Settings!$C$5)))</f>
        <v/>
      </c>
      <c r="V161">
        <f>IF(AND(B161&lt;&gt;"",U161&lt;&gt;"",OR(R161="Follow up",LEFT(R161,3)="Due",R161="Waiting",LEFT(R161,5)="Apply",LEFT(R161,5)="Offer")),U161+ROW()/10000000,"")</f>
        <v/>
      </c>
      <c r="W161">
        <f>IF(B161="","",IF(M161&lt;&gt;"",M161,IF(OR(K161="",K161="Saved"),"Apply",IF(K161="Offer","Reply to the offer","Follow up"))))</f>
        <v/>
      </c>
    </row>
    <row r="162">
      <c r="A162" s="1" t="n"/>
      <c r="B162" s="21" t="n"/>
      <c r="C162" s="22" t="n"/>
      <c r="D162" s="22" t="n"/>
      <c r="E162" s="22" t="n"/>
      <c r="F162" s="23" t="n"/>
      <c r="G162" s="23" t="n"/>
      <c r="H162" s="22" t="n"/>
      <c r="I162" s="24" t="n"/>
      <c r="J162" s="24" t="n"/>
      <c r="K162" s="25" t="n"/>
      <c r="L162" s="24" t="n"/>
      <c r="M162" s="22" t="n"/>
      <c r="N162" s="24" t="n"/>
      <c r="O162" s="25" t="n"/>
      <c r="P162" s="22" t="n"/>
      <c r="Q162" s="18">
        <f>IF(OR(B162="",J162=""),"",TODAY()-J162)</f>
        <v/>
      </c>
      <c r="R162" s="26">
        <f>IF(B162="","",IF(OR(K162="Accepted",K162="Rejected",K162="Withdrawn"),K162,IF(K162="Offer",IF(N162="","Offer","Offer, reply by "&amp;DAY(N162)&amp;" "&amp;CHOOSE(MONTH(N162),"Jan","Feb","Mar","Apr","May","Jun","Jul","Aug","Sep","Oct","Nov","Dec")),IF(OR(K162="",K162="Saved"),IF(N162="","To apply",IF(N162&lt;TODAY(),"Closing date passed","Apply by "&amp;DAY(N162)&amp;" "&amp;CHOOSE(MONTH(N162),"Jan","Feb","Mar","Apr","May","Jun","Jul","Aug","Sep","Oct","Nov","Dec"))),IF(AND(N162="",T162&gt;0,TODAY()-T162&gt;=N(Settings!$C$6)),"No reply",IF(U162="","Waiting",IF(U162&lt;TODAY(),"Follow up",IF(U162-TODAY()&lt;=2,"Due "&amp;DAY(U162)&amp;" "&amp;CHOOSE(MONTH(U162),"Jan","Feb","Mar","Apr","May","Jun","Jul","Aug","Sep","Oct","Nov","Dec"),"Waiting"))))))))</f>
        <v/>
      </c>
      <c r="S162" s="1" t="n"/>
      <c r="T162">
        <f>MAX(N(J162),N(L162))</f>
        <v/>
      </c>
      <c r="U162">
        <f>IF(N162&lt;&gt;"",N162,IF(T162=0,"",T162+N(Settings!$C$5)))</f>
        <v/>
      </c>
      <c r="V162">
        <f>IF(AND(B162&lt;&gt;"",U162&lt;&gt;"",OR(R162="Follow up",LEFT(R162,3)="Due",R162="Waiting",LEFT(R162,5)="Apply",LEFT(R162,5)="Offer")),U162+ROW()/10000000,"")</f>
        <v/>
      </c>
      <c r="W162">
        <f>IF(B162="","",IF(M162&lt;&gt;"",M162,IF(OR(K162="",K162="Saved"),"Apply",IF(K162="Offer","Reply to the offer","Follow up"))))</f>
        <v/>
      </c>
    </row>
    <row r="163">
      <c r="A163" s="1" t="n"/>
      <c r="B163" s="21" t="n"/>
      <c r="C163" s="22" t="n"/>
      <c r="D163" s="22" t="n"/>
      <c r="E163" s="22" t="n"/>
      <c r="F163" s="23" t="n"/>
      <c r="G163" s="23" t="n"/>
      <c r="H163" s="22" t="n"/>
      <c r="I163" s="24" t="n"/>
      <c r="J163" s="24" t="n"/>
      <c r="K163" s="25" t="n"/>
      <c r="L163" s="24" t="n"/>
      <c r="M163" s="22" t="n"/>
      <c r="N163" s="24" t="n"/>
      <c r="O163" s="25" t="n"/>
      <c r="P163" s="22" t="n"/>
      <c r="Q163" s="18">
        <f>IF(OR(B163="",J163=""),"",TODAY()-J163)</f>
        <v/>
      </c>
      <c r="R163" s="26">
        <f>IF(B163="","",IF(OR(K163="Accepted",K163="Rejected",K163="Withdrawn"),K163,IF(K163="Offer",IF(N163="","Offer","Offer, reply by "&amp;DAY(N163)&amp;" "&amp;CHOOSE(MONTH(N163),"Jan","Feb","Mar","Apr","May","Jun","Jul","Aug","Sep","Oct","Nov","Dec")),IF(OR(K163="",K163="Saved"),IF(N163="","To apply",IF(N163&lt;TODAY(),"Closing date passed","Apply by "&amp;DAY(N163)&amp;" "&amp;CHOOSE(MONTH(N163),"Jan","Feb","Mar","Apr","May","Jun","Jul","Aug","Sep","Oct","Nov","Dec"))),IF(AND(N163="",T163&gt;0,TODAY()-T163&gt;=N(Settings!$C$6)),"No reply",IF(U163="","Waiting",IF(U163&lt;TODAY(),"Follow up",IF(U163-TODAY()&lt;=2,"Due "&amp;DAY(U163)&amp;" "&amp;CHOOSE(MONTH(U163),"Jan","Feb","Mar","Apr","May","Jun","Jul","Aug","Sep","Oct","Nov","Dec"),"Waiting"))))))))</f>
        <v/>
      </c>
      <c r="S163" s="1" t="n"/>
      <c r="T163">
        <f>MAX(N(J163),N(L163))</f>
        <v/>
      </c>
      <c r="U163">
        <f>IF(N163&lt;&gt;"",N163,IF(T163=0,"",T163+N(Settings!$C$5)))</f>
        <v/>
      </c>
      <c r="V163">
        <f>IF(AND(B163&lt;&gt;"",U163&lt;&gt;"",OR(R163="Follow up",LEFT(R163,3)="Due",R163="Waiting",LEFT(R163,5)="Apply",LEFT(R163,5)="Offer")),U163+ROW()/10000000,"")</f>
        <v/>
      </c>
      <c r="W163">
        <f>IF(B163="","",IF(M163&lt;&gt;"",M163,IF(OR(K163="",K163="Saved"),"Apply",IF(K163="Offer","Reply to the offer","Follow up"))))</f>
        <v/>
      </c>
    </row>
    <row r="164">
      <c r="A164" s="1" t="n"/>
      <c r="B164" s="21" t="n"/>
      <c r="C164" s="22" t="n"/>
      <c r="D164" s="22" t="n"/>
      <c r="E164" s="22" t="n"/>
      <c r="F164" s="23" t="n"/>
      <c r="G164" s="23" t="n"/>
      <c r="H164" s="22" t="n"/>
      <c r="I164" s="24" t="n"/>
      <c r="J164" s="24" t="n"/>
      <c r="K164" s="25" t="n"/>
      <c r="L164" s="24" t="n"/>
      <c r="M164" s="22" t="n"/>
      <c r="N164" s="24" t="n"/>
      <c r="O164" s="25" t="n"/>
      <c r="P164" s="22" t="n"/>
      <c r="Q164" s="18">
        <f>IF(OR(B164="",J164=""),"",TODAY()-J164)</f>
        <v/>
      </c>
      <c r="R164" s="26">
        <f>IF(B164="","",IF(OR(K164="Accepted",K164="Rejected",K164="Withdrawn"),K164,IF(K164="Offer",IF(N164="","Offer","Offer, reply by "&amp;DAY(N164)&amp;" "&amp;CHOOSE(MONTH(N164),"Jan","Feb","Mar","Apr","May","Jun","Jul","Aug","Sep","Oct","Nov","Dec")),IF(OR(K164="",K164="Saved"),IF(N164="","To apply",IF(N164&lt;TODAY(),"Closing date passed","Apply by "&amp;DAY(N164)&amp;" "&amp;CHOOSE(MONTH(N164),"Jan","Feb","Mar","Apr","May","Jun","Jul","Aug","Sep","Oct","Nov","Dec"))),IF(AND(N164="",T164&gt;0,TODAY()-T164&gt;=N(Settings!$C$6)),"No reply",IF(U164="","Waiting",IF(U164&lt;TODAY(),"Follow up",IF(U164-TODAY()&lt;=2,"Due "&amp;DAY(U164)&amp;" "&amp;CHOOSE(MONTH(U164),"Jan","Feb","Mar","Apr","May","Jun","Jul","Aug","Sep","Oct","Nov","Dec"),"Waiting"))))))))</f>
        <v/>
      </c>
      <c r="S164" s="1" t="n"/>
      <c r="T164">
        <f>MAX(N(J164),N(L164))</f>
        <v/>
      </c>
      <c r="U164">
        <f>IF(N164&lt;&gt;"",N164,IF(T164=0,"",T164+N(Settings!$C$5)))</f>
        <v/>
      </c>
      <c r="V164">
        <f>IF(AND(B164&lt;&gt;"",U164&lt;&gt;"",OR(R164="Follow up",LEFT(R164,3)="Due",R164="Waiting",LEFT(R164,5)="Apply",LEFT(R164,5)="Offer")),U164+ROW()/10000000,"")</f>
        <v/>
      </c>
      <c r="W164">
        <f>IF(B164="","",IF(M164&lt;&gt;"",M164,IF(OR(K164="",K164="Saved"),"Apply",IF(K164="Offer","Reply to the offer","Follow up"))))</f>
        <v/>
      </c>
    </row>
    <row r="165">
      <c r="A165" s="1" t="n"/>
      <c r="B165" s="21" t="n"/>
      <c r="C165" s="22" t="n"/>
      <c r="D165" s="22" t="n"/>
      <c r="E165" s="22" t="n"/>
      <c r="F165" s="23" t="n"/>
      <c r="G165" s="23" t="n"/>
      <c r="H165" s="22" t="n"/>
      <c r="I165" s="24" t="n"/>
      <c r="J165" s="24" t="n"/>
      <c r="K165" s="25" t="n"/>
      <c r="L165" s="24" t="n"/>
      <c r="M165" s="22" t="n"/>
      <c r="N165" s="24" t="n"/>
      <c r="O165" s="25" t="n"/>
      <c r="P165" s="22" t="n"/>
      <c r="Q165" s="18">
        <f>IF(OR(B165="",J165=""),"",TODAY()-J165)</f>
        <v/>
      </c>
      <c r="R165" s="26">
        <f>IF(B165="","",IF(OR(K165="Accepted",K165="Rejected",K165="Withdrawn"),K165,IF(K165="Offer",IF(N165="","Offer","Offer, reply by "&amp;DAY(N165)&amp;" "&amp;CHOOSE(MONTH(N165),"Jan","Feb","Mar","Apr","May","Jun","Jul","Aug","Sep","Oct","Nov","Dec")),IF(OR(K165="",K165="Saved"),IF(N165="","To apply",IF(N165&lt;TODAY(),"Closing date passed","Apply by "&amp;DAY(N165)&amp;" "&amp;CHOOSE(MONTH(N165),"Jan","Feb","Mar","Apr","May","Jun","Jul","Aug","Sep","Oct","Nov","Dec"))),IF(AND(N165="",T165&gt;0,TODAY()-T165&gt;=N(Settings!$C$6)),"No reply",IF(U165="","Waiting",IF(U165&lt;TODAY(),"Follow up",IF(U165-TODAY()&lt;=2,"Due "&amp;DAY(U165)&amp;" "&amp;CHOOSE(MONTH(U165),"Jan","Feb","Mar","Apr","May","Jun","Jul","Aug","Sep","Oct","Nov","Dec"),"Waiting"))))))))</f>
        <v/>
      </c>
      <c r="S165" s="1" t="n"/>
      <c r="T165">
        <f>MAX(N(J165),N(L165))</f>
        <v/>
      </c>
      <c r="U165">
        <f>IF(N165&lt;&gt;"",N165,IF(T165=0,"",T165+N(Settings!$C$5)))</f>
        <v/>
      </c>
      <c r="V165">
        <f>IF(AND(B165&lt;&gt;"",U165&lt;&gt;"",OR(R165="Follow up",LEFT(R165,3)="Due",R165="Waiting",LEFT(R165,5)="Apply",LEFT(R165,5)="Offer")),U165+ROW()/10000000,"")</f>
        <v/>
      </c>
      <c r="W165">
        <f>IF(B165="","",IF(M165&lt;&gt;"",M165,IF(OR(K165="",K165="Saved"),"Apply",IF(K165="Offer","Reply to the offer","Follow up"))))</f>
        <v/>
      </c>
    </row>
    <row r="166">
      <c r="A166" s="1" t="n"/>
      <c r="B166" s="21" t="n"/>
      <c r="C166" s="22" t="n"/>
      <c r="D166" s="22" t="n"/>
      <c r="E166" s="22" t="n"/>
      <c r="F166" s="23" t="n"/>
      <c r="G166" s="23" t="n"/>
      <c r="H166" s="22" t="n"/>
      <c r="I166" s="24" t="n"/>
      <c r="J166" s="24" t="n"/>
      <c r="K166" s="25" t="n"/>
      <c r="L166" s="24" t="n"/>
      <c r="M166" s="22" t="n"/>
      <c r="N166" s="24" t="n"/>
      <c r="O166" s="25" t="n"/>
      <c r="P166" s="22" t="n"/>
      <c r="Q166" s="18">
        <f>IF(OR(B166="",J166=""),"",TODAY()-J166)</f>
        <v/>
      </c>
      <c r="R166" s="26">
        <f>IF(B166="","",IF(OR(K166="Accepted",K166="Rejected",K166="Withdrawn"),K166,IF(K166="Offer",IF(N166="","Offer","Offer, reply by "&amp;DAY(N166)&amp;" "&amp;CHOOSE(MONTH(N166),"Jan","Feb","Mar","Apr","May","Jun","Jul","Aug","Sep","Oct","Nov","Dec")),IF(OR(K166="",K166="Saved"),IF(N166="","To apply",IF(N166&lt;TODAY(),"Closing date passed","Apply by "&amp;DAY(N166)&amp;" "&amp;CHOOSE(MONTH(N166),"Jan","Feb","Mar","Apr","May","Jun","Jul","Aug","Sep","Oct","Nov","Dec"))),IF(AND(N166="",T166&gt;0,TODAY()-T166&gt;=N(Settings!$C$6)),"No reply",IF(U166="","Waiting",IF(U166&lt;TODAY(),"Follow up",IF(U166-TODAY()&lt;=2,"Due "&amp;DAY(U166)&amp;" "&amp;CHOOSE(MONTH(U166),"Jan","Feb","Mar","Apr","May","Jun","Jul","Aug","Sep","Oct","Nov","Dec"),"Waiting"))))))))</f>
        <v/>
      </c>
      <c r="S166" s="1" t="n"/>
      <c r="T166">
        <f>MAX(N(J166),N(L166))</f>
        <v/>
      </c>
      <c r="U166">
        <f>IF(N166&lt;&gt;"",N166,IF(T166=0,"",T166+N(Settings!$C$5)))</f>
        <v/>
      </c>
      <c r="V166">
        <f>IF(AND(B166&lt;&gt;"",U166&lt;&gt;"",OR(R166="Follow up",LEFT(R166,3)="Due",R166="Waiting",LEFT(R166,5)="Apply",LEFT(R166,5)="Offer")),U166+ROW()/10000000,"")</f>
        <v/>
      </c>
      <c r="W166">
        <f>IF(B166="","",IF(M166&lt;&gt;"",M166,IF(OR(K166="",K166="Saved"),"Apply",IF(K166="Offer","Reply to the offer","Follow up"))))</f>
        <v/>
      </c>
    </row>
    <row r="167">
      <c r="A167" s="1" t="n"/>
      <c r="B167" s="21" t="n"/>
      <c r="C167" s="22" t="n"/>
      <c r="D167" s="22" t="n"/>
      <c r="E167" s="22" t="n"/>
      <c r="F167" s="23" t="n"/>
      <c r="G167" s="23" t="n"/>
      <c r="H167" s="22" t="n"/>
      <c r="I167" s="24" t="n"/>
      <c r="J167" s="24" t="n"/>
      <c r="K167" s="25" t="n"/>
      <c r="L167" s="24" t="n"/>
      <c r="M167" s="22" t="n"/>
      <c r="N167" s="24" t="n"/>
      <c r="O167" s="25" t="n"/>
      <c r="P167" s="22" t="n"/>
      <c r="Q167" s="18">
        <f>IF(OR(B167="",J167=""),"",TODAY()-J167)</f>
        <v/>
      </c>
      <c r="R167" s="26">
        <f>IF(B167="","",IF(OR(K167="Accepted",K167="Rejected",K167="Withdrawn"),K167,IF(K167="Offer",IF(N167="","Offer","Offer, reply by "&amp;DAY(N167)&amp;" "&amp;CHOOSE(MONTH(N167),"Jan","Feb","Mar","Apr","May","Jun","Jul","Aug","Sep","Oct","Nov","Dec")),IF(OR(K167="",K167="Saved"),IF(N167="","To apply",IF(N167&lt;TODAY(),"Closing date passed","Apply by "&amp;DAY(N167)&amp;" "&amp;CHOOSE(MONTH(N167),"Jan","Feb","Mar","Apr","May","Jun","Jul","Aug","Sep","Oct","Nov","Dec"))),IF(AND(N167="",T167&gt;0,TODAY()-T167&gt;=N(Settings!$C$6)),"No reply",IF(U167="","Waiting",IF(U167&lt;TODAY(),"Follow up",IF(U167-TODAY()&lt;=2,"Due "&amp;DAY(U167)&amp;" "&amp;CHOOSE(MONTH(U167),"Jan","Feb","Mar","Apr","May","Jun","Jul","Aug","Sep","Oct","Nov","Dec"),"Waiting"))))))))</f>
        <v/>
      </c>
      <c r="S167" s="1" t="n"/>
      <c r="T167">
        <f>MAX(N(J167),N(L167))</f>
        <v/>
      </c>
      <c r="U167">
        <f>IF(N167&lt;&gt;"",N167,IF(T167=0,"",T167+N(Settings!$C$5)))</f>
        <v/>
      </c>
      <c r="V167">
        <f>IF(AND(B167&lt;&gt;"",U167&lt;&gt;"",OR(R167="Follow up",LEFT(R167,3)="Due",R167="Waiting",LEFT(R167,5)="Apply",LEFT(R167,5)="Offer")),U167+ROW()/10000000,"")</f>
        <v/>
      </c>
      <c r="W167">
        <f>IF(B167="","",IF(M167&lt;&gt;"",M167,IF(OR(K167="",K167="Saved"),"Apply",IF(K167="Offer","Reply to the offer","Follow up"))))</f>
        <v/>
      </c>
    </row>
    <row r="168">
      <c r="A168" s="1" t="n"/>
      <c r="B168" s="21" t="n"/>
      <c r="C168" s="22" t="n"/>
      <c r="D168" s="22" t="n"/>
      <c r="E168" s="22" t="n"/>
      <c r="F168" s="23" t="n"/>
      <c r="G168" s="23" t="n"/>
      <c r="H168" s="22" t="n"/>
      <c r="I168" s="24" t="n"/>
      <c r="J168" s="24" t="n"/>
      <c r="K168" s="25" t="n"/>
      <c r="L168" s="24" t="n"/>
      <c r="M168" s="22" t="n"/>
      <c r="N168" s="24" t="n"/>
      <c r="O168" s="25" t="n"/>
      <c r="P168" s="22" t="n"/>
      <c r="Q168" s="18">
        <f>IF(OR(B168="",J168=""),"",TODAY()-J168)</f>
        <v/>
      </c>
      <c r="R168" s="26">
        <f>IF(B168="","",IF(OR(K168="Accepted",K168="Rejected",K168="Withdrawn"),K168,IF(K168="Offer",IF(N168="","Offer","Offer, reply by "&amp;DAY(N168)&amp;" "&amp;CHOOSE(MONTH(N168),"Jan","Feb","Mar","Apr","May","Jun","Jul","Aug","Sep","Oct","Nov","Dec")),IF(OR(K168="",K168="Saved"),IF(N168="","To apply",IF(N168&lt;TODAY(),"Closing date passed","Apply by "&amp;DAY(N168)&amp;" "&amp;CHOOSE(MONTH(N168),"Jan","Feb","Mar","Apr","May","Jun","Jul","Aug","Sep","Oct","Nov","Dec"))),IF(AND(N168="",T168&gt;0,TODAY()-T168&gt;=N(Settings!$C$6)),"No reply",IF(U168="","Waiting",IF(U168&lt;TODAY(),"Follow up",IF(U168-TODAY()&lt;=2,"Due "&amp;DAY(U168)&amp;" "&amp;CHOOSE(MONTH(U168),"Jan","Feb","Mar","Apr","May","Jun","Jul","Aug","Sep","Oct","Nov","Dec"),"Waiting"))))))))</f>
        <v/>
      </c>
      <c r="S168" s="1" t="n"/>
      <c r="T168">
        <f>MAX(N(J168),N(L168))</f>
        <v/>
      </c>
      <c r="U168">
        <f>IF(N168&lt;&gt;"",N168,IF(T168=0,"",T168+N(Settings!$C$5)))</f>
        <v/>
      </c>
      <c r="V168">
        <f>IF(AND(B168&lt;&gt;"",U168&lt;&gt;"",OR(R168="Follow up",LEFT(R168,3)="Due",R168="Waiting",LEFT(R168,5)="Apply",LEFT(R168,5)="Offer")),U168+ROW()/10000000,"")</f>
        <v/>
      </c>
      <c r="W168">
        <f>IF(B168="","",IF(M168&lt;&gt;"",M168,IF(OR(K168="",K168="Saved"),"Apply",IF(K168="Offer","Reply to the offer","Follow up"))))</f>
        <v/>
      </c>
    </row>
    <row r="169">
      <c r="A169" s="1" t="n"/>
      <c r="B169" s="21" t="n"/>
      <c r="C169" s="22" t="n"/>
      <c r="D169" s="22" t="n"/>
      <c r="E169" s="22" t="n"/>
      <c r="F169" s="23" t="n"/>
      <c r="G169" s="23" t="n"/>
      <c r="H169" s="22" t="n"/>
      <c r="I169" s="24" t="n"/>
      <c r="J169" s="24" t="n"/>
      <c r="K169" s="25" t="n"/>
      <c r="L169" s="24" t="n"/>
      <c r="M169" s="22" t="n"/>
      <c r="N169" s="24" t="n"/>
      <c r="O169" s="25" t="n"/>
      <c r="P169" s="22" t="n"/>
      <c r="Q169" s="18">
        <f>IF(OR(B169="",J169=""),"",TODAY()-J169)</f>
        <v/>
      </c>
      <c r="R169" s="26">
        <f>IF(B169="","",IF(OR(K169="Accepted",K169="Rejected",K169="Withdrawn"),K169,IF(K169="Offer",IF(N169="","Offer","Offer, reply by "&amp;DAY(N169)&amp;" "&amp;CHOOSE(MONTH(N169),"Jan","Feb","Mar","Apr","May","Jun","Jul","Aug","Sep","Oct","Nov","Dec")),IF(OR(K169="",K169="Saved"),IF(N169="","To apply",IF(N169&lt;TODAY(),"Closing date passed","Apply by "&amp;DAY(N169)&amp;" "&amp;CHOOSE(MONTH(N169),"Jan","Feb","Mar","Apr","May","Jun","Jul","Aug","Sep","Oct","Nov","Dec"))),IF(AND(N169="",T169&gt;0,TODAY()-T169&gt;=N(Settings!$C$6)),"No reply",IF(U169="","Waiting",IF(U169&lt;TODAY(),"Follow up",IF(U169-TODAY()&lt;=2,"Due "&amp;DAY(U169)&amp;" "&amp;CHOOSE(MONTH(U169),"Jan","Feb","Mar","Apr","May","Jun","Jul","Aug","Sep","Oct","Nov","Dec"),"Waiting"))))))))</f>
        <v/>
      </c>
      <c r="S169" s="1" t="n"/>
      <c r="T169">
        <f>MAX(N(J169),N(L169))</f>
        <v/>
      </c>
      <c r="U169">
        <f>IF(N169&lt;&gt;"",N169,IF(T169=0,"",T169+N(Settings!$C$5)))</f>
        <v/>
      </c>
      <c r="V169">
        <f>IF(AND(B169&lt;&gt;"",U169&lt;&gt;"",OR(R169="Follow up",LEFT(R169,3)="Due",R169="Waiting",LEFT(R169,5)="Apply",LEFT(R169,5)="Offer")),U169+ROW()/10000000,"")</f>
        <v/>
      </c>
      <c r="W169">
        <f>IF(B169="","",IF(M169&lt;&gt;"",M169,IF(OR(K169="",K169="Saved"),"Apply",IF(K169="Offer","Reply to the offer","Follow up"))))</f>
        <v/>
      </c>
    </row>
    <row r="170">
      <c r="A170" s="1" t="n"/>
      <c r="B170" s="21" t="n"/>
      <c r="C170" s="22" t="n"/>
      <c r="D170" s="22" t="n"/>
      <c r="E170" s="22" t="n"/>
      <c r="F170" s="23" t="n"/>
      <c r="G170" s="23" t="n"/>
      <c r="H170" s="22" t="n"/>
      <c r="I170" s="24" t="n"/>
      <c r="J170" s="24" t="n"/>
      <c r="K170" s="25" t="n"/>
      <c r="L170" s="24" t="n"/>
      <c r="M170" s="22" t="n"/>
      <c r="N170" s="24" t="n"/>
      <c r="O170" s="25" t="n"/>
      <c r="P170" s="22" t="n"/>
      <c r="Q170" s="18">
        <f>IF(OR(B170="",J170=""),"",TODAY()-J170)</f>
        <v/>
      </c>
      <c r="R170" s="26">
        <f>IF(B170="","",IF(OR(K170="Accepted",K170="Rejected",K170="Withdrawn"),K170,IF(K170="Offer",IF(N170="","Offer","Offer, reply by "&amp;DAY(N170)&amp;" "&amp;CHOOSE(MONTH(N170),"Jan","Feb","Mar","Apr","May","Jun","Jul","Aug","Sep","Oct","Nov","Dec")),IF(OR(K170="",K170="Saved"),IF(N170="","To apply",IF(N170&lt;TODAY(),"Closing date passed","Apply by "&amp;DAY(N170)&amp;" "&amp;CHOOSE(MONTH(N170),"Jan","Feb","Mar","Apr","May","Jun","Jul","Aug","Sep","Oct","Nov","Dec"))),IF(AND(N170="",T170&gt;0,TODAY()-T170&gt;=N(Settings!$C$6)),"No reply",IF(U170="","Waiting",IF(U170&lt;TODAY(),"Follow up",IF(U170-TODAY()&lt;=2,"Due "&amp;DAY(U170)&amp;" "&amp;CHOOSE(MONTH(U170),"Jan","Feb","Mar","Apr","May","Jun","Jul","Aug","Sep","Oct","Nov","Dec"),"Waiting"))))))))</f>
        <v/>
      </c>
      <c r="S170" s="1" t="n"/>
      <c r="T170">
        <f>MAX(N(J170),N(L170))</f>
        <v/>
      </c>
      <c r="U170">
        <f>IF(N170&lt;&gt;"",N170,IF(T170=0,"",T170+N(Settings!$C$5)))</f>
        <v/>
      </c>
      <c r="V170">
        <f>IF(AND(B170&lt;&gt;"",U170&lt;&gt;"",OR(R170="Follow up",LEFT(R170,3)="Due",R170="Waiting",LEFT(R170,5)="Apply",LEFT(R170,5)="Offer")),U170+ROW()/10000000,"")</f>
        <v/>
      </c>
      <c r="W170">
        <f>IF(B170="","",IF(M170&lt;&gt;"",M170,IF(OR(K170="",K170="Saved"),"Apply",IF(K170="Offer","Reply to the offer","Follow up"))))</f>
        <v/>
      </c>
    </row>
    <row r="171">
      <c r="A171" s="1" t="n"/>
      <c r="B171" s="21" t="n"/>
      <c r="C171" s="22" t="n"/>
      <c r="D171" s="22" t="n"/>
      <c r="E171" s="22" t="n"/>
      <c r="F171" s="23" t="n"/>
      <c r="G171" s="23" t="n"/>
      <c r="H171" s="22" t="n"/>
      <c r="I171" s="24" t="n"/>
      <c r="J171" s="24" t="n"/>
      <c r="K171" s="25" t="n"/>
      <c r="L171" s="24" t="n"/>
      <c r="M171" s="22" t="n"/>
      <c r="N171" s="24" t="n"/>
      <c r="O171" s="25" t="n"/>
      <c r="P171" s="22" t="n"/>
      <c r="Q171" s="18">
        <f>IF(OR(B171="",J171=""),"",TODAY()-J171)</f>
        <v/>
      </c>
      <c r="R171" s="26">
        <f>IF(B171="","",IF(OR(K171="Accepted",K171="Rejected",K171="Withdrawn"),K171,IF(K171="Offer",IF(N171="","Offer","Offer, reply by "&amp;DAY(N171)&amp;" "&amp;CHOOSE(MONTH(N171),"Jan","Feb","Mar","Apr","May","Jun","Jul","Aug","Sep","Oct","Nov","Dec")),IF(OR(K171="",K171="Saved"),IF(N171="","To apply",IF(N171&lt;TODAY(),"Closing date passed","Apply by "&amp;DAY(N171)&amp;" "&amp;CHOOSE(MONTH(N171),"Jan","Feb","Mar","Apr","May","Jun","Jul","Aug","Sep","Oct","Nov","Dec"))),IF(AND(N171="",T171&gt;0,TODAY()-T171&gt;=N(Settings!$C$6)),"No reply",IF(U171="","Waiting",IF(U171&lt;TODAY(),"Follow up",IF(U171-TODAY()&lt;=2,"Due "&amp;DAY(U171)&amp;" "&amp;CHOOSE(MONTH(U171),"Jan","Feb","Mar","Apr","May","Jun","Jul","Aug","Sep","Oct","Nov","Dec"),"Waiting"))))))))</f>
        <v/>
      </c>
      <c r="S171" s="1" t="n"/>
      <c r="T171">
        <f>MAX(N(J171),N(L171))</f>
        <v/>
      </c>
      <c r="U171">
        <f>IF(N171&lt;&gt;"",N171,IF(T171=0,"",T171+N(Settings!$C$5)))</f>
        <v/>
      </c>
      <c r="V171">
        <f>IF(AND(B171&lt;&gt;"",U171&lt;&gt;"",OR(R171="Follow up",LEFT(R171,3)="Due",R171="Waiting",LEFT(R171,5)="Apply",LEFT(R171,5)="Offer")),U171+ROW()/10000000,"")</f>
        <v/>
      </c>
      <c r="W171">
        <f>IF(B171="","",IF(M171&lt;&gt;"",M171,IF(OR(K171="",K171="Saved"),"Apply",IF(K171="Offer","Reply to the offer","Follow up"))))</f>
        <v/>
      </c>
    </row>
    <row r="172">
      <c r="A172" s="1" t="n"/>
      <c r="B172" s="21" t="n"/>
      <c r="C172" s="22" t="n"/>
      <c r="D172" s="22" t="n"/>
      <c r="E172" s="22" t="n"/>
      <c r="F172" s="23" t="n"/>
      <c r="G172" s="23" t="n"/>
      <c r="H172" s="22" t="n"/>
      <c r="I172" s="24" t="n"/>
      <c r="J172" s="24" t="n"/>
      <c r="K172" s="25" t="n"/>
      <c r="L172" s="24" t="n"/>
      <c r="M172" s="22" t="n"/>
      <c r="N172" s="24" t="n"/>
      <c r="O172" s="25" t="n"/>
      <c r="P172" s="22" t="n"/>
      <c r="Q172" s="18">
        <f>IF(OR(B172="",J172=""),"",TODAY()-J172)</f>
        <v/>
      </c>
      <c r="R172" s="26">
        <f>IF(B172="","",IF(OR(K172="Accepted",K172="Rejected",K172="Withdrawn"),K172,IF(K172="Offer",IF(N172="","Offer","Offer, reply by "&amp;DAY(N172)&amp;" "&amp;CHOOSE(MONTH(N172),"Jan","Feb","Mar","Apr","May","Jun","Jul","Aug","Sep","Oct","Nov","Dec")),IF(OR(K172="",K172="Saved"),IF(N172="","To apply",IF(N172&lt;TODAY(),"Closing date passed","Apply by "&amp;DAY(N172)&amp;" "&amp;CHOOSE(MONTH(N172),"Jan","Feb","Mar","Apr","May","Jun","Jul","Aug","Sep","Oct","Nov","Dec"))),IF(AND(N172="",T172&gt;0,TODAY()-T172&gt;=N(Settings!$C$6)),"No reply",IF(U172="","Waiting",IF(U172&lt;TODAY(),"Follow up",IF(U172-TODAY()&lt;=2,"Due "&amp;DAY(U172)&amp;" "&amp;CHOOSE(MONTH(U172),"Jan","Feb","Mar","Apr","May","Jun","Jul","Aug","Sep","Oct","Nov","Dec"),"Waiting"))))))))</f>
        <v/>
      </c>
      <c r="S172" s="1" t="n"/>
      <c r="T172">
        <f>MAX(N(J172),N(L172))</f>
        <v/>
      </c>
      <c r="U172">
        <f>IF(N172&lt;&gt;"",N172,IF(T172=0,"",T172+N(Settings!$C$5)))</f>
        <v/>
      </c>
      <c r="V172">
        <f>IF(AND(B172&lt;&gt;"",U172&lt;&gt;"",OR(R172="Follow up",LEFT(R172,3)="Due",R172="Waiting",LEFT(R172,5)="Apply",LEFT(R172,5)="Offer")),U172+ROW()/10000000,"")</f>
        <v/>
      </c>
      <c r="W172">
        <f>IF(B172="","",IF(M172&lt;&gt;"",M172,IF(OR(K172="",K172="Saved"),"Apply",IF(K172="Offer","Reply to the offer","Follow up"))))</f>
        <v/>
      </c>
    </row>
    <row r="173">
      <c r="A173" s="1" t="n"/>
      <c r="B173" s="21" t="n"/>
      <c r="C173" s="22" t="n"/>
      <c r="D173" s="22" t="n"/>
      <c r="E173" s="22" t="n"/>
      <c r="F173" s="23" t="n"/>
      <c r="G173" s="23" t="n"/>
      <c r="H173" s="22" t="n"/>
      <c r="I173" s="24" t="n"/>
      <c r="J173" s="24" t="n"/>
      <c r="K173" s="25" t="n"/>
      <c r="L173" s="24" t="n"/>
      <c r="M173" s="22" t="n"/>
      <c r="N173" s="24" t="n"/>
      <c r="O173" s="25" t="n"/>
      <c r="P173" s="22" t="n"/>
      <c r="Q173" s="18">
        <f>IF(OR(B173="",J173=""),"",TODAY()-J173)</f>
        <v/>
      </c>
      <c r="R173" s="26">
        <f>IF(B173="","",IF(OR(K173="Accepted",K173="Rejected",K173="Withdrawn"),K173,IF(K173="Offer",IF(N173="","Offer","Offer, reply by "&amp;DAY(N173)&amp;" "&amp;CHOOSE(MONTH(N173),"Jan","Feb","Mar","Apr","May","Jun","Jul","Aug","Sep","Oct","Nov","Dec")),IF(OR(K173="",K173="Saved"),IF(N173="","To apply",IF(N173&lt;TODAY(),"Closing date passed","Apply by "&amp;DAY(N173)&amp;" "&amp;CHOOSE(MONTH(N173),"Jan","Feb","Mar","Apr","May","Jun","Jul","Aug","Sep","Oct","Nov","Dec"))),IF(AND(N173="",T173&gt;0,TODAY()-T173&gt;=N(Settings!$C$6)),"No reply",IF(U173="","Waiting",IF(U173&lt;TODAY(),"Follow up",IF(U173-TODAY()&lt;=2,"Due "&amp;DAY(U173)&amp;" "&amp;CHOOSE(MONTH(U173),"Jan","Feb","Mar","Apr","May","Jun","Jul","Aug","Sep","Oct","Nov","Dec"),"Waiting"))))))))</f>
        <v/>
      </c>
      <c r="S173" s="1" t="n"/>
      <c r="T173">
        <f>MAX(N(J173),N(L173))</f>
        <v/>
      </c>
      <c r="U173">
        <f>IF(N173&lt;&gt;"",N173,IF(T173=0,"",T173+N(Settings!$C$5)))</f>
        <v/>
      </c>
      <c r="V173">
        <f>IF(AND(B173&lt;&gt;"",U173&lt;&gt;"",OR(R173="Follow up",LEFT(R173,3)="Due",R173="Waiting",LEFT(R173,5)="Apply",LEFT(R173,5)="Offer")),U173+ROW()/10000000,"")</f>
        <v/>
      </c>
      <c r="W173">
        <f>IF(B173="","",IF(M173&lt;&gt;"",M173,IF(OR(K173="",K173="Saved"),"Apply",IF(K173="Offer","Reply to the offer","Follow up"))))</f>
        <v/>
      </c>
    </row>
    <row r="174">
      <c r="A174" s="1" t="n"/>
      <c r="B174" s="21" t="n"/>
      <c r="C174" s="22" t="n"/>
      <c r="D174" s="22" t="n"/>
      <c r="E174" s="22" t="n"/>
      <c r="F174" s="23" t="n"/>
      <c r="G174" s="23" t="n"/>
      <c r="H174" s="22" t="n"/>
      <c r="I174" s="24" t="n"/>
      <c r="J174" s="24" t="n"/>
      <c r="K174" s="25" t="n"/>
      <c r="L174" s="24" t="n"/>
      <c r="M174" s="22" t="n"/>
      <c r="N174" s="24" t="n"/>
      <c r="O174" s="25" t="n"/>
      <c r="P174" s="22" t="n"/>
      <c r="Q174" s="18">
        <f>IF(OR(B174="",J174=""),"",TODAY()-J174)</f>
        <v/>
      </c>
      <c r="R174" s="26">
        <f>IF(B174="","",IF(OR(K174="Accepted",K174="Rejected",K174="Withdrawn"),K174,IF(K174="Offer",IF(N174="","Offer","Offer, reply by "&amp;DAY(N174)&amp;" "&amp;CHOOSE(MONTH(N174),"Jan","Feb","Mar","Apr","May","Jun","Jul","Aug","Sep","Oct","Nov","Dec")),IF(OR(K174="",K174="Saved"),IF(N174="","To apply",IF(N174&lt;TODAY(),"Closing date passed","Apply by "&amp;DAY(N174)&amp;" "&amp;CHOOSE(MONTH(N174),"Jan","Feb","Mar","Apr","May","Jun","Jul","Aug","Sep","Oct","Nov","Dec"))),IF(AND(N174="",T174&gt;0,TODAY()-T174&gt;=N(Settings!$C$6)),"No reply",IF(U174="","Waiting",IF(U174&lt;TODAY(),"Follow up",IF(U174-TODAY()&lt;=2,"Due "&amp;DAY(U174)&amp;" "&amp;CHOOSE(MONTH(U174),"Jan","Feb","Mar","Apr","May","Jun","Jul","Aug","Sep","Oct","Nov","Dec"),"Waiting"))))))))</f>
        <v/>
      </c>
      <c r="S174" s="1" t="n"/>
      <c r="T174">
        <f>MAX(N(J174),N(L174))</f>
        <v/>
      </c>
      <c r="U174">
        <f>IF(N174&lt;&gt;"",N174,IF(T174=0,"",T174+N(Settings!$C$5)))</f>
        <v/>
      </c>
      <c r="V174">
        <f>IF(AND(B174&lt;&gt;"",U174&lt;&gt;"",OR(R174="Follow up",LEFT(R174,3)="Due",R174="Waiting",LEFT(R174,5)="Apply",LEFT(R174,5)="Offer")),U174+ROW()/10000000,"")</f>
        <v/>
      </c>
      <c r="W174">
        <f>IF(B174="","",IF(M174&lt;&gt;"",M174,IF(OR(K174="",K174="Saved"),"Apply",IF(K174="Offer","Reply to the offer","Follow up"))))</f>
        <v/>
      </c>
    </row>
    <row r="175">
      <c r="A175" s="1" t="n"/>
      <c r="B175" s="21" t="n"/>
      <c r="C175" s="22" t="n"/>
      <c r="D175" s="22" t="n"/>
      <c r="E175" s="22" t="n"/>
      <c r="F175" s="23" t="n"/>
      <c r="G175" s="23" t="n"/>
      <c r="H175" s="22" t="n"/>
      <c r="I175" s="24" t="n"/>
      <c r="J175" s="24" t="n"/>
      <c r="K175" s="25" t="n"/>
      <c r="L175" s="24" t="n"/>
      <c r="M175" s="22" t="n"/>
      <c r="N175" s="24" t="n"/>
      <c r="O175" s="25" t="n"/>
      <c r="P175" s="22" t="n"/>
      <c r="Q175" s="18">
        <f>IF(OR(B175="",J175=""),"",TODAY()-J175)</f>
        <v/>
      </c>
      <c r="R175" s="26">
        <f>IF(B175="","",IF(OR(K175="Accepted",K175="Rejected",K175="Withdrawn"),K175,IF(K175="Offer",IF(N175="","Offer","Offer, reply by "&amp;DAY(N175)&amp;" "&amp;CHOOSE(MONTH(N175),"Jan","Feb","Mar","Apr","May","Jun","Jul","Aug","Sep","Oct","Nov","Dec")),IF(OR(K175="",K175="Saved"),IF(N175="","To apply",IF(N175&lt;TODAY(),"Closing date passed","Apply by "&amp;DAY(N175)&amp;" "&amp;CHOOSE(MONTH(N175),"Jan","Feb","Mar","Apr","May","Jun","Jul","Aug","Sep","Oct","Nov","Dec"))),IF(AND(N175="",T175&gt;0,TODAY()-T175&gt;=N(Settings!$C$6)),"No reply",IF(U175="","Waiting",IF(U175&lt;TODAY(),"Follow up",IF(U175-TODAY()&lt;=2,"Due "&amp;DAY(U175)&amp;" "&amp;CHOOSE(MONTH(U175),"Jan","Feb","Mar","Apr","May","Jun","Jul","Aug","Sep","Oct","Nov","Dec"),"Waiting"))))))))</f>
        <v/>
      </c>
      <c r="S175" s="1" t="n"/>
      <c r="T175">
        <f>MAX(N(J175),N(L175))</f>
        <v/>
      </c>
      <c r="U175">
        <f>IF(N175&lt;&gt;"",N175,IF(T175=0,"",T175+N(Settings!$C$5)))</f>
        <v/>
      </c>
      <c r="V175">
        <f>IF(AND(B175&lt;&gt;"",U175&lt;&gt;"",OR(R175="Follow up",LEFT(R175,3)="Due",R175="Waiting",LEFT(R175,5)="Apply",LEFT(R175,5)="Offer")),U175+ROW()/10000000,"")</f>
        <v/>
      </c>
      <c r="W175">
        <f>IF(B175="","",IF(M175&lt;&gt;"",M175,IF(OR(K175="",K175="Saved"),"Apply",IF(K175="Offer","Reply to the offer","Follow up"))))</f>
        <v/>
      </c>
    </row>
    <row r="176">
      <c r="A176" s="1" t="n"/>
      <c r="B176" s="21" t="n"/>
      <c r="C176" s="22" t="n"/>
      <c r="D176" s="22" t="n"/>
      <c r="E176" s="22" t="n"/>
      <c r="F176" s="23" t="n"/>
      <c r="G176" s="23" t="n"/>
      <c r="H176" s="22" t="n"/>
      <c r="I176" s="24" t="n"/>
      <c r="J176" s="24" t="n"/>
      <c r="K176" s="25" t="n"/>
      <c r="L176" s="24" t="n"/>
      <c r="M176" s="22" t="n"/>
      <c r="N176" s="24" t="n"/>
      <c r="O176" s="25" t="n"/>
      <c r="P176" s="22" t="n"/>
      <c r="Q176" s="18">
        <f>IF(OR(B176="",J176=""),"",TODAY()-J176)</f>
        <v/>
      </c>
      <c r="R176" s="26">
        <f>IF(B176="","",IF(OR(K176="Accepted",K176="Rejected",K176="Withdrawn"),K176,IF(K176="Offer",IF(N176="","Offer","Offer, reply by "&amp;DAY(N176)&amp;" "&amp;CHOOSE(MONTH(N176),"Jan","Feb","Mar","Apr","May","Jun","Jul","Aug","Sep","Oct","Nov","Dec")),IF(OR(K176="",K176="Saved"),IF(N176="","To apply",IF(N176&lt;TODAY(),"Closing date passed","Apply by "&amp;DAY(N176)&amp;" "&amp;CHOOSE(MONTH(N176),"Jan","Feb","Mar","Apr","May","Jun","Jul","Aug","Sep","Oct","Nov","Dec"))),IF(AND(N176="",T176&gt;0,TODAY()-T176&gt;=N(Settings!$C$6)),"No reply",IF(U176="","Waiting",IF(U176&lt;TODAY(),"Follow up",IF(U176-TODAY()&lt;=2,"Due "&amp;DAY(U176)&amp;" "&amp;CHOOSE(MONTH(U176),"Jan","Feb","Mar","Apr","May","Jun","Jul","Aug","Sep","Oct","Nov","Dec"),"Waiting"))))))))</f>
        <v/>
      </c>
      <c r="S176" s="1" t="n"/>
      <c r="T176">
        <f>MAX(N(J176),N(L176))</f>
        <v/>
      </c>
      <c r="U176">
        <f>IF(N176&lt;&gt;"",N176,IF(T176=0,"",T176+N(Settings!$C$5)))</f>
        <v/>
      </c>
      <c r="V176">
        <f>IF(AND(B176&lt;&gt;"",U176&lt;&gt;"",OR(R176="Follow up",LEFT(R176,3)="Due",R176="Waiting",LEFT(R176,5)="Apply",LEFT(R176,5)="Offer")),U176+ROW()/10000000,"")</f>
        <v/>
      </c>
      <c r="W176">
        <f>IF(B176="","",IF(M176&lt;&gt;"",M176,IF(OR(K176="",K176="Saved"),"Apply",IF(K176="Offer","Reply to the offer","Follow up"))))</f>
        <v/>
      </c>
    </row>
    <row r="177">
      <c r="A177" s="1" t="n"/>
      <c r="B177" s="21" t="n"/>
      <c r="C177" s="22" t="n"/>
      <c r="D177" s="22" t="n"/>
      <c r="E177" s="22" t="n"/>
      <c r="F177" s="23" t="n"/>
      <c r="G177" s="23" t="n"/>
      <c r="H177" s="22" t="n"/>
      <c r="I177" s="24" t="n"/>
      <c r="J177" s="24" t="n"/>
      <c r="K177" s="25" t="n"/>
      <c r="L177" s="24" t="n"/>
      <c r="M177" s="22" t="n"/>
      <c r="N177" s="24" t="n"/>
      <c r="O177" s="25" t="n"/>
      <c r="P177" s="22" t="n"/>
      <c r="Q177" s="18">
        <f>IF(OR(B177="",J177=""),"",TODAY()-J177)</f>
        <v/>
      </c>
      <c r="R177" s="26">
        <f>IF(B177="","",IF(OR(K177="Accepted",K177="Rejected",K177="Withdrawn"),K177,IF(K177="Offer",IF(N177="","Offer","Offer, reply by "&amp;DAY(N177)&amp;" "&amp;CHOOSE(MONTH(N177),"Jan","Feb","Mar","Apr","May","Jun","Jul","Aug","Sep","Oct","Nov","Dec")),IF(OR(K177="",K177="Saved"),IF(N177="","To apply",IF(N177&lt;TODAY(),"Closing date passed","Apply by "&amp;DAY(N177)&amp;" "&amp;CHOOSE(MONTH(N177),"Jan","Feb","Mar","Apr","May","Jun","Jul","Aug","Sep","Oct","Nov","Dec"))),IF(AND(N177="",T177&gt;0,TODAY()-T177&gt;=N(Settings!$C$6)),"No reply",IF(U177="","Waiting",IF(U177&lt;TODAY(),"Follow up",IF(U177-TODAY()&lt;=2,"Due "&amp;DAY(U177)&amp;" "&amp;CHOOSE(MONTH(U177),"Jan","Feb","Mar","Apr","May","Jun","Jul","Aug","Sep","Oct","Nov","Dec"),"Waiting"))))))))</f>
        <v/>
      </c>
      <c r="S177" s="1" t="n"/>
      <c r="T177">
        <f>MAX(N(J177),N(L177))</f>
        <v/>
      </c>
      <c r="U177">
        <f>IF(N177&lt;&gt;"",N177,IF(T177=0,"",T177+N(Settings!$C$5)))</f>
        <v/>
      </c>
      <c r="V177">
        <f>IF(AND(B177&lt;&gt;"",U177&lt;&gt;"",OR(R177="Follow up",LEFT(R177,3)="Due",R177="Waiting",LEFT(R177,5)="Apply",LEFT(R177,5)="Offer")),U177+ROW()/10000000,"")</f>
        <v/>
      </c>
      <c r="W177">
        <f>IF(B177="","",IF(M177&lt;&gt;"",M177,IF(OR(K177="",K177="Saved"),"Apply",IF(K177="Offer","Reply to the offer","Follow up"))))</f>
        <v/>
      </c>
    </row>
    <row r="178">
      <c r="A178" s="1" t="n"/>
      <c r="B178" s="21" t="n"/>
      <c r="C178" s="22" t="n"/>
      <c r="D178" s="22" t="n"/>
      <c r="E178" s="22" t="n"/>
      <c r="F178" s="23" t="n"/>
      <c r="G178" s="23" t="n"/>
      <c r="H178" s="22" t="n"/>
      <c r="I178" s="24" t="n"/>
      <c r="J178" s="24" t="n"/>
      <c r="K178" s="25" t="n"/>
      <c r="L178" s="24" t="n"/>
      <c r="M178" s="22" t="n"/>
      <c r="N178" s="24" t="n"/>
      <c r="O178" s="25" t="n"/>
      <c r="P178" s="22" t="n"/>
      <c r="Q178" s="18">
        <f>IF(OR(B178="",J178=""),"",TODAY()-J178)</f>
        <v/>
      </c>
      <c r="R178" s="26">
        <f>IF(B178="","",IF(OR(K178="Accepted",K178="Rejected",K178="Withdrawn"),K178,IF(K178="Offer",IF(N178="","Offer","Offer, reply by "&amp;DAY(N178)&amp;" "&amp;CHOOSE(MONTH(N178),"Jan","Feb","Mar","Apr","May","Jun","Jul","Aug","Sep","Oct","Nov","Dec")),IF(OR(K178="",K178="Saved"),IF(N178="","To apply",IF(N178&lt;TODAY(),"Closing date passed","Apply by "&amp;DAY(N178)&amp;" "&amp;CHOOSE(MONTH(N178),"Jan","Feb","Mar","Apr","May","Jun","Jul","Aug","Sep","Oct","Nov","Dec"))),IF(AND(N178="",T178&gt;0,TODAY()-T178&gt;=N(Settings!$C$6)),"No reply",IF(U178="","Waiting",IF(U178&lt;TODAY(),"Follow up",IF(U178-TODAY()&lt;=2,"Due "&amp;DAY(U178)&amp;" "&amp;CHOOSE(MONTH(U178),"Jan","Feb","Mar","Apr","May","Jun","Jul","Aug","Sep","Oct","Nov","Dec"),"Waiting"))))))))</f>
        <v/>
      </c>
      <c r="S178" s="1" t="n"/>
      <c r="T178">
        <f>MAX(N(J178),N(L178))</f>
        <v/>
      </c>
      <c r="U178">
        <f>IF(N178&lt;&gt;"",N178,IF(T178=0,"",T178+N(Settings!$C$5)))</f>
        <v/>
      </c>
      <c r="V178">
        <f>IF(AND(B178&lt;&gt;"",U178&lt;&gt;"",OR(R178="Follow up",LEFT(R178,3)="Due",R178="Waiting",LEFT(R178,5)="Apply",LEFT(R178,5)="Offer")),U178+ROW()/10000000,"")</f>
        <v/>
      </c>
      <c r="W178">
        <f>IF(B178="","",IF(M178&lt;&gt;"",M178,IF(OR(K178="",K178="Saved"),"Apply",IF(K178="Offer","Reply to the offer","Follow up"))))</f>
        <v/>
      </c>
    </row>
    <row r="179">
      <c r="A179" s="1" t="n"/>
      <c r="B179" s="21" t="n"/>
      <c r="C179" s="22" t="n"/>
      <c r="D179" s="22" t="n"/>
      <c r="E179" s="22" t="n"/>
      <c r="F179" s="23" t="n"/>
      <c r="G179" s="23" t="n"/>
      <c r="H179" s="22" t="n"/>
      <c r="I179" s="24" t="n"/>
      <c r="J179" s="24" t="n"/>
      <c r="K179" s="25" t="n"/>
      <c r="L179" s="24" t="n"/>
      <c r="M179" s="22" t="n"/>
      <c r="N179" s="24" t="n"/>
      <c r="O179" s="25" t="n"/>
      <c r="P179" s="22" t="n"/>
      <c r="Q179" s="18">
        <f>IF(OR(B179="",J179=""),"",TODAY()-J179)</f>
        <v/>
      </c>
      <c r="R179" s="26">
        <f>IF(B179="","",IF(OR(K179="Accepted",K179="Rejected",K179="Withdrawn"),K179,IF(K179="Offer",IF(N179="","Offer","Offer, reply by "&amp;DAY(N179)&amp;" "&amp;CHOOSE(MONTH(N179),"Jan","Feb","Mar","Apr","May","Jun","Jul","Aug","Sep","Oct","Nov","Dec")),IF(OR(K179="",K179="Saved"),IF(N179="","To apply",IF(N179&lt;TODAY(),"Closing date passed","Apply by "&amp;DAY(N179)&amp;" "&amp;CHOOSE(MONTH(N179),"Jan","Feb","Mar","Apr","May","Jun","Jul","Aug","Sep","Oct","Nov","Dec"))),IF(AND(N179="",T179&gt;0,TODAY()-T179&gt;=N(Settings!$C$6)),"No reply",IF(U179="","Waiting",IF(U179&lt;TODAY(),"Follow up",IF(U179-TODAY()&lt;=2,"Due "&amp;DAY(U179)&amp;" "&amp;CHOOSE(MONTH(U179),"Jan","Feb","Mar","Apr","May","Jun","Jul","Aug","Sep","Oct","Nov","Dec"),"Waiting"))))))))</f>
        <v/>
      </c>
      <c r="S179" s="1" t="n"/>
      <c r="T179">
        <f>MAX(N(J179),N(L179))</f>
        <v/>
      </c>
      <c r="U179">
        <f>IF(N179&lt;&gt;"",N179,IF(T179=0,"",T179+N(Settings!$C$5)))</f>
        <v/>
      </c>
      <c r="V179">
        <f>IF(AND(B179&lt;&gt;"",U179&lt;&gt;"",OR(R179="Follow up",LEFT(R179,3)="Due",R179="Waiting",LEFT(R179,5)="Apply",LEFT(R179,5)="Offer")),U179+ROW()/10000000,"")</f>
        <v/>
      </c>
      <c r="W179">
        <f>IF(B179="","",IF(M179&lt;&gt;"",M179,IF(OR(K179="",K179="Saved"),"Apply",IF(K179="Offer","Reply to the offer","Follow up"))))</f>
        <v/>
      </c>
    </row>
    <row r="180">
      <c r="A180" s="1" t="n"/>
      <c r="B180" s="21" t="n"/>
      <c r="C180" s="22" t="n"/>
      <c r="D180" s="22" t="n"/>
      <c r="E180" s="22" t="n"/>
      <c r="F180" s="23" t="n"/>
      <c r="G180" s="23" t="n"/>
      <c r="H180" s="22" t="n"/>
      <c r="I180" s="24" t="n"/>
      <c r="J180" s="24" t="n"/>
      <c r="K180" s="25" t="n"/>
      <c r="L180" s="24" t="n"/>
      <c r="M180" s="22" t="n"/>
      <c r="N180" s="24" t="n"/>
      <c r="O180" s="25" t="n"/>
      <c r="P180" s="22" t="n"/>
      <c r="Q180" s="18">
        <f>IF(OR(B180="",J180=""),"",TODAY()-J180)</f>
        <v/>
      </c>
      <c r="R180" s="26">
        <f>IF(B180="","",IF(OR(K180="Accepted",K180="Rejected",K180="Withdrawn"),K180,IF(K180="Offer",IF(N180="","Offer","Offer, reply by "&amp;DAY(N180)&amp;" "&amp;CHOOSE(MONTH(N180),"Jan","Feb","Mar","Apr","May","Jun","Jul","Aug","Sep","Oct","Nov","Dec")),IF(OR(K180="",K180="Saved"),IF(N180="","To apply",IF(N180&lt;TODAY(),"Closing date passed","Apply by "&amp;DAY(N180)&amp;" "&amp;CHOOSE(MONTH(N180),"Jan","Feb","Mar","Apr","May","Jun","Jul","Aug","Sep","Oct","Nov","Dec"))),IF(AND(N180="",T180&gt;0,TODAY()-T180&gt;=N(Settings!$C$6)),"No reply",IF(U180="","Waiting",IF(U180&lt;TODAY(),"Follow up",IF(U180-TODAY()&lt;=2,"Due "&amp;DAY(U180)&amp;" "&amp;CHOOSE(MONTH(U180),"Jan","Feb","Mar","Apr","May","Jun","Jul","Aug","Sep","Oct","Nov","Dec"),"Waiting"))))))))</f>
        <v/>
      </c>
      <c r="S180" s="1" t="n"/>
      <c r="T180">
        <f>MAX(N(J180),N(L180))</f>
        <v/>
      </c>
      <c r="U180">
        <f>IF(N180&lt;&gt;"",N180,IF(T180=0,"",T180+N(Settings!$C$5)))</f>
        <v/>
      </c>
      <c r="V180">
        <f>IF(AND(B180&lt;&gt;"",U180&lt;&gt;"",OR(R180="Follow up",LEFT(R180,3)="Due",R180="Waiting",LEFT(R180,5)="Apply",LEFT(R180,5)="Offer")),U180+ROW()/10000000,"")</f>
        <v/>
      </c>
      <c r="W180">
        <f>IF(B180="","",IF(M180&lt;&gt;"",M180,IF(OR(K180="",K180="Saved"),"Apply",IF(K180="Offer","Reply to the offer","Follow up"))))</f>
        <v/>
      </c>
    </row>
    <row r="181">
      <c r="A181" s="1" t="n"/>
      <c r="B181" s="21" t="n"/>
      <c r="C181" s="22" t="n"/>
      <c r="D181" s="22" t="n"/>
      <c r="E181" s="22" t="n"/>
      <c r="F181" s="23" t="n"/>
      <c r="G181" s="23" t="n"/>
      <c r="H181" s="22" t="n"/>
      <c r="I181" s="24" t="n"/>
      <c r="J181" s="24" t="n"/>
      <c r="K181" s="25" t="n"/>
      <c r="L181" s="24" t="n"/>
      <c r="M181" s="22" t="n"/>
      <c r="N181" s="24" t="n"/>
      <c r="O181" s="25" t="n"/>
      <c r="P181" s="22" t="n"/>
      <c r="Q181" s="18">
        <f>IF(OR(B181="",J181=""),"",TODAY()-J181)</f>
        <v/>
      </c>
      <c r="R181" s="26">
        <f>IF(B181="","",IF(OR(K181="Accepted",K181="Rejected",K181="Withdrawn"),K181,IF(K181="Offer",IF(N181="","Offer","Offer, reply by "&amp;DAY(N181)&amp;" "&amp;CHOOSE(MONTH(N181),"Jan","Feb","Mar","Apr","May","Jun","Jul","Aug","Sep","Oct","Nov","Dec")),IF(OR(K181="",K181="Saved"),IF(N181="","To apply",IF(N181&lt;TODAY(),"Closing date passed","Apply by "&amp;DAY(N181)&amp;" "&amp;CHOOSE(MONTH(N181),"Jan","Feb","Mar","Apr","May","Jun","Jul","Aug","Sep","Oct","Nov","Dec"))),IF(AND(N181="",T181&gt;0,TODAY()-T181&gt;=N(Settings!$C$6)),"No reply",IF(U181="","Waiting",IF(U181&lt;TODAY(),"Follow up",IF(U181-TODAY()&lt;=2,"Due "&amp;DAY(U181)&amp;" "&amp;CHOOSE(MONTH(U181),"Jan","Feb","Mar","Apr","May","Jun","Jul","Aug","Sep","Oct","Nov","Dec"),"Waiting"))))))))</f>
        <v/>
      </c>
      <c r="S181" s="1" t="n"/>
      <c r="T181">
        <f>MAX(N(J181),N(L181))</f>
        <v/>
      </c>
      <c r="U181">
        <f>IF(N181&lt;&gt;"",N181,IF(T181=0,"",T181+N(Settings!$C$5)))</f>
        <v/>
      </c>
      <c r="V181">
        <f>IF(AND(B181&lt;&gt;"",U181&lt;&gt;"",OR(R181="Follow up",LEFT(R181,3)="Due",R181="Waiting",LEFT(R181,5)="Apply",LEFT(R181,5)="Offer")),U181+ROW()/10000000,"")</f>
        <v/>
      </c>
      <c r="W181">
        <f>IF(B181="","",IF(M181&lt;&gt;"",M181,IF(OR(K181="",K181="Saved"),"Apply",IF(K181="Offer","Reply to the offer","Follow up"))))</f>
        <v/>
      </c>
    </row>
    <row r="182">
      <c r="A182" s="1" t="n"/>
      <c r="B182" s="21" t="n"/>
      <c r="C182" s="22" t="n"/>
      <c r="D182" s="22" t="n"/>
      <c r="E182" s="22" t="n"/>
      <c r="F182" s="23" t="n"/>
      <c r="G182" s="23" t="n"/>
      <c r="H182" s="22" t="n"/>
      <c r="I182" s="24" t="n"/>
      <c r="J182" s="24" t="n"/>
      <c r="K182" s="25" t="n"/>
      <c r="L182" s="24" t="n"/>
      <c r="M182" s="22" t="n"/>
      <c r="N182" s="24" t="n"/>
      <c r="O182" s="25" t="n"/>
      <c r="P182" s="22" t="n"/>
      <c r="Q182" s="18">
        <f>IF(OR(B182="",J182=""),"",TODAY()-J182)</f>
        <v/>
      </c>
      <c r="R182" s="26">
        <f>IF(B182="","",IF(OR(K182="Accepted",K182="Rejected",K182="Withdrawn"),K182,IF(K182="Offer",IF(N182="","Offer","Offer, reply by "&amp;DAY(N182)&amp;" "&amp;CHOOSE(MONTH(N182),"Jan","Feb","Mar","Apr","May","Jun","Jul","Aug","Sep","Oct","Nov","Dec")),IF(OR(K182="",K182="Saved"),IF(N182="","To apply",IF(N182&lt;TODAY(),"Closing date passed","Apply by "&amp;DAY(N182)&amp;" "&amp;CHOOSE(MONTH(N182),"Jan","Feb","Mar","Apr","May","Jun","Jul","Aug","Sep","Oct","Nov","Dec"))),IF(AND(N182="",T182&gt;0,TODAY()-T182&gt;=N(Settings!$C$6)),"No reply",IF(U182="","Waiting",IF(U182&lt;TODAY(),"Follow up",IF(U182-TODAY()&lt;=2,"Due "&amp;DAY(U182)&amp;" "&amp;CHOOSE(MONTH(U182),"Jan","Feb","Mar","Apr","May","Jun","Jul","Aug","Sep","Oct","Nov","Dec"),"Waiting"))))))))</f>
        <v/>
      </c>
      <c r="S182" s="1" t="n"/>
      <c r="T182">
        <f>MAX(N(J182),N(L182))</f>
        <v/>
      </c>
      <c r="U182">
        <f>IF(N182&lt;&gt;"",N182,IF(T182=0,"",T182+N(Settings!$C$5)))</f>
        <v/>
      </c>
      <c r="V182">
        <f>IF(AND(B182&lt;&gt;"",U182&lt;&gt;"",OR(R182="Follow up",LEFT(R182,3)="Due",R182="Waiting",LEFT(R182,5)="Apply",LEFT(R182,5)="Offer")),U182+ROW()/10000000,"")</f>
        <v/>
      </c>
      <c r="W182">
        <f>IF(B182="","",IF(M182&lt;&gt;"",M182,IF(OR(K182="",K182="Saved"),"Apply",IF(K182="Offer","Reply to the offer","Follow up"))))</f>
        <v/>
      </c>
    </row>
    <row r="183">
      <c r="A183" s="1" t="n"/>
      <c r="B183" s="21" t="n"/>
      <c r="C183" s="22" t="n"/>
      <c r="D183" s="22" t="n"/>
      <c r="E183" s="22" t="n"/>
      <c r="F183" s="23" t="n"/>
      <c r="G183" s="23" t="n"/>
      <c r="H183" s="22" t="n"/>
      <c r="I183" s="24" t="n"/>
      <c r="J183" s="24" t="n"/>
      <c r="K183" s="25" t="n"/>
      <c r="L183" s="24" t="n"/>
      <c r="M183" s="22" t="n"/>
      <c r="N183" s="24" t="n"/>
      <c r="O183" s="25" t="n"/>
      <c r="P183" s="22" t="n"/>
      <c r="Q183" s="18">
        <f>IF(OR(B183="",J183=""),"",TODAY()-J183)</f>
        <v/>
      </c>
      <c r="R183" s="26">
        <f>IF(B183="","",IF(OR(K183="Accepted",K183="Rejected",K183="Withdrawn"),K183,IF(K183="Offer",IF(N183="","Offer","Offer, reply by "&amp;DAY(N183)&amp;" "&amp;CHOOSE(MONTH(N183),"Jan","Feb","Mar","Apr","May","Jun","Jul","Aug","Sep","Oct","Nov","Dec")),IF(OR(K183="",K183="Saved"),IF(N183="","To apply",IF(N183&lt;TODAY(),"Closing date passed","Apply by "&amp;DAY(N183)&amp;" "&amp;CHOOSE(MONTH(N183),"Jan","Feb","Mar","Apr","May","Jun","Jul","Aug","Sep","Oct","Nov","Dec"))),IF(AND(N183="",T183&gt;0,TODAY()-T183&gt;=N(Settings!$C$6)),"No reply",IF(U183="","Waiting",IF(U183&lt;TODAY(),"Follow up",IF(U183-TODAY()&lt;=2,"Due "&amp;DAY(U183)&amp;" "&amp;CHOOSE(MONTH(U183),"Jan","Feb","Mar","Apr","May","Jun","Jul","Aug","Sep","Oct","Nov","Dec"),"Waiting"))))))))</f>
        <v/>
      </c>
      <c r="S183" s="1" t="n"/>
      <c r="T183">
        <f>MAX(N(J183),N(L183))</f>
        <v/>
      </c>
      <c r="U183">
        <f>IF(N183&lt;&gt;"",N183,IF(T183=0,"",T183+N(Settings!$C$5)))</f>
        <v/>
      </c>
      <c r="V183">
        <f>IF(AND(B183&lt;&gt;"",U183&lt;&gt;"",OR(R183="Follow up",LEFT(R183,3)="Due",R183="Waiting",LEFT(R183,5)="Apply",LEFT(R183,5)="Offer")),U183+ROW()/10000000,"")</f>
        <v/>
      </c>
      <c r="W183">
        <f>IF(B183="","",IF(M183&lt;&gt;"",M183,IF(OR(K183="",K183="Saved"),"Apply",IF(K183="Offer","Reply to the offer","Follow up"))))</f>
        <v/>
      </c>
    </row>
    <row r="184">
      <c r="A184" s="1" t="n"/>
      <c r="B184" s="21" t="n"/>
      <c r="C184" s="22" t="n"/>
      <c r="D184" s="22" t="n"/>
      <c r="E184" s="22" t="n"/>
      <c r="F184" s="23" t="n"/>
      <c r="G184" s="23" t="n"/>
      <c r="H184" s="22" t="n"/>
      <c r="I184" s="24" t="n"/>
      <c r="J184" s="24" t="n"/>
      <c r="K184" s="25" t="n"/>
      <c r="L184" s="24" t="n"/>
      <c r="M184" s="22" t="n"/>
      <c r="N184" s="24" t="n"/>
      <c r="O184" s="25" t="n"/>
      <c r="P184" s="22" t="n"/>
      <c r="Q184" s="18">
        <f>IF(OR(B184="",J184=""),"",TODAY()-J184)</f>
        <v/>
      </c>
      <c r="R184" s="26">
        <f>IF(B184="","",IF(OR(K184="Accepted",K184="Rejected",K184="Withdrawn"),K184,IF(K184="Offer",IF(N184="","Offer","Offer, reply by "&amp;DAY(N184)&amp;" "&amp;CHOOSE(MONTH(N184),"Jan","Feb","Mar","Apr","May","Jun","Jul","Aug","Sep","Oct","Nov","Dec")),IF(OR(K184="",K184="Saved"),IF(N184="","To apply",IF(N184&lt;TODAY(),"Closing date passed","Apply by "&amp;DAY(N184)&amp;" "&amp;CHOOSE(MONTH(N184),"Jan","Feb","Mar","Apr","May","Jun","Jul","Aug","Sep","Oct","Nov","Dec"))),IF(AND(N184="",T184&gt;0,TODAY()-T184&gt;=N(Settings!$C$6)),"No reply",IF(U184="","Waiting",IF(U184&lt;TODAY(),"Follow up",IF(U184-TODAY()&lt;=2,"Due "&amp;DAY(U184)&amp;" "&amp;CHOOSE(MONTH(U184),"Jan","Feb","Mar","Apr","May","Jun","Jul","Aug","Sep","Oct","Nov","Dec"),"Waiting"))))))))</f>
        <v/>
      </c>
      <c r="S184" s="1" t="n"/>
      <c r="T184">
        <f>MAX(N(J184),N(L184))</f>
        <v/>
      </c>
      <c r="U184">
        <f>IF(N184&lt;&gt;"",N184,IF(T184=0,"",T184+N(Settings!$C$5)))</f>
        <v/>
      </c>
      <c r="V184">
        <f>IF(AND(B184&lt;&gt;"",U184&lt;&gt;"",OR(R184="Follow up",LEFT(R184,3)="Due",R184="Waiting",LEFT(R184,5)="Apply",LEFT(R184,5)="Offer")),U184+ROW()/10000000,"")</f>
        <v/>
      </c>
      <c r="W184">
        <f>IF(B184="","",IF(M184&lt;&gt;"",M184,IF(OR(K184="",K184="Saved"),"Apply",IF(K184="Offer","Reply to the offer","Follow up"))))</f>
        <v/>
      </c>
    </row>
    <row r="185">
      <c r="A185" s="1" t="n"/>
      <c r="B185" s="21" t="n"/>
      <c r="C185" s="22" t="n"/>
      <c r="D185" s="22" t="n"/>
      <c r="E185" s="22" t="n"/>
      <c r="F185" s="23" t="n"/>
      <c r="G185" s="23" t="n"/>
      <c r="H185" s="22" t="n"/>
      <c r="I185" s="24" t="n"/>
      <c r="J185" s="24" t="n"/>
      <c r="K185" s="25" t="n"/>
      <c r="L185" s="24" t="n"/>
      <c r="M185" s="22" t="n"/>
      <c r="N185" s="24" t="n"/>
      <c r="O185" s="25" t="n"/>
      <c r="P185" s="22" t="n"/>
      <c r="Q185" s="18">
        <f>IF(OR(B185="",J185=""),"",TODAY()-J185)</f>
        <v/>
      </c>
      <c r="R185" s="26">
        <f>IF(B185="","",IF(OR(K185="Accepted",K185="Rejected",K185="Withdrawn"),K185,IF(K185="Offer",IF(N185="","Offer","Offer, reply by "&amp;DAY(N185)&amp;" "&amp;CHOOSE(MONTH(N185),"Jan","Feb","Mar","Apr","May","Jun","Jul","Aug","Sep","Oct","Nov","Dec")),IF(OR(K185="",K185="Saved"),IF(N185="","To apply",IF(N185&lt;TODAY(),"Closing date passed","Apply by "&amp;DAY(N185)&amp;" "&amp;CHOOSE(MONTH(N185),"Jan","Feb","Mar","Apr","May","Jun","Jul","Aug","Sep","Oct","Nov","Dec"))),IF(AND(N185="",T185&gt;0,TODAY()-T185&gt;=N(Settings!$C$6)),"No reply",IF(U185="","Waiting",IF(U185&lt;TODAY(),"Follow up",IF(U185-TODAY()&lt;=2,"Due "&amp;DAY(U185)&amp;" "&amp;CHOOSE(MONTH(U185),"Jan","Feb","Mar","Apr","May","Jun","Jul","Aug","Sep","Oct","Nov","Dec"),"Waiting"))))))))</f>
        <v/>
      </c>
      <c r="S185" s="1" t="n"/>
      <c r="T185">
        <f>MAX(N(J185),N(L185))</f>
        <v/>
      </c>
      <c r="U185">
        <f>IF(N185&lt;&gt;"",N185,IF(T185=0,"",T185+N(Settings!$C$5)))</f>
        <v/>
      </c>
      <c r="V185">
        <f>IF(AND(B185&lt;&gt;"",U185&lt;&gt;"",OR(R185="Follow up",LEFT(R185,3)="Due",R185="Waiting",LEFT(R185,5)="Apply",LEFT(R185,5)="Offer")),U185+ROW()/10000000,"")</f>
        <v/>
      </c>
      <c r="W185">
        <f>IF(B185="","",IF(M185&lt;&gt;"",M185,IF(OR(K185="",K185="Saved"),"Apply",IF(K185="Offer","Reply to the offer","Follow up"))))</f>
        <v/>
      </c>
    </row>
    <row r="186">
      <c r="A186" s="1" t="n"/>
      <c r="B186" s="21" t="n"/>
      <c r="C186" s="22" t="n"/>
      <c r="D186" s="22" t="n"/>
      <c r="E186" s="22" t="n"/>
      <c r="F186" s="23" t="n"/>
      <c r="G186" s="23" t="n"/>
      <c r="H186" s="22" t="n"/>
      <c r="I186" s="24" t="n"/>
      <c r="J186" s="24" t="n"/>
      <c r="K186" s="25" t="n"/>
      <c r="L186" s="24" t="n"/>
      <c r="M186" s="22" t="n"/>
      <c r="N186" s="24" t="n"/>
      <c r="O186" s="25" t="n"/>
      <c r="P186" s="22" t="n"/>
      <c r="Q186" s="18">
        <f>IF(OR(B186="",J186=""),"",TODAY()-J186)</f>
        <v/>
      </c>
      <c r="R186" s="26">
        <f>IF(B186="","",IF(OR(K186="Accepted",K186="Rejected",K186="Withdrawn"),K186,IF(K186="Offer",IF(N186="","Offer","Offer, reply by "&amp;DAY(N186)&amp;" "&amp;CHOOSE(MONTH(N186),"Jan","Feb","Mar","Apr","May","Jun","Jul","Aug","Sep","Oct","Nov","Dec")),IF(OR(K186="",K186="Saved"),IF(N186="","To apply",IF(N186&lt;TODAY(),"Closing date passed","Apply by "&amp;DAY(N186)&amp;" "&amp;CHOOSE(MONTH(N186),"Jan","Feb","Mar","Apr","May","Jun","Jul","Aug","Sep","Oct","Nov","Dec"))),IF(AND(N186="",T186&gt;0,TODAY()-T186&gt;=N(Settings!$C$6)),"No reply",IF(U186="","Waiting",IF(U186&lt;TODAY(),"Follow up",IF(U186-TODAY()&lt;=2,"Due "&amp;DAY(U186)&amp;" "&amp;CHOOSE(MONTH(U186),"Jan","Feb","Mar","Apr","May","Jun","Jul","Aug","Sep","Oct","Nov","Dec"),"Waiting"))))))))</f>
        <v/>
      </c>
      <c r="S186" s="1" t="n"/>
      <c r="T186">
        <f>MAX(N(J186),N(L186))</f>
        <v/>
      </c>
      <c r="U186">
        <f>IF(N186&lt;&gt;"",N186,IF(T186=0,"",T186+N(Settings!$C$5)))</f>
        <v/>
      </c>
      <c r="V186">
        <f>IF(AND(B186&lt;&gt;"",U186&lt;&gt;"",OR(R186="Follow up",LEFT(R186,3)="Due",R186="Waiting",LEFT(R186,5)="Apply",LEFT(R186,5)="Offer")),U186+ROW()/10000000,"")</f>
        <v/>
      </c>
      <c r="W186">
        <f>IF(B186="","",IF(M186&lt;&gt;"",M186,IF(OR(K186="",K186="Saved"),"Apply",IF(K186="Offer","Reply to the offer","Follow up"))))</f>
        <v/>
      </c>
    </row>
    <row r="187">
      <c r="A187" s="1" t="n"/>
      <c r="B187" s="21" t="n"/>
      <c r="C187" s="22" t="n"/>
      <c r="D187" s="22" t="n"/>
      <c r="E187" s="22" t="n"/>
      <c r="F187" s="23" t="n"/>
      <c r="G187" s="23" t="n"/>
      <c r="H187" s="22" t="n"/>
      <c r="I187" s="24" t="n"/>
      <c r="J187" s="24" t="n"/>
      <c r="K187" s="25" t="n"/>
      <c r="L187" s="24" t="n"/>
      <c r="M187" s="22" t="n"/>
      <c r="N187" s="24" t="n"/>
      <c r="O187" s="25" t="n"/>
      <c r="P187" s="22" t="n"/>
      <c r="Q187" s="18">
        <f>IF(OR(B187="",J187=""),"",TODAY()-J187)</f>
        <v/>
      </c>
      <c r="R187" s="26">
        <f>IF(B187="","",IF(OR(K187="Accepted",K187="Rejected",K187="Withdrawn"),K187,IF(K187="Offer",IF(N187="","Offer","Offer, reply by "&amp;DAY(N187)&amp;" "&amp;CHOOSE(MONTH(N187),"Jan","Feb","Mar","Apr","May","Jun","Jul","Aug","Sep","Oct","Nov","Dec")),IF(OR(K187="",K187="Saved"),IF(N187="","To apply",IF(N187&lt;TODAY(),"Closing date passed","Apply by "&amp;DAY(N187)&amp;" "&amp;CHOOSE(MONTH(N187),"Jan","Feb","Mar","Apr","May","Jun","Jul","Aug","Sep","Oct","Nov","Dec"))),IF(AND(N187="",T187&gt;0,TODAY()-T187&gt;=N(Settings!$C$6)),"No reply",IF(U187="","Waiting",IF(U187&lt;TODAY(),"Follow up",IF(U187-TODAY()&lt;=2,"Due "&amp;DAY(U187)&amp;" "&amp;CHOOSE(MONTH(U187),"Jan","Feb","Mar","Apr","May","Jun","Jul","Aug","Sep","Oct","Nov","Dec"),"Waiting"))))))))</f>
        <v/>
      </c>
      <c r="S187" s="1" t="n"/>
      <c r="T187">
        <f>MAX(N(J187),N(L187))</f>
        <v/>
      </c>
      <c r="U187">
        <f>IF(N187&lt;&gt;"",N187,IF(T187=0,"",T187+N(Settings!$C$5)))</f>
        <v/>
      </c>
      <c r="V187">
        <f>IF(AND(B187&lt;&gt;"",U187&lt;&gt;"",OR(R187="Follow up",LEFT(R187,3)="Due",R187="Waiting",LEFT(R187,5)="Apply",LEFT(R187,5)="Offer")),U187+ROW()/10000000,"")</f>
        <v/>
      </c>
      <c r="W187">
        <f>IF(B187="","",IF(M187&lt;&gt;"",M187,IF(OR(K187="",K187="Saved"),"Apply",IF(K187="Offer","Reply to the offer","Follow up"))))</f>
        <v/>
      </c>
    </row>
    <row r="188">
      <c r="A188" s="1" t="n"/>
      <c r="B188" s="21" t="n"/>
      <c r="C188" s="22" t="n"/>
      <c r="D188" s="22" t="n"/>
      <c r="E188" s="22" t="n"/>
      <c r="F188" s="23" t="n"/>
      <c r="G188" s="23" t="n"/>
      <c r="H188" s="22" t="n"/>
      <c r="I188" s="24" t="n"/>
      <c r="J188" s="24" t="n"/>
      <c r="K188" s="25" t="n"/>
      <c r="L188" s="24" t="n"/>
      <c r="M188" s="22" t="n"/>
      <c r="N188" s="24" t="n"/>
      <c r="O188" s="25" t="n"/>
      <c r="P188" s="22" t="n"/>
      <c r="Q188" s="18">
        <f>IF(OR(B188="",J188=""),"",TODAY()-J188)</f>
        <v/>
      </c>
      <c r="R188" s="26">
        <f>IF(B188="","",IF(OR(K188="Accepted",K188="Rejected",K188="Withdrawn"),K188,IF(K188="Offer",IF(N188="","Offer","Offer, reply by "&amp;DAY(N188)&amp;" "&amp;CHOOSE(MONTH(N188),"Jan","Feb","Mar","Apr","May","Jun","Jul","Aug","Sep","Oct","Nov","Dec")),IF(OR(K188="",K188="Saved"),IF(N188="","To apply",IF(N188&lt;TODAY(),"Closing date passed","Apply by "&amp;DAY(N188)&amp;" "&amp;CHOOSE(MONTH(N188),"Jan","Feb","Mar","Apr","May","Jun","Jul","Aug","Sep","Oct","Nov","Dec"))),IF(AND(N188="",T188&gt;0,TODAY()-T188&gt;=N(Settings!$C$6)),"No reply",IF(U188="","Waiting",IF(U188&lt;TODAY(),"Follow up",IF(U188-TODAY()&lt;=2,"Due "&amp;DAY(U188)&amp;" "&amp;CHOOSE(MONTH(U188),"Jan","Feb","Mar","Apr","May","Jun","Jul","Aug","Sep","Oct","Nov","Dec"),"Waiting"))))))))</f>
        <v/>
      </c>
      <c r="S188" s="1" t="n"/>
      <c r="T188">
        <f>MAX(N(J188),N(L188))</f>
        <v/>
      </c>
      <c r="U188">
        <f>IF(N188&lt;&gt;"",N188,IF(T188=0,"",T188+N(Settings!$C$5)))</f>
        <v/>
      </c>
      <c r="V188">
        <f>IF(AND(B188&lt;&gt;"",U188&lt;&gt;"",OR(R188="Follow up",LEFT(R188,3)="Due",R188="Waiting",LEFT(R188,5)="Apply",LEFT(R188,5)="Offer")),U188+ROW()/10000000,"")</f>
        <v/>
      </c>
      <c r="W188">
        <f>IF(B188="","",IF(M188&lt;&gt;"",M188,IF(OR(K188="",K188="Saved"),"Apply",IF(K188="Offer","Reply to the offer","Follow up"))))</f>
        <v/>
      </c>
    </row>
    <row r="189">
      <c r="A189" s="1" t="n"/>
      <c r="B189" s="21" t="n"/>
      <c r="C189" s="22" t="n"/>
      <c r="D189" s="22" t="n"/>
      <c r="E189" s="22" t="n"/>
      <c r="F189" s="23" t="n"/>
      <c r="G189" s="23" t="n"/>
      <c r="H189" s="22" t="n"/>
      <c r="I189" s="24" t="n"/>
      <c r="J189" s="24" t="n"/>
      <c r="K189" s="25" t="n"/>
      <c r="L189" s="24" t="n"/>
      <c r="M189" s="22" t="n"/>
      <c r="N189" s="24" t="n"/>
      <c r="O189" s="25" t="n"/>
      <c r="P189" s="22" t="n"/>
      <c r="Q189" s="18">
        <f>IF(OR(B189="",J189=""),"",TODAY()-J189)</f>
        <v/>
      </c>
      <c r="R189" s="26">
        <f>IF(B189="","",IF(OR(K189="Accepted",K189="Rejected",K189="Withdrawn"),K189,IF(K189="Offer",IF(N189="","Offer","Offer, reply by "&amp;DAY(N189)&amp;" "&amp;CHOOSE(MONTH(N189),"Jan","Feb","Mar","Apr","May","Jun","Jul","Aug","Sep","Oct","Nov","Dec")),IF(OR(K189="",K189="Saved"),IF(N189="","To apply",IF(N189&lt;TODAY(),"Closing date passed","Apply by "&amp;DAY(N189)&amp;" "&amp;CHOOSE(MONTH(N189),"Jan","Feb","Mar","Apr","May","Jun","Jul","Aug","Sep","Oct","Nov","Dec"))),IF(AND(N189="",T189&gt;0,TODAY()-T189&gt;=N(Settings!$C$6)),"No reply",IF(U189="","Waiting",IF(U189&lt;TODAY(),"Follow up",IF(U189-TODAY()&lt;=2,"Due "&amp;DAY(U189)&amp;" "&amp;CHOOSE(MONTH(U189),"Jan","Feb","Mar","Apr","May","Jun","Jul","Aug","Sep","Oct","Nov","Dec"),"Waiting"))))))))</f>
        <v/>
      </c>
      <c r="S189" s="1" t="n"/>
      <c r="T189">
        <f>MAX(N(J189),N(L189))</f>
        <v/>
      </c>
      <c r="U189">
        <f>IF(N189&lt;&gt;"",N189,IF(T189=0,"",T189+N(Settings!$C$5)))</f>
        <v/>
      </c>
      <c r="V189">
        <f>IF(AND(B189&lt;&gt;"",U189&lt;&gt;"",OR(R189="Follow up",LEFT(R189,3)="Due",R189="Waiting",LEFT(R189,5)="Apply",LEFT(R189,5)="Offer")),U189+ROW()/10000000,"")</f>
        <v/>
      </c>
      <c r="W189">
        <f>IF(B189="","",IF(M189&lt;&gt;"",M189,IF(OR(K189="",K189="Saved"),"Apply",IF(K189="Offer","Reply to the offer","Follow up"))))</f>
        <v/>
      </c>
    </row>
    <row r="190">
      <c r="A190" s="1" t="n"/>
      <c r="B190" s="21" t="n"/>
      <c r="C190" s="22" t="n"/>
      <c r="D190" s="22" t="n"/>
      <c r="E190" s="22" t="n"/>
      <c r="F190" s="23" t="n"/>
      <c r="G190" s="23" t="n"/>
      <c r="H190" s="22" t="n"/>
      <c r="I190" s="24" t="n"/>
      <c r="J190" s="24" t="n"/>
      <c r="K190" s="25" t="n"/>
      <c r="L190" s="24" t="n"/>
      <c r="M190" s="22" t="n"/>
      <c r="N190" s="24" t="n"/>
      <c r="O190" s="25" t="n"/>
      <c r="P190" s="22" t="n"/>
      <c r="Q190" s="18">
        <f>IF(OR(B190="",J190=""),"",TODAY()-J190)</f>
        <v/>
      </c>
      <c r="R190" s="26">
        <f>IF(B190="","",IF(OR(K190="Accepted",K190="Rejected",K190="Withdrawn"),K190,IF(K190="Offer",IF(N190="","Offer","Offer, reply by "&amp;DAY(N190)&amp;" "&amp;CHOOSE(MONTH(N190),"Jan","Feb","Mar","Apr","May","Jun","Jul","Aug","Sep","Oct","Nov","Dec")),IF(OR(K190="",K190="Saved"),IF(N190="","To apply",IF(N190&lt;TODAY(),"Closing date passed","Apply by "&amp;DAY(N190)&amp;" "&amp;CHOOSE(MONTH(N190),"Jan","Feb","Mar","Apr","May","Jun","Jul","Aug","Sep","Oct","Nov","Dec"))),IF(AND(N190="",T190&gt;0,TODAY()-T190&gt;=N(Settings!$C$6)),"No reply",IF(U190="","Waiting",IF(U190&lt;TODAY(),"Follow up",IF(U190-TODAY()&lt;=2,"Due "&amp;DAY(U190)&amp;" "&amp;CHOOSE(MONTH(U190),"Jan","Feb","Mar","Apr","May","Jun","Jul","Aug","Sep","Oct","Nov","Dec"),"Waiting"))))))))</f>
        <v/>
      </c>
      <c r="S190" s="1" t="n"/>
      <c r="T190">
        <f>MAX(N(J190),N(L190))</f>
        <v/>
      </c>
      <c r="U190">
        <f>IF(N190&lt;&gt;"",N190,IF(T190=0,"",T190+N(Settings!$C$5)))</f>
        <v/>
      </c>
      <c r="V190">
        <f>IF(AND(B190&lt;&gt;"",U190&lt;&gt;"",OR(R190="Follow up",LEFT(R190,3)="Due",R190="Waiting",LEFT(R190,5)="Apply",LEFT(R190,5)="Offer")),U190+ROW()/10000000,"")</f>
        <v/>
      </c>
      <c r="W190">
        <f>IF(B190="","",IF(M190&lt;&gt;"",M190,IF(OR(K190="",K190="Saved"),"Apply",IF(K190="Offer","Reply to the offer","Follow up"))))</f>
        <v/>
      </c>
    </row>
    <row r="191">
      <c r="A191" s="1" t="n"/>
      <c r="B191" s="21" t="n"/>
      <c r="C191" s="22" t="n"/>
      <c r="D191" s="22" t="n"/>
      <c r="E191" s="22" t="n"/>
      <c r="F191" s="23" t="n"/>
      <c r="G191" s="23" t="n"/>
      <c r="H191" s="22" t="n"/>
      <c r="I191" s="24" t="n"/>
      <c r="J191" s="24" t="n"/>
      <c r="K191" s="25" t="n"/>
      <c r="L191" s="24" t="n"/>
      <c r="M191" s="22" t="n"/>
      <c r="N191" s="24" t="n"/>
      <c r="O191" s="25" t="n"/>
      <c r="P191" s="22" t="n"/>
      <c r="Q191" s="18">
        <f>IF(OR(B191="",J191=""),"",TODAY()-J191)</f>
        <v/>
      </c>
      <c r="R191" s="26">
        <f>IF(B191="","",IF(OR(K191="Accepted",K191="Rejected",K191="Withdrawn"),K191,IF(K191="Offer",IF(N191="","Offer","Offer, reply by "&amp;DAY(N191)&amp;" "&amp;CHOOSE(MONTH(N191),"Jan","Feb","Mar","Apr","May","Jun","Jul","Aug","Sep","Oct","Nov","Dec")),IF(OR(K191="",K191="Saved"),IF(N191="","To apply",IF(N191&lt;TODAY(),"Closing date passed","Apply by "&amp;DAY(N191)&amp;" "&amp;CHOOSE(MONTH(N191),"Jan","Feb","Mar","Apr","May","Jun","Jul","Aug","Sep","Oct","Nov","Dec"))),IF(AND(N191="",T191&gt;0,TODAY()-T191&gt;=N(Settings!$C$6)),"No reply",IF(U191="","Waiting",IF(U191&lt;TODAY(),"Follow up",IF(U191-TODAY()&lt;=2,"Due "&amp;DAY(U191)&amp;" "&amp;CHOOSE(MONTH(U191),"Jan","Feb","Mar","Apr","May","Jun","Jul","Aug","Sep","Oct","Nov","Dec"),"Waiting"))))))))</f>
        <v/>
      </c>
      <c r="S191" s="1" t="n"/>
      <c r="T191">
        <f>MAX(N(J191),N(L191))</f>
        <v/>
      </c>
      <c r="U191">
        <f>IF(N191&lt;&gt;"",N191,IF(T191=0,"",T191+N(Settings!$C$5)))</f>
        <v/>
      </c>
      <c r="V191">
        <f>IF(AND(B191&lt;&gt;"",U191&lt;&gt;"",OR(R191="Follow up",LEFT(R191,3)="Due",R191="Waiting",LEFT(R191,5)="Apply",LEFT(R191,5)="Offer")),U191+ROW()/10000000,"")</f>
        <v/>
      </c>
      <c r="W191">
        <f>IF(B191="","",IF(M191&lt;&gt;"",M191,IF(OR(K191="",K191="Saved"),"Apply",IF(K191="Offer","Reply to the offer","Follow up"))))</f>
        <v/>
      </c>
    </row>
    <row r="192">
      <c r="A192" s="1" t="n"/>
      <c r="B192" s="21" t="n"/>
      <c r="C192" s="22" t="n"/>
      <c r="D192" s="22" t="n"/>
      <c r="E192" s="22" t="n"/>
      <c r="F192" s="23" t="n"/>
      <c r="G192" s="23" t="n"/>
      <c r="H192" s="22" t="n"/>
      <c r="I192" s="24" t="n"/>
      <c r="J192" s="24" t="n"/>
      <c r="K192" s="25" t="n"/>
      <c r="L192" s="24" t="n"/>
      <c r="M192" s="22" t="n"/>
      <c r="N192" s="24" t="n"/>
      <c r="O192" s="25" t="n"/>
      <c r="P192" s="22" t="n"/>
      <c r="Q192" s="18">
        <f>IF(OR(B192="",J192=""),"",TODAY()-J192)</f>
        <v/>
      </c>
      <c r="R192" s="26">
        <f>IF(B192="","",IF(OR(K192="Accepted",K192="Rejected",K192="Withdrawn"),K192,IF(K192="Offer",IF(N192="","Offer","Offer, reply by "&amp;DAY(N192)&amp;" "&amp;CHOOSE(MONTH(N192),"Jan","Feb","Mar","Apr","May","Jun","Jul","Aug","Sep","Oct","Nov","Dec")),IF(OR(K192="",K192="Saved"),IF(N192="","To apply",IF(N192&lt;TODAY(),"Closing date passed","Apply by "&amp;DAY(N192)&amp;" "&amp;CHOOSE(MONTH(N192),"Jan","Feb","Mar","Apr","May","Jun","Jul","Aug","Sep","Oct","Nov","Dec"))),IF(AND(N192="",T192&gt;0,TODAY()-T192&gt;=N(Settings!$C$6)),"No reply",IF(U192="","Waiting",IF(U192&lt;TODAY(),"Follow up",IF(U192-TODAY()&lt;=2,"Due "&amp;DAY(U192)&amp;" "&amp;CHOOSE(MONTH(U192),"Jan","Feb","Mar","Apr","May","Jun","Jul","Aug","Sep","Oct","Nov","Dec"),"Waiting"))))))))</f>
        <v/>
      </c>
      <c r="S192" s="1" t="n"/>
      <c r="T192">
        <f>MAX(N(J192),N(L192))</f>
        <v/>
      </c>
      <c r="U192">
        <f>IF(N192&lt;&gt;"",N192,IF(T192=0,"",T192+N(Settings!$C$5)))</f>
        <v/>
      </c>
      <c r="V192">
        <f>IF(AND(B192&lt;&gt;"",U192&lt;&gt;"",OR(R192="Follow up",LEFT(R192,3)="Due",R192="Waiting",LEFT(R192,5)="Apply",LEFT(R192,5)="Offer")),U192+ROW()/10000000,"")</f>
        <v/>
      </c>
      <c r="W192">
        <f>IF(B192="","",IF(M192&lt;&gt;"",M192,IF(OR(K192="",K192="Saved"),"Apply",IF(K192="Offer","Reply to the offer","Follow up"))))</f>
        <v/>
      </c>
    </row>
    <row r="193">
      <c r="A193" s="1" t="n"/>
      <c r="B193" s="21" t="n"/>
      <c r="C193" s="22" t="n"/>
      <c r="D193" s="22" t="n"/>
      <c r="E193" s="22" t="n"/>
      <c r="F193" s="23" t="n"/>
      <c r="G193" s="23" t="n"/>
      <c r="H193" s="22" t="n"/>
      <c r="I193" s="24" t="n"/>
      <c r="J193" s="24" t="n"/>
      <c r="K193" s="25" t="n"/>
      <c r="L193" s="24" t="n"/>
      <c r="M193" s="22" t="n"/>
      <c r="N193" s="24" t="n"/>
      <c r="O193" s="25" t="n"/>
      <c r="P193" s="22" t="n"/>
      <c r="Q193" s="18">
        <f>IF(OR(B193="",J193=""),"",TODAY()-J193)</f>
        <v/>
      </c>
      <c r="R193" s="26">
        <f>IF(B193="","",IF(OR(K193="Accepted",K193="Rejected",K193="Withdrawn"),K193,IF(K193="Offer",IF(N193="","Offer","Offer, reply by "&amp;DAY(N193)&amp;" "&amp;CHOOSE(MONTH(N193),"Jan","Feb","Mar","Apr","May","Jun","Jul","Aug","Sep","Oct","Nov","Dec")),IF(OR(K193="",K193="Saved"),IF(N193="","To apply",IF(N193&lt;TODAY(),"Closing date passed","Apply by "&amp;DAY(N193)&amp;" "&amp;CHOOSE(MONTH(N193),"Jan","Feb","Mar","Apr","May","Jun","Jul","Aug","Sep","Oct","Nov","Dec"))),IF(AND(N193="",T193&gt;0,TODAY()-T193&gt;=N(Settings!$C$6)),"No reply",IF(U193="","Waiting",IF(U193&lt;TODAY(),"Follow up",IF(U193-TODAY()&lt;=2,"Due "&amp;DAY(U193)&amp;" "&amp;CHOOSE(MONTH(U193),"Jan","Feb","Mar","Apr","May","Jun","Jul","Aug","Sep","Oct","Nov","Dec"),"Waiting"))))))))</f>
        <v/>
      </c>
      <c r="S193" s="1" t="n"/>
      <c r="T193">
        <f>MAX(N(J193),N(L193))</f>
        <v/>
      </c>
      <c r="U193">
        <f>IF(N193&lt;&gt;"",N193,IF(T193=0,"",T193+N(Settings!$C$5)))</f>
        <v/>
      </c>
      <c r="V193">
        <f>IF(AND(B193&lt;&gt;"",U193&lt;&gt;"",OR(R193="Follow up",LEFT(R193,3)="Due",R193="Waiting",LEFT(R193,5)="Apply",LEFT(R193,5)="Offer")),U193+ROW()/10000000,"")</f>
        <v/>
      </c>
      <c r="W193">
        <f>IF(B193="","",IF(M193&lt;&gt;"",M193,IF(OR(K193="",K193="Saved"),"Apply",IF(K193="Offer","Reply to the offer","Follow up"))))</f>
        <v/>
      </c>
    </row>
    <row r="194">
      <c r="A194" s="1" t="n"/>
      <c r="B194" s="21" t="n"/>
      <c r="C194" s="22" t="n"/>
      <c r="D194" s="22" t="n"/>
      <c r="E194" s="22" t="n"/>
      <c r="F194" s="23" t="n"/>
      <c r="G194" s="23" t="n"/>
      <c r="H194" s="22" t="n"/>
      <c r="I194" s="24" t="n"/>
      <c r="J194" s="24" t="n"/>
      <c r="K194" s="25" t="n"/>
      <c r="L194" s="24" t="n"/>
      <c r="M194" s="22" t="n"/>
      <c r="N194" s="24" t="n"/>
      <c r="O194" s="25" t="n"/>
      <c r="P194" s="22" t="n"/>
      <c r="Q194" s="18">
        <f>IF(OR(B194="",J194=""),"",TODAY()-J194)</f>
        <v/>
      </c>
      <c r="R194" s="26">
        <f>IF(B194="","",IF(OR(K194="Accepted",K194="Rejected",K194="Withdrawn"),K194,IF(K194="Offer",IF(N194="","Offer","Offer, reply by "&amp;DAY(N194)&amp;" "&amp;CHOOSE(MONTH(N194),"Jan","Feb","Mar","Apr","May","Jun","Jul","Aug","Sep","Oct","Nov","Dec")),IF(OR(K194="",K194="Saved"),IF(N194="","To apply",IF(N194&lt;TODAY(),"Closing date passed","Apply by "&amp;DAY(N194)&amp;" "&amp;CHOOSE(MONTH(N194),"Jan","Feb","Mar","Apr","May","Jun","Jul","Aug","Sep","Oct","Nov","Dec"))),IF(AND(N194="",T194&gt;0,TODAY()-T194&gt;=N(Settings!$C$6)),"No reply",IF(U194="","Waiting",IF(U194&lt;TODAY(),"Follow up",IF(U194-TODAY()&lt;=2,"Due "&amp;DAY(U194)&amp;" "&amp;CHOOSE(MONTH(U194),"Jan","Feb","Mar","Apr","May","Jun","Jul","Aug","Sep","Oct","Nov","Dec"),"Waiting"))))))))</f>
        <v/>
      </c>
      <c r="S194" s="1" t="n"/>
      <c r="T194">
        <f>MAX(N(J194),N(L194))</f>
        <v/>
      </c>
      <c r="U194">
        <f>IF(N194&lt;&gt;"",N194,IF(T194=0,"",T194+N(Settings!$C$5)))</f>
        <v/>
      </c>
      <c r="V194">
        <f>IF(AND(B194&lt;&gt;"",U194&lt;&gt;"",OR(R194="Follow up",LEFT(R194,3)="Due",R194="Waiting",LEFT(R194,5)="Apply",LEFT(R194,5)="Offer")),U194+ROW()/10000000,"")</f>
        <v/>
      </c>
      <c r="W194">
        <f>IF(B194="","",IF(M194&lt;&gt;"",M194,IF(OR(K194="",K194="Saved"),"Apply",IF(K194="Offer","Reply to the offer","Follow up"))))</f>
        <v/>
      </c>
    </row>
    <row r="195">
      <c r="A195" s="1" t="n"/>
      <c r="B195" s="21" t="n"/>
      <c r="C195" s="22" t="n"/>
      <c r="D195" s="22" t="n"/>
      <c r="E195" s="22" t="n"/>
      <c r="F195" s="23" t="n"/>
      <c r="G195" s="23" t="n"/>
      <c r="H195" s="22" t="n"/>
      <c r="I195" s="24" t="n"/>
      <c r="J195" s="24" t="n"/>
      <c r="K195" s="25" t="n"/>
      <c r="L195" s="24" t="n"/>
      <c r="M195" s="22" t="n"/>
      <c r="N195" s="24" t="n"/>
      <c r="O195" s="25" t="n"/>
      <c r="P195" s="22" t="n"/>
      <c r="Q195" s="18">
        <f>IF(OR(B195="",J195=""),"",TODAY()-J195)</f>
        <v/>
      </c>
      <c r="R195" s="26">
        <f>IF(B195="","",IF(OR(K195="Accepted",K195="Rejected",K195="Withdrawn"),K195,IF(K195="Offer",IF(N195="","Offer","Offer, reply by "&amp;DAY(N195)&amp;" "&amp;CHOOSE(MONTH(N195),"Jan","Feb","Mar","Apr","May","Jun","Jul","Aug","Sep","Oct","Nov","Dec")),IF(OR(K195="",K195="Saved"),IF(N195="","To apply",IF(N195&lt;TODAY(),"Closing date passed","Apply by "&amp;DAY(N195)&amp;" "&amp;CHOOSE(MONTH(N195),"Jan","Feb","Mar","Apr","May","Jun","Jul","Aug","Sep","Oct","Nov","Dec"))),IF(AND(N195="",T195&gt;0,TODAY()-T195&gt;=N(Settings!$C$6)),"No reply",IF(U195="","Waiting",IF(U195&lt;TODAY(),"Follow up",IF(U195-TODAY()&lt;=2,"Due "&amp;DAY(U195)&amp;" "&amp;CHOOSE(MONTH(U195),"Jan","Feb","Mar","Apr","May","Jun","Jul","Aug","Sep","Oct","Nov","Dec"),"Waiting"))))))))</f>
        <v/>
      </c>
      <c r="S195" s="1" t="n"/>
      <c r="T195">
        <f>MAX(N(J195),N(L195))</f>
        <v/>
      </c>
      <c r="U195">
        <f>IF(N195&lt;&gt;"",N195,IF(T195=0,"",T195+N(Settings!$C$5)))</f>
        <v/>
      </c>
      <c r="V195">
        <f>IF(AND(B195&lt;&gt;"",U195&lt;&gt;"",OR(R195="Follow up",LEFT(R195,3)="Due",R195="Waiting",LEFT(R195,5)="Apply",LEFT(R195,5)="Offer")),U195+ROW()/10000000,"")</f>
        <v/>
      </c>
      <c r="W195">
        <f>IF(B195="","",IF(M195&lt;&gt;"",M195,IF(OR(K195="",K195="Saved"),"Apply",IF(K195="Offer","Reply to the offer","Follow up"))))</f>
        <v/>
      </c>
    </row>
    <row r="196">
      <c r="A196" s="1" t="n"/>
      <c r="B196" s="21" t="n"/>
      <c r="C196" s="22" t="n"/>
      <c r="D196" s="22" t="n"/>
      <c r="E196" s="22" t="n"/>
      <c r="F196" s="23" t="n"/>
      <c r="G196" s="23" t="n"/>
      <c r="H196" s="22" t="n"/>
      <c r="I196" s="24" t="n"/>
      <c r="J196" s="24" t="n"/>
      <c r="K196" s="25" t="n"/>
      <c r="L196" s="24" t="n"/>
      <c r="M196" s="22" t="n"/>
      <c r="N196" s="24" t="n"/>
      <c r="O196" s="25" t="n"/>
      <c r="P196" s="22" t="n"/>
      <c r="Q196" s="18">
        <f>IF(OR(B196="",J196=""),"",TODAY()-J196)</f>
        <v/>
      </c>
      <c r="R196" s="26">
        <f>IF(B196="","",IF(OR(K196="Accepted",K196="Rejected",K196="Withdrawn"),K196,IF(K196="Offer",IF(N196="","Offer","Offer, reply by "&amp;DAY(N196)&amp;" "&amp;CHOOSE(MONTH(N196),"Jan","Feb","Mar","Apr","May","Jun","Jul","Aug","Sep","Oct","Nov","Dec")),IF(OR(K196="",K196="Saved"),IF(N196="","To apply",IF(N196&lt;TODAY(),"Closing date passed","Apply by "&amp;DAY(N196)&amp;" "&amp;CHOOSE(MONTH(N196),"Jan","Feb","Mar","Apr","May","Jun","Jul","Aug","Sep","Oct","Nov","Dec"))),IF(AND(N196="",T196&gt;0,TODAY()-T196&gt;=N(Settings!$C$6)),"No reply",IF(U196="","Waiting",IF(U196&lt;TODAY(),"Follow up",IF(U196-TODAY()&lt;=2,"Due "&amp;DAY(U196)&amp;" "&amp;CHOOSE(MONTH(U196),"Jan","Feb","Mar","Apr","May","Jun","Jul","Aug","Sep","Oct","Nov","Dec"),"Waiting"))))))))</f>
        <v/>
      </c>
      <c r="S196" s="1" t="n"/>
      <c r="T196">
        <f>MAX(N(J196),N(L196))</f>
        <v/>
      </c>
      <c r="U196">
        <f>IF(N196&lt;&gt;"",N196,IF(T196=0,"",T196+N(Settings!$C$5)))</f>
        <v/>
      </c>
      <c r="V196">
        <f>IF(AND(B196&lt;&gt;"",U196&lt;&gt;"",OR(R196="Follow up",LEFT(R196,3)="Due",R196="Waiting",LEFT(R196,5)="Apply",LEFT(R196,5)="Offer")),U196+ROW()/10000000,"")</f>
        <v/>
      </c>
      <c r="W196">
        <f>IF(B196="","",IF(M196&lt;&gt;"",M196,IF(OR(K196="",K196="Saved"),"Apply",IF(K196="Offer","Reply to the offer","Follow up"))))</f>
        <v/>
      </c>
    </row>
    <row r="197">
      <c r="A197" s="1" t="n"/>
      <c r="B197" s="21" t="n"/>
      <c r="C197" s="22" t="n"/>
      <c r="D197" s="22" t="n"/>
      <c r="E197" s="22" t="n"/>
      <c r="F197" s="23" t="n"/>
      <c r="G197" s="23" t="n"/>
      <c r="H197" s="22" t="n"/>
      <c r="I197" s="24" t="n"/>
      <c r="J197" s="24" t="n"/>
      <c r="K197" s="25" t="n"/>
      <c r="L197" s="24" t="n"/>
      <c r="M197" s="22" t="n"/>
      <c r="N197" s="24" t="n"/>
      <c r="O197" s="25" t="n"/>
      <c r="P197" s="22" t="n"/>
      <c r="Q197" s="18">
        <f>IF(OR(B197="",J197=""),"",TODAY()-J197)</f>
        <v/>
      </c>
      <c r="R197" s="26">
        <f>IF(B197="","",IF(OR(K197="Accepted",K197="Rejected",K197="Withdrawn"),K197,IF(K197="Offer",IF(N197="","Offer","Offer, reply by "&amp;DAY(N197)&amp;" "&amp;CHOOSE(MONTH(N197),"Jan","Feb","Mar","Apr","May","Jun","Jul","Aug","Sep","Oct","Nov","Dec")),IF(OR(K197="",K197="Saved"),IF(N197="","To apply",IF(N197&lt;TODAY(),"Closing date passed","Apply by "&amp;DAY(N197)&amp;" "&amp;CHOOSE(MONTH(N197),"Jan","Feb","Mar","Apr","May","Jun","Jul","Aug","Sep","Oct","Nov","Dec"))),IF(AND(N197="",T197&gt;0,TODAY()-T197&gt;=N(Settings!$C$6)),"No reply",IF(U197="","Waiting",IF(U197&lt;TODAY(),"Follow up",IF(U197-TODAY()&lt;=2,"Due "&amp;DAY(U197)&amp;" "&amp;CHOOSE(MONTH(U197),"Jan","Feb","Mar","Apr","May","Jun","Jul","Aug","Sep","Oct","Nov","Dec"),"Waiting"))))))))</f>
        <v/>
      </c>
      <c r="S197" s="1" t="n"/>
      <c r="T197">
        <f>MAX(N(J197),N(L197))</f>
        <v/>
      </c>
      <c r="U197">
        <f>IF(N197&lt;&gt;"",N197,IF(T197=0,"",T197+N(Settings!$C$5)))</f>
        <v/>
      </c>
      <c r="V197">
        <f>IF(AND(B197&lt;&gt;"",U197&lt;&gt;"",OR(R197="Follow up",LEFT(R197,3)="Due",R197="Waiting",LEFT(R197,5)="Apply",LEFT(R197,5)="Offer")),U197+ROW()/10000000,"")</f>
        <v/>
      </c>
      <c r="W197">
        <f>IF(B197="","",IF(M197&lt;&gt;"",M197,IF(OR(K197="",K197="Saved"),"Apply",IF(K197="Offer","Reply to the offer","Follow up"))))</f>
        <v/>
      </c>
    </row>
    <row r="198">
      <c r="A198" s="1" t="n"/>
      <c r="B198" s="21" t="n"/>
      <c r="C198" s="22" t="n"/>
      <c r="D198" s="22" t="n"/>
      <c r="E198" s="22" t="n"/>
      <c r="F198" s="23" t="n"/>
      <c r="G198" s="23" t="n"/>
      <c r="H198" s="22" t="n"/>
      <c r="I198" s="24" t="n"/>
      <c r="J198" s="24" t="n"/>
      <c r="K198" s="25" t="n"/>
      <c r="L198" s="24" t="n"/>
      <c r="M198" s="22" t="n"/>
      <c r="N198" s="24" t="n"/>
      <c r="O198" s="25" t="n"/>
      <c r="P198" s="22" t="n"/>
      <c r="Q198" s="18">
        <f>IF(OR(B198="",J198=""),"",TODAY()-J198)</f>
        <v/>
      </c>
      <c r="R198" s="26">
        <f>IF(B198="","",IF(OR(K198="Accepted",K198="Rejected",K198="Withdrawn"),K198,IF(K198="Offer",IF(N198="","Offer","Offer, reply by "&amp;DAY(N198)&amp;" "&amp;CHOOSE(MONTH(N198),"Jan","Feb","Mar","Apr","May","Jun","Jul","Aug","Sep","Oct","Nov","Dec")),IF(OR(K198="",K198="Saved"),IF(N198="","To apply",IF(N198&lt;TODAY(),"Closing date passed","Apply by "&amp;DAY(N198)&amp;" "&amp;CHOOSE(MONTH(N198),"Jan","Feb","Mar","Apr","May","Jun","Jul","Aug","Sep","Oct","Nov","Dec"))),IF(AND(N198="",T198&gt;0,TODAY()-T198&gt;=N(Settings!$C$6)),"No reply",IF(U198="","Waiting",IF(U198&lt;TODAY(),"Follow up",IF(U198-TODAY()&lt;=2,"Due "&amp;DAY(U198)&amp;" "&amp;CHOOSE(MONTH(U198),"Jan","Feb","Mar","Apr","May","Jun","Jul","Aug","Sep","Oct","Nov","Dec"),"Waiting"))))))))</f>
        <v/>
      </c>
      <c r="S198" s="1" t="n"/>
      <c r="T198">
        <f>MAX(N(J198),N(L198))</f>
        <v/>
      </c>
      <c r="U198">
        <f>IF(N198&lt;&gt;"",N198,IF(T198=0,"",T198+N(Settings!$C$5)))</f>
        <v/>
      </c>
      <c r="V198">
        <f>IF(AND(B198&lt;&gt;"",U198&lt;&gt;"",OR(R198="Follow up",LEFT(R198,3)="Due",R198="Waiting",LEFT(R198,5)="Apply",LEFT(R198,5)="Offer")),U198+ROW()/10000000,"")</f>
        <v/>
      </c>
      <c r="W198">
        <f>IF(B198="","",IF(M198&lt;&gt;"",M198,IF(OR(K198="",K198="Saved"),"Apply",IF(K198="Offer","Reply to the offer","Follow up"))))</f>
        <v/>
      </c>
    </row>
    <row r="199">
      <c r="A199" s="1" t="n"/>
      <c r="B199" s="21" t="n"/>
      <c r="C199" s="22" t="n"/>
      <c r="D199" s="22" t="n"/>
      <c r="E199" s="22" t="n"/>
      <c r="F199" s="23" t="n"/>
      <c r="G199" s="23" t="n"/>
      <c r="H199" s="22" t="n"/>
      <c r="I199" s="24" t="n"/>
      <c r="J199" s="24" t="n"/>
      <c r="K199" s="25" t="n"/>
      <c r="L199" s="24" t="n"/>
      <c r="M199" s="22" t="n"/>
      <c r="N199" s="24" t="n"/>
      <c r="O199" s="25" t="n"/>
      <c r="P199" s="22" t="n"/>
      <c r="Q199" s="18">
        <f>IF(OR(B199="",J199=""),"",TODAY()-J199)</f>
        <v/>
      </c>
      <c r="R199" s="26">
        <f>IF(B199="","",IF(OR(K199="Accepted",K199="Rejected",K199="Withdrawn"),K199,IF(K199="Offer",IF(N199="","Offer","Offer, reply by "&amp;DAY(N199)&amp;" "&amp;CHOOSE(MONTH(N199),"Jan","Feb","Mar","Apr","May","Jun","Jul","Aug","Sep","Oct","Nov","Dec")),IF(OR(K199="",K199="Saved"),IF(N199="","To apply",IF(N199&lt;TODAY(),"Closing date passed","Apply by "&amp;DAY(N199)&amp;" "&amp;CHOOSE(MONTH(N199),"Jan","Feb","Mar","Apr","May","Jun","Jul","Aug","Sep","Oct","Nov","Dec"))),IF(AND(N199="",T199&gt;0,TODAY()-T199&gt;=N(Settings!$C$6)),"No reply",IF(U199="","Waiting",IF(U199&lt;TODAY(),"Follow up",IF(U199-TODAY()&lt;=2,"Due "&amp;DAY(U199)&amp;" "&amp;CHOOSE(MONTH(U199),"Jan","Feb","Mar","Apr","May","Jun","Jul","Aug","Sep","Oct","Nov","Dec"),"Waiting"))))))))</f>
        <v/>
      </c>
      <c r="S199" s="1" t="n"/>
      <c r="T199">
        <f>MAX(N(J199),N(L199))</f>
        <v/>
      </c>
      <c r="U199">
        <f>IF(N199&lt;&gt;"",N199,IF(T199=0,"",T199+N(Settings!$C$5)))</f>
        <v/>
      </c>
      <c r="V199">
        <f>IF(AND(B199&lt;&gt;"",U199&lt;&gt;"",OR(R199="Follow up",LEFT(R199,3)="Due",R199="Waiting",LEFT(R199,5)="Apply",LEFT(R199,5)="Offer")),U199+ROW()/10000000,"")</f>
        <v/>
      </c>
      <c r="W199">
        <f>IF(B199="","",IF(M199&lt;&gt;"",M199,IF(OR(K199="",K199="Saved"),"Apply",IF(K199="Offer","Reply to the offer","Follow up"))))</f>
        <v/>
      </c>
    </row>
    <row r="200">
      <c r="A200" s="1" t="n"/>
      <c r="B200" s="21" t="n"/>
      <c r="C200" s="22" t="n"/>
      <c r="D200" s="22" t="n"/>
      <c r="E200" s="22" t="n"/>
      <c r="F200" s="23" t="n"/>
      <c r="G200" s="23" t="n"/>
      <c r="H200" s="22" t="n"/>
      <c r="I200" s="24" t="n"/>
      <c r="J200" s="24" t="n"/>
      <c r="K200" s="25" t="n"/>
      <c r="L200" s="24" t="n"/>
      <c r="M200" s="22" t="n"/>
      <c r="N200" s="24" t="n"/>
      <c r="O200" s="25" t="n"/>
      <c r="P200" s="22" t="n"/>
      <c r="Q200" s="18">
        <f>IF(OR(B200="",J200=""),"",TODAY()-J200)</f>
        <v/>
      </c>
      <c r="R200" s="26">
        <f>IF(B200="","",IF(OR(K200="Accepted",K200="Rejected",K200="Withdrawn"),K200,IF(K200="Offer",IF(N200="","Offer","Offer, reply by "&amp;DAY(N200)&amp;" "&amp;CHOOSE(MONTH(N200),"Jan","Feb","Mar","Apr","May","Jun","Jul","Aug","Sep","Oct","Nov","Dec")),IF(OR(K200="",K200="Saved"),IF(N200="","To apply",IF(N200&lt;TODAY(),"Closing date passed","Apply by "&amp;DAY(N200)&amp;" "&amp;CHOOSE(MONTH(N200),"Jan","Feb","Mar","Apr","May","Jun","Jul","Aug","Sep","Oct","Nov","Dec"))),IF(AND(N200="",T200&gt;0,TODAY()-T200&gt;=N(Settings!$C$6)),"No reply",IF(U200="","Waiting",IF(U200&lt;TODAY(),"Follow up",IF(U200-TODAY()&lt;=2,"Due "&amp;DAY(U200)&amp;" "&amp;CHOOSE(MONTH(U200),"Jan","Feb","Mar","Apr","May","Jun","Jul","Aug","Sep","Oct","Nov","Dec"),"Waiting"))))))))</f>
        <v/>
      </c>
      <c r="S200" s="1" t="n"/>
      <c r="T200">
        <f>MAX(N(J200),N(L200))</f>
        <v/>
      </c>
      <c r="U200">
        <f>IF(N200&lt;&gt;"",N200,IF(T200=0,"",T200+N(Settings!$C$5)))</f>
        <v/>
      </c>
      <c r="V200">
        <f>IF(AND(B200&lt;&gt;"",U200&lt;&gt;"",OR(R200="Follow up",LEFT(R200,3)="Due",R200="Waiting",LEFT(R200,5)="Apply",LEFT(R200,5)="Offer")),U200+ROW()/10000000,"")</f>
        <v/>
      </c>
      <c r="W200">
        <f>IF(B200="","",IF(M200&lt;&gt;"",M200,IF(OR(K200="",K200="Saved"),"Apply",IF(K200="Offer","Reply to the offer","Follow up"))))</f>
        <v/>
      </c>
    </row>
    <row r="201">
      <c r="A201" s="1" t="n"/>
      <c r="B201" s="21" t="n"/>
      <c r="C201" s="22" t="n"/>
      <c r="D201" s="22" t="n"/>
      <c r="E201" s="22" t="n"/>
      <c r="F201" s="23" t="n"/>
      <c r="G201" s="23" t="n"/>
      <c r="H201" s="22" t="n"/>
      <c r="I201" s="24" t="n"/>
      <c r="J201" s="24" t="n"/>
      <c r="K201" s="25" t="n"/>
      <c r="L201" s="24" t="n"/>
      <c r="M201" s="22" t="n"/>
      <c r="N201" s="24" t="n"/>
      <c r="O201" s="25" t="n"/>
      <c r="P201" s="22" t="n"/>
      <c r="Q201" s="18">
        <f>IF(OR(B201="",J201=""),"",TODAY()-J201)</f>
        <v/>
      </c>
      <c r="R201" s="26">
        <f>IF(B201="","",IF(OR(K201="Accepted",K201="Rejected",K201="Withdrawn"),K201,IF(K201="Offer",IF(N201="","Offer","Offer, reply by "&amp;DAY(N201)&amp;" "&amp;CHOOSE(MONTH(N201),"Jan","Feb","Mar","Apr","May","Jun","Jul","Aug","Sep","Oct","Nov","Dec")),IF(OR(K201="",K201="Saved"),IF(N201="","To apply",IF(N201&lt;TODAY(),"Closing date passed","Apply by "&amp;DAY(N201)&amp;" "&amp;CHOOSE(MONTH(N201),"Jan","Feb","Mar","Apr","May","Jun","Jul","Aug","Sep","Oct","Nov","Dec"))),IF(AND(N201="",T201&gt;0,TODAY()-T201&gt;=N(Settings!$C$6)),"No reply",IF(U201="","Waiting",IF(U201&lt;TODAY(),"Follow up",IF(U201-TODAY()&lt;=2,"Due "&amp;DAY(U201)&amp;" "&amp;CHOOSE(MONTH(U201),"Jan","Feb","Mar","Apr","May","Jun","Jul","Aug","Sep","Oct","Nov","Dec"),"Waiting"))))))))</f>
        <v/>
      </c>
      <c r="S201" s="1" t="n"/>
      <c r="T201">
        <f>MAX(N(J201),N(L201))</f>
        <v/>
      </c>
      <c r="U201">
        <f>IF(N201&lt;&gt;"",N201,IF(T201=0,"",T201+N(Settings!$C$5)))</f>
        <v/>
      </c>
      <c r="V201">
        <f>IF(AND(B201&lt;&gt;"",U201&lt;&gt;"",OR(R201="Follow up",LEFT(R201,3)="Due",R201="Waiting",LEFT(R201,5)="Apply",LEFT(R201,5)="Offer")),U201+ROW()/10000000,"")</f>
        <v/>
      </c>
      <c r="W201">
        <f>IF(B201="","",IF(M201&lt;&gt;"",M201,IF(OR(K201="",K201="Saved"),"Apply",IF(K201="Offer","Reply to the offer","Follow up"))))</f>
        <v/>
      </c>
    </row>
    <row r="202">
      <c r="A202" s="1" t="n"/>
      <c r="B202" s="21" t="n"/>
      <c r="C202" s="22" t="n"/>
      <c r="D202" s="22" t="n"/>
      <c r="E202" s="22" t="n"/>
      <c r="F202" s="23" t="n"/>
      <c r="G202" s="23" t="n"/>
      <c r="H202" s="22" t="n"/>
      <c r="I202" s="24" t="n"/>
      <c r="J202" s="24" t="n"/>
      <c r="K202" s="25" t="n"/>
      <c r="L202" s="24" t="n"/>
      <c r="M202" s="22" t="n"/>
      <c r="N202" s="24" t="n"/>
      <c r="O202" s="25" t="n"/>
      <c r="P202" s="22" t="n"/>
      <c r="Q202" s="18">
        <f>IF(OR(B202="",J202=""),"",TODAY()-J202)</f>
        <v/>
      </c>
      <c r="R202" s="26">
        <f>IF(B202="","",IF(OR(K202="Accepted",K202="Rejected",K202="Withdrawn"),K202,IF(K202="Offer",IF(N202="","Offer","Offer, reply by "&amp;DAY(N202)&amp;" "&amp;CHOOSE(MONTH(N202),"Jan","Feb","Mar","Apr","May","Jun","Jul","Aug","Sep","Oct","Nov","Dec")),IF(OR(K202="",K202="Saved"),IF(N202="","To apply",IF(N202&lt;TODAY(),"Closing date passed","Apply by "&amp;DAY(N202)&amp;" "&amp;CHOOSE(MONTH(N202),"Jan","Feb","Mar","Apr","May","Jun","Jul","Aug","Sep","Oct","Nov","Dec"))),IF(AND(N202="",T202&gt;0,TODAY()-T202&gt;=N(Settings!$C$6)),"No reply",IF(U202="","Waiting",IF(U202&lt;TODAY(),"Follow up",IF(U202-TODAY()&lt;=2,"Due "&amp;DAY(U202)&amp;" "&amp;CHOOSE(MONTH(U202),"Jan","Feb","Mar","Apr","May","Jun","Jul","Aug","Sep","Oct","Nov","Dec"),"Waiting"))))))))</f>
        <v/>
      </c>
      <c r="S202" s="1" t="n"/>
      <c r="T202">
        <f>MAX(N(J202),N(L202))</f>
        <v/>
      </c>
      <c r="U202">
        <f>IF(N202&lt;&gt;"",N202,IF(T202=0,"",T202+N(Settings!$C$5)))</f>
        <v/>
      </c>
      <c r="V202">
        <f>IF(AND(B202&lt;&gt;"",U202&lt;&gt;"",OR(R202="Follow up",LEFT(R202,3)="Due",R202="Waiting",LEFT(R202,5)="Apply",LEFT(R202,5)="Offer")),U202+ROW()/10000000,"")</f>
        <v/>
      </c>
      <c r="W202">
        <f>IF(B202="","",IF(M202&lt;&gt;"",M202,IF(OR(K202="",K202="Saved"),"Apply",IF(K202="Offer","Reply to the offer","Follow up"))))</f>
        <v/>
      </c>
    </row>
    <row r="203">
      <c r="A203" s="1" t="n"/>
      <c r="B203" s="21" t="n"/>
      <c r="C203" s="22" t="n"/>
      <c r="D203" s="22" t="n"/>
      <c r="E203" s="22" t="n"/>
      <c r="F203" s="23" t="n"/>
      <c r="G203" s="23" t="n"/>
      <c r="H203" s="22" t="n"/>
      <c r="I203" s="24" t="n"/>
      <c r="J203" s="24" t="n"/>
      <c r="K203" s="25" t="n"/>
      <c r="L203" s="24" t="n"/>
      <c r="M203" s="22" t="n"/>
      <c r="N203" s="24" t="n"/>
      <c r="O203" s="25" t="n"/>
      <c r="P203" s="22" t="n"/>
      <c r="Q203" s="18">
        <f>IF(OR(B203="",J203=""),"",TODAY()-J203)</f>
        <v/>
      </c>
      <c r="R203" s="26">
        <f>IF(B203="","",IF(OR(K203="Accepted",K203="Rejected",K203="Withdrawn"),K203,IF(K203="Offer",IF(N203="","Offer","Offer, reply by "&amp;DAY(N203)&amp;" "&amp;CHOOSE(MONTH(N203),"Jan","Feb","Mar","Apr","May","Jun","Jul","Aug","Sep","Oct","Nov","Dec")),IF(OR(K203="",K203="Saved"),IF(N203="","To apply",IF(N203&lt;TODAY(),"Closing date passed","Apply by "&amp;DAY(N203)&amp;" "&amp;CHOOSE(MONTH(N203),"Jan","Feb","Mar","Apr","May","Jun","Jul","Aug","Sep","Oct","Nov","Dec"))),IF(AND(N203="",T203&gt;0,TODAY()-T203&gt;=N(Settings!$C$6)),"No reply",IF(U203="","Waiting",IF(U203&lt;TODAY(),"Follow up",IF(U203-TODAY()&lt;=2,"Due "&amp;DAY(U203)&amp;" "&amp;CHOOSE(MONTH(U203),"Jan","Feb","Mar","Apr","May","Jun","Jul","Aug","Sep","Oct","Nov","Dec"),"Waiting"))))))))</f>
        <v/>
      </c>
      <c r="S203" s="1" t="n"/>
      <c r="T203">
        <f>MAX(N(J203),N(L203))</f>
        <v/>
      </c>
      <c r="U203">
        <f>IF(N203&lt;&gt;"",N203,IF(T203=0,"",T203+N(Settings!$C$5)))</f>
        <v/>
      </c>
      <c r="V203">
        <f>IF(AND(B203&lt;&gt;"",U203&lt;&gt;"",OR(R203="Follow up",LEFT(R203,3)="Due",R203="Waiting",LEFT(R203,5)="Apply",LEFT(R203,5)="Offer")),U203+ROW()/10000000,"")</f>
        <v/>
      </c>
      <c r="W203">
        <f>IF(B203="","",IF(M203&lt;&gt;"",M203,IF(OR(K203="",K203="Saved"),"Apply",IF(K203="Offer","Reply to the offer","Follow up"))))</f>
        <v/>
      </c>
    </row>
    <row r="204">
      <c r="A204" s="1" t="n"/>
      <c r="B204" s="21" t="n"/>
      <c r="C204" s="22" t="n"/>
      <c r="D204" s="22" t="n"/>
      <c r="E204" s="22" t="n"/>
      <c r="F204" s="23" t="n"/>
      <c r="G204" s="23" t="n"/>
      <c r="H204" s="22" t="n"/>
      <c r="I204" s="24" t="n"/>
      <c r="J204" s="24" t="n"/>
      <c r="K204" s="25" t="n"/>
      <c r="L204" s="24" t="n"/>
      <c r="M204" s="22" t="n"/>
      <c r="N204" s="24" t="n"/>
      <c r="O204" s="25" t="n"/>
      <c r="P204" s="22" t="n"/>
      <c r="Q204" s="18">
        <f>IF(OR(B204="",J204=""),"",TODAY()-J204)</f>
        <v/>
      </c>
      <c r="R204" s="26">
        <f>IF(B204="","",IF(OR(K204="Accepted",K204="Rejected",K204="Withdrawn"),K204,IF(K204="Offer",IF(N204="","Offer","Offer, reply by "&amp;DAY(N204)&amp;" "&amp;CHOOSE(MONTH(N204),"Jan","Feb","Mar","Apr","May","Jun","Jul","Aug","Sep","Oct","Nov","Dec")),IF(OR(K204="",K204="Saved"),IF(N204="","To apply",IF(N204&lt;TODAY(),"Closing date passed","Apply by "&amp;DAY(N204)&amp;" "&amp;CHOOSE(MONTH(N204),"Jan","Feb","Mar","Apr","May","Jun","Jul","Aug","Sep","Oct","Nov","Dec"))),IF(AND(N204="",T204&gt;0,TODAY()-T204&gt;=N(Settings!$C$6)),"No reply",IF(U204="","Waiting",IF(U204&lt;TODAY(),"Follow up",IF(U204-TODAY()&lt;=2,"Due "&amp;DAY(U204)&amp;" "&amp;CHOOSE(MONTH(U204),"Jan","Feb","Mar","Apr","May","Jun","Jul","Aug","Sep","Oct","Nov","Dec"),"Waiting"))))))))</f>
        <v/>
      </c>
      <c r="S204" s="1" t="n"/>
      <c r="T204">
        <f>MAX(N(J204),N(L204))</f>
        <v/>
      </c>
      <c r="U204">
        <f>IF(N204&lt;&gt;"",N204,IF(T204=0,"",T204+N(Settings!$C$5)))</f>
        <v/>
      </c>
      <c r="V204">
        <f>IF(AND(B204&lt;&gt;"",U204&lt;&gt;"",OR(R204="Follow up",LEFT(R204,3)="Due",R204="Waiting",LEFT(R204,5)="Apply",LEFT(R204,5)="Offer")),U204+ROW()/10000000,"")</f>
        <v/>
      </c>
      <c r="W204">
        <f>IF(B204="","",IF(M204&lt;&gt;"",M204,IF(OR(K204="",K204="Saved"),"Apply",IF(K204="Offer","Reply to the offer","Follow up"))))</f>
        <v/>
      </c>
    </row>
    <row r="205">
      <c r="A205" s="1" t="n"/>
      <c r="B205" s="21" t="n"/>
      <c r="C205" s="22" t="n"/>
      <c r="D205" s="22" t="n"/>
      <c r="E205" s="22" t="n"/>
      <c r="F205" s="23" t="n"/>
      <c r="G205" s="23" t="n"/>
      <c r="H205" s="22" t="n"/>
      <c r="I205" s="24" t="n"/>
      <c r="J205" s="24" t="n"/>
      <c r="K205" s="25" t="n"/>
      <c r="L205" s="24" t="n"/>
      <c r="M205" s="22" t="n"/>
      <c r="N205" s="24" t="n"/>
      <c r="O205" s="25" t="n"/>
      <c r="P205" s="22" t="n"/>
      <c r="Q205" s="18">
        <f>IF(OR(B205="",J205=""),"",TODAY()-J205)</f>
        <v/>
      </c>
      <c r="R205" s="26">
        <f>IF(B205="","",IF(OR(K205="Accepted",K205="Rejected",K205="Withdrawn"),K205,IF(K205="Offer",IF(N205="","Offer","Offer, reply by "&amp;DAY(N205)&amp;" "&amp;CHOOSE(MONTH(N205),"Jan","Feb","Mar","Apr","May","Jun","Jul","Aug","Sep","Oct","Nov","Dec")),IF(OR(K205="",K205="Saved"),IF(N205="","To apply",IF(N205&lt;TODAY(),"Closing date passed","Apply by "&amp;DAY(N205)&amp;" "&amp;CHOOSE(MONTH(N205),"Jan","Feb","Mar","Apr","May","Jun","Jul","Aug","Sep","Oct","Nov","Dec"))),IF(AND(N205="",T205&gt;0,TODAY()-T205&gt;=N(Settings!$C$6)),"No reply",IF(U205="","Waiting",IF(U205&lt;TODAY(),"Follow up",IF(U205-TODAY()&lt;=2,"Due "&amp;DAY(U205)&amp;" "&amp;CHOOSE(MONTH(U205),"Jan","Feb","Mar","Apr","May","Jun","Jul","Aug","Sep","Oct","Nov","Dec"),"Waiting"))))))))</f>
        <v/>
      </c>
      <c r="S205" s="1" t="n"/>
      <c r="T205">
        <f>MAX(N(J205),N(L205))</f>
        <v/>
      </c>
      <c r="U205">
        <f>IF(N205&lt;&gt;"",N205,IF(T205=0,"",T205+N(Settings!$C$5)))</f>
        <v/>
      </c>
      <c r="V205">
        <f>IF(AND(B205&lt;&gt;"",U205&lt;&gt;"",OR(R205="Follow up",LEFT(R205,3)="Due",R205="Waiting",LEFT(R205,5)="Apply",LEFT(R205,5)="Offer")),U205+ROW()/10000000,"")</f>
        <v/>
      </c>
      <c r="W205">
        <f>IF(B205="","",IF(M205&lt;&gt;"",M205,IF(OR(K205="",K205="Saved"),"Apply",IF(K205="Offer","Reply to the offer","Follow up"))))</f>
        <v/>
      </c>
    </row>
    <row r="206">
      <c r="A206" s="1" t="n"/>
      <c r="B206" s="21" t="n"/>
      <c r="C206" s="22" t="n"/>
      <c r="D206" s="22" t="n"/>
      <c r="E206" s="22" t="n"/>
      <c r="F206" s="23" t="n"/>
      <c r="G206" s="23" t="n"/>
      <c r="H206" s="22" t="n"/>
      <c r="I206" s="24" t="n"/>
      <c r="J206" s="24" t="n"/>
      <c r="K206" s="25" t="n"/>
      <c r="L206" s="24" t="n"/>
      <c r="M206" s="22" t="n"/>
      <c r="N206" s="24" t="n"/>
      <c r="O206" s="25" t="n"/>
      <c r="P206" s="22" t="n"/>
      <c r="Q206" s="18">
        <f>IF(OR(B206="",J206=""),"",TODAY()-J206)</f>
        <v/>
      </c>
      <c r="R206" s="26">
        <f>IF(B206="","",IF(OR(K206="Accepted",K206="Rejected",K206="Withdrawn"),K206,IF(K206="Offer",IF(N206="","Offer","Offer, reply by "&amp;DAY(N206)&amp;" "&amp;CHOOSE(MONTH(N206),"Jan","Feb","Mar","Apr","May","Jun","Jul","Aug","Sep","Oct","Nov","Dec")),IF(OR(K206="",K206="Saved"),IF(N206="","To apply",IF(N206&lt;TODAY(),"Closing date passed","Apply by "&amp;DAY(N206)&amp;" "&amp;CHOOSE(MONTH(N206),"Jan","Feb","Mar","Apr","May","Jun","Jul","Aug","Sep","Oct","Nov","Dec"))),IF(AND(N206="",T206&gt;0,TODAY()-T206&gt;=N(Settings!$C$6)),"No reply",IF(U206="","Waiting",IF(U206&lt;TODAY(),"Follow up",IF(U206-TODAY()&lt;=2,"Due "&amp;DAY(U206)&amp;" "&amp;CHOOSE(MONTH(U206),"Jan","Feb","Mar","Apr","May","Jun","Jul","Aug","Sep","Oct","Nov","Dec"),"Waiting"))))))))</f>
        <v/>
      </c>
      <c r="S206" s="1" t="n"/>
      <c r="T206">
        <f>MAX(N(J206),N(L206))</f>
        <v/>
      </c>
      <c r="U206">
        <f>IF(N206&lt;&gt;"",N206,IF(T206=0,"",T206+N(Settings!$C$5)))</f>
        <v/>
      </c>
      <c r="V206">
        <f>IF(AND(B206&lt;&gt;"",U206&lt;&gt;"",OR(R206="Follow up",LEFT(R206,3)="Due",R206="Waiting",LEFT(R206,5)="Apply",LEFT(R206,5)="Offer")),U206+ROW()/10000000,"")</f>
        <v/>
      </c>
      <c r="W206">
        <f>IF(B206="","",IF(M206&lt;&gt;"",M206,IF(OR(K206="",K206="Saved"),"Apply",IF(K206="Offer","Reply to the offer","Follow up"))))</f>
        <v/>
      </c>
    </row>
    <row r="207">
      <c r="A207" s="1" t="n"/>
      <c r="B207" s="21" t="n"/>
      <c r="C207" s="22" t="n"/>
      <c r="D207" s="22" t="n"/>
      <c r="E207" s="22" t="n"/>
      <c r="F207" s="23" t="n"/>
      <c r="G207" s="23" t="n"/>
      <c r="H207" s="22" t="n"/>
      <c r="I207" s="24" t="n"/>
      <c r="J207" s="24" t="n"/>
      <c r="K207" s="25" t="n"/>
      <c r="L207" s="24" t="n"/>
      <c r="M207" s="22" t="n"/>
      <c r="N207" s="24" t="n"/>
      <c r="O207" s="25" t="n"/>
      <c r="P207" s="22" t="n"/>
      <c r="Q207" s="18">
        <f>IF(OR(B207="",J207=""),"",TODAY()-J207)</f>
        <v/>
      </c>
      <c r="R207" s="26">
        <f>IF(B207="","",IF(OR(K207="Accepted",K207="Rejected",K207="Withdrawn"),K207,IF(K207="Offer",IF(N207="","Offer","Offer, reply by "&amp;DAY(N207)&amp;" "&amp;CHOOSE(MONTH(N207),"Jan","Feb","Mar","Apr","May","Jun","Jul","Aug","Sep","Oct","Nov","Dec")),IF(OR(K207="",K207="Saved"),IF(N207="","To apply",IF(N207&lt;TODAY(),"Closing date passed","Apply by "&amp;DAY(N207)&amp;" "&amp;CHOOSE(MONTH(N207),"Jan","Feb","Mar","Apr","May","Jun","Jul","Aug","Sep","Oct","Nov","Dec"))),IF(AND(N207="",T207&gt;0,TODAY()-T207&gt;=N(Settings!$C$6)),"No reply",IF(U207="","Waiting",IF(U207&lt;TODAY(),"Follow up",IF(U207-TODAY()&lt;=2,"Due "&amp;DAY(U207)&amp;" "&amp;CHOOSE(MONTH(U207),"Jan","Feb","Mar","Apr","May","Jun","Jul","Aug","Sep","Oct","Nov","Dec"),"Waiting"))))))))</f>
        <v/>
      </c>
      <c r="S207" s="1" t="n"/>
      <c r="T207">
        <f>MAX(N(J207),N(L207))</f>
        <v/>
      </c>
      <c r="U207">
        <f>IF(N207&lt;&gt;"",N207,IF(T207=0,"",T207+N(Settings!$C$5)))</f>
        <v/>
      </c>
      <c r="V207">
        <f>IF(AND(B207&lt;&gt;"",U207&lt;&gt;"",OR(R207="Follow up",LEFT(R207,3)="Due",R207="Waiting",LEFT(R207,5)="Apply",LEFT(R207,5)="Offer")),U207+ROW()/10000000,"")</f>
        <v/>
      </c>
      <c r="W207">
        <f>IF(B207="","",IF(M207&lt;&gt;"",M207,IF(OR(K207="",K207="Saved"),"Apply",IF(K207="Offer","Reply to the offer","Follow up"))))</f>
        <v/>
      </c>
    </row>
    <row r="208">
      <c r="A208" s="1" t="n"/>
      <c r="B208" s="21" t="n"/>
      <c r="C208" s="22" t="n"/>
      <c r="D208" s="22" t="n"/>
      <c r="E208" s="22" t="n"/>
      <c r="F208" s="23" t="n"/>
      <c r="G208" s="23" t="n"/>
      <c r="H208" s="22" t="n"/>
      <c r="I208" s="24" t="n"/>
      <c r="J208" s="24" t="n"/>
      <c r="K208" s="25" t="n"/>
      <c r="L208" s="24" t="n"/>
      <c r="M208" s="22" t="n"/>
      <c r="N208" s="24" t="n"/>
      <c r="O208" s="25" t="n"/>
      <c r="P208" s="22" t="n"/>
      <c r="Q208" s="18">
        <f>IF(OR(B208="",J208=""),"",TODAY()-J208)</f>
        <v/>
      </c>
      <c r="R208" s="26">
        <f>IF(B208="","",IF(OR(K208="Accepted",K208="Rejected",K208="Withdrawn"),K208,IF(K208="Offer",IF(N208="","Offer","Offer, reply by "&amp;DAY(N208)&amp;" "&amp;CHOOSE(MONTH(N208),"Jan","Feb","Mar","Apr","May","Jun","Jul","Aug","Sep","Oct","Nov","Dec")),IF(OR(K208="",K208="Saved"),IF(N208="","To apply",IF(N208&lt;TODAY(),"Closing date passed","Apply by "&amp;DAY(N208)&amp;" "&amp;CHOOSE(MONTH(N208),"Jan","Feb","Mar","Apr","May","Jun","Jul","Aug","Sep","Oct","Nov","Dec"))),IF(AND(N208="",T208&gt;0,TODAY()-T208&gt;=N(Settings!$C$6)),"No reply",IF(U208="","Waiting",IF(U208&lt;TODAY(),"Follow up",IF(U208-TODAY()&lt;=2,"Due "&amp;DAY(U208)&amp;" "&amp;CHOOSE(MONTH(U208),"Jan","Feb","Mar","Apr","May","Jun","Jul","Aug","Sep","Oct","Nov","Dec"),"Waiting"))))))))</f>
        <v/>
      </c>
      <c r="S208" s="1" t="n"/>
      <c r="T208">
        <f>MAX(N(J208),N(L208))</f>
        <v/>
      </c>
      <c r="U208">
        <f>IF(N208&lt;&gt;"",N208,IF(T208=0,"",T208+N(Settings!$C$5)))</f>
        <v/>
      </c>
      <c r="V208">
        <f>IF(AND(B208&lt;&gt;"",U208&lt;&gt;"",OR(R208="Follow up",LEFT(R208,3)="Due",R208="Waiting",LEFT(R208,5)="Apply",LEFT(R208,5)="Offer")),U208+ROW()/10000000,"")</f>
        <v/>
      </c>
      <c r="W208">
        <f>IF(B208="","",IF(M208&lt;&gt;"",M208,IF(OR(K208="",K208="Saved"),"Apply",IF(K208="Offer","Reply to the offer","Follow up"))))</f>
        <v/>
      </c>
    </row>
    <row r="209">
      <c r="A209" s="1" t="n"/>
      <c r="B209" s="21" t="n"/>
      <c r="C209" s="22" t="n"/>
      <c r="D209" s="22" t="n"/>
      <c r="E209" s="22" t="n"/>
      <c r="F209" s="23" t="n"/>
      <c r="G209" s="23" t="n"/>
      <c r="H209" s="22" t="n"/>
      <c r="I209" s="24" t="n"/>
      <c r="J209" s="24" t="n"/>
      <c r="K209" s="25" t="n"/>
      <c r="L209" s="24" t="n"/>
      <c r="M209" s="22" t="n"/>
      <c r="N209" s="24" t="n"/>
      <c r="O209" s="25" t="n"/>
      <c r="P209" s="22" t="n"/>
      <c r="Q209" s="18">
        <f>IF(OR(B209="",J209=""),"",TODAY()-J209)</f>
        <v/>
      </c>
      <c r="R209" s="26">
        <f>IF(B209="","",IF(OR(K209="Accepted",K209="Rejected",K209="Withdrawn"),K209,IF(K209="Offer",IF(N209="","Offer","Offer, reply by "&amp;DAY(N209)&amp;" "&amp;CHOOSE(MONTH(N209),"Jan","Feb","Mar","Apr","May","Jun","Jul","Aug","Sep","Oct","Nov","Dec")),IF(OR(K209="",K209="Saved"),IF(N209="","To apply",IF(N209&lt;TODAY(),"Closing date passed","Apply by "&amp;DAY(N209)&amp;" "&amp;CHOOSE(MONTH(N209),"Jan","Feb","Mar","Apr","May","Jun","Jul","Aug","Sep","Oct","Nov","Dec"))),IF(AND(N209="",T209&gt;0,TODAY()-T209&gt;=N(Settings!$C$6)),"No reply",IF(U209="","Waiting",IF(U209&lt;TODAY(),"Follow up",IF(U209-TODAY()&lt;=2,"Due "&amp;DAY(U209)&amp;" "&amp;CHOOSE(MONTH(U209),"Jan","Feb","Mar","Apr","May","Jun","Jul","Aug","Sep","Oct","Nov","Dec"),"Waiting"))))))))</f>
        <v/>
      </c>
      <c r="S209" s="1" t="n"/>
      <c r="T209">
        <f>MAX(N(J209),N(L209))</f>
        <v/>
      </c>
      <c r="U209">
        <f>IF(N209&lt;&gt;"",N209,IF(T209=0,"",T209+N(Settings!$C$5)))</f>
        <v/>
      </c>
      <c r="V209">
        <f>IF(AND(B209&lt;&gt;"",U209&lt;&gt;"",OR(R209="Follow up",LEFT(R209,3)="Due",R209="Waiting",LEFT(R209,5)="Apply",LEFT(R209,5)="Offer")),U209+ROW()/10000000,"")</f>
        <v/>
      </c>
      <c r="W209">
        <f>IF(B209="","",IF(M209&lt;&gt;"",M209,IF(OR(K209="",K209="Saved"),"Apply",IF(K209="Offer","Reply to the offer","Follow up"))))</f>
        <v/>
      </c>
    </row>
    <row r="210">
      <c r="A210" s="1" t="n"/>
      <c r="B210" s="21" t="n"/>
      <c r="C210" s="22" t="n"/>
      <c r="D210" s="22" t="n"/>
      <c r="E210" s="22" t="n"/>
      <c r="F210" s="23" t="n"/>
      <c r="G210" s="23" t="n"/>
      <c r="H210" s="22" t="n"/>
      <c r="I210" s="24" t="n"/>
      <c r="J210" s="24" t="n"/>
      <c r="K210" s="25" t="n"/>
      <c r="L210" s="24" t="n"/>
      <c r="M210" s="22" t="n"/>
      <c r="N210" s="24" t="n"/>
      <c r="O210" s="25" t="n"/>
      <c r="P210" s="22" t="n"/>
      <c r="Q210" s="18">
        <f>IF(OR(B210="",J210=""),"",TODAY()-J210)</f>
        <v/>
      </c>
      <c r="R210" s="26">
        <f>IF(B210="","",IF(OR(K210="Accepted",K210="Rejected",K210="Withdrawn"),K210,IF(K210="Offer",IF(N210="","Offer","Offer, reply by "&amp;DAY(N210)&amp;" "&amp;CHOOSE(MONTH(N210),"Jan","Feb","Mar","Apr","May","Jun","Jul","Aug","Sep","Oct","Nov","Dec")),IF(OR(K210="",K210="Saved"),IF(N210="","To apply",IF(N210&lt;TODAY(),"Closing date passed","Apply by "&amp;DAY(N210)&amp;" "&amp;CHOOSE(MONTH(N210),"Jan","Feb","Mar","Apr","May","Jun","Jul","Aug","Sep","Oct","Nov","Dec"))),IF(AND(N210="",T210&gt;0,TODAY()-T210&gt;=N(Settings!$C$6)),"No reply",IF(U210="","Waiting",IF(U210&lt;TODAY(),"Follow up",IF(U210-TODAY()&lt;=2,"Due "&amp;DAY(U210)&amp;" "&amp;CHOOSE(MONTH(U210),"Jan","Feb","Mar","Apr","May","Jun","Jul","Aug","Sep","Oct","Nov","Dec"),"Waiting"))))))))</f>
        <v/>
      </c>
      <c r="S210" s="1" t="n"/>
      <c r="T210">
        <f>MAX(N(J210),N(L210))</f>
        <v/>
      </c>
      <c r="U210">
        <f>IF(N210&lt;&gt;"",N210,IF(T210=0,"",T210+N(Settings!$C$5)))</f>
        <v/>
      </c>
      <c r="V210">
        <f>IF(AND(B210&lt;&gt;"",U210&lt;&gt;"",OR(R210="Follow up",LEFT(R210,3)="Due",R210="Waiting",LEFT(R210,5)="Apply",LEFT(R210,5)="Offer")),U210+ROW()/10000000,"")</f>
        <v/>
      </c>
      <c r="W210">
        <f>IF(B210="","",IF(M210&lt;&gt;"",M210,IF(OR(K210="",K210="Saved"),"Apply",IF(K210="Offer","Reply to the offer","Follow up"))))</f>
        <v/>
      </c>
    </row>
    <row r="211">
      <c r="A211" s="1" t="n"/>
      <c r="B211" s="21" t="n"/>
      <c r="C211" s="22" t="n"/>
      <c r="D211" s="22" t="n"/>
      <c r="E211" s="22" t="n"/>
      <c r="F211" s="23" t="n"/>
      <c r="G211" s="23" t="n"/>
      <c r="H211" s="22" t="n"/>
      <c r="I211" s="24" t="n"/>
      <c r="J211" s="24" t="n"/>
      <c r="K211" s="25" t="n"/>
      <c r="L211" s="24" t="n"/>
      <c r="M211" s="22" t="n"/>
      <c r="N211" s="24" t="n"/>
      <c r="O211" s="25" t="n"/>
      <c r="P211" s="22" t="n"/>
      <c r="Q211" s="18">
        <f>IF(OR(B211="",J211=""),"",TODAY()-J211)</f>
        <v/>
      </c>
      <c r="R211" s="26">
        <f>IF(B211="","",IF(OR(K211="Accepted",K211="Rejected",K211="Withdrawn"),K211,IF(K211="Offer",IF(N211="","Offer","Offer, reply by "&amp;DAY(N211)&amp;" "&amp;CHOOSE(MONTH(N211),"Jan","Feb","Mar","Apr","May","Jun","Jul","Aug","Sep","Oct","Nov","Dec")),IF(OR(K211="",K211="Saved"),IF(N211="","To apply",IF(N211&lt;TODAY(),"Closing date passed","Apply by "&amp;DAY(N211)&amp;" "&amp;CHOOSE(MONTH(N211),"Jan","Feb","Mar","Apr","May","Jun","Jul","Aug","Sep","Oct","Nov","Dec"))),IF(AND(N211="",T211&gt;0,TODAY()-T211&gt;=N(Settings!$C$6)),"No reply",IF(U211="","Waiting",IF(U211&lt;TODAY(),"Follow up",IF(U211-TODAY()&lt;=2,"Due "&amp;DAY(U211)&amp;" "&amp;CHOOSE(MONTH(U211),"Jan","Feb","Mar","Apr","May","Jun","Jul","Aug","Sep","Oct","Nov","Dec"),"Waiting"))))))))</f>
        <v/>
      </c>
      <c r="S211" s="1" t="n"/>
      <c r="T211">
        <f>MAX(N(J211),N(L211))</f>
        <v/>
      </c>
      <c r="U211">
        <f>IF(N211&lt;&gt;"",N211,IF(T211=0,"",T211+N(Settings!$C$5)))</f>
        <v/>
      </c>
      <c r="V211">
        <f>IF(AND(B211&lt;&gt;"",U211&lt;&gt;"",OR(R211="Follow up",LEFT(R211,3)="Due",R211="Waiting",LEFT(R211,5)="Apply",LEFT(R211,5)="Offer")),U211+ROW()/10000000,"")</f>
        <v/>
      </c>
      <c r="W211">
        <f>IF(B211="","",IF(M211&lt;&gt;"",M211,IF(OR(K211="",K211="Saved"),"Apply",IF(K211="Offer","Reply to the offer","Follow up"))))</f>
        <v/>
      </c>
    </row>
    <row r="212">
      <c r="A212" s="1" t="n"/>
      <c r="B212" s="21" t="n"/>
      <c r="C212" s="22" t="n"/>
      <c r="D212" s="22" t="n"/>
      <c r="E212" s="22" t="n"/>
      <c r="F212" s="23" t="n"/>
      <c r="G212" s="23" t="n"/>
      <c r="H212" s="22" t="n"/>
      <c r="I212" s="24" t="n"/>
      <c r="J212" s="24" t="n"/>
      <c r="K212" s="25" t="n"/>
      <c r="L212" s="24" t="n"/>
      <c r="M212" s="22" t="n"/>
      <c r="N212" s="24" t="n"/>
      <c r="O212" s="25" t="n"/>
      <c r="P212" s="22" t="n"/>
      <c r="Q212" s="18">
        <f>IF(OR(B212="",J212=""),"",TODAY()-J212)</f>
        <v/>
      </c>
      <c r="R212" s="26">
        <f>IF(B212="","",IF(OR(K212="Accepted",K212="Rejected",K212="Withdrawn"),K212,IF(K212="Offer",IF(N212="","Offer","Offer, reply by "&amp;DAY(N212)&amp;" "&amp;CHOOSE(MONTH(N212),"Jan","Feb","Mar","Apr","May","Jun","Jul","Aug","Sep","Oct","Nov","Dec")),IF(OR(K212="",K212="Saved"),IF(N212="","To apply",IF(N212&lt;TODAY(),"Closing date passed","Apply by "&amp;DAY(N212)&amp;" "&amp;CHOOSE(MONTH(N212),"Jan","Feb","Mar","Apr","May","Jun","Jul","Aug","Sep","Oct","Nov","Dec"))),IF(AND(N212="",T212&gt;0,TODAY()-T212&gt;=N(Settings!$C$6)),"No reply",IF(U212="","Waiting",IF(U212&lt;TODAY(),"Follow up",IF(U212-TODAY()&lt;=2,"Due "&amp;DAY(U212)&amp;" "&amp;CHOOSE(MONTH(U212),"Jan","Feb","Mar","Apr","May","Jun","Jul","Aug","Sep","Oct","Nov","Dec"),"Waiting"))))))))</f>
        <v/>
      </c>
      <c r="S212" s="1" t="n"/>
      <c r="T212">
        <f>MAX(N(J212),N(L212))</f>
        <v/>
      </c>
      <c r="U212">
        <f>IF(N212&lt;&gt;"",N212,IF(T212=0,"",T212+N(Settings!$C$5)))</f>
        <v/>
      </c>
      <c r="V212">
        <f>IF(AND(B212&lt;&gt;"",U212&lt;&gt;"",OR(R212="Follow up",LEFT(R212,3)="Due",R212="Waiting",LEFT(R212,5)="Apply",LEFT(R212,5)="Offer")),U212+ROW()/10000000,"")</f>
        <v/>
      </c>
      <c r="W212">
        <f>IF(B212="","",IF(M212&lt;&gt;"",M212,IF(OR(K212="",K212="Saved"),"Apply",IF(K212="Offer","Reply to the offer","Follow up"))))</f>
        <v/>
      </c>
    </row>
    <row r="213">
      <c r="A213" s="1" t="n"/>
      <c r="B213" s="21" t="n"/>
      <c r="C213" s="22" t="n"/>
      <c r="D213" s="22" t="n"/>
      <c r="E213" s="22" t="n"/>
      <c r="F213" s="23" t="n"/>
      <c r="G213" s="23" t="n"/>
      <c r="H213" s="22" t="n"/>
      <c r="I213" s="24" t="n"/>
      <c r="J213" s="24" t="n"/>
      <c r="K213" s="25" t="n"/>
      <c r="L213" s="24" t="n"/>
      <c r="M213" s="22" t="n"/>
      <c r="N213" s="24" t="n"/>
      <c r="O213" s="25" t="n"/>
      <c r="P213" s="22" t="n"/>
      <c r="Q213" s="18">
        <f>IF(OR(B213="",J213=""),"",TODAY()-J213)</f>
        <v/>
      </c>
      <c r="R213" s="26">
        <f>IF(B213="","",IF(OR(K213="Accepted",K213="Rejected",K213="Withdrawn"),K213,IF(K213="Offer",IF(N213="","Offer","Offer, reply by "&amp;DAY(N213)&amp;" "&amp;CHOOSE(MONTH(N213),"Jan","Feb","Mar","Apr","May","Jun","Jul","Aug","Sep","Oct","Nov","Dec")),IF(OR(K213="",K213="Saved"),IF(N213="","To apply",IF(N213&lt;TODAY(),"Closing date passed","Apply by "&amp;DAY(N213)&amp;" "&amp;CHOOSE(MONTH(N213),"Jan","Feb","Mar","Apr","May","Jun","Jul","Aug","Sep","Oct","Nov","Dec"))),IF(AND(N213="",T213&gt;0,TODAY()-T213&gt;=N(Settings!$C$6)),"No reply",IF(U213="","Waiting",IF(U213&lt;TODAY(),"Follow up",IF(U213-TODAY()&lt;=2,"Due "&amp;DAY(U213)&amp;" "&amp;CHOOSE(MONTH(U213),"Jan","Feb","Mar","Apr","May","Jun","Jul","Aug","Sep","Oct","Nov","Dec"),"Waiting"))))))))</f>
        <v/>
      </c>
      <c r="S213" s="1" t="n"/>
      <c r="T213">
        <f>MAX(N(J213),N(L213))</f>
        <v/>
      </c>
      <c r="U213">
        <f>IF(N213&lt;&gt;"",N213,IF(T213=0,"",T213+N(Settings!$C$5)))</f>
        <v/>
      </c>
      <c r="V213">
        <f>IF(AND(B213&lt;&gt;"",U213&lt;&gt;"",OR(R213="Follow up",LEFT(R213,3)="Due",R213="Waiting",LEFT(R213,5)="Apply",LEFT(R213,5)="Offer")),U213+ROW()/10000000,"")</f>
        <v/>
      </c>
      <c r="W213">
        <f>IF(B213="","",IF(M213&lt;&gt;"",M213,IF(OR(K213="",K213="Saved"),"Apply",IF(K213="Offer","Reply to the offer","Follow up"))))</f>
        <v/>
      </c>
    </row>
    <row r="214">
      <c r="A214" s="1" t="n"/>
      <c r="B214" s="21" t="n"/>
      <c r="C214" s="22" t="n"/>
      <c r="D214" s="22" t="n"/>
      <c r="E214" s="22" t="n"/>
      <c r="F214" s="23" t="n"/>
      <c r="G214" s="23" t="n"/>
      <c r="H214" s="22" t="n"/>
      <c r="I214" s="24" t="n"/>
      <c r="J214" s="24" t="n"/>
      <c r="K214" s="25" t="n"/>
      <c r="L214" s="24" t="n"/>
      <c r="M214" s="22" t="n"/>
      <c r="N214" s="24" t="n"/>
      <c r="O214" s="25" t="n"/>
      <c r="P214" s="22" t="n"/>
      <c r="Q214" s="18">
        <f>IF(OR(B214="",J214=""),"",TODAY()-J214)</f>
        <v/>
      </c>
      <c r="R214" s="26">
        <f>IF(B214="","",IF(OR(K214="Accepted",K214="Rejected",K214="Withdrawn"),K214,IF(K214="Offer",IF(N214="","Offer","Offer, reply by "&amp;DAY(N214)&amp;" "&amp;CHOOSE(MONTH(N214),"Jan","Feb","Mar","Apr","May","Jun","Jul","Aug","Sep","Oct","Nov","Dec")),IF(OR(K214="",K214="Saved"),IF(N214="","To apply",IF(N214&lt;TODAY(),"Closing date passed","Apply by "&amp;DAY(N214)&amp;" "&amp;CHOOSE(MONTH(N214),"Jan","Feb","Mar","Apr","May","Jun","Jul","Aug","Sep","Oct","Nov","Dec"))),IF(AND(N214="",T214&gt;0,TODAY()-T214&gt;=N(Settings!$C$6)),"No reply",IF(U214="","Waiting",IF(U214&lt;TODAY(),"Follow up",IF(U214-TODAY()&lt;=2,"Due "&amp;DAY(U214)&amp;" "&amp;CHOOSE(MONTH(U214),"Jan","Feb","Mar","Apr","May","Jun","Jul","Aug","Sep","Oct","Nov","Dec"),"Waiting"))))))))</f>
        <v/>
      </c>
      <c r="S214" s="1" t="n"/>
      <c r="T214">
        <f>MAX(N(J214),N(L214))</f>
        <v/>
      </c>
      <c r="U214">
        <f>IF(N214&lt;&gt;"",N214,IF(T214=0,"",T214+N(Settings!$C$5)))</f>
        <v/>
      </c>
      <c r="V214">
        <f>IF(AND(B214&lt;&gt;"",U214&lt;&gt;"",OR(R214="Follow up",LEFT(R214,3)="Due",R214="Waiting",LEFT(R214,5)="Apply",LEFT(R214,5)="Offer")),U214+ROW()/10000000,"")</f>
        <v/>
      </c>
      <c r="W214">
        <f>IF(B214="","",IF(M214&lt;&gt;"",M214,IF(OR(K214="",K214="Saved"),"Apply",IF(K214="Offer","Reply to the offer","Follow up"))))</f>
        <v/>
      </c>
    </row>
    <row r="215">
      <c r="A215" s="1" t="n"/>
      <c r="B215" s="21" t="n"/>
      <c r="C215" s="22" t="n"/>
      <c r="D215" s="22" t="n"/>
      <c r="E215" s="22" t="n"/>
      <c r="F215" s="23" t="n"/>
      <c r="G215" s="23" t="n"/>
      <c r="H215" s="22" t="n"/>
      <c r="I215" s="24" t="n"/>
      <c r="J215" s="24" t="n"/>
      <c r="K215" s="25" t="n"/>
      <c r="L215" s="24" t="n"/>
      <c r="M215" s="22" t="n"/>
      <c r="N215" s="24" t="n"/>
      <c r="O215" s="25" t="n"/>
      <c r="P215" s="22" t="n"/>
      <c r="Q215" s="18">
        <f>IF(OR(B215="",J215=""),"",TODAY()-J215)</f>
        <v/>
      </c>
      <c r="R215" s="26">
        <f>IF(B215="","",IF(OR(K215="Accepted",K215="Rejected",K215="Withdrawn"),K215,IF(K215="Offer",IF(N215="","Offer","Offer, reply by "&amp;DAY(N215)&amp;" "&amp;CHOOSE(MONTH(N215),"Jan","Feb","Mar","Apr","May","Jun","Jul","Aug","Sep","Oct","Nov","Dec")),IF(OR(K215="",K215="Saved"),IF(N215="","To apply",IF(N215&lt;TODAY(),"Closing date passed","Apply by "&amp;DAY(N215)&amp;" "&amp;CHOOSE(MONTH(N215),"Jan","Feb","Mar","Apr","May","Jun","Jul","Aug","Sep","Oct","Nov","Dec"))),IF(AND(N215="",T215&gt;0,TODAY()-T215&gt;=N(Settings!$C$6)),"No reply",IF(U215="","Waiting",IF(U215&lt;TODAY(),"Follow up",IF(U215-TODAY()&lt;=2,"Due "&amp;DAY(U215)&amp;" "&amp;CHOOSE(MONTH(U215),"Jan","Feb","Mar","Apr","May","Jun","Jul","Aug","Sep","Oct","Nov","Dec"),"Waiting"))))))))</f>
        <v/>
      </c>
      <c r="S215" s="1" t="n"/>
      <c r="T215">
        <f>MAX(N(J215),N(L215))</f>
        <v/>
      </c>
      <c r="U215">
        <f>IF(N215&lt;&gt;"",N215,IF(T215=0,"",T215+N(Settings!$C$5)))</f>
        <v/>
      </c>
      <c r="V215">
        <f>IF(AND(B215&lt;&gt;"",U215&lt;&gt;"",OR(R215="Follow up",LEFT(R215,3)="Due",R215="Waiting",LEFT(R215,5)="Apply",LEFT(R215,5)="Offer")),U215+ROW()/10000000,"")</f>
        <v/>
      </c>
      <c r="W215">
        <f>IF(B215="","",IF(M215&lt;&gt;"",M215,IF(OR(K215="",K215="Saved"),"Apply",IF(K215="Offer","Reply to the offer","Follow up"))))</f>
        <v/>
      </c>
    </row>
    <row r="216">
      <c r="A216" s="1" t="n"/>
      <c r="B216" s="21" t="n"/>
      <c r="C216" s="22" t="n"/>
      <c r="D216" s="22" t="n"/>
      <c r="E216" s="22" t="n"/>
      <c r="F216" s="23" t="n"/>
      <c r="G216" s="23" t="n"/>
      <c r="H216" s="22" t="n"/>
      <c r="I216" s="24" t="n"/>
      <c r="J216" s="24" t="n"/>
      <c r="K216" s="25" t="n"/>
      <c r="L216" s="24" t="n"/>
      <c r="M216" s="22" t="n"/>
      <c r="N216" s="24" t="n"/>
      <c r="O216" s="25" t="n"/>
      <c r="P216" s="22" t="n"/>
      <c r="Q216" s="18">
        <f>IF(OR(B216="",J216=""),"",TODAY()-J216)</f>
        <v/>
      </c>
      <c r="R216" s="26">
        <f>IF(B216="","",IF(OR(K216="Accepted",K216="Rejected",K216="Withdrawn"),K216,IF(K216="Offer",IF(N216="","Offer","Offer, reply by "&amp;DAY(N216)&amp;" "&amp;CHOOSE(MONTH(N216),"Jan","Feb","Mar","Apr","May","Jun","Jul","Aug","Sep","Oct","Nov","Dec")),IF(OR(K216="",K216="Saved"),IF(N216="","To apply",IF(N216&lt;TODAY(),"Closing date passed","Apply by "&amp;DAY(N216)&amp;" "&amp;CHOOSE(MONTH(N216),"Jan","Feb","Mar","Apr","May","Jun","Jul","Aug","Sep","Oct","Nov","Dec"))),IF(AND(N216="",T216&gt;0,TODAY()-T216&gt;=N(Settings!$C$6)),"No reply",IF(U216="","Waiting",IF(U216&lt;TODAY(),"Follow up",IF(U216-TODAY()&lt;=2,"Due "&amp;DAY(U216)&amp;" "&amp;CHOOSE(MONTH(U216),"Jan","Feb","Mar","Apr","May","Jun","Jul","Aug","Sep","Oct","Nov","Dec"),"Waiting"))))))))</f>
        <v/>
      </c>
      <c r="S216" s="1" t="n"/>
      <c r="T216">
        <f>MAX(N(J216),N(L216))</f>
        <v/>
      </c>
      <c r="U216">
        <f>IF(N216&lt;&gt;"",N216,IF(T216=0,"",T216+N(Settings!$C$5)))</f>
        <v/>
      </c>
      <c r="V216">
        <f>IF(AND(B216&lt;&gt;"",U216&lt;&gt;"",OR(R216="Follow up",LEFT(R216,3)="Due",R216="Waiting",LEFT(R216,5)="Apply",LEFT(R216,5)="Offer")),U216+ROW()/10000000,"")</f>
        <v/>
      </c>
      <c r="W216">
        <f>IF(B216="","",IF(M216&lt;&gt;"",M216,IF(OR(K216="",K216="Saved"),"Apply",IF(K216="Offer","Reply to the offer","Follow up"))))</f>
        <v/>
      </c>
    </row>
    <row r="217">
      <c r="A217" s="1" t="n"/>
      <c r="B217" s="21" t="n"/>
      <c r="C217" s="22" t="n"/>
      <c r="D217" s="22" t="n"/>
      <c r="E217" s="22" t="n"/>
      <c r="F217" s="23" t="n"/>
      <c r="G217" s="23" t="n"/>
      <c r="H217" s="22" t="n"/>
      <c r="I217" s="24" t="n"/>
      <c r="J217" s="24" t="n"/>
      <c r="K217" s="25" t="n"/>
      <c r="L217" s="24" t="n"/>
      <c r="M217" s="22" t="n"/>
      <c r="N217" s="24" t="n"/>
      <c r="O217" s="25" t="n"/>
      <c r="P217" s="22" t="n"/>
      <c r="Q217" s="18">
        <f>IF(OR(B217="",J217=""),"",TODAY()-J217)</f>
        <v/>
      </c>
      <c r="R217" s="26">
        <f>IF(B217="","",IF(OR(K217="Accepted",K217="Rejected",K217="Withdrawn"),K217,IF(K217="Offer",IF(N217="","Offer","Offer, reply by "&amp;DAY(N217)&amp;" "&amp;CHOOSE(MONTH(N217),"Jan","Feb","Mar","Apr","May","Jun","Jul","Aug","Sep","Oct","Nov","Dec")),IF(OR(K217="",K217="Saved"),IF(N217="","To apply",IF(N217&lt;TODAY(),"Closing date passed","Apply by "&amp;DAY(N217)&amp;" "&amp;CHOOSE(MONTH(N217),"Jan","Feb","Mar","Apr","May","Jun","Jul","Aug","Sep","Oct","Nov","Dec"))),IF(AND(N217="",T217&gt;0,TODAY()-T217&gt;=N(Settings!$C$6)),"No reply",IF(U217="","Waiting",IF(U217&lt;TODAY(),"Follow up",IF(U217-TODAY()&lt;=2,"Due "&amp;DAY(U217)&amp;" "&amp;CHOOSE(MONTH(U217),"Jan","Feb","Mar","Apr","May","Jun","Jul","Aug","Sep","Oct","Nov","Dec"),"Waiting"))))))))</f>
        <v/>
      </c>
      <c r="S217" s="1" t="n"/>
      <c r="T217">
        <f>MAX(N(J217),N(L217))</f>
        <v/>
      </c>
      <c r="U217">
        <f>IF(N217&lt;&gt;"",N217,IF(T217=0,"",T217+N(Settings!$C$5)))</f>
        <v/>
      </c>
      <c r="V217">
        <f>IF(AND(B217&lt;&gt;"",U217&lt;&gt;"",OR(R217="Follow up",LEFT(R217,3)="Due",R217="Waiting",LEFT(R217,5)="Apply",LEFT(R217,5)="Offer")),U217+ROW()/10000000,"")</f>
        <v/>
      </c>
      <c r="W217">
        <f>IF(B217="","",IF(M217&lt;&gt;"",M217,IF(OR(K217="",K217="Saved"),"Apply",IF(K217="Offer","Reply to the offer","Follow up"))))</f>
        <v/>
      </c>
    </row>
    <row r="218">
      <c r="A218" s="1" t="n"/>
      <c r="B218" s="21" t="n"/>
      <c r="C218" s="22" t="n"/>
      <c r="D218" s="22" t="n"/>
      <c r="E218" s="22" t="n"/>
      <c r="F218" s="23" t="n"/>
      <c r="G218" s="23" t="n"/>
      <c r="H218" s="22" t="n"/>
      <c r="I218" s="24" t="n"/>
      <c r="J218" s="24" t="n"/>
      <c r="K218" s="25" t="n"/>
      <c r="L218" s="24" t="n"/>
      <c r="M218" s="22" t="n"/>
      <c r="N218" s="24" t="n"/>
      <c r="O218" s="25" t="n"/>
      <c r="P218" s="22" t="n"/>
      <c r="Q218" s="18">
        <f>IF(OR(B218="",J218=""),"",TODAY()-J218)</f>
        <v/>
      </c>
      <c r="R218" s="26">
        <f>IF(B218="","",IF(OR(K218="Accepted",K218="Rejected",K218="Withdrawn"),K218,IF(K218="Offer",IF(N218="","Offer","Offer, reply by "&amp;DAY(N218)&amp;" "&amp;CHOOSE(MONTH(N218),"Jan","Feb","Mar","Apr","May","Jun","Jul","Aug","Sep","Oct","Nov","Dec")),IF(OR(K218="",K218="Saved"),IF(N218="","To apply",IF(N218&lt;TODAY(),"Closing date passed","Apply by "&amp;DAY(N218)&amp;" "&amp;CHOOSE(MONTH(N218),"Jan","Feb","Mar","Apr","May","Jun","Jul","Aug","Sep","Oct","Nov","Dec"))),IF(AND(N218="",T218&gt;0,TODAY()-T218&gt;=N(Settings!$C$6)),"No reply",IF(U218="","Waiting",IF(U218&lt;TODAY(),"Follow up",IF(U218-TODAY()&lt;=2,"Due "&amp;DAY(U218)&amp;" "&amp;CHOOSE(MONTH(U218),"Jan","Feb","Mar","Apr","May","Jun","Jul","Aug","Sep","Oct","Nov","Dec"),"Waiting"))))))))</f>
        <v/>
      </c>
      <c r="S218" s="1" t="n"/>
      <c r="T218">
        <f>MAX(N(J218),N(L218))</f>
        <v/>
      </c>
      <c r="U218">
        <f>IF(N218&lt;&gt;"",N218,IF(T218=0,"",T218+N(Settings!$C$5)))</f>
        <v/>
      </c>
      <c r="V218">
        <f>IF(AND(B218&lt;&gt;"",U218&lt;&gt;"",OR(R218="Follow up",LEFT(R218,3)="Due",R218="Waiting",LEFT(R218,5)="Apply",LEFT(R218,5)="Offer")),U218+ROW()/10000000,"")</f>
        <v/>
      </c>
      <c r="W218">
        <f>IF(B218="","",IF(M218&lt;&gt;"",M218,IF(OR(K218="",K218="Saved"),"Apply",IF(K218="Offer","Reply to the offer","Follow up"))))</f>
        <v/>
      </c>
    </row>
    <row r="219">
      <c r="A219" s="1" t="n"/>
      <c r="B219" s="21" t="n"/>
      <c r="C219" s="22" t="n"/>
      <c r="D219" s="22" t="n"/>
      <c r="E219" s="22" t="n"/>
      <c r="F219" s="23" t="n"/>
      <c r="G219" s="23" t="n"/>
      <c r="H219" s="22" t="n"/>
      <c r="I219" s="24" t="n"/>
      <c r="J219" s="24" t="n"/>
      <c r="K219" s="25" t="n"/>
      <c r="L219" s="24" t="n"/>
      <c r="M219" s="22" t="n"/>
      <c r="N219" s="24" t="n"/>
      <c r="O219" s="25" t="n"/>
      <c r="P219" s="22" t="n"/>
      <c r="Q219" s="18">
        <f>IF(OR(B219="",J219=""),"",TODAY()-J219)</f>
        <v/>
      </c>
      <c r="R219" s="26">
        <f>IF(B219="","",IF(OR(K219="Accepted",K219="Rejected",K219="Withdrawn"),K219,IF(K219="Offer",IF(N219="","Offer","Offer, reply by "&amp;DAY(N219)&amp;" "&amp;CHOOSE(MONTH(N219),"Jan","Feb","Mar","Apr","May","Jun","Jul","Aug","Sep","Oct","Nov","Dec")),IF(OR(K219="",K219="Saved"),IF(N219="","To apply",IF(N219&lt;TODAY(),"Closing date passed","Apply by "&amp;DAY(N219)&amp;" "&amp;CHOOSE(MONTH(N219),"Jan","Feb","Mar","Apr","May","Jun","Jul","Aug","Sep","Oct","Nov","Dec"))),IF(AND(N219="",T219&gt;0,TODAY()-T219&gt;=N(Settings!$C$6)),"No reply",IF(U219="","Waiting",IF(U219&lt;TODAY(),"Follow up",IF(U219-TODAY()&lt;=2,"Due "&amp;DAY(U219)&amp;" "&amp;CHOOSE(MONTH(U219),"Jan","Feb","Mar","Apr","May","Jun","Jul","Aug","Sep","Oct","Nov","Dec"),"Waiting"))))))))</f>
        <v/>
      </c>
      <c r="S219" s="1" t="n"/>
      <c r="T219">
        <f>MAX(N(J219),N(L219))</f>
        <v/>
      </c>
      <c r="U219">
        <f>IF(N219&lt;&gt;"",N219,IF(T219=0,"",T219+N(Settings!$C$5)))</f>
        <v/>
      </c>
      <c r="V219">
        <f>IF(AND(B219&lt;&gt;"",U219&lt;&gt;"",OR(R219="Follow up",LEFT(R219,3)="Due",R219="Waiting",LEFT(R219,5)="Apply",LEFT(R219,5)="Offer")),U219+ROW()/10000000,"")</f>
        <v/>
      </c>
      <c r="W219">
        <f>IF(B219="","",IF(M219&lt;&gt;"",M219,IF(OR(K219="",K219="Saved"),"Apply",IF(K219="Offer","Reply to the offer","Follow up"))))</f>
        <v/>
      </c>
    </row>
    <row r="220">
      <c r="A220" s="1" t="n"/>
      <c r="B220" s="21" t="n"/>
      <c r="C220" s="22" t="n"/>
      <c r="D220" s="22" t="n"/>
      <c r="E220" s="22" t="n"/>
      <c r="F220" s="23" t="n"/>
      <c r="G220" s="23" t="n"/>
      <c r="H220" s="22" t="n"/>
      <c r="I220" s="24" t="n"/>
      <c r="J220" s="24" t="n"/>
      <c r="K220" s="25" t="n"/>
      <c r="L220" s="24" t="n"/>
      <c r="M220" s="22" t="n"/>
      <c r="N220" s="24" t="n"/>
      <c r="O220" s="25" t="n"/>
      <c r="P220" s="22" t="n"/>
      <c r="Q220" s="18">
        <f>IF(OR(B220="",J220=""),"",TODAY()-J220)</f>
        <v/>
      </c>
      <c r="R220" s="26">
        <f>IF(B220="","",IF(OR(K220="Accepted",K220="Rejected",K220="Withdrawn"),K220,IF(K220="Offer",IF(N220="","Offer","Offer, reply by "&amp;DAY(N220)&amp;" "&amp;CHOOSE(MONTH(N220),"Jan","Feb","Mar","Apr","May","Jun","Jul","Aug","Sep","Oct","Nov","Dec")),IF(OR(K220="",K220="Saved"),IF(N220="","To apply",IF(N220&lt;TODAY(),"Closing date passed","Apply by "&amp;DAY(N220)&amp;" "&amp;CHOOSE(MONTH(N220),"Jan","Feb","Mar","Apr","May","Jun","Jul","Aug","Sep","Oct","Nov","Dec"))),IF(AND(N220="",T220&gt;0,TODAY()-T220&gt;=N(Settings!$C$6)),"No reply",IF(U220="","Waiting",IF(U220&lt;TODAY(),"Follow up",IF(U220-TODAY()&lt;=2,"Due "&amp;DAY(U220)&amp;" "&amp;CHOOSE(MONTH(U220),"Jan","Feb","Mar","Apr","May","Jun","Jul","Aug","Sep","Oct","Nov","Dec"),"Waiting"))))))))</f>
        <v/>
      </c>
      <c r="S220" s="1" t="n"/>
      <c r="T220">
        <f>MAX(N(J220),N(L220))</f>
        <v/>
      </c>
      <c r="U220">
        <f>IF(N220&lt;&gt;"",N220,IF(T220=0,"",T220+N(Settings!$C$5)))</f>
        <v/>
      </c>
      <c r="V220">
        <f>IF(AND(B220&lt;&gt;"",U220&lt;&gt;"",OR(R220="Follow up",LEFT(R220,3)="Due",R220="Waiting",LEFT(R220,5)="Apply",LEFT(R220,5)="Offer")),U220+ROW()/10000000,"")</f>
        <v/>
      </c>
      <c r="W220">
        <f>IF(B220="","",IF(M220&lt;&gt;"",M220,IF(OR(K220="",K220="Saved"),"Apply",IF(K220="Offer","Reply to the offer","Follow up"))))</f>
        <v/>
      </c>
    </row>
    <row r="221">
      <c r="A221" s="1" t="n"/>
      <c r="B221" s="21" t="n"/>
      <c r="C221" s="22" t="n"/>
      <c r="D221" s="22" t="n"/>
      <c r="E221" s="22" t="n"/>
      <c r="F221" s="23" t="n"/>
      <c r="G221" s="23" t="n"/>
      <c r="H221" s="22" t="n"/>
      <c r="I221" s="24" t="n"/>
      <c r="J221" s="24" t="n"/>
      <c r="K221" s="25" t="n"/>
      <c r="L221" s="24" t="n"/>
      <c r="M221" s="22" t="n"/>
      <c r="N221" s="24" t="n"/>
      <c r="O221" s="25" t="n"/>
      <c r="P221" s="22" t="n"/>
      <c r="Q221" s="18">
        <f>IF(OR(B221="",J221=""),"",TODAY()-J221)</f>
        <v/>
      </c>
      <c r="R221" s="26">
        <f>IF(B221="","",IF(OR(K221="Accepted",K221="Rejected",K221="Withdrawn"),K221,IF(K221="Offer",IF(N221="","Offer","Offer, reply by "&amp;DAY(N221)&amp;" "&amp;CHOOSE(MONTH(N221),"Jan","Feb","Mar","Apr","May","Jun","Jul","Aug","Sep","Oct","Nov","Dec")),IF(OR(K221="",K221="Saved"),IF(N221="","To apply",IF(N221&lt;TODAY(),"Closing date passed","Apply by "&amp;DAY(N221)&amp;" "&amp;CHOOSE(MONTH(N221),"Jan","Feb","Mar","Apr","May","Jun","Jul","Aug","Sep","Oct","Nov","Dec"))),IF(AND(N221="",T221&gt;0,TODAY()-T221&gt;=N(Settings!$C$6)),"No reply",IF(U221="","Waiting",IF(U221&lt;TODAY(),"Follow up",IF(U221-TODAY()&lt;=2,"Due "&amp;DAY(U221)&amp;" "&amp;CHOOSE(MONTH(U221),"Jan","Feb","Mar","Apr","May","Jun","Jul","Aug","Sep","Oct","Nov","Dec"),"Waiting"))))))))</f>
        <v/>
      </c>
      <c r="S221" s="1" t="n"/>
      <c r="T221">
        <f>MAX(N(J221),N(L221))</f>
        <v/>
      </c>
      <c r="U221">
        <f>IF(N221&lt;&gt;"",N221,IF(T221=0,"",T221+N(Settings!$C$5)))</f>
        <v/>
      </c>
      <c r="V221">
        <f>IF(AND(B221&lt;&gt;"",U221&lt;&gt;"",OR(R221="Follow up",LEFT(R221,3)="Due",R221="Waiting",LEFT(R221,5)="Apply",LEFT(R221,5)="Offer")),U221+ROW()/10000000,"")</f>
        <v/>
      </c>
      <c r="W221">
        <f>IF(B221="","",IF(M221&lt;&gt;"",M221,IF(OR(K221="",K221="Saved"),"Apply",IF(K221="Offer","Reply to the offer","Follow up"))))</f>
        <v/>
      </c>
    </row>
    <row r="222">
      <c r="A222" s="1" t="n"/>
      <c r="B222" s="21" t="n"/>
      <c r="C222" s="22" t="n"/>
      <c r="D222" s="22" t="n"/>
      <c r="E222" s="22" t="n"/>
      <c r="F222" s="23" t="n"/>
      <c r="G222" s="23" t="n"/>
      <c r="H222" s="22" t="n"/>
      <c r="I222" s="24" t="n"/>
      <c r="J222" s="24" t="n"/>
      <c r="K222" s="25" t="n"/>
      <c r="L222" s="24" t="n"/>
      <c r="M222" s="22" t="n"/>
      <c r="N222" s="24" t="n"/>
      <c r="O222" s="25" t="n"/>
      <c r="P222" s="22" t="n"/>
      <c r="Q222" s="18">
        <f>IF(OR(B222="",J222=""),"",TODAY()-J222)</f>
        <v/>
      </c>
      <c r="R222" s="26">
        <f>IF(B222="","",IF(OR(K222="Accepted",K222="Rejected",K222="Withdrawn"),K222,IF(K222="Offer",IF(N222="","Offer","Offer, reply by "&amp;DAY(N222)&amp;" "&amp;CHOOSE(MONTH(N222),"Jan","Feb","Mar","Apr","May","Jun","Jul","Aug","Sep","Oct","Nov","Dec")),IF(OR(K222="",K222="Saved"),IF(N222="","To apply",IF(N222&lt;TODAY(),"Closing date passed","Apply by "&amp;DAY(N222)&amp;" "&amp;CHOOSE(MONTH(N222),"Jan","Feb","Mar","Apr","May","Jun","Jul","Aug","Sep","Oct","Nov","Dec"))),IF(AND(N222="",T222&gt;0,TODAY()-T222&gt;=N(Settings!$C$6)),"No reply",IF(U222="","Waiting",IF(U222&lt;TODAY(),"Follow up",IF(U222-TODAY()&lt;=2,"Due "&amp;DAY(U222)&amp;" "&amp;CHOOSE(MONTH(U222),"Jan","Feb","Mar","Apr","May","Jun","Jul","Aug","Sep","Oct","Nov","Dec"),"Waiting"))))))))</f>
        <v/>
      </c>
      <c r="S222" s="1" t="n"/>
      <c r="T222">
        <f>MAX(N(J222),N(L222))</f>
        <v/>
      </c>
      <c r="U222">
        <f>IF(N222&lt;&gt;"",N222,IF(T222=0,"",T222+N(Settings!$C$5)))</f>
        <v/>
      </c>
      <c r="V222">
        <f>IF(AND(B222&lt;&gt;"",U222&lt;&gt;"",OR(R222="Follow up",LEFT(R222,3)="Due",R222="Waiting",LEFT(R222,5)="Apply",LEFT(R222,5)="Offer")),U222+ROW()/10000000,"")</f>
        <v/>
      </c>
      <c r="W222">
        <f>IF(B222="","",IF(M222&lt;&gt;"",M222,IF(OR(K222="",K222="Saved"),"Apply",IF(K222="Offer","Reply to the offer","Follow up"))))</f>
        <v/>
      </c>
    </row>
    <row r="223">
      <c r="A223" s="1" t="n"/>
      <c r="B223" s="21" t="n"/>
      <c r="C223" s="22" t="n"/>
      <c r="D223" s="22" t="n"/>
      <c r="E223" s="22" t="n"/>
      <c r="F223" s="23" t="n"/>
      <c r="G223" s="23" t="n"/>
      <c r="H223" s="22" t="n"/>
      <c r="I223" s="24" t="n"/>
      <c r="J223" s="24" t="n"/>
      <c r="K223" s="25" t="n"/>
      <c r="L223" s="24" t="n"/>
      <c r="M223" s="22" t="n"/>
      <c r="N223" s="24" t="n"/>
      <c r="O223" s="25" t="n"/>
      <c r="P223" s="22" t="n"/>
      <c r="Q223" s="18">
        <f>IF(OR(B223="",J223=""),"",TODAY()-J223)</f>
        <v/>
      </c>
      <c r="R223" s="26">
        <f>IF(B223="","",IF(OR(K223="Accepted",K223="Rejected",K223="Withdrawn"),K223,IF(K223="Offer",IF(N223="","Offer","Offer, reply by "&amp;DAY(N223)&amp;" "&amp;CHOOSE(MONTH(N223),"Jan","Feb","Mar","Apr","May","Jun","Jul","Aug","Sep","Oct","Nov","Dec")),IF(OR(K223="",K223="Saved"),IF(N223="","To apply",IF(N223&lt;TODAY(),"Closing date passed","Apply by "&amp;DAY(N223)&amp;" "&amp;CHOOSE(MONTH(N223),"Jan","Feb","Mar","Apr","May","Jun","Jul","Aug","Sep","Oct","Nov","Dec"))),IF(AND(N223="",T223&gt;0,TODAY()-T223&gt;=N(Settings!$C$6)),"No reply",IF(U223="","Waiting",IF(U223&lt;TODAY(),"Follow up",IF(U223-TODAY()&lt;=2,"Due "&amp;DAY(U223)&amp;" "&amp;CHOOSE(MONTH(U223),"Jan","Feb","Mar","Apr","May","Jun","Jul","Aug","Sep","Oct","Nov","Dec"),"Waiting"))))))))</f>
        <v/>
      </c>
      <c r="S223" s="1" t="n"/>
      <c r="T223">
        <f>MAX(N(J223),N(L223))</f>
        <v/>
      </c>
      <c r="U223">
        <f>IF(N223&lt;&gt;"",N223,IF(T223=0,"",T223+N(Settings!$C$5)))</f>
        <v/>
      </c>
      <c r="V223">
        <f>IF(AND(B223&lt;&gt;"",U223&lt;&gt;"",OR(R223="Follow up",LEFT(R223,3)="Due",R223="Waiting",LEFT(R223,5)="Apply",LEFT(R223,5)="Offer")),U223+ROW()/10000000,"")</f>
        <v/>
      </c>
      <c r="W223">
        <f>IF(B223="","",IF(M223&lt;&gt;"",M223,IF(OR(K223="",K223="Saved"),"Apply",IF(K223="Offer","Reply to the offer","Follow up"))))</f>
        <v/>
      </c>
    </row>
    <row r="224">
      <c r="A224" s="1" t="n"/>
      <c r="B224" s="21" t="n"/>
      <c r="C224" s="22" t="n"/>
      <c r="D224" s="22" t="n"/>
      <c r="E224" s="22" t="n"/>
      <c r="F224" s="23" t="n"/>
      <c r="G224" s="23" t="n"/>
      <c r="H224" s="22" t="n"/>
      <c r="I224" s="24" t="n"/>
      <c r="J224" s="24" t="n"/>
      <c r="K224" s="25" t="n"/>
      <c r="L224" s="24" t="n"/>
      <c r="M224" s="22" t="n"/>
      <c r="N224" s="24" t="n"/>
      <c r="O224" s="25" t="n"/>
      <c r="P224" s="22" t="n"/>
      <c r="Q224" s="18">
        <f>IF(OR(B224="",J224=""),"",TODAY()-J224)</f>
        <v/>
      </c>
      <c r="R224" s="26">
        <f>IF(B224="","",IF(OR(K224="Accepted",K224="Rejected",K224="Withdrawn"),K224,IF(K224="Offer",IF(N224="","Offer","Offer, reply by "&amp;DAY(N224)&amp;" "&amp;CHOOSE(MONTH(N224),"Jan","Feb","Mar","Apr","May","Jun","Jul","Aug","Sep","Oct","Nov","Dec")),IF(OR(K224="",K224="Saved"),IF(N224="","To apply",IF(N224&lt;TODAY(),"Closing date passed","Apply by "&amp;DAY(N224)&amp;" "&amp;CHOOSE(MONTH(N224),"Jan","Feb","Mar","Apr","May","Jun","Jul","Aug","Sep","Oct","Nov","Dec"))),IF(AND(N224="",T224&gt;0,TODAY()-T224&gt;=N(Settings!$C$6)),"No reply",IF(U224="","Waiting",IF(U224&lt;TODAY(),"Follow up",IF(U224-TODAY()&lt;=2,"Due "&amp;DAY(U224)&amp;" "&amp;CHOOSE(MONTH(U224),"Jan","Feb","Mar","Apr","May","Jun","Jul","Aug","Sep","Oct","Nov","Dec"),"Waiting"))))))))</f>
        <v/>
      </c>
      <c r="S224" s="1" t="n"/>
      <c r="T224">
        <f>MAX(N(J224),N(L224))</f>
        <v/>
      </c>
      <c r="U224">
        <f>IF(N224&lt;&gt;"",N224,IF(T224=0,"",T224+N(Settings!$C$5)))</f>
        <v/>
      </c>
      <c r="V224">
        <f>IF(AND(B224&lt;&gt;"",U224&lt;&gt;"",OR(R224="Follow up",LEFT(R224,3)="Due",R224="Waiting",LEFT(R224,5)="Apply",LEFT(R224,5)="Offer")),U224+ROW()/10000000,"")</f>
        <v/>
      </c>
      <c r="W224">
        <f>IF(B224="","",IF(M224&lt;&gt;"",M224,IF(OR(K224="",K224="Saved"),"Apply",IF(K224="Offer","Reply to the offer","Follow up"))))</f>
        <v/>
      </c>
    </row>
    <row r="225">
      <c r="A225" s="1" t="n"/>
      <c r="B225" s="21" t="n"/>
      <c r="C225" s="22" t="n"/>
      <c r="D225" s="22" t="n"/>
      <c r="E225" s="22" t="n"/>
      <c r="F225" s="23" t="n"/>
      <c r="G225" s="23" t="n"/>
      <c r="H225" s="22" t="n"/>
      <c r="I225" s="24" t="n"/>
      <c r="J225" s="24" t="n"/>
      <c r="K225" s="25" t="n"/>
      <c r="L225" s="24" t="n"/>
      <c r="M225" s="22" t="n"/>
      <c r="N225" s="24" t="n"/>
      <c r="O225" s="25" t="n"/>
      <c r="P225" s="22" t="n"/>
      <c r="Q225" s="18">
        <f>IF(OR(B225="",J225=""),"",TODAY()-J225)</f>
        <v/>
      </c>
      <c r="R225" s="26">
        <f>IF(B225="","",IF(OR(K225="Accepted",K225="Rejected",K225="Withdrawn"),K225,IF(K225="Offer",IF(N225="","Offer","Offer, reply by "&amp;DAY(N225)&amp;" "&amp;CHOOSE(MONTH(N225),"Jan","Feb","Mar","Apr","May","Jun","Jul","Aug","Sep","Oct","Nov","Dec")),IF(OR(K225="",K225="Saved"),IF(N225="","To apply",IF(N225&lt;TODAY(),"Closing date passed","Apply by "&amp;DAY(N225)&amp;" "&amp;CHOOSE(MONTH(N225),"Jan","Feb","Mar","Apr","May","Jun","Jul","Aug","Sep","Oct","Nov","Dec"))),IF(AND(N225="",T225&gt;0,TODAY()-T225&gt;=N(Settings!$C$6)),"No reply",IF(U225="","Waiting",IF(U225&lt;TODAY(),"Follow up",IF(U225-TODAY()&lt;=2,"Due "&amp;DAY(U225)&amp;" "&amp;CHOOSE(MONTH(U225),"Jan","Feb","Mar","Apr","May","Jun","Jul","Aug","Sep","Oct","Nov","Dec"),"Waiting"))))))))</f>
        <v/>
      </c>
      <c r="S225" s="1" t="n"/>
      <c r="T225">
        <f>MAX(N(J225),N(L225))</f>
        <v/>
      </c>
      <c r="U225">
        <f>IF(N225&lt;&gt;"",N225,IF(T225=0,"",T225+N(Settings!$C$5)))</f>
        <v/>
      </c>
      <c r="V225">
        <f>IF(AND(B225&lt;&gt;"",U225&lt;&gt;"",OR(R225="Follow up",LEFT(R225,3)="Due",R225="Waiting",LEFT(R225,5)="Apply",LEFT(R225,5)="Offer")),U225+ROW()/10000000,"")</f>
        <v/>
      </c>
      <c r="W225">
        <f>IF(B225="","",IF(M225&lt;&gt;"",M225,IF(OR(K225="",K225="Saved"),"Apply",IF(K225="Offer","Reply to the offer","Follow up"))))</f>
        <v/>
      </c>
    </row>
    <row r="226">
      <c r="A226" s="1" t="n"/>
      <c r="B226" s="21" t="n"/>
      <c r="C226" s="22" t="n"/>
      <c r="D226" s="22" t="n"/>
      <c r="E226" s="22" t="n"/>
      <c r="F226" s="23" t="n"/>
      <c r="G226" s="23" t="n"/>
      <c r="H226" s="22" t="n"/>
      <c r="I226" s="24" t="n"/>
      <c r="J226" s="24" t="n"/>
      <c r="K226" s="25" t="n"/>
      <c r="L226" s="24" t="n"/>
      <c r="M226" s="22" t="n"/>
      <c r="N226" s="24" t="n"/>
      <c r="O226" s="25" t="n"/>
      <c r="P226" s="22" t="n"/>
      <c r="Q226" s="18">
        <f>IF(OR(B226="",J226=""),"",TODAY()-J226)</f>
        <v/>
      </c>
      <c r="R226" s="26">
        <f>IF(B226="","",IF(OR(K226="Accepted",K226="Rejected",K226="Withdrawn"),K226,IF(K226="Offer",IF(N226="","Offer","Offer, reply by "&amp;DAY(N226)&amp;" "&amp;CHOOSE(MONTH(N226),"Jan","Feb","Mar","Apr","May","Jun","Jul","Aug","Sep","Oct","Nov","Dec")),IF(OR(K226="",K226="Saved"),IF(N226="","To apply",IF(N226&lt;TODAY(),"Closing date passed","Apply by "&amp;DAY(N226)&amp;" "&amp;CHOOSE(MONTH(N226),"Jan","Feb","Mar","Apr","May","Jun","Jul","Aug","Sep","Oct","Nov","Dec"))),IF(AND(N226="",T226&gt;0,TODAY()-T226&gt;=N(Settings!$C$6)),"No reply",IF(U226="","Waiting",IF(U226&lt;TODAY(),"Follow up",IF(U226-TODAY()&lt;=2,"Due "&amp;DAY(U226)&amp;" "&amp;CHOOSE(MONTH(U226),"Jan","Feb","Mar","Apr","May","Jun","Jul","Aug","Sep","Oct","Nov","Dec"),"Waiting"))))))))</f>
        <v/>
      </c>
      <c r="S226" s="1" t="n"/>
      <c r="T226">
        <f>MAX(N(J226),N(L226))</f>
        <v/>
      </c>
      <c r="U226">
        <f>IF(N226&lt;&gt;"",N226,IF(T226=0,"",T226+N(Settings!$C$5)))</f>
        <v/>
      </c>
      <c r="V226">
        <f>IF(AND(B226&lt;&gt;"",U226&lt;&gt;"",OR(R226="Follow up",LEFT(R226,3)="Due",R226="Waiting",LEFT(R226,5)="Apply",LEFT(R226,5)="Offer")),U226+ROW()/10000000,"")</f>
        <v/>
      </c>
      <c r="W226">
        <f>IF(B226="","",IF(M226&lt;&gt;"",M226,IF(OR(K226="",K226="Saved"),"Apply",IF(K226="Offer","Reply to the offer","Follow up"))))</f>
        <v/>
      </c>
    </row>
    <row r="227">
      <c r="A227" s="1" t="n"/>
      <c r="B227" s="21" t="n"/>
      <c r="C227" s="22" t="n"/>
      <c r="D227" s="22" t="n"/>
      <c r="E227" s="22" t="n"/>
      <c r="F227" s="23" t="n"/>
      <c r="G227" s="23" t="n"/>
      <c r="H227" s="22" t="n"/>
      <c r="I227" s="24" t="n"/>
      <c r="J227" s="24" t="n"/>
      <c r="K227" s="25" t="n"/>
      <c r="L227" s="24" t="n"/>
      <c r="M227" s="22" t="n"/>
      <c r="N227" s="24" t="n"/>
      <c r="O227" s="25" t="n"/>
      <c r="P227" s="22" t="n"/>
      <c r="Q227" s="18">
        <f>IF(OR(B227="",J227=""),"",TODAY()-J227)</f>
        <v/>
      </c>
      <c r="R227" s="26">
        <f>IF(B227="","",IF(OR(K227="Accepted",K227="Rejected",K227="Withdrawn"),K227,IF(K227="Offer",IF(N227="","Offer","Offer, reply by "&amp;DAY(N227)&amp;" "&amp;CHOOSE(MONTH(N227),"Jan","Feb","Mar","Apr","May","Jun","Jul","Aug","Sep","Oct","Nov","Dec")),IF(OR(K227="",K227="Saved"),IF(N227="","To apply",IF(N227&lt;TODAY(),"Closing date passed","Apply by "&amp;DAY(N227)&amp;" "&amp;CHOOSE(MONTH(N227),"Jan","Feb","Mar","Apr","May","Jun","Jul","Aug","Sep","Oct","Nov","Dec"))),IF(AND(N227="",T227&gt;0,TODAY()-T227&gt;=N(Settings!$C$6)),"No reply",IF(U227="","Waiting",IF(U227&lt;TODAY(),"Follow up",IF(U227-TODAY()&lt;=2,"Due "&amp;DAY(U227)&amp;" "&amp;CHOOSE(MONTH(U227),"Jan","Feb","Mar","Apr","May","Jun","Jul","Aug","Sep","Oct","Nov","Dec"),"Waiting"))))))))</f>
        <v/>
      </c>
      <c r="S227" s="1" t="n"/>
      <c r="T227">
        <f>MAX(N(J227),N(L227))</f>
        <v/>
      </c>
      <c r="U227">
        <f>IF(N227&lt;&gt;"",N227,IF(T227=0,"",T227+N(Settings!$C$5)))</f>
        <v/>
      </c>
      <c r="V227">
        <f>IF(AND(B227&lt;&gt;"",U227&lt;&gt;"",OR(R227="Follow up",LEFT(R227,3)="Due",R227="Waiting",LEFT(R227,5)="Apply",LEFT(R227,5)="Offer")),U227+ROW()/10000000,"")</f>
        <v/>
      </c>
      <c r="W227">
        <f>IF(B227="","",IF(M227&lt;&gt;"",M227,IF(OR(K227="",K227="Saved"),"Apply",IF(K227="Offer","Reply to the offer","Follow up"))))</f>
        <v/>
      </c>
    </row>
    <row r="228">
      <c r="A228" s="1" t="n"/>
      <c r="B228" s="21" t="n"/>
      <c r="C228" s="22" t="n"/>
      <c r="D228" s="22" t="n"/>
      <c r="E228" s="22" t="n"/>
      <c r="F228" s="23" t="n"/>
      <c r="G228" s="23" t="n"/>
      <c r="H228" s="22" t="n"/>
      <c r="I228" s="24" t="n"/>
      <c r="J228" s="24" t="n"/>
      <c r="K228" s="25" t="n"/>
      <c r="L228" s="24" t="n"/>
      <c r="M228" s="22" t="n"/>
      <c r="N228" s="24" t="n"/>
      <c r="O228" s="25" t="n"/>
      <c r="P228" s="22" t="n"/>
      <c r="Q228" s="18">
        <f>IF(OR(B228="",J228=""),"",TODAY()-J228)</f>
        <v/>
      </c>
      <c r="R228" s="26">
        <f>IF(B228="","",IF(OR(K228="Accepted",K228="Rejected",K228="Withdrawn"),K228,IF(K228="Offer",IF(N228="","Offer","Offer, reply by "&amp;DAY(N228)&amp;" "&amp;CHOOSE(MONTH(N228),"Jan","Feb","Mar","Apr","May","Jun","Jul","Aug","Sep","Oct","Nov","Dec")),IF(OR(K228="",K228="Saved"),IF(N228="","To apply",IF(N228&lt;TODAY(),"Closing date passed","Apply by "&amp;DAY(N228)&amp;" "&amp;CHOOSE(MONTH(N228),"Jan","Feb","Mar","Apr","May","Jun","Jul","Aug","Sep","Oct","Nov","Dec"))),IF(AND(N228="",T228&gt;0,TODAY()-T228&gt;=N(Settings!$C$6)),"No reply",IF(U228="","Waiting",IF(U228&lt;TODAY(),"Follow up",IF(U228-TODAY()&lt;=2,"Due "&amp;DAY(U228)&amp;" "&amp;CHOOSE(MONTH(U228),"Jan","Feb","Mar","Apr","May","Jun","Jul","Aug","Sep","Oct","Nov","Dec"),"Waiting"))))))))</f>
        <v/>
      </c>
      <c r="S228" s="1" t="n"/>
      <c r="T228">
        <f>MAX(N(J228),N(L228))</f>
        <v/>
      </c>
      <c r="U228">
        <f>IF(N228&lt;&gt;"",N228,IF(T228=0,"",T228+N(Settings!$C$5)))</f>
        <v/>
      </c>
      <c r="V228">
        <f>IF(AND(B228&lt;&gt;"",U228&lt;&gt;"",OR(R228="Follow up",LEFT(R228,3)="Due",R228="Waiting",LEFT(R228,5)="Apply",LEFT(R228,5)="Offer")),U228+ROW()/10000000,"")</f>
        <v/>
      </c>
      <c r="W228">
        <f>IF(B228="","",IF(M228&lt;&gt;"",M228,IF(OR(K228="",K228="Saved"),"Apply",IF(K228="Offer","Reply to the offer","Follow up"))))</f>
        <v/>
      </c>
    </row>
    <row r="229">
      <c r="A229" s="1" t="n"/>
      <c r="B229" s="21" t="n"/>
      <c r="C229" s="22" t="n"/>
      <c r="D229" s="22" t="n"/>
      <c r="E229" s="22" t="n"/>
      <c r="F229" s="23" t="n"/>
      <c r="G229" s="23" t="n"/>
      <c r="H229" s="22" t="n"/>
      <c r="I229" s="24" t="n"/>
      <c r="J229" s="24" t="n"/>
      <c r="K229" s="25" t="n"/>
      <c r="L229" s="24" t="n"/>
      <c r="M229" s="22" t="n"/>
      <c r="N229" s="24" t="n"/>
      <c r="O229" s="25" t="n"/>
      <c r="P229" s="22" t="n"/>
      <c r="Q229" s="18">
        <f>IF(OR(B229="",J229=""),"",TODAY()-J229)</f>
        <v/>
      </c>
      <c r="R229" s="26">
        <f>IF(B229="","",IF(OR(K229="Accepted",K229="Rejected",K229="Withdrawn"),K229,IF(K229="Offer",IF(N229="","Offer","Offer, reply by "&amp;DAY(N229)&amp;" "&amp;CHOOSE(MONTH(N229),"Jan","Feb","Mar","Apr","May","Jun","Jul","Aug","Sep","Oct","Nov","Dec")),IF(OR(K229="",K229="Saved"),IF(N229="","To apply",IF(N229&lt;TODAY(),"Closing date passed","Apply by "&amp;DAY(N229)&amp;" "&amp;CHOOSE(MONTH(N229),"Jan","Feb","Mar","Apr","May","Jun","Jul","Aug","Sep","Oct","Nov","Dec"))),IF(AND(N229="",T229&gt;0,TODAY()-T229&gt;=N(Settings!$C$6)),"No reply",IF(U229="","Waiting",IF(U229&lt;TODAY(),"Follow up",IF(U229-TODAY()&lt;=2,"Due "&amp;DAY(U229)&amp;" "&amp;CHOOSE(MONTH(U229),"Jan","Feb","Mar","Apr","May","Jun","Jul","Aug","Sep","Oct","Nov","Dec"),"Waiting"))))))))</f>
        <v/>
      </c>
      <c r="S229" s="1" t="n"/>
      <c r="T229">
        <f>MAX(N(J229),N(L229))</f>
        <v/>
      </c>
      <c r="U229">
        <f>IF(N229&lt;&gt;"",N229,IF(T229=0,"",T229+N(Settings!$C$5)))</f>
        <v/>
      </c>
      <c r="V229">
        <f>IF(AND(B229&lt;&gt;"",U229&lt;&gt;"",OR(R229="Follow up",LEFT(R229,3)="Due",R229="Waiting",LEFT(R229,5)="Apply",LEFT(R229,5)="Offer")),U229+ROW()/10000000,"")</f>
        <v/>
      </c>
      <c r="W229">
        <f>IF(B229="","",IF(M229&lt;&gt;"",M229,IF(OR(K229="",K229="Saved"),"Apply",IF(K229="Offer","Reply to the offer","Follow up"))))</f>
        <v/>
      </c>
    </row>
    <row r="230">
      <c r="A230" s="1" t="n"/>
      <c r="B230" s="21" t="n"/>
      <c r="C230" s="22" t="n"/>
      <c r="D230" s="22" t="n"/>
      <c r="E230" s="22" t="n"/>
      <c r="F230" s="23" t="n"/>
      <c r="G230" s="23" t="n"/>
      <c r="H230" s="22" t="n"/>
      <c r="I230" s="24" t="n"/>
      <c r="J230" s="24" t="n"/>
      <c r="K230" s="25" t="n"/>
      <c r="L230" s="24" t="n"/>
      <c r="M230" s="22" t="n"/>
      <c r="N230" s="24" t="n"/>
      <c r="O230" s="25" t="n"/>
      <c r="P230" s="22" t="n"/>
      <c r="Q230" s="18">
        <f>IF(OR(B230="",J230=""),"",TODAY()-J230)</f>
        <v/>
      </c>
      <c r="R230" s="26">
        <f>IF(B230="","",IF(OR(K230="Accepted",K230="Rejected",K230="Withdrawn"),K230,IF(K230="Offer",IF(N230="","Offer","Offer, reply by "&amp;DAY(N230)&amp;" "&amp;CHOOSE(MONTH(N230),"Jan","Feb","Mar","Apr","May","Jun","Jul","Aug","Sep","Oct","Nov","Dec")),IF(OR(K230="",K230="Saved"),IF(N230="","To apply",IF(N230&lt;TODAY(),"Closing date passed","Apply by "&amp;DAY(N230)&amp;" "&amp;CHOOSE(MONTH(N230),"Jan","Feb","Mar","Apr","May","Jun","Jul","Aug","Sep","Oct","Nov","Dec"))),IF(AND(N230="",T230&gt;0,TODAY()-T230&gt;=N(Settings!$C$6)),"No reply",IF(U230="","Waiting",IF(U230&lt;TODAY(),"Follow up",IF(U230-TODAY()&lt;=2,"Due "&amp;DAY(U230)&amp;" "&amp;CHOOSE(MONTH(U230),"Jan","Feb","Mar","Apr","May","Jun","Jul","Aug","Sep","Oct","Nov","Dec"),"Waiting"))))))))</f>
        <v/>
      </c>
      <c r="S230" s="1" t="n"/>
      <c r="T230">
        <f>MAX(N(J230),N(L230))</f>
        <v/>
      </c>
      <c r="U230">
        <f>IF(N230&lt;&gt;"",N230,IF(T230=0,"",T230+N(Settings!$C$5)))</f>
        <v/>
      </c>
      <c r="V230">
        <f>IF(AND(B230&lt;&gt;"",U230&lt;&gt;"",OR(R230="Follow up",LEFT(R230,3)="Due",R230="Waiting",LEFT(R230,5)="Apply",LEFT(R230,5)="Offer")),U230+ROW()/10000000,"")</f>
        <v/>
      </c>
      <c r="W230">
        <f>IF(B230="","",IF(M230&lt;&gt;"",M230,IF(OR(K230="",K230="Saved"),"Apply",IF(K230="Offer","Reply to the offer","Follow up"))))</f>
        <v/>
      </c>
    </row>
    <row r="231">
      <c r="A231" s="1" t="n"/>
      <c r="B231" s="21" t="n"/>
      <c r="C231" s="22" t="n"/>
      <c r="D231" s="22" t="n"/>
      <c r="E231" s="22" t="n"/>
      <c r="F231" s="23" t="n"/>
      <c r="G231" s="23" t="n"/>
      <c r="H231" s="22" t="n"/>
      <c r="I231" s="24" t="n"/>
      <c r="J231" s="24" t="n"/>
      <c r="K231" s="25" t="n"/>
      <c r="L231" s="24" t="n"/>
      <c r="M231" s="22" t="n"/>
      <c r="N231" s="24" t="n"/>
      <c r="O231" s="25" t="n"/>
      <c r="P231" s="22" t="n"/>
      <c r="Q231" s="18">
        <f>IF(OR(B231="",J231=""),"",TODAY()-J231)</f>
        <v/>
      </c>
      <c r="R231" s="26">
        <f>IF(B231="","",IF(OR(K231="Accepted",K231="Rejected",K231="Withdrawn"),K231,IF(K231="Offer",IF(N231="","Offer","Offer, reply by "&amp;DAY(N231)&amp;" "&amp;CHOOSE(MONTH(N231),"Jan","Feb","Mar","Apr","May","Jun","Jul","Aug","Sep","Oct","Nov","Dec")),IF(OR(K231="",K231="Saved"),IF(N231="","To apply",IF(N231&lt;TODAY(),"Closing date passed","Apply by "&amp;DAY(N231)&amp;" "&amp;CHOOSE(MONTH(N231),"Jan","Feb","Mar","Apr","May","Jun","Jul","Aug","Sep","Oct","Nov","Dec"))),IF(AND(N231="",T231&gt;0,TODAY()-T231&gt;=N(Settings!$C$6)),"No reply",IF(U231="","Waiting",IF(U231&lt;TODAY(),"Follow up",IF(U231-TODAY()&lt;=2,"Due "&amp;DAY(U231)&amp;" "&amp;CHOOSE(MONTH(U231),"Jan","Feb","Mar","Apr","May","Jun","Jul","Aug","Sep","Oct","Nov","Dec"),"Waiting"))))))))</f>
        <v/>
      </c>
      <c r="S231" s="1" t="n"/>
      <c r="T231">
        <f>MAX(N(J231),N(L231))</f>
        <v/>
      </c>
      <c r="U231">
        <f>IF(N231&lt;&gt;"",N231,IF(T231=0,"",T231+N(Settings!$C$5)))</f>
        <v/>
      </c>
      <c r="V231">
        <f>IF(AND(B231&lt;&gt;"",U231&lt;&gt;"",OR(R231="Follow up",LEFT(R231,3)="Due",R231="Waiting",LEFT(R231,5)="Apply",LEFT(R231,5)="Offer")),U231+ROW()/10000000,"")</f>
        <v/>
      </c>
      <c r="W231">
        <f>IF(B231="","",IF(M231&lt;&gt;"",M231,IF(OR(K231="",K231="Saved"),"Apply",IF(K231="Offer","Reply to the offer","Follow up"))))</f>
        <v/>
      </c>
    </row>
    <row r="232">
      <c r="A232" s="1" t="n"/>
      <c r="B232" s="21" t="n"/>
      <c r="C232" s="22" t="n"/>
      <c r="D232" s="22" t="n"/>
      <c r="E232" s="22" t="n"/>
      <c r="F232" s="23" t="n"/>
      <c r="G232" s="23" t="n"/>
      <c r="H232" s="22" t="n"/>
      <c r="I232" s="24" t="n"/>
      <c r="J232" s="24" t="n"/>
      <c r="K232" s="25" t="n"/>
      <c r="L232" s="24" t="n"/>
      <c r="M232" s="22" t="n"/>
      <c r="N232" s="24" t="n"/>
      <c r="O232" s="25" t="n"/>
      <c r="P232" s="22" t="n"/>
      <c r="Q232" s="18">
        <f>IF(OR(B232="",J232=""),"",TODAY()-J232)</f>
        <v/>
      </c>
      <c r="R232" s="26">
        <f>IF(B232="","",IF(OR(K232="Accepted",K232="Rejected",K232="Withdrawn"),K232,IF(K232="Offer",IF(N232="","Offer","Offer, reply by "&amp;DAY(N232)&amp;" "&amp;CHOOSE(MONTH(N232),"Jan","Feb","Mar","Apr","May","Jun","Jul","Aug","Sep","Oct","Nov","Dec")),IF(OR(K232="",K232="Saved"),IF(N232="","To apply",IF(N232&lt;TODAY(),"Closing date passed","Apply by "&amp;DAY(N232)&amp;" "&amp;CHOOSE(MONTH(N232),"Jan","Feb","Mar","Apr","May","Jun","Jul","Aug","Sep","Oct","Nov","Dec"))),IF(AND(N232="",T232&gt;0,TODAY()-T232&gt;=N(Settings!$C$6)),"No reply",IF(U232="","Waiting",IF(U232&lt;TODAY(),"Follow up",IF(U232-TODAY()&lt;=2,"Due "&amp;DAY(U232)&amp;" "&amp;CHOOSE(MONTH(U232),"Jan","Feb","Mar","Apr","May","Jun","Jul","Aug","Sep","Oct","Nov","Dec"),"Waiting"))))))))</f>
        <v/>
      </c>
      <c r="S232" s="1" t="n"/>
      <c r="T232">
        <f>MAX(N(J232),N(L232))</f>
        <v/>
      </c>
      <c r="U232">
        <f>IF(N232&lt;&gt;"",N232,IF(T232=0,"",T232+N(Settings!$C$5)))</f>
        <v/>
      </c>
      <c r="V232">
        <f>IF(AND(B232&lt;&gt;"",U232&lt;&gt;"",OR(R232="Follow up",LEFT(R232,3)="Due",R232="Waiting",LEFT(R232,5)="Apply",LEFT(R232,5)="Offer")),U232+ROW()/10000000,"")</f>
        <v/>
      </c>
      <c r="W232">
        <f>IF(B232="","",IF(M232&lt;&gt;"",M232,IF(OR(K232="",K232="Saved"),"Apply",IF(K232="Offer","Reply to the offer","Follow up"))))</f>
        <v/>
      </c>
    </row>
    <row r="233">
      <c r="A233" s="1" t="n"/>
      <c r="B233" s="21" t="n"/>
      <c r="C233" s="22" t="n"/>
      <c r="D233" s="22" t="n"/>
      <c r="E233" s="22" t="n"/>
      <c r="F233" s="23" t="n"/>
      <c r="G233" s="23" t="n"/>
      <c r="H233" s="22" t="n"/>
      <c r="I233" s="24" t="n"/>
      <c r="J233" s="24" t="n"/>
      <c r="K233" s="25" t="n"/>
      <c r="L233" s="24" t="n"/>
      <c r="M233" s="22" t="n"/>
      <c r="N233" s="24" t="n"/>
      <c r="O233" s="25" t="n"/>
      <c r="P233" s="22" t="n"/>
      <c r="Q233" s="18">
        <f>IF(OR(B233="",J233=""),"",TODAY()-J233)</f>
        <v/>
      </c>
      <c r="R233" s="26">
        <f>IF(B233="","",IF(OR(K233="Accepted",K233="Rejected",K233="Withdrawn"),K233,IF(K233="Offer",IF(N233="","Offer","Offer, reply by "&amp;DAY(N233)&amp;" "&amp;CHOOSE(MONTH(N233),"Jan","Feb","Mar","Apr","May","Jun","Jul","Aug","Sep","Oct","Nov","Dec")),IF(OR(K233="",K233="Saved"),IF(N233="","To apply",IF(N233&lt;TODAY(),"Closing date passed","Apply by "&amp;DAY(N233)&amp;" "&amp;CHOOSE(MONTH(N233),"Jan","Feb","Mar","Apr","May","Jun","Jul","Aug","Sep","Oct","Nov","Dec"))),IF(AND(N233="",T233&gt;0,TODAY()-T233&gt;=N(Settings!$C$6)),"No reply",IF(U233="","Waiting",IF(U233&lt;TODAY(),"Follow up",IF(U233-TODAY()&lt;=2,"Due "&amp;DAY(U233)&amp;" "&amp;CHOOSE(MONTH(U233),"Jan","Feb","Mar","Apr","May","Jun","Jul","Aug","Sep","Oct","Nov","Dec"),"Waiting"))))))))</f>
        <v/>
      </c>
      <c r="S233" s="1" t="n"/>
      <c r="T233">
        <f>MAX(N(J233),N(L233))</f>
        <v/>
      </c>
      <c r="U233">
        <f>IF(N233&lt;&gt;"",N233,IF(T233=0,"",T233+N(Settings!$C$5)))</f>
        <v/>
      </c>
      <c r="V233">
        <f>IF(AND(B233&lt;&gt;"",U233&lt;&gt;"",OR(R233="Follow up",LEFT(R233,3)="Due",R233="Waiting",LEFT(R233,5)="Apply",LEFT(R233,5)="Offer")),U233+ROW()/10000000,"")</f>
        <v/>
      </c>
      <c r="W233">
        <f>IF(B233="","",IF(M233&lt;&gt;"",M233,IF(OR(K233="",K233="Saved"),"Apply",IF(K233="Offer","Reply to the offer","Follow up"))))</f>
        <v/>
      </c>
    </row>
    <row r="234">
      <c r="A234" s="1" t="n"/>
      <c r="B234" s="21" t="n"/>
      <c r="C234" s="22" t="n"/>
      <c r="D234" s="22" t="n"/>
      <c r="E234" s="22" t="n"/>
      <c r="F234" s="23" t="n"/>
      <c r="G234" s="23" t="n"/>
      <c r="H234" s="22" t="n"/>
      <c r="I234" s="24" t="n"/>
      <c r="J234" s="24" t="n"/>
      <c r="K234" s="25" t="n"/>
      <c r="L234" s="24" t="n"/>
      <c r="M234" s="22" t="n"/>
      <c r="N234" s="24" t="n"/>
      <c r="O234" s="25" t="n"/>
      <c r="P234" s="22" t="n"/>
      <c r="Q234" s="18">
        <f>IF(OR(B234="",J234=""),"",TODAY()-J234)</f>
        <v/>
      </c>
      <c r="R234" s="26">
        <f>IF(B234="","",IF(OR(K234="Accepted",K234="Rejected",K234="Withdrawn"),K234,IF(K234="Offer",IF(N234="","Offer","Offer, reply by "&amp;DAY(N234)&amp;" "&amp;CHOOSE(MONTH(N234),"Jan","Feb","Mar","Apr","May","Jun","Jul","Aug","Sep","Oct","Nov","Dec")),IF(OR(K234="",K234="Saved"),IF(N234="","To apply",IF(N234&lt;TODAY(),"Closing date passed","Apply by "&amp;DAY(N234)&amp;" "&amp;CHOOSE(MONTH(N234),"Jan","Feb","Mar","Apr","May","Jun","Jul","Aug","Sep","Oct","Nov","Dec"))),IF(AND(N234="",T234&gt;0,TODAY()-T234&gt;=N(Settings!$C$6)),"No reply",IF(U234="","Waiting",IF(U234&lt;TODAY(),"Follow up",IF(U234-TODAY()&lt;=2,"Due "&amp;DAY(U234)&amp;" "&amp;CHOOSE(MONTH(U234),"Jan","Feb","Mar","Apr","May","Jun","Jul","Aug","Sep","Oct","Nov","Dec"),"Waiting"))))))))</f>
        <v/>
      </c>
      <c r="S234" s="1" t="n"/>
      <c r="T234">
        <f>MAX(N(J234),N(L234))</f>
        <v/>
      </c>
      <c r="U234">
        <f>IF(N234&lt;&gt;"",N234,IF(T234=0,"",T234+N(Settings!$C$5)))</f>
        <v/>
      </c>
      <c r="V234">
        <f>IF(AND(B234&lt;&gt;"",U234&lt;&gt;"",OR(R234="Follow up",LEFT(R234,3)="Due",R234="Waiting",LEFT(R234,5)="Apply",LEFT(R234,5)="Offer")),U234+ROW()/10000000,"")</f>
        <v/>
      </c>
      <c r="W234">
        <f>IF(B234="","",IF(M234&lt;&gt;"",M234,IF(OR(K234="",K234="Saved"),"Apply",IF(K234="Offer","Reply to the offer","Follow up"))))</f>
        <v/>
      </c>
    </row>
    <row r="235">
      <c r="A235" s="1" t="n"/>
      <c r="B235" s="21" t="n"/>
      <c r="C235" s="22" t="n"/>
      <c r="D235" s="22" t="n"/>
      <c r="E235" s="22" t="n"/>
      <c r="F235" s="23" t="n"/>
      <c r="G235" s="23" t="n"/>
      <c r="H235" s="22" t="n"/>
      <c r="I235" s="24" t="n"/>
      <c r="J235" s="24" t="n"/>
      <c r="K235" s="25" t="n"/>
      <c r="L235" s="24" t="n"/>
      <c r="M235" s="22" t="n"/>
      <c r="N235" s="24" t="n"/>
      <c r="O235" s="25" t="n"/>
      <c r="P235" s="22" t="n"/>
      <c r="Q235" s="18">
        <f>IF(OR(B235="",J235=""),"",TODAY()-J235)</f>
        <v/>
      </c>
      <c r="R235" s="26">
        <f>IF(B235="","",IF(OR(K235="Accepted",K235="Rejected",K235="Withdrawn"),K235,IF(K235="Offer",IF(N235="","Offer","Offer, reply by "&amp;DAY(N235)&amp;" "&amp;CHOOSE(MONTH(N235),"Jan","Feb","Mar","Apr","May","Jun","Jul","Aug","Sep","Oct","Nov","Dec")),IF(OR(K235="",K235="Saved"),IF(N235="","To apply",IF(N235&lt;TODAY(),"Closing date passed","Apply by "&amp;DAY(N235)&amp;" "&amp;CHOOSE(MONTH(N235),"Jan","Feb","Mar","Apr","May","Jun","Jul","Aug","Sep","Oct","Nov","Dec"))),IF(AND(N235="",T235&gt;0,TODAY()-T235&gt;=N(Settings!$C$6)),"No reply",IF(U235="","Waiting",IF(U235&lt;TODAY(),"Follow up",IF(U235-TODAY()&lt;=2,"Due "&amp;DAY(U235)&amp;" "&amp;CHOOSE(MONTH(U235),"Jan","Feb","Mar","Apr","May","Jun","Jul","Aug","Sep","Oct","Nov","Dec"),"Waiting"))))))))</f>
        <v/>
      </c>
      <c r="S235" s="1" t="n"/>
      <c r="T235">
        <f>MAX(N(J235),N(L235))</f>
        <v/>
      </c>
      <c r="U235">
        <f>IF(N235&lt;&gt;"",N235,IF(T235=0,"",T235+N(Settings!$C$5)))</f>
        <v/>
      </c>
      <c r="V235">
        <f>IF(AND(B235&lt;&gt;"",U235&lt;&gt;"",OR(R235="Follow up",LEFT(R235,3)="Due",R235="Waiting",LEFT(R235,5)="Apply",LEFT(R235,5)="Offer")),U235+ROW()/10000000,"")</f>
        <v/>
      </c>
      <c r="W235">
        <f>IF(B235="","",IF(M235&lt;&gt;"",M235,IF(OR(K235="",K235="Saved"),"Apply",IF(K235="Offer","Reply to the offer","Follow up"))))</f>
        <v/>
      </c>
    </row>
    <row r="236">
      <c r="A236" s="1" t="n"/>
      <c r="B236" s="21" t="n"/>
      <c r="C236" s="22" t="n"/>
      <c r="D236" s="22" t="n"/>
      <c r="E236" s="22" t="n"/>
      <c r="F236" s="23" t="n"/>
      <c r="G236" s="23" t="n"/>
      <c r="H236" s="22" t="n"/>
      <c r="I236" s="24" t="n"/>
      <c r="J236" s="24" t="n"/>
      <c r="K236" s="25" t="n"/>
      <c r="L236" s="24" t="n"/>
      <c r="M236" s="22" t="n"/>
      <c r="N236" s="24" t="n"/>
      <c r="O236" s="25" t="n"/>
      <c r="P236" s="22" t="n"/>
      <c r="Q236" s="18">
        <f>IF(OR(B236="",J236=""),"",TODAY()-J236)</f>
        <v/>
      </c>
      <c r="R236" s="26">
        <f>IF(B236="","",IF(OR(K236="Accepted",K236="Rejected",K236="Withdrawn"),K236,IF(K236="Offer",IF(N236="","Offer","Offer, reply by "&amp;DAY(N236)&amp;" "&amp;CHOOSE(MONTH(N236),"Jan","Feb","Mar","Apr","May","Jun","Jul","Aug","Sep","Oct","Nov","Dec")),IF(OR(K236="",K236="Saved"),IF(N236="","To apply",IF(N236&lt;TODAY(),"Closing date passed","Apply by "&amp;DAY(N236)&amp;" "&amp;CHOOSE(MONTH(N236),"Jan","Feb","Mar","Apr","May","Jun","Jul","Aug","Sep","Oct","Nov","Dec"))),IF(AND(N236="",T236&gt;0,TODAY()-T236&gt;=N(Settings!$C$6)),"No reply",IF(U236="","Waiting",IF(U236&lt;TODAY(),"Follow up",IF(U236-TODAY()&lt;=2,"Due "&amp;DAY(U236)&amp;" "&amp;CHOOSE(MONTH(U236),"Jan","Feb","Mar","Apr","May","Jun","Jul","Aug","Sep","Oct","Nov","Dec"),"Waiting"))))))))</f>
        <v/>
      </c>
      <c r="S236" s="1" t="n"/>
      <c r="T236">
        <f>MAX(N(J236),N(L236))</f>
        <v/>
      </c>
      <c r="U236">
        <f>IF(N236&lt;&gt;"",N236,IF(T236=0,"",T236+N(Settings!$C$5)))</f>
        <v/>
      </c>
      <c r="V236">
        <f>IF(AND(B236&lt;&gt;"",U236&lt;&gt;"",OR(R236="Follow up",LEFT(R236,3)="Due",R236="Waiting",LEFT(R236,5)="Apply",LEFT(R236,5)="Offer")),U236+ROW()/10000000,"")</f>
        <v/>
      </c>
      <c r="W236">
        <f>IF(B236="","",IF(M236&lt;&gt;"",M236,IF(OR(K236="",K236="Saved"),"Apply",IF(K236="Offer","Reply to the offer","Follow up"))))</f>
        <v/>
      </c>
    </row>
    <row r="237">
      <c r="A237" s="1" t="n"/>
      <c r="B237" s="21" t="n"/>
      <c r="C237" s="22" t="n"/>
      <c r="D237" s="22" t="n"/>
      <c r="E237" s="22" t="n"/>
      <c r="F237" s="23" t="n"/>
      <c r="G237" s="23" t="n"/>
      <c r="H237" s="22" t="n"/>
      <c r="I237" s="24" t="n"/>
      <c r="J237" s="24" t="n"/>
      <c r="K237" s="25" t="n"/>
      <c r="L237" s="24" t="n"/>
      <c r="M237" s="22" t="n"/>
      <c r="N237" s="24" t="n"/>
      <c r="O237" s="25" t="n"/>
      <c r="P237" s="22" t="n"/>
      <c r="Q237" s="18">
        <f>IF(OR(B237="",J237=""),"",TODAY()-J237)</f>
        <v/>
      </c>
      <c r="R237" s="26">
        <f>IF(B237="","",IF(OR(K237="Accepted",K237="Rejected",K237="Withdrawn"),K237,IF(K237="Offer",IF(N237="","Offer","Offer, reply by "&amp;DAY(N237)&amp;" "&amp;CHOOSE(MONTH(N237),"Jan","Feb","Mar","Apr","May","Jun","Jul","Aug","Sep","Oct","Nov","Dec")),IF(OR(K237="",K237="Saved"),IF(N237="","To apply",IF(N237&lt;TODAY(),"Closing date passed","Apply by "&amp;DAY(N237)&amp;" "&amp;CHOOSE(MONTH(N237),"Jan","Feb","Mar","Apr","May","Jun","Jul","Aug","Sep","Oct","Nov","Dec"))),IF(AND(N237="",T237&gt;0,TODAY()-T237&gt;=N(Settings!$C$6)),"No reply",IF(U237="","Waiting",IF(U237&lt;TODAY(),"Follow up",IF(U237-TODAY()&lt;=2,"Due "&amp;DAY(U237)&amp;" "&amp;CHOOSE(MONTH(U237),"Jan","Feb","Mar","Apr","May","Jun","Jul","Aug","Sep","Oct","Nov","Dec"),"Waiting"))))))))</f>
        <v/>
      </c>
      <c r="S237" s="1" t="n"/>
      <c r="T237">
        <f>MAX(N(J237),N(L237))</f>
        <v/>
      </c>
      <c r="U237">
        <f>IF(N237&lt;&gt;"",N237,IF(T237=0,"",T237+N(Settings!$C$5)))</f>
        <v/>
      </c>
      <c r="V237">
        <f>IF(AND(B237&lt;&gt;"",U237&lt;&gt;"",OR(R237="Follow up",LEFT(R237,3)="Due",R237="Waiting",LEFT(R237,5)="Apply",LEFT(R237,5)="Offer")),U237+ROW()/10000000,"")</f>
        <v/>
      </c>
      <c r="W237">
        <f>IF(B237="","",IF(M237&lt;&gt;"",M237,IF(OR(K237="",K237="Saved"),"Apply",IF(K237="Offer","Reply to the offer","Follow up"))))</f>
        <v/>
      </c>
    </row>
    <row r="238">
      <c r="A238" s="1" t="n"/>
      <c r="B238" s="21" t="n"/>
      <c r="C238" s="22" t="n"/>
      <c r="D238" s="22" t="n"/>
      <c r="E238" s="22" t="n"/>
      <c r="F238" s="23" t="n"/>
      <c r="G238" s="23" t="n"/>
      <c r="H238" s="22" t="n"/>
      <c r="I238" s="24" t="n"/>
      <c r="J238" s="24" t="n"/>
      <c r="K238" s="25" t="n"/>
      <c r="L238" s="24" t="n"/>
      <c r="M238" s="22" t="n"/>
      <c r="N238" s="24" t="n"/>
      <c r="O238" s="25" t="n"/>
      <c r="P238" s="22" t="n"/>
      <c r="Q238" s="18">
        <f>IF(OR(B238="",J238=""),"",TODAY()-J238)</f>
        <v/>
      </c>
      <c r="R238" s="26">
        <f>IF(B238="","",IF(OR(K238="Accepted",K238="Rejected",K238="Withdrawn"),K238,IF(K238="Offer",IF(N238="","Offer","Offer, reply by "&amp;DAY(N238)&amp;" "&amp;CHOOSE(MONTH(N238),"Jan","Feb","Mar","Apr","May","Jun","Jul","Aug","Sep","Oct","Nov","Dec")),IF(OR(K238="",K238="Saved"),IF(N238="","To apply",IF(N238&lt;TODAY(),"Closing date passed","Apply by "&amp;DAY(N238)&amp;" "&amp;CHOOSE(MONTH(N238),"Jan","Feb","Mar","Apr","May","Jun","Jul","Aug","Sep","Oct","Nov","Dec"))),IF(AND(N238="",T238&gt;0,TODAY()-T238&gt;=N(Settings!$C$6)),"No reply",IF(U238="","Waiting",IF(U238&lt;TODAY(),"Follow up",IF(U238-TODAY()&lt;=2,"Due "&amp;DAY(U238)&amp;" "&amp;CHOOSE(MONTH(U238),"Jan","Feb","Mar","Apr","May","Jun","Jul","Aug","Sep","Oct","Nov","Dec"),"Waiting"))))))))</f>
        <v/>
      </c>
      <c r="S238" s="1" t="n"/>
      <c r="T238">
        <f>MAX(N(J238),N(L238))</f>
        <v/>
      </c>
      <c r="U238">
        <f>IF(N238&lt;&gt;"",N238,IF(T238=0,"",T238+N(Settings!$C$5)))</f>
        <v/>
      </c>
      <c r="V238">
        <f>IF(AND(B238&lt;&gt;"",U238&lt;&gt;"",OR(R238="Follow up",LEFT(R238,3)="Due",R238="Waiting",LEFT(R238,5)="Apply",LEFT(R238,5)="Offer")),U238+ROW()/10000000,"")</f>
        <v/>
      </c>
      <c r="W238">
        <f>IF(B238="","",IF(M238&lt;&gt;"",M238,IF(OR(K238="",K238="Saved"),"Apply",IF(K238="Offer","Reply to the offer","Follow up"))))</f>
        <v/>
      </c>
    </row>
    <row r="239">
      <c r="A239" s="1" t="n"/>
      <c r="B239" s="21" t="n"/>
      <c r="C239" s="22" t="n"/>
      <c r="D239" s="22" t="n"/>
      <c r="E239" s="22" t="n"/>
      <c r="F239" s="23" t="n"/>
      <c r="G239" s="23" t="n"/>
      <c r="H239" s="22" t="n"/>
      <c r="I239" s="24" t="n"/>
      <c r="J239" s="24" t="n"/>
      <c r="K239" s="25" t="n"/>
      <c r="L239" s="24" t="n"/>
      <c r="M239" s="22" t="n"/>
      <c r="N239" s="24" t="n"/>
      <c r="O239" s="25" t="n"/>
      <c r="P239" s="22" t="n"/>
      <c r="Q239" s="18">
        <f>IF(OR(B239="",J239=""),"",TODAY()-J239)</f>
        <v/>
      </c>
      <c r="R239" s="26">
        <f>IF(B239="","",IF(OR(K239="Accepted",K239="Rejected",K239="Withdrawn"),K239,IF(K239="Offer",IF(N239="","Offer","Offer, reply by "&amp;DAY(N239)&amp;" "&amp;CHOOSE(MONTH(N239),"Jan","Feb","Mar","Apr","May","Jun","Jul","Aug","Sep","Oct","Nov","Dec")),IF(OR(K239="",K239="Saved"),IF(N239="","To apply",IF(N239&lt;TODAY(),"Closing date passed","Apply by "&amp;DAY(N239)&amp;" "&amp;CHOOSE(MONTH(N239),"Jan","Feb","Mar","Apr","May","Jun","Jul","Aug","Sep","Oct","Nov","Dec"))),IF(AND(N239="",T239&gt;0,TODAY()-T239&gt;=N(Settings!$C$6)),"No reply",IF(U239="","Waiting",IF(U239&lt;TODAY(),"Follow up",IF(U239-TODAY()&lt;=2,"Due "&amp;DAY(U239)&amp;" "&amp;CHOOSE(MONTH(U239),"Jan","Feb","Mar","Apr","May","Jun","Jul","Aug","Sep","Oct","Nov","Dec"),"Waiting"))))))))</f>
        <v/>
      </c>
      <c r="S239" s="1" t="n"/>
      <c r="T239">
        <f>MAX(N(J239),N(L239))</f>
        <v/>
      </c>
      <c r="U239">
        <f>IF(N239&lt;&gt;"",N239,IF(T239=0,"",T239+N(Settings!$C$5)))</f>
        <v/>
      </c>
      <c r="V239">
        <f>IF(AND(B239&lt;&gt;"",U239&lt;&gt;"",OR(R239="Follow up",LEFT(R239,3)="Due",R239="Waiting",LEFT(R239,5)="Apply",LEFT(R239,5)="Offer")),U239+ROW()/10000000,"")</f>
        <v/>
      </c>
      <c r="W239">
        <f>IF(B239="","",IF(M239&lt;&gt;"",M239,IF(OR(K239="",K239="Saved"),"Apply",IF(K239="Offer","Reply to the offer","Follow up"))))</f>
        <v/>
      </c>
    </row>
    <row r="240">
      <c r="A240" s="1" t="n"/>
      <c r="B240" s="21" t="n"/>
      <c r="C240" s="22" t="n"/>
      <c r="D240" s="22" t="n"/>
      <c r="E240" s="22" t="n"/>
      <c r="F240" s="23" t="n"/>
      <c r="G240" s="23" t="n"/>
      <c r="H240" s="22" t="n"/>
      <c r="I240" s="24" t="n"/>
      <c r="J240" s="24" t="n"/>
      <c r="K240" s="25" t="n"/>
      <c r="L240" s="24" t="n"/>
      <c r="M240" s="22" t="n"/>
      <c r="N240" s="24" t="n"/>
      <c r="O240" s="25" t="n"/>
      <c r="P240" s="22" t="n"/>
      <c r="Q240" s="18">
        <f>IF(OR(B240="",J240=""),"",TODAY()-J240)</f>
        <v/>
      </c>
      <c r="R240" s="26">
        <f>IF(B240="","",IF(OR(K240="Accepted",K240="Rejected",K240="Withdrawn"),K240,IF(K240="Offer",IF(N240="","Offer","Offer, reply by "&amp;DAY(N240)&amp;" "&amp;CHOOSE(MONTH(N240),"Jan","Feb","Mar","Apr","May","Jun","Jul","Aug","Sep","Oct","Nov","Dec")),IF(OR(K240="",K240="Saved"),IF(N240="","To apply",IF(N240&lt;TODAY(),"Closing date passed","Apply by "&amp;DAY(N240)&amp;" "&amp;CHOOSE(MONTH(N240),"Jan","Feb","Mar","Apr","May","Jun","Jul","Aug","Sep","Oct","Nov","Dec"))),IF(AND(N240="",T240&gt;0,TODAY()-T240&gt;=N(Settings!$C$6)),"No reply",IF(U240="","Waiting",IF(U240&lt;TODAY(),"Follow up",IF(U240-TODAY()&lt;=2,"Due "&amp;DAY(U240)&amp;" "&amp;CHOOSE(MONTH(U240),"Jan","Feb","Mar","Apr","May","Jun","Jul","Aug","Sep","Oct","Nov","Dec"),"Waiting"))))))))</f>
        <v/>
      </c>
      <c r="S240" s="1" t="n"/>
      <c r="T240">
        <f>MAX(N(J240),N(L240))</f>
        <v/>
      </c>
      <c r="U240">
        <f>IF(N240&lt;&gt;"",N240,IF(T240=0,"",T240+N(Settings!$C$5)))</f>
        <v/>
      </c>
      <c r="V240">
        <f>IF(AND(B240&lt;&gt;"",U240&lt;&gt;"",OR(R240="Follow up",LEFT(R240,3)="Due",R240="Waiting",LEFT(R240,5)="Apply",LEFT(R240,5)="Offer")),U240+ROW()/10000000,"")</f>
        <v/>
      </c>
      <c r="W240">
        <f>IF(B240="","",IF(M240&lt;&gt;"",M240,IF(OR(K240="",K240="Saved"),"Apply",IF(K240="Offer","Reply to the offer","Follow up"))))</f>
        <v/>
      </c>
    </row>
    <row r="241">
      <c r="A241" s="1" t="n"/>
      <c r="B241" s="21" t="n"/>
      <c r="C241" s="22" t="n"/>
      <c r="D241" s="22" t="n"/>
      <c r="E241" s="22" t="n"/>
      <c r="F241" s="23" t="n"/>
      <c r="G241" s="23" t="n"/>
      <c r="H241" s="22" t="n"/>
      <c r="I241" s="24" t="n"/>
      <c r="J241" s="24" t="n"/>
      <c r="K241" s="25" t="n"/>
      <c r="L241" s="24" t="n"/>
      <c r="M241" s="22" t="n"/>
      <c r="N241" s="24" t="n"/>
      <c r="O241" s="25" t="n"/>
      <c r="P241" s="22" t="n"/>
      <c r="Q241" s="18">
        <f>IF(OR(B241="",J241=""),"",TODAY()-J241)</f>
        <v/>
      </c>
      <c r="R241" s="26">
        <f>IF(B241="","",IF(OR(K241="Accepted",K241="Rejected",K241="Withdrawn"),K241,IF(K241="Offer",IF(N241="","Offer","Offer, reply by "&amp;DAY(N241)&amp;" "&amp;CHOOSE(MONTH(N241),"Jan","Feb","Mar","Apr","May","Jun","Jul","Aug","Sep","Oct","Nov","Dec")),IF(OR(K241="",K241="Saved"),IF(N241="","To apply",IF(N241&lt;TODAY(),"Closing date passed","Apply by "&amp;DAY(N241)&amp;" "&amp;CHOOSE(MONTH(N241),"Jan","Feb","Mar","Apr","May","Jun","Jul","Aug","Sep","Oct","Nov","Dec"))),IF(AND(N241="",T241&gt;0,TODAY()-T241&gt;=N(Settings!$C$6)),"No reply",IF(U241="","Waiting",IF(U241&lt;TODAY(),"Follow up",IF(U241-TODAY()&lt;=2,"Due "&amp;DAY(U241)&amp;" "&amp;CHOOSE(MONTH(U241),"Jan","Feb","Mar","Apr","May","Jun","Jul","Aug","Sep","Oct","Nov","Dec"),"Waiting"))))))))</f>
        <v/>
      </c>
      <c r="S241" s="1" t="n"/>
      <c r="T241">
        <f>MAX(N(J241),N(L241))</f>
        <v/>
      </c>
      <c r="U241">
        <f>IF(N241&lt;&gt;"",N241,IF(T241=0,"",T241+N(Settings!$C$5)))</f>
        <v/>
      </c>
      <c r="V241">
        <f>IF(AND(B241&lt;&gt;"",U241&lt;&gt;"",OR(R241="Follow up",LEFT(R241,3)="Due",R241="Waiting",LEFT(R241,5)="Apply",LEFT(R241,5)="Offer")),U241+ROW()/10000000,"")</f>
        <v/>
      </c>
      <c r="W241">
        <f>IF(B241="","",IF(M241&lt;&gt;"",M241,IF(OR(K241="",K241="Saved"),"Apply",IF(K241="Offer","Reply to the offer","Follow up"))))</f>
        <v/>
      </c>
    </row>
    <row r="242">
      <c r="A242" s="1" t="n"/>
      <c r="B242" s="21" t="n"/>
      <c r="C242" s="22" t="n"/>
      <c r="D242" s="22" t="n"/>
      <c r="E242" s="22" t="n"/>
      <c r="F242" s="23" t="n"/>
      <c r="G242" s="23" t="n"/>
      <c r="H242" s="22" t="n"/>
      <c r="I242" s="24" t="n"/>
      <c r="J242" s="24" t="n"/>
      <c r="K242" s="25" t="n"/>
      <c r="L242" s="24" t="n"/>
      <c r="M242" s="22" t="n"/>
      <c r="N242" s="24" t="n"/>
      <c r="O242" s="25" t="n"/>
      <c r="P242" s="22" t="n"/>
      <c r="Q242" s="18">
        <f>IF(OR(B242="",J242=""),"",TODAY()-J242)</f>
        <v/>
      </c>
      <c r="R242" s="26">
        <f>IF(B242="","",IF(OR(K242="Accepted",K242="Rejected",K242="Withdrawn"),K242,IF(K242="Offer",IF(N242="","Offer","Offer, reply by "&amp;DAY(N242)&amp;" "&amp;CHOOSE(MONTH(N242),"Jan","Feb","Mar","Apr","May","Jun","Jul","Aug","Sep","Oct","Nov","Dec")),IF(OR(K242="",K242="Saved"),IF(N242="","To apply",IF(N242&lt;TODAY(),"Closing date passed","Apply by "&amp;DAY(N242)&amp;" "&amp;CHOOSE(MONTH(N242),"Jan","Feb","Mar","Apr","May","Jun","Jul","Aug","Sep","Oct","Nov","Dec"))),IF(AND(N242="",T242&gt;0,TODAY()-T242&gt;=N(Settings!$C$6)),"No reply",IF(U242="","Waiting",IF(U242&lt;TODAY(),"Follow up",IF(U242-TODAY()&lt;=2,"Due "&amp;DAY(U242)&amp;" "&amp;CHOOSE(MONTH(U242),"Jan","Feb","Mar","Apr","May","Jun","Jul","Aug","Sep","Oct","Nov","Dec"),"Waiting"))))))))</f>
        <v/>
      </c>
      <c r="S242" s="1" t="n"/>
      <c r="T242">
        <f>MAX(N(J242),N(L242))</f>
        <v/>
      </c>
      <c r="U242">
        <f>IF(N242&lt;&gt;"",N242,IF(T242=0,"",T242+N(Settings!$C$5)))</f>
        <v/>
      </c>
      <c r="V242">
        <f>IF(AND(B242&lt;&gt;"",U242&lt;&gt;"",OR(R242="Follow up",LEFT(R242,3)="Due",R242="Waiting",LEFT(R242,5)="Apply",LEFT(R242,5)="Offer")),U242+ROW()/10000000,"")</f>
        <v/>
      </c>
      <c r="W242">
        <f>IF(B242="","",IF(M242&lt;&gt;"",M242,IF(OR(K242="",K242="Saved"),"Apply",IF(K242="Offer","Reply to the offer","Follow up"))))</f>
        <v/>
      </c>
    </row>
    <row r="243">
      <c r="A243" s="1" t="n"/>
      <c r="B243" s="21" t="n"/>
      <c r="C243" s="22" t="n"/>
      <c r="D243" s="22" t="n"/>
      <c r="E243" s="22" t="n"/>
      <c r="F243" s="23" t="n"/>
      <c r="G243" s="23" t="n"/>
      <c r="H243" s="22" t="n"/>
      <c r="I243" s="24" t="n"/>
      <c r="J243" s="24" t="n"/>
      <c r="K243" s="25" t="n"/>
      <c r="L243" s="24" t="n"/>
      <c r="M243" s="22" t="n"/>
      <c r="N243" s="24" t="n"/>
      <c r="O243" s="25" t="n"/>
      <c r="P243" s="22" t="n"/>
      <c r="Q243" s="18">
        <f>IF(OR(B243="",J243=""),"",TODAY()-J243)</f>
        <v/>
      </c>
      <c r="R243" s="26">
        <f>IF(B243="","",IF(OR(K243="Accepted",K243="Rejected",K243="Withdrawn"),K243,IF(K243="Offer",IF(N243="","Offer","Offer, reply by "&amp;DAY(N243)&amp;" "&amp;CHOOSE(MONTH(N243),"Jan","Feb","Mar","Apr","May","Jun","Jul","Aug","Sep","Oct","Nov","Dec")),IF(OR(K243="",K243="Saved"),IF(N243="","To apply",IF(N243&lt;TODAY(),"Closing date passed","Apply by "&amp;DAY(N243)&amp;" "&amp;CHOOSE(MONTH(N243),"Jan","Feb","Mar","Apr","May","Jun","Jul","Aug","Sep","Oct","Nov","Dec"))),IF(AND(N243="",T243&gt;0,TODAY()-T243&gt;=N(Settings!$C$6)),"No reply",IF(U243="","Waiting",IF(U243&lt;TODAY(),"Follow up",IF(U243-TODAY()&lt;=2,"Due "&amp;DAY(U243)&amp;" "&amp;CHOOSE(MONTH(U243),"Jan","Feb","Mar","Apr","May","Jun","Jul","Aug","Sep","Oct","Nov","Dec"),"Waiting"))))))))</f>
        <v/>
      </c>
      <c r="S243" s="1" t="n"/>
      <c r="T243">
        <f>MAX(N(J243),N(L243))</f>
        <v/>
      </c>
      <c r="U243">
        <f>IF(N243&lt;&gt;"",N243,IF(T243=0,"",T243+N(Settings!$C$5)))</f>
        <v/>
      </c>
      <c r="V243">
        <f>IF(AND(B243&lt;&gt;"",U243&lt;&gt;"",OR(R243="Follow up",LEFT(R243,3)="Due",R243="Waiting",LEFT(R243,5)="Apply",LEFT(R243,5)="Offer")),U243+ROW()/10000000,"")</f>
        <v/>
      </c>
      <c r="W243">
        <f>IF(B243="","",IF(M243&lt;&gt;"",M243,IF(OR(K243="",K243="Saved"),"Apply",IF(K243="Offer","Reply to the offer","Follow up"))))</f>
        <v/>
      </c>
    </row>
    <row r="244">
      <c r="A244" s="1" t="n"/>
      <c r="B244" s="21" t="n"/>
      <c r="C244" s="22" t="n"/>
      <c r="D244" s="22" t="n"/>
      <c r="E244" s="22" t="n"/>
      <c r="F244" s="23" t="n"/>
      <c r="G244" s="23" t="n"/>
      <c r="H244" s="22" t="n"/>
      <c r="I244" s="24" t="n"/>
      <c r="J244" s="24" t="n"/>
      <c r="K244" s="25" t="n"/>
      <c r="L244" s="24" t="n"/>
      <c r="M244" s="22" t="n"/>
      <c r="N244" s="24" t="n"/>
      <c r="O244" s="25" t="n"/>
      <c r="P244" s="22" t="n"/>
      <c r="Q244" s="18">
        <f>IF(OR(B244="",J244=""),"",TODAY()-J244)</f>
        <v/>
      </c>
      <c r="R244" s="26">
        <f>IF(B244="","",IF(OR(K244="Accepted",K244="Rejected",K244="Withdrawn"),K244,IF(K244="Offer",IF(N244="","Offer","Offer, reply by "&amp;DAY(N244)&amp;" "&amp;CHOOSE(MONTH(N244),"Jan","Feb","Mar","Apr","May","Jun","Jul","Aug","Sep","Oct","Nov","Dec")),IF(OR(K244="",K244="Saved"),IF(N244="","To apply",IF(N244&lt;TODAY(),"Closing date passed","Apply by "&amp;DAY(N244)&amp;" "&amp;CHOOSE(MONTH(N244),"Jan","Feb","Mar","Apr","May","Jun","Jul","Aug","Sep","Oct","Nov","Dec"))),IF(AND(N244="",T244&gt;0,TODAY()-T244&gt;=N(Settings!$C$6)),"No reply",IF(U244="","Waiting",IF(U244&lt;TODAY(),"Follow up",IF(U244-TODAY()&lt;=2,"Due "&amp;DAY(U244)&amp;" "&amp;CHOOSE(MONTH(U244),"Jan","Feb","Mar","Apr","May","Jun","Jul","Aug","Sep","Oct","Nov","Dec"),"Waiting"))))))))</f>
        <v/>
      </c>
      <c r="S244" s="1" t="n"/>
      <c r="T244">
        <f>MAX(N(J244),N(L244))</f>
        <v/>
      </c>
      <c r="U244">
        <f>IF(N244&lt;&gt;"",N244,IF(T244=0,"",T244+N(Settings!$C$5)))</f>
        <v/>
      </c>
      <c r="V244">
        <f>IF(AND(B244&lt;&gt;"",U244&lt;&gt;"",OR(R244="Follow up",LEFT(R244,3)="Due",R244="Waiting",LEFT(R244,5)="Apply",LEFT(R244,5)="Offer")),U244+ROW()/10000000,"")</f>
        <v/>
      </c>
      <c r="W244">
        <f>IF(B244="","",IF(M244&lt;&gt;"",M244,IF(OR(K244="",K244="Saved"),"Apply",IF(K244="Offer","Reply to the offer","Follow up"))))</f>
        <v/>
      </c>
    </row>
    <row r="245">
      <c r="A245" s="1" t="n"/>
      <c r="B245" s="21" t="n"/>
      <c r="C245" s="22" t="n"/>
      <c r="D245" s="22" t="n"/>
      <c r="E245" s="22" t="n"/>
      <c r="F245" s="23" t="n"/>
      <c r="G245" s="23" t="n"/>
      <c r="H245" s="22" t="n"/>
      <c r="I245" s="24" t="n"/>
      <c r="J245" s="24" t="n"/>
      <c r="K245" s="25" t="n"/>
      <c r="L245" s="24" t="n"/>
      <c r="M245" s="22" t="n"/>
      <c r="N245" s="24" t="n"/>
      <c r="O245" s="25" t="n"/>
      <c r="P245" s="22" t="n"/>
      <c r="Q245" s="18">
        <f>IF(OR(B245="",J245=""),"",TODAY()-J245)</f>
        <v/>
      </c>
      <c r="R245" s="26">
        <f>IF(B245="","",IF(OR(K245="Accepted",K245="Rejected",K245="Withdrawn"),K245,IF(K245="Offer",IF(N245="","Offer","Offer, reply by "&amp;DAY(N245)&amp;" "&amp;CHOOSE(MONTH(N245),"Jan","Feb","Mar","Apr","May","Jun","Jul","Aug","Sep","Oct","Nov","Dec")),IF(OR(K245="",K245="Saved"),IF(N245="","To apply",IF(N245&lt;TODAY(),"Closing date passed","Apply by "&amp;DAY(N245)&amp;" "&amp;CHOOSE(MONTH(N245),"Jan","Feb","Mar","Apr","May","Jun","Jul","Aug","Sep","Oct","Nov","Dec"))),IF(AND(N245="",T245&gt;0,TODAY()-T245&gt;=N(Settings!$C$6)),"No reply",IF(U245="","Waiting",IF(U245&lt;TODAY(),"Follow up",IF(U245-TODAY()&lt;=2,"Due "&amp;DAY(U245)&amp;" "&amp;CHOOSE(MONTH(U245),"Jan","Feb","Mar","Apr","May","Jun","Jul","Aug","Sep","Oct","Nov","Dec"),"Waiting"))))))))</f>
        <v/>
      </c>
      <c r="S245" s="1" t="n"/>
      <c r="T245">
        <f>MAX(N(J245),N(L245))</f>
        <v/>
      </c>
      <c r="U245">
        <f>IF(N245&lt;&gt;"",N245,IF(T245=0,"",T245+N(Settings!$C$5)))</f>
        <v/>
      </c>
      <c r="V245">
        <f>IF(AND(B245&lt;&gt;"",U245&lt;&gt;"",OR(R245="Follow up",LEFT(R245,3)="Due",R245="Waiting",LEFT(R245,5)="Apply",LEFT(R245,5)="Offer")),U245+ROW()/10000000,"")</f>
        <v/>
      </c>
      <c r="W245">
        <f>IF(B245="","",IF(M245&lt;&gt;"",M245,IF(OR(K245="",K245="Saved"),"Apply",IF(K245="Offer","Reply to the offer","Follow up"))))</f>
        <v/>
      </c>
    </row>
    <row r="246">
      <c r="A246" s="1" t="n"/>
      <c r="B246" s="21" t="n"/>
      <c r="C246" s="22" t="n"/>
      <c r="D246" s="22" t="n"/>
      <c r="E246" s="22" t="n"/>
      <c r="F246" s="23" t="n"/>
      <c r="G246" s="23" t="n"/>
      <c r="H246" s="22" t="n"/>
      <c r="I246" s="24" t="n"/>
      <c r="J246" s="24" t="n"/>
      <c r="K246" s="25" t="n"/>
      <c r="L246" s="24" t="n"/>
      <c r="M246" s="22" t="n"/>
      <c r="N246" s="24" t="n"/>
      <c r="O246" s="25" t="n"/>
      <c r="P246" s="22" t="n"/>
      <c r="Q246" s="18">
        <f>IF(OR(B246="",J246=""),"",TODAY()-J246)</f>
        <v/>
      </c>
      <c r="R246" s="26">
        <f>IF(B246="","",IF(OR(K246="Accepted",K246="Rejected",K246="Withdrawn"),K246,IF(K246="Offer",IF(N246="","Offer","Offer, reply by "&amp;DAY(N246)&amp;" "&amp;CHOOSE(MONTH(N246),"Jan","Feb","Mar","Apr","May","Jun","Jul","Aug","Sep","Oct","Nov","Dec")),IF(OR(K246="",K246="Saved"),IF(N246="","To apply",IF(N246&lt;TODAY(),"Closing date passed","Apply by "&amp;DAY(N246)&amp;" "&amp;CHOOSE(MONTH(N246),"Jan","Feb","Mar","Apr","May","Jun","Jul","Aug","Sep","Oct","Nov","Dec"))),IF(AND(N246="",T246&gt;0,TODAY()-T246&gt;=N(Settings!$C$6)),"No reply",IF(U246="","Waiting",IF(U246&lt;TODAY(),"Follow up",IF(U246-TODAY()&lt;=2,"Due "&amp;DAY(U246)&amp;" "&amp;CHOOSE(MONTH(U246),"Jan","Feb","Mar","Apr","May","Jun","Jul","Aug","Sep","Oct","Nov","Dec"),"Waiting"))))))))</f>
        <v/>
      </c>
      <c r="S246" s="1" t="n"/>
      <c r="T246">
        <f>MAX(N(J246),N(L246))</f>
        <v/>
      </c>
      <c r="U246">
        <f>IF(N246&lt;&gt;"",N246,IF(T246=0,"",T246+N(Settings!$C$5)))</f>
        <v/>
      </c>
      <c r="V246">
        <f>IF(AND(B246&lt;&gt;"",U246&lt;&gt;"",OR(R246="Follow up",LEFT(R246,3)="Due",R246="Waiting",LEFT(R246,5)="Apply",LEFT(R246,5)="Offer")),U246+ROW()/10000000,"")</f>
        <v/>
      </c>
      <c r="W246">
        <f>IF(B246="","",IF(M246&lt;&gt;"",M246,IF(OR(K246="",K246="Saved"),"Apply",IF(K246="Offer","Reply to the offer","Follow up"))))</f>
        <v/>
      </c>
    </row>
    <row r="247">
      <c r="A247" s="1" t="n"/>
      <c r="B247" s="21" t="n"/>
      <c r="C247" s="22" t="n"/>
      <c r="D247" s="22" t="n"/>
      <c r="E247" s="22" t="n"/>
      <c r="F247" s="23" t="n"/>
      <c r="G247" s="23" t="n"/>
      <c r="H247" s="22" t="n"/>
      <c r="I247" s="24" t="n"/>
      <c r="J247" s="24" t="n"/>
      <c r="K247" s="25" t="n"/>
      <c r="L247" s="24" t="n"/>
      <c r="M247" s="22" t="n"/>
      <c r="N247" s="24" t="n"/>
      <c r="O247" s="25" t="n"/>
      <c r="P247" s="22" t="n"/>
      <c r="Q247" s="18">
        <f>IF(OR(B247="",J247=""),"",TODAY()-J247)</f>
        <v/>
      </c>
      <c r="R247" s="26">
        <f>IF(B247="","",IF(OR(K247="Accepted",K247="Rejected",K247="Withdrawn"),K247,IF(K247="Offer",IF(N247="","Offer","Offer, reply by "&amp;DAY(N247)&amp;" "&amp;CHOOSE(MONTH(N247),"Jan","Feb","Mar","Apr","May","Jun","Jul","Aug","Sep","Oct","Nov","Dec")),IF(OR(K247="",K247="Saved"),IF(N247="","To apply",IF(N247&lt;TODAY(),"Closing date passed","Apply by "&amp;DAY(N247)&amp;" "&amp;CHOOSE(MONTH(N247),"Jan","Feb","Mar","Apr","May","Jun","Jul","Aug","Sep","Oct","Nov","Dec"))),IF(AND(N247="",T247&gt;0,TODAY()-T247&gt;=N(Settings!$C$6)),"No reply",IF(U247="","Waiting",IF(U247&lt;TODAY(),"Follow up",IF(U247-TODAY()&lt;=2,"Due "&amp;DAY(U247)&amp;" "&amp;CHOOSE(MONTH(U247),"Jan","Feb","Mar","Apr","May","Jun","Jul","Aug","Sep","Oct","Nov","Dec"),"Waiting"))))))))</f>
        <v/>
      </c>
      <c r="S247" s="1" t="n"/>
      <c r="T247">
        <f>MAX(N(J247),N(L247))</f>
        <v/>
      </c>
      <c r="U247">
        <f>IF(N247&lt;&gt;"",N247,IF(T247=0,"",T247+N(Settings!$C$5)))</f>
        <v/>
      </c>
      <c r="V247">
        <f>IF(AND(B247&lt;&gt;"",U247&lt;&gt;"",OR(R247="Follow up",LEFT(R247,3)="Due",R247="Waiting",LEFT(R247,5)="Apply",LEFT(R247,5)="Offer")),U247+ROW()/10000000,"")</f>
        <v/>
      </c>
      <c r="W247">
        <f>IF(B247="","",IF(M247&lt;&gt;"",M247,IF(OR(K247="",K247="Saved"),"Apply",IF(K247="Offer","Reply to the offer","Follow up"))))</f>
        <v/>
      </c>
    </row>
    <row r="248">
      <c r="A248" s="1" t="n"/>
      <c r="B248" s="21" t="n"/>
      <c r="C248" s="22" t="n"/>
      <c r="D248" s="22" t="n"/>
      <c r="E248" s="22" t="n"/>
      <c r="F248" s="23" t="n"/>
      <c r="G248" s="23" t="n"/>
      <c r="H248" s="22" t="n"/>
      <c r="I248" s="24" t="n"/>
      <c r="J248" s="24" t="n"/>
      <c r="K248" s="25" t="n"/>
      <c r="L248" s="24" t="n"/>
      <c r="M248" s="22" t="n"/>
      <c r="N248" s="24" t="n"/>
      <c r="O248" s="25" t="n"/>
      <c r="P248" s="22" t="n"/>
      <c r="Q248" s="18">
        <f>IF(OR(B248="",J248=""),"",TODAY()-J248)</f>
        <v/>
      </c>
      <c r="R248" s="26">
        <f>IF(B248="","",IF(OR(K248="Accepted",K248="Rejected",K248="Withdrawn"),K248,IF(K248="Offer",IF(N248="","Offer","Offer, reply by "&amp;DAY(N248)&amp;" "&amp;CHOOSE(MONTH(N248),"Jan","Feb","Mar","Apr","May","Jun","Jul","Aug","Sep","Oct","Nov","Dec")),IF(OR(K248="",K248="Saved"),IF(N248="","To apply",IF(N248&lt;TODAY(),"Closing date passed","Apply by "&amp;DAY(N248)&amp;" "&amp;CHOOSE(MONTH(N248),"Jan","Feb","Mar","Apr","May","Jun","Jul","Aug","Sep","Oct","Nov","Dec"))),IF(AND(N248="",T248&gt;0,TODAY()-T248&gt;=N(Settings!$C$6)),"No reply",IF(U248="","Waiting",IF(U248&lt;TODAY(),"Follow up",IF(U248-TODAY()&lt;=2,"Due "&amp;DAY(U248)&amp;" "&amp;CHOOSE(MONTH(U248),"Jan","Feb","Mar","Apr","May","Jun","Jul","Aug","Sep","Oct","Nov","Dec"),"Waiting"))))))))</f>
        <v/>
      </c>
      <c r="S248" s="1" t="n"/>
      <c r="T248">
        <f>MAX(N(J248),N(L248))</f>
        <v/>
      </c>
      <c r="U248">
        <f>IF(N248&lt;&gt;"",N248,IF(T248=0,"",T248+N(Settings!$C$5)))</f>
        <v/>
      </c>
      <c r="V248">
        <f>IF(AND(B248&lt;&gt;"",U248&lt;&gt;"",OR(R248="Follow up",LEFT(R248,3)="Due",R248="Waiting",LEFT(R248,5)="Apply",LEFT(R248,5)="Offer")),U248+ROW()/10000000,"")</f>
        <v/>
      </c>
      <c r="W248">
        <f>IF(B248="","",IF(M248&lt;&gt;"",M248,IF(OR(K248="",K248="Saved"),"Apply",IF(K248="Offer","Reply to the offer","Follow up"))))</f>
        <v/>
      </c>
    </row>
    <row r="249">
      <c r="A249" s="1" t="n"/>
      <c r="B249" s="21" t="n"/>
      <c r="C249" s="22" t="n"/>
      <c r="D249" s="22" t="n"/>
      <c r="E249" s="22" t="n"/>
      <c r="F249" s="23" t="n"/>
      <c r="G249" s="23" t="n"/>
      <c r="H249" s="22" t="n"/>
      <c r="I249" s="24" t="n"/>
      <c r="J249" s="24" t="n"/>
      <c r="K249" s="25" t="n"/>
      <c r="L249" s="24" t="n"/>
      <c r="M249" s="22" t="n"/>
      <c r="N249" s="24" t="n"/>
      <c r="O249" s="25" t="n"/>
      <c r="P249" s="22" t="n"/>
      <c r="Q249" s="18">
        <f>IF(OR(B249="",J249=""),"",TODAY()-J249)</f>
        <v/>
      </c>
      <c r="R249" s="26">
        <f>IF(B249="","",IF(OR(K249="Accepted",K249="Rejected",K249="Withdrawn"),K249,IF(K249="Offer",IF(N249="","Offer","Offer, reply by "&amp;DAY(N249)&amp;" "&amp;CHOOSE(MONTH(N249),"Jan","Feb","Mar","Apr","May","Jun","Jul","Aug","Sep","Oct","Nov","Dec")),IF(OR(K249="",K249="Saved"),IF(N249="","To apply",IF(N249&lt;TODAY(),"Closing date passed","Apply by "&amp;DAY(N249)&amp;" "&amp;CHOOSE(MONTH(N249),"Jan","Feb","Mar","Apr","May","Jun","Jul","Aug","Sep","Oct","Nov","Dec"))),IF(AND(N249="",T249&gt;0,TODAY()-T249&gt;=N(Settings!$C$6)),"No reply",IF(U249="","Waiting",IF(U249&lt;TODAY(),"Follow up",IF(U249-TODAY()&lt;=2,"Due "&amp;DAY(U249)&amp;" "&amp;CHOOSE(MONTH(U249),"Jan","Feb","Mar","Apr","May","Jun","Jul","Aug","Sep","Oct","Nov","Dec"),"Waiting"))))))))</f>
        <v/>
      </c>
      <c r="S249" s="1" t="n"/>
      <c r="T249">
        <f>MAX(N(J249),N(L249))</f>
        <v/>
      </c>
      <c r="U249">
        <f>IF(N249&lt;&gt;"",N249,IF(T249=0,"",T249+N(Settings!$C$5)))</f>
        <v/>
      </c>
      <c r="V249">
        <f>IF(AND(B249&lt;&gt;"",U249&lt;&gt;"",OR(R249="Follow up",LEFT(R249,3)="Due",R249="Waiting",LEFT(R249,5)="Apply",LEFT(R249,5)="Offer")),U249+ROW()/10000000,"")</f>
        <v/>
      </c>
      <c r="W249">
        <f>IF(B249="","",IF(M249&lt;&gt;"",M249,IF(OR(K249="",K249="Saved"),"Apply",IF(K249="Offer","Reply to the offer","Follow up"))))</f>
        <v/>
      </c>
    </row>
    <row r="250">
      <c r="A250" s="1" t="n"/>
      <c r="B250" s="21" t="n"/>
      <c r="C250" s="22" t="n"/>
      <c r="D250" s="22" t="n"/>
      <c r="E250" s="22" t="n"/>
      <c r="F250" s="23" t="n"/>
      <c r="G250" s="23" t="n"/>
      <c r="H250" s="22" t="n"/>
      <c r="I250" s="24" t="n"/>
      <c r="J250" s="24" t="n"/>
      <c r="K250" s="25" t="n"/>
      <c r="L250" s="24" t="n"/>
      <c r="M250" s="22" t="n"/>
      <c r="N250" s="24" t="n"/>
      <c r="O250" s="25" t="n"/>
      <c r="P250" s="22" t="n"/>
      <c r="Q250" s="18">
        <f>IF(OR(B250="",J250=""),"",TODAY()-J250)</f>
        <v/>
      </c>
      <c r="R250" s="26">
        <f>IF(B250="","",IF(OR(K250="Accepted",K250="Rejected",K250="Withdrawn"),K250,IF(K250="Offer",IF(N250="","Offer","Offer, reply by "&amp;DAY(N250)&amp;" "&amp;CHOOSE(MONTH(N250),"Jan","Feb","Mar","Apr","May","Jun","Jul","Aug","Sep","Oct","Nov","Dec")),IF(OR(K250="",K250="Saved"),IF(N250="","To apply",IF(N250&lt;TODAY(),"Closing date passed","Apply by "&amp;DAY(N250)&amp;" "&amp;CHOOSE(MONTH(N250),"Jan","Feb","Mar","Apr","May","Jun","Jul","Aug","Sep","Oct","Nov","Dec"))),IF(AND(N250="",T250&gt;0,TODAY()-T250&gt;=N(Settings!$C$6)),"No reply",IF(U250="","Waiting",IF(U250&lt;TODAY(),"Follow up",IF(U250-TODAY()&lt;=2,"Due "&amp;DAY(U250)&amp;" "&amp;CHOOSE(MONTH(U250),"Jan","Feb","Mar","Apr","May","Jun","Jul","Aug","Sep","Oct","Nov","Dec"),"Waiting"))))))))</f>
        <v/>
      </c>
      <c r="S250" s="1" t="n"/>
      <c r="T250">
        <f>MAX(N(J250),N(L250))</f>
        <v/>
      </c>
      <c r="U250">
        <f>IF(N250&lt;&gt;"",N250,IF(T250=0,"",T250+N(Settings!$C$5)))</f>
        <v/>
      </c>
      <c r="V250">
        <f>IF(AND(B250&lt;&gt;"",U250&lt;&gt;"",OR(R250="Follow up",LEFT(R250,3)="Due",R250="Waiting",LEFT(R250,5)="Apply",LEFT(R250,5)="Offer")),U250+ROW()/10000000,"")</f>
        <v/>
      </c>
      <c r="W250">
        <f>IF(B250="","",IF(M250&lt;&gt;"",M250,IF(OR(K250="",K250="Saved"),"Apply",IF(K250="Offer","Reply to the offer","Follow up"))))</f>
        <v/>
      </c>
    </row>
    <row r="251">
      <c r="A251" s="1" t="n"/>
      <c r="B251" s="21" t="n"/>
      <c r="C251" s="22" t="n"/>
      <c r="D251" s="22" t="n"/>
      <c r="E251" s="22" t="n"/>
      <c r="F251" s="23" t="n"/>
      <c r="G251" s="23" t="n"/>
      <c r="H251" s="22" t="n"/>
      <c r="I251" s="24" t="n"/>
      <c r="J251" s="24" t="n"/>
      <c r="K251" s="25" t="n"/>
      <c r="L251" s="24" t="n"/>
      <c r="M251" s="22" t="n"/>
      <c r="N251" s="24" t="n"/>
      <c r="O251" s="25" t="n"/>
      <c r="P251" s="22" t="n"/>
      <c r="Q251" s="18">
        <f>IF(OR(B251="",J251=""),"",TODAY()-J251)</f>
        <v/>
      </c>
      <c r="R251" s="26">
        <f>IF(B251="","",IF(OR(K251="Accepted",K251="Rejected",K251="Withdrawn"),K251,IF(K251="Offer",IF(N251="","Offer","Offer, reply by "&amp;DAY(N251)&amp;" "&amp;CHOOSE(MONTH(N251),"Jan","Feb","Mar","Apr","May","Jun","Jul","Aug","Sep","Oct","Nov","Dec")),IF(OR(K251="",K251="Saved"),IF(N251="","To apply",IF(N251&lt;TODAY(),"Closing date passed","Apply by "&amp;DAY(N251)&amp;" "&amp;CHOOSE(MONTH(N251),"Jan","Feb","Mar","Apr","May","Jun","Jul","Aug","Sep","Oct","Nov","Dec"))),IF(AND(N251="",T251&gt;0,TODAY()-T251&gt;=N(Settings!$C$6)),"No reply",IF(U251="","Waiting",IF(U251&lt;TODAY(),"Follow up",IF(U251-TODAY()&lt;=2,"Due "&amp;DAY(U251)&amp;" "&amp;CHOOSE(MONTH(U251),"Jan","Feb","Mar","Apr","May","Jun","Jul","Aug","Sep","Oct","Nov","Dec"),"Waiting"))))))))</f>
        <v/>
      </c>
      <c r="S251" s="1" t="n"/>
      <c r="T251">
        <f>MAX(N(J251),N(L251))</f>
        <v/>
      </c>
      <c r="U251">
        <f>IF(N251&lt;&gt;"",N251,IF(T251=0,"",T251+N(Settings!$C$5)))</f>
        <v/>
      </c>
      <c r="V251">
        <f>IF(AND(B251&lt;&gt;"",U251&lt;&gt;"",OR(R251="Follow up",LEFT(R251,3)="Due",R251="Waiting",LEFT(R251,5)="Apply",LEFT(R251,5)="Offer")),U251+ROW()/10000000,"")</f>
        <v/>
      </c>
      <c r="W251">
        <f>IF(B251="","",IF(M251&lt;&gt;"",M251,IF(OR(K251="",K251="Saved"),"Apply",IF(K251="Offer","Reply to the offer","Follow up"))))</f>
        <v/>
      </c>
    </row>
    <row r="252">
      <c r="A252" s="1" t="n"/>
      <c r="B252" s="21" t="n"/>
      <c r="C252" s="22" t="n"/>
      <c r="D252" s="22" t="n"/>
      <c r="E252" s="22" t="n"/>
      <c r="F252" s="23" t="n"/>
      <c r="G252" s="23" t="n"/>
      <c r="H252" s="22" t="n"/>
      <c r="I252" s="24" t="n"/>
      <c r="J252" s="24" t="n"/>
      <c r="K252" s="25" t="n"/>
      <c r="L252" s="24" t="n"/>
      <c r="M252" s="22" t="n"/>
      <c r="N252" s="24" t="n"/>
      <c r="O252" s="25" t="n"/>
      <c r="P252" s="22" t="n"/>
      <c r="Q252" s="18">
        <f>IF(OR(B252="",J252=""),"",TODAY()-J252)</f>
        <v/>
      </c>
      <c r="R252" s="26">
        <f>IF(B252="","",IF(OR(K252="Accepted",K252="Rejected",K252="Withdrawn"),K252,IF(K252="Offer",IF(N252="","Offer","Offer, reply by "&amp;DAY(N252)&amp;" "&amp;CHOOSE(MONTH(N252),"Jan","Feb","Mar","Apr","May","Jun","Jul","Aug","Sep","Oct","Nov","Dec")),IF(OR(K252="",K252="Saved"),IF(N252="","To apply",IF(N252&lt;TODAY(),"Closing date passed","Apply by "&amp;DAY(N252)&amp;" "&amp;CHOOSE(MONTH(N252),"Jan","Feb","Mar","Apr","May","Jun","Jul","Aug","Sep","Oct","Nov","Dec"))),IF(AND(N252="",T252&gt;0,TODAY()-T252&gt;=N(Settings!$C$6)),"No reply",IF(U252="","Waiting",IF(U252&lt;TODAY(),"Follow up",IF(U252-TODAY()&lt;=2,"Due "&amp;DAY(U252)&amp;" "&amp;CHOOSE(MONTH(U252),"Jan","Feb","Mar","Apr","May","Jun","Jul","Aug","Sep","Oct","Nov","Dec"),"Waiting"))))))))</f>
        <v/>
      </c>
      <c r="S252" s="1" t="n"/>
      <c r="T252">
        <f>MAX(N(J252),N(L252))</f>
        <v/>
      </c>
      <c r="U252">
        <f>IF(N252&lt;&gt;"",N252,IF(T252=0,"",T252+N(Settings!$C$5)))</f>
        <v/>
      </c>
      <c r="V252">
        <f>IF(AND(B252&lt;&gt;"",U252&lt;&gt;"",OR(R252="Follow up",LEFT(R252,3)="Due",R252="Waiting",LEFT(R252,5)="Apply",LEFT(R252,5)="Offer")),U252+ROW()/10000000,"")</f>
        <v/>
      </c>
      <c r="W252">
        <f>IF(B252="","",IF(M252&lt;&gt;"",M252,IF(OR(K252="",K252="Saved"),"Apply",IF(K252="Offer","Reply to the offer","Follow up"))))</f>
        <v/>
      </c>
    </row>
    <row r="253">
      <c r="A253" s="1" t="n"/>
      <c r="B253" s="21" t="n"/>
      <c r="C253" s="22" t="n"/>
      <c r="D253" s="22" t="n"/>
      <c r="E253" s="22" t="n"/>
      <c r="F253" s="23" t="n"/>
      <c r="G253" s="23" t="n"/>
      <c r="H253" s="22" t="n"/>
      <c r="I253" s="24" t="n"/>
      <c r="J253" s="24" t="n"/>
      <c r="K253" s="25" t="n"/>
      <c r="L253" s="24" t="n"/>
      <c r="M253" s="22" t="n"/>
      <c r="N253" s="24" t="n"/>
      <c r="O253" s="25" t="n"/>
      <c r="P253" s="22" t="n"/>
      <c r="Q253" s="18">
        <f>IF(OR(B253="",J253=""),"",TODAY()-J253)</f>
        <v/>
      </c>
      <c r="R253" s="26">
        <f>IF(B253="","",IF(OR(K253="Accepted",K253="Rejected",K253="Withdrawn"),K253,IF(K253="Offer",IF(N253="","Offer","Offer, reply by "&amp;DAY(N253)&amp;" "&amp;CHOOSE(MONTH(N253),"Jan","Feb","Mar","Apr","May","Jun","Jul","Aug","Sep","Oct","Nov","Dec")),IF(OR(K253="",K253="Saved"),IF(N253="","To apply",IF(N253&lt;TODAY(),"Closing date passed","Apply by "&amp;DAY(N253)&amp;" "&amp;CHOOSE(MONTH(N253),"Jan","Feb","Mar","Apr","May","Jun","Jul","Aug","Sep","Oct","Nov","Dec"))),IF(AND(N253="",T253&gt;0,TODAY()-T253&gt;=N(Settings!$C$6)),"No reply",IF(U253="","Waiting",IF(U253&lt;TODAY(),"Follow up",IF(U253-TODAY()&lt;=2,"Due "&amp;DAY(U253)&amp;" "&amp;CHOOSE(MONTH(U253),"Jan","Feb","Mar","Apr","May","Jun","Jul","Aug","Sep","Oct","Nov","Dec"),"Waiting"))))))))</f>
        <v/>
      </c>
      <c r="S253" s="1" t="n"/>
      <c r="T253">
        <f>MAX(N(J253),N(L253))</f>
        <v/>
      </c>
      <c r="U253">
        <f>IF(N253&lt;&gt;"",N253,IF(T253=0,"",T253+N(Settings!$C$5)))</f>
        <v/>
      </c>
      <c r="V253">
        <f>IF(AND(B253&lt;&gt;"",U253&lt;&gt;"",OR(R253="Follow up",LEFT(R253,3)="Due",R253="Waiting",LEFT(R253,5)="Apply",LEFT(R253,5)="Offer")),U253+ROW()/10000000,"")</f>
        <v/>
      </c>
      <c r="W253">
        <f>IF(B253="","",IF(M253&lt;&gt;"",M253,IF(OR(K253="",K253="Saved"),"Apply",IF(K253="Offer","Reply to the offer","Follow up"))))</f>
        <v/>
      </c>
    </row>
    <row r="254">
      <c r="A254" s="1" t="n"/>
      <c r="B254" s="21" t="n"/>
      <c r="C254" s="22" t="n"/>
      <c r="D254" s="22" t="n"/>
      <c r="E254" s="22" t="n"/>
      <c r="F254" s="23" t="n"/>
      <c r="G254" s="23" t="n"/>
      <c r="H254" s="22" t="n"/>
      <c r="I254" s="24" t="n"/>
      <c r="J254" s="24" t="n"/>
      <c r="K254" s="25" t="n"/>
      <c r="L254" s="24" t="n"/>
      <c r="M254" s="22" t="n"/>
      <c r="N254" s="24" t="n"/>
      <c r="O254" s="25" t="n"/>
      <c r="P254" s="22" t="n"/>
      <c r="Q254" s="18">
        <f>IF(OR(B254="",J254=""),"",TODAY()-J254)</f>
        <v/>
      </c>
      <c r="R254" s="26">
        <f>IF(B254="","",IF(OR(K254="Accepted",K254="Rejected",K254="Withdrawn"),K254,IF(K254="Offer",IF(N254="","Offer","Offer, reply by "&amp;DAY(N254)&amp;" "&amp;CHOOSE(MONTH(N254),"Jan","Feb","Mar","Apr","May","Jun","Jul","Aug","Sep","Oct","Nov","Dec")),IF(OR(K254="",K254="Saved"),IF(N254="","To apply",IF(N254&lt;TODAY(),"Closing date passed","Apply by "&amp;DAY(N254)&amp;" "&amp;CHOOSE(MONTH(N254),"Jan","Feb","Mar","Apr","May","Jun","Jul","Aug","Sep","Oct","Nov","Dec"))),IF(AND(N254="",T254&gt;0,TODAY()-T254&gt;=N(Settings!$C$6)),"No reply",IF(U254="","Waiting",IF(U254&lt;TODAY(),"Follow up",IF(U254-TODAY()&lt;=2,"Due "&amp;DAY(U254)&amp;" "&amp;CHOOSE(MONTH(U254),"Jan","Feb","Mar","Apr","May","Jun","Jul","Aug","Sep","Oct","Nov","Dec"),"Waiting"))))))))</f>
        <v/>
      </c>
      <c r="S254" s="1" t="n"/>
      <c r="T254">
        <f>MAX(N(J254),N(L254))</f>
        <v/>
      </c>
      <c r="U254">
        <f>IF(N254&lt;&gt;"",N254,IF(T254=0,"",T254+N(Settings!$C$5)))</f>
        <v/>
      </c>
      <c r="V254">
        <f>IF(AND(B254&lt;&gt;"",U254&lt;&gt;"",OR(R254="Follow up",LEFT(R254,3)="Due",R254="Waiting",LEFT(R254,5)="Apply",LEFT(R254,5)="Offer")),U254+ROW()/10000000,"")</f>
        <v/>
      </c>
      <c r="W254">
        <f>IF(B254="","",IF(M254&lt;&gt;"",M254,IF(OR(K254="",K254="Saved"),"Apply",IF(K254="Offer","Reply to the offer","Follow up"))))</f>
        <v/>
      </c>
    </row>
    <row r="255">
      <c r="A255" s="1" t="n"/>
      <c r="B255" s="21" t="n"/>
      <c r="C255" s="22" t="n"/>
      <c r="D255" s="22" t="n"/>
      <c r="E255" s="22" t="n"/>
      <c r="F255" s="23" t="n"/>
      <c r="G255" s="23" t="n"/>
      <c r="H255" s="22" t="n"/>
      <c r="I255" s="24" t="n"/>
      <c r="J255" s="24" t="n"/>
      <c r="K255" s="25" t="n"/>
      <c r="L255" s="24" t="n"/>
      <c r="M255" s="22" t="n"/>
      <c r="N255" s="24" t="n"/>
      <c r="O255" s="25" t="n"/>
      <c r="P255" s="22" t="n"/>
      <c r="Q255" s="18">
        <f>IF(OR(B255="",J255=""),"",TODAY()-J255)</f>
        <v/>
      </c>
      <c r="R255" s="26">
        <f>IF(B255="","",IF(OR(K255="Accepted",K255="Rejected",K255="Withdrawn"),K255,IF(K255="Offer",IF(N255="","Offer","Offer, reply by "&amp;DAY(N255)&amp;" "&amp;CHOOSE(MONTH(N255),"Jan","Feb","Mar","Apr","May","Jun","Jul","Aug","Sep","Oct","Nov","Dec")),IF(OR(K255="",K255="Saved"),IF(N255="","To apply",IF(N255&lt;TODAY(),"Closing date passed","Apply by "&amp;DAY(N255)&amp;" "&amp;CHOOSE(MONTH(N255),"Jan","Feb","Mar","Apr","May","Jun","Jul","Aug","Sep","Oct","Nov","Dec"))),IF(AND(N255="",T255&gt;0,TODAY()-T255&gt;=N(Settings!$C$6)),"No reply",IF(U255="","Waiting",IF(U255&lt;TODAY(),"Follow up",IF(U255-TODAY()&lt;=2,"Due "&amp;DAY(U255)&amp;" "&amp;CHOOSE(MONTH(U255),"Jan","Feb","Mar","Apr","May","Jun","Jul","Aug","Sep","Oct","Nov","Dec"),"Waiting"))))))))</f>
        <v/>
      </c>
      <c r="S255" s="1" t="n"/>
      <c r="T255">
        <f>MAX(N(J255),N(L255))</f>
        <v/>
      </c>
      <c r="U255">
        <f>IF(N255&lt;&gt;"",N255,IF(T255=0,"",T255+N(Settings!$C$5)))</f>
        <v/>
      </c>
      <c r="V255">
        <f>IF(AND(B255&lt;&gt;"",U255&lt;&gt;"",OR(R255="Follow up",LEFT(R255,3)="Due",R255="Waiting",LEFT(R255,5)="Apply",LEFT(R255,5)="Offer")),U255+ROW()/10000000,"")</f>
        <v/>
      </c>
      <c r="W255">
        <f>IF(B255="","",IF(M255&lt;&gt;"",M255,IF(OR(K255="",K255="Saved"),"Apply",IF(K255="Offer","Reply to the offer","Follow up"))))</f>
        <v/>
      </c>
    </row>
    <row r="256">
      <c r="A256" s="1" t="n"/>
      <c r="B256" s="21" t="n"/>
      <c r="C256" s="22" t="n"/>
      <c r="D256" s="22" t="n"/>
      <c r="E256" s="22" t="n"/>
      <c r="F256" s="23" t="n"/>
      <c r="G256" s="23" t="n"/>
      <c r="H256" s="22" t="n"/>
      <c r="I256" s="24" t="n"/>
      <c r="J256" s="24" t="n"/>
      <c r="K256" s="25" t="n"/>
      <c r="L256" s="24" t="n"/>
      <c r="M256" s="22" t="n"/>
      <c r="N256" s="24" t="n"/>
      <c r="O256" s="25" t="n"/>
      <c r="P256" s="22" t="n"/>
      <c r="Q256" s="18">
        <f>IF(OR(B256="",J256=""),"",TODAY()-J256)</f>
        <v/>
      </c>
      <c r="R256" s="26">
        <f>IF(B256="","",IF(OR(K256="Accepted",K256="Rejected",K256="Withdrawn"),K256,IF(K256="Offer",IF(N256="","Offer","Offer, reply by "&amp;DAY(N256)&amp;" "&amp;CHOOSE(MONTH(N256),"Jan","Feb","Mar","Apr","May","Jun","Jul","Aug","Sep","Oct","Nov","Dec")),IF(OR(K256="",K256="Saved"),IF(N256="","To apply",IF(N256&lt;TODAY(),"Closing date passed","Apply by "&amp;DAY(N256)&amp;" "&amp;CHOOSE(MONTH(N256),"Jan","Feb","Mar","Apr","May","Jun","Jul","Aug","Sep","Oct","Nov","Dec"))),IF(AND(N256="",T256&gt;0,TODAY()-T256&gt;=N(Settings!$C$6)),"No reply",IF(U256="","Waiting",IF(U256&lt;TODAY(),"Follow up",IF(U256-TODAY()&lt;=2,"Due "&amp;DAY(U256)&amp;" "&amp;CHOOSE(MONTH(U256),"Jan","Feb","Mar","Apr","May","Jun","Jul","Aug","Sep","Oct","Nov","Dec"),"Waiting"))))))))</f>
        <v/>
      </c>
      <c r="S256" s="1" t="n"/>
      <c r="T256">
        <f>MAX(N(J256),N(L256))</f>
        <v/>
      </c>
      <c r="U256">
        <f>IF(N256&lt;&gt;"",N256,IF(T256=0,"",T256+N(Settings!$C$5)))</f>
        <v/>
      </c>
      <c r="V256">
        <f>IF(AND(B256&lt;&gt;"",U256&lt;&gt;"",OR(R256="Follow up",LEFT(R256,3)="Due",R256="Waiting",LEFT(R256,5)="Apply",LEFT(R256,5)="Offer")),U256+ROW()/10000000,"")</f>
        <v/>
      </c>
      <c r="W256">
        <f>IF(B256="","",IF(M256&lt;&gt;"",M256,IF(OR(K256="",K256="Saved"),"Apply",IF(K256="Offer","Reply to the offer","Follow up"))))</f>
        <v/>
      </c>
    </row>
    <row r="257">
      <c r="A257" s="1" t="n"/>
      <c r="B257" s="21" t="n"/>
      <c r="C257" s="22" t="n"/>
      <c r="D257" s="22" t="n"/>
      <c r="E257" s="22" t="n"/>
      <c r="F257" s="23" t="n"/>
      <c r="G257" s="23" t="n"/>
      <c r="H257" s="22" t="n"/>
      <c r="I257" s="24" t="n"/>
      <c r="J257" s="24" t="n"/>
      <c r="K257" s="25" t="n"/>
      <c r="L257" s="24" t="n"/>
      <c r="M257" s="22" t="n"/>
      <c r="N257" s="24" t="n"/>
      <c r="O257" s="25" t="n"/>
      <c r="P257" s="22" t="n"/>
      <c r="Q257" s="18">
        <f>IF(OR(B257="",J257=""),"",TODAY()-J257)</f>
        <v/>
      </c>
      <c r="R257" s="26">
        <f>IF(B257="","",IF(OR(K257="Accepted",K257="Rejected",K257="Withdrawn"),K257,IF(K257="Offer",IF(N257="","Offer","Offer, reply by "&amp;DAY(N257)&amp;" "&amp;CHOOSE(MONTH(N257),"Jan","Feb","Mar","Apr","May","Jun","Jul","Aug","Sep","Oct","Nov","Dec")),IF(OR(K257="",K257="Saved"),IF(N257="","To apply",IF(N257&lt;TODAY(),"Closing date passed","Apply by "&amp;DAY(N257)&amp;" "&amp;CHOOSE(MONTH(N257),"Jan","Feb","Mar","Apr","May","Jun","Jul","Aug","Sep","Oct","Nov","Dec"))),IF(AND(N257="",T257&gt;0,TODAY()-T257&gt;=N(Settings!$C$6)),"No reply",IF(U257="","Waiting",IF(U257&lt;TODAY(),"Follow up",IF(U257-TODAY()&lt;=2,"Due "&amp;DAY(U257)&amp;" "&amp;CHOOSE(MONTH(U257),"Jan","Feb","Mar","Apr","May","Jun","Jul","Aug","Sep","Oct","Nov","Dec"),"Waiting"))))))))</f>
        <v/>
      </c>
      <c r="S257" s="1" t="n"/>
      <c r="T257">
        <f>MAX(N(J257),N(L257))</f>
        <v/>
      </c>
      <c r="U257">
        <f>IF(N257&lt;&gt;"",N257,IF(T257=0,"",T257+N(Settings!$C$5)))</f>
        <v/>
      </c>
      <c r="V257">
        <f>IF(AND(B257&lt;&gt;"",U257&lt;&gt;"",OR(R257="Follow up",LEFT(R257,3)="Due",R257="Waiting",LEFT(R257,5)="Apply",LEFT(R257,5)="Offer")),U257+ROW()/10000000,"")</f>
        <v/>
      </c>
      <c r="W257">
        <f>IF(B257="","",IF(M257&lt;&gt;"",M257,IF(OR(K257="",K257="Saved"),"Apply",IF(K257="Offer","Reply to the offer","Follow up"))))</f>
        <v/>
      </c>
    </row>
    <row r="258">
      <c r="A258" s="1" t="n"/>
      <c r="B258" s="21" t="n"/>
      <c r="C258" s="22" t="n"/>
      <c r="D258" s="22" t="n"/>
      <c r="E258" s="22" t="n"/>
      <c r="F258" s="23" t="n"/>
      <c r="G258" s="23" t="n"/>
      <c r="H258" s="22" t="n"/>
      <c r="I258" s="24" t="n"/>
      <c r="J258" s="24" t="n"/>
      <c r="K258" s="25" t="n"/>
      <c r="L258" s="24" t="n"/>
      <c r="M258" s="22" t="n"/>
      <c r="N258" s="24" t="n"/>
      <c r="O258" s="25" t="n"/>
      <c r="P258" s="22" t="n"/>
      <c r="Q258" s="18">
        <f>IF(OR(B258="",J258=""),"",TODAY()-J258)</f>
        <v/>
      </c>
      <c r="R258" s="26">
        <f>IF(B258="","",IF(OR(K258="Accepted",K258="Rejected",K258="Withdrawn"),K258,IF(K258="Offer",IF(N258="","Offer","Offer, reply by "&amp;DAY(N258)&amp;" "&amp;CHOOSE(MONTH(N258),"Jan","Feb","Mar","Apr","May","Jun","Jul","Aug","Sep","Oct","Nov","Dec")),IF(OR(K258="",K258="Saved"),IF(N258="","To apply",IF(N258&lt;TODAY(),"Closing date passed","Apply by "&amp;DAY(N258)&amp;" "&amp;CHOOSE(MONTH(N258),"Jan","Feb","Mar","Apr","May","Jun","Jul","Aug","Sep","Oct","Nov","Dec"))),IF(AND(N258="",T258&gt;0,TODAY()-T258&gt;=N(Settings!$C$6)),"No reply",IF(U258="","Waiting",IF(U258&lt;TODAY(),"Follow up",IF(U258-TODAY()&lt;=2,"Due "&amp;DAY(U258)&amp;" "&amp;CHOOSE(MONTH(U258),"Jan","Feb","Mar","Apr","May","Jun","Jul","Aug","Sep","Oct","Nov","Dec"),"Waiting"))))))))</f>
        <v/>
      </c>
      <c r="S258" s="1" t="n"/>
      <c r="T258">
        <f>MAX(N(J258),N(L258))</f>
        <v/>
      </c>
      <c r="U258">
        <f>IF(N258&lt;&gt;"",N258,IF(T258=0,"",T258+N(Settings!$C$5)))</f>
        <v/>
      </c>
      <c r="V258">
        <f>IF(AND(B258&lt;&gt;"",U258&lt;&gt;"",OR(R258="Follow up",LEFT(R258,3)="Due",R258="Waiting",LEFT(R258,5)="Apply",LEFT(R258,5)="Offer")),U258+ROW()/10000000,"")</f>
        <v/>
      </c>
      <c r="W258">
        <f>IF(B258="","",IF(M258&lt;&gt;"",M258,IF(OR(K258="",K258="Saved"),"Apply",IF(K258="Offer","Reply to the offer","Follow up"))))</f>
        <v/>
      </c>
    </row>
    <row r="259">
      <c r="A259" s="1" t="n"/>
      <c r="B259" s="21" t="n"/>
      <c r="C259" s="22" t="n"/>
      <c r="D259" s="22" t="n"/>
      <c r="E259" s="22" t="n"/>
      <c r="F259" s="23" t="n"/>
      <c r="G259" s="23" t="n"/>
      <c r="H259" s="22" t="n"/>
      <c r="I259" s="24" t="n"/>
      <c r="J259" s="24" t="n"/>
      <c r="K259" s="25" t="n"/>
      <c r="L259" s="24" t="n"/>
      <c r="M259" s="22" t="n"/>
      <c r="N259" s="24" t="n"/>
      <c r="O259" s="25" t="n"/>
      <c r="P259" s="22" t="n"/>
      <c r="Q259" s="18">
        <f>IF(OR(B259="",J259=""),"",TODAY()-J259)</f>
        <v/>
      </c>
      <c r="R259" s="26">
        <f>IF(B259="","",IF(OR(K259="Accepted",K259="Rejected",K259="Withdrawn"),K259,IF(K259="Offer",IF(N259="","Offer","Offer, reply by "&amp;DAY(N259)&amp;" "&amp;CHOOSE(MONTH(N259),"Jan","Feb","Mar","Apr","May","Jun","Jul","Aug","Sep","Oct","Nov","Dec")),IF(OR(K259="",K259="Saved"),IF(N259="","To apply",IF(N259&lt;TODAY(),"Closing date passed","Apply by "&amp;DAY(N259)&amp;" "&amp;CHOOSE(MONTH(N259),"Jan","Feb","Mar","Apr","May","Jun","Jul","Aug","Sep","Oct","Nov","Dec"))),IF(AND(N259="",T259&gt;0,TODAY()-T259&gt;=N(Settings!$C$6)),"No reply",IF(U259="","Waiting",IF(U259&lt;TODAY(),"Follow up",IF(U259-TODAY()&lt;=2,"Due "&amp;DAY(U259)&amp;" "&amp;CHOOSE(MONTH(U259),"Jan","Feb","Mar","Apr","May","Jun","Jul","Aug","Sep","Oct","Nov","Dec"),"Waiting"))))))))</f>
        <v/>
      </c>
      <c r="S259" s="1" t="n"/>
      <c r="T259">
        <f>MAX(N(J259),N(L259))</f>
        <v/>
      </c>
      <c r="U259">
        <f>IF(N259&lt;&gt;"",N259,IF(T259=0,"",T259+N(Settings!$C$5)))</f>
        <v/>
      </c>
      <c r="V259">
        <f>IF(AND(B259&lt;&gt;"",U259&lt;&gt;"",OR(R259="Follow up",LEFT(R259,3)="Due",R259="Waiting",LEFT(R259,5)="Apply",LEFT(R259,5)="Offer")),U259+ROW()/10000000,"")</f>
        <v/>
      </c>
      <c r="W259">
        <f>IF(B259="","",IF(M259&lt;&gt;"",M259,IF(OR(K259="",K259="Saved"),"Apply",IF(K259="Offer","Reply to the offer","Follow up"))))</f>
        <v/>
      </c>
    </row>
    <row r="260">
      <c r="A260" s="1" t="n"/>
      <c r="B260" s="21" t="n"/>
      <c r="C260" s="22" t="n"/>
      <c r="D260" s="22" t="n"/>
      <c r="E260" s="22" t="n"/>
      <c r="F260" s="23" t="n"/>
      <c r="G260" s="23" t="n"/>
      <c r="H260" s="22" t="n"/>
      <c r="I260" s="24" t="n"/>
      <c r="J260" s="24" t="n"/>
      <c r="K260" s="25" t="n"/>
      <c r="L260" s="24" t="n"/>
      <c r="M260" s="22" t="n"/>
      <c r="N260" s="24" t="n"/>
      <c r="O260" s="25" t="n"/>
      <c r="P260" s="22" t="n"/>
      <c r="Q260" s="18">
        <f>IF(OR(B260="",J260=""),"",TODAY()-J260)</f>
        <v/>
      </c>
      <c r="R260" s="26">
        <f>IF(B260="","",IF(OR(K260="Accepted",K260="Rejected",K260="Withdrawn"),K260,IF(K260="Offer",IF(N260="","Offer","Offer, reply by "&amp;DAY(N260)&amp;" "&amp;CHOOSE(MONTH(N260),"Jan","Feb","Mar","Apr","May","Jun","Jul","Aug","Sep","Oct","Nov","Dec")),IF(OR(K260="",K260="Saved"),IF(N260="","To apply",IF(N260&lt;TODAY(),"Closing date passed","Apply by "&amp;DAY(N260)&amp;" "&amp;CHOOSE(MONTH(N260),"Jan","Feb","Mar","Apr","May","Jun","Jul","Aug","Sep","Oct","Nov","Dec"))),IF(AND(N260="",T260&gt;0,TODAY()-T260&gt;=N(Settings!$C$6)),"No reply",IF(U260="","Waiting",IF(U260&lt;TODAY(),"Follow up",IF(U260-TODAY()&lt;=2,"Due "&amp;DAY(U260)&amp;" "&amp;CHOOSE(MONTH(U260),"Jan","Feb","Mar","Apr","May","Jun","Jul","Aug","Sep","Oct","Nov","Dec"),"Waiting"))))))))</f>
        <v/>
      </c>
      <c r="S260" s="1" t="n"/>
      <c r="T260">
        <f>MAX(N(J260),N(L260))</f>
        <v/>
      </c>
      <c r="U260">
        <f>IF(N260&lt;&gt;"",N260,IF(T260=0,"",T260+N(Settings!$C$5)))</f>
        <v/>
      </c>
      <c r="V260">
        <f>IF(AND(B260&lt;&gt;"",U260&lt;&gt;"",OR(R260="Follow up",LEFT(R260,3)="Due",R260="Waiting",LEFT(R260,5)="Apply",LEFT(R260,5)="Offer")),U260+ROW()/10000000,"")</f>
        <v/>
      </c>
      <c r="W260">
        <f>IF(B260="","",IF(M260&lt;&gt;"",M260,IF(OR(K260="",K260="Saved"),"Apply",IF(K260="Offer","Reply to the offer","Follow up"))))</f>
        <v/>
      </c>
    </row>
    <row r="261">
      <c r="A261" s="1" t="n"/>
      <c r="B261" s="21" t="n"/>
      <c r="C261" s="22" t="n"/>
      <c r="D261" s="22" t="n"/>
      <c r="E261" s="22" t="n"/>
      <c r="F261" s="23" t="n"/>
      <c r="G261" s="23" t="n"/>
      <c r="H261" s="22" t="n"/>
      <c r="I261" s="24" t="n"/>
      <c r="J261" s="24" t="n"/>
      <c r="K261" s="25" t="n"/>
      <c r="L261" s="24" t="n"/>
      <c r="M261" s="22" t="n"/>
      <c r="N261" s="24" t="n"/>
      <c r="O261" s="25" t="n"/>
      <c r="P261" s="22" t="n"/>
      <c r="Q261" s="18">
        <f>IF(OR(B261="",J261=""),"",TODAY()-J261)</f>
        <v/>
      </c>
      <c r="R261" s="26">
        <f>IF(B261="","",IF(OR(K261="Accepted",K261="Rejected",K261="Withdrawn"),K261,IF(K261="Offer",IF(N261="","Offer","Offer, reply by "&amp;DAY(N261)&amp;" "&amp;CHOOSE(MONTH(N261),"Jan","Feb","Mar","Apr","May","Jun","Jul","Aug","Sep","Oct","Nov","Dec")),IF(OR(K261="",K261="Saved"),IF(N261="","To apply",IF(N261&lt;TODAY(),"Closing date passed","Apply by "&amp;DAY(N261)&amp;" "&amp;CHOOSE(MONTH(N261),"Jan","Feb","Mar","Apr","May","Jun","Jul","Aug","Sep","Oct","Nov","Dec"))),IF(AND(N261="",T261&gt;0,TODAY()-T261&gt;=N(Settings!$C$6)),"No reply",IF(U261="","Waiting",IF(U261&lt;TODAY(),"Follow up",IF(U261-TODAY()&lt;=2,"Due "&amp;DAY(U261)&amp;" "&amp;CHOOSE(MONTH(U261),"Jan","Feb","Mar","Apr","May","Jun","Jul","Aug","Sep","Oct","Nov","Dec"),"Waiting"))))))))</f>
        <v/>
      </c>
      <c r="S261" s="1" t="n"/>
      <c r="T261">
        <f>MAX(N(J261),N(L261))</f>
        <v/>
      </c>
      <c r="U261">
        <f>IF(N261&lt;&gt;"",N261,IF(T261=0,"",T261+N(Settings!$C$5)))</f>
        <v/>
      </c>
      <c r="V261">
        <f>IF(AND(B261&lt;&gt;"",U261&lt;&gt;"",OR(R261="Follow up",LEFT(R261,3)="Due",R261="Waiting",LEFT(R261,5)="Apply",LEFT(R261,5)="Offer")),U261+ROW()/10000000,"")</f>
        <v/>
      </c>
      <c r="W261">
        <f>IF(B261="","",IF(M261&lt;&gt;"",M261,IF(OR(K261="",K261="Saved"),"Apply",IF(K261="Offer","Reply to the offer","Follow up"))))</f>
        <v/>
      </c>
    </row>
    <row r="262">
      <c r="A262" s="1" t="n"/>
      <c r="B262" s="21" t="n"/>
      <c r="C262" s="22" t="n"/>
      <c r="D262" s="22" t="n"/>
      <c r="E262" s="22" t="n"/>
      <c r="F262" s="23" t="n"/>
      <c r="G262" s="23" t="n"/>
      <c r="H262" s="22" t="n"/>
      <c r="I262" s="24" t="n"/>
      <c r="J262" s="24" t="n"/>
      <c r="K262" s="25" t="n"/>
      <c r="L262" s="24" t="n"/>
      <c r="M262" s="22" t="n"/>
      <c r="N262" s="24" t="n"/>
      <c r="O262" s="25" t="n"/>
      <c r="P262" s="22" t="n"/>
      <c r="Q262" s="18">
        <f>IF(OR(B262="",J262=""),"",TODAY()-J262)</f>
        <v/>
      </c>
      <c r="R262" s="26">
        <f>IF(B262="","",IF(OR(K262="Accepted",K262="Rejected",K262="Withdrawn"),K262,IF(K262="Offer",IF(N262="","Offer","Offer, reply by "&amp;DAY(N262)&amp;" "&amp;CHOOSE(MONTH(N262),"Jan","Feb","Mar","Apr","May","Jun","Jul","Aug","Sep","Oct","Nov","Dec")),IF(OR(K262="",K262="Saved"),IF(N262="","To apply",IF(N262&lt;TODAY(),"Closing date passed","Apply by "&amp;DAY(N262)&amp;" "&amp;CHOOSE(MONTH(N262),"Jan","Feb","Mar","Apr","May","Jun","Jul","Aug","Sep","Oct","Nov","Dec"))),IF(AND(N262="",T262&gt;0,TODAY()-T262&gt;=N(Settings!$C$6)),"No reply",IF(U262="","Waiting",IF(U262&lt;TODAY(),"Follow up",IF(U262-TODAY()&lt;=2,"Due "&amp;DAY(U262)&amp;" "&amp;CHOOSE(MONTH(U262),"Jan","Feb","Mar","Apr","May","Jun","Jul","Aug","Sep","Oct","Nov","Dec"),"Waiting"))))))))</f>
        <v/>
      </c>
      <c r="S262" s="1" t="n"/>
      <c r="T262">
        <f>MAX(N(J262),N(L262))</f>
        <v/>
      </c>
      <c r="U262">
        <f>IF(N262&lt;&gt;"",N262,IF(T262=0,"",T262+N(Settings!$C$5)))</f>
        <v/>
      </c>
      <c r="V262">
        <f>IF(AND(B262&lt;&gt;"",U262&lt;&gt;"",OR(R262="Follow up",LEFT(R262,3)="Due",R262="Waiting",LEFT(R262,5)="Apply",LEFT(R262,5)="Offer")),U262+ROW()/10000000,"")</f>
        <v/>
      </c>
      <c r="W262">
        <f>IF(B262="","",IF(M262&lt;&gt;"",M262,IF(OR(K262="",K262="Saved"),"Apply",IF(K262="Offer","Reply to the offer","Follow up"))))</f>
        <v/>
      </c>
    </row>
    <row r="263">
      <c r="A263" s="1" t="n"/>
      <c r="B263" s="21" t="n"/>
      <c r="C263" s="22" t="n"/>
      <c r="D263" s="22" t="n"/>
      <c r="E263" s="22" t="n"/>
      <c r="F263" s="23" t="n"/>
      <c r="G263" s="23" t="n"/>
      <c r="H263" s="22" t="n"/>
      <c r="I263" s="24" t="n"/>
      <c r="J263" s="24" t="n"/>
      <c r="K263" s="25" t="n"/>
      <c r="L263" s="24" t="n"/>
      <c r="M263" s="22" t="n"/>
      <c r="N263" s="24" t="n"/>
      <c r="O263" s="25" t="n"/>
      <c r="P263" s="22" t="n"/>
      <c r="Q263" s="18">
        <f>IF(OR(B263="",J263=""),"",TODAY()-J263)</f>
        <v/>
      </c>
      <c r="R263" s="26">
        <f>IF(B263="","",IF(OR(K263="Accepted",K263="Rejected",K263="Withdrawn"),K263,IF(K263="Offer",IF(N263="","Offer","Offer, reply by "&amp;DAY(N263)&amp;" "&amp;CHOOSE(MONTH(N263),"Jan","Feb","Mar","Apr","May","Jun","Jul","Aug","Sep","Oct","Nov","Dec")),IF(OR(K263="",K263="Saved"),IF(N263="","To apply",IF(N263&lt;TODAY(),"Closing date passed","Apply by "&amp;DAY(N263)&amp;" "&amp;CHOOSE(MONTH(N263),"Jan","Feb","Mar","Apr","May","Jun","Jul","Aug","Sep","Oct","Nov","Dec"))),IF(AND(N263="",T263&gt;0,TODAY()-T263&gt;=N(Settings!$C$6)),"No reply",IF(U263="","Waiting",IF(U263&lt;TODAY(),"Follow up",IF(U263-TODAY()&lt;=2,"Due "&amp;DAY(U263)&amp;" "&amp;CHOOSE(MONTH(U263),"Jan","Feb","Mar","Apr","May","Jun","Jul","Aug","Sep","Oct","Nov","Dec"),"Waiting"))))))))</f>
        <v/>
      </c>
      <c r="S263" s="1" t="n"/>
      <c r="T263">
        <f>MAX(N(J263),N(L263))</f>
        <v/>
      </c>
      <c r="U263">
        <f>IF(N263&lt;&gt;"",N263,IF(T263=0,"",T263+N(Settings!$C$5)))</f>
        <v/>
      </c>
      <c r="V263">
        <f>IF(AND(B263&lt;&gt;"",U263&lt;&gt;"",OR(R263="Follow up",LEFT(R263,3)="Due",R263="Waiting",LEFT(R263,5)="Apply",LEFT(R263,5)="Offer")),U263+ROW()/10000000,"")</f>
        <v/>
      </c>
      <c r="W263">
        <f>IF(B263="","",IF(M263&lt;&gt;"",M263,IF(OR(K263="",K263="Saved"),"Apply",IF(K263="Offer","Reply to the offer","Follow up"))))</f>
        <v/>
      </c>
    </row>
    <row r="264">
      <c r="A264" s="1" t="n"/>
      <c r="B264" s="21" t="n"/>
      <c r="C264" s="22" t="n"/>
      <c r="D264" s="22" t="n"/>
      <c r="E264" s="22" t="n"/>
      <c r="F264" s="23" t="n"/>
      <c r="G264" s="23" t="n"/>
      <c r="H264" s="22" t="n"/>
      <c r="I264" s="24" t="n"/>
      <c r="J264" s="24" t="n"/>
      <c r="K264" s="25" t="n"/>
      <c r="L264" s="24" t="n"/>
      <c r="M264" s="22" t="n"/>
      <c r="N264" s="24" t="n"/>
      <c r="O264" s="25" t="n"/>
      <c r="P264" s="22" t="n"/>
      <c r="Q264" s="18">
        <f>IF(OR(B264="",J264=""),"",TODAY()-J264)</f>
        <v/>
      </c>
      <c r="R264" s="26">
        <f>IF(B264="","",IF(OR(K264="Accepted",K264="Rejected",K264="Withdrawn"),K264,IF(K264="Offer",IF(N264="","Offer","Offer, reply by "&amp;DAY(N264)&amp;" "&amp;CHOOSE(MONTH(N264),"Jan","Feb","Mar","Apr","May","Jun","Jul","Aug","Sep","Oct","Nov","Dec")),IF(OR(K264="",K264="Saved"),IF(N264="","To apply",IF(N264&lt;TODAY(),"Closing date passed","Apply by "&amp;DAY(N264)&amp;" "&amp;CHOOSE(MONTH(N264),"Jan","Feb","Mar","Apr","May","Jun","Jul","Aug","Sep","Oct","Nov","Dec"))),IF(AND(N264="",T264&gt;0,TODAY()-T264&gt;=N(Settings!$C$6)),"No reply",IF(U264="","Waiting",IF(U264&lt;TODAY(),"Follow up",IF(U264-TODAY()&lt;=2,"Due "&amp;DAY(U264)&amp;" "&amp;CHOOSE(MONTH(U264),"Jan","Feb","Mar","Apr","May","Jun","Jul","Aug","Sep","Oct","Nov","Dec"),"Waiting"))))))))</f>
        <v/>
      </c>
      <c r="S264" s="1" t="n"/>
      <c r="T264">
        <f>MAX(N(J264),N(L264))</f>
        <v/>
      </c>
      <c r="U264">
        <f>IF(N264&lt;&gt;"",N264,IF(T264=0,"",T264+N(Settings!$C$5)))</f>
        <v/>
      </c>
      <c r="V264">
        <f>IF(AND(B264&lt;&gt;"",U264&lt;&gt;"",OR(R264="Follow up",LEFT(R264,3)="Due",R264="Waiting",LEFT(R264,5)="Apply",LEFT(R264,5)="Offer")),U264+ROW()/10000000,"")</f>
        <v/>
      </c>
      <c r="W264">
        <f>IF(B264="","",IF(M264&lt;&gt;"",M264,IF(OR(K264="",K264="Saved"),"Apply",IF(K264="Offer","Reply to the offer","Follow up"))))</f>
        <v/>
      </c>
    </row>
    <row r="265">
      <c r="A265" s="1" t="n"/>
      <c r="B265" s="21" t="n"/>
      <c r="C265" s="22" t="n"/>
      <c r="D265" s="22" t="n"/>
      <c r="E265" s="22" t="n"/>
      <c r="F265" s="23" t="n"/>
      <c r="G265" s="23" t="n"/>
      <c r="H265" s="22" t="n"/>
      <c r="I265" s="24" t="n"/>
      <c r="J265" s="24" t="n"/>
      <c r="K265" s="25" t="n"/>
      <c r="L265" s="24" t="n"/>
      <c r="M265" s="22" t="n"/>
      <c r="N265" s="24" t="n"/>
      <c r="O265" s="25" t="n"/>
      <c r="P265" s="22" t="n"/>
      <c r="Q265" s="18">
        <f>IF(OR(B265="",J265=""),"",TODAY()-J265)</f>
        <v/>
      </c>
      <c r="R265" s="26">
        <f>IF(B265="","",IF(OR(K265="Accepted",K265="Rejected",K265="Withdrawn"),K265,IF(K265="Offer",IF(N265="","Offer","Offer, reply by "&amp;DAY(N265)&amp;" "&amp;CHOOSE(MONTH(N265),"Jan","Feb","Mar","Apr","May","Jun","Jul","Aug","Sep","Oct","Nov","Dec")),IF(OR(K265="",K265="Saved"),IF(N265="","To apply",IF(N265&lt;TODAY(),"Closing date passed","Apply by "&amp;DAY(N265)&amp;" "&amp;CHOOSE(MONTH(N265),"Jan","Feb","Mar","Apr","May","Jun","Jul","Aug","Sep","Oct","Nov","Dec"))),IF(AND(N265="",T265&gt;0,TODAY()-T265&gt;=N(Settings!$C$6)),"No reply",IF(U265="","Waiting",IF(U265&lt;TODAY(),"Follow up",IF(U265-TODAY()&lt;=2,"Due "&amp;DAY(U265)&amp;" "&amp;CHOOSE(MONTH(U265),"Jan","Feb","Mar","Apr","May","Jun","Jul","Aug","Sep","Oct","Nov","Dec"),"Waiting"))))))))</f>
        <v/>
      </c>
      <c r="S265" s="1" t="n"/>
      <c r="T265">
        <f>MAX(N(J265),N(L265))</f>
        <v/>
      </c>
      <c r="U265">
        <f>IF(N265&lt;&gt;"",N265,IF(T265=0,"",T265+N(Settings!$C$5)))</f>
        <v/>
      </c>
      <c r="V265">
        <f>IF(AND(B265&lt;&gt;"",U265&lt;&gt;"",OR(R265="Follow up",LEFT(R265,3)="Due",R265="Waiting",LEFT(R265,5)="Apply",LEFT(R265,5)="Offer")),U265+ROW()/10000000,"")</f>
        <v/>
      </c>
      <c r="W265">
        <f>IF(B265="","",IF(M265&lt;&gt;"",M265,IF(OR(K265="",K265="Saved"),"Apply",IF(K265="Offer","Reply to the offer","Follow up"))))</f>
        <v/>
      </c>
    </row>
    <row r="266">
      <c r="A266" s="1" t="n"/>
      <c r="B266" s="21" t="n"/>
      <c r="C266" s="22" t="n"/>
      <c r="D266" s="22" t="n"/>
      <c r="E266" s="22" t="n"/>
      <c r="F266" s="23" t="n"/>
      <c r="G266" s="23" t="n"/>
      <c r="H266" s="22" t="n"/>
      <c r="I266" s="24" t="n"/>
      <c r="J266" s="24" t="n"/>
      <c r="K266" s="25" t="n"/>
      <c r="L266" s="24" t="n"/>
      <c r="M266" s="22" t="n"/>
      <c r="N266" s="24" t="n"/>
      <c r="O266" s="25" t="n"/>
      <c r="P266" s="22" t="n"/>
      <c r="Q266" s="18">
        <f>IF(OR(B266="",J266=""),"",TODAY()-J266)</f>
        <v/>
      </c>
      <c r="R266" s="26">
        <f>IF(B266="","",IF(OR(K266="Accepted",K266="Rejected",K266="Withdrawn"),K266,IF(K266="Offer",IF(N266="","Offer","Offer, reply by "&amp;DAY(N266)&amp;" "&amp;CHOOSE(MONTH(N266),"Jan","Feb","Mar","Apr","May","Jun","Jul","Aug","Sep","Oct","Nov","Dec")),IF(OR(K266="",K266="Saved"),IF(N266="","To apply",IF(N266&lt;TODAY(),"Closing date passed","Apply by "&amp;DAY(N266)&amp;" "&amp;CHOOSE(MONTH(N266),"Jan","Feb","Mar","Apr","May","Jun","Jul","Aug","Sep","Oct","Nov","Dec"))),IF(AND(N266="",T266&gt;0,TODAY()-T266&gt;=N(Settings!$C$6)),"No reply",IF(U266="","Waiting",IF(U266&lt;TODAY(),"Follow up",IF(U266-TODAY()&lt;=2,"Due "&amp;DAY(U266)&amp;" "&amp;CHOOSE(MONTH(U266),"Jan","Feb","Mar","Apr","May","Jun","Jul","Aug","Sep","Oct","Nov","Dec"),"Waiting"))))))))</f>
        <v/>
      </c>
      <c r="S266" s="1" t="n"/>
      <c r="T266">
        <f>MAX(N(J266),N(L266))</f>
        <v/>
      </c>
      <c r="U266">
        <f>IF(N266&lt;&gt;"",N266,IF(T266=0,"",T266+N(Settings!$C$5)))</f>
        <v/>
      </c>
      <c r="V266">
        <f>IF(AND(B266&lt;&gt;"",U266&lt;&gt;"",OR(R266="Follow up",LEFT(R266,3)="Due",R266="Waiting",LEFT(R266,5)="Apply",LEFT(R266,5)="Offer")),U266+ROW()/10000000,"")</f>
        <v/>
      </c>
      <c r="W266">
        <f>IF(B266="","",IF(M266&lt;&gt;"",M266,IF(OR(K266="",K266="Saved"),"Apply",IF(K266="Offer","Reply to the offer","Follow up"))))</f>
        <v/>
      </c>
    </row>
    <row r="267">
      <c r="A267" s="1" t="n"/>
      <c r="B267" s="21" t="n"/>
      <c r="C267" s="22" t="n"/>
      <c r="D267" s="22" t="n"/>
      <c r="E267" s="22" t="n"/>
      <c r="F267" s="23" t="n"/>
      <c r="G267" s="23" t="n"/>
      <c r="H267" s="22" t="n"/>
      <c r="I267" s="24" t="n"/>
      <c r="J267" s="24" t="n"/>
      <c r="K267" s="25" t="n"/>
      <c r="L267" s="24" t="n"/>
      <c r="M267" s="22" t="n"/>
      <c r="N267" s="24" t="n"/>
      <c r="O267" s="25" t="n"/>
      <c r="P267" s="22" t="n"/>
      <c r="Q267" s="18">
        <f>IF(OR(B267="",J267=""),"",TODAY()-J267)</f>
        <v/>
      </c>
      <c r="R267" s="26">
        <f>IF(B267="","",IF(OR(K267="Accepted",K267="Rejected",K267="Withdrawn"),K267,IF(K267="Offer",IF(N267="","Offer","Offer, reply by "&amp;DAY(N267)&amp;" "&amp;CHOOSE(MONTH(N267),"Jan","Feb","Mar","Apr","May","Jun","Jul","Aug","Sep","Oct","Nov","Dec")),IF(OR(K267="",K267="Saved"),IF(N267="","To apply",IF(N267&lt;TODAY(),"Closing date passed","Apply by "&amp;DAY(N267)&amp;" "&amp;CHOOSE(MONTH(N267),"Jan","Feb","Mar","Apr","May","Jun","Jul","Aug","Sep","Oct","Nov","Dec"))),IF(AND(N267="",T267&gt;0,TODAY()-T267&gt;=N(Settings!$C$6)),"No reply",IF(U267="","Waiting",IF(U267&lt;TODAY(),"Follow up",IF(U267-TODAY()&lt;=2,"Due "&amp;DAY(U267)&amp;" "&amp;CHOOSE(MONTH(U267),"Jan","Feb","Mar","Apr","May","Jun","Jul","Aug","Sep","Oct","Nov","Dec"),"Waiting"))))))))</f>
        <v/>
      </c>
      <c r="S267" s="1" t="n"/>
      <c r="T267">
        <f>MAX(N(J267),N(L267))</f>
        <v/>
      </c>
      <c r="U267">
        <f>IF(N267&lt;&gt;"",N267,IF(T267=0,"",T267+N(Settings!$C$5)))</f>
        <v/>
      </c>
      <c r="V267">
        <f>IF(AND(B267&lt;&gt;"",U267&lt;&gt;"",OR(R267="Follow up",LEFT(R267,3)="Due",R267="Waiting",LEFT(R267,5)="Apply",LEFT(R267,5)="Offer")),U267+ROW()/10000000,"")</f>
        <v/>
      </c>
      <c r="W267">
        <f>IF(B267="","",IF(M267&lt;&gt;"",M267,IF(OR(K267="",K267="Saved"),"Apply",IF(K267="Offer","Reply to the offer","Follow up"))))</f>
        <v/>
      </c>
    </row>
    <row r="268">
      <c r="A268" s="1" t="n"/>
      <c r="B268" s="21" t="n"/>
      <c r="C268" s="22" t="n"/>
      <c r="D268" s="22" t="n"/>
      <c r="E268" s="22" t="n"/>
      <c r="F268" s="23" t="n"/>
      <c r="G268" s="23" t="n"/>
      <c r="H268" s="22" t="n"/>
      <c r="I268" s="24" t="n"/>
      <c r="J268" s="24" t="n"/>
      <c r="K268" s="25" t="n"/>
      <c r="L268" s="24" t="n"/>
      <c r="M268" s="22" t="n"/>
      <c r="N268" s="24" t="n"/>
      <c r="O268" s="25" t="n"/>
      <c r="P268" s="22" t="n"/>
      <c r="Q268" s="18">
        <f>IF(OR(B268="",J268=""),"",TODAY()-J268)</f>
        <v/>
      </c>
      <c r="R268" s="26">
        <f>IF(B268="","",IF(OR(K268="Accepted",K268="Rejected",K268="Withdrawn"),K268,IF(K268="Offer",IF(N268="","Offer","Offer, reply by "&amp;DAY(N268)&amp;" "&amp;CHOOSE(MONTH(N268),"Jan","Feb","Mar","Apr","May","Jun","Jul","Aug","Sep","Oct","Nov","Dec")),IF(OR(K268="",K268="Saved"),IF(N268="","To apply",IF(N268&lt;TODAY(),"Closing date passed","Apply by "&amp;DAY(N268)&amp;" "&amp;CHOOSE(MONTH(N268),"Jan","Feb","Mar","Apr","May","Jun","Jul","Aug","Sep","Oct","Nov","Dec"))),IF(AND(N268="",T268&gt;0,TODAY()-T268&gt;=N(Settings!$C$6)),"No reply",IF(U268="","Waiting",IF(U268&lt;TODAY(),"Follow up",IF(U268-TODAY()&lt;=2,"Due "&amp;DAY(U268)&amp;" "&amp;CHOOSE(MONTH(U268),"Jan","Feb","Mar","Apr","May","Jun","Jul","Aug","Sep","Oct","Nov","Dec"),"Waiting"))))))))</f>
        <v/>
      </c>
      <c r="S268" s="1" t="n"/>
      <c r="T268">
        <f>MAX(N(J268),N(L268))</f>
        <v/>
      </c>
      <c r="U268">
        <f>IF(N268&lt;&gt;"",N268,IF(T268=0,"",T268+N(Settings!$C$5)))</f>
        <v/>
      </c>
      <c r="V268">
        <f>IF(AND(B268&lt;&gt;"",U268&lt;&gt;"",OR(R268="Follow up",LEFT(R268,3)="Due",R268="Waiting",LEFT(R268,5)="Apply",LEFT(R268,5)="Offer")),U268+ROW()/10000000,"")</f>
        <v/>
      </c>
      <c r="W268">
        <f>IF(B268="","",IF(M268&lt;&gt;"",M268,IF(OR(K268="",K268="Saved"),"Apply",IF(K268="Offer","Reply to the offer","Follow up"))))</f>
        <v/>
      </c>
    </row>
    <row r="269">
      <c r="A269" s="1" t="n"/>
      <c r="B269" s="21" t="n"/>
      <c r="C269" s="22" t="n"/>
      <c r="D269" s="22" t="n"/>
      <c r="E269" s="22" t="n"/>
      <c r="F269" s="23" t="n"/>
      <c r="G269" s="23" t="n"/>
      <c r="H269" s="22" t="n"/>
      <c r="I269" s="24" t="n"/>
      <c r="J269" s="24" t="n"/>
      <c r="K269" s="25" t="n"/>
      <c r="L269" s="24" t="n"/>
      <c r="M269" s="22" t="n"/>
      <c r="N269" s="24" t="n"/>
      <c r="O269" s="25" t="n"/>
      <c r="P269" s="22" t="n"/>
      <c r="Q269" s="18">
        <f>IF(OR(B269="",J269=""),"",TODAY()-J269)</f>
        <v/>
      </c>
      <c r="R269" s="26">
        <f>IF(B269="","",IF(OR(K269="Accepted",K269="Rejected",K269="Withdrawn"),K269,IF(K269="Offer",IF(N269="","Offer","Offer, reply by "&amp;DAY(N269)&amp;" "&amp;CHOOSE(MONTH(N269),"Jan","Feb","Mar","Apr","May","Jun","Jul","Aug","Sep","Oct","Nov","Dec")),IF(OR(K269="",K269="Saved"),IF(N269="","To apply",IF(N269&lt;TODAY(),"Closing date passed","Apply by "&amp;DAY(N269)&amp;" "&amp;CHOOSE(MONTH(N269),"Jan","Feb","Mar","Apr","May","Jun","Jul","Aug","Sep","Oct","Nov","Dec"))),IF(AND(N269="",T269&gt;0,TODAY()-T269&gt;=N(Settings!$C$6)),"No reply",IF(U269="","Waiting",IF(U269&lt;TODAY(),"Follow up",IF(U269-TODAY()&lt;=2,"Due "&amp;DAY(U269)&amp;" "&amp;CHOOSE(MONTH(U269),"Jan","Feb","Mar","Apr","May","Jun","Jul","Aug","Sep","Oct","Nov","Dec"),"Waiting"))))))))</f>
        <v/>
      </c>
      <c r="S269" s="1" t="n"/>
      <c r="T269">
        <f>MAX(N(J269),N(L269))</f>
        <v/>
      </c>
      <c r="U269">
        <f>IF(N269&lt;&gt;"",N269,IF(T269=0,"",T269+N(Settings!$C$5)))</f>
        <v/>
      </c>
      <c r="V269">
        <f>IF(AND(B269&lt;&gt;"",U269&lt;&gt;"",OR(R269="Follow up",LEFT(R269,3)="Due",R269="Waiting",LEFT(R269,5)="Apply",LEFT(R269,5)="Offer")),U269+ROW()/10000000,"")</f>
        <v/>
      </c>
      <c r="W269">
        <f>IF(B269="","",IF(M269&lt;&gt;"",M269,IF(OR(K269="",K269="Saved"),"Apply",IF(K269="Offer","Reply to the offer","Follow up"))))</f>
        <v/>
      </c>
    </row>
    <row r="270">
      <c r="A270" s="1" t="n"/>
      <c r="B270" s="21" t="n"/>
      <c r="C270" s="22" t="n"/>
      <c r="D270" s="22" t="n"/>
      <c r="E270" s="22" t="n"/>
      <c r="F270" s="23" t="n"/>
      <c r="G270" s="23" t="n"/>
      <c r="H270" s="22" t="n"/>
      <c r="I270" s="24" t="n"/>
      <c r="J270" s="24" t="n"/>
      <c r="K270" s="25" t="n"/>
      <c r="L270" s="24" t="n"/>
      <c r="M270" s="22" t="n"/>
      <c r="N270" s="24" t="n"/>
      <c r="O270" s="25" t="n"/>
      <c r="P270" s="22" t="n"/>
      <c r="Q270" s="18">
        <f>IF(OR(B270="",J270=""),"",TODAY()-J270)</f>
        <v/>
      </c>
      <c r="R270" s="26">
        <f>IF(B270="","",IF(OR(K270="Accepted",K270="Rejected",K270="Withdrawn"),K270,IF(K270="Offer",IF(N270="","Offer","Offer, reply by "&amp;DAY(N270)&amp;" "&amp;CHOOSE(MONTH(N270),"Jan","Feb","Mar","Apr","May","Jun","Jul","Aug","Sep","Oct","Nov","Dec")),IF(OR(K270="",K270="Saved"),IF(N270="","To apply",IF(N270&lt;TODAY(),"Closing date passed","Apply by "&amp;DAY(N270)&amp;" "&amp;CHOOSE(MONTH(N270),"Jan","Feb","Mar","Apr","May","Jun","Jul","Aug","Sep","Oct","Nov","Dec"))),IF(AND(N270="",T270&gt;0,TODAY()-T270&gt;=N(Settings!$C$6)),"No reply",IF(U270="","Waiting",IF(U270&lt;TODAY(),"Follow up",IF(U270-TODAY()&lt;=2,"Due "&amp;DAY(U270)&amp;" "&amp;CHOOSE(MONTH(U270),"Jan","Feb","Mar","Apr","May","Jun","Jul","Aug","Sep","Oct","Nov","Dec"),"Waiting"))))))))</f>
        <v/>
      </c>
      <c r="S270" s="1" t="n"/>
      <c r="T270">
        <f>MAX(N(J270),N(L270))</f>
        <v/>
      </c>
      <c r="U270">
        <f>IF(N270&lt;&gt;"",N270,IF(T270=0,"",T270+N(Settings!$C$5)))</f>
        <v/>
      </c>
      <c r="V270">
        <f>IF(AND(B270&lt;&gt;"",U270&lt;&gt;"",OR(R270="Follow up",LEFT(R270,3)="Due",R270="Waiting",LEFT(R270,5)="Apply",LEFT(R270,5)="Offer")),U270+ROW()/10000000,"")</f>
        <v/>
      </c>
      <c r="W270">
        <f>IF(B270="","",IF(M270&lt;&gt;"",M270,IF(OR(K270="",K270="Saved"),"Apply",IF(K270="Offer","Reply to the offer","Follow up"))))</f>
        <v/>
      </c>
    </row>
    <row r="271">
      <c r="A271" s="1" t="n"/>
      <c r="B271" s="21" t="n"/>
      <c r="C271" s="22" t="n"/>
      <c r="D271" s="22" t="n"/>
      <c r="E271" s="22" t="n"/>
      <c r="F271" s="23" t="n"/>
      <c r="G271" s="23" t="n"/>
      <c r="H271" s="22" t="n"/>
      <c r="I271" s="24" t="n"/>
      <c r="J271" s="24" t="n"/>
      <c r="K271" s="25" t="n"/>
      <c r="L271" s="24" t="n"/>
      <c r="M271" s="22" t="n"/>
      <c r="N271" s="24" t="n"/>
      <c r="O271" s="25" t="n"/>
      <c r="P271" s="22" t="n"/>
      <c r="Q271" s="18">
        <f>IF(OR(B271="",J271=""),"",TODAY()-J271)</f>
        <v/>
      </c>
      <c r="R271" s="26">
        <f>IF(B271="","",IF(OR(K271="Accepted",K271="Rejected",K271="Withdrawn"),K271,IF(K271="Offer",IF(N271="","Offer","Offer, reply by "&amp;DAY(N271)&amp;" "&amp;CHOOSE(MONTH(N271),"Jan","Feb","Mar","Apr","May","Jun","Jul","Aug","Sep","Oct","Nov","Dec")),IF(OR(K271="",K271="Saved"),IF(N271="","To apply",IF(N271&lt;TODAY(),"Closing date passed","Apply by "&amp;DAY(N271)&amp;" "&amp;CHOOSE(MONTH(N271),"Jan","Feb","Mar","Apr","May","Jun","Jul","Aug","Sep","Oct","Nov","Dec"))),IF(AND(N271="",T271&gt;0,TODAY()-T271&gt;=N(Settings!$C$6)),"No reply",IF(U271="","Waiting",IF(U271&lt;TODAY(),"Follow up",IF(U271-TODAY()&lt;=2,"Due "&amp;DAY(U271)&amp;" "&amp;CHOOSE(MONTH(U271),"Jan","Feb","Mar","Apr","May","Jun","Jul","Aug","Sep","Oct","Nov","Dec"),"Waiting"))))))))</f>
        <v/>
      </c>
      <c r="S271" s="1" t="n"/>
      <c r="T271">
        <f>MAX(N(J271),N(L271))</f>
        <v/>
      </c>
      <c r="U271">
        <f>IF(N271&lt;&gt;"",N271,IF(T271=0,"",T271+N(Settings!$C$5)))</f>
        <v/>
      </c>
      <c r="V271">
        <f>IF(AND(B271&lt;&gt;"",U271&lt;&gt;"",OR(R271="Follow up",LEFT(R271,3)="Due",R271="Waiting",LEFT(R271,5)="Apply",LEFT(R271,5)="Offer")),U271+ROW()/10000000,"")</f>
        <v/>
      </c>
      <c r="W271">
        <f>IF(B271="","",IF(M271&lt;&gt;"",M271,IF(OR(K271="",K271="Saved"),"Apply",IF(K271="Offer","Reply to the offer","Follow up"))))</f>
        <v/>
      </c>
    </row>
    <row r="272">
      <c r="A272" s="1" t="n"/>
      <c r="B272" s="21" t="n"/>
      <c r="C272" s="22" t="n"/>
      <c r="D272" s="22" t="n"/>
      <c r="E272" s="22" t="n"/>
      <c r="F272" s="23" t="n"/>
      <c r="G272" s="23" t="n"/>
      <c r="H272" s="22" t="n"/>
      <c r="I272" s="24" t="n"/>
      <c r="J272" s="24" t="n"/>
      <c r="K272" s="25" t="n"/>
      <c r="L272" s="24" t="n"/>
      <c r="M272" s="22" t="n"/>
      <c r="N272" s="24" t="n"/>
      <c r="O272" s="25" t="n"/>
      <c r="P272" s="22" t="n"/>
      <c r="Q272" s="18">
        <f>IF(OR(B272="",J272=""),"",TODAY()-J272)</f>
        <v/>
      </c>
      <c r="R272" s="26">
        <f>IF(B272="","",IF(OR(K272="Accepted",K272="Rejected",K272="Withdrawn"),K272,IF(K272="Offer",IF(N272="","Offer","Offer, reply by "&amp;DAY(N272)&amp;" "&amp;CHOOSE(MONTH(N272),"Jan","Feb","Mar","Apr","May","Jun","Jul","Aug","Sep","Oct","Nov","Dec")),IF(OR(K272="",K272="Saved"),IF(N272="","To apply",IF(N272&lt;TODAY(),"Closing date passed","Apply by "&amp;DAY(N272)&amp;" "&amp;CHOOSE(MONTH(N272),"Jan","Feb","Mar","Apr","May","Jun","Jul","Aug","Sep","Oct","Nov","Dec"))),IF(AND(N272="",T272&gt;0,TODAY()-T272&gt;=N(Settings!$C$6)),"No reply",IF(U272="","Waiting",IF(U272&lt;TODAY(),"Follow up",IF(U272-TODAY()&lt;=2,"Due "&amp;DAY(U272)&amp;" "&amp;CHOOSE(MONTH(U272),"Jan","Feb","Mar","Apr","May","Jun","Jul","Aug","Sep","Oct","Nov","Dec"),"Waiting"))))))))</f>
        <v/>
      </c>
      <c r="S272" s="1" t="n"/>
      <c r="T272">
        <f>MAX(N(J272),N(L272))</f>
        <v/>
      </c>
      <c r="U272">
        <f>IF(N272&lt;&gt;"",N272,IF(T272=0,"",T272+N(Settings!$C$5)))</f>
        <v/>
      </c>
      <c r="V272">
        <f>IF(AND(B272&lt;&gt;"",U272&lt;&gt;"",OR(R272="Follow up",LEFT(R272,3)="Due",R272="Waiting",LEFT(R272,5)="Apply",LEFT(R272,5)="Offer")),U272+ROW()/10000000,"")</f>
        <v/>
      </c>
      <c r="W272">
        <f>IF(B272="","",IF(M272&lt;&gt;"",M272,IF(OR(K272="",K272="Saved"),"Apply",IF(K272="Offer","Reply to the offer","Follow up"))))</f>
        <v/>
      </c>
    </row>
    <row r="273">
      <c r="A273" s="1" t="n"/>
      <c r="B273" s="21" t="n"/>
      <c r="C273" s="22" t="n"/>
      <c r="D273" s="22" t="n"/>
      <c r="E273" s="22" t="n"/>
      <c r="F273" s="23" t="n"/>
      <c r="G273" s="23" t="n"/>
      <c r="H273" s="22" t="n"/>
      <c r="I273" s="24" t="n"/>
      <c r="J273" s="24" t="n"/>
      <c r="K273" s="25" t="n"/>
      <c r="L273" s="24" t="n"/>
      <c r="M273" s="22" t="n"/>
      <c r="N273" s="24" t="n"/>
      <c r="O273" s="25" t="n"/>
      <c r="P273" s="22" t="n"/>
      <c r="Q273" s="18">
        <f>IF(OR(B273="",J273=""),"",TODAY()-J273)</f>
        <v/>
      </c>
      <c r="R273" s="26">
        <f>IF(B273="","",IF(OR(K273="Accepted",K273="Rejected",K273="Withdrawn"),K273,IF(K273="Offer",IF(N273="","Offer","Offer, reply by "&amp;DAY(N273)&amp;" "&amp;CHOOSE(MONTH(N273),"Jan","Feb","Mar","Apr","May","Jun","Jul","Aug","Sep","Oct","Nov","Dec")),IF(OR(K273="",K273="Saved"),IF(N273="","To apply",IF(N273&lt;TODAY(),"Closing date passed","Apply by "&amp;DAY(N273)&amp;" "&amp;CHOOSE(MONTH(N273),"Jan","Feb","Mar","Apr","May","Jun","Jul","Aug","Sep","Oct","Nov","Dec"))),IF(AND(N273="",T273&gt;0,TODAY()-T273&gt;=N(Settings!$C$6)),"No reply",IF(U273="","Waiting",IF(U273&lt;TODAY(),"Follow up",IF(U273-TODAY()&lt;=2,"Due "&amp;DAY(U273)&amp;" "&amp;CHOOSE(MONTH(U273),"Jan","Feb","Mar","Apr","May","Jun","Jul","Aug","Sep","Oct","Nov","Dec"),"Waiting"))))))))</f>
        <v/>
      </c>
      <c r="S273" s="1" t="n"/>
      <c r="T273">
        <f>MAX(N(J273),N(L273))</f>
        <v/>
      </c>
      <c r="U273">
        <f>IF(N273&lt;&gt;"",N273,IF(T273=0,"",T273+N(Settings!$C$5)))</f>
        <v/>
      </c>
      <c r="V273">
        <f>IF(AND(B273&lt;&gt;"",U273&lt;&gt;"",OR(R273="Follow up",LEFT(R273,3)="Due",R273="Waiting",LEFT(R273,5)="Apply",LEFT(R273,5)="Offer")),U273+ROW()/10000000,"")</f>
        <v/>
      </c>
      <c r="W273">
        <f>IF(B273="","",IF(M273&lt;&gt;"",M273,IF(OR(K273="",K273="Saved"),"Apply",IF(K273="Offer","Reply to the offer","Follow up"))))</f>
        <v/>
      </c>
    </row>
    <row r="274">
      <c r="A274" s="1" t="n"/>
      <c r="B274" s="21" t="n"/>
      <c r="C274" s="22" t="n"/>
      <c r="D274" s="22" t="n"/>
      <c r="E274" s="22" t="n"/>
      <c r="F274" s="23" t="n"/>
      <c r="G274" s="23" t="n"/>
      <c r="H274" s="22" t="n"/>
      <c r="I274" s="24" t="n"/>
      <c r="J274" s="24" t="n"/>
      <c r="K274" s="25" t="n"/>
      <c r="L274" s="24" t="n"/>
      <c r="M274" s="22" t="n"/>
      <c r="N274" s="24" t="n"/>
      <c r="O274" s="25" t="n"/>
      <c r="P274" s="22" t="n"/>
      <c r="Q274" s="18">
        <f>IF(OR(B274="",J274=""),"",TODAY()-J274)</f>
        <v/>
      </c>
      <c r="R274" s="26">
        <f>IF(B274="","",IF(OR(K274="Accepted",K274="Rejected",K274="Withdrawn"),K274,IF(K274="Offer",IF(N274="","Offer","Offer, reply by "&amp;DAY(N274)&amp;" "&amp;CHOOSE(MONTH(N274),"Jan","Feb","Mar","Apr","May","Jun","Jul","Aug","Sep","Oct","Nov","Dec")),IF(OR(K274="",K274="Saved"),IF(N274="","To apply",IF(N274&lt;TODAY(),"Closing date passed","Apply by "&amp;DAY(N274)&amp;" "&amp;CHOOSE(MONTH(N274),"Jan","Feb","Mar","Apr","May","Jun","Jul","Aug","Sep","Oct","Nov","Dec"))),IF(AND(N274="",T274&gt;0,TODAY()-T274&gt;=N(Settings!$C$6)),"No reply",IF(U274="","Waiting",IF(U274&lt;TODAY(),"Follow up",IF(U274-TODAY()&lt;=2,"Due "&amp;DAY(U274)&amp;" "&amp;CHOOSE(MONTH(U274),"Jan","Feb","Mar","Apr","May","Jun","Jul","Aug","Sep","Oct","Nov","Dec"),"Waiting"))))))))</f>
        <v/>
      </c>
      <c r="S274" s="1" t="n"/>
      <c r="T274">
        <f>MAX(N(J274),N(L274))</f>
        <v/>
      </c>
      <c r="U274">
        <f>IF(N274&lt;&gt;"",N274,IF(T274=0,"",T274+N(Settings!$C$5)))</f>
        <v/>
      </c>
      <c r="V274">
        <f>IF(AND(B274&lt;&gt;"",U274&lt;&gt;"",OR(R274="Follow up",LEFT(R274,3)="Due",R274="Waiting",LEFT(R274,5)="Apply",LEFT(R274,5)="Offer")),U274+ROW()/10000000,"")</f>
        <v/>
      </c>
      <c r="W274">
        <f>IF(B274="","",IF(M274&lt;&gt;"",M274,IF(OR(K274="",K274="Saved"),"Apply",IF(K274="Offer","Reply to the offer","Follow up"))))</f>
        <v/>
      </c>
    </row>
    <row r="275">
      <c r="A275" s="1" t="n"/>
      <c r="B275" s="21" t="n"/>
      <c r="C275" s="22" t="n"/>
      <c r="D275" s="22" t="n"/>
      <c r="E275" s="22" t="n"/>
      <c r="F275" s="23" t="n"/>
      <c r="G275" s="23" t="n"/>
      <c r="H275" s="22" t="n"/>
      <c r="I275" s="24" t="n"/>
      <c r="J275" s="24" t="n"/>
      <c r="K275" s="25" t="n"/>
      <c r="L275" s="24" t="n"/>
      <c r="M275" s="22" t="n"/>
      <c r="N275" s="24" t="n"/>
      <c r="O275" s="25" t="n"/>
      <c r="P275" s="22" t="n"/>
      <c r="Q275" s="18">
        <f>IF(OR(B275="",J275=""),"",TODAY()-J275)</f>
        <v/>
      </c>
      <c r="R275" s="26">
        <f>IF(B275="","",IF(OR(K275="Accepted",K275="Rejected",K275="Withdrawn"),K275,IF(K275="Offer",IF(N275="","Offer","Offer, reply by "&amp;DAY(N275)&amp;" "&amp;CHOOSE(MONTH(N275),"Jan","Feb","Mar","Apr","May","Jun","Jul","Aug","Sep","Oct","Nov","Dec")),IF(OR(K275="",K275="Saved"),IF(N275="","To apply",IF(N275&lt;TODAY(),"Closing date passed","Apply by "&amp;DAY(N275)&amp;" "&amp;CHOOSE(MONTH(N275),"Jan","Feb","Mar","Apr","May","Jun","Jul","Aug","Sep","Oct","Nov","Dec"))),IF(AND(N275="",T275&gt;0,TODAY()-T275&gt;=N(Settings!$C$6)),"No reply",IF(U275="","Waiting",IF(U275&lt;TODAY(),"Follow up",IF(U275-TODAY()&lt;=2,"Due "&amp;DAY(U275)&amp;" "&amp;CHOOSE(MONTH(U275),"Jan","Feb","Mar","Apr","May","Jun","Jul","Aug","Sep","Oct","Nov","Dec"),"Waiting"))))))))</f>
        <v/>
      </c>
      <c r="S275" s="1" t="n"/>
      <c r="T275">
        <f>MAX(N(J275),N(L275))</f>
        <v/>
      </c>
      <c r="U275">
        <f>IF(N275&lt;&gt;"",N275,IF(T275=0,"",T275+N(Settings!$C$5)))</f>
        <v/>
      </c>
      <c r="V275">
        <f>IF(AND(B275&lt;&gt;"",U275&lt;&gt;"",OR(R275="Follow up",LEFT(R275,3)="Due",R275="Waiting",LEFT(R275,5)="Apply",LEFT(R275,5)="Offer")),U275+ROW()/10000000,"")</f>
        <v/>
      </c>
      <c r="W275">
        <f>IF(B275="","",IF(M275&lt;&gt;"",M275,IF(OR(K275="",K275="Saved"),"Apply",IF(K275="Offer","Reply to the offer","Follow up"))))</f>
        <v/>
      </c>
    </row>
    <row r="276">
      <c r="A276" s="1" t="n"/>
      <c r="B276" s="21" t="n"/>
      <c r="C276" s="22" t="n"/>
      <c r="D276" s="22" t="n"/>
      <c r="E276" s="22" t="n"/>
      <c r="F276" s="23" t="n"/>
      <c r="G276" s="23" t="n"/>
      <c r="H276" s="22" t="n"/>
      <c r="I276" s="24" t="n"/>
      <c r="J276" s="24" t="n"/>
      <c r="K276" s="25" t="n"/>
      <c r="L276" s="24" t="n"/>
      <c r="M276" s="22" t="n"/>
      <c r="N276" s="24" t="n"/>
      <c r="O276" s="25" t="n"/>
      <c r="P276" s="22" t="n"/>
      <c r="Q276" s="18">
        <f>IF(OR(B276="",J276=""),"",TODAY()-J276)</f>
        <v/>
      </c>
      <c r="R276" s="26">
        <f>IF(B276="","",IF(OR(K276="Accepted",K276="Rejected",K276="Withdrawn"),K276,IF(K276="Offer",IF(N276="","Offer","Offer, reply by "&amp;DAY(N276)&amp;" "&amp;CHOOSE(MONTH(N276),"Jan","Feb","Mar","Apr","May","Jun","Jul","Aug","Sep","Oct","Nov","Dec")),IF(OR(K276="",K276="Saved"),IF(N276="","To apply",IF(N276&lt;TODAY(),"Closing date passed","Apply by "&amp;DAY(N276)&amp;" "&amp;CHOOSE(MONTH(N276),"Jan","Feb","Mar","Apr","May","Jun","Jul","Aug","Sep","Oct","Nov","Dec"))),IF(AND(N276="",T276&gt;0,TODAY()-T276&gt;=N(Settings!$C$6)),"No reply",IF(U276="","Waiting",IF(U276&lt;TODAY(),"Follow up",IF(U276-TODAY()&lt;=2,"Due "&amp;DAY(U276)&amp;" "&amp;CHOOSE(MONTH(U276),"Jan","Feb","Mar","Apr","May","Jun","Jul","Aug","Sep","Oct","Nov","Dec"),"Waiting"))))))))</f>
        <v/>
      </c>
      <c r="S276" s="1" t="n"/>
      <c r="T276">
        <f>MAX(N(J276),N(L276))</f>
        <v/>
      </c>
      <c r="U276">
        <f>IF(N276&lt;&gt;"",N276,IF(T276=0,"",T276+N(Settings!$C$5)))</f>
        <v/>
      </c>
      <c r="V276">
        <f>IF(AND(B276&lt;&gt;"",U276&lt;&gt;"",OR(R276="Follow up",LEFT(R276,3)="Due",R276="Waiting",LEFT(R276,5)="Apply",LEFT(R276,5)="Offer")),U276+ROW()/10000000,"")</f>
        <v/>
      </c>
      <c r="W276">
        <f>IF(B276="","",IF(M276&lt;&gt;"",M276,IF(OR(K276="",K276="Saved"),"Apply",IF(K276="Offer","Reply to the offer","Follow up"))))</f>
        <v/>
      </c>
    </row>
    <row r="277">
      <c r="A277" s="1" t="n"/>
      <c r="B277" s="21" t="n"/>
      <c r="C277" s="22" t="n"/>
      <c r="D277" s="22" t="n"/>
      <c r="E277" s="22" t="n"/>
      <c r="F277" s="23" t="n"/>
      <c r="G277" s="23" t="n"/>
      <c r="H277" s="22" t="n"/>
      <c r="I277" s="24" t="n"/>
      <c r="J277" s="24" t="n"/>
      <c r="K277" s="25" t="n"/>
      <c r="L277" s="24" t="n"/>
      <c r="M277" s="22" t="n"/>
      <c r="N277" s="24" t="n"/>
      <c r="O277" s="25" t="n"/>
      <c r="P277" s="22" t="n"/>
      <c r="Q277" s="18">
        <f>IF(OR(B277="",J277=""),"",TODAY()-J277)</f>
        <v/>
      </c>
      <c r="R277" s="26">
        <f>IF(B277="","",IF(OR(K277="Accepted",K277="Rejected",K277="Withdrawn"),K277,IF(K277="Offer",IF(N277="","Offer","Offer, reply by "&amp;DAY(N277)&amp;" "&amp;CHOOSE(MONTH(N277),"Jan","Feb","Mar","Apr","May","Jun","Jul","Aug","Sep","Oct","Nov","Dec")),IF(OR(K277="",K277="Saved"),IF(N277="","To apply",IF(N277&lt;TODAY(),"Closing date passed","Apply by "&amp;DAY(N277)&amp;" "&amp;CHOOSE(MONTH(N277),"Jan","Feb","Mar","Apr","May","Jun","Jul","Aug","Sep","Oct","Nov","Dec"))),IF(AND(N277="",T277&gt;0,TODAY()-T277&gt;=N(Settings!$C$6)),"No reply",IF(U277="","Waiting",IF(U277&lt;TODAY(),"Follow up",IF(U277-TODAY()&lt;=2,"Due "&amp;DAY(U277)&amp;" "&amp;CHOOSE(MONTH(U277),"Jan","Feb","Mar","Apr","May","Jun","Jul","Aug","Sep","Oct","Nov","Dec"),"Waiting"))))))))</f>
        <v/>
      </c>
      <c r="S277" s="1" t="n"/>
      <c r="T277">
        <f>MAX(N(J277),N(L277))</f>
        <v/>
      </c>
      <c r="U277">
        <f>IF(N277&lt;&gt;"",N277,IF(T277=0,"",T277+N(Settings!$C$5)))</f>
        <v/>
      </c>
      <c r="V277">
        <f>IF(AND(B277&lt;&gt;"",U277&lt;&gt;"",OR(R277="Follow up",LEFT(R277,3)="Due",R277="Waiting",LEFT(R277,5)="Apply",LEFT(R277,5)="Offer")),U277+ROW()/10000000,"")</f>
        <v/>
      </c>
      <c r="W277">
        <f>IF(B277="","",IF(M277&lt;&gt;"",M277,IF(OR(K277="",K277="Saved"),"Apply",IF(K277="Offer","Reply to the offer","Follow up"))))</f>
        <v/>
      </c>
    </row>
    <row r="278">
      <c r="A278" s="1" t="n"/>
      <c r="B278" s="21" t="n"/>
      <c r="C278" s="22" t="n"/>
      <c r="D278" s="22" t="n"/>
      <c r="E278" s="22" t="n"/>
      <c r="F278" s="23" t="n"/>
      <c r="G278" s="23" t="n"/>
      <c r="H278" s="22" t="n"/>
      <c r="I278" s="24" t="n"/>
      <c r="J278" s="24" t="n"/>
      <c r="K278" s="25" t="n"/>
      <c r="L278" s="24" t="n"/>
      <c r="M278" s="22" t="n"/>
      <c r="N278" s="24" t="n"/>
      <c r="O278" s="25" t="n"/>
      <c r="P278" s="22" t="n"/>
      <c r="Q278" s="18">
        <f>IF(OR(B278="",J278=""),"",TODAY()-J278)</f>
        <v/>
      </c>
      <c r="R278" s="26">
        <f>IF(B278="","",IF(OR(K278="Accepted",K278="Rejected",K278="Withdrawn"),K278,IF(K278="Offer",IF(N278="","Offer","Offer, reply by "&amp;DAY(N278)&amp;" "&amp;CHOOSE(MONTH(N278),"Jan","Feb","Mar","Apr","May","Jun","Jul","Aug","Sep","Oct","Nov","Dec")),IF(OR(K278="",K278="Saved"),IF(N278="","To apply",IF(N278&lt;TODAY(),"Closing date passed","Apply by "&amp;DAY(N278)&amp;" "&amp;CHOOSE(MONTH(N278),"Jan","Feb","Mar","Apr","May","Jun","Jul","Aug","Sep","Oct","Nov","Dec"))),IF(AND(N278="",T278&gt;0,TODAY()-T278&gt;=N(Settings!$C$6)),"No reply",IF(U278="","Waiting",IF(U278&lt;TODAY(),"Follow up",IF(U278-TODAY()&lt;=2,"Due "&amp;DAY(U278)&amp;" "&amp;CHOOSE(MONTH(U278),"Jan","Feb","Mar","Apr","May","Jun","Jul","Aug","Sep","Oct","Nov","Dec"),"Waiting"))))))))</f>
        <v/>
      </c>
      <c r="S278" s="1" t="n"/>
      <c r="T278">
        <f>MAX(N(J278),N(L278))</f>
        <v/>
      </c>
      <c r="U278">
        <f>IF(N278&lt;&gt;"",N278,IF(T278=0,"",T278+N(Settings!$C$5)))</f>
        <v/>
      </c>
      <c r="V278">
        <f>IF(AND(B278&lt;&gt;"",U278&lt;&gt;"",OR(R278="Follow up",LEFT(R278,3)="Due",R278="Waiting",LEFT(R278,5)="Apply",LEFT(R278,5)="Offer")),U278+ROW()/10000000,"")</f>
        <v/>
      </c>
      <c r="W278">
        <f>IF(B278="","",IF(M278&lt;&gt;"",M278,IF(OR(K278="",K278="Saved"),"Apply",IF(K278="Offer","Reply to the offer","Follow up"))))</f>
        <v/>
      </c>
    </row>
    <row r="279">
      <c r="A279" s="1" t="n"/>
      <c r="B279" s="21" t="n"/>
      <c r="C279" s="22" t="n"/>
      <c r="D279" s="22" t="n"/>
      <c r="E279" s="22" t="n"/>
      <c r="F279" s="23" t="n"/>
      <c r="G279" s="23" t="n"/>
      <c r="H279" s="22" t="n"/>
      <c r="I279" s="24" t="n"/>
      <c r="J279" s="24" t="n"/>
      <c r="K279" s="25" t="n"/>
      <c r="L279" s="24" t="n"/>
      <c r="M279" s="22" t="n"/>
      <c r="N279" s="24" t="n"/>
      <c r="O279" s="25" t="n"/>
      <c r="P279" s="22" t="n"/>
      <c r="Q279" s="18">
        <f>IF(OR(B279="",J279=""),"",TODAY()-J279)</f>
        <v/>
      </c>
      <c r="R279" s="26">
        <f>IF(B279="","",IF(OR(K279="Accepted",K279="Rejected",K279="Withdrawn"),K279,IF(K279="Offer",IF(N279="","Offer","Offer, reply by "&amp;DAY(N279)&amp;" "&amp;CHOOSE(MONTH(N279),"Jan","Feb","Mar","Apr","May","Jun","Jul","Aug","Sep","Oct","Nov","Dec")),IF(OR(K279="",K279="Saved"),IF(N279="","To apply",IF(N279&lt;TODAY(),"Closing date passed","Apply by "&amp;DAY(N279)&amp;" "&amp;CHOOSE(MONTH(N279),"Jan","Feb","Mar","Apr","May","Jun","Jul","Aug","Sep","Oct","Nov","Dec"))),IF(AND(N279="",T279&gt;0,TODAY()-T279&gt;=N(Settings!$C$6)),"No reply",IF(U279="","Waiting",IF(U279&lt;TODAY(),"Follow up",IF(U279-TODAY()&lt;=2,"Due "&amp;DAY(U279)&amp;" "&amp;CHOOSE(MONTH(U279),"Jan","Feb","Mar","Apr","May","Jun","Jul","Aug","Sep","Oct","Nov","Dec"),"Waiting"))))))))</f>
        <v/>
      </c>
      <c r="S279" s="1" t="n"/>
      <c r="T279">
        <f>MAX(N(J279),N(L279))</f>
        <v/>
      </c>
      <c r="U279">
        <f>IF(N279&lt;&gt;"",N279,IF(T279=0,"",T279+N(Settings!$C$5)))</f>
        <v/>
      </c>
      <c r="V279">
        <f>IF(AND(B279&lt;&gt;"",U279&lt;&gt;"",OR(R279="Follow up",LEFT(R279,3)="Due",R279="Waiting",LEFT(R279,5)="Apply",LEFT(R279,5)="Offer")),U279+ROW()/10000000,"")</f>
        <v/>
      </c>
      <c r="W279">
        <f>IF(B279="","",IF(M279&lt;&gt;"",M279,IF(OR(K279="",K279="Saved"),"Apply",IF(K279="Offer","Reply to the offer","Follow up"))))</f>
        <v/>
      </c>
    </row>
    <row r="280">
      <c r="A280" s="1" t="n"/>
      <c r="B280" s="21" t="n"/>
      <c r="C280" s="22" t="n"/>
      <c r="D280" s="22" t="n"/>
      <c r="E280" s="22" t="n"/>
      <c r="F280" s="23" t="n"/>
      <c r="G280" s="23" t="n"/>
      <c r="H280" s="22" t="n"/>
      <c r="I280" s="24" t="n"/>
      <c r="J280" s="24" t="n"/>
      <c r="K280" s="25" t="n"/>
      <c r="L280" s="24" t="n"/>
      <c r="M280" s="22" t="n"/>
      <c r="N280" s="24" t="n"/>
      <c r="O280" s="25" t="n"/>
      <c r="P280" s="22" t="n"/>
      <c r="Q280" s="18">
        <f>IF(OR(B280="",J280=""),"",TODAY()-J280)</f>
        <v/>
      </c>
      <c r="R280" s="26">
        <f>IF(B280="","",IF(OR(K280="Accepted",K280="Rejected",K280="Withdrawn"),K280,IF(K280="Offer",IF(N280="","Offer","Offer, reply by "&amp;DAY(N280)&amp;" "&amp;CHOOSE(MONTH(N280),"Jan","Feb","Mar","Apr","May","Jun","Jul","Aug","Sep","Oct","Nov","Dec")),IF(OR(K280="",K280="Saved"),IF(N280="","To apply",IF(N280&lt;TODAY(),"Closing date passed","Apply by "&amp;DAY(N280)&amp;" "&amp;CHOOSE(MONTH(N280),"Jan","Feb","Mar","Apr","May","Jun","Jul","Aug","Sep","Oct","Nov","Dec"))),IF(AND(N280="",T280&gt;0,TODAY()-T280&gt;=N(Settings!$C$6)),"No reply",IF(U280="","Waiting",IF(U280&lt;TODAY(),"Follow up",IF(U280-TODAY()&lt;=2,"Due "&amp;DAY(U280)&amp;" "&amp;CHOOSE(MONTH(U280),"Jan","Feb","Mar","Apr","May","Jun","Jul","Aug","Sep","Oct","Nov","Dec"),"Waiting"))))))))</f>
        <v/>
      </c>
      <c r="S280" s="1" t="n"/>
      <c r="T280">
        <f>MAX(N(J280),N(L280))</f>
        <v/>
      </c>
      <c r="U280">
        <f>IF(N280&lt;&gt;"",N280,IF(T280=0,"",T280+N(Settings!$C$5)))</f>
        <v/>
      </c>
      <c r="V280">
        <f>IF(AND(B280&lt;&gt;"",U280&lt;&gt;"",OR(R280="Follow up",LEFT(R280,3)="Due",R280="Waiting",LEFT(R280,5)="Apply",LEFT(R280,5)="Offer")),U280+ROW()/10000000,"")</f>
        <v/>
      </c>
      <c r="W280">
        <f>IF(B280="","",IF(M280&lt;&gt;"",M280,IF(OR(K280="",K280="Saved"),"Apply",IF(K280="Offer","Reply to the offer","Follow up"))))</f>
        <v/>
      </c>
    </row>
    <row r="281">
      <c r="A281" s="1" t="n"/>
      <c r="B281" s="21" t="n"/>
      <c r="C281" s="22" t="n"/>
      <c r="D281" s="22" t="n"/>
      <c r="E281" s="22" t="n"/>
      <c r="F281" s="23" t="n"/>
      <c r="G281" s="23" t="n"/>
      <c r="H281" s="22" t="n"/>
      <c r="I281" s="24" t="n"/>
      <c r="J281" s="24" t="n"/>
      <c r="K281" s="25" t="n"/>
      <c r="L281" s="24" t="n"/>
      <c r="M281" s="22" t="n"/>
      <c r="N281" s="24" t="n"/>
      <c r="O281" s="25" t="n"/>
      <c r="P281" s="22" t="n"/>
      <c r="Q281" s="18">
        <f>IF(OR(B281="",J281=""),"",TODAY()-J281)</f>
        <v/>
      </c>
      <c r="R281" s="26">
        <f>IF(B281="","",IF(OR(K281="Accepted",K281="Rejected",K281="Withdrawn"),K281,IF(K281="Offer",IF(N281="","Offer","Offer, reply by "&amp;DAY(N281)&amp;" "&amp;CHOOSE(MONTH(N281),"Jan","Feb","Mar","Apr","May","Jun","Jul","Aug","Sep","Oct","Nov","Dec")),IF(OR(K281="",K281="Saved"),IF(N281="","To apply",IF(N281&lt;TODAY(),"Closing date passed","Apply by "&amp;DAY(N281)&amp;" "&amp;CHOOSE(MONTH(N281),"Jan","Feb","Mar","Apr","May","Jun","Jul","Aug","Sep","Oct","Nov","Dec"))),IF(AND(N281="",T281&gt;0,TODAY()-T281&gt;=N(Settings!$C$6)),"No reply",IF(U281="","Waiting",IF(U281&lt;TODAY(),"Follow up",IF(U281-TODAY()&lt;=2,"Due "&amp;DAY(U281)&amp;" "&amp;CHOOSE(MONTH(U281),"Jan","Feb","Mar","Apr","May","Jun","Jul","Aug","Sep","Oct","Nov","Dec"),"Waiting"))))))))</f>
        <v/>
      </c>
      <c r="S281" s="1" t="n"/>
      <c r="T281">
        <f>MAX(N(J281),N(L281))</f>
        <v/>
      </c>
      <c r="U281">
        <f>IF(N281&lt;&gt;"",N281,IF(T281=0,"",T281+N(Settings!$C$5)))</f>
        <v/>
      </c>
      <c r="V281">
        <f>IF(AND(B281&lt;&gt;"",U281&lt;&gt;"",OR(R281="Follow up",LEFT(R281,3)="Due",R281="Waiting",LEFT(R281,5)="Apply",LEFT(R281,5)="Offer")),U281+ROW()/10000000,"")</f>
        <v/>
      </c>
      <c r="W281">
        <f>IF(B281="","",IF(M281&lt;&gt;"",M281,IF(OR(K281="",K281="Saved"),"Apply",IF(K281="Offer","Reply to the offer","Follow up"))))</f>
        <v/>
      </c>
    </row>
    <row r="282">
      <c r="A282" s="1" t="n"/>
      <c r="B282" s="21" t="n"/>
      <c r="C282" s="22" t="n"/>
      <c r="D282" s="22" t="n"/>
      <c r="E282" s="22" t="n"/>
      <c r="F282" s="23" t="n"/>
      <c r="G282" s="23" t="n"/>
      <c r="H282" s="22" t="n"/>
      <c r="I282" s="24" t="n"/>
      <c r="J282" s="24" t="n"/>
      <c r="K282" s="25" t="n"/>
      <c r="L282" s="24" t="n"/>
      <c r="M282" s="22" t="n"/>
      <c r="N282" s="24" t="n"/>
      <c r="O282" s="25" t="n"/>
      <c r="P282" s="22" t="n"/>
      <c r="Q282" s="18">
        <f>IF(OR(B282="",J282=""),"",TODAY()-J282)</f>
        <v/>
      </c>
      <c r="R282" s="26">
        <f>IF(B282="","",IF(OR(K282="Accepted",K282="Rejected",K282="Withdrawn"),K282,IF(K282="Offer",IF(N282="","Offer","Offer, reply by "&amp;DAY(N282)&amp;" "&amp;CHOOSE(MONTH(N282),"Jan","Feb","Mar","Apr","May","Jun","Jul","Aug","Sep","Oct","Nov","Dec")),IF(OR(K282="",K282="Saved"),IF(N282="","To apply",IF(N282&lt;TODAY(),"Closing date passed","Apply by "&amp;DAY(N282)&amp;" "&amp;CHOOSE(MONTH(N282),"Jan","Feb","Mar","Apr","May","Jun","Jul","Aug","Sep","Oct","Nov","Dec"))),IF(AND(N282="",T282&gt;0,TODAY()-T282&gt;=N(Settings!$C$6)),"No reply",IF(U282="","Waiting",IF(U282&lt;TODAY(),"Follow up",IF(U282-TODAY()&lt;=2,"Due "&amp;DAY(U282)&amp;" "&amp;CHOOSE(MONTH(U282),"Jan","Feb","Mar","Apr","May","Jun","Jul","Aug","Sep","Oct","Nov","Dec"),"Waiting"))))))))</f>
        <v/>
      </c>
      <c r="S282" s="1" t="n"/>
      <c r="T282">
        <f>MAX(N(J282),N(L282))</f>
        <v/>
      </c>
      <c r="U282">
        <f>IF(N282&lt;&gt;"",N282,IF(T282=0,"",T282+N(Settings!$C$5)))</f>
        <v/>
      </c>
      <c r="V282">
        <f>IF(AND(B282&lt;&gt;"",U282&lt;&gt;"",OR(R282="Follow up",LEFT(R282,3)="Due",R282="Waiting",LEFT(R282,5)="Apply",LEFT(R282,5)="Offer")),U282+ROW()/10000000,"")</f>
        <v/>
      </c>
      <c r="W282">
        <f>IF(B282="","",IF(M282&lt;&gt;"",M282,IF(OR(K282="",K282="Saved"),"Apply",IF(K282="Offer","Reply to the offer","Follow up"))))</f>
        <v/>
      </c>
    </row>
    <row r="283">
      <c r="A283" s="1" t="n"/>
      <c r="B283" s="21" t="n"/>
      <c r="C283" s="22" t="n"/>
      <c r="D283" s="22" t="n"/>
      <c r="E283" s="22" t="n"/>
      <c r="F283" s="23" t="n"/>
      <c r="G283" s="23" t="n"/>
      <c r="H283" s="22" t="n"/>
      <c r="I283" s="24" t="n"/>
      <c r="J283" s="24" t="n"/>
      <c r="K283" s="25" t="n"/>
      <c r="L283" s="24" t="n"/>
      <c r="M283" s="22" t="n"/>
      <c r="N283" s="24" t="n"/>
      <c r="O283" s="25" t="n"/>
      <c r="P283" s="22" t="n"/>
      <c r="Q283" s="18">
        <f>IF(OR(B283="",J283=""),"",TODAY()-J283)</f>
        <v/>
      </c>
      <c r="R283" s="26">
        <f>IF(B283="","",IF(OR(K283="Accepted",K283="Rejected",K283="Withdrawn"),K283,IF(K283="Offer",IF(N283="","Offer","Offer, reply by "&amp;DAY(N283)&amp;" "&amp;CHOOSE(MONTH(N283),"Jan","Feb","Mar","Apr","May","Jun","Jul","Aug","Sep","Oct","Nov","Dec")),IF(OR(K283="",K283="Saved"),IF(N283="","To apply",IF(N283&lt;TODAY(),"Closing date passed","Apply by "&amp;DAY(N283)&amp;" "&amp;CHOOSE(MONTH(N283),"Jan","Feb","Mar","Apr","May","Jun","Jul","Aug","Sep","Oct","Nov","Dec"))),IF(AND(N283="",T283&gt;0,TODAY()-T283&gt;=N(Settings!$C$6)),"No reply",IF(U283="","Waiting",IF(U283&lt;TODAY(),"Follow up",IF(U283-TODAY()&lt;=2,"Due "&amp;DAY(U283)&amp;" "&amp;CHOOSE(MONTH(U283),"Jan","Feb","Mar","Apr","May","Jun","Jul","Aug","Sep","Oct","Nov","Dec"),"Waiting"))))))))</f>
        <v/>
      </c>
      <c r="S283" s="1" t="n"/>
      <c r="T283">
        <f>MAX(N(J283),N(L283))</f>
        <v/>
      </c>
      <c r="U283">
        <f>IF(N283&lt;&gt;"",N283,IF(T283=0,"",T283+N(Settings!$C$5)))</f>
        <v/>
      </c>
      <c r="V283">
        <f>IF(AND(B283&lt;&gt;"",U283&lt;&gt;"",OR(R283="Follow up",LEFT(R283,3)="Due",R283="Waiting",LEFT(R283,5)="Apply",LEFT(R283,5)="Offer")),U283+ROW()/10000000,"")</f>
        <v/>
      </c>
      <c r="W283">
        <f>IF(B283="","",IF(M283&lt;&gt;"",M283,IF(OR(K283="",K283="Saved"),"Apply",IF(K283="Offer","Reply to the offer","Follow up"))))</f>
        <v/>
      </c>
    </row>
    <row r="284">
      <c r="A284" s="1" t="n"/>
      <c r="B284" s="21" t="n"/>
      <c r="C284" s="22" t="n"/>
      <c r="D284" s="22" t="n"/>
      <c r="E284" s="22" t="n"/>
      <c r="F284" s="23" t="n"/>
      <c r="G284" s="23" t="n"/>
      <c r="H284" s="22" t="n"/>
      <c r="I284" s="24" t="n"/>
      <c r="J284" s="24" t="n"/>
      <c r="K284" s="25" t="n"/>
      <c r="L284" s="24" t="n"/>
      <c r="M284" s="22" t="n"/>
      <c r="N284" s="24" t="n"/>
      <c r="O284" s="25" t="n"/>
      <c r="P284" s="22" t="n"/>
      <c r="Q284" s="18">
        <f>IF(OR(B284="",J284=""),"",TODAY()-J284)</f>
        <v/>
      </c>
      <c r="R284" s="26">
        <f>IF(B284="","",IF(OR(K284="Accepted",K284="Rejected",K284="Withdrawn"),K284,IF(K284="Offer",IF(N284="","Offer","Offer, reply by "&amp;DAY(N284)&amp;" "&amp;CHOOSE(MONTH(N284),"Jan","Feb","Mar","Apr","May","Jun","Jul","Aug","Sep","Oct","Nov","Dec")),IF(OR(K284="",K284="Saved"),IF(N284="","To apply",IF(N284&lt;TODAY(),"Closing date passed","Apply by "&amp;DAY(N284)&amp;" "&amp;CHOOSE(MONTH(N284),"Jan","Feb","Mar","Apr","May","Jun","Jul","Aug","Sep","Oct","Nov","Dec"))),IF(AND(N284="",T284&gt;0,TODAY()-T284&gt;=N(Settings!$C$6)),"No reply",IF(U284="","Waiting",IF(U284&lt;TODAY(),"Follow up",IF(U284-TODAY()&lt;=2,"Due "&amp;DAY(U284)&amp;" "&amp;CHOOSE(MONTH(U284),"Jan","Feb","Mar","Apr","May","Jun","Jul","Aug","Sep","Oct","Nov","Dec"),"Waiting"))))))))</f>
        <v/>
      </c>
      <c r="S284" s="1" t="n"/>
      <c r="T284">
        <f>MAX(N(J284),N(L284))</f>
        <v/>
      </c>
      <c r="U284">
        <f>IF(N284&lt;&gt;"",N284,IF(T284=0,"",T284+N(Settings!$C$5)))</f>
        <v/>
      </c>
      <c r="V284">
        <f>IF(AND(B284&lt;&gt;"",U284&lt;&gt;"",OR(R284="Follow up",LEFT(R284,3)="Due",R284="Waiting",LEFT(R284,5)="Apply",LEFT(R284,5)="Offer")),U284+ROW()/10000000,"")</f>
        <v/>
      </c>
      <c r="W284">
        <f>IF(B284="","",IF(M284&lt;&gt;"",M284,IF(OR(K284="",K284="Saved"),"Apply",IF(K284="Offer","Reply to the offer","Follow up"))))</f>
        <v/>
      </c>
    </row>
    <row r="285">
      <c r="A285" s="1" t="n"/>
      <c r="B285" s="21" t="n"/>
      <c r="C285" s="22" t="n"/>
      <c r="D285" s="22" t="n"/>
      <c r="E285" s="22" t="n"/>
      <c r="F285" s="23" t="n"/>
      <c r="G285" s="23" t="n"/>
      <c r="H285" s="22" t="n"/>
      <c r="I285" s="24" t="n"/>
      <c r="J285" s="24" t="n"/>
      <c r="K285" s="25" t="n"/>
      <c r="L285" s="24" t="n"/>
      <c r="M285" s="22" t="n"/>
      <c r="N285" s="24" t="n"/>
      <c r="O285" s="25" t="n"/>
      <c r="P285" s="22" t="n"/>
      <c r="Q285" s="18">
        <f>IF(OR(B285="",J285=""),"",TODAY()-J285)</f>
        <v/>
      </c>
      <c r="R285" s="26">
        <f>IF(B285="","",IF(OR(K285="Accepted",K285="Rejected",K285="Withdrawn"),K285,IF(K285="Offer",IF(N285="","Offer","Offer, reply by "&amp;DAY(N285)&amp;" "&amp;CHOOSE(MONTH(N285),"Jan","Feb","Mar","Apr","May","Jun","Jul","Aug","Sep","Oct","Nov","Dec")),IF(OR(K285="",K285="Saved"),IF(N285="","To apply",IF(N285&lt;TODAY(),"Closing date passed","Apply by "&amp;DAY(N285)&amp;" "&amp;CHOOSE(MONTH(N285),"Jan","Feb","Mar","Apr","May","Jun","Jul","Aug","Sep","Oct","Nov","Dec"))),IF(AND(N285="",T285&gt;0,TODAY()-T285&gt;=N(Settings!$C$6)),"No reply",IF(U285="","Waiting",IF(U285&lt;TODAY(),"Follow up",IF(U285-TODAY()&lt;=2,"Due "&amp;DAY(U285)&amp;" "&amp;CHOOSE(MONTH(U285),"Jan","Feb","Mar","Apr","May","Jun","Jul","Aug","Sep","Oct","Nov","Dec"),"Waiting"))))))))</f>
        <v/>
      </c>
      <c r="S285" s="1" t="n"/>
      <c r="T285">
        <f>MAX(N(J285),N(L285))</f>
        <v/>
      </c>
      <c r="U285">
        <f>IF(N285&lt;&gt;"",N285,IF(T285=0,"",T285+N(Settings!$C$5)))</f>
        <v/>
      </c>
      <c r="V285">
        <f>IF(AND(B285&lt;&gt;"",U285&lt;&gt;"",OR(R285="Follow up",LEFT(R285,3)="Due",R285="Waiting",LEFT(R285,5)="Apply",LEFT(R285,5)="Offer")),U285+ROW()/10000000,"")</f>
        <v/>
      </c>
      <c r="W285">
        <f>IF(B285="","",IF(M285&lt;&gt;"",M285,IF(OR(K285="",K285="Saved"),"Apply",IF(K285="Offer","Reply to the offer","Follow up"))))</f>
        <v/>
      </c>
    </row>
    <row r="286">
      <c r="A286" s="1" t="n"/>
      <c r="B286" s="21" t="n"/>
      <c r="C286" s="22" t="n"/>
      <c r="D286" s="22" t="n"/>
      <c r="E286" s="22" t="n"/>
      <c r="F286" s="23" t="n"/>
      <c r="G286" s="23" t="n"/>
      <c r="H286" s="22" t="n"/>
      <c r="I286" s="24" t="n"/>
      <c r="J286" s="24" t="n"/>
      <c r="K286" s="25" t="n"/>
      <c r="L286" s="24" t="n"/>
      <c r="M286" s="22" t="n"/>
      <c r="N286" s="24" t="n"/>
      <c r="O286" s="25" t="n"/>
      <c r="P286" s="22" t="n"/>
      <c r="Q286" s="18">
        <f>IF(OR(B286="",J286=""),"",TODAY()-J286)</f>
        <v/>
      </c>
      <c r="R286" s="26">
        <f>IF(B286="","",IF(OR(K286="Accepted",K286="Rejected",K286="Withdrawn"),K286,IF(K286="Offer",IF(N286="","Offer","Offer, reply by "&amp;DAY(N286)&amp;" "&amp;CHOOSE(MONTH(N286),"Jan","Feb","Mar","Apr","May","Jun","Jul","Aug","Sep","Oct","Nov","Dec")),IF(OR(K286="",K286="Saved"),IF(N286="","To apply",IF(N286&lt;TODAY(),"Closing date passed","Apply by "&amp;DAY(N286)&amp;" "&amp;CHOOSE(MONTH(N286),"Jan","Feb","Mar","Apr","May","Jun","Jul","Aug","Sep","Oct","Nov","Dec"))),IF(AND(N286="",T286&gt;0,TODAY()-T286&gt;=N(Settings!$C$6)),"No reply",IF(U286="","Waiting",IF(U286&lt;TODAY(),"Follow up",IF(U286-TODAY()&lt;=2,"Due "&amp;DAY(U286)&amp;" "&amp;CHOOSE(MONTH(U286),"Jan","Feb","Mar","Apr","May","Jun","Jul","Aug","Sep","Oct","Nov","Dec"),"Waiting"))))))))</f>
        <v/>
      </c>
      <c r="S286" s="1" t="n"/>
      <c r="T286">
        <f>MAX(N(J286),N(L286))</f>
        <v/>
      </c>
      <c r="U286">
        <f>IF(N286&lt;&gt;"",N286,IF(T286=0,"",T286+N(Settings!$C$5)))</f>
        <v/>
      </c>
      <c r="V286">
        <f>IF(AND(B286&lt;&gt;"",U286&lt;&gt;"",OR(R286="Follow up",LEFT(R286,3)="Due",R286="Waiting",LEFT(R286,5)="Apply",LEFT(R286,5)="Offer")),U286+ROW()/10000000,"")</f>
        <v/>
      </c>
      <c r="W286">
        <f>IF(B286="","",IF(M286&lt;&gt;"",M286,IF(OR(K286="",K286="Saved"),"Apply",IF(K286="Offer","Reply to the offer","Follow up"))))</f>
        <v/>
      </c>
    </row>
    <row r="287">
      <c r="A287" s="1" t="n"/>
      <c r="B287" s="21" t="n"/>
      <c r="C287" s="22" t="n"/>
      <c r="D287" s="22" t="n"/>
      <c r="E287" s="22" t="n"/>
      <c r="F287" s="23" t="n"/>
      <c r="G287" s="23" t="n"/>
      <c r="H287" s="22" t="n"/>
      <c r="I287" s="24" t="n"/>
      <c r="J287" s="24" t="n"/>
      <c r="K287" s="25" t="n"/>
      <c r="L287" s="24" t="n"/>
      <c r="M287" s="22" t="n"/>
      <c r="N287" s="24" t="n"/>
      <c r="O287" s="25" t="n"/>
      <c r="P287" s="22" t="n"/>
      <c r="Q287" s="18">
        <f>IF(OR(B287="",J287=""),"",TODAY()-J287)</f>
        <v/>
      </c>
      <c r="R287" s="26">
        <f>IF(B287="","",IF(OR(K287="Accepted",K287="Rejected",K287="Withdrawn"),K287,IF(K287="Offer",IF(N287="","Offer","Offer, reply by "&amp;DAY(N287)&amp;" "&amp;CHOOSE(MONTH(N287),"Jan","Feb","Mar","Apr","May","Jun","Jul","Aug","Sep","Oct","Nov","Dec")),IF(OR(K287="",K287="Saved"),IF(N287="","To apply",IF(N287&lt;TODAY(),"Closing date passed","Apply by "&amp;DAY(N287)&amp;" "&amp;CHOOSE(MONTH(N287),"Jan","Feb","Mar","Apr","May","Jun","Jul","Aug","Sep","Oct","Nov","Dec"))),IF(AND(N287="",T287&gt;0,TODAY()-T287&gt;=N(Settings!$C$6)),"No reply",IF(U287="","Waiting",IF(U287&lt;TODAY(),"Follow up",IF(U287-TODAY()&lt;=2,"Due "&amp;DAY(U287)&amp;" "&amp;CHOOSE(MONTH(U287),"Jan","Feb","Mar","Apr","May","Jun","Jul","Aug","Sep","Oct","Nov","Dec"),"Waiting"))))))))</f>
        <v/>
      </c>
      <c r="S287" s="1" t="n"/>
      <c r="T287">
        <f>MAX(N(J287),N(L287))</f>
        <v/>
      </c>
      <c r="U287">
        <f>IF(N287&lt;&gt;"",N287,IF(T287=0,"",T287+N(Settings!$C$5)))</f>
        <v/>
      </c>
      <c r="V287">
        <f>IF(AND(B287&lt;&gt;"",U287&lt;&gt;"",OR(R287="Follow up",LEFT(R287,3)="Due",R287="Waiting",LEFT(R287,5)="Apply",LEFT(R287,5)="Offer")),U287+ROW()/10000000,"")</f>
        <v/>
      </c>
      <c r="W287">
        <f>IF(B287="","",IF(M287&lt;&gt;"",M287,IF(OR(K287="",K287="Saved"),"Apply",IF(K287="Offer","Reply to the offer","Follow up"))))</f>
        <v/>
      </c>
    </row>
    <row r="288">
      <c r="A288" s="1" t="n"/>
      <c r="B288" s="21" t="n"/>
      <c r="C288" s="22" t="n"/>
      <c r="D288" s="22" t="n"/>
      <c r="E288" s="22" t="n"/>
      <c r="F288" s="23" t="n"/>
      <c r="G288" s="23" t="n"/>
      <c r="H288" s="22" t="n"/>
      <c r="I288" s="24" t="n"/>
      <c r="J288" s="24" t="n"/>
      <c r="K288" s="25" t="n"/>
      <c r="L288" s="24" t="n"/>
      <c r="M288" s="22" t="n"/>
      <c r="N288" s="24" t="n"/>
      <c r="O288" s="25" t="n"/>
      <c r="P288" s="22" t="n"/>
      <c r="Q288" s="18">
        <f>IF(OR(B288="",J288=""),"",TODAY()-J288)</f>
        <v/>
      </c>
      <c r="R288" s="26">
        <f>IF(B288="","",IF(OR(K288="Accepted",K288="Rejected",K288="Withdrawn"),K288,IF(K288="Offer",IF(N288="","Offer","Offer, reply by "&amp;DAY(N288)&amp;" "&amp;CHOOSE(MONTH(N288),"Jan","Feb","Mar","Apr","May","Jun","Jul","Aug","Sep","Oct","Nov","Dec")),IF(OR(K288="",K288="Saved"),IF(N288="","To apply",IF(N288&lt;TODAY(),"Closing date passed","Apply by "&amp;DAY(N288)&amp;" "&amp;CHOOSE(MONTH(N288),"Jan","Feb","Mar","Apr","May","Jun","Jul","Aug","Sep","Oct","Nov","Dec"))),IF(AND(N288="",T288&gt;0,TODAY()-T288&gt;=N(Settings!$C$6)),"No reply",IF(U288="","Waiting",IF(U288&lt;TODAY(),"Follow up",IF(U288-TODAY()&lt;=2,"Due "&amp;DAY(U288)&amp;" "&amp;CHOOSE(MONTH(U288),"Jan","Feb","Mar","Apr","May","Jun","Jul","Aug","Sep","Oct","Nov","Dec"),"Waiting"))))))))</f>
        <v/>
      </c>
      <c r="S288" s="1" t="n"/>
      <c r="T288">
        <f>MAX(N(J288),N(L288))</f>
        <v/>
      </c>
      <c r="U288">
        <f>IF(N288&lt;&gt;"",N288,IF(T288=0,"",T288+N(Settings!$C$5)))</f>
        <v/>
      </c>
      <c r="V288">
        <f>IF(AND(B288&lt;&gt;"",U288&lt;&gt;"",OR(R288="Follow up",LEFT(R288,3)="Due",R288="Waiting",LEFT(R288,5)="Apply",LEFT(R288,5)="Offer")),U288+ROW()/10000000,"")</f>
        <v/>
      </c>
      <c r="W288">
        <f>IF(B288="","",IF(M288&lt;&gt;"",M288,IF(OR(K288="",K288="Saved"),"Apply",IF(K288="Offer","Reply to the offer","Follow up"))))</f>
        <v/>
      </c>
    </row>
    <row r="289">
      <c r="A289" s="1" t="n"/>
      <c r="B289" s="21" t="n"/>
      <c r="C289" s="22" t="n"/>
      <c r="D289" s="22" t="n"/>
      <c r="E289" s="22" t="n"/>
      <c r="F289" s="23" t="n"/>
      <c r="G289" s="23" t="n"/>
      <c r="H289" s="22" t="n"/>
      <c r="I289" s="24" t="n"/>
      <c r="J289" s="24" t="n"/>
      <c r="K289" s="25" t="n"/>
      <c r="L289" s="24" t="n"/>
      <c r="M289" s="22" t="n"/>
      <c r="N289" s="24" t="n"/>
      <c r="O289" s="25" t="n"/>
      <c r="P289" s="22" t="n"/>
      <c r="Q289" s="18">
        <f>IF(OR(B289="",J289=""),"",TODAY()-J289)</f>
        <v/>
      </c>
      <c r="R289" s="26">
        <f>IF(B289="","",IF(OR(K289="Accepted",K289="Rejected",K289="Withdrawn"),K289,IF(K289="Offer",IF(N289="","Offer","Offer, reply by "&amp;DAY(N289)&amp;" "&amp;CHOOSE(MONTH(N289),"Jan","Feb","Mar","Apr","May","Jun","Jul","Aug","Sep","Oct","Nov","Dec")),IF(OR(K289="",K289="Saved"),IF(N289="","To apply",IF(N289&lt;TODAY(),"Closing date passed","Apply by "&amp;DAY(N289)&amp;" "&amp;CHOOSE(MONTH(N289),"Jan","Feb","Mar","Apr","May","Jun","Jul","Aug","Sep","Oct","Nov","Dec"))),IF(AND(N289="",T289&gt;0,TODAY()-T289&gt;=N(Settings!$C$6)),"No reply",IF(U289="","Waiting",IF(U289&lt;TODAY(),"Follow up",IF(U289-TODAY()&lt;=2,"Due "&amp;DAY(U289)&amp;" "&amp;CHOOSE(MONTH(U289),"Jan","Feb","Mar","Apr","May","Jun","Jul","Aug","Sep","Oct","Nov","Dec"),"Waiting"))))))))</f>
        <v/>
      </c>
      <c r="S289" s="1" t="n"/>
      <c r="T289">
        <f>MAX(N(J289),N(L289))</f>
        <v/>
      </c>
      <c r="U289">
        <f>IF(N289&lt;&gt;"",N289,IF(T289=0,"",T289+N(Settings!$C$5)))</f>
        <v/>
      </c>
      <c r="V289">
        <f>IF(AND(B289&lt;&gt;"",U289&lt;&gt;"",OR(R289="Follow up",LEFT(R289,3)="Due",R289="Waiting",LEFT(R289,5)="Apply",LEFT(R289,5)="Offer")),U289+ROW()/10000000,"")</f>
        <v/>
      </c>
      <c r="W289">
        <f>IF(B289="","",IF(M289&lt;&gt;"",M289,IF(OR(K289="",K289="Saved"),"Apply",IF(K289="Offer","Reply to the offer","Follow up"))))</f>
        <v/>
      </c>
    </row>
    <row r="290">
      <c r="A290" s="1" t="n"/>
      <c r="B290" s="21" t="n"/>
      <c r="C290" s="22" t="n"/>
      <c r="D290" s="22" t="n"/>
      <c r="E290" s="22" t="n"/>
      <c r="F290" s="23" t="n"/>
      <c r="G290" s="23" t="n"/>
      <c r="H290" s="22" t="n"/>
      <c r="I290" s="24" t="n"/>
      <c r="J290" s="24" t="n"/>
      <c r="K290" s="25" t="n"/>
      <c r="L290" s="24" t="n"/>
      <c r="M290" s="22" t="n"/>
      <c r="N290" s="24" t="n"/>
      <c r="O290" s="25" t="n"/>
      <c r="P290" s="22" t="n"/>
      <c r="Q290" s="18">
        <f>IF(OR(B290="",J290=""),"",TODAY()-J290)</f>
        <v/>
      </c>
      <c r="R290" s="26">
        <f>IF(B290="","",IF(OR(K290="Accepted",K290="Rejected",K290="Withdrawn"),K290,IF(K290="Offer",IF(N290="","Offer","Offer, reply by "&amp;DAY(N290)&amp;" "&amp;CHOOSE(MONTH(N290),"Jan","Feb","Mar","Apr","May","Jun","Jul","Aug","Sep","Oct","Nov","Dec")),IF(OR(K290="",K290="Saved"),IF(N290="","To apply",IF(N290&lt;TODAY(),"Closing date passed","Apply by "&amp;DAY(N290)&amp;" "&amp;CHOOSE(MONTH(N290),"Jan","Feb","Mar","Apr","May","Jun","Jul","Aug","Sep","Oct","Nov","Dec"))),IF(AND(N290="",T290&gt;0,TODAY()-T290&gt;=N(Settings!$C$6)),"No reply",IF(U290="","Waiting",IF(U290&lt;TODAY(),"Follow up",IF(U290-TODAY()&lt;=2,"Due "&amp;DAY(U290)&amp;" "&amp;CHOOSE(MONTH(U290),"Jan","Feb","Mar","Apr","May","Jun","Jul","Aug","Sep","Oct","Nov","Dec"),"Waiting"))))))))</f>
        <v/>
      </c>
      <c r="S290" s="1" t="n"/>
      <c r="T290">
        <f>MAX(N(J290),N(L290))</f>
        <v/>
      </c>
      <c r="U290">
        <f>IF(N290&lt;&gt;"",N290,IF(T290=0,"",T290+N(Settings!$C$5)))</f>
        <v/>
      </c>
      <c r="V290">
        <f>IF(AND(B290&lt;&gt;"",U290&lt;&gt;"",OR(R290="Follow up",LEFT(R290,3)="Due",R290="Waiting",LEFT(R290,5)="Apply",LEFT(R290,5)="Offer")),U290+ROW()/10000000,"")</f>
        <v/>
      </c>
      <c r="W290">
        <f>IF(B290="","",IF(M290&lt;&gt;"",M290,IF(OR(K290="",K290="Saved"),"Apply",IF(K290="Offer","Reply to the offer","Follow up"))))</f>
        <v/>
      </c>
    </row>
    <row r="291">
      <c r="A291" s="1" t="n"/>
      <c r="B291" s="21" t="n"/>
      <c r="C291" s="22" t="n"/>
      <c r="D291" s="22" t="n"/>
      <c r="E291" s="22" t="n"/>
      <c r="F291" s="23" t="n"/>
      <c r="G291" s="23" t="n"/>
      <c r="H291" s="22" t="n"/>
      <c r="I291" s="24" t="n"/>
      <c r="J291" s="24" t="n"/>
      <c r="K291" s="25" t="n"/>
      <c r="L291" s="24" t="n"/>
      <c r="M291" s="22" t="n"/>
      <c r="N291" s="24" t="n"/>
      <c r="O291" s="25" t="n"/>
      <c r="P291" s="22" t="n"/>
      <c r="Q291" s="18">
        <f>IF(OR(B291="",J291=""),"",TODAY()-J291)</f>
        <v/>
      </c>
      <c r="R291" s="26">
        <f>IF(B291="","",IF(OR(K291="Accepted",K291="Rejected",K291="Withdrawn"),K291,IF(K291="Offer",IF(N291="","Offer","Offer, reply by "&amp;DAY(N291)&amp;" "&amp;CHOOSE(MONTH(N291),"Jan","Feb","Mar","Apr","May","Jun","Jul","Aug","Sep","Oct","Nov","Dec")),IF(OR(K291="",K291="Saved"),IF(N291="","To apply",IF(N291&lt;TODAY(),"Closing date passed","Apply by "&amp;DAY(N291)&amp;" "&amp;CHOOSE(MONTH(N291),"Jan","Feb","Mar","Apr","May","Jun","Jul","Aug","Sep","Oct","Nov","Dec"))),IF(AND(N291="",T291&gt;0,TODAY()-T291&gt;=N(Settings!$C$6)),"No reply",IF(U291="","Waiting",IF(U291&lt;TODAY(),"Follow up",IF(U291-TODAY()&lt;=2,"Due "&amp;DAY(U291)&amp;" "&amp;CHOOSE(MONTH(U291),"Jan","Feb","Mar","Apr","May","Jun","Jul","Aug","Sep","Oct","Nov","Dec"),"Waiting"))))))))</f>
        <v/>
      </c>
      <c r="S291" s="1" t="n"/>
      <c r="T291">
        <f>MAX(N(J291),N(L291))</f>
        <v/>
      </c>
      <c r="U291">
        <f>IF(N291&lt;&gt;"",N291,IF(T291=0,"",T291+N(Settings!$C$5)))</f>
        <v/>
      </c>
      <c r="V291">
        <f>IF(AND(B291&lt;&gt;"",U291&lt;&gt;"",OR(R291="Follow up",LEFT(R291,3)="Due",R291="Waiting",LEFT(R291,5)="Apply",LEFT(R291,5)="Offer")),U291+ROW()/10000000,"")</f>
        <v/>
      </c>
      <c r="W291">
        <f>IF(B291="","",IF(M291&lt;&gt;"",M291,IF(OR(K291="",K291="Saved"),"Apply",IF(K291="Offer","Reply to the offer","Follow up"))))</f>
        <v/>
      </c>
    </row>
    <row r="292">
      <c r="A292" s="1" t="n"/>
      <c r="B292" s="21" t="n"/>
      <c r="C292" s="22" t="n"/>
      <c r="D292" s="22" t="n"/>
      <c r="E292" s="22" t="n"/>
      <c r="F292" s="23" t="n"/>
      <c r="G292" s="23" t="n"/>
      <c r="H292" s="22" t="n"/>
      <c r="I292" s="24" t="n"/>
      <c r="J292" s="24" t="n"/>
      <c r="K292" s="25" t="n"/>
      <c r="L292" s="24" t="n"/>
      <c r="M292" s="22" t="n"/>
      <c r="N292" s="24" t="n"/>
      <c r="O292" s="25" t="n"/>
      <c r="P292" s="22" t="n"/>
      <c r="Q292" s="18">
        <f>IF(OR(B292="",J292=""),"",TODAY()-J292)</f>
        <v/>
      </c>
      <c r="R292" s="26">
        <f>IF(B292="","",IF(OR(K292="Accepted",K292="Rejected",K292="Withdrawn"),K292,IF(K292="Offer",IF(N292="","Offer","Offer, reply by "&amp;DAY(N292)&amp;" "&amp;CHOOSE(MONTH(N292),"Jan","Feb","Mar","Apr","May","Jun","Jul","Aug","Sep","Oct","Nov","Dec")),IF(OR(K292="",K292="Saved"),IF(N292="","To apply",IF(N292&lt;TODAY(),"Closing date passed","Apply by "&amp;DAY(N292)&amp;" "&amp;CHOOSE(MONTH(N292),"Jan","Feb","Mar","Apr","May","Jun","Jul","Aug","Sep","Oct","Nov","Dec"))),IF(AND(N292="",T292&gt;0,TODAY()-T292&gt;=N(Settings!$C$6)),"No reply",IF(U292="","Waiting",IF(U292&lt;TODAY(),"Follow up",IF(U292-TODAY()&lt;=2,"Due "&amp;DAY(U292)&amp;" "&amp;CHOOSE(MONTH(U292),"Jan","Feb","Mar","Apr","May","Jun","Jul","Aug","Sep","Oct","Nov","Dec"),"Waiting"))))))))</f>
        <v/>
      </c>
      <c r="S292" s="1" t="n"/>
      <c r="T292">
        <f>MAX(N(J292),N(L292))</f>
        <v/>
      </c>
      <c r="U292">
        <f>IF(N292&lt;&gt;"",N292,IF(T292=0,"",T292+N(Settings!$C$5)))</f>
        <v/>
      </c>
      <c r="V292">
        <f>IF(AND(B292&lt;&gt;"",U292&lt;&gt;"",OR(R292="Follow up",LEFT(R292,3)="Due",R292="Waiting",LEFT(R292,5)="Apply",LEFT(R292,5)="Offer")),U292+ROW()/10000000,"")</f>
        <v/>
      </c>
      <c r="W292">
        <f>IF(B292="","",IF(M292&lt;&gt;"",M292,IF(OR(K292="",K292="Saved"),"Apply",IF(K292="Offer","Reply to the offer","Follow up"))))</f>
        <v/>
      </c>
    </row>
    <row r="293">
      <c r="A293" s="1" t="n"/>
      <c r="B293" s="21" t="n"/>
      <c r="C293" s="22" t="n"/>
      <c r="D293" s="22" t="n"/>
      <c r="E293" s="22" t="n"/>
      <c r="F293" s="23" t="n"/>
      <c r="G293" s="23" t="n"/>
      <c r="H293" s="22" t="n"/>
      <c r="I293" s="24" t="n"/>
      <c r="J293" s="24" t="n"/>
      <c r="K293" s="25" t="n"/>
      <c r="L293" s="24" t="n"/>
      <c r="M293" s="22" t="n"/>
      <c r="N293" s="24" t="n"/>
      <c r="O293" s="25" t="n"/>
      <c r="P293" s="22" t="n"/>
      <c r="Q293" s="18">
        <f>IF(OR(B293="",J293=""),"",TODAY()-J293)</f>
        <v/>
      </c>
      <c r="R293" s="26">
        <f>IF(B293="","",IF(OR(K293="Accepted",K293="Rejected",K293="Withdrawn"),K293,IF(K293="Offer",IF(N293="","Offer","Offer, reply by "&amp;DAY(N293)&amp;" "&amp;CHOOSE(MONTH(N293),"Jan","Feb","Mar","Apr","May","Jun","Jul","Aug","Sep","Oct","Nov","Dec")),IF(OR(K293="",K293="Saved"),IF(N293="","To apply",IF(N293&lt;TODAY(),"Closing date passed","Apply by "&amp;DAY(N293)&amp;" "&amp;CHOOSE(MONTH(N293),"Jan","Feb","Mar","Apr","May","Jun","Jul","Aug","Sep","Oct","Nov","Dec"))),IF(AND(N293="",T293&gt;0,TODAY()-T293&gt;=N(Settings!$C$6)),"No reply",IF(U293="","Waiting",IF(U293&lt;TODAY(),"Follow up",IF(U293-TODAY()&lt;=2,"Due "&amp;DAY(U293)&amp;" "&amp;CHOOSE(MONTH(U293),"Jan","Feb","Mar","Apr","May","Jun","Jul","Aug","Sep","Oct","Nov","Dec"),"Waiting"))))))))</f>
        <v/>
      </c>
      <c r="S293" s="1" t="n"/>
      <c r="T293">
        <f>MAX(N(J293),N(L293))</f>
        <v/>
      </c>
      <c r="U293">
        <f>IF(N293&lt;&gt;"",N293,IF(T293=0,"",T293+N(Settings!$C$5)))</f>
        <v/>
      </c>
      <c r="V293">
        <f>IF(AND(B293&lt;&gt;"",U293&lt;&gt;"",OR(R293="Follow up",LEFT(R293,3)="Due",R293="Waiting",LEFT(R293,5)="Apply",LEFT(R293,5)="Offer")),U293+ROW()/10000000,"")</f>
        <v/>
      </c>
      <c r="W293">
        <f>IF(B293="","",IF(M293&lt;&gt;"",M293,IF(OR(K293="",K293="Saved"),"Apply",IF(K293="Offer","Reply to the offer","Follow up"))))</f>
        <v/>
      </c>
    </row>
    <row r="294">
      <c r="A294" s="1" t="n"/>
      <c r="B294" s="21" t="n"/>
      <c r="C294" s="22" t="n"/>
      <c r="D294" s="22" t="n"/>
      <c r="E294" s="22" t="n"/>
      <c r="F294" s="23" t="n"/>
      <c r="G294" s="23" t="n"/>
      <c r="H294" s="22" t="n"/>
      <c r="I294" s="24" t="n"/>
      <c r="J294" s="24" t="n"/>
      <c r="K294" s="25" t="n"/>
      <c r="L294" s="24" t="n"/>
      <c r="M294" s="22" t="n"/>
      <c r="N294" s="24" t="n"/>
      <c r="O294" s="25" t="n"/>
      <c r="P294" s="22" t="n"/>
      <c r="Q294" s="18">
        <f>IF(OR(B294="",J294=""),"",TODAY()-J294)</f>
        <v/>
      </c>
      <c r="R294" s="26">
        <f>IF(B294="","",IF(OR(K294="Accepted",K294="Rejected",K294="Withdrawn"),K294,IF(K294="Offer",IF(N294="","Offer","Offer, reply by "&amp;DAY(N294)&amp;" "&amp;CHOOSE(MONTH(N294),"Jan","Feb","Mar","Apr","May","Jun","Jul","Aug","Sep","Oct","Nov","Dec")),IF(OR(K294="",K294="Saved"),IF(N294="","To apply",IF(N294&lt;TODAY(),"Closing date passed","Apply by "&amp;DAY(N294)&amp;" "&amp;CHOOSE(MONTH(N294),"Jan","Feb","Mar","Apr","May","Jun","Jul","Aug","Sep","Oct","Nov","Dec"))),IF(AND(N294="",T294&gt;0,TODAY()-T294&gt;=N(Settings!$C$6)),"No reply",IF(U294="","Waiting",IF(U294&lt;TODAY(),"Follow up",IF(U294-TODAY()&lt;=2,"Due "&amp;DAY(U294)&amp;" "&amp;CHOOSE(MONTH(U294),"Jan","Feb","Mar","Apr","May","Jun","Jul","Aug","Sep","Oct","Nov","Dec"),"Waiting"))))))))</f>
        <v/>
      </c>
      <c r="S294" s="1" t="n"/>
      <c r="T294">
        <f>MAX(N(J294),N(L294))</f>
        <v/>
      </c>
      <c r="U294">
        <f>IF(N294&lt;&gt;"",N294,IF(T294=0,"",T294+N(Settings!$C$5)))</f>
        <v/>
      </c>
      <c r="V294">
        <f>IF(AND(B294&lt;&gt;"",U294&lt;&gt;"",OR(R294="Follow up",LEFT(R294,3)="Due",R294="Waiting",LEFT(R294,5)="Apply",LEFT(R294,5)="Offer")),U294+ROW()/10000000,"")</f>
        <v/>
      </c>
      <c r="W294">
        <f>IF(B294="","",IF(M294&lt;&gt;"",M294,IF(OR(K294="",K294="Saved"),"Apply",IF(K294="Offer","Reply to the offer","Follow up"))))</f>
        <v/>
      </c>
    </row>
    <row r="295">
      <c r="A295" s="1" t="n"/>
      <c r="B295" s="21" t="n"/>
      <c r="C295" s="22" t="n"/>
      <c r="D295" s="22" t="n"/>
      <c r="E295" s="22" t="n"/>
      <c r="F295" s="23" t="n"/>
      <c r="G295" s="23" t="n"/>
      <c r="H295" s="22" t="n"/>
      <c r="I295" s="24" t="n"/>
      <c r="J295" s="24" t="n"/>
      <c r="K295" s="25" t="n"/>
      <c r="L295" s="24" t="n"/>
      <c r="M295" s="22" t="n"/>
      <c r="N295" s="24" t="n"/>
      <c r="O295" s="25" t="n"/>
      <c r="P295" s="22" t="n"/>
      <c r="Q295" s="18">
        <f>IF(OR(B295="",J295=""),"",TODAY()-J295)</f>
        <v/>
      </c>
      <c r="R295" s="26">
        <f>IF(B295="","",IF(OR(K295="Accepted",K295="Rejected",K295="Withdrawn"),K295,IF(K295="Offer",IF(N295="","Offer","Offer, reply by "&amp;DAY(N295)&amp;" "&amp;CHOOSE(MONTH(N295),"Jan","Feb","Mar","Apr","May","Jun","Jul","Aug","Sep","Oct","Nov","Dec")),IF(OR(K295="",K295="Saved"),IF(N295="","To apply",IF(N295&lt;TODAY(),"Closing date passed","Apply by "&amp;DAY(N295)&amp;" "&amp;CHOOSE(MONTH(N295),"Jan","Feb","Mar","Apr","May","Jun","Jul","Aug","Sep","Oct","Nov","Dec"))),IF(AND(N295="",T295&gt;0,TODAY()-T295&gt;=N(Settings!$C$6)),"No reply",IF(U295="","Waiting",IF(U295&lt;TODAY(),"Follow up",IF(U295-TODAY()&lt;=2,"Due "&amp;DAY(U295)&amp;" "&amp;CHOOSE(MONTH(U295),"Jan","Feb","Mar","Apr","May","Jun","Jul","Aug","Sep","Oct","Nov","Dec"),"Waiting"))))))))</f>
        <v/>
      </c>
      <c r="S295" s="1" t="n"/>
      <c r="T295">
        <f>MAX(N(J295),N(L295))</f>
        <v/>
      </c>
      <c r="U295">
        <f>IF(N295&lt;&gt;"",N295,IF(T295=0,"",T295+N(Settings!$C$5)))</f>
        <v/>
      </c>
      <c r="V295">
        <f>IF(AND(B295&lt;&gt;"",U295&lt;&gt;"",OR(R295="Follow up",LEFT(R295,3)="Due",R295="Waiting",LEFT(R295,5)="Apply",LEFT(R295,5)="Offer")),U295+ROW()/10000000,"")</f>
        <v/>
      </c>
      <c r="W295">
        <f>IF(B295="","",IF(M295&lt;&gt;"",M295,IF(OR(K295="",K295="Saved"),"Apply",IF(K295="Offer","Reply to the offer","Follow up"))))</f>
        <v/>
      </c>
    </row>
    <row r="296">
      <c r="A296" s="1" t="n"/>
      <c r="B296" s="21" t="n"/>
      <c r="C296" s="22" t="n"/>
      <c r="D296" s="22" t="n"/>
      <c r="E296" s="22" t="n"/>
      <c r="F296" s="23" t="n"/>
      <c r="G296" s="23" t="n"/>
      <c r="H296" s="22" t="n"/>
      <c r="I296" s="24" t="n"/>
      <c r="J296" s="24" t="n"/>
      <c r="K296" s="25" t="n"/>
      <c r="L296" s="24" t="n"/>
      <c r="M296" s="22" t="n"/>
      <c r="N296" s="24" t="n"/>
      <c r="O296" s="25" t="n"/>
      <c r="P296" s="22" t="n"/>
      <c r="Q296" s="18">
        <f>IF(OR(B296="",J296=""),"",TODAY()-J296)</f>
        <v/>
      </c>
      <c r="R296" s="26">
        <f>IF(B296="","",IF(OR(K296="Accepted",K296="Rejected",K296="Withdrawn"),K296,IF(K296="Offer",IF(N296="","Offer","Offer, reply by "&amp;DAY(N296)&amp;" "&amp;CHOOSE(MONTH(N296),"Jan","Feb","Mar","Apr","May","Jun","Jul","Aug","Sep","Oct","Nov","Dec")),IF(OR(K296="",K296="Saved"),IF(N296="","To apply",IF(N296&lt;TODAY(),"Closing date passed","Apply by "&amp;DAY(N296)&amp;" "&amp;CHOOSE(MONTH(N296),"Jan","Feb","Mar","Apr","May","Jun","Jul","Aug","Sep","Oct","Nov","Dec"))),IF(AND(N296="",T296&gt;0,TODAY()-T296&gt;=N(Settings!$C$6)),"No reply",IF(U296="","Waiting",IF(U296&lt;TODAY(),"Follow up",IF(U296-TODAY()&lt;=2,"Due "&amp;DAY(U296)&amp;" "&amp;CHOOSE(MONTH(U296),"Jan","Feb","Mar","Apr","May","Jun","Jul","Aug","Sep","Oct","Nov","Dec"),"Waiting"))))))))</f>
        <v/>
      </c>
      <c r="S296" s="1" t="n"/>
      <c r="T296">
        <f>MAX(N(J296),N(L296))</f>
        <v/>
      </c>
      <c r="U296">
        <f>IF(N296&lt;&gt;"",N296,IF(T296=0,"",T296+N(Settings!$C$5)))</f>
        <v/>
      </c>
      <c r="V296">
        <f>IF(AND(B296&lt;&gt;"",U296&lt;&gt;"",OR(R296="Follow up",LEFT(R296,3)="Due",R296="Waiting",LEFT(R296,5)="Apply",LEFT(R296,5)="Offer")),U296+ROW()/10000000,"")</f>
        <v/>
      </c>
      <c r="W296">
        <f>IF(B296="","",IF(M296&lt;&gt;"",M296,IF(OR(K296="",K296="Saved"),"Apply",IF(K296="Offer","Reply to the offer","Follow up"))))</f>
        <v/>
      </c>
    </row>
    <row r="297">
      <c r="A297" s="1" t="n"/>
      <c r="B297" s="21" t="n"/>
      <c r="C297" s="22" t="n"/>
      <c r="D297" s="22" t="n"/>
      <c r="E297" s="22" t="n"/>
      <c r="F297" s="23" t="n"/>
      <c r="G297" s="23" t="n"/>
      <c r="H297" s="22" t="n"/>
      <c r="I297" s="24" t="n"/>
      <c r="J297" s="24" t="n"/>
      <c r="K297" s="25" t="n"/>
      <c r="L297" s="24" t="n"/>
      <c r="M297" s="22" t="n"/>
      <c r="N297" s="24" t="n"/>
      <c r="O297" s="25" t="n"/>
      <c r="P297" s="22" t="n"/>
      <c r="Q297" s="18">
        <f>IF(OR(B297="",J297=""),"",TODAY()-J297)</f>
        <v/>
      </c>
      <c r="R297" s="26">
        <f>IF(B297="","",IF(OR(K297="Accepted",K297="Rejected",K297="Withdrawn"),K297,IF(K297="Offer",IF(N297="","Offer","Offer, reply by "&amp;DAY(N297)&amp;" "&amp;CHOOSE(MONTH(N297),"Jan","Feb","Mar","Apr","May","Jun","Jul","Aug","Sep","Oct","Nov","Dec")),IF(OR(K297="",K297="Saved"),IF(N297="","To apply",IF(N297&lt;TODAY(),"Closing date passed","Apply by "&amp;DAY(N297)&amp;" "&amp;CHOOSE(MONTH(N297),"Jan","Feb","Mar","Apr","May","Jun","Jul","Aug","Sep","Oct","Nov","Dec"))),IF(AND(N297="",T297&gt;0,TODAY()-T297&gt;=N(Settings!$C$6)),"No reply",IF(U297="","Waiting",IF(U297&lt;TODAY(),"Follow up",IF(U297-TODAY()&lt;=2,"Due "&amp;DAY(U297)&amp;" "&amp;CHOOSE(MONTH(U297),"Jan","Feb","Mar","Apr","May","Jun","Jul","Aug","Sep","Oct","Nov","Dec"),"Waiting"))))))))</f>
        <v/>
      </c>
      <c r="S297" s="1" t="n"/>
      <c r="T297">
        <f>MAX(N(J297),N(L297))</f>
        <v/>
      </c>
      <c r="U297">
        <f>IF(N297&lt;&gt;"",N297,IF(T297=0,"",T297+N(Settings!$C$5)))</f>
        <v/>
      </c>
      <c r="V297">
        <f>IF(AND(B297&lt;&gt;"",U297&lt;&gt;"",OR(R297="Follow up",LEFT(R297,3)="Due",R297="Waiting",LEFT(R297,5)="Apply",LEFT(R297,5)="Offer")),U297+ROW()/10000000,"")</f>
        <v/>
      </c>
      <c r="W297">
        <f>IF(B297="","",IF(M297&lt;&gt;"",M297,IF(OR(K297="",K297="Saved"),"Apply",IF(K297="Offer","Reply to the offer","Follow up"))))</f>
        <v/>
      </c>
    </row>
    <row r="298">
      <c r="A298" s="1" t="n"/>
      <c r="B298" s="21" t="n"/>
      <c r="C298" s="22" t="n"/>
      <c r="D298" s="22" t="n"/>
      <c r="E298" s="22" t="n"/>
      <c r="F298" s="23" t="n"/>
      <c r="G298" s="23" t="n"/>
      <c r="H298" s="22" t="n"/>
      <c r="I298" s="24" t="n"/>
      <c r="J298" s="24" t="n"/>
      <c r="K298" s="25" t="n"/>
      <c r="L298" s="24" t="n"/>
      <c r="M298" s="22" t="n"/>
      <c r="N298" s="24" t="n"/>
      <c r="O298" s="25" t="n"/>
      <c r="P298" s="22" t="n"/>
      <c r="Q298" s="18">
        <f>IF(OR(B298="",J298=""),"",TODAY()-J298)</f>
        <v/>
      </c>
      <c r="R298" s="26">
        <f>IF(B298="","",IF(OR(K298="Accepted",K298="Rejected",K298="Withdrawn"),K298,IF(K298="Offer",IF(N298="","Offer","Offer, reply by "&amp;DAY(N298)&amp;" "&amp;CHOOSE(MONTH(N298),"Jan","Feb","Mar","Apr","May","Jun","Jul","Aug","Sep","Oct","Nov","Dec")),IF(OR(K298="",K298="Saved"),IF(N298="","To apply",IF(N298&lt;TODAY(),"Closing date passed","Apply by "&amp;DAY(N298)&amp;" "&amp;CHOOSE(MONTH(N298),"Jan","Feb","Mar","Apr","May","Jun","Jul","Aug","Sep","Oct","Nov","Dec"))),IF(AND(N298="",T298&gt;0,TODAY()-T298&gt;=N(Settings!$C$6)),"No reply",IF(U298="","Waiting",IF(U298&lt;TODAY(),"Follow up",IF(U298-TODAY()&lt;=2,"Due "&amp;DAY(U298)&amp;" "&amp;CHOOSE(MONTH(U298),"Jan","Feb","Mar","Apr","May","Jun","Jul","Aug","Sep","Oct","Nov","Dec"),"Waiting"))))))))</f>
        <v/>
      </c>
      <c r="S298" s="1" t="n"/>
      <c r="T298">
        <f>MAX(N(J298),N(L298))</f>
        <v/>
      </c>
      <c r="U298">
        <f>IF(N298&lt;&gt;"",N298,IF(T298=0,"",T298+N(Settings!$C$5)))</f>
        <v/>
      </c>
      <c r="V298">
        <f>IF(AND(B298&lt;&gt;"",U298&lt;&gt;"",OR(R298="Follow up",LEFT(R298,3)="Due",R298="Waiting",LEFT(R298,5)="Apply",LEFT(R298,5)="Offer")),U298+ROW()/10000000,"")</f>
        <v/>
      </c>
      <c r="W298">
        <f>IF(B298="","",IF(M298&lt;&gt;"",M298,IF(OR(K298="",K298="Saved"),"Apply",IF(K298="Offer","Reply to the offer","Follow up"))))</f>
        <v/>
      </c>
    </row>
    <row r="299">
      <c r="A299" s="1" t="n"/>
      <c r="B299" s="21" t="n"/>
      <c r="C299" s="22" t="n"/>
      <c r="D299" s="22" t="n"/>
      <c r="E299" s="22" t="n"/>
      <c r="F299" s="23" t="n"/>
      <c r="G299" s="23" t="n"/>
      <c r="H299" s="22" t="n"/>
      <c r="I299" s="24" t="n"/>
      <c r="J299" s="24" t="n"/>
      <c r="K299" s="25" t="n"/>
      <c r="L299" s="24" t="n"/>
      <c r="M299" s="22" t="n"/>
      <c r="N299" s="24" t="n"/>
      <c r="O299" s="25" t="n"/>
      <c r="P299" s="22" t="n"/>
      <c r="Q299" s="18">
        <f>IF(OR(B299="",J299=""),"",TODAY()-J299)</f>
        <v/>
      </c>
      <c r="R299" s="26">
        <f>IF(B299="","",IF(OR(K299="Accepted",K299="Rejected",K299="Withdrawn"),K299,IF(K299="Offer",IF(N299="","Offer","Offer, reply by "&amp;DAY(N299)&amp;" "&amp;CHOOSE(MONTH(N299),"Jan","Feb","Mar","Apr","May","Jun","Jul","Aug","Sep","Oct","Nov","Dec")),IF(OR(K299="",K299="Saved"),IF(N299="","To apply",IF(N299&lt;TODAY(),"Closing date passed","Apply by "&amp;DAY(N299)&amp;" "&amp;CHOOSE(MONTH(N299),"Jan","Feb","Mar","Apr","May","Jun","Jul","Aug","Sep","Oct","Nov","Dec"))),IF(AND(N299="",T299&gt;0,TODAY()-T299&gt;=N(Settings!$C$6)),"No reply",IF(U299="","Waiting",IF(U299&lt;TODAY(),"Follow up",IF(U299-TODAY()&lt;=2,"Due "&amp;DAY(U299)&amp;" "&amp;CHOOSE(MONTH(U299),"Jan","Feb","Mar","Apr","May","Jun","Jul","Aug","Sep","Oct","Nov","Dec"),"Waiting"))))))))</f>
        <v/>
      </c>
      <c r="S299" s="1" t="n"/>
      <c r="T299">
        <f>MAX(N(J299),N(L299))</f>
        <v/>
      </c>
      <c r="U299">
        <f>IF(N299&lt;&gt;"",N299,IF(T299=0,"",T299+N(Settings!$C$5)))</f>
        <v/>
      </c>
      <c r="V299">
        <f>IF(AND(B299&lt;&gt;"",U299&lt;&gt;"",OR(R299="Follow up",LEFT(R299,3)="Due",R299="Waiting",LEFT(R299,5)="Apply",LEFT(R299,5)="Offer")),U299+ROW()/10000000,"")</f>
        <v/>
      </c>
      <c r="W299">
        <f>IF(B299="","",IF(M299&lt;&gt;"",M299,IF(OR(K299="",K299="Saved"),"Apply",IF(K299="Offer","Reply to the offer","Follow up"))))</f>
        <v/>
      </c>
    </row>
    <row r="300">
      <c r="A300" s="1" t="n"/>
      <c r="B300" s="21" t="n"/>
      <c r="C300" s="22" t="n"/>
      <c r="D300" s="22" t="n"/>
      <c r="E300" s="22" t="n"/>
      <c r="F300" s="23" t="n"/>
      <c r="G300" s="23" t="n"/>
      <c r="H300" s="22" t="n"/>
      <c r="I300" s="24" t="n"/>
      <c r="J300" s="24" t="n"/>
      <c r="K300" s="25" t="n"/>
      <c r="L300" s="24" t="n"/>
      <c r="M300" s="22" t="n"/>
      <c r="N300" s="24" t="n"/>
      <c r="O300" s="25" t="n"/>
      <c r="P300" s="22" t="n"/>
      <c r="Q300" s="18">
        <f>IF(OR(B300="",J300=""),"",TODAY()-J300)</f>
        <v/>
      </c>
      <c r="R300" s="26">
        <f>IF(B300="","",IF(OR(K300="Accepted",K300="Rejected",K300="Withdrawn"),K300,IF(K300="Offer",IF(N300="","Offer","Offer, reply by "&amp;DAY(N300)&amp;" "&amp;CHOOSE(MONTH(N300),"Jan","Feb","Mar","Apr","May","Jun","Jul","Aug","Sep","Oct","Nov","Dec")),IF(OR(K300="",K300="Saved"),IF(N300="","To apply",IF(N300&lt;TODAY(),"Closing date passed","Apply by "&amp;DAY(N300)&amp;" "&amp;CHOOSE(MONTH(N300),"Jan","Feb","Mar","Apr","May","Jun","Jul","Aug","Sep","Oct","Nov","Dec"))),IF(AND(N300="",T300&gt;0,TODAY()-T300&gt;=N(Settings!$C$6)),"No reply",IF(U300="","Waiting",IF(U300&lt;TODAY(),"Follow up",IF(U300-TODAY()&lt;=2,"Due "&amp;DAY(U300)&amp;" "&amp;CHOOSE(MONTH(U300),"Jan","Feb","Mar","Apr","May","Jun","Jul","Aug","Sep","Oct","Nov","Dec"),"Waiting"))))))))</f>
        <v/>
      </c>
      <c r="S300" s="1" t="n"/>
      <c r="T300">
        <f>MAX(N(J300),N(L300))</f>
        <v/>
      </c>
      <c r="U300">
        <f>IF(N300&lt;&gt;"",N300,IF(T300=0,"",T300+N(Settings!$C$5)))</f>
        <v/>
      </c>
      <c r="V300">
        <f>IF(AND(B300&lt;&gt;"",U300&lt;&gt;"",OR(R300="Follow up",LEFT(R300,3)="Due",R300="Waiting",LEFT(R300,5)="Apply",LEFT(R300,5)="Offer")),U300+ROW()/10000000,"")</f>
        <v/>
      </c>
      <c r="W300">
        <f>IF(B300="","",IF(M300&lt;&gt;"",M300,IF(OR(K300="",K300="Saved"),"Apply",IF(K300="Offer","Reply to the offer","Follow up"))))</f>
        <v/>
      </c>
    </row>
    <row r="301">
      <c r="A301" s="1" t="n"/>
      <c r="B301" s="21" t="n"/>
      <c r="C301" s="22" t="n"/>
      <c r="D301" s="22" t="n"/>
      <c r="E301" s="22" t="n"/>
      <c r="F301" s="23" t="n"/>
      <c r="G301" s="23" t="n"/>
      <c r="H301" s="22" t="n"/>
      <c r="I301" s="24" t="n"/>
      <c r="J301" s="24" t="n"/>
      <c r="K301" s="25" t="n"/>
      <c r="L301" s="24" t="n"/>
      <c r="M301" s="22" t="n"/>
      <c r="N301" s="24" t="n"/>
      <c r="O301" s="25" t="n"/>
      <c r="P301" s="22" t="n"/>
      <c r="Q301" s="18">
        <f>IF(OR(B301="",J301=""),"",TODAY()-J301)</f>
        <v/>
      </c>
      <c r="R301" s="26">
        <f>IF(B301="","",IF(OR(K301="Accepted",K301="Rejected",K301="Withdrawn"),K301,IF(K301="Offer",IF(N301="","Offer","Offer, reply by "&amp;DAY(N301)&amp;" "&amp;CHOOSE(MONTH(N301),"Jan","Feb","Mar","Apr","May","Jun","Jul","Aug","Sep","Oct","Nov","Dec")),IF(OR(K301="",K301="Saved"),IF(N301="","To apply",IF(N301&lt;TODAY(),"Closing date passed","Apply by "&amp;DAY(N301)&amp;" "&amp;CHOOSE(MONTH(N301),"Jan","Feb","Mar","Apr","May","Jun","Jul","Aug","Sep","Oct","Nov","Dec"))),IF(AND(N301="",T301&gt;0,TODAY()-T301&gt;=N(Settings!$C$6)),"No reply",IF(U301="","Waiting",IF(U301&lt;TODAY(),"Follow up",IF(U301-TODAY()&lt;=2,"Due "&amp;DAY(U301)&amp;" "&amp;CHOOSE(MONTH(U301),"Jan","Feb","Mar","Apr","May","Jun","Jul","Aug","Sep","Oct","Nov","Dec"),"Waiting"))))))))</f>
        <v/>
      </c>
      <c r="S301" s="1" t="n"/>
      <c r="T301">
        <f>MAX(N(J301),N(L301))</f>
        <v/>
      </c>
      <c r="U301">
        <f>IF(N301&lt;&gt;"",N301,IF(T301=0,"",T301+N(Settings!$C$5)))</f>
        <v/>
      </c>
      <c r="V301">
        <f>IF(AND(B301&lt;&gt;"",U301&lt;&gt;"",OR(R301="Follow up",LEFT(R301,3)="Due",R301="Waiting",LEFT(R301,5)="Apply",LEFT(R301,5)="Offer")),U301+ROW()/10000000,"")</f>
        <v/>
      </c>
      <c r="W301">
        <f>IF(B301="","",IF(M301&lt;&gt;"",M301,IF(OR(K301="",K301="Saved"),"Apply",IF(K301="Offer","Reply to the offer","Follow up"))))</f>
        <v/>
      </c>
    </row>
    <row r="302">
      <c r="A302" s="1" t="n"/>
      <c r="B302" s="21" t="n"/>
      <c r="C302" s="22" t="n"/>
      <c r="D302" s="22" t="n"/>
      <c r="E302" s="22" t="n"/>
      <c r="F302" s="23" t="n"/>
      <c r="G302" s="23" t="n"/>
      <c r="H302" s="22" t="n"/>
      <c r="I302" s="24" t="n"/>
      <c r="J302" s="24" t="n"/>
      <c r="K302" s="25" t="n"/>
      <c r="L302" s="24" t="n"/>
      <c r="M302" s="22" t="n"/>
      <c r="N302" s="24" t="n"/>
      <c r="O302" s="25" t="n"/>
      <c r="P302" s="22" t="n"/>
      <c r="Q302" s="18">
        <f>IF(OR(B302="",J302=""),"",TODAY()-J302)</f>
        <v/>
      </c>
      <c r="R302" s="26">
        <f>IF(B302="","",IF(OR(K302="Accepted",K302="Rejected",K302="Withdrawn"),K302,IF(K302="Offer",IF(N302="","Offer","Offer, reply by "&amp;DAY(N302)&amp;" "&amp;CHOOSE(MONTH(N302),"Jan","Feb","Mar","Apr","May","Jun","Jul","Aug","Sep","Oct","Nov","Dec")),IF(OR(K302="",K302="Saved"),IF(N302="","To apply",IF(N302&lt;TODAY(),"Closing date passed","Apply by "&amp;DAY(N302)&amp;" "&amp;CHOOSE(MONTH(N302),"Jan","Feb","Mar","Apr","May","Jun","Jul","Aug","Sep","Oct","Nov","Dec"))),IF(AND(N302="",T302&gt;0,TODAY()-T302&gt;=N(Settings!$C$6)),"No reply",IF(U302="","Waiting",IF(U302&lt;TODAY(),"Follow up",IF(U302-TODAY()&lt;=2,"Due "&amp;DAY(U302)&amp;" "&amp;CHOOSE(MONTH(U302),"Jan","Feb","Mar","Apr","May","Jun","Jul","Aug","Sep","Oct","Nov","Dec"),"Waiting"))))))))</f>
        <v/>
      </c>
      <c r="S302" s="1" t="n"/>
      <c r="T302">
        <f>MAX(N(J302),N(L302))</f>
        <v/>
      </c>
      <c r="U302">
        <f>IF(N302&lt;&gt;"",N302,IF(T302=0,"",T302+N(Settings!$C$5)))</f>
        <v/>
      </c>
      <c r="V302">
        <f>IF(AND(B302&lt;&gt;"",U302&lt;&gt;"",OR(R302="Follow up",LEFT(R302,3)="Due",R302="Waiting",LEFT(R302,5)="Apply",LEFT(R302,5)="Offer")),U302+ROW()/10000000,"")</f>
        <v/>
      </c>
      <c r="W302">
        <f>IF(B302="","",IF(M302&lt;&gt;"",M302,IF(OR(K302="",K302="Saved"),"Apply",IF(K302="Offer","Reply to the offer","Follow up"))))</f>
        <v/>
      </c>
    </row>
    <row r="303">
      <c r="A303" s="1" t="n"/>
      <c r="B303" s="21" t="n"/>
      <c r="C303" s="22" t="n"/>
      <c r="D303" s="22" t="n"/>
      <c r="E303" s="22" t="n"/>
      <c r="F303" s="23" t="n"/>
      <c r="G303" s="23" t="n"/>
      <c r="H303" s="22" t="n"/>
      <c r="I303" s="24" t="n"/>
      <c r="J303" s="24" t="n"/>
      <c r="K303" s="25" t="n"/>
      <c r="L303" s="24" t="n"/>
      <c r="M303" s="22" t="n"/>
      <c r="N303" s="24" t="n"/>
      <c r="O303" s="25" t="n"/>
      <c r="P303" s="22" t="n"/>
      <c r="Q303" s="18">
        <f>IF(OR(B303="",J303=""),"",TODAY()-J303)</f>
        <v/>
      </c>
      <c r="R303" s="26">
        <f>IF(B303="","",IF(OR(K303="Accepted",K303="Rejected",K303="Withdrawn"),K303,IF(K303="Offer",IF(N303="","Offer","Offer, reply by "&amp;DAY(N303)&amp;" "&amp;CHOOSE(MONTH(N303),"Jan","Feb","Mar","Apr","May","Jun","Jul","Aug","Sep","Oct","Nov","Dec")),IF(OR(K303="",K303="Saved"),IF(N303="","To apply",IF(N303&lt;TODAY(),"Closing date passed","Apply by "&amp;DAY(N303)&amp;" "&amp;CHOOSE(MONTH(N303),"Jan","Feb","Mar","Apr","May","Jun","Jul","Aug","Sep","Oct","Nov","Dec"))),IF(AND(N303="",T303&gt;0,TODAY()-T303&gt;=N(Settings!$C$6)),"No reply",IF(U303="","Waiting",IF(U303&lt;TODAY(),"Follow up",IF(U303-TODAY()&lt;=2,"Due "&amp;DAY(U303)&amp;" "&amp;CHOOSE(MONTH(U303),"Jan","Feb","Mar","Apr","May","Jun","Jul","Aug","Sep","Oct","Nov","Dec"),"Waiting"))))))))</f>
        <v/>
      </c>
      <c r="S303" s="1" t="n"/>
      <c r="T303">
        <f>MAX(N(J303),N(L303))</f>
        <v/>
      </c>
      <c r="U303">
        <f>IF(N303&lt;&gt;"",N303,IF(T303=0,"",T303+N(Settings!$C$5)))</f>
        <v/>
      </c>
      <c r="V303">
        <f>IF(AND(B303&lt;&gt;"",U303&lt;&gt;"",OR(R303="Follow up",LEFT(R303,3)="Due",R303="Waiting",LEFT(R303,5)="Apply",LEFT(R303,5)="Offer")),U303+ROW()/10000000,"")</f>
        <v/>
      </c>
      <c r="W303">
        <f>IF(B303="","",IF(M303&lt;&gt;"",M303,IF(OR(K303="",K303="Saved"),"Apply",IF(K303="Offer","Reply to the offer","Follow up"))))</f>
        <v/>
      </c>
    </row>
    <row r="304">
      <c r="A304" s="1" t="n"/>
      <c r="B304" s="21" t="n"/>
      <c r="C304" s="22" t="n"/>
      <c r="D304" s="22" t="n"/>
      <c r="E304" s="22" t="n"/>
      <c r="F304" s="23" t="n"/>
      <c r="G304" s="23" t="n"/>
      <c r="H304" s="22" t="n"/>
      <c r="I304" s="24" t="n"/>
      <c r="J304" s="24" t="n"/>
      <c r="K304" s="25" t="n"/>
      <c r="L304" s="24" t="n"/>
      <c r="M304" s="22" t="n"/>
      <c r="N304" s="24" t="n"/>
      <c r="O304" s="25" t="n"/>
      <c r="P304" s="22" t="n"/>
      <c r="Q304" s="18">
        <f>IF(OR(B304="",J304=""),"",TODAY()-J304)</f>
        <v/>
      </c>
      <c r="R304" s="26">
        <f>IF(B304="","",IF(OR(K304="Accepted",K304="Rejected",K304="Withdrawn"),K304,IF(K304="Offer",IF(N304="","Offer","Offer, reply by "&amp;DAY(N304)&amp;" "&amp;CHOOSE(MONTH(N304),"Jan","Feb","Mar","Apr","May","Jun","Jul","Aug","Sep","Oct","Nov","Dec")),IF(OR(K304="",K304="Saved"),IF(N304="","To apply",IF(N304&lt;TODAY(),"Closing date passed","Apply by "&amp;DAY(N304)&amp;" "&amp;CHOOSE(MONTH(N304),"Jan","Feb","Mar","Apr","May","Jun","Jul","Aug","Sep","Oct","Nov","Dec"))),IF(AND(N304="",T304&gt;0,TODAY()-T304&gt;=N(Settings!$C$6)),"No reply",IF(U304="","Waiting",IF(U304&lt;TODAY(),"Follow up",IF(U304-TODAY()&lt;=2,"Due "&amp;DAY(U304)&amp;" "&amp;CHOOSE(MONTH(U304),"Jan","Feb","Mar","Apr","May","Jun","Jul","Aug","Sep","Oct","Nov","Dec"),"Waiting"))))))))</f>
        <v/>
      </c>
      <c r="S304" s="1" t="n"/>
      <c r="T304">
        <f>MAX(N(J304),N(L304))</f>
        <v/>
      </c>
      <c r="U304">
        <f>IF(N304&lt;&gt;"",N304,IF(T304=0,"",T304+N(Settings!$C$5)))</f>
        <v/>
      </c>
      <c r="V304">
        <f>IF(AND(B304&lt;&gt;"",U304&lt;&gt;"",OR(R304="Follow up",LEFT(R304,3)="Due",R304="Waiting",LEFT(R304,5)="Apply",LEFT(R304,5)="Offer")),U304+ROW()/10000000,"")</f>
        <v/>
      </c>
      <c r="W304">
        <f>IF(B304="","",IF(M304&lt;&gt;"",M304,IF(OR(K304="",K304="Saved"),"Apply",IF(K304="Offer","Reply to the offer","Follow up"))))</f>
        <v/>
      </c>
    </row>
    <row r="305">
      <c r="A305" s="1" t="n"/>
      <c r="B305" s="21" t="n"/>
      <c r="C305" s="22" t="n"/>
      <c r="D305" s="22" t="n"/>
      <c r="E305" s="22" t="n"/>
      <c r="F305" s="23" t="n"/>
      <c r="G305" s="23" t="n"/>
      <c r="H305" s="22" t="n"/>
      <c r="I305" s="24" t="n"/>
      <c r="J305" s="24" t="n"/>
      <c r="K305" s="25" t="n"/>
      <c r="L305" s="24" t="n"/>
      <c r="M305" s="22" t="n"/>
      <c r="N305" s="24" t="n"/>
      <c r="O305" s="25" t="n"/>
      <c r="P305" s="22" t="n"/>
      <c r="Q305" s="18">
        <f>IF(OR(B305="",J305=""),"",TODAY()-J305)</f>
        <v/>
      </c>
      <c r="R305" s="26">
        <f>IF(B305="","",IF(OR(K305="Accepted",K305="Rejected",K305="Withdrawn"),K305,IF(K305="Offer",IF(N305="","Offer","Offer, reply by "&amp;DAY(N305)&amp;" "&amp;CHOOSE(MONTH(N305),"Jan","Feb","Mar","Apr","May","Jun","Jul","Aug","Sep","Oct","Nov","Dec")),IF(OR(K305="",K305="Saved"),IF(N305="","To apply",IF(N305&lt;TODAY(),"Closing date passed","Apply by "&amp;DAY(N305)&amp;" "&amp;CHOOSE(MONTH(N305),"Jan","Feb","Mar","Apr","May","Jun","Jul","Aug","Sep","Oct","Nov","Dec"))),IF(AND(N305="",T305&gt;0,TODAY()-T305&gt;=N(Settings!$C$6)),"No reply",IF(U305="","Waiting",IF(U305&lt;TODAY(),"Follow up",IF(U305-TODAY()&lt;=2,"Due "&amp;DAY(U305)&amp;" "&amp;CHOOSE(MONTH(U305),"Jan","Feb","Mar","Apr","May","Jun","Jul","Aug","Sep","Oct","Nov","Dec"),"Waiting"))))))))</f>
        <v/>
      </c>
      <c r="S305" s="1" t="n"/>
      <c r="T305">
        <f>MAX(N(J305),N(L305))</f>
        <v/>
      </c>
      <c r="U305">
        <f>IF(N305&lt;&gt;"",N305,IF(T305=0,"",T305+N(Settings!$C$5)))</f>
        <v/>
      </c>
      <c r="V305">
        <f>IF(AND(B305&lt;&gt;"",U305&lt;&gt;"",OR(R305="Follow up",LEFT(R305,3)="Due",R305="Waiting",LEFT(R305,5)="Apply",LEFT(R305,5)="Offer")),U305+ROW()/10000000,"")</f>
        <v/>
      </c>
      <c r="W305">
        <f>IF(B305="","",IF(M305&lt;&gt;"",M305,IF(OR(K305="",K305="Saved"),"Apply",IF(K305="Offer","Reply to the offer","Follow up"))))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</row>
  </sheetData>
  <conditionalFormatting sqref="R6:R305">
    <cfRule type="expression" priority="1" dxfId="0">
      <formula>R6="Follow up"</formula>
    </cfRule>
    <cfRule type="expression" priority="2" dxfId="0">
      <formula>R6="Closing date passed"</formula>
    </cfRule>
    <cfRule type="expression" priority="3" dxfId="1">
      <formula>LEFT(R6,3)="Due"</formula>
    </cfRule>
    <cfRule type="expression" priority="4" dxfId="1">
      <formula>LEFT(R6,8)="Apply by"</formula>
    </cfRule>
    <cfRule type="expression" priority="5" dxfId="3">
      <formula>R6="No reply"</formula>
    </cfRule>
    <cfRule type="expression" priority="6" dxfId="2">
      <formula>LEFT(R6,5)="Offer"</formula>
    </cfRule>
    <cfRule type="expression" priority="7" dxfId="2">
      <formula>R6="Accepted"</formula>
    </cfRule>
    <cfRule type="expression" priority="8" dxfId="3">
      <formula>R6="Rejected"</formula>
    </cfRule>
    <cfRule type="expression" priority="9" dxfId="3">
      <formula>R6="Withdrawn"</formula>
    </cfRule>
  </conditionalFormatting>
  <conditionalFormatting sqref="B6:Q305">
    <cfRule type="expression" priority="10" dxfId="4">
      <formula>OR($K6="Rejected",$K6="Withdrawn")</formula>
    </cfRule>
  </conditionalFormatting>
  <dataValidations count="4">
    <dataValidation sqref="K6:K305" showDropDown="0" showInputMessage="0" showErrorMessage="1" allowBlank="1" type="list">
      <formula1>=Settings!$B$11:$B$19</formula1>
    </dataValidation>
    <dataValidation sqref="H6:H305" showDropDown="0" showInputMessage="0" showErrorMessage="0" allowBlank="1" type="list">
      <formula1>"Job board,Company site,Referral,Recruiter,Other"</formula1>
    </dataValidation>
    <dataValidation sqref="O6:O305" showDropDown="0" showInputMessage="0" showErrorMessage="0" allowBlank="1" type="list">
      <formula1>"High,Medium,Low"</formula1>
    </dataValidation>
    <dataValidation sqref="P6:P305" showDropDown="0" showInputMessage="0" showErrorMessage="0" allowBlank="1" type="list">
      <formula1>=Contacts!$B$6:$B$205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0" customWidth="1" min="4" max="4"/>
    <col width="22" customWidth="1" min="5" max="5"/>
    <col width="13" customWidth="1" min="6" max="6"/>
    <col width="18" customWidth="1" min="7" max="7"/>
    <col width="28" customWidth="1" min="8" max="8"/>
    <col width="28" customWidth="1" min="9" max="9"/>
    <col width="10" customWidth="1" min="10" max="10"/>
    <col width="15" customWidth="1" min="11" max="11"/>
    <col hidden="1" width="13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Interviews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Each call, video, visit or task, with what to prepare and whether the thank-you went out.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10" t="inlineStr">
        <is>
          <t>Date</t>
        </is>
      </c>
      <c r="C5" s="10" t="inlineStr">
        <is>
          <t>Time</t>
        </is>
      </c>
      <c r="D5" s="10" t="inlineStr">
        <is>
          <t>Company</t>
        </is>
      </c>
      <c r="E5" s="10" t="inlineStr">
        <is>
          <t>Role</t>
        </is>
      </c>
      <c r="F5" s="10" t="inlineStr">
        <is>
          <t>Type</t>
        </is>
      </c>
      <c r="G5" s="10" t="inlineStr">
        <is>
          <t>With</t>
        </is>
      </c>
      <c r="H5" s="10" t="inlineStr">
        <is>
          <t>To prepare</t>
        </is>
      </c>
      <c r="I5" s="10" t="inlineStr">
        <is>
          <t>How it went</t>
        </is>
      </c>
      <c r="J5" s="10" t="inlineStr">
        <is>
          <t>Thank-you sent</t>
        </is>
      </c>
      <c r="K5" s="10" t="inlineStr">
        <is>
          <t>Status</t>
        </is>
      </c>
      <c r="L5" s="1" t="n"/>
    </row>
    <row r="6">
      <c r="A6" s="1" t="n"/>
      <c r="B6" s="24" t="n">
        <v>46257</v>
      </c>
      <c r="C6" s="27" t="n">
        <v>0.4166666666666667</v>
      </c>
      <c r="D6" s="21" t="inlineStr">
        <is>
          <t>Fernhill Labs</t>
        </is>
      </c>
      <c r="E6" s="22" t="inlineStr">
        <is>
          <t>Product Designer</t>
        </is>
      </c>
      <c r="F6" s="22" t="inlineStr">
        <is>
          <t>Phone screen</t>
        </is>
      </c>
      <c r="G6" s="22" t="inlineStr">
        <is>
          <t>Recruiter</t>
        </is>
      </c>
      <c r="H6" s="22" t="n"/>
      <c r="I6" s="22" t="inlineStr">
        <is>
          <t>Friendly, 20 min</t>
        </is>
      </c>
      <c r="J6" s="25" t="inlineStr">
        <is>
          <t>x</t>
        </is>
      </c>
      <c r="K6" s="26">
        <f>IF(B6="","",IF(B6&gt;TODAY(),"Coming up",IF(B6=TODAY(),"Today",IF(J6&lt;&gt;"","Done","Send thank-you"))))</f>
        <v/>
      </c>
      <c r="L6" s="1">
        <f>IF(OR(B6="",B6&lt;TODAY()),"",B6+MOD(N(C6),1)+ROW()/10000000)</f>
        <v/>
      </c>
    </row>
    <row r="7">
      <c r="A7" s="1" t="n"/>
      <c r="B7" s="24" t="n">
        <v>46262</v>
      </c>
      <c r="C7" s="27" t="n">
        <v>0.5833333333333334</v>
      </c>
      <c r="D7" s="21" t="inlineStr">
        <is>
          <t>Tidewell Health</t>
        </is>
      </c>
      <c r="E7" s="22" t="inlineStr">
        <is>
          <t>Senior Product Designer</t>
        </is>
      </c>
      <c r="F7" s="22" t="inlineStr">
        <is>
          <t>Video</t>
        </is>
      </c>
      <c r="G7" s="22" t="inlineStr">
        <is>
          <t>Head of design</t>
        </is>
      </c>
      <c r="H7" s="22" t="inlineStr">
        <is>
          <t>Case study on the booking flow</t>
        </is>
      </c>
      <c r="I7" s="22" t="inlineStr">
        <is>
          <t>Went well</t>
        </is>
      </c>
      <c r="J7" s="25" t="inlineStr">
        <is>
          <t>x</t>
        </is>
      </c>
      <c r="K7" s="26">
        <f>IF(B7="","",IF(B7&gt;TODAY(),"Coming up",IF(B7=TODAY(),"Today",IF(J7&lt;&gt;"","Done","Send thank-you"))))</f>
        <v/>
      </c>
      <c r="L7" s="1">
        <f>IF(OR(B7="",B7&lt;TODAY()),"",B7+MOD(N(C7),1)+ROW()/10000000)</f>
        <v/>
      </c>
    </row>
    <row r="8">
      <c r="A8" s="1" t="n"/>
      <c r="B8" s="24" t="n">
        <v>46271</v>
      </c>
      <c r="C8" s="27" t="n">
        <v>0.4791666666666667</v>
      </c>
      <c r="D8" s="21" t="inlineStr">
        <is>
          <t>Brambleton Bank</t>
        </is>
      </c>
      <c r="E8" s="22" t="inlineStr">
        <is>
          <t>UI Designer</t>
        </is>
      </c>
      <c r="F8" s="22" t="inlineStr">
        <is>
          <t>On site</t>
        </is>
      </c>
      <c r="G8" s="22" t="inlineStr">
        <is>
          <t>Two designers</t>
        </is>
      </c>
      <c r="H8" s="22" t="n"/>
      <c r="I8" s="22" t="inlineStr">
        <is>
          <t>Hard questions on accessibility</t>
        </is>
      </c>
      <c r="J8" s="25" t="inlineStr">
        <is>
          <t>x</t>
        </is>
      </c>
      <c r="K8" s="26">
        <f>IF(B8="","",IF(B8&gt;TODAY(),"Coming up",IF(B8=TODAY(),"Today",IF(J8&lt;&gt;"","Done","Send thank-you"))))</f>
        <v/>
      </c>
      <c r="L8" s="1">
        <f>IF(OR(B8="",B8&lt;TODAY()),"",B8+MOD(N(C8),1)+ROW()/10000000)</f>
        <v/>
      </c>
    </row>
    <row r="9">
      <c r="A9" s="1" t="n"/>
      <c r="B9" s="24" t="n">
        <v>46279</v>
      </c>
      <c r="C9" s="27" t="n">
        <v>0.3958333333333333</v>
      </c>
      <c r="D9" s="21" t="inlineStr">
        <is>
          <t>Larkspur Learning</t>
        </is>
      </c>
      <c r="E9" s="22" t="inlineStr">
        <is>
          <t>Product Designer</t>
        </is>
      </c>
      <c r="F9" s="22" t="inlineStr">
        <is>
          <t>Video</t>
        </is>
      </c>
      <c r="G9" s="22" t="inlineStr">
        <is>
          <t>Design manager</t>
        </is>
      </c>
      <c r="H9" s="22" t="inlineStr">
        <is>
          <t>Their mobile app</t>
        </is>
      </c>
      <c r="I9" s="22" t="inlineStr">
        <is>
          <t>Good, they liked the research work</t>
        </is>
      </c>
      <c r="J9" s="25" t="inlineStr">
        <is>
          <t>x</t>
        </is>
      </c>
      <c r="K9" s="26">
        <f>IF(B9="","",IF(B9&gt;TODAY(),"Coming up",IF(B9=TODAY(),"Today",IF(J9&lt;&gt;"","Done","Send thank-you"))))</f>
        <v/>
      </c>
      <c r="L9" s="1">
        <f>IF(OR(B9="",B9&lt;TODAY()),"",B9+MOD(N(C9),1)+ROW()/10000000)</f>
        <v/>
      </c>
    </row>
    <row r="10">
      <c r="A10" s="1" t="n"/>
      <c r="B10" s="24" t="n">
        <v>46284</v>
      </c>
      <c r="C10" s="27" t="n">
        <v>0.625</v>
      </c>
      <c r="D10" s="21" t="inlineStr">
        <is>
          <t>Tidewell Health</t>
        </is>
      </c>
      <c r="E10" s="22" t="inlineStr">
        <is>
          <t>Senior Product Designer</t>
        </is>
      </c>
      <c r="F10" s="22" t="inlineStr">
        <is>
          <t>Task</t>
        </is>
      </c>
      <c r="G10" s="22" t="inlineStr">
        <is>
          <t>Design team</t>
        </is>
      </c>
      <c r="H10" s="22" t="inlineStr">
        <is>
          <t>Two-hour exercise</t>
        </is>
      </c>
      <c r="I10" s="22" t="inlineStr">
        <is>
          <t>Presented the task</t>
        </is>
      </c>
      <c r="J10" s="25" t="inlineStr">
        <is>
          <t>x</t>
        </is>
      </c>
      <c r="K10" s="26">
        <f>IF(B10="","",IF(B10&gt;TODAY(),"Coming up",IF(B10=TODAY(),"Today",IF(J10&lt;&gt;"","Done","Send thank-you"))))</f>
        <v/>
      </c>
      <c r="L10" s="1">
        <f>IF(OR(B10="",B10&lt;TODAY()),"",B10+MOD(N(C10),1)+ROW()/10000000)</f>
        <v/>
      </c>
    </row>
    <row r="11">
      <c r="A11" s="1" t="n"/>
      <c r="B11" s="24" t="n">
        <v>46288</v>
      </c>
      <c r="C11" s="27" t="n">
        <v>0.5416666666666666</v>
      </c>
      <c r="D11" s="21" t="inlineStr">
        <is>
          <t>Wrenfield Travel</t>
        </is>
      </c>
      <c r="E11" s="22" t="inlineStr">
        <is>
          <t>Product Designer</t>
        </is>
      </c>
      <c r="F11" s="22" t="inlineStr">
        <is>
          <t>Phone screen</t>
        </is>
      </c>
      <c r="G11" s="22" t="inlineStr">
        <is>
          <t>Recruiter</t>
        </is>
      </c>
      <c r="H11" s="22" t="n"/>
      <c r="I11" s="22" t="inlineStr">
        <is>
          <t>Short and clear</t>
        </is>
      </c>
      <c r="J11" s="25" t="n"/>
      <c r="K11" s="26">
        <f>IF(B11="","",IF(B11&gt;TODAY(),"Coming up",IF(B11=TODAY(),"Today",IF(J11&lt;&gt;"","Done","Send thank-you"))))</f>
        <v/>
      </c>
      <c r="L11" s="1">
        <f>IF(OR(B11="",B11&lt;TODAY()),"",B11+MOD(N(C11),1)+ROW()/10000000)</f>
        <v/>
      </c>
    </row>
    <row r="12">
      <c r="A12" s="1" t="n"/>
      <c r="B12" s="24" t="n">
        <v>46290</v>
      </c>
      <c r="C12" s="27" t="n">
        <v>0.6666666666666666</v>
      </c>
      <c r="D12" s="21" t="inlineStr">
        <is>
          <t>Starling Software</t>
        </is>
      </c>
      <c r="E12" s="22" t="inlineStr">
        <is>
          <t>Senior Product Designer</t>
        </is>
      </c>
      <c r="F12" s="22" t="inlineStr">
        <is>
          <t>Video</t>
        </is>
      </c>
      <c r="G12" s="22" t="inlineStr">
        <is>
          <t>Lead designer</t>
        </is>
      </c>
      <c r="H12" s="22" t="inlineStr">
        <is>
          <t>Their design system</t>
        </is>
      </c>
      <c r="I12" s="22" t="inlineStr">
        <is>
          <t>Asked for a take-home task</t>
        </is>
      </c>
      <c r="J12" s="25" t="inlineStr">
        <is>
          <t>x</t>
        </is>
      </c>
      <c r="K12" s="26">
        <f>IF(B12="","",IF(B12&gt;TODAY(),"Coming up",IF(B12=TODAY(),"Today",IF(J12&lt;&gt;"","Done","Send thank-you"))))</f>
        <v/>
      </c>
      <c r="L12" s="1">
        <f>IF(OR(B12="",B12&lt;TODAY()),"",B12+MOD(N(C12),1)+ROW()/10000000)</f>
        <v/>
      </c>
    </row>
    <row r="13">
      <c r="A13" s="1" t="n"/>
      <c r="B13" s="24" t="n">
        <v>46296</v>
      </c>
      <c r="C13" s="27" t="n">
        <v>0.4166666666666667</v>
      </c>
      <c r="D13" s="21" t="inlineStr">
        <is>
          <t>Tidewell Health</t>
        </is>
      </c>
      <c r="E13" s="22" t="inlineStr">
        <is>
          <t>Senior Product Designer</t>
        </is>
      </c>
      <c r="F13" s="22" t="inlineStr">
        <is>
          <t>Final</t>
        </is>
      </c>
      <c r="G13" s="22" t="inlineStr">
        <is>
          <t>Design team and VP</t>
        </is>
      </c>
      <c r="H13" s="22" t="inlineStr">
        <is>
          <t>Walk through two projects</t>
        </is>
      </c>
      <c r="I13" s="22" t="n"/>
      <c r="J13" s="25" t="n"/>
      <c r="K13" s="26">
        <f>IF(B13="","",IF(B13&gt;TODAY(),"Coming up",IF(B13=TODAY(),"Today",IF(J13&lt;&gt;"","Done","Send thank-you"))))</f>
        <v/>
      </c>
      <c r="L13" s="1">
        <f>IF(OR(B13="",B13&lt;TODAY()),"",B13+MOD(N(C13),1)+ROW()/10000000)</f>
        <v/>
      </c>
    </row>
    <row r="14">
      <c r="A14" s="1" t="n"/>
      <c r="B14" s="24" t="n">
        <v>46299</v>
      </c>
      <c r="C14" s="27" t="n">
        <v>0.4583333333333333</v>
      </c>
      <c r="D14" s="21" t="inlineStr">
        <is>
          <t>Wrenfield Travel</t>
        </is>
      </c>
      <c r="E14" s="22" t="inlineStr">
        <is>
          <t>Product Designer</t>
        </is>
      </c>
      <c r="F14" s="22" t="inlineStr">
        <is>
          <t>Video</t>
        </is>
      </c>
      <c r="G14" s="22" t="inlineStr">
        <is>
          <t>Design manager</t>
        </is>
      </c>
      <c r="H14" s="22" t="inlineStr">
        <is>
          <t>Portfolio review, 45 min</t>
        </is>
      </c>
      <c r="I14" s="22" t="n"/>
      <c r="J14" s="25" t="n"/>
      <c r="K14" s="26">
        <f>IF(B14="","",IF(B14&gt;TODAY(),"Coming up",IF(B14=TODAY(),"Today",IF(J14&lt;&gt;"","Done","Send thank-you"))))</f>
        <v/>
      </c>
      <c r="L14" s="1">
        <f>IF(OR(B14="",B14&lt;TODAY()),"",B14+MOD(N(C14),1)+ROW()/10000000)</f>
        <v/>
      </c>
    </row>
    <row r="15">
      <c r="A15" s="1" t="n"/>
      <c r="B15" s="24" t="n"/>
      <c r="C15" s="27" t="n"/>
      <c r="D15" s="21" t="n"/>
      <c r="E15" s="22" t="n"/>
      <c r="F15" s="22" t="n"/>
      <c r="G15" s="22" t="n"/>
      <c r="H15" s="22" t="n"/>
      <c r="I15" s="22" t="n"/>
      <c r="J15" s="25" t="n"/>
      <c r="K15" s="26">
        <f>IF(B15="","",IF(B15&gt;TODAY(),"Coming up",IF(B15=TODAY(),"Today",IF(J15&lt;&gt;"","Done","Send thank-you"))))</f>
        <v/>
      </c>
      <c r="L15" s="1">
        <f>IF(OR(B15="",B15&lt;TODAY()),"",B15+MOD(N(C15),1)+ROW()/10000000)</f>
        <v/>
      </c>
    </row>
    <row r="16">
      <c r="A16" s="1" t="n"/>
      <c r="B16" s="24" t="n"/>
      <c r="C16" s="27" t="n"/>
      <c r="D16" s="21" t="n"/>
      <c r="E16" s="22" t="n"/>
      <c r="F16" s="22" t="n"/>
      <c r="G16" s="22" t="n"/>
      <c r="H16" s="22" t="n"/>
      <c r="I16" s="22" t="n"/>
      <c r="J16" s="25" t="n"/>
      <c r="K16" s="26">
        <f>IF(B16="","",IF(B16&gt;TODAY(),"Coming up",IF(B16=TODAY(),"Today",IF(J16&lt;&gt;"","Done","Send thank-you"))))</f>
        <v/>
      </c>
      <c r="L16" s="1">
        <f>IF(OR(B16="",B16&lt;TODAY()),"",B16+MOD(N(C16),1)+ROW()/10000000)</f>
        <v/>
      </c>
    </row>
    <row r="17">
      <c r="A17" s="1" t="n"/>
      <c r="B17" s="24" t="n"/>
      <c r="C17" s="27" t="n"/>
      <c r="D17" s="21" t="n"/>
      <c r="E17" s="22" t="n"/>
      <c r="F17" s="22" t="n"/>
      <c r="G17" s="22" t="n"/>
      <c r="H17" s="22" t="n"/>
      <c r="I17" s="22" t="n"/>
      <c r="J17" s="25" t="n"/>
      <c r="K17" s="26">
        <f>IF(B17="","",IF(B17&gt;TODAY(),"Coming up",IF(B17=TODAY(),"Today",IF(J17&lt;&gt;"","Done","Send thank-you"))))</f>
        <v/>
      </c>
      <c r="L17" s="1">
        <f>IF(OR(B17="",B17&lt;TODAY()),"",B17+MOD(N(C17),1)+ROW()/10000000)</f>
        <v/>
      </c>
    </row>
    <row r="18">
      <c r="A18" s="1" t="n"/>
      <c r="B18" s="24" t="n"/>
      <c r="C18" s="27" t="n"/>
      <c r="D18" s="21" t="n"/>
      <c r="E18" s="22" t="n"/>
      <c r="F18" s="22" t="n"/>
      <c r="G18" s="22" t="n"/>
      <c r="H18" s="22" t="n"/>
      <c r="I18" s="22" t="n"/>
      <c r="J18" s="25" t="n"/>
      <c r="K18" s="26">
        <f>IF(B18="","",IF(B18&gt;TODAY(),"Coming up",IF(B18=TODAY(),"Today",IF(J18&lt;&gt;"","Done","Send thank-you"))))</f>
        <v/>
      </c>
      <c r="L18" s="1">
        <f>IF(OR(B18="",B18&lt;TODAY()),"",B18+MOD(N(C18),1)+ROW()/10000000)</f>
        <v/>
      </c>
    </row>
    <row r="19">
      <c r="A19" s="1" t="n"/>
      <c r="B19" s="24" t="n"/>
      <c r="C19" s="27" t="n"/>
      <c r="D19" s="21" t="n"/>
      <c r="E19" s="22" t="n"/>
      <c r="F19" s="22" t="n"/>
      <c r="G19" s="22" t="n"/>
      <c r="H19" s="22" t="n"/>
      <c r="I19" s="22" t="n"/>
      <c r="J19" s="25" t="n"/>
      <c r="K19" s="26">
        <f>IF(B19="","",IF(B19&gt;TODAY(),"Coming up",IF(B19=TODAY(),"Today",IF(J19&lt;&gt;"","Done","Send thank-you"))))</f>
        <v/>
      </c>
      <c r="L19" s="1">
        <f>IF(OR(B19="",B19&lt;TODAY()),"",B19+MOD(N(C19),1)+ROW()/10000000)</f>
        <v/>
      </c>
    </row>
    <row r="20">
      <c r="A20" s="1" t="n"/>
      <c r="B20" s="24" t="n"/>
      <c r="C20" s="27" t="n"/>
      <c r="D20" s="21" t="n"/>
      <c r="E20" s="22" t="n"/>
      <c r="F20" s="22" t="n"/>
      <c r="G20" s="22" t="n"/>
      <c r="H20" s="22" t="n"/>
      <c r="I20" s="22" t="n"/>
      <c r="J20" s="25" t="n"/>
      <c r="K20" s="26">
        <f>IF(B20="","",IF(B20&gt;TODAY(),"Coming up",IF(B20=TODAY(),"Today",IF(J20&lt;&gt;"","Done","Send thank-you"))))</f>
        <v/>
      </c>
      <c r="L20" s="1">
        <f>IF(OR(B20="",B20&lt;TODAY()),"",B20+MOD(N(C20),1)+ROW()/10000000)</f>
        <v/>
      </c>
    </row>
    <row r="21">
      <c r="A21" s="1" t="n"/>
      <c r="B21" s="24" t="n"/>
      <c r="C21" s="27" t="n"/>
      <c r="D21" s="21" t="n"/>
      <c r="E21" s="22" t="n"/>
      <c r="F21" s="22" t="n"/>
      <c r="G21" s="22" t="n"/>
      <c r="H21" s="22" t="n"/>
      <c r="I21" s="22" t="n"/>
      <c r="J21" s="25" t="n"/>
      <c r="K21" s="26">
        <f>IF(B21="","",IF(B21&gt;TODAY(),"Coming up",IF(B21=TODAY(),"Today",IF(J21&lt;&gt;"","Done","Send thank-you"))))</f>
        <v/>
      </c>
      <c r="L21" s="1">
        <f>IF(OR(B21="",B21&lt;TODAY()),"",B21+MOD(N(C21),1)+ROW()/10000000)</f>
        <v/>
      </c>
    </row>
    <row r="22">
      <c r="A22" s="1" t="n"/>
      <c r="B22" s="24" t="n"/>
      <c r="C22" s="27" t="n"/>
      <c r="D22" s="21" t="n"/>
      <c r="E22" s="22" t="n"/>
      <c r="F22" s="22" t="n"/>
      <c r="G22" s="22" t="n"/>
      <c r="H22" s="22" t="n"/>
      <c r="I22" s="22" t="n"/>
      <c r="J22" s="25" t="n"/>
      <c r="K22" s="26">
        <f>IF(B22="","",IF(B22&gt;TODAY(),"Coming up",IF(B22=TODAY(),"Today",IF(J22&lt;&gt;"","Done","Send thank-you"))))</f>
        <v/>
      </c>
      <c r="L22" s="1">
        <f>IF(OR(B22="",B22&lt;TODAY()),"",B22+MOD(N(C22),1)+ROW()/10000000)</f>
        <v/>
      </c>
    </row>
    <row r="23">
      <c r="A23" s="1" t="n"/>
      <c r="B23" s="24" t="n"/>
      <c r="C23" s="27" t="n"/>
      <c r="D23" s="21" t="n"/>
      <c r="E23" s="22" t="n"/>
      <c r="F23" s="22" t="n"/>
      <c r="G23" s="22" t="n"/>
      <c r="H23" s="22" t="n"/>
      <c r="I23" s="22" t="n"/>
      <c r="J23" s="25" t="n"/>
      <c r="K23" s="26">
        <f>IF(B23="","",IF(B23&gt;TODAY(),"Coming up",IF(B23=TODAY(),"Today",IF(J23&lt;&gt;"","Done","Send thank-you"))))</f>
        <v/>
      </c>
      <c r="L23" s="1">
        <f>IF(OR(B23="",B23&lt;TODAY()),"",B23+MOD(N(C23),1)+ROW()/10000000)</f>
        <v/>
      </c>
    </row>
    <row r="24">
      <c r="A24" s="1" t="n"/>
      <c r="B24" s="24" t="n"/>
      <c r="C24" s="27" t="n"/>
      <c r="D24" s="21" t="n"/>
      <c r="E24" s="22" t="n"/>
      <c r="F24" s="22" t="n"/>
      <c r="G24" s="22" t="n"/>
      <c r="H24" s="22" t="n"/>
      <c r="I24" s="22" t="n"/>
      <c r="J24" s="25" t="n"/>
      <c r="K24" s="26">
        <f>IF(B24="","",IF(B24&gt;TODAY(),"Coming up",IF(B24=TODAY(),"Today",IF(J24&lt;&gt;"","Done","Send thank-you"))))</f>
        <v/>
      </c>
      <c r="L24" s="1">
        <f>IF(OR(B24="",B24&lt;TODAY()),"",B24+MOD(N(C24),1)+ROW()/10000000)</f>
        <v/>
      </c>
    </row>
    <row r="25">
      <c r="A25" s="1" t="n"/>
      <c r="B25" s="24" t="n"/>
      <c r="C25" s="27" t="n"/>
      <c r="D25" s="21" t="n"/>
      <c r="E25" s="22" t="n"/>
      <c r="F25" s="22" t="n"/>
      <c r="G25" s="22" t="n"/>
      <c r="H25" s="22" t="n"/>
      <c r="I25" s="22" t="n"/>
      <c r="J25" s="25" t="n"/>
      <c r="K25" s="26">
        <f>IF(B25="","",IF(B25&gt;TODAY(),"Coming up",IF(B25=TODAY(),"Today",IF(J25&lt;&gt;"","Done","Send thank-you"))))</f>
        <v/>
      </c>
      <c r="L25" s="1">
        <f>IF(OR(B25="",B25&lt;TODAY()),"",B25+MOD(N(C25),1)+ROW()/10000000)</f>
        <v/>
      </c>
    </row>
    <row r="26">
      <c r="A26" s="1" t="n"/>
      <c r="B26" s="24" t="n"/>
      <c r="C26" s="27" t="n"/>
      <c r="D26" s="21" t="n"/>
      <c r="E26" s="22" t="n"/>
      <c r="F26" s="22" t="n"/>
      <c r="G26" s="22" t="n"/>
      <c r="H26" s="22" t="n"/>
      <c r="I26" s="22" t="n"/>
      <c r="J26" s="25" t="n"/>
      <c r="K26" s="26">
        <f>IF(B26="","",IF(B26&gt;TODAY(),"Coming up",IF(B26=TODAY(),"Today",IF(J26&lt;&gt;"","Done","Send thank-you"))))</f>
        <v/>
      </c>
      <c r="L26" s="1">
        <f>IF(OR(B26="",B26&lt;TODAY()),"",B26+MOD(N(C26),1)+ROW()/10000000)</f>
        <v/>
      </c>
    </row>
    <row r="27">
      <c r="A27" s="1" t="n"/>
      <c r="B27" s="24" t="n"/>
      <c r="C27" s="27" t="n"/>
      <c r="D27" s="21" t="n"/>
      <c r="E27" s="22" t="n"/>
      <c r="F27" s="22" t="n"/>
      <c r="G27" s="22" t="n"/>
      <c r="H27" s="22" t="n"/>
      <c r="I27" s="22" t="n"/>
      <c r="J27" s="25" t="n"/>
      <c r="K27" s="26">
        <f>IF(B27="","",IF(B27&gt;TODAY(),"Coming up",IF(B27=TODAY(),"Today",IF(J27&lt;&gt;"","Done","Send thank-you"))))</f>
        <v/>
      </c>
      <c r="L27" s="1">
        <f>IF(OR(B27="",B27&lt;TODAY()),"",B27+MOD(N(C27),1)+ROW()/10000000)</f>
        <v/>
      </c>
    </row>
    <row r="28">
      <c r="A28" s="1" t="n"/>
      <c r="B28" s="24" t="n"/>
      <c r="C28" s="27" t="n"/>
      <c r="D28" s="21" t="n"/>
      <c r="E28" s="22" t="n"/>
      <c r="F28" s="22" t="n"/>
      <c r="G28" s="22" t="n"/>
      <c r="H28" s="22" t="n"/>
      <c r="I28" s="22" t="n"/>
      <c r="J28" s="25" t="n"/>
      <c r="K28" s="26">
        <f>IF(B28="","",IF(B28&gt;TODAY(),"Coming up",IF(B28=TODAY(),"Today",IF(J28&lt;&gt;"","Done","Send thank-you"))))</f>
        <v/>
      </c>
      <c r="L28" s="1">
        <f>IF(OR(B28="",B28&lt;TODAY()),"",B28+MOD(N(C28),1)+ROW()/10000000)</f>
        <v/>
      </c>
    </row>
    <row r="29">
      <c r="A29" s="1" t="n"/>
      <c r="B29" s="24" t="n"/>
      <c r="C29" s="27" t="n"/>
      <c r="D29" s="21" t="n"/>
      <c r="E29" s="22" t="n"/>
      <c r="F29" s="22" t="n"/>
      <c r="G29" s="22" t="n"/>
      <c r="H29" s="22" t="n"/>
      <c r="I29" s="22" t="n"/>
      <c r="J29" s="25" t="n"/>
      <c r="K29" s="26">
        <f>IF(B29="","",IF(B29&gt;TODAY(),"Coming up",IF(B29=TODAY(),"Today",IF(J29&lt;&gt;"","Done","Send thank-you"))))</f>
        <v/>
      </c>
      <c r="L29" s="1">
        <f>IF(OR(B29="",B29&lt;TODAY()),"",B29+MOD(N(C29),1)+ROW()/10000000)</f>
        <v/>
      </c>
    </row>
    <row r="30">
      <c r="A30" s="1" t="n"/>
      <c r="B30" s="24" t="n"/>
      <c r="C30" s="27" t="n"/>
      <c r="D30" s="21" t="n"/>
      <c r="E30" s="22" t="n"/>
      <c r="F30" s="22" t="n"/>
      <c r="G30" s="22" t="n"/>
      <c r="H30" s="22" t="n"/>
      <c r="I30" s="22" t="n"/>
      <c r="J30" s="25" t="n"/>
      <c r="K30" s="26">
        <f>IF(B30="","",IF(B30&gt;TODAY(),"Coming up",IF(B30=TODAY(),"Today",IF(J30&lt;&gt;"","Done","Send thank-you"))))</f>
        <v/>
      </c>
      <c r="L30" s="1">
        <f>IF(OR(B30="",B30&lt;TODAY()),"",B30+MOD(N(C30),1)+ROW()/10000000)</f>
        <v/>
      </c>
    </row>
    <row r="31">
      <c r="A31" s="1" t="n"/>
      <c r="B31" s="24" t="n"/>
      <c r="C31" s="27" t="n"/>
      <c r="D31" s="21" t="n"/>
      <c r="E31" s="22" t="n"/>
      <c r="F31" s="22" t="n"/>
      <c r="G31" s="22" t="n"/>
      <c r="H31" s="22" t="n"/>
      <c r="I31" s="22" t="n"/>
      <c r="J31" s="25" t="n"/>
      <c r="K31" s="26">
        <f>IF(B31="","",IF(B31&gt;TODAY(),"Coming up",IF(B31=TODAY(),"Today",IF(J31&lt;&gt;"","Done","Send thank-you"))))</f>
        <v/>
      </c>
      <c r="L31" s="1">
        <f>IF(OR(B31="",B31&lt;TODAY()),"",B31+MOD(N(C31),1)+ROW()/10000000)</f>
        <v/>
      </c>
    </row>
    <row r="32">
      <c r="A32" s="1" t="n"/>
      <c r="B32" s="24" t="n"/>
      <c r="C32" s="27" t="n"/>
      <c r="D32" s="21" t="n"/>
      <c r="E32" s="22" t="n"/>
      <c r="F32" s="22" t="n"/>
      <c r="G32" s="22" t="n"/>
      <c r="H32" s="22" t="n"/>
      <c r="I32" s="22" t="n"/>
      <c r="J32" s="25" t="n"/>
      <c r="K32" s="26">
        <f>IF(B32="","",IF(B32&gt;TODAY(),"Coming up",IF(B32=TODAY(),"Today",IF(J32&lt;&gt;"","Done","Send thank-you"))))</f>
        <v/>
      </c>
      <c r="L32" s="1">
        <f>IF(OR(B32="",B32&lt;TODAY()),"",B32+MOD(N(C32),1)+ROW()/10000000)</f>
        <v/>
      </c>
    </row>
    <row r="33">
      <c r="A33" s="1" t="n"/>
      <c r="B33" s="24" t="n"/>
      <c r="C33" s="27" t="n"/>
      <c r="D33" s="21" t="n"/>
      <c r="E33" s="22" t="n"/>
      <c r="F33" s="22" t="n"/>
      <c r="G33" s="22" t="n"/>
      <c r="H33" s="22" t="n"/>
      <c r="I33" s="22" t="n"/>
      <c r="J33" s="25" t="n"/>
      <c r="K33" s="26">
        <f>IF(B33="","",IF(B33&gt;TODAY(),"Coming up",IF(B33=TODAY(),"Today",IF(J33&lt;&gt;"","Done","Send thank-you"))))</f>
        <v/>
      </c>
      <c r="L33" s="1">
        <f>IF(OR(B33="",B33&lt;TODAY()),"",B33+MOD(N(C33),1)+ROW()/10000000)</f>
        <v/>
      </c>
    </row>
    <row r="34">
      <c r="A34" s="1" t="n"/>
      <c r="B34" s="24" t="n"/>
      <c r="C34" s="27" t="n"/>
      <c r="D34" s="21" t="n"/>
      <c r="E34" s="22" t="n"/>
      <c r="F34" s="22" t="n"/>
      <c r="G34" s="22" t="n"/>
      <c r="H34" s="22" t="n"/>
      <c r="I34" s="22" t="n"/>
      <c r="J34" s="25" t="n"/>
      <c r="K34" s="26">
        <f>IF(B34="","",IF(B34&gt;TODAY(),"Coming up",IF(B34=TODAY(),"Today",IF(J34&lt;&gt;"","Done","Send thank-you"))))</f>
        <v/>
      </c>
      <c r="L34" s="1">
        <f>IF(OR(B34="",B34&lt;TODAY()),"",B34+MOD(N(C34),1)+ROW()/10000000)</f>
        <v/>
      </c>
    </row>
    <row r="35">
      <c r="A35" s="1" t="n"/>
      <c r="B35" s="24" t="n"/>
      <c r="C35" s="27" t="n"/>
      <c r="D35" s="21" t="n"/>
      <c r="E35" s="22" t="n"/>
      <c r="F35" s="22" t="n"/>
      <c r="G35" s="22" t="n"/>
      <c r="H35" s="22" t="n"/>
      <c r="I35" s="22" t="n"/>
      <c r="J35" s="25" t="n"/>
      <c r="K35" s="26">
        <f>IF(B35="","",IF(B35&gt;TODAY(),"Coming up",IF(B35=TODAY(),"Today",IF(J35&lt;&gt;"","Done","Send thank-you"))))</f>
        <v/>
      </c>
      <c r="L35" s="1">
        <f>IF(OR(B35="",B35&lt;TODAY()),"",B35+MOD(N(C35),1)+ROW()/10000000)</f>
        <v/>
      </c>
    </row>
    <row r="36">
      <c r="A36" s="1" t="n"/>
      <c r="B36" s="24" t="n"/>
      <c r="C36" s="27" t="n"/>
      <c r="D36" s="21" t="n"/>
      <c r="E36" s="22" t="n"/>
      <c r="F36" s="22" t="n"/>
      <c r="G36" s="22" t="n"/>
      <c r="H36" s="22" t="n"/>
      <c r="I36" s="22" t="n"/>
      <c r="J36" s="25" t="n"/>
      <c r="K36" s="26">
        <f>IF(B36="","",IF(B36&gt;TODAY(),"Coming up",IF(B36=TODAY(),"Today",IF(J36&lt;&gt;"","Done","Send thank-you"))))</f>
        <v/>
      </c>
      <c r="L36" s="1">
        <f>IF(OR(B36="",B36&lt;TODAY()),"",B36+MOD(N(C36),1)+ROW()/10000000)</f>
        <v/>
      </c>
    </row>
    <row r="37">
      <c r="A37" s="1" t="n"/>
      <c r="B37" s="24" t="n"/>
      <c r="C37" s="27" t="n"/>
      <c r="D37" s="21" t="n"/>
      <c r="E37" s="22" t="n"/>
      <c r="F37" s="22" t="n"/>
      <c r="G37" s="22" t="n"/>
      <c r="H37" s="22" t="n"/>
      <c r="I37" s="22" t="n"/>
      <c r="J37" s="25" t="n"/>
      <c r="K37" s="26">
        <f>IF(B37="","",IF(B37&gt;TODAY(),"Coming up",IF(B37=TODAY(),"Today",IF(J37&lt;&gt;"","Done","Send thank-you"))))</f>
        <v/>
      </c>
      <c r="L37" s="1">
        <f>IF(OR(B37="",B37&lt;TODAY()),"",B37+MOD(N(C37),1)+ROW()/10000000)</f>
        <v/>
      </c>
    </row>
    <row r="38">
      <c r="A38" s="1" t="n"/>
      <c r="B38" s="24" t="n"/>
      <c r="C38" s="27" t="n"/>
      <c r="D38" s="21" t="n"/>
      <c r="E38" s="22" t="n"/>
      <c r="F38" s="22" t="n"/>
      <c r="G38" s="22" t="n"/>
      <c r="H38" s="22" t="n"/>
      <c r="I38" s="22" t="n"/>
      <c r="J38" s="25" t="n"/>
      <c r="K38" s="26">
        <f>IF(B38="","",IF(B38&gt;TODAY(),"Coming up",IF(B38=TODAY(),"Today",IF(J38&lt;&gt;"","Done","Send thank-you"))))</f>
        <v/>
      </c>
      <c r="L38" s="1">
        <f>IF(OR(B38="",B38&lt;TODAY()),"",B38+MOD(N(C38),1)+ROW()/10000000)</f>
        <v/>
      </c>
    </row>
    <row r="39">
      <c r="A39" s="1" t="n"/>
      <c r="B39" s="24" t="n"/>
      <c r="C39" s="27" t="n"/>
      <c r="D39" s="21" t="n"/>
      <c r="E39" s="22" t="n"/>
      <c r="F39" s="22" t="n"/>
      <c r="G39" s="22" t="n"/>
      <c r="H39" s="22" t="n"/>
      <c r="I39" s="22" t="n"/>
      <c r="J39" s="25" t="n"/>
      <c r="K39" s="26">
        <f>IF(B39="","",IF(B39&gt;TODAY(),"Coming up",IF(B39=TODAY(),"Today",IF(J39&lt;&gt;"","Done","Send thank-you"))))</f>
        <v/>
      </c>
      <c r="L39" s="1">
        <f>IF(OR(B39="",B39&lt;TODAY()),"",B39+MOD(N(C39),1)+ROW()/10000000)</f>
        <v/>
      </c>
    </row>
    <row r="40">
      <c r="A40" s="1" t="n"/>
      <c r="B40" s="24" t="n"/>
      <c r="C40" s="27" t="n"/>
      <c r="D40" s="21" t="n"/>
      <c r="E40" s="22" t="n"/>
      <c r="F40" s="22" t="n"/>
      <c r="G40" s="22" t="n"/>
      <c r="H40" s="22" t="n"/>
      <c r="I40" s="22" t="n"/>
      <c r="J40" s="25" t="n"/>
      <c r="K40" s="26">
        <f>IF(B40="","",IF(B40&gt;TODAY(),"Coming up",IF(B40=TODAY(),"Today",IF(J40&lt;&gt;"","Done","Send thank-you"))))</f>
        <v/>
      </c>
      <c r="L40" s="1">
        <f>IF(OR(B40="",B40&lt;TODAY()),"",B40+MOD(N(C40),1)+ROW()/10000000)</f>
        <v/>
      </c>
    </row>
    <row r="41">
      <c r="A41" s="1" t="n"/>
      <c r="B41" s="24" t="n"/>
      <c r="C41" s="27" t="n"/>
      <c r="D41" s="21" t="n"/>
      <c r="E41" s="22" t="n"/>
      <c r="F41" s="22" t="n"/>
      <c r="G41" s="22" t="n"/>
      <c r="H41" s="22" t="n"/>
      <c r="I41" s="22" t="n"/>
      <c r="J41" s="25" t="n"/>
      <c r="K41" s="26">
        <f>IF(B41="","",IF(B41&gt;TODAY(),"Coming up",IF(B41=TODAY(),"Today",IF(J41&lt;&gt;"","Done","Send thank-you"))))</f>
        <v/>
      </c>
      <c r="L41" s="1">
        <f>IF(OR(B41="",B41&lt;TODAY()),"",B41+MOD(N(C41),1)+ROW()/10000000)</f>
        <v/>
      </c>
    </row>
    <row r="42">
      <c r="A42" s="1" t="n"/>
      <c r="B42" s="24" t="n"/>
      <c r="C42" s="27" t="n"/>
      <c r="D42" s="21" t="n"/>
      <c r="E42" s="22" t="n"/>
      <c r="F42" s="22" t="n"/>
      <c r="G42" s="22" t="n"/>
      <c r="H42" s="22" t="n"/>
      <c r="I42" s="22" t="n"/>
      <c r="J42" s="25" t="n"/>
      <c r="K42" s="26">
        <f>IF(B42="","",IF(B42&gt;TODAY(),"Coming up",IF(B42=TODAY(),"Today",IF(J42&lt;&gt;"","Done","Send thank-you"))))</f>
        <v/>
      </c>
      <c r="L42" s="1">
        <f>IF(OR(B42="",B42&lt;TODAY()),"",B42+MOD(N(C42),1)+ROW()/10000000)</f>
        <v/>
      </c>
    </row>
    <row r="43">
      <c r="A43" s="1" t="n"/>
      <c r="B43" s="24" t="n"/>
      <c r="C43" s="27" t="n"/>
      <c r="D43" s="21" t="n"/>
      <c r="E43" s="22" t="n"/>
      <c r="F43" s="22" t="n"/>
      <c r="G43" s="22" t="n"/>
      <c r="H43" s="22" t="n"/>
      <c r="I43" s="22" t="n"/>
      <c r="J43" s="25" t="n"/>
      <c r="K43" s="26">
        <f>IF(B43="","",IF(B43&gt;TODAY(),"Coming up",IF(B43=TODAY(),"Today",IF(J43&lt;&gt;"","Done","Send thank-you"))))</f>
        <v/>
      </c>
      <c r="L43" s="1">
        <f>IF(OR(B43="",B43&lt;TODAY()),"",B43+MOD(N(C43),1)+ROW()/10000000)</f>
        <v/>
      </c>
    </row>
    <row r="44">
      <c r="A44" s="1" t="n"/>
      <c r="B44" s="24" t="n"/>
      <c r="C44" s="27" t="n"/>
      <c r="D44" s="21" t="n"/>
      <c r="E44" s="22" t="n"/>
      <c r="F44" s="22" t="n"/>
      <c r="G44" s="22" t="n"/>
      <c r="H44" s="22" t="n"/>
      <c r="I44" s="22" t="n"/>
      <c r="J44" s="25" t="n"/>
      <c r="K44" s="26">
        <f>IF(B44="","",IF(B44&gt;TODAY(),"Coming up",IF(B44=TODAY(),"Today",IF(J44&lt;&gt;"","Done","Send thank-you"))))</f>
        <v/>
      </c>
      <c r="L44" s="1">
        <f>IF(OR(B44="",B44&lt;TODAY()),"",B44+MOD(N(C44),1)+ROW()/10000000)</f>
        <v/>
      </c>
    </row>
    <row r="45">
      <c r="A45" s="1" t="n"/>
      <c r="B45" s="24" t="n"/>
      <c r="C45" s="27" t="n"/>
      <c r="D45" s="21" t="n"/>
      <c r="E45" s="22" t="n"/>
      <c r="F45" s="22" t="n"/>
      <c r="G45" s="22" t="n"/>
      <c r="H45" s="22" t="n"/>
      <c r="I45" s="22" t="n"/>
      <c r="J45" s="25" t="n"/>
      <c r="K45" s="26">
        <f>IF(B45="","",IF(B45&gt;TODAY(),"Coming up",IF(B45=TODAY(),"Today",IF(J45&lt;&gt;"","Done","Send thank-you"))))</f>
        <v/>
      </c>
      <c r="L45" s="1">
        <f>IF(OR(B45="",B45&lt;TODAY()),"",B45+MOD(N(C45),1)+ROW()/10000000)</f>
        <v/>
      </c>
    </row>
    <row r="46">
      <c r="A46" s="1" t="n"/>
      <c r="B46" s="24" t="n"/>
      <c r="C46" s="27" t="n"/>
      <c r="D46" s="21" t="n"/>
      <c r="E46" s="22" t="n"/>
      <c r="F46" s="22" t="n"/>
      <c r="G46" s="22" t="n"/>
      <c r="H46" s="22" t="n"/>
      <c r="I46" s="22" t="n"/>
      <c r="J46" s="25" t="n"/>
      <c r="K46" s="26">
        <f>IF(B46="","",IF(B46&gt;TODAY(),"Coming up",IF(B46=TODAY(),"Today",IF(J46&lt;&gt;"","Done","Send thank-you"))))</f>
        <v/>
      </c>
      <c r="L46" s="1">
        <f>IF(OR(B46="",B46&lt;TODAY()),"",B46+MOD(N(C46),1)+ROW()/10000000)</f>
        <v/>
      </c>
    </row>
    <row r="47">
      <c r="A47" s="1" t="n"/>
      <c r="B47" s="24" t="n"/>
      <c r="C47" s="27" t="n"/>
      <c r="D47" s="21" t="n"/>
      <c r="E47" s="22" t="n"/>
      <c r="F47" s="22" t="n"/>
      <c r="G47" s="22" t="n"/>
      <c r="H47" s="22" t="n"/>
      <c r="I47" s="22" t="n"/>
      <c r="J47" s="25" t="n"/>
      <c r="K47" s="26">
        <f>IF(B47="","",IF(B47&gt;TODAY(),"Coming up",IF(B47=TODAY(),"Today",IF(J47&lt;&gt;"","Done","Send thank-you"))))</f>
        <v/>
      </c>
      <c r="L47" s="1">
        <f>IF(OR(B47="",B47&lt;TODAY()),"",B47+MOD(N(C47),1)+ROW()/10000000)</f>
        <v/>
      </c>
    </row>
    <row r="48">
      <c r="A48" s="1" t="n"/>
      <c r="B48" s="24" t="n"/>
      <c r="C48" s="27" t="n"/>
      <c r="D48" s="21" t="n"/>
      <c r="E48" s="22" t="n"/>
      <c r="F48" s="22" t="n"/>
      <c r="G48" s="22" t="n"/>
      <c r="H48" s="22" t="n"/>
      <c r="I48" s="22" t="n"/>
      <c r="J48" s="25" t="n"/>
      <c r="K48" s="26">
        <f>IF(B48="","",IF(B48&gt;TODAY(),"Coming up",IF(B48=TODAY(),"Today",IF(J48&lt;&gt;"","Done","Send thank-you"))))</f>
        <v/>
      </c>
      <c r="L48" s="1">
        <f>IF(OR(B48="",B48&lt;TODAY()),"",B48+MOD(N(C48),1)+ROW()/10000000)</f>
        <v/>
      </c>
    </row>
    <row r="49">
      <c r="A49" s="1" t="n"/>
      <c r="B49" s="24" t="n"/>
      <c r="C49" s="27" t="n"/>
      <c r="D49" s="21" t="n"/>
      <c r="E49" s="22" t="n"/>
      <c r="F49" s="22" t="n"/>
      <c r="G49" s="22" t="n"/>
      <c r="H49" s="22" t="n"/>
      <c r="I49" s="22" t="n"/>
      <c r="J49" s="25" t="n"/>
      <c r="K49" s="26">
        <f>IF(B49="","",IF(B49&gt;TODAY(),"Coming up",IF(B49=TODAY(),"Today",IF(J49&lt;&gt;"","Done","Send thank-you"))))</f>
        <v/>
      </c>
      <c r="L49" s="1">
        <f>IF(OR(B49="",B49&lt;TODAY()),"",B49+MOD(N(C49),1)+ROW()/10000000)</f>
        <v/>
      </c>
    </row>
    <row r="50">
      <c r="A50" s="1" t="n"/>
      <c r="B50" s="24" t="n"/>
      <c r="C50" s="27" t="n"/>
      <c r="D50" s="21" t="n"/>
      <c r="E50" s="22" t="n"/>
      <c r="F50" s="22" t="n"/>
      <c r="G50" s="22" t="n"/>
      <c r="H50" s="22" t="n"/>
      <c r="I50" s="22" t="n"/>
      <c r="J50" s="25" t="n"/>
      <c r="K50" s="26">
        <f>IF(B50="","",IF(B50&gt;TODAY(),"Coming up",IF(B50=TODAY(),"Today",IF(J50&lt;&gt;"","Done","Send thank-you"))))</f>
        <v/>
      </c>
      <c r="L50" s="1">
        <f>IF(OR(B50="",B50&lt;TODAY()),"",B50+MOD(N(C50),1)+ROW()/10000000)</f>
        <v/>
      </c>
    </row>
    <row r="51">
      <c r="A51" s="1" t="n"/>
      <c r="B51" s="24" t="n"/>
      <c r="C51" s="27" t="n"/>
      <c r="D51" s="21" t="n"/>
      <c r="E51" s="22" t="n"/>
      <c r="F51" s="22" t="n"/>
      <c r="G51" s="22" t="n"/>
      <c r="H51" s="22" t="n"/>
      <c r="I51" s="22" t="n"/>
      <c r="J51" s="25" t="n"/>
      <c r="K51" s="26">
        <f>IF(B51="","",IF(B51&gt;TODAY(),"Coming up",IF(B51=TODAY(),"Today",IF(J51&lt;&gt;"","Done","Send thank-you"))))</f>
        <v/>
      </c>
      <c r="L51" s="1">
        <f>IF(OR(B51="",B51&lt;TODAY()),"",B51+MOD(N(C51),1)+ROW()/10000000)</f>
        <v/>
      </c>
    </row>
    <row r="52">
      <c r="A52" s="1" t="n"/>
      <c r="B52" s="24" t="n"/>
      <c r="C52" s="27" t="n"/>
      <c r="D52" s="21" t="n"/>
      <c r="E52" s="22" t="n"/>
      <c r="F52" s="22" t="n"/>
      <c r="G52" s="22" t="n"/>
      <c r="H52" s="22" t="n"/>
      <c r="I52" s="22" t="n"/>
      <c r="J52" s="25" t="n"/>
      <c r="K52" s="26">
        <f>IF(B52="","",IF(B52&gt;TODAY(),"Coming up",IF(B52=TODAY(),"Today",IF(J52&lt;&gt;"","Done","Send thank-you"))))</f>
        <v/>
      </c>
      <c r="L52" s="1">
        <f>IF(OR(B52="",B52&lt;TODAY()),"",B52+MOD(N(C52),1)+ROW()/10000000)</f>
        <v/>
      </c>
    </row>
    <row r="53">
      <c r="A53" s="1" t="n"/>
      <c r="B53" s="24" t="n"/>
      <c r="C53" s="27" t="n"/>
      <c r="D53" s="21" t="n"/>
      <c r="E53" s="22" t="n"/>
      <c r="F53" s="22" t="n"/>
      <c r="G53" s="22" t="n"/>
      <c r="H53" s="22" t="n"/>
      <c r="I53" s="22" t="n"/>
      <c r="J53" s="25" t="n"/>
      <c r="K53" s="26">
        <f>IF(B53="","",IF(B53&gt;TODAY(),"Coming up",IF(B53=TODAY(),"Today",IF(J53&lt;&gt;"","Done","Send thank-you"))))</f>
        <v/>
      </c>
      <c r="L53" s="1">
        <f>IF(OR(B53="",B53&lt;TODAY()),"",B53+MOD(N(C53),1)+ROW()/10000000)</f>
        <v/>
      </c>
    </row>
    <row r="54">
      <c r="A54" s="1" t="n"/>
      <c r="B54" s="24" t="n"/>
      <c r="C54" s="27" t="n"/>
      <c r="D54" s="21" t="n"/>
      <c r="E54" s="22" t="n"/>
      <c r="F54" s="22" t="n"/>
      <c r="G54" s="22" t="n"/>
      <c r="H54" s="22" t="n"/>
      <c r="I54" s="22" t="n"/>
      <c r="J54" s="25" t="n"/>
      <c r="K54" s="26">
        <f>IF(B54="","",IF(B54&gt;TODAY(),"Coming up",IF(B54=TODAY(),"Today",IF(J54&lt;&gt;"","Done","Send thank-you"))))</f>
        <v/>
      </c>
      <c r="L54" s="1">
        <f>IF(OR(B54="",B54&lt;TODAY()),"",B54+MOD(N(C54),1)+ROW()/10000000)</f>
        <v/>
      </c>
    </row>
    <row r="55">
      <c r="A55" s="1" t="n"/>
      <c r="B55" s="24" t="n"/>
      <c r="C55" s="27" t="n"/>
      <c r="D55" s="21" t="n"/>
      <c r="E55" s="22" t="n"/>
      <c r="F55" s="22" t="n"/>
      <c r="G55" s="22" t="n"/>
      <c r="H55" s="22" t="n"/>
      <c r="I55" s="22" t="n"/>
      <c r="J55" s="25" t="n"/>
      <c r="K55" s="26">
        <f>IF(B55="","",IF(B55&gt;TODAY(),"Coming up",IF(B55=TODAY(),"Today",IF(J55&lt;&gt;"","Done","Send thank-you"))))</f>
        <v/>
      </c>
      <c r="L55" s="1">
        <f>IF(OR(B55="",B55&lt;TODAY()),"",B55+MOD(N(C55),1)+ROW()/10000000)</f>
        <v/>
      </c>
    </row>
    <row r="56">
      <c r="A56" s="1" t="n"/>
      <c r="B56" s="24" t="n"/>
      <c r="C56" s="27" t="n"/>
      <c r="D56" s="21" t="n"/>
      <c r="E56" s="22" t="n"/>
      <c r="F56" s="22" t="n"/>
      <c r="G56" s="22" t="n"/>
      <c r="H56" s="22" t="n"/>
      <c r="I56" s="22" t="n"/>
      <c r="J56" s="25" t="n"/>
      <c r="K56" s="26">
        <f>IF(B56="","",IF(B56&gt;TODAY(),"Coming up",IF(B56=TODAY(),"Today",IF(J56&lt;&gt;"","Done","Send thank-you"))))</f>
        <v/>
      </c>
      <c r="L56" s="1">
        <f>IF(OR(B56="",B56&lt;TODAY()),"",B56+MOD(N(C56),1)+ROW()/10000000)</f>
        <v/>
      </c>
    </row>
    <row r="57">
      <c r="A57" s="1" t="n"/>
      <c r="B57" s="24" t="n"/>
      <c r="C57" s="27" t="n"/>
      <c r="D57" s="21" t="n"/>
      <c r="E57" s="22" t="n"/>
      <c r="F57" s="22" t="n"/>
      <c r="G57" s="22" t="n"/>
      <c r="H57" s="22" t="n"/>
      <c r="I57" s="22" t="n"/>
      <c r="J57" s="25" t="n"/>
      <c r="K57" s="26">
        <f>IF(B57="","",IF(B57&gt;TODAY(),"Coming up",IF(B57=TODAY(),"Today",IF(J57&lt;&gt;"","Done","Send thank-you"))))</f>
        <v/>
      </c>
      <c r="L57" s="1">
        <f>IF(OR(B57="",B57&lt;TODAY()),"",B57+MOD(N(C57),1)+ROW()/10000000)</f>
        <v/>
      </c>
    </row>
    <row r="58">
      <c r="A58" s="1" t="n"/>
      <c r="B58" s="24" t="n"/>
      <c r="C58" s="27" t="n"/>
      <c r="D58" s="21" t="n"/>
      <c r="E58" s="22" t="n"/>
      <c r="F58" s="22" t="n"/>
      <c r="G58" s="22" t="n"/>
      <c r="H58" s="22" t="n"/>
      <c r="I58" s="22" t="n"/>
      <c r="J58" s="25" t="n"/>
      <c r="K58" s="26">
        <f>IF(B58="","",IF(B58&gt;TODAY(),"Coming up",IF(B58=TODAY(),"Today",IF(J58&lt;&gt;"","Done","Send thank-you"))))</f>
        <v/>
      </c>
      <c r="L58" s="1">
        <f>IF(OR(B58="",B58&lt;TODAY()),"",B58+MOD(N(C58),1)+ROW()/10000000)</f>
        <v/>
      </c>
    </row>
    <row r="59">
      <c r="A59" s="1" t="n"/>
      <c r="B59" s="24" t="n"/>
      <c r="C59" s="27" t="n"/>
      <c r="D59" s="21" t="n"/>
      <c r="E59" s="22" t="n"/>
      <c r="F59" s="22" t="n"/>
      <c r="G59" s="22" t="n"/>
      <c r="H59" s="22" t="n"/>
      <c r="I59" s="22" t="n"/>
      <c r="J59" s="25" t="n"/>
      <c r="K59" s="26">
        <f>IF(B59="","",IF(B59&gt;TODAY(),"Coming up",IF(B59=TODAY(),"Today",IF(J59&lt;&gt;"","Done","Send thank-you"))))</f>
        <v/>
      </c>
      <c r="L59" s="1">
        <f>IF(OR(B59="",B59&lt;TODAY()),"",B59+MOD(N(C59),1)+ROW()/10000000)</f>
        <v/>
      </c>
    </row>
    <row r="60">
      <c r="A60" s="1" t="n"/>
      <c r="B60" s="24" t="n"/>
      <c r="C60" s="27" t="n"/>
      <c r="D60" s="21" t="n"/>
      <c r="E60" s="22" t="n"/>
      <c r="F60" s="22" t="n"/>
      <c r="G60" s="22" t="n"/>
      <c r="H60" s="22" t="n"/>
      <c r="I60" s="22" t="n"/>
      <c r="J60" s="25" t="n"/>
      <c r="K60" s="26">
        <f>IF(B60="","",IF(B60&gt;TODAY(),"Coming up",IF(B60=TODAY(),"Today",IF(J60&lt;&gt;"","Done","Send thank-you"))))</f>
        <v/>
      </c>
      <c r="L60" s="1">
        <f>IF(OR(B60="",B60&lt;TODAY()),"",B60+MOD(N(C60),1)+ROW()/10000000)</f>
        <v/>
      </c>
    </row>
    <row r="61">
      <c r="A61" s="1" t="n"/>
      <c r="B61" s="24" t="n"/>
      <c r="C61" s="27" t="n"/>
      <c r="D61" s="21" t="n"/>
      <c r="E61" s="22" t="n"/>
      <c r="F61" s="22" t="n"/>
      <c r="G61" s="22" t="n"/>
      <c r="H61" s="22" t="n"/>
      <c r="I61" s="22" t="n"/>
      <c r="J61" s="25" t="n"/>
      <c r="K61" s="26">
        <f>IF(B61="","",IF(B61&gt;TODAY(),"Coming up",IF(B61=TODAY(),"Today",IF(J61&lt;&gt;"","Done","Send thank-you"))))</f>
        <v/>
      </c>
      <c r="L61" s="1">
        <f>IF(OR(B61="",B61&lt;TODAY()),"",B61+MOD(N(C61),1)+ROW()/10000000)</f>
        <v/>
      </c>
    </row>
    <row r="62">
      <c r="A62" s="1" t="n"/>
      <c r="B62" s="24" t="n"/>
      <c r="C62" s="27" t="n"/>
      <c r="D62" s="21" t="n"/>
      <c r="E62" s="22" t="n"/>
      <c r="F62" s="22" t="n"/>
      <c r="G62" s="22" t="n"/>
      <c r="H62" s="22" t="n"/>
      <c r="I62" s="22" t="n"/>
      <c r="J62" s="25" t="n"/>
      <c r="K62" s="26">
        <f>IF(B62="","",IF(B62&gt;TODAY(),"Coming up",IF(B62=TODAY(),"Today",IF(J62&lt;&gt;"","Done","Send thank-you"))))</f>
        <v/>
      </c>
      <c r="L62" s="1">
        <f>IF(OR(B62="",B62&lt;TODAY()),"",B62+MOD(N(C62),1)+ROW()/10000000)</f>
        <v/>
      </c>
    </row>
    <row r="63">
      <c r="A63" s="1" t="n"/>
      <c r="B63" s="24" t="n"/>
      <c r="C63" s="27" t="n"/>
      <c r="D63" s="21" t="n"/>
      <c r="E63" s="22" t="n"/>
      <c r="F63" s="22" t="n"/>
      <c r="G63" s="22" t="n"/>
      <c r="H63" s="22" t="n"/>
      <c r="I63" s="22" t="n"/>
      <c r="J63" s="25" t="n"/>
      <c r="K63" s="26">
        <f>IF(B63="","",IF(B63&gt;TODAY(),"Coming up",IF(B63=TODAY(),"Today",IF(J63&lt;&gt;"","Done","Send thank-you"))))</f>
        <v/>
      </c>
      <c r="L63" s="1">
        <f>IF(OR(B63="",B63&lt;TODAY()),"",B63+MOD(N(C63),1)+ROW()/10000000)</f>
        <v/>
      </c>
    </row>
    <row r="64">
      <c r="A64" s="1" t="n"/>
      <c r="B64" s="24" t="n"/>
      <c r="C64" s="27" t="n"/>
      <c r="D64" s="21" t="n"/>
      <c r="E64" s="22" t="n"/>
      <c r="F64" s="22" t="n"/>
      <c r="G64" s="22" t="n"/>
      <c r="H64" s="22" t="n"/>
      <c r="I64" s="22" t="n"/>
      <c r="J64" s="25" t="n"/>
      <c r="K64" s="26">
        <f>IF(B64="","",IF(B64&gt;TODAY(),"Coming up",IF(B64=TODAY(),"Today",IF(J64&lt;&gt;"","Done","Send thank-you"))))</f>
        <v/>
      </c>
      <c r="L64" s="1">
        <f>IF(OR(B64="",B64&lt;TODAY()),"",B64+MOD(N(C64),1)+ROW()/10000000)</f>
        <v/>
      </c>
    </row>
    <row r="65">
      <c r="A65" s="1" t="n"/>
      <c r="B65" s="24" t="n"/>
      <c r="C65" s="27" t="n"/>
      <c r="D65" s="21" t="n"/>
      <c r="E65" s="22" t="n"/>
      <c r="F65" s="22" t="n"/>
      <c r="G65" s="22" t="n"/>
      <c r="H65" s="22" t="n"/>
      <c r="I65" s="22" t="n"/>
      <c r="J65" s="25" t="n"/>
      <c r="K65" s="26">
        <f>IF(B65="","",IF(B65&gt;TODAY(),"Coming up",IF(B65=TODAY(),"Today",IF(J65&lt;&gt;"","Done","Send thank-you"))))</f>
        <v/>
      </c>
      <c r="L65" s="1">
        <f>IF(OR(B65="",B65&lt;TODAY()),"",B65+MOD(N(C65),1)+ROW()/10000000)</f>
        <v/>
      </c>
    </row>
    <row r="66">
      <c r="A66" s="1" t="n"/>
      <c r="B66" s="24" t="n"/>
      <c r="C66" s="27" t="n"/>
      <c r="D66" s="21" t="n"/>
      <c r="E66" s="22" t="n"/>
      <c r="F66" s="22" t="n"/>
      <c r="G66" s="22" t="n"/>
      <c r="H66" s="22" t="n"/>
      <c r="I66" s="22" t="n"/>
      <c r="J66" s="25" t="n"/>
      <c r="K66" s="26">
        <f>IF(B66="","",IF(B66&gt;TODAY(),"Coming up",IF(B66=TODAY(),"Today",IF(J66&lt;&gt;"","Done","Send thank-you"))))</f>
        <v/>
      </c>
      <c r="L66" s="1">
        <f>IF(OR(B66="",B66&lt;TODAY()),"",B66+MOD(N(C66),1)+ROW()/10000000)</f>
        <v/>
      </c>
    </row>
    <row r="67">
      <c r="A67" s="1" t="n"/>
      <c r="B67" s="24" t="n"/>
      <c r="C67" s="27" t="n"/>
      <c r="D67" s="21" t="n"/>
      <c r="E67" s="22" t="n"/>
      <c r="F67" s="22" t="n"/>
      <c r="G67" s="22" t="n"/>
      <c r="H67" s="22" t="n"/>
      <c r="I67" s="22" t="n"/>
      <c r="J67" s="25" t="n"/>
      <c r="K67" s="26">
        <f>IF(B67="","",IF(B67&gt;TODAY(),"Coming up",IF(B67=TODAY(),"Today",IF(J67&lt;&gt;"","Done","Send thank-you"))))</f>
        <v/>
      </c>
      <c r="L67" s="1">
        <f>IF(OR(B67="",B67&lt;TODAY()),"",B67+MOD(N(C67),1)+ROW()/10000000)</f>
        <v/>
      </c>
    </row>
    <row r="68">
      <c r="A68" s="1" t="n"/>
      <c r="B68" s="24" t="n"/>
      <c r="C68" s="27" t="n"/>
      <c r="D68" s="21" t="n"/>
      <c r="E68" s="22" t="n"/>
      <c r="F68" s="22" t="n"/>
      <c r="G68" s="22" t="n"/>
      <c r="H68" s="22" t="n"/>
      <c r="I68" s="22" t="n"/>
      <c r="J68" s="25" t="n"/>
      <c r="K68" s="26">
        <f>IF(B68="","",IF(B68&gt;TODAY(),"Coming up",IF(B68=TODAY(),"Today",IF(J68&lt;&gt;"","Done","Send thank-you"))))</f>
        <v/>
      </c>
      <c r="L68" s="1">
        <f>IF(OR(B68="",B68&lt;TODAY()),"",B68+MOD(N(C68),1)+ROW()/10000000)</f>
        <v/>
      </c>
    </row>
    <row r="69">
      <c r="A69" s="1" t="n"/>
      <c r="B69" s="24" t="n"/>
      <c r="C69" s="27" t="n"/>
      <c r="D69" s="21" t="n"/>
      <c r="E69" s="22" t="n"/>
      <c r="F69" s="22" t="n"/>
      <c r="G69" s="22" t="n"/>
      <c r="H69" s="22" t="n"/>
      <c r="I69" s="22" t="n"/>
      <c r="J69" s="25" t="n"/>
      <c r="K69" s="26">
        <f>IF(B69="","",IF(B69&gt;TODAY(),"Coming up",IF(B69=TODAY(),"Today",IF(J69&lt;&gt;"","Done","Send thank-you"))))</f>
        <v/>
      </c>
      <c r="L69" s="1">
        <f>IF(OR(B69="",B69&lt;TODAY()),"",B69+MOD(N(C69),1)+ROW()/10000000)</f>
        <v/>
      </c>
    </row>
    <row r="70">
      <c r="A70" s="1" t="n"/>
      <c r="B70" s="24" t="n"/>
      <c r="C70" s="27" t="n"/>
      <c r="D70" s="21" t="n"/>
      <c r="E70" s="22" t="n"/>
      <c r="F70" s="22" t="n"/>
      <c r="G70" s="22" t="n"/>
      <c r="H70" s="22" t="n"/>
      <c r="I70" s="22" t="n"/>
      <c r="J70" s="25" t="n"/>
      <c r="K70" s="26">
        <f>IF(B70="","",IF(B70&gt;TODAY(),"Coming up",IF(B70=TODAY(),"Today",IF(J70&lt;&gt;"","Done","Send thank-you"))))</f>
        <v/>
      </c>
      <c r="L70" s="1">
        <f>IF(OR(B70="",B70&lt;TODAY()),"",B70+MOD(N(C70),1)+ROW()/10000000)</f>
        <v/>
      </c>
    </row>
    <row r="71">
      <c r="A71" s="1" t="n"/>
      <c r="B71" s="24" t="n"/>
      <c r="C71" s="27" t="n"/>
      <c r="D71" s="21" t="n"/>
      <c r="E71" s="22" t="n"/>
      <c r="F71" s="22" t="n"/>
      <c r="G71" s="22" t="n"/>
      <c r="H71" s="22" t="n"/>
      <c r="I71" s="22" t="n"/>
      <c r="J71" s="25" t="n"/>
      <c r="K71" s="26">
        <f>IF(B71="","",IF(B71&gt;TODAY(),"Coming up",IF(B71=TODAY(),"Today",IF(J71&lt;&gt;"","Done","Send thank-you"))))</f>
        <v/>
      </c>
      <c r="L71" s="1">
        <f>IF(OR(B71="",B71&lt;TODAY()),"",B71+MOD(N(C71),1)+ROW()/10000000)</f>
        <v/>
      </c>
    </row>
    <row r="72">
      <c r="A72" s="1" t="n"/>
      <c r="B72" s="24" t="n"/>
      <c r="C72" s="27" t="n"/>
      <c r="D72" s="21" t="n"/>
      <c r="E72" s="22" t="n"/>
      <c r="F72" s="22" t="n"/>
      <c r="G72" s="22" t="n"/>
      <c r="H72" s="22" t="n"/>
      <c r="I72" s="22" t="n"/>
      <c r="J72" s="25" t="n"/>
      <c r="K72" s="26">
        <f>IF(B72="","",IF(B72&gt;TODAY(),"Coming up",IF(B72=TODAY(),"Today",IF(J72&lt;&gt;"","Done","Send thank-you"))))</f>
        <v/>
      </c>
      <c r="L72" s="1">
        <f>IF(OR(B72="",B72&lt;TODAY()),"",B72+MOD(N(C72),1)+ROW()/10000000)</f>
        <v/>
      </c>
    </row>
    <row r="73">
      <c r="A73" s="1" t="n"/>
      <c r="B73" s="24" t="n"/>
      <c r="C73" s="27" t="n"/>
      <c r="D73" s="21" t="n"/>
      <c r="E73" s="22" t="n"/>
      <c r="F73" s="22" t="n"/>
      <c r="G73" s="22" t="n"/>
      <c r="H73" s="22" t="n"/>
      <c r="I73" s="22" t="n"/>
      <c r="J73" s="25" t="n"/>
      <c r="K73" s="26">
        <f>IF(B73="","",IF(B73&gt;TODAY(),"Coming up",IF(B73=TODAY(),"Today",IF(J73&lt;&gt;"","Done","Send thank-you"))))</f>
        <v/>
      </c>
      <c r="L73" s="1">
        <f>IF(OR(B73="",B73&lt;TODAY()),"",B73+MOD(N(C73),1)+ROW()/10000000)</f>
        <v/>
      </c>
    </row>
    <row r="74">
      <c r="A74" s="1" t="n"/>
      <c r="B74" s="24" t="n"/>
      <c r="C74" s="27" t="n"/>
      <c r="D74" s="21" t="n"/>
      <c r="E74" s="22" t="n"/>
      <c r="F74" s="22" t="n"/>
      <c r="G74" s="22" t="n"/>
      <c r="H74" s="22" t="n"/>
      <c r="I74" s="22" t="n"/>
      <c r="J74" s="25" t="n"/>
      <c r="K74" s="26">
        <f>IF(B74="","",IF(B74&gt;TODAY(),"Coming up",IF(B74=TODAY(),"Today",IF(J74&lt;&gt;"","Done","Send thank-you"))))</f>
        <v/>
      </c>
      <c r="L74" s="1">
        <f>IF(OR(B74="",B74&lt;TODAY()),"",B74+MOD(N(C74),1)+ROW()/10000000)</f>
        <v/>
      </c>
    </row>
    <row r="75">
      <c r="A75" s="1" t="n"/>
      <c r="B75" s="24" t="n"/>
      <c r="C75" s="27" t="n"/>
      <c r="D75" s="21" t="n"/>
      <c r="E75" s="22" t="n"/>
      <c r="F75" s="22" t="n"/>
      <c r="G75" s="22" t="n"/>
      <c r="H75" s="22" t="n"/>
      <c r="I75" s="22" t="n"/>
      <c r="J75" s="25" t="n"/>
      <c r="K75" s="26">
        <f>IF(B75="","",IF(B75&gt;TODAY(),"Coming up",IF(B75=TODAY(),"Today",IF(J75&lt;&gt;"","Done","Send thank-you"))))</f>
        <v/>
      </c>
      <c r="L75" s="1">
        <f>IF(OR(B75="",B75&lt;TODAY()),"",B75+MOD(N(C75),1)+ROW()/10000000)</f>
        <v/>
      </c>
    </row>
    <row r="76">
      <c r="A76" s="1" t="n"/>
      <c r="B76" s="24" t="n"/>
      <c r="C76" s="27" t="n"/>
      <c r="D76" s="21" t="n"/>
      <c r="E76" s="22" t="n"/>
      <c r="F76" s="22" t="n"/>
      <c r="G76" s="22" t="n"/>
      <c r="H76" s="22" t="n"/>
      <c r="I76" s="22" t="n"/>
      <c r="J76" s="25" t="n"/>
      <c r="K76" s="26">
        <f>IF(B76="","",IF(B76&gt;TODAY(),"Coming up",IF(B76=TODAY(),"Today",IF(J76&lt;&gt;"","Done","Send thank-you"))))</f>
        <v/>
      </c>
      <c r="L76" s="1">
        <f>IF(OR(B76="",B76&lt;TODAY()),"",B76+MOD(N(C76),1)+ROW()/10000000)</f>
        <v/>
      </c>
    </row>
    <row r="77">
      <c r="A77" s="1" t="n"/>
      <c r="B77" s="24" t="n"/>
      <c r="C77" s="27" t="n"/>
      <c r="D77" s="21" t="n"/>
      <c r="E77" s="22" t="n"/>
      <c r="F77" s="22" t="n"/>
      <c r="G77" s="22" t="n"/>
      <c r="H77" s="22" t="n"/>
      <c r="I77" s="22" t="n"/>
      <c r="J77" s="25" t="n"/>
      <c r="K77" s="26">
        <f>IF(B77="","",IF(B77&gt;TODAY(),"Coming up",IF(B77=TODAY(),"Today",IF(J77&lt;&gt;"","Done","Send thank-you"))))</f>
        <v/>
      </c>
      <c r="L77" s="1">
        <f>IF(OR(B77="",B77&lt;TODAY()),"",B77+MOD(N(C77),1)+ROW()/10000000)</f>
        <v/>
      </c>
    </row>
    <row r="78">
      <c r="A78" s="1" t="n"/>
      <c r="B78" s="24" t="n"/>
      <c r="C78" s="27" t="n"/>
      <c r="D78" s="21" t="n"/>
      <c r="E78" s="22" t="n"/>
      <c r="F78" s="22" t="n"/>
      <c r="G78" s="22" t="n"/>
      <c r="H78" s="22" t="n"/>
      <c r="I78" s="22" t="n"/>
      <c r="J78" s="25" t="n"/>
      <c r="K78" s="26">
        <f>IF(B78="","",IF(B78&gt;TODAY(),"Coming up",IF(B78=TODAY(),"Today",IF(J78&lt;&gt;"","Done","Send thank-you"))))</f>
        <v/>
      </c>
      <c r="L78" s="1">
        <f>IF(OR(B78="",B78&lt;TODAY()),"",B78+MOD(N(C78),1)+ROW()/10000000)</f>
        <v/>
      </c>
    </row>
    <row r="79">
      <c r="A79" s="1" t="n"/>
      <c r="B79" s="24" t="n"/>
      <c r="C79" s="27" t="n"/>
      <c r="D79" s="21" t="n"/>
      <c r="E79" s="22" t="n"/>
      <c r="F79" s="22" t="n"/>
      <c r="G79" s="22" t="n"/>
      <c r="H79" s="22" t="n"/>
      <c r="I79" s="22" t="n"/>
      <c r="J79" s="25" t="n"/>
      <c r="K79" s="26">
        <f>IF(B79="","",IF(B79&gt;TODAY(),"Coming up",IF(B79=TODAY(),"Today",IF(J79&lt;&gt;"","Done","Send thank-you"))))</f>
        <v/>
      </c>
      <c r="L79" s="1">
        <f>IF(OR(B79="",B79&lt;TODAY()),"",B79+MOD(N(C79),1)+ROW()/10000000)</f>
        <v/>
      </c>
    </row>
    <row r="80">
      <c r="A80" s="1" t="n"/>
      <c r="B80" s="24" t="n"/>
      <c r="C80" s="27" t="n"/>
      <c r="D80" s="21" t="n"/>
      <c r="E80" s="22" t="n"/>
      <c r="F80" s="22" t="n"/>
      <c r="G80" s="22" t="n"/>
      <c r="H80" s="22" t="n"/>
      <c r="I80" s="22" t="n"/>
      <c r="J80" s="25" t="n"/>
      <c r="K80" s="26">
        <f>IF(B80="","",IF(B80&gt;TODAY(),"Coming up",IF(B80=TODAY(),"Today",IF(J80&lt;&gt;"","Done","Send thank-you"))))</f>
        <v/>
      </c>
      <c r="L80" s="1">
        <f>IF(OR(B80="",B80&lt;TODAY()),"",B80+MOD(N(C80),1)+ROW()/10000000)</f>
        <v/>
      </c>
    </row>
    <row r="81">
      <c r="A81" s="1" t="n"/>
      <c r="B81" s="24" t="n"/>
      <c r="C81" s="27" t="n"/>
      <c r="D81" s="21" t="n"/>
      <c r="E81" s="22" t="n"/>
      <c r="F81" s="22" t="n"/>
      <c r="G81" s="22" t="n"/>
      <c r="H81" s="22" t="n"/>
      <c r="I81" s="22" t="n"/>
      <c r="J81" s="25" t="n"/>
      <c r="K81" s="26">
        <f>IF(B81="","",IF(B81&gt;TODAY(),"Coming up",IF(B81=TODAY(),"Today",IF(J81&lt;&gt;"","Done","Send thank-you"))))</f>
        <v/>
      </c>
      <c r="L81" s="1">
        <f>IF(OR(B81="",B81&lt;TODAY()),"",B81+MOD(N(C81),1)+ROW()/10000000)</f>
        <v/>
      </c>
    </row>
    <row r="82">
      <c r="A82" s="1" t="n"/>
      <c r="B82" s="24" t="n"/>
      <c r="C82" s="27" t="n"/>
      <c r="D82" s="21" t="n"/>
      <c r="E82" s="22" t="n"/>
      <c r="F82" s="22" t="n"/>
      <c r="G82" s="22" t="n"/>
      <c r="H82" s="22" t="n"/>
      <c r="I82" s="22" t="n"/>
      <c r="J82" s="25" t="n"/>
      <c r="K82" s="26">
        <f>IF(B82="","",IF(B82&gt;TODAY(),"Coming up",IF(B82=TODAY(),"Today",IF(J82&lt;&gt;"","Done","Send thank-you"))))</f>
        <v/>
      </c>
      <c r="L82" s="1">
        <f>IF(OR(B82="",B82&lt;TODAY()),"",B82+MOD(N(C82),1)+ROW()/10000000)</f>
        <v/>
      </c>
    </row>
    <row r="83">
      <c r="A83" s="1" t="n"/>
      <c r="B83" s="24" t="n"/>
      <c r="C83" s="27" t="n"/>
      <c r="D83" s="21" t="n"/>
      <c r="E83" s="22" t="n"/>
      <c r="F83" s="22" t="n"/>
      <c r="G83" s="22" t="n"/>
      <c r="H83" s="22" t="n"/>
      <c r="I83" s="22" t="n"/>
      <c r="J83" s="25" t="n"/>
      <c r="K83" s="26">
        <f>IF(B83="","",IF(B83&gt;TODAY(),"Coming up",IF(B83=TODAY(),"Today",IF(J83&lt;&gt;"","Done","Send thank-you"))))</f>
        <v/>
      </c>
      <c r="L83" s="1">
        <f>IF(OR(B83="",B83&lt;TODAY()),"",B83+MOD(N(C83),1)+ROW()/10000000)</f>
        <v/>
      </c>
    </row>
    <row r="84">
      <c r="A84" s="1" t="n"/>
      <c r="B84" s="24" t="n"/>
      <c r="C84" s="27" t="n"/>
      <c r="D84" s="21" t="n"/>
      <c r="E84" s="22" t="n"/>
      <c r="F84" s="22" t="n"/>
      <c r="G84" s="22" t="n"/>
      <c r="H84" s="22" t="n"/>
      <c r="I84" s="22" t="n"/>
      <c r="J84" s="25" t="n"/>
      <c r="K84" s="26">
        <f>IF(B84="","",IF(B84&gt;TODAY(),"Coming up",IF(B84=TODAY(),"Today",IF(J84&lt;&gt;"","Done","Send thank-you"))))</f>
        <v/>
      </c>
      <c r="L84" s="1">
        <f>IF(OR(B84="",B84&lt;TODAY()),"",B84+MOD(N(C84),1)+ROW()/10000000)</f>
        <v/>
      </c>
    </row>
    <row r="85">
      <c r="A85" s="1" t="n"/>
      <c r="B85" s="24" t="n"/>
      <c r="C85" s="27" t="n"/>
      <c r="D85" s="21" t="n"/>
      <c r="E85" s="22" t="n"/>
      <c r="F85" s="22" t="n"/>
      <c r="G85" s="22" t="n"/>
      <c r="H85" s="22" t="n"/>
      <c r="I85" s="22" t="n"/>
      <c r="J85" s="25" t="n"/>
      <c r="K85" s="26">
        <f>IF(B85="","",IF(B85&gt;TODAY(),"Coming up",IF(B85=TODAY(),"Today",IF(J85&lt;&gt;"","Done","Send thank-you"))))</f>
        <v/>
      </c>
      <c r="L85" s="1">
        <f>IF(OR(B85="",B85&lt;TODAY()),"",B85+MOD(N(C85),1)+ROW()/10000000)</f>
        <v/>
      </c>
    </row>
    <row r="86">
      <c r="A86" s="1" t="n"/>
      <c r="B86" s="24" t="n"/>
      <c r="C86" s="27" t="n"/>
      <c r="D86" s="21" t="n"/>
      <c r="E86" s="22" t="n"/>
      <c r="F86" s="22" t="n"/>
      <c r="G86" s="22" t="n"/>
      <c r="H86" s="22" t="n"/>
      <c r="I86" s="22" t="n"/>
      <c r="J86" s="25" t="n"/>
      <c r="K86" s="26">
        <f>IF(B86="","",IF(B86&gt;TODAY(),"Coming up",IF(B86=TODAY(),"Today",IF(J86&lt;&gt;"","Done","Send thank-you"))))</f>
        <v/>
      </c>
      <c r="L86" s="1">
        <f>IF(OR(B86="",B86&lt;TODAY()),"",B86+MOD(N(C86),1)+ROW()/10000000)</f>
        <v/>
      </c>
    </row>
    <row r="87">
      <c r="A87" s="1" t="n"/>
      <c r="B87" s="24" t="n"/>
      <c r="C87" s="27" t="n"/>
      <c r="D87" s="21" t="n"/>
      <c r="E87" s="22" t="n"/>
      <c r="F87" s="22" t="n"/>
      <c r="G87" s="22" t="n"/>
      <c r="H87" s="22" t="n"/>
      <c r="I87" s="22" t="n"/>
      <c r="J87" s="25" t="n"/>
      <c r="K87" s="26">
        <f>IF(B87="","",IF(B87&gt;TODAY(),"Coming up",IF(B87=TODAY(),"Today",IF(J87&lt;&gt;"","Done","Send thank-you"))))</f>
        <v/>
      </c>
      <c r="L87" s="1">
        <f>IF(OR(B87="",B87&lt;TODAY()),"",B87+MOD(N(C87),1)+ROW()/10000000)</f>
        <v/>
      </c>
    </row>
    <row r="88">
      <c r="A88" s="1" t="n"/>
      <c r="B88" s="24" t="n"/>
      <c r="C88" s="27" t="n"/>
      <c r="D88" s="21" t="n"/>
      <c r="E88" s="22" t="n"/>
      <c r="F88" s="22" t="n"/>
      <c r="G88" s="22" t="n"/>
      <c r="H88" s="22" t="n"/>
      <c r="I88" s="22" t="n"/>
      <c r="J88" s="25" t="n"/>
      <c r="K88" s="26">
        <f>IF(B88="","",IF(B88&gt;TODAY(),"Coming up",IF(B88=TODAY(),"Today",IF(J88&lt;&gt;"","Done","Send thank-you"))))</f>
        <v/>
      </c>
      <c r="L88" s="1">
        <f>IF(OR(B88="",B88&lt;TODAY()),"",B88+MOD(N(C88),1)+ROW()/10000000)</f>
        <v/>
      </c>
    </row>
    <row r="89">
      <c r="A89" s="1" t="n"/>
      <c r="B89" s="24" t="n"/>
      <c r="C89" s="27" t="n"/>
      <c r="D89" s="21" t="n"/>
      <c r="E89" s="22" t="n"/>
      <c r="F89" s="22" t="n"/>
      <c r="G89" s="22" t="n"/>
      <c r="H89" s="22" t="n"/>
      <c r="I89" s="22" t="n"/>
      <c r="J89" s="25" t="n"/>
      <c r="K89" s="26">
        <f>IF(B89="","",IF(B89&gt;TODAY(),"Coming up",IF(B89=TODAY(),"Today",IF(J89&lt;&gt;"","Done","Send thank-you"))))</f>
        <v/>
      </c>
      <c r="L89" s="1">
        <f>IF(OR(B89="",B89&lt;TODAY()),"",B89+MOD(N(C89),1)+ROW()/10000000)</f>
        <v/>
      </c>
    </row>
    <row r="90">
      <c r="A90" s="1" t="n"/>
      <c r="B90" s="24" t="n"/>
      <c r="C90" s="27" t="n"/>
      <c r="D90" s="21" t="n"/>
      <c r="E90" s="22" t="n"/>
      <c r="F90" s="22" t="n"/>
      <c r="G90" s="22" t="n"/>
      <c r="H90" s="22" t="n"/>
      <c r="I90" s="22" t="n"/>
      <c r="J90" s="25" t="n"/>
      <c r="K90" s="26">
        <f>IF(B90="","",IF(B90&gt;TODAY(),"Coming up",IF(B90=TODAY(),"Today",IF(J90&lt;&gt;"","Done","Send thank-you"))))</f>
        <v/>
      </c>
      <c r="L90" s="1">
        <f>IF(OR(B90="",B90&lt;TODAY()),"",B90+MOD(N(C90),1)+ROW()/10000000)</f>
        <v/>
      </c>
    </row>
    <row r="91">
      <c r="A91" s="1" t="n"/>
      <c r="B91" s="24" t="n"/>
      <c r="C91" s="27" t="n"/>
      <c r="D91" s="21" t="n"/>
      <c r="E91" s="22" t="n"/>
      <c r="F91" s="22" t="n"/>
      <c r="G91" s="22" t="n"/>
      <c r="H91" s="22" t="n"/>
      <c r="I91" s="22" t="n"/>
      <c r="J91" s="25" t="n"/>
      <c r="K91" s="26">
        <f>IF(B91="","",IF(B91&gt;TODAY(),"Coming up",IF(B91=TODAY(),"Today",IF(J91&lt;&gt;"","Done","Send thank-you"))))</f>
        <v/>
      </c>
      <c r="L91" s="1">
        <f>IF(OR(B91="",B91&lt;TODAY()),"",B91+MOD(N(C91),1)+ROW()/10000000)</f>
        <v/>
      </c>
    </row>
    <row r="92">
      <c r="A92" s="1" t="n"/>
      <c r="B92" s="24" t="n"/>
      <c r="C92" s="27" t="n"/>
      <c r="D92" s="21" t="n"/>
      <c r="E92" s="22" t="n"/>
      <c r="F92" s="22" t="n"/>
      <c r="G92" s="22" t="n"/>
      <c r="H92" s="22" t="n"/>
      <c r="I92" s="22" t="n"/>
      <c r="J92" s="25" t="n"/>
      <c r="K92" s="26">
        <f>IF(B92="","",IF(B92&gt;TODAY(),"Coming up",IF(B92=TODAY(),"Today",IF(J92&lt;&gt;"","Done","Send thank-you"))))</f>
        <v/>
      </c>
      <c r="L92" s="1">
        <f>IF(OR(B92="",B92&lt;TODAY()),"",B92+MOD(N(C92),1)+ROW()/10000000)</f>
        <v/>
      </c>
    </row>
    <row r="93">
      <c r="A93" s="1" t="n"/>
      <c r="B93" s="24" t="n"/>
      <c r="C93" s="27" t="n"/>
      <c r="D93" s="21" t="n"/>
      <c r="E93" s="22" t="n"/>
      <c r="F93" s="22" t="n"/>
      <c r="G93" s="22" t="n"/>
      <c r="H93" s="22" t="n"/>
      <c r="I93" s="22" t="n"/>
      <c r="J93" s="25" t="n"/>
      <c r="K93" s="26">
        <f>IF(B93="","",IF(B93&gt;TODAY(),"Coming up",IF(B93=TODAY(),"Today",IF(J93&lt;&gt;"","Done","Send thank-you"))))</f>
        <v/>
      </c>
      <c r="L93" s="1">
        <f>IF(OR(B93="",B93&lt;TODAY()),"",B93+MOD(N(C93),1)+ROW()/10000000)</f>
        <v/>
      </c>
    </row>
    <row r="94">
      <c r="A94" s="1" t="n"/>
      <c r="B94" s="24" t="n"/>
      <c r="C94" s="27" t="n"/>
      <c r="D94" s="21" t="n"/>
      <c r="E94" s="22" t="n"/>
      <c r="F94" s="22" t="n"/>
      <c r="G94" s="22" t="n"/>
      <c r="H94" s="22" t="n"/>
      <c r="I94" s="22" t="n"/>
      <c r="J94" s="25" t="n"/>
      <c r="K94" s="26">
        <f>IF(B94="","",IF(B94&gt;TODAY(),"Coming up",IF(B94=TODAY(),"Today",IF(J94&lt;&gt;"","Done","Send thank-you"))))</f>
        <v/>
      </c>
      <c r="L94" s="1">
        <f>IF(OR(B94="",B94&lt;TODAY()),"",B94+MOD(N(C94),1)+ROW()/10000000)</f>
        <v/>
      </c>
    </row>
    <row r="95">
      <c r="A95" s="1" t="n"/>
      <c r="B95" s="24" t="n"/>
      <c r="C95" s="27" t="n"/>
      <c r="D95" s="21" t="n"/>
      <c r="E95" s="22" t="n"/>
      <c r="F95" s="22" t="n"/>
      <c r="G95" s="22" t="n"/>
      <c r="H95" s="22" t="n"/>
      <c r="I95" s="22" t="n"/>
      <c r="J95" s="25" t="n"/>
      <c r="K95" s="26">
        <f>IF(B95="","",IF(B95&gt;TODAY(),"Coming up",IF(B95=TODAY(),"Today",IF(J95&lt;&gt;"","Done","Send thank-you"))))</f>
        <v/>
      </c>
      <c r="L95" s="1">
        <f>IF(OR(B95="",B95&lt;TODAY()),"",B95+MOD(N(C95),1)+ROW()/10000000)</f>
        <v/>
      </c>
    </row>
    <row r="96">
      <c r="A96" s="1" t="n"/>
      <c r="B96" s="24" t="n"/>
      <c r="C96" s="27" t="n"/>
      <c r="D96" s="21" t="n"/>
      <c r="E96" s="22" t="n"/>
      <c r="F96" s="22" t="n"/>
      <c r="G96" s="22" t="n"/>
      <c r="H96" s="22" t="n"/>
      <c r="I96" s="22" t="n"/>
      <c r="J96" s="25" t="n"/>
      <c r="K96" s="26">
        <f>IF(B96="","",IF(B96&gt;TODAY(),"Coming up",IF(B96=TODAY(),"Today",IF(J96&lt;&gt;"","Done","Send thank-you"))))</f>
        <v/>
      </c>
      <c r="L96" s="1">
        <f>IF(OR(B96="",B96&lt;TODAY()),"",B96+MOD(N(C96),1)+ROW()/10000000)</f>
        <v/>
      </c>
    </row>
    <row r="97">
      <c r="A97" s="1" t="n"/>
      <c r="B97" s="24" t="n"/>
      <c r="C97" s="27" t="n"/>
      <c r="D97" s="21" t="n"/>
      <c r="E97" s="22" t="n"/>
      <c r="F97" s="22" t="n"/>
      <c r="G97" s="22" t="n"/>
      <c r="H97" s="22" t="n"/>
      <c r="I97" s="22" t="n"/>
      <c r="J97" s="25" t="n"/>
      <c r="K97" s="26">
        <f>IF(B97="","",IF(B97&gt;TODAY(),"Coming up",IF(B97=TODAY(),"Today",IF(J97&lt;&gt;"","Done","Send thank-you"))))</f>
        <v/>
      </c>
      <c r="L97" s="1">
        <f>IF(OR(B97="",B97&lt;TODAY()),"",B97+MOD(N(C97),1)+ROW()/10000000)</f>
        <v/>
      </c>
    </row>
    <row r="98">
      <c r="A98" s="1" t="n"/>
      <c r="B98" s="24" t="n"/>
      <c r="C98" s="27" t="n"/>
      <c r="D98" s="21" t="n"/>
      <c r="E98" s="22" t="n"/>
      <c r="F98" s="22" t="n"/>
      <c r="G98" s="22" t="n"/>
      <c r="H98" s="22" t="n"/>
      <c r="I98" s="22" t="n"/>
      <c r="J98" s="25" t="n"/>
      <c r="K98" s="26">
        <f>IF(B98="","",IF(B98&gt;TODAY(),"Coming up",IF(B98=TODAY(),"Today",IF(J98&lt;&gt;"","Done","Send thank-you"))))</f>
        <v/>
      </c>
      <c r="L98" s="1">
        <f>IF(OR(B98="",B98&lt;TODAY()),"",B98+MOD(N(C98),1)+ROW()/10000000)</f>
        <v/>
      </c>
    </row>
    <row r="99">
      <c r="A99" s="1" t="n"/>
      <c r="B99" s="24" t="n"/>
      <c r="C99" s="27" t="n"/>
      <c r="D99" s="21" t="n"/>
      <c r="E99" s="22" t="n"/>
      <c r="F99" s="22" t="n"/>
      <c r="G99" s="22" t="n"/>
      <c r="H99" s="22" t="n"/>
      <c r="I99" s="22" t="n"/>
      <c r="J99" s="25" t="n"/>
      <c r="K99" s="26">
        <f>IF(B99="","",IF(B99&gt;TODAY(),"Coming up",IF(B99=TODAY(),"Today",IF(J99&lt;&gt;"","Done","Send thank-you"))))</f>
        <v/>
      </c>
      <c r="L99" s="1">
        <f>IF(OR(B99="",B99&lt;TODAY()),"",B99+MOD(N(C99),1)+ROW()/10000000)</f>
        <v/>
      </c>
    </row>
    <row r="100">
      <c r="A100" s="1" t="n"/>
      <c r="B100" s="24" t="n"/>
      <c r="C100" s="27" t="n"/>
      <c r="D100" s="21" t="n"/>
      <c r="E100" s="22" t="n"/>
      <c r="F100" s="22" t="n"/>
      <c r="G100" s="22" t="n"/>
      <c r="H100" s="22" t="n"/>
      <c r="I100" s="22" t="n"/>
      <c r="J100" s="25" t="n"/>
      <c r="K100" s="26">
        <f>IF(B100="","",IF(B100&gt;TODAY(),"Coming up",IF(B100=TODAY(),"Today",IF(J100&lt;&gt;"","Done","Send thank-you"))))</f>
        <v/>
      </c>
      <c r="L100" s="1">
        <f>IF(OR(B100="",B100&lt;TODAY()),"",B100+MOD(N(C100),1)+ROW()/10000000)</f>
        <v/>
      </c>
    </row>
    <row r="101">
      <c r="A101" s="1" t="n"/>
      <c r="B101" s="24" t="n"/>
      <c r="C101" s="27" t="n"/>
      <c r="D101" s="21" t="n"/>
      <c r="E101" s="22" t="n"/>
      <c r="F101" s="22" t="n"/>
      <c r="G101" s="22" t="n"/>
      <c r="H101" s="22" t="n"/>
      <c r="I101" s="22" t="n"/>
      <c r="J101" s="25" t="n"/>
      <c r="K101" s="26">
        <f>IF(B101="","",IF(B101&gt;TODAY(),"Coming up",IF(B101=TODAY(),"Today",IF(J101&lt;&gt;"","Done","Send thank-you"))))</f>
        <v/>
      </c>
      <c r="L101" s="1">
        <f>IF(OR(B101="",B101&lt;TODAY()),"",B101+MOD(N(C101),1)+ROW()/10000000)</f>
        <v/>
      </c>
    </row>
    <row r="102">
      <c r="A102" s="1" t="n"/>
      <c r="B102" s="24" t="n"/>
      <c r="C102" s="27" t="n"/>
      <c r="D102" s="21" t="n"/>
      <c r="E102" s="22" t="n"/>
      <c r="F102" s="22" t="n"/>
      <c r="G102" s="22" t="n"/>
      <c r="H102" s="22" t="n"/>
      <c r="I102" s="22" t="n"/>
      <c r="J102" s="25" t="n"/>
      <c r="K102" s="26">
        <f>IF(B102="","",IF(B102&gt;TODAY(),"Coming up",IF(B102=TODAY(),"Today",IF(J102&lt;&gt;"","Done","Send thank-you"))))</f>
        <v/>
      </c>
      <c r="L102" s="1">
        <f>IF(OR(B102="",B102&lt;TODAY()),"",B102+MOD(N(C102),1)+ROW()/10000000)</f>
        <v/>
      </c>
    </row>
    <row r="103">
      <c r="A103" s="1" t="n"/>
      <c r="B103" s="24" t="n"/>
      <c r="C103" s="27" t="n"/>
      <c r="D103" s="21" t="n"/>
      <c r="E103" s="22" t="n"/>
      <c r="F103" s="22" t="n"/>
      <c r="G103" s="22" t="n"/>
      <c r="H103" s="22" t="n"/>
      <c r="I103" s="22" t="n"/>
      <c r="J103" s="25" t="n"/>
      <c r="K103" s="26">
        <f>IF(B103="","",IF(B103&gt;TODAY(),"Coming up",IF(B103=TODAY(),"Today",IF(J103&lt;&gt;"","Done","Send thank-you"))))</f>
        <v/>
      </c>
      <c r="L103" s="1">
        <f>IF(OR(B103="",B103&lt;TODAY()),"",B103+MOD(N(C103),1)+ROW()/10000000)</f>
        <v/>
      </c>
    </row>
    <row r="104">
      <c r="A104" s="1" t="n"/>
      <c r="B104" s="24" t="n"/>
      <c r="C104" s="27" t="n"/>
      <c r="D104" s="21" t="n"/>
      <c r="E104" s="22" t="n"/>
      <c r="F104" s="22" t="n"/>
      <c r="G104" s="22" t="n"/>
      <c r="H104" s="22" t="n"/>
      <c r="I104" s="22" t="n"/>
      <c r="J104" s="25" t="n"/>
      <c r="K104" s="26">
        <f>IF(B104="","",IF(B104&gt;TODAY(),"Coming up",IF(B104=TODAY(),"Today",IF(J104&lt;&gt;"","Done","Send thank-you"))))</f>
        <v/>
      </c>
      <c r="L104" s="1">
        <f>IF(OR(B104="",B104&lt;TODAY()),"",B104+MOD(N(C104),1)+ROW()/10000000)</f>
        <v/>
      </c>
    </row>
    <row r="105">
      <c r="A105" s="1" t="n"/>
      <c r="B105" s="24" t="n"/>
      <c r="C105" s="27" t="n"/>
      <c r="D105" s="21" t="n"/>
      <c r="E105" s="22" t="n"/>
      <c r="F105" s="22" t="n"/>
      <c r="G105" s="22" t="n"/>
      <c r="H105" s="22" t="n"/>
      <c r="I105" s="22" t="n"/>
      <c r="J105" s="25" t="n"/>
      <c r="K105" s="26">
        <f>IF(B105="","",IF(B105&gt;TODAY(),"Coming up",IF(B105=TODAY(),"Today",IF(J105&lt;&gt;"","Done","Send thank-you"))))</f>
        <v/>
      </c>
      <c r="L105" s="1">
        <f>IF(OR(B105="",B105&lt;TODAY()),"",B105+MOD(N(C105),1)+ROW()/10000000)</f>
        <v/>
      </c>
    </row>
    <row r="106">
      <c r="A106" s="1" t="n"/>
      <c r="B106" s="24" t="n"/>
      <c r="C106" s="27" t="n"/>
      <c r="D106" s="21" t="n"/>
      <c r="E106" s="22" t="n"/>
      <c r="F106" s="22" t="n"/>
      <c r="G106" s="22" t="n"/>
      <c r="H106" s="22" t="n"/>
      <c r="I106" s="22" t="n"/>
      <c r="J106" s="25" t="n"/>
      <c r="K106" s="26">
        <f>IF(B106="","",IF(B106&gt;TODAY(),"Coming up",IF(B106=TODAY(),"Today",IF(J106&lt;&gt;"","Done","Send thank-you"))))</f>
        <v/>
      </c>
      <c r="L106" s="1">
        <f>IF(OR(B106="",B106&lt;TODAY()),"",B106+MOD(N(C106),1)+ROW()/10000000)</f>
        <v/>
      </c>
    </row>
    <row r="107">
      <c r="A107" s="1" t="n"/>
      <c r="B107" s="24" t="n"/>
      <c r="C107" s="27" t="n"/>
      <c r="D107" s="21" t="n"/>
      <c r="E107" s="22" t="n"/>
      <c r="F107" s="22" t="n"/>
      <c r="G107" s="22" t="n"/>
      <c r="H107" s="22" t="n"/>
      <c r="I107" s="22" t="n"/>
      <c r="J107" s="25" t="n"/>
      <c r="K107" s="26">
        <f>IF(B107="","",IF(B107&gt;TODAY(),"Coming up",IF(B107=TODAY(),"Today",IF(J107&lt;&gt;"","Done","Send thank-you"))))</f>
        <v/>
      </c>
      <c r="L107" s="1">
        <f>IF(OR(B107="",B107&lt;TODAY()),"",B107+MOD(N(C107),1)+ROW()/10000000)</f>
        <v/>
      </c>
    </row>
    <row r="108">
      <c r="A108" s="1" t="n"/>
      <c r="B108" s="24" t="n"/>
      <c r="C108" s="27" t="n"/>
      <c r="D108" s="21" t="n"/>
      <c r="E108" s="22" t="n"/>
      <c r="F108" s="22" t="n"/>
      <c r="G108" s="22" t="n"/>
      <c r="H108" s="22" t="n"/>
      <c r="I108" s="22" t="n"/>
      <c r="J108" s="25" t="n"/>
      <c r="K108" s="26">
        <f>IF(B108="","",IF(B108&gt;TODAY(),"Coming up",IF(B108=TODAY(),"Today",IF(J108&lt;&gt;"","Done","Send thank-you"))))</f>
        <v/>
      </c>
      <c r="L108" s="1">
        <f>IF(OR(B108="",B108&lt;TODAY()),"",B108+MOD(N(C108),1)+ROW()/10000000)</f>
        <v/>
      </c>
    </row>
    <row r="109">
      <c r="A109" s="1" t="n"/>
      <c r="B109" s="24" t="n"/>
      <c r="C109" s="27" t="n"/>
      <c r="D109" s="21" t="n"/>
      <c r="E109" s="22" t="n"/>
      <c r="F109" s="22" t="n"/>
      <c r="G109" s="22" t="n"/>
      <c r="H109" s="22" t="n"/>
      <c r="I109" s="22" t="n"/>
      <c r="J109" s="25" t="n"/>
      <c r="K109" s="26">
        <f>IF(B109="","",IF(B109&gt;TODAY(),"Coming up",IF(B109=TODAY(),"Today",IF(J109&lt;&gt;"","Done","Send thank-you"))))</f>
        <v/>
      </c>
      <c r="L109" s="1">
        <f>IF(OR(B109="",B109&lt;TODAY()),"",B109+MOD(N(C109),1)+ROW()/10000000)</f>
        <v/>
      </c>
    </row>
    <row r="110">
      <c r="A110" s="1" t="n"/>
      <c r="B110" s="24" t="n"/>
      <c r="C110" s="27" t="n"/>
      <c r="D110" s="21" t="n"/>
      <c r="E110" s="22" t="n"/>
      <c r="F110" s="22" t="n"/>
      <c r="G110" s="22" t="n"/>
      <c r="H110" s="22" t="n"/>
      <c r="I110" s="22" t="n"/>
      <c r="J110" s="25" t="n"/>
      <c r="K110" s="26">
        <f>IF(B110="","",IF(B110&gt;TODAY(),"Coming up",IF(B110=TODAY(),"Today",IF(J110&lt;&gt;"","Done","Send thank-you"))))</f>
        <v/>
      </c>
      <c r="L110" s="1">
        <f>IF(OR(B110="",B110&lt;TODAY()),"",B110+MOD(N(C110),1)+ROW()/10000000)</f>
        <v/>
      </c>
    </row>
    <row r="111">
      <c r="A111" s="1" t="n"/>
      <c r="B111" s="24" t="n"/>
      <c r="C111" s="27" t="n"/>
      <c r="D111" s="21" t="n"/>
      <c r="E111" s="22" t="n"/>
      <c r="F111" s="22" t="n"/>
      <c r="G111" s="22" t="n"/>
      <c r="H111" s="22" t="n"/>
      <c r="I111" s="22" t="n"/>
      <c r="J111" s="25" t="n"/>
      <c r="K111" s="26">
        <f>IF(B111="","",IF(B111&gt;TODAY(),"Coming up",IF(B111=TODAY(),"Today",IF(J111&lt;&gt;"","Done","Send thank-you"))))</f>
        <v/>
      </c>
      <c r="L111" s="1">
        <f>IF(OR(B111="",B111&lt;TODAY()),"",B111+MOD(N(C111),1)+ROW()/10000000)</f>
        <v/>
      </c>
    </row>
    <row r="112">
      <c r="A112" s="1" t="n"/>
      <c r="B112" s="24" t="n"/>
      <c r="C112" s="27" t="n"/>
      <c r="D112" s="21" t="n"/>
      <c r="E112" s="22" t="n"/>
      <c r="F112" s="22" t="n"/>
      <c r="G112" s="22" t="n"/>
      <c r="H112" s="22" t="n"/>
      <c r="I112" s="22" t="n"/>
      <c r="J112" s="25" t="n"/>
      <c r="K112" s="26">
        <f>IF(B112="","",IF(B112&gt;TODAY(),"Coming up",IF(B112=TODAY(),"Today",IF(J112&lt;&gt;"","Done","Send thank-you"))))</f>
        <v/>
      </c>
      <c r="L112" s="1">
        <f>IF(OR(B112="",B112&lt;TODAY()),"",B112+MOD(N(C112),1)+ROW()/10000000)</f>
        <v/>
      </c>
    </row>
    <row r="113">
      <c r="A113" s="1" t="n"/>
      <c r="B113" s="24" t="n"/>
      <c r="C113" s="27" t="n"/>
      <c r="D113" s="21" t="n"/>
      <c r="E113" s="22" t="n"/>
      <c r="F113" s="22" t="n"/>
      <c r="G113" s="22" t="n"/>
      <c r="H113" s="22" t="n"/>
      <c r="I113" s="22" t="n"/>
      <c r="J113" s="25" t="n"/>
      <c r="K113" s="26">
        <f>IF(B113="","",IF(B113&gt;TODAY(),"Coming up",IF(B113=TODAY(),"Today",IF(J113&lt;&gt;"","Done","Send thank-you"))))</f>
        <v/>
      </c>
      <c r="L113" s="1">
        <f>IF(OR(B113="",B113&lt;TODAY()),"",B113+MOD(N(C113),1)+ROW()/10000000)</f>
        <v/>
      </c>
    </row>
    <row r="114">
      <c r="A114" s="1" t="n"/>
      <c r="B114" s="24" t="n"/>
      <c r="C114" s="27" t="n"/>
      <c r="D114" s="21" t="n"/>
      <c r="E114" s="22" t="n"/>
      <c r="F114" s="22" t="n"/>
      <c r="G114" s="22" t="n"/>
      <c r="H114" s="22" t="n"/>
      <c r="I114" s="22" t="n"/>
      <c r="J114" s="25" t="n"/>
      <c r="K114" s="26">
        <f>IF(B114="","",IF(B114&gt;TODAY(),"Coming up",IF(B114=TODAY(),"Today",IF(J114&lt;&gt;"","Done","Send thank-you"))))</f>
        <v/>
      </c>
      <c r="L114" s="1">
        <f>IF(OR(B114="",B114&lt;TODAY()),"",B114+MOD(N(C114),1)+ROW()/10000000)</f>
        <v/>
      </c>
    </row>
    <row r="115">
      <c r="A115" s="1" t="n"/>
      <c r="B115" s="24" t="n"/>
      <c r="C115" s="27" t="n"/>
      <c r="D115" s="21" t="n"/>
      <c r="E115" s="22" t="n"/>
      <c r="F115" s="22" t="n"/>
      <c r="G115" s="22" t="n"/>
      <c r="H115" s="22" t="n"/>
      <c r="I115" s="22" t="n"/>
      <c r="J115" s="25" t="n"/>
      <c r="K115" s="26">
        <f>IF(B115="","",IF(B115&gt;TODAY(),"Coming up",IF(B115=TODAY(),"Today",IF(J115&lt;&gt;"","Done","Send thank-you"))))</f>
        <v/>
      </c>
      <c r="L115" s="1">
        <f>IF(OR(B115="",B115&lt;TODAY()),"",B115+MOD(N(C115),1)+ROW()/10000000)</f>
        <v/>
      </c>
    </row>
    <row r="116">
      <c r="A116" s="1" t="n"/>
      <c r="B116" s="24" t="n"/>
      <c r="C116" s="27" t="n"/>
      <c r="D116" s="21" t="n"/>
      <c r="E116" s="22" t="n"/>
      <c r="F116" s="22" t="n"/>
      <c r="G116" s="22" t="n"/>
      <c r="H116" s="22" t="n"/>
      <c r="I116" s="22" t="n"/>
      <c r="J116" s="25" t="n"/>
      <c r="K116" s="26">
        <f>IF(B116="","",IF(B116&gt;TODAY(),"Coming up",IF(B116=TODAY(),"Today",IF(J116&lt;&gt;"","Done","Send thank-you"))))</f>
        <v/>
      </c>
      <c r="L116" s="1">
        <f>IF(OR(B116="",B116&lt;TODAY()),"",B116+MOD(N(C116),1)+ROW()/10000000)</f>
        <v/>
      </c>
    </row>
    <row r="117">
      <c r="A117" s="1" t="n"/>
      <c r="B117" s="24" t="n"/>
      <c r="C117" s="27" t="n"/>
      <c r="D117" s="21" t="n"/>
      <c r="E117" s="22" t="n"/>
      <c r="F117" s="22" t="n"/>
      <c r="G117" s="22" t="n"/>
      <c r="H117" s="22" t="n"/>
      <c r="I117" s="22" t="n"/>
      <c r="J117" s="25" t="n"/>
      <c r="K117" s="26">
        <f>IF(B117="","",IF(B117&gt;TODAY(),"Coming up",IF(B117=TODAY(),"Today",IF(J117&lt;&gt;"","Done","Send thank-you"))))</f>
        <v/>
      </c>
      <c r="L117" s="1">
        <f>IF(OR(B117="",B117&lt;TODAY()),"",B117+MOD(N(C117),1)+ROW()/10000000)</f>
        <v/>
      </c>
    </row>
    <row r="118">
      <c r="A118" s="1" t="n"/>
      <c r="B118" s="24" t="n"/>
      <c r="C118" s="27" t="n"/>
      <c r="D118" s="21" t="n"/>
      <c r="E118" s="22" t="n"/>
      <c r="F118" s="22" t="n"/>
      <c r="G118" s="22" t="n"/>
      <c r="H118" s="22" t="n"/>
      <c r="I118" s="22" t="n"/>
      <c r="J118" s="25" t="n"/>
      <c r="K118" s="26">
        <f>IF(B118="","",IF(B118&gt;TODAY(),"Coming up",IF(B118=TODAY(),"Today",IF(J118&lt;&gt;"","Done","Send thank-you"))))</f>
        <v/>
      </c>
      <c r="L118" s="1">
        <f>IF(OR(B118="",B118&lt;TODAY()),"",B118+MOD(N(C118),1)+ROW()/10000000)</f>
        <v/>
      </c>
    </row>
    <row r="119">
      <c r="A119" s="1" t="n"/>
      <c r="B119" s="24" t="n"/>
      <c r="C119" s="27" t="n"/>
      <c r="D119" s="21" t="n"/>
      <c r="E119" s="22" t="n"/>
      <c r="F119" s="22" t="n"/>
      <c r="G119" s="22" t="n"/>
      <c r="H119" s="22" t="n"/>
      <c r="I119" s="22" t="n"/>
      <c r="J119" s="25" t="n"/>
      <c r="K119" s="26">
        <f>IF(B119="","",IF(B119&gt;TODAY(),"Coming up",IF(B119=TODAY(),"Today",IF(J119&lt;&gt;"","Done","Send thank-you"))))</f>
        <v/>
      </c>
      <c r="L119" s="1">
        <f>IF(OR(B119="",B119&lt;TODAY()),"",B119+MOD(N(C119),1)+ROW()/10000000)</f>
        <v/>
      </c>
    </row>
    <row r="120">
      <c r="A120" s="1" t="n"/>
      <c r="B120" s="24" t="n"/>
      <c r="C120" s="27" t="n"/>
      <c r="D120" s="21" t="n"/>
      <c r="E120" s="22" t="n"/>
      <c r="F120" s="22" t="n"/>
      <c r="G120" s="22" t="n"/>
      <c r="H120" s="22" t="n"/>
      <c r="I120" s="22" t="n"/>
      <c r="J120" s="25" t="n"/>
      <c r="K120" s="26">
        <f>IF(B120="","",IF(B120&gt;TODAY(),"Coming up",IF(B120=TODAY(),"Today",IF(J120&lt;&gt;"","Done","Send thank-you"))))</f>
        <v/>
      </c>
      <c r="L120" s="1">
        <f>IF(OR(B120="",B120&lt;TODAY()),"",B120+MOD(N(C120),1)+ROW()/10000000)</f>
        <v/>
      </c>
    </row>
    <row r="121">
      <c r="A121" s="1" t="n"/>
      <c r="B121" s="24" t="n"/>
      <c r="C121" s="27" t="n"/>
      <c r="D121" s="21" t="n"/>
      <c r="E121" s="22" t="n"/>
      <c r="F121" s="22" t="n"/>
      <c r="G121" s="22" t="n"/>
      <c r="H121" s="22" t="n"/>
      <c r="I121" s="22" t="n"/>
      <c r="J121" s="25" t="n"/>
      <c r="K121" s="26">
        <f>IF(B121="","",IF(B121&gt;TODAY(),"Coming up",IF(B121=TODAY(),"Today",IF(J121&lt;&gt;"","Done","Send thank-you"))))</f>
        <v/>
      </c>
      <c r="L121" s="1">
        <f>IF(OR(B121="",B121&lt;TODAY()),"",B121+MOD(N(C121),1)+ROW()/10000000)</f>
        <v/>
      </c>
    </row>
    <row r="122">
      <c r="A122" s="1" t="n"/>
      <c r="B122" s="24" t="n"/>
      <c r="C122" s="27" t="n"/>
      <c r="D122" s="21" t="n"/>
      <c r="E122" s="22" t="n"/>
      <c r="F122" s="22" t="n"/>
      <c r="G122" s="22" t="n"/>
      <c r="H122" s="22" t="n"/>
      <c r="I122" s="22" t="n"/>
      <c r="J122" s="25" t="n"/>
      <c r="K122" s="26">
        <f>IF(B122="","",IF(B122&gt;TODAY(),"Coming up",IF(B122=TODAY(),"Today",IF(J122&lt;&gt;"","Done","Send thank-you"))))</f>
        <v/>
      </c>
      <c r="L122" s="1">
        <f>IF(OR(B122="",B122&lt;TODAY()),"",B122+MOD(N(C122),1)+ROW()/10000000)</f>
        <v/>
      </c>
    </row>
    <row r="123">
      <c r="A123" s="1" t="n"/>
      <c r="B123" s="24" t="n"/>
      <c r="C123" s="27" t="n"/>
      <c r="D123" s="21" t="n"/>
      <c r="E123" s="22" t="n"/>
      <c r="F123" s="22" t="n"/>
      <c r="G123" s="22" t="n"/>
      <c r="H123" s="22" t="n"/>
      <c r="I123" s="22" t="n"/>
      <c r="J123" s="25" t="n"/>
      <c r="K123" s="26">
        <f>IF(B123="","",IF(B123&gt;TODAY(),"Coming up",IF(B123=TODAY(),"Today",IF(J123&lt;&gt;"","Done","Send thank-you"))))</f>
        <v/>
      </c>
      <c r="L123" s="1">
        <f>IF(OR(B123="",B123&lt;TODAY()),"",B123+MOD(N(C123),1)+ROW()/10000000)</f>
        <v/>
      </c>
    </row>
    <row r="124">
      <c r="A124" s="1" t="n"/>
      <c r="B124" s="24" t="n"/>
      <c r="C124" s="27" t="n"/>
      <c r="D124" s="21" t="n"/>
      <c r="E124" s="22" t="n"/>
      <c r="F124" s="22" t="n"/>
      <c r="G124" s="22" t="n"/>
      <c r="H124" s="22" t="n"/>
      <c r="I124" s="22" t="n"/>
      <c r="J124" s="25" t="n"/>
      <c r="K124" s="26">
        <f>IF(B124="","",IF(B124&gt;TODAY(),"Coming up",IF(B124=TODAY(),"Today",IF(J124&lt;&gt;"","Done","Send thank-you"))))</f>
        <v/>
      </c>
      <c r="L124" s="1">
        <f>IF(OR(B124="",B124&lt;TODAY()),"",B124+MOD(N(C124),1)+ROW()/10000000)</f>
        <v/>
      </c>
    </row>
    <row r="125">
      <c r="A125" s="1" t="n"/>
      <c r="B125" s="24" t="n"/>
      <c r="C125" s="27" t="n"/>
      <c r="D125" s="21" t="n"/>
      <c r="E125" s="22" t="n"/>
      <c r="F125" s="22" t="n"/>
      <c r="G125" s="22" t="n"/>
      <c r="H125" s="22" t="n"/>
      <c r="I125" s="22" t="n"/>
      <c r="J125" s="25" t="n"/>
      <c r="K125" s="26">
        <f>IF(B125="","",IF(B125&gt;TODAY(),"Coming up",IF(B125=TODAY(),"Today",IF(J125&lt;&gt;"","Done","Send thank-you"))))</f>
        <v/>
      </c>
      <c r="L125" s="1">
        <f>IF(OR(B125="",B125&lt;TODAY()),"",B125+MOD(N(C125),1)+ROW()/10000000)</f>
        <v/>
      </c>
    </row>
    <row r="126">
      <c r="A126" s="1" t="n"/>
      <c r="B126" s="24" t="n"/>
      <c r="C126" s="27" t="n"/>
      <c r="D126" s="21" t="n"/>
      <c r="E126" s="22" t="n"/>
      <c r="F126" s="22" t="n"/>
      <c r="G126" s="22" t="n"/>
      <c r="H126" s="22" t="n"/>
      <c r="I126" s="22" t="n"/>
      <c r="J126" s="25" t="n"/>
      <c r="K126" s="26">
        <f>IF(B126="","",IF(B126&gt;TODAY(),"Coming up",IF(B126=TODAY(),"Today",IF(J126&lt;&gt;"","Done","Send thank-you"))))</f>
        <v/>
      </c>
      <c r="L126" s="1">
        <f>IF(OR(B126="",B126&lt;TODAY()),"",B126+MOD(N(C126),1)+ROW()/10000000)</f>
        <v/>
      </c>
    </row>
    <row r="127">
      <c r="A127" s="1" t="n"/>
      <c r="B127" s="24" t="n"/>
      <c r="C127" s="27" t="n"/>
      <c r="D127" s="21" t="n"/>
      <c r="E127" s="22" t="n"/>
      <c r="F127" s="22" t="n"/>
      <c r="G127" s="22" t="n"/>
      <c r="H127" s="22" t="n"/>
      <c r="I127" s="22" t="n"/>
      <c r="J127" s="25" t="n"/>
      <c r="K127" s="26">
        <f>IF(B127="","",IF(B127&gt;TODAY(),"Coming up",IF(B127=TODAY(),"Today",IF(J127&lt;&gt;"","Done","Send thank-you"))))</f>
        <v/>
      </c>
      <c r="L127" s="1">
        <f>IF(OR(B127="",B127&lt;TODAY()),"",B127+MOD(N(C127),1)+ROW()/10000000)</f>
        <v/>
      </c>
    </row>
    <row r="128">
      <c r="A128" s="1" t="n"/>
      <c r="B128" s="24" t="n"/>
      <c r="C128" s="27" t="n"/>
      <c r="D128" s="21" t="n"/>
      <c r="E128" s="22" t="n"/>
      <c r="F128" s="22" t="n"/>
      <c r="G128" s="22" t="n"/>
      <c r="H128" s="22" t="n"/>
      <c r="I128" s="22" t="n"/>
      <c r="J128" s="25" t="n"/>
      <c r="K128" s="26">
        <f>IF(B128="","",IF(B128&gt;TODAY(),"Coming up",IF(B128=TODAY(),"Today",IF(J128&lt;&gt;"","Done","Send thank-you"))))</f>
        <v/>
      </c>
      <c r="L128" s="1">
        <f>IF(OR(B128="",B128&lt;TODAY()),"",B128+MOD(N(C128),1)+ROW()/10000000)</f>
        <v/>
      </c>
    </row>
    <row r="129">
      <c r="A129" s="1" t="n"/>
      <c r="B129" s="24" t="n"/>
      <c r="C129" s="27" t="n"/>
      <c r="D129" s="21" t="n"/>
      <c r="E129" s="22" t="n"/>
      <c r="F129" s="22" t="n"/>
      <c r="G129" s="22" t="n"/>
      <c r="H129" s="22" t="n"/>
      <c r="I129" s="22" t="n"/>
      <c r="J129" s="25" t="n"/>
      <c r="K129" s="26">
        <f>IF(B129="","",IF(B129&gt;TODAY(),"Coming up",IF(B129=TODAY(),"Today",IF(J129&lt;&gt;"","Done","Send thank-you"))))</f>
        <v/>
      </c>
      <c r="L129" s="1">
        <f>IF(OR(B129="",B129&lt;TODAY()),"",B129+MOD(N(C129),1)+ROW()/10000000)</f>
        <v/>
      </c>
    </row>
    <row r="130">
      <c r="A130" s="1" t="n"/>
      <c r="B130" s="24" t="n"/>
      <c r="C130" s="27" t="n"/>
      <c r="D130" s="21" t="n"/>
      <c r="E130" s="22" t="n"/>
      <c r="F130" s="22" t="n"/>
      <c r="G130" s="22" t="n"/>
      <c r="H130" s="22" t="n"/>
      <c r="I130" s="22" t="n"/>
      <c r="J130" s="25" t="n"/>
      <c r="K130" s="26">
        <f>IF(B130="","",IF(B130&gt;TODAY(),"Coming up",IF(B130=TODAY(),"Today",IF(J130&lt;&gt;"","Done","Send thank-you"))))</f>
        <v/>
      </c>
      <c r="L130" s="1">
        <f>IF(OR(B130="",B130&lt;TODAY()),"",B130+MOD(N(C130),1)+ROW()/10000000)</f>
        <v/>
      </c>
    </row>
    <row r="131">
      <c r="A131" s="1" t="n"/>
      <c r="B131" s="24" t="n"/>
      <c r="C131" s="27" t="n"/>
      <c r="D131" s="21" t="n"/>
      <c r="E131" s="22" t="n"/>
      <c r="F131" s="22" t="n"/>
      <c r="G131" s="22" t="n"/>
      <c r="H131" s="22" t="n"/>
      <c r="I131" s="22" t="n"/>
      <c r="J131" s="25" t="n"/>
      <c r="K131" s="26">
        <f>IF(B131="","",IF(B131&gt;TODAY(),"Coming up",IF(B131=TODAY(),"Today",IF(J131&lt;&gt;"","Done","Send thank-you"))))</f>
        <v/>
      </c>
      <c r="L131" s="1">
        <f>IF(OR(B131="",B131&lt;TODAY()),"",B131+MOD(N(C131),1)+ROW()/10000000)</f>
        <v/>
      </c>
    </row>
    <row r="132">
      <c r="A132" s="1" t="n"/>
      <c r="B132" s="24" t="n"/>
      <c r="C132" s="27" t="n"/>
      <c r="D132" s="21" t="n"/>
      <c r="E132" s="22" t="n"/>
      <c r="F132" s="22" t="n"/>
      <c r="G132" s="22" t="n"/>
      <c r="H132" s="22" t="n"/>
      <c r="I132" s="22" t="n"/>
      <c r="J132" s="25" t="n"/>
      <c r="K132" s="26">
        <f>IF(B132="","",IF(B132&gt;TODAY(),"Coming up",IF(B132=TODAY(),"Today",IF(J132&lt;&gt;"","Done","Send thank-you"))))</f>
        <v/>
      </c>
      <c r="L132" s="1">
        <f>IF(OR(B132="",B132&lt;TODAY()),"",B132+MOD(N(C132),1)+ROW()/10000000)</f>
        <v/>
      </c>
    </row>
    <row r="133">
      <c r="A133" s="1" t="n"/>
      <c r="B133" s="24" t="n"/>
      <c r="C133" s="27" t="n"/>
      <c r="D133" s="21" t="n"/>
      <c r="E133" s="22" t="n"/>
      <c r="F133" s="22" t="n"/>
      <c r="G133" s="22" t="n"/>
      <c r="H133" s="22" t="n"/>
      <c r="I133" s="22" t="n"/>
      <c r="J133" s="25" t="n"/>
      <c r="K133" s="26">
        <f>IF(B133="","",IF(B133&gt;TODAY(),"Coming up",IF(B133=TODAY(),"Today",IF(J133&lt;&gt;"","Done","Send thank-you"))))</f>
        <v/>
      </c>
      <c r="L133" s="1">
        <f>IF(OR(B133="",B133&lt;TODAY()),"",B133+MOD(N(C133),1)+ROW()/10000000)</f>
        <v/>
      </c>
    </row>
    <row r="134">
      <c r="A134" s="1" t="n"/>
      <c r="B134" s="24" t="n"/>
      <c r="C134" s="27" t="n"/>
      <c r="D134" s="21" t="n"/>
      <c r="E134" s="22" t="n"/>
      <c r="F134" s="22" t="n"/>
      <c r="G134" s="22" t="n"/>
      <c r="H134" s="22" t="n"/>
      <c r="I134" s="22" t="n"/>
      <c r="J134" s="25" t="n"/>
      <c r="K134" s="26">
        <f>IF(B134="","",IF(B134&gt;TODAY(),"Coming up",IF(B134=TODAY(),"Today",IF(J134&lt;&gt;"","Done","Send thank-you"))))</f>
        <v/>
      </c>
      <c r="L134" s="1">
        <f>IF(OR(B134="",B134&lt;TODAY()),"",B134+MOD(N(C134),1)+ROW()/10000000)</f>
        <v/>
      </c>
    </row>
    <row r="135">
      <c r="A135" s="1" t="n"/>
      <c r="B135" s="24" t="n"/>
      <c r="C135" s="27" t="n"/>
      <c r="D135" s="21" t="n"/>
      <c r="E135" s="22" t="n"/>
      <c r="F135" s="22" t="n"/>
      <c r="G135" s="22" t="n"/>
      <c r="H135" s="22" t="n"/>
      <c r="I135" s="22" t="n"/>
      <c r="J135" s="25" t="n"/>
      <c r="K135" s="26">
        <f>IF(B135="","",IF(B135&gt;TODAY(),"Coming up",IF(B135=TODAY(),"Today",IF(J135&lt;&gt;"","Done","Send thank-you"))))</f>
        <v/>
      </c>
      <c r="L135" s="1">
        <f>IF(OR(B135="",B135&lt;TODAY()),"",B135+MOD(N(C135),1)+ROW()/10000000)</f>
        <v/>
      </c>
    </row>
    <row r="136">
      <c r="A136" s="1" t="n"/>
      <c r="B136" s="24" t="n"/>
      <c r="C136" s="27" t="n"/>
      <c r="D136" s="21" t="n"/>
      <c r="E136" s="22" t="n"/>
      <c r="F136" s="22" t="n"/>
      <c r="G136" s="22" t="n"/>
      <c r="H136" s="22" t="n"/>
      <c r="I136" s="22" t="n"/>
      <c r="J136" s="25" t="n"/>
      <c r="K136" s="26">
        <f>IF(B136="","",IF(B136&gt;TODAY(),"Coming up",IF(B136=TODAY(),"Today",IF(J136&lt;&gt;"","Done","Send thank-you"))))</f>
        <v/>
      </c>
      <c r="L136" s="1">
        <f>IF(OR(B136="",B136&lt;TODAY()),"",B136+MOD(N(C136),1)+ROW()/10000000)</f>
        <v/>
      </c>
    </row>
    <row r="137">
      <c r="A137" s="1" t="n"/>
      <c r="B137" s="24" t="n"/>
      <c r="C137" s="27" t="n"/>
      <c r="D137" s="21" t="n"/>
      <c r="E137" s="22" t="n"/>
      <c r="F137" s="22" t="n"/>
      <c r="G137" s="22" t="n"/>
      <c r="H137" s="22" t="n"/>
      <c r="I137" s="22" t="n"/>
      <c r="J137" s="25" t="n"/>
      <c r="K137" s="26">
        <f>IF(B137="","",IF(B137&gt;TODAY(),"Coming up",IF(B137=TODAY(),"Today",IF(J137&lt;&gt;"","Done","Send thank-you"))))</f>
        <v/>
      </c>
      <c r="L137" s="1">
        <f>IF(OR(B137="",B137&lt;TODAY()),"",B137+MOD(N(C137),1)+ROW()/10000000)</f>
        <v/>
      </c>
    </row>
    <row r="138">
      <c r="A138" s="1" t="n"/>
      <c r="B138" s="24" t="n"/>
      <c r="C138" s="27" t="n"/>
      <c r="D138" s="21" t="n"/>
      <c r="E138" s="22" t="n"/>
      <c r="F138" s="22" t="n"/>
      <c r="G138" s="22" t="n"/>
      <c r="H138" s="22" t="n"/>
      <c r="I138" s="22" t="n"/>
      <c r="J138" s="25" t="n"/>
      <c r="K138" s="26">
        <f>IF(B138="","",IF(B138&gt;TODAY(),"Coming up",IF(B138=TODAY(),"Today",IF(J138&lt;&gt;"","Done","Send thank-you"))))</f>
        <v/>
      </c>
      <c r="L138" s="1">
        <f>IF(OR(B138="",B138&lt;TODAY()),"",B138+MOD(N(C138),1)+ROW()/10000000)</f>
        <v/>
      </c>
    </row>
    <row r="139">
      <c r="A139" s="1" t="n"/>
      <c r="B139" s="24" t="n"/>
      <c r="C139" s="27" t="n"/>
      <c r="D139" s="21" t="n"/>
      <c r="E139" s="22" t="n"/>
      <c r="F139" s="22" t="n"/>
      <c r="G139" s="22" t="n"/>
      <c r="H139" s="22" t="n"/>
      <c r="I139" s="22" t="n"/>
      <c r="J139" s="25" t="n"/>
      <c r="K139" s="26">
        <f>IF(B139="","",IF(B139&gt;TODAY(),"Coming up",IF(B139=TODAY(),"Today",IF(J139&lt;&gt;"","Done","Send thank-you"))))</f>
        <v/>
      </c>
      <c r="L139" s="1">
        <f>IF(OR(B139="",B139&lt;TODAY()),"",B139+MOD(N(C139),1)+ROW()/10000000)</f>
        <v/>
      </c>
    </row>
    <row r="140">
      <c r="A140" s="1" t="n"/>
      <c r="B140" s="24" t="n"/>
      <c r="C140" s="27" t="n"/>
      <c r="D140" s="21" t="n"/>
      <c r="E140" s="22" t="n"/>
      <c r="F140" s="22" t="n"/>
      <c r="G140" s="22" t="n"/>
      <c r="H140" s="22" t="n"/>
      <c r="I140" s="22" t="n"/>
      <c r="J140" s="25" t="n"/>
      <c r="K140" s="26">
        <f>IF(B140="","",IF(B140&gt;TODAY(),"Coming up",IF(B140=TODAY(),"Today",IF(J140&lt;&gt;"","Done","Send thank-you"))))</f>
        <v/>
      </c>
      <c r="L140" s="1">
        <f>IF(OR(B140="",B140&lt;TODAY()),"",B140+MOD(N(C140),1)+ROW()/10000000)</f>
        <v/>
      </c>
    </row>
    <row r="141">
      <c r="A141" s="1" t="n"/>
      <c r="B141" s="24" t="n"/>
      <c r="C141" s="27" t="n"/>
      <c r="D141" s="21" t="n"/>
      <c r="E141" s="22" t="n"/>
      <c r="F141" s="22" t="n"/>
      <c r="G141" s="22" t="n"/>
      <c r="H141" s="22" t="n"/>
      <c r="I141" s="22" t="n"/>
      <c r="J141" s="25" t="n"/>
      <c r="K141" s="26">
        <f>IF(B141="","",IF(B141&gt;TODAY(),"Coming up",IF(B141=TODAY(),"Today",IF(J141&lt;&gt;"","Done","Send thank-you"))))</f>
        <v/>
      </c>
      <c r="L141" s="1">
        <f>IF(OR(B141="",B141&lt;TODAY()),"",B141+MOD(N(C141),1)+ROW()/10000000)</f>
        <v/>
      </c>
    </row>
    <row r="142">
      <c r="A142" s="1" t="n"/>
      <c r="B142" s="24" t="n"/>
      <c r="C142" s="27" t="n"/>
      <c r="D142" s="21" t="n"/>
      <c r="E142" s="22" t="n"/>
      <c r="F142" s="22" t="n"/>
      <c r="G142" s="22" t="n"/>
      <c r="H142" s="22" t="n"/>
      <c r="I142" s="22" t="n"/>
      <c r="J142" s="25" t="n"/>
      <c r="K142" s="26">
        <f>IF(B142="","",IF(B142&gt;TODAY(),"Coming up",IF(B142=TODAY(),"Today",IF(J142&lt;&gt;"","Done","Send thank-you"))))</f>
        <v/>
      </c>
      <c r="L142" s="1">
        <f>IF(OR(B142="",B142&lt;TODAY()),"",B142+MOD(N(C142),1)+ROW()/10000000)</f>
        <v/>
      </c>
    </row>
    <row r="143">
      <c r="A143" s="1" t="n"/>
      <c r="B143" s="24" t="n"/>
      <c r="C143" s="27" t="n"/>
      <c r="D143" s="21" t="n"/>
      <c r="E143" s="22" t="n"/>
      <c r="F143" s="22" t="n"/>
      <c r="G143" s="22" t="n"/>
      <c r="H143" s="22" t="n"/>
      <c r="I143" s="22" t="n"/>
      <c r="J143" s="25" t="n"/>
      <c r="K143" s="26">
        <f>IF(B143="","",IF(B143&gt;TODAY(),"Coming up",IF(B143=TODAY(),"Today",IF(J143&lt;&gt;"","Done","Send thank-you"))))</f>
        <v/>
      </c>
      <c r="L143" s="1">
        <f>IF(OR(B143="",B143&lt;TODAY()),"",B143+MOD(N(C143),1)+ROW()/10000000)</f>
        <v/>
      </c>
    </row>
    <row r="144">
      <c r="A144" s="1" t="n"/>
      <c r="B144" s="24" t="n"/>
      <c r="C144" s="27" t="n"/>
      <c r="D144" s="21" t="n"/>
      <c r="E144" s="22" t="n"/>
      <c r="F144" s="22" t="n"/>
      <c r="G144" s="22" t="n"/>
      <c r="H144" s="22" t="n"/>
      <c r="I144" s="22" t="n"/>
      <c r="J144" s="25" t="n"/>
      <c r="K144" s="26">
        <f>IF(B144="","",IF(B144&gt;TODAY(),"Coming up",IF(B144=TODAY(),"Today",IF(J144&lt;&gt;"","Done","Send thank-you"))))</f>
        <v/>
      </c>
      <c r="L144" s="1">
        <f>IF(OR(B144="",B144&lt;TODAY()),"",B144+MOD(N(C144),1)+ROW()/10000000)</f>
        <v/>
      </c>
    </row>
    <row r="145">
      <c r="A145" s="1" t="n"/>
      <c r="B145" s="24" t="n"/>
      <c r="C145" s="27" t="n"/>
      <c r="D145" s="21" t="n"/>
      <c r="E145" s="22" t="n"/>
      <c r="F145" s="22" t="n"/>
      <c r="G145" s="22" t="n"/>
      <c r="H145" s="22" t="n"/>
      <c r="I145" s="22" t="n"/>
      <c r="J145" s="25" t="n"/>
      <c r="K145" s="26">
        <f>IF(B145="","",IF(B145&gt;TODAY(),"Coming up",IF(B145=TODAY(),"Today",IF(J145&lt;&gt;"","Done","Send thank-you"))))</f>
        <v/>
      </c>
      <c r="L145" s="1">
        <f>IF(OR(B145="",B145&lt;TODAY()),"",B145+MOD(N(C145),1)+ROW()/10000000)</f>
        <v/>
      </c>
    </row>
    <row r="146">
      <c r="A146" s="1" t="n"/>
      <c r="B146" s="24" t="n"/>
      <c r="C146" s="27" t="n"/>
      <c r="D146" s="21" t="n"/>
      <c r="E146" s="22" t="n"/>
      <c r="F146" s="22" t="n"/>
      <c r="G146" s="22" t="n"/>
      <c r="H146" s="22" t="n"/>
      <c r="I146" s="22" t="n"/>
      <c r="J146" s="25" t="n"/>
      <c r="K146" s="26">
        <f>IF(B146="","",IF(B146&gt;TODAY(),"Coming up",IF(B146=TODAY(),"Today",IF(J146&lt;&gt;"","Done","Send thank-you"))))</f>
        <v/>
      </c>
      <c r="L146" s="1">
        <f>IF(OR(B146="",B146&lt;TODAY()),"",B146+MOD(N(C146),1)+ROW()/10000000)</f>
        <v/>
      </c>
    </row>
    <row r="147">
      <c r="A147" s="1" t="n"/>
      <c r="B147" s="24" t="n"/>
      <c r="C147" s="27" t="n"/>
      <c r="D147" s="21" t="n"/>
      <c r="E147" s="22" t="n"/>
      <c r="F147" s="22" t="n"/>
      <c r="G147" s="22" t="n"/>
      <c r="H147" s="22" t="n"/>
      <c r="I147" s="22" t="n"/>
      <c r="J147" s="25" t="n"/>
      <c r="K147" s="26">
        <f>IF(B147="","",IF(B147&gt;TODAY(),"Coming up",IF(B147=TODAY(),"Today",IF(J147&lt;&gt;"","Done","Send thank-you"))))</f>
        <v/>
      </c>
      <c r="L147" s="1">
        <f>IF(OR(B147="",B147&lt;TODAY()),"",B147+MOD(N(C147),1)+ROW()/10000000)</f>
        <v/>
      </c>
    </row>
    <row r="148">
      <c r="A148" s="1" t="n"/>
      <c r="B148" s="24" t="n"/>
      <c r="C148" s="27" t="n"/>
      <c r="D148" s="21" t="n"/>
      <c r="E148" s="22" t="n"/>
      <c r="F148" s="22" t="n"/>
      <c r="G148" s="22" t="n"/>
      <c r="H148" s="22" t="n"/>
      <c r="I148" s="22" t="n"/>
      <c r="J148" s="25" t="n"/>
      <c r="K148" s="26">
        <f>IF(B148="","",IF(B148&gt;TODAY(),"Coming up",IF(B148=TODAY(),"Today",IF(J148&lt;&gt;"","Done","Send thank-you"))))</f>
        <v/>
      </c>
      <c r="L148" s="1">
        <f>IF(OR(B148="",B148&lt;TODAY()),"",B148+MOD(N(C148),1)+ROW()/10000000)</f>
        <v/>
      </c>
    </row>
    <row r="149">
      <c r="A149" s="1" t="n"/>
      <c r="B149" s="24" t="n"/>
      <c r="C149" s="27" t="n"/>
      <c r="D149" s="21" t="n"/>
      <c r="E149" s="22" t="n"/>
      <c r="F149" s="22" t="n"/>
      <c r="G149" s="22" t="n"/>
      <c r="H149" s="22" t="n"/>
      <c r="I149" s="22" t="n"/>
      <c r="J149" s="25" t="n"/>
      <c r="K149" s="26">
        <f>IF(B149="","",IF(B149&gt;TODAY(),"Coming up",IF(B149=TODAY(),"Today",IF(J149&lt;&gt;"","Done","Send thank-you"))))</f>
        <v/>
      </c>
      <c r="L149" s="1">
        <f>IF(OR(B149="",B149&lt;TODAY()),"",B149+MOD(N(C149),1)+ROW()/10000000)</f>
        <v/>
      </c>
    </row>
    <row r="150">
      <c r="A150" s="1" t="n"/>
      <c r="B150" s="24" t="n"/>
      <c r="C150" s="27" t="n"/>
      <c r="D150" s="21" t="n"/>
      <c r="E150" s="22" t="n"/>
      <c r="F150" s="22" t="n"/>
      <c r="G150" s="22" t="n"/>
      <c r="H150" s="22" t="n"/>
      <c r="I150" s="22" t="n"/>
      <c r="J150" s="25" t="n"/>
      <c r="K150" s="26">
        <f>IF(B150="","",IF(B150&gt;TODAY(),"Coming up",IF(B150=TODAY(),"Today",IF(J150&lt;&gt;"","Done","Send thank-you"))))</f>
        <v/>
      </c>
      <c r="L150" s="1">
        <f>IF(OR(B150="",B150&lt;TODAY()),"",B150+MOD(N(C150),1)+ROW()/10000000)</f>
        <v/>
      </c>
    </row>
    <row r="151">
      <c r="A151" s="1" t="n"/>
      <c r="B151" s="24" t="n"/>
      <c r="C151" s="27" t="n"/>
      <c r="D151" s="21" t="n"/>
      <c r="E151" s="22" t="n"/>
      <c r="F151" s="22" t="n"/>
      <c r="G151" s="22" t="n"/>
      <c r="H151" s="22" t="n"/>
      <c r="I151" s="22" t="n"/>
      <c r="J151" s="25" t="n"/>
      <c r="K151" s="26">
        <f>IF(B151="","",IF(B151&gt;TODAY(),"Coming up",IF(B151=TODAY(),"Today",IF(J151&lt;&gt;"","Done","Send thank-you"))))</f>
        <v/>
      </c>
      <c r="L151" s="1">
        <f>IF(OR(B151="",B151&lt;TODAY()),"",B151+MOD(N(C151),1)+ROW()/10000000)</f>
        <v/>
      </c>
    </row>
    <row r="152">
      <c r="A152" s="1" t="n"/>
      <c r="B152" s="24" t="n"/>
      <c r="C152" s="27" t="n"/>
      <c r="D152" s="21" t="n"/>
      <c r="E152" s="22" t="n"/>
      <c r="F152" s="22" t="n"/>
      <c r="G152" s="22" t="n"/>
      <c r="H152" s="22" t="n"/>
      <c r="I152" s="22" t="n"/>
      <c r="J152" s="25" t="n"/>
      <c r="K152" s="26">
        <f>IF(B152="","",IF(B152&gt;TODAY(),"Coming up",IF(B152=TODAY(),"Today",IF(J152&lt;&gt;"","Done","Send thank-you"))))</f>
        <v/>
      </c>
      <c r="L152" s="1">
        <f>IF(OR(B152="",B152&lt;TODAY()),"",B152+MOD(N(C152),1)+ROW()/10000000)</f>
        <v/>
      </c>
    </row>
    <row r="153">
      <c r="A153" s="1" t="n"/>
      <c r="B153" s="24" t="n"/>
      <c r="C153" s="27" t="n"/>
      <c r="D153" s="21" t="n"/>
      <c r="E153" s="22" t="n"/>
      <c r="F153" s="22" t="n"/>
      <c r="G153" s="22" t="n"/>
      <c r="H153" s="22" t="n"/>
      <c r="I153" s="22" t="n"/>
      <c r="J153" s="25" t="n"/>
      <c r="K153" s="26">
        <f>IF(B153="","",IF(B153&gt;TODAY(),"Coming up",IF(B153=TODAY(),"Today",IF(J153&lt;&gt;"","Done","Send thank-you"))))</f>
        <v/>
      </c>
      <c r="L153" s="1">
        <f>IF(OR(B153="",B153&lt;TODAY()),"",B153+MOD(N(C153),1)+ROW()/10000000)</f>
        <v/>
      </c>
    </row>
    <row r="154">
      <c r="A154" s="1" t="n"/>
      <c r="B154" s="24" t="n"/>
      <c r="C154" s="27" t="n"/>
      <c r="D154" s="21" t="n"/>
      <c r="E154" s="22" t="n"/>
      <c r="F154" s="22" t="n"/>
      <c r="G154" s="22" t="n"/>
      <c r="H154" s="22" t="n"/>
      <c r="I154" s="22" t="n"/>
      <c r="J154" s="25" t="n"/>
      <c r="K154" s="26">
        <f>IF(B154="","",IF(B154&gt;TODAY(),"Coming up",IF(B154=TODAY(),"Today",IF(J154&lt;&gt;"","Done","Send thank-you"))))</f>
        <v/>
      </c>
      <c r="L154" s="1">
        <f>IF(OR(B154="",B154&lt;TODAY()),"",B154+MOD(N(C154),1)+ROW()/10000000)</f>
        <v/>
      </c>
    </row>
    <row r="155">
      <c r="A155" s="1" t="n"/>
      <c r="B155" s="24" t="n"/>
      <c r="C155" s="27" t="n"/>
      <c r="D155" s="21" t="n"/>
      <c r="E155" s="22" t="n"/>
      <c r="F155" s="22" t="n"/>
      <c r="G155" s="22" t="n"/>
      <c r="H155" s="22" t="n"/>
      <c r="I155" s="22" t="n"/>
      <c r="J155" s="25" t="n"/>
      <c r="K155" s="26">
        <f>IF(B155="","",IF(B155&gt;TODAY(),"Coming up",IF(B155=TODAY(),"Today",IF(J155&lt;&gt;"","Done","Send thank-you"))))</f>
        <v/>
      </c>
      <c r="L155" s="1">
        <f>IF(OR(B155="",B155&lt;TODAY()),"",B155+MOD(N(C155),1)+ROW()/10000000)</f>
        <v/>
      </c>
    </row>
    <row r="156">
      <c r="A156" s="1" t="n"/>
      <c r="B156" s="24" t="n"/>
      <c r="C156" s="27" t="n"/>
      <c r="D156" s="21" t="n"/>
      <c r="E156" s="22" t="n"/>
      <c r="F156" s="22" t="n"/>
      <c r="G156" s="22" t="n"/>
      <c r="H156" s="22" t="n"/>
      <c r="I156" s="22" t="n"/>
      <c r="J156" s="25" t="n"/>
      <c r="K156" s="26">
        <f>IF(B156="","",IF(B156&gt;TODAY(),"Coming up",IF(B156=TODAY(),"Today",IF(J156&lt;&gt;"","Done","Send thank-you"))))</f>
        <v/>
      </c>
      <c r="L156" s="1">
        <f>IF(OR(B156="",B156&lt;TODAY()),"",B156+MOD(N(C156),1)+ROW()/10000000)</f>
        <v/>
      </c>
    </row>
    <row r="157">
      <c r="A157" s="1" t="n"/>
      <c r="B157" s="24" t="n"/>
      <c r="C157" s="27" t="n"/>
      <c r="D157" s="21" t="n"/>
      <c r="E157" s="22" t="n"/>
      <c r="F157" s="22" t="n"/>
      <c r="G157" s="22" t="n"/>
      <c r="H157" s="22" t="n"/>
      <c r="I157" s="22" t="n"/>
      <c r="J157" s="25" t="n"/>
      <c r="K157" s="26">
        <f>IF(B157="","",IF(B157&gt;TODAY(),"Coming up",IF(B157=TODAY(),"Today",IF(J157&lt;&gt;"","Done","Send thank-you"))))</f>
        <v/>
      </c>
      <c r="L157" s="1">
        <f>IF(OR(B157="",B157&lt;TODAY()),"",B157+MOD(N(C157),1)+ROW()/10000000)</f>
        <v/>
      </c>
    </row>
    <row r="158">
      <c r="A158" s="1" t="n"/>
      <c r="B158" s="24" t="n"/>
      <c r="C158" s="27" t="n"/>
      <c r="D158" s="21" t="n"/>
      <c r="E158" s="22" t="n"/>
      <c r="F158" s="22" t="n"/>
      <c r="G158" s="22" t="n"/>
      <c r="H158" s="22" t="n"/>
      <c r="I158" s="22" t="n"/>
      <c r="J158" s="25" t="n"/>
      <c r="K158" s="26">
        <f>IF(B158="","",IF(B158&gt;TODAY(),"Coming up",IF(B158=TODAY(),"Today",IF(J158&lt;&gt;"","Done","Send thank-you"))))</f>
        <v/>
      </c>
      <c r="L158" s="1">
        <f>IF(OR(B158="",B158&lt;TODAY()),"",B158+MOD(N(C158),1)+ROW()/10000000)</f>
        <v/>
      </c>
    </row>
    <row r="159">
      <c r="A159" s="1" t="n"/>
      <c r="B159" s="24" t="n"/>
      <c r="C159" s="27" t="n"/>
      <c r="D159" s="21" t="n"/>
      <c r="E159" s="22" t="n"/>
      <c r="F159" s="22" t="n"/>
      <c r="G159" s="22" t="n"/>
      <c r="H159" s="22" t="n"/>
      <c r="I159" s="22" t="n"/>
      <c r="J159" s="25" t="n"/>
      <c r="K159" s="26">
        <f>IF(B159="","",IF(B159&gt;TODAY(),"Coming up",IF(B159=TODAY(),"Today",IF(J159&lt;&gt;"","Done","Send thank-you"))))</f>
        <v/>
      </c>
      <c r="L159" s="1">
        <f>IF(OR(B159="",B159&lt;TODAY()),"",B159+MOD(N(C159),1)+ROW()/10000000)</f>
        <v/>
      </c>
    </row>
    <row r="160">
      <c r="A160" s="1" t="n"/>
      <c r="B160" s="24" t="n"/>
      <c r="C160" s="27" t="n"/>
      <c r="D160" s="21" t="n"/>
      <c r="E160" s="22" t="n"/>
      <c r="F160" s="22" t="n"/>
      <c r="G160" s="22" t="n"/>
      <c r="H160" s="22" t="n"/>
      <c r="I160" s="22" t="n"/>
      <c r="J160" s="25" t="n"/>
      <c r="K160" s="26">
        <f>IF(B160="","",IF(B160&gt;TODAY(),"Coming up",IF(B160=TODAY(),"Today",IF(J160&lt;&gt;"","Done","Send thank-you"))))</f>
        <v/>
      </c>
      <c r="L160" s="1">
        <f>IF(OR(B160="",B160&lt;TODAY()),"",B160+MOD(N(C160),1)+ROW()/10000000)</f>
        <v/>
      </c>
    </row>
    <row r="161">
      <c r="A161" s="1" t="n"/>
      <c r="B161" s="24" t="n"/>
      <c r="C161" s="27" t="n"/>
      <c r="D161" s="21" t="n"/>
      <c r="E161" s="22" t="n"/>
      <c r="F161" s="22" t="n"/>
      <c r="G161" s="22" t="n"/>
      <c r="H161" s="22" t="n"/>
      <c r="I161" s="22" t="n"/>
      <c r="J161" s="25" t="n"/>
      <c r="K161" s="26">
        <f>IF(B161="","",IF(B161&gt;TODAY(),"Coming up",IF(B161=TODAY(),"Today",IF(J161&lt;&gt;"","Done","Send thank-you"))))</f>
        <v/>
      </c>
      <c r="L161" s="1">
        <f>IF(OR(B161="",B161&lt;TODAY()),"",B161+MOD(N(C161),1)+ROW()/10000000)</f>
        <v/>
      </c>
    </row>
    <row r="162">
      <c r="A162" s="1" t="n"/>
      <c r="B162" s="24" t="n"/>
      <c r="C162" s="27" t="n"/>
      <c r="D162" s="21" t="n"/>
      <c r="E162" s="22" t="n"/>
      <c r="F162" s="22" t="n"/>
      <c r="G162" s="22" t="n"/>
      <c r="H162" s="22" t="n"/>
      <c r="I162" s="22" t="n"/>
      <c r="J162" s="25" t="n"/>
      <c r="K162" s="26">
        <f>IF(B162="","",IF(B162&gt;TODAY(),"Coming up",IF(B162=TODAY(),"Today",IF(J162&lt;&gt;"","Done","Send thank-you"))))</f>
        <v/>
      </c>
      <c r="L162" s="1">
        <f>IF(OR(B162="",B162&lt;TODAY()),"",B162+MOD(N(C162),1)+ROW()/10000000)</f>
        <v/>
      </c>
    </row>
    <row r="163">
      <c r="A163" s="1" t="n"/>
      <c r="B163" s="24" t="n"/>
      <c r="C163" s="27" t="n"/>
      <c r="D163" s="21" t="n"/>
      <c r="E163" s="22" t="n"/>
      <c r="F163" s="22" t="n"/>
      <c r="G163" s="22" t="n"/>
      <c r="H163" s="22" t="n"/>
      <c r="I163" s="22" t="n"/>
      <c r="J163" s="25" t="n"/>
      <c r="K163" s="26">
        <f>IF(B163="","",IF(B163&gt;TODAY(),"Coming up",IF(B163=TODAY(),"Today",IF(J163&lt;&gt;"","Done","Send thank-you"))))</f>
        <v/>
      </c>
      <c r="L163" s="1">
        <f>IF(OR(B163="",B163&lt;TODAY()),"",B163+MOD(N(C163),1)+ROW()/10000000)</f>
        <v/>
      </c>
    </row>
    <row r="164">
      <c r="A164" s="1" t="n"/>
      <c r="B164" s="24" t="n"/>
      <c r="C164" s="27" t="n"/>
      <c r="D164" s="21" t="n"/>
      <c r="E164" s="22" t="n"/>
      <c r="F164" s="22" t="n"/>
      <c r="G164" s="22" t="n"/>
      <c r="H164" s="22" t="n"/>
      <c r="I164" s="22" t="n"/>
      <c r="J164" s="25" t="n"/>
      <c r="K164" s="26">
        <f>IF(B164="","",IF(B164&gt;TODAY(),"Coming up",IF(B164=TODAY(),"Today",IF(J164&lt;&gt;"","Done","Send thank-you"))))</f>
        <v/>
      </c>
      <c r="L164" s="1">
        <f>IF(OR(B164="",B164&lt;TODAY()),"",B164+MOD(N(C164),1)+ROW()/10000000)</f>
        <v/>
      </c>
    </row>
    <row r="165">
      <c r="A165" s="1" t="n"/>
      <c r="B165" s="24" t="n"/>
      <c r="C165" s="27" t="n"/>
      <c r="D165" s="21" t="n"/>
      <c r="E165" s="22" t="n"/>
      <c r="F165" s="22" t="n"/>
      <c r="G165" s="22" t="n"/>
      <c r="H165" s="22" t="n"/>
      <c r="I165" s="22" t="n"/>
      <c r="J165" s="25" t="n"/>
      <c r="K165" s="26">
        <f>IF(B165="","",IF(B165&gt;TODAY(),"Coming up",IF(B165=TODAY(),"Today",IF(J165&lt;&gt;"","Done","Send thank-you"))))</f>
        <v/>
      </c>
      <c r="L165" s="1">
        <f>IF(OR(B165="",B165&lt;TODAY()),"",B165+MOD(N(C165),1)+ROW()/10000000)</f>
        <v/>
      </c>
    </row>
    <row r="166">
      <c r="A166" s="1" t="n"/>
      <c r="B166" s="24" t="n"/>
      <c r="C166" s="27" t="n"/>
      <c r="D166" s="21" t="n"/>
      <c r="E166" s="22" t="n"/>
      <c r="F166" s="22" t="n"/>
      <c r="G166" s="22" t="n"/>
      <c r="H166" s="22" t="n"/>
      <c r="I166" s="22" t="n"/>
      <c r="J166" s="25" t="n"/>
      <c r="K166" s="26">
        <f>IF(B166="","",IF(B166&gt;TODAY(),"Coming up",IF(B166=TODAY(),"Today",IF(J166&lt;&gt;"","Done","Send thank-you"))))</f>
        <v/>
      </c>
      <c r="L166" s="1">
        <f>IF(OR(B166="",B166&lt;TODAY()),"",B166+MOD(N(C166),1)+ROW()/10000000)</f>
        <v/>
      </c>
    </row>
    <row r="167">
      <c r="A167" s="1" t="n"/>
      <c r="B167" s="24" t="n"/>
      <c r="C167" s="27" t="n"/>
      <c r="D167" s="21" t="n"/>
      <c r="E167" s="22" t="n"/>
      <c r="F167" s="22" t="n"/>
      <c r="G167" s="22" t="n"/>
      <c r="H167" s="22" t="n"/>
      <c r="I167" s="22" t="n"/>
      <c r="J167" s="25" t="n"/>
      <c r="K167" s="26">
        <f>IF(B167="","",IF(B167&gt;TODAY(),"Coming up",IF(B167=TODAY(),"Today",IF(J167&lt;&gt;"","Done","Send thank-you"))))</f>
        <v/>
      </c>
      <c r="L167" s="1">
        <f>IF(OR(B167="",B167&lt;TODAY()),"",B167+MOD(N(C167),1)+ROW()/10000000)</f>
        <v/>
      </c>
    </row>
    <row r="168">
      <c r="A168" s="1" t="n"/>
      <c r="B168" s="24" t="n"/>
      <c r="C168" s="27" t="n"/>
      <c r="D168" s="21" t="n"/>
      <c r="E168" s="22" t="n"/>
      <c r="F168" s="22" t="n"/>
      <c r="G168" s="22" t="n"/>
      <c r="H168" s="22" t="n"/>
      <c r="I168" s="22" t="n"/>
      <c r="J168" s="25" t="n"/>
      <c r="K168" s="26">
        <f>IF(B168="","",IF(B168&gt;TODAY(),"Coming up",IF(B168=TODAY(),"Today",IF(J168&lt;&gt;"","Done","Send thank-you"))))</f>
        <v/>
      </c>
      <c r="L168" s="1">
        <f>IF(OR(B168="",B168&lt;TODAY()),"",B168+MOD(N(C168),1)+ROW()/10000000)</f>
        <v/>
      </c>
    </row>
    <row r="169">
      <c r="A169" s="1" t="n"/>
      <c r="B169" s="24" t="n"/>
      <c r="C169" s="27" t="n"/>
      <c r="D169" s="21" t="n"/>
      <c r="E169" s="22" t="n"/>
      <c r="F169" s="22" t="n"/>
      <c r="G169" s="22" t="n"/>
      <c r="H169" s="22" t="n"/>
      <c r="I169" s="22" t="n"/>
      <c r="J169" s="25" t="n"/>
      <c r="K169" s="26">
        <f>IF(B169="","",IF(B169&gt;TODAY(),"Coming up",IF(B169=TODAY(),"Today",IF(J169&lt;&gt;"","Done","Send thank-you"))))</f>
        <v/>
      </c>
      <c r="L169" s="1">
        <f>IF(OR(B169="",B169&lt;TODAY()),"",B169+MOD(N(C169),1)+ROW()/10000000)</f>
        <v/>
      </c>
    </row>
    <row r="170">
      <c r="A170" s="1" t="n"/>
      <c r="B170" s="24" t="n"/>
      <c r="C170" s="27" t="n"/>
      <c r="D170" s="21" t="n"/>
      <c r="E170" s="22" t="n"/>
      <c r="F170" s="22" t="n"/>
      <c r="G170" s="22" t="n"/>
      <c r="H170" s="22" t="n"/>
      <c r="I170" s="22" t="n"/>
      <c r="J170" s="25" t="n"/>
      <c r="K170" s="26">
        <f>IF(B170="","",IF(B170&gt;TODAY(),"Coming up",IF(B170=TODAY(),"Today",IF(J170&lt;&gt;"","Done","Send thank-you"))))</f>
        <v/>
      </c>
      <c r="L170" s="1">
        <f>IF(OR(B170="",B170&lt;TODAY()),"",B170+MOD(N(C170),1)+ROW()/10000000)</f>
        <v/>
      </c>
    </row>
    <row r="171">
      <c r="A171" s="1" t="n"/>
      <c r="B171" s="24" t="n"/>
      <c r="C171" s="27" t="n"/>
      <c r="D171" s="21" t="n"/>
      <c r="E171" s="22" t="n"/>
      <c r="F171" s="22" t="n"/>
      <c r="G171" s="22" t="n"/>
      <c r="H171" s="22" t="n"/>
      <c r="I171" s="22" t="n"/>
      <c r="J171" s="25" t="n"/>
      <c r="K171" s="26">
        <f>IF(B171="","",IF(B171&gt;TODAY(),"Coming up",IF(B171=TODAY(),"Today",IF(J171&lt;&gt;"","Done","Send thank-you"))))</f>
        <v/>
      </c>
      <c r="L171" s="1">
        <f>IF(OR(B171="",B171&lt;TODAY()),"",B171+MOD(N(C171),1)+ROW()/10000000)</f>
        <v/>
      </c>
    </row>
    <row r="172">
      <c r="A172" s="1" t="n"/>
      <c r="B172" s="24" t="n"/>
      <c r="C172" s="27" t="n"/>
      <c r="D172" s="21" t="n"/>
      <c r="E172" s="22" t="n"/>
      <c r="F172" s="22" t="n"/>
      <c r="G172" s="22" t="n"/>
      <c r="H172" s="22" t="n"/>
      <c r="I172" s="22" t="n"/>
      <c r="J172" s="25" t="n"/>
      <c r="K172" s="26">
        <f>IF(B172="","",IF(B172&gt;TODAY(),"Coming up",IF(B172=TODAY(),"Today",IF(J172&lt;&gt;"","Done","Send thank-you"))))</f>
        <v/>
      </c>
      <c r="L172" s="1">
        <f>IF(OR(B172="",B172&lt;TODAY()),"",B172+MOD(N(C172),1)+ROW()/10000000)</f>
        <v/>
      </c>
    </row>
    <row r="173">
      <c r="A173" s="1" t="n"/>
      <c r="B173" s="24" t="n"/>
      <c r="C173" s="27" t="n"/>
      <c r="D173" s="21" t="n"/>
      <c r="E173" s="22" t="n"/>
      <c r="F173" s="22" t="n"/>
      <c r="G173" s="22" t="n"/>
      <c r="H173" s="22" t="n"/>
      <c r="I173" s="22" t="n"/>
      <c r="J173" s="25" t="n"/>
      <c r="K173" s="26">
        <f>IF(B173="","",IF(B173&gt;TODAY(),"Coming up",IF(B173=TODAY(),"Today",IF(J173&lt;&gt;"","Done","Send thank-you"))))</f>
        <v/>
      </c>
      <c r="L173" s="1">
        <f>IF(OR(B173="",B173&lt;TODAY()),"",B173+MOD(N(C173),1)+ROW()/10000000)</f>
        <v/>
      </c>
    </row>
    <row r="174">
      <c r="A174" s="1" t="n"/>
      <c r="B174" s="24" t="n"/>
      <c r="C174" s="27" t="n"/>
      <c r="D174" s="21" t="n"/>
      <c r="E174" s="22" t="n"/>
      <c r="F174" s="22" t="n"/>
      <c r="G174" s="22" t="n"/>
      <c r="H174" s="22" t="n"/>
      <c r="I174" s="22" t="n"/>
      <c r="J174" s="25" t="n"/>
      <c r="K174" s="26">
        <f>IF(B174="","",IF(B174&gt;TODAY(),"Coming up",IF(B174=TODAY(),"Today",IF(J174&lt;&gt;"","Done","Send thank-you"))))</f>
        <v/>
      </c>
      <c r="L174" s="1">
        <f>IF(OR(B174="",B174&lt;TODAY()),"",B174+MOD(N(C174),1)+ROW()/10000000)</f>
        <v/>
      </c>
    </row>
    <row r="175">
      <c r="A175" s="1" t="n"/>
      <c r="B175" s="24" t="n"/>
      <c r="C175" s="27" t="n"/>
      <c r="D175" s="21" t="n"/>
      <c r="E175" s="22" t="n"/>
      <c r="F175" s="22" t="n"/>
      <c r="G175" s="22" t="n"/>
      <c r="H175" s="22" t="n"/>
      <c r="I175" s="22" t="n"/>
      <c r="J175" s="25" t="n"/>
      <c r="K175" s="26">
        <f>IF(B175="","",IF(B175&gt;TODAY(),"Coming up",IF(B175=TODAY(),"Today",IF(J175&lt;&gt;"","Done","Send thank-you"))))</f>
        <v/>
      </c>
      <c r="L175" s="1">
        <f>IF(OR(B175="",B175&lt;TODAY()),"",B175+MOD(N(C175),1)+ROW()/10000000)</f>
        <v/>
      </c>
    </row>
    <row r="176">
      <c r="A176" s="1" t="n"/>
      <c r="B176" s="24" t="n"/>
      <c r="C176" s="27" t="n"/>
      <c r="D176" s="21" t="n"/>
      <c r="E176" s="22" t="n"/>
      <c r="F176" s="22" t="n"/>
      <c r="G176" s="22" t="n"/>
      <c r="H176" s="22" t="n"/>
      <c r="I176" s="22" t="n"/>
      <c r="J176" s="25" t="n"/>
      <c r="K176" s="26">
        <f>IF(B176="","",IF(B176&gt;TODAY(),"Coming up",IF(B176=TODAY(),"Today",IF(J176&lt;&gt;"","Done","Send thank-you"))))</f>
        <v/>
      </c>
      <c r="L176" s="1">
        <f>IF(OR(B176="",B176&lt;TODAY()),"",B176+MOD(N(C176),1)+ROW()/10000000)</f>
        <v/>
      </c>
    </row>
    <row r="177">
      <c r="A177" s="1" t="n"/>
      <c r="B177" s="24" t="n"/>
      <c r="C177" s="27" t="n"/>
      <c r="D177" s="21" t="n"/>
      <c r="E177" s="22" t="n"/>
      <c r="F177" s="22" t="n"/>
      <c r="G177" s="22" t="n"/>
      <c r="H177" s="22" t="n"/>
      <c r="I177" s="22" t="n"/>
      <c r="J177" s="25" t="n"/>
      <c r="K177" s="26">
        <f>IF(B177="","",IF(B177&gt;TODAY(),"Coming up",IF(B177=TODAY(),"Today",IF(J177&lt;&gt;"","Done","Send thank-you"))))</f>
        <v/>
      </c>
      <c r="L177" s="1">
        <f>IF(OR(B177="",B177&lt;TODAY()),"",B177+MOD(N(C177),1)+ROW()/10000000)</f>
        <v/>
      </c>
    </row>
    <row r="178">
      <c r="A178" s="1" t="n"/>
      <c r="B178" s="24" t="n"/>
      <c r="C178" s="27" t="n"/>
      <c r="D178" s="21" t="n"/>
      <c r="E178" s="22" t="n"/>
      <c r="F178" s="22" t="n"/>
      <c r="G178" s="22" t="n"/>
      <c r="H178" s="22" t="n"/>
      <c r="I178" s="22" t="n"/>
      <c r="J178" s="25" t="n"/>
      <c r="K178" s="26">
        <f>IF(B178="","",IF(B178&gt;TODAY(),"Coming up",IF(B178=TODAY(),"Today",IF(J178&lt;&gt;"","Done","Send thank-you"))))</f>
        <v/>
      </c>
      <c r="L178" s="1">
        <f>IF(OR(B178="",B178&lt;TODAY()),"",B178+MOD(N(C178),1)+ROW()/10000000)</f>
        <v/>
      </c>
    </row>
    <row r="179">
      <c r="A179" s="1" t="n"/>
      <c r="B179" s="24" t="n"/>
      <c r="C179" s="27" t="n"/>
      <c r="D179" s="21" t="n"/>
      <c r="E179" s="22" t="n"/>
      <c r="F179" s="22" t="n"/>
      <c r="G179" s="22" t="n"/>
      <c r="H179" s="22" t="n"/>
      <c r="I179" s="22" t="n"/>
      <c r="J179" s="25" t="n"/>
      <c r="K179" s="26">
        <f>IF(B179="","",IF(B179&gt;TODAY(),"Coming up",IF(B179=TODAY(),"Today",IF(J179&lt;&gt;"","Done","Send thank-you"))))</f>
        <v/>
      </c>
      <c r="L179" s="1">
        <f>IF(OR(B179="",B179&lt;TODAY()),"",B179+MOD(N(C179),1)+ROW()/10000000)</f>
        <v/>
      </c>
    </row>
    <row r="180">
      <c r="A180" s="1" t="n"/>
      <c r="B180" s="24" t="n"/>
      <c r="C180" s="27" t="n"/>
      <c r="D180" s="21" t="n"/>
      <c r="E180" s="22" t="n"/>
      <c r="F180" s="22" t="n"/>
      <c r="G180" s="22" t="n"/>
      <c r="H180" s="22" t="n"/>
      <c r="I180" s="22" t="n"/>
      <c r="J180" s="25" t="n"/>
      <c r="K180" s="26">
        <f>IF(B180="","",IF(B180&gt;TODAY(),"Coming up",IF(B180=TODAY(),"Today",IF(J180&lt;&gt;"","Done","Send thank-you"))))</f>
        <v/>
      </c>
      <c r="L180" s="1">
        <f>IF(OR(B180="",B180&lt;TODAY()),"",B180+MOD(N(C180),1)+ROW()/10000000)</f>
        <v/>
      </c>
    </row>
    <row r="181">
      <c r="A181" s="1" t="n"/>
      <c r="B181" s="24" t="n"/>
      <c r="C181" s="27" t="n"/>
      <c r="D181" s="21" t="n"/>
      <c r="E181" s="22" t="n"/>
      <c r="F181" s="22" t="n"/>
      <c r="G181" s="22" t="n"/>
      <c r="H181" s="22" t="n"/>
      <c r="I181" s="22" t="n"/>
      <c r="J181" s="25" t="n"/>
      <c r="K181" s="26">
        <f>IF(B181="","",IF(B181&gt;TODAY(),"Coming up",IF(B181=TODAY(),"Today",IF(J181&lt;&gt;"","Done","Send thank-you"))))</f>
        <v/>
      </c>
      <c r="L181" s="1">
        <f>IF(OR(B181="",B181&lt;TODAY()),"",B181+MOD(N(C181),1)+ROW()/10000000)</f>
        <v/>
      </c>
    </row>
    <row r="182">
      <c r="A182" s="1" t="n"/>
      <c r="B182" s="24" t="n"/>
      <c r="C182" s="27" t="n"/>
      <c r="D182" s="21" t="n"/>
      <c r="E182" s="22" t="n"/>
      <c r="F182" s="22" t="n"/>
      <c r="G182" s="22" t="n"/>
      <c r="H182" s="22" t="n"/>
      <c r="I182" s="22" t="n"/>
      <c r="J182" s="25" t="n"/>
      <c r="K182" s="26">
        <f>IF(B182="","",IF(B182&gt;TODAY(),"Coming up",IF(B182=TODAY(),"Today",IF(J182&lt;&gt;"","Done","Send thank-you"))))</f>
        <v/>
      </c>
      <c r="L182" s="1">
        <f>IF(OR(B182="",B182&lt;TODAY()),"",B182+MOD(N(C182),1)+ROW()/10000000)</f>
        <v/>
      </c>
    </row>
    <row r="183">
      <c r="A183" s="1" t="n"/>
      <c r="B183" s="24" t="n"/>
      <c r="C183" s="27" t="n"/>
      <c r="D183" s="21" t="n"/>
      <c r="E183" s="22" t="n"/>
      <c r="F183" s="22" t="n"/>
      <c r="G183" s="22" t="n"/>
      <c r="H183" s="22" t="n"/>
      <c r="I183" s="22" t="n"/>
      <c r="J183" s="25" t="n"/>
      <c r="K183" s="26">
        <f>IF(B183="","",IF(B183&gt;TODAY(),"Coming up",IF(B183=TODAY(),"Today",IF(J183&lt;&gt;"","Done","Send thank-you"))))</f>
        <v/>
      </c>
      <c r="L183" s="1">
        <f>IF(OR(B183="",B183&lt;TODAY()),"",B183+MOD(N(C183),1)+ROW()/10000000)</f>
        <v/>
      </c>
    </row>
    <row r="184">
      <c r="A184" s="1" t="n"/>
      <c r="B184" s="24" t="n"/>
      <c r="C184" s="27" t="n"/>
      <c r="D184" s="21" t="n"/>
      <c r="E184" s="22" t="n"/>
      <c r="F184" s="22" t="n"/>
      <c r="G184" s="22" t="n"/>
      <c r="H184" s="22" t="n"/>
      <c r="I184" s="22" t="n"/>
      <c r="J184" s="25" t="n"/>
      <c r="K184" s="26">
        <f>IF(B184="","",IF(B184&gt;TODAY(),"Coming up",IF(B184=TODAY(),"Today",IF(J184&lt;&gt;"","Done","Send thank-you"))))</f>
        <v/>
      </c>
      <c r="L184" s="1">
        <f>IF(OR(B184="",B184&lt;TODAY()),"",B184+MOD(N(C184),1)+ROW()/10000000)</f>
        <v/>
      </c>
    </row>
    <row r="185">
      <c r="A185" s="1" t="n"/>
      <c r="B185" s="24" t="n"/>
      <c r="C185" s="27" t="n"/>
      <c r="D185" s="21" t="n"/>
      <c r="E185" s="22" t="n"/>
      <c r="F185" s="22" t="n"/>
      <c r="G185" s="22" t="n"/>
      <c r="H185" s="22" t="n"/>
      <c r="I185" s="22" t="n"/>
      <c r="J185" s="25" t="n"/>
      <c r="K185" s="26">
        <f>IF(B185="","",IF(B185&gt;TODAY(),"Coming up",IF(B185=TODAY(),"Today",IF(J185&lt;&gt;"","Done","Send thank-you"))))</f>
        <v/>
      </c>
      <c r="L185" s="1">
        <f>IF(OR(B185="",B185&lt;TODAY()),"",B185+MOD(N(C185),1)+ROW()/10000000)</f>
        <v/>
      </c>
    </row>
    <row r="186">
      <c r="A186" s="1" t="n"/>
      <c r="B186" s="24" t="n"/>
      <c r="C186" s="27" t="n"/>
      <c r="D186" s="21" t="n"/>
      <c r="E186" s="22" t="n"/>
      <c r="F186" s="22" t="n"/>
      <c r="G186" s="22" t="n"/>
      <c r="H186" s="22" t="n"/>
      <c r="I186" s="22" t="n"/>
      <c r="J186" s="25" t="n"/>
      <c r="K186" s="26">
        <f>IF(B186="","",IF(B186&gt;TODAY(),"Coming up",IF(B186=TODAY(),"Today",IF(J186&lt;&gt;"","Done","Send thank-you"))))</f>
        <v/>
      </c>
      <c r="L186" s="1">
        <f>IF(OR(B186="",B186&lt;TODAY()),"",B186+MOD(N(C186),1)+ROW()/10000000)</f>
        <v/>
      </c>
    </row>
    <row r="187">
      <c r="A187" s="1" t="n"/>
      <c r="B187" s="24" t="n"/>
      <c r="C187" s="27" t="n"/>
      <c r="D187" s="21" t="n"/>
      <c r="E187" s="22" t="n"/>
      <c r="F187" s="22" t="n"/>
      <c r="G187" s="22" t="n"/>
      <c r="H187" s="22" t="n"/>
      <c r="I187" s="22" t="n"/>
      <c r="J187" s="25" t="n"/>
      <c r="K187" s="26">
        <f>IF(B187="","",IF(B187&gt;TODAY(),"Coming up",IF(B187=TODAY(),"Today",IF(J187&lt;&gt;"","Done","Send thank-you"))))</f>
        <v/>
      </c>
      <c r="L187" s="1">
        <f>IF(OR(B187="",B187&lt;TODAY()),"",B187+MOD(N(C187),1)+ROW()/10000000)</f>
        <v/>
      </c>
    </row>
    <row r="188">
      <c r="A188" s="1" t="n"/>
      <c r="B188" s="24" t="n"/>
      <c r="C188" s="27" t="n"/>
      <c r="D188" s="21" t="n"/>
      <c r="E188" s="22" t="n"/>
      <c r="F188" s="22" t="n"/>
      <c r="G188" s="22" t="n"/>
      <c r="H188" s="22" t="n"/>
      <c r="I188" s="22" t="n"/>
      <c r="J188" s="25" t="n"/>
      <c r="K188" s="26">
        <f>IF(B188="","",IF(B188&gt;TODAY(),"Coming up",IF(B188=TODAY(),"Today",IF(J188&lt;&gt;"","Done","Send thank-you"))))</f>
        <v/>
      </c>
      <c r="L188" s="1">
        <f>IF(OR(B188="",B188&lt;TODAY()),"",B188+MOD(N(C188),1)+ROW()/10000000)</f>
        <v/>
      </c>
    </row>
    <row r="189">
      <c r="A189" s="1" t="n"/>
      <c r="B189" s="24" t="n"/>
      <c r="C189" s="27" t="n"/>
      <c r="D189" s="21" t="n"/>
      <c r="E189" s="22" t="n"/>
      <c r="F189" s="22" t="n"/>
      <c r="G189" s="22" t="n"/>
      <c r="H189" s="22" t="n"/>
      <c r="I189" s="22" t="n"/>
      <c r="J189" s="25" t="n"/>
      <c r="K189" s="26">
        <f>IF(B189="","",IF(B189&gt;TODAY(),"Coming up",IF(B189=TODAY(),"Today",IF(J189&lt;&gt;"","Done","Send thank-you"))))</f>
        <v/>
      </c>
      <c r="L189" s="1">
        <f>IF(OR(B189="",B189&lt;TODAY()),"",B189+MOD(N(C189),1)+ROW()/10000000)</f>
        <v/>
      </c>
    </row>
    <row r="190">
      <c r="A190" s="1" t="n"/>
      <c r="B190" s="24" t="n"/>
      <c r="C190" s="27" t="n"/>
      <c r="D190" s="21" t="n"/>
      <c r="E190" s="22" t="n"/>
      <c r="F190" s="22" t="n"/>
      <c r="G190" s="22" t="n"/>
      <c r="H190" s="22" t="n"/>
      <c r="I190" s="22" t="n"/>
      <c r="J190" s="25" t="n"/>
      <c r="K190" s="26">
        <f>IF(B190="","",IF(B190&gt;TODAY(),"Coming up",IF(B190=TODAY(),"Today",IF(J190&lt;&gt;"","Done","Send thank-you"))))</f>
        <v/>
      </c>
      <c r="L190" s="1">
        <f>IF(OR(B190="",B190&lt;TODAY()),"",B190+MOD(N(C190),1)+ROW()/10000000)</f>
        <v/>
      </c>
    </row>
    <row r="191">
      <c r="A191" s="1" t="n"/>
      <c r="B191" s="24" t="n"/>
      <c r="C191" s="27" t="n"/>
      <c r="D191" s="21" t="n"/>
      <c r="E191" s="22" t="n"/>
      <c r="F191" s="22" t="n"/>
      <c r="G191" s="22" t="n"/>
      <c r="H191" s="22" t="n"/>
      <c r="I191" s="22" t="n"/>
      <c r="J191" s="25" t="n"/>
      <c r="K191" s="26">
        <f>IF(B191="","",IF(B191&gt;TODAY(),"Coming up",IF(B191=TODAY(),"Today",IF(J191&lt;&gt;"","Done","Send thank-you"))))</f>
        <v/>
      </c>
      <c r="L191" s="1">
        <f>IF(OR(B191="",B191&lt;TODAY()),"",B191+MOD(N(C191),1)+ROW()/10000000)</f>
        <v/>
      </c>
    </row>
    <row r="192">
      <c r="A192" s="1" t="n"/>
      <c r="B192" s="24" t="n"/>
      <c r="C192" s="27" t="n"/>
      <c r="D192" s="21" t="n"/>
      <c r="E192" s="22" t="n"/>
      <c r="F192" s="22" t="n"/>
      <c r="G192" s="22" t="n"/>
      <c r="H192" s="22" t="n"/>
      <c r="I192" s="22" t="n"/>
      <c r="J192" s="25" t="n"/>
      <c r="K192" s="26">
        <f>IF(B192="","",IF(B192&gt;TODAY(),"Coming up",IF(B192=TODAY(),"Today",IF(J192&lt;&gt;"","Done","Send thank-you"))))</f>
        <v/>
      </c>
      <c r="L192" s="1">
        <f>IF(OR(B192="",B192&lt;TODAY()),"",B192+MOD(N(C192),1)+ROW()/10000000)</f>
        <v/>
      </c>
    </row>
    <row r="193">
      <c r="A193" s="1" t="n"/>
      <c r="B193" s="24" t="n"/>
      <c r="C193" s="27" t="n"/>
      <c r="D193" s="21" t="n"/>
      <c r="E193" s="22" t="n"/>
      <c r="F193" s="22" t="n"/>
      <c r="G193" s="22" t="n"/>
      <c r="H193" s="22" t="n"/>
      <c r="I193" s="22" t="n"/>
      <c r="J193" s="25" t="n"/>
      <c r="K193" s="26">
        <f>IF(B193="","",IF(B193&gt;TODAY(),"Coming up",IF(B193=TODAY(),"Today",IF(J193&lt;&gt;"","Done","Send thank-you"))))</f>
        <v/>
      </c>
      <c r="L193" s="1">
        <f>IF(OR(B193="",B193&lt;TODAY()),"",B193+MOD(N(C193),1)+ROW()/10000000)</f>
        <v/>
      </c>
    </row>
    <row r="194">
      <c r="A194" s="1" t="n"/>
      <c r="B194" s="24" t="n"/>
      <c r="C194" s="27" t="n"/>
      <c r="D194" s="21" t="n"/>
      <c r="E194" s="22" t="n"/>
      <c r="F194" s="22" t="n"/>
      <c r="G194" s="22" t="n"/>
      <c r="H194" s="22" t="n"/>
      <c r="I194" s="22" t="n"/>
      <c r="J194" s="25" t="n"/>
      <c r="K194" s="26">
        <f>IF(B194="","",IF(B194&gt;TODAY(),"Coming up",IF(B194=TODAY(),"Today",IF(J194&lt;&gt;"","Done","Send thank-you"))))</f>
        <v/>
      </c>
      <c r="L194" s="1">
        <f>IF(OR(B194="",B194&lt;TODAY()),"",B194+MOD(N(C194),1)+ROW()/10000000)</f>
        <v/>
      </c>
    </row>
    <row r="195">
      <c r="A195" s="1" t="n"/>
      <c r="B195" s="24" t="n"/>
      <c r="C195" s="27" t="n"/>
      <c r="D195" s="21" t="n"/>
      <c r="E195" s="22" t="n"/>
      <c r="F195" s="22" t="n"/>
      <c r="G195" s="22" t="n"/>
      <c r="H195" s="22" t="n"/>
      <c r="I195" s="22" t="n"/>
      <c r="J195" s="25" t="n"/>
      <c r="K195" s="26">
        <f>IF(B195="","",IF(B195&gt;TODAY(),"Coming up",IF(B195=TODAY(),"Today",IF(J195&lt;&gt;"","Done","Send thank-you"))))</f>
        <v/>
      </c>
      <c r="L195" s="1">
        <f>IF(OR(B195="",B195&lt;TODAY()),"",B195+MOD(N(C195),1)+ROW()/10000000)</f>
        <v/>
      </c>
    </row>
    <row r="196">
      <c r="A196" s="1" t="n"/>
      <c r="B196" s="24" t="n"/>
      <c r="C196" s="27" t="n"/>
      <c r="D196" s="21" t="n"/>
      <c r="E196" s="22" t="n"/>
      <c r="F196" s="22" t="n"/>
      <c r="G196" s="22" t="n"/>
      <c r="H196" s="22" t="n"/>
      <c r="I196" s="22" t="n"/>
      <c r="J196" s="25" t="n"/>
      <c r="K196" s="26">
        <f>IF(B196="","",IF(B196&gt;TODAY(),"Coming up",IF(B196=TODAY(),"Today",IF(J196&lt;&gt;"","Done","Send thank-you"))))</f>
        <v/>
      </c>
      <c r="L196" s="1">
        <f>IF(OR(B196="",B196&lt;TODAY()),"",B196+MOD(N(C196),1)+ROW()/10000000)</f>
        <v/>
      </c>
    </row>
    <row r="197">
      <c r="A197" s="1" t="n"/>
      <c r="B197" s="24" t="n"/>
      <c r="C197" s="27" t="n"/>
      <c r="D197" s="21" t="n"/>
      <c r="E197" s="22" t="n"/>
      <c r="F197" s="22" t="n"/>
      <c r="G197" s="22" t="n"/>
      <c r="H197" s="22" t="n"/>
      <c r="I197" s="22" t="n"/>
      <c r="J197" s="25" t="n"/>
      <c r="K197" s="26">
        <f>IF(B197="","",IF(B197&gt;TODAY(),"Coming up",IF(B197=TODAY(),"Today",IF(J197&lt;&gt;"","Done","Send thank-you"))))</f>
        <v/>
      </c>
      <c r="L197" s="1">
        <f>IF(OR(B197="",B197&lt;TODAY()),"",B197+MOD(N(C197),1)+ROW()/10000000)</f>
        <v/>
      </c>
    </row>
    <row r="198">
      <c r="A198" s="1" t="n"/>
      <c r="B198" s="24" t="n"/>
      <c r="C198" s="27" t="n"/>
      <c r="D198" s="21" t="n"/>
      <c r="E198" s="22" t="n"/>
      <c r="F198" s="22" t="n"/>
      <c r="G198" s="22" t="n"/>
      <c r="H198" s="22" t="n"/>
      <c r="I198" s="22" t="n"/>
      <c r="J198" s="25" t="n"/>
      <c r="K198" s="26">
        <f>IF(B198="","",IF(B198&gt;TODAY(),"Coming up",IF(B198=TODAY(),"Today",IF(J198&lt;&gt;"","Done","Send thank-you"))))</f>
        <v/>
      </c>
      <c r="L198" s="1">
        <f>IF(OR(B198="",B198&lt;TODAY()),"",B198+MOD(N(C198),1)+ROW()/10000000)</f>
        <v/>
      </c>
    </row>
    <row r="199">
      <c r="A199" s="1" t="n"/>
      <c r="B199" s="24" t="n"/>
      <c r="C199" s="27" t="n"/>
      <c r="D199" s="21" t="n"/>
      <c r="E199" s="22" t="n"/>
      <c r="F199" s="22" t="n"/>
      <c r="G199" s="22" t="n"/>
      <c r="H199" s="22" t="n"/>
      <c r="I199" s="22" t="n"/>
      <c r="J199" s="25" t="n"/>
      <c r="K199" s="26">
        <f>IF(B199="","",IF(B199&gt;TODAY(),"Coming up",IF(B199=TODAY(),"Today",IF(J199&lt;&gt;"","Done","Send thank-you"))))</f>
        <v/>
      </c>
      <c r="L199" s="1">
        <f>IF(OR(B199="",B199&lt;TODAY()),"",B199+MOD(N(C199),1)+ROW()/10000000)</f>
        <v/>
      </c>
    </row>
    <row r="200">
      <c r="A200" s="1" t="n"/>
      <c r="B200" s="24" t="n"/>
      <c r="C200" s="27" t="n"/>
      <c r="D200" s="21" t="n"/>
      <c r="E200" s="22" t="n"/>
      <c r="F200" s="22" t="n"/>
      <c r="G200" s="22" t="n"/>
      <c r="H200" s="22" t="n"/>
      <c r="I200" s="22" t="n"/>
      <c r="J200" s="25" t="n"/>
      <c r="K200" s="26">
        <f>IF(B200="","",IF(B200&gt;TODAY(),"Coming up",IF(B200=TODAY(),"Today",IF(J200&lt;&gt;"","Done","Send thank-you"))))</f>
        <v/>
      </c>
      <c r="L200" s="1">
        <f>IF(OR(B200="",B200&lt;TODAY()),"",B200+MOD(N(C200),1)+ROW()/10000000)</f>
        <v/>
      </c>
    </row>
    <row r="201">
      <c r="A201" s="1" t="n"/>
      <c r="B201" s="24" t="n"/>
      <c r="C201" s="27" t="n"/>
      <c r="D201" s="21" t="n"/>
      <c r="E201" s="22" t="n"/>
      <c r="F201" s="22" t="n"/>
      <c r="G201" s="22" t="n"/>
      <c r="H201" s="22" t="n"/>
      <c r="I201" s="22" t="n"/>
      <c r="J201" s="25" t="n"/>
      <c r="K201" s="26">
        <f>IF(B201="","",IF(B201&gt;TODAY(),"Coming up",IF(B201=TODAY(),"Today",IF(J201&lt;&gt;"","Done","Send thank-you"))))</f>
        <v/>
      </c>
      <c r="L201" s="1">
        <f>IF(OR(B201="",B201&lt;TODAY()),"",B201+MOD(N(C201),1)+ROW()/10000000)</f>
        <v/>
      </c>
    </row>
    <row r="202">
      <c r="A202" s="1" t="n"/>
      <c r="B202" s="24" t="n"/>
      <c r="C202" s="27" t="n"/>
      <c r="D202" s="21" t="n"/>
      <c r="E202" s="22" t="n"/>
      <c r="F202" s="22" t="n"/>
      <c r="G202" s="22" t="n"/>
      <c r="H202" s="22" t="n"/>
      <c r="I202" s="22" t="n"/>
      <c r="J202" s="25" t="n"/>
      <c r="K202" s="26">
        <f>IF(B202="","",IF(B202&gt;TODAY(),"Coming up",IF(B202=TODAY(),"Today",IF(J202&lt;&gt;"","Done","Send thank-you"))))</f>
        <v/>
      </c>
      <c r="L202" s="1">
        <f>IF(OR(B202="",B202&lt;TODAY()),"",B202+MOD(N(C202),1)+ROW()/10000000)</f>
        <v/>
      </c>
    </row>
    <row r="203">
      <c r="A203" s="1" t="n"/>
      <c r="B203" s="24" t="n"/>
      <c r="C203" s="27" t="n"/>
      <c r="D203" s="21" t="n"/>
      <c r="E203" s="22" t="n"/>
      <c r="F203" s="22" t="n"/>
      <c r="G203" s="22" t="n"/>
      <c r="H203" s="22" t="n"/>
      <c r="I203" s="22" t="n"/>
      <c r="J203" s="25" t="n"/>
      <c r="K203" s="26">
        <f>IF(B203="","",IF(B203&gt;TODAY(),"Coming up",IF(B203=TODAY(),"Today",IF(J203&lt;&gt;"","Done","Send thank-you"))))</f>
        <v/>
      </c>
      <c r="L203" s="1">
        <f>IF(OR(B203="",B203&lt;TODAY()),"",B203+MOD(N(C203),1)+ROW()/10000000)</f>
        <v/>
      </c>
    </row>
    <row r="204">
      <c r="A204" s="1" t="n"/>
      <c r="B204" s="24" t="n"/>
      <c r="C204" s="27" t="n"/>
      <c r="D204" s="21" t="n"/>
      <c r="E204" s="22" t="n"/>
      <c r="F204" s="22" t="n"/>
      <c r="G204" s="22" t="n"/>
      <c r="H204" s="22" t="n"/>
      <c r="I204" s="22" t="n"/>
      <c r="J204" s="25" t="n"/>
      <c r="K204" s="26">
        <f>IF(B204="","",IF(B204&gt;TODAY(),"Coming up",IF(B204=TODAY(),"Today",IF(J204&lt;&gt;"","Done","Send thank-you"))))</f>
        <v/>
      </c>
      <c r="L204" s="1">
        <f>IF(OR(B204="",B204&lt;TODAY()),"",B204+MOD(N(C204),1)+ROW()/10000000)</f>
        <v/>
      </c>
    </row>
    <row r="205">
      <c r="A205" s="1" t="n"/>
      <c r="B205" s="24" t="n"/>
      <c r="C205" s="27" t="n"/>
      <c r="D205" s="21" t="n"/>
      <c r="E205" s="22" t="n"/>
      <c r="F205" s="22" t="n"/>
      <c r="G205" s="22" t="n"/>
      <c r="H205" s="22" t="n"/>
      <c r="I205" s="22" t="n"/>
      <c r="J205" s="25" t="n"/>
      <c r="K205" s="26">
        <f>IF(B205="","",IF(B205&gt;TODAY(),"Coming up",IF(B205=TODAY(),"Today",IF(J205&lt;&gt;"","Done","Send thank-you"))))</f>
        <v/>
      </c>
      <c r="L205" s="1">
        <f>IF(OR(B205="",B205&lt;TODAY()),"",B205+MOD(N(C205),1)+ROW()/10000000)</f>
        <v/>
      </c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</row>
  </sheetData>
  <conditionalFormatting sqref="K6:K205">
    <cfRule type="expression" priority="1" dxfId="3">
      <formula>K6="Coming up"</formula>
    </cfRule>
    <cfRule type="expression" priority="2" dxfId="1">
      <formula>K6="Today"</formula>
    </cfRule>
    <cfRule type="expression" priority="3" dxfId="2">
      <formula>K6="Done"</formula>
    </cfRule>
    <cfRule type="expression" priority="4" dxfId="0">
      <formula>K6="Send thank-you"</formula>
    </cfRule>
  </conditionalFormatting>
  <dataValidations count="2">
    <dataValidation sqref="D6:D205" showDropDown="0" showInputMessage="0" showErrorMessage="0" allowBlank="1" type="list">
      <formula1>=Applications!$B$6:$B$305</formula1>
    </dataValidation>
    <dataValidation sqref="F6:F205" showDropDown="0" showInputMessage="0" showErrorMessage="0" allowBlank="1" type="list">
      <formula1>"Phone screen,Video,On site,Task,Final"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18" customWidth="1" min="4" max="4"/>
    <col width="24" customWidth="1" min="5" max="5"/>
    <col width="28" customWidth="1" min="6" max="6"/>
    <col width="13" customWidth="1" min="7" max="7"/>
    <col width="13" customWidth="1" min="8" max="8"/>
    <col width="30" customWidth="1" min="9" max="9"/>
    <col width="16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 t="inlineStr">
        <is>
          <t>Contacts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Recruiters, referrals and people who can help, with the next time to get in touch.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0" customHeight="1">
      <c r="A5" s="1" t="n"/>
      <c r="B5" s="10" t="inlineStr">
        <is>
          <t>Name</t>
        </is>
      </c>
      <c r="C5" s="10" t="inlineStr">
        <is>
          <t>Company</t>
        </is>
      </c>
      <c r="D5" s="10" t="inlineStr">
        <is>
          <t>Title</t>
        </is>
      </c>
      <c r="E5" s="10" t="inlineStr">
        <is>
          <t>How you met</t>
        </is>
      </c>
      <c r="F5" s="10" t="inlineStr">
        <is>
          <t>Email</t>
        </is>
      </c>
      <c r="G5" s="10" t="inlineStr">
        <is>
          <t>Last contact</t>
        </is>
      </c>
      <c r="H5" s="10" t="inlineStr">
        <is>
          <t>Next contact</t>
        </is>
      </c>
      <c r="I5" s="10" t="inlineStr">
        <is>
          <t>Notes</t>
        </is>
      </c>
      <c r="J5" s="10" t="inlineStr">
        <is>
          <t>Status</t>
        </is>
      </c>
      <c r="K5" s="1" t="n"/>
    </row>
    <row r="6">
      <c r="A6" s="1" t="n"/>
      <c r="B6" s="21" t="inlineStr">
        <is>
          <t>Nina Park</t>
        </is>
      </c>
      <c r="C6" s="22" t="inlineStr">
        <is>
          <t>Tidewell Health</t>
        </is>
      </c>
      <c r="D6" s="22" t="inlineStr">
        <is>
          <t>Product manager</t>
        </is>
      </c>
      <c r="E6" s="22" t="inlineStr">
        <is>
          <t>Old colleague</t>
        </is>
      </c>
      <c r="F6" s="22" t="inlineStr">
        <is>
          <t>nina@tidewell.example</t>
        </is>
      </c>
      <c r="G6" s="24" t="n">
        <v>46291</v>
      </c>
      <c r="H6" s="24" t="n">
        <v>46305</v>
      </c>
      <c r="I6" s="22" t="inlineStr">
        <is>
          <t>Referred me to Tidewell and Ashgrove</t>
        </is>
      </c>
      <c r="J6" s="26">
        <f>IF(OR(B6="",H6=""),"",IF(H6&lt;=TODAY(),"Get in touch","On "&amp;DAY(H6)&amp;" "&amp;CHOOSE(MONTH(H6),"Jan","Feb","Mar","Apr","May","Jun","Jul","Aug","Sep","Oct","Nov","Dec")))</f>
        <v/>
      </c>
      <c r="K6" s="1" t="n"/>
    </row>
    <row r="7">
      <c r="A7" s="1" t="n"/>
      <c r="B7" s="21" t="inlineStr">
        <is>
          <t>Owen Hart</t>
        </is>
      </c>
      <c r="C7" s="22" t="inlineStr">
        <is>
          <t>Recruiting agency</t>
        </is>
      </c>
      <c r="D7" s="22" t="inlineStr">
        <is>
          <t>Recruiter</t>
        </is>
      </c>
      <c r="E7" s="22" t="inlineStr">
        <is>
          <t>Reached out on a job board</t>
        </is>
      </c>
      <c r="F7" s="22" t="inlineStr">
        <is>
          <t>owen@agency.example</t>
        </is>
      </c>
      <c r="G7" s="24" t="n">
        <v>46284</v>
      </c>
      <c r="H7" s="24" t="n">
        <v>46292</v>
      </c>
      <c r="I7" s="22" t="inlineStr">
        <is>
          <t>Sends design lead roles</t>
        </is>
      </c>
      <c r="J7" s="26">
        <f>IF(OR(B7="",H7=""),"",IF(H7&lt;=TODAY(),"Get in touch","On "&amp;DAY(H7)&amp;" "&amp;CHOOSE(MONTH(H7),"Jan","Feb","Mar","Apr","May","Jun","Jul","Aug","Sep","Oct","Nov","Dec")))</f>
        <v/>
      </c>
      <c r="K7" s="1" t="n"/>
    </row>
    <row r="8">
      <c r="A8" s="1" t="n"/>
      <c r="B8" s="21" t="inlineStr">
        <is>
          <t>Leo Grant</t>
        </is>
      </c>
      <c r="C8" s="22" t="inlineStr">
        <is>
          <t>Starling Software</t>
        </is>
      </c>
      <c r="D8" s="22" t="inlineStr">
        <is>
          <t>Designer</t>
        </is>
      </c>
      <c r="E8" s="22" t="inlineStr">
        <is>
          <t>Design meetup</t>
        </is>
      </c>
      <c r="F8" s="22" t="inlineStr">
        <is>
          <t>leo@starling.example</t>
        </is>
      </c>
      <c r="G8" s="24" t="n">
        <v>46290</v>
      </c>
      <c r="H8" s="24" t="n">
        <v>46303</v>
      </c>
      <c r="I8" s="22" t="n"/>
      <c r="J8" s="26">
        <f>IF(OR(B8="",H8=""),"",IF(H8&lt;=TODAY(),"Get in touch","On "&amp;DAY(H8)&amp;" "&amp;CHOOSE(MONTH(H8),"Jan","Feb","Mar","Apr","May","Jun","Jul","Aug","Sep","Oct","Nov","Dec")))</f>
        <v/>
      </c>
      <c r="K8" s="1" t="n"/>
    </row>
    <row r="9">
      <c r="A9" s="1" t="n"/>
      <c r="B9" s="21" t="inlineStr">
        <is>
          <t>Maya Chen</t>
        </is>
      </c>
      <c r="C9" s="22" t="inlineStr">
        <is>
          <t>Freelance</t>
        </is>
      </c>
      <c r="D9" s="22" t="inlineStr">
        <is>
          <t>Design mentor</t>
        </is>
      </c>
      <c r="E9" s="22" t="inlineStr">
        <is>
          <t>Mentoring programme</t>
        </is>
      </c>
      <c r="F9" s="22" t="inlineStr">
        <is>
          <t>maya@studio.example</t>
        </is>
      </c>
      <c r="G9" s="24" t="n">
        <v>46273</v>
      </c>
      <c r="H9" s="24" t="n">
        <v>46295</v>
      </c>
      <c r="I9" s="22" t="inlineStr">
        <is>
          <t>Portfolio feedback every month</t>
        </is>
      </c>
      <c r="J9" s="26">
        <f>IF(OR(B9="",H9=""),"",IF(H9&lt;=TODAY(),"Get in touch","On "&amp;DAY(H9)&amp;" "&amp;CHOOSE(MONTH(H9),"Jan","Feb","Mar","Apr","May","Jun","Jul","Aug","Sep","Oct","Nov","Dec")))</f>
        <v/>
      </c>
      <c r="K9" s="1" t="n"/>
    </row>
    <row r="10">
      <c r="A10" s="1" t="n"/>
      <c r="B10" s="21" t="inlineStr">
        <is>
          <t>Sam Ortiz</t>
        </is>
      </c>
      <c r="C10" s="22" t="inlineStr">
        <is>
          <t>Kestrel Analytics</t>
        </is>
      </c>
      <c r="D10" s="22" t="inlineStr">
        <is>
          <t>Engineer</t>
        </is>
      </c>
      <c r="E10" s="22" t="inlineStr">
        <is>
          <t>University</t>
        </is>
      </c>
      <c r="F10" s="22" t="inlineStr">
        <is>
          <t>sam@kestrel.example</t>
        </is>
      </c>
      <c r="G10" s="24" t="n">
        <v>46289</v>
      </c>
      <c r="H10" s="24" t="n"/>
      <c r="I10" s="22" t="n"/>
      <c r="J10" s="26">
        <f>IF(OR(B10="",H10=""),"",IF(H10&lt;=TODAY(),"Get in touch","On "&amp;DAY(H10)&amp;" "&amp;CHOOSE(MONTH(H10),"Jan","Feb","Mar","Apr","May","Jun","Jul","Aug","Sep","Oct","Nov","Dec")))</f>
        <v/>
      </c>
      <c r="K10" s="1" t="n"/>
    </row>
    <row r="11">
      <c r="A11" s="1" t="n"/>
      <c r="B11" s="21" t="n"/>
      <c r="C11" s="22" t="n"/>
      <c r="D11" s="22" t="n"/>
      <c r="E11" s="22" t="n"/>
      <c r="F11" s="22" t="n"/>
      <c r="G11" s="24" t="n"/>
      <c r="H11" s="24" t="n"/>
      <c r="I11" s="22" t="n"/>
      <c r="J11" s="26">
        <f>IF(OR(B11="",H11=""),"",IF(H11&lt;=TODAY(),"Get in touch","On "&amp;DAY(H11)&amp;" "&amp;CHOOSE(MONTH(H11),"Jan","Feb","Mar","Apr","May","Jun","Jul","Aug","Sep","Oct","Nov","Dec")))</f>
        <v/>
      </c>
      <c r="K11" s="1" t="n"/>
    </row>
    <row r="12">
      <c r="A12" s="1" t="n"/>
      <c r="B12" s="21" t="n"/>
      <c r="C12" s="22" t="n"/>
      <c r="D12" s="22" t="n"/>
      <c r="E12" s="22" t="n"/>
      <c r="F12" s="22" t="n"/>
      <c r="G12" s="24" t="n"/>
      <c r="H12" s="24" t="n"/>
      <c r="I12" s="22" t="n"/>
      <c r="J12" s="26">
        <f>IF(OR(B12="",H12=""),"",IF(H12&lt;=TODAY(),"Get in touch","On "&amp;DAY(H12)&amp;" "&amp;CHOOSE(MONTH(H12),"Jan","Feb","Mar","Apr","May","Jun","Jul","Aug","Sep","Oct","Nov","Dec")))</f>
        <v/>
      </c>
      <c r="K12" s="1" t="n"/>
    </row>
    <row r="13">
      <c r="A13" s="1" t="n"/>
      <c r="B13" s="21" t="n"/>
      <c r="C13" s="22" t="n"/>
      <c r="D13" s="22" t="n"/>
      <c r="E13" s="22" t="n"/>
      <c r="F13" s="22" t="n"/>
      <c r="G13" s="24" t="n"/>
      <c r="H13" s="24" t="n"/>
      <c r="I13" s="22" t="n"/>
      <c r="J13" s="26">
        <f>IF(OR(B13="",H13=""),"",IF(H13&lt;=TODAY(),"Get in touch","On "&amp;DAY(H13)&amp;" "&amp;CHOOSE(MONTH(H13),"Jan","Feb","Mar","Apr","May","Jun","Jul","Aug","Sep","Oct","Nov","Dec")))</f>
        <v/>
      </c>
      <c r="K13" s="1" t="n"/>
    </row>
    <row r="14">
      <c r="A14" s="1" t="n"/>
      <c r="B14" s="21" t="n"/>
      <c r="C14" s="22" t="n"/>
      <c r="D14" s="22" t="n"/>
      <c r="E14" s="22" t="n"/>
      <c r="F14" s="22" t="n"/>
      <c r="G14" s="24" t="n"/>
      <c r="H14" s="24" t="n"/>
      <c r="I14" s="22" t="n"/>
      <c r="J14" s="26">
        <f>IF(OR(B14="",H14=""),"",IF(H14&lt;=TODAY(),"Get in touch","On "&amp;DAY(H14)&amp;" "&amp;CHOOSE(MONTH(H14),"Jan","Feb","Mar","Apr","May","Jun","Jul","Aug","Sep","Oct","Nov","Dec")))</f>
        <v/>
      </c>
      <c r="K14" s="1" t="n"/>
    </row>
    <row r="15">
      <c r="A15" s="1" t="n"/>
      <c r="B15" s="21" t="n"/>
      <c r="C15" s="22" t="n"/>
      <c r="D15" s="22" t="n"/>
      <c r="E15" s="22" t="n"/>
      <c r="F15" s="22" t="n"/>
      <c r="G15" s="24" t="n"/>
      <c r="H15" s="24" t="n"/>
      <c r="I15" s="22" t="n"/>
      <c r="J15" s="26">
        <f>IF(OR(B15="",H15=""),"",IF(H15&lt;=TODAY(),"Get in touch","On "&amp;DAY(H15)&amp;" "&amp;CHOOSE(MONTH(H15),"Jan","Feb","Mar","Apr","May","Jun","Jul","Aug","Sep","Oct","Nov","Dec")))</f>
        <v/>
      </c>
      <c r="K15" s="1" t="n"/>
    </row>
    <row r="16">
      <c r="A16" s="1" t="n"/>
      <c r="B16" s="21" t="n"/>
      <c r="C16" s="22" t="n"/>
      <c r="D16" s="22" t="n"/>
      <c r="E16" s="22" t="n"/>
      <c r="F16" s="22" t="n"/>
      <c r="G16" s="24" t="n"/>
      <c r="H16" s="24" t="n"/>
      <c r="I16" s="22" t="n"/>
      <c r="J16" s="26">
        <f>IF(OR(B16="",H16=""),"",IF(H16&lt;=TODAY(),"Get in touch","On "&amp;DAY(H16)&amp;" "&amp;CHOOSE(MONTH(H16),"Jan","Feb","Mar","Apr","May","Jun","Jul","Aug","Sep","Oct","Nov","Dec")))</f>
        <v/>
      </c>
      <c r="K16" s="1" t="n"/>
    </row>
    <row r="17">
      <c r="A17" s="1" t="n"/>
      <c r="B17" s="21" t="n"/>
      <c r="C17" s="22" t="n"/>
      <c r="D17" s="22" t="n"/>
      <c r="E17" s="22" t="n"/>
      <c r="F17" s="22" t="n"/>
      <c r="G17" s="24" t="n"/>
      <c r="H17" s="24" t="n"/>
      <c r="I17" s="22" t="n"/>
      <c r="J17" s="26">
        <f>IF(OR(B17="",H17=""),"",IF(H17&lt;=TODAY(),"Get in touch","On "&amp;DAY(H17)&amp;" "&amp;CHOOSE(MONTH(H17),"Jan","Feb","Mar","Apr","May","Jun","Jul","Aug","Sep","Oct","Nov","Dec")))</f>
        <v/>
      </c>
      <c r="K17" s="1" t="n"/>
    </row>
    <row r="18">
      <c r="A18" s="1" t="n"/>
      <c r="B18" s="21" t="n"/>
      <c r="C18" s="22" t="n"/>
      <c r="D18" s="22" t="n"/>
      <c r="E18" s="22" t="n"/>
      <c r="F18" s="22" t="n"/>
      <c r="G18" s="24" t="n"/>
      <c r="H18" s="24" t="n"/>
      <c r="I18" s="22" t="n"/>
      <c r="J18" s="26">
        <f>IF(OR(B18="",H18=""),"",IF(H18&lt;=TODAY(),"Get in touch","On "&amp;DAY(H18)&amp;" "&amp;CHOOSE(MONTH(H18),"Jan","Feb","Mar","Apr","May","Jun","Jul","Aug","Sep","Oct","Nov","Dec")))</f>
        <v/>
      </c>
      <c r="K18" s="1" t="n"/>
    </row>
    <row r="19">
      <c r="A19" s="1" t="n"/>
      <c r="B19" s="21" t="n"/>
      <c r="C19" s="22" t="n"/>
      <c r="D19" s="22" t="n"/>
      <c r="E19" s="22" t="n"/>
      <c r="F19" s="22" t="n"/>
      <c r="G19" s="24" t="n"/>
      <c r="H19" s="24" t="n"/>
      <c r="I19" s="22" t="n"/>
      <c r="J19" s="26">
        <f>IF(OR(B19="",H19=""),"",IF(H19&lt;=TODAY(),"Get in touch","On "&amp;DAY(H19)&amp;" "&amp;CHOOSE(MONTH(H19),"Jan","Feb","Mar","Apr","May","Jun","Jul","Aug","Sep","Oct","Nov","Dec")))</f>
        <v/>
      </c>
      <c r="K19" s="1" t="n"/>
    </row>
    <row r="20">
      <c r="A20" s="1" t="n"/>
      <c r="B20" s="21" t="n"/>
      <c r="C20" s="22" t="n"/>
      <c r="D20" s="22" t="n"/>
      <c r="E20" s="22" t="n"/>
      <c r="F20" s="22" t="n"/>
      <c r="G20" s="24" t="n"/>
      <c r="H20" s="24" t="n"/>
      <c r="I20" s="22" t="n"/>
      <c r="J20" s="26">
        <f>IF(OR(B20="",H20=""),"",IF(H20&lt;=TODAY(),"Get in touch","On "&amp;DAY(H20)&amp;" "&amp;CHOOSE(MONTH(H20),"Jan","Feb","Mar","Apr","May","Jun","Jul","Aug","Sep","Oct","Nov","Dec")))</f>
        <v/>
      </c>
      <c r="K20" s="1" t="n"/>
    </row>
    <row r="21">
      <c r="A21" s="1" t="n"/>
      <c r="B21" s="21" t="n"/>
      <c r="C21" s="22" t="n"/>
      <c r="D21" s="22" t="n"/>
      <c r="E21" s="22" t="n"/>
      <c r="F21" s="22" t="n"/>
      <c r="G21" s="24" t="n"/>
      <c r="H21" s="24" t="n"/>
      <c r="I21" s="22" t="n"/>
      <c r="J21" s="26">
        <f>IF(OR(B21="",H21=""),"",IF(H21&lt;=TODAY(),"Get in touch","On "&amp;DAY(H21)&amp;" "&amp;CHOOSE(MONTH(H21),"Jan","Feb","Mar","Apr","May","Jun","Jul","Aug","Sep","Oct","Nov","Dec")))</f>
        <v/>
      </c>
      <c r="K21" s="1" t="n"/>
    </row>
    <row r="22">
      <c r="A22" s="1" t="n"/>
      <c r="B22" s="21" t="n"/>
      <c r="C22" s="22" t="n"/>
      <c r="D22" s="22" t="n"/>
      <c r="E22" s="22" t="n"/>
      <c r="F22" s="22" t="n"/>
      <c r="G22" s="24" t="n"/>
      <c r="H22" s="24" t="n"/>
      <c r="I22" s="22" t="n"/>
      <c r="J22" s="26">
        <f>IF(OR(B22="",H22=""),"",IF(H22&lt;=TODAY(),"Get in touch","On "&amp;DAY(H22)&amp;" "&amp;CHOOSE(MONTH(H22),"Jan","Feb","Mar","Apr","May","Jun","Jul","Aug","Sep","Oct","Nov","Dec")))</f>
        <v/>
      </c>
      <c r="K22" s="1" t="n"/>
    </row>
    <row r="23">
      <c r="A23" s="1" t="n"/>
      <c r="B23" s="21" t="n"/>
      <c r="C23" s="22" t="n"/>
      <c r="D23" s="22" t="n"/>
      <c r="E23" s="22" t="n"/>
      <c r="F23" s="22" t="n"/>
      <c r="G23" s="24" t="n"/>
      <c r="H23" s="24" t="n"/>
      <c r="I23" s="22" t="n"/>
      <c r="J23" s="26">
        <f>IF(OR(B23="",H23=""),"",IF(H23&lt;=TODAY(),"Get in touch","On "&amp;DAY(H23)&amp;" "&amp;CHOOSE(MONTH(H23),"Jan","Feb","Mar","Apr","May","Jun","Jul","Aug","Sep","Oct","Nov","Dec")))</f>
        <v/>
      </c>
      <c r="K23" s="1" t="n"/>
    </row>
    <row r="24">
      <c r="A24" s="1" t="n"/>
      <c r="B24" s="21" t="n"/>
      <c r="C24" s="22" t="n"/>
      <c r="D24" s="22" t="n"/>
      <c r="E24" s="22" t="n"/>
      <c r="F24" s="22" t="n"/>
      <c r="G24" s="24" t="n"/>
      <c r="H24" s="24" t="n"/>
      <c r="I24" s="22" t="n"/>
      <c r="J24" s="26">
        <f>IF(OR(B24="",H24=""),"",IF(H24&lt;=TODAY(),"Get in touch","On "&amp;DAY(H24)&amp;" "&amp;CHOOSE(MONTH(H24),"Jan","Feb","Mar","Apr","May","Jun","Jul","Aug","Sep","Oct","Nov","Dec")))</f>
        <v/>
      </c>
      <c r="K24" s="1" t="n"/>
    </row>
    <row r="25">
      <c r="A25" s="1" t="n"/>
      <c r="B25" s="21" t="n"/>
      <c r="C25" s="22" t="n"/>
      <c r="D25" s="22" t="n"/>
      <c r="E25" s="22" t="n"/>
      <c r="F25" s="22" t="n"/>
      <c r="G25" s="24" t="n"/>
      <c r="H25" s="24" t="n"/>
      <c r="I25" s="22" t="n"/>
      <c r="J25" s="26">
        <f>IF(OR(B25="",H25=""),"",IF(H25&lt;=TODAY(),"Get in touch","On "&amp;DAY(H25)&amp;" "&amp;CHOOSE(MONTH(H25),"Jan","Feb","Mar","Apr","May","Jun","Jul","Aug","Sep","Oct","Nov","Dec")))</f>
        <v/>
      </c>
      <c r="K25" s="1" t="n"/>
    </row>
    <row r="26">
      <c r="A26" s="1" t="n"/>
      <c r="B26" s="21" t="n"/>
      <c r="C26" s="22" t="n"/>
      <c r="D26" s="22" t="n"/>
      <c r="E26" s="22" t="n"/>
      <c r="F26" s="22" t="n"/>
      <c r="G26" s="24" t="n"/>
      <c r="H26" s="24" t="n"/>
      <c r="I26" s="22" t="n"/>
      <c r="J26" s="26">
        <f>IF(OR(B26="",H26=""),"",IF(H26&lt;=TODAY(),"Get in touch","On "&amp;DAY(H26)&amp;" "&amp;CHOOSE(MONTH(H26),"Jan","Feb","Mar","Apr","May","Jun","Jul","Aug","Sep","Oct","Nov","Dec")))</f>
        <v/>
      </c>
      <c r="K26" s="1" t="n"/>
    </row>
    <row r="27">
      <c r="A27" s="1" t="n"/>
      <c r="B27" s="21" t="n"/>
      <c r="C27" s="22" t="n"/>
      <c r="D27" s="22" t="n"/>
      <c r="E27" s="22" t="n"/>
      <c r="F27" s="22" t="n"/>
      <c r="G27" s="24" t="n"/>
      <c r="H27" s="24" t="n"/>
      <c r="I27" s="22" t="n"/>
      <c r="J27" s="26">
        <f>IF(OR(B27="",H27=""),"",IF(H27&lt;=TODAY(),"Get in touch","On "&amp;DAY(H27)&amp;" "&amp;CHOOSE(MONTH(H27),"Jan","Feb","Mar","Apr","May","Jun","Jul","Aug","Sep","Oct","Nov","Dec")))</f>
        <v/>
      </c>
      <c r="K27" s="1" t="n"/>
    </row>
    <row r="28">
      <c r="A28" s="1" t="n"/>
      <c r="B28" s="21" t="n"/>
      <c r="C28" s="22" t="n"/>
      <c r="D28" s="22" t="n"/>
      <c r="E28" s="22" t="n"/>
      <c r="F28" s="22" t="n"/>
      <c r="G28" s="24" t="n"/>
      <c r="H28" s="24" t="n"/>
      <c r="I28" s="22" t="n"/>
      <c r="J28" s="26">
        <f>IF(OR(B28="",H28=""),"",IF(H28&lt;=TODAY(),"Get in touch","On "&amp;DAY(H28)&amp;" "&amp;CHOOSE(MONTH(H28),"Jan","Feb","Mar","Apr","May","Jun","Jul","Aug","Sep","Oct","Nov","Dec")))</f>
        <v/>
      </c>
      <c r="K28" s="1" t="n"/>
    </row>
    <row r="29">
      <c r="A29" s="1" t="n"/>
      <c r="B29" s="21" t="n"/>
      <c r="C29" s="22" t="n"/>
      <c r="D29" s="22" t="n"/>
      <c r="E29" s="22" t="n"/>
      <c r="F29" s="22" t="n"/>
      <c r="G29" s="24" t="n"/>
      <c r="H29" s="24" t="n"/>
      <c r="I29" s="22" t="n"/>
      <c r="J29" s="26">
        <f>IF(OR(B29="",H29=""),"",IF(H29&lt;=TODAY(),"Get in touch","On "&amp;DAY(H29)&amp;" "&amp;CHOOSE(MONTH(H29),"Jan","Feb","Mar","Apr","May","Jun","Jul","Aug","Sep","Oct","Nov","Dec")))</f>
        <v/>
      </c>
      <c r="K29" s="1" t="n"/>
    </row>
    <row r="30">
      <c r="A30" s="1" t="n"/>
      <c r="B30" s="21" t="n"/>
      <c r="C30" s="22" t="n"/>
      <c r="D30" s="22" t="n"/>
      <c r="E30" s="22" t="n"/>
      <c r="F30" s="22" t="n"/>
      <c r="G30" s="24" t="n"/>
      <c r="H30" s="24" t="n"/>
      <c r="I30" s="22" t="n"/>
      <c r="J30" s="26">
        <f>IF(OR(B30="",H30=""),"",IF(H30&lt;=TODAY(),"Get in touch","On "&amp;DAY(H30)&amp;" "&amp;CHOOSE(MONTH(H30),"Jan","Feb","Mar","Apr","May","Jun","Jul","Aug","Sep","Oct","Nov","Dec")))</f>
        <v/>
      </c>
      <c r="K30" s="1" t="n"/>
    </row>
    <row r="31">
      <c r="A31" s="1" t="n"/>
      <c r="B31" s="21" t="n"/>
      <c r="C31" s="22" t="n"/>
      <c r="D31" s="22" t="n"/>
      <c r="E31" s="22" t="n"/>
      <c r="F31" s="22" t="n"/>
      <c r="G31" s="24" t="n"/>
      <c r="H31" s="24" t="n"/>
      <c r="I31" s="22" t="n"/>
      <c r="J31" s="26">
        <f>IF(OR(B31="",H31=""),"",IF(H31&lt;=TODAY(),"Get in touch","On "&amp;DAY(H31)&amp;" "&amp;CHOOSE(MONTH(H31),"Jan","Feb","Mar","Apr","May","Jun","Jul","Aug","Sep","Oct","Nov","Dec")))</f>
        <v/>
      </c>
      <c r="K31" s="1" t="n"/>
    </row>
    <row r="32">
      <c r="A32" s="1" t="n"/>
      <c r="B32" s="21" t="n"/>
      <c r="C32" s="22" t="n"/>
      <c r="D32" s="22" t="n"/>
      <c r="E32" s="22" t="n"/>
      <c r="F32" s="22" t="n"/>
      <c r="G32" s="24" t="n"/>
      <c r="H32" s="24" t="n"/>
      <c r="I32" s="22" t="n"/>
      <c r="J32" s="26">
        <f>IF(OR(B32="",H32=""),"",IF(H32&lt;=TODAY(),"Get in touch","On "&amp;DAY(H32)&amp;" "&amp;CHOOSE(MONTH(H32),"Jan","Feb","Mar","Apr","May","Jun","Jul","Aug","Sep","Oct","Nov","Dec")))</f>
        <v/>
      </c>
      <c r="K32" s="1" t="n"/>
    </row>
    <row r="33">
      <c r="A33" s="1" t="n"/>
      <c r="B33" s="21" t="n"/>
      <c r="C33" s="22" t="n"/>
      <c r="D33" s="22" t="n"/>
      <c r="E33" s="22" t="n"/>
      <c r="F33" s="22" t="n"/>
      <c r="G33" s="24" t="n"/>
      <c r="H33" s="24" t="n"/>
      <c r="I33" s="22" t="n"/>
      <c r="J33" s="26">
        <f>IF(OR(B33="",H33=""),"",IF(H33&lt;=TODAY(),"Get in touch","On "&amp;DAY(H33)&amp;" "&amp;CHOOSE(MONTH(H33),"Jan","Feb","Mar","Apr","May","Jun","Jul","Aug","Sep","Oct","Nov","Dec")))</f>
        <v/>
      </c>
      <c r="K33" s="1" t="n"/>
    </row>
    <row r="34">
      <c r="A34" s="1" t="n"/>
      <c r="B34" s="21" t="n"/>
      <c r="C34" s="22" t="n"/>
      <c r="D34" s="22" t="n"/>
      <c r="E34" s="22" t="n"/>
      <c r="F34" s="22" t="n"/>
      <c r="G34" s="24" t="n"/>
      <c r="H34" s="24" t="n"/>
      <c r="I34" s="22" t="n"/>
      <c r="J34" s="26">
        <f>IF(OR(B34="",H34=""),"",IF(H34&lt;=TODAY(),"Get in touch","On "&amp;DAY(H34)&amp;" "&amp;CHOOSE(MONTH(H34),"Jan","Feb","Mar","Apr","May","Jun","Jul","Aug","Sep","Oct","Nov","Dec")))</f>
        <v/>
      </c>
      <c r="K34" s="1" t="n"/>
    </row>
    <row r="35">
      <c r="A35" s="1" t="n"/>
      <c r="B35" s="21" t="n"/>
      <c r="C35" s="22" t="n"/>
      <c r="D35" s="22" t="n"/>
      <c r="E35" s="22" t="n"/>
      <c r="F35" s="22" t="n"/>
      <c r="G35" s="24" t="n"/>
      <c r="H35" s="24" t="n"/>
      <c r="I35" s="22" t="n"/>
      <c r="J35" s="26">
        <f>IF(OR(B35="",H35=""),"",IF(H35&lt;=TODAY(),"Get in touch","On "&amp;DAY(H35)&amp;" "&amp;CHOOSE(MONTH(H35),"Jan","Feb","Mar","Apr","May","Jun","Jul","Aug","Sep","Oct","Nov","Dec")))</f>
        <v/>
      </c>
      <c r="K35" s="1" t="n"/>
    </row>
    <row r="36">
      <c r="A36" s="1" t="n"/>
      <c r="B36" s="21" t="n"/>
      <c r="C36" s="22" t="n"/>
      <c r="D36" s="22" t="n"/>
      <c r="E36" s="22" t="n"/>
      <c r="F36" s="22" t="n"/>
      <c r="G36" s="24" t="n"/>
      <c r="H36" s="24" t="n"/>
      <c r="I36" s="22" t="n"/>
      <c r="J36" s="26">
        <f>IF(OR(B36="",H36=""),"",IF(H36&lt;=TODAY(),"Get in touch","On "&amp;DAY(H36)&amp;" "&amp;CHOOSE(MONTH(H36),"Jan","Feb","Mar","Apr","May","Jun","Jul","Aug","Sep","Oct","Nov","Dec")))</f>
        <v/>
      </c>
      <c r="K36" s="1" t="n"/>
    </row>
    <row r="37">
      <c r="A37" s="1" t="n"/>
      <c r="B37" s="21" t="n"/>
      <c r="C37" s="22" t="n"/>
      <c r="D37" s="22" t="n"/>
      <c r="E37" s="22" t="n"/>
      <c r="F37" s="22" t="n"/>
      <c r="G37" s="24" t="n"/>
      <c r="H37" s="24" t="n"/>
      <c r="I37" s="22" t="n"/>
      <c r="J37" s="26">
        <f>IF(OR(B37="",H37=""),"",IF(H37&lt;=TODAY(),"Get in touch","On "&amp;DAY(H37)&amp;" "&amp;CHOOSE(MONTH(H37),"Jan","Feb","Mar","Apr","May","Jun","Jul","Aug","Sep","Oct","Nov","Dec")))</f>
        <v/>
      </c>
      <c r="K37" s="1" t="n"/>
    </row>
    <row r="38">
      <c r="A38" s="1" t="n"/>
      <c r="B38" s="21" t="n"/>
      <c r="C38" s="22" t="n"/>
      <c r="D38" s="22" t="n"/>
      <c r="E38" s="22" t="n"/>
      <c r="F38" s="22" t="n"/>
      <c r="G38" s="24" t="n"/>
      <c r="H38" s="24" t="n"/>
      <c r="I38" s="22" t="n"/>
      <c r="J38" s="26">
        <f>IF(OR(B38="",H38=""),"",IF(H38&lt;=TODAY(),"Get in touch","On "&amp;DAY(H38)&amp;" "&amp;CHOOSE(MONTH(H38),"Jan","Feb","Mar","Apr","May","Jun","Jul","Aug","Sep","Oct","Nov","Dec")))</f>
        <v/>
      </c>
      <c r="K38" s="1" t="n"/>
    </row>
    <row r="39">
      <c r="A39" s="1" t="n"/>
      <c r="B39" s="21" t="n"/>
      <c r="C39" s="22" t="n"/>
      <c r="D39" s="22" t="n"/>
      <c r="E39" s="22" t="n"/>
      <c r="F39" s="22" t="n"/>
      <c r="G39" s="24" t="n"/>
      <c r="H39" s="24" t="n"/>
      <c r="I39" s="22" t="n"/>
      <c r="J39" s="26">
        <f>IF(OR(B39="",H39=""),"",IF(H39&lt;=TODAY(),"Get in touch","On "&amp;DAY(H39)&amp;" "&amp;CHOOSE(MONTH(H39),"Jan","Feb","Mar","Apr","May","Jun","Jul","Aug","Sep","Oct","Nov","Dec")))</f>
        <v/>
      </c>
      <c r="K39" s="1" t="n"/>
    </row>
    <row r="40">
      <c r="A40" s="1" t="n"/>
      <c r="B40" s="21" t="n"/>
      <c r="C40" s="22" t="n"/>
      <c r="D40" s="22" t="n"/>
      <c r="E40" s="22" t="n"/>
      <c r="F40" s="22" t="n"/>
      <c r="G40" s="24" t="n"/>
      <c r="H40" s="24" t="n"/>
      <c r="I40" s="22" t="n"/>
      <c r="J40" s="26">
        <f>IF(OR(B40="",H40=""),"",IF(H40&lt;=TODAY(),"Get in touch","On "&amp;DAY(H40)&amp;" "&amp;CHOOSE(MONTH(H40),"Jan","Feb","Mar","Apr","May","Jun","Jul","Aug","Sep","Oct","Nov","Dec")))</f>
        <v/>
      </c>
      <c r="K40" s="1" t="n"/>
    </row>
    <row r="41">
      <c r="A41" s="1" t="n"/>
      <c r="B41" s="21" t="n"/>
      <c r="C41" s="22" t="n"/>
      <c r="D41" s="22" t="n"/>
      <c r="E41" s="22" t="n"/>
      <c r="F41" s="22" t="n"/>
      <c r="G41" s="24" t="n"/>
      <c r="H41" s="24" t="n"/>
      <c r="I41" s="22" t="n"/>
      <c r="J41" s="26">
        <f>IF(OR(B41="",H41=""),"",IF(H41&lt;=TODAY(),"Get in touch","On "&amp;DAY(H41)&amp;" "&amp;CHOOSE(MONTH(H41),"Jan","Feb","Mar","Apr","May","Jun","Jul","Aug","Sep","Oct","Nov","Dec")))</f>
        <v/>
      </c>
      <c r="K41" s="1" t="n"/>
    </row>
    <row r="42">
      <c r="A42" s="1" t="n"/>
      <c r="B42" s="21" t="n"/>
      <c r="C42" s="22" t="n"/>
      <c r="D42" s="22" t="n"/>
      <c r="E42" s="22" t="n"/>
      <c r="F42" s="22" t="n"/>
      <c r="G42" s="24" t="n"/>
      <c r="H42" s="24" t="n"/>
      <c r="I42" s="22" t="n"/>
      <c r="J42" s="26">
        <f>IF(OR(B42="",H42=""),"",IF(H42&lt;=TODAY(),"Get in touch","On "&amp;DAY(H42)&amp;" "&amp;CHOOSE(MONTH(H42),"Jan","Feb","Mar","Apr","May","Jun","Jul","Aug","Sep","Oct","Nov","Dec")))</f>
        <v/>
      </c>
      <c r="K42" s="1" t="n"/>
    </row>
    <row r="43">
      <c r="A43" s="1" t="n"/>
      <c r="B43" s="21" t="n"/>
      <c r="C43" s="22" t="n"/>
      <c r="D43" s="22" t="n"/>
      <c r="E43" s="22" t="n"/>
      <c r="F43" s="22" t="n"/>
      <c r="G43" s="24" t="n"/>
      <c r="H43" s="24" t="n"/>
      <c r="I43" s="22" t="n"/>
      <c r="J43" s="26">
        <f>IF(OR(B43="",H43=""),"",IF(H43&lt;=TODAY(),"Get in touch","On "&amp;DAY(H43)&amp;" "&amp;CHOOSE(MONTH(H43),"Jan","Feb","Mar","Apr","May","Jun","Jul","Aug","Sep","Oct","Nov","Dec")))</f>
        <v/>
      </c>
      <c r="K43" s="1" t="n"/>
    </row>
    <row r="44">
      <c r="A44" s="1" t="n"/>
      <c r="B44" s="21" t="n"/>
      <c r="C44" s="22" t="n"/>
      <c r="D44" s="22" t="n"/>
      <c r="E44" s="22" t="n"/>
      <c r="F44" s="22" t="n"/>
      <c r="G44" s="24" t="n"/>
      <c r="H44" s="24" t="n"/>
      <c r="I44" s="22" t="n"/>
      <c r="J44" s="26">
        <f>IF(OR(B44="",H44=""),"",IF(H44&lt;=TODAY(),"Get in touch","On "&amp;DAY(H44)&amp;" "&amp;CHOOSE(MONTH(H44),"Jan","Feb","Mar","Apr","May","Jun","Jul","Aug","Sep","Oct","Nov","Dec")))</f>
        <v/>
      </c>
      <c r="K44" s="1" t="n"/>
    </row>
    <row r="45">
      <c r="A45" s="1" t="n"/>
      <c r="B45" s="21" t="n"/>
      <c r="C45" s="22" t="n"/>
      <c r="D45" s="22" t="n"/>
      <c r="E45" s="22" t="n"/>
      <c r="F45" s="22" t="n"/>
      <c r="G45" s="24" t="n"/>
      <c r="H45" s="24" t="n"/>
      <c r="I45" s="22" t="n"/>
      <c r="J45" s="26">
        <f>IF(OR(B45="",H45=""),"",IF(H45&lt;=TODAY(),"Get in touch","On "&amp;DAY(H45)&amp;" "&amp;CHOOSE(MONTH(H45),"Jan","Feb","Mar","Apr","May","Jun","Jul","Aug","Sep","Oct","Nov","Dec")))</f>
        <v/>
      </c>
      <c r="K45" s="1" t="n"/>
    </row>
    <row r="46">
      <c r="A46" s="1" t="n"/>
      <c r="B46" s="21" t="n"/>
      <c r="C46" s="22" t="n"/>
      <c r="D46" s="22" t="n"/>
      <c r="E46" s="22" t="n"/>
      <c r="F46" s="22" t="n"/>
      <c r="G46" s="24" t="n"/>
      <c r="H46" s="24" t="n"/>
      <c r="I46" s="22" t="n"/>
      <c r="J46" s="26">
        <f>IF(OR(B46="",H46=""),"",IF(H46&lt;=TODAY(),"Get in touch","On "&amp;DAY(H46)&amp;" "&amp;CHOOSE(MONTH(H46),"Jan","Feb","Mar","Apr","May","Jun","Jul","Aug","Sep","Oct","Nov","Dec")))</f>
        <v/>
      </c>
      <c r="K46" s="1" t="n"/>
    </row>
    <row r="47">
      <c r="A47" s="1" t="n"/>
      <c r="B47" s="21" t="n"/>
      <c r="C47" s="22" t="n"/>
      <c r="D47" s="22" t="n"/>
      <c r="E47" s="22" t="n"/>
      <c r="F47" s="22" t="n"/>
      <c r="G47" s="24" t="n"/>
      <c r="H47" s="24" t="n"/>
      <c r="I47" s="22" t="n"/>
      <c r="J47" s="26">
        <f>IF(OR(B47="",H47=""),"",IF(H47&lt;=TODAY(),"Get in touch","On "&amp;DAY(H47)&amp;" "&amp;CHOOSE(MONTH(H47),"Jan","Feb","Mar","Apr","May","Jun","Jul","Aug","Sep","Oct","Nov","Dec")))</f>
        <v/>
      </c>
      <c r="K47" s="1" t="n"/>
    </row>
    <row r="48">
      <c r="A48" s="1" t="n"/>
      <c r="B48" s="21" t="n"/>
      <c r="C48" s="22" t="n"/>
      <c r="D48" s="22" t="n"/>
      <c r="E48" s="22" t="n"/>
      <c r="F48" s="22" t="n"/>
      <c r="G48" s="24" t="n"/>
      <c r="H48" s="24" t="n"/>
      <c r="I48" s="22" t="n"/>
      <c r="J48" s="26">
        <f>IF(OR(B48="",H48=""),"",IF(H48&lt;=TODAY(),"Get in touch","On "&amp;DAY(H48)&amp;" "&amp;CHOOSE(MONTH(H48),"Jan","Feb","Mar","Apr","May","Jun","Jul","Aug","Sep","Oct","Nov","Dec")))</f>
        <v/>
      </c>
      <c r="K48" s="1" t="n"/>
    </row>
    <row r="49">
      <c r="A49" s="1" t="n"/>
      <c r="B49" s="21" t="n"/>
      <c r="C49" s="22" t="n"/>
      <c r="D49" s="22" t="n"/>
      <c r="E49" s="22" t="n"/>
      <c r="F49" s="22" t="n"/>
      <c r="G49" s="24" t="n"/>
      <c r="H49" s="24" t="n"/>
      <c r="I49" s="22" t="n"/>
      <c r="J49" s="26">
        <f>IF(OR(B49="",H49=""),"",IF(H49&lt;=TODAY(),"Get in touch","On "&amp;DAY(H49)&amp;" "&amp;CHOOSE(MONTH(H49),"Jan","Feb","Mar","Apr","May","Jun","Jul","Aug","Sep","Oct","Nov","Dec")))</f>
        <v/>
      </c>
      <c r="K49" s="1" t="n"/>
    </row>
    <row r="50">
      <c r="A50" s="1" t="n"/>
      <c r="B50" s="21" t="n"/>
      <c r="C50" s="22" t="n"/>
      <c r="D50" s="22" t="n"/>
      <c r="E50" s="22" t="n"/>
      <c r="F50" s="22" t="n"/>
      <c r="G50" s="24" t="n"/>
      <c r="H50" s="24" t="n"/>
      <c r="I50" s="22" t="n"/>
      <c r="J50" s="26">
        <f>IF(OR(B50="",H50=""),"",IF(H50&lt;=TODAY(),"Get in touch","On "&amp;DAY(H50)&amp;" "&amp;CHOOSE(MONTH(H50),"Jan","Feb","Mar","Apr","May","Jun","Jul","Aug","Sep","Oct","Nov","Dec")))</f>
        <v/>
      </c>
      <c r="K50" s="1" t="n"/>
    </row>
    <row r="51">
      <c r="A51" s="1" t="n"/>
      <c r="B51" s="21" t="n"/>
      <c r="C51" s="22" t="n"/>
      <c r="D51" s="22" t="n"/>
      <c r="E51" s="22" t="n"/>
      <c r="F51" s="22" t="n"/>
      <c r="G51" s="24" t="n"/>
      <c r="H51" s="24" t="n"/>
      <c r="I51" s="22" t="n"/>
      <c r="J51" s="26">
        <f>IF(OR(B51="",H51=""),"",IF(H51&lt;=TODAY(),"Get in touch","On "&amp;DAY(H51)&amp;" "&amp;CHOOSE(MONTH(H51),"Jan","Feb","Mar","Apr","May","Jun","Jul","Aug","Sep","Oct","Nov","Dec")))</f>
        <v/>
      </c>
      <c r="K51" s="1" t="n"/>
    </row>
    <row r="52">
      <c r="A52" s="1" t="n"/>
      <c r="B52" s="21" t="n"/>
      <c r="C52" s="22" t="n"/>
      <c r="D52" s="22" t="n"/>
      <c r="E52" s="22" t="n"/>
      <c r="F52" s="22" t="n"/>
      <c r="G52" s="24" t="n"/>
      <c r="H52" s="24" t="n"/>
      <c r="I52" s="22" t="n"/>
      <c r="J52" s="26">
        <f>IF(OR(B52="",H52=""),"",IF(H52&lt;=TODAY(),"Get in touch","On "&amp;DAY(H52)&amp;" "&amp;CHOOSE(MONTH(H52),"Jan","Feb","Mar","Apr","May","Jun","Jul","Aug","Sep","Oct","Nov","Dec")))</f>
        <v/>
      </c>
      <c r="K52" s="1" t="n"/>
    </row>
    <row r="53">
      <c r="A53" s="1" t="n"/>
      <c r="B53" s="21" t="n"/>
      <c r="C53" s="22" t="n"/>
      <c r="D53" s="22" t="n"/>
      <c r="E53" s="22" t="n"/>
      <c r="F53" s="22" t="n"/>
      <c r="G53" s="24" t="n"/>
      <c r="H53" s="24" t="n"/>
      <c r="I53" s="22" t="n"/>
      <c r="J53" s="26">
        <f>IF(OR(B53="",H53=""),"",IF(H53&lt;=TODAY(),"Get in touch","On "&amp;DAY(H53)&amp;" "&amp;CHOOSE(MONTH(H53),"Jan","Feb","Mar","Apr","May","Jun","Jul","Aug","Sep","Oct","Nov","Dec")))</f>
        <v/>
      </c>
      <c r="K53" s="1" t="n"/>
    </row>
    <row r="54">
      <c r="A54" s="1" t="n"/>
      <c r="B54" s="21" t="n"/>
      <c r="C54" s="22" t="n"/>
      <c r="D54" s="22" t="n"/>
      <c r="E54" s="22" t="n"/>
      <c r="F54" s="22" t="n"/>
      <c r="G54" s="24" t="n"/>
      <c r="H54" s="24" t="n"/>
      <c r="I54" s="22" t="n"/>
      <c r="J54" s="26">
        <f>IF(OR(B54="",H54=""),"",IF(H54&lt;=TODAY(),"Get in touch","On "&amp;DAY(H54)&amp;" "&amp;CHOOSE(MONTH(H54),"Jan","Feb","Mar","Apr","May","Jun","Jul","Aug","Sep","Oct","Nov","Dec")))</f>
        <v/>
      </c>
      <c r="K54" s="1" t="n"/>
    </row>
    <row r="55">
      <c r="A55" s="1" t="n"/>
      <c r="B55" s="21" t="n"/>
      <c r="C55" s="22" t="n"/>
      <c r="D55" s="22" t="n"/>
      <c r="E55" s="22" t="n"/>
      <c r="F55" s="22" t="n"/>
      <c r="G55" s="24" t="n"/>
      <c r="H55" s="24" t="n"/>
      <c r="I55" s="22" t="n"/>
      <c r="J55" s="26">
        <f>IF(OR(B55="",H55=""),"",IF(H55&lt;=TODAY(),"Get in touch","On "&amp;DAY(H55)&amp;" "&amp;CHOOSE(MONTH(H55),"Jan","Feb","Mar","Apr","May","Jun","Jul","Aug","Sep","Oct","Nov","Dec")))</f>
        <v/>
      </c>
      <c r="K55" s="1" t="n"/>
    </row>
    <row r="56">
      <c r="A56" s="1" t="n"/>
      <c r="B56" s="21" t="n"/>
      <c r="C56" s="22" t="n"/>
      <c r="D56" s="22" t="n"/>
      <c r="E56" s="22" t="n"/>
      <c r="F56" s="22" t="n"/>
      <c r="G56" s="24" t="n"/>
      <c r="H56" s="24" t="n"/>
      <c r="I56" s="22" t="n"/>
      <c r="J56" s="26">
        <f>IF(OR(B56="",H56=""),"",IF(H56&lt;=TODAY(),"Get in touch","On "&amp;DAY(H56)&amp;" "&amp;CHOOSE(MONTH(H56),"Jan","Feb","Mar","Apr","May","Jun","Jul","Aug","Sep","Oct","Nov","Dec")))</f>
        <v/>
      </c>
      <c r="K56" s="1" t="n"/>
    </row>
    <row r="57">
      <c r="A57" s="1" t="n"/>
      <c r="B57" s="21" t="n"/>
      <c r="C57" s="22" t="n"/>
      <c r="D57" s="22" t="n"/>
      <c r="E57" s="22" t="n"/>
      <c r="F57" s="22" t="n"/>
      <c r="G57" s="24" t="n"/>
      <c r="H57" s="24" t="n"/>
      <c r="I57" s="22" t="n"/>
      <c r="J57" s="26">
        <f>IF(OR(B57="",H57=""),"",IF(H57&lt;=TODAY(),"Get in touch","On "&amp;DAY(H57)&amp;" "&amp;CHOOSE(MONTH(H57),"Jan","Feb","Mar","Apr","May","Jun","Jul","Aug","Sep","Oct","Nov","Dec")))</f>
        <v/>
      </c>
      <c r="K57" s="1" t="n"/>
    </row>
    <row r="58">
      <c r="A58" s="1" t="n"/>
      <c r="B58" s="21" t="n"/>
      <c r="C58" s="22" t="n"/>
      <c r="D58" s="22" t="n"/>
      <c r="E58" s="22" t="n"/>
      <c r="F58" s="22" t="n"/>
      <c r="G58" s="24" t="n"/>
      <c r="H58" s="24" t="n"/>
      <c r="I58" s="22" t="n"/>
      <c r="J58" s="26">
        <f>IF(OR(B58="",H58=""),"",IF(H58&lt;=TODAY(),"Get in touch","On "&amp;DAY(H58)&amp;" "&amp;CHOOSE(MONTH(H58),"Jan","Feb","Mar","Apr","May","Jun","Jul","Aug","Sep","Oct","Nov","Dec")))</f>
        <v/>
      </c>
      <c r="K58" s="1" t="n"/>
    </row>
    <row r="59">
      <c r="A59" s="1" t="n"/>
      <c r="B59" s="21" t="n"/>
      <c r="C59" s="22" t="n"/>
      <c r="D59" s="22" t="n"/>
      <c r="E59" s="22" t="n"/>
      <c r="F59" s="22" t="n"/>
      <c r="G59" s="24" t="n"/>
      <c r="H59" s="24" t="n"/>
      <c r="I59" s="22" t="n"/>
      <c r="J59" s="26">
        <f>IF(OR(B59="",H59=""),"",IF(H59&lt;=TODAY(),"Get in touch","On "&amp;DAY(H59)&amp;" "&amp;CHOOSE(MONTH(H59),"Jan","Feb","Mar","Apr","May","Jun","Jul","Aug","Sep","Oct","Nov","Dec")))</f>
        <v/>
      </c>
      <c r="K59" s="1" t="n"/>
    </row>
    <row r="60">
      <c r="A60" s="1" t="n"/>
      <c r="B60" s="21" t="n"/>
      <c r="C60" s="22" t="n"/>
      <c r="D60" s="22" t="n"/>
      <c r="E60" s="22" t="n"/>
      <c r="F60" s="22" t="n"/>
      <c r="G60" s="24" t="n"/>
      <c r="H60" s="24" t="n"/>
      <c r="I60" s="22" t="n"/>
      <c r="J60" s="26">
        <f>IF(OR(B60="",H60=""),"",IF(H60&lt;=TODAY(),"Get in touch","On "&amp;DAY(H60)&amp;" "&amp;CHOOSE(MONTH(H60),"Jan","Feb","Mar","Apr","May","Jun","Jul","Aug","Sep","Oct","Nov","Dec")))</f>
        <v/>
      </c>
      <c r="K60" s="1" t="n"/>
    </row>
    <row r="61">
      <c r="A61" s="1" t="n"/>
      <c r="B61" s="21" t="n"/>
      <c r="C61" s="22" t="n"/>
      <c r="D61" s="22" t="n"/>
      <c r="E61" s="22" t="n"/>
      <c r="F61" s="22" t="n"/>
      <c r="G61" s="24" t="n"/>
      <c r="H61" s="24" t="n"/>
      <c r="I61" s="22" t="n"/>
      <c r="J61" s="26">
        <f>IF(OR(B61="",H61=""),"",IF(H61&lt;=TODAY(),"Get in touch","On "&amp;DAY(H61)&amp;" "&amp;CHOOSE(MONTH(H61),"Jan","Feb","Mar","Apr","May","Jun","Jul","Aug","Sep","Oct","Nov","Dec")))</f>
        <v/>
      </c>
      <c r="K61" s="1" t="n"/>
    </row>
    <row r="62">
      <c r="A62" s="1" t="n"/>
      <c r="B62" s="21" t="n"/>
      <c r="C62" s="22" t="n"/>
      <c r="D62" s="22" t="n"/>
      <c r="E62" s="22" t="n"/>
      <c r="F62" s="22" t="n"/>
      <c r="G62" s="24" t="n"/>
      <c r="H62" s="24" t="n"/>
      <c r="I62" s="22" t="n"/>
      <c r="J62" s="26">
        <f>IF(OR(B62="",H62=""),"",IF(H62&lt;=TODAY(),"Get in touch","On "&amp;DAY(H62)&amp;" "&amp;CHOOSE(MONTH(H62),"Jan","Feb","Mar","Apr","May","Jun","Jul","Aug","Sep","Oct","Nov","Dec")))</f>
        <v/>
      </c>
      <c r="K62" s="1" t="n"/>
    </row>
    <row r="63">
      <c r="A63" s="1" t="n"/>
      <c r="B63" s="21" t="n"/>
      <c r="C63" s="22" t="n"/>
      <c r="D63" s="22" t="n"/>
      <c r="E63" s="22" t="n"/>
      <c r="F63" s="22" t="n"/>
      <c r="G63" s="24" t="n"/>
      <c r="H63" s="24" t="n"/>
      <c r="I63" s="22" t="n"/>
      <c r="J63" s="26">
        <f>IF(OR(B63="",H63=""),"",IF(H63&lt;=TODAY(),"Get in touch","On "&amp;DAY(H63)&amp;" "&amp;CHOOSE(MONTH(H63),"Jan","Feb","Mar","Apr","May","Jun","Jul","Aug","Sep","Oct","Nov","Dec")))</f>
        <v/>
      </c>
      <c r="K63" s="1" t="n"/>
    </row>
    <row r="64">
      <c r="A64" s="1" t="n"/>
      <c r="B64" s="21" t="n"/>
      <c r="C64" s="22" t="n"/>
      <c r="D64" s="22" t="n"/>
      <c r="E64" s="22" t="n"/>
      <c r="F64" s="22" t="n"/>
      <c r="G64" s="24" t="n"/>
      <c r="H64" s="24" t="n"/>
      <c r="I64" s="22" t="n"/>
      <c r="J64" s="26">
        <f>IF(OR(B64="",H64=""),"",IF(H64&lt;=TODAY(),"Get in touch","On "&amp;DAY(H64)&amp;" "&amp;CHOOSE(MONTH(H64),"Jan","Feb","Mar","Apr","May","Jun","Jul","Aug","Sep","Oct","Nov","Dec")))</f>
        <v/>
      </c>
      <c r="K64" s="1" t="n"/>
    </row>
    <row r="65">
      <c r="A65" s="1" t="n"/>
      <c r="B65" s="21" t="n"/>
      <c r="C65" s="22" t="n"/>
      <c r="D65" s="22" t="n"/>
      <c r="E65" s="22" t="n"/>
      <c r="F65" s="22" t="n"/>
      <c r="G65" s="24" t="n"/>
      <c r="H65" s="24" t="n"/>
      <c r="I65" s="22" t="n"/>
      <c r="J65" s="26">
        <f>IF(OR(B65="",H65=""),"",IF(H65&lt;=TODAY(),"Get in touch","On "&amp;DAY(H65)&amp;" "&amp;CHOOSE(MONTH(H65),"Jan","Feb","Mar","Apr","May","Jun","Jul","Aug","Sep","Oct","Nov","Dec")))</f>
        <v/>
      </c>
      <c r="K65" s="1" t="n"/>
    </row>
    <row r="66">
      <c r="A66" s="1" t="n"/>
      <c r="B66" s="21" t="n"/>
      <c r="C66" s="22" t="n"/>
      <c r="D66" s="22" t="n"/>
      <c r="E66" s="22" t="n"/>
      <c r="F66" s="22" t="n"/>
      <c r="G66" s="24" t="n"/>
      <c r="H66" s="24" t="n"/>
      <c r="I66" s="22" t="n"/>
      <c r="J66" s="26">
        <f>IF(OR(B66="",H66=""),"",IF(H66&lt;=TODAY(),"Get in touch","On "&amp;DAY(H66)&amp;" "&amp;CHOOSE(MONTH(H66),"Jan","Feb","Mar","Apr","May","Jun","Jul","Aug","Sep","Oct","Nov","Dec")))</f>
        <v/>
      </c>
      <c r="K66" s="1" t="n"/>
    </row>
    <row r="67">
      <c r="A67" s="1" t="n"/>
      <c r="B67" s="21" t="n"/>
      <c r="C67" s="22" t="n"/>
      <c r="D67" s="22" t="n"/>
      <c r="E67" s="22" t="n"/>
      <c r="F67" s="22" t="n"/>
      <c r="G67" s="24" t="n"/>
      <c r="H67" s="24" t="n"/>
      <c r="I67" s="22" t="n"/>
      <c r="J67" s="26">
        <f>IF(OR(B67="",H67=""),"",IF(H67&lt;=TODAY(),"Get in touch","On "&amp;DAY(H67)&amp;" "&amp;CHOOSE(MONTH(H67),"Jan","Feb","Mar","Apr","May","Jun","Jul","Aug","Sep","Oct","Nov","Dec")))</f>
        <v/>
      </c>
      <c r="K67" s="1" t="n"/>
    </row>
    <row r="68">
      <c r="A68" s="1" t="n"/>
      <c r="B68" s="21" t="n"/>
      <c r="C68" s="22" t="n"/>
      <c r="D68" s="22" t="n"/>
      <c r="E68" s="22" t="n"/>
      <c r="F68" s="22" t="n"/>
      <c r="G68" s="24" t="n"/>
      <c r="H68" s="24" t="n"/>
      <c r="I68" s="22" t="n"/>
      <c r="J68" s="26">
        <f>IF(OR(B68="",H68=""),"",IF(H68&lt;=TODAY(),"Get in touch","On "&amp;DAY(H68)&amp;" "&amp;CHOOSE(MONTH(H68),"Jan","Feb","Mar","Apr","May","Jun","Jul","Aug","Sep","Oct","Nov","Dec")))</f>
        <v/>
      </c>
      <c r="K68" s="1" t="n"/>
    </row>
    <row r="69">
      <c r="A69" s="1" t="n"/>
      <c r="B69" s="21" t="n"/>
      <c r="C69" s="22" t="n"/>
      <c r="D69" s="22" t="n"/>
      <c r="E69" s="22" t="n"/>
      <c r="F69" s="22" t="n"/>
      <c r="G69" s="24" t="n"/>
      <c r="H69" s="24" t="n"/>
      <c r="I69" s="22" t="n"/>
      <c r="J69" s="26">
        <f>IF(OR(B69="",H69=""),"",IF(H69&lt;=TODAY(),"Get in touch","On "&amp;DAY(H69)&amp;" "&amp;CHOOSE(MONTH(H69),"Jan","Feb","Mar","Apr","May","Jun","Jul","Aug","Sep","Oct","Nov","Dec")))</f>
        <v/>
      </c>
      <c r="K69" s="1" t="n"/>
    </row>
    <row r="70">
      <c r="A70" s="1" t="n"/>
      <c r="B70" s="21" t="n"/>
      <c r="C70" s="22" t="n"/>
      <c r="D70" s="22" t="n"/>
      <c r="E70" s="22" t="n"/>
      <c r="F70" s="22" t="n"/>
      <c r="G70" s="24" t="n"/>
      <c r="H70" s="24" t="n"/>
      <c r="I70" s="22" t="n"/>
      <c r="J70" s="26">
        <f>IF(OR(B70="",H70=""),"",IF(H70&lt;=TODAY(),"Get in touch","On "&amp;DAY(H70)&amp;" "&amp;CHOOSE(MONTH(H70),"Jan","Feb","Mar","Apr","May","Jun","Jul","Aug","Sep","Oct","Nov","Dec")))</f>
        <v/>
      </c>
      <c r="K70" s="1" t="n"/>
    </row>
    <row r="71">
      <c r="A71" s="1" t="n"/>
      <c r="B71" s="21" t="n"/>
      <c r="C71" s="22" t="n"/>
      <c r="D71" s="22" t="n"/>
      <c r="E71" s="22" t="n"/>
      <c r="F71" s="22" t="n"/>
      <c r="G71" s="24" t="n"/>
      <c r="H71" s="24" t="n"/>
      <c r="I71" s="22" t="n"/>
      <c r="J71" s="26">
        <f>IF(OR(B71="",H71=""),"",IF(H71&lt;=TODAY(),"Get in touch","On "&amp;DAY(H71)&amp;" "&amp;CHOOSE(MONTH(H71),"Jan","Feb","Mar","Apr","May","Jun","Jul","Aug","Sep","Oct","Nov","Dec")))</f>
        <v/>
      </c>
      <c r="K71" s="1" t="n"/>
    </row>
    <row r="72">
      <c r="A72" s="1" t="n"/>
      <c r="B72" s="21" t="n"/>
      <c r="C72" s="22" t="n"/>
      <c r="D72" s="22" t="n"/>
      <c r="E72" s="22" t="n"/>
      <c r="F72" s="22" t="n"/>
      <c r="G72" s="24" t="n"/>
      <c r="H72" s="24" t="n"/>
      <c r="I72" s="22" t="n"/>
      <c r="J72" s="26">
        <f>IF(OR(B72="",H72=""),"",IF(H72&lt;=TODAY(),"Get in touch","On "&amp;DAY(H72)&amp;" "&amp;CHOOSE(MONTH(H72),"Jan","Feb","Mar","Apr","May","Jun","Jul","Aug","Sep","Oct","Nov","Dec")))</f>
        <v/>
      </c>
      <c r="K72" s="1" t="n"/>
    </row>
    <row r="73">
      <c r="A73" s="1" t="n"/>
      <c r="B73" s="21" t="n"/>
      <c r="C73" s="22" t="n"/>
      <c r="D73" s="22" t="n"/>
      <c r="E73" s="22" t="n"/>
      <c r="F73" s="22" t="n"/>
      <c r="G73" s="24" t="n"/>
      <c r="H73" s="24" t="n"/>
      <c r="I73" s="22" t="n"/>
      <c r="J73" s="26">
        <f>IF(OR(B73="",H73=""),"",IF(H73&lt;=TODAY(),"Get in touch","On "&amp;DAY(H73)&amp;" "&amp;CHOOSE(MONTH(H73),"Jan","Feb","Mar","Apr","May","Jun","Jul","Aug","Sep","Oct","Nov","Dec")))</f>
        <v/>
      </c>
      <c r="K73" s="1" t="n"/>
    </row>
    <row r="74">
      <c r="A74" s="1" t="n"/>
      <c r="B74" s="21" t="n"/>
      <c r="C74" s="22" t="n"/>
      <c r="D74" s="22" t="n"/>
      <c r="E74" s="22" t="n"/>
      <c r="F74" s="22" t="n"/>
      <c r="G74" s="24" t="n"/>
      <c r="H74" s="24" t="n"/>
      <c r="I74" s="22" t="n"/>
      <c r="J74" s="26">
        <f>IF(OR(B74="",H74=""),"",IF(H74&lt;=TODAY(),"Get in touch","On "&amp;DAY(H74)&amp;" "&amp;CHOOSE(MONTH(H74),"Jan","Feb","Mar","Apr","May","Jun","Jul","Aug","Sep","Oct","Nov","Dec")))</f>
        <v/>
      </c>
      <c r="K74" s="1" t="n"/>
    </row>
    <row r="75">
      <c r="A75" s="1" t="n"/>
      <c r="B75" s="21" t="n"/>
      <c r="C75" s="22" t="n"/>
      <c r="D75" s="22" t="n"/>
      <c r="E75" s="22" t="n"/>
      <c r="F75" s="22" t="n"/>
      <c r="G75" s="24" t="n"/>
      <c r="H75" s="24" t="n"/>
      <c r="I75" s="22" t="n"/>
      <c r="J75" s="26">
        <f>IF(OR(B75="",H75=""),"",IF(H75&lt;=TODAY(),"Get in touch","On "&amp;DAY(H75)&amp;" "&amp;CHOOSE(MONTH(H75),"Jan","Feb","Mar","Apr","May","Jun","Jul","Aug","Sep","Oct","Nov","Dec")))</f>
        <v/>
      </c>
      <c r="K75" s="1" t="n"/>
    </row>
    <row r="76">
      <c r="A76" s="1" t="n"/>
      <c r="B76" s="21" t="n"/>
      <c r="C76" s="22" t="n"/>
      <c r="D76" s="22" t="n"/>
      <c r="E76" s="22" t="n"/>
      <c r="F76" s="22" t="n"/>
      <c r="G76" s="24" t="n"/>
      <c r="H76" s="24" t="n"/>
      <c r="I76" s="22" t="n"/>
      <c r="J76" s="26">
        <f>IF(OR(B76="",H76=""),"",IF(H76&lt;=TODAY(),"Get in touch","On "&amp;DAY(H76)&amp;" "&amp;CHOOSE(MONTH(H76),"Jan","Feb","Mar","Apr","May","Jun","Jul","Aug","Sep","Oct","Nov","Dec")))</f>
        <v/>
      </c>
      <c r="K76" s="1" t="n"/>
    </row>
    <row r="77">
      <c r="A77" s="1" t="n"/>
      <c r="B77" s="21" t="n"/>
      <c r="C77" s="22" t="n"/>
      <c r="D77" s="22" t="n"/>
      <c r="E77" s="22" t="n"/>
      <c r="F77" s="22" t="n"/>
      <c r="G77" s="24" t="n"/>
      <c r="H77" s="24" t="n"/>
      <c r="I77" s="22" t="n"/>
      <c r="J77" s="26">
        <f>IF(OR(B77="",H77=""),"",IF(H77&lt;=TODAY(),"Get in touch","On "&amp;DAY(H77)&amp;" "&amp;CHOOSE(MONTH(H77),"Jan","Feb","Mar","Apr","May","Jun","Jul","Aug","Sep","Oct","Nov","Dec")))</f>
        <v/>
      </c>
      <c r="K77" s="1" t="n"/>
    </row>
    <row r="78">
      <c r="A78" s="1" t="n"/>
      <c r="B78" s="21" t="n"/>
      <c r="C78" s="22" t="n"/>
      <c r="D78" s="22" t="n"/>
      <c r="E78" s="22" t="n"/>
      <c r="F78" s="22" t="n"/>
      <c r="G78" s="24" t="n"/>
      <c r="H78" s="24" t="n"/>
      <c r="I78" s="22" t="n"/>
      <c r="J78" s="26">
        <f>IF(OR(B78="",H78=""),"",IF(H78&lt;=TODAY(),"Get in touch","On "&amp;DAY(H78)&amp;" "&amp;CHOOSE(MONTH(H78),"Jan","Feb","Mar","Apr","May","Jun","Jul","Aug","Sep","Oct","Nov","Dec")))</f>
        <v/>
      </c>
      <c r="K78" s="1" t="n"/>
    </row>
    <row r="79">
      <c r="A79" s="1" t="n"/>
      <c r="B79" s="21" t="n"/>
      <c r="C79" s="22" t="n"/>
      <c r="D79" s="22" t="n"/>
      <c r="E79" s="22" t="n"/>
      <c r="F79" s="22" t="n"/>
      <c r="G79" s="24" t="n"/>
      <c r="H79" s="24" t="n"/>
      <c r="I79" s="22" t="n"/>
      <c r="J79" s="26">
        <f>IF(OR(B79="",H79=""),"",IF(H79&lt;=TODAY(),"Get in touch","On "&amp;DAY(H79)&amp;" "&amp;CHOOSE(MONTH(H79),"Jan","Feb","Mar","Apr","May","Jun","Jul","Aug","Sep","Oct","Nov","Dec")))</f>
        <v/>
      </c>
      <c r="K79" s="1" t="n"/>
    </row>
    <row r="80">
      <c r="A80" s="1" t="n"/>
      <c r="B80" s="21" t="n"/>
      <c r="C80" s="22" t="n"/>
      <c r="D80" s="22" t="n"/>
      <c r="E80" s="22" t="n"/>
      <c r="F80" s="22" t="n"/>
      <c r="G80" s="24" t="n"/>
      <c r="H80" s="24" t="n"/>
      <c r="I80" s="22" t="n"/>
      <c r="J80" s="26">
        <f>IF(OR(B80="",H80=""),"",IF(H80&lt;=TODAY(),"Get in touch","On "&amp;DAY(H80)&amp;" "&amp;CHOOSE(MONTH(H80),"Jan","Feb","Mar","Apr","May","Jun","Jul","Aug","Sep","Oct","Nov","Dec")))</f>
        <v/>
      </c>
      <c r="K80" s="1" t="n"/>
    </row>
    <row r="81">
      <c r="A81" s="1" t="n"/>
      <c r="B81" s="21" t="n"/>
      <c r="C81" s="22" t="n"/>
      <c r="D81" s="22" t="n"/>
      <c r="E81" s="22" t="n"/>
      <c r="F81" s="22" t="n"/>
      <c r="G81" s="24" t="n"/>
      <c r="H81" s="24" t="n"/>
      <c r="I81" s="22" t="n"/>
      <c r="J81" s="26">
        <f>IF(OR(B81="",H81=""),"",IF(H81&lt;=TODAY(),"Get in touch","On "&amp;DAY(H81)&amp;" "&amp;CHOOSE(MONTH(H81),"Jan","Feb","Mar","Apr","May","Jun","Jul","Aug","Sep","Oct","Nov","Dec")))</f>
        <v/>
      </c>
      <c r="K81" s="1" t="n"/>
    </row>
    <row r="82">
      <c r="A82" s="1" t="n"/>
      <c r="B82" s="21" t="n"/>
      <c r="C82" s="22" t="n"/>
      <c r="D82" s="22" t="n"/>
      <c r="E82" s="22" t="n"/>
      <c r="F82" s="22" t="n"/>
      <c r="G82" s="24" t="n"/>
      <c r="H82" s="24" t="n"/>
      <c r="I82" s="22" t="n"/>
      <c r="J82" s="26">
        <f>IF(OR(B82="",H82=""),"",IF(H82&lt;=TODAY(),"Get in touch","On "&amp;DAY(H82)&amp;" "&amp;CHOOSE(MONTH(H82),"Jan","Feb","Mar","Apr","May","Jun","Jul","Aug","Sep","Oct","Nov","Dec")))</f>
        <v/>
      </c>
      <c r="K82" s="1" t="n"/>
    </row>
    <row r="83">
      <c r="A83" s="1" t="n"/>
      <c r="B83" s="21" t="n"/>
      <c r="C83" s="22" t="n"/>
      <c r="D83" s="22" t="n"/>
      <c r="E83" s="22" t="n"/>
      <c r="F83" s="22" t="n"/>
      <c r="G83" s="24" t="n"/>
      <c r="H83" s="24" t="n"/>
      <c r="I83" s="22" t="n"/>
      <c r="J83" s="26">
        <f>IF(OR(B83="",H83=""),"",IF(H83&lt;=TODAY(),"Get in touch","On "&amp;DAY(H83)&amp;" "&amp;CHOOSE(MONTH(H83),"Jan","Feb","Mar","Apr","May","Jun","Jul","Aug","Sep","Oct","Nov","Dec")))</f>
        <v/>
      </c>
      <c r="K83" s="1" t="n"/>
    </row>
    <row r="84">
      <c r="A84" s="1" t="n"/>
      <c r="B84" s="21" t="n"/>
      <c r="C84" s="22" t="n"/>
      <c r="D84" s="22" t="n"/>
      <c r="E84" s="22" t="n"/>
      <c r="F84" s="22" t="n"/>
      <c r="G84" s="24" t="n"/>
      <c r="H84" s="24" t="n"/>
      <c r="I84" s="22" t="n"/>
      <c r="J84" s="26">
        <f>IF(OR(B84="",H84=""),"",IF(H84&lt;=TODAY(),"Get in touch","On "&amp;DAY(H84)&amp;" "&amp;CHOOSE(MONTH(H84),"Jan","Feb","Mar","Apr","May","Jun","Jul","Aug","Sep","Oct","Nov","Dec")))</f>
        <v/>
      </c>
      <c r="K84" s="1" t="n"/>
    </row>
    <row r="85">
      <c r="A85" s="1" t="n"/>
      <c r="B85" s="21" t="n"/>
      <c r="C85" s="22" t="n"/>
      <c r="D85" s="22" t="n"/>
      <c r="E85" s="22" t="n"/>
      <c r="F85" s="22" t="n"/>
      <c r="G85" s="24" t="n"/>
      <c r="H85" s="24" t="n"/>
      <c r="I85" s="22" t="n"/>
      <c r="J85" s="26">
        <f>IF(OR(B85="",H85=""),"",IF(H85&lt;=TODAY(),"Get in touch","On "&amp;DAY(H85)&amp;" "&amp;CHOOSE(MONTH(H85),"Jan","Feb","Mar","Apr","May","Jun","Jul","Aug","Sep","Oct","Nov","Dec")))</f>
        <v/>
      </c>
      <c r="K85" s="1" t="n"/>
    </row>
    <row r="86">
      <c r="A86" s="1" t="n"/>
      <c r="B86" s="21" t="n"/>
      <c r="C86" s="22" t="n"/>
      <c r="D86" s="22" t="n"/>
      <c r="E86" s="22" t="n"/>
      <c r="F86" s="22" t="n"/>
      <c r="G86" s="24" t="n"/>
      <c r="H86" s="24" t="n"/>
      <c r="I86" s="22" t="n"/>
      <c r="J86" s="26">
        <f>IF(OR(B86="",H86=""),"",IF(H86&lt;=TODAY(),"Get in touch","On "&amp;DAY(H86)&amp;" "&amp;CHOOSE(MONTH(H86),"Jan","Feb","Mar","Apr","May","Jun","Jul","Aug","Sep","Oct","Nov","Dec")))</f>
        <v/>
      </c>
      <c r="K86" s="1" t="n"/>
    </row>
    <row r="87">
      <c r="A87" s="1" t="n"/>
      <c r="B87" s="21" t="n"/>
      <c r="C87" s="22" t="n"/>
      <c r="D87" s="22" t="n"/>
      <c r="E87" s="22" t="n"/>
      <c r="F87" s="22" t="n"/>
      <c r="G87" s="24" t="n"/>
      <c r="H87" s="24" t="n"/>
      <c r="I87" s="22" t="n"/>
      <c r="J87" s="26">
        <f>IF(OR(B87="",H87=""),"",IF(H87&lt;=TODAY(),"Get in touch","On "&amp;DAY(H87)&amp;" "&amp;CHOOSE(MONTH(H87),"Jan","Feb","Mar","Apr","May","Jun","Jul","Aug","Sep","Oct","Nov","Dec")))</f>
        <v/>
      </c>
      <c r="K87" s="1" t="n"/>
    </row>
    <row r="88">
      <c r="A88" s="1" t="n"/>
      <c r="B88" s="21" t="n"/>
      <c r="C88" s="22" t="n"/>
      <c r="D88" s="22" t="n"/>
      <c r="E88" s="22" t="n"/>
      <c r="F88" s="22" t="n"/>
      <c r="G88" s="24" t="n"/>
      <c r="H88" s="24" t="n"/>
      <c r="I88" s="22" t="n"/>
      <c r="J88" s="26">
        <f>IF(OR(B88="",H88=""),"",IF(H88&lt;=TODAY(),"Get in touch","On "&amp;DAY(H88)&amp;" "&amp;CHOOSE(MONTH(H88),"Jan","Feb","Mar","Apr","May","Jun","Jul","Aug","Sep","Oct","Nov","Dec")))</f>
        <v/>
      </c>
      <c r="K88" s="1" t="n"/>
    </row>
    <row r="89">
      <c r="A89" s="1" t="n"/>
      <c r="B89" s="21" t="n"/>
      <c r="C89" s="22" t="n"/>
      <c r="D89" s="22" t="n"/>
      <c r="E89" s="22" t="n"/>
      <c r="F89" s="22" t="n"/>
      <c r="G89" s="24" t="n"/>
      <c r="H89" s="24" t="n"/>
      <c r="I89" s="22" t="n"/>
      <c r="J89" s="26">
        <f>IF(OR(B89="",H89=""),"",IF(H89&lt;=TODAY(),"Get in touch","On "&amp;DAY(H89)&amp;" "&amp;CHOOSE(MONTH(H89),"Jan","Feb","Mar","Apr","May","Jun","Jul","Aug","Sep","Oct","Nov","Dec")))</f>
        <v/>
      </c>
      <c r="K89" s="1" t="n"/>
    </row>
    <row r="90">
      <c r="A90" s="1" t="n"/>
      <c r="B90" s="21" t="n"/>
      <c r="C90" s="22" t="n"/>
      <c r="D90" s="22" t="n"/>
      <c r="E90" s="22" t="n"/>
      <c r="F90" s="22" t="n"/>
      <c r="G90" s="24" t="n"/>
      <c r="H90" s="24" t="n"/>
      <c r="I90" s="22" t="n"/>
      <c r="J90" s="26">
        <f>IF(OR(B90="",H90=""),"",IF(H90&lt;=TODAY(),"Get in touch","On "&amp;DAY(H90)&amp;" "&amp;CHOOSE(MONTH(H90),"Jan","Feb","Mar","Apr","May","Jun","Jul","Aug","Sep","Oct","Nov","Dec")))</f>
        <v/>
      </c>
      <c r="K90" s="1" t="n"/>
    </row>
    <row r="91">
      <c r="A91" s="1" t="n"/>
      <c r="B91" s="21" t="n"/>
      <c r="C91" s="22" t="n"/>
      <c r="D91" s="22" t="n"/>
      <c r="E91" s="22" t="n"/>
      <c r="F91" s="22" t="n"/>
      <c r="G91" s="24" t="n"/>
      <c r="H91" s="24" t="n"/>
      <c r="I91" s="22" t="n"/>
      <c r="J91" s="26">
        <f>IF(OR(B91="",H91=""),"",IF(H91&lt;=TODAY(),"Get in touch","On "&amp;DAY(H91)&amp;" "&amp;CHOOSE(MONTH(H91),"Jan","Feb","Mar","Apr","May","Jun","Jul","Aug","Sep","Oct","Nov","Dec")))</f>
        <v/>
      </c>
      <c r="K91" s="1" t="n"/>
    </row>
    <row r="92">
      <c r="A92" s="1" t="n"/>
      <c r="B92" s="21" t="n"/>
      <c r="C92" s="22" t="n"/>
      <c r="D92" s="22" t="n"/>
      <c r="E92" s="22" t="n"/>
      <c r="F92" s="22" t="n"/>
      <c r="G92" s="24" t="n"/>
      <c r="H92" s="24" t="n"/>
      <c r="I92" s="22" t="n"/>
      <c r="J92" s="26">
        <f>IF(OR(B92="",H92=""),"",IF(H92&lt;=TODAY(),"Get in touch","On "&amp;DAY(H92)&amp;" "&amp;CHOOSE(MONTH(H92),"Jan","Feb","Mar","Apr","May","Jun","Jul","Aug","Sep","Oct","Nov","Dec")))</f>
        <v/>
      </c>
      <c r="K92" s="1" t="n"/>
    </row>
    <row r="93">
      <c r="A93" s="1" t="n"/>
      <c r="B93" s="21" t="n"/>
      <c r="C93" s="22" t="n"/>
      <c r="D93" s="22" t="n"/>
      <c r="E93" s="22" t="n"/>
      <c r="F93" s="22" t="n"/>
      <c r="G93" s="24" t="n"/>
      <c r="H93" s="24" t="n"/>
      <c r="I93" s="22" t="n"/>
      <c r="J93" s="26">
        <f>IF(OR(B93="",H93=""),"",IF(H93&lt;=TODAY(),"Get in touch","On "&amp;DAY(H93)&amp;" "&amp;CHOOSE(MONTH(H93),"Jan","Feb","Mar","Apr","May","Jun","Jul","Aug","Sep","Oct","Nov","Dec")))</f>
        <v/>
      </c>
      <c r="K93" s="1" t="n"/>
    </row>
    <row r="94">
      <c r="A94" s="1" t="n"/>
      <c r="B94" s="21" t="n"/>
      <c r="C94" s="22" t="n"/>
      <c r="D94" s="22" t="n"/>
      <c r="E94" s="22" t="n"/>
      <c r="F94" s="22" t="n"/>
      <c r="G94" s="24" t="n"/>
      <c r="H94" s="24" t="n"/>
      <c r="I94" s="22" t="n"/>
      <c r="J94" s="26">
        <f>IF(OR(B94="",H94=""),"",IF(H94&lt;=TODAY(),"Get in touch","On "&amp;DAY(H94)&amp;" "&amp;CHOOSE(MONTH(H94),"Jan","Feb","Mar","Apr","May","Jun","Jul","Aug","Sep","Oct","Nov","Dec")))</f>
        <v/>
      </c>
      <c r="K94" s="1" t="n"/>
    </row>
    <row r="95">
      <c r="A95" s="1" t="n"/>
      <c r="B95" s="21" t="n"/>
      <c r="C95" s="22" t="n"/>
      <c r="D95" s="22" t="n"/>
      <c r="E95" s="22" t="n"/>
      <c r="F95" s="22" t="n"/>
      <c r="G95" s="24" t="n"/>
      <c r="H95" s="24" t="n"/>
      <c r="I95" s="22" t="n"/>
      <c r="J95" s="26">
        <f>IF(OR(B95="",H95=""),"",IF(H95&lt;=TODAY(),"Get in touch","On "&amp;DAY(H95)&amp;" "&amp;CHOOSE(MONTH(H95),"Jan","Feb","Mar","Apr","May","Jun","Jul","Aug","Sep","Oct","Nov","Dec")))</f>
        <v/>
      </c>
      <c r="K95" s="1" t="n"/>
    </row>
    <row r="96">
      <c r="A96" s="1" t="n"/>
      <c r="B96" s="21" t="n"/>
      <c r="C96" s="22" t="n"/>
      <c r="D96" s="22" t="n"/>
      <c r="E96" s="22" t="n"/>
      <c r="F96" s="22" t="n"/>
      <c r="G96" s="24" t="n"/>
      <c r="H96" s="24" t="n"/>
      <c r="I96" s="22" t="n"/>
      <c r="J96" s="26">
        <f>IF(OR(B96="",H96=""),"",IF(H96&lt;=TODAY(),"Get in touch","On "&amp;DAY(H96)&amp;" "&amp;CHOOSE(MONTH(H96),"Jan","Feb","Mar","Apr","May","Jun","Jul","Aug","Sep","Oct","Nov","Dec")))</f>
        <v/>
      </c>
      <c r="K96" s="1" t="n"/>
    </row>
    <row r="97">
      <c r="A97" s="1" t="n"/>
      <c r="B97" s="21" t="n"/>
      <c r="C97" s="22" t="n"/>
      <c r="D97" s="22" t="n"/>
      <c r="E97" s="22" t="n"/>
      <c r="F97" s="22" t="n"/>
      <c r="G97" s="24" t="n"/>
      <c r="H97" s="24" t="n"/>
      <c r="I97" s="22" t="n"/>
      <c r="J97" s="26">
        <f>IF(OR(B97="",H97=""),"",IF(H97&lt;=TODAY(),"Get in touch","On "&amp;DAY(H97)&amp;" "&amp;CHOOSE(MONTH(H97),"Jan","Feb","Mar","Apr","May","Jun","Jul","Aug","Sep","Oct","Nov","Dec")))</f>
        <v/>
      </c>
      <c r="K97" s="1" t="n"/>
    </row>
    <row r="98">
      <c r="A98" s="1" t="n"/>
      <c r="B98" s="21" t="n"/>
      <c r="C98" s="22" t="n"/>
      <c r="D98" s="22" t="n"/>
      <c r="E98" s="22" t="n"/>
      <c r="F98" s="22" t="n"/>
      <c r="G98" s="24" t="n"/>
      <c r="H98" s="24" t="n"/>
      <c r="I98" s="22" t="n"/>
      <c r="J98" s="26">
        <f>IF(OR(B98="",H98=""),"",IF(H98&lt;=TODAY(),"Get in touch","On "&amp;DAY(H98)&amp;" "&amp;CHOOSE(MONTH(H98),"Jan","Feb","Mar","Apr","May","Jun","Jul","Aug","Sep","Oct","Nov","Dec")))</f>
        <v/>
      </c>
      <c r="K98" s="1" t="n"/>
    </row>
    <row r="99">
      <c r="A99" s="1" t="n"/>
      <c r="B99" s="21" t="n"/>
      <c r="C99" s="22" t="n"/>
      <c r="D99" s="22" t="n"/>
      <c r="E99" s="22" t="n"/>
      <c r="F99" s="22" t="n"/>
      <c r="G99" s="24" t="n"/>
      <c r="H99" s="24" t="n"/>
      <c r="I99" s="22" t="n"/>
      <c r="J99" s="26">
        <f>IF(OR(B99="",H99=""),"",IF(H99&lt;=TODAY(),"Get in touch","On "&amp;DAY(H99)&amp;" "&amp;CHOOSE(MONTH(H99),"Jan","Feb","Mar","Apr","May","Jun","Jul","Aug","Sep","Oct","Nov","Dec")))</f>
        <v/>
      </c>
      <c r="K99" s="1" t="n"/>
    </row>
    <row r="100">
      <c r="A100" s="1" t="n"/>
      <c r="B100" s="21" t="n"/>
      <c r="C100" s="22" t="n"/>
      <c r="D100" s="22" t="n"/>
      <c r="E100" s="22" t="n"/>
      <c r="F100" s="22" t="n"/>
      <c r="G100" s="24" t="n"/>
      <c r="H100" s="24" t="n"/>
      <c r="I100" s="22" t="n"/>
      <c r="J100" s="26">
        <f>IF(OR(B100="",H100=""),"",IF(H100&lt;=TODAY(),"Get in touch","On "&amp;DAY(H100)&amp;" "&amp;CHOOSE(MONTH(H100),"Jan","Feb","Mar","Apr","May","Jun","Jul","Aug","Sep","Oct","Nov","Dec")))</f>
        <v/>
      </c>
      <c r="K100" s="1" t="n"/>
    </row>
    <row r="101">
      <c r="A101" s="1" t="n"/>
      <c r="B101" s="21" t="n"/>
      <c r="C101" s="22" t="n"/>
      <c r="D101" s="22" t="n"/>
      <c r="E101" s="22" t="n"/>
      <c r="F101" s="22" t="n"/>
      <c r="G101" s="24" t="n"/>
      <c r="H101" s="24" t="n"/>
      <c r="I101" s="22" t="n"/>
      <c r="J101" s="26">
        <f>IF(OR(B101="",H101=""),"",IF(H101&lt;=TODAY(),"Get in touch","On "&amp;DAY(H101)&amp;" "&amp;CHOOSE(MONTH(H101),"Jan","Feb","Mar","Apr","May","Jun","Jul","Aug","Sep","Oct","Nov","Dec")))</f>
        <v/>
      </c>
      <c r="K101" s="1" t="n"/>
    </row>
    <row r="102">
      <c r="A102" s="1" t="n"/>
      <c r="B102" s="21" t="n"/>
      <c r="C102" s="22" t="n"/>
      <c r="D102" s="22" t="n"/>
      <c r="E102" s="22" t="n"/>
      <c r="F102" s="22" t="n"/>
      <c r="G102" s="24" t="n"/>
      <c r="H102" s="24" t="n"/>
      <c r="I102" s="22" t="n"/>
      <c r="J102" s="26">
        <f>IF(OR(B102="",H102=""),"",IF(H102&lt;=TODAY(),"Get in touch","On "&amp;DAY(H102)&amp;" "&amp;CHOOSE(MONTH(H102),"Jan","Feb","Mar","Apr","May","Jun","Jul","Aug","Sep","Oct","Nov","Dec")))</f>
        <v/>
      </c>
      <c r="K102" s="1" t="n"/>
    </row>
    <row r="103">
      <c r="A103" s="1" t="n"/>
      <c r="B103" s="21" t="n"/>
      <c r="C103" s="22" t="n"/>
      <c r="D103" s="22" t="n"/>
      <c r="E103" s="22" t="n"/>
      <c r="F103" s="22" t="n"/>
      <c r="G103" s="24" t="n"/>
      <c r="H103" s="24" t="n"/>
      <c r="I103" s="22" t="n"/>
      <c r="J103" s="26">
        <f>IF(OR(B103="",H103=""),"",IF(H103&lt;=TODAY(),"Get in touch","On "&amp;DAY(H103)&amp;" "&amp;CHOOSE(MONTH(H103),"Jan","Feb","Mar","Apr","May","Jun","Jul","Aug","Sep","Oct","Nov","Dec")))</f>
        <v/>
      </c>
      <c r="K103" s="1" t="n"/>
    </row>
    <row r="104">
      <c r="A104" s="1" t="n"/>
      <c r="B104" s="21" t="n"/>
      <c r="C104" s="22" t="n"/>
      <c r="D104" s="22" t="n"/>
      <c r="E104" s="22" t="n"/>
      <c r="F104" s="22" t="n"/>
      <c r="G104" s="24" t="n"/>
      <c r="H104" s="24" t="n"/>
      <c r="I104" s="22" t="n"/>
      <c r="J104" s="26">
        <f>IF(OR(B104="",H104=""),"",IF(H104&lt;=TODAY(),"Get in touch","On "&amp;DAY(H104)&amp;" "&amp;CHOOSE(MONTH(H104),"Jan","Feb","Mar","Apr","May","Jun","Jul","Aug","Sep","Oct","Nov","Dec")))</f>
        <v/>
      </c>
      <c r="K104" s="1" t="n"/>
    </row>
    <row r="105">
      <c r="A105" s="1" t="n"/>
      <c r="B105" s="21" t="n"/>
      <c r="C105" s="22" t="n"/>
      <c r="D105" s="22" t="n"/>
      <c r="E105" s="22" t="n"/>
      <c r="F105" s="22" t="n"/>
      <c r="G105" s="24" t="n"/>
      <c r="H105" s="24" t="n"/>
      <c r="I105" s="22" t="n"/>
      <c r="J105" s="26">
        <f>IF(OR(B105="",H105=""),"",IF(H105&lt;=TODAY(),"Get in touch","On "&amp;DAY(H105)&amp;" "&amp;CHOOSE(MONTH(H105),"Jan","Feb","Mar","Apr","May","Jun","Jul","Aug","Sep","Oct","Nov","Dec")))</f>
        <v/>
      </c>
      <c r="K105" s="1" t="n"/>
    </row>
    <row r="106">
      <c r="A106" s="1" t="n"/>
      <c r="B106" s="21" t="n"/>
      <c r="C106" s="22" t="n"/>
      <c r="D106" s="22" t="n"/>
      <c r="E106" s="22" t="n"/>
      <c r="F106" s="22" t="n"/>
      <c r="G106" s="24" t="n"/>
      <c r="H106" s="24" t="n"/>
      <c r="I106" s="22" t="n"/>
      <c r="J106" s="26">
        <f>IF(OR(B106="",H106=""),"",IF(H106&lt;=TODAY(),"Get in touch","On "&amp;DAY(H106)&amp;" "&amp;CHOOSE(MONTH(H106),"Jan","Feb","Mar","Apr","May","Jun","Jul","Aug","Sep","Oct","Nov","Dec")))</f>
        <v/>
      </c>
      <c r="K106" s="1" t="n"/>
    </row>
    <row r="107">
      <c r="A107" s="1" t="n"/>
      <c r="B107" s="21" t="n"/>
      <c r="C107" s="22" t="n"/>
      <c r="D107" s="22" t="n"/>
      <c r="E107" s="22" t="n"/>
      <c r="F107" s="22" t="n"/>
      <c r="G107" s="24" t="n"/>
      <c r="H107" s="24" t="n"/>
      <c r="I107" s="22" t="n"/>
      <c r="J107" s="26">
        <f>IF(OR(B107="",H107=""),"",IF(H107&lt;=TODAY(),"Get in touch","On "&amp;DAY(H107)&amp;" "&amp;CHOOSE(MONTH(H107),"Jan","Feb","Mar","Apr","May","Jun","Jul","Aug","Sep","Oct","Nov","Dec")))</f>
        <v/>
      </c>
      <c r="K107" s="1" t="n"/>
    </row>
    <row r="108">
      <c r="A108" s="1" t="n"/>
      <c r="B108" s="21" t="n"/>
      <c r="C108" s="22" t="n"/>
      <c r="D108" s="22" t="n"/>
      <c r="E108" s="22" t="n"/>
      <c r="F108" s="22" t="n"/>
      <c r="G108" s="24" t="n"/>
      <c r="H108" s="24" t="n"/>
      <c r="I108" s="22" t="n"/>
      <c r="J108" s="26">
        <f>IF(OR(B108="",H108=""),"",IF(H108&lt;=TODAY(),"Get in touch","On "&amp;DAY(H108)&amp;" "&amp;CHOOSE(MONTH(H108),"Jan","Feb","Mar","Apr","May","Jun","Jul","Aug","Sep","Oct","Nov","Dec")))</f>
        <v/>
      </c>
      <c r="K108" s="1" t="n"/>
    </row>
    <row r="109">
      <c r="A109" s="1" t="n"/>
      <c r="B109" s="21" t="n"/>
      <c r="C109" s="22" t="n"/>
      <c r="D109" s="22" t="n"/>
      <c r="E109" s="22" t="n"/>
      <c r="F109" s="22" t="n"/>
      <c r="G109" s="24" t="n"/>
      <c r="H109" s="24" t="n"/>
      <c r="I109" s="22" t="n"/>
      <c r="J109" s="26">
        <f>IF(OR(B109="",H109=""),"",IF(H109&lt;=TODAY(),"Get in touch","On "&amp;DAY(H109)&amp;" "&amp;CHOOSE(MONTH(H109),"Jan","Feb","Mar","Apr","May","Jun","Jul","Aug","Sep","Oct","Nov","Dec")))</f>
        <v/>
      </c>
      <c r="K109" s="1" t="n"/>
    </row>
    <row r="110">
      <c r="A110" s="1" t="n"/>
      <c r="B110" s="21" t="n"/>
      <c r="C110" s="22" t="n"/>
      <c r="D110" s="22" t="n"/>
      <c r="E110" s="22" t="n"/>
      <c r="F110" s="22" t="n"/>
      <c r="G110" s="24" t="n"/>
      <c r="H110" s="24" t="n"/>
      <c r="I110" s="22" t="n"/>
      <c r="J110" s="26">
        <f>IF(OR(B110="",H110=""),"",IF(H110&lt;=TODAY(),"Get in touch","On "&amp;DAY(H110)&amp;" "&amp;CHOOSE(MONTH(H110),"Jan","Feb","Mar","Apr","May","Jun","Jul","Aug","Sep","Oct","Nov","Dec")))</f>
        <v/>
      </c>
      <c r="K110" s="1" t="n"/>
    </row>
    <row r="111">
      <c r="A111" s="1" t="n"/>
      <c r="B111" s="21" t="n"/>
      <c r="C111" s="22" t="n"/>
      <c r="D111" s="22" t="n"/>
      <c r="E111" s="22" t="n"/>
      <c r="F111" s="22" t="n"/>
      <c r="G111" s="24" t="n"/>
      <c r="H111" s="24" t="n"/>
      <c r="I111" s="22" t="n"/>
      <c r="J111" s="26">
        <f>IF(OR(B111="",H111=""),"",IF(H111&lt;=TODAY(),"Get in touch","On "&amp;DAY(H111)&amp;" "&amp;CHOOSE(MONTH(H111),"Jan","Feb","Mar","Apr","May","Jun","Jul","Aug","Sep","Oct","Nov","Dec")))</f>
        <v/>
      </c>
      <c r="K111" s="1" t="n"/>
    </row>
    <row r="112">
      <c r="A112" s="1" t="n"/>
      <c r="B112" s="21" t="n"/>
      <c r="C112" s="22" t="n"/>
      <c r="D112" s="22" t="n"/>
      <c r="E112" s="22" t="n"/>
      <c r="F112" s="22" t="n"/>
      <c r="G112" s="24" t="n"/>
      <c r="H112" s="24" t="n"/>
      <c r="I112" s="22" t="n"/>
      <c r="J112" s="26">
        <f>IF(OR(B112="",H112=""),"",IF(H112&lt;=TODAY(),"Get in touch","On "&amp;DAY(H112)&amp;" "&amp;CHOOSE(MONTH(H112),"Jan","Feb","Mar","Apr","May","Jun","Jul","Aug","Sep","Oct","Nov","Dec")))</f>
        <v/>
      </c>
      <c r="K112" s="1" t="n"/>
    </row>
    <row r="113">
      <c r="A113" s="1" t="n"/>
      <c r="B113" s="21" t="n"/>
      <c r="C113" s="22" t="n"/>
      <c r="D113" s="22" t="n"/>
      <c r="E113" s="22" t="n"/>
      <c r="F113" s="22" t="n"/>
      <c r="G113" s="24" t="n"/>
      <c r="H113" s="24" t="n"/>
      <c r="I113" s="22" t="n"/>
      <c r="J113" s="26">
        <f>IF(OR(B113="",H113=""),"",IF(H113&lt;=TODAY(),"Get in touch","On "&amp;DAY(H113)&amp;" "&amp;CHOOSE(MONTH(H113),"Jan","Feb","Mar","Apr","May","Jun","Jul","Aug","Sep","Oct","Nov","Dec")))</f>
        <v/>
      </c>
      <c r="K113" s="1" t="n"/>
    </row>
    <row r="114">
      <c r="A114" s="1" t="n"/>
      <c r="B114" s="21" t="n"/>
      <c r="C114" s="22" t="n"/>
      <c r="D114" s="22" t="n"/>
      <c r="E114" s="22" t="n"/>
      <c r="F114" s="22" t="n"/>
      <c r="G114" s="24" t="n"/>
      <c r="H114" s="24" t="n"/>
      <c r="I114" s="22" t="n"/>
      <c r="J114" s="26">
        <f>IF(OR(B114="",H114=""),"",IF(H114&lt;=TODAY(),"Get in touch","On "&amp;DAY(H114)&amp;" "&amp;CHOOSE(MONTH(H114),"Jan","Feb","Mar","Apr","May","Jun","Jul","Aug","Sep","Oct","Nov","Dec")))</f>
        <v/>
      </c>
      <c r="K114" s="1" t="n"/>
    </row>
    <row r="115">
      <c r="A115" s="1" t="n"/>
      <c r="B115" s="21" t="n"/>
      <c r="C115" s="22" t="n"/>
      <c r="D115" s="22" t="n"/>
      <c r="E115" s="22" t="n"/>
      <c r="F115" s="22" t="n"/>
      <c r="G115" s="24" t="n"/>
      <c r="H115" s="24" t="n"/>
      <c r="I115" s="22" t="n"/>
      <c r="J115" s="26">
        <f>IF(OR(B115="",H115=""),"",IF(H115&lt;=TODAY(),"Get in touch","On "&amp;DAY(H115)&amp;" "&amp;CHOOSE(MONTH(H115),"Jan","Feb","Mar","Apr","May","Jun","Jul","Aug","Sep","Oct","Nov","Dec")))</f>
        <v/>
      </c>
      <c r="K115" s="1" t="n"/>
    </row>
    <row r="116">
      <c r="A116" s="1" t="n"/>
      <c r="B116" s="21" t="n"/>
      <c r="C116" s="22" t="n"/>
      <c r="D116" s="22" t="n"/>
      <c r="E116" s="22" t="n"/>
      <c r="F116" s="22" t="n"/>
      <c r="G116" s="24" t="n"/>
      <c r="H116" s="24" t="n"/>
      <c r="I116" s="22" t="n"/>
      <c r="J116" s="26">
        <f>IF(OR(B116="",H116=""),"",IF(H116&lt;=TODAY(),"Get in touch","On "&amp;DAY(H116)&amp;" "&amp;CHOOSE(MONTH(H116),"Jan","Feb","Mar","Apr","May","Jun","Jul","Aug","Sep","Oct","Nov","Dec")))</f>
        <v/>
      </c>
      <c r="K116" s="1" t="n"/>
    </row>
    <row r="117">
      <c r="A117" s="1" t="n"/>
      <c r="B117" s="21" t="n"/>
      <c r="C117" s="22" t="n"/>
      <c r="D117" s="22" t="n"/>
      <c r="E117" s="22" t="n"/>
      <c r="F117" s="22" t="n"/>
      <c r="G117" s="24" t="n"/>
      <c r="H117" s="24" t="n"/>
      <c r="I117" s="22" t="n"/>
      <c r="J117" s="26">
        <f>IF(OR(B117="",H117=""),"",IF(H117&lt;=TODAY(),"Get in touch","On "&amp;DAY(H117)&amp;" "&amp;CHOOSE(MONTH(H117),"Jan","Feb","Mar","Apr","May","Jun","Jul","Aug","Sep","Oct","Nov","Dec")))</f>
        <v/>
      </c>
      <c r="K117" s="1" t="n"/>
    </row>
    <row r="118">
      <c r="A118" s="1" t="n"/>
      <c r="B118" s="21" t="n"/>
      <c r="C118" s="22" t="n"/>
      <c r="D118" s="22" t="n"/>
      <c r="E118" s="22" t="n"/>
      <c r="F118" s="22" t="n"/>
      <c r="G118" s="24" t="n"/>
      <c r="H118" s="24" t="n"/>
      <c r="I118" s="22" t="n"/>
      <c r="J118" s="26">
        <f>IF(OR(B118="",H118=""),"",IF(H118&lt;=TODAY(),"Get in touch","On "&amp;DAY(H118)&amp;" "&amp;CHOOSE(MONTH(H118),"Jan","Feb","Mar","Apr","May","Jun","Jul","Aug","Sep","Oct","Nov","Dec")))</f>
        <v/>
      </c>
      <c r="K118" s="1" t="n"/>
    </row>
    <row r="119">
      <c r="A119" s="1" t="n"/>
      <c r="B119" s="21" t="n"/>
      <c r="C119" s="22" t="n"/>
      <c r="D119" s="22" t="n"/>
      <c r="E119" s="22" t="n"/>
      <c r="F119" s="22" t="n"/>
      <c r="G119" s="24" t="n"/>
      <c r="H119" s="24" t="n"/>
      <c r="I119" s="22" t="n"/>
      <c r="J119" s="26">
        <f>IF(OR(B119="",H119=""),"",IF(H119&lt;=TODAY(),"Get in touch","On "&amp;DAY(H119)&amp;" "&amp;CHOOSE(MONTH(H119),"Jan","Feb","Mar","Apr","May","Jun","Jul","Aug","Sep","Oct","Nov","Dec")))</f>
        <v/>
      </c>
      <c r="K119" s="1" t="n"/>
    </row>
    <row r="120">
      <c r="A120" s="1" t="n"/>
      <c r="B120" s="21" t="n"/>
      <c r="C120" s="22" t="n"/>
      <c r="D120" s="22" t="n"/>
      <c r="E120" s="22" t="n"/>
      <c r="F120" s="22" t="n"/>
      <c r="G120" s="24" t="n"/>
      <c r="H120" s="24" t="n"/>
      <c r="I120" s="22" t="n"/>
      <c r="J120" s="26">
        <f>IF(OR(B120="",H120=""),"",IF(H120&lt;=TODAY(),"Get in touch","On "&amp;DAY(H120)&amp;" "&amp;CHOOSE(MONTH(H120),"Jan","Feb","Mar","Apr","May","Jun","Jul","Aug","Sep","Oct","Nov","Dec")))</f>
        <v/>
      </c>
      <c r="K120" s="1" t="n"/>
    </row>
    <row r="121">
      <c r="A121" s="1" t="n"/>
      <c r="B121" s="21" t="n"/>
      <c r="C121" s="22" t="n"/>
      <c r="D121" s="22" t="n"/>
      <c r="E121" s="22" t="n"/>
      <c r="F121" s="22" t="n"/>
      <c r="G121" s="24" t="n"/>
      <c r="H121" s="24" t="n"/>
      <c r="I121" s="22" t="n"/>
      <c r="J121" s="26">
        <f>IF(OR(B121="",H121=""),"",IF(H121&lt;=TODAY(),"Get in touch","On "&amp;DAY(H121)&amp;" "&amp;CHOOSE(MONTH(H121),"Jan","Feb","Mar","Apr","May","Jun","Jul","Aug","Sep","Oct","Nov","Dec")))</f>
        <v/>
      </c>
      <c r="K121" s="1" t="n"/>
    </row>
    <row r="122">
      <c r="A122" s="1" t="n"/>
      <c r="B122" s="21" t="n"/>
      <c r="C122" s="22" t="n"/>
      <c r="D122" s="22" t="n"/>
      <c r="E122" s="22" t="n"/>
      <c r="F122" s="22" t="n"/>
      <c r="G122" s="24" t="n"/>
      <c r="H122" s="24" t="n"/>
      <c r="I122" s="22" t="n"/>
      <c r="J122" s="26">
        <f>IF(OR(B122="",H122=""),"",IF(H122&lt;=TODAY(),"Get in touch","On "&amp;DAY(H122)&amp;" "&amp;CHOOSE(MONTH(H122),"Jan","Feb","Mar","Apr","May","Jun","Jul","Aug","Sep","Oct","Nov","Dec")))</f>
        <v/>
      </c>
      <c r="K122" s="1" t="n"/>
    </row>
    <row r="123">
      <c r="A123" s="1" t="n"/>
      <c r="B123" s="21" t="n"/>
      <c r="C123" s="22" t="n"/>
      <c r="D123" s="22" t="n"/>
      <c r="E123" s="22" t="n"/>
      <c r="F123" s="22" t="n"/>
      <c r="G123" s="24" t="n"/>
      <c r="H123" s="24" t="n"/>
      <c r="I123" s="22" t="n"/>
      <c r="J123" s="26">
        <f>IF(OR(B123="",H123=""),"",IF(H123&lt;=TODAY(),"Get in touch","On "&amp;DAY(H123)&amp;" "&amp;CHOOSE(MONTH(H123),"Jan","Feb","Mar","Apr","May","Jun","Jul","Aug","Sep","Oct","Nov","Dec")))</f>
        <v/>
      </c>
      <c r="K123" s="1" t="n"/>
    </row>
    <row r="124">
      <c r="A124" s="1" t="n"/>
      <c r="B124" s="21" t="n"/>
      <c r="C124" s="22" t="n"/>
      <c r="D124" s="22" t="n"/>
      <c r="E124" s="22" t="n"/>
      <c r="F124" s="22" t="n"/>
      <c r="G124" s="24" t="n"/>
      <c r="H124" s="24" t="n"/>
      <c r="I124" s="22" t="n"/>
      <c r="J124" s="26">
        <f>IF(OR(B124="",H124=""),"",IF(H124&lt;=TODAY(),"Get in touch","On "&amp;DAY(H124)&amp;" "&amp;CHOOSE(MONTH(H124),"Jan","Feb","Mar","Apr","May","Jun","Jul","Aug","Sep","Oct","Nov","Dec")))</f>
        <v/>
      </c>
      <c r="K124" s="1" t="n"/>
    </row>
    <row r="125">
      <c r="A125" s="1" t="n"/>
      <c r="B125" s="21" t="n"/>
      <c r="C125" s="22" t="n"/>
      <c r="D125" s="22" t="n"/>
      <c r="E125" s="22" t="n"/>
      <c r="F125" s="22" t="n"/>
      <c r="G125" s="24" t="n"/>
      <c r="H125" s="24" t="n"/>
      <c r="I125" s="22" t="n"/>
      <c r="J125" s="26">
        <f>IF(OR(B125="",H125=""),"",IF(H125&lt;=TODAY(),"Get in touch","On "&amp;DAY(H125)&amp;" "&amp;CHOOSE(MONTH(H125),"Jan","Feb","Mar","Apr","May","Jun","Jul","Aug","Sep","Oct","Nov","Dec")))</f>
        <v/>
      </c>
      <c r="K125" s="1" t="n"/>
    </row>
    <row r="126">
      <c r="A126" s="1" t="n"/>
      <c r="B126" s="21" t="n"/>
      <c r="C126" s="22" t="n"/>
      <c r="D126" s="22" t="n"/>
      <c r="E126" s="22" t="n"/>
      <c r="F126" s="22" t="n"/>
      <c r="G126" s="24" t="n"/>
      <c r="H126" s="24" t="n"/>
      <c r="I126" s="22" t="n"/>
      <c r="J126" s="26">
        <f>IF(OR(B126="",H126=""),"",IF(H126&lt;=TODAY(),"Get in touch","On "&amp;DAY(H126)&amp;" "&amp;CHOOSE(MONTH(H126),"Jan","Feb","Mar","Apr","May","Jun","Jul","Aug","Sep","Oct","Nov","Dec")))</f>
        <v/>
      </c>
      <c r="K126" s="1" t="n"/>
    </row>
    <row r="127">
      <c r="A127" s="1" t="n"/>
      <c r="B127" s="21" t="n"/>
      <c r="C127" s="22" t="n"/>
      <c r="D127" s="22" t="n"/>
      <c r="E127" s="22" t="n"/>
      <c r="F127" s="22" t="n"/>
      <c r="G127" s="24" t="n"/>
      <c r="H127" s="24" t="n"/>
      <c r="I127" s="22" t="n"/>
      <c r="J127" s="26">
        <f>IF(OR(B127="",H127=""),"",IF(H127&lt;=TODAY(),"Get in touch","On "&amp;DAY(H127)&amp;" "&amp;CHOOSE(MONTH(H127),"Jan","Feb","Mar","Apr","May","Jun","Jul","Aug","Sep","Oct","Nov","Dec")))</f>
        <v/>
      </c>
      <c r="K127" s="1" t="n"/>
    </row>
    <row r="128">
      <c r="A128" s="1" t="n"/>
      <c r="B128" s="21" t="n"/>
      <c r="C128" s="22" t="n"/>
      <c r="D128" s="22" t="n"/>
      <c r="E128" s="22" t="n"/>
      <c r="F128" s="22" t="n"/>
      <c r="G128" s="24" t="n"/>
      <c r="H128" s="24" t="n"/>
      <c r="I128" s="22" t="n"/>
      <c r="J128" s="26">
        <f>IF(OR(B128="",H128=""),"",IF(H128&lt;=TODAY(),"Get in touch","On "&amp;DAY(H128)&amp;" "&amp;CHOOSE(MONTH(H128),"Jan","Feb","Mar","Apr","May","Jun","Jul","Aug","Sep","Oct","Nov","Dec")))</f>
        <v/>
      </c>
      <c r="K128" s="1" t="n"/>
    </row>
    <row r="129">
      <c r="A129" s="1" t="n"/>
      <c r="B129" s="21" t="n"/>
      <c r="C129" s="22" t="n"/>
      <c r="D129" s="22" t="n"/>
      <c r="E129" s="22" t="n"/>
      <c r="F129" s="22" t="n"/>
      <c r="G129" s="24" t="n"/>
      <c r="H129" s="24" t="n"/>
      <c r="I129" s="22" t="n"/>
      <c r="J129" s="26">
        <f>IF(OR(B129="",H129=""),"",IF(H129&lt;=TODAY(),"Get in touch","On "&amp;DAY(H129)&amp;" "&amp;CHOOSE(MONTH(H129),"Jan","Feb","Mar","Apr","May","Jun","Jul","Aug","Sep","Oct","Nov","Dec")))</f>
        <v/>
      </c>
      <c r="K129" s="1" t="n"/>
    </row>
    <row r="130">
      <c r="A130" s="1" t="n"/>
      <c r="B130" s="21" t="n"/>
      <c r="C130" s="22" t="n"/>
      <c r="D130" s="22" t="n"/>
      <c r="E130" s="22" t="n"/>
      <c r="F130" s="22" t="n"/>
      <c r="G130" s="24" t="n"/>
      <c r="H130" s="24" t="n"/>
      <c r="I130" s="22" t="n"/>
      <c r="J130" s="26">
        <f>IF(OR(B130="",H130=""),"",IF(H130&lt;=TODAY(),"Get in touch","On "&amp;DAY(H130)&amp;" "&amp;CHOOSE(MONTH(H130),"Jan","Feb","Mar","Apr","May","Jun","Jul","Aug","Sep","Oct","Nov","Dec")))</f>
        <v/>
      </c>
      <c r="K130" s="1" t="n"/>
    </row>
    <row r="131">
      <c r="A131" s="1" t="n"/>
      <c r="B131" s="21" t="n"/>
      <c r="C131" s="22" t="n"/>
      <c r="D131" s="22" t="n"/>
      <c r="E131" s="22" t="n"/>
      <c r="F131" s="22" t="n"/>
      <c r="G131" s="24" t="n"/>
      <c r="H131" s="24" t="n"/>
      <c r="I131" s="22" t="n"/>
      <c r="J131" s="26">
        <f>IF(OR(B131="",H131=""),"",IF(H131&lt;=TODAY(),"Get in touch","On "&amp;DAY(H131)&amp;" "&amp;CHOOSE(MONTH(H131),"Jan","Feb","Mar","Apr","May","Jun","Jul","Aug","Sep","Oct","Nov","Dec")))</f>
        <v/>
      </c>
      <c r="K131" s="1" t="n"/>
    </row>
    <row r="132">
      <c r="A132" s="1" t="n"/>
      <c r="B132" s="21" t="n"/>
      <c r="C132" s="22" t="n"/>
      <c r="D132" s="22" t="n"/>
      <c r="E132" s="22" t="n"/>
      <c r="F132" s="22" t="n"/>
      <c r="G132" s="24" t="n"/>
      <c r="H132" s="24" t="n"/>
      <c r="I132" s="22" t="n"/>
      <c r="J132" s="26">
        <f>IF(OR(B132="",H132=""),"",IF(H132&lt;=TODAY(),"Get in touch","On "&amp;DAY(H132)&amp;" "&amp;CHOOSE(MONTH(H132),"Jan","Feb","Mar","Apr","May","Jun","Jul","Aug","Sep","Oct","Nov","Dec")))</f>
        <v/>
      </c>
      <c r="K132" s="1" t="n"/>
    </row>
    <row r="133">
      <c r="A133" s="1" t="n"/>
      <c r="B133" s="21" t="n"/>
      <c r="C133" s="22" t="n"/>
      <c r="D133" s="22" t="n"/>
      <c r="E133" s="22" t="n"/>
      <c r="F133" s="22" t="n"/>
      <c r="G133" s="24" t="n"/>
      <c r="H133" s="24" t="n"/>
      <c r="I133" s="22" t="n"/>
      <c r="J133" s="26">
        <f>IF(OR(B133="",H133=""),"",IF(H133&lt;=TODAY(),"Get in touch","On "&amp;DAY(H133)&amp;" "&amp;CHOOSE(MONTH(H133),"Jan","Feb","Mar","Apr","May","Jun","Jul","Aug","Sep","Oct","Nov","Dec")))</f>
        <v/>
      </c>
      <c r="K133" s="1" t="n"/>
    </row>
    <row r="134">
      <c r="A134" s="1" t="n"/>
      <c r="B134" s="21" t="n"/>
      <c r="C134" s="22" t="n"/>
      <c r="D134" s="22" t="n"/>
      <c r="E134" s="22" t="n"/>
      <c r="F134" s="22" t="n"/>
      <c r="G134" s="24" t="n"/>
      <c r="H134" s="24" t="n"/>
      <c r="I134" s="22" t="n"/>
      <c r="J134" s="26">
        <f>IF(OR(B134="",H134=""),"",IF(H134&lt;=TODAY(),"Get in touch","On "&amp;DAY(H134)&amp;" "&amp;CHOOSE(MONTH(H134),"Jan","Feb","Mar","Apr","May","Jun","Jul","Aug","Sep","Oct","Nov","Dec")))</f>
        <v/>
      </c>
      <c r="K134" s="1" t="n"/>
    </row>
    <row r="135">
      <c r="A135" s="1" t="n"/>
      <c r="B135" s="21" t="n"/>
      <c r="C135" s="22" t="n"/>
      <c r="D135" s="22" t="n"/>
      <c r="E135" s="22" t="n"/>
      <c r="F135" s="22" t="n"/>
      <c r="G135" s="24" t="n"/>
      <c r="H135" s="24" t="n"/>
      <c r="I135" s="22" t="n"/>
      <c r="J135" s="26">
        <f>IF(OR(B135="",H135=""),"",IF(H135&lt;=TODAY(),"Get in touch","On "&amp;DAY(H135)&amp;" "&amp;CHOOSE(MONTH(H135),"Jan","Feb","Mar","Apr","May","Jun","Jul","Aug","Sep","Oct","Nov","Dec")))</f>
        <v/>
      </c>
      <c r="K135" s="1" t="n"/>
    </row>
    <row r="136">
      <c r="A136" s="1" t="n"/>
      <c r="B136" s="21" t="n"/>
      <c r="C136" s="22" t="n"/>
      <c r="D136" s="22" t="n"/>
      <c r="E136" s="22" t="n"/>
      <c r="F136" s="22" t="n"/>
      <c r="G136" s="24" t="n"/>
      <c r="H136" s="24" t="n"/>
      <c r="I136" s="22" t="n"/>
      <c r="J136" s="26">
        <f>IF(OR(B136="",H136=""),"",IF(H136&lt;=TODAY(),"Get in touch","On "&amp;DAY(H136)&amp;" "&amp;CHOOSE(MONTH(H136),"Jan","Feb","Mar","Apr","May","Jun","Jul","Aug","Sep","Oct","Nov","Dec")))</f>
        <v/>
      </c>
      <c r="K136" s="1" t="n"/>
    </row>
    <row r="137">
      <c r="A137" s="1" t="n"/>
      <c r="B137" s="21" t="n"/>
      <c r="C137" s="22" t="n"/>
      <c r="D137" s="22" t="n"/>
      <c r="E137" s="22" t="n"/>
      <c r="F137" s="22" t="n"/>
      <c r="G137" s="24" t="n"/>
      <c r="H137" s="24" t="n"/>
      <c r="I137" s="22" t="n"/>
      <c r="J137" s="26">
        <f>IF(OR(B137="",H137=""),"",IF(H137&lt;=TODAY(),"Get in touch","On "&amp;DAY(H137)&amp;" "&amp;CHOOSE(MONTH(H137),"Jan","Feb","Mar","Apr","May","Jun","Jul","Aug","Sep","Oct","Nov","Dec")))</f>
        <v/>
      </c>
      <c r="K137" s="1" t="n"/>
    </row>
    <row r="138">
      <c r="A138" s="1" t="n"/>
      <c r="B138" s="21" t="n"/>
      <c r="C138" s="22" t="n"/>
      <c r="D138" s="22" t="n"/>
      <c r="E138" s="22" t="n"/>
      <c r="F138" s="22" t="n"/>
      <c r="G138" s="24" t="n"/>
      <c r="H138" s="24" t="n"/>
      <c r="I138" s="22" t="n"/>
      <c r="J138" s="26">
        <f>IF(OR(B138="",H138=""),"",IF(H138&lt;=TODAY(),"Get in touch","On "&amp;DAY(H138)&amp;" "&amp;CHOOSE(MONTH(H138),"Jan","Feb","Mar","Apr","May","Jun","Jul","Aug","Sep","Oct","Nov","Dec")))</f>
        <v/>
      </c>
      <c r="K138" s="1" t="n"/>
    </row>
    <row r="139">
      <c r="A139" s="1" t="n"/>
      <c r="B139" s="21" t="n"/>
      <c r="C139" s="22" t="n"/>
      <c r="D139" s="22" t="n"/>
      <c r="E139" s="22" t="n"/>
      <c r="F139" s="22" t="n"/>
      <c r="G139" s="24" t="n"/>
      <c r="H139" s="24" t="n"/>
      <c r="I139" s="22" t="n"/>
      <c r="J139" s="26">
        <f>IF(OR(B139="",H139=""),"",IF(H139&lt;=TODAY(),"Get in touch","On "&amp;DAY(H139)&amp;" "&amp;CHOOSE(MONTH(H139),"Jan","Feb","Mar","Apr","May","Jun","Jul","Aug","Sep","Oct","Nov","Dec")))</f>
        <v/>
      </c>
      <c r="K139" s="1" t="n"/>
    </row>
    <row r="140">
      <c r="A140" s="1" t="n"/>
      <c r="B140" s="21" t="n"/>
      <c r="C140" s="22" t="n"/>
      <c r="D140" s="22" t="n"/>
      <c r="E140" s="22" t="n"/>
      <c r="F140" s="22" t="n"/>
      <c r="G140" s="24" t="n"/>
      <c r="H140" s="24" t="n"/>
      <c r="I140" s="22" t="n"/>
      <c r="J140" s="26">
        <f>IF(OR(B140="",H140=""),"",IF(H140&lt;=TODAY(),"Get in touch","On "&amp;DAY(H140)&amp;" "&amp;CHOOSE(MONTH(H140),"Jan","Feb","Mar","Apr","May","Jun","Jul","Aug","Sep","Oct","Nov","Dec")))</f>
        <v/>
      </c>
      <c r="K140" s="1" t="n"/>
    </row>
    <row r="141">
      <c r="A141" s="1" t="n"/>
      <c r="B141" s="21" t="n"/>
      <c r="C141" s="22" t="n"/>
      <c r="D141" s="22" t="n"/>
      <c r="E141" s="22" t="n"/>
      <c r="F141" s="22" t="n"/>
      <c r="G141" s="24" t="n"/>
      <c r="H141" s="24" t="n"/>
      <c r="I141" s="22" t="n"/>
      <c r="J141" s="26">
        <f>IF(OR(B141="",H141=""),"",IF(H141&lt;=TODAY(),"Get in touch","On "&amp;DAY(H141)&amp;" "&amp;CHOOSE(MONTH(H141),"Jan","Feb","Mar","Apr","May","Jun","Jul","Aug","Sep","Oct","Nov","Dec")))</f>
        <v/>
      </c>
      <c r="K141" s="1" t="n"/>
    </row>
    <row r="142">
      <c r="A142" s="1" t="n"/>
      <c r="B142" s="21" t="n"/>
      <c r="C142" s="22" t="n"/>
      <c r="D142" s="22" t="n"/>
      <c r="E142" s="22" t="n"/>
      <c r="F142" s="22" t="n"/>
      <c r="G142" s="24" t="n"/>
      <c r="H142" s="24" t="n"/>
      <c r="I142" s="22" t="n"/>
      <c r="J142" s="26">
        <f>IF(OR(B142="",H142=""),"",IF(H142&lt;=TODAY(),"Get in touch","On "&amp;DAY(H142)&amp;" "&amp;CHOOSE(MONTH(H142),"Jan","Feb","Mar","Apr","May","Jun","Jul","Aug","Sep","Oct","Nov","Dec")))</f>
        <v/>
      </c>
      <c r="K142" s="1" t="n"/>
    </row>
    <row r="143">
      <c r="A143" s="1" t="n"/>
      <c r="B143" s="21" t="n"/>
      <c r="C143" s="22" t="n"/>
      <c r="D143" s="22" t="n"/>
      <c r="E143" s="22" t="n"/>
      <c r="F143" s="22" t="n"/>
      <c r="G143" s="24" t="n"/>
      <c r="H143" s="24" t="n"/>
      <c r="I143" s="22" t="n"/>
      <c r="J143" s="26">
        <f>IF(OR(B143="",H143=""),"",IF(H143&lt;=TODAY(),"Get in touch","On "&amp;DAY(H143)&amp;" "&amp;CHOOSE(MONTH(H143),"Jan","Feb","Mar","Apr","May","Jun","Jul","Aug","Sep","Oct","Nov","Dec")))</f>
        <v/>
      </c>
      <c r="K143" s="1" t="n"/>
    </row>
    <row r="144">
      <c r="A144" s="1" t="n"/>
      <c r="B144" s="21" t="n"/>
      <c r="C144" s="22" t="n"/>
      <c r="D144" s="22" t="n"/>
      <c r="E144" s="22" t="n"/>
      <c r="F144" s="22" t="n"/>
      <c r="G144" s="24" t="n"/>
      <c r="H144" s="24" t="n"/>
      <c r="I144" s="22" t="n"/>
      <c r="J144" s="26">
        <f>IF(OR(B144="",H144=""),"",IF(H144&lt;=TODAY(),"Get in touch","On "&amp;DAY(H144)&amp;" "&amp;CHOOSE(MONTH(H144),"Jan","Feb","Mar","Apr","May","Jun","Jul","Aug","Sep","Oct","Nov","Dec")))</f>
        <v/>
      </c>
      <c r="K144" s="1" t="n"/>
    </row>
    <row r="145">
      <c r="A145" s="1" t="n"/>
      <c r="B145" s="21" t="n"/>
      <c r="C145" s="22" t="n"/>
      <c r="D145" s="22" t="n"/>
      <c r="E145" s="22" t="n"/>
      <c r="F145" s="22" t="n"/>
      <c r="G145" s="24" t="n"/>
      <c r="H145" s="24" t="n"/>
      <c r="I145" s="22" t="n"/>
      <c r="J145" s="26">
        <f>IF(OR(B145="",H145=""),"",IF(H145&lt;=TODAY(),"Get in touch","On "&amp;DAY(H145)&amp;" "&amp;CHOOSE(MONTH(H145),"Jan","Feb","Mar","Apr","May","Jun","Jul","Aug","Sep","Oct","Nov","Dec")))</f>
        <v/>
      </c>
      <c r="K145" s="1" t="n"/>
    </row>
    <row r="146">
      <c r="A146" s="1" t="n"/>
      <c r="B146" s="21" t="n"/>
      <c r="C146" s="22" t="n"/>
      <c r="D146" s="22" t="n"/>
      <c r="E146" s="22" t="n"/>
      <c r="F146" s="22" t="n"/>
      <c r="G146" s="24" t="n"/>
      <c r="H146" s="24" t="n"/>
      <c r="I146" s="22" t="n"/>
      <c r="J146" s="26">
        <f>IF(OR(B146="",H146=""),"",IF(H146&lt;=TODAY(),"Get in touch","On "&amp;DAY(H146)&amp;" "&amp;CHOOSE(MONTH(H146),"Jan","Feb","Mar","Apr","May","Jun","Jul","Aug","Sep","Oct","Nov","Dec")))</f>
        <v/>
      </c>
      <c r="K146" s="1" t="n"/>
    </row>
    <row r="147">
      <c r="A147" s="1" t="n"/>
      <c r="B147" s="21" t="n"/>
      <c r="C147" s="22" t="n"/>
      <c r="D147" s="22" t="n"/>
      <c r="E147" s="22" t="n"/>
      <c r="F147" s="22" t="n"/>
      <c r="G147" s="24" t="n"/>
      <c r="H147" s="24" t="n"/>
      <c r="I147" s="22" t="n"/>
      <c r="J147" s="26">
        <f>IF(OR(B147="",H147=""),"",IF(H147&lt;=TODAY(),"Get in touch","On "&amp;DAY(H147)&amp;" "&amp;CHOOSE(MONTH(H147),"Jan","Feb","Mar","Apr","May","Jun","Jul","Aug","Sep","Oct","Nov","Dec")))</f>
        <v/>
      </c>
      <c r="K147" s="1" t="n"/>
    </row>
    <row r="148">
      <c r="A148" s="1" t="n"/>
      <c r="B148" s="21" t="n"/>
      <c r="C148" s="22" t="n"/>
      <c r="D148" s="22" t="n"/>
      <c r="E148" s="22" t="n"/>
      <c r="F148" s="22" t="n"/>
      <c r="G148" s="24" t="n"/>
      <c r="H148" s="24" t="n"/>
      <c r="I148" s="22" t="n"/>
      <c r="J148" s="26">
        <f>IF(OR(B148="",H148=""),"",IF(H148&lt;=TODAY(),"Get in touch","On "&amp;DAY(H148)&amp;" "&amp;CHOOSE(MONTH(H148),"Jan","Feb","Mar","Apr","May","Jun","Jul","Aug","Sep","Oct","Nov","Dec")))</f>
        <v/>
      </c>
      <c r="K148" s="1" t="n"/>
    </row>
    <row r="149">
      <c r="A149" s="1" t="n"/>
      <c r="B149" s="21" t="n"/>
      <c r="C149" s="22" t="n"/>
      <c r="D149" s="22" t="n"/>
      <c r="E149" s="22" t="n"/>
      <c r="F149" s="22" t="n"/>
      <c r="G149" s="24" t="n"/>
      <c r="H149" s="24" t="n"/>
      <c r="I149" s="22" t="n"/>
      <c r="J149" s="26">
        <f>IF(OR(B149="",H149=""),"",IF(H149&lt;=TODAY(),"Get in touch","On "&amp;DAY(H149)&amp;" "&amp;CHOOSE(MONTH(H149),"Jan","Feb","Mar","Apr","May","Jun","Jul","Aug","Sep","Oct","Nov","Dec")))</f>
        <v/>
      </c>
      <c r="K149" s="1" t="n"/>
    </row>
    <row r="150">
      <c r="A150" s="1" t="n"/>
      <c r="B150" s="21" t="n"/>
      <c r="C150" s="22" t="n"/>
      <c r="D150" s="22" t="n"/>
      <c r="E150" s="22" t="n"/>
      <c r="F150" s="22" t="n"/>
      <c r="G150" s="24" t="n"/>
      <c r="H150" s="24" t="n"/>
      <c r="I150" s="22" t="n"/>
      <c r="J150" s="26">
        <f>IF(OR(B150="",H150=""),"",IF(H150&lt;=TODAY(),"Get in touch","On "&amp;DAY(H150)&amp;" "&amp;CHOOSE(MONTH(H150),"Jan","Feb","Mar","Apr","May","Jun","Jul","Aug","Sep","Oct","Nov","Dec")))</f>
        <v/>
      </c>
      <c r="K150" s="1" t="n"/>
    </row>
    <row r="151">
      <c r="A151" s="1" t="n"/>
      <c r="B151" s="21" t="n"/>
      <c r="C151" s="22" t="n"/>
      <c r="D151" s="22" t="n"/>
      <c r="E151" s="22" t="n"/>
      <c r="F151" s="22" t="n"/>
      <c r="G151" s="24" t="n"/>
      <c r="H151" s="24" t="n"/>
      <c r="I151" s="22" t="n"/>
      <c r="J151" s="26">
        <f>IF(OR(B151="",H151=""),"",IF(H151&lt;=TODAY(),"Get in touch","On "&amp;DAY(H151)&amp;" "&amp;CHOOSE(MONTH(H151),"Jan","Feb","Mar","Apr","May","Jun","Jul","Aug","Sep","Oct","Nov","Dec")))</f>
        <v/>
      </c>
      <c r="K151" s="1" t="n"/>
    </row>
    <row r="152">
      <c r="A152" s="1" t="n"/>
      <c r="B152" s="21" t="n"/>
      <c r="C152" s="22" t="n"/>
      <c r="D152" s="22" t="n"/>
      <c r="E152" s="22" t="n"/>
      <c r="F152" s="22" t="n"/>
      <c r="G152" s="24" t="n"/>
      <c r="H152" s="24" t="n"/>
      <c r="I152" s="22" t="n"/>
      <c r="J152" s="26">
        <f>IF(OR(B152="",H152=""),"",IF(H152&lt;=TODAY(),"Get in touch","On "&amp;DAY(H152)&amp;" "&amp;CHOOSE(MONTH(H152),"Jan","Feb","Mar","Apr","May","Jun","Jul","Aug","Sep","Oct","Nov","Dec")))</f>
        <v/>
      </c>
      <c r="K152" s="1" t="n"/>
    </row>
    <row r="153">
      <c r="A153" s="1" t="n"/>
      <c r="B153" s="21" t="n"/>
      <c r="C153" s="22" t="n"/>
      <c r="D153" s="22" t="n"/>
      <c r="E153" s="22" t="n"/>
      <c r="F153" s="22" t="n"/>
      <c r="G153" s="24" t="n"/>
      <c r="H153" s="24" t="n"/>
      <c r="I153" s="22" t="n"/>
      <c r="J153" s="26">
        <f>IF(OR(B153="",H153=""),"",IF(H153&lt;=TODAY(),"Get in touch","On "&amp;DAY(H153)&amp;" "&amp;CHOOSE(MONTH(H153),"Jan","Feb","Mar","Apr","May","Jun","Jul","Aug","Sep","Oct","Nov","Dec")))</f>
        <v/>
      </c>
      <c r="K153" s="1" t="n"/>
    </row>
    <row r="154">
      <c r="A154" s="1" t="n"/>
      <c r="B154" s="21" t="n"/>
      <c r="C154" s="22" t="n"/>
      <c r="D154" s="22" t="n"/>
      <c r="E154" s="22" t="n"/>
      <c r="F154" s="22" t="n"/>
      <c r="G154" s="24" t="n"/>
      <c r="H154" s="24" t="n"/>
      <c r="I154" s="22" t="n"/>
      <c r="J154" s="26">
        <f>IF(OR(B154="",H154=""),"",IF(H154&lt;=TODAY(),"Get in touch","On "&amp;DAY(H154)&amp;" "&amp;CHOOSE(MONTH(H154),"Jan","Feb","Mar","Apr","May","Jun","Jul","Aug","Sep","Oct","Nov","Dec")))</f>
        <v/>
      </c>
      <c r="K154" s="1" t="n"/>
    </row>
    <row r="155">
      <c r="A155" s="1" t="n"/>
      <c r="B155" s="21" t="n"/>
      <c r="C155" s="22" t="n"/>
      <c r="D155" s="22" t="n"/>
      <c r="E155" s="22" t="n"/>
      <c r="F155" s="22" t="n"/>
      <c r="G155" s="24" t="n"/>
      <c r="H155" s="24" t="n"/>
      <c r="I155" s="22" t="n"/>
      <c r="J155" s="26">
        <f>IF(OR(B155="",H155=""),"",IF(H155&lt;=TODAY(),"Get in touch","On "&amp;DAY(H155)&amp;" "&amp;CHOOSE(MONTH(H155),"Jan","Feb","Mar","Apr","May","Jun","Jul","Aug","Sep","Oct","Nov","Dec")))</f>
        <v/>
      </c>
      <c r="K155" s="1" t="n"/>
    </row>
    <row r="156">
      <c r="A156" s="1" t="n"/>
      <c r="B156" s="21" t="n"/>
      <c r="C156" s="22" t="n"/>
      <c r="D156" s="22" t="n"/>
      <c r="E156" s="22" t="n"/>
      <c r="F156" s="22" t="n"/>
      <c r="G156" s="24" t="n"/>
      <c r="H156" s="24" t="n"/>
      <c r="I156" s="22" t="n"/>
      <c r="J156" s="26">
        <f>IF(OR(B156="",H156=""),"",IF(H156&lt;=TODAY(),"Get in touch","On "&amp;DAY(H156)&amp;" "&amp;CHOOSE(MONTH(H156),"Jan","Feb","Mar","Apr","May","Jun","Jul","Aug","Sep","Oct","Nov","Dec")))</f>
        <v/>
      </c>
      <c r="K156" s="1" t="n"/>
    </row>
    <row r="157">
      <c r="A157" s="1" t="n"/>
      <c r="B157" s="21" t="n"/>
      <c r="C157" s="22" t="n"/>
      <c r="D157" s="22" t="n"/>
      <c r="E157" s="22" t="n"/>
      <c r="F157" s="22" t="n"/>
      <c r="G157" s="24" t="n"/>
      <c r="H157" s="24" t="n"/>
      <c r="I157" s="22" t="n"/>
      <c r="J157" s="26">
        <f>IF(OR(B157="",H157=""),"",IF(H157&lt;=TODAY(),"Get in touch","On "&amp;DAY(H157)&amp;" "&amp;CHOOSE(MONTH(H157),"Jan","Feb","Mar","Apr","May","Jun","Jul","Aug","Sep","Oct","Nov","Dec")))</f>
        <v/>
      </c>
      <c r="K157" s="1" t="n"/>
    </row>
    <row r="158">
      <c r="A158" s="1" t="n"/>
      <c r="B158" s="21" t="n"/>
      <c r="C158" s="22" t="n"/>
      <c r="D158" s="22" t="n"/>
      <c r="E158" s="22" t="n"/>
      <c r="F158" s="22" t="n"/>
      <c r="G158" s="24" t="n"/>
      <c r="H158" s="24" t="n"/>
      <c r="I158" s="22" t="n"/>
      <c r="J158" s="26">
        <f>IF(OR(B158="",H158=""),"",IF(H158&lt;=TODAY(),"Get in touch","On "&amp;DAY(H158)&amp;" "&amp;CHOOSE(MONTH(H158),"Jan","Feb","Mar","Apr","May","Jun","Jul","Aug","Sep","Oct","Nov","Dec")))</f>
        <v/>
      </c>
      <c r="K158" s="1" t="n"/>
    </row>
    <row r="159">
      <c r="A159" s="1" t="n"/>
      <c r="B159" s="21" t="n"/>
      <c r="C159" s="22" t="n"/>
      <c r="D159" s="22" t="n"/>
      <c r="E159" s="22" t="n"/>
      <c r="F159" s="22" t="n"/>
      <c r="G159" s="24" t="n"/>
      <c r="H159" s="24" t="n"/>
      <c r="I159" s="22" t="n"/>
      <c r="J159" s="26">
        <f>IF(OR(B159="",H159=""),"",IF(H159&lt;=TODAY(),"Get in touch","On "&amp;DAY(H159)&amp;" "&amp;CHOOSE(MONTH(H159),"Jan","Feb","Mar","Apr","May","Jun","Jul","Aug","Sep","Oct","Nov","Dec")))</f>
        <v/>
      </c>
      <c r="K159" s="1" t="n"/>
    </row>
    <row r="160">
      <c r="A160" s="1" t="n"/>
      <c r="B160" s="21" t="n"/>
      <c r="C160" s="22" t="n"/>
      <c r="D160" s="22" t="n"/>
      <c r="E160" s="22" t="n"/>
      <c r="F160" s="22" t="n"/>
      <c r="G160" s="24" t="n"/>
      <c r="H160" s="24" t="n"/>
      <c r="I160" s="22" t="n"/>
      <c r="J160" s="26">
        <f>IF(OR(B160="",H160=""),"",IF(H160&lt;=TODAY(),"Get in touch","On "&amp;DAY(H160)&amp;" "&amp;CHOOSE(MONTH(H160),"Jan","Feb","Mar","Apr","May","Jun","Jul","Aug","Sep","Oct","Nov","Dec")))</f>
        <v/>
      </c>
      <c r="K160" s="1" t="n"/>
    </row>
    <row r="161">
      <c r="A161" s="1" t="n"/>
      <c r="B161" s="21" t="n"/>
      <c r="C161" s="22" t="n"/>
      <c r="D161" s="22" t="n"/>
      <c r="E161" s="22" t="n"/>
      <c r="F161" s="22" t="n"/>
      <c r="G161" s="24" t="n"/>
      <c r="H161" s="24" t="n"/>
      <c r="I161" s="22" t="n"/>
      <c r="J161" s="26">
        <f>IF(OR(B161="",H161=""),"",IF(H161&lt;=TODAY(),"Get in touch","On "&amp;DAY(H161)&amp;" "&amp;CHOOSE(MONTH(H161),"Jan","Feb","Mar","Apr","May","Jun","Jul","Aug","Sep","Oct","Nov","Dec")))</f>
        <v/>
      </c>
      <c r="K161" s="1" t="n"/>
    </row>
    <row r="162">
      <c r="A162" s="1" t="n"/>
      <c r="B162" s="21" t="n"/>
      <c r="C162" s="22" t="n"/>
      <c r="D162" s="22" t="n"/>
      <c r="E162" s="22" t="n"/>
      <c r="F162" s="22" t="n"/>
      <c r="G162" s="24" t="n"/>
      <c r="H162" s="24" t="n"/>
      <c r="I162" s="22" t="n"/>
      <c r="J162" s="26">
        <f>IF(OR(B162="",H162=""),"",IF(H162&lt;=TODAY(),"Get in touch","On "&amp;DAY(H162)&amp;" "&amp;CHOOSE(MONTH(H162),"Jan","Feb","Mar","Apr","May","Jun","Jul","Aug","Sep","Oct","Nov","Dec")))</f>
        <v/>
      </c>
      <c r="K162" s="1" t="n"/>
    </row>
    <row r="163">
      <c r="A163" s="1" t="n"/>
      <c r="B163" s="21" t="n"/>
      <c r="C163" s="22" t="n"/>
      <c r="D163" s="22" t="n"/>
      <c r="E163" s="22" t="n"/>
      <c r="F163" s="22" t="n"/>
      <c r="G163" s="24" t="n"/>
      <c r="H163" s="24" t="n"/>
      <c r="I163" s="22" t="n"/>
      <c r="J163" s="26">
        <f>IF(OR(B163="",H163=""),"",IF(H163&lt;=TODAY(),"Get in touch","On "&amp;DAY(H163)&amp;" "&amp;CHOOSE(MONTH(H163),"Jan","Feb","Mar","Apr","May","Jun","Jul","Aug","Sep","Oct","Nov","Dec")))</f>
        <v/>
      </c>
      <c r="K163" s="1" t="n"/>
    </row>
    <row r="164">
      <c r="A164" s="1" t="n"/>
      <c r="B164" s="21" t="n"/>
      <c r="C164" s="22" t="n"/>
      <c r="D164" s="22" t="n"/>
      <c r="E164" s="22" t="n"/>
      <c r="F164" s="22" t="n"/>
      <c r="G164" s="24" t="n"/>
      <c r="H164" s="24" t="n"/>
      <c r="I164" s="22" t="n"/>
      <c r="J164" s="26">
        <f>IF(OR(B164="",H164=""),"",IF(H164&lt;=TODAY(),"Get in touch","On "&amp;DAY(H164)&amp;" "&amp;CHOOSE(MONTH(H164),"Jan","Feb","Mar","Apr","May","Jun","Jul","Aug","Sep","Oct","Nov","Dec")))</f>
        <v/>
      </c>
      <c r="K164" s="1" t="n"/>
    </row>
    <row r="165">
      <c r="A165" s="1" t="n"/>
      <c r="B165" s="21" t="n"/>
      <c r="C165" s="22" t="n"/>
      <c r="D165" s="22" t="n"/>
      <c r="E165" s="22" t="n"/>
      <c r="F165" s="22" t="n"/>
      <c r="G165" s="24" t="n"/>
      <c r="H165" s="24" t="n"/>
      <c r="I165" s="22" t="n"/>
      <c r="J165" s="26">
        <f>IF(OR(B165="",H165=""),"",IF(H165&lt;=TODAY(),"Get in touch","On "&amp;DAY(H165)&amp;" "&amp;CHOOSE(MONTH(H165),"Jan","Feb","Mar","Apr","May","Jun","Jul","Aug","Sep","Oct","Nov","Dec")))</f>
        <v/>
      </c>
      <c r="K165" s="1" t="n"/>
    </row>
    <row r="166">
      <c r="A166" s="1" t="n"/>
      <c r="B166" s="21" t="n"/>
      <c r="C166" s="22" t="n"/>
      <c r="D166" s="22" t="n"/>
      <c r="E166" s="22" t="n"/>
      <c r="F166" s="22" t="n"/>
      <c r="G166" s="24" t="n"/>
      <c r="H166" s="24" t="n"/>
      <c r="I166" s="22" t="n"/>
      <c r="J166" s="26">
        <f>IF(OR(B166="",H166=""),"",IF(H166&lt;=TODAY(),"Get in touch","On "&amp;DAY(H166)&amp;" "&amp;CHOOSE(MONTH(H166),"Jan","Feb","Mar","Apr","May","Jun","Jul","Aug","Sep","Oct","Nov","Dec")))</f>
        <v/>
      </c>
      <c r="K166" s="1" t="n"/>
    </row>
    <row r="167">
      <c r="A167" s="1" t="n"/>
      <c r="B167" s="21" t="n"/>
      <c r="C167" s="22" t="n"/>
      <c r="D167" s="22" t="n"/>
      <c r="E167" s="22" t="n"/>
      <c r="F167" s="22" t="n"/>
      <c r="G167" s="24" t="n"/>
      <c r="H167" s="24" t="n"/>
      <c r="I167" s="22" t="n"/>
      <c r="J167" s="26">
        <f>IF(OR(B167="",H167=""),"",IF(H167&lt;=TODAY(),"Get in touch","On "&amp;DAY(H167)&amp;" "&amp;CHOOSE(MONTH(H167),"Jan","Feb","Mar","Apr","May","Jun","Jul","Aug","Sep","Oct","Nov","Dec")))</f>
        <v/>
      </c>
      <c r="K167" s="1" t="n"/>
    </row>
    <row r="168">
      <c r="A168" s="1" t="n"/>
      <c r="B168" s="21" t="n"/>
      <c r="C168" s="22" t="n"/>
      <c r="D168" s="22" t="n"/>
      <c r="E168" s="22" t="n"/>
      <c r="F168" s="22" t="n"/>
      <c r="G168" s="24" t="n"/>
      <c r="H168" s="24" t="n"/>
      <c r="I168" s="22" t="n"/>
      <c r="J168" s="26">
        <f>IF(OR(B168="",H168=""),"",IF(H168&lt;=TODAY(),"Get in touch","On "&amp;DAY(H168)&amp;" "&amp;CHOOSE(MONTH(H168),"Jan","Feb","Mar","Apr","May","Jun","Jul","Aug","Sep","Oct","Nov","Dec")))</f>
        <v/>
      </c>
      <c r="K168" s="1" t="n"/>
    </row>
    <row r="169">
      <c r="A169" s="1" t="n"/>
      <c r="B169" s="21" t="n"/>
      <c r="C169" s="22" t="n"/>
      <c r="D169" s="22" t="n"/>
      <c r="E169" s="22" t="n"/>
      <c r="F169" s="22" t="n"/>
      <c r="G169" s="24" t="n"/>
      <c r="H169" s="24" t="n"/>
      <c r="I169" s="22" t="n"/>
      <c r="J169" s="26">
        <f>IF(OR(B169="",H169=""),"",IF(H169&lt;=TODAY(),"Get in touch","On "&amp;DAY(H169)&amp;" "&amp;CHOOSE(MONTH(H169),"Jan","Feb","Mar","Apr","May","Jun","Jul","Aug","Sep","Oct","Nov","Dec")))</f>
        <v/>
      </c>
      <c r="K169" s="1" t="n"/>
    </row>
    <row r="170">
      <c r="A170" s="1" t="n"/>
      <c r="B170" s="21" t="n"/>
      <c r="C170" s="22" t="n"/>
      <c r="D170" s="22" t="n"/>
      <c r="E170" s="22" t="n"/>
      <c r="F170" s="22" t="n"/>
      <c r="G170" s="24" t="n"/>
      <c r="H170" s="24" t="n"/>
      <c r="I170" s="22" t="n"/>
      <c r="J170" s="26">
        <f>IF(OR(B170="",H170=""),"",IF(H170&lt;=TODAY(),"Get in touch","On "&amp;DAY(H170)&amp;" "&amp;CHOOSE(MONTH(H170),"Jan","Feb","Mar","Apr","May","Jun","Jul","Aug","Sep","Oct","Nov","Dec")))</f>
        <v/>
      </c>
      <c r="K170" s="1" t="n"/>
    </row>
    <row r="171">
      <c r="A171" s="1" t="n"/>
      <c r="B171" s="21" t="n"/>
      <c r="C171" s="22" t="n"/>
      <c r="D171" s="22" t="n"/>
      <c r="E171" s="22" t="n"/>
      <c r="F171" s="22" t="n"/>
      <c r="G171" s="24" t="n"/>
      <c r="H171" s="24" t="n"/>
      <c r="I171" s="22" t="n"/>
      <c r="J171" s="26">
        <f>IF(OR(B171="",H171=""),"",IF(H171&lt;=TODAY(),"Get in touch","On "&amp;DAY(H171)&amp;" "&amp;CHOOSE(MONTH(H171),"Jan","Feb","Mar","Apr","May","Jun","Jul","Aug","Sep","Oct","Nov","Dec")))</f>
        <v/>
      </c>
      <c r="K171" s="1" t="n"/>
    </row>
    <row r="172">
      <c r="A172" s="1" t="n"/>
      <c r="B172" s="21" t="n"/>
      <c r="C172" s="22" t="n"/>
      <c r="D172" s="22" t="n"/>
      <c r="E172" s="22" t="n"/>
      <c r="F172" s="22" t="n"/>
      <c r="G172" s="24" t="n"/>
      <c r="H172" s="24" t="n"/>
      <c r="I172" s="22" t="n"/>
      <c r="J172" s="26">
        <f>IF(OR(B172="",H172=""),"",IF(H172&lt;=TODAY(),"Get in touch","On "&amp;DAY(H172)&amp;" "&amp;CHOOSE(MONTH(H172),"Jan","Feb","Mar","Apr","May","Jun","Jul","Aug","Sep","Oct","Nov","Dec")))</f>
        <v/>
      </c>
      <c r="K172" s="1" t="n"/>
    </row>
    <row r="173">
      <c r="A173" s="1" t="n"/>
      <c r="B173" s="21" t="n"/>
      <c r="C173" s="22" t="n"/>
      <c r="D173" s="22" t="n"/>
      <c r="E173" s="22" t="n"/>
      <c r="F173" s="22" t="n"/>
      <c r="G173" s="24" t="n"/>
      <c r="H173" s="24" t="n"/>
      <c r="I173" s="22" t="n"/>
      <c r="J173" s="26">
        <f>IF(OR(B173="",H173=""),"",IF(H173&lt;=TODAY(),"Get in touch","On "&amp;DAY(H173)&amp;" "&amp;CHOOSE(MONTH(H173),"Jan","Feb","Mar","Apr","May","Jun","Jul","Aug","Sep","Oct","Nov","Dec")))</f>
        <v/>
      </c>
      <c r="K173" s="1" t="n"/>
    </row>
    <row r="174">
      <c r="A174" s="1" t="n"/>
      <c r="B174" s="21" t="n"/>
      <c r="C174" s="22" t="n"/>
      <c r="D174" s="22" t="n"/>
      <c r="E174" s="22" t="n"/>
      <c r="F174" s="22" t="n"/>
      <c r="G174" s="24" t="n"/>
      <c r="H174" s="24" t="n"/>
      <c r="I174" s="22" t="n"/>
      <c r="J174" s="26">
        <f>IF(OR(B174="",H174=""),"",IF(H174&lt;=TODAY(),"Get in touch","On "&amp;DAY(H174)&amp;" "&amp;CHOOSE(MONTH(H174),"Jan","Feb","Mar","Apr","May","Jun","Jul","Aug","Sep","Oct","Nov","Dec")))</f>
        <v/>
      </c>
      <c r="K174" s="1" t="n"/>
    </row>
    <row r="175">
      <c r="A175" s="1" t="n"/>
      <c r="B175" s="21" t="n"/>
      <c r="C175" s="22" t="n"/>
      <c r="D175" s="22" t="n"/>
      <c r="E175" s="22" t="n"/>
      <c r="F175" s="22" t="n"/>
      <c r="G175" s="24" t="n"/>
      <c r="H175" s="24" t="n"/>
      <c r="I175" s="22" t="n"/>
      <c r="J175" s="26">
        <f>IF(OR(B175="",H175=""),"",IF(H175&lt;=TODAY(),"Get in touch","On "&amp;DAY(H175)&amp;" "&amp;CHOOSE(MONTH(H175),"Jan","Feb","Mar","Apr","May","Jun","Jul","Aug","Sep","Oct","Nov","Dec")))</f>
        <v/>
      </c>
      <c r="K175" s="1" t="n"/>
    </row>
    <row r="176">
      <c r="A176" s="1" t="n"/>
      <c r="B176" s="21" t="n"/>
      <c r="C176" s="22" t="n"/>
      <c r="D176" s="22" t="n"/>
      <c r="E176" s="22" t="n"/>
      <c r="F176" s="22" t="n"/>
      <c r="G176" s="24" t="n"/>
      <c r="H176" s="24" t="n"/>
      <c r="I176" s="22" t="n"/>
      <c r="J176" s="26">
        <f>IF(OR(B176="",H176=""),"",IF(H176&lt;=TODAY(),"Get in touch","On "&amp;DAY(H176)&amp;" "&amp;CHOOSE(MONTH(H176),"Jan","Feb","Mar","Apr","May","Jun","Jul","Aug","Sep","Oct","Nov","Dec")))</f>
        <v/>
      </c>
      <c r="K176" s="1" t="n"/>
    </row>
    <row r="177">
      <c r="A177" s="1" t="n"/>
      <c r="B177" s="21" t="n"/>
      <c r="C177" s="22" t="n"/>
      <c r="D177" s="22" t="n"/>
      <c r="E177" s="22" t="n"/>
      <c r="F177" s="22" t="n"/>
      <c r="G177" s="24" t="n"/>
      <c r="H177" s="24" t="n"/>
      <c r="I177" s="22" t="n"/>
      <c r="J177" s="26">
        <f>IF(OR(B177="",H177=""),"",IF(H177&lt;=TODAY(),"Get in touch","On "&amp;DAY(H177)&amp;" "&amp;CHOOSE(MONTH(H177),"Jan","Feb","Mar","Apr","May","Jun","Jul","Aug","Sep","Oct","Nov","Dec")))</f>
        <v/>
      </c>
      <c r="K177" s="1" t="n"/>
    </row>
    <row r="178">
      <c r="A178" s="1" t="n"/>
      <c r="B178" s="21" t="n"/>
      <c r="C178" s="22" t="n"/>
      <c r="D178" s="22" t="n"/>
      <c r="E178" s="22" t="n"/>
      <c r="F178" s="22" t="n"/>
      <c r="G178" s="24" t="n"/>
      <c r="H178" s="24" t="n"/>
      <c r="I178" s="22" t="n"/>
      <c r="J178" s="26">
        <f>IF(OR(B178="",H178=""),"",IF(H178&lt;=TODAY(),"Get in touch","On "&amp;DAY(H178)&amp;" "&amp;CHOOSE(MONTH(H178),"Jan","Feb","Mar","Apr","May","Jun","Jul","Aug","Sep","Oct","Nov","Dec")))</f>
        <v/>
      </c>
      <c r="K178" s="1" t="n"/>
    </row>
    <row r="179">
      <c r="A179" s="1" t="n"/>
      <c r="B179" s="21" t="n"/>
      <c r="C179" s="22" t="n"/>
      <c r="D179" s="22" t="n"/>
      <c r="E179" s="22" t="n"/>
      <c r="F179" s="22" t="n"/>
      <c r="G179" s="24" t="n"/>
      <c r="H179" s="24" t="n"/>
      <c r="I179" s="22" t="n"/>
      <c r="J179" s="26">
        <f>IF(OR(B179="",H179=""),"",IF(H179&lt;=TODAY(),"Get in touch","On "&amp;DAY(H179)&amp;" "&amp;CHOOSE(MONTH(H179),"Jan","Feb","Mar","Apr","May","Jun","Jul","Aug","Sep","Oct","Nov","Dec")))</f>
        <v/>
      </c>
      <c r="K179" s="1" t="n"/>
    </row>
    <row r="180">
      <c r="A180" s="1" t="n"/>
      <c r="B180" s="21" t="n"/>
      <c r="C180" s="22" t="n"/>
      <c r="D180" s="22" t="n"/>
      <c r="E180" s="22" t="n"/>
      <c r="F180" s="22" t="n"/>
      <c r="G180" s="24" t="n"/>
      <c r="H180" s="24" t="n"/>
      <c r="I180" s="22" t="n"/>
      <c r="J180" s="26">
        <f>IF(OR(B180="",H180=""),"",IF(H180&lt;=TODAY(),"Get in touch","On "&amp;DAY(H180)&amp;" "&amp;CHOOSE(MONTH(H180),"Jan","Feb","Mar","Apr","May","Jun","Jul","Aug","Sep","Oct","Nov","Dec")))</f>
        <v/>
      </c>
      <c r="K180" s="1" t="n"/>
    </row>
    <row r="181">
      <c r="A181" s="1" t="n"/>
      <c r="B181" s="21" t="n"/>
      <c r="C181" s="22" t="n"/>
      <c r="D181" s="22" t="n"/>
      <c r="E181" s="22" t="n"/>
      <c r="F181" s="22" t="n"/>
      <c r="G181" s="24" t="n"/>
      <c r="H181" s="24" t="n"/>
      <c r="I181" s="22" t="n"/>
      <c r="J181" s="26">
        <f>IF(OR(B181="",H181=""),"",IF(H181&lt;=TODAY(),"Get in touch","On "&amp;DAY(H181)&amp;" "&amp;CHOOSE(MONTH(H181),"Jan","Feb","Mar","Apr","May","Jun","Jul","Aug","Sep","Oct","Nov","Dec")))</f>
        <v/>
      </c>
      <c r="K181" s="1" t="n"/>
    </row>
    <row r="182">
      <c r="A182" s="1" t="n"/>
      <c r="B182" s="21" t="n"/>
      <c r="C182" s="22" t="n"/>
      <c r="D182" s="22" t="n"/>
      <c r="E182" s="22" t="n"/>
      <c r="F182" s="22" t="n"/>
      <c r="G182" s="24" t="n"/>
      <c r="H182" s="24" t="n"/>
      <c r="I182" s="22" t="n"/>
      <c r="J182" s="26">
        <f>IF(OR(B182="",H182=""),"",IF(H182&lt;=TODAY(),"Get in touch","On "&amp;DAY(H182)&amp;" "&amp;CHOOSE(MONTH(H182),"Jan","Feb","Mar","Apr","May","Jun","Jul","Aug","Sep","Oct","Nov","Dec")))</f>
        <v/>
      </c>
      <c r="K182" s="1" t="n"/>
    </row>
    <row r="183">
      <c r="A183" s="1" t="n"/>
      <c r="B183" s="21" t="n"/>
      <c r="C183" s="22" t="n"/>
      <c r="D183" s="22" t="n"/>
      <c r="E183" s="22" t="n"/>
      <c r="F183" s="22" t="n"/>
      <c r="G183" s="24" t="n"/>
      <c r="H183" s="24" t="n"/>
      <c r="I183" s="22" t="n"/>
      <c r="J183" s="26">
        <f>IF(OR(B183="",H183=""),"",IF(H183&lt;=TODAY(),"Get in touch","On "&amp;DAY(H183)&amp;" "&amp;CHOOSE(MONTH(H183),"Jan","Feb","Mar","Apr","May","Jun","Jul","Aug","Sep","Oct","Nov","Dec")))</f>
        <v/>
      </c>
      <c r="K183" s="1" t="n"/>
    </row>
    <row r="184">
      <c r="A184" s="1" t="n"/>
      <c r="B184" s="21" t="n"/>
      <c r="C184" s="22" t="n"/>
      <c r="D184" s="22" t="n"/>
      <c r="E184" s="22" t="n"/>
      <c r="F184" s="22" t="n"/>
      <c r="G184" s="24" t="n"/>
      <c r="H184" s="24" t="n"/>
      <c r="I184" s="22" t="n"/>
      <c r="J184" s="26">
        <f>IF(OR(B184="",H184=""),"",IF(H184&lt;=TODAY(),"Get in touch","On "&amp;DAY(H184)&amp;" "&amp;CHOOSE(MONTH(H184),"Jan","Feb","Mar","Apr","May","Jun","Jul","Aug","Sep","Oct","Nov","Dec")))</f>
        <v/>
      </c>
      <c r="K184" s="1" t="n"/>
    </row>
    <row r="185">
      <c r="A185" s="1" t="n"/>
      <c r="B185" s="21" t="n"/>
      <c r="C185" s="22" t="n"/>
      <c r="D185" s="22" t="n"/>
      <c r="E185" s="22" t="n"/>
      <c r="F185" s="22" t="n"/>
      <c r="G185" s="24" t="n"/>
      <c r="H185" s="24" t="n"/>
      <c r="I185" s="22" t="n"/>
      <c r="J185" s="26">
        <f>IF(OR(B185="",H185=""),"",IF(H185&lt;=TODAY(),"Get in touch","On "&amp;DAY(H185)&amp;" "&amp;CHOOSE(MONTH(H185),"Jan","Feb","Mar","Apr","May","Jun","Jul","Aug","Sep","Oct","Nov","Dec")))</f>
        <v/>
      </c>
      <c r="K185" s="1" t="n"/>
    </row>
    <row r="186">
      <c r="A186" s="1" t="n"/>
      <c r="B186" s="21" t="n"/>
      <c r="C186" s="22" t="n"/>
      <c r="D186" s="22" t="n"/>
      <c r="E186" s="22" t="n"/>
      <c r="F186" s="22" t="n"/>
      <c r="G186" s="24" t="n"/>
      <c r="H186" s="24" t="n"/>
      <c r="I186" s="22" t="n"/>
      <c r="J186" s="26">
        <f>IF(OR(B186="",H186=""),"",IF(H186&lt;=TODAY(),"Get in touch","On "&amp;DAY(H186)&amp;" "&amp;CHOOSE(MONTH(H186),"Jan","Feb","Mar","Apr","May","Jun","Jul","Aug","Sep","Oct","Nov","Dec")))</f>
        <v/>
      </c>
      <c r="K186" s="1" t="n"/>
    </row>
    <row r="187">
      <c r="A187" s="1" t="n"/>
      <c r="B187" s="21" t="n"/>
      <c r="C187" s="22" t="n"/>
      <c r="D187" s="22" t="n"/>
      <c r="E187" s="22" t="n"/>
      <c r="F187" s="22" t="n"/>
      <c r="G187" s="24" t="n"/>
      <c r="H187" s="24" t="n"/>
      <c r="I187" s="22" t="n"/>
      <c r="J187" s="26">
        <f>IF(OR(B187="",H187=""),"",IF(H187&lt;=TODAY(),"Get in touch","On "&amp;DAY(H187)&amp;" "&amp;CHOOSE(MONTH(H187),"Jan","Feb","Mar","Apr","May","Jun","Jul","Aug","Sep","Oct","Nov","Dec")))</f>
        <v/>
      </c>
      <c r="K187" s="1" t="n"/>
    </row>
    <row r="188">
      <c r="A188" s="1" t="n"/>
      <c r="B188" s="21" t="n"/>
      <c r="C188" s="22" t="n"/>
      <c r="D188" s="22" t="n"/>
      <c r="E188" s="22" t="n"/>
      <c r="F188" s="22" t="n"/>
      <c r="G188" s="24" t="n"/>
      <c r="H188" s="24" t="n"/>
      <c r="I188" s="22" t="n"/>
      <c r="J188" s="26">
        <f>IF(OR(B188="",H188=""),"",IF(H188&lt;=TODAY(),"Get in touch","On "&amp;DAY(H188)&amp;" "&amp;CHOOSE(MONTH(H188),"Jan","Feb","Mar","Apr","May","Jun","Jul","Aug","Sep","Oct","Nov","Dec")))</f>
        <v/>
      </c>
      <c r="K188" s="1" t="n"/>
    </row>
    <row r="189">
      <c r="A189" s="1" t="n"/>
      <c r="B189" s="21" t="n"/>
      <c r="C189" s="22" t="n"/>
      <c r="D189" s="22" t="n"/>
      <c r="E189" s="22" t="n"/>
      <c r="F189" s="22" t="n"/>
      <c r="G189" s="24" t="n"/>
      <c r="H189" s="24" t="n"/>
      <c r="I189" s="22" t="n"/>
      <c r="J189" s="26">
        <f>IF(OR(B189="",H189=""),"",IF(H189&lt;=TODAY(),"Get in touch","On "&amp;DAY(H189)&amp;" "&amp;CHOOSE(MONTH(H189),"Jan","Feb","Mar","Apr","May","Jun","Jul","Aug","Sep","Oct","Nov","Dec")))</f>
        <v/>
      </c>
      <c r="K189" s="1" t="n"/>
    </row>
    <row r="190">
      <c r="A190" s="1" t="n"/>
      <c r="B190" s="21" t="n"/>
      <c r="C190" s="22" t="n"/>
      <c r="D190" s="22" t="n"/>
      <c r="E190" s="22" t="n"/>
      <c r="F190" s="22" t="n"/>
      <c r="G190" s="24" t="n"/>
      <c r="H190" s="24" t="n"/>
      <c r="I190" s="22" t="n"/>
      <c r="J190" s="26">
        <f>IF(OR(B190="",H190=""),"",IF(H190&lt;=TODAY(),"Get in touch","On "&amp;DAY(H190)&amp;" "&amp;CHOOSE(MONTH(H190),"Jan","Feb","Mar","Apr","May","Jun","Jul","Aug","Sep","Oct","Nov","Dec")))</f>
        <v/>
      </c>
      <c r="K190" s="1" t="n"/>
    </row>
    <row r="191">
      <c r="A191" s="1" t="n"/>
      <c r="B191" s="21" t="n"/>
      <c r="C191" s="22" t="n"/>
      <c r="D191" s="22" t="n"/>
      <c r="E191" s="22" t="n"/>
      <c r="F191" s="22" t="n"/>
      <c r="G191" s="24" t="n"/>
      <c r="H191" s="24" t="n"/>
      <c r="I191" s="22" t="n"/>
      <c r="J191" s="26">
        <f>IF(OR(B191="",H191=""),"",IF(H191&lt;=TODAY(),"Get in touch","On "&amp;DAY(H191)&amp;" "&amp;CHOOSE(MONTH(H191),"Jan","Feb","Mar","Apr","May","Jun","Jul","Aug","Sep","Oct","Nov","Dec")))</f>
        <v/>
      </c>
      <c r="K191" s="1" t="n"/>
    </row>
    <row r="192">
      <c r="A192" s="1" t="n"/>
      <c r="B192" s="21" t="n"/>
      <c r="C192" s="22" t="n"/>
      <c r="D192" s="22" t="n"/>
      <c r="E192" s="22" t="n"/>
      <c r="F192" s="22" t="n"/>
      <c r="G192" s="24" t="n"/>
      <c r="H192" s="24" t="n"/>
      <c r="I192" s="22" t="n"/>
      <c r="J192" s="26">
        <f>IF(OR(B192="",H192=""),"",IF(H192&lt;=TODAY(),"Get in touch","On "&amp;DAY(H192)&amp;" "&amp;CHOOSE(MONTH(H192),"Jan","Feb","Mar","Apr","May","Jun","Jul","Aug","Sep","Oct","Nov","Dec")))</f>
        <v/>
      </c>
      <c r="K192" s="1" t="n"/>
    </row>
    <row r="193">
      <c r="A193" s="1" t="n"/>
      <c r="B193" s="21" t="n"/>
      <c r="C193" s="22" t="n"/>
      <c r="D193" s="22" t="n"/>
      <c r="E193" s="22" t="n"/>
      <c r="F193" s="22" t="n"/>
      <c r="G193" s="24" t="n"/>
      <c r="H193" s="24" t="n"/>
      <c r="I193" s="22" t="n"/>
      <c r="J193" s="26">
        <f>IF(OR(B193="",H193=""),"",IF(H193&lt;=TODAY(),"Get in touch","On "&amp;DAY(H193)&amp;" "&amp;CHOOSE(MONTH(H193),"Jan","Feb","Mar","Apr","May","Jun","Jul","Aug","Sep","Oct","Nov","Dec")))</f>
        <v/>
      </c>
      <c r="K193" s="1" t="n"/>
    </row>
    <row r="194">
      <c r="A194" s="1" t="n"/>
      <c r="B194" s="21" t="n"/>
      <c r="C194" s="22" t="n"/>
      <c r="D194" s="22" t="n"/>
      <c r="E194" s="22" t="n"/>
      <c r="F194" s="22" t="n"/>
      <c r="G194" s="24" t="n"/>
      <c r="H194" s="24" t="n"/>
      <c r="I194" s="22" t="n"/>
      <c r="J194" s="26">
        <f>IF(OR(B194="",H194=""),"",IF(H194&lt;=TODAY(),"Get in touch","On "&amp;DAY(H194)&amp;" "&amp;CHOOSE(MONTH(H194),"Jan","Feb","Mar","Apr","May","Jun","Jul","Aug","Sep","Oct","Nov","Dec")))</f>
        <v/>
      </c>
      <c r="K194" s="1" t="n"/>
    </row>
    <row r="195">
      <c r="A195" s="1" t="n"/>
      <c r="B195" s="21" t="n"/>
      <c r="C195" s="22" t="n"/>
      <c r="D195" s="22" t="n"/>
      <c r="E195" s="22" t="n"/>
      <c r="F195" s="22" t="n"/>
      <c r="G195" s="24" t="n"/>
      <c r="H195" s="24" t="n"/>
      <c r="I195" s="22" t="n"/>
      <c r="J195" s="26">
        <f>IF(OR(B195="",H195=""),"",IF(H195&lt;=TODAY(),"Get in touch","On "&amp;DAY(H195)&amp;" "&amp;CHOOSE(MONTH(H195),"Jan","Feb","Mar","Apr","May","Jun","Jul","Aug","Sep","Oct","Nov","Dec")))</f>
        <v/>
      </c>
      <c r="K195" s="1" t="n"/>
    </row>
    <row r="196">
      <c r="A196" s="1" t="n"/>
      <c r="B196" s="21" t="n"/>
      <c r="C196" s="22" t="n"/>
      <c r="D196" s="22" t="n"/>
      <c r="E196" s="22" t="n"/>
      <c r="F196" s="22" t="n"/>
      <c r="G196" s="24" t="n"/>
      <c r="H196" s="24" t="n"/>
      <c r="I196" s="22" t="n"/>
      <c r="J196" s="26">
        <f>IF(OR(B196="",H196=""),"",IF(H196&lt;=TODAY(),"Get in touch","On "&amp;DAY(H196)&amp;" "&amp;CHOOSE(MONTH(H196),"Jan","Feb","Mar","Apr","May","Jun","Jul","Aug","Sep","Oct","Nov","Dec")))</f>
        <v/>
      </c>
      <c r="K196" s="1" t="n"/>
    </row>
    <row r="197">
      <c r="A197" s="1" t="n"/>
      <c r="B197" s="21" t="n"/>
      <c r="C197" s="22" t="n"/>
      <c r="D197" s="22" t="n"/>
      <c r="E197" s="22" t="n"/>
      <c r="F197" s="22" t="n"/>
      <c r="G197" s="24" t="n"/>
      <c r="H197" s="24" t="n"/>
      <c r="I197" s="22" t="n"/>
      <c r="J197" s="26">
        <f>IF(OR(B197="",H197=""),"",IF(H197&lt;=TODAY(),"Get in touch","On "&amp;DAY(H197)&amp;" "&amp;CHOOSE(MONTH(H197),"Jan","Feb","Mar","Apr","May","Jun","Jul","Aug","Sep","Oct","Nov","Dec")))</f>
        <v/>
      </c>
      <c r="K197" s="1" t="n"/>
    </row>
    <row r="198">
      <c r="A198" s="1" t="n"/>
      <c r="B198" s="21" t="n"/>
      <c r="C198" s="22" t="n"/>
      <c r="D198" s="22" t="n"/>
      <c r="E198" s="22" t="n"/>
      <c r="F198" s="22" t="n"/>
      <c r="G198" s="24" t="n"/>
      <c r="H198" s="24" t="n"/>
      <c r="I198" s="22" t="n"/>
      <c r="J198" s="26">
        <f>IF(OR(B198="",H198=""),"",IF(H198&lt;=TODAY(),"Get in touch","On "&amp;DAY(H198)&amp;" "&amp;CHOOSE(MONTH(H198),"Jan","Feb","Mar","Apr","May","Jun","Jul","Aug","Sep","Oct","Nov","Dec")))</f>
        <v/>
      </c>
      <c r="K198" s="1" t="n"/>
    </row>
    <row r="199">
      <c r="A199" s="1" t="n"/>
      <c r="B199" s="21" t="n"/>
      <c r="C199" s="22" t="n"/>
      <c r="D199" s="22" t="n"/>
      <c r="E199" s="22" t="n"/>
      <c r="F199" s="22" t="n"/>
      <c r="G199" s="24" t="n"/>
      <c r="H199" s="24" t="n"/>
      <c r="I199" s="22" t="n"/>
      <c r="J199" s="26">
        <f>IF(OR(B199="",H199=""),"",IF(H199&lt;=TODAY(),"Get in touch","On "&amp;DAY(H199)&amp;" "&amp;CHOOSE(MONTH(H199),"Jan","Feb","Mar","Apr","May","Jun","Jul","Aug","Sep","Oct","Nov","Dec")))</f>
        <v/>
      </c>
      <c r="K199" s="1" t="n"/>
    </row>
    <row r="200">
      <c r="A200" s="1" t="n"/>
      <c r="B200" s="21" t="n"/>
      <c r="C200" s="22" t="n"/>
      <c r="D200" s="22" t="n"/>
      <c r="E200" s="22" t="n"/>
      <c r="F200" s="22" t="n"/>
      <c r="G200" s="24" t="n"/>
      <c r="H200" s="24" t="n"/>
      <c r="I200" s="22" t="n"/>
      <c r="J200" s="26">
        <f>IF(OR(B200="",H200=""),"",IF(H200&lt;=TODAY(),"Get in touch","On "&amp;DAY(H200)&amp;" "&amp;CHOOSE(MONTH(H200),"Jan","Feb","Mar","Apr","May","Jun","Jul","Aug","Sep","Oct","Nov","Dec")))</f>
        <v/>
      </c>
      <c r="K200" s="1" t="n"/>
    </row>
    <row r="201">
      <c r="A201" s="1" t="n"/>
      <c r="B201" s="21" t="n"/>
      <c r="C201" s="22" t="n"/>
      <c r="D201" s="22" t="n"/>
      <c r="E201" s="22" t="n"/>
      <c r="F201" s="22" t="n"/>
      <c r="G201" s="24" t="n"/>
      <c r="H201" s="24" t="n"/>
      <c r="I201" s="22" t="n"/>
      <c r="J201" s="26">
        <f>IF(OR(B201="",H201=""),"",IF(H201&lt;=TODAY(),"Get in touch","On "&amp;DAY(H201)&amp;" "&amp;CHOOSE(MONTH(H201),"Jan","Feb","Mar","Apr","May","Jun","Jul","Aug","Sep","Oct","Nov","Dec")))</f>
        <v/>
      </c>
      <c r="K201" s="1" t="n"/>
    </row>
    <row r="202">
      <c r="A202" s="1" t="n"/>
      <c r="B202" s="21" t="n"/>
      <c r="C202" s="22" t="n"/>
      <c r="D202" s="22" t="n"/>
      <c r="E202" s="22" t="n"/>
      <c r="F202" s="22" t="n"/>
      <c r="G202" s="24" t="n"/>
      <c r="H202" s="24" t="n"/>
      <c r="I202" s="22" t="n"/>
      <c r="J202" s="26">
        <f>IF(OR(B202="",H202=""),"",IF(H202&lt;=TODAY(),"Get in touch","On "&amp;DAY(H202)&amp;" "&amp;CHOOSE(MONTH(H202),"Jan","Feb","Mar","Apr","May","Jun","Jul","Aug","Sep","Oct","Nov","Dec")))</f>
        <v/>
      </c>
      <c r="K202" s="1" t="n"/>
    </row>
    <row r="203">
      <c r="A203" s="1" t="n"/>
      <c r="B203" s="21" t="n"/>
      <c r="C203" s="22" t="n"/>
      <c r="D203" s="22" t="n"/>
      <c r="E203" s="22" t="n"/>
      <c r="F203" s="22" t="n"/>
      <c r="G203" s="24" t="n"/>
      <c r="H203" s="24" t="n"/>
      <c r="I203" s="22" t="n"/>
      <c r="J203" s="26">
        <f>IF(OR(B203="",H203=""),"",IF(H203&lt;=TODAY(),"Get in touch","On "&amp;DAY(H203)&amp;" "&amp;CHOOSE(MONTH(H203),"Jan","Feb","Mar","Apr","May","Jun","Jul","Aug","Sep","Oct","Nov","Dec")))</f>
        <v/>
      </c>
      <c r="K203" s="1" t="n"/>
    </row>
    <row r="204">
      <c r="A204" s="1" t="n"/>
      <c r="B204" s="21" t="n"/>
      <c r="C204" s="22" t="n"/>
      <c r="D204" s="22" t="n"/>
      <c r="E204" s="22" t="n"/>
      <c r="F204" s="22" t="n"/>
      <c r="G204" s="24" t="n"/>
      <c r="H204" s="24" t="n"/>
      <c r="I204" s="22" t="n"/>
      <c r="J204" s="26">
        <f>IF(OR(B204="",H204=""),"",IF(H204&lt;=TODAY(),"Get in touch","On "&amp;DAY(H204)&amp;" "&amp;CHOOSE(MONTH(H204),"Jan","Feb","Mar","Apr","May","Jun","Jul","Aug","Sep","Oct","Nov","Dec")))</f>
        <v/>
      </c>
      <c r="K204" s="1" t="n"/>
    </row>
    <row r="205">
      <c r="A205" s="1" t="n"/>
      <c r="B205" s="21" t="n"/>
      <c r="C205" s="22" t="n"/>
      <c r="D205" s="22" t="n"/>
      <c r="E205" s="22" t="n"/>
      <c r="F205" s="22" t="n"/>
      <c r="G205" s="24" t="n"/>
      <c r="H205" s="24" t="n"/>
      <c r="I205" s="22" t="n"/>
      <c r="J205" s="26">
        <f>IF(OR(B205="",H205=""),"",IF(H205&lt;=TODAY(),"Get in touch","On "&amp;DAY(H205)&amp;" "&amp;CHOOSE(MONTH(H205),"Jan","Feb","Mar","Apr","May","Jun","Jul","Aug","Sep","Oct","Nov","Dec")))</f>
        <v/>
      </c>
      <c r="K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</sheetData>
  <conditionalFormatting sqref="J6:J205">
    <cfRule type="expression" priority="1" dxfId="1">
      <formula>J6="Get in touch"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4" customWidth="1" min="4" max="4"/>
    <col width="6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Your weekly goal, when to follow up, and the currency of the pay.</t>
        </is>
      </c>
      <c r="C3" s="1" t="n"/>
      <c r="D3" s="1" t="n"/>
      <c r="E3" s="1" t="n"/>
      <c r="F3" s="1" t="n"/>
    </row>
    <row r="4">
      <c r="A4" s="1" t="n"/>
      <c r="B4" s="28" t="inlineStr">
        <is>
          <t>Applications a week (goal)</t>
        </is>
      </c>
      <c r="C4" s="29" t="n">
        <v>5</v>
      </c>
      <c r="D4" s="1" t="n"/>
      <c r="E4" s="30" t="inlineStr">
        <is>
          <t>The Dashboard counts each week against this goal.</t>
        </is>
      </c>
      <c r="F4" s="1" t="n"/>
    </row>
    <row r="5">
      <c r="A5" s="1" t="n"/>
      <c r="B5" s="28" t="inlineStr">
        <is>
          <t>Follow up after (days)</t>
        </is>
      </c>
      <c r="C5" s="29" t="n">
        <v>7</v>
      </c>
      <c r="D5" s="1" t="n"/>
      <c r="E5" s="30" t="inlineStr">
        <is>
          <t>With no next step, a line asks for a follow-up this many days after the last contact.</t>
        </is>
      </c>
      <c r="F5" s="1" t="n"/>
    </row>
    <row r="6">
      <c r="A6" s="1" t="n"/>
      <c r="B6" s="28" t="inlineStr">
        <is>
          <t>No reply after (days)</t>
        </is>
      </c>
      <c r="C6" s="29" t="n">
        <v>30</v>
      </c>
      <c r="D6" s="1" t="n"/>
      <c r="E6" s="30" t="inlineStr">
        <is>
          <t>A line with no news for this many days is marked No reply.</t>
        </is>
      </c>
      <c r="F6" s="1" t="n"/>
    </row>
    <row r="7">
      <c r="A7" s="1" t="n"/>
      <c r="B7" s="28" t="inlineStr">
        <is>
          <t>Currency of the pay</t>
        </is>
      </c>
      <c r="C7" s="31" t="inlineStr">
        <is>
          <t>USD</t>
        </is>
      </c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 ht="30" customHeight="1">
      <c r="A10" s="1" t="n"/>
      <c r="B10" s="10" t="inlineStr">
        <is>
          <t>Stages, in order</t>
        </is>
      </c>
      <c r="C10" s="1" t="n"/>
      <c r="D10" s="1" t="n"/>
      <c r="E10" s="1" t="n"/>
      <c r="F10" s="1" t="n"/>
    </row>
    <row r="11">
      <c r="A11" s="1" t="n"/>
      <c r="B11" s="11" t="inlineStr">
        <is>
          <t>Saved</t>
        </is>
      </c>
      <c r="C11" s="1" t="n"/>
      <c r="D11" s="1" t="n"/>
      <c r="E11" s="1" t="n"/>
      <c r="F11" s="1" t="n"/>
    </row>
    <row r="12">
      <c r="A12" s="1" t="n"/>
      <c r="B12" s="11" t="inlineStr">
        <is>
          <t>Applied</t>
        </is>
      </c>
      <c r="C12" s="1" t="n"/>
      <c r="D12" s="1" t="n"/>
      <c r="E12" s="1" t="n"/>
      <c r="F12" s="1" t="n"/>
    </row>
    <row r="13">
      <c r="A13" s="1" t="n"/>
      <c r="B13" s="11" t="inlineStr">
        <is>
          <t>Screening</t>
        </is>
      </c>
      <c r="C13" s="1" t="n"/>
      <c r="D13" s="1" t="n"/>
      <c r="E13" s="1" t="n"/>
      <c r="F13" s="1" t="n"/>
    </row>
    <row r="14">
      <c r="A14" s="1" t="n"/>
      <c r="B14" s="11" t="inlineStr">
        <is>
          <t>Interview</t>
        </is>
      </c>
      <c r="C14" s="1" t="n"/>
      <c r="D14" s="1" t="n"/>
      <c r="E14" s="1" t="n"/>
      <c r="F14" s="1" t="n"/>
    </row>
    <row r="15">
      <c r="A15" s="1" t="n"/>
      <c r="B15" s="11" t="inlineStr">
        <is>
          <t>Final interview</t>
        </is>
      </c>
      <c r="C15" s="1" t="n"/>
      <c r="D15" s="1" t="n"/>
      <c r="E15" s="1" t="n"/>
      <c r="F15" s="1" t="n"/>
    </row>
    <row r="16">
      <c r="A16" s="1" t="n"/>
      <c r="B16" s="11" t="inlineStr">
        <is>
          <t>Offer</t>
        </is>
      </c>
      <c r="C16" s="1" t="n"/>
      <c r="D16" s="1" t="n"/>
      <c r="E16" s="1" t="n"/>
      <c r="F16" s="1" t="n"/>
    </row>
    <row r="17">
      <c r="A17" s="1" t="n"/>
      <c r="B17" s="11" t="inlineStr">
        <is>
          <t>Accepted</t>
        </is>
      </c>
      <c r="C17" s="1" t="n"/>
      <c r="D17" s="1" t="n"/>
      <c r="E17" s="1" t="n"/>
      <c r="F17" s="1" t="n"/>
    </row>
    <row r="18">
      <c r="A18" s="1" t="n"/>
      <c r="B18" s="11" t="inlineStr">
        <is>
          <t>Rejected</t>
        </is>
      </c>
      <c r="C18" s="1" t="n"/>
      <c r="D18" s="1" t="n"/>
      <c r="E18" s="1" t="n"/>
      <c r="F18" s="1" t="n"/>
    </row>
    <row r="19">
      <c r="A19" s="1" t="n"/>
      <c r="B19" s="11" t="inlineStr">
        <is>
          <t>Withdrawn</t>
        </is>
      </c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2" t="inlineStr">
        <is>
          <t>1</t>
        </is>
      </c>
      <c r="C5" s="33" t="inlineStr">
        <is>
          <t>Settings: how many applications a week you aim for, and after how many days to follow up.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2" t="inlineStr">
        <is>
          <t>2</t>
        </is>
      </c>
      <c r="C7" s="33" t="inlineStr">
        <is>
          <t>Applications: every job you save or apply for. Keep the stage and the last contact up to date.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2" t="inlineStr">
        <is>
          <t>3</t>
        </is>
      </c>
      <c r="C9" s="33" t="inlineStr">
        <is>
          <t>Next step and its date: a call, a task, a closing date. Without one, a follow-up date comes by itself.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2" t="inlineStr">
        <is>
          <t>4</t>
        </is>
      </c>
      <c r="C11" s="33" t="inlineStr">
        <is>
          <t>Interviews: each one with what to prepare. An x once the thank-you is sent.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2" t="inlineStr">
        <is>
          <t>5</t>
        </is>
      </c>
      <c r="C13" s="33" t="inlineStr">
        <is>
          <t>Contacts and Dashboard: people who can help, and where the whole search stands.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search, its companies and people are made up.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Rejected and withdrawn lines stay in the list, in grey, so the numbers stay honest.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2026-09-28T18:16:00Z</dcterms:created>
  <dcterms:modified xsi:type="dcterms:W3CDTF">2026-09-28T18:16:01Z</dcterms:modified>
</cp:coreProperties>
</file>