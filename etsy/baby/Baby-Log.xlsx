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Feeds" sheetId="2" state="visible" r:id="rId2"/>
    <sheet name="Sleep" sheetId="3" state="visible" r:id="rId3"/>
    <sheet name="Nappies" sheetId="4" state="visible" r:id="rId4"/>
    <sheet name="Growth" sheetId="5" state="visible" r:id="rId5"/>
    <sheet name="Appointments" sheetId="6" state="visible" r:id="rId6"/>
    <sheet name="Milestones" sheetId="7" state="visible" r:id="rId7"/>
    <sheet name="Settings" sheetId="8" state="visible" r:id="rId8"/>
    <sheet name="Start Her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DD MMM YYYY"/>
    <numFmt numFmtId="165" formatCode="yyyy-mm-dd"/>
    <numFmt numFmtId="166" formatCode="hh:mm"/>
    <numFmt numFmtId="167" formatCode="0.0"/>
    <numFmt numFmtId="168" formatCode="0.0&quot; h&quot;"/>
    <numFmt numFmtId="169" formatCode="ddd d mmm"/>
    <numFmt numFmtId="170" formatCode="0;;"/>
    <numFmt numFmtId="171" formatCode="0.0;;"/>
  </numFmts>
  <fonts count="15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1E2A2F"/>
      <sz val="11"/>
    </font>
    <font>
      <name val="Arial"/>
      <i val="1"/>
      <color rgb="006B7B80"/>
      <sz val="10"/>
    </font>
    <font>
      <name val="Arial"/>
      <b val="1"/>
      <color rgb="00FFFFFF"/>
      <sz val="11"/>
    </font>
    <font>
      <name val="Arial"/>
      <color rgb="001E2A2F"/>
      <sz val="11"/>
    </font>
    <font>
      <name val="Arial"/>
      <b val="1"/>
      <color rgb="0015525A"/>
      <sz val="11"/>
    </font>
    <font>
      <name val="Arial"/>
      <b val="1"/>
      <color rgb="006B7B80"/>
      <sz val="10"/>
    </font>
    <font>
      <name val="Arial"/>
      <b val="1"/>
      <color rgb="001F6F78"/>
      <sz val="16"/>
    </font>
    <font>
      <name val="Arial"/>
      <b val="1"/>
      <color rgb="001F6F78"/>
      <sz val="13"/>
    </font>
    <font>
      <name val="Arial"/>
      <b val="1"/>
      <color rgb="001F6F78"/>
      <sz val="11"/>
    </font>
    <font>
      <name val="Arial"/>
      <b val="1"/>
      <color rgb="0015525A"/>
      <sz val="10"/>
    </font>
    <font>
      <name val="Arial"/>
      <b val="1"/>
      <color rgb="001F6F78"/>
      <sz val="18"/>
    </font>
    <font>
      <name val="Arial"/>
      <color rgb="001E2A2F"/>
      <sz val="13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2"/>
        <bgColor rgb="00FFF4C2"/>
      </patternFill>
    </fill>
    <fill>
      <patternFill patternType="solid">
        <fgColor rgb="001F6F78"/>
        <bgColor rgb="001F6F78"/>
      </patternFill>
    </fill>
  </fills>
  <borders count="6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  <border>
      <left/>
      <right/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/>
      <diagonal/>
    </border>
    <border>
      <left/>
      <right/>
      <top style="thin">
        <color rgb="00D5DBDB"/>
      </top>
      <bottom style="thin">
        <color rgb="00D5DBDB"/>
      </bottom>
      <diagonal/>
    </border>
    <border>
      <left/>
      <right style="thin">
        <color rgb="00D5DBDB"/>
      </right>
      <top style="thin">
        <color rgb="00D5DBDB"/>
      </top>
      <bottom style="thin">
        <color rgb="00D5DBDB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164" fontId="3" fillId="3" borderId="1" applyAlignment="1" pivotButton="0" quotePrefix="0" xfId="0">
      <alignment horizontal="center" vertical="center"/>
    </xf>
    <xf numFmtId="0" fontId="7" fillId="2" borderId="0" pivotButton="0" quotePrefix="0" xfId="0"/>
    <xf numFmtId="0" fontId="8" fillId="2" borderId="1" pivotButton="0" quotePrefix="0" xfId="0"/>
    <xf numFmtId="0" fontId="0" fillId="0" borderId="1" pivotButton="0" quotePrefix="0" xfId="0"/>
    <xf numFmtId="1" fontId="9" fillId="2" borderId="1" applyAlignment="1" pivotButton="0" quotePrefix="0" xfId="0">
      <alignment horizontal="right"/>
    </xf>
    <xf numFmtId="166" fontId="9" fillId="2" borderId="1" applyAlignment="1" pivotButton="0" quotePrefix="0" xfId="0">
      <alignment horizontal="right"/>
    </xf>
    <xf numFmtId="49" fontId="10" fillId="2" borderId="1" applyAlignment="1" pivotButton="0" quotePrefix="0" xfId="0">
      <alignment horizontal="right"/>
    </xf>
    <xf numFmtId="168" fontId="9" fillId="2" borderId="1" applyAlignment="1" pivotButton="0" quotePrefix="0" xfId="0">
      <alignment horizontal="right"/>
    </xf>
    <xf numFmtId="49" fontId="11" fillId="2" borderId="1" applyAlignment="1" pivotButton="0" quotePrefix="0" xfId="0">
      <alignment horizontal="right"/>
    </xf>
    <xf numFmtId="0" fontId="5" fillId="4" borderId="1" applyAlignment="1" pivotButton="0" quotePrefix="0" xfId="0">
      <alignment horizontal="center" vertical="center" wrapText="1"/>
    </xf>
    <xf numFmtId="169" fontId="3" fillId="2" borderId="1" applyAlignment="1" pivotButton="0" quotePrefix="0" xfId="0">
      <alignment horizontal="center" vertical="center"/>
    </xf>
    <xf numFmtId="170" fontId="6" fillId="2" borderId="1" applyAlignment="1" pivotButton="0" quotePrefix="0" xfId="0">
      <alignment horizontal="center" vertical="center"/>
    </xf>
    <xf numFmtId="171" fontId="6" fillId="2" borderId="1" applyAlignment="1" pivotButton="0" quotePrefix="0" xfId="0">
      <alignment horizontal="center" vertical="center"/>
    </xf>
    <xf numFmtId="0" fontId="3" fillId="2" borderId="1" pivotButton="0" quotePrefix="0" xfId="0"/>
    <xf numFmtId="164" fontId="6" fillId="2" borderId="1" applyAlignment="1" pivotButton="0" quotePrefix="0" xfId="0">
      <alignment horizontal="center" vertical="center"/>
    </xf>
    <xf numFmtId="2" fontId="6" fillId="2" borderId="1" applyAlignment="1" pivotButton="0" quotePrefix="0" xfId="0">
      <alignment horizontal="center" vertical="center"/>
    </xf>
    <xf numFmtId="167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12" fillId="2" borderId="0" pivotButton="0" quotePrefix="0" xfId="0"/>
    <xf numFmtId="0" fontId="3" fillId="2" borderId="1" applyAlignment="1" pivotButton="0" quotePrefix="0" xfId="0">
      <alignment horizontal="center" vertical="center"/>
    </xf>
    <xf numFmtId="167" fontId="3" fillId="2" borderId="1" applyAlignment="1" pivotButton="0" quotePrefix="0" xfId="0">
      <alignment horizontal="center" vertical="center"/>
    </xf>
    <xf numFmtId="164" fontId="6" fillId="3" borderId="1" pivotButton="0" quotePrefix="0" xfId="0"/>
    <xf numFmtId="166" fontId="6" fillId="3" borderId="1" applyAlignment="1" pivotButton="0" quotePrefix="0" xfId="0">
      <alignment horizontal="center" vertical="center"/>
    </xf>
    <xf numFmtId="0" fontId="6" fillId="3" borderId="1" pivotButton="0" quotePrefix="0" xfId="0"/>
    <xf numFmtId="1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2" fontId="6" fillId="3" borderId="1" applyAlignment="1" pivotButton="0" quotePrefix="0" xfId="0">
      <alignment horizontal="center" vertical="center"/>
    </xf>
    <xf numFmtId="167" fontId="6" fillId="3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2" borderId="0" pivotButton="0" quotePrefix="0" xfId="0"/>
    <xf numFmtId="0" fontId="13" fillId="2" borderId="0" pivotButton="0" quotePrefix="0" xfId="0"/>
    <xf numFmtId="0" fontId="14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3E8FF"/>
          <bgColor rgb="00E3E8FF"/>
        </patternFill>
      </fill>
    </dxf>
    <dxf>
      <font>
        <name val="Arial"/>
        <color rgb="009AA7A9"/>
      </font>
    </dxf>
    <dxf>
      <fill>
        <patternFill patternType="solid">
          <fgColor rgb="00D8F0DC"/>
          <bgColor rgb="00D8F0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Weight</a:t>
            </a:r>
          </a:p>
        </rich>
      </tx>
    </title>
    <plotArea>
      <scatterChart>
        <ser>
          <idx val="0"/>
          <order val="0"/>
          <tx>
            <v>Weight</v>
          </tx>
          <spPr>
            <a:ln>
              <a:solidFill>
                <a:srgbClr val="1F6F78"/>
              </a:solidFill>
              <a:prstDash val="solid"/>
            </a:ln>
          </spPr>
          <marker>
            <symbol val="circle"/>
            <spPr>
              <a:solidFill>
                <a:srgbClr val="1F6F78"/>
              </a:solidFill>
              <a:ln>
                <a:prstDash val="solid"/>
              </a:ln>
            </spPr>
          </marker>
          <xVal>
            <numRef>
              <f>'Growth'!$B$6:$B$105</f>
            </numRef>
          </xVal>
          <yVal>
            <numRef>
              <f>'Growth'!$D$6:$D$105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numFmt formatCode="d mmm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Weight</a:t>
            </a:r>
          </a:p>
        </rich>
      </tx>
    </title>
    <plotArea>
      <scatterChart>
        <ser>
          <idx val="0"/>
          <order val="0"/>
          <tx>
            <v>Weight</v>
          </tx>
          <spPr>
            <a:ln>
              <a:solidFill>
                <a:srgbClr val="1F6F78"/>
              </a:solidFill>
              <a:prstDash val="solid"/>
            </a:ln>
          </spPr>
          <marker>
            <symbol val="circle"/>
            <spPr>
              <a:solidFill>
                <a:srgbClr val="1F6F78"/>
              </a:solidFill>
              <a:ln>
                <a:prstDash val="solid"/>
              </a:ln>
            </spPr>
          </marker>
          <xVal>
            <numRef>
              <f>'Growth'!$B$6:$B$105</f>
            </numRef>
          </xVal>
          <yVal>
            <numRef>
              <f>'Growth'!$D$6:$D$105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numFmt formatCode="d mmm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" customWidth="1" min="9" max="9"/>
    <col width="18" customWidth="1" min="10" max="10"/>
    <col width="14" customWidth="1" min="11" max="11"/>
    <col width="3" customWidth="1" min="12" max="12"/>
    <col hidden="1" width="13" customWidth="1" min="27" max="2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AA1">
        <f>IF($C$4="",TODAY(),$C$4)</f>
        <v/>
      </c>
    </row>
    <row r="2" ht="32" customHeight="1">
      <c r="A2" s="1" t="n"/>
      <c r="B2" s="2">
        <f>IF(Settings!$C$4="","Baby log",Settings!$C$4&amp;"'s log")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3" t="inlineStr">
        <is>
          <t>Pick a day, or leave it empty for today.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>
      <c r="A4" s="1" t="n"/>
      <c r="B4" s="4" t="inlineStr">
        <is>
          <t>Day</t>
        </is>
      </c>
      <c r="C4" s="5" t="n"/>
      <c r="D4" s="6">
        <f>IF(OR(Dashboard!$AA$1="",Settings!$C$5=""),"",IF((Dashboard!$AA$1-Settings!$C$5)&lt;0,"",INT((Dashboard!$AA$1-Settings!$C$5)/7)&amp;IF(INT((Dashboard!$AA$1-Settings!$C$5)/7)=1," week"," weeks")&amp;IF(MOD((Dashboard!$AA$1-Settings!$C$5),7)=0,""," "&amp;MOD((Dashboard!$AA$1-Settings!$C$5),7)&amp;IF(MOD((Dashboard!$AA$1-Settings!$C$5),7)=1," day"," days"))))</f>
        <v/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>
      <c r="A6" s="1" t="n"/>
      <c r="B6" s="7" t="inlineStr">
        <is>
          <t>Feeds</t>
        </is>
      </c>
      <c r="C6" s="7" t="inlineStr">
        <is>
          <t>Last feed</t>
        </is>
      </c>
      <c r="D6" s="7" t="inlineStr">
        <is>
          <t>Since then</t>
        </is>
      </c>
      <c r="E6" s="7" t="inlineStr">
        <is>
          <t>Sleep</t>
        </is>
      </c>
      <c r="F6" s="7" t="inlineStr">
        <is>
          <t>Wet</t>
        </is>
      </c>
      <c r="G6" s="7" t="inlineStr">
        <is>
          <t>Dirty</t>
        </is>
      </c>
      <c r="H6" s="7" t="inlineStr">
        <is>
          <t>Next appointment</t>
        </is>
      </c>
      <c r="I6" s="8" t="n"/>
      <c r="J6" s="8" t="n"/>
      <c r="K6" s="8" t="n"/>
      <c r="L6" s="1" t="n"/>
      <c r="M6" s="1" t="n"/>
    </row>
    <row r="7" ht="34" customHeight="1">
      <c r="A7" s="1" t="n"/>
      <c r="B7" s="9">
        <f>COUNTIF(Feeds!$B$6:$B$3005,Dashboard!$AA$1)</f>
        <v/>
      </c>
      <c r="C7" s="10">
        <f>IF(MAX(Feeds!$J$6:$J$3005)=0,"",MAX(Feeds!$J$6:$J$3005))</f>
        <v/>
      </c>
      <c r="D7" s="11">
        <f>IF(OR(MAX(Feeds!$J$6:$J$3005)=0,Dashboard!$AA$1&lt;&gt;TODAY()),"",INT((NOW()-MAX(Feeds!$J$6:$J$3005))*24)&amp;" h "&amp;IF(MOD(INT((NOW()-MAX(Feeds!$J$6:$J$3005))*1440),60)&lt;10,"0","")&amp;MOD(INT((NOW()-MAX(Feeds!$J$6:$J$3005))*1440),60)&amp;" min")</f>
        <v/>
      </c>
      <c r="E7" s="12">
        <f>SUMIFS(Sleep!$E$6:$E$2505,Sleep!$B$6:$B$2505,Dashboard!$AA$1)</f>
        <v/>
      </c>
      <c r="F7" s="9">
        <f>COUNTIFS(Nappies!$B$6:$B$3005,Dashboard!$AA$1,Nappies!$D$6:$D$3005,"&lt;&gt;")</f>
        <v/>
      </c>
      <c r="G7" s="9">
        <f>COUNTIFS(Nappies!$B$6:$B$3005,Dashboard!$AA$1,Nappies!$E$6:$E$3005,"&lt;&gt;")</f>
        <v/>
      </c>
      <c r="H7" s="13">
        <f>IF(MIN(Appointments!$I$6:$I$105)=0,"None booked",INDEX(Appointments!$D$6:$D$105,MATCH(MIN(Appointments!$I$6:$I$105),Appointments!$I$6:$I$105,0))&amp;", "&amp;DAY(INT(MIN(Appointments!$I$6:$I$105)))&amp;" "&amp;CHOOSE(MONTH(INT(MIN(Appointments!$I$6:$I$105))),"Jan","Feb","Mar","Apr","May","Jun","Jul","Aug","Sep","Oct","Nov","Dec"))</f>
        <v/>
      </c>
      <c r="I7" s="8" t="n"/>
      <c r="J7" s="8" t="n"/>
      <c r="K7" s="8" t="n"/>
      <c r="L7" s="1" t="n"/>
      <c r="M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 ht="30" customHeight="1">
      <c r="A9" s="1" t="n"/>
      <c r="B9" s="14" t="inlineStr">
        <is>
          <t>Day</t>
        </is>
      </c>
      <c r="C9" s="14" t="inlineStr">
        <is>
          <t>Feeds</t>
        </is>
      </c>
      <c r="D9" s="14">
        <f>"Bottle ("&amp;Settings!$C$6&amp;")"</f>
        <v/>
      </c>
      <c r="E9" s="14" t="inlineStr">
        <is>
          <t>Breast (min)</t>
        </is>
      </c>
      <c r="F9" s="14" t="inlineStr">
        <is>
          <t>Sleep (h)</t>
        </is>
      </c>
      <c r="G9" s="14" t="inlineStr">
        <is>
          <t>Wet</t>
        </is>
      </c>
      <c r="H9" s="14" t="inlineStr">
        <is>
          <t>Dirty</t>
        </is>
      </c>
      <c r="I9" s="1" t="n"/>
      <c r="J9" s="14" t="inlineStr">
        <is>
          <t>Growth</t>
        </is>
      </c>
      <c r="K9" s="14" t="inlineStr">
        <is>
          <t>Latest</t>
        </is>
      </c>
      <c r="L9" s="1" t="n"/>
      <c r="M9" s="1" t="n"/>
    </row>
    <row r="10">
      <c r="A10" s="1" t="n"/>
      <c r="B10" s="15">
        <f>(Dashboard!$AA$1-6)</f>
        <v/>
      </c>
      <c r="C10" s="16">
        <f>COUNTIF(Feeds!$B$6:$B$3005,B10)</f>
        <v/>
      </c>
      <c r="D10" s="16">
        <f>SUMIFS(Feeds!$F$6:$F$3005,Feeds!$B$6:$B$3005,B10,Feeds!$D$6:$D$3005,"Bottle")</f>
        <v/>
      </c>
      <c r="E10" s="16">
        <f>SUMIFS(Feeds!$E$6:$E$3005,Feeds!$B$6:$B$3005,B10,Feeds!$D$6:$D$3005,"Breast*")</f>
        <v/>
      </c>
      <c r="F10" s="17">
        <f>SUMIFS(Sleep!$E$6:$E$2505,Sleep!$B$6:$B$2505,B10)</f>
        <v/>
      </c>
      <c r="G10" s="16">
        <f>COUNTIFS(Nappies!$B$6:$B$3005,B10,Nappies!$D$6:$D$3005,"&lt;&gt;")</f>
        <v/>
      </c>
      <c r="H10" s="16">
        <f>COUNTIFS(Nappies!$B$6:$B$3005,B10,Nappies!$E$6:$E$3005,"&lt;&gt;")</f>
        <v/>
      </c>
      <c r="I10" s="1" t="n"/>
      <c r="J10" s="18" t="inlineStr">
        <is>
          <t>Weighed on</t>
        </is>
      </c>
      <c r="K10" s="19">
        <f>IF(COUNTIF(Growth!$J$6:$J$105,0)=0,"",IF(SUMIFS(Growth!$B$6:$B$105,Growth!$J$6:$J$105,0)=0,"",SUMIFS(Growth!$B$6:$B$105,Growth!$J$6:$J$105,0)))</f>
        <v/>
      </c>
      <c r="L10" s="1" t="n"/>
      <c r="M10" s="1" t="n"/>
    </row>
    <row r="11">
      <c r="A11" s="1" t="n"/>
      <c r="B11" s="15">
        <f>(Dashboard!$AA$1-5)</f>
        <v/>
      </c>
      <c r="C11" s="16">
        <f>COUNTIF(Feeds!$B$6:$B$3005,B11)</f>
        <v/>
      </c>
      <c r="D11" s="16">
        <f>SUMIFS(Feeds!$F$6:$F$3005,Feeds!$B$6:$B$3005,B11,Feeds!$D$6:$D$3005,"Bottle")</f>
        <v/>
      </c>
      <c r="E11" s="16">
        <f>SUMIFS(Feeds!$E$6:$E$3005,Feeds!$B$6:$B$3005,B11,Feeds!$D$6:$D$3005,"Breast*")</f>
        <v/>
      </c>
      <c r="F11" s="17">
        <f>SUMIFS(Sleep!$E$6:$E$2505,Sleep!$B$6:$B$2505,B11)</f>
        <v/>
      </c>
      <c r="G11" s="16">
        <f>COUNTIFS(Nappies!$B$6:$B$3005,B11,Nappies!$D$6:$D$3005,"&lt;&gt;")</f>
        <v/>
      </c>
      <c r="H11" s="16">
        <f>COUNTIFS(Nappies!$B$6:$B$3005,B11,Nappies!$E$6:$E$3005,"&lt;&gt;")</f>
        <v/>
      </c>
      <c r="I11" s="1" t="n"/>
      <c r="J11" s="18">
        <f>"Weight ("&amp;Settings!$C$7&amp;")"</f>
        <v/>
      </c>
      <c r="K11" s="20">
        <f>IF(COUNTIF(Growth!$J$6:$J$105,0)=0,"",IF(SUMIFS(Growth!$D$6:$D$105,Growth!$J$6:$J$105,0)=0,"",SUMIFS(Growth!$D$6:$D$105,Growth!$J$6:$J$105,0)))</f>
        <v/>
      </c>
      <c r="L11" s="1" t="n"/>
      <c r="M11" s="1" t="n"/>
    </row>
    <row r="12">
      <c r="A12" s="1" t="n"/>
      <c r="B12" s="15">
        <f>(Dashboard!$AA$1-4)</f>
        <v/>
      </c>
      <c r="C12" s="16">
        <f>COUNTIF(Feeds!$B$6:$B$3005,B12)</f>
        <v/>
      </c>
      <c r="D12" s="16">
        <f>SUMIFS(Feeds!$F$6:$F$3005,Feeds!$B$6:$B$3005,B12,Feeds!$D$6:$D$3005,"Bottle")</f>
        <v/>
      </c>
      <c r="E12" s="16">
        <f>SUMIFS(Feeds!$E$6:$E$3005,Feeds!$B$6:$B$3005,B12,Feeds!$D$6:$D$3005,"Breast*")</f>
        <v/>
      </c>
      <c r="F12" s="17">
        <f>SUMIFS(Sleep!$E$6:$E$2505,Sleep!$B$6:$B$2505,B12)</f>
        <v/>
      </c>
      <c r="G12" s="16">
        <f>COUNTIFS(Nappies!$B$6:$B$3005,B12,Nappies!$D$6:$D$3005,"&lt;&gt;")</f>
        <v/>
      </c>
      <c r="H12" s="16">
        <f>COUNTIFS(Nappies!$B$6:$B$3005,B12,Nappies!$E$6:$E$3005,"&lt;&gt;")</f>
        <v/>
      </c>
      <c r="I12" s="1" t="n"/>
      <c r="J12" s="18">
        <f>"Length ("&amp;Settings!$C$8&amp;")"</f>
        <v/>
      </c>
      <c r="K12" s="21">
        <f>IF(COUNTIF(Growth!$J$6:$J$105,0)=0,"",IF(SUMIFS(Growth!$E$6:$E$105,Growth!$J$6:$J$105,0)=0,"",SUMIFS(Growth!$E$6:$E$105,Growth!$J$6:$J$105,0)))</f>
        <v/>
      </c>
      <c r="L12" s="1" t="n"/>
      <c r="M12" s="1" t="n"/>
    </row>
    <row r="13">
      <c r="A13" s="1" t="n"/>
      <c r="B13" s="15">
        <f>(Dashboard!$AA$1-3)</f>
        <v/>
      </c>
      <c r="C13" s="16">
        <f>COUNTIF(Feeds!$B$6:$B$3005,B13)</f>
        <v/>
      </c>
      <c r="D13" s="16">
        <f>SUMIFS(Feeds!$F$6:$F$3005,Feeds!$B$6:$B$3005,B13,Feeds!$D$6:$D$3005,"Bottle")</f>
        <v/>
      </c>
      <c r="E13" s="16">
        <f>SUMIFS(Feeds!$E$6:$E$3005,Feeds!$B$6:$B$3005,B13,Feeds!$D$6:$D$3005,"Breast*")</f>
        <v/>
      </c>
      <c r="F13" s="17">
        <f>SUMIFS(Sleep!$E$6:$E$2505,Sleep!$B$6:$B$2505,B13)</f>
        <v/>
      </c>
      <c r="G13" s="16">
        <f>COUNTIFS(Nappies!$B$6:$B$3005,B13,Nappies!$D$6:$D$3005,"&lt;&gt;")</f>
        <v/>
      </c>
      <c r="H13" s="16">
        <f>COUNTIFS(Nappies!$B$6:$B$3005,B13,Nappies!$E$6:$E$3005,"&lt;&gt;")</f>
        <v/>
      </c>
      <c r="I13" s="1" t="n"/>
      <c r="J13" s="18">
        <f>"Head ("&amp;Settings!$C$8&amp;")"</f>
        <v/>
      </c>
      <c r="K13" s="21">
        <f>IF(COUNTIF(Growth!$J$6:$J$105,0)=0,"",IF(SUMIFS(Growth!$F$6:$F$105,Growth!$J$6:$J$105,0)=0,"",SUMIFS(Growth!$F$6:$F$105,Growth!$J$6:$J$105,0)))</f>
        <v/>
      </c>
      <c r="L13" s="1" t="n"/>
      <c r="M13" s="1" t="n"/>
    </row>
    <row r="14">
      <c r="A14" s="1" t="n"/>
      <c r="B14" s="15">
        <f>(Dashboard!$AA$1-2)</f>
        <v/>
      </c>
      <c r="C14" s="16">
        <f>COUNTIF(Feeds!$B$6:$B$3005,B14)</f>
        <v/>
      </c>
      <c r="D14" s="16">
        <f>SUMIFS(Feeds!$F$6:$F$3005,Feeds!$B$6:$B$3005,B14,Feeds!$D$6:$D$3005,"Bottle")</f>
        <v/>
      </c>
      <c r="E14" s="16">
        <f>SUMIFS(Feeds!$E$6:$E$3005,Feeds!$B$6:$B$3005,B14,Feeds!$D$6:$D$3005,"Breast*")</f>
        <v/>
      </c>
      <c r="F14" s="17">
        <f>SUMIFS(Sleep!$E$6:$E$2505,Sleep!$B$6:$B$2505,B14)</f>
        <v/>
      </c>
      <c r="G14" s="16">
        <f>COUNTIFS(Nappies!$B$6:$B$3005,B14,Nappies!$D$6:$D$3005,"&lt;&gt;")</f>
        <v/>
      </c>
      <c r="H14" s="16">
        <f>COUNTIFS(Nappies!$B$6:$B$3005,B14,Nappies!$E$6:$E$3005,"&lt;&gt;")</f>
        <v/>
      </c>
      <c r="I14" s="1" t="n"/>
      <c r="J14" s="18" t="inlineStr">
        <is>
          <t>Age then</t>
        </is>
      </c>
      <c r="K14" s="22">
        <f>IF(OR(K10="",Settings!$C$5=""),"",IF((K10-Settings!$C$5)&lt;0,"",INT((K10-Settings!$C$5)/7)&amp;IF(INT((K10-Settings!$C$5)/7)=1," week"," weeks")&amp;IF(MOD((K10-Settings!$C$5),7)=0,""," "&amp;MOD((K10-Settings!$C$5),7)&amp;IF(MOD((K10-Settings!$C$5),7)=1," day"," days"))))</f>
        <v/>
      </c>
      <c r="L14" s="1" t="n"/>
      <c r="M14" s="1" t="n"/>
    </row>
    <row r="15">
      <c r="A15" s="1" t="n"/>
      <c r="B15" s="15">
        <f>(Dashboard!$AA$1-1)</f>
        <v/>
      </c>
      <c r="C15" s="16">
        <f>COUNTIF(Feeds!$B$6:$B$3005,B15)</f>
        <v/>
      </c>
      <c r="D15" s="16">
        <f>SUMIFS(Feeds!$F$6:$F$3005,Feeds!$B$6:$B$3005,B15,Feeds!$D$6:$D$3005,"Bottle")</f>
        <v/>
      </c>
      <c r="E15" s="16">
        <f>SUMIFS(Feeds!$E$6:$E$3005,Feeds!$B$6:$B$3005,B15,Feeds!$D$6:$D$3005,"Breast*")</f>
        <v/>
      </c>
      <c r="F15" s="17">
        <f>SUMIFS(Sleep!$E$6:$E$2505,Sleep!$B$6:$B$2505,B15)</f>
        <v/>
      </c>
      <c r="G15" s="16">
        <f>COUNTIFS(Nappies!$B$6:$B$3005,B15,Nappies!$D$6:$D$3005,"&lt;&gt;")</f>
        <v/>
      </c>
      <c r="H15" s="16">
        <f>COUNTIFS(Nappies!$B$6:$B$3005,B15,Nappies!$E$6:$E$3005,"&lt;&gt;")</f>
        <v/>
      </c>
      <c r="I15" s="1" t="n"/>
      <c r="J15" s="23">
        <f>COUNTIF(Milestones!$C$6:$C$45,"&lt;&gt;")&amp;" milestones so far"</f>
        <v/>
      </c>
      <c r="K15" s="1" t="n"/>
      <c r="L15" s="1" t="n"/>
      <c r="M15" s="1" t="n"/>
    </row>
    <row r="16">
      <c r="A16" s="1" t="n"/>
      <c r="B16" s="15">
        <f>(Dashboard!$AA$1-0)</f>
        <v/>
      </c>
      <c r="C16" s="16">
        <f>COUNTIF(Feeds!$B$6:$B$3005,B16)</f>
        <v/>
      </c>
      <c r="D16" s="16">
        <f>SUMIFS(Feeds!$F$6:$F$3005,Feeds!$B$6:$B$3005,B16,Feeds!$D$6:$D$3005,"Bottle")</f>
        <v/>
      </c>
      <c r="E16" s="16">
        <f>SUMIFS(Feeds!$E$6:$E$3005,Feeds!$B$6:$B$3005,B16,Feeds!$D$6:$D$3005,"Breast*")</f>
        <v/>
      </c>
      <c r="F16" s="17">
        <f>SUMIFS(Sleep!$E$6:$E$2505,Sleep!$B$6:$B$2505,B16)</f>
        <v/>
      </c>
      <c r="G16" s="16">
        <f>COUNTIFS(Nappies!$B$6:$B$3005,B16,Nappies!$D$6:$D$3005,"&lt;&gt;")</f>
        <v/>
      </c>
      <c r="H16" s="16">
        <f>COUNTIFS(Nappies!$B$6:$B$3005,B16,Nappies!$E$6:$E$3005,"&lt;&gt;")</f>
        <v/>
      </c>
      <c r="I16" s="1" t="n"/>
      <c r="J16" s="1" t="n"/>
      <c r="K16" s="1" t="n"/>
      <c r="L16" s="1" t="n"/>
      <c r="M16" s="1" t="n"/>
    </row>
    <row r="17">
      <c r="A17" s="1" t="n"/>
      <c r="B17" s="24" t="inlineStr">
        <is>
          <t>Average</t>
        </is>
      </c>
      <c r="C17" s="25">
        <f>AVERAGE(C10:C16)</f>
        <v/>
      </c>
      <c r="D17" s="25">
        <f>AVERAGE(D10:D16)</f>
        <v/>
      </c>
      <c r="E17" s="25">
        <f>AVERAGE(E10:E16)</f>
        <v/>
      </c>
      <c r="F17" s="25">
        <f>AVERAGE(F10:F16)</f>
        <v/>
      </c>
      <c r="G17" s="25">
        <f>AVERAGE(G10:G16)</f>
        <v/>
      </c>
      <c r="H17" s="25">
        <f>AVERAGE(H10:H16)</f>
        <v/>
      </c>
      <c r="I17" s="1" t="n"/>
      <c r="J17" s="1" t="n"/>
      <c r="K17" s="1" t="n"/>
      <c r="L17" s="1" t="n"/>
      <c r="M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</sheetData>
  <mergeCells count="2">
    <mergeCell ref="H6:K6"/>
    <mergeCell ref="H7:K7"/>
  </mergeCells>
  <conditionalFormatting sqref="B16:H16">
    <cfRule type="expression" priority="1" dxfId="0">
      <formula>TRUE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00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9" customWidth="1" min="3" max="3"/>
    <col width="15" customWidth="1" min="4" max="4"/>
    <col width="10" customWidth="1" min="5" max="5"/>
    <col width="11" customWidth="1" min="6" max="6"/>
    <col width="30" customWidth="1" min="7" max="7"/>
    <col hidden="1" width="13" customWidth="1" min="8" max="8"/>
    <col hidden="1" width="13" customWidth="1" min="9" max="9"/>
    <col hidden="1" width="13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1" t="n"/>
      <c r="B2" s="2" t="inlineStr">
        <is>
          <t>Feeds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One line per feed: breast with the minutes, or bottle with the amount.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0" customHeight="1">
      <c r="A5" s="1" t="n"/>
      <c r="B5" s="14" t="inlineStr">
        <is>
          <t>Date</t>
        </is>
      </c>
      <c r="C5" s="14" t="inlineStr">
        <is>
          <t>Time</t>
        </is>
      </c>
      <c r="D5" s="14" t="inlineStr">
        <is>
          <t>Feed</t>
        </is>
      </c>
      <c r="E5" s="14" t="inlineStr">
        <is>
          <t>Minutes</t>
        </is>
      </c>
      <c r="F5" s="14">
        <f>"Amount ("&amp;Settings!$C$6&amp;")"</f>
        <v/>
      </c>
      <c r="G5" s="14" t="inlineStr">
        <is>
          <t>Notes</t>
        </is>
      </c>
      <c r="H5" s="1" t="n"/>
    </row>
    <row r="6">
      <c r="A6" s="1" t="n"/>
      <c r="B6" s="26" t="n">
        <v>46284</v>
      </c>
      <c r="C6" s="27" t="n">
        <v>0.02430555555555556</v>
      </c>
      <c r="D6" s="28" t="inlineStr">
        <is>
          <t>Breast, right</t>
        </is>
      </c>
      <c r="E6" s="29" t="n">
        <v>20</v>
      </c>
      <c r="F6" s="29" t="n"/>
      <c r="G6" s="28" t="n"/>
      <c r="H6" s="1" t="n"/>
      <c r="I6">
        <f>IF(OR(B6="",C6=""),"",B6+MOD(C6,1))</f>
        <v/>
      </c>
      <c r="J6">
        <f>IF(I6="","",IF(B6=Dashboard!$AA$1,I6,""))</f>
        <v/>
      </c>
    </row>
    <row r="7">
      <c r="A7" s="1" t="n"/>
      <c r="B7" s="26" t="n">
        <v>46284</v>
      </c>
      <c r="C7" s="27" t="n">
        <v>0.1631944444444444</v>
      </c>
      <c r="D7" s="28" t="inlineStr">
        <is>
          <t>Breast, right</t>
        </is>
      </c>
      <c r="E7" s="29" t="n">
        <v>10</v>
      </c>
      <c r="F7" s="29" t="n"/>
      <c r="G7" s="28" t="n"/>
      <c r="H7" s="1" t="n"/>
      <c r="I7">
        <f>IF(OR(B7="",C7=""),"",B7+MOD(C7,1))</f>
        <v/>
      </c>
      <c r="J7">
        <f>IF(I7="","",IF(B7=Dashboard!$AA$1,I7,""))</f>
        <v/>
      </c>
    </row>
    <row r="8">
      <c r="A8" s="1" t="n"/>
      <c r="B8" s="26" t="n">
        <v>46284</v>
      </c>
      <c r="C8" s="27" t="n">
        <v>0.2847222222222222</v>
      </c>
      <c r="D8" s="28" t="inlineStr">
        <is>
          <t>Breast, right</t>
        </is>
      </c>
      <c r="E8" s="29" t="n">
        <v>18</v>
      </c>
      <c r="F8" s="29" t="n"/>
      <c r="G8" s="28" t="n"/>
      <c r="H8" s="1" t="n"/>
      <c r="I8">
        <f>IF(OR(B8="",C8=""),"",B8+MOD(C8,1))</f>
        <v/>
      </c>
      <c r="J8">
        <f>IF(I8="","",IF(B8=Dashboard!$AA$1,I8,""))</f>
        <v/>
      </c>
    </row>
    <row r="9">
      <c r="A9" s="1" t="n"/>
      <c r="B9" s="26" t="n">
        <v>46284</v>
      </c>
      <c r="C9" s="27" t="n">
        <v>0.4131944444444444</v>
      </c>
      <c r="D9" s="28" t="inlineStr">
        <is>
          <t>Bottle</t>
        </is>
      </c>
      <c r="E9" s="29" t="n"/>
      <c r="F9" s="29" t="n">
        <v>120</v>
      </c>
      <c r="G9" s="28" t="n"/>
      <c r="H9" s="1" t="n"/>
      <c r="I9">
        <f>IF(OR(B9="",C9=""),"",B9+MOD(C9,1))</f>
        <v/>
      </c>
      <c r="J9">
        <f>IF(I9="","",IF(B9=Dashboard!$AA$1,I9,""))</f>
        <v/>
      </c>
    </row>
    <row r="10">
      <c r="A10" s="1" t="n"/>
      <c r="B10" s="26" t="n">
        <v>46284</v>
      </c>
      <c r="C10" s="27" t="n">
        <v>0.5347222222222222</v>
      </c>
      <c r="D10" s="28" t="inlineStr">
        <is>
          <t>Breast, right</t>
        </is>
      </c>
      <c r="E10" s="29" t="n">
        <v>25</v>
      </c>
      <c r="F10" s="29" t="n"/>
      <c r="G10" s="28" t="n"/>
      <c r="H10" s="1" t="n"/>
      <c r="I10">
        <f>IF(OR(B10="",C10=""),"",B10+MOD(C10,1))</f>
        <v/>
      </c>
      <c r="J10">
        <f>IF(I10="","",IF(B10=Dashboard!$AA$1,I10,""))</f>
        <v/>
      </c>
    </row>
    <row r="11">
      <c r="A11" s="1" t="n"/>
      <c r="B11" s="26" t="n">
        <v>46284</v>
      </c>
      <c r="C11" s="27" t="n">
        <v>0.6666666666666666</v>
      </c>
      <c r="D11" s="28" t="inlineStr">
        <is>
          <t>Breast, right</t>
        </is>
      </c>
      <c r="E11" s="29" t="n">
        <v>10</v>
      </c>
      <c r="F11" s="29" t="n"/>
      <c r="G11" s="28" t="n"/>
      <c r="H11" s="1" t="n"/>
      <c r="I11">
        <f>IF(OR(B11="",C11=""),"",B11+MOD(C11,1))</f>
        <v/>
      </c>
      <c r="J11">
        <f>IF(I11="","",IF(B11=Dashboard!$AA$1,I11,""))</f>
        <v/>
      </c>
    </row>
    <row r="12">
      <c r="A12" s="1" t="n"/>
      <c r="B12" s="26" t="n">
        <v>46284</v>
      </c>
      <c r="C12" s="27" t="n">
        <v>0.8229166666666666</v>
      </c>
      <c r="D12" s="28" t="inlineStr">
        <is>
          <t>Breast, right</t>
        </is>
      </c>
      <c r="E12" s="29" t="n">
        <v>20</v>
      </c>
      <c r="F12" s="29" t="n"/>
      <c r="G12" s="28" t="n"/>
      <c r="H12" s="1" t="n"/>
      <c r="I12">
        <f>IF(OR(B12="",C12=""),"",B12+MOD(C12,1))</f>
        <v/>
      </c>
      <c r="J12">
        <f>IF(I12="","",IF(B12=Dashboard!$AA$1,I12,""))</f>
        <v/>
      </c>
    </row>
    <row r="13">
      <c r="A13" s="1" t="n"/>
      <c r="B13" s="26" t="n">
        <v>46284</v>
      </c>
      <c r="C13" s="27" t="n">
        <v>0.9409722222222222</v>
      </c>
      <c r="D13" s="28" t="inlineStr">
        <is>
          <t>Bottle</t>
        </is>
      </c>
      <c r="E13" s="29" t="n"/>
      <c r="F13" s="29" t="n">
        <v>130</v>
      </c>
      <c r="G13" s="28" t="n"/>
      <c r="H13" s="1" t="n"/>
      <c r="I13">
        <f>IF(OR(B13="",C13=""),"",B13+MOD(C13,1))</f>
        <v/>
      </c>
      <c r="J13">
        <f>IF(I13="","",IF(B13=Dashboard!$AA$1,I13,""))</f>
        <v/>
      </c>
    </row>
    <row r="14">
      <c r="A14" s="1" t="n"/>
      <c r="B14" s="26" t="n">
        <v>46285</v>
      </c>
      <c r="C14" s="27" t="n">
        <v>0.01041666666666667</v>
      </c>
      <c r="D14" s="28" t="inlineStr">
        <is>
          <t>Breast, left</t>
        </is>
      </c>
      <c r="E14" s="29" t="n">
        <v>25</v>
      </c>
      <c r="F14" s="29" t="n"/>
      <c r="G14" s="28" t="n"/>
      <c r="H14" s="1" t="n"/>
      <c r="I14">
        <f>IF(OR(B14="",C14=""),"",B14+MOD(C14,1))</f>
        <v/>
      </c>
      <c r="J14">
        <f>IF(I14="","",IF(B14=Dashboard!$AA$1,I14,""))</f>
        <v/>
      </c>
    </row>
    <row r="15">
      <c r="A15" s="1" t="n"/>
      <c r="B15" s="26" t="n">
        <v>46285</v>
      </c>
      <c r="C15" s="27" t="n">
        <v>0.1458333333333333</v>
      </c>
      <c r="D15" s="28" t="inlineStr">
        <is>
          <t>Breast, left</t>
        </is>
      </c>
      <c r="E15" s="29" t="n">
        <v>20</v>
      </c>
      <c r="F15" s="29" t="n"/>
      <c r="G15" s="28" t="n"/>
      <c r="H15" s="1" t="n"/>
      <c r="I15">
        <f>IF(OR(B15="",C15=""),"",B15+MOD(C15,1))</f>
        <v/>
      </c>
      <c r="J15">
        <f>IF(I15="","",IF(B15=Dashboard!$AA$1,I15,""))</f>
        <v/>
      </c>
    </row>
    <row r="16">
      <c r="A16" s="1" t="n"/>
      <c r="B16" s="26" t="n">
        <v>46285</v>
      </c>
      <c r="C16" s="27" t="n">
        <v>0.28125</v>
      </c>
      <c r="D16" s="28" t="inlineStr">
        <is>
          <t>Breast, right</t>
        </is>
      </c>
      <c r="E16" s="29" t="n">
        <v>25</v>
      </c>
      <c r="F16" s="29" t="n"/>
      <c r="G16" s="28" t="n"/>
      <c r="H16" s="1" t="n"/>
      <c r="I16">
        <f>IF(OR(B16="",C16=""),"",B16+MOD(C16,1))</f>
        <v/>
      </c>
      <c r="J16">
        <f>IF(I16="","",IF(B16=Dashboard!$AA$1,I16,""))</f>
        <v/>
      </c>
    </row>
    <row r="17">
      <c r="A17" s="1" t="n"/>
      <c r="B17" s="26" t="n">
        <v>46285</v>
      </c>
      <c r="C17" s="27" t="n">
        <v>0.4201388888888889</v>
      </c>
      <c r="D17" s="28" t="inlineStr">
        <is>
          <t>Bottle</t>
        </is>
      </c>
      <c r="E17" s="29" t="n"/>
      <c r="F17" s="29" t="n">
        <v>150</v>
      </c>
      <c r="G17" s="28" t="n"/>
      <c r="H17" s="1" t="n"/>
      <c r="I17">
        <f>IF(OR(B17="",C17=""),"",B17+MOD(C17,1))</f>
        <v/>
      </c>
      <c r="J17">
        <f>IF(I17="","",IF(B17=Dashboard!$AA$1,I17,""))</f>
        <v/>
      </c>
    </row>
    <row r="18">
      <c r="A18" s="1" t="n"/>
      <c r="B18" s="26" t="n">
        <v>46285</v>
      </c>
      <c r="C18" s="27" t="n">
        <v>0.5416666666666666</v>
      </c>
      <c r="D18" s="28" t="inlineStr">
        <is>
          <t>Breast, both</t>
        </is>
      </c>
      <c r="E18" s="29" t="n">
        <v>25</v>
      </c>
      <c r="F18" s="29" t="n"/>
      <c r="G18" s="28" t="n"/>
      <c r="H18" s="1" t="n"/>
      <c r="I18">
        <f>IF(OR(B18="",C18=""),"",B18+MOD(C18,1))</f>
        <v/>
      </c>
      <c r="J18">
        <f>IF(I18="","",IF(B18=Dashboard!$AA$1,I18,""))</f>
        <v/>
      </c>
    </row>
    <row r="19">
      <c r="A19" s="1" t="n"/>
      <c r="B19" s="26" t="n">
        <v>46285</v>
      </c>
      <c r="C19" s="27" t="n">
        <v>0.6666666666666666</v>
      </c>
      <c r="D19" s="28" t="inlineStr">
        <is>
          <t>Breast, both</t>
        </is>
      </c>
      <c r="E19" s="29" t="n">
        <v>25</v>
      </c>
      <c r="F19" s="29" t="n"/>
      <c r="G19" s="28" t="n"/>
      <c r="H19" s="1" t="n"/>
      <c r="I19">
        <f>IF(OR(B19="",C19=""),"",B19+MOD(C19,1))</f>
        <v/>
      </c>
      <c r="J19">
        <f>IF(I19="","",IF(B19=Dashboard!$AA$1,I19,""))</f>
        <v/>
      </c>
    </row>
    <row r="20">
      <c r="A20" s="1" t="n"/>
      <c r="B20" s="26" t="n">
        <v>46285</v>
      </c>
      <c r="C20" s="27" t="n">
        <v>0.8229166666666666</v>
      </c>
      <c r="D20" s="28" t="inlineStr">
        <is>
          <t>Breast, both</t>
        </is>
      </c>
      <c r="E20" s="29" t="n">
        <v>25</v>
      </c>
      <c r="F20" s="29" t="n"/>
      <c r="G20" s="28" t="n"/>
      <c r="H20" s="1" t="n"/>
      <c r="I20">
        <f>IF(OR(B20="",C20=""),"",B20+MOD(C20,1))</f>
        <v/>
      </c>
      <c r="J20">
        <f>IF(I20="","",IF(B20=Dashboard!$AA$1,I20,""))</f>
        <v/>
      </c>
    </row>
    <row r="21">
      <c r="A21" s="1" t="n"/>
      <c r="B21" s="26" t="n">
        <v>46285</v>
      </c>
      <c r="C21" s="27" t="n">
        <v>0.9479166666666666</v>
      </c>
      <c r="D21" s="28" t="inlineStr">
        <is>
          <t>Bottle</t>
        </is>
      </c>
      <c r="E21" s="29" t="n"/>
      <c r="F21" s="29" t="n">
        <v>130</v>
      </c>
      <c r="G21" s="28" t="n"/>
      <c r="H21" s="1" t="n"/>
      <c r="I21">
        <f>IF(OR(B21="",C21=""),"",B21+MOD(C21,1))</f>
        <v/>
      </c>
      <c r="J21">
        <f>IF(I21="","",IF(B21=Dashboard!$AA$1,I21,""))</f>
        <v/>
      </c>
    </row>
    <row r="22">
      <c r="A22" s="1" t="n"/>
      <c r="B22" s="26" t="n">
        <v>46286</v>
      </c>
      <c r="C22" s="27" t="n">
        <v>0.01388888888888889</v>
      </c>
      <c r="D22" s="28" t="inlineStr">
        <is>
          <t>Breast, left</t>
        </is>
      </c>
      <c r="E22" s="29" t="n">
        <v>12</v>
      </c>
      <c r="F22" s="29" t="n"/>
      <c r="G22" s="28" t="n"/>
      <c r="H22" s="1" t="n"/>
      <c r="I22">
        <f>IF(OR(B22="",C22=""),"",B22+MOD(C22,1))</f>
        <v/>
      </c>
      <c r="J22">
        <f>IF(I22="","",IF(B22=Dashboard!$AA$1,I22,""))</f>
        <v/>
      </c>
    </row>
    <row r="23">
      <c r="A23" s="1" t="n"/>
      <c r="B23" s="26" t="n">
        <v>46286</v>
      </c>
      <c r="C23" s="27" t="n">
        <v>0.1423611111111111</v>
      </c>
      <c r="D23" s="28" t="inlineStr">
        <is>
          <t>Breast, both</t>
        </is>
      </c>
      <c r="E23" s="29" t="n">
        <v>12</v>
      </c>
      <c r="F23" s="29" t="n"/>
      <c r="G23" s="28" t="n"/>
      <c r="H23" s="1" t="n"/>
      <c r="I23">
        <f>IF(OR(B23="",C23=""),"",B23+MOD(C23,1))</f>
        <v/>
      </c>
      <c r="J23">
        <f>IF(I23="","",IF(B23=Dashboard!$AA$1,I23,""))</f>
        <v/>
      </c>
    </row>
    <row r="24">
      <c r="A24" s="1" t="n"/>
      <c r="B24" s="26" t="n">
        <v>46286</v>
      </c>
      <c r="C24" s="27" t="n">
        <v>0.2986111111111111</v>
      </c>
      <c r="D24" s="28" t="inlineStr">
        <is>
          <t>Breast, both</t>
        </is>
      </c>
      <c r="E24" s="29" t="n">
        <v>18</v>
      </c>
      <c r="F24" s="29" t="n"/>
      <c r="G24" s="28" t="n"/>
      <c r="H24" s="1" t="n"/>
      <c r="I24">
        <f>IF(OR(B24="",C24=""),"",B24+MOD(C24,1))</f>
        <v/>
      </c>
      <c r="J24">
        <f>IF(I24="","",IF(B24=Dashboard!$AA$1,I24,""))</f>
        <v/>
      </c>
    </row>
    <row r="25">
      <c r="A25" s="1" t="n"/>
      <c r="B25" s="26" t="n">
        <v>46286</v>
      </c>
      <c r="C25" s="27" t="n">
        <v>0.4270833333333333</v>
      </c>
      <c r="D25" s="28" t="inlineStr">
        <is>
          <t>Bottle</t>
        </is>
      </c>
      <c r="E25" s="29" t="n"/>
      <c r="F25" s="29" t="n">
        <v>130</v>
      </c>
      <c r="G25" s="28" t="n"/>
      <c r="H25" s="1" t="n"/>
      <c r="I25">
        <f>IF(OR(B25="",C25=""),"",B25+MOD(C25,1))</f>
        <v/>
      </c>
      <c r="J25">
        <f>IF(I25="","",IF(B25=Dashboard!$AA$1,I25,""))</f>
        <v/>
      </c>
    </row>
    <row r="26">
      <c r="A26" s="1" t="n"/>
      <c r="B26" s="26" t="n">
        <v>46286</v>
      </c>
      <c r="C26" s="27" t="n">
        <v>0.5381944444444444</v>
      </c>
      <c r="D26" s="28" t="inlineStr">
        <is>
          <t>Breast, both</t>
        </is>
      </c>
      <c r="E26" s="29" t="n">
        <v>12</v>
      </c>
      <c r="F26" s="29" t="n"/>
      <c r="G26" s="28" t="n"/>
      <c r="H26" s="1" t="n"/>
      <c r="I26">
        <f>IF(OR(B26="",C26=""),"",B26+MOD(C26,1))</f>
        <v/>
      </c>
      <c r="J26">
        <f>IF(I26="","",IF(B26=Dashboard!$AA$1,I26,""))</f>
        <v/>
      </c>
    </row>
    <row r="27">
      <c r="A27" s="1" t="n"/>
      <c r="B27" s="26" t="n">
        <v>46286</v>
      </c>
      <c r="C27" s="27" t="n">
        <v>0.6909722222222222</v>
      </c>
      <c r="D27" s="28" t="inlineStr">
        <is>
          <t>Breast, left</t>
        </is>
      </c>
      <c r="E27" s="29" t="n">
        <v>10</v>
      </c>
      <c r="F27" s="29" t="n"/>
      <c r="G27" s="28" t="n"/>
      <c r="H27" s="1" t="n"/>
      <c r="I27">
        <f>IF(OR(B27="",C27=""),"",B27+MOD(C27,1))</f>
        <v/>
      </c>
      <c r="J27">
        <f>IF(I27="","",IF(B27=Dashboard!$AA$1,I27,""))</f>
        <v/>
      </c>
    </row>
    <row r="28">
      <c r="A28" s="1" t="n"/>
      <c r="B28" s="26" t="n">
        <v>46286</v>
      </c>
      <c r="C28" s="27" t="n">
        <v>0.8090277777777778</v>
      </c>
      <c r="D28" s="28" t="inlineStr">
        <is>
          <t>Breast, both</t>
        </is>
      </c>
      <c r="E28" s="29" t="n">
        <v>20</v>
      </c>
      <c r="F28" s="29" t="n"/>
      <c r="G28" s="28" t="n"/>
      <c r="H28" s="1" t="n"/>
      <c r="I28">
        <f>IF(OR(B28="",C28=""),"",B28+MOD(C28,1))</f>
        <v/>
      </c>
      <c r="J28">
        <f>IF(I28="","",IF(B28=Dashboard!$AA$1,I28,""))</f>
        <v/>
      </c>
    </row>
    <row r="29">
      <c r="A29" s="1" t="n"/>
      <c r="B29" s="26" t="n">
        <v>46286</v>
      </c>
      <c r="C29" s="27" t="n">
        <v>0.9305555555555556</v>
      </c>
      <c r="D29" s="28" t="inlineStr">
        <is>
          <t>Bottle</t>
        </is>
      </c>
      <c r="E29" s="29" t="n"/>
      <c r="F29" s="29" t="n">
        <v>130</v>
      </c>
      <c r="G29" s="28" t="n"/>
      <c r="H29" s="1" t="n"/>
      <c r="I29">
        <f>IF(OR(B29="",C29=""),"",B29+MOD(C29,1))</f>
        <v/>
      </c>
      <c r="J29">
        <f>IF(I29="","",IF(B29=Dashboard!$AA$1,I29,""))</f>
        <v/>
      </c>
    </row>
    <row r="30">
      <c r="A30" s="1" t="n"/>
      <c r="B30" s="26" t="n">
        <v>46287</v>
      </c>
      <c r="C30" s="27" t="n">
        <v>0.01388888888888889</v>
      </c>
      <c r="D30" s="28" t="inlineStr">
        <is>
          <t>Breast, right</t>
        </is>
      </c>
      <c r="E30" s="29" t="n">
        <v>12</v>
      </c>
      <c r="F30" s="29" t="n"/>
      <c r="G30" s="28" t="n"/>
      <c r="H30" s="1" t="n"/>
      <c r="I30">
        <f>IF(OR(B30="",C30=""),"",B30+MOD(C30,1))</f>
        <v/>
      </c>
      <c r="J30">
        <f>IF(I30="","",IF(B30=Dashboard!$AA$1,I30,""))</f>
        <v/>
      </c>
    </row>
    <row r="31">
      <c r="A31" s="1" t="n"/>
      <c r="B31" s="26" t="n">
        <v>46287</v>
      </c>
      <c r="C31" s="27" t="n">
        <v>0.1631944444444444</v>
      </c>
      <c r="D31" s="28" t="inlineStr">
        <is>
          <t>Breast, both</t>
        </is>
      </c>
      <c r="E31" s="29" t="n">
        <v>25</v>
      </c>
      <c r="F31" s="29" t="n"/>
      <c r="G31" s="28" t="n"/>
      <c r="H31" s="1" t="n"/>
      <c r="I31">
        <f>IF(OR(B31="",C31=""),"",B31+MOD(C31,1))</f>
        <v/>
      </c>
      <c r="J31">
        <f>IF(I31="","",IF(B31=Dashboard!$AA$1,I31,""))</f>
        <v/>
      </c>
    </row>
    <row r="32">
      <c r="A32" s="1" t="n"/>
      <c r="B32" s="26" t="n">
        <v>46287</v>
      </c>
      <c r="C32" s="27" t="n">
        <v>0.28125</v>
      </c>
      <c r="D32" s="28" t="inlineStr">
        <is>
          <t>Breast, left</t>
        </is>
      </c>
      <c r="E32" s="29" t="n">
        <v>10</v>
      </c>
      <c r="F32" s="29" t="n"/>
      <c r="G32" s="28" t="n"/>
      <c r="H32" s="1" t="n"/>
      <c r="I32">
        <f>IF(OR(B32="",C32=""),"",B32+MOD(C32,1))</f>
        <v/>
      </c>
      <c r="J32">
        <f>IF(I32="","",IF(B32=Dashboard!$AA$1,I32,""))</f>
        <v/>
      </c>
    </row>
    <row r="33">
      <c r="A33" s="1" t="n"/>
      <c r="B33" s="26" t="n">
        <v>46287</v>
      </c>
      <c r="C33" s="27" t="n">
        <v>0.4305555555555556</v>
      </c>
      <c r="D33" s="28" t="inlineStr">
        <is>
          <t>Bottle</t>
        </is>
      </c>
      <c r="E33" s="29" t="n"/>
      <c r="F33" s="29" t="n">
        <v>150</v>
      </c>
      <c r="G33" s="28" t="n"/>
      <c r="H33" s="1" t="n"/>
      <c r="I33">
        <f>IF(OR(B33="",C33=""),"",B33+MOD(C33,1))</f>
        <v/>
      </c>
      <c r="J33">
        <f>IF(I33="","",IF(B33=Dashboard!$AA$1,I33,""))</f>
        <v/>
      </c>
    </row>
    <row r="34">
      <c r="A34" s="1" t="n"/>
      <c r="B34" s="26" t="n">
        <v>46287</v>
      </c>
      <c r="C34" s="27" t="n">
        <v>0.5347222222222222</v>
      </c>
      <c r="D34" s="28" t="inlineStr">
        <is>
          <t>Breast, both</t>
        </is>
      </c>
      <c r="E34" s="29" t="n">
        <v>25</v>
      </c>
      <c r="F34" s="29" t="n"/>
      <c r="G34" s="28" t="n"/>
      <c r="H34" s="1" t="n"/>
      <c r="I34">
        <f>IF(OR(B34="",C34=""),"",B34+MOD(C34,1))</f>
        <v/>
      </c>
      <c r="J34">
        <f>IF(I34="","",IF(B34=Dashboard!$AA$1,I34,""))</f>
        <v/>
      </c>
    </row>
    <row r="35">
      <c r="A35" s="1" t="n"/>
      <c r="B35" s="26" t="n">
        <v>46287</v>
      </c>
      <c r="C35" s="27" t="n">
        <v>0.6770833333333334</v>
      </c>
      <c r="D35" s="28" t="inlineStr">
        <is>
          <t>Breast, right</t>
        </is>
      </c>
      <c r="E35" s="29" t="n">
        <v>10</v>
      </c>
      <c r="F35" s="29" t="n"/>
      <c r="G35" s="28" t="n"/>
      <c r="H35" s="1" t="n"/>
      <c r="I35">
        <f>IF(OR(B35="",C35=""),"",B35+MOD(C35,1))</f>
        <v/>
      </c>
      <c r="J35">
        <f>IF(I35="","",IF(B35=Dashboard!$AA$1,I35,""))</f>
        <v/>
      </c>
    </row>
    <row r="36">
      <c r="A36" s="1" t="n"/>
      <c r="B36" s="26" t="n">
        <v>46287</v>
      </c>
      <c r="C36" s="27" t="n">
        <v>0.7951388888888888</v>
      </c>
      <c r="D36" s="28" t="inlineStr">
        <is>
          <t>Breast, right</t>
        </is>
      </c>
      <c r="E36" s="29" t="n">
        <v>12</v>
      </c>
      <c r="F36" s="29" t="n"/>
      <c r="G36" s="28" t="n"/>
      <c r="H36" s="1" t="n"/>
      <c r="I36">
        <f>IF(OR(B36="",C36=""),"",B36+MOD(C36,1))</f>
        <v/>
      </c>
      <c r="J36">
        <f>IF(I36="","",IF(B36=Dashboard!$AA$1,I36,""))</f>
        <v/>
      </c>
    </row>
    <row r="37">
      <c r="A37" s="1" t="n"/>
      <c r="B37" s="26" t="n">
        <v>46287</v>
      </c>
      <c r="C37" s="27" t="n">
        <v>0.9340277777777778</v>
      </c>
      <c r="D37" s="28" t="inlineStr">
        <is>
          <t>Bottle</t>
        </is>
      </c>
      <c r="E37" s="29" t="n"/>
      <c r="F37" s="29" t="n">
        <v>120</v>
      </c>
      <c r="G37" s="28" t="n"/>
      <c r="H37" s="1" t="n"/>
      <c r="I37">
        <f>IF(OR(B37="",C37=""),"",B37+MOD(C37,1))</f>
        <v/>
      </c>
      <c r="J37">
        <f>IF(I37="","",IF(B37=Dashboard!$AA$1,I37,""))</f>
        <v/>
      </c>
    </row>
    <row r="38">
      <c r="A38" s="1" t="n"/>
      <c r="B38" s="26" t="n">
        <v>46288</v>
      </c>
      <c r="C38" s="27" t="n">
        <v>0.01041666666666667</v>
      </c>
      <c r="D38" s="28" t="inlineStr">
        <is>
          <t>Breast, left</t>
        </is>
      </c>
      <c r="E38" s="29" t="n">
        <v>12</v>
      </c>
      <c r="F38" s="29" t="n"/>
      <c r="G38" s="28" t="n"/>
      <c r="H38" s="1" t="n"/>
      <c r="I38">
        <f>IF(OR(B38="",C38=""),"",B38+MOD(C38,1))</f>
        <v/>
      </c>
      <c r="J38">
        <f>IF(I38="","",IF(B38=Dashboard!$AA$1,I38,""))</f>
        <v/>
      </c>
    </row>
    <row r="39">
      <c r="A39" s="1" t="n"/>
      <c r="B39" s="26" t="n">
        <v>46288</v>
      </c>
      <c r="C39" s="27" t="n">
        <v>0.1388888888888889</v>
      </c>
      <c r="D39" s="28" t="inlineStr">
        <is>
          <t>Breast, right</t>
        </is>
      </c>
      <c r="E39" s="29" t="n">
        <v>15</v>
      </c>
      <c r="F39" s="29" t="n"/>
      <c r="G39" s="28" t="n"/>
      <c r="H39" s="1" t="n"/>
      <c r="I39">
        <f>IF(OR(B39="",C39=""),"",B39+MOD(C39,1))</f>
        <v/>
      </c>
      <c r="J39">
        <f>IF(I39="","",IF(B39=Dashboard!$AA$1,I39,""))</f>
        <v/>
      </c>
    </row>
    <row r="40">
      <c r="A40" s="1" t="n"/>
      <c r="B40" s="26" t="n">
        <v>46288</v>
      </c>
      <c r="C40" s="27" t="n">
        <v>0.2951388888888889</v>
      </c>
      <c r="D40" s="28" t="inlineStr">
        <is>
          <t>Breast, right</t>
        </is>
      </c>
      <c r="E40" s="29" t="n">
        <v>25</v>
      </c>
      <c r="F40" s="29" t="n"/>
      <c r="G40" s="28" t="n"/>
      <c r="H40" s="1" t="n"/>
      <c r="I40">
        <f>IF(OR(B40="",C40=""),"",B40+MOD(C40,1))</f>
        <v/>
      </c>
      <c r="J40">
        <f>IF(I40="","",IF(B40=Dashboard!$AA$1,I40,""))</f>
        <v/>
      </c>
    </row>
    <row r="41">
      <c r="A41" s="1" t="n"/>
      <c r="B41" s="26" t="n">
        <v>46288</v>
      </c>
      <c r="C41" s="27" t="n">
        <v>0.3993055555555556</v>
      </c>
      <c r="D41" s="28" t="inlineStr">
        <is>
          <t>Bottle</t>
        </is>
      </c>
      <c r="E41" s="29" t="n"/>
      <c r="F41" s="29" t="n">
        <v>120</v>
      </c>
      <c r="G41" s="28" t="n"/>
      <c r="H41" s="1" t="n"/>
      <c r="I41">
        <f>IF(OR(B41="",C41=""),"",B41+MOD(C41,1))</f>
        <v/>
      </c>
      <c r="J41">
        <f>IF(I41="","",IF(B41=Dashboard!$AA$1,I41,""))</f>
        <v/>
      </c>
    </row>
    <row r="42">
      <c r="A42" s="1" t="n"/>
      <c r="B42" s="26" t="n">
        <v>46288</v>
      </c>
      <c r="C42" s="27" t="n">
        <v>0.5520833333333334</v>
      </c>
      <c r="D42" s="28" t="inlineStr">
        <is>
          <t>Breast, both</t>
        </is>
      </c>
      <c r="E42" s="29" t="n">
        <v>15</v>
      </c>
      <c r="F42" s="29" t="n"/>
      <c r="G42" s="28" t="n"/>
      <c r="H42" s="1" t="n"/>
      <c r="I42">
        <f>IF(OR(B42="",C42=""),"",B42+MOD(C42,1))</f>
        <v/>
      </c>
      <c r="J42">
        <f>IF(I42="","",IF(B42=Dashboard!$AA$1,I42,""))</f>
        <v/>
      </c>
    </row>
    <row r="43">
      <c r="A43" s="1" t="n"/>
      <c r="B43" s="26" t="n">
        <v>46288</v>
      </c>
      <c r="C43" s="27" t="n">
        <v>0.6875</v>
      </c>
      <c r="D43" s="28" t="inlineStr">
        <is>
          <t>Breast, both</t>
        </is>
      </c>
      <c r="E43" s="29" t="n">
        <v>18</v>
      </c>
      <c r="F43" s="29" t="n"/>
      <c r="G43" s="28" t="n"/>
      <c r="H43" s="1" t="n"/>
      <c r="I43">
        <f>IF(OR(B43="",C43=""),"",B43+MOD(C43,1))</f>
        <v/>
      </c>
      <c r="J43">
        <f>IF(I43="","",IF(B43=Dashboard!$AA$1,I43,""))</f>
        <v/>
      </c>
    </row>
    <row r="44">
      <c r="A44" s="1" t="n"/>
      <c r="B44" s="26" t="n">
        <v>46288</v>
      </c>
      <c r="C44" s="27" t="n">
        <v>0.8020833333333334</v>
      </c>
      <c r="D44" s="28" t="inlineStr">
        <is>
          <t>Breast, both</t>
        </is>
      </c>
      <c r="E44" s="29" t="n">
        <v>25</v>
      </c>
      <c r="F44" s="29" t="n"/>
      <c r="G44" s="28" t="n"/>
      <c r="H44" s="1" t="n"/>
      <c r="I44">
        <f>IF(OR(B44="",C44=""),"",B44+MOD(C44,1))</f>
        <v/>
      </c>
      <c r="J44">
        <f>IF(I44="","",IF(B44=Dashboard!$AA$1,I44,""))</f>
        <v/>
      </c>
    </row>
    <row r="45">
      <c r="A45" s="1" t="n"/>
      <c r="B45" s="26" t="n">
        <v>46288</v>
      </c>
      <c r="C45" s="27" t="n">
        <v>0.9340277777777778</v>
      </c>
      <c r="D45" s="28" t="inlineStr">
        <is>
          <t>Bottle</t>
        </is>
      </c>
      <c r="E45" s="29" t="n"/>
      <c r="F45" s="29" t="n">
        <v>120</v>
      </c>
      <c r="G45" s="28" t="n"/>
      <c r="H45" s="1" t="n"/>
      <c r="I45">
        <f>IF(OR(B45="",C45=""),"",B45+MOD(C45,1))</f>
        <v/>
      </c>
      <c r="J45">
        <f>IF(I45="","",IF(B45=Dashboard!$AA$1,I45,""))</f>
        <v/>
      </c>
    </row>
    <row r="46">
      <c r="A46" s="1" t="n"/>
      <c r="B46" s="26" t="n">
        <v>46289</v>
      </c>
      <c r="C46" s="27" t="n">
        <v>0.03125</v>
      </c>
      <c r="D46" s="28" t="inlineStr">
        <is>
          <t>Breast, left</t>
        </is>
      </c>
      <c r="E46" s="29" t="n">
        <v>12</v>
      </c>
      <c r="F46" s="29" t="n"/>
      <c r="G46" s="28" t="n"/>
      <c r="H46" s="1" t="n"/>
      <c r="I46">
        <f>IF(OR(B46="",C46=""),"",B46+MOD(C46,1))</f>
        <v/>
      </c>
      <c r="J46">
        <f>IF(I46="","",IF(B46=Dashboard!$AA$1,I46,""))</f>
        <v/>
      </c>
    </row>
    <row r="47">
      <c r="A47" s="1" t="n"/>
      <c r="B47" s="26" t="n">
        <v>46289</v>
      </c>
      <c r="C47" s="27" t="n">
        <v>0.1597222222222222</v>
      </c>
      <c r="D47" s="28" t="inlineStr">
        <is>
          <t>Breast, left</t>
        </is>
      </c>
      <c r="E47" s="29" t="n">
        <v>12</v>
      </c>
      <c r="F47" s="29" t="n"/>
      <c r="G47" s="28" t="n"/>
      <c r="H47" s="1" t="n"/>
      <c r="I47">
        <f>IF(OR(B47="",C47=""),"",B47+MOD(C47,1))</f>
        <v/>
      </c>
      <c r="J47">
        <f>IF(I47="","",IF(B47=Dashboard!$AA$1,I47,""))</f>
        <v/>
      </c>
    </row>
    <row r="48">
      <c r="A48" s="1" t="n"/>
      <c r="B48" s="26" t="n">
        <v>46289</v>
      </c>
      <c r="C48" s="27" t="n">
        <v>0.2916666666666667</v>
      </c>
      <c r="D48" s="28" t="inlineStr">
        <is>
          <t>Breast, right</t>
        </is>
      </c>
      <c r="E48" s="29" t="n">
        <v>25</v>
      </c>
      <c r="F48" s="29" t="n"/>
      <c r="G48" s="28" t="n"/>
      <c r="H48" s="1" t="n"/>
      <c r="I48">
        <f>IF(OR(B48="",C48=""),"",B48+MOD(C48,1))</f>
        <v/>
      </c>
      <c r="J48">
        <f>IF(I48="","",IF(B48=Dashboard!$AA$1,I48,""))</f>
        <v/>
      </c>
    </row>
    <row r="49">
      <c r="A49" s="1" t="n"/>
      <c r="B49" s="26" t="n">
        <v>46289</v>
      </c>
      <c r="C49" s="27" t="n">
        <v>0.4097222222222222</v>
      </c>
      <c r="D49" s="28" t="inlineStr">
        <is>
          <t>Bottle</t>
        </is>
      </c>
      <c r="E49" s="29" t="n"/>
      <c r="F49" s="29" t="n">
        <v>120</v>
      </c>
      <c r="G49" s="28" t="n"/>
      <c r="H49" s="1" t="n"/>
      <c r="I49">
        <f>IF(OR(B49="",C49=""),"",B49+MOD(C49,1))</f>
        <v/>
      </c>
      <c r="J49">
        <f>IF(I49="","",IF(B49=Dashboard!$AA$1,I49,""))</f>
        <v/>
      </c>
    </row>
    <row r="50">
      <c r="A50" s="1" t="n"/>
      <c r="B50" s="26" t="n">
        <v>46289</v>
      </c>
      <c r="C50" s="27" t="n">
        <v>0.5555555555555556</v>
      </c>
      <c r="D50" s="28" t="inlineStr">
        <is>
          <t>Breast, right</t>
        </is>
      </c>
      <c r="E50" s="29" t="n">
        <v>12</v>
      </c>
      <c r="F50" s="29" t="n"/>
      <c r="G50" s="28" t="n"/>
      <c r="H50" s="1" t="n"/>
      <c r="I50">
        <f>IF(OR(B50="",C50=""),"",B50+MOD(C50,1))</f>
        <v/>
      </c>
      <c r="J50">
        <f>IF(I50="","",IF(B50=Dashboard!$AA$1,I50,""))</f>
        <v/>
      </c>
    </row>
    <row r="51">
      <c r="A51" s="1" t="n"/>
      <c r="B51" s="26" t="n">
        <v>46289</v>
      </c>
      <c r="C51" s="27" t="n">
        <v>0.6597222222222222</v>
      </c>
      <c r="D51" s="28" t="inlineStr">
        <is>
          <t>Breast, both</t>
        </is>
      </c>
      <c r="E51" s="29" t="n">
        <v>20</v>
      </c>
      <c r="F51" s="29" t="n"/>
      <c r="G51" s="28" t="n"/>
      <c r="H51" s="1" t="n"/>
      <c r="I51">
        <f>IF(OR(B51="",C51=""),"",B51+MOD(C51,1))</f>
        <v/>
      </c>
      <c r="J51">
        <f>IF(I51="","",IF(B51=Dashboard!$AA$1,I51,""))</f>
        <v/>
      </c>
    </row>
    <row r="52">
      <c r="A52" s="1" t="n"/>
      <c r="B52" s="26" t="n">
        <v>46289</v>
      </c>
      <c r="C52" s="27" t="n">
        <v>0.8125</v>
      </c>
      <c r="D52" s="28" t="inlineStr">
        <is>
          <t>Breast, both</t>
        </is>
      </c>
      <c r="E52" s="29" t="n">
        <v>15</v>
      </c>
      <c r="F52" s="29" t="n"/>
      <c r="G52" s="28" t="n"/>
      <c r="H52" s="1" t="n"/>
      <c r="I52">
        <f>IF(OR(B52="",C52=""),"",B52+MOD(C52,1))</f>
        <v/>
      </c>
      <c r="J52">
        <f>IF(I52="","",IF(B52=Dashboard!$AA$1,I52,""))</f>
        <v/>
      </c>
    </row>
    <row r="53">
      <c r="A53" s="1" t="n"/>
      <c r="B53" s="26" t="n">
        <v>46289</v>
      </c>
      <c r="C53" s="27" t="n">
        <v>0.9375</v>
      </c>
      <c r="D53" s="28" t="inlineStr">
        <is>
          <t>Bottle</t>
        </is>
      </c>
      <c r="E53" s="29" t="n"/>
      <c r="F53" s="29" t="n">
        <v>140</v>
      </c>
      <c r="G53" s="28" t="n"/>
      <c r="H53" s="1" t="n"/>
      <c r="I53">
        <f>IF(OR(B53="",C53=""),"",B53+MOD(C53,1))</f>
        <v/>
      </c>
      <c r="J53">
        <f>IF(I53="","",IF(B53=Dashboard!$AA$1,I53,""))</f>
        <v/>
      </c>
    </row>
    <row r="54">
      <c r="A54" s="1" t="n"/>
      <c r="B54" s="26" t="n">
        <v>46290</v>
      </c>
      <c r="C54" s="27" t="n">
        <v>0.02777777777777778</v>
      </c>
      <c r="D54" s="28" t="inlineStr">
        <is>
          <t>Breast, right</t>
        </is>
      </c>
      <c r="E54" s="29" t="n">
        <v>12</v>
      </c>
      <c r="F54" s="29" t="n"/>
      <c r="G54" s="28" t="n"/>
      <c r="H54" s="1" t="n"/>
      <c r="I54">
        <f>IF(OR(B54="",C54=""),"",B54+MOD(C54,1))</f>
        <v/>
      </c>
      <c r="J54">
        <f>IF(I54="","",IF(B54=Dashboard!$AA$1,I54,""))</f>
        <v/>
      </c>
    </row>
    <row r="55">
      <c r="A55" s="1" t="n"/>
      <c r="B55" s="26" t="n">
        <v>46290</v>
      </c>
      <c r="C55" s="27" t="n">
        <v>0.1388888888888889</v>
      </c>
      <c r="D55" s="28" t="inlineStr">
        <is>
          <t>Breast, both</t>
        </is>
      </c>
      <c r="E55" s="29" t="n">
        <v>15</v>
      </c>
      <c r="F55" s="29" t="n"/>
      <c r="G55" s="28" t="n"/>
      <c r="H55" s="1" t="n"/>
      <c r="I55">
        <f>IF(OR(B55="",C55=""),"",B55+MOD(C55,1))</f>
        <v/>
      </c>
      <c r="J55">
        <f>IF(I55="","",IF(B55=Dashboard!$AA$1,I55,""))</f>
        <v/>
      </c>
    </row>
    <row r="56">
      <c r="A56" s="1" t="n"/>
      <c r="B56" s="26" t="n">
        <v>46290</v>
      </c>
      <c r="C56" s="27" t="n">
        <v>0.2951388888888889</v>
      </c>
      <c r="D56" s="28" t="inlineStr">
        <is>
          <t>Breast, both</t>
        </is>
      </c>
      <c r="E56" s="29" t="n">
        <v>10</v>
      </c>
      <c r="F56" s="29" t="n"/>
      <c r="G56" s="28" t="n"/>
      <c r="H56" s="1" t="n"/>
      <c r="I56">
        <f>IF(OR(B56="",C56=""),"",B56+MOD(C56,1))</f>
        <v/>
      </c>
      <c r="J56">
        <f>IF(I56="","",IF(B56=Dashboard!$AA$1,I56,""))</f>
        <v/>
      </c>
    </row>
    <row r="57">
      <c r="A57" s="1" t="n"/>
      <c r="B57" s="26" t="n">
        <v>46290</v>
      </c>
      <c r="C57" s="27" t="n">
        <v>0.4201388888888889</v>
      </c>
      <c r="D57" s="28" t="inlineStr">
        <is>
          <t>Bottle</t>
        </is>
      </c>
      <c r="E57" s="29" t="n"/>
      <c r="F57" s="29" t="n">
        <v>120</v>
      </c>
      <c r="G57" s="28" t="n"/>
      <c r="H57" s="1" t="n"/>
      <c r="I57">
        <f>IF(OR(B57="",C57=""),"",B57+MOD(C57,1))</f>
        <v/>
      </c>
      <c r="J57">
        <f>IF(I57="","",IF(B57=Dashboard!$AA$1,I57,""))</f>
        <v/>
      </c>
    </row>
    <row r="58">
      <c r="A58" s="1" t="n"/>
      <c r="B58" s="26" t="n">
        <v>46290</v>
      </c>
      <c r="C58" s="27" t="n">
        <v>0.5416666666666666</v>
      </c>
      <c r="D58" s="28" t="inlineStr">
        <is>
          <t>Breast, right</t>
        </is>
      </c>
      <c r="E58" s="29" t="n">
        <v>10</v>
      </c>
      <c r="F58" s="29" t="n"/>
      <c r="G58" s="28" t="n"/>
      <c r="H58" s="1" t="n"/>
      <c r="I58">
        <f>IF(OR(B58="",C58=""),"",B58+MOD(C58,1))</f>
        <v/>
      </c>
      <c r="J58">
        <f>IF(I58="","",IF(B58=Dashboard!$AA$1,I58,""))</f>
        <v/>
      </c>
    </row>
    <row r="59">
      <c r="A59" s="1" t="n"/>
      <c r="B59" s="26" t="n">
        <v>46290</v>
      </c>
      <c r="C59" s="27" t="n">
        <v>0.6875</v>
      </c>
      <c r="D59" s="28" t="inlineStr">
        <is>
          <t>Breast, both</t>
        </is>
      </c>
      <c r="E59" s="29" t="n">
        <v>10</v>
      </c>
      <c r="F59" s="29" t="n"/>
      <c r="G59" s="28" t="n"/>
      <c r="H59" s="1" t="n"/>
      <c r="I59">
        <f>IF(OR(B59="",C59=""),"",B59+MOD(C59,1))</f>
        <v/>
      </c>
      <c r="J59">
        <f>IF(I59="","",IF(B59=Dashboard!$AA$1,I59,""))</f>
        <v/>
      </c>
    </row>
    <row r="60">
      <c r="A60" s="1" t="n"/>
      <c r="B60" s="26" t="n">
        <v>46290</v>
      </c>
      <c r="C60" s="27" t="n">
        <v>0.8090277777777778</v>
      </c>
      <c r="D60" s="28" t="inlineStr">
        <is>
          <t>Breast, both</t>
        </is>
      </c>
      <c r="E60" s="29" t="n">
        <v>20</v>
      </c>
      <c r="F60" s="29" t="n"/>
      <c r="G60" s="28" t="n"/>
      <c r="H60" s="1" t="n"/>
      <c r="I60">
        <f>IF(OR(B60="",C60=""),"",B60+MOD(C60,1))</f>
        <v/>
      </c>
      <c r="J60">
        <f>IF(I60="","",IF(B60=Dashboard!$AA$1,I60,""))</f>
        <v/>
      </c>
    </row>
    <row r="61">
      <c r="A61" s="1" t="n"/>
      <c r="B61" s="26" t="n">
        <v>46290</v>
      </c>
      <c r="C61" s="27" t="n">
        <v>0.9409722222222222</v>
      </c>
      <c r="D61" s="28" t="inlineStr">
        <is>
          <t>Bottle</t>
        </is>
      </c>
      <c r="E61" s="29" t="n"/>
      <c r="F61" s="29" t="n">
        <v>130</v>
      </c>
      <c r="G61" s="28" t="n"/>
      <c r="H61" s="1" t="n"/>
      <c r="I61">
        <f>IF(OR(B61="",C61=""),"",B61+MOD(C61,1))</f>
        <v/>
      </c>
      <c r="J61">
        <f>IF(I61="","",IF(B61=Dashboard!$AA$1,I61,""))</f>
        <v/>
      </c>
    </row>
    <row r="62">
      <c r="A62" s="1" t="n"/>
      <c r="B62" s="26" t="n">
        <v>46291</v>
      </c>
      <c r="C62" s="27" t="n">
        <v>0.03819444444444445</v>
      </c>
      <c r="D62" s="28" t="inlineStr">
        <is>
          <t>Breast, left</t>
        </is>
      </c>
      <c r="E62" s="29" t="n">
        <v>12</v>
      </c>
      <c r="F62" s="29" t="n"/>
      <c r="G62" s="28" t="n"/>
      <c r="H62" s="1" t="n"/>
      <c r="I62">
        <f>IF(OR(B62="",C62=""),"",B62+MOD(C62,1))</f>
        <v/>
      </c>
      <c r="J62">
        <f>IF(I62="","",IF(B62=Dashboard!$AA$1,I62,""))</f>
        <v/>
      </c>
    </row>
    <row r="63">
      <c r="A63" s="1" t="n"/>
      <c r="B63" s="26" t="n">
        <v>46291</v>
      </c>
      <c r="C63" s="27" t="n">
        <v>0.15625</v>
      </c>
      <c r="D63" s="28" t="inlineStr">
        <is>
          <t>Breast, both</t>
        </is>
      </c>
      <c r="E63" s="29" t="n">
        <v>15</v>
      </c>
      <c r="F63" s="29" t="n"/>
      <c r="G63" s="28" t="n"/>
      <c r="H63" s="1" t="n"/>
      <c r="I63">
        <f>IF(OR(B63="",C63=""),"",B63+MOD(C63,1))</f>
        <v/>
      </c>
      <c r="J63">
        <f>IF(I63="","",IF(B63=Dashboard!$AA$1,I63,""))</f>
        <v/>
      </c>
    </row>
    <row r="64">
      <c r="A64" s="1" t="n"/>
      <c r="B64" s="26" t="n">
        <v>46291</v>
      </c>
      <c r="C64" s="27" t="n">
        <v>0.2708333333333333</v>
      </c>
      <c r="D64" s="28" t="inlineStr">
        <is>
          <t>Breast, right</t>
        </is>
      </c>
      <c r="E64" s="29" t="n">
        <v>20</v>
      </c>
      <c r="F64" s="29" t="n"/>
      <c r="G64" s="28" t="n"/>
      <c r="H64" s="1" t="n"/>
      <c r="I64">
        <f>IF(OR(B64="",C64=""),"",B64+MOD(C64,1))</f>
        <v/>
      </c>
      <c r="J64">
        <f>IF(I64="","",IF(B64=Dashboard!$AA$1,I64,""))</f>
        <v/>
      </c>
    </row>
    <row r="65">
      <c r="A65" s="1" t="n"/>
      <c r="B65" s="26" t="n">
        <v>46291</v>
      </c>
      <c r="C65" s="27" t="n">
        <v>0.4166666666666667</v>
      </c>
      <c r="D65" s="28" t="inlineStr">
        <is>
          <t>Bottle</t>
        </is>
      </c>
      <c r="E65" s="29" t="n"/>
      <c r="F65" s="29" t="n">
        <v>120</v>
      </c>
      <c r="G65" s="28" t="n"/>
      <c r="H65" s="1" t="n"/>
      <c r="I65">
        <f>IF(OR(B65="",C65=""),"",B65+MOD(C65,1))</f>
        <v/>
      </c>
      <c r="J65">
        <f>IF(I65="","",IF(B65=Dashboard!$AA$1,I65,""))</f>
        <v/>
      </c>
    </row>
    <row r="66">
      <c r="A66" s="1" t="n"/>
      <c r="B66" s="26" t="n">
        <v>46291</v>
      </c>
      <c r="C66" s="27" t="n">
        <v>0.5555555555555556</v>
      </c>
      <c r="D66" s="28" t="inlineStr">
        <is>
          <t>Breast, left</t>
        </is>
      </c>
      <c r="E66" s="29" t="n">
        <v>12</v>
      </c>
      <c r="F66" s="29" t="n"/>
      <c r="G66" s="28" t="n"/>
      <c r="H66" s="1" t="n"/>
      <c r="I66">
        <f>IF(OR(B66="",C66=""),"",B66+MOD(C66,1))</f>
        <v/>
      </c>
      <c r="J66">
        <f>IF(I66="","",IF(B66=Dashboard!$AA$1,I66,""))</f>
        <v/>
      </c>
    </row>
    <row r="67">
      <c r="A67" s="1" t="n"/>
      <c r="B67" s="26" t="n">
        <v>46291</v>
      </c>
      <c r="C67" s="27" t="n">
        <v>0.6840277777777778</v>
      </c>
      <c r="D67" s="28" t="inlineStr">
        <is>
          <t>Breast, right</t>
        </is>
      </c>
      <c r="E67" s="29" t="n">
        <v>12</v>
      </c>
      <c r="F67" s="29" t="n"/>
      <c r="G67" s="28" t="n"/>
      <c r="H67" s="1" t="n"/>
      <c r="I67">
        <f>IF(OR(B67="",C67=""),"",B67+MOD(C67,1))</f>
        <v/>
      </c>
      <c r="J67">
        <f>IF(I67="","",IF(B67=Dashboard!$AA$1,I67,""))</f>
        <v/>
      </c>
    </row>
    <row r="68">
      <c r="A68" s="1" t="n"/>
      <c r="B68" s="26" t="n">
        <v>46291</v>
      </c>
      <c r="C68" s="27" t="n">
        <v>0.8229166666666666</v>
      </c>
      <c r="D68" s="28" t="inlineStr">
        <is>
          <t>Breast, left</t>
        </is>
      </c>
      <c r="E68" s="29" t="n">
        <v>15</v>
      </c>
      <c r="F68" s="29" t="n"/>
      <c r="G68" s="28" t="n"/>
      <c r="H68" s="1" t="n"/>
      <c r="I68">
        <f>IF(OR(B68="",C68=""),"",B68+MOD(C68,1))</f>
        <v/>
      </c>
      <c r="J68">
        <f>IF(I68="","",IF(B68=Dashboard!$AA$1,I68,""))</f>
        <v/>
      </c>
    </row>
    <row r="69">
      <c r="A69" s="1" t="n"/>
      <c r="B69" s="26" t="n">
        <v>46291</v>
      </c>
      <c r="C69" s="27" t="n">
        <v>0.9375</v>
      </c>
      <c r="D69" s="28" t="inlineStr">
        <is>
          <t>Bottle</t>
        </is>
      </c>
      <c r="E69" s="29" t="n"/>
      <c r="F69" s="29" t="n">
        <v>120</v>
      </c>
      <c r="G69" s="28" t="n"/>
      <c r="H69" s="1" t="n"/>
      <c r="I69">
        <f>IF(OR(B69="",C69=""),"",B69+MOD(C69,1))</f>
        <v/>
      </c>
      <c r="J69">
        <f>IF(I69="","",IF(B69=Dashboard!$AA$1,I69,""))</f>
        <v/>
      </c>
    </row>
    <row r="70">
      <c r="A70" s="1" t="n"/>
      <c r="B70" s="26" t="n">
        <v>46292</v>
      </c>
      <c r="C70" s="27" t="n">
        <v>0.01736111111111111</v>
      </c>
      <c r="D70" s="28" t="inlineStr">
        <is>
          <t>Breast, both</t>
        </is>
      </c>
      <c r="E70" s="29" t="n">
        <v>15</v>
      </c>
      <c r="F70" s="29" t="n"/>
      <c r="G70" s="28" t="n"/>
      <c r="H70" s="1" t="n"/>
      <c r="I70">
        <f>IF(OR(B70="",C70=""),"",B70+MOD(C70,1))</f>
        <v/>
      </c>
      <c r="J70">
        <f>IF(I70="","",IF(B70=Dashboard!$AA$1,I70,""))</f>
        <v/>
      </c>
    </row>
    <row r="71">
      <c r="A71" s="1" t="n"/>
      <c r="B71" s="26" t="n">
        <v>46292</v>
      </c>
      <c r="C71" s="27" t="n">
        <v>0.1493055555555556</v>
      </c>
      <c r="D71" s="28" t="inlineStr">
        <is>
          <t>Breast, right</t>
        </is>
      </c>
      <c r="E71" s="29" t="n">
        <v>25</v>
      </c>
      <c r="F71" s="29" t="n"/>
      <c r="G71" s="28" t="n"/>
      <c r="H71" s="1" t="n"/>
      <c r="I71">
        <f>IF(OR(B71="",C71=""),"",B71+MOD(C71,1))</f>
        <v/>
      </c>
      <c r="J71">
        <f>IF(I71="","",IF(B71=Dashboard!$AA$1,I71,""))</f>
        <v/>
      </c>
    </row>
    <row r="72">
      <c r="A72" s="1" t="n"/>
      <c r="B72" s="26" t="n">
        <v>46292</v>
      </c>
      <c r="C72" s="27" t="n">
        <v>0.2951388888888889</v>
      </c>
      <c r="D72" s="28" t="inlineStr">
        <is>
          <t>Breast, both</t>
        </is>
      </c>
      <c r="E72" s="29" t="n">
        <v>15</v>
      </c>
      <c r="F72" s="29" t="n"/>
      <c r="G72" s="28" t="n"/>
      <c r="H72" s="1" t="n"/>
      <c r="I72">
        <f>IF(OR(B72="",C72=""),"",B72+MOD(C72,1))</f>
        <v/>
      </c>
      <c r="J72">
        <f>IF(I72="","",IF(B72=Dashboard!$AA$1,I72,""))</f>
        <v/>
      </c>
    </row>
    <row r="73">
      <c r="A73" s="1" t="n"/>
      <c r="B73" s="26" t="n">
        <v>46292</v>
      </c>
      <c r="C73" s="27" t="n">
        <v>0.40625</v>
      </c>
      <c r="D73" s="28" t="inlineStr">
        <is>
          <t>Bottle</t>
        </is>
      </c>
      <c r="E73" s="29" t="n"/>
      <c r="F73" s="29" t="n">
        <v>140</v>
      </c>
      <c r="G73" s="28" t="n"/>
      <c r="H73" s="1" t="n"/>
      <c r="I73">
        <f>IF(OR(B73="",C73=""),"",B73+MOD(C73,1))</f>
        <v/>
      </c>
      <c r="J73">
        <f>IF(I73="","",IF(B73=Dashboard!$AA$1,I73,""))</f>
        <v/>
      </c>
    </row>
    <row r="74">
      <c r="A74" s="1" t="n"/>
      <c r="B74" s="26" t="n">
        <v>46292</v>
      </c>
      <c r="C74" s="27" t="n">
        <v>0.5555555555555556</v>
      </c>
      <c r="D74" s="28" t="inlineStr">
        <is>
          <t>Breast, left</t>
        </is>
      </c>
      <c r="E74" s="29" t="n">
        <v>15</v>
      </c>
      <c r="F74" s="29" t="n"/>
      <c r="G74" s="28" t="n"/>
      <c r="H74" s="1" t="n"/>
      <c r="I74">
        <f>IF(OR(B74="",C74=""),"",B74+MOD(C74,1))</f>
        <v/>
      </c>
      <c r="J74">
        <f>IF(I74="","",IF(B74=Dashboard!$AA$1,I74,""))</f>
        <v/>
      </c>
    </row>
    <row r="75">
      <c r="A75" s="1" t="n"/>
      <c r="B75" s="26" t="n">
        <v>46292</v>
      </c>
      <c r="C75" s="27" t="n">
        <v>0.6840277777777778</v>
      </c>
      <c r="D75" s="28" t="inlineStr">
        <is>
          <t>Breast, both</t>
        </is>
      </c>
      <c r="E75" s="29" t="n">
        <v>12</v>
      </c>
      <c r="F75" s="29" t="n"/>
      <c r="G75" s="28" t="n"/>
      <c r="H75" s="1" t="n"/>
      <c r="I75">
        <f>IF(OR(B75="",C75=""),"",B75+MOD(C75,1))</f>
        <v/>
      </c>
      <c r="J75">
        <f>IF(I75="","",IF(B75=Dashboard!$AA$1,I75,""))</f>
        <v/>
      </c>
    </row>
    <row r="76">
      <c r="A76" s="1" t="n"/>
      <c r="B76" s="26" t="n">
        <v>46292</v>
      </c>
      <c r="C76" s="27" t="n">
        <v>0.7916666666666666</v>
      </c>
      <c r="D76" s="28" t="inlineStr">
        <is>
          <t>Breast, both</t>
        </is>
      </c>
      <c r="E76" s="29" t="n">
        <v>25</v>
      </c>
      <c r="F76" s="29" t="n"/>
      <c r="G76" s="28" t="n"/>
      <c r="H76" s="1" t="n"/>
      <c r="I76">
        <f>IF(OR(B76="",C76=""),"",B76+MOD(C76,1))</f>
        <v/>
      </c>
      <c r="J76">
        <f>IF(I76="","",IF(B76=Dashboard!$AA$1,I76,""))</f>
        <v/>
      </c>
    </row>
    <row r="77">
      <c r="A77" s="1" t="n"/>
      <c r="B77" s="26" t="n">
        <v>46292</v>
      </c>
      <c r="C77" s="27" t="n">
        <v>0.9305555555555556</v>
      </c>
      <c r="D77" s="28" t="inlineStr">
        <is>
          <t>Bottle</t>
        </is>
      </c>
      <c r="E77" s="29" t="n"/>
      <c r="F77" s="29" t="n">
        <v>130</v>
      </c>
      <c r="G77" s="28" t="n"/>
      <c r="H77" s="1" t="n"/>
      <c r="I77">
        <f>IF(OR(B77="",C77=""),"",B77+MOD(C77,1))</f>
        <v/>
      </c>
      <c r="J77">
        <f>IF(I77="","",IF(B77=Dashboard!$AA$1,I77,""))</f>
        <v/>
      </c>
    </row>
    <row r="78">
      <c r="A78" s="1" t="n"/>
      <c r="B78" s="26" t="n">
        <v>46293</v>
      </c>
      <c r="C78" s="27" t="n">
        <v>0.01736111111111111</v>
      </c>
      <c r="D78" s="28" t="inlineStr">
        <is>
          <t>Breast, right</t>
        </is>
      </c>
      <c r="E78" s="29" t="n">
        <v>10</v>
      </c>
      <c r="F78" s="29" t="n"/>
      <c r="G78" s="28" t="n"/>
      <c r="H78" s="1" t="n"/>
      <c r="I78">
        <f>IF(OR(B78="",C78=""),"",B78+MOD(C78,1))</f>
        <v/>
      </c>
      <c r="J78">
        <f>IF(I78="","",IF(B78=Dashboard!$AA$1,I78,""))</f>
        <v/>
      </c>
    </row>
    <row r="79">
      <c r="A79" s="1" t="n"/>
      <c r="B79" s="26" t="n">
        <v>46293</v>
      </c>
      <c r="C79" s="27" t="n">
        <v>0.1597222222222222</v>
      </c>
      <c r="D79" s="28" t="inlineStr">
        <is>
          <t>Breast, both</t>
        </is>
      </c>
      <c r="E79" s="29" t="n">
        <v>10</v>
      </c>
      <c r="F79" s="29" t="n"/>
      <c r="G79" s="28" t="n"/>
      <c r="H79" s="1" t="n"/>
      <c r="I79">
        <f>IF(OR(B79="",C79=""),"",B79+MOD(C79,1))</f>
        <v/>
      </c>
      <c r="J79">
        <f>IF(I79="","",IF(B79=Dashboard!$AA$1,I79,""))</f>
        <v/>
      </c>
    </row>
    <row r="80">
      <c r="A80" s="1" t="n"/>
      <c r="B80" s="26" t="n">
        <v>46293</v>
      </c>
      <c r="C80" s="27" t="n">
        <v>0.2777777777777778</v>
      </c>
      <c r="D80" s="28" t="inlineStr">
        <is>
          <t>Breast, both</t>
        </is>
      </c>
      <c r="E80" s="29" t="n">
        <v>15</v>
      </c>
      <c r="F80" s="29" t="n"/>
      <c r="G80" s="28" t="n"/>
      <c r="H80" s="1" t="n"/>
      <c r="I80">
        <f>IF(OR(B80="",C80=""),"",B80+MOD(C80,1))</f>
        <v/>
      </c>
      <c r="J80">
        <f>IF(I80="","",IF(B80=Dashboard!$AA$1,I80,""))</f>
        <v/>
      </c>
    </row>
    <row r="81">
      <c r="A81" s="1" t="n"/>
      <c r="B81" s="26" t="n">
        <v>46293</v>
      </c>
      <c r="C81" s="27" t="n">
        <v>0.4131944444444444</v>
      </c>
      <c r="D81" s="28" t="inlineStr">
        <is>
          <t>Bottle</t>
        </is>
      </c>
      <c r="E81" s="29" t="n"/>
      <c r="F81" s="29" t="n">
        <v>140</v>
      </c>
      <c r="G81" s="28" t="n"/>
      <c r="H81" s="1" t="n"/>
      <c r="I81">
        <f>IF(OR(B81="",C81=""),"",B81+MOD(C81,1))</f>
        <v/>
      </c>
      <c r="J81">
        <f>IF(I81="","",IF(B81=Dashboard!$AA$1,I81,""))</f>
        <v/>
      </c>
    </row>
    <row r="82">
      <c r="A82" s="1" t="n"/>
      <c r="B82" s="26" t="n">
        <v>46293</v>
      </c>
      <c r="C82" s="27" t="n">
        <v>0.53125</v>
      </c>
      <c r="D82" s="28" t="inlineStr">
        <is>
          <t>Breast, left</t>
        </is>
      </c>
      <c r="E82" s="29" t="n">
        <v>25</v>
      </c>
      <c r="F82" s="29" t="n"/>
      <c r="G82" s="28" t="n"/>
      <c r="H82" s="1" t="n"/>
      <c r="I82">
        <f>IF(OR(B82="",C82=""),"",B82+MOD(C82,1))</f>
        <v/>
      </c>
      <c r="J82">
        <f>IF(I82="","",IF(B82=Dashboard!$AA$1,I82,""))</f>
        <v/>
      </c>
    </row>
    <row r="83">
      <c r="A83" s="1" t="n"/>
      <c r="B83" s="26" t="n">
        <v>46293</v>
      </c>
      <c r="C83" s="27" t="n">
        <v>0.6736111111111112</v>
      </c>
      <c r="D83" s="28" t="inlineStr">
        <is>
          <t>Breast, left</t>
        </is>
      </c>
      <c r="E83" s="29" t="n">
        <v>18</v>
      </c>
      <c r="F83" s="29" t="n"/>
      <c r="G83" s="28" t="n"/>
      <c r="H83" s="1" t="n"/>
      <c r="I83">
        <f>IF(OR(B83="",C83=""),"",B83+MOD(C83,1))</f>
        <v/>
      </c>
      <c r="J83">
        <f>IF(I83="","",IF(B83=Dashboard!$AA$1,I83,""))</f>
        <v/>
      </c>
    </row>
    <row r="84">
      <c r="A84" s="1" t="n"/>
      <c r="B84" s="26" t="n"/>
      <c r="C84" s="27" t="n"/>
      <c r="D84" s="28" t="n"/>
      <c r="E84" s="29" t="n"/>
      <c r="F84" s="29" t="n"/>
      <c r="G84" s="28" t="n"/>
      <c r="H84" s="1" t="n"/>
      <c r="I84">
        <f>IF(OR(B84="",C84=""),"",B84+MOD(C84,1))</f>
        <v/>
      </c>
      <c r="J84">
        <f>IF(I84="","",IF(B84=Dashboard!$AA$1,I84,""))</f>
        <v/>
      </c>
    </row>
    <row r="85">
      <c r="A85" s="1" t="n"/>
      <c r="B85" s="26" t="n"/>
      <c r="C85" s="27" t="n"/>
      <c r="D85" s="28" t="n"/>
      <c r="E85" s="29" t="n"/>
      <c r="F85" s="29" t="n"/>
      <c r="G85" s="28" t="n"/>
      <c r="H85" s="1" t="n"/>
      <c r="I85">
        <f>IF(OR(B85="",C85=""),"",B85+MOD(C85,1))</f>
        <v/>
      </c>
      <c r="J85">
        <f>IF(I85="","",IF(B85=Dashboard!$AA$1,I85,""))</f>
        <v/>
      </c>
    </row>
    <row r="86">
      <c r="A86" s="1" t="n"/>
      <c r="B86" s="26" t="n"/>
      <c r="C86" s="27" t="n"/>
      <c r="D86" s="28" t="n"/>
      <c r="E86" s="29" t="n"/>
      <c r="F86" s="29" t="n"/>
      <c r="G86" s="28" t="n"/>
      <c r="H86" s="1" t="n"/>
      <c r="I86">
        <f>IF(OR(B86="",C86=""),"",B86+MOD(C86,1))</f>
        <v/>
      </c>
      <c r="J86">
        <f>IF(I86="","",IF(B86=Dashboard!$AA$1,I86,""))</f>
        <v/>
      </c>
    </row>
    <row r="87">
      <c r="A87" s="1" t="n"/>
      <c r="B87" s="26" t="n"/>
      <c r="C87" s="27" t="n"/>
      <c r="D87" s="28" t="n"/>
      <c r="E87" s="29" t="n"/>
      <c r="F87" s="29" t="n"/>
      <c r="G87" s="28" t="n"/>
      <c r="H87" s="1" t="n"/>
      <c r="I87">
        <f>IF(OR(B87="",C87=""),"",B87+MOD(C87,1))</f>
        <v/>
      </c>
      <c r="J87">
        <f>IF(I87="","",IF(B87=Dashboard!$AA$1,I87,""))</f>
        <v/>
      </c>
    </row>
    <row r="88">
      <c r="A88" s="1" t="n"/>
      <c r="B88" s="26" t="n"/>
      <c r="C88" s="27" t="n"/>
      <c r="D88" s="28" t="n"/>
      <c r="E88" s="29" t="n"/>
      <c r="F88" s="29" t="n"/>
      <c r="G88" s="28" t="n"/>
      <c r="H88" s="1" t="n"/>
      <c r="I88">
        <f>IF(OR(B88="",C88=""),"",B88+MOD(C88,1))</f>
        <v/>
      </c>
      <c r="J88">
        <f>IF(I88="","",IF(B88=Dashboard!$AA$1,I88,""))</f>
        <v/>
      </c>
    </row>
    <row r="89">
      <c r="A89" s="1" t="n"/>
      <c r="B89" s="26" t="n"/>
      <c r="C89" s="27" t="n"/>
      <c r="D89" s="28" t="n"/>
      <c r="E89" s="29" t="n"/>
      <c r="F89" s="29" t="n"/>
      <c r="G89" s="28" t="n"/>
      <c r="H89" s="1" t="n"/>
      <c r="I89">
        <f>IF(OR(B89="",C89=""),"",B89+MOD(C89,1))</f>
        <v/>
      </c>
      <c r="J89">
        <f>IF(I89="","",IF(B89=Dashboard!$AA$1,I89,""))</f>
        <v/>
      </c>
    </row>
    <row r="90">
      <c r="A90" s="1" t="n"/>
      <c r="B90" s="26" t="n"/>
      <c r="C90" s="27" t="n"/>
      <c r="D90" s="28" t="n"/>
      <c r="E90" s="29" t="n"/>
      <c r="F90" s="29" t="n"/>
      <c r="G90" s="28" t="n"/>
      <c r="H90" s="1" t="n"/>
      <c r="I90">
        <f>IF(OR(B90="",C90=""),"",B90+MOD(C90,1))</f>
        <v/>
      </c>
      <c r="J90">
        <f>IF(I90="","",IF(B90=Dashboard!$AA$1,I90,""))</f>
        <v/>
      </c>
    </row>
    <row r="91">
      <c r="A91" s="1" t="n"/>
      <c r="B91" s="26" t="n"/>
      <c r="C91" s="27" t="n"/>
      <c r="D91" s="28" t="n"/>
      <c r="E91" s="29" t="n"/>
      <c r="F91" s="29" t="n"/>
      <c r="G91" s="28" t="n"/>
      <c r="H91" s="1" t="n"/>
      <c r="I91">
        <f>IF(OR(B91="",C91=""),"",B91+MOD(C91,1))</f>
        <v/>
      </c>
      <c r="J91">
        <f>IF(I91="","",IF(B91=Dashboard!$AA$1,I91,""))</f>
        <v/>
      </c>
    </row>
    <row r="92">
      <c r="A92" s="1" t="n"/>
      <c r="B92" s="26" t="n"/>
      <c r="C92" s="27" t="n"/>
      <c r="D92" s="28" t="n"/>
      <c r="E92" s="29" t="n"/>
      <c r="F92" s="29" t="n"/>
      <c r="G92" s="28" t="n"/>
      <c r="H92" s="1" t="n"/>
      <c r="I92">
        <f>IF(OR(B92="",C92=""),"",B92+MOD(C92,1))</f>
        <v/>
      </c>
      <c r="J92">
        <f>IF(I92="","",IF(B92=Dashboard!$AA$1,I92,""))</f>
        <v/>
      </c>
    </row>
    <row r="93">
      <c r="A93" s="1" t="n"/>
      <c r="B93" s="26" t="n"/>
      <c r="C93" s="27" t="n"/>
      <c r="D93" s="28" t="n"/>
      <c r="E93" s="29" t="n"/>
      <c r="F93" s="29" t="n"/>
      <c r="G93" s="28" t="n"/>
      <c r="H93" s="1" t="n"/>
      <c r="I93">
        <f>IF(OR(B93="",C93=""),"",B93+MOD(C93,1))</f>
        <v/>
      </c>
      <c r="J93">
        <f>IF(I93="","",IF(B93=Dashboard!$AA$1,I93,""))</f>
        <v/>
      </c>
    </row>
    <row r="94">
      <c r="A94" s="1" t="n"/>
      <c r="B94" s="26" t="n"/>
      <c r="C94" s="27" t="n"/>
      <c r="D94" s="28" t="n"/>
      <c r="E94" s="29" t="n"/>
      <c r="F94" s="29" t="n"/>
      <c r="G94" s="28" t="n"/>
      <c r="H94" s="1" t="n"/>
      <c r="I94">
        <f>IF(OR(B94="",C94=""),"",B94+MOD(C94,1))</f>
        <v/>
      </c>
      <c r="J94">
        <f>IF(I94="","",IF(B94=Dashboard!$AA$1,I94,""))</f>
        <v/>
      </c>
    </row>
    <row r="95">
      <c r="A95" s="1" t="n"/>
      <c r="B95" s="26" t="n"/>
      <c r="C95" s="27" t="n"/>
      <c r="D95" s="28" t="n"/>
      <c r="E95" s="29" t="n"/>
      <c r="F95" s="29" t="n"/>
      <c r="G95" s="28" t="n"/>
      <c r="H95" s="1" t="n"/>
      <c r="I95">
        <f>IF(OR(B95="",C95=""),"",B95+MOD(C95,1))</f>
        <v/>
      </c>
      <c r="J95">
        <f>IF(I95="","",IF(B95=Dashboard!$AA$1,I95,""))</f>
        <v/>
      </c>
    </row>
    <row r="96">
      <c r="A96" s="1" t="n"/>
      <c r="B96" s="26" t="n"/>
      <c r="C96" s="27" t="n"/>
      <c r="D96" s="28" t="n"/>
      <c r="E96" s="29" t="n"/>
      <c r="F96" s="29" t="n"/>
      <c r="G96" s="28" t="n"/>
      <c r="H96" s="1" t="n"/>
      <c r="I96">
        <f>IF(OR(B96="",C96=""),"",B96+MOD(C96,1))</f>
        <v/>
      </c>
      <c r="J96">
        <f>IF(I96="","",IF(B96=Dashboard!$AA$1,I96,""))</f>
        <v/>
      </c>
    </row>
    <row r="97">
      <c r="A97" s="1" t="n"/>
      <c r="B97" s="26" t="n"/>
      <c r="C97" s="27" t="n"/>
      <c r="D97" s="28" t="n"/>
      <c r="E97" s="29" t="n"/>
      <c r="F97" s="29" t="n"/>
      <c r="G97" s="28" t="n"/>
      <c r="H97" s="1" t="n"/>
      <c r="I97">
        <f>IF(OR(B97="",C97=""),"",B97+MOD(C97,1))</f>
        <v/>
      </c>
      <c r="J97">
        <f>IF(I97="","",IF(B97=Dashboard!$AA$1,I97,""))</f>
        <v/>
      </c>
    </row>
    <row r="98">
      <c r="A98" s="1" t="n"/>
      <c r="B98" s="26" t="n"/>
      <c r="C98" s="27" t="n"/>
      <c r="D98" s="28" t="n"/>
      <c r="E98" s="29" t="n"/>
      <c r="F98" s="29" t="n"/>
      <c r="G98" s="28" t="n"/>
      <c r="H98" s="1" t="n"/>
      <c r="I98">
        <f>IF(OR(B98="",C98=""),"",B98+MOD(C98,1))</f>
        <v/>
      </c>
      <c r="J98">
        <f>IF(I98="","",IF(B98=Dashboard!$AA$1,I98,""))</f>
        <v/>
      </c>
    </row>
    <row r="99">
      <c r="A99" s="1" t="n"/>
      <c r="B99" s="26" t="n"/>
      <c r="C99" s="27" t="n"/>
      <c r="D99" s="28" t="n"/>
      <c r="E99" s="29" t="n"/>
      <c r="F99" s="29" t="n"/>
      <c r="G99" s="28" t="n"/>
      <c r="H99" s="1" t="n"/>
      <c r="I99">
        <f>IF(OR(B99="",C99=""),"",B99+MOD(C99,1))</f>
        <v/>
      </c>
      <c r="J99">
        <f>IF(I99="","",IF(B99=Dashboard!$AA$1,I99,""))</f>
        <v/>
      </c>
    </row>
    <row r="100">
      <c r="A100" s="1" t="n"/>
      <c r="B100" s="26" t="n"/>
      <c r="C100" s="27" t="n"/>
      <c r="D100" s="28" t="n"/>
      <c r="E100" s="29" t="n"/>
      <c r="F100" s="29" t="n"/>
      <c r="G100" s="28" t="n"/>
      <c r="H100" s="1" t="n"/>
      <c r="I100">
        <f>IF(OR(B100="",C100=""),"",B100+MOD(C100,1))</f>
        <v/>
      </c>
      <c r="J100">
        <f>IF(I100="","",IF(B100=Dashboard!$AA$1,I100,""))</f>
        <v/>
      </c>
    </row>
    <row r="101">
      <c r="A101" s="1" t="n"/>
      <c r="B101" s="26" t="n"/>
      <c r="C101" s="27" t="n"/>
      <c r="D101" s="28" t="n"/>
      <c r="E101" s="29" t="n"/>
      <c r="F101" s="29" t="n"/>
      <c r="G101" s="28" t="n"/>
      <c r="H101" s="1" t="n"/>
      <c r="I101">
        <f>IF(OR(B101="",C101=""),"",B101+MOD(C101,1))</f>
        <v/>
      </c>
      <c r="J101">
        <f>IF(I101="","",IF(B101=Dashboard!$AA$1,I101,""))</f>
        <v/>
      </c>
    </row>
    <row r="102">
      <c r="A102" s="1" t="n"/>
      <c r="B102" s="26" t="n"/>
      <c r="C102" s="27" t="n"/>
      <c r="D102" s="28" t="n"/>
      <c r="E102" s="29" t="n"/>
      <c r="F102" s="29" t="n"/>
      <c r="G102" s="28" t="n"/>
      <c r="H102" s="1" t="n"/>
      <c r="I102">
        <f>IF(OR(B102="",C102=""),"",B102+MOD(C102,1))</f>
        <v/>
      </c>
      <c r="J102">
        <f>IF(I102="","",IF(B102=Dashboard!$AA$1,I102,""))</f>
        <v/>
      </c>
    </row>
    <row r="103">
      <c r="A103" s="1" t="n"/>
      <c r="B103" s="26" t="n"/>
      <c r="C103" s="27" t="n"/>
      <c r="D103" s="28" t="n"/>
      <c r="E103" s="29" t="n"/>
      <c r="F103" s="29" t="n"/>
      <c r="G103" s="28" t="n"/>
      <c r="H103" s="1" t="n"/>
      <c r="I103">
        <f>IF(OR(B103="",C103=""),"",B103+MOD(C103,1))</f>
        <v/>
      </c>
      <c r="J103">
        <f>IF(I103="","",IF(B103=Dashboard!$AA$1,I103,""))</f>
        <v/>
      </c>
    </row>
    <row r="104">
      <c r="A104" s="1" t="n"/>
      <c r="B104" s="26" t="n"/>
      <c r="C104" s="27" t="n"/>
      <c r="D104" s="28" t="n"/>
      <c r="E104" s="29" t="n"/>
      <c r="F104" s="29" t="n"/>
      <c r="G104" s="28" t="n"/>
      <c r="H104" s="1" t="n"/>
      <c r="I104">
        <f>IF(OR(B104="",C104=""),"",B104+MOD(C104,1))</f>
        <v/>
      </c>
      <c r="J104">
        <f>IF(I104="","",IF(B104=Dashboard!$AA$1,I104,""))</f>
        <v/>
      </c>
    </row>
    <row r="105">
      <c r="A105" s="1" t="n"/>
      <c r="B105" s="26" t="n"/>
      <c r="C105" s="27" t="n"/>
      <c r="D105" s="28" t="n"/>
      <c r="E105" s="29" t="n"/>
      <c r="F105" s="29" t="n"/>
      <c r="G105" s="28" t="n"/>
      <c r="H105" s="1" t="n"/>
      <c r="I105">
        <f>IF(OR(B105="",C105=""),"",B105+MOD(C105,1))</f>
        <v/>
      </c>
      <c r="J105">
        <f>IF(I105="","",IF(B105=Dashboard!$AA$1,I105,""))</f>
        <v/>
      </c>
    </row>
    <row r="106">
      <c r="A106" s="1" t="n"/>
      <c r="B106" s="26" t="n"/>
      <c r="C106" s="27" t="n"/>
      <c r="D106" s="28" t="n"/>
      <c r="E106" s="29" t="n"/>
      <c r="F106" s="29" t="n"/>
      <c r="G106" s="28" t="n"/>
      <c r="H106" s="1" t="n"/>
      <c r="I106">
        <f>IF(OR(B106="",C106=""),"",B106+MOD(C106,1))</f>
        <v/>
      </c>
      <c r="J106">
        <f>IF(I106="","",IF(B106=Dashboard!$AA$1,I106,""))</f>
        <v/>
      </c>
    </row>
    <row r="107">
      <c r="A107" s="1" t="n"/>
      <c r="B107" s="26" t="n"/>
      <c r="C107" s="27" t="n"/>
      <c r="D107" s="28" t="n"/>
      <c r="E107" s="29" t="n"/>
      <c r="F107" s="29" t="n"/>
      <c r="G107" s="28" t="n"/>
      <c r="H107" s="1" t="n"/>
      <c r="I107">
        <f>IF(OR(B107="",C107=""),"",B107+MOD(C107,1))</f>
        <v/>
      </c>
      <c r="J107">
        <f>IF(I107="","",IF(B107=Dashboard!$AA$1,I107,""))</f>
        <v/>
      </c>
    </row>
    <row r="108">
      <c r="A108" s="1" t="n"/>
      <c r="B108" s="26" t="n"/>
      <c r="C108" s="27" t="n"/>
      <c r="D108" s="28" t="n"/>
      <c r="E108" s="29" t="n"/>
      <c r="F108" s="29" t="n"/>
      <c r="G108" s="28" t="n"/>
      <c r="H108" s="1" t="n"/>
      <c r="I108">
        <f>IF(OR(B108="",C108=""),"",B108+MOD(C108,1))</f>
        <v/>
      </c>
      <c r="J108">
        <f>IF(I108="","",IF(B108=Dashboard!$AA$1,I108,""))</f>
        <v/>
      </c>
    </row>
    <row r="109">
      <c r="A109" s="1" t="n"/>
      <c r="B109" s="26" t="n"/>
      <c r="C109" s="27" t="n"/>
      <c r="D109" s="28" t="n"/>
      <c r="E109" s="29" t="n"/>
      <c r="F109" s="29" t="n"/>
      <c r="G109" s="28" t="n"/>
      <c r="H109" s="1" t="n"/>
      <c r="I109">
        <f>IF(OR(B109="",C109=""),"",B109+MOD(C109,1))</f>
        <v/>
      </c>
      <c r="J109">
        <f>IF(I109="","",IF(B109=Dashboard!$AA$1,I109,""))</f>
        <v/>
      </c>
    </row>
    <row r="110">
      <c r="A110" s="1" t="n"/>
      <c r="B110" s="26" t="n"/>
      <c r="C110" s="27" t="n"/>
      <c r="D110" s="28" t="n"/>
      <c r="E110" s="29" t="n"/>
      <c r="F110" s="29" t="n"/>
      <c r="G110" s="28" t="n"/>
      <c r="H110" s="1" t="n"/>
      <c r="I110">
        <f>IF(OR(B110="",C110=""),"",B110+MOD(C110,1))</f>
        <v/>
      </c>
      <c r="J110">
        <f>IF(I110="","",IF(B110=Dashboard!$AA$1,I110,""))</f>
        <v/>
      </c>
    </row>
    <row r="111">
      <c r="A111" s="1" t="n"/>
      <c r="B111" s="26" t="n"/>
      <c r="C111" s="27" t="n"/>
      <c r="D111" s="28" t="n"/>
      <c r="E111" s="29" t="n"/>
      <c r="F111" s="29" t="n"/>
      <c r="G111" s="28" t="n"/>
      <c r="H111" s="1" t="n"/>
      <c r="I111">
        <f>IF(OR(B111="",C111=""),"",B111+MOD(C111,1))</f>
        <v/>
      </c>
      <c r="J111">
        <f>IF(I111="","",IF(B111=Dashboard!$AA$1,I111,""))</f>
        <v/>
      </c>
    </row>
    <row r="112">
      <c r="A112" s="1" t="n"/>
      <c r="B112" s="26" t="n"/>
      <c r="C112" s="27" t="n"/>
      <c r="D112" s="28" t="n"/>
      <c r="E112" s="29" t="n"/>
      <c r="F112" s="29" t="n"/>
      <c r="G112" s="28" t="n"/>
      <c r="H112" s="1" t="n"/>
      <c r="I112">
        <f>IF(OR(B112="",C112=""),"",B112+MOD(C112,1))</f>
        <v/>
      </c>
      <c r="J112">
        <f>IF(I112="","",IF(B112=Dashboard!$AA$1,I112,""))</f>
        <v/>
      </c>
    </row>
    <row r="113">
      <c r="A113" s="1" t="n"/>
      <c r="B113" s="26" t="n"/>
      <c r="C113" s="27" t="n"/>
      <c r="D113" s="28" t="n"/>
      <c r="E113" s="29" t="n"/>
      <c r="F113" s="29" t="n"/>
      <c r="G113" s="28" t="n"/>
      <c r="H113" s="1" t="n"/>
      <c r="I113">
        <f>IF(OR(B113="",C113=""),"",B113+MOD(C113,1))</f>
        <v/>
      </c>
      <c r="J113">
        <f>IF(I113="","",IF(B113=Dashboard!$AA$1,I113,""))</f>
        <v/>
      </c>
    </row>
    <row r="114">
      <c r="A114" s="1" t="n"/>
      <c r="B114" s="26" t="n"/>
      <c r="C114" s="27" t="n"/>
      <c r="D114" s="28" t="n"/>
      <c r="E114" s="29" t="n"/>
      <c r="F114" s="29" t="n"/>
      <c r="G114" s="28" t="n"/>
      <c r="H114" s="1" t="n"/>
      <c r="I114">
        <f>IF(OR(B114="",C114=""),"",B114+MOD(C114,1))</f>
        <v/>
      </c>
      <c r="J114">
        <f>IF(I114="","",IF(B114=Dashboard!$AA$1,I114,""))</f>
        <v/>
      </c>
    </row>
    <row r="115">
      <c r="A115" s="1" t="n"/>
      <c r="B115" s="26" t="n"/>
      <c r="C115" s="27" t="n"/>
      <c r="D115" s="28" t="n"/>
      <c r="E115" s="29" t="n"/>
      <c r="F115" s="29" t="n"/>
      <c r="G115" s="28" t="n"/>
      <c r="H115" s="1" t="n"/>
      <c r="I115">
        <f>IF(OR(B115="",C115=""),"",B115+MOD(C115,1))</f>
        <v/>
      </c>
      <c r="J115">
        <f>IF(I115="","",IF(B115=Dashboard!$AA$1,I115,""))</f>
        <v/>
      </c>
    </row>
    <row r="116">
      <c r="A116" s="1" t="n"/>
      <c r="B116" s="26" t="n"/>
      <c r="C116" s="27" t="n"/>
      <c r="D116" s="28" t="n"/>
      <c r="E116" s="29" t="n"/>
      <c r="F116" s="29" t="n"/>
      <c r="G116" s="28" t="n"/>
      <c r="H116" s="1" t="n"/>
      <c r="I116">
        <f>IF(OR(B116="",C116=""),"",B116+MOD(C116,1))</f>
        <v/>
      </c>
      <c r="J116">
        <f>IF(I116="","",IF(B116=Dashboard!$AA$1,I116,""))</f>
        <v/>
      </c>
    </row>
    <row r="117">
      <c r="A117" s="1" t="n"/>
      <c r="B117" s="26" t="n"/>
      <c r="C117" s="27" t="n"/>
      <c r="D117" s="28" t="n"/>
      <c r="E117" s="29" t="n"/>
      <c r="F117" s="29" t="n"/>
      <c r="G117" s="28" t="n"/>
      <c r="H117" s="1" t="n"/>
      <c r="I117">
        <f>IF(OR(B117="",C117=""),"",B117+MOD(C117,1))</f>
        <v/>
      </c>
      <c r="J117">
        <f>IF(I117="","",IF(B117=Dashboard!$AA$1,I117,""))</f>
        <v/>
      </c>
    </row>
    <row r="118">
      <c r="A118" s="1" t="n"/>
      <c r="B118" s="26" t="n"/>
      <c r="C118" s="27" t="n"/>
      <c r="D118" s="28" t="n"/>
      <c r="E118" s="29" t="n"/>
      <c r="F118" s="29" t="n"/>
      <c r="G118" s="28" t="n"/>
      <c r="H118" s="1" t="n"/>
      <c r="I118">
        <f>IF(OR(B118="",C118=""),"",B118+MOD(C118,1))</f>
        <v/>
      </c>
      <c r="J118">
        <f>IF(I118="","",IF(B118=Dashboard!$AA$1,I118,""))</f>
        <v/>
      </c>
    </row>
    <row r="119">
      <c r="A119" s="1" t="n"/>
      <c r="B119" s="26" t="n"/>
      <c r="C119" s="27" t="n"/>
      <c r="D119" s="28" t="n"/>
      <c r="E119" s="29" t="n"/>
      <c r="F119" s="29" t="n"/>
      <c r="G119" s="28" t="n"/>
      <c r="H119" s="1" t="n"/>
      <c r="I119">
        <f>IF(OR(B119="",C119=""),"",B119+MOD(C119,1))</f>
        <v/>
      </c>
      <c r="J119">
        <f>IF(I119="","",IF(B119=Dashboard!$AA$1,I119,""))</f>
        <v/>
      </c>
    </row>
    <row r="120">
      <c r="A120" s="1" t="n"/>
      <c r="B120" s="26" t="n"/>
      <c r="C120" s="27" t="n"/>
      <c r="D120" s="28" t="n"/>
      <c r="E120" s="29" t="n"/>
      <c r="F120" s="29" t="n"/>
      <c r="G120" s="28" t="n"/>
      <c r="H120" s="1" t="n"/>
      <c r="I120">
        <f>IF(OR(B120="",C120=""),"",B120+MOD(C120,1))</f>
        <v/>
      </c>
      <c r="J120">
        <f>IF(I120="","",IF(B120=Dashboard!$AA$1,I120,""))</f>
        <v/>
      </c>
    </row>
    <row r="121">
      <c r="A121" s="1" t="n"/>
      <c r="B121" s="26" t="n"/>
      <c r="C121" s="27" t="n"/>
      <c r="D121" s="28" t="n"/>
      <c r="E121" s="29" t="n"/>
      <c r="F121" s="29" t="n"/>
      <c r="G121" s="28" t="n"/>
      <c r="H121" s="1" t="n"/>
      <c r="I121">
        <f>IF(OR(B121="",C121=""),"",B121+MOD(C121,1))</f>
        <v/>
      </c>
      <c r="J121">
        <f>IF(I121="","",IF(B121=Dashboard!$AA$1,I121,""))</f>
        <v/>
      </c>
    </row>
    <row r="122">
      <c r="A122" s="1" t="n"/>
      <c r="B122" s="26" t="n"/>
      <c r="C122" s="27" t="n"/>
      <c r="D122" s="28" t="n"/>
      <c r="E122" s="29" t="n"/>
      <c r="F122" s="29" t="n"/>
      <c r="G122" s="28" t="n"/>
      <c r="H122" s="1" t="n"/>
      <c r="I122">
        <f>IF(OR(B122="",C122=""),"",B122+MOD(C122,1))</f>
        <v/>
      </c>
      <c r="J122">
        <f>IF(I122="","",IF(B122=Dashboard!$AA$1,I122,""))</f>
        <v/>
      </c>
    </row>
    <row r="123">
      <c r="A123" s="1" t="n"/>
      <c r="B123" s="26" t="n"/>
      <c r="C123" s="27" t="n"/>
      <c r="D123" s="28" t="n"/>
      <c r="E123" s="29" t="n"/>
      <c r="F123" s="29" t="n"/>
      <c r="G123" s="28" t="n"/>
      <c r="H123" s="1" t="n"/>
      <c r="I123">
        <f>IF(OR(B123="",C123=""),"",B123+MOD(C123,1))</f>
        <v/>
      </c>
      <c r="J123">
        <f>IF(I123="","",IF(B123=Dashboard!$AA$1,I123,""))</f>
        <v/>
      </c>
    </row>
    <row r="124">
      <c r="A124" s="1" t="n"/>
      <c r="B124" s="26" t="n"/>
      <c r="C124" s="27" t="n"/>
      <c r="D124" s="28" t="n"/>
      <c r="E124" s="29" t="n"/>
      <c r="F124" s="29" t="n"/>
      <c r="G124" s="28" t="n"/>
      <c r="H124" s="1" t="n"/>
      <c r="I124">
        <f>IF(OR(B124="",C124=""),"",B124+MOD(C124,1))</f>
        <v/>
      </c>
      <c r="J124">
        <f>IF(I124="","",IF(B124=Dashboard!$AA$1,I124,""))</f>
        <v/>
      </c>
    </row>
    <row r="125">
      <c r="A125" s="1" t="n"/>
      <c r="B125" s="26" t="n"/>
      <c r="C125" s="27" t="n"/>
      <c r="D125" s="28" t="n"/>
      <c r="E125" s="29" t="n"/>
      <c r="F125" s="29" t="n"/>
      <c r="G125" s="28" t="n"/>
      <c r="H125" s="1" t="n"/>
      <c r="I125">
        <f>IF(OR(B125="",C125=""),"",B125+MOD(C125,1))</f>
        <v/>
      </c>
      <c r="J125">
        <f>IF(I125="","",IF(B125=Dashboard!$AA$1,I125,""))</f>
        <v/>
      </c>
    </row>
    <row r="126">
      <c r="A126" s="1" t="n"/>
      <c r="B126" s="26" t="n"/>
      <c r="C126" s="27" t="n"/>
      <c r="D126" s="28" t="n"/>
      <c r="E126" s="29" t="n"/>
      <c r="F126" s="29" t="n"/>
      <c r="G126" s="28" t="n"/>
      <c r="H126" s="1" t="n"/>
      <c r="I126">
        <f>IF(OR(B126="",C126=""),"",B126+MOD(C126,1))</f>
        <v/>
      </c>
      <c r="J126">
        <f>IF(I126="","",IF(B126=Dashboard!$AA$1,I126,""))</f>
        <v/>
      </c>
    </row>
    <row r="127">
      <c r="A127" s="1" t="n"/>
      <c r="B127" s="26" t="n"/>
      <c r="C127" s="27" t="n"/>
      <c r="D127" s="28" t="n"/>
      <c r="E127" s="29" t="n"/>
      <c r="F127" s="29" t="n"/>
      <c r="G127" s="28" t="n"/>
      <c r="H127" s="1" t="n"/>
      <c r="I127">
        <f>IF(OR(B127="",C127=""),"",B127+MOD(C127,1))</f>
        <v/>
      </c>
      <c r="J127">
        <f>IF(I127="","",IF(B127=Dashboard!$AA$1,I127,""))</f>
        <v/>
      </c>
    </row>
    <row r="128">
      <c r="A128" s="1" t="n"/>
      <c r="B128" s="26" t="n"/>
      <c r="C128" s="27" t="n"/>
      <c r="D128" s="28" t="n"/>
      <c r="E128" s="29" t="n"/>
      <c r="F128" s="29" t="n"/>
      <c r="G128" s="28" t="n"/>
      <c r="H128" s="1" t="n"/>
      <c r="I128">
        <f>IF(OR(B128="",C128=""),"",B128+MOD(C128,1))</f>
        <v/>
      </c>
      <c r="J128">
        <f>IF(I128="","",IF(B128=Dashboard!$AA$1,I128,""))</f>
        <v/>
      </c>
    </row>
    <row r="129">
      <c r="A129" s="1" t="n"/>
      <c r="B129" s="26" t="n"/>
      <c r="C129" s="27" t="n"/>
      <c r="D129" s="28" t="n"/>
      <c r="E129" s="29" t="n"/>
      <c r="F129" s="29" t="n"/>
      <c r="G129" s="28" t="n"/>
      <c r="H129" s="1" t="n"/>
      <c r="I129">
        <f>IF(OR(B129="",C129=""),"",B129+MOD(C129,1))</f>
        <v/>
      </c>
      <c r="J129">
        <f>IF(I129="","",IF(B129=Dashboard!$AA$1,I129,""))</f>
        <v/>
      </c>
    </row>
    <row r="130">
      <c r="A130" s="1" t="n"/>
      <c r="B130" s="26" t="n"/>
      <c r="C130" s="27" t="n"/>
      <c r="D130" s="28" t="n"/>
      <c r="E130" s="29" t="n"/>
      <c r="F130" s="29" t="n"/>
      <c r="G130" s="28" t="n"/>
      <c r="H130" s="1" t="n"/>
      <c r="I130">
        <f>IF(OR(B130="",C130=""),"",B130+MOD(C130,1))</f>
        <v/>
      </c>
      <c r="J130">
        <f>IF(I130="","",IF(B130=Dashboard!$AA$1,I130,""))</f>
        <v/>
      </c>
    </row>
    <row r="131">
      <c r="A131" s="1" t="n"/>
      <c r="B131" s="26" t="n"/>
      <c r="C131" s="27" t="n"/>
      <c r="D131" s="28" t="n"/>
      <c r="E131" s="29" t="n"/>
      <c r="F131" s="29" t="n"/>
      <c r="G131" s="28" t="n"/>
      <c r="H131" s="1" t="n"/>
      <c r="I131">
        <f>IF(OR(B131="",C131=""),"",B131+MOD(C131,1))</f>
        <v/>
      </c>
      <c r="J131">
        <f>IF(I131="","",IF(B131=Dashboard!$AA$1,I131,""))</f>
        <v/>
      </c>
    </row>
    <row r="132">
      <c r="A132" s="1" t="n"/>
      <c r="B132" s="26" t="n"/>
      <c r="C132" s="27" t="n"/>
      <c r="D132" s="28" t="n"/>
      <c r="E132" s="29" t="n"/>
      <c r="F132" s="29" t="n"/>
      <c r="G132" s="28" t="n"/>
      <c r="H132" s="1" t="n"/>
      <c r="I132">
        <f>IF(OR(B132="",C132=""),"",B132+MOD(C132,1))</f>
        <v/>
      </c>
      <c r="J132">
        <f>IF(I132="","",IF(B132=Dashboard!$AA$1,I132,""))</f>
        <v/>
      </c>
    </row>
    <row r="133">
      <c r="A133" s="1" t="n"/>
      <c r="B133" s="26" t="n"/>
      <c r="C133" s="27" t="n"/>
      <c r="D133" s="28" t="n"/>
      <c r="E133" s="29" t="n"/>
      <c r="F133" s="29" t="n"/>
      <c r="G133" s="28" t="n"/>
      <c r="H133" s="1" t="n"/>
      <c r="I133">
        <f>IF(OR(B133="",C133=""),"",B133+MOD(C133,1))</f>
        <v/>
      </c>
      <c r="J133">
        <f>IF(I133="","",IF(B133=Dashboard!$AA$1,I133,""))</f>
        <v/>
      </c>
    </row>
    <row r="134">
      <c r="A134" s="1" t="n"/>
      <c r="B134" s="26" t="n"/>
      <c r="C134" s="27" t="n"/>
      <c r="D134" s="28" t="n"/>
      <c r="E134" s="29" t="n"/>
      <c r="F134" s="29" t="n"/>
      <c r="G134" s="28" t="n"/>
      <c r="H134" s="1" t="n"/>
      <c r="I134">
        <f>IF(OR(B134="",C134=""),"",B134+MOD(C134,1))</f>
        <v/>
      </c>
      <c r="J134">
        <f>IF(I134="","",IF(B134=Dashboard!$AA$1,I134,""))</f>
        <v/>
      </c>
    </row>
    <row r="135">
      <c r="A135" s="1" t="n"/>
      <c r="B135" s="26" t="n"/>
      <c r="C135" s="27" t="n"/>
      <c r="D135" s="28" t="n"/>
      <c r="E135" s="29" t="n"/>
      <c r="F135" s="29" t="n"/>
      <c r="G135" s="28" t="n"/>
      <c r="H135" s="1" t="n"/>
      <c r="I135">
        <f>IF(OR(B135="",C135=""),"",B135+MOD(C135,1))</f>
        <v/>
      </c>
      <c r="J135">
        <f>IF(I135="","",IF(B135=Dashboard!$AA$1,I135,""))</f>
        <v/>
      </c>
    </row>
    <row r="136">
      <c r="A136" s="1" t="n"/>
      <c r="B136" s="26" t="n"/>
      <c r="C136" s="27" t="n"/>
      <c r="D136" s="28" t="n"/>
      <c r="E136" s="29" t="n"/>
      <c r="F136" s="29" t="n"/>
      <c r="G136" s="28" t="n"/>
      <c r="H136" s="1" t="n"/>
      <c r="I136">
        <f>IF(OR(B136="",C136=""),"",B136+MOD(C136,1))</f>
        <v/>
      </c>
      <c r="J136">
        <f>IF(I136="","",IF(B136=Dashboard!$AA$1,I136,""))</f>
        <v/>
      </c>
    </row>
    <row r="137">
      <c r="A137" s="1" t="n"/>
      <c r="B137" s="26" t="n"/>
      <c r="C137" s="27" t="n"/>
      <c r="D137" s="28" t="n"/>
      <c r="E137" s="29" t="n"/>
      <c r="F137" s="29" t="n"/>
      <c r="G137" s="28" t="n"/>
      <c r="H137" s="1" t="n"/>
      <c r="I137">
        <f>IF(OR(B137="",C137=""),"",B137+MOD(C137,1))</f>
        <v/>
      </c>
      <c r="J137">
        <f>IF(I137="","",IF(B137=Dashboard!$AA$1,I137,""))</f>
        <v/>
      </c>
    </row>
    <row r="138">
      <c r="A138" s="1" t="n"/>
      <c r="B138" s="26" t="n"/>
      <c r="C138" s="27" t="n"/>
      <c r="D138" s="28" t="n"/>
      <c r="E138" s="29" t="n"/>
      <c r="F138" s="29" t="n"/>
      <c r="G138" s="28" t="n"/>
      <c r="H138" s="1" t="n"/>
      <c r="I138">
        <f>IF(OR(B138="",C138=""),"",B138+MOD(C138,1))</f>
        <v/>
      </c>
      <c r="J138">
        <f>IF(I138="","",IF(B138=Dashboard!$AA$1,I138,""))</f>
        <v/>
      </c>
    </row>
    <row r="139">
      <c r="A139" s="1" t="n"/>
      <c r="B139" s="26" t="n"/>
      <c r="C139" s="27" t="n"/>
      <c r="D139" s="28" t="n"/>
      <c r="E139" s="29" t="n"/>
      <c r="F139" s="29" t="n"/>
      <c r="G139" s="28" t="n"/>
      <c r="H139" s="1" t="n"/>
      <c r="I139">
        <f>IF(OR(B139="",C139=""),"",B139+MOD(C139,1))</f>
        <v/>
      </c>
      <c r="J139">
        <f>IF(I139="","",IF(B139=Dashboard!$AA$1,I139,""))</f>
        <v/>
      </c>
    </row>
    <row r="140">
      <c r="A140" s="1" t="n"/>
      <c r="B140" s="26" t="n"/>
      <c r="C140" s="27" t="n"/>
      <c r="D140" s="28" t="n"/>
      <c r="E140" s="29" t="n"/>
      <c r="F140" s="29" t="n"/>
      <c r="G140" s="28" t="n"/>
      <c r="H140" s="1" t="n"/>
      <c r="I140">
        <f>IF(OR(B140="",C140=""),"",B140+MOD(C140,1))</f>
        <v/>
      </c>
      <c r="J140">
        <f>IF(I140="","",IF(B140=Dashboard!$AA$1,I140,""))</f>
        <v/>
      </c>
    </row>
    <row r="141">
      <c r="A141" s="1" t="n"/>
      <c r="B141" s="26" t="n"/>
      <c r="C141" s="27" t="n"/>
      <c r="D141" s="28" t="n"/>
      <c r="E141" s="29" t="n"/>
      <c r="F141" s="29" t="n"/>
      <c r="G141" s="28" t="n"/>
      <c r="H141" s="1" t="n"/>
      <c r="I141">
        <f>IF(OR(B141="",C141=""),"",B141+MOD(C141,1))</f>
        <v/>
      </c>
      <c r="J141">
        <f>IF(I141="","",IF(B141=Dashboard!$AA$1,I141,""))</f>
        <v/>
      </c>
    </row>
    <row r="142">
      <c r="A142" s="1" t="n"/>
      <c r="B142" s="26" t="n"/>
      <c r="C142" s="27" t="n"/>
      <c r="D142" s="28" t="n"/>
      <c r="E142" s="29" t="n"/>
      <c r="F142" s="29" t="n"/>
      <c r="G142" s="28" t="n"/>
      <c r="H142" s="1" t="n"/>
      <c r="I142">
        <f>IF(OR(B142="",C142=""),"",B142+MOD(C142,1))</f>
        <v/>
      </c>
      <c r="J142">
        <f>IF(I142="","",IF(B142=Dashboard!$AA$1,I142,""))</f>
        <v/>
      </c>
    </row>
    <row r="143">
      <c r="A143" s="1" t="n"/>
      <c r="B143" s="26" t="n"/>
      <c r="C143" s="27" t="n"/>
      <c r="D143" s="28" t="n"/>
      <c r="E143" s="29" t="n"/>
      <c r="F143" s="29" t="n"/>
      <c r="G143" s="28" t="n"/>
      <c r="H143" s="1" t="n"/>
      <c r="I143">
        <f>IF(OR(B143="",C143=""),"",B143+MOD(C143,1))</f>
        <v/>
      </c>
      <c r="J143">
        <f>IF(I143="","",IF(B143=Dashboard!$AA$1,I143,""))</f>
        <v/>
      </c>
    </row>
    <row r="144">
      <c r="A144" s="1" t="n"/>
      <c r="B144" s="26" t="n"/>
      <c r="C144" s="27" t="n"/>
      <c r="D144" s="28" t="n"/>
      <c r="E144" s="29" t="n"/>
      <c r="F144" s="29" t="n"/>
      <c r="G144" s="28" t="n"/>
      <c r="H144" s="1" t="n"/>
      <c r="I144">
        <f>IF(OR(B144="",C144=""),"",B144+MOD(C144,1))</f>
        <v/>
      </c>
      <c r="J144">
        <f>IF(I144="","",IF(B144=Dashboard!$AA$1,I144,""))</f>
        <v/>
      </c>
    </row>
    <row r="145">
      <c r="A145" s="1" t="n"/>
      <c r="B145" s="26" t="n"/>
      <c r="C145" s="27" t="n"/>
      <c r="D145" s="28" t="n"/>
      <c r="E145" s="29" t="n"/>
      <c r="F145" s="29" t="n"/>
      <c r="G145" s="28" t="n"/>
      <c r="H145" s="1" t="n"/>
      <c r="I145">
        <f>IF(OR(B145="",C145=""),"",B145+MOD(C145,1))</f>
        <v/>
      </c>
      <c r="J145">
        <f>IF(I145="","",IF(B145=Dashboard!$AA$1,I145,""))</f>
        <v/>
      </c>
    </row>
    <row r="146">
      <c r="A146" s="1" t="n"/>
      <c r="B146" s="26" t="n"/>
      <c r="C146" s="27" t="n"/>
      <c r="D146" s="28" t="n"/>
      <c r="E146" s="29" t="n"/>
      <c r="F146" s="29" t="n"/>
      <c r="G146" s="28" t="n"/>
      <c r="H146" s="1" t="n"/>
      <c r="I146">
        <f>IF(OR(B146="",C146=""),"",B146+MOD(C146,1))</f>
        <v/>
      </c>
      <c r="J146">
        <f>IF(I146="","",IF(B146=Dashboard!$AA$1,I146,""))</f>
        <v/>
      </c>
    </row>
    <row r="147">
      <c r="A147" s="1" t="n"/>
      <c r="B147" s="26" t="n"/>
      <c r="C147" s="27" t="n"/>
      <c r="D147" s="28" t="n"/>
      <c r="E147" s="29" t="n"/>
      <c r="F147" s="29" t="n"/>
      <c r="G147" s="28" t="n"/>
      <c r="H147" s="1" t="n"/>
      <c r="I147">
        <f>IF(OR(B147="",C147=""),"",B147+MOD(C147,1))</f>
        <v/>
      </c>
      <c r="J147">
        <f>IF(I147="","",IF(B147=Dashboard!$AA$1,I147,""))</f>
        <v/>
      </c>
    </row>
    <row r="148">
      <c r="A148" s="1" t="n"/>
      <c r="B148" s="26" t="n"/>
      <c r="C148" s="27" t="n"/>
      <c r="D148" s="28" t="n"/>
      <c r="E148" s="29" t="n"/>
      <c r="F148" s="29" t="n"/>
      <c r="G148" s="28" t="n"/>
      <c r="H148" s="1" t="n"/>
      <c r="I148">
        <f>IF(OR(B148="",C148=""),"",B148+MOD(C148,1))</f>
        <v/>
      </c>
      <c r="J148">
        <f>IF(I148="","",IF(B148=Dashboard!$AA$1,I148,""))</f>
        <v/>
      </c>
    </row>
    <row r="149">
      <c r="A149" s="1" t="n"/>
      <c r="B149" s="26" t="n"/>
      <c r="C149" s="27" t="n"/>
      <c r="D149" s="28" t="n"/>
      <c r="E149" s="29" t="n"/>
      <c r="F149" s="29" t="n"/>
      <c r="G149" s="28" t="n"/>
      <c r="H149" s="1" t="n"/>
      <c r="I149">
        <f>IF(OR(B149="",C149=""),"",B149+MOD(C149,1))</f>
        <v/>
      </c>
      <c r="J149">
        <f>IF(I149="","",IF(B149=Dashboard!$AA$1,I149,""))</f>
        <v/>
      </c>
    </row>
    <row r="150">
      <c r="A150" s="1" t="n"/>
      <c r="B150" s="26" t="n"/>
      <c r="C150" s="27" t="n"/>
      <c r="D150" s="28" t="n"/>
      <c r="E150" s="29" t="n"/>
      <c r="F150" s="29" t="n"/>
      <c r="G150" s="28" t="n"/>
      <c r="H150" s="1" t="n"/>
      <c r="I150">
        <f>IF(OR(B150="",C150=""),"",B150+MOD(C150,1))</f>
        <v/>
      </c>
      <c r="J150">
        <f>IF(I150="","",IF(B150=Dashboard!$AA$1,I150,""))</f>
        <v/>
      </c>
    </row>
    <row r="151">
      <c r="A151" s="1" t="n"/>
      <c r="B151" s="26" t="n"/>
      <c r="C151" s="27" t="n"/>
      <c r="D151" s="28" t="n"/>
      <c r="E151" s="29" t="n"/>
      <c r="F151" s="29" t="n"/>
      <c r="G151" s="28" t="n"/>
      <c r="H151" s="1" t="n"/>
      <c r="I151">
        <f>IF(OR(B151="",C151=""),"",B151+MOD(C151,1))</f>
        <v/>
      </c>
      <c r="J151">
        <f>IF(I151="","",IF(B151=Dashboard!$AA$1,I151,""))</f>
        <v/>
      </c>
    </row>
    <row r="152">
      <c r="A152" s="1" t="n"/>
      <c r="B152" s="26" t="n"/>
      <c r="C152" s="27" t="n"/>
      <c r="D152" s="28" t="n"/>
      <c r="E152" s="29" t="n"/>
      <c r="F152" s="29" t="n"/>
      <c r="G152" s="28" t="n"/>
      <c r="H152" s="1" t="n"/>
      <c r="I152">
        <f>IF(OR(B152="",C152=""),"",B152+MOD(C152,1))</f>
        <v/>
      </c>
      <c r="J152">
        <f>IF(I152="","",IF(B152=Dashboard!$AA$1,I152,""))</f>
        <v/>
      </c>
    </row>
    <row r="153">
      <c r="A153" s="1" t="n"/>
      <c r="B153" s="26" t="n"/>
      <c r="C153" s="27" t="n"/>
      <c r="D153" s="28" t="n"/>
      <c r="E153" s="29" t="n"/>
      <c r="F153" s="29" t="n"/>
      <c r="G153" s="28" t="n"/>
      <c r="H153" s="1" t="n"/>
      <c r="I153">
        <f>IF(OR(B153="",C153=""),"",B153+MOD(C153,1))</f>
        <v/>
      </c>
      <c r="J153">
        <f>IF(I153="","",IF(B153=Dashboard!$AA$1,I153,""))</f>
        <v/>
      </c>
    </row>
    <row r="154">
      <c r="A154" s="1" t="n"/>
      <c r="B154" s="26" t="n"/>
      <c r="C154" s="27" t="n"/>
      <c r="D154" s="28" t="n"/>
      <c r="E154" s="29" t="n"/>
      <c r="F154" s="29" t="n"/>
      <c r="G154" s="28" t="n"/>
      <c r="H154" s="1" t="n"/>
      <c r="I154">
        <f>IF(OR(B154="",C154=""),"",B154+MOD(C154,1))</f>
        <v/>
      </c>
      <c r="J154">
        <f>IF(I154="","",IF(B154=Dashboard!$AA$1,I154,""))</f>
        <v/>
      </c>
    </row>
    <row r="155">
      <c r="A155" s="1" t="n"/>
      <c r="B155" s="26" t="n"/>
      <c r="C155" s="27" t="n"/>
      <c r="D155" s="28" t="n"/>
      <c r="E155" s="29" t="n"/>
      <c r="F155" s="29" t="n"/>
      <c r="G155" s="28" t="n"/>
      <c r="H155" s="1" t="n"/>
      <c r="I155">
        <f>IF(OR(B155="",C155=""),"",B155+MOD(C155,1))</f>
        <v/>
      </c>
      <c r="J155">
        <f>IF(I155="","",IF(B155=Dashboard!$AA$1,I155,""))</f>
        <v/>
      </c>
    </row>
    <row r="156">
      <c r="A156" s="1" t="n"/>
      <c r="B156" s="26" t="n"/>
      <c r="C156" s="27" t="n"/>
      <c r="D156" s="28" t="n"/>
      <c r="E156" s="29" t="n"/>
      <c r="F156" s="29" t="n"/>
      <c r="G156" s="28" t="n"/>
      <c r="H156" s="1" t="n"/>
      <c r="I156">
        <f>IF(OR(B156="",C156=""),"",B156+MOD(C156,1))</f>
        <v/>
      </c>
      <c r="J156">
        <f>IF(I156="","",IF(B156=Dashboard!$AA$1,I156,""))</f>
        <v/>
      </c>
    </row>
    <row r="157">
      <c r="A157" s="1" t="n"/>
      <c r="B157" s="26" t="n"/>
      <c r="C157" s="27" t="n"/>
      <c r="D157" s="28" t="n"/>
      <c r="E157" s="29" t="n"/>
      <c r="F157" s="29" t="n"/>
      <c r="G157" s="28" t="n"/>
      <c r="H157" s="1" t="n"/>
      <c r="I157">
        <f>IF(OR(B157="",C157=""),"",B157+MOD(C157,1))</f>
        <v/>
      </c>
      <c r="J157">
        <f>IF(I157="","",IF(B157=Dashboard!$AA$1,I157,""))</f>
        <v/>
      </c>
    </row>
    <row r="158">
      <c r="A158" s="1" t="n"/>
      <c r="B158" s="26" t="n"/>
      <c r="C158" s="27" t="n"/>
      <c r="D158" s="28" t="n"/>
      <c r="E158" s="29" t="n"/>
      <c r="F158" s="29" t="n"/>
      <c r="G158" s="28" t="n"/>
      <c r="H158" s="1" t="n"/>
      <c r="I158">
        <f>IF(OR(B158="",C158=""),"",B158+MOD(C158,1))</f>
        <v/>
      </c>
      <c r="J158">
        <f>IF(I158="","",IF(B158=Dashboard!$AA$1,I158,""))</f>
        <v/>
      </c>
    </row>
    <row r="159">
      <c r="A159" s="1" t="n"/>
      <c r="B159" s="26" t="n"/>
      <c r="C159" s="27" t="n"/>
      <c r="D159" s="28" t="n"/>
      <c r="E159" s="29" t="n"/>
      <c r="F159" s="29" t="n"/>
      <c r="G159" s="28" t="n"/>
      <c r="H159" s="1" t="n"/>
      <c r="I159">
        <f>IF(OR(B159="",C159=""),"",B159+MOD(C159,1))</f>
        <v/>
      </c>
      <c r="J159">
        <f>IF(I159="","",IF(B159=Dashboard!$AA$1,I159,""))</f>
        <v/>
      </c>
    </row>
    <row r="160">
      <c r="A160" s="1" t="n"/>
      <c r="B160" s="26" t="n"/>
      <c r="C160" s="27" t="n"/>
      <c r="D160" s="28" t="n"/>
      <c r="E160" s="29" t="n"/>
      <c r="F160" s="29" t="n"/>
      <c r="G160" s="28" t="n"/>
      <c r="H160" s="1" t="n"/>
      <c r="I160">
        <f>IF(OR(B160="",C160=""),"",B160+MOD(C160,1))</f>
        <v/>
      </c>
      <c r="J160">
        <f>IF(I160="","",IF(B160=Dashboard!$AA$1,I160,""))</f>
        <v/>
      </c>
    </row>
    <row r="161">
      <c r="A161" s="1" t="n"/>
      <c r="B161" s="26" t="n"/>
      <c r="C161" s="27" t="n"/>
      <c r="D161" s="28" t="n"/>
      <c r="E161" s="29" t="n"/>
      <c r="F161" s="29" t="n"/>
      <c r="G161" s="28" t="n"/>
      <c r="H161" s="1" t="n"/>
      <c r="I161">
        <f>IF(OR(B161="",C161=""),"",B161+MOD(C161,1))</f>
        <v/>
      </c>
      <c r="J161">
        <f>IF(I161="","",IF(B161=Dashboard!$AA$1,I161,""))</f>
        <v/>
      </c>
    </row>
    <row r="162">
      <c r="A162" s="1" t="n"/>
      <c r="B162" s="26" t="n"/>
      <c r="C162" s="27" t="n"/>
      <c r="D162" s="28" t="n"/>
      <c r="E162" s="29" t="n"/>
      <c r="F162" s="29" t="n"/>
      <c r="G162" s="28" t="n"/>
      <c r="H162" s="1" t="n"/>
      <c r="I162">
        <f>IF(OR(B162="",C162=""),"",B162+MOD(C162,1))</f>
        <v/>
      </c>
      <c r="J162">
        <f>IF(I162="","",IF(B162=Dashboard!$AA$1,I162,""))</f>
        <v/>
      </c>
    </row>
    <row r="163">
      <c r="A163" s="1" t="n"/>
      <c r="B163" s="26" t="n"/>
      <c r="C163" s="27" t="n"/>
      <c r="D163" s="28" t="n"/>
      <c r="E163" s="29" t="n"/>
      <c r="F163" s="29" t="n"/>
      <c r="G163" s="28" t="n"/>
      <c r="H163" s="1" t="n"/>
      <c r="I163">
        <f>IF(OR(B163="",C163=""),"",B163+MOD(C163,1))</f>
        <v/>
      </c>
      <c r="J163">
        <f>IF(I163="","",IF(B163=Dashboard!$AA$1,I163,""))</f>
        <v/>
      </c>
    </row>
    <row r="164">
      <c r="A164" s="1" t="n"/>
      <c r="B164" s="26" t="n"/>
      <c r="C164" s="27" t="n"/>
      <c r="D164" s="28" t="n"/>
      <c r="E164" s="29" t="n"/>
      <c r="F164" s="29" t="n"/>
      <c r="G164" s="28" t="n"/>
      <c r="H164" s="1" t="n"/>
      <c r="I164">
        <f>IF(OR(B164="",C164=""),"",B164+MOD(C164,1))</f>
        <v/>
      </c>
      <c r="J164">
        <f>IF(I164="","",IF(B164=Dashboard!$AA$1,I164,""))</f>
        <v/>
      </c>
    </row>
    <row r="165">
      <c r="A165" s="1" t="n"/>
      <c r="B165" s="26" t="n"/>
      <c r="C165" s="27" t="n"/>
      <c r="D165" s="28" t="n"/>
      <c r="E165" s="29" t="n"/>
      <c r="F165" s="29" t="n"/>
      <c r="G165" s="28" t="n"/>
      <c r="H165" s="1" t="n"/>
      <c r="I165">
        <f>IF(OR(B165="",C165=""),"",B165+MOD(C165,1))</f>
        <v/>
      </c>
      <c r="J165">
        <f>IF(I165="","",IF(B165=Dashboard!$AA$1,I165,""))</f>
        <v/>
      </c>
    </row>
    <row r="166">
      <c r="A166" s="1" t="n"/>
      <c r="B166" s="26" t="n"/>
      <c r="C166" s="27" t="n"/>
      <c r="D166" s="28" t="n"/>
      <c r="E166" s="29" t="n"/>
      <c r="F166" s="29" t="n"/>
      <c r="G166" s="28" t="n"/>
      <c r="H166" s="1" t="n"/>
      <c r="I166">
        <f>IF(OR(B166="",C166=""),"",B166+MOD(C166,1))</f>
        <v/>
      </c>
      <c r="J166">
        <f>IF(I166="","",IF(B166=Dashboard!$AA$1,I166,""))</f>
        <v/>
      </c>
    </row>
    <row r="167">
      <c r="A167" s="1" t="n"/>
      <c r="B167" s="26" t="n"/>
      <c r="C167" s="27" t="n"/>
      <c r="D167" s="28" t="n"/>
      <c r="E167" s="29" t="n"/>
      <c r="F167" s="29" t="n"/>
      <c r="G167" s="28" t="n"/>
      <c r="H167" s="1" t="n"/>
      <c r="I167">
        <f>IF(OR(B167="",C167=""),"",B167+MOD(C167,1))</f>
        <v/>
      </c>
      <c r="J167">
        <f>IF(I167="","",IF(B167=Dashboard!$AA$1,I167,""))</f>
        <v/>
      </c>
    </row>
    <row r="168">
      <c r="A168" s="1" t="n"/>
      <c r="B168" s="26" t="n"/>
      <c r="C168" s="27" t="n"/>
      <c r="D168" s="28" t="n"/>
      <c r="E168" s="29" t="n"/>
      <c r="F168" s="29" t="n"/>
      <c r="G168" s="28" t="n"/>
      <c r="H168" s="1" t="n"/>
      <c r="I168">
        <f>IF(OR(B168="",C168=""),"",B168+MOD(C168,1))</f>
        <v/>
      </c>
      <c r="J168">
        <f>IF(I168="","",IF(B168=Dashboard!$AA$1,I168,""))</f>
        <v/>
      </c>
    </row>
    <row r="169">
      <c r="A169" s="1" t="n"/>
      <c r="B169" s="26" t="n"/>
      <c r="C169" s="27" t="n"/>
      <c r="D169" s="28" t="n"/>
      <c r="E169" s="29" t="n"/>
      <c r="F169" s="29" t="n"/>
      <c r="G169" s="28" t="n"/>
      <c r="H169" s="1" t="n"/>
      <c r="I169">
        <f>IF(OR(B169="",C169=""),"",B169+MOD(C169,1))</f>
        <v/>
      </c>
      <c r="J169">
        <f>IF(I169="","",IF(B169=Dashboard!$AA$1,I169,""))</f>
        <v/>
      </c>
    </row>
    <row r="170">
      <c r="A170" s="1" t="n"/>
      <c r="B170" s="26" t="n"/>
      <c r="C170" s="27" t="n"/>
      <c r="D170" s="28" t="n"/>
      <c r="E170" s="29" t="n"/>
      <c r="F170" s="29" t="n"/>
      <c r="G170" s="28" t="n"/>
      <c r="H170" s="1" t="n"/>
      <c r="I170">
        <f>IF(OR(B170="",C170=""),"",B170+MOD(C170,1))</f>
        <v/>
      </c>
      <c r="J170">
        <f>IF(I170="","",IF(B170=Dashboard!$AA$1,I170,""))</f>
        <v/>
      </c>
    </row>
    <row r="171">
      <c r="A171" s="1" t="n"/>
      <c r="B171" s="26" t="n"/>
      <c r="C171" s="27" t="n"/>
      <c r="D171" s="28" t="n"/>
      <c r="E171" s="29" t="n"/>
      <c r="F171" s="29" t="n"/>
      <c r="G171" s="28" t="n"/>
      <c r="H171" s="1" t="n"/>
      <c r="I171">
        <f>IF(OR(B171="",C171=""),"",B171+MOD(C171,1))</f>
        <v/>
      </c>
      <c r="J171">
        <f>IF(I171="","",IF(B171=Dashboard!$AA$1,I171,""))</f>
        <v/>
      </c>
    </row>
    <row r="172">
      <c r="A172" s="1" t="n"/>
      <c r="B172" s="26" t="n"/>
      <c r="C172" s="27" t="n"/>
      <c r="D172" s="28" t="n"/>
      <c r="E172" s="29" t="n"/>
      <c r="F172" s="29" t="n"/>
      <c r="G172" s="28" t="n"/>
      <c r="H172" s="1" t="n"/>
      <c r="I172">
        <f>IF(OR(B172="",C172=""),"",B172+MOD(C172,1))</f>
        <v/>
      </c>
      <c r="J172">
        <f>IF(I172="","",IF(B172=Dashboard!$AA$1,I172,""))</f>
        <v/>
      </c>
    </row>
    <row r="173">
      <c r="A173" s="1" t="n"/>
      <c r="B173" s="26" t="n"/>
      <c r="C173" s="27" t="n"/>
      <c r="D173" s="28" t="n"/>
      <c r="E173" s="29" t="n"/>
      <c r="F173" s="29" t="n"/>
      <c r="G173" s="28" t="n"/>
      <c r="H173" s="1" t="n"/>
      <c r="I173">
        <f>IF(OR(B173="",C173=""),"",B173+MOD(C173,1))</f>
        <v/>
      </c>
      <c r="J173">
        <f>IF(I173="","",IF(B173=Dashboard!$AA$1,I173,""))</f>
        <v/>
      </c>
    </row>
    <row r="174">
      <c r="A174" s="1" t="n"/>
      <c r="B174" s="26" t="n"/>
      <c r="C174" s="27" t="n"/>
      <c r="D174" s="28" t="n"/>
      <c r="E174" s="29" t="n"/>
      <c r="F174" s="29" t="n"/>
      <c r="G174" s="28" t="n"/>
      <c r="H174" s="1" t="n"/>
      <c r="I174">
        <f>IF(OR(B174="",C174=""),"",B174+MOD(C174,1))</f>
        <v/>
      </c>
      <c r="J174">
        <f>IF(I174="","",IF(B174=Dashboard!$AA$1,I174,""))</f>
        <v/>
      </c>
    </row>
    <row r="175">
      <c r="A175" s="1" t="n"/>
      <c r="B175" s="26" t="n"/>
      <c r="C175" s="27" t="n"/>
      <c r="D175" s="28" t="n"/>
      <c r="E175" s="29" t="n"/>
      <c r="F175" s="29" t="n"/>
      <c r="G175" s="28" t="n"/>
      <c r="H175" s="1" t="n"/>
      <c r="I175">
        <f>IF(OR(B175="",C175=""),"",B175+MOD(C175,1))</f>
        <v/>
      </c>
      <c r="J175">
        <f>IF(I175="","",IF(B175=Dashboard!$AA$1,I175,""))</f>
        <v/>
      </c>
    </row>
    <row r="176">
      <c r="A176" s="1" t="n"/>
      <c r="B176" s="26" t="n"/>
      <c r="C176" s="27" t="n"/>
      <c r="D176" s="28" t="n"/>
      <c r="E176" s="29" t="n"/>
      <c r="F176" s="29" t="n"/>
      <c r="G176" s="28" t="n"/>
      <c r="H176" s="1" t="n"/>
      <c r="I176">
        <f>IF(OR(B176="",C176=""),"",B176+MOD(C176,1))</f>
        <v/>
      </c>
      <c r="J176">
        <f>IF(I176="","",IF(B176=Dashboard!$AA$1,I176,""))</f>
        <v/>
      </c>
    </row>
    <row r="177">
      <c r="A177" s="1" t="n"/>
      <c r="B177" s="26" t="n"/>
      <c r="C177" s="27" t="n"/>
      <c r="D177" s="28" t="n"/>
      <c r="E177" s="29" t="n"/>
      <c r="F177" s="29" t="n"/>
      <c r="G177" s="28" t="n"/>
      <c r="H177" s="1" t="n"/>
      <c r="I177">
        <f>IF(OR(B177="",C177=""),"",B177+MOD(C177,1))</f>
        <v/>
      </c>
      <c r="J177">
        <f>IF(I177="","",IF(B177=Dashboard!$AA$1,I177,""))</f>
        <v/>
      </c>
    </row>
    <row r="178">
      <c r="A178" s="1" t="n"/>
      <c r="B178" s="26" t="n"/>
      <c r="C178" s="27" t="n"/>
      <c r="D178" s="28" t="n"/>
      <c r="E178" s="29" t="n"/>
      <c r="F178" s="29" t="n"/>
      <c r="G178" s="28" t="n"/>
      <c r="H178" s="1" t="n"/>
      <c r="I178">
        <f>IF(OR(B178="",C178=""),"",B178+MOD(C178,1))</f>
        <v/>
      </c>
      <c r="J178">
        <f>IF(I178="","",IF(B178=Dashboard!$AA$1,I178,""))</f>
        <v/>
      </c>
    </row>
    <row r="179">
      <c r="A179" s="1" t="n"/>
      <c r="B179" s="26" t="n"/>
      <c r="C179" s="27" t="n"/>
      <c r="D179" s="28" t="n"/>
      <c r="E179" s="29" t="n"/>
      <c r="F179" s="29" t="n"/>
      <c r="G179" s="28" t="n"/>
      <c r="H179" s="1" t="n"/>
      <c r="I179">
        <f>IF(OR(B179="",C179=""),"",B179+MOD(C179,1))</f>
        <v/>
      </c>
      <c r="J179">
        <f>IF(I179="","",IF(B179=Dashboard!$AA$1,I179,""))</f>
        <v/>
      </c>
    </row>
    <row r="180">
      <c r="A180" s="1" t="n"/>
      <c r="B180" s="26" t="n"/>
      <c r="C180" s="27" t="n"/>
      <c r="D180" s="28" t="n"/>
      <c r="E180" s="29" t="n"/>
      <c r="F180" s="29" t="n"/>
      <c r="G180" s="28" t="n"/>
      <c r="H180" s="1" t="n"/>
      <c r="I180">
        <f>IF(OR(B180="",C180=""),"",B180+MOD(C180,1))</f>
        <v/>
      </c>
      <c r="J180">
        <f>IF(I180="","",IF(B180=Dashboard!$AA$1,I180,""))</f>
        <v/>
      </c>
    </row>
    <row r="181">
      <c r="A181" s="1" t="n"/>
      <c r="B181" s="26" t="n"/>
      <c r="C181" s="27" t="n"/>
      <c r="D181" s="28" t="n"/>
      <c r="E181" s="29" t="n"/>
      <c r="F181" s="29" t="n"/>
      <c r="G181" s="28" t="n"/>
      <c r="H181" s="1" t="n"/>
      <c r="I181">
        <f>IF(OR(B181="",C181=""),"",B181+MOD(C181,1))</f>
        <v/>
      </c>
      <c r="J181">
        <f>IF(I181="","",IF(B181=Dashboard!$AA$1,I181,""))</f>
        <v/>
      </c>
    </row>
    <row r="182">
      <c r="A182" s="1" t="n"/>
      <c r="B182" s="26" t="n"/>
      <c r="C182" s="27" t="n"/>
      <c r="D182" s="28" t="n"/>
      <c r="E182" s="29" t="n"/>
      <c r="F182" s="29" t="n"/>
      <c r="G182" s="28" t="n"/>
      <c r="H182" s="1" t="n"/>
      <c r="I182">
        <f>IF(OR(B182="",C182=""),"",B182+MOD(C182,1))</f>
        <v/>
      </c>
      <c r="J182">
        <f>IF(I182="","",IF(B182=Dashboard!$AA$1,I182,""))</f>
        <v/>
      </c>
    </row>
    <row r="183">
      <c r="A183" s="1" t="n"/>
      <c r="B183" s="26" t="n"/>
      <c r="C183" s="27" t="n"/>
      <c r="D183" s="28" t="n"/>
      <c r="E183" s="29" t="n"/>
      <c r="F183" s="29" t="n"/>
      <c r="G183" s="28" t="n"/>
      <c r="H183" s="1" t="n"/>
      <c r="I183">
        <f>IF(OR(B183="",C183=""),"",B183+MOD(C183,1))</f>
        <v/>
      </c>
      <c r="J183">
        <f>IF(I183="","",IF(B183=Dashboard!$AA$1,I183,""))</f>
        <v/>
      </c>
    </row>
    <row r="184">
      <c r="A184" s="1" t="n"/>
      <c r="B184" s="26" t="n"/>
      <c r="C184" s="27" t="n"/>
      <c r="D184" s="28" t="n"/>
      <c r="E184" s="29" t="n"/>
      <c r="F184" s="29" t="n"/>
      <c r="G184" s="28" t="n"/>
      <c r="H184" s="1" t="n"/>
      <c r="I184">
        <f>IF(OR(B184="",C184=""),"",B184+MOD(C184,1))</f>
        <v/>
      </c>
      <c r="J184">
        <f>IF(I184="","",IF(B184=Dashboard!$AA$1,I184,""))</f>
        <v/>
      </c>
    </row>
    <row r="185">
      <c r="A185" s="1" t="n"/>
      <c r="B185" s="26" t="n"/>
      <c r="C185" s="27" t="n"/>
      <c r="D185" s="28" t="n"/>
      <c r="E185" s="29" t="n"/>
      <c r="F185" s="29" t="n"/>
      <c r="G185" s="28" t="n"/>
      <c r="H185" s="1" t="n"/>
      <c r="I185">
        <f>IF(OR(B185="",C185=""),"",B185+MOD(C185,1))</f>
        <v/>
      </c>
      <c r="J185">
        <f>IF(I185="","",IF(B185=Dashboard!$AA$1,I185,""))</f>
        <v/>
      </c>
    </row>
    <row r="186">
      <c r="A186" s="1" t="n"/>
      <c r="B186" s="26" t="n"/>
      <c r="C186" s="27" t="n"/>
      <c r="D186" s="28" t="n"/>
      <c r="E186" s="29" t="n"/>
      <c r="F186" s="29" t="n"/>
      <c r="G186" s="28" t="n"/>
      <c r="H186" s="1" t="n"/>
      <c r="I186">
        <f>IF(OR(B186="",C186=""),"",B186+MOD(C186,1))</f>
        <v/>
      </c>
      <c r="J186">
        <f>IF(I186="","",IF(B186=Dashboard!$AA$1,I186,""))</f>
        <v/>
      </c>
    </row>
    <row r="187">
      <c r="A187" s="1" t="n"/>
      <c r="B187" s="26" t="n"/>
      <c r="C187" s="27" t="n"/>
      <c r="D187" s="28" t="n"/>
      <c r="E187" s="29" t="n"/>
      <c r="F187" s="29" t="n"/>
      <c r="G187" s="28" t="n"/>
      <c r="H187" s="1" t="n"/>
      <c r="I187">
        <f>IF(OR(B187="",C187=""),"",B187+MOD(C187,1))</f>
        <v/>
      </c>
      <c r="J187">
        <f>IF(I187="","",IF(B187=Dashboard!$AA$1,I187,""))</f>
        <v/>
      </c>
    </row>
    <row r="188">
      <c r="A188" s="1" t="n"/>
      <c r="B188" s="26" t="n"/>
      <c r="C188" s="27" t="n"/>
      <c r="D188" s="28" t="n"/>
      <c r="E188" s="29" t="n"/>
      <c r="F188" s="29" t="n"/>
      <c r="G188" s="28" t="n"/>
      <c r="H188" s="1" t="n"/>
      <c r="I188">
        <f>IF(OR(B188="",C188=""),"",B188+MOD(C188,1))</f>
        <v/>
      </c>
      <c r="J188">
        <f>IF(I188="","",IF(B188=Dashboard!$AA$1,I188,""))</f>
        <v/>
      </c>
    </row>
    <row r="189">
      <c r="A189" s="1" t="n"/>
      <c r="B189" s="26" t="n"/>
      <c r="C189" s="27" t="n"/>
      <c r="D189" s="28" t="n"/>
      <c r="E189" s="29" t="n"/>
      <c r="F189" s="29" t="n"/>
      <c r="G189" s="28" t="n"/>
      <c r="H189" s="1" t="n"/>
      <c r="I189">
        <f>IF(OR(B189="",C189=""),"",B189+MOD(C189,1))</f>
        <v/>
      </c>
      <c r="J189">
        <f>IF(I189="","",IF(B189=Dashboard!$AA$1,I189,""))</f>
        <v/>
      </c>
    </row>
    <row r="190">
      <c r="A190" s="1" t="n"/>
      <c r="B190" s="26" t="n"/>
      <c r="C190" s="27" t="n"/>
      <c r="D190" s="28" t="n"/>
      <c r="E190" s="29" t="n"/>
      <c r="F190" s="29" t="n"/>
      <c r="G190" s="28" t="n"/>
      <c r="H190" s="1" t="n"/>
      <c r="I190">
        <f>IF(OR(B190="",C190=""),"",B190+MOD(C190,1))</f>
        <v/>
      </c>
      <c r="J190">
        <f>IF(I190="","",IF(B190=Dashboard!$AA$1,I190,""))</f>
        <v/>
      </c>
    </row>
    <row r="191">
      <c r="A191" s="1" t="n"/>
      <c r="B191" s="26" t="n"/>
      <c r="C191" s="27" t="n"/>
      <c r="D191" s="28" t="n"/>
      <c r="E191" s="29" t="n"/>
      <c r="F191" s="29" t="n"/>
      <c r="G191" s="28" t="n"/>
      <c r="H191" s="1" t="n"/>
      <c r="I191">
        <f>IF(OR(B191="",C191=""),"",B191+MOD(C191,1))</f>
        <v/>
      </c>
      <c r="J191">
        <f>IF(I191="","",IF(B191=Dashboard!$AA$1,I191,""))</f>
        <v/>
      </c>
    </row>
    <row r="192">
      <c r="A192" s="1" t="n"/>
      <c r="B192" s="26" t="n"/>
      <c r="C192" s="27" t="n"/>
      <c r="D192" s="28" t="n"/>
      <c r="E192" s="29" t="n"/>
      <c r="F192" s="29" t="n"/>
      <c r="G192" s="28" t="n"/>
      <c r="H192" s="1" t="n"/>
      <c r="I192">
        <f>IF(OR(B192="",C192=""),"",B192+MOD(C192,1))</f>
        <v/>
      </c>
      <c r="J192">
        <f>IF(I192="","",IF(B192=Dashboard!$AA$1,I192,""))</f>
        <v/>
      </c>
    </row>
    <row r="193">
      <c r="A193" s="1" t="n"/>
      <c r="B193" s="26" t="n"/>
      <c r="C193" s="27" t="n"/>
      <c r="D193" s="28" t="n"/>
      <c r="E193" s="29" t="n"/>
      <c r="F193" s="29" t="n"/>
      <c r="G193" s="28" t="n"/>
      <c r="H193" s="1" t="n"/>
      <c r="I193">
        <f>IF(OR(B193="",C193=""),"",B193+MOD(C193,1))</f>
        <v/>
      </c>
      <c r="J193">
        <f>IF(I193="","",IF(B193=Dashboard!$AA$1,I193,""))</f>
        <v/>
      </c>
    </row>
    <row r="194">
      <c r="A194" s="1" t="n"/>
      <c r="B194" s="26" t="n"/>
      <c r="C194" s="27" t="n"/>
      <c r="D194" s="28" t="n"/>
      <c r="E194" s="29" t="n"/>
      <c r="F194" s="29" t="n"/>
      <c r="G194" s="28" t="n"/>
      <c r="H194" s="1" t="n"/>
      <c r="I194">
        <f>IF(OR(B194="",C194=""),"",B194+MOD(C194,1))</f>
        <v/>
      </c>
      <c r="J194">
        <f>IF(I194="","",IF(B194=Dashboard!$AA$1,I194,""))</f>
        <v/>
      </c>
    </row>
    <row r="195">
      <c r="A195" s="1" t="n"/>
      <c r="B195" s="26" t="n"/>
      <c r="C195" s="27" t="n"/>
      <c r="D195" s="28" t="n"/>
      <c r="E195" s="29" t="n"/>
      <c r="F195" s="29" t="n"/>
      <c r="G195" s="28" t="n"/>
      <c r="H195" s="1" t="n"/>
      <c r="I195">
        <f>IF(OR(B195="",C195=""),"",B195+MOD(C195,1))</f>
        <v/>
      </c>
      <c r="J195">
        <f>IF(I195="","",IF(B195=Dashboard!$AA$1,I195,""))</f>
        <v/>
      </c>
    </row>
    <row r="196">
      <c r="A196" s="1" t="n"/>
      <c r="B196" s="26" t="n"/>
      <c r="C196" s="27" t="n"/>
      <c r="D196" s="28" t="n"/>
      <c r="E196" s="29" t="n"/>
      <c r="F196" s="29" t="n"/>
      <c r="G196" s="28" t="n"/>
      <c r="H196" s="1" t="n"/>
      <c r="I196">
        <f>IF(OR(B196="",C196=""),"",B196+MOD(C196,1))</f>
        <v/>
      </c>
      <c r="J196">
        <f>IF(I196="","",IF(B196=Dashboard!$AA$1,I196,""))</f>
        <v/>
      </c>
    </row>
    <row r="197">
      <c r="A197" s="1" t="n"/>
      <c r="B197" s="26" t="n"/>
      <c r="C197" s="27" t="n"/>
      <c r="D197" s="28" t="n"/>
      <c r="E197" s="29" t="n"/>
      <c r="F197" s="29" t="n"/>
      <c r="G197" s="28" t="n"/>
      <c r="H197" s="1" t="n"/>
      <c r="I197">
        <f>IF(OR(B197="",C197=""),"",B197+MOD(C197,1))</f>
        <v/>
      </c>
      <c r="J197">
        <f>IF(I197="","",IF(B197=Dashboard!$AA$1,I197,""))</f>
        <v/>
      </c>
    </row>
    <row r="198">
      <c r="A198" s="1" t="n"/>
      <c r="B198" s="26" t="n"/>
      <c r="C198" s="27" t="n"/>
      <c r="D198" s="28" t="n"/>
      <c r="E198" s="29" t="n"/>
      <c r="F198" s="29" t="n"/>
      <c r="G198" s="28" t="n"/>
      <c r="H198" s="1" t="n"/>
      <c r="I198">
        <f>IF(OR(B198="",C198=""),"",B198+MOD(C198,1))</f>
        <v/>
      </c>
      <c r="J198">
        <f>IF(I198="","",IF(B198=Dashboard!$AA$1,I198,""))</f>
        <v/>
      </c>
    </row>
    <row r="199">
      <c r="A199" s="1" t="n"/>
      <c r="B199" s="26" t="n"/>
      <c r="C199" s="27" t="n"/>
      <c r="D199" s="28" t="n"/>
      <c r="E199" s="29" t="n"/>
      <c r="F199" s="29" t="n"/>
      <c r="G199" s="28" t="n"/>
      <c r="H199" s="1" t="n"/>
      <c r="I199">
        <f>IF(OR(B199="",C199=""),"",B199+MOD(C199,1))</f>
        <v/>
      </c>
      <c r="J199">
        <f>IF(I199="","",IF(B199=Dashboard!$AA$1,I199,""))</f>
        <v/>
      </c>
    </row>
    <row r="200">
      <c r="A200" s="1" t="n"/>
      <c r="B200" s="26" t="n"/>
      <c r="C200" s="27" t="n"/>
      <c r="D200" s="28" t="n"/>
      <c r="E200" s="29" t="n"/>
      <c r="F200" s="29" t="n"/>
      <c r="G200" s="28" t="n"/>
      <c r="H200" s="1" t="n"/>
      <c r="I200">
        <f>IF(OR(B200="",C200=""),"",B200+MOD(C200,1))</f>
        <v/>
      </c>
      <c r="J200">
        <f>IF(I200="","",IF(B200=Dashboard!$AA$1,I200,""))</f>
        <v/>
      </c>
    </row>
    <row r="201">
      <c r="A201" s="1" t="n"/>
      <c r="B201" s="26" t="n"/>
      <c r="C201" s="27" t="n"/>
      <c r="D201" s="28" t="n"/>
      <c r="E201" s="29" t="n"/>
      <c r="F201" s="29" t="n"/>
      <c r="G201" s="28" t="n"/>
      <c r="H201" s="1" t="n"/>
      <c r="I201">
        <f>IF(OR(B201="",C201=""),"",B201+MOD(C201,1))</f>
        <v/>
      </c>
      <c r="J201">
        <f>IF(I201="","",IF(B201=Dashboard!$AA$1,I201,""))</f>
        <v/>
      </c>
    </row>
    <row r="202">
      <c r="A202" s="1" t="n"/>
      <c r="B202" s="26" t="n"/>
      <c r="C202" s="27" t="n"/>
      <c r="D202" s="28" t="n"/>
      <c r="E202" s="29" t="n"/>
      <c r="F202" s="29" t="n"/>
      <c r="G202" s="28" t="n"/>
      <c r="H202" s="1" t="n"/>
      <c r="I202">
        <f>IF(OR(B202="",C202=""),"",B202+MOD(C202,1))</f>
        <v/>
      </c>
      <c r="J202">
        <f>IF(I202="","",IF(B202=Dashboard!$AA$1,I202,""))</f>
        <v/>
      </c>
    </row>
    <row r="203">
      <c r="A203" s="1" t="n"/>
      <c r="B203" s="26" t="n"/>
      <c r="C203" s="27" t="n"/>
      <c r="D203" s="28" t="n"/>
      <c r="E203" s="29" t="n"/>
      <c r="F203" s="29" t="n"/>
      <c r="G203" s="28" t="n"/>
      <c r="H203" s="1" t="n"/>
      <c r="I203">
        <f>IF(OR(B203="",C203=""),"",B203+MOD(C203,1))</f>
        <v/>
      </c>
      <c r="J203">
        <f>IF(I203="","",IF(B203=Dashboard!$AA$1,I203,""))</f>
        <v/>
      </c>
    </row>
    <row r="204">
      <c r="A204" s="1" t="n"/>
      <c r="B204" s="26" t="n"/>
      <c r="C204" s="27" t="n"/>
      <c r="D204" s="28" t="n"/>
      <c r="E204" s="29" t="n"/>
      <c r="F204" s="29" t="n"/>
      <c r="G204" s="28" t="n"/>
      <c r="H204" s="1" t="n"/>
      <c r="I204">
        <f>IF(OR(B204="",C204=""),"",B204+MOD(C204,1))</f>
        <v/>
      </c>
      <c r="J204">
        <f>IF(I204="","",IF(B204=Dashboard!$AA$1,I204,""))</f>
        <v/>
      </c>
    </row>
    <row r="205">
      <c r="A205" s="1" t="n"/>
      <c r="B205" s="26" t="n"/>
      <c r="C205" s="27" t="n"/>
      <c r="D205" s="28" t="n"/>
      <c r="E205" s="29" t="n"/>
      <c r="F205" s="29" t="n"/>
      <c r="G205" s="28" t="n"/>
      <c r="H205" s="1" t="n"/>
      <c r="I205">
        <f>IF(OR(B205="",C205=""),"",B205+MOD(C205,1))</f>
        <v/>
      </c>
      <c r="J205">
        <f>IF(I205="","",IF(B205=Dashboard!$AA$1,I205,""))</f>
        <v/>
      </c>
    </row>
    <row r="206">
      <c r="A206" s="1" t="n"/>
      <c r="B206" s="26" t="n"/>
      <c r="C206" s="27" t="n"/>
      <c r="D206" s="28" t="n"/>
      <c r="E206" s="29" t="n"/>
      <c r="F206" s="29" t="n"/>
      <c r="G206" s="28" t="n"/>
      <c r="H206" s="1" t="n"/>
      <c r="I206">
        <f>IF(OR(B206="",C206=""),"",B206+MOD(C206,1))</f>
        <v/>
      </c>
      <c r="J206">
        <f>IF(I206="","",IF(B206=Dashboard!$AA$1,I206,""))</f>
        <v/>
      </c>
    </row>
    <row r="207">
      <c r="A207" s="1" t="n"/>
      <c r="B207" s="26" t="n"/>
      <c r="C207" s="27" t="n"/>
      <c r="D207" s="28" t="n"/>
      <c r="E207" s="29" t="n"/>
      <c r="F207" s="29" t="n"/>
      <c r="G207" s="28" t="n"/>
      <c r="H207" s="1" t="n"/>
      <c r="I207">
        <f>IF(OR(B207="",C207=""),"",B207+MOD(C207,1))</f>
        <v/>
      </c>
      <c r="J207">
        <f>IF(I207="","",IF(B207=Dashboard!$AA$1,I207,""))</f>
        <v/>
      </c>
    </row>
    <row r="208">
      <c r="A208" s="1" t="n"/>
      <c r="B208" s="26" t="n"/>
      <c r="C208" s="27" t="n"/>
      <c r="D208" s="28" t="n"/>
      <c r="E208" s="29" t="n"/>
      <c r="F208" s="29" t="n"/>
      <c r="G208" s="28" t="n"/>
      <c r="H208" s="1" t="n"/>
      <c r="I208">
        <f>IF(OR(B208="",C208=""),"",B208+MOD(C208,1))</f>
        <v/>
      </c>
      <c r="J208">
        <f>IF(I208="","",IF(B208=Dashboard!$AA$1,I208,""))</f>
        <v/>
      </c>
    </row>
    <row r="209">
      <c r="A209" s="1" t="n"/>
      <c r="B209" s="26" t="n"/>
      <c r="C209" s="27" t="n"/>
      <c r="D209" s="28" t="n"/>
      <c r="E209" s="29" t="n"/>
      <c r="F209" s="29" t="n"/>
      <c r="G209" s="28" t="n"/>
      <c r="H209" s="1" t="n"/>
      <c r="I209">
        <f>IF(OR(B209="",C209=""),"",B209+MOD(C209,1))</f>
        <v/>
      </c>
      <c r="J209">
        <f>IF(I209="","",IF(B209=Dashboard!$AA$1,I209,""))</f>
        <v/>
      </c>
    </row>
    <row r="210">
      <c r="A210" s="1" t="n"/>
      <c r="B210" s="26" t="n"/>
      <c r="C210" s="27" t="n"/>
      <c r="D210" s="28" t="n"/>
      <c r="E210" s="29" t="n"/>
      <c r="F210" s="29" t="n"/>
      <c r="G210" s="28" t="n"/>
      <c r="H210" s="1" t="n"/>
      <c r="I210">
        <f>IF(OR(B210="",C210=""),"",B210+MOD(C210,1))</f>
        <v/>
      </c>
      <c r="J210">
        <f>IF(I210="","",IF(B210=Dashboard!$AA$1,I210,""))</f>
        <v/>
      </c>
    </row>
    <row r="211">
      <c r="A211" s="1" t="n"/>
      <c r="B211" s="26" t="n"/>
      <c r="C211" s="27" t="n"/>
      <c r="D211" s="28" t="n"/>
      <c r="E211" s="29" t="n"/>
      <c r="F211" s="29" t="n"/>
      <c r="G211" s="28" t="n"/>
      <c r="H211" s="1" t="n"/>
      <c r="I211">
        <f>IF(OR(B211="",C211=""),"",B211+MOD(C211,1))</f>
        <v/>
      </c>
      <c r="J211">
        <f>IF(I211="","",IF(B211=Dashboard!$AA$1,I211,""))</f>
        <v/>
      </c>
    </row>
    <row r="212">
      <c r="A212" s="1" t="n"/>
      <c r="B212" s="26" t="n"/>
      <c r="C212" s="27" t="n"/>
      <c r="D212" s="28" t="n"/>
      <c r="E212" s="29" t="n"/>
      <c r="F212" s="29" t="n"/>
      <c r="G212" s="28" t="n"/>
      <c r="H212" s="1" t="n"/>
      <c r="I212">
        <f>IF(OR(B212="",C212=""),"",B212+MOD(C212,1))</f>
        <v/>
      </c>
      <c r="J212">
        <f>IF(I212="","",IF(B212=Dashboard!$AA$1,I212,""))</f>
        <v/>
      </c>
    </row>
    <row r="213">
      <c r="A213" s="1" t="n"/>
      <c r="B213" s="26" t="n"/>
      <c r="C213" s="27" t="n"/>
      <c r="D213" s="28" t="n"/>
      <c r="E213" s="29" t="n"/>
      <c r="F213" s="29" t="n"/>
      <c r="G213" s="28" t="n"/>
      <c r="H213" s="1" t="n"/>
      <c r="I213">
        <f>IF(OR(B213="",C213=""),"",B213+MOD(C213,1))</f>
        <v/>
      </c>
      <c r="J213">
        <f>IF(I213="","",IF(B213=Dashboard!$AA$1,I213,""))</f>
        <v/>
      </c>
    </row>
    <row r="214">
      <c r="A214" s="1" t="n"/>
      <c r="B214" s="26" t="n"/>
      <c r="C214" s="27" t="n"/>
      <c r="D214" s="28" t="n"/>
      <c r="E214" s="29" t="n"/>
      <c r="F214" s="29" t="n"/>
      <c r="G214" s="28" t="n"/>
      <c r="H214" s="1" t="n"/>
      <c r="I214">
        <f>IF(OR(B214="",C214=""),"",B214+MOD(C214,1))</f>
        <v/>
      </c>
      <c r="J214">
        <f>IF(I214="","",IF(B214=Dashboard!$AA$1,I214,""))</f>
        <v/>
      </c>
    </row>
    <row r="215">
      <c r="A215" s="1" t="n"/>
      <c r="B215" s="26" t="n"/>
      <c r="C215" s="27" t="n"/>
      <c r="D215" s="28" t="n"/>
      <c r="E215" s="29" t="n"/>
      <c r="F215" s="29" t="n"/>
      <c r="G215" s="28" t="n"/>
      <c r="H215" s="1" t="n"/>
      <c r="I215">
        <f>IF(OR(B215="",C215=""),"",B215+MOD(C215,1))</f>
        <v/>
      </c>
      <c r="J215">
        <f>IF(I215="","",IF(B215=Dashboard!$AA$1,I215,""))</f>
        <v/>
      </c>
    </row>
    <row r="216">
      <c r="A216" s="1" t="n"/>
      <c r="B216" s="26" t="n"/>
      <c r="C216" s="27" t="n"/>
      <c r="D216" s="28" t="n"/>
      <c r="E216" s="29" t="n"/>
      <c r="F216" s="29" t="n"/>
      <c r="G216" s="28" t="n"/>
      <c r="H216" s="1" t="n"/>
      <c r="I216">
        <f>IF(OR(B216="",C216=""),"",B216+MOD(C216,1))</f>
        <v/>
      </c>
      <c r="J216">
        <f>IF(I216="","",IF(B216=Dashboard!$AA$1,I216,""))</f>
        <v/>
      </c>
    </row>
    <row r="217">
      <c r="A217" s="1" t="n"/>
      <c r="B217" s="26" t="n"/>
      <c r="C217" s="27" t="n"/>
      <c r="D217" s="28" t="n"/>
      <c r="E217" s="29" t="n"/>
      <c r="F217" s="29" t="n"/>
      <c r="G217" s="28" t="n"/>
      <c r="H217" s="1" t="n"/>
      <c r="I217">
        <f>IF(OR(B217="",C217=""),"",B217+MOD(C217,1))</f>
        <v/>
      </c>
      <c r="J217">
        <f>IF(I217="","",IF(B217=Dashboard!$AA$1,I217,""))</f>
        <v/>
      </c>
    </row>
    <row r="218">
      <c r="A218" s="1" t="n"/>
      <c r="B218" s="26" t="n"/>
      <c r="C218" s="27" t="n"/>
      <c r="D218" s="28" t="n"/>
      <c r="E218" s="29" t="n"/>
      <c r="F218" s="29" t="n"/>
      <c r="G218" s="28" t="n"/>
      <c r="H218" s="1" t="n"/>
      <c r="I218">
        <f>IF(OR(B218="",C218=""),"",B218+MOD(C218,1))</f>
        <v/>
      </c>
      <c r="J218">
        <f>IF(I218="","",IF(B218=Dashboard!$AA$1,I218,""))</f>
        <v/>
      </c>
    </row>
    <row r="219">
      <c r="A219" s="1" t="n"/>
      <c r="B219" s="26" t="n"/>
      <c r="C219" s="27" t="n"/>
      <c r="D219" s="28" t="n"/>
      <c r="E219" s="29" t="n"/>
      <c r="F219" s="29" t="n"/>
      <c r="G219" s="28" t="n"/>
      <c r="H219" s="1" t="n"/>
      <c r="I219">
        <f>IF(OR(B219="",C219=""),"",B219+MOD(C219,1))</f>
        <v/>
      </c>
      <c r="J219">
        <f>IF(I219="","",IF(B219=Dashboard!$AA$1,I219,""))</f>
        <v/>
      </c>
    </row>
    <row r="220">
      <c r="A220" s="1" t="n"/>
      <c r="B220" s="26" t="n"/>
      <c r="C220" s="27" t="n"/>
      <c r="D220" s="28" t="n"/>
      <c r="E220" s="29" t="n"/>
      <c r="F220" s="29" t="n"/>
      <c r="G220" s="28" t="n"/>
      <c r="H220" s="1" t="n"/>
      <c r="I220">
        <f>IF(OR(B220="",C220=""),"",B220+MOD(C220,1))</f>
        <v/>
      </c>
      <c r="J220">
        <f>IF(I220="","",IF(B220=Dashboard!$AA$1,I220,""))</f>
        <v/>
      </c>
    </row>
    <row r="221">
      <c r="A221" s="1" t="n"/>
      <c r="B221" s="26" t="n"/>
      <c r="C221" s="27" t="n"/>
      <c r="D221" s="28" t="n"/>
      <c r="E221" s="29" t="n"/>
      <c r="F221" s="29" t="n"/>
      <c r="G221" s="28" t="n"/>
      <c r="H221" s="1" t="n"/>
      <c r="I221">
        <f>IF(OR(B221="",C221=""),"",B221+MOD(C221,1))</f>
        <v/>
      </c>
      <c r="J221">
        <f>IF(I221="","",IF(B221=Dashboard!$AA$1,I221,""))</f>
        <v/>
      </c>
    </row>
    <row r="222">
      <c r="A222" s="1" t="n"/>
      <c r="B222" s="26" t="n"/>
      <c r="C222" s="27" t="n"/>
      <c r="D222" s="28" t="n"/>
      <c r="E222" s="29" t="n"/>
      <c r="F222" s="29" t="n"/>
      <c r="G222" s="28" t="n"/>
      <c r="H222" s="1" t="n"/>
      <c r="I222">
        <f>IF(OR(B222="",C222=""),"",B222+MOD(C222,1))</f>
        <v/>
      </c>
      <c r="J222">
        <f>IF(I222="","",IF(B222=Dashboard!$AA$1,I222,""))</f>
        <v/>
      </c>
    </row>
    <row r="223">
      <c r="A223" s="1" t="n"/>
      <c r="B223" s="26" t="n"/>
      <c r="C223" s="27" t="n"/>
      <c r="D223" s="28" t="n"/>
      <c r="E223" s="29" t="n"/>
      <c r="F223" s="29" t="n"/>
      <c r="G223" s="28" t="n"/>
      <c r="H223" s="1" t="n"/>
      <c r="I223">
        <f>IF(OR(B223="",C223=""),"",B223+MOD(C223,1))</f>
        <v/>
      </c>
      <c r="J223">
        <f>IF(I223="","",IF(B223=Dashboard!$AA$1,I223,""))</f>
        <v/>
      </c>
    </row>
    <row r="224">
      <c r="A224" s="1" t="n"/>
      <c r="B224" s="26" t="n"/>
      <c r="C224" s="27" t="n"/>
      <c r="D224" s="28" t="n"/>
      <c r="E224" s="29" t="n"/>
      <c r="F224" s="29" t="n"/>
      <c r="G224" s="28" t="n"/>
      <c r="H224" s="1" t="n"/>
      <c r="I224">
        <f>IF(OR(B224="",C224=""),"",B224+MOD(C224,1))</f>
        <v/>
      </c>
      <c r="J224">
        <f>IF(I224="","",IF(B224=Dashboard!$AA$1,I224,""))</f>
        <v/>
      </c>
    </row>
    <row r="225">
      <c r="A225" s="1" t="n"/>
      <c r="B225" s="26" t="n"/>
      <c r="C225" s="27" t="n"/>
      <c r="D225" s="28" t="n"/>
      <c r="E225" s="29" t="n"/>
      <c r="F225" s="29" t="n"/>
      <c r="G225" s="28" t="n"/>
      <c r="H225" s="1" t="n"/>
      <c r="I225">
        <f>IF(OR(B225="",C225=""),"",B225+MOD(C225,1))</f>
        <v/>
      </c>
      <c r="J225">
        <f>IF(I225="","",IF(B225=Dashboard!$AA$1,I225,""))</f>
        <v/>
      </c>
    </row>
    <row r="226">
      <c r="A226" s="1" t="n"/>
      <c r="B226" s="26" t="n"/>
      <c r="C226" s="27" t="n"/>
      <c r="D226" s="28" t="n"/>
      <c r="E226" s="29" t="n"/>
      <c r="F226" s="29" t="n"/>
      <c r="G226" s="28" t="n"/>
      <c r="H226" s="1" t="n"/>
      <c r="I226">
        <f>IF(OR(B226="",C226=""),"",B226+MOD(C226,1))</f>
        <v/>
      </c>
      <c r="J226">
        <f>IF(I226="","",IF(B226=Dashboard!$AA$1,I226,""))</f>
        <v/>
      </c>
    </row>
    <row r="227">
      <c r="A227" s="1" t="n"/>
      <c r="B227" s="26" t="n"/>
      <c r="C227" s="27" t="n"/>
      <c r="D227" s="28" t="n"/>
      <c r="E227" s="29" t="n"/>
      <c r="F227" s="29" t="n"/>
      <c r="G227" s="28" t="n"/>
      <c r="H227" s="1" t="n"/>
      <c r="I227">
        <f>IF(OR(B227="",C227=""),"",B227+MOD(C227,1))</f>
        <v/>
      </c>
      <c r="J227">
        <f>IF(I227="","",IF(B227=Dashboard!$AA$1,I227,""))</f>
        <v/>
      </c>
    </row>
    <row r="228">
      <c r="A228" s="1" t="n"/>
      <c r="B228" s="26" t="n"/>
      <c r="C228" s="27" t="n"/>
      <c r="D228" s="28" t="n"/>
      <c r="E228" s="29" t="n"/>
      <c r="F228" s="29" t="n"/>
      <c r="G228" s="28" t="n"/>
      <c r="H228" s="1" t="n"/>
      <c r="I228">
        <f>IF(OR(B228="",C228=""),"",B228+MOD(C228,1))</f>
        <v/>
      </c>
      <c r="J228">
        <f>IF(I228="","",IF(B228=Dashboard!$AA$1,I228,""))</f>
        <v/>
      </c>
    </row>
    <row r="229">
      <c r="A229" s="1" t="n"/>
      <c r="B229" s="26" t="n"/>
      <c r="C229" s="27" t="n"/>
      <c r="D229" s="28" t="n"/>
      <c r="E229" s="29" t="n"/>
      <c r="F229" s="29" t="n"/>
      <c r="G229" s="28" t="n"/>
      <c r="H229" s="1" t="n"/>
      <c r="I229">
        <f>IF(OR(B229="",C229=""),"",B229+MOD(C229,1))</f>
        <v/>
      </c>
      <c r="J229">
        <f>IF(I229="","",IF(B229=Dashboard!$AA$1,I229,""))</f>
        <v/>
      </c>
    </row>
    <row r="230">
      <c r="A230" s="1" t="n"/>
      <c r="B230" s="26" t="n"/>
      <c r="C230" s="27" t="n"/>
      <c r="D230" s="28" t="n"/>
      <c r="E230" s="29" t="n"/>
      <c r="F230" s="29" t="n"/>
      <c r="G230" s="28" t="n"/>
      <c r="H230" s="1" t="n"/>
      <c r="I230">
        <f>IF(OR(B230="",C230=""),"",B230+MOD(C230,1))</f>
        <v/>
      </c>
      <c r="J230">
        <f>IF(I230="","",IF(B230=Dashboard!$AA$1,I230,""))</f>
        <v/>
      </c>
    </row>
    <row r="231">
      <c r="A231" s="1" t="n"/>
      <c r="B231" s="26" t="n"/>
      <c r="C231" s="27" t="n"/>
      <c r="D231" s="28" t="n"/>
      <c r="E231" s="29" t="n"/>
      <c r="F231" s="29" t="n"/>
      <c r="G231" s="28" t="n"/>
      <c r="H231" s="1" t="n"/>
      <c r="I231">
        <f>IF(OR(B231="",C231=""),"",B231+MOD(C231,1))</f>
        <v/>
      </c>
      <c r="J231">
        <f>IF(I231="","",IF(B231=Dashboard!$AA$1,I231,""))</f>
        <v/>
      </c>
    </row>
    <row r="232">
      <c r="A232" s="1" t="n"/>
      <c r="B232" s="26" t="n"/>
      <c r="C232" s="27" t="n"/>
      <c r="D232" s="28" t="n"/>
      <c r="E232" s="29" t="n"/>
      <c r="F232" s="29" t="n"/>
      <c r="G232" s="28" t="n"/>
      <c r="H232" s="1" t="n"/>
      <c r="I232">
        <f>IF(OR(B232="",C232=""),"",B232+MOD(C232,1))</f>
        <v/>
      </c>
      <c r="J232">
        <f>IF(I232="","",IF(B232=Dashboard!$AA$1,I232,""))</f>
        <v/>
      </c>
    </row>
    <row r="233">
      <c r="A233" s="1" t="n"/>
      <c r="B233" s="26" t="n"/>
      <c r="C233" s="27" t="n"/>
      <c r="D233" s="28" t="n"/>
      <c r="E233" s="29" t="n"/>
      <c r="F233" s="29" t="n"/>
      <c r="G233" s="28" t="n"/>
      <c r="H233" s="1" t="n"/>
      <c r="I233">
        <f>IF(OR(B233="",C233=""),"",B233+MOD(C233,1))</f>
        <v/>
      </c>
      <c r="J233">
        <f>IF(I233="","",IF(B233=Dashboard!$AA$1,I233,""))</f>
        <v/>
      </c>
    </row>
    <row r="234">
      <c r="A234" s="1" t="n"/>
      <c r="B234" s="26" t="n"/>
      <c r="C234" s="27" t="n"/>
      <c r="D234" s="28" t="n"/>
      <c r="E234" s="29" t="n"/>
      <c r="F234" s="29" t="n"/>
      <c r="G234" s="28" t="n"/>
      <c r="H234" s="1" t="n"/>
      <c r="I234">
        <f>IF(OR(B234="",C234=""),"",B234+MOD(C234,1))</f>
        <v/>
      </c>
      <c r="J234">
        <f>IF(I234="","",IF(B234=Dashboard!$AA$1,I234,""))</f>
        <v/>
      </c>
    </row>
    <row r="235">
      <c r="A235" s="1" t="n"/>
      <c r="B235" s="26" t="n"/>
      <c r="C235" s="27" t="n"/>
      <c r="D235" s="28" t="n"/>
      <c r="E235" s="29" t="n"/>
      <c r="F235" s="29" t="n"/>
      <c r="G235" s="28" t="n"/>
      <c r="H235" s="1" t="n"/>
      <c r="I235">
        <f>IF(OR(B235="",C235=""),"",B235+MOD(C235,1))</f>
        <v/>
      </c>
      <c r="J235">
        <f>IF(I235="","",IF(B235=Dashboard!$AA$1,I235,""))</f>
        <v/>
      </c>
    </row>
    <row r="236">
      <c r="A236" s="1" t="n"/>
      <c r="B236" s="26" t="n"/>
      <c r="C236" s="27" t="n"/>
      <c r="D236" s="28" t="n"/>
      <c r="E236" s="29" t="n"/>
      <c r="F236" s="29" t="n"/>
      <c r="G236" s="28" t="n"/>
      <c r="H236" s="1" t="n"/>
      <c r="I236">
        <f>IF(OR(B236="",C236=""),"",B236+MOD(C236,1))</f>
        <v/>
      </c>
      <c r="J236">
        <f>IF(I236="","",IF(B236=Dashboard!$AA$1,I236,""))</f>
        <v/>
      </c>
    </row>
    <row r="237">
      <c r="A237" s="1" t="n"/>
      <c r="B237" s="26" t="n"/>
      <c r="C237" s="27" t="n"/>
      <c r="D237" s="28" t="n"/>
      <c r="E237" s="29" t="n"/>
      <c r="F237" s="29" t="n"/>
      <c r="G237" s="28" t="n"/>
      <c r="H237" s="1" t="n"/>
      <c r="I237">
        <f>IF(OR(B237="",C237=""),"",B237+MOD(C237,1))</f>
        <v/>
      </c>
      <c r="J237">
        <f>IF(I237="","",IF(B237=Dashboard!$AA$1,I237,""))</f>
        <v/>
      </c>
    </row>
    <row r="238">
      <c r="A238" s="1" t="n"/>
      <c r="B238" s="26" t="n"/>
      <c r="C238" s="27" t="n"/>
      <c r="D238" s="28" t="n"/>
      <c r="E238" s="29" t="n"/>
      <c r="F238" s="29" t="n"/>
      <c r="G238" s="28" t="n"/>
      <c r="H238" s="1" t="n"/>
      <c r="I238">
        <f>IF(OR(B238="",C238=""),"",B238+MOD(C238,1))</f>
        <v/>
      </c>
      <c r="J238">
        <f>IF(I238="","",IF(B238=Dashboard!$AA$1,I238,""))</f>
        <v/>
      </c>
    </row>
    <row r="239">
      <c r="A239" s="1" t="n"/>
      <c r="B239" s="26" t="n"/>
      <c r="C239" s="27" t="n"/>
      <c r="D239" s="28" t="n"/>
      <c r="E239" s="29" t="n"/>
      <c r="F239" s="29" t="n"/>
      <c r="G239" s="28" t="n"/>
      <c r="H239" s="1" t="n"/>
      <c r="I239">
        <f>IF(OR(B239="",C239=""),"",B239+MOD(C239,1))</f>
        <v/>
      </c>
      <c r="J239">
        <f>IF(I239="","",IF(B239=Dashboard!$AA$1,I239,""))</f>
        <v/>
      </c>
    </row>
    <row r="240">
      <c r="A240" s="1" t="n"/>
      <c r="B240" s="26" t="n"/>
      <c r="C240" s="27" t="n"/>
      <c r="D240" s="28" t="n"/>
      <c r="E240" s="29" t="n"/>
      <c r="F240" s="29" t="n"/>
      <c r="G240" s="28" t="n"/>
      <c r="H240" s="1" t="n"/>
      <c r="I240">
        <f>IF(OR(B240="",C240=""),"",B240+MOD(C240,1))</f>
        <v/>
      </c>
      <c r="J240">
        <f>IF(I240="","",IF(B240=Dashboard!$AA$1,I240,""))</f>
        <v/>
      </c>
    </row>
    <row r="241">
      <c r="A241" s="1" t="n"/>
      <c r="B241" s="26" t="n"/>
      <c r="C241" s="27" t="n"/>
      <c r="D241" s="28" t="n"/>
      <c r="E241" s="29" t="n"/>
      <c r="F241" s="29" t="n"/>
      <c r="G241" s="28" t="n"/>
      <c r="H241" s="1" t="n"/>
      <c r="I241">
        <f>IF(OR(B241="",C241=""),"",B241+MOD(C241,1))</f>
        <v/>
      </c>
      <c r="J241">
        <f>IF(I241="","",IF(B241=Dashboard!$AA$1,I241,""))</f>
        <v/>
      </c>
    </row>
    <row r="242">
      <c r="A242" s="1" t="n"/>
      <c r="B242" s="26" t="n"/>
      <c r="C242" s="27" t="n"/>
      <c r="D242" s="28" t="n"/>
      <c r="E242" s="29" t="n"/>
      <c r="F242" s="29" t="n"/>
      <c r="G242" s="28" t="n"/>
      <c r="H242" s="1" t="n"/>
      <c r="I242">
        <f>IF(OR(B242="",C242=""),"",B242+MOD(C242,1))</f>
        <v/>
      </c>
      <c r="J242">
        <f>IF(I242="","",IF(B242=Dashboard!$AA$1,I242,""))</f>
        <v/>
      </c>
    </row>
    <row r="243">
      <c r="A243" s="1" t="n"/>
      <c r="B243" s="26" t="n"/>
      <c r="C243" s="27" t="n"/>
      <c r="D243" s="28" t="n"/>
      <c r="E243" s="29" t="n"/>
      <c r="F243" s="29" t="n"/>
      <c r="G243" s="28" t="n"/>
      <c r="H243" s="1" t="n"/>
      <c r="I243">
        <f>IF(OR(B243="",C243=""),"",B243+MOD(C243,1))</f>
        <v/>
      </c>
      <c r="J243">
        <f>IF(I243="","",IF(B243=Dashboard!$AA$1,I243,""))</f>
        <v/>
      </c>
    </row>
    <row r="244">
      <c r="A244" s="1" t="n"/>
      <c r="B244" s="26" t="n"/>
      <c r="C244" s="27" t="n"/>
      <c r="D244" s="28" t="n"/>
      <c r="E244" s="29" t="n"/>
      <c r="F244" s="29" t="n"/>
      <c r="G244" s="28" t="n"/>
      <c r="H244" s="1" t="n"/>
      <c r="I244">
        <f>IF(OR(B244="",C244=""),"",B244+MOD(C244,1))</f>
        <v/>
      </c>
      <c r="J244">
        <f>IF(I244="","",IF(B244=Dashboard!$AA$1,I244,""))</f>
        <v/>
      </c>
    </row>
    <row r="245">
      <c r="A245" s="1" t="n"/>
      <c r="B245" s="26" t="n"/>
      <c r="C245" s="27" t="n"/>
      <c r="D245" s="28" t="n"/>
      <c r="E245" s="29" t="n"/>
      <c r="F245" s="29" t="n"/>
      <c r="G245" s="28" t="n"/>
      <c r="H245" s="1" t="n"/>
      <c r="I245">
        <f>IF(OR(B245="",C245=""),"",B245+MOD(C245,1))</f>
        <v/>
      </c>
      <c r="J245">
        <f>IF(I245="","",IF(B245=Dashboard!$AA$1,I245,""))</f>
        <v/>
      </c>
    </row>
    <row r="246">
      <c r="A246" s="1" t="n"/>
      <c r="B246" s="26" t="n"/>
      <c r="C246" s="27" t="n"/>
      <c r="D246" s="28" t="n"/>
      <c r="E246" s="29" t="n"/>
      <c r="F246" s="29" t="n"/>
      <c r="G246" s="28" t="n"/>
      <c r="H246" s="1" t="n"/>
      <c r="I246">
        <f>IF(OR(B246="",C246=""),"",B246+MOD(C246,1))</f>
        <v/>
      </c>
      <c r="J246">
        <f>IF(I246="","",IF(B246=Dashboard!$AA$1,I246,""))</f>
        <v/>
      </c>
    </row>
    <row r="247">
      <c r="A247" s="1" t="n"/>
      <c r="B247" s="26" t="n"/>
      <c r="C247" s="27" t="n"/>
      <c r="D247" s="28" t="n"/>
      <c r="E247" s="29" t="n"/>
      <c r="F247" s="29" t="n"/>
      <c r="G247" s="28" t="n"/>
      <c r="H247" s="1" t="n"/>
      <c r="I247">
        <f>IF(OR(B247="",C247=""),"",B247+MOD(C247,1))</f>
        <v/>
      </c>
      <c r="J247">
        <f>IF(I247="","",IF(B247=Dashboard!$AA$1,I247,""))</f>
        <v/>
      </c>
    </row>
    <row r="248">
      <c r="A248" s="1" t="n"/>
      <c r="B248" s="26" t="n"/>
      <c r="C248" s="27" t="n"/>
      <c r="D248" s="28" t="n"/>
      <c r="E248" s="29" t="n"/>
      <c r="F248" s="29" t="n"/>
      <c r="G248" s="28" t="n"/>
      <c r="H248" s="1" t="n"/>
      <c r="I248">
        <f>IF(OR(B248="",C248=""),"",B248+MOD(C248,1))</f>
        <v/>
      </c>
      <c r="J248">
        <f>IF(I248="","",IF(B248=Dashboard!$AA$1,I248,""))</f>
        <v/>
      </c>
    </row>
    <row r="249">
      <c r="A249" s="1" t="n"/>
      <c r="B249" s="26" t="n"/>
      <c r="C249" s="27" t="n"/>
      <c r="D249" s="28" t="n"/>
      <c r="E249" s="29" t="n"/>
      <c r="F249" s="29" t="n"/>
      <c r="G249" s="28" t="n"/>
      <c r="H249" s="1" t="n"/>
      <c r="I249">
        <f>IF(OR(B249="",C249=""),"",B249+MOD(C249,1))</f>
        <v/>
      </c>
      <c r="J249">
        <f>IF(I249="","",IF(B249=Dashboard!$AA$1,I249,""))</f>
        <v/>
      </c>
    </row>
    <row r="250">
      <c r="A250" s="1" t="n"/>
      <c r="B250" s="26" t="n"/>
      <c r="C250" s="27" t="n"/>
      <c r="D250" s="28" t="n"/>
      <c r="E250" s="29" t="n"/>
      <c r="F250" s="29" t="n"/>
      <c r="G250" s="28" t="n"/>
      <c r="H250" s="1" t="n"/>
      <c r="I250">
        <f>IF(OR(B250="",C250=""),"",B250+MOD(C250,1))</f>
        <v/>
      </c>
      <c r="J250">
        <f>IF(I250="","",IF(B250=Dashboard!$AA$1,I250,""))</f>
        <v/>
      </c>
    </row>
    <row r="251">
      <c r="A251" s="1" t="n"/>
      <c r="B251" s="26" t="n"/>
      <c r="C251" s="27" t="n"/>
      <c r="D251" s="28" t="n"/>
      <c r="E251" s="29" t="n"/>
      <c r="F251" s="29" t="n"/>
      <c r="G251" s="28" t="n"/>
      <c r="H251" s="1" t="n"/>
      <c r="I251">
        <f>IF(OR(B251="",C251=""),"",B251+MOD(C251,1))</f>
        <v/>
      </c>
      <c r="J251">
        <f>IF(I251="","",IF(B251=Dashboard!$AA$1,I251,""))</f>
        <v/>
      </c>
    </row>
    <row r="252">
      <c r="A252" s="1" t="n"/>
      <c r="B252" s="26" t="n"/>
      <c r="C252" s="27" t="n"/>
      <c r="D252" s="28" t="n"/>
      <c r="E252" s="29" t="n"/>
      <c r="F252" s="29" t="n"/>
      <c r="G252" s="28" t="n"/>
      <c r="H252" s="1" t="n"/>
      <c r="I252">
        <f>IF(OR(B252="",C252=""),"",B252+MOD(C252,1))</f>
        <v/>
      </c>
      <c r="J252">
        <f>IF(I252="","",IF(B252=Dashboard!$AA$1,I252,""))</f>
        <v/>
      </c>
    </row>
    <row r="253">
      <c r="A253" s="1" t="n"/>
      <c r="B253" s="26" t="n"/>
      <c r="C253" s="27" t="n"/>
      <c r="D253" s="28" t="n"/>
      <c r="E253" s="29" t="n"/>
      <c r="F253" s="29" t="n"/>
      <c r="G253" s="28" t="n"/>
      <c r="H253" s="1" t="n"/>
      <c r="I253">
        <f>IF(OR(B253="",C253=""),"",B253+MOD(C253,1))</f>
        <v/>
      </c>
      <c r="J253">
        <f>IF(I253="","",IF(B253=Dashboard!$AA$1,I253,""))</f>
        <v/>
      </c>
    </row>
    <row r="254">
      <c r="A254" s="1" t="n"/>
      <c r="B254" s="26" t="n"/>
      <c r="C254" s="27" t="n"/>
      <c r="D254" s="28" t="n"/>
      <c r="E254" s="29" t="n"/>
      <c r="F254" s="29" t="n"/>
      <c r="G254" s="28" t="n"/>
      <c r="H254" s="1" t="n"/>
      <c r="I254">
        <f>IF(OR(B254="",C254=""),"",B254+MOD(C254,1))</f>
        <v/>
      </c>
      <c r="J254">
        <f>IF(I254="","",IF(B254=Dashboard!$AA$1,I254,""))</f>
        <v/>
      </c>
    </row>
    <row r="255">
      <c r="A255" s="1" t="n"/>
      <c r="B255" s="26" t="n"/>
      <c r="C255" s="27" t="n"/>
      <c r="D255" s="28" t="n"/>
      <c r="E255" s="29" t="n"/>
      <c r="F255" s="29" t="n"/>
      <c r="G255" s="28" t="n"/>
      <c r="H255" s="1" t="n"/>
      <c r="I255">
        <f>IF(OR(B255="",C255=""),"",B255+MOD(C255,1))</f>
        <v/>
      </c>
      <c r="J255">
        <f>IF(I255="","",IF(B255=Dashboard!$AA$1,I255,""))</f>
        <v/>
      </c>
    </row>
    <row r="256">
      <c r="A256" s="1" t="n"/>
      <c r="B256" s="26" t="n"/>
      <c r="C256" s="27" t="n"/>
      <c r="D256" s="28" t="n"/>
      <c r="E256" s="29" t="n"/>
      <c r="F256" s="29" t="n"/>
      <c r="G256" s="28" t="n"/>
      <c r="H256" s="1" t="n"/>
      <c r="I256">
        <f>IF(OR(B256="",C256=""),"",B256+MOD(C256,1))</f>
        <v/>
      </c>
      <c r="J256">
        <f>IF(I256="","",IF(B256=Dashboard!$AA$1,I256,""))</f>
        <v/>
      </c>
    </row>
    <row r="257">
      <c r="A257" s="1" t="n"/>
      <c r="B257" s="26" t="n"/>
      <c r="C257" s="27" t="n"/>
      <c r="D257" s="28" t="n"/>
      <c r="E257" s="29" t="n"/>
      <c r="F257" s="29" t="n"/>
      <c r="G257" s="28" t="n"/>
      <c r="H257" s="1" t="n"/>
      <c r="I257">
        <f>IF(OR(B257="",C257=""),"",B257+MOD(C257,1))</f>
        <v/>
      </c>
      <c r="J257">
        <f>IF(I257="","",IF(B257=Dashboard!$AA$1,I257,""))</f>
        <v/>
      </c>
    </row>
    <row r="258">
      <c r="A258" s="1" t="n"/>
      <c r="B258" s="26" t="n"/>
      <c r="C258" s="27" t="n"/>
      <c r="D258" s="28" t="n"/>
      <c r="E258" s="29" t="n"/>
      <c r="F258" s="29" t="n"/>
      <c r="G258" s="28" t="n"/>
      <c r="H258" s="1" t="n"/>
      <c r="I258">
        <f>IF(OR(B258="",C258=""),"",B258+MOD(C258,1))</f>
        <v/>
      </c>
      <c r="J258">
        <f>IF(I258="","",IF(B258=Dashboard!$AA$1,I258,""))</f>
        <v/>
      </c>
    </row>
    <row r="259">
      <c r="A259" s="1" t="n"/>
      <c r="B259" s="26" t="n"/>
      <c r="C259" s="27" t="n"/>
      <c r="D259" s="28" t="n"/>
      <c r="E259" s="29" t="n"/>
      <c r="F259" s="29" t="n"/>
      <c r="G259" s="28" t="n"/>
      <c r="H259" s="1" t="n"/>
      <c r="I259">
        <f>IF(OR(B259="",C259=""),"",B259+MOD(C259,1))</f>
        <v/>
      </c>
      <c r="J259">
        <f>IF(I259="","",IF(B259=Dashboard!$AA$1,I259,""))</f>
        <v/>
      </c>
    </row>
    <row r="260">
      <c r="A260" s="1" t="n"/>
      <c r="B260" s="26" t="n"/>
      <c r="C260" s="27" t="n"/>
      <c r="D260" s="28" t="n"/>
      <c r="E260" s="29" t="n"/>
      <c r="F260" s="29" t="n"/>
      <c r="G260" s="28" t="n"/>
      <c r="H260" s="1" t="n"/>
      <c r="I260">
        <f>IF(OR(B260="",C260=""),"",B260+MOD(C260,1))</f>
        <v/>
      </c>
      <c r="J260">
        <f>IF(I260="","",IF(B260=Dashboard!$AA$1,I260,""))</f>
        <v/>
      </c>
    </row>
    <row r="261">
      <c r="A261" s="1" t="n"/>
      <c r="B261" s="26" t="n"/>
      <c r="C261" s="27" t="n"/>
      <c r="D261" s="28" t="n"/>
      <c r="E261" s="29" t="n"/>
      <c r="F261" s="29" t="n"/>
      <c r="G261" s="28" t="n"/>
      <c r="H261" s="1" t="n"/>
      <c r="I261">
        <f>IF(OR(B261="",C261=""),"",B261+MOD(C261,1))</f>
        <v/>
      </c>
      <c r="J261">
        <f>IF(I261="","",IF(B261=Dashboard!$AA$1,I261,""))</f>
        <v/>
      </c>
    </row>
    <row r="262">
      <c r="A262" s="1" t="n"/>
      <c r="B262" s="26" t="n"/>
      <c r="C262" s="27" t="n"/>
      <c r="D262" s="28" t="n"/>
      <c r="E262" s="29" t="n"/>
      <c r="F262" s="29" t="n"/>
      <c r="G262" s="28" t="n"/>
      <c r="H262" s="1" t="n"/>
      <c r="I262">
        <f>IF(OR(B262="",C262=""),"",B262+MOD(C262,1))</f>
        <v/>
      </c>
      <c r="J262">
        <f>IF(I262="","",IF(B262=Dashboard!$AA$1,I262,""))</f>
        <v/>
      </c>
    </row>
    <row r="263">
      <c r="A263" s="1" t="n"/>
      <c r="B263" s="26" t="n"/>
      <c r="C263" s="27" t="n"/>
      <c r="D263" s="28" t="n"/>
      <c r="E263" s="29" t="n"/>
      <c r="F263" s="29" t="n"/>
      <c r="G263" s="28" t="n"/>
      <c r="H263" s="1" t="n"/>
      <c r="I263">
        <f>IF(OR(B263="",C263=""),"",B263+MOD(C263,1))</f>
        <v/>
      </c>
      <c r="J263">
        <f>IF(I263="","",IF(B263=Dashboard!$AA$1,I263,""))</f>
        <v/>
      </c>
    </row>
    <row r="264">
      <c r="A264" s="1" t="n"/>
      <c r="B264" s="26" t="n"/>
      <c r="C264" s="27" t="n"/>
      <c r="D264" s="28" t="n"/>
      <c r="E264" s="29" t="n"/>
      <c r="F264" s="29" t="n"/>
      <c r="G264" s="28" t="n"/>
      <c r="H264" s="1" t="n"/>
      <c r="I264">
        <f>IF(OR(B264="",C264=""),"",B264+MOD(C264,1))</f>
        <v/>
      </c>
      <c r="J264">
        <f>IF(I264="","",IF(B264=Dashboard!$AA$1,I264,""))</f>
        <v/>
      </c>
    </row>
    <row r="265">
      <c r="A265" s="1" t="n"/>
      <c r="B265" s="26" t="n"/>
      <c r="C265" s="27" t="n"/>
      <c r="D265" s="28" t="n"/>
      <c r="E265" s="29" t="n"/>
      <c r="F265" s="29" t="n"/>
      <c r="G265" s="28" t="n"/>
      <c r="H265" s="1" t="n"/>
      <c r="I265">
        <f>IF(OR(B265="",C265=""),"",B265+MOD(C265,1))</f>
        <v/>
      </c>
      <c r="J265">
        <f>IF(I265="","",IF(B265=Dashboard!$AA$1,I265,""))</f>
        <v/>
      </c>
    </row>
    <row r="266">
      <c r="A266" s="1" t="n"/>
      <c r="B266" s="26" t="n"/>
      <c r="C266" s="27" t="n"/>
      <c r="D266" s="28" t="n"/>
      <c r="E266" s="29" t="n"/>
      <c r="F266" s="29" t="n"/>
      <c r="G266" s="28" t="n"/>
      <c r="H266" s="1" t="n"/>
      <c r="I266">
        <f>IF(OR(B266="",C266=""),"",B266+MOD(C266,1))</f>
        <v/>
      </c>
      <c r="J266">
        <f>IF(I266="","",IF(B266=Dashboard!$AA$1,I266,""))</f>
        <v/>
      </c>
    </row>
    <row r="267">
      <c r="A267" s="1" t="n"/>
      <c r="B267" s="26" t="n"/>
      <c r="C267" s="27" t="n"/>
      <c r="D267" s="28" t="n"/>
      <c r="E267" s="29" t="n"/>
      <c r="F267" s="29" t="n"/>
      <c r="G267" s="28" t="n"/>
      <c r="H267" s="1" t="n"/>
      <c r="I267">
        <f>IF(OR(B267="",C267=""),"",B267+MOD(C267,1))</f>
        <v/>
      </c>
      <c r="J267">
        <f>IF(I267="","",IF(B267=Dashboard!$AA$1,I267,""))</f>
        <v/>
      </c>
    </row>
    <row r="268">
      <c r="A268" s="1" t="n"/>
      <c r="B268" s="26" t="n"/>
      <c r="C268" s="27" t="n"/>
      <c r="D268" s="28" t="n"/>
      <c r="E268" s="29" t="n"/>
      <c r="F268" s="29" t="n"/>
      <c r="G268" s="28" t="n"/>
      <c r="H268" s="1" t="n"/>
      <c r="I268">
        <f>IF(OR(B268="",C268=""),"",B268+MOD(C268,1))</f>
        <v/>
      </c>
      <c r="J268">
        <f>IF(I268="","",IF(B268=Dashboard!$AA$1,I268,""))</f>
        <v/>
      </c>
    </row>
    <row r="269">
      <c r="A269" s="1" t="n"/>
      <c r="B269" s="26" t="n"/>
      <c r="C269" s="27" t="n"/>
      <c r="D269" s="28" t="n"/>
      <c r="E269" s="29" t="n"/>
      <c r="F269" s="29" t="n"/>
      <c r="G269" s="28" t="n"/>
      <c r="H269" s="1" t="n"/>
      <c r="I269">
        <f>IF(OR(B269="",C269=""),"",B269+MOD(C269,1))</f>
        <v/>
      </c>
      <c r="J269">
        <f>IF(I269="","",IF(B269=Dashboard!$AA$1,I269,""))</f>
        <v/>
      </c>
    </row>
    <row r="270">
      <c r="A270" s="1" t="n"/>
      <c r="B270" s="26" t="n"/>
      <c r="C270" s="27" t="n"/>
      <c r="D270" s="28" t="n"/>
      <c r="E270" s="29" t="n"/>
      <c r="F270" s="29" t="n"/>
      <c r="G270" s="28" t="n"/>
      <c r="H270" s="1" t="n"/>
      <c r="I270">
        <f>IF(OR(B270="",C270=""),"",B270+MOD(C270,1))</f>
        <v/>
      </c>
      <c r="J270">
        <f>IF(I270="","",IF(B270=Dashboard!$AA$1,I270,""))</f>
        <v/>
      </c>
    </row>
    <row r="271">
      <c r="A271" s="1" t="n"/>
      <c r="B271" s="26" t="n"/>
      <c r="C271" s="27" t="n"/>
      <c r="D271" s="28" t="n"/>
      <c r="E271" s="29" t="n"/>
      <c r="F271" s="29" t="n"/>
      <c r="G271" s="28" t="n"/>
      <c r="H271" s="1" t="n"/>
      <c r="I271">
        <f>IF(OR(B271="",C271=""),"",B271+MOD(C271,1))</f>
        <v/>
      </c>
      <c r="J271">
        <f>IF(I271="","",IF(B271=Dashboard!$AA$1,I271,""))</f>
        <v/>
      </c>
    </row>
    <row r="272">
      <c r="A272" s="1" t="n"/>
      <c r="B272" s="26" t="n"/>
      <c r="C272" s="27" t="n"/>
      <c r="D272" s="28" t="n"/>
      <c r="E272" s="29" t="n"/>
      <c r="F272" s="29" t="n"/>
      <c r="G272" s="28" t="n"/>
      <c r="H272" s="1" t="n"/>
      <c r="I272">
        <f>IF(OR(B272="",C272=""),"",B272+MOD(C272,1))</f>
        <v/>
      </c>
      <c r="J272">
        <f>IF(I272="","",IF(B272=Dashboard!$AA$1,I272,""))</f>
        <v/>
      </c>
    </row>
    <row r="273">
      <c r="A273" s="1" t="n"/>
      <c r="B273" s="26" t="n"/>
      <c r="C273" s="27" t="n"/>
      <c r="D273" s="28" t="n"/>
      <c r="E273" s="29" t="n"/>
      <c r="F273" s="29" t="n"/>
      <c r="G273" s="28" t="n"/>
      <c r="H273" s="1" t="n"/>
      <c r="I273">
        <f>IF(OR(B273="",C273=""),"",B273+MOD(C273,1))</f>
        <v/>
      </c>
      <c r="J273">
        <f>IF(I273="","",IF(B273=Dashboard!$AA$1,I273,""))</f>
        <v/>
      </c>
    </row>
    <row r="274">
      <c r="A274" s="1" t="n"/>
      <c r="B274" s="26" t="n"/>
      <c r="C274" s="27" t="n"/>
      <c r="D274" s="28" t="n"/>
      <c r="E274" s="29" t="n"/>
      <c r="F274" s="29" t="n"/>
      <c r="G274" s="28" t="n"/>
      <c r="H274" s="1" t="n"/>
      <c r="I274">
        <f>IF(OR(B274="",C274=""),"",B274+MOD(C274,1))</f>
        <v/>
      </c>
      <c r="J274">
        <f>IF(I274="","",IF(B274=Dashboard!$AA$1,I274,""))</f>
        <v/>
      </c>
    </row>
    <row r="275">
      <c r="A275" s="1" t="n"/>
      <c r="B275" s="26" t="n"/>
      <c r="C275" s="27" t="n"/>
      <c r="D275" s="28" t="n"/>
      <c r="E275" s="29" t="n"/>
      <c r="F275" s="29" t="n"/>
      <c r="G275" s="28" t="n"/>
      <c r="H275" s="1" t="n"/>
      <c r="I275">
        <f>IF(OR(B275="",C275=""),"",B275+MOD(C275,1))</f>
        <v/>
      </c>
      <c r="J275">
        <f>IF(I275="","",IF(B275=Dashboard!$AA$1,I275,""))</f>
        <v/>
      </c>
    </row>
    <row r="276">
      <c r="A276" s="1" t="n"/>
      <c r="B276" s="26" t="n"/>
      <c r="C276" s="27" t="n"/>
      <c r="D276" s="28" t="n"/>
      <c r="E276" s="29" t="n"/>
      <c r="F276" s="29" t="n"/>
      <c r="G276" s="28" t="n"/>
      <c r="H276" s="1" t="n"/>
      <c r="I276">
        <f>IF(OR(B276="",C276=""),"",B276+MOD(C276,1))</f>
        <v/>
      </c>
      <c r="J276">
        <f>IF(I276="","",IF(B276=Dashboard!$AA$1,I276,""))</f>
        <v/>
      </c>
    </row>
    <row r="277">
      <c r="A277" s="1" t="n"/>
      <c r="B277" s="26" t="n"/>
      <c r="C277" s="27" t="n"/>
      <c r="D277" s="28" t="n"/>
      <c r="E277" s="29" t="n"/>
      <c r="F277" s="29" t="n"/>
      <c r="G277" s="28" t="n"/>
      <c r="H277" s="1" t="n"/>
      <c r="I277">
        <f>IF(OR(B277="",C277=""),"",B277+MOD(C277,1))</f>
        <v/>
      </c>
      <c r="J277">
        <f>IF(I277="","",IF(B277=Dashboard!$AA$1,I277,""))</f>
        <v/>
      </c>
    </row>
    <row r="278">
      <c r="A278" s="1" t="n"/>
      <c r="B278" s="26" t="n"/>
      <c r="C278" s="27" t="n"/>
      <c r="D278" s="28" t="n"/>
      <c r="E278" s="29" t="n"/>
      <c r="F278" s="29" t="n"/>
      <c r="G278" s="28" t="n"/>
      <c r="H278" s="1" t="n"/>
      <c r="I278">
        <f>IF(OR(B278="",C278=""),"",B278+MOD(C278,1))</f>
        <v/>
      </c>
      <c r="J278">
        <f>IF(I278="","",IF(B278=Dashboard!$AA$1,I278,""))</f>
        <v/>
      </c>
    </row>
    <row r="279">
      <c r="A279" s="1" t="n"/>
      <c r="B279" s="26" t="n"/>
      <c r="C279" s="27" t="n"/>
      <c r="D279" s="28" t="n"/>
      <c r="E279" s="29" t="n"/>
      <c r="F279" s="29" t="n"/>
      <c r="G279" s="28" t="n"/>
      <c r="H279" s="1" t="n"/>
      <c r="I279">
        <f>IF(OR(B279="",C279=""),"",B279+MOD(C279,1))</f>
        <v/>
      </c>
      <c r="J279">
        <f>IF(I279="","",IF(B279=Dashboard!$AA$1,I279,""))</f>
        <v/>
      </c>
    </row>
    <row r="280">
      <c r="A280" s="1" t="n"/>
      <c r="B280" s="26" t="n"/>
      <c r="C280" s="27" t="n"/>
      <c r="D280" s="28" t="n"/>
      <c r="E280" s="29" t="n"/>
      <c r="F280" s="29" t="n"/>
      <c r="G280" s="28" t="n"/>
      <c r="H280" s="1" t="n"/>
      <c r="I280">
        <f>IF(OR(B280="",C280=""),"",B280+MOD(C280,1))</f>
        <v/>
      </c>
      <c r="J280">
        <f>IF(I280="","",IF(B280=Dashboard!$AA$1,I280,""))</f>
        <v/>
      </c>
    </row>
    <row r="281">
      <c r="A281" s="1" t="n"/>
      <c r="B281" s="26" t="n"/>
      <c r="C281" s="27" t="n"/>
      <c r="D281" s="28" t="n"/>
      <c r="E281" s="29" t="n"/>
      <c r="F281" s="29" t="n"/>
      <c r="G281" s="28" t="n"/>
      <c r="H281" s="1" t="n"/>
      <c r="I281">
        <f>IF(OR(B281="",C281=""),"",B281+MOD(C281,1))</f>
        <v/>
      </c>
      <c r="J281">
        <f>IF(I281="","",IF(B281=Dashboard!$AA$1,I281,""))</f>
        <v/>
      </c>
    </row>
    <row r="282">
      <c r="A282" s="1" t="n"/>
      <c r="B282" s="26" t="n"/>
      <c r="C282" s="27" t="n"/>
      <c r="D282" s="28" t="n"/>
      <c r="E282" s="29" t="n"/>
      <c r="F282" s="29" t="n"/>
      <c r="G282" s="28" t="n"/>
      <c r="H282" s="1" t="n"/>
      <c r="I282">
        <f>IF(OR(B282="",C282=""),"",B282+MOD(C282,1))</f>
        <v/>
      </c>
      <c r="J282">
        <f>IF(I282="","",IF(B282=Dashboard!$AA$1,I282,""))</f>
        <v/>
      </c>
    </row>
    <row r="283">
      <c r="A283" s="1" t="n"/>
      <c r="B283" s="26" t="n"/>
      <c r="C283" s="27" t="n"/>
      <c r="D283" s="28" t="n"/>
      <c r="E283" s="29" t="n"/>
      <c r="F283" s="29" t="n"/>
      <c r="G283" s="28" t="n"/>
      <c r="H283" s="1" t="n"/>
      <c r="I283">
        <f>IF(OR(B283="",C283=""),"",B283+MOD(C283,1))</f>
        <v/>
      </c>
      <c r="J283">
        <f>IF(I283="","",IF(B283=Dashboard!$AA$1,I283,""))</f>
        <v/>
      </c>
    </row>
    <row r="284">
      <c r="A284" s="1" t="n"/>
      <c r="B284" s="26" t="n"/>
      <c r="C284" s="27" t="n"/>
      <c r="D284" s="28" t="n"/>
      <c r="E284" s="29" t="n"/>
      <c r="F284" s="29" t="n"/>
      <c r="G284" s="28" t="n"/>
      <c r="H284" s="1" t="n"/>
      <c r="I284">
        <f>IF(OR(B284="",C284=""),"",B284+MOD(C284,1))</f>
        <v/>
      </c>
      <c r="J284">
        <f>IF(I284="","",IF(B284=Dashboard!$AA$1,I284,""))</f>
        <v/>
      </c>
    </row>
    <row r="285">
      <c r="A285" s="1" t="n"/>
      <c r="B285" s="26" t="n"/>
      <c r="C285" s="27" t="n"/>
      <c r="D285" s="28" t="n"/>
      <c r="E285" s="29" t="n"/>
      <c r="F285" s="29" t="n"/>
      <c r="G285" s="28" t="n"/>
      <c r="H285" s="1" t="n"/>
      <c r="I285">
        <f>IF(OR(B285="",C285=""),"",B285+MOD(C285,1))</f>
        <v/>
      </c>
      <c r="J285">
        <f>IF(I285="","",IF(B285=Dashboard!$AA$1,I285,""))</f>
        <v/>
      </c>
    </row>
    <row r="286">
      <c r="A286" s="1" t="n"/>
      <c r="B286" s="26" t="n"/>
      <c r="C286" s="27" t="n"/>
      <c r="D286" s="28" t="n"/>
      <c r="E286" s="29" t="n"/>
      <c r="F286" s="29" t="n"/>
      <c r="G286" s="28" t="n"/>
      <c r="H286" s="1" t="n"/>
      <c r="I286">
        <f>IF(OR(B286="",C286=""),"",B286+MOD(C286,1))</f>
        <v/>
      </c>
      <c r="J286">
        <f>IF(I286="","",IF(B286=Dashboard!$AA$1,I286,""))</f>
        <v/>
      </c>
    </row>
    <row r="287">
      <c r="A287" s="1" t="n"/>
      <c r="B287" s="26" t="n"/>
      <c r="C287" s="27" t="n"/>
      <c r="D287" s="28" t="n"/>
      <c r="E287" s="29" t="n"/>
      <c r="F287" s="29" t="n"/>
      <c r="G287" s="28" t="n"/>
      <c r="H287" s="1" t="n"/>
      <c r="I287">
        <f>IF(OR(B287="",C287=""),"",B287+MOD(C287,1))</f>
        <v/>
      </c>
      <c r="J287">
        <f>IF(I287="","",IF(B287=Dashboard!$AA$1,I287,""))</f>
        <v/>
      </c>
    </row>
    <row r="288">
      <c r="A288" s="1" t="n"/>
      <c r="B288" s="26" t="n"/>
      <c r="C288" s="27" t="n"/>
      <c r="D288" s="28" t="n"/>
      <c r="E288" s="29" t="n"/>
      <c r="F288" s="29" t="n"/>
      <c r="G288" s="28" t="n"/>
      <c r="H288" s="1" t="n"/>
      <c r="I288">
        <f>IF(OR(B288="",C288=""),"",B288+MOD(C288,1))</f>
        <v/>
      </c>
      <c r="J288">
        <f>IF(I288="","",IF(B288=Dashboard!$AA$1,I288,""))</f>
        <v/>
      </c>
    </row>
    <row r="289">
      <c r="A289" s="1" t="n"/>
      <c r="B289" s="26" t="n"/>
      <c r="C289" s="27" t="n"/>
      <c r="D289" s="28" t="n"/>
      <c r="E289" s="29" t="n"/>
      <c r="F289" s="29" t="n"/>
      <c r="G289" s="28" t="n"/>
      <c r="H289" s="1" t="n"/>
      <c r="I289">
        <f>IF(OR(B289="",C289=""),"",B289+MOD(C289,1))</f>
        <v/>
      </c>
      <c r="J289">
        <f>IF(I289="","",IF(B289=Dashboard!$AA$1,I289,""))</f>
        <v/>
      </c>
    </row>
    <row r="290">
      <c r="A290" s="1" t="n"/>
      <c r="B290" s="26" t="n"/>
      <c r="C290" s="27" t="n"/>
      <c r="D290" s="28" t="n"/>
      <c r="E290" s="29" t="n"/>
      <c r="F290" s="29" t="n"/>
      <c r="G290" s="28" t="n"/>
      <c r="H290" s="1" t="n"/>
      <c r="I290">
        <f>IF(OR(B290="",C290=""),"",B290+MOD(C290,1))</f>
        <v/>
      </c>
      <c r="J290">
        <f>IF(I290="","",IF(B290=Dashboard!$AA$1,I290,""))</f>
        <v/>
      </c>
    </row>
    <row r="291">
      <c r="A291" s="1" t="n"/>
      <c r="B291" s="26" t="n"/>
      <c r="C291" s="27" t="n"/>
      <c r="D291" s="28" t="n"/>
      <c r="E291" s="29" t="n"/>
      <c r="F291" s="29" t="n"/>
      <c r="G291" s="28" t="n"/>
      <c r="H291" s="1" t="n"/>
      <c r="I291">
        <f>IF(OR(B291="",C291=""),"",B291+MOD(C291,1))</f>
        <v/>
      </c>
      <c r="J291">
        <f>IF(I291="","",IF(B291=Dashboard!$AA$1,I291,""))</f>
        <v/>
      </c>
    </row>
    <row r="292">
      <c r="A292" s="1" t="n"/>
      <c r="B292" s="26" t="n"/>
      <c r="C292" s="27" t="n"/>
      <c r="D292" s="28" t="n"/>
      <c r="E292" s="29" t="n"/>
      <c r="F292" s="29" t="n"/>
      <c r="G292" s="28" t="n"/>
      <c r="H292" s="1" t="n"/>
      <c r="I292">
        <f>IF(OR(B292="",C292=""),"",B292+MOD(C292,1))</f>
        <v/>
      </c>
      <c r="J292">
        <f>IF(I292="","",IF(B292=Dashboard!$AA$1,I292,""))</f>
        <v/>
      </c>
    </row>
    <row r="293">
      <c r="A293" s="1" t="n"/>
      <c r="B293" s="26" t="n"/>
      <c r="C293" s="27" t="n"/>
      <c r="D293" s="28" t="n"/>
      <c r="E293" s="29" t="n"/>
      <c r="F293" s="29" t="n"/>
      <c r="G293" s="28" t="n"/>
      <c r="H293" s="1" t="n"/>
      <c r="I293">
        <f>IF(OR(B293="",C293=""),"",B293+MOD(C293,1))</f>
        <v/>
      </c>
      <c r="J293">
        <f>IF(I293="","",IF(B293=Dashboard!$AA$1,I293,""))</f>
        <v/>
      </c>
    </row>
    <row r="294">
      <c r="A294" s="1" t="n"/>
      <c r="B294" s="26" t="n"/>
      <c r="C294" s="27" t="n"/>
      <c r="D294" s="28" t="n"/>
      <c r="E294" s="29" t="n"/>
      <c r="F294" s="29" t="n"/>
      <c r="G294" s="28" t="n"/>
      <c r="H294" s="1" t="n"/>
      <c r="I294">
        <f>IF(OR(B294="",C294=""),"",B294+MOD(C294,1))</f>
        <v/>
      </c>
      <c r="J294">
        <f>IF(I294="","",IF(B294=Dashboard!$AA$1,I294,""))</f>
        <v/>
      </c>
    </row>
    <row r="295">
      <c r="A295" s="1" t="n"/>
      <c r="B295" s="26" t="n"/>
      <c r="C295" s="27" t="n"/>
      <c r="D295" s="28" t="n"/>
      <c r="E295" s="29" t="n"/>
      <c r="F295" s="29" t="n"/>
      <c r="G295" s="28" t="n"/>
      <c r="H295" s="1" t="n"/>
      <c r="I295">
        <f>IF(OR(B295="",C295=""),"",B295+MOD(C295,1))</f>
        <v/>
      </c>
      <c r="J295">
        <f>IF(I295="","",IF(B295=Dashboard!$AA$1,I295,""))</f>
        <v/>
      </c>
    </row>
    <row r="296">
      <c r="A296" s="1" t="n"/>
      <c r="B296" s="26" t="n"/>
      <c r="C296" s="27" t="n"/>
      <c r="D296" s="28" t="n"/>
      <c r="E296" s="29" t="n"/>
      <c r="F296" s="29" t="n"/>
      <c r="G296" s="28" t="n"/>
      <c r="H296" s="1" t="n"/>
      <c r="I296">
        <f>IF(OR(B296="",C296=""),"",B296+MOD(C296,1))</f>
        <v/>
      </c>
      <c r="J296">
        <f>IF(I296="","",IF(B296=Dashboard!$AA$1,I296,""))</f>
        <v/>
      </c>
    </row>
    <row r="297">
      <c r="A297" s="1" t="n"/>
      <c r="B297" s="26" t="n"/>
      <c r="C297" s="27" t="n"/>
      <c r="D297" s="28" t="n"/>
      <c r="E297" s="29" t="n"/>
      <c r="F297" s="29" t="n"/>
      <c r="G297" s="28" t="n"/>
      <c r="H297" s="1" t="n"/>
      <c r="I297">
        <f>IF(OR(B297="",C297=""),"",B297+MOD(C297,1))</f>
        <v/>
      </c>
      <c r="J297">
        <f>IF(I297="","",IF(B297=Dashboard!$AA$1,I297,""))</f>
        <v/>
      </c>
    </row>
    <row r="298">
      <c r="A298" s="1" t="n"/>
      <c r="B298" s="26" t="n"/>
      <c r="C298" s="27" t="n"/>
      <c r="D298" s="28" t="n"/>
      <c r="E298" s="29" t="n"/>
      <c r="F298" s="29" t="n"/>
      <c r="G298" s="28" t="n"/>
      <c r="H298" s="1" t="n"/>
      <c r="I298">
        <f>IF(OR(B298="",C298=""),"",B298+MOD(C298,1))</f>
        <v/>
      </c>
      <c r="J298">
        <f>IF(I298="","",IF(B298=Dashboard!$AA$1,I298,""))</f>
        <v/>
      </c>
    </row>
    <row r="299">
      <c r="A299" s="1" t="n"/>
      <c r="B299" s="26" t="n"/>
      <c r="C299" s="27" t="n"/>
      <c r="D299" s="28" t="n"/>
      <c r="E299" s="29" t="n"/>
      <c r="F299" s="29" t="n"/>
      <c r="G299" s="28" t="n"/>
      <c r="H299" s="1" t="n"/>
      <c r="I299">
        <f>IF(OR(B299="",C299=""),"",B299+MOD(C299,1))</f>
        <v/>
      </c>
      <c r="J299">
        <f>IF(I299="","",IF(B299=Dashboard!$AA$1,I299,""))</f>
        <v/>
      </c>
    </row>
    <row r="300">
      <c r="A300" s="1" t="n"/>
      <c r="B300" s="26" t="n"/>
      <c r="C300" s="27" t="n"/>
      <c r="D300" s="28" t="n"/>
      <c r="E300" s="29" t="n"/>
      <c r="F300" s="29" t="n"/>
      <c r="G300" s="28" t="n"/>
      <c r="H300" s="1" t="n"/>
      <c r="I300">
        <f>IF(OR(B300="",C300=""),"",B300+MOD(C300,1))</f>
        <v/>
      </c>
      <c r="J300">
        <f>IF(I300="","",IF(B300=Dashboard!$AA$1,I300,""))</f>
        <v/>
      </c>
    </row>
    <row r="301">
      <c r="A301" s="1" t="n"/>
      <c r="B301" s="26" t="n"/>
      <c r="C301" s="27" t="n"/>
      <c r="D301" s="28" t="n"/>
      <c r="E301" s="29" t="n"/>
      <c r="F301" s="29" t="n"/>
      <c r="G301" s="28" t="n"/>
      <c r="H301" s="1" t="n"/>
      <c r="I301">
        <f>IF(OR(B301="",C301=""),"",B301+MOD(C301,1))</f>
        <v/>
      </c>
      <c r="J301">
        <f>IF(I301="","",IF(B301=Dashboard!$AA$1,I301,""))</f>
        <v/>
      </c>
    </row>
    <row r="302">
      <c r="A302" s="1" t="n"/>
      <c r="B302" s="26" t="n"/>
      <c r="C302" s="27" t="n"/>
      <c r="D302" s="28" t="n"/>
      <c r="E302" s="29" t="n"/>
      <c r="F302" s="29" t="n"/>
      <c r="G302" s="28" t="n"/>
      <c r="H302" s="1" t="n"/>
      <c r="I302">
        <f>IF(OR(B302="",C302=""),"",B302+MOD(C302,1))</f>
        <v/>
      </c>
      <c r="J302">
        <f>IF(I302="","",IF(B302=Dashboard!$AA$1,I302,""))</f>
        <v/>
      </c>
    </row>
    <row r="303">
      <c r="A303" s="1" t="n"/>
      <c r="B303" s="26" t="n"/>
      <c r="C303" s="27" t="n"/>
      <c r="D303" s="28" t="n"/>
      <c r="E303" s="29" t="n"/>
      <c r="F303" s="29" t="n"/>
      <c r="G303" s="28" t="n"/>
      <c r="H303" s="1" t="n"/>
      <c r="I303">
        <f>IF(OR(B303="",C303=""),"",B303+MOD(C303,1))</f>
        <v/>
      </c>
      <c r="J303">
        <f>IF(I303="","",IF(B303=Dashboard!$AA$1,I303,""))</f>
        <v/>
      </c>
    </row>
    <row r="304">
      <c r="A304" s="1" t="n"/>
      <c r="B304" s="26" t="n"/>
      <c r="C304" s="27" t="n"/>
      <c r="D304" s="28" t="n"/>
      <c r="E304" s="29" t="n"/>
      <c r="F304" s="29" t="n"/>
      <c r="G304" s="28" t="n"/>
      <c r="H304" s="1" t="n"/>
      <c r="I304">
        <f>IF(OR(B304="",C304=""),"",B304+MOD(C304,1))</f>
        <v/>
      </c>
      <c r="J304">
        <f>IF(I304="","",IF(B304=Dashboard!$AA$1,I304,""))</f>
        <v/>
      </c>
    </row>
    <row r="305">
      <c r="A305" s="1" t="n"/>
      <c r="B305" s="26" t="n"/>
      <c r="C305" s="27" t="n"/>
      <c r="D305" s="28" t="n"/>
      <c r="E305" s="29" t="n"/>
      <c r="F305" s="29" t="n"/>
      <c r="G305" s="28" t="n"/>
      <c r="H305" s="1" t="n"/>
      <c r="I305">
        <f>IF(OR(B305="",C305=""),"",B305+MOD(C305,1))</f>
        <v/>
      </c>
      <c r="J305">
        <f>IF(I305="","",IF(B305=Dashboard!$AA$1,I305,""))</f>
        <v/>
      </c>
    </row>
    <row r="306">
      <c r="A306" s="1" t="n"/>
      <c r="B306" s="26" t="n"/>
      <c r="C306" s="27" t="n"/>
      <c r="D306" s="28" t="n"/>
      <c r="E306" s="29" t="n"/>
      <c r="F306" s="29" t="n"/>
      <c r="G306" s="28" t="n"/>
      <c r="H306" s="1" t="n"/>
      <c r="I306">
        <f>IF(OR(B306="",C306=""),"",B306+MOD(C306,1))</f>
        <v/>
      </c>
      <c r="J306">
        <f>IF(I306="","",IF(B306=Dashboard!$AA$1,I306,""))</f>
        <v/>
      </c>
    </row>
    <row r="307">
      <c r="A307" s="1" t="n"/>
      <c r="B307" s="26" t="n"/>
      <c r="C307" s="27" t="n"/>
      <c r="D307" s="28" t="n"/>
      <c r="E307" s="29" t="n"/>
      <c r="F307" s="29" t="n"/>
      <c r="G307" s="28" t="n"/>
      <c r="H307" s="1" t="n"/>
      <c r="I307">
        <f>IF(OR(B307="",C307=""),"",B307+MOD(C307,1))</f>
        <v/>
      </c>
      <c r="J307">
        <f>IF(I307="","",IF(B307=Dashboard!$AA$1,I307,""))</f>
        <v/>
      </c>
    </row>
    <row r="308">
      <c r="A308" s="1" t="n"/>
      <c r="B308" s="26" t="n"/>
      <c r="C308" s="27" t="n"/>
      <c r="D308" s="28" t="n"/>
      <c r="E308" s="29" t="n"/>
      <c r="F308" s="29" t="n"/>
      <c r="G308" s="28" t="n"/>
      <c r="H308" s="1" t="n"/>
      <c r="I308">
        <f>IF(OR(B308="",C308=""),"",B308+MOD(C308,1))</f>
        <v/>
      </c>
      <c r="J308">
        <f>IF(I308="","",IF(B308=Dashboard!$AA$1,I308,""))</f>
        <v/>
      </c>
    </row>
    <row r="309">
      <c r="A309" s="1" t="n"/>
      <c r="B309" s="26" t="n"/>
      <c r="C309" s="27" t="n"/>
      <c r="D309" s="28" t="n"/>
      <c r="E309" s="29" t="n"/>
      <c r="F309" s="29" t="n"/>
      <c r="G309" s="28" t="n"/>
      <c r="H309" s="1" t="n"/>
      <c r="I309">
        <f>IF(OR(B309="",C309=""),"",B309+MOD(C309,1))</f>
        <v/>
      </c>
      <c r="J309">
        <f>IF(I309="","",IF(B309=Dashboard!$AA$1,I309,""))</f>
        <v/>
      </c>
    </row>
    <row r="310">
      <c r="A310" s="1" t="n"/>
      <c r="B310" s="26" t="n"/>
      <c r="C310" s="27" t="n"/>
      <c r="D310" s="28" t="n"/>
      <c r="E310" s="29" t="n"/>
      <c r="F310" s="29" t="n"/>
      <c r="G310" s="28" t="n"/>
      <c r="H310" s="1" t="n"/>
      <c r="I310">
        <f>IF(OR(B310="",C310=""),"",B310+MOD(C310,1))</f>
        <v/>
      </c>
      <c r="J310">
        <f>IF(I310="","",IF(B310=Dashboard!$AA$1,I310,""))</f>
        <v/>
      </c>
    </row>
    <row r="311">
      <c r="A311" s="1" t="n"/>
      <c r="B311" s="26" t="n"/>
      <c r="C311" s="27" t="n"/>
      <c r="D311" s="28" t="n"/>
      <c r="E311" s="29" t="n"/>
      <c r="F311" s="29" t="n"/>
      <c r="G311" s="28" t="n"/>
      <c r="H311" s="1" t="n"/>
      <c r="I311">
        <f>IF(OR(B311="",C311=""),"",B311+MOD(C311,1))</f>
        <v/>
      </c>
      <c r="J311">
        <f>IF(I311="","",IF(B311=Dashboard!$AA$1,I311,""))</f>
        <v/>
      </c>
    </row>
    <row r="312">
      <c r="A312" s="1" t="n"/>
      <c r="B312" s="26" t="n"/>
      <c r="C312" s="27" t="n"/>
      <c r="D312" s="28" t="n"/>
      <c r="E312" s="29" t="n"/>
      <c r="F312" s="29" t="n"/>
      <c r="G312" s="28" t="n"/>
      <c r="H312" s="1" t="n"/>
      <c r="I312">
        <f>IF(OR(B312="",C312=""),"",B312+MOD(C312,1))</f>
        <v/>
      </c>
      <c r="J312">
        <f>IF(I312="","",IF(B312=Dashboard!$AA$1,I312,""))</f>
        <v/>
      </c>
    </row>
    <row r="313">
      <c r="A313" s="1" t="n"/>
      <c r="B313" s="26" t="n"/>
      <c r="C313" s="27" t="n"/>
      <c r="D313" s="28" t="n"/>
      <c r="E313" s="29" t="n"/>
      <c r="F313" s="29" t="n"/>
      <c r="G313" s="28" t="n"/>
      <c r="H313" s="1" t="n"/>
      <c r="I313">
        <f>IF(OR(B313="",C313=""),"",B313+MOD(C313,1))</f>
        <v/>
      </c>
      <c r="J313">
        <f>IF(I313="","",IF(B313=Dashboard!$AA$1,I313,""))</f>
        <v/>
      </c>
    </row>
    <row r="314">
      <c r="A314" s="1" t="n"/>
      <c r="B314" s="26" t="n"/>
      <c r="C314" s="27" t="n"/>
      <c r="D314" s="28" t="n"/>
      <c r="E314" s="29" t="n"/>
      <c r="F314" s="29" t="n"/>
      <c r="G314" s="28" t="n"/>
      <c r="H314" s="1" t="n"/>
      <c r="I314">
        <f>IF(OR(B314="",C314=""),"",B314+MOD(C314,1))</f>
        <v/>
      </c>
      <c r="J314">
        <f>IF(I314="","",IF(B314=Dashboard!$AA$1,I314,""))</f>
        <v/>
      </c>
    </row>
    <row r="315">
      <c r="A315" s="1" t="n"/>
      <c r="B315" s="26" t="n"/>
      <c r="C315" s="27" t="n"/>
      <c r="D315" s="28" t="n"/>
      <c r="E315" s="29" t="n"/>
      <c r="F315" s="29" t="n"/>
      <c r="G315" s="28" t="n"/>
      <c r="H315" s="1" t="n"/>
      <c r="I315">
        <f>IF(OR(B315="",C315=""),"",B315+MOD(C315,1))</f>
        <v/>
      </c>
      <c r="J315">
        <f>IF(I315="","",IF(B315=Dashboard!$AA$1,I315,""))</f>
        <v/>
      </c>
    </row>
    <row r="316">
      <c r="A316" s="1" t="n"/>
      <c r="B316" s="26" t="n"/>
      <c r="C316" s="27" t="n"/>
      <c r="D316" s="28" t="n"/>
      <c r="E316" s="29" t="n"/>
      <c r="F316" s="29" t="n"/>
      <c r="G316" s="28" t="n"/>
      <c r="H316" s="1" t="n"/>
      <c r="I316">
        <f>IF(OR(B316="",C316=""),"",B316+MOD(C316,1))</f>
        <v/>
      </c>
      <c r="J316">
        <f>IF(I316="","",IF(B316=Dashboard!$AA$1,I316,""))</f>
        <v/>
      </c>
    </row>
    <row r="317">
      <c r="A317" s="1" t="n"/>
      <c r="B317" s="26" t="n"/>
      <c r="C317" s="27" t="n"/>
      <c r="D317" s="28" t="n"/>
      <c r="E317" s="29" t="n"/>
      <c r="F317" s="29" t="n"/>
      <c r="G317" s="28" t="n"/>
      <c r="H317" s="1" t="n"/>
      <c r="I317">
        <f>IF(OR(B317="",C317=""),"",B317+MOD(C317,1))</f>
        <v/>
      </c>
      <c r="J317">
        <f>IF(I317="","",IF(B317=Dashboard!$AA$1,I317,""))</f>
        <v/>
      </c>
    </row>
    <row r="318">
      <c r="A318" s="1" t="n"/>
      <c r="B318" s="26" t="n"/>
      <c r="C318" s="27" t="n"/>
      <c r="D318" s="28" t="n"/>
      <c r="E318" s="29" t="n"/>
      <c r="F318" s="29" t="n"/>
      <c r="G318" s="28" t="n"/>
      <c r="H318" s="1" t="n"/>
      <c r="I318">
        <f>IF(OR(B318="",C318=""),"",B318+MOD(C318,1))</f>
        <v/>
      </c>
      <c r="J318">
        <f>IF(I318="","",IF(B318=Dashboard!$AA$1,I318,""))</f>
        <v/>
      </c>
    </row>
    <row r="319">
      <c r="A319" s="1" t="n"/>
      <c r="B319" s="26" t="n"/>
      <c r="C319" s="27" t="n"/>
      <c r="D319" s="28" t="n"/>
      <c r="E319" s="29" t="n"/>
      <c r="F319" s="29" t="n"/>
      <c r="G319" s="28" t="n"/>
      <c r="H319" s="1" t="n"/>
      <c r="I319">
        <f>IF(OR(B319="",C319=""),"",B319+MOD(C319,1))</f>
        <v/>
      </c>
      <c r="J319">
        <f>IF(I319="","",IF(B319=Dashboard!$AA$1,I319,""))</f>
        <v/>
      </c>
    </row>
    <row r="320">
      <c r="A320" s="1" t="n"/>
      <c r="B320" s="26" t="n"/>
      <c r="C320" s="27" t="n"/>
      <c r="D320" s="28" t="n"/>
      <c r="E320" s="29" t="n"/>
      <c r="F320" s="29" t="n"/>
      <c r="G320" s="28" t="n"/>
      <c r="H320" s="1" t="n"/>
      <c r="I320">
        <f>IF(OR(B320="",C320=""),"",B320+MOD(C320,1))</f>
        <v/>
      </c>
      <c r="J320">
        <f>IF(I320="","",IF(B320=Dashboard!$AA$1,I320,""))</f>
        <v/>
      </c>
    </row>
    <row r="321">
      <c r="A321" s="1" t="n"/>
      <c r="B321" s="26" t="n"/>
      <c r="C321" s="27" t="n"/>
      <c r="D321" s="28" t="n"/>
      <c r="E321" s="29" t="n"/>
      <c r="F321" s="29" t="n"/>
      <c r="G321" s="28" t="n"/>
      <c r="H321" s="1" t="n"/>
      <c r="I321">
        <f>IF(OR(B321="",C321=""),"",B321+MOD(C321,1))</f>
        <v/>
      </c>
      <c r="J321">
        <f>IF(I321="","",IF(B321=Dashboard!$AA$1,I321,""))</f>
        <v/>
      </c>
    </row>
    <row r="322">
      <c r="A322" s="1" t="n"/>
      <c r="B322" s="26" t="n"/>
      <c r="C322" s="27" t="n"/>
      <c r="D322" s="28" t="n"/>
      <c r="E322" s="29" t="n"/>
      <c r="F322" s="29" t="n"/>
      <c r="G322" s="28" t="n"/>
      <c r="H322" s="1" t="n"/>
      <c r="I322">
        <f>IF(OR(B322="",C322=""),"",B322+MOD(C322,1))</f>
        <v/>
      </c>
      <c r="J322">
        <f>IF(I322="","",IF(B322=Dashboard!$AA$1,I322,""))</f>
        <v/>
      </c>
    </row>
    <row r="323">
      <c r="A323" s="1" t="n"/>
      <c r="B323" s="26" t="n"/>
      <c r="C323" s="27" t="n"/>
      <c r="D323" s="28" t="n"/>
      <c r="E323" s="29" t="n"/>
      <c r="F323" s="29" t="n"/>
      <c r="G323" s="28" t="n"/>
      <c r="H323" s="1" t="n"/>
      <c r="I323">
        <f>IF(OR(B323="",C323=""),"",B323+MOD(C323,1))</f>
        <v/>
      </c>
      <c r="J323">
        <f>IF(I323="","",IF(B323=Dashboard!$AA$1,I323,""))</f>
        <v/>
      </c>
    </row>
    <row r="324">
      <c r="A324" s="1" t="n"/>
      <c r="B324" s="26" t="n"/>
      <c r="C324" s="27" t="n"/>
      <c r="D324" s="28" t="n"/>
      <c r="E324" s="29" t="n"/>
      <c r="F324" s="29" t="n"/>
      <c r="G324" s="28" t="n"/>
      <c r="H324" s="1" t="n"/>
      <c r="I324">
        <f>IF(OR(B324="",C324=""),"",B324+MOD(C324,1))</f>
        <v/>
      </c>
      <c r="J324">
        <f>IF(I324="","",IF(B324=Dashboard!$AA$1,I324,""))</f>
        <v/>
      </c>
    </row>
    <row r="325">
      <c r="A325" s="1" t="n"/>
      <c r="B325" s="26" t="n"/>
      <c r="C325" s="27" t="n"/>
      <c r="D325" s="28" t="n"/>
      <c r="E325" s="29" t="n"/>
      <c r="F325" s="29" t="n"/>
      <c r="G325" s="28" t="n"/>
      <c r="H325" s="1" t="n"/>
      <c r="I325">
        <f>IF(OR(B325="",C325=""),"",B325+MOD(C325,1))</f>
        <v/>
      </c>
      <c r="J325">
        <f>IF(I325="","",IF(B325=Dashboard!$AA$1,I325,""))</f>
        <v/>
      </c>
    </row>
    <row r="326">
      <c r="A326" s="1" t="n"/>
      <c r="B326" s="26" t="n"/>
      <c r="C326" s="27" t="n"/>
      <c r="D326" s="28" t="n"/>
      <c r="E326" s="29" t="n"/>
      <c r="F326" s="29" t="n"/>
      <c r="G326" s="28" t="n"/>
      <c r="H326" s="1" t="n"/>
      <c r="I326">
        <f>IF(OR(B326="",C326=""),"",B326+MOD(C326,1))</f>
        <v/>
      </c>
      <c r="J326">
        <f>IF(I326="","",IF(B326=Dashboard!$AA$1,I326,""))</f>
        <v/>
      </c>
    </row>
    <row r="327">
      <c r="A327" s="1" t="n"/>
      <c r="B327" s="26" t="n"/>
      <c r="C327" s="27" t="n"/>
      <c r="D327" s="28" t="n"/>
      <c r="E327" s="29" t="n"/>
      <c r="F327" s="29" t="n"/>
      <c r="G327" s="28" t="n"/>
      <c r="H327" s="1" t="n"/>
      <c r="I327">
        <f>IF(OR(B327="",C327=""),"",B327+MOD(C327,1))</f>
        <v/>
      </c>
      <c r="J327">
        <f>IF(I327="","",IF(B327=Dashboard!$AA$1,I327,""))</f>
        <v/>
      </c>
    </row>
    <row r="328">
      <c r="A328" s="1" t="n"/>
      <c r="B328" s="26" t="n"/>
      <c r="C328" s="27" t="n"/>
      <c r="D328" s="28" t="n"/>
      <c r="E328" s="29" t="n"/>
      <c r="F328" s="29" t="n"/>
      <c r="G328" s="28" t="n"/>
      <c r="H328" s="1" t="n"/>
      <c r="I328">
        <f>IF(OR(B328="",C328=""),"",B328+MOD(C328,1))</f>
        <v/>
      </c>
      <c r="J328">
        <f>IF(I328="","",IF(B328=Dashboard!$AA$1,I328,""))</f>
        <v/>
      </c>
    </row>
    <row r="329">
      <c r="A329" s="1" t="n"/>
      <c r="B329" s="26" t="n"/>
      <c r="C329" s="27" t="n"/>
      <c r="D329" s="28" t="n"/>
      <c r="E329" s="29" t="n"/>
      <c r="F329" s="29" t="n"/>
      <c r="G329" s="28" t="n"/>
      <c r="H329" s="1" t="n"/>
      <c r="I329">
        <f>IF(OR(B329="",C329=""),"",B329+MOD(C329,1))</f>
        <v/>
      </c>
      <c r="J329">
        <f>IF(I329="","",IF(B329=Dashboard!$AA$1,I329,""))</f>
        <v/>
      </c>
    </row>
    <row r="330">
      <c r="A330" s="1" t="n"/>
      <c r="B330" s="26" t="n"/>
      <c r="C330" s="27" t="n"/>
      <c r="D330" s="28" t="n"/>
      <c r="E330" s="29" t="n"/>
      <c r="F330" s="29" t="n"/>
      <c r="G330" s="28" t="n"/>
      <c r="H330" s="1" t="n"/>
      <c r="I330">
        <f>IF(OR(B330="",C330=""),"",B330+MOD(C330,1))</f>
        <v/>
      </c>
      <c r="J330">
        <f>IF(I330="","",IF(B330=Dashboard!$AA$1,I330,""))</f>
        <v/>
      </c>
    </row>
    <row r="331">
      <c r="A331" s="1" t="n"/>
      <c r="B331" s="26" t="n"/>
      <c r="C331" s="27" t="n"/>
      <c r="D331" s="28" t="n"/>
      <c r="E331" s="29" t="n"/>
      <c r="F331" s="29" t="n"/>
      <c r="G331" s="28" t="n"/>
      <c r="H331" s="1" t="n"/>
      <c r="I331">
        <f>IF(OR(B331="",C331=""),"",B331+MOD(C331,1))</f>
        <v/>
      </c>
      <c r="J331">
        <f>IF(I331="","",IF(B331=Dashboard!$AA$1,I331,""))</f>
        <v/>
      </c>
    </row>
    <row r="332">
      <c r="A332" s="1" t="n"/>
      <c r="B332" s="26" t="n"/>
      <c r="C332" s="27" t="n"/>
      <c r="D332" s="28" t="n"/>
      <c r="E332" s="29" t="n"/>
      <c r="F332" s="29" t="n"/>
      <c r="G332" s="28" t="n"/>
      <c r="H332" s="1" t="n"/>
      <c r="I332">
        <f>IF(OR(B332="",C332=""),"",B332+MOD(C332,1))</f>
        <v/>
      </c>
      <c r="J332">
        <f>IF(I332="","",IF(B332=Dashboard!$AA$1,I332,""))</f>
        <v/>
      </c>
    </row>
    <row r="333">
      <c r="A333" s="1" t="n"/>
      <c r="B333" s="26" t="n"/>
      <c r="C333" s="27" t="n"/>
      <c r="D333" s="28" t="n"/>
      <c r="E333" s="29" t="n"/>
      <c r="F333" s="29" t="n"/>
      <c r="G333" s="28" t="n"/>
      <c r="H333" s="1" t="n"/>
      <c r="I333">
        <f>IF(OR(B333="",C333=""),"",B333+MOD(C333,1))</f>
        <v/>
      </c>
      <c r="J333">
        <f>IF(I333="","",IF(B333=Dashboard!$AA$1,I333,""))</f>
        <v/>
      </c>
    </row>
    <row r="334">
      <c r="A334" s="1" t="n"/>
      <c r="B334" s="26" t="n"/>
      <c r="C334" s="27" t="n"/>
      <c r="D334" s="28" t="n"/>
      <c r="E334" s="29" t="n"/>
      <c r="F334" s="29" t="n"/>
      <c r="G334" s="28" t="n"/>
      <c r="H334" s="1" t="n"/>
      <c r="I334">
        <f>IF(OR(B334="",C334=""),"",B334+MOD(C334,1))</f>
        <v/>
      </c>
      <c r="J334">
        <f>IF(I334="","",IF(B334=Dashboard!$AA$1,I334,""))</f>
        <v/>
      </c>
    </row>
    <row r="335">
      <c r="A335" s="1" t="n"/>
      <c r="B335" s="26" t="n"/>
      <c r="C335" s="27" t="n"/>
      <c r="D335" s="28" t="n"/>
      <c r="E335" s="29" t="n"/>
      <c r="F335" s="29" t="n"/>
      <c r="G335" s="28" t="n"/>
      <c r="H335" s="1" t="n"/>
      <c r="I335">
        <f>IF(OR(B335="",C335=""),"",B335+MOD(C335,1))</f>
        <v/>
      </c>
      <c r="J335">
        <f>IF(I335="","",IF(B335=Dashboard!$AA$1,I335,""))</f>
        <v/>
      </c>
    </row>
    <row r="336">
      <c r="A336" s="1" t="n"/>
      <c r="B336" s="26" t="n"/>
      <c r="C336" s="27" t="n"/>
      <c r="D336" s="28" t="n"/>
      <c r="E336" s="29" t="n"/>
      <c r="F336" s="29" t="n"/>
      <c r="G336" s="28" t="n"/>
      <c r="H336" s="1" t="n"/>
      <c r="I336">
        <f>IF(OR(B336="",C336=""),"",B336+MOD(C336,1))</f>
        <v/>
      </c>
      <c r="J336">
        <f>IF(I336="","",IF(B336=Dashboard!$AA$1,I336,""))</f>
        <v/>
      </c>
    </row>
    <row r="337">
      <c r="A337" s="1" t="n"/>
      <c r="B337" s="26" t="n"/>
      <c r="C337" s="27" t="n"/>
      <c r="D337" s="28" t="n"/>
      <c r="E337" s="29" t="n"/>
      <c r="F337" s="29" t="n"/>
      <c r="G337" s="28" t="n"/>
      <c r="H337" s="1" t="n"/>
      <c r="I337">
        <f>IF(OR(B337="",C337=""),"",B337+MOD(C337,1))</f>
        <v/>
      </c>
      <c r="J337">
        <f>IF(I337="","",IF(B337=Dashboard!$AA$1,I337,""))</f>
        <v/>
      </c>
    </row>
    <row r="338">
      <c r="A338" s="1" t="n"/>
      <c r="B338" s="26" t="n"/>
      <c r="C338" s="27" t="n"/>
      <c r="D338" s="28" t="n"/>
      <c r="E338" s="29" t="n"/>
      <c r="F338" s="29" t="n"/>
      <c r="G338" s="28" t="n"/>
      <c r="H338" s="1" t="n"/>
      <c r="I338">
        <f>IF(OR(B338="",C338=""),"",B338+MOD(C338,1))</f>
        <v/>
      </c>
      <c r="J338">
        <f>IF(I338="","",IF(B338=Dashboard!$AA$1,I338,""))</f>
        <v/>
      </c>
    </row>
    <row r="339">
      <c r="A339" s="1" t="n"/>
      <c r="B339" s="26" t="n"/>
      <c r="C339" s="27" t="n"/>
      <c r="D339" s="28" t="n"/>
      <c r="E339" s="29" t="n"/>
      <c r="F339" s="29" t="n"/>
      <c r="G339" s="28" t="n"/>
      <c r="H339" s="1" t="n"/>
      <c r="I339">
        <f>IF(OR(B339="",C339=""),"",B339+MOD(C339,1))</f>
        <v/>
      </c>
      <c r="J339">
        <f>IF(I339="","",IF(B339=Dashboard!$AA$1,I339,""))</f>
        <v/>
      </c>
    </row>
    <row r="340">
      <c r="A340" s="1" t="n"/>
      <c r="B340" s="26" t="n"/>
      <c r="C340" s="27" t="n"/>
      <c r="D340" s="28" t="n"/>
      <c r="E340" s="29" t="n"/>
      <c r="F340" s="29" t="n"/>
      <c r="G340" s="28" t="n"/>
      <c r="H340" s="1" t="n"/>
      <c r="I340">
        <f>IF(OR(B340="",C340=""),"",B340+MOD(C340,1))</f>
        <v/>
      </c>
      <c r="J340">
        <f>IF(I340="","",IF(B340=Dashboard!$AA$1,I340,""))</f>
        <v/>
      </c>
    </row>
    <row r="341">
      <c r="A341" s="1" t="n"/>
      <c r="B341" s="26" t="n"/>
      <c r="C341" s="27" t="n"/>
      <c r="D341" s="28" t="n"/>
      <c r="E341" s="29" t="n"/>
      <c r="F341" s="29" t="n"/>
      <c r="G341" s="28" t="n"/>
      <c r="H341" s="1" t="n"/>
      <c r="I341">
        <f>IF(OR(B341="",C341=""),"",B341+MOD(C341,1))</f>
        <v/>
      </c>
      <c r="J341">
        <f>IF(I341="","",IF(B341=Dashboard!$AA$1,I341,""))</f>
        <v/>
      </c>
    </row>
    <row r="342">
      <c r="A342" s="1" t="n"/>
      <c r="B342" s="26" t="n"/>
      <c r="C342" s="27" t="n"/>
      <c r="D342" s="28" t="n"/>
      <c r="E342" s="29" t="n"/>
      <c r="F342" s="29" t="n"/>
      <c r="G342" s="28" t="n"/>
      <c r="H342" s="1" t="n"/>
      <c r="I342">
        <f>IF(OR(B342="",C342=""),"",B342+MOD(C342,1))</f>
        <v/>
      </c>
      <c r="J342">
        <f>IF(I342="","",IF(B342=Dashboard!$AA$1,I342,""))</f>
        <v/>
      </c>
    </row>
    <row r="343">
      <c r="A343" s="1" t="n"/>
      <c r="B343" s="26" t="n"/>
      <c r="C343" s="27" t="n"/>
      <c r="D343" s="28" t="n"/>
      <c r="E343" s="29" t="n"/>
      <c r="F343" s="29" t="n"/>
      <c r="G343" s="28" t="n"/>
      <c r="H343" s="1" t="n"/>
      <c r="I343">
        <f>IF(OR(B343="",C343=""),"",B343+MOD(C343,1))</f>
        <v/>
      </c>
      <c r="J343">
        <f>IF(I343="","",IF(B343=Dashboard!$AA$1,I343,""))</f>
        <v/>
      </c>
    </row>
    <row r="344">
      <c r="A344" s="1" t="n"/>
      <c r="B344" s="26" t="n"/>
      <c r="C344" s="27" t="n"/>
      <c r="D344" s="28" t="n"/>
      <c r="E344" s="29" t="n"/>
      <c r="F344" s="29" t="n"/>
      <c r="G344" s="28" t="n"/>
      <c r="H344" s="1" t="n"/>
      <c r="I344">
        <f>IF(OR(B344="",C344=""),"",B344+MOD(C344,1))</f>
        <v/>
      </c>
      <c r="J344">
        <f>IF(I344="","",IF(B344=Dashboard!$AA$1,I344,""))</f>
        <v/>
      </c>
    </row>
    <row r="345">
      <c r="A345" s="1" t="n"/>
      <c r="B345" s="26" t="n"/>
      <c r="C345" s="27" t="n"/>
      <c r="D345" s="28" t="n"/>
      <c r="E345" s="29" t="n"/>
      <c r="F345" s="29" t="n"/>
      <c r="G345" s="28" t="n"/>
      <c r="H345" s="1" t="n"/>
      <c r="I345">
        <f>IF(OR(B345="",C345=""),"",B345+MOD(C345,1))</f>
        <v/>
      </c>
      <c r="J345">
        <f>IF(I345="","",IF(B345=Dashboard!$AA$1,I345,""))</f>
        <v/>
      </c>
    </row>
    <row r="346">
      <c r="A346" s="1" t="n"/>
      <c r="B346" s="26" t="n"/>
      <c r="C346" s="27" t="n"/>
      <c r="D346" s="28" t="n"/>
      <c r="E346" s="29" t="n"/>
      <c r="F346" s="29" t="n"/>
      <c r="G346" s="28" t="n"/>
      <c r="H346" s="1" t="n"/>
      <c r="I346">
        <f>IF(OR(B346="",C346=""),"",B346+MOD(C346,1))</f>
        <v/>
      </c>
      <c r="J346">
        <f>IF(I346="","",IF(B346=Dashboard!$AA$1,I346,""))</f>
        <v/>
      </c>
    </row>
    <row r="347">
      <c r="A347" s="1" t="n"/>
      <c r="B347" s="26" t="n"/>
      <c r="C347" s="27" t="n"/>
      <c r="D347" s="28" t="n"/>
      <c r="E347" s="29" t="n"/>
      <c r="F347" s="29" t="n"/>
      <c r="G347" s="28" t="n"/>
      <c r="H347" s="1" t="n"/>
      <c r="I347">
        <f>IF(OR(B347="",C347=""),"",B347+MOD(C347,1))</f>
        <v/>
      </c>
      <c r="J347">
        <f>IF(I347="","",IF(B347=Dashboard!$AA$1,I347,""))</f>
        <v/>
      </c>
    </row>
    <row r="348">
      <c r="A348" s="1" t="n"/>
      <c r="B348" s="26" t="n"/>
      <c r="C348" s="27" t="n"/>
      <c r="D348" s="28" t="n"/>
      <c r="E348" s="29" t="n"/>
      <c r="F348" s="29" t="n"/>
      <c r="G348" s="28" t="n"/>
      <c r="H348" s="1" t="n"/>
      <c r="I348">
        <f>IF(OR(B348="",C348=""),"",B348+MOD(C348,1))</f>
        <v/>
      </c>
      <c r="J348">
        <f>IF(I348="","",IF(B348=Dashboard!$AA$1,I348,""))</f>
        <v/>
      </c>
    </row>
    <row r="349">
      <c r="A349" s="1" t="n"/>
      <c r="B349" s="26" t="n"/>
      <c r="C349" s="27" t="n"/>
      <c r="D349" s="28" t="n"/>
      <c r="E349" s="29" t="n"/>
      <c r="F349" s="29" t="n"/>
      <c r="G349" s="28" t="n"/>
      <c r="H349" s="1" t="n"/>
      <c r="I349">
        <f>IF(OR(B349="",C349=""),"",B349+MOD(C349,1))</f>
        <v/>
      </c>
      <c r="J349">
        <f>IF(I349="","",IF(B349=Dashboard!$AA$1,I349,""))</f>
        <v/>
      </c>
    </row>
    <row r="350">
      <c r="A350" s="1" t="n"/>
      <c r="B350" s="26" t="n"/>
      <c r="C350" s="27" t="n"/>
      <c r="D350" s="28" t="n"/>
      <c r="E350" s="29" t="n"/>
      <c r="F350" s="29" t="n"/>
      <c r="G350" s="28" t="n"/>
      <c r="H350" s="1" t="n"/>
      <c r="I350">
        <f>IF(OR(B350="",C350=""),"",B350+MOD(C350,1))</f>
        <v/>
      </c>
      <c r="J350">
        <f>IF(I350="","",IF(B350=Dashboard!$AA$1,I350,""))</f>
        <v/>
      </c>
    </row>
    <row r="351">
      <c r="A351" s="1" t="n"/>
      <c r="B351" s="26" t="n"/>
      <c r="C351" s="27" t="n"/>
      <c r="D351" s="28" t="n"/>
      <c r="E351" s="29" t="n"/>
      <c r="F351" s="29" t="n"/>
      <c r="G351" s="28" t="n"/>
      <c r="H351" s="1" t="n"/>
      <c r="I351">
        <f>IF(OR(B351="",C351=""),"",B351+MOD(C351,1))</f>
        <v/>
      </c>
      <c r="J351">
        <f>IF(I351="","",IF(B351=Dashboard!$AA$1,I351,""))</f>
        <v/>
      </c>
    </row>
    <row r="352">
      <c r="A352" s="1" t="n"/>
      <c r="B352" s="26" t="n"/>
      <c r="C352" s="27" t="n"/>
      <c r="D352" s="28" t="n"/>
      <c r="E352" s="29" t="n"/>
      <c r="F352" s="29" t="n"/>
      <c r="G352" s="28" t="n"/>
      <c r="H352" s="1" t="n"/>
      <c r="I352">
        <f>IF(OR(B352="",C352=""),"",B352+MOD(C352,1))</f>
        <v/>
      </c>
      <c r="J352">
        <f>IF(I352="","",IF(B352=Dashboard!$AA$1,I352,""))</f>
        <v/>
      </c>
    </row>
    <row r="353">
      <c r="A353" s="1" t="n"/>
      <c r="B353" s="26" t="n"/>
      <c r="C353" s="27" t="n"/>
      <c r="D353" s="28" t="n"/>
      <c r="E353" s="29" t="n"/>
      <c r="F353" s="29" t="n"/>
      <c r="G353" s="28" t="n"/>
      <c r="H353" s="1" t="n"/>
      <c r="I353">
        <f>IF(OR(B353="",C353=""),"",B353+MOD(C353,1))</f>
        <v/>
      </c>
      <c r="J353">
        <f>IF(I353="","",IF(B353=Dashboard!$AA$1,I353,""))</f>
        <v/>
      </c>
    </row>
    <row r="354">
      <c r="A354" s="1" t="n"/>
      <c r="B354" s="26" t="n"/>
      <c r="C354" s="27" t="n"/>
      <c r="D354" s="28" t="n"/>
      <c r="E354" s="29" t="n"/>
      <c r="F354" s="29" t="n"/>
      <c r="G354" s="28" t="n"/>
      <c r="H354" s="1" t="n"/>
      <c r="I354">
        <f>IF(OR(B354="",C354=""),"",B354+MOD(C354,1))</f>
        <v/>
      </c>
      <c r="J354">
        <f>IF(I354="","",IF(B354=Dashboard!$AA$1,I354,""))</f>
        <v/>
      </c>
    </row>
    <row r="355">
      <c r="A355" s="1" t="n"/>
      <c r="B355" s="26" t="n"/>
      <c r="C355" s="27" t="n"/>
      <c r="D355" s="28" t="n"/>
      <c r="E355" s="29" t="n"/>
      <c r="F355" s="29" t="n"/>
      <c r="G355" s="28" t="n"/>
      <c r="H355" s="1" t="n"/>
      <c r="I355">
        <f>IF(OR(B355="",C355=""),"",B355+MOD(C355,1))</f>
        <v/>
      </c>
      <c r="J355">
        <f>IF(I355="","",IF(B355=Dashboard!$AA$1,I355,""))</f>
        <v/>
      </c>
    </row>
    <row r="356">
      <c r="A356" s="1" t="n"/>
      <c r="B356" s="26" t="n"/>
      <c r="C356" s="27" t="n"/>
      <c r="D356" s="28" t="n"/>
      <c r="E356" s="29" t="n"/>
      <c r="F356" s="29" t="n"/>
      <c r="G356" s="28" t="n"/>
      <c r="H356" s="1" t="n"/>
      <c r="I356">
        <f>IF(OR(B356="",C356=""),"",B356+MOD(C356,1))</f>
        <v/>
      </c>
      <c r="J356">
        <f>IF(I356="","",IF(B356=Dashboard!$AA$1,I356,""))</f>
        <v/>
      </c>
    </row>
    <row r="357">
      <c r="A357" s="1" t="n"/>
      <c r="B357" s="26" t="n"/>
      <c r="C357" s="27" t="n"/>
      <c r="D357" s="28" t="n"/>
      <c r="E357" s="29" t="n"/>
      <c r="F357" s="29" t="n"/>
      <c r="G357" s="28" t="n"/>
      <c r="H357" s="1" t="n"/>
      <c r="I357">
        <f>IF(OR(B357="",C357=""),"",B357+MOD(C357,1))</f>
        <v/>
      </c>
      <c r="J357">
        <f>IF(I357="","",IF(B357=Dashboard!$AA$1,I357,""))</f>
        <v/>
      </c>
    </row>
    <row r="358">
      <c r="A358" s="1" t="n"/>
      <c r="B358" s="26" t="n"/>
      <c r="C358" s="27" t="n"/>
      <c r="D358" s="28" t="n"/>
      <c r="E358" s="29" t="n"/>
      <c r="F358" s="29" t="n"/>
      <c r="G358" s="28" t="n"/>
      <c r="H358" s="1" t="n"/>
      <c r="I358">
        <f>IF(OR(B358="",C358=""),"",B358+MOD(C358,1))</f>
        <v/>
      </c>
      <c r="J358">
        <f>IF(I358="","",IF(B358=Dashboard!$AA$1,I358,""))</f>
        <v/>
      </c>
    </row>
    <row r="359">
      <c r="A359" s="1" t="n"/>
      <c r="B359" s="26" t="n"/>
      <c r="C359" s="27" t="n"/>
      <c r="D359" s="28" t="n"/>
      <c r="E359" s="29" t="n"/>
      <c r="F359" s="29" t="n"/>
      <c r="G359" s="28" t="n"/>
      <c r="H359" s="1" t="n"/>
      <c r="I359">
        <f>IF(OR(B359="",C359=""),"",B359+MOD(C359,1))</f>
        <v/>
      </c>
      <c r="J359">
        <f>IF(I359="","",IF(B359=Dashboard!$AA$1,I359,""))</f>
        <v/>
      </c>
    </row>
    <row r="360">
      <c r="A360" s="1" t="n"/>
      <c r="B360" s="26" t="n"/>
      <c r="C360" s="27" t="n"/>
      <c r="D360" s="28" t="n"/>
      <c r="E360" s="29" t="n"/>
      <c r="F360" s="29" t="n"/>
      <c r="G360" s="28" t="n"/>
      <c r="H360" s="1" t="n"/>
      <c r="I360">
        <f>IF(OR(B360="",C360=""),"",B360+MOD(C360,1))</f>
        <v/>
      </c>
      <c r="J360">
        <f>IF(I360="","",IF(B360=Dashboard!$AA$1,I360,""))</f>
        <v/>
      </c>
    </row>
    <row r="361">
      <c r="A361" s="1" t="n"/>
      <c r="B361" s="26" t="n"/>
      <c r="C361" s="27" t="n"/>
      <c r="D361" s="28" t="n"/>
      <c r="E361" s="29" t="n"/>
      <c r="F361" s="29" t="n"/>
      <c r="G361" s="28" t="n"/>
      <c r="H361" s="1" t="n"/>
      <c r="I361">
        <f>IF(OR(B361="",C361=""),"",B361+MOD(C361,1))</f>
        <v/>
      </c>
      <c r="J361">
        <f>IF(I361="","",IF(B361=Dashboard!$AA$1,I361,""))</f>
        <v/>
      </c>
    </row>
    <row r="362">
      <c r="A362" s="1" t="n"/>
      <c r="B362" s="26" t="n"/>
      <c r="C362" s="27" t="n"/>
      <c r="D362" s="28" t="n"/>
      <c r="E362" s="29" t="n"/>
      <c r="F362" s="29" t="n"/>
      <c r="G362" s="28" t="n"/>
      <c r="H362" s="1" t="n"/>
      <c r="I362">
        <f>IF(OR(B362="",C362=""),"",B362+MOD(C362,1))</f>
        <v/>
      </c>
      <c r="J362">
        <f>IF(I362="","",IF(B362=Dashboard!$AA$1,I362,""))</f>
        <v/>
      </c>
    </row>
    <row r="363">
      <c r="A363" s="1" t="n"/>
      <c r="B363" s="26" t="n"/>
      <c r="C363" s="27" t="n"/>
      <c r="D363" s="28" t="n"/>
      <c r="E363" s="29" t="n"/>
      <c r="F363" s="29" t="n"/>
      <c r="G363" s="28" t="n"/>
      <c r="H363" s="1" t="n"/>
      <c r="I363">
        <f>IF(OR(B363="",C363=""),"",B363+MOD(C363,1))</f>
        <v/>
      </c>
      <c r="J363">
        <f>IF(I363="","",IF(B363=Dashboard!$AA$1,I363,""))</f>
        <v/>
      </c>
    </row>
    <row r="364">
      <c r="A364" s="1" t="n"/>
      <c r="B364" s="26" t="n"/>
      <c r="C364" s="27" t="n"/>
      <c r="D364" s="28" t="n"/>
      <c r="E364" s="29" t="n"/>
      <c r="F364" s="29" t="n"/>
      <c r="G364" s="28" t="n"/>
      <c r="H364" s="1" t="n"/>
      <c r="I364">
        <f>IF(OR(B364="",C364=""),"",B364+MOD(C364,1))</f>
        <v/>
      </c>
      <c r="J364">
        <f>IF(I364="","",IF(B364=Dashboard!$AA$1,I364,""))</f>
        <v/>
      </c>
    </row>
    <row r="365">
      <c r="A365" s="1" t="n"/>
      <c r="B365" s="26" t="n"/>
      <c r="C365" s="27" t="n"/>
      <c r="D365" s="28" t="n"/>
      <c r="E365" s="29" t="n"/>
      <c r="F365" s="29" t="n"/>
      <c r="G365" s="28" t="n"/>
      <c r="H365" s="1" t="n"/>
      <c r="I365">
        <f>IF(OR(B365="",C365=""),"",B365+MOD(C365,1))</f>
        <v/>
      </c>
      <c r="J365">
        <f>IF(I365="","",IF(B365=Dashboard!$AA$1,I365,""))</f>
        <v/>
      </c>
    </row>
    <row r="366">
      <c r="A366" s="1" t="n"/>
      <c r="B366" s="26" t="n"/>
      <c r="C366" s="27" t="n"/>
      <c r="D366" s="28" t="n"/>
      <c r="E366" s="29" t="n"/>
      <c r="F366" s="29" t="n"/>
      <c r="G366" s="28" t="n"/>
      <c r="H366" s="1" t="n"/>
      <c r="I366">
        <f>IF(OR(B366="",C366=""),"",B366+MOD(C366,1))</f>
        <v/>
      </c>
      <c r="J366">
        <f>IF(I366="","",IF(B366=Dashboard!$AA$1,I366,""))</f>
        <v/>
      </c>
    </row>
    <row r="367">
      <c r="A367" s="1" t="n"/>
      <c r="B367" s="26" t="n"/>
      <c r="C367" s="27" t="n"/>
      <c r="D367" s="28" t="n"/>
      <c r="E367" s="29" t="n"/>
      <c r="F367" s="29" t="n"/>
      <c r="G367" s="28" t="n"/>
      <c r="H367" s="1" t="n"/>
      <c r="I367">
        <f>IF(OR(B367="",C367=""),"",B367+MOD(C367,1))</f>
        <v/>
      </c>
      <c r="J367">
        <f>IF(I367="","",IF(B367=Dashboard!$AA$1,I367,""))</f>
        <v/>
      </c>
    </row>
    <row r="368">
      <c r="A368" s="1" t="n"/>
      <c r="B368" s="26" t="n"/>
      <c r="C368" s="27" t="n"/>
      <c r="D368" s="28" t="n"/>
      <c r="E368" s="29" t="n"/>
      <c r="F368" s="29" t="n"/>
      <c r="G368" s="28" t="n"/>
      <c r="H368" s="1" t="n"/>
      <c r="I368">
        <f>IF(OR(B368="",C368=""),"",B368+MOD(C368,1))</f>
        <v/>
      </c>
      <c r="J368">
        <f>IF(I368="","",IF(B368=Dashboard!$AA$1,I368,""))</f>
        <v/>
      </c>
    </row>
    <row r="369">
      <c r="A369" s="1" t="n"/>
      <c r="B369" s="26" t="n"/>
      <c r="C369" s="27" t="n"/>
      <c r="D369" s="28" t="n"/>
      <c r="E369" s="29" t="n"/>
      <c r="F369" s="29" t="n"/>
      <c r="G369" s="28" t="n"/>
      <c r="H369" s="1" t="n"/>
      <c r="I369">
        <f>IF(OR(B369="",C369=""),"",B369+MOD(C369,1))</f>
        <v/>
      </c>
      <c r="J369">
        <f>IF(I369="","",IF(B369=Dashboard!$AA$1,I369,""))</f>
        <v/>
      </c>
    </row>
    <row r="370">
      <c r="A370" s="1" t="n"/>
      <c r="B370" s="26" t="n"/>
      <c r="C370" s="27" t="n"/>
      <c r="D370" s="28" t="n"/>
      <c r="E370" s="29" t="n"/>
      <c r="F370" s="29" t="n"/>
      <c r="G370" s="28" t="n"/>
      <c r="H370" s="1" t="n"/>
      <c r="I370">
        <f>IF(OR(B370="",C370=""),"",B370+MOD(C370,1))</f>
        <v/>
      </c>
      <c r="J370">
        <f>IF(I370="","",IF(B370=Dashboard!$AA$1,I370,""))</f>
        <v/>
      </c>
    </row>
    <row r="371">
      <c r="A371" s="1" t="n"/>
      <c r="B371" s="26" t="n"/>
      <c r="C371" s="27" t="n"/>
      <c r="D371" s="28" t="n"/>
      <c r="E371" s="29" t="n"/>
      <c r="F371" s="29" t="n"/>
      <c r="G371" s="28" t="n"/>
      <c r="H371" s="1" t="n"/>
      <c r="I371">
        <f>IF(OR(B371="",C371=""),"",B371+MOD(C371,1))</f>
        <v/>
      </c>
      <c r="J371">
        <f>IF(I371="","",IF(B371=Dashboard!$AA$1,I371,""))</f>
        <v/>
      </c>
    </row>
    <row r="372">
      <c r="A372" s="1" t="n"/>
      <c r="B372" s="26" t="n"/>
      <c r="C372" s="27" t="n"/>
      <c r="D372" s="28" t="n"/>
      <c r="E372" s="29" t="n"/>
      <c r="F372" s="29" t="n"/>
      <c r="G372" s="28" t="n"/>
      <c r="H372" s="1" t="n"/>
      <c r="I372">
        <f>IF(OR(B372="",C372=""),"",B372+MOD(C372,1))</f>
        <v/>
      </c>
      <c r="J372">
        <f>IF(I372="","",IF(B372=Dashboard!$AA$1,I372,""))</f>
        <v/>
      </c>
    </row>
    <row r="373">
      <c r="A373" s="1" t="n"/>
      <c r="B373" s="26" t="n"/>
      <c r="C373" s="27" t="n"/>
      <c r="D373" s="28" t="n"/>
      <c r="E373" s="29" t="n"/>
      <c r="F373" s="29" t="n"/>
      <c r="G373" s="28" t="n"/>
      <c r="H373" s="1" t="n"/>
      <c r="I373">
        <f>IF(OR(B373="",C373=""),"",B373+MOD(C373,1))</f>
        <v/>
      </c>
      <c r="J373">
        <f>IF(I373="","",IF(B373=Dashboard!$AA$1,I373,""))</f>
        <v/>
      </c>
    </row>
    <row r="374">
      <c r="A374" s="1" t="n"/>
      <c r="B374" s="26" t="n"/>
      <c r="C374" s="27" t="n"/>
      <c r="D374" s="28" t="n"/>
      <c r="E374" s="29" t="n"/>
      <c r="F374" s="29" t="n"/>
      <c r="G374" s="28" t="n"/>
      <c r="H374" s="1" t="n"/>
      <c r="I374">
        <f>IF(OR(B374="",C374=""),"",B374+MOD(C374,1))</f>
        <v/>
      </c>
      <c r="J374">
        <f>IF(I374="","",IF(B374=Dashboard!$AA$1,I374,""))</f>
        <v/>
      </c>
    </row>
    <row r="375">
      <c r="A375" s="1" t="n"/>
      <c r="B375" s="26" t="n"/>
      <c r="C375" s="27" t="n"/>
      <c r="D375" s="28" t="n"/>
      <c r="E375" s="29" t="n"/>
      <c r="F375" s="29" t="n"/>
      <c r="G375" s="28" t="n"/>
      <c r="H375" s="1" t="n"/>
      <c r="I375">
        <f>IF(OR(B375="",C375=""),"",B375+MOD(C375,1))</f>
        <v/>
      </c>
      <c r="J375">
        <f>IF(I375="","",IF(B375=Dashboard!$AA$1,I375,""))</f>
        <v/>
      </c>
    </row>
    <row r="376">
      <c r="A376" s="1" t="n"/>
      <c r="B376" s="26" t="n"/>
      <c r="C376" s="27" t="n"/>
      <c r="D376" s="28" t="n"/>
      <c r="E376" s="29" t="n"/>
      <c r="F376" s="29" t="n"/>
      <c r="G376" s="28" t="n"/>
      <c r="H376" s="1" t="n"/>
      <c r="I376">
        <f>IF(OR(B376="",C376=""),"",B376+MOD(C376,1))</f>
        <v/>
      </c>
      <c r="J376">
        <f>IF(I376="","",IF(B376=Dashboard!$AA$1,I376,""))</f>
        <v/>
      </c>
    </row>
    <row r="377">
      <c r="A377" s="1" t="n"/>
      <c r="B377" s="26" t="n"/>
      <c r="C377" s="27" t="n"/>
      <c r="D377" s="28" t="n"/>
      <c r="E377" s="29" t="n"/>
      <c r="F377" s="29" t="n"/>
      <c r="G377" s="28" t="n"/>
      <c r="H377" s="1" t="n"/>
      <c r="I377">
        <f>IF(OR(B377="",C377=""),"",B377+MOD(C377,1))</f>
        <v/>
      </c>
      <c r="J377">
        <f>IF(I377="","",IF(B377=Dashboard!$AA$1,I377,""))</f>
        <v/>
      </c>
    </row>
    <row r="378">
      <c r="A378" s="1" t="n"/>
      <c r="B378" s="26" t="n"/>
      <c r="C378" s="27" t="n"/>
      <c r="D378" s="28" t="n"/>
      <c r="E378" s="29" t="n"/>
      <c r="F378" s="29" t="n"/>
      <c r="G378" s="28" t="n"/>
      <c r="H378" s="1" t="n"/>
      <c r="I378">
        <f>IF(OR(B378="",C378=""),"",B378+MOD(C378,1))</f>
        <v/>
      </c>
      <c r="J378">
        <f>IF(I378="","",IF(B378=Dashboard!$AA$1,I378,""))</f>
        <v/>
      </c>
    </row>
    <row r="379">
      <c r="A379" s="1" t="n"/>
      <c r="B379" s="26" t="n"/>
      <c r="C379" s="27" t="n"/>
      <c r="D379" s="28" t="n"/>
      <c r="E379" s="29" t="n"/>
      <c r="F379" s="29" t="n"/>
      <c r="G379" s="28" t="n"/>
      <c r="H379" s="1" t="n"/>
      <c r="I379">
        <f>IF(OR(B379="",C379=""),"",B379+MOD(C379,1))</f>
        <v/>
      </c>
      <c r="J379">
        <f>IF(I379="","",IF(B379=Dashboard!$AA$1,I379,""))</f>
        <v/>
      </c>
    </row>
    <row r="380">
      <c r="A380" s="1" t="n"/>
      <c r="B380" s="26" t="n"/>
      <c r="C380" s="27" t="n"/>
      <c r="D380" s="28" t="n"/>
      <c r="E380" s="29" t="n"/>
      <c r="F380" s="29" t="n"/>
      <c r="G380" s="28" t="n"/>
      <c r="H380" s="1" t="n"/>
      <c r="I380">
        <f>IF(OR(B380="",C380=""),"",B380+MOD(C380,1))</f>
        <v/>
      </c>
      <c r="J380">
        <f>IF(I380="","",IF(B380=Dashboard!$AA$1,I380,""))</f>
        <v/>
      </c>
    </row>
    <row r="381">
      <c r="A381" s="1" t="n"/>
      <c r="B381" s="26" t="n"/>
      <c r="C381" s="27" t="n"/>
      <c r="D381" s="28" t="n"/>
      <c r="E381" s="29" t="n"/>
      <c r="F381" s="29" t="n"/>
      <c r="G381" s="28" t="n"/>
      <c r="H381" s="1" t="n"/>
      <c r="I381">
        <f>IF(OR(B381="",C381=""),"",B381+MOD(C381,1))</f>
        <v/>
      </c>
      <c r="J381">
        <f>IF(I381="","",IF(B381=Dashboard!$AA$1,I381,""))</f>
        <v/>
      </c>
    </row>
    <row r="382">
      <c r="A382" s="1" t="n"/>
      <c r="B382" s="26" t="n"/>
      <c r="C382" s="27" t="n"/>
      <c r="D382" s="28" t="n"/>
      <c r="E382" s="29" t="n"/>
      <c r="F382" s="29" t="n"/>
      <c r="G382" s="28" t="n"/>
      <c r="H382" s="1" t="n"/>
      <c r="I382">
        <f>IF(OR(B382="",C382=""),"",B382+MOD(C382,1))</f>
        <v/>
      </c>
      <c r="J382">
        <f>IF(I382="","",IF(B382=Dashboard!$AA$1,I382,""))</f>
        <v/>
      </c>
    </row>
    <row r="383">
      <c r="A383" s="1" t="n"/>
      <c r="B383" s="26" t="n"/>
      <c r="C383" s="27" t="n"/>
      <c r="D383" s="28" t="n"/>
      <c r="E383" s="29" t="n"/>
      <c r="F383" s="29" t="n"/>
      <c r="G383" s="28" t="n"/>
      <c r="H383" s="1" t="n"/>
      <c r="I383">
        <f>IF(OR(B383="",C383=""),"",B383+MOD(C383,1))</f>
        <v/>
      </c>
      <c r="J383">
        <f>IF(I383="","",IF(B383=Dashboard!$AA$1,I383,""))</f>
        <v/>
      </c>
    </row>
    <row r="384">
      <c r="A384" s="1" t="n"/>
      <c r="B384" s="26" t="n"/>
      <c r="C384" s="27" t="n"/>
      <c r="D384" s="28" t="n"/>
      <c r="E384" s="29" t="n"/>
      <c r="F384" s="29" t="n"/>
      <c r="G384" s="28" t="n"/>
      <c r="H384" s="1" t="n"/>
      <c r="I384">
        <f>IF(OR(B384="",C384=""),"",B384+MOD(C384,1))</f>
        <v/>
      </c>
      <c r="J384">
        <f>IF(I384="","",IF(B384=Dashboard!$AA$1,I384,""))</f>
        <v/>
      </c>
    </row>
    <row r="385">
      <c r="A385" s="1" t="n"/>
      <c r="B385" s="26" t="n"/>
      <c r="C385" s="27" t="n"/>
      <c r="D385" s="28" t="n"/>
      <c r="E385" s="29" t="n"/>
      <c r="F385" s="29" t="n"/>
      <c r="G385" s="28" t="n"/>
      <c r="H385" s="1" t="n"/>
      <c r="I385">
        <f>IF(OR(B385="",C385=""),"",B385+MOD(C385,1))</f>
        <v/>
      </c>
      <c r="J385">
        <f>IF(I385="","",IF(B385=Dashboard!$AA$1,I385,""))</f>
        <v/>
      </c>
    </row>
    <row r="386">
      <c r="A386" s="1" t="n"/>
      <c r="B386" s="26" t="n"/>
      <c r="C386" s="27" t="n"/>
      <c r="D386" s="28" t="n"/>
      <c r="E386" s="29" t="n"/>
      <c r="F386" s="29" t="n"/>
      <c r="G386" s="28" t="n"/>
      <c r="H386" s="1" t="n"/>
      <c r="I386">
        <f>IF(OR(B386="",C386=""),"",B386+MOD(C386,1))</f>
        <v/>
      </c>
      <c r="J386">
        <f>IF(I386="","",IF(B386=Dashboard!$AA$1,I386,""))</f>
        <v/>
      </c>
    </row>
    <row r="387">
      <c r="A387" s="1" t="n"/>
      <c r="B387" s="26" t="n"/>
      <c r="C387" s="27" t="n"/>
      <c r="D387" s="28" t="n"/>
      <c r="E387" s="29" t="n"/>
      <c r="F387" s="29" t="n"/>
      <c r="G387" s="28" t="n"/>
      <c r="H387" s="1" t="n"/>
      <c r="I387">
        <f>IF(OR(B387="",C387=""),"",B387+MOD(C387,1))</f>
        <v/>
      </c>
      <c r="J387">
        <f>IF(I387="","",IF(B387=Dashboard!$AA$1,I387,""))</f>
        <v/>
      </c>
    </row>
    <row r="388">
      <c r="A388" s="1" t="n"/>
      <c r="B388" s="26" t="n"/>
      <c r="C388" s="27" t="n"/>
      <c r="D388" s="28" t="n"/>
      <c r="E388" s="29" t="n"/>
      <c r="F388" s="29" t="n"/>
      <c r="G388" s="28" t="n"/>
      <c r="H388" s="1" t="n"/>
      <c r="I388">
        <f>IF(OR(B388="",C388=""),"",B388+MOD(C388,1))</f>
        <v/>
      </c>
      <c r="J388">
        <f>IF(I388="","",IF(B388=Dashboard!$AA$1,I388,""))</f>
        <v/>
      </c>
    </row>
    <row r="389">
      <c r="A389" s="1" t="n"/>
      <c r="B389" s="26" t="n"/>
      <c r="C389" s="27" t="n"/>
      <c r="D389" s="28" t="n"/>
      <c r="E389" s="29" t="n"/>
      <c r="F389" s="29" t="n"/>
      <c r="G389" s="28" t="n"/>
      <c r="H389" s="1" t="n"/>
      <c r="I389">
        <f>IF(OR(B389="",C389=""),"",B389+MOD(C389,1))</f>
        <v/>
      </c>
      <c r="J389">
        <f>IF(I389="","",IF(B389=Dashboard!$AA$1,I389,""))</f>
        <v/>
      </c>
    </row>
    <row r="390">
      <c r="A390" s="1" t="n"/>
      <c r="B390" s="26" t="n"/>
      <c r="C390" s="27" t="n"/>
      <c r="D390" s="28" t="n"/>
      <c r="E390" s="29" t="n"/>
      <c r="F390" s="29" t="n"/>
      <c r="G390" s="28" t="n"/>
      <c r="H390" s="1" t="n"/>
      <c r="I390">
        <f>IF(OR(B390="",C390=""),"",B390+MOD(C390,1))</f>
        <v/>
      </c>
      <c r="J390">
        <f>IF(I390="","",IF(B390=Dashboard!$AA$1,I390,""))</f>
        <v/>
      </c>
    </row>
    <row r="391">
      <c r="A391" s="1" t="n"/>
      <c r="B391" s="26" t="n"/>
      <c r="C391" s="27" t="n"/>
      <c r="D391" s="28" t="n"/>
      <c r="E391" s="29" t="n"/>
      <c r="F391" s="29" t="n"/>
      <c r="G391" s="28" t="n"/>
      <c r="H391" s="1" t="n"/>
      <c r="I391">
        <f>IF(OR(B391="",C391=""),"",B391+MOD(C391,1))</f>
        <v/>
      </c>
      <c r="J391">
        <f>IF(I391="","",IF(B391=Dashboard!$AA$1,I391,""))</f>
        <v/>
      </c>
    </row>
    <row r="392">
      <c r="A392" s="1" t="n"/>
      <c r="B392" s="26" t="n"/>
      <c r="C392" s="27" t="n"/>
      <c r="D392" s="28" t="n"/>
      <c r="E392" s="29" t="n"/>
      <c r="F392" s="29" t="n"/>
      <c r="G392" s="28" t="n"/>
      <c r="H392" s="1" t="n"/>
      <c r="I392">
        <f>IF(OR(B392="",C392=""),"",B392+MOD(C392,1))</f>
        <v/>
      </c>
      <c r="J392">
        <f>IF(I392="","",IF(B392=Dashboard!$AA$1,I392,""))</f>
        <v/>
      </c>
    </row>
    <row r="393">
      <c r="A393" s="1" t="n"/>
      <c r="B393" s="26" t="n"/>
      <c r="C393" s="27" t="n"/>
      <c r="D393" s="28" t="n"/>
      <c r="E393" s="29" t="n"/>
      <c r="F393" s="29" t="n"/>
      <c r="G393" s="28" t="n"/>
      <c r="H393" s="1" t="n"/>
      <c r="I393">
        <f>IF(OR(B393="",C393=""),"",B393+MOD(C393,1))</f>
        <v/>
      </c>
      <c r="J393">
        <f>IF(I393="","",IF(B393=Dashboard!$AA$1,I393,""))</f>
        <v/>
      </c>
    </row>
    <row r="394">
      <c r="A394" s="1" t="n"/>
      <c r="B394" s="26" t="n"/>
      <c r="C394" s="27" t="n"/>
      <c r="D394" s="28" t="n"/>
      <c r="E394" s="29" t="n"/>
      <c r="F394" s="29" t="n"/>
      <c r="G394" s="28" t="n"/>
      <c r="H394" s="1" t="n"/>
      <c r="I394">
        <f>IF(OR(B394="",C394=""),"",B394+MOD(C394,1))</f>
        <v/>
      </c>
      <c r="J394">
        <f>IF(I394="","",IF(B394=Dashboard!$AA$1,I394,""))</f>
        <v/>
      </c>
    </row>
    <row r="395">
      <c r="A395" s="1" t="n"/>
      <c r="B395" s="26" t="n"/>
      <c r="C395" s="27" t="n"/>
      <c r="D395" s="28" t="n"/>
      <c r="E395" s="29" t="n"/>
      <c r="F395" s="29" t="n"/>
      <c r="G395" s="28" t="n"/>
      <c r="H395" s="1" t="n"/>
      <c r="I395">
        <f>IF(OR(B395="",C395=""),"",B395+MOD(C395,1))</f>
        <v/>
      </c>
      <c r="J395">
        <f>IF(I395="","",IF(B395=Dashboard!$AA$1,I395,""))</f>
        <v/>
      </c>
    </row>
    <row r="396">
      <c r="A396" s="1" t="n"/>
      <c r="B396" s="26" t="n"/>
      <c r="C396" s="27" t="n"/>
      <c r="D396" s="28" t="n"/>
      <c r="E396" s="29" t="n"/>
      <c r="F396" s="29" t="n"/>
      <c r="G396" s="28" t="n"/>
      <c r="H396" s="1" t="n"/>
      <c r="I396">
        <f>IF(OR(B396="",C396=""),"",B396+MOD(C396,1))</f>
        <v/>
      </c>
      <c r="J396">
        <f>IF(I396="","",IF(B396=Dashboard!$AA$1,I396,""))</f>
        <v/>
      </c>
    </row>
    <row r="397">
      <c r="A397" s="1" t="n"/>
      <c r="B397" s="26" t="n"/>
      <c r="C397" s="27" t="n"/>
      <c r="D397" s="28" t="n"/>
      <c r="E397" s="29" t="n"/>
      <c r="F397" s="29" t="n"/>
      <c r="G397" s="28" t="n"/>
      <c r="H397" s="1" t="n"/>
      <c r="I397">
        <f>IF(OR(B397="",C397=""),"",B397+MOD(C397,1))</f>
        <v/>
      </c>
      <c r="J397">
        <f>IF(I397="","",IF(B397=Dashboard!$AA$1,I397,""))</f>
        <v/>
      </c>
    </row>
    <row r="398">
      <c r="A398" s="1" t="n"/>
      <c r="B398" s="26" t="n"/>
      <c r="C398" s="27" t="n"/>
      <c r="D398" s="28" t="n"/>
      <c r="E398" s="29" t="n"/>
      <c r="F398" s="29" t="n"/>
      <c r="G398" s="28" t="n"/>
      <c r="H398" s="1" t="n"/>
      <c r="I398">
        <f>IF(OR(B398="",C398=""),"",B398+MOD(C398,1))</f>
        <v/>
      </c>
      <c r="J398">
        <f>IF(I398="","",IF(B398=Dashboard!$AA$1,I398,""))</f>
        <v/>
      </c>
    </row>
    <row r="399">
      <c r="A399" s="1" t="n"/>
      <c r="B399" s="26" t="n"/>
      <c r="C399" s="27" t="n"/>
      <c r="D399" s="28" t="n"/>
      <c r="E399" s="29" t="n"/>
      <c r="F399" s="29" t="n"/>
      <c r="G399" s="28" t="n"/>
      <c r="H399" s="1" t="n"/>
      <c r="I399">
        <f>IF(OR(B399="",C399=""),"",B399+MOD(C399,1))</f>
        <v/>
      </c>
      <c r="J399">
        <f>IF(I399="","",IF(B399=Dashboard!$AA$1,I399,""))</f>
        <v/>
      </c>
    </row>
    <row r="400">
      <c r="A400" s="1" t="n"/>
      <c r="B400" s="26" t="n"/>
      <c r="C400" s="27" t="n"/>
      <c r="D400" s="28" t="n"/>
      <c r="E400" s="29" t="n"/>
      <c r="F400" s="29" t="n"/>
      <c r="G400" s="28" t="n"/>
      <c r="H400" s="1" t="n"/>
      <c r="I400">
        <f>IF(OR(B400="",C400=""),"",B400+MOD(C400,1))</f>
        <v/>
      </c>
      <c r="J400">
        <f>IF(I400="","",IF(B400=Dashboard!$AA$1,I400,""))</f>
        <v/>
      </c>
    </row>
    <row r="401">
      <c r="A401" s="1" t="n"/>
      <c r="B401" s="26" t="n"/>
      <c r="C401" s="27" t="n"/>
      <c r="D401" s="28" t="n"/>
      <c r="E401" s="29" t="n"/>
      <c r="F401" s="29" t="n"/>
      <c r="G401" s="28" t="n"/>
      <c r="H401" s="1" t="n"/>
      <c r="I401">
        <f>IF(OR(B401="",C401=""),"",B401+MOD(C401,1))</f>
        <v/>
      </c>
      <c r="J401">
        <f>IF(I401="","",IF(B401=Dashboard!$AA$1,I401,""))</f>
        <v/>
      </c>
    </row>
    <row r="402">
      <c r="A402" s="1" t="n"/>
      <c r="B402" s="26" t="n"/>
      <c r="C402" s="27" t="n"/>
      <c r="D402" s="28" t="n"/>
      <c r="E402" s="29" t="n"/>
      <c r="F402" s="29" t="n"/>
      <c r="G402" s="28" t="n"/>
      <c r="H402" s="1" t="n"/>
      <c r="I402">
        <f>IF(OR(B402="",C402=""),"",B402+MOD(C402,1))</f>
        <v/>
      </c>
      <c r="J402">
        <f>IF(I402="","",IF(B402=Dashboard!$AA$1,I402,""))</f>
        <v/>
      </c>
    </row>
    <row r="403">
      <c r="A403" s="1" t="n"/>
      <c r="B403" s="26" t="n"/>
      <c r="C403" s="27" t="n"/>
      <c r="D403" s="28" t="n"/>
      <c r="E403" s="29" t="n"/>
      <c r="F403" s="29" t="n"/>
      <c r="G403" s="28" t="n"/>
      <c r="H403" s="1" t="n"/>
      <c r="I403">
        <f>IF(OR(B403="",C403=""),"",B403+MOD(C403,1))</f>
        <v/>
      </c>
      <c r="J403">
        <f>IF(I403="","",IF(B403=Dashboard!$AA$1,I403,""))</f>
        <v/>
      </c>
    </row>
    <row r="404">
      <c r="A404" s="1" t="n"/>
      <c r="B404" s="26" t="n"/>
      <c r="C404" s="27" t="n"/>
      <c r="D404" s="28" t="n"/>
      <c r="E404" s="29" t="n"/>
      <c r="F404" s="29" t="n"/>
      <c r="G404" s="28" t="n"/>
      <c r="H404" s="1" t="n"/>
      <c r="I404">
        <f>IF(OR(B404="",C404=""),"",B404+MOD(C404,1))</f>
        <v/>
      </c>
      <c r="J404">
        <f>IF(I404="","",IF(B404=Dashboard!$AA$1,I404,""))</f>
        <v/>
      </c>
    </row>
    <row r="405">
      <c r="A405" s="1" t="n"/>
      <c r="B405" s="26" t="n"/>
      <c r="C405" s="27" t="n"/>
      <c r="D405" s="28" t="n"/>
      <c r="E405" s="29" t="n"/>
      <c r="F405" s="29" t="n"/>
      <c r="G405" s="28" t="n"/>
      <c r="H405" s="1" t="n"/>
      <c r="I405">
        <f>IF(OR(B405="",C405=""),"",B405+MOD(C405,1))</f>
        <v/>
      </c>
      <c r="J405">
        <f>IF(I405="","",IF(B405=Dashboard!$AA$1,I405,""))</f>
        <v/>
      </c>
    </row>
    <row r="406">
      <c r="A406" s="1" t="n"/>
      <c r="B406" s="26" t="n"/>
      <c r="C406" s="27" t="n"/>
      <c r="D406" s="28" t="n"/>
      <c r="E406" s="29" t="n"/>
      <c r="F406" s="29" t="n"/>
      <c r="G406" s="28" t="n"/>
      <c r="H406" s="1" t="n"/>
      <c r="I406">
        <f>IF(OR(B406="",C406=""),"",B406+MOD(C406,1))</f>
        <v/>
      </c>
      <c r="J406">
        <f>IF(I406="","",IF(B406=Dashboard!$AA$1,I406,""))</f>
        <v/>
      </c>
    </row>
    <row r="407">
      <c r="A407" s="1" t="n"/>
      <c r="B407" s="26" t="n"/>
      <c r="C407" s="27" t="n"/>
      <c r="D407" s="28" t="n"/>
      <c r="E407" s="29" t="n"/>
      <c r="F407" s="29" t="n"/>
      <c r="G407" s="28" t="n"/>
      <c r="H407" s="1" t="n"/>
      <c r="I407">
        <f>IF(OR(B407="",C407=""),"",B407+MOD(C407,1))</f>
        <v/>
      </c>
      <c r="J407">
        <f>IF(I407="","",IF(B407=Dashboard!$AA$1,I407,""))</f>
        <v/>
      </c>
    </row>
    <row r="408">
      <c r="A408" s="1" t="n"/>
      <c r="B408" s="26" t="n"/>
      <c r="C408" s="27" t="n"/>
      <c r="D408" s="28" t="n"/>
      <c r="E408" s="29" t="n"/>
      <c r="F408" s="29" t="n"/>
      <c r="G408" s="28" t="n"/>
      <c r="H408" s="1" t="n"/>
      <c r="I408">
        <f>IF(OR(B408="",C408=""),"",B408+MOD(C408,1))</f>
        <v/>
      </c>
      <c r="J408">
        <f>IF(I408="","",IF(B408=Dashboard!$AA$1,I408,""))</f>
        <v/>
      </c>
    </row>
    <row r="409">
      <c r="A409" s="1" t="n"/>
      <c r="B409" s="26" t="n"/>
      <c r="C409" s="27" t="n"/>
      <c r="D409" s="28" t="n"/>
      <c r="E409" s="29" t="n"/>
      <c r="F409" s="29" t="n"/>
      <c r="G409" s="28" t="n"/>
      <c r="H409" s="1" t="n"/>
      <c r="I409">
        <f>IF(OR(B409="",C409=""),"",B409+MOD(C409,1))</f>
        <v/>
      </c>
      <c r="J409">
        <f>IF(I409="","",IF(B409=Dashboard!$AA$1,I409,""))</f>
        <v/>
      </c>
    </row>
    <row r="410">
      <c r="A410" s="1" t="n"/>
      <c r="B410" s="26" t="n"/>
      <c r="C410" s="27" t="n"/>
      <c r="D410" s="28" t="n"/>
      <c r="E410" s="29" t="n"/>
      <c r="F410" s="29" t="n"/>
      <c r="G410" s="28" t="n"/>
      <c r="H410" s="1" t="n"/>
      <c r="I410">
        <f>IF(OR(B410="",C410=""),"",B410+MOD(C410,1))</f>
        <v/>
      </c>
      <c r="J410">
        <f>IF(I410="","",IF(B410=Dashboard!$AA$1,I410,""))</f>
        <v/>
      </c>
    </row>
    <row r="411">
      <c r="A411" s="1" t="n"/>
      <c r="B411" s="26" t="n"/>
      <c r="C411" s="27" t="n"/>
      <c r="D411" s="28" t="n"/>
      <c r="E411" s="29" t="n"/>
      <c r="F411" s="29" t="n"/>
      <c r="G411" s="28" t="n"/>
      <c r="H411" s="1" t="n"/>
      <c r="I411">
        <f>IF(OR(B411="",C411=""),"",B411+MOD(C411,1))</f>
        <v/>
      </c>
      <c r="J411">
        <f>IF(I411="","",IF(B411=Dashboard!$AA$1,I411,""))</f>
        <v/>
      </c>
    </row>
    <row r="412">
      <c r="A412" s="1" t="n"/>
      <c r="B412" s="26" t="n"/>
      <c r="C412" s="27" t="n"/>
      <c r="D412" s="28" t="n"/>
      <c r="E412" s="29" t="n"/>
      <c r="F412" s="29" t="n"/>
      <c r="G412" s="28" t="n"/>
      <c r="H412" s="1" t="n"/>
      <c r="I412">
        <f>IF(OR(B412="",C412=""),"",B412+MOD(C412,1))</f>
        <v/>
      </c>
      <c r="J412">
        <f>IF(I412="","",IF(B412=Dashboard!$AA$1,I412,""))</f>
        <v/>
      </c>
    </row>
    <row r="413">
      <c r="A413" s="1" t="n"/>
      <c r="B413" s="26" t="n"/>
      <c r="C413" s="27" t="n"/>
      <c r="D413" s="28" t="n"/>
      <c r="E413" s="29" t="n"/>
      <c r="F413" s="29" t="n"/>
      <c r="G413" s="28" t="n"/>
      <c r="H413" s="1" t="n"/>
      <c r="I413">
        <f>IF(OR(B413="",C413=""),"",B413+MOD(C413,1))</f>
        <v/>
      </c>
      <c r="J413">
        <f>IF(I413="","",IF(B413=Dashboard!$AA$1,I413,""))</f>
        <v/>
      </c>
    </row>
    <row r="414">
      <c r="A414" s="1" t="n"/>
      <c r="B414" s="26" t="n"/>
      <c r="C414" s="27" t="n"/>
      <c r="D414" s="28" t="n"/>
      <c r="E414" s="29" t="n"/>
      <c r="F414" s="29" t="n"/>
      <c r="G414" s="28" t="n"/>
      <c r="H414" s="1" t="n"/>
      <c r="I414">
        <f>IF(OR(B414="",C414=""),"",B414+MOD(C414,1))</f>
        <v/>
      </c>
      <c r="J414">
        <f>IF(I414="","",IF(B414=Dashboard!$AA$1,I414,""))</f>
        <v/>
      </c>
    </row>
    <row r="415">
      <c r="A415" s="1" t="n"/>
      <c r="B415" s="26" t="n"/>
      <c r="C415" s="27" t="n"/>
      <c r="D415" s="28" t="n"/>
      <c r="E415" s="29" t="n"/>
      <c r="F415" s="29" t="n"/>
      <c r="G415" s="28" t="n"/>
      <c r="H415" s="1" t="n"/>
      <c r="I415">
        <f>IF(OR(B415="",C415=""),"",B415+MOD(C415,1))</f>
        <v/>
      </c>
      <c r="J415">
        <f>IF(I415="","",IF(B415=Dashboard!$AA$1,I415,""))</f>
        <v/>
      </c>
    </row>
    <row r="416">
      <c r="A416" s="1" t="n"/>
      <c r="B416" s="26" t="n"/>
      <c r="C416" s="27" t="n"/>
      <c r="D416" s="28" t="n"/>
      <c r="E416" s="29" t="n"/>
      <c r="F416" s="29" t="n"/>
      <c r="G416" s="28" t="n"/>
      <c r="H416" s="1" t="n"/>
      <c r="I416">
        <f>IF(OR(B416="",C416=""),"",B416+MOD(C416,1))</f>
        <v/>
      </c>
      <c r="J416">
        <f>IF(I416="","",IF(B416=Dashboard!$AA$1,I416,""))</f>
        <v/>
      </c>
    </row>
    <row r="417">
      <c r="A417" s="1" t="n"/>
      <c r="B417" s="26" t="n"/>
      <c r="C417" s="27" t="n"/>
      <c r="D417" s="28" t="n"/>
      <c r="E417" s="29" t="n"/>
      <c r="F417" s="29" t="n"/>
      <c r="G417" s="28" t="n"/>
      <c r="H417" s="1" t="n"/>
      <c r="I417">
        <f>IF(OR(B417="",C417=""),"",B417+MOD(C417,1))</f>
        <v/>
      </c>
      <c r="J417">
        <f>IF(I417="","",IF(B417=Dashboard!$AA$1,I417,""))</f>
        <v/>
      </c>
    </row>
    <row r="418">
      <c r="A418" s="1" t="n"/>
      <c r="B418" s="26" t="n"/>
      <c r="C418" s="27" t="n"/>
      <c r="D418" s="28" t="n"/>
      <c r="E418" s="29" t="n"/>
      <c r="F418" s="29" t="n"/>
      <c r="G418" s="28" t="n"/>
      <c r="H418" s="1" t="n"/>
      <c r="I418">
        <f>IF(OR(B418="",C418=""),"",B418+MOD(C418,1))</f>
        <v/>
      </c>
      <c r="J418">
        <f>IF(I418="","",IF(B418=Dashboard!$AA$1,I418,""))</f>
        <v/>
      </c>
    </row>
    <row r="419">
      <c r="A419" s="1" t="n"/>
      <c r="B419" s="26" t="n"/>
      <c r="C419" s="27" t="n"/>
      <c r="D419" s="28" t="n"/>
      <c r="E419" s="29" t="n"/>
      <c r="F419" s="29" t="n"/>
      <c r="G419" s="28" t="n"/>
      <c r="H419" s="1" t="n"/>
      <c r="I419">
        <f>IF(OR(B419="",C419=""),"",B419+MOD(C419,1))</f>
        <v/>
      </c>
      <c r="J419">
        <f>IF(I419="","",IF(B419=Dashboard!$AA$1,I419,""))</f>
        <v/>
      </c>
    </row>
    <row r="420">
      <c r="A420" s="1" t="n"/>
      <c r="B420" s="26" t="n"/>
      <c r="C420" s="27" t="n"/>
      <c r="D420" s="28" t="n"/>
      <c r="E420" s="29" t="n"/>
      <c r="F420" s="29" t="n"/>
      <c r="G420" s="28" t="n"/>
      <c r="H420" s="1" t="n"/>
      <c r="I420">
        <f>IF(OR(B420="",C420=""),"",B420+MOD(C420,1))</f>
        <v/>
      </c>
      <c r="J420">
        <f>IF(I420="","",IF(B420=Dashboard!$AA$1,I420,""))</f>
        <v/>
      </c>
    </row>
    <row r="421">
      <c r="A421" s="1" t="n"/>
      <c r="B421" s="26" t="n"/>
      <c r="C421" s="27" t="n"/>
      <c r="D421" s="28" t="n"/>
      <c r="E421" s="29" t="n"/>
      <c r="F421" s="29" t="n"/>
      <c r="G421" s="28" t="n"/>
      <c r="H421" s="1" t="n"/>
      <c r="I421">
        <f>IF(OR(B421="",C421=""),"",B421+MOD(C421,1))</f>
        <v/>
      </c>
      <c r="J421">
        <f>IF(I421="","",IF(B421=Dashboard!$AA$1,I421,""))</f>
        <v/>
      </c>
    </row>
    <row r="422">
      <c r="A422" s="1" t="n"/>
      <c r="B422" s="26" t="n"/>
      <c r="C422" s="27" t="n"/>
      <c r="D422" s="28" t="n"/>
      <c r="E422" s="29" t="n"/>
      <c r="F422" s="29" t="n"/>
      <c r="G422" s="28" t="n"/>
      <c r="H422" s="1" t="n"/>
      <c r="I422">
        <f>IF(OR(B422="",C422=""),"",B422+MOD(C422,1))</f>
        <v/>
      </c>
      <c r="J422">
        <f>IF(I422="","",IF(B422=Dashboard!$AA$1,I422,""))</f>
        <v/>
      </c>
    </row>
    <row r="423">
      <c r="A423" s="1" t="n"/>
      <c r="B423" s="26" t="n"/>
      <c r="C423" s="27" t="n"/>
      <c r="D423" s="28" t="n"/>
      <c r="E423" s="29" t="n"/>
      <c r="F423" s="29" t="n"/>
      <c r="G423" s="28" t="n"/>
      <c r="H423" s="1" t="n"/>
      <c r="I423">
        <f>IF(OR(B423="",C423=""),"",B423+MOD(C423,1))</f>
        <v/>
      </c>
      <c r="J423">
        <f>IF(I423="","",IF(B423=Dashboard!$AA$1,I423,""))</f>
        <v/>
      </c>
    </row>
    <row r="424">
      <c r="A424" s="1" t="n"/>
      <c r="B424" s="26" t="n"/>
      <c r="C424" s="27" t="n"/>
      <c r="D424" s="28" t="n"/>
      <c r="E424" s="29" t="n"/>
      <c r="F424" s="29" t="n"/>
      <c r="G424" s="28" t="n"/>
      <c r="H424" s="1" t="n"/>
      <c r="I424">
        <f>IF(OR(B424="",C424=""),"",B424+MOD(C424,1))</f>
        <v/>
      </c>
      <c r="J424">
        <f>IF(I424="","",IF(B424=Dashboard!$AA$1,I424,""))</f>
        <v/>
      </c>
    </row>
    <row r="425">
      <c r="A425" s="1" t="n"/>
      <c r="B425" s="26" t="n"/>
      <c r="C425" s="27" t="n"/>
      <c r="D425" s="28" t="n"/>
      <c r="E425" s="29" t="n"/>
      <c r="F425" s="29" t="n"/>
      <c r="G425" s="28" t="n"/>
      <c r="H425" s="1" t="n"/>
      <c r="I425">
        <f>IF(OR(B425="",C425=""),"",B425+MOD(C425,1))</f>
        <v/>
      </c>
      <c r="J425">
        <f>IF(I425="","",IF(B425=Dashboard!$AA$1,I425,""))</f>
        <v/>
      </c>
    </row>
    <row r="426">
      <c r="A426" s="1" t="n"/>
      <c r="B426" s="26" t="n"/>
      <c r="C426" s="27" t="n"/>
      <c r="D426" s="28" t="n"/>
      <c r="E426" s="29" t="n"/>
      <c r="F426" s="29" t="n"/>
      <c r="G426" s="28" t="n"/>
      <c r="H426" s="1" t="n"/>
      <c r="I426">
        <f>IF(OR(B426="",C426=""),"",B426+MOD(C426,1))</f>
        <v/>
      </c>
      <c r="J426">
        <f>IF(I426="","",IF(B426=Dashboard!$AA$1,I426,""))</f>
        <v/>
      </c>
    </row>
    <row r="427">
      <c r="A427" s="1" t="n"/>
      <c r="B427" s="26" t="n"/>
      <c r="C427" s="27" t="n"/>
      <c r="D427" s="28" t="n"/>
      <c r="E427" s="29" t="n"/>
      <c r="F427" s="29" t="n"/>
      <c r="G427" s="28" t="n"/>
      <c r="H427" s="1" t="n"/>
      <c r="I427">
        <f>IF(OR(B427="",C427=""),"",B427+MOD(C427,1))</f>
        <v/>
      </c>
      <c r="J427">
        <f>IF(I427="","",IF(B427=Dashboard!$AA$1,I427,""))</f>
        <v/>
      </c>
    </row>
    <row r="428">
      <c r="A428" s="1" t="n"/>
      <c r="B428" s="26" t="n"/>
      <c r="C428" s="27" t="n"/>
      <c r="D428" s="28" t="n"/>
      <c r="E428" s="29" t="n"/>
      <c r="F428" s="29" t="n"/>
      <c r="G428" s="28" t="n"/>
      <c r="H428" s="1" t="n"/>
      <c r="I428">
        <f>IF(OR(B428="",C428=""),"",B428+MOD(C428,1))</f>
        <v/>
      </c>
      <c r="J428">
        <f>IF(I428="","",IF(B428=Dashboard!$AA$1,I428,""))</f>
        <v/>
      </c>
    </row>
    <row r="429">
      <c r="A429" s="1" t="n"/>
      <c r="B429" s="26" t="n"/>
      <c r="C429" s="27" t="n"/>
      <c r="D429" s="28" t="n"/>
      <c r="E429" s="29" t="n"/>
      <c r="F429" s="29" t="n"/>
      <c r="G429" s="28" t="n"/>
      <c r="H429" s="1" t="n"/>
      <c r="I429">
        <f>IF(OR(B429="",C429=""),"",B429+MOD(C429,1))</f>
        <v/>
      </c>
      <c r="J429">
        <f>IF(I429="","",IF(B429=Dashboard!$AA$1,I429,""))</f>
        <v/>
      </c>
    </row>
    <row r="430">
      <c r="A430" s="1" t="n"/>
      <c r="B430" s="26" t="n"/>
      <c r="C430" s="27" t="n"/>
      <c r="D430" s="28" t="n"/>
      <c r="E430" s="29" t="n"/>
      <c r="F430" s="29" t="n"/>
      <c r="G430" s="28" t="n"/>
      <c r="H430" s="1" t="n"/>
      <c r="I430">
        <f>IF(OR(B430="",C430=""),"",B430+MOD(C430,1))</f>
        <v/>
      </c>
      <c r="J430">
        <f>IF(I430="","",IF(B430=Dashboard!$AA$1,I430,""))</f>
        <v/>
      </c>
    </row>
    <row r="431">
      <c r="A431" s="1" t="n"/>
      <c r="B431" s="26" t="n"/>
      <c r="C431" s="27" t="n"/>
      <c r="D431" s="28" t="n"/>
      <c r="E431" s="29" t="n"/>
      <c r="F431" s="29" t="n"/>
      <c r="G431" s="28" t="n"/>
      <c r="H431" s="1" t="n"/>
      <c r="I431">
        <f>IF(OR(B431="",C431=""),"",B431+MOD(C431,1))</f>
        <v/>
      </c>
      <c r="J431">
        <f>IF(I431="","",IF(B431=Dashboard!$AA$1,I431,""))</f>
        <v/>
      </c>
    </row>
    <row r="432">
      <c r="A432" s="1" t="n"/>
      <c r="B432" s="26" t="n"/>
      <c r="C432" s="27" t="n"/>
      <c r="D432" s="28" t="n"/>
      <c r="E432" s="29" t="n"/>
      <c r="F432" s="29" t="n"/>
      <c r="G432" s="28" t="n"/>
      <c r="H432" s="1" t="n"/>
      <c r="I432">
        <f>IF(OR(B432="",C432=""),"",B432+MOD(C432,1))</f>
        <v/>
      </c>
      <c r="J432">
        <f>IF(I432="","",IF(B432=Dashboard!$AA$1,I432,""))</f>
        <v/>
      </c>
    </row>
    <row r="433">
      <c r="A433" s="1" t="n"/>
      <c r="B433" s="26" t="n"/>
      <c r="C433" s="27" t="n"/>
      <c r="D433" s="28" t="n"/>
      <c r="E433" s="29" t="n"/>
      <c r="F433" s="29" t="n"/>
      <c r="G433" s="28" t="n"/>
      <c r="H433" s="1" t="n"/>
      <c r="I433">
        <f>IF(OR(B433="",C433=""),"",B433+MOD(C433,1))</f>
        <v/>
      </c>
      <c r="J433">
        <f>IF(I433="","",IF(B433=Dashboard!$AA$1,I433,""))</f>
        <v/>
      </c>
    </row>
    <row r="434">
      <c r="A434" s="1" t="n"/>
      <c r="B434" s="26" t="n"/>
      <c r="C434" s="27" t="n"/>
      <c r="D434" s="28" t="n"/>
      <c r="E434" s="29" t="n"/>
      <c r="F434" s="29" t="n"/>
      <c r="G434" s="28" t="n"/>
      <c r="H434" s="1" t="n"/>
      <c r="I434">
        <f>IF(OR(B434="",C434=""),"",B434+MOD(C434,1))</f>
        <v/>
      </c>
      <c r="J434">
        <f>IF(I434="","",IF(B434=Dashboard!$AA$1,I434,""))</f>
        <v/>
      </c>
    </row>
    <row r="435">
      <c r="A435" s="1" t="n"/>
      <c r="B435" s="26" t="n"/>
      <c r="C435" s="27" t="n"/>
      <c r="D435" s="28" t="n"/>
      <c r="E435" s="29" t="n"/>
      <c r="F435" s="29" t="n"/>
      <c r="G435" s="28" t="n"/>
      <c r="H435" s="1" t="n"/>
      <c r="I435">
        <f>IF(OR(B435="",C435=""),"",B435+MOD(C435,1))</f>
        <v/>
      </c>
      <c r="J435">
        <f>IF(I435="","",IF(B435=Dashboard!$AA$1,I435,""))</f>
        <v/>
      </c>
    </row>
    <row r="436">
      <c r="A436" s="1" t="n"/>
      <c r="B436" s="26" t="n"/>
      <c r="C436" s="27" t="n"/>
      <c r="D436" s="28" t="n"/>
      <c r="E436" s="29" t="n"/>
      <c r="F436" s="29" t="n"/>
      <c r="G436" s="28" t="n"/>
      <c r="H436" s="1" t="n"/>
      <c r="I436">
        <f>IF(OR(B436="",C436=""),"",B436+MOD(C436,1))</f>
        <v/>
      </c>
      <c r="J436">
        <f>IF(I436="","",IF(B436=Dashboard!$AA$1,I436,""))</f>
        <v/>
      </c>
    </row>
    <row r="437">
      <c r="A437" s="1" t="n"/>
      <c r="B437" s="26" t="n"/>
      <c r="C437" s="27" t="n"/>
      <c r="D437" s="28" t="n"/>
      <c r="E437" s="29" t="n"/>
      <c r="F437" s="29" t="n"/>
      <c r="G437" s="28" t="n"/>
      <c r="H437" s="1" t="n"/>
      <c r="I437">
        <f>IF(OR(B437="",C437=""),"",B437+MOD(C437,1))</f>
        <v/>
      </c>
      <c r="J437">
        <f>IF(I437="","",IF(B437=Dashboard!$AA$1,I437,""))</f>
        <v/>
      </c>
    </row>
    <row r="438">
      <c r="A438" s="1" t="n"/>
      <c r="B438" s="26" t="n"/>
      <c r="C438" s="27" t="n"/>
      <c r="D438" s="28" t="n"/>
      <c r="E438" s="29" t="n"/>
      <c r="F438" s="29" t="n"/>
      <c r="G438" s="28" t="n"/>
      <c r="H438" s="1" t="n"/>
      <c r="I438">
        <f>IF(OR(B438="",C438=""),"",B438+MOD(C438,1))</f>
        <v/>
      </c>
      <c r="J438">
        <f>IF(I438="","",IF(B438=Dashboard!$AA$1,I438,""))</f>
        <v/>
      </c>
    </row>
    <row r="439">
      <c r="A439" s="1" t="n"/>
      <c r="B439" s="26" t="n"/>
      <c r="C439" s="27" t="n"/>
      <c r="D439" s="28" t="n"/>
      <c r="E439" s="29" t="n"/>
      <c r="F439" s="29" t="n"/>
      <c r="G439" s="28" t="n"/>
      <c r="H439" s="1" t="n"/>
      <c r="I439">
        <f>IF(OR(B439="",C439=""),"",B439+MOD(C439,1))</f>
        <v/>
      </c>
      <c r="J439">
        <f>IF(I439="","",IF(B439=Dashboard!$AA$1,I439,""))</f>
        <v/>
      </c>
    </row>
    <row r="440">
      <c r="A440" s="1" t="n"/>
      <c r="B440" s="26" t="n"/>
      <c r="C440" s="27" t="n"/>
      <c r="D440" s="28" t="n"/>
      <c r="E440" s="29" t="n"/>
      <c r="F440" s="29" t="n"/>
      <c r="G440" s="28" t="n"/>
      <c r="H440" s="1" t="n"/>
      <c r="I440">
        <f>IF(OR(B440="",C440=""),"",B440+MOD(C440,1))</f>
        <v/>
      </c>
      <c r="J440">
        <f>IF(I440="","",IF(B440=Dashboard!$AA$1,I440,""))</f>
        <v/>
      </c>
    </row>
    <row r="441">
      <c r="A441" s="1" t="n"/>
      <c r="B441" s="26" t="n"/>
      <c r="C441" s="27" t="n"/>
      <c r="D441" s="28" t="n"/>
      <c r="E441" s="29" t="n"/>
      <c r="F441" s="29" t="n"/>
      <c r="G441" s="28" t="n"/>
      <c r="H441" s="1" t="n"/>
      <c r="I441">
        <f>IF(OR(B441="",C441=""),"",B441+MOD(C441,1))</f>
        <v/>
      </c>
      <c r="J441">
        <f>IF(I441="","",IF(B441=Dashboard!$AA$1,I441,""))</f>
        <v/>
      </c>
    </row>
    <row r="442">
      <c r="A442" s="1" t="n"/>
      <c r="B442" s="26" t="n"/>
      <c r="C442" s="27" t="n"/>
      <c r="D442" s="28" t="n"/>
      <c r="E442" s="29" t="n"/>
      <c r="F442" s="29" t="n"/>
      <c r="G442" s="28" t="n"/>
      <c r="H442" s="1" t="n"/>
      <c r="I442">
        <f>IF(OR(B442="",C442=""),"",B442+MOD(C442,1))</f>
        <v/>
      </c>
      <c r="J442">
        <f>IF(I442="","",IF(B442=Dashboard!$AA$1,I442,""))</f>
        <v/>
      </c>
    </row>
    <row r="443">
      <c r="A443" s="1" t="n"/>
      <c r="B443" s="26" t="n"/>
      <c r="C443" s="27" t="n"/>
      <c r="D443" s="28" t="n"/>
      <c r="E443" s="29" t="n"/>
      <c r="F443" s="29" t="n"/>
      <c r="G443" s="28" t="n"/>
      <c r="H443" s="1" t="n"/>
      <c r="I443">
        <f>IF(OR(B443="",C443=""),"",B443+MOD(C443,1))</f>
        <v/>
      </c>
      <c r="J443">
        <f>IF(I443="","",IF(B443=Dashboard!$AA$1,I443,""))</f>
        <v/>
      </c>
    </row>
    <row r="444">
      <c r="A444" s="1" t="n"/>
      <c r="B444" s="26" t="n"/>
      <c r="C444" s="27" t="n"/>
      <c r="D444" s="28" t="n"/>
      <c r="E444" s="29" t="n"/>
      <c r="F444" s="29" t="n"/>
      <c r="G444" s="28" t="n"/>
      <c r="H444" s="1" t="n"/>
      <c r="I444">
        <f>IF(OR(B444="",C444=""),"",B444+MOD(C444,1))</f>
        <v/>
      </c>
      <c r="J444">
        <f>IF(I444="","",IF(B444=Dashboard!$AA$1,I444,""))</f>
        <v/>
      </c>
    </row>
    <row r="445">
      <c r="A445" s="1" t="n"/>
      <c r="B445" s="26" t="n"/>
      <c r="C445" s="27" t="n"/>
      <c r="D445" s="28" t="n"/>
      <c r="E445" s="29" t="n"/>
      <c r="F445" s="29" t="n"/>
      <c r="G445" s="28" t="n"/>
      <c r="H445" s="1" t="n"/>
      <c r="I445">
        <f>IF(OR(B445="",C445=""),"",B445+MOD(C445,1))</f>
        <v/>
      </c>
      <c r="J445">
        <f>IF(I445="","",IF(B445=Dashboard!$AA$1,I445,""))</f>
        <v/>
      </c>
    </row>
    <row r="446">
      <c r="A446" s="1" t="n"/>
      <c r="B446" s="26" t="n"/>
      <c r="C446" s="27" t="n"/>
      <c r="D446" s="28" t="n"/>
      <c r="E446" s="29" t="n"/>
      <c r="F446" s="29" t="n"/>
      <c r="G446" s="28" t="n"/>
      <c r="H446" s="1" t="n"/>
      <c r="I446">
        <f>IF(OR(B446="",C446=""),"",B446+MOD(C446,1))</f>
        <v/>
      </c>
      <c r="J446">
        <f>IF(I446="","",IF(B446=Dashboard!$AA$1,I446,""))</f>
        <v/>
      </c>
    </row>
    <row r="447">
      <c r="A447" s="1" t="n"/>
      <c r="B447" s="26" t="n"/>
      <c r="C447" s="27" t="n"/>
      <c r="D447" s="28" t="n"/>
      <c r="E447" s="29" t="n"/>
      <c r="F447" s="29" t="n"/>
      <c r="G447" s="28" t="n"/>
      <c r="H447" s="1" t="n"/>
      <c r="I447">
        <f>IF(OR(B447="",C447=""),"",B447+MOD(C447,1))</f>
        <v/>
      </c>
      <c r="J447">
        <f>IF(I447="","",IF(B447=Dashboard!$AA$1,I447,""))</f>
        <v/>
      </c>
    </row>
    <row r="448">
      <c r="A448" s="1" t="n"/>
      <c r="B448" s="26" t="n"/>
      <c r="C448" s="27" t="n"/>
      <c r="D448" s="28" t="n"/>
      <c r="E448" s="29" t="n"/>
      <c r="F448" s="29" t="n"/>
      <c r="G448" s="28" t="n"/>
      <c r="H448" s="1" t="n"/>
      <c r="I448">
        <f>IF(OR(B448="",C448=""),"",B448+MOD(C448,1))</f>
        <v/>
      </c>
      <c r="J448">
        <f>IF(I448="","",IF(B448=Dashboard!$AA$1,I448,""))</f>
        <v/>
      </c>
    </row>
    <row r="449">
      <c r="A449" s="1" t="n"/>
      <c r="B449" s="26" t="n"/>
      <c r="C449" s="27" t="n"/>
      <c r="D449" s="28" t="n"/>
      <c r="E449" s="29" t="n"/>
      <c r="F449" s="29" t="n"/>
      <c r="G449" s="28" t="n"/>
      <c r="H449" s="1" t="n"/>
      <c r="I449">
        <f>IF(OR(B449="",C449=""),"",B449+MOD(C449,1))</f>
        <v/>
      </c>
      <c r="J449">
        <f>IF(I449="","",IF(B449=Dashboard!$AA$1,I449,""))</f>
        <v/>
      </c>
    </row>
    <row r="450">
      <c r="A450" s="1" t="n"/>
      <c r="B450" s="26" t="n"/>
      <c r="C450" s="27" t="n"/>
      <c r="D450" s="28" t="n"/>
      <c r="E450" s="29" t="n"/>
      <c r="F450" s="29" t="n"/>
      <c r="G450" s="28" t="n"/>
      <c r="H450" s="1" t="n"/>
      <c r="I450">
        <f>IF(OR(B450="",C450=""),"",B450+MOD(C450,1))</f>
        <v/>
      </c>
      <c r="J450">
        <f>IF(I450="","",IF(B450=Dashboard!$AA$1,I450,""))</f>
        <v/>
      </c>
    </row>
    <row r="451">
      <c r="A451" s="1" t="n"/>
      <c r="B451" s="26" t="n"/>
      <c r="C451" s="27" t="n"/>
      <c r="D451" s="28" t="n"/>
      <c r="E451" s="29" t="n"/>
      <c r="F451" s="29" t="n"/>
      <c r="G451" s="28" t="n"/>
      <c r="H451" s="1" t="n"/>
      <c r="I451">
        <f>IF(OR(B451="",C451=""),"",B451+MOD(C451,1))</f>
        <v/>
      </c>
      <c r="J451">
        <f>IF(I451="","",IF(B451=Dashboard!$AA$1,I451,""))</f>
        <v/>
      </c>
    </row>
    <row r="452">
      <c r="A452" s="1" t="n"/>
      <c r="B452" s="26" t="n"/>
      <c r="C452" s="27" t="n"/>
      <c r="D452" s="28" t="n"/>
      <c r="E452" s="29" t="n"/>
      <c r="F452" s="29" t="n"/>
      <c r="G452" s="28" t="n"/>
      <c r="H452" s="1" t="n"/>
      <c r="I452">
        <f>IF(OR(B452="",C452=""),"",B452+MOD(C452,1))</f>
        <v/>
      </c>
      <c r="J452">
        <f>IF(I452="","",IF(B452=Dashboard!$AA$1,I452,""))</f>
        <v/>
      </c>
    </row>
    <row r="453">
      <c r="A453" s="1" t="n"/>
      <c r="B453" s="26" t="n"/>
      <c r="C453" s="27" t="n"/>
      <c r="D453" s="28" t="n"/>
      <c r="E453" s="29" t="n"/>
      <c r="F453" s="29" t="n"/>
      <c r="G453" s="28" t="n"/>
      <c r="H453" s="1" t="n"/>
      <c r="I453">
        <f>IF(OR(B453="",C453=""),"",B453+MOD(C453,1))</f>
        <v/>
      </c>
      <c r="J453">
        <f>IF(I453="","",IF(B453=Dashboard!$AA$1,I453,""))</f>
        <v/>
      </c>
    </row>
    <row r="454">
      <c r="A454" s="1" t="n"/>
      <c r="B454" s="26" t="n"/>
      <c r="C454" s="27" t="n"/>
      <c r="D454" s="28" t="n"/>
      <c r="E454" s="29" t="n"/>
      <c r="F454" s="29" t="n"/>
      <c r="G454" s="28" t="n"/>
      <c r="H454" s="1" t="n"/>
      <c r="I454">
        <f>IF(OR(B454="",C454=""),"",B454+MOD(C454,1))</f>
        <v/>
      </c>
      <c r="J454">
        <f>IF(I454="","",IF(B454=Dashboard!$AA$1,I454,""))</f>
        <v/>
      </c>
    </row>
    <row r="455">
      <c r="A455" s="1" t="n"/>
      <c r="B455" s="26" t="n"/>
      <c r="C455" s="27" t="n"/>
      <c r="D455" s="28" t="n"/>
      <c r="E455" s="29" t="n"/>
      <c r="F455" s="29" t="n"/>
      <c r="G455" s="28" t="n"/>
      <c r="H455" s="1" t="n"/>
      <c r="I455">
        <f>IF(OR(B455="",C455=""),"",B455+MOD(C455,1))</f>
        <v/>
      </c>
      <c r="J455">
        <f>IF(I455="","",IF(B455=Dashboard!$AA$1,I455,""))</f>
        <v/>
      </c>
    </row>
    <row r="456">
      <c r="A456" s="1" t="n"/>
      <c r="B456" s="26" t="n"/>
      <c r="C456" s="27" t="n"/>
      <c r="D456" s="28" t="n"/>
      <c r="E456" s="29" t="n"/>
      <c r="F456" s="29" t="n"/>
      <c r="G456" s="28" t="n"/>
      <c r="H456" s="1" t="n"/>
      <c r="I456">
        <f>IF(OR(B456="",C456=""),"",B456+MOD(C456,1))</f>
        <v/>
      </c>
      <c r="J456">
        <f>IF(I456="","",IF(B456=Dashboard!$AA$1,I456,""))</f>
        <v/>
      </c>
    </row>
    <row r="457">
      <c r="A457" s="1" t="n"/>
      <c r="B457" s="26" t="n"/>
      <c r="C457" s="27" t="n"/>
      <c r="D457" s="28" t="n"/>
      <c r="E457" s="29" t="n"/>
      <c r="F457" s="29" t="n"/>
      <c r="G457" s="28" t="n"/>
      <c r="H457" s="1" t="n"/>
      <c r="I457">
        <f>IF(OR(B457="",C457=""),"",B457+MOD(C457,1))</f>
        <v/>
      </c>
      <c r="J457">
        <f>IF(I457="","",IF(B457=Dashboard!$AA$1,I457,""))</f>
        <v/>
      </c>
    </row>
    <row r="458">
      <c r="A458" s="1" t="n"/>
      <c r="B458" s="26" t="n"/>
      <c r="C458" s="27" t="n"/>
      <c r="D458" s="28" t="n"/>
      <c r="E458" s="29" t="n"/>
      <c r="F458" s="29" t="n"/>
      <c r="G458" s="28" t="n"/>
      <c r="H458" s="1" t="n"/>
      <c r="I458">
        <f>IF(OR(B458="",C458=""),"",B458+MOD(C458,1))</f>
        <v/>
      </c>
      <c r="J458">
        <f>IF(I458="","",IF(B458=Dashboard!$AA$1,I458,""))</f>
        <v/>
      </c>
    </row>
    <row r="459">
      <c r="A459" s="1" t="n"/>
      <c r="B459" s="26" t="n"/>
      <c r="C459" s="27" t="n"/>
      <c r="D459" s="28" t="n"/>
      <c r="E459" s="29" t="n"/>
      <c r="F459" s="29" t="n"/>
      <c r="G459" s="28" t="n"/>
      <c r="H459" s="1" t="n"/>
      <c r="I459">
        <f>IF(OR(B459="",C459=""),"",B459+MOD(C459,1))</f>
        <v/>
      </c>
      <c r="J459">
        <f>IF(I459="","",IF(B459=Dashboard!$AA$1,I459,""))</f>
        <v/>
      </c>
    </row>
    <row r="460">
      <c r="A460" s="1" t="n"/>
      <c r="B460" s="26" t="n"/>
      <c r="C460" s="27" t="n"/>
      <c r="D460" s="28" t="n"/>
      <c r="E460" s="29" t="n"/>
      <c r="F460" s="29" t="n"/>
      <c r="G460" s="28" t="n"/>
      <c r="H460" s="1" t="n"/>
      <c r="I460">
        <f>IF(OR(B460="",C460=""),"",B460+MOD(C460,1))</f>
        <v/>
      </c>
      <c r="J460">
        <f>IF(I460="","",IF(B460=Dashboard!$AA$1,I460,""))</f>
        <v/>
      </c>
    </row>
    <row r="461">
      <c r="A461" s="1" t="n"/>
      <c r="B461" s="26" t="n"/>
      <c r="C461" s="27" t="n"/>
      <c r="D461" s="28" t="n"/>
      <c r="E461" s="29" t="n"/>
      <c r="F461" s="29" t="n"/>
      <c r="G461" s="28" t="n"/>
      <c r="H461" s="1" t="n"/>
      <c r="I461">
        <f>IF(OR(B461="",C461=""),"",B461+MOD(C461,1))</f>
        <v/>
      </c>
      <c r="J461">
        <f>IF(I461="","",IF(B461=Dashboard!$AA$1,I461,""))</f>
        <v/>
      </c>
    </row>
    <row r="462">
      <c r="A462" s="1" t="n"/>
      <c r="B462" s="26" t="n"/>
      <c r="C462" s="27" t="n"/>
      <c r="D462" s="28" t="n"/>
      <c r="E462" s="29" t="n"/>
      <c r="F462" s="29" t="n"/>
      <c r="G462" s="28" t="n"/>
      <c r="H462" s="1" t="n"/>
      <c r="I462">
        <f>IF(OR(B462="",C462=""),"",B462+MOD(C462,1))</f>
        <v/>
      </c>
      <c r="J462">
        <f>IF(I462="","",IF(B462=Dashboard!$AA$1,I462,""))</f>
        <v/>
      </c>
    </row>
    <row r="463">
      <c r="A463" s="1" t="n"/>
      <c r="B463" s="26" t="n"/>
      <c r="C463" s="27" t="n"/>
      <c r="D463" s="28" t="n"/>
      <c r="E463" s="29" t="n"/>
      <c r="F463" s="29" t="n"/>
      <c r="G463" s="28" t="n"/>
      <c r="H463" s="1" t="n"/>
      <c r="I463">
        <f>IF(OR(B463="",C463=""),"",B463+MOD(C463,1))</f>
        <v/>
      </c>
      <c r="J463">
        <f>IF(I463="","",IF(B463=Dashboard!$AA$1,I463,""))</f>
        <v/>
      </c>
    </row>
    <row r="464">
      <c r="A464" s="1" t="n"/>
      <c r="B464" s="26" t="n"/>
      <c r="C464" s="27" t="n"/>
      <c r="D464" s="28" t="n"/>
      <c r="E464" s="29" t="n"/>
      <c r="F464" s="29" t="n"/>
      <c r="G464" s="28" t="n"/>
      <c r="H464" s="1" t="n"/>
      <c r="I464">
        <f>IF(OR(B464="",C464=""),"",B464+MOD(C464,1))</f>
        <v/>
      </c>
      <c r="J464">
        <f>IF(I464="","",IF(B464=Dashboard!$AA$1,I464,""))</f>
        <v/>
      </c>
    </row>
    <row r="465">
      <c r="A465" s="1" t="n"/>
      <c r="B465" s="26" t="n"/>
      <c r="C465" s="27" t="n"/>
      <c r="D465" s="28" t="n"/>
      <c r="E465" s="29" t="n"/>
      <c r="F465" s="29" t="n"/>
      <c r="G465" s="28" t="n"/>
      <c r="H465" s="1" t="n"/>
      <c r="I465">
        <f>IF(OR(B465="",C465=""),"",B465+MOD(C465,1))</f>
        <v/>
      </c>
      <c r="J465">
        <f>IF(I465="","",IF(B465=Dashboard!$AA$1,I465,""))</f>
        <v/>
      </c>
    </row>
    <row r="466">
      <c r="A466" s="1" t="n"/>
      <c r="B466" s="26" t="n"/>
      <c r="C466" s="27" t="n"/>
      <c r="D466" s="28" t="n"/>
      <c r="E466" s="29" t="n"/>
      <c r="F466" s="29" t="n"/>
      <c r="G466" s="28" t="n"/>
      <c r="H466" s="1" t="n"/>
      <c r="I466">
        <f>IF(OR(B466="",C466=""),"",B466+MOD(C466,1))</f>
        <v/>
      </c>
      <c r="J466">
        <f>IF(I466="","",IF(B466=Dashboard!$AA$1,I466,""))</f>
        <v/>
      </c>
    </row>
    <row r="467">
      <c r="A467" s="1" t="n"/>
      <c r="B467" s="26" t="n"/>
      <c r="C467" s="27" t="n"/>
      <c r="D467" s="28" t="n"/>
      <c r="E467" s="29" t="n"/>
      <c r="F467" s="29" t="n"/>
      <c r="G467" s="28" t="n"/>
      <c r="H467" s="1" t="n"/>
      <c r="I467">
        <f>IF(OR(B467="",C467=""),"",B467+MOD(C467,1))</f>
        <v/>
      </c>
      <c r="J467">
        <f>IF(I467="","",IF(B467=Dashboard!$AA$1,I467,""))</f>
        <v/>
      </c>
    </row>
    <row r="468">
      <c r="A468" s="1" t="n"/>
      <c r="B468" s="26" t="n"/>
      <c r="C468" s="27" t="n"/>
      <c r="D468" s="28" t="n"/>
      <c r="E468" s="29" t="n"/>
      <c r="F468" s="29" t="n"/>
      <c r="G468" s="28" t="n"/>
      <c r="H468" s="1" t="n"/>
      <c r="I468">
        <f>IF(OR(B468="",C468=""),"",B468+MOD(C468,1))</f>
        <v/>
      </c>
      <c r="J468">
        <f>IF(I468="","",IF(B468=Dashboard!$AA$1,I468,""))</f>
        <v/>
      </c>
    </row>
    <row r="469">
      <c r="A469" s="1" t="n"/>
      <c r="B469" s="26" t="n"/>
      <c r="C469" s="27" t="n"/>
      <c r="D469" s="28" t="n"/>
      <c r="E469" s="29" t="n"/>
      <c r="F469" s="29" t="n"/>
      <c r="G469" s="28" t="n"/>
      <c r="H469" s="1" t="n"/>
      <c r="I469">
        <f>IF(OR(B469="",C469=""),"",B469+MOD(C469,1))</f>
        <v/>
      </c>
      <c r="J469">
        <f>IF(I469="","",IF(B469=Dashboard!$AA$1,I469,""))</f>
        <v/>
      </c>
    </row>
    <row r="470">
      <c r="A470" s="1" t="n"/>
      <c r="B470" s="26" t="n"/>
      <c r="C470" s="27" t="n"/>
      <c r="D470" s="28" t="n"/>
      <c r="E470" s="29" t="n"/>
      <c r="F470" s="29" t="n"/>
      <c r="G470" s="28" t="n"/>
      <c r="H470" s="1" t="n"/>
      <c r="I470">
        <f>IF(OR(B470="",C470=""),"",B470+MOD(C470,1))</f>
        <v/>
      </c>
      <c r="J470">
        <f>IF(I470="","",IF(B470=Dashboard!$AA$1,I470,""))</f>
        <v/>
      </c>
    </row>
    <row r="471">
      <c r="A471" s="1" t="n"/>
      <c r="B471" s="26" t="n"/>
      <c r="C471" s="27" t="n"/>
      <c r="D471" s="28" t="n"/>
      <c r="E471" s="29" t="n"/>
      <c r="F471" s="29" t="n"/>
      <c r="G471" s="28" t="n"/>
      <c r="H471" s="1" t="n"/>
      <c r="I471">
        <f>IF(OR(B471="",C471=""),"",B471+MOD(C471,1))</f>
        <v/>
      </c>
      <c r="J471">
        <f>IF(I471="","",IF(B471=Dashboard!$AA$1,I471,""))</f>
        <v/>
      </c>
    </row>
    <row r="472">
      <c r="A472" s="1" t="n"/>
      <c r="B472" s="26" t="n"/>
      <c r="C472" s="27" t="n"/>
      <c r="D472" s="28" t="n"/>
      <c r="E472" s="29" t="n"/>
      <c r="F472" s="29" t="n"/>
      <c r="G472" s="28" t="n"/>
      <c r="H472" s="1" t="n"/>
      <c r="I472">
        <f>IF(OR(B472="",C472=""),"",B472+MOD(C472,1))</f>
        <v/>
      </c>
      <c r="J472">
        <f>IF(I472="","",IF(B472=Dashboard!$AA$1,I472,""))</f>
        <v/>
      </c>
    </row>
    <row r="473">
      <c r="A473" s="1" t="n"/>
      <c r="B473" s="26" t="n"/>
      <c r="C473" s="27" t="n"/>
      <c r="D473" s="28" t="n"/>
      <c r="E473" s="29" t="n"/>
      <c r="F473" s="29" t="n"/>
      <c r="G473" s="28" t="n"/>
      <c r="H473" s="1" t="n"/>
      <c r="I473">
        <f>IF(OR(B473="",C473=""),"",B473+MOD(C473,1))</f>
        <v/>
      </c>
      <c r="J473">
        <f>IF(I473="","",IF(B473=Dashboard!$AA$1,I473,""))</f>
        <v/>
      </c>
    </row>
    <row r="474">
      <c r="A474" s="1" t="n"/>
      <c r="B474" s="26" t="n"/>
      <c r="C474" s="27" t="n"/>
      <c r="D474" s="28" t="n"/>
      <c r="E474" s="29" t="n"/>
      <c r="F474" s="29" t="n"/>
      <c r="G474" s="28" t="n"/>
      <c r="H474" s="1" t="n"/>
      <c r="I474">
        <f>IF(OR(B474="",C474=""),"",B474+MOD(C474,1))</f>
        <v/>
      </c>
      <c r="J474">
        <f>IF(I474="","",IF(B474=Dashboard!$AA$1,I474,""))</f>
        <v/>
      </c>
    </row>
    <row r="475">
      <c r="A475" s="1" t="n"/>
      <c r="B475" s="26" t="n"/>
      <c r="C475" s="27" t="n"/>
      <c r="D475" s="28" t="n"/>
      <c r="E475" s="29" t="n"/>
      <c r="F475" s="29" t="n"/>
      <c r="G475" s="28" t="n"/>
      <c r="H475" s="1" t="n"/>
      <c r="I475">
        <f>IF(OR(B475="",C475=""),"",B475+MOD(C475,1))</f>
        <v/>
      </c>
      <c r="J475">
        <f>IF(I475="","",IF(B475=Dashboard!$AA$1,I475,""))</f>
        <v/>
      </c>
    </row>
    <row r="476">
      <c r="A476" s="1" t="n"/>
      <c r="B476" s="26" t="n"/>
      <c r="C476" s="27" t="n"/>
      <c r="D476" s="28" t="n"/>
      <c r="E476" s="29" t="n"/>
      <c r="F476" s="29" t="n"/>
      <c r="G476" s="28" t="n"/>
      <c r="H476" s="1" t="n"/>
      <c r="I476">
        <f>IF(OR(B476="",C476=""),"",B476+MOD(C476,1))</f>
        <v/>
      </c>
      <c r="J476">
        <f>IF(I476="","",IF(B476=Dashboard!$AA$1,I476,""))</f>
        <v/>
      </c>
    </row>
    <row r="477">
      <c r="A477" s="1" t="n"/>
      <c r="B477" s="26" t="n"/>
      <c r="C477" s="27" t="n"/>
      <c r="D477" s="28" t="n"/>
      <c r="E477" s="29" t="n"/>
      <c r="F477" s="29" t="n"/>
      <c r="G477" s="28" t="n"/>
      <c r="H477" s="1" t="n"/>
      <c r="I477">
        <f>IF(OR(B477="",C477=""),"",B477+MOD(C477,1))</f>
        <v/>
      </c>
      <c r="J477">
        <f>IF(I477="","",IF(B477=Dashboard!$AA$1,I477,""))</f>
        <v/>
      </c>
    </row>
    <row r="478">
      <c r="A478" s="1" t="n"/>
      <c r="B478" s="26" t="n"/>
      <c r="C478" s="27" t="n"/>
      <c r="D478" s="28" t="n"/>
      <c r="E478" s="29" t="n"/>
      <c r="F478" s="29" t="n"/>
      <c r="G478" s="28" t="n"/>
      <c r="H478" s="1" t="n"/>
      <c r="I478">
        <f>IF(OR(B478="",C478=""),"",B478+MOD(C478,1))</f>
        <v/>
      </c>
      <c r="J478">
        <f>IF(I478="","",IF(B478=Dashboard!$AA$1,I478,""))</f>
        <v/>
      </c>
    </row>
    <row r="479">
      <c r="A479" s="1" t="n"/>
      <c r="B479" s="26" t="n"/>
      <c r="C479" s="27" t="n"/>
      <c r="D479" s="28" t="n"/>
      <c r="E479" s="29" t="n"/>
      <c r="F479" s="29" t="n"/>
      <c r="G479" s="28" t="n"/>
      <c r="H479" s="1" t="n"/>
      <c r="I479">
        <f>IF(OR(B479="",C479=""),"",B479+MOD(C479,1))</f>
        <v/>
      </c>
      <c r="J479">
        <f>IF(I479="","",IF(B479=Dashboard!$AA$1,I479,""))</f>
        <v/>
      </c>
    </row>
    <row r="480">
      <c r="A480" s="1" t="n"/>
      <c r="B480" s="26" t="n"/>
      <c r="C480" s="27" t="n"/>
      <c r="D480" s="28" t="n"/>
      <c r="E480" s="29" t="n"/>
      <c r="F480" s="29" t="n"/>
      <c r="G480" s="28" t="n"/>
      <c r="H480" s="1" t="n"/>
      <c r="I480">
        <f>IF(OR(B480="",C480=""),"",B480+MOD(C480,1))</f>
        <v/>
      </c>
      <c r="J480">
        <f>IF(I480="","",IF(B480=Dashboard!$AA$1,I480,""))</f>
        <v/>
      </c>
    </row>
    <row r="481">
      <c r="A481" s="1" t="n"/>
      <c r="B481" s="26" t="n"/>
      <c r="C481" s="27" t="n"/>
      <c r="D481" s="28" t="n"/>
      <c r="E481" s="29" t="n"/>
      <c r="F481" s="29" t="n"/>
      <c r="G481" s="28" t="n"/>
      <c r="H481" s="1" t="n"/>
      <c r="I481">
        <f>IF(OR(B481="",C481=""),"",B481+MOD(C481,1))</f>
        <v/>
      </c>
      <c r="J481">
        <f>IF(I481="","",IF(B481=Dashboard!$AA$1,I481,""))</f>
        <v/>
      </c>
    </row>
    <row r="482">
      <c r="A482" s="1" t="n"/>
      <c r="B482" s="26" t="n"/>
      <c r="C482" s="27" t="n"/>
      <c r="D482" s="28" t="n"/>
      <c r="E482" s="29" t="n"/>
      <c r="F482" s="29" t="n"/>
      <c r="G482" s="28" t="n"/>
      <c r="H482" s="1" t="n"/>
      <c r="I482">
        <f>IF(OR(B482="",C482=""),"",B482+MOD(C482,1))</f>
        <v/>
      </c>
      <c r="J482">
        <f>IF(I482="","",IF(B482=Dashboard!$AA$1,I482,""))</f>
        <v/>
      </c>
    </row>
    <row r="483">
      <c r="A483" s="1" t="n"/>
      <c r="B483" s="26" t="n"/>
      <c r="C483" s="27" t="n"/>
      <c r="D483" s="28" t="n"/>
      <c r="E483" s="29" t="n"/>
      <c r="F483" s="29" t="n"/>
      <c r="G483" s="28" t="n"/>
      <c r="H483" s="1" t="n"/>
      <c r="I483">
        <f>IF(OR(B483="",C483=""),"",B483+MOD(C483,1))</f>
        <v/>
      </c>
      <c r="J483">
        <f>IF(I483="","",IF(B483=Dashboard!$AA$1,I483,""))</f>
        <v/>
      </c>
    </row>
    <row r="484">
      <c r="A484" s="1" t="n"/>
      <c r="B484" s="26" t="n"/>
      <c r="C484" s="27" t="n"/>
      <c r="D484" s="28" t="n"/>
      <c r="E484" s="29" t="n"/>
      <c r="F484" s="29" t="n"/>
      <c r="G484" s="28" t="n"/>
      <c r="H484" s="1" t="n"/>
      <c r="I484">
        <f>IF(OR(B484="",C484=""),"",B484+MOD(C484,1))</f>
        <v/>
      </c>
      <c r="J484">
        <f>IF(I484="","",IF(B484=Dashboard!$AA$1,I484,""))</f>
        <v/>
      </c>
    </row>
    <row r="485">
      <c r="A485" s="1" t="n"/>
      <c r="B485" s="26" t="n"/>
      <c r="C485" s="27" t="n"/>
      <c r="D485" s="28" t="n"/>
      <c r="E485" s="29" t="n"/>
      <c r="F485" s="29" t="n"/>
      <c r="G485" s="28" t="n"/>
      <c r="H485" s="1" t="n"/>
      <c r="I485">
        <f>IF(OR(B485="",C485=""),"",B485+MOD(C485,1))</f>
        <v/>
      </c>
      <c r="J485">
        <f>IF(I485="","",IF(B485=Dashboard!$AA$1,I485,""))</f>
        <v/>
      </c>
    </row>
    <row r="486">
      <c r="A486" s="1" t="n"/>
      <c r="B486" s="26" t="n"/>
      <c r="C486" s="27" t="n"/>
      <c r="D486" s="28" t="n"/>
      <c r="E486" s="29" t="n"/>
      <c r="F486" s="29" t="n"/>
      <c r="G486" s="28" t="n"/>
      <c r="H486" s="1" t="n"/>
      <c r="I486">
        <f>IF(OR(B486="",C486=""),"",B486+MOD(C486,1))</f>
        <v/>
      </c>
      <c r="J486">
        <f>IF(I486="","",IF(B486=Dashboard!$AA$1,I486,""))</f>
        <v/>
      </c>
    </row>
    <row r="487">
      <c r="A487" s="1" t="n"/>
      <c r="B487" s="26" t="n"/>
      <c r="C487" s="27" t="n"/>
      <c r="D487" s="28" t="n"/>
      <c r="E487" s="29" t="n"/>
      <c r="F487" s="29" t="n"/>
      <c r="G487" s="28" t="n"/>
      <c r="H487" s="1" t="n"/>
      <c r="I487">
        <f>IF(OR(B487="",C487=""),"",B487+MOD(C487,1))</f>
        <v/>
      </c>
      <c r="J487">
        <f>IF(I487="","",IF(B487=Dashboard!$AA$1,I487,""))</f>
        <v/>
      </c>
    </row>
    <row r="488">
      <c r="A488" s="1" t="n"/>
      <c r="B488" s="26" t="n"/>
      <c r="C488" s="27" t="n"/>
      <c r="D488" s="28" t="n"/>
      <c r="E488" s="29" t="n"/>
      <c r="F488" s="29" t="n"/>
      <c r="G488" s="28" t="n"/>
      <c r="H488" s="1" t="n"/>
      <c r="I488">
        <f>IF(OR(B488="",C488=""),"",B488+MOD(C488,1))</f>
        <v/>
      </c>
      <c r="J488">
        <f>IF(I488="","",IF(B488=Dashboard!$AA$1,I488,""))</f>
        <v/>
      </c>
    </row>
    <row r="489">
      <c r="A489" s="1" t="n"/>
      <c r="B489" s="26" t="n"/>
      <c r="C489" s="27" t="n"/>
      <c r="D489" s="28" t="n"/>
      <c r="E489" s="29" t="n"/>
      <c r="F489" s="29" t="n"/>
      <c r="G489" s="28" t="n"/>
      <c r="H489" s="1" t="n"/>
      <c r="I489">
        <f>IF(OR(B489="",C489=""),"",B489+MOD(C489,1))</f>
        <v/>
      </c>
      <c r="J489">
        <f>IF(I489="","",IF(B489=Dashboard!$AA$1,I489,""))</f>
        <v/>
      </c>
    </row>
    <row r="490">
      <c r="A490" s="1" t="n"/>
      <c r="B490" s="26" t="n"/>
      <c r="C490" s="27" t="n"/>
      <c r="D490" s="28" t="n"/>
      <c r="E490" s="29" t="n"/>
      <c r="F490" s="29" t="n"/>
      <c r="G490" s="28" t="n"/>
      <c r="H490" s="1" t="n"/>
      <c r="I490">
        <f>IF(OR(B490="",C490=""),"",B490+MOD(C490,1))</f>
        <v/>
      </c>
      <c r="J490">
        <f>IF(I490="","",IF(B490=Dashboard!$AA$1,I490,""))</f>
        <v/>
      </c>
    </row>
    <row r="491">
      <c r="A491" s="1" t="n"/>
      <c r="B491" s="26" t="n"/>
      <c r="C491" s="27" t="n"/>
      <c r="D491" s="28" t="n"/>
      <c r="E491" s="29" t="n"/>
      <c r="F491" s="29" t="n"/>
      <c r="G491" s="28" t="n"/>
      <c r="H491" s="1" t="n"/>
      <c r="I491">
        <f>IF(OR(B491="",C491=""),"",B491+MOD(C491,1))</f>
        <v/>
      </c>
      <c r="J491">
        <f>IF(I491="","",IF(B491=Dashboard!$AA$1,I491,""))</f>
        <v/>
      </c>
    </row>
    <row r="492">
      <c r="A492" s="1" t="n"/>
      <c r="B492" s="26" t="n"/>
      <c r="C492" s="27" t="n"/>
      <c r="D492" s="28" t="n"/>
      <c r="E492" s="29" t="n"/>
      <c r="F492" s="29" t="n"/>
      <c r="G492" s="28" t="n"/>
      <c r="H492" s="1" t="n"/>
      <c r="I492">
        <f>IF(OR(B492="",C492=""),"",B492+MOD(C492,1))</f>
        <v/>
      </c>
      <c r="J492">
        <f>IF(I492="","",IF(B492=Dashboard!$AA$1,I492,""))</f>
        <v/>
      </c>
    </row>
    <row r="493">
      <c r="A493" s="1" t="n"/>
      <c r="B493" s="26" t="n"/>
      <c r="C493" s="27" t="n"/>
      <c r="D493" s="28" t="n"/>
      <c r="E493" s="29" t="n"/>
      <c r="F493" s="29" t="n"/>
      <c r="G493" s="28" t="n"/>
      <c r="H493" s="1" t="n"/>
      <c r="I493">
        <f>IF(OR(B493="",C493=""),"",B493+MOD(C493,1))</f>
        <v/>
      </c>
      <c r="J493">
        <f>IF(I493="","",IF(B493=Dashboard!$AA$1,I493,""))</f>
        <v/>
      </c>
    </row>
    <row r="494">
      <c r="A494" s="1" t="n"/>
      <c r="B494" s="26" t="n"/>
      <c r="C494" s="27" t="n"/>
      <c r="D494" s="28" t="n"/>
      <c r="E494" s="29" t="n"/>
      <c r="F494" s="29" t="n"/>
      <c r="G494" s="28" t="n"/>
      <c r="H494" s="1" t="n"/>
      <c r="I494">
        <f>IF(OR(B494="",C494=""),"",B494+MOD(C494,1))</f>
        <v/>
      </c>
      <c r="J494">
        <f>IF(I494="","",IF(B494=Dashboard!$AA$1,I494,""))</f>
        <v/>
      </c>
    </row>
    <row r="495">
      <c r="A495" s="1" t="n"/>
      <c r="B495" s="26" t="n"/>
      <c r="C495" s="27" t="n"/>
      <c r="D495" s="28" t="n"/>
      <c r="E495" s="29" t="n"/>
      <c r="F495" s="29" t="n"/>
      <c r="G495" s="28" t="n"/>
      <c r="H495" s="1" t="n"/>
      <c r="I495">
        <f>IF(OR(B495="",C495=""),"",B495+MOD(C495,1))</f>
        <v/>
      </c>
      <c r="J495">
        <f>IF(I495="","",IF(B495=Dashboard!$AA$1,I495,""))</f>
        <v/>
      </c>
    </row>
    <row r="496">
      <c r="A496" s="1" t="n"/>
      <c r="B496" s="26" t="n"/>
      <c r="C496" s="27" t="n"/>
      <c r="D496" s="28" t="n"/>
      <c r="E496" s="29" t="n"/>
      <c r="F496" s="29" t="n"/>
      <c r="G496" s="28" t="n"/>
      <c r="H496" s="1" t="n"/>
      <c r="I496">
        <f>IF(OR(B496="",C496=""),"",B496+MOD(C496,1))</f>
        <v/>
      </c>
      <c r="J496">
        <f>IF(I496="","",IF(B496=Dashboard!$AA$1,I496,""))</f>
        <v/>
      </c>
    </row>
    <row r="497">
      <c r="A497" s="1" t="n"/>
      <c r="B497" s="26" t="n"/>
      <c r="C497" s="27" t="n"/>
      <c r="D497" s="28" t="n"/>
      <c r="E497" s="29" t="n"/>
      <c r="F497" s="29" t="n"/>
      <c r="G497" s="28" t="n"/>
      <c r="H497" s="1" t="n"/>
      <c r="I497">
        <f>IF(OR(B497="",C497=""),"",B497+MOD(C497,1))</f>
        <v/>
      </c>
      <c r="J497">
        <f>IF(I497="","",IF(B497=Dashboard!$AA$1,I497,""))</f>
        <v/>
      </c>
    </row>
    <row r="498">
      <c r="A498" s="1" t="n"/>
      <c r="B498" s="26" t="n"/>
      <c r="C498" s="27" t="n"/>
      <c r="D498" s="28" t="n"/>
      <c r="E498" s="29" t="n"/>
      <c r="F498" s="29" t="n"/>
      <c r="G498" s="28" t="n"/>
      <c r="H498" s="1" t="n"/>
      <c r="I498">
        <f>IF(OR(B498="",C498=""),"",B498+MOD(C498,1))</f>
        <v/>
      </c>
      <c r="J498">
        <f>IF(I498="","",IF(B498=Dashboard!$AA$1,I498,""))</f>
        <v/>
      </c>
    </row>
    <row r="499">
      <c r="A499" s="1" t="n"/>
      <c r="B499" s="26" t="n"/>
      <c r="C499" s="27" t="n"/>
      <c r="D499" s="28" t="n"/>
      <c r="E499" s="29" t="n"/>
      <c r="F499" s="29" t="n"/>
      <c r="G499" s="28" t="n"/>
      <c r="H499" s="1" t="n"/>
      <c r="I499">
        <f>IF(OR(B499="",C499=""),"",B499+MOD(C499,1))</f>
        <v/>
      </c>
      <c r="J499">
        <f>IF(I499="","",IF(B499=Dashboard!$AA$1,I499,""))</f>
        <v/>
      </c>
    </row>
    <row r="500">
      <c r="A500" s="1" t="n"/>
      <c r="B500" s="26" t="n"/>
      <c r="C500" s="27" t="n"/>
      <c r="D500" s="28" t="n"/>
      <c r="E500" s="29" t="n"/>
      <c r="F500" s="29" t="n"/>
      <c r="G500" s="28" t="n"/>
      <c r="H500" s="1" t="n"/>
      <c r="I500">
        <f>IF(OR(B500="",C500=""),"",B500+MOD(C500,1))</f>
        <v/>
      </c>
      <c r="J500">
        <f>IF(I500="","",IF(B500=Dashboard!$AA$1,I500,""))</f>
        <v/>
      </c>
    </row>
    <row r="501">
      <c r="A501" s="1" t="n"/>
      <c r="B501" s="26" t="n"/>
      <c r="C501" s="27" t="n"/>
      <c r="D501" s="28" t="n"/>
      <c r="E501" s="29" t="n"/>
      <c r="F501" s="29" t="n"/>
      <c r="G501" s="28" t="n"/>
      <c r="H501" s="1" t="n"/>
      <c r="I501">
        <f>IF(OR(B501="",C501=""),"",B501+MOD(C501,1))</f>
        <v/>
      </c>
      <c r="J501">
        <f>IF(I501="","",IF(B501=Dashboard!$AA$1,I501,""))</f>
        <v/>
      </c>
    </row>
    <row r="502">
      <c r="A502" s="1" t="n"/>
      <c r="B502" s="26" t="n"/>
      <c r="C502" s="27" t="n"/>
      <c r="D502" s="28" t="n"/>
      <c r="E502" s="29" t="n"/>
      <c r="F502" s="29" t="n"/>
      <c r="G502" s="28" t="n"/>
      <c r="H502" s="1" t="n"/>
      <c r="I502">
        <f>IF(OR(B502="",C502=""),"",B502+MOD(C502,1))</f>
        <v/>
      </c>
      <c r="J502">
        <f>IF(I502="","",IF(B502=Dashboard!$AA$1,I502,""))</f>
        <v/>
      </c>
    </row>
    <row r="503">
      <c r="A503" s="1" t="n"/>
      <c r="B503" s="26" t="n"/>
      <c r="C503" s="27" t="n"/>
      <c r="D503" s="28" t="n"/>
      <c r="E503" s="29" t="n"/>
      <c r="F503" s="29" t="n"/>
      <c r="G503" s="28" t="n"/>
      <c r="H503" s="1" t="n"/>
      <c r="I503">
        <f>IF(OR(B503="",C503=""),"",B503+MOD(C503,1))</f>
        <v/>
      </c>
      <c r="J503">
        <f>IF(I503="","",IF(B503=Dashboard!$AA$1,I503,""))</f>
        <v/>
      </c>
    </row>
    <row r="504">
      <c r="A504" s="1" t="n"/>
      <c r="B504" s="26" t="n"/>
      <c r="C504" s="27" t="n"/>
      <c r="D504" s="28" t="n"/>
      <c r="E504" s="29" t="n"/>
      <c r="F504" s="29" t="n"/>
      <c r="G504" s="28" t="n"/>
      <c r="H504" s="1" t="n"/>
      <c r="I504">
        <f>IF(OR(B504="",C504=""),"",B504+MOD(C504,1))</f>
        <v/>
      </c>
      <c r="J504">
        <f>IF(I504="","",IF(B504=Dashboard!$AA$1,I504,""))</f>
        <v/>
      </c>
    </row>
    <row r="505">
      <c r="A505" s="1" t="n"/>
      <c r="B505" s="26" t="n"/>
      <c r="C505" s="27" t="n"/>
      <c r="D505" s="28" t="n"/>
      <c r="E505" s="29" t="n"/>
      <c r="F505" s="29" t="n"/>
      <c r="G505" s="28" t="n"/>
      <c r="H505" s="1" t="n"/>
      <c r="I505">
        <f>IF(OR(B505="",C505=""),"",B505+MOD(C505,1))</f>
        <v/>
      </c>
      <c r="J505">
        <f>IF(I505="","",IF(B505=Dashboard!$AA$1,I505,""))</f>
        <v/>
      </c>
    </row>
    <row r="506">
      <c r="A506" s="1" t="n"/>
      <c r="B506" s="26" t="n"/>
      <c r="C506" s="27" t="n"/>
      <c r="D506" s="28" t="n"/>
      <c r="E506" s="29" t="n"/>
      <c r="F506" s="29" t="n"/>
      <c r="G506" s="28" t="n"/>
      <c r="H506" s="1" t="n"/>
      <c r="I506">
        <f>IF(OR(B506="",C506=""),"",B506+MOD(C506,1))</f>
        <v/>
      </c>
      <c r="J506">
        <f>IF(I506="","",IF(B506=Dashboard!$AA$1,I506,""))</f>
        <v/>
      </c>
    </row>
    <row r="507">
      <c r="A507" s="1" t="n"/>
      <c r="B507" s="26" t="n"/>
      <c r="C507" s="27" t="n"/>
      <c r="D507" s="28" t="n"/>
      <c r="E507" s="29" t="n"/>
      <c r="F507" s="29" t="n"/>
      <c r="G507" s="28" t="n"/>
      <c r="H507" s="1" t="n"/>
      <c r="I507">
        <f>IF(OR(B507="",C507=""),"",B507+MOD(C507,1))</f>
        <v/>
      </c>
      <c r="J507">
        <f>IF(I507="","",IF(B507=Dashboard!$AA$1,I507,""))</f>
        <v/>
      </c>
    </row>
    <row r="508">
      <c r="A508" s="1" t="n"/>
      <c r="B508" s="26" t="n"/>
      <c r="C508" s="27" t="n"/>
      <c r="D508" s="28" t="n"/>
      <c r="E508" s="29" t="n"/>
      <c r="F508" s="29" t="n"/>
      <c r="G508" s="28" t="n"/>
      <c r="H508" s="1" t="n"/>
      <c r="I508">
        <f>IF(OR(B508="",C508=""),"",B508+MOD(C508,1))</f>
        <v/>
      </c>
      <c r="J508">
        <f>IF(I508="","",IF(B508=Dashboard!$AA$1,I508,""))</f>
        <v/>
      </c>
    </row>
    <row r="509">
      <c r="A509" s="1" t="n"/>
      <c r="B509" s="26" t="n"/>
      <c r="C509" s="27" t="n"/>
      <c r="D509" s="28" t="n"/>
      <c r="E509" s="29" t="n"/>
      <c r="F509" s="29" t="n"/>
      <c r="G509" s="28" t="n"/>
      <c r="H509" s="1" t="n"/>
      <c r="I509">
        <f>IF(OR(B509="",C509=""),"",B509+MOD(C509,1))</f>
        <v/>
      </c>
      <c r="J509">
        <f>IF(I509="","",IF(B509=Dashboard!$AA$1,I509,""))</f>
        <v/>
      </c>
    </row>
    <row r="510">
      <c r="A510" s="1" t="n"/>
      <c r="B510" s="26" t="n"/>
      <c r="C510" s="27" t="n"/>
      <c r="D510" s="28" t="n"/>
      <c r="E510" s="29" t="n"/>
      <c r="F510" s="29" t="n"/>
      <c r="G510" s="28" t="n"/>
      <c r="H510" s="1" t="n"/>
      <c r="I510">
        <f>IF(OR(B510="",C510=""),"",B510+MOD(C510,1))</f>
        <v/>
      </c>
      <c r="J510">
        <f>IF(I510="","",IF(B510=Dashboard!$AA$1,I510,""))</f>
        <v/>
      </c>
    </row>
    <row r="511">
      <c r="A511" s="1" t="n"/>
      <c r="B511" s="26" t="n"/>
      <c r="C511" s="27" t="n"/>
      <c r="D511" s="28" t="n"/>
      <c r="E511" s="29" t="n"/>
      <c r="F511" s="29" t="n"/>
      <c r="G511" s="28" t="n"/>
      <c r="H511" s="1" t="n"/>
      <c r="I511">
        <f>IF(OR(B511="",C511=""),"",B511+MOD(C511,1))</f>
        <v/>
      </c>
      <c r="J511">
        <f>IF(I511="","",IF(B511=Dashboard!$AA$1,I511,""))</f>
        <v/>
      </c>
    </row>
    <row r="512">
      <c r="A512" s="1" t="n"/>
      <c r="B512" s="26" t="n"/>
      <c r="C512" s="27" t="n"/>
      <c r="D512" s="28" t="n"/>
      <c r="E512" s="29" t="n"/>
      <c r="F512" s="29" t="n"/>
      <c r="G512" s="28" t="n"/>
      <c r="H512" s="1" t="n"/>
      <c r="I512">
        <f>IF(OR(B512="",C512=""),"",B512+MOD(C512,1))</f>
        <v/>
      </c>
      <c r="J512">
        <f>IF(I512="","",IF(B512=Dashboard!$AA$1,I512,""))</f>
        <v/>
      </c>
    </row>
    <row r="513">
      <c r="A513" s="1" t="n"/>
      <c r="B513" s="26" t="n"/>
      <c r="C513" s="27" t="n"/>
      <c r="D513" s="28" t="n"/>
      <c r="E513" s="29" t="n"/>
      <c r="F513" s="29" t="n"/>
      <c r="G513" s="28" t="n"/>
      <c r="H513" s="1" t="n"/>
      <c r="I513">
        <f>IF(OR(B513="",C513=""),"",B513+MOD(C513,1))</f>
        <v/>
      </c>
      <c r="J513">
        <f>IF(I513="","",IF(B513=Dashboard!$AA$1,I513,""))</f>
        <v/>
      </c>
    </row>
    <row r="514">
      <c r="A514" s="1" t="n"/>
      <c r="B514" s="26" t="n"/>
      <c r="C514" s="27" t="n"/>
      <c r="D514" s="28" t="n"/>
      <c r="E514" s="29" t="n"/>
      <c r="F514" s="29" t="n"/>
      <c r="G514" s="28" t="n"/>
      <c r="H514" s="1" t="n"/>
      <c r="I514">
        <f>IF(OR(B514="",C514=""),"",B514+MOD(C514,1))</f>
        <v/>
      </c>
      <c r="J514">
        <f>IF(I514="","",IF(B514=Dashboard!$AA$1,I514,""))</f>
        <v/>
      </c>
    </row>
    <row r="515">
      <c r="A515" s="1" t="n"/>
      <c r="B515" s="26" t="n"/>
      <c r="C515" s="27" t="n"/>
      <c r="D515" s="28" t="n"/>
      <c r="E515" s="29" t="n"/>
      <c r="F515" s="29" t="n"/>
      <c r="G515" s="28" t="n"/>
      <c r="H515" s="1" t="n"/>
      <c r="I515">
        <f>IF(OR(B515="",C515=""),"",B515+MOD(C515,1))</f>
        <v/>
      </c>
      <c r="J515">
        <f>IF(I515="","",IF(B515=Dashboard!$AA$1,I515,""))</f>
        <v/>
      </c>
    </row>
    <row r="516">
      <c r="A516" s="1" t="n"/>
      <c r="B516" s="26" t="n"/>
      <c r="C516" s="27" t="n"/>
      <c r="D516" s="28" t="n"/>
      <c r="E516" s="29" t="n"/>
      <c r="F516" s="29" t="n"/>
      <c r="G516" s="28" t="n"/>
      <c r="H516" s="1" t="n"/>
      <c r="I516">
        <f>IF(OR(B516="",C516=""),"",B516+MOD(C516,1))</f>
        <v/>
      </c>
      <c r="J516">
        <f>IF(I516="","",IF(B516=Dashboard!$AA$1,I516,""))</f>
        <v/>
      </c>
    </row>
    <row r="517">
      <c r="A517" s="1" t="n"/>
      <c r="B517" s="26" t="n"/>
      <c r="C517" s="27" t="n"/>
      <c r="D517" s="28" t="n"/>
      <c r="E517" s="29" t="n"/>
      <c r="F517" s="29" t="n"/>
      <c r="G517" s="28" t="n"/>
      <c r="H517" s="1" t="n"/>
      <c r="I517">
        <f>IF(OR(B517="",C517=""),"",B517+MOD(C517,1))</f>
        <v/>
      </c>
      <c r="J517">
        <f>IF(I517="","",IF(B517=Dashboard!$AA$1,I517,""))</f>
        <v/>
      </c>
    </row>
    <row r="518">
      <c r="A518" s="1" t="n"/>
      <c r="B518" s="26" t="n"/>
      <c r="C518" s="27" t="n"/>
      <c r="D518" s="28" t="n"/>
      <c r="E518" s="29" t="n"/>
      <c r="F518" s="29" t="n"/>
      <c r="G518" s="28" t="n"/>
      <c r="H518" s="1" t="n"/>
      <c r="I518">
        <f>IF(OR(B518="",C518=""),"",B518+MOD(C518,1))</f>
        <v/>
      </c>
      <c r="J518">
        <f>IF(I518="","",IF(B518=Dashboard!$AA$1,I518,""))</f>
        <v/>
      </c>
    </row>
    <row r="519">
      <c r="A519" s="1" t="n"/>
      <c r="B519" s="26" t="n"/>
      <c r="C519" s="27" t="n"/>
      <c r="D519" s="28" t="n"/>
      <c r="E519" s="29" t="n"/>
      <c r="F519" s="29" t="n"/>
      <c r="G519" s="28" t="n"/>
      <c r="H519" s="1" t="n"/>
      <c r="I519">
        <f>IF(OR(B519="",C519=""),"",B519+MOD(C519,1))</f>
        <v/>
      </c>
      <c r="J519">
        <f>IF(I519="","",IF(B519=Dashboard!$AA$1,I519,""))</f>
        <v/>
      </c>
    </row>
    <row r="520">
      <c r="A520" s="1" t="n"/>
      <c r="B520" s="26" t="n"/>
      <c r="C520" s="27" t="n"/>
      <c r="D520" s="28" t="n"/>
      <c r="E520" s="29" t="n"/>
      <c r="F520" s="29" t="n"/>
      <c r="G520" s="28" t="n"/>
      <c r="H520" s="1" t="n"/>
      <c r="I520">
        <f>IF(OR(B520="",C520=""),"",B520+MOD(C520,1))</f>
        <v/>
      </c>
      <c r="J520">
        <f>IF(I520="","",IF(B520=Dashboard!$AA$1,I520,""))</f>
        <v/>
      </c>
    </row>
    <row r="521">
      <c r="A521" s="1" t="n"/>
      <c r="B521" s="26" t="n"/>
      <c r="C521" s="27" t="n"/>
      <c r="D521" s="28" t="n"/>
      <c r="E521" s="29" t="n"/>
      <c r="F521" s="29" t="n"/>
      <c r="G521" s="28" t="n"/>
      <c r="H521" s="1" t="n"/>
      <c r="I521">
        <f>IF(OR(B521="",C521=""),"",B521+MOD(C521,1))</f>
        <v/>
      </c>
      <c r="J521">
        <f>IF(I521="","",IF(B521=Dashboard!$AA$1,I521,""))</f>
        <v/>
      </c>
    </row>
    <row r="522">
      <c r="A522" s="1" t="n"/>
      <c r="B522" s="26" t="n"/>
      <c r="C522" s="27" t="n"/>
      <c r="D522" s="28" t="n"/>
      <c r="E522" s="29" t="n"/>
      <c r="F522" s="29" t="n"/>
      <c r="G522" s="28" t="n"/>
      <c r="H522" s="1" t="n"/>
      <c r="I522">
        <f>IF(OR(B522="",C522=""),"",B522+MOD(C522,1))</f>
        <v/>
      </c>
      <c r="J522">
        <f>IF(I522="","",IF(B522=Dashboard!$AA$1,I522,""))</f>
        <v/>
      </c>
    </row>
    <row r="523">
      <c r="A523" s="1" t="n"/>
      <c r="B523" s="26" t="n"/>
      <c r="C523" s="27" t="n"/>
      <c r="D523" s="28" t="n"/>
      <c r="E523" s="29" t="n"/>
      <c r="F523" s="29" t="n"/>
      <c r="G523" s="28" t="n"/>
      <c r="H523" s="1" t="n"/>
      <c r="I523">
        <f>IF(OR(B523="",C523=""),"",B523+MOD(C523,1))</f>
        <v/>
      </c>
      <c r="J523">
        <f>IF(I523="","",IF(B523=Dashboard!$AA$1,I523,""))</f>
        <v/>
      </c>
    </row>
    <row r="524">
      <c r="A524" s="1" t="n"/>
      <c r="B524" s="26" t="n"/>
      <c r="C524" s="27" t="n"/>
      <c r="D524" s="28" t="n"/>
      <c r="E524" s="29" t="n"/>
      <c r="F524" s="29" t="n"/>
      <c r="G524" s="28" t="n"/>
      <c r="H524" s="1" t="n"/>
      <c r="I524">
        <f>IF(OR(B524="",C524=""),"",B524+MOD(C524,1))</f>
        <v/>
      </c>
      <c r="J524">
        <f>IF(I524="","",IF(B524=Dashboard!$AA$1,I524,""))</f>
        <v/>
      </c>
    </row>
    <row r="525">
      <c r="A525" s="1" t="n"/>
      <c r="B525" s="26" t="n"/>
      <c r="C525" s="27" t="n"/>
      <c r="D525" s="28" t="n"/>
      <c r="E525" s="29" t="n"/>
      <c r="F525" s="29" t="n"/>
      <c r="G525" s="28" t="n"/>
      <c r="H525" s="1" t="n"/>
      <c r="I525">
        <f>IF(OR(B525="",C525=""),"",B525+MOD(C525,1))</f>
        <v/>
      </c>
      <c r="J525">
        <f>IF(I525="","",IF(B525=Dashboard!$AA$1,I525,""))</f>
        <v/>
      </c>
    </row>
    <row r="526">
      <c r="A526" s="1" t="n"/>
      <c r="B526" s="26" t="n"/>
      <c r="C526" s="27" t="n"/>
      <c r="D526" s="28" t="n"/>
      <c r="E526" s="29" t="n"/>
      <c r="F526" s="29" t="n"/>
      <c r="G526" s="28" t="n"/>
      <c r="H526" s="1" t="n"/>
      <c r="I526">
        <f>IF(OR(B526="",C526=""),"",B526+MOD(C526,1))</f>
        <v/>
      </c>
      <c r="J526">
        <f>IF(I526="","",IF(B526=Dashboard!$AA$1,I526,""))</f>
        <v/>
      </c>
    </row>
    <row r="527">
      <c r="A527" s="1" t="n"/>
      <c r="B527" s="26" t="n"/>
      <c r="C527" s="27" t="n"/>
      <c r="D527" s="28" t="n"/>
      <c r="E527" s="29" t="n"/>
      <c r="F527" s="29" t="n"/>
      <c r="G527" s="28" t="n"/>
      <c r="H527" s="1" t="n"/>
      <c r="I527">
        <f>IF(OR(B527="",C527=""),"",B527+MOD(C527,1))</f>
        <v/>
      </c>
      <c r="J527">
        <f>IF(I527="","",IF(B527=Dashboard!$AA$1,I527,""))</f>
        <v/>
      </c>
    </row>
    <row r="528">
      <c r="A528" s="1" t="n"/>
      <c r="B528" s="26" t="n"/>
      <c r="C528" s="27" t="n"/>
      <c r="D528" s="28" t="n"/>
      <c r="E528" s="29" t="n"/>
      <c r="F528" s="29" t="n"/>
      <c r="G528" s="28" t="n"/>
      <c r="H528" s="1" t="n"/>
      <c r="I528">
        <f>IF(OR(B528="",C528=""),"",B528+MOD(C528,1))</f>
        <v/>
      </c>
      <c r="J528">
        <f>IF(I528="","",IF(B528=Dashboard!$AA$1,I528,""))</f>
        <v/>
      </c>
    </row>
    <row r="529">
      <c r="A529" s="1" t="n"/>
      <c r="B529" s="26" t="n"/>
      <c r="C529" s="27" t="n"/>
      <c r="D529" s="28" t="n"/>
      <c r="E529" s="29" t="n"/>
      <c r="F529" s="29" t="n"/>
      <c r="G529" s="28" t="n"/>
      <c r="H529" s="1" t="n"/>
      <c r="I529">
        <f>IF(OR(B529="",C529=""),"",B529+MOD(C529,1))</f>
        <v/>
      </c>
      <c r="J529">
        <f>IF(I529="","",IF(B529=Dashboard!$AA$1,I529,""))</f>
        <v/>
      </c>
    </row>
    <row r="530">
      <c r="A530" s="1" t="n"/>
      <c r="B530" s="26" t="n"/>
      <c r="C530" s="27" t="n"/>
      <c r="D530" s="28" t="n"/>
      <c r="E530" s="29" t="n"/>
      <c r="F530" s="29" t="n"/>
      <c r="G530" s="28" t="n"/>
      <c r="H530" s="1" t="n"/>
      <c r="I530">
        <f>IF(OR(B530="",C530=""),"",B530+MOD(C530,1))</f>
        <v/>
      </c>
      <c r="J530">
        <f>IF(I530="","",IF(B530=Dashboard!$AA$1,I530,""))</f>
        <v/>
      </c>
    </row>
    <row r="531">
      <c r="A531" s="1" t="n"/>
      <c r="B531" s="26" t="n"/>
      <c r="C531" s="27" t="n"/>
      <c r="D531" s="28" t="n"/>
      <c r="E531" s="29" t="n"/>
      <c r="F531" s="29" t="n"/>
      <c r="G531" s="28" t="n"/>
      <c r="H531" s="1" t="n"/>
      <c r="I531">
        <f>IF(OR(B531="",C531=""),"",B531+MOD(C531,1))</f>
        <v/>
      </c>
      <c r="J531">
        <f>IF(I531="","",IF(B531=Dashboard!$AA$1,I531,""))</f>
        <v/>
      </c>
    </row>
    <row r="532">
      <c r="A532" s="1" t="n"/>
      <c r="B532" s="26" t="n"/>
      <c r="C532" s="27" t="n"/>
      <c r="D532" s="28" t="n"/>
      <c r="E532" s="29" t="n"/>
      <c r="F532" s="29" t="n"/>
      <c r="G532" s="28" t="n"/>
      <c r="H532" s="1" t="n"/>
      <c r="I532">
        <f>IF(OR(B532="",C532=""),"",B532+MOD(C532,1))</f>
        <v/>
      </c>
      <c r="J532">
        <f>IF(I532="","",IF(B532=Dashboard!$AA$1,I532,""))</f>
        <v/>
      </c>
    </row>
    <row r="533">
      <c r="A533" s="1" t="n"/>
      <c r="B533" s="26" t="n"/>
      <c r="C533" s="27" t="n"/>
      <c r="D533" s="28" t="n"/>
      <c r="E533" s="29" t="n"/>
      <c r="F533" s="29" t="n"/>
      <c r="G533" s="28" t="n"/>
      <c r="H533" s="1" t="n"/>
      <c r="I533">
        <f>IF(OR(B533="",C533=""),"",B533+MOD(C533,1))</f>
        <v/>
      </c>
      <c r="J533">
        <f>IF(I533="","",IF(B533=Dashboard!$AA$1,I533,""))</f>
        <v/>
      </c>
    </row>
    <row r="534">
      <c r="A534" s="1" t="n"/>
      <c r="B534" s="26" t="n"/>
      <c r="C534" s="27" t="n"/>
      <c r="D534" s="28" t="n"/>
      <c r="E534" s="29" t="n"/>
      <c r="F534" s="29" t="n"/>
      <c r="G534" s="28" t="n"/>
      <c r="H534" s="1" t="n"/>
      <c r="I534">
        <f>IF(OR(B534="",C534=""),"",B534+MOD(C534,1))</f>
        <v/>
      </c>
      <c r="J534">
        <f>IF(I534="","",IF(B534=Dashboard!$AA$1,I534,""))</f>
        <v/>
      </c>
    </row>
    <row r="535">
      <c r="A535" s="1" t="n"/>
      <c r="B535" s="26" t="n"/>
      <c r="C535" s="27" t="n"/>
      <c r="D535" s="28" t="n"/>
      <c r="E535" s="29" t="n"/>
      <c r="F535" s="29" t="n"/>
      <c r="G535" s="28" t="n"/>
      <c r="H535" s="1" t="n"/>
      <c r="I535">
        <f>IF(OR(B535="",C535=""),"",B535+MOD(C535,1))</f>
        <v/>
      </c>
      <c r="J535">
        <f>IF(I535="","",IF(B535=Dashboard!$AA$1,I535,""))</f>
        <v/>
      </c>
    </row>
    <row r="536">
      <c r="A536" s="1" t="n"/>
      <c r="B536" s="26" t="n"/>
      <c r="C536" s="27" t="n"/>
      <c r="D536" s="28" t="n"/>
      <c r="E536" s="29" t="n"/>
      <c r="F536" s="29" t="n"/>
      <c r="G536" s="28" t="n"/>
      <c r="H536" s="1" t="n"/>
      <c r="I536">
        <f>IF(OR(B536="",C536=""),"",B536+MOD(C536,1))</f>
        <v/>
      </c>
      <c r="J536">
        <f>IF(I536="","",IF(B536=Dashboard!$AA$1,I536,""))</f>
        <v/>
      </c>
    </row>
    <row r="537">
      <c r="A537" s="1" t="n"/>
      <c r="B537" s="26" t="n"/>
      <c r="C537" s="27" t="n"/>
      <c r="D537" s="28" t="n"/>
      <c r="E537" s="29" t="n"/>
      <c r="F537" s="29" t="n"/>
      <c r="G537" s="28" t="n"/>
      <c r="H537" s="1" t="n"/>
      <c r="I537">
        <f>IF(OR(B537="",C537=""),"",B537+MOD(C537,1))</f>
        <v/>
      </c>
      <c r="J537">
        <f>IF(I537="","",IF(B537=Dashboard!$AA$1,I537,""))</f>
        <v/>
      </c>
    </row>
    <row r="538">
      <c r="A538" s="1" t="n"/>
      <c r="B538" s="26" t="n"/>
      <c r="C538" s="27" t="n"/>
      <c r="D538" s="28" t="n"/>
      <c r="E538" s="29" t="n"/>
      <c r="F538" s="29" t="n"/>
      <c r="G538" s="28" t="n"/>
      <c r="H538" s="1" t="n"/>
      <c r="I538">
        <f>IF(OR(B538="",C538=""),"",B538+MOD(C538,1))</f>
        <v/>
      </c>
      <c r="J538">
        <f>IF(I538="","",IF(B538=Dashboard!$AA$1,I538,""))</f>
        <v/>
      </c>
    </row>
    <row r="539">
      <c r="A539" s="1" t="n"/>
      <c r="B539" s="26" t="n"/>
      <c r="C539" s="27" t="n"/>
      <c r="D539" s="28" t="n"/>
      <c r="E539" s="29" t="n"/>
      <c r="F539" s="29" t="n"/>
      <c r="G539" s="28" t="n"/>
      <c r="H539" s="1" t="n"/>
      <c r="I539">
        <f>IF(OR(B539="",C539=""),"",B539+MOD(C539,1))</f>
        <v/>
      </c>
      <c r="J539">
        <f>IF(I539="","",IF(B539=Dashboard!$AA$1,I539,""))</f>
        <v/>
      </c>
    </row>
    <row r="540">
      <c r="A540" s="1" t="n"/>
      <c r="B540" s="26" t="n"/>
      <c r="C540" s="27" t="n"/>
      <c r="D540" s="28" t="n"/>
      <c r="E540" s="29" t="n"/>
      <c r="F540" s="29" t="n"/>
      <c r="G540" s="28" t="n"/>
      <c r="H540" s="1" t="n"/>
      <c r="I540">
        <f>IF(OR(B540="",C540=""),"",B540+MOD(C540,1))</f>
        <v/>
      </c>
      <c r="J540">
        <f>IF(I540="","",IF(B540=Dashboard!$AA$1,I540,""))</f>
        <v/>
      </c>
    </row>
    <row r="541">
      <c r="A541" s="1" t="n"/>
      <c r="B541" s="26" t="n"/>
      <c r="C541" s="27" t="n"/>
      <c r="D541" s="28" t="n"/>
      <c r="E541" s="29" t="n"/>
      <c r="F541" s="29" t="n"/>
      <c r="G541" s="28" t="n"/>
      <c r="H541" s="1" t="n"/>
      <c r="I541">
        <f>IF(OR(B541="",C541=""),"",B541+MOD(C541,1))</f>
        <v/>
      </c>
      <c r="J541">
        <f>IF(I541="","",IF(B541=Dashboard!$AA$1,I541,""))</f>
        <v/>
      </c>
    </row>
    <row r="542">
      <c r="A542" s="1" t="n"/>
      <c r="B542" s="26" t="n"/>
      <c r="C542" s="27" t="n"/>
      <c r="D542" s="28" t="n"/>
      <c r="E542" s="29" t="n"/>
      <c r="F542" s="29" t="n"/>
      <c r="G542" s="28" t="n"/>
      <c r="H542" s="1" t="n"/>
      <c r="I542">
        <f>IF(OR(B542="",C542=""),"",B542+MOD(C542,1))</f>
        <v/>
      </c>
      <c r="J542">
        <f>IF(I542="","",IF(B542=Dashboard!$AA$1,I542,""))</f>
        <v/>
      </c>
    </row>
    <row r="543">
      <c r="A543" s="1" t="n"/>
      <c r="B543" s="26" t="n"/>
      <c r="C543" s="27" t="n"/>
      <c r="D543" s="28" t="n"/>
      <c r="E543" s="29" t="n"/>
      <c r="F543" s="29" t="n"/>
      <c r="G543" s="28" t="n"/>
      <c r="H543" s="1" t="n"/>
      <c r="I543">
        <f>IF(OR(B543="",C543=""),"",B543+MOD(C543,1))</f>
        <v/>
      </c>
      <c r="J543">
        <f>IF(I543="","",IF(B543=Dashboard!$AA$1,I543,""))</f>
        <v/>
      </c>
    </row>
    <row r="544">
      <c r="A544" s="1" t="n"/>
      <c r="B544" s="26" t="n"/>
      <c r="C544" s="27" t="n"/>
      <c r="D544" s="28" t="n"/>
      <c r="E544" s="29" t="n"/>
      <c r="F544" s="29" t="n"/>
      <c r="G544" s="28" t="n"/>
      <c r="H544" s="1" t="n"/>
      <c r="I544">
        <f>IF(OR(B544="",C544=""),"",B544+MOD(C544,1))</f>
        <v/>
      </c>
      <c r="J544">
        <f>IF(I544="","",IF(B544=Dashboard!$AA$1,I544,""))</f>
        <v/>
      </c>
    </row>
    <row r="545">
      <c r="A545" s="1" t="n"/>
      <c r="B545" s="26" t="n"/>
      <c r="C545" s="27" t="n"/>
      <c r="D545" s="28" t="n"/>
      <c r="E545" s="29" t="n"/>
      <c r="F545" s="29" t="n"/>
      <c r="G545" s="28" t="n"/>
      <c r="H545" s="1" t="n"/>
      <c r="I545">
        <f>IF(OR(B545="",C545=""),"",B545+MOD(C545,1))</f>
        <v/>
      </c>
      <c r="J545">
        <f>IF(I545="","",IF(B545=Dashboard!$AA$1,I545,""))</f>
        <v/>
      </c>
    </row>
    <row r="546">
      <c r="A546" s="1" t="n"/>
      <c r="B546" s="26" t="n"/>
      <c r="C546" s="27" t="n"/>
      <c r="D546" s="28" t="n"/>
      <c r="E546" s="29" t="n"/>
      <c r="F546" s="29" t="n"/>
      <c r="G546" s="28" t="n"/>
      <c r="H546" s="1" t="n"/>
      <c r="I546">
        <f>IF(OR(B546="",C546=""),"",B546+MOD(C546,1))</f>
        <v/>
      </c>
      <c r="J546">
        <f>IF(I546="","",IF(B546=Dashboard!$AA$1,I546,""))</f>
        <v/>
      </c>
    </row>
    <row r="547">
      <c r="A547" s="1" t="n"/>
      <c r="B547" s="26" t="n"/>
      <c r="C547" s="27" t="n"/>
      <c r="D547" s="28" t="n"/>
      <c r="E547" s="29" t="n"/>
      <c r="F547" s="29" t="n"/>
      <c r="G547" s="28" t="n"/>
      <c r="H547" s="1" t="n"/>
      <c r="I547">
        <f>IF(OR(B547="",C547=""),"",B547+MOD(C547,1))</f>
        <v/>
      </c>
      <c r="J547">
        <f>IF(I547="","",IF(B547=Dashboard!$AA$1,I547,""))</f>
        <v/>
      </c>
    </row>
    <row r="548">
      <c r="A548" s="1" t="n"/>
      <c r="B548" s="26" t="n"/>
      <c r="C548" s="27" t="n"/>
      <c r="D548" s="28" t="n"/>
      <c r="E548" s="29" t="n"/>
      <c r="F548" s="29" t="n"/>
      <c r="G548" s="28" t="n"/>
      <c r="H548" s="1" t="n"/>
      <c r="I548">
        <f>IF(OR(B548="",C548=""),"",B548+MOD(C548,1))</f>
        <v/>
      </c>
      <c r="J548">
        <f>IF(I548="","",IF(B548=Dashboard!$AA$1,I548,""))</f>
        <v/>
      </c>
    </row>
    <row r="549">
      <c r="A549" s="1" t="n"/>
      <c r="B549" s="26" t="n"/>
      <c r="C549" s="27" t="n"/>
      <c r="D549" s="28" t="n"/>
      <c r="E549" s="29" t="n"/>
      <c r="F549" s="29" t="n"/>
      <c r="G549" s="28" t="n"/>
      <c r="H549" s="1" t="n"/>
      <c r="I549">
        <f>IF(OR(B549="",C549=""),"",B549+MOD(C549,1))</f>
        <v/>
      </c>
      <c r="J549">
        <f>IF(I549="","",IF(B549=Dashboard!$AA$1,I549,""))</f>
        <v/>
      </c>
    </row>
    <row r="550">
      <c r="A550" s="1" t="n"/>
      <c r="B550" s="26" t="n"/>
      <c r="C550" s="27" t="n"/>
      <c r="D550" s="28" t="n"/>
      <c r="E550" s="29" t="n"/>
      <c r="F550" s="29" t="n"/>
      <c r="G550" s="28" t="n"/>
      <c r="H550" s="1" t="n"/>
      <c r="I550">
        <f>IF(OR(B550="",C550=""),"",B550+MOD(C550,1))</f>
        <v/>
      </c>
      <c r="J550">
        <f>IF(I550="","",IF(B550=Dashboard!$AA$1,I550,""))</f>
        <v/>
      </c>
    </row>
    <row r="551">
      <c r="A551" s="1" t="n"/>
      <c r="B551" s="26" t="n"/>
      <c r="C551" s="27" t="n"/>
      <c r="D551" s="28" t="n"/>
      <c r="E551" s="29" t="n"/>
      <c r="F551" s="29" t="n"/>
      <c r="G551" s="28" t="n"/>
      <c r="H551" s="1" t="n"/>
      <c r="I551">
        <f>IF(OR(B551="",C551=""),"",B551+MOD(C551,1))</f>
        <v/>
      </c>
      <c r="J551">
        <f>IF(I551="","",IF(B551=Dashboard!$AA$1,I551,""))</f>
        <v/>
      </c>
    </row>
    <row r="552">
      <c r="A552" s="1" t="n"/>
      <c r="B552" s="26" t="n"/>
      <c r="C552" s="27" t="n"/>
      <c r="D552" s="28" t="n"/>
      <c r="E552" s="29" t="n"/>
      <c r="F552" s="29" t="n"/>
      <c r="G552" s="28" t="n"/>
      <c r="H552" s="1" t="n"/>
      <c r="I552">
        <f>IF(OR(B552="",C552=""),"",B552+MOD(C552,1))</f>
        <v/>
      </c>
      <c r="J552">
        <f>IF(I552="","",IF(B552=Dashboard!$AA$1,I552,""))</f>
        <v/>
      </c>
    </row>
    <row r="553">
      <c r="A553" s="1" t="n"/>
      <c r="B553" s="26" t="n"/>
      <c r="C553" s="27" t="n"/>
      <c r="D553" s="28" t="n"/>
      <c r="E553" s="29" t="n"/>
      <c r="F553" s="29" t="n"/>
      <c r="G553" s="28" t="n"/>
      <c r="H553" s="1" t="n"/>
      <c r="I553">
        <f>IF(OR(B553="",C553=""),"",B553+MOD(C553,1))</f>
        <v/>
      </c>
      <c r="J553">
        <f>IF(I553="","",IF(B553=Dashboard!$AA$1,I553,""))</f>
        <v/>
      </c>
    </row>
    <row r="554">
      <c r="A554" s="1" t="n"/>
      <c r="B554" s="26" t="n"/>
      <c r="C554" s="27" t="n"/>
      <c r="D554" s="28" t="n"/>
      <c r="E554" s="29" t="n"/>
      <c r="F554" s="29" t="n"/>
      <c r="G554" s="28" t="n"/>
      <c r="H554" s="1" t="n"/>
      <c r="I554">
        <f>IF(OR(B554="",C554=""),"",B554+MOD(C554,1))</f>
        <v/>
      </c>
      <c r="J554">
        <f>IF(I554="","",IF(B554=Dashboard!$AA$1,I554,""))</f>
        <v/>
      </c>
    </row>
    <row r="555">
      <c r="A555" s="1" t="n"/>
      <c r="B555" s="26" t="n"/>
      <c r="C555" s="27" t="n"/>
      <c r="D555" s="28" t="n"/>
      <c r="E555" s="29" t="n"/>
      <c r="F555" s="29" t="n"/>
      <c r="G555" s="28" t="n"/>
      <c r="H555" s="1" t="n"/>
      <c r="I555">
        <f>IF(OR(B555="",C555=""),"",B555+MOD(C555,1))</f>
        <v/>
      </c>
      <c r="J555">
        <f>IF(I555="","",IF(B555=Dashboard!$AA$1,I555,""))</f>
        <v/>
      </c>
    </row>
    <row r="556">
      <c r="A556" s="1" t="n"/>
      <c r="B556" s="26" t="n"/>
      <c r="C556" s="27" t="n"/>
      <c r="D556" s="28" t="n"/>
      <c r="E556" s="29" t="n"/>
      <c r="F556" s="29" t="n"/>
      <c r="G556" s="28" t="n"/>
      <c r="H556" s="1" t="n"/>
      <c r="I556">
        <f>IF(OR(B556="",C556=""),"",B556+MOD(C556,1))</f>
        <v/>
      </c>
      <c r="J556">
        <f>IF(I556="","",IF(B556=Dashboard!$AA$1,I556,""))</f>
        <v/>
      </c>
    </row>
    <row r="557">
      <c r="A557" s="1" t="n"/>
      <c r="B557" s="26" t="n"/>
      <c r="C557" s="27" t="n"/>
      <c r="D557" s="28" t="n"/>
      <c r="E557" s="29" t="n"/>
      <c r="F557" s="29" t="n"/>
      <c r="G557" s="28" t="n"/>
      <c r="H557" s="1" t="n"/>
      <c r="I557">
        <f>IF(OR(B557="",C557=""),"",B557+MOD(C557,1))</f>
        <v/>
      </c>
      <c r="J557">
        <f>IF(I557="","",IF(B557=Dashboard!$AA$1,I557,""))</f>
        <v/>
      </c>
    </row>
    <row r="558">
      <c r="A558" s="1" t="n"/>
      <c r="B558" s="26" t="n"/>
      <c r="C558" s="27" t="n"/>
      <c r="D558" s="28" t="n"/>
      <c r="E558" s="29" t="n"/>
      <c r="F558" s="29" t="n"/>
      <c r="G558" s="28" t="n"/>
      <c r="H558" s="1" t="n"/>
      <c r="I558">
        <f>IF(OR(B558="",C558=""),"",B558+MOD(C558,1))</f>
        <v/>
      </c>
      <c r="J558">
        <f>IF(I558="","",IF(B558=Dashboard!$AA$1,I558,""))</f>
        <v/>
      </c>
    </row>
    <row r="559">
      <c r="A559" s="1" t="n"/>
      <c r="B559" s="26" t="n"/>
      <c r="C559" s="27" t="n"/>
      <c r="D559" s="28" t="n"/>
      <c r="E559" s="29" t="n"/>
      <c r="F559" s="29" t="n"/>
      <c r="G559" s="28" t="n"/>
      <c r="H559" s="1" t="n"/>
      <c r="I559">
        <f>IF(OR(B559="",C559=""),"",B559+MOD(C559,1))</f>
        <v/>
      </c>
      <c r="J559">
        <f>IF(I559="","",IF(B559=Dashboard!$AA$1,I559,""))</f>
        <v/>
      </c>
    </row>
    <row r="560">
      <c r="A560" s="1" t="n"/>
      <c r="B560" s="26" t="n"/>
      <c r="C560" s="27" t="n"/>
      <c r="D560" s="28" t="n"/>
      <c r="E560" s="29" t="n"/>
      <c r="F560" s="29" t="n"/>
      <c r="G560" s="28" t="n"/>
      <c r="H560" s="1" t="n"/>
      <c r="I560">
        <f>IF(OR(B560="",C560=""),"",B560+MOD(C560,1))</f>
        <v/>
      </c>
      <c r="J560">
        <f>IF(I560="","",IF(B560=Dashboard!$AA$1,I560,""))</f>
        <v/>
      </c>
    </row>
    <row r="561">
      <c r="A561" s="1" t="n"/>
      <c r="B561" s="26" t="n"/>
      <c r="C561" s="27" t="n"/>
      <c r="D561" s="28" t="n"/>
      <c r="E561" s="29" t="n"/>
      <c r="F561" s="29" t="n"/>
      <c r="G561" s="28" t="n"/>
      <c r="H561" s="1" t="n"/>
      <c r="I561">
        <f>IF(OR(B561="",C561=""),"",B561+MOD(C561,1))</f>
        <v/>
      </c>
      <c r="J561">
        <f>IF(I561="","",IF(B561=Dashboard!$AA$1,I561,""))</f>
        <v/>
      </c>
    </row>
    <row r="562">
      <c r="A562" s="1" t="n"/>
      <c r="B562" s="26" t="n"/>
      <c r="C562" s="27" t="n"/>
      <c r="D562" s="28" t="n"/>
      <c r="E562" s="29" t="n"/>
      <c r="F562" s="29" t="n"/>
      <c r="G562" s="28" t="n"/>
      <c r="H562" s="1" t="n"/>
      <c r="I562">
        <f>IF(OR(B562="",C562=""),"",B562+MOD(C562,1))</f>
        <v/>
      </c>
      <c r="J562">
        <f>IF(I562="","",IF(B562=Dashboard!$AA$1,I562,""))</f>
        <v/>
      </c>
    </row>
    <row r="563">
      <c r="A563" s="1" t="n"/>
      <c r="B563" s="26" t="n"/>
      <c r="C563" s="27" t="n"/>
      <c r="D563" s="28" t="n"/>
      <c r="E563" s="29" t="n"/>
      <c r="F563" s="29" t="n"/>
      <c r="G563" s="28" t="n"/>
      <c r="H563" s="1" t="n"/>
      <c r="I563">
        <f>IF(OR(B563="",C563=""),"",B563+MOD(C563,1))</f>
        <v/>
      </c>
      <c r="J563">
        <f>IF(I563="","",IF(B563=Dashboard!$AA$1,I563,""))</f>
        <v/>
      </c>
    </row>
    <row r="564">
      <c r="A564" s="1" t="n"/>
      <c r="B564" s="26" t="n"/>
      <c r="C564" s="27" t="n"/>
      <c r="D564" s="28" t="n"/>
      <c r="E564" s="29" t="n"/>
      <c r="F564" s="29" t="n"/>
      <c r="G564" s="28" t="n"/>
      <c r="H564" s="1" t="n"/>
      <c r="I564">
        <f>IF(OR(B564="",C564=""),"",B564+MOD(C564,1))</f>
        <v/>
      </c>
      <c r="J564">
        <f>IF(I564="","",IF(B564=Dashboard!$AA$1,I564,""))</f>
        <v/>
      </c>
    </row>
    <row r="565">
      <c r="A565" s="1" t="n"/>
      <c r="B565" s="26" t="n"/>
      <c r="C565" s="27" t="n"/>
      <c r="D565" s="28" t="n"/>
      <c r="E565" s="29" t="n"/>
      <c r="F565" s="29" t="n"/>
      <c r="G565" s="28" t="n"/>
      <c r="H565" s="1" t="n"/>
      <c r="I565">
        <f>IF(OR(B565="",C565=""),"",B565+MOD(C565,1))</f>
        <v/>
      </c>
      <c r="J565">
        <f>IF(I565="","",IF(B565=Dashboard!$AA$1,I565,""))</f>
        <v/>
      </c>
    </row>
    <row r="566">
      <c r="A566" s="1" t="n"/>
      <c r="B566" s="26" t="n"/>
      <c r="C566" s="27" t="n"/>
      <c r="D566" s="28" t="n"/>
      <c r="E566" s="29" t="n"/>
      <c r="F566" s="29" t="n"/>
      <c r="G566" s="28" t="n"/>
      <c r="H566" s="1" t="n"/>
      <c r="I566">
        <f>IF(OR(B566="",C566=""),"",B566+MOD(C566,1))</f>
        <v/>
      </c>
      <c r="J566">
        <f>IF(I566="","",IF(B566=Dashboard!$AA$1,I566,""))</f>
        <v/>
      </c>
    </row>
    <row r="567">
      <c r="A567" s="1" t="n"/>
      <c r="B567" s="26" t="n"/>
      <c r="C567" s="27" t="n"/>
      <c r="D567" s="28" t="n"/>
      <c r="E567" s="29" t="n"/>
      <c r="F567" s="29" t="n"/>
      <c r="G567" s="28" t="n"/>
      <c r="H567" s="1" t="n"/>
      <c r="I567">
        <f>IF(OR(B567="",C567=""),"",B567+MOD(C567,1))</f>
        <v/>
      </c>
      <c r="J567">
        <f>IF(I567="","",IF(B567=Dashboard!$AA$1,I567,""))</f>
        <v/>
      </c>
    </row>
    <row r="568">
      <c r="A568" s="1" t="n"/>
      <c r="B568" s="26" t="n"/>
      <c r="C568" s="27" t="n"/>
      <c r="D568" s="28" t="n"/>
      <c r="E568" s="29" t="n"/>
      <c r="F568" s="29" t="n"/>
      <c r="G568" s="28" t="n"/>
      <c r="H568" s="1" t="n"/>
      <c r="I568">
        <f>IF(OR(B568="",C568=""),"",B568+MOD(C568,1))</f>
        <v/>
      </c>
      <c r="J568">
        <f>IF(I568="","",IF(B568=Dashboard!$AA$1,I568,""))</f>
        <v/>
      </c>
    </row>
    <row r="569">
      <c r="A569" s="1" t="n"/>
      <c r="B569" s="26" t="n"/>
      <c r="C569" s="27" t="n"/>
      <c r="D569" s="28" t="n"/>
      <c r="E569" s="29" t="n"/>
      <c r="F569" s="29" t="n"/>
      <c r="G569" s="28" t="n"/>
      <c r="H569" s="1" t="n"/>
      <c r="I569">
        <f>IF(OR(B569="",C569=""),"",B569+MOD(C569,1))</f>
        <v/>
      </c>
      <c r="J569">
        <f>IF(I569="","",IF(B569=Dashboard!$AA$1,I569,""))</f>
        <v/>
      </c>
    </row>
    <row r="570">
      <c r="A570" s="1" t="n"/>
      <c r="B570" s="26" t="n"/>
      <c r="C570" s="27" t="n"/>
      <c r="D570" s="28" t="n"/>
      <c r="E570" s="29" t="n"/>
      <c r="F570" s="29" t="n"/>
      <c r="G570" s="28" t="n"/>
      <c r="H570" s="1" t="n"/>
      <c r="I570">
        <f>IF(OR(B570="",C570=""),"",B570+MOD(C570,1))</f>
        <v/>
      </c>
      <c r="J570">
        <f>IF(I570="","",IF(B570=Dashboard!$AA$1,I570,""))</f>
        <v/>
      </c>
    </row>
    <row r="571">
      <c r="A571" s="1" t="n"/>
      <c r="B571" s="26" t="n"/>
      <c r="C571" s="27" t="n"/>
      <c r="D571" s="28" t="n"/>
      <c r="E571" s="29" t="n"/>
      <c r="F571" s="29" t="n"/>
      <c r="G571" s="28" t="n"/>
      <c r="H571" s="1" t="n"/>
      <c r="I571">
        <f>IF(OR(B571="",C571=""),"",B571+MOD(C571,1))</f>
        <v/>
      </c>
      <c r="J571">
        <f>IF(I571="","",IF(B571=Dashboard!$AA$1,I571,""))</f>
        <v/>
      </c>
    </row>
    <row r="572">
      <c r="A572" s="1" t="n"/>
      <c r="B572" s="26" t="n"/>
      <c r="C572" s="27" t="n"/>
      <c r="D572" s="28" t="n"/>
      <c r="E572" s="29" t="n"/>
      <c r="F572" s="29" t="n"/>
      <c r="G572" s="28" t="n"/>
      <c r="H572" s="1" t="n"/>
      <c r="I572">
        <f>IF(OR(B572="",C572=""),"",B572+MOD(C572,1))</f>
        <v/>
      </c>
      <c r="J572">
        <f>IF(I572="","",IF(B572=Dashboard!$AA$1,I572,""))</f>
        <v/>
      </c>
    </row>
    <row r="573">
      <c r="A573" s="1" t="n"/>
      <c r="B573" s="26" t="n"/>
      <c r="C573" s="27" t="n"/>
      <c r="D573" s="28" t="n"/>
      <c r="E573" s="29" t="n"/>
      <c r="F573" s="29" t="n"/>
      <c r="G573" s="28" t="n"/>
      <c r="H573" s="1" t="n"/>
      <c r="I573">
        <f>IF(OR(B573="",C573=""),"",B573+MOD(C573,1))</f>
        <v/>
      </c>
      <c r="J573">
        <f>IF(I573="","",IF(B573=Dashboard!$AA$1,I573,""))</f>
        <v/>
      </c>
    </row>
    <row r="574">
      <c r="A574" s="1" t="n"/>
      <c r="B574" s="26" t="n"/>
      <c r="C574" s="27" t="n"/>
      <c r="D574" s="28" t="n"/>
      <c r="E574" s="29" t="n"/>
      <c r="F574" s="29" t="n"/>
      <c r="G574" s="28" t="n"/>
      <c r="H574" s="1" t="n"/>
      <c r="I574">
        <f>IF(OR(B574="",C574=""),"",B574+MOD(C574,1))</f>
        <v/>
      </c>
      <c r="J574">
        <f>IF(I574="","",IF(B574=Dashboard!$AA$1,I574,""))</f>
        <v/>
      </c>
    </row>
    <row r="575">
      <c r="A575" s="1" t="n"/>
      <c r="B575" s="26" t="n"/>
      <c r="C575" s="27" t="n"/>
      <c r="D575" s="28" t="n"/>
      <c r="E575" s="29" t="n"/>
      <c r="F575" s="29" t="n"/>
      <c r="G575" s="28" t="n"/>
      <c r="H575" s="1" t="n"/>
      <c r="I575">
        <f>IF(OR(B575="",C575=""),"",B575+MOD(C575,1))</f>
        <v/>
      </c>
      <c r="J575">
        <f>IF(I575="","",IF(B575=Dashboard!$AA$1,I575,""))</f>
        <v/>
      </c>
    </row>
    <row r="576">
      <c r="A576" s="1" t="n"/>
      <c r="B576" s="26" t="n"/>
      <c r="C576" s="27" t="n"/>
      <c r="D576" s="28" t="n"/>
      <c r="E576" s="29" t="n"/>
      <c r="F576" s="29" t="n"/>
      <c r="G576" s="28" t="n"/>
      <c r="H576" s="1" t="n"/>
      <c r="I576">
        <f>IF(OR(B576="",C576=""),"",B576+MOD(C576,1))</f>
        <v/>
      </c>
      <c r="J576">
        <f>IF(I576="","",IF(B576=Dashboard!$AA$1,I576,""))</f>
        <v/>
      </c>
    </row>
    <row r="577">
      <c r="A577" s="1" t="n"/>
      <c r="B577" s="26" t="n"/>
      <c r="C577" s="27" t="n"/>
      <c r="D577" s="28" t="n"/>
      <c r="E577" s="29" t="n"/>
      <c r="F577" s="29" t="n"/>
      <c r="G577" s="28" t="n"/>
      <c r="H577" s="1" t="n"/>
      <c r="I577">
        <f>IF(OR(B577="",C577=""),"",B577+MOD(C577,1))</f>
        <v/>
      </c>
      <c r="J577">
        <f>IF(I577="","",IF(B577=Dashboard!$AA$1,I577,""))</f>
        <v/>
      </c>
    </row>
    <row r="578">
      <c r="A578" s="1" t="n"/>
      <c r="B578" s="26" t="n"/>
      <c r="C578" s="27" t="n"/>
      <c r="D578" s="28" t="n"/>
      <c r="E578" s="29" t="n"/>
      <c r="F578" s="29" t="n"/>
      <c r="G578" s="28" t="n"/>
      <c r="H578" s="1" t="n"/>
      <c r="I578">
        <f>IF(OR(B578="",C578=""),"",B578+MOD(C578,1))</f>
        <v/>
      </c>
      <c r="J578">
        <f>IF(I578="","",IF(B578=Dashboard!$AA$1,I578,""))</f>
        <v/>
      </c>
    </row>
    <row r="579">
      <c r="A579" s="1" t="n"/>
      <c r="B579" s="26" t="n"/>
      <c r="C579" s="27" t="n"/>
      <c r="D579" s="28" t="n"/>
      <c r="E579" s="29" t="n"/>
      <c r="F579" s="29" t="n"/>
      <c r="G579" s="28" t="n"/>
      <c r="H579" s="1" t="n"/>
      <c r="I579">
        <f>IF(OR(B579="",C579=""),"",B579+MOD(C579,1))</f>
        <v/>
      </c>
      <c r="J579">
        <f>IF(I579="","",IF(B579=Dashboard!$AA$1,I579,""))</f>
        <v/>
      </c>
    </row>
    <row r="580">
      <c r="A580" s="1" t="n"/>
      <c r="B580" s="26" t="n"/>
      <c r="C580" s="27" t="n"/>
      <c r="D580" s="28" t="n"/>
      <c r="E580" s="29" t="n"/>
      <c r="F580" s="29" t="n"/>
      <c r="G580" s="28" t="n"/>
      <c r="H580" s="1" t="n"/>
      <c r="I580">
        <f>IF(OR(B580="",C580=""),"",B580+MOD(C580,1))</f>
        <v/>
      </c>
      <c r="J580">
        <f>IF(I580="","",IF(B580=Dashboard!$AA$1,I580,""))</f>
        <v/>
      </c>
    </row>
    <row r="581">
      <c r="A581" s="1" t="n"/>
      <c r="B581" s="26" t="n"/>
      <c r="C581" s="27" t="n"/>
      <c r="D581" s="28" t="n"/>
      <c r="E581" s="29" t="n"/>
      <c r="F581" s="29" t="n"/>
      <c r="G581" s="28" t="n"/>
      <c r="H581" s="1" t="n"/>
      <c r="I581">
        <f>IF(OR(B581="",C581=""),"",B581+MOD(C581,1))</f>
        <v/>
      </c>
      <c r="J581">
        <f>IF(I581="","",IF(B581=Dashboard!$AA$1,I581,""))</f>
        <v/>
      </c>
    </row>
    <row r="582">
      <c r="A582" s="1" t="n"/>
      <c r="B582" s="26" t="n"/>
      <c r="C582" s="27" t="n"/>
      <c r="D582" s="28" t="n"/>
      <c r="E582" s="29" t="n"/>
      <c r="F582" s="29" t="n"/>
      <c r="G582" s="28" t="n"/>
      <c r="H582" s="1" t="n"/>
      <c r="I582">
        <f>IF(OR(B582="",C582=""),"",B582+MOD(C582,1))</f>
        <v/>
      </c>
      <c r="J582">
        <f>IF(I582="","",IF(B582=Dashboard!$AA$1,I582,""))</f>
        <v/>
      </c>
    </row>
    <row r="583">
      <c r="A583" s="1" t="n"/>
      <c r="B583" s="26" t="n"/>
      <c r="C583" s="27" t="n"/>
      <c r="D583" s="28" t="n"/>
      <c r="E583" s="29" t="n"/>
      <c r="F583" s="29" t="n"/>
      <c r="G583" s="28" t="n"/>
      <c r="H583" s="1" t="n"/>
      <c r="I583">
        <f>IF(OR(B583="",C583=""),"",B583+MOD(C583,1))</f>
        <v/>
      </c>
      <c r="J583">
        <f>IF(I583="","",IF(B583=Dashboard!$AA$1,I583,""))</f>
        <v/>
      </c>
    </row>
    <row r="584">
      <c r="A584" s="1" t="n"/>
      <c r="B584" s="26" t="n"/>
      <c r="C584" s="27" t="n"/>
      <c r="D584" s="28" t="n"/>
      <c r="E584" s="29" t="n"/>
      <c r="F584" s="29" t="n"/>
      <c r="G584" s="28" t="n"/>
      <c r="H584" s="1" t="n"/>
      <c r="I584">
        <f>IF(OR(B584="",C584=""),"",B584+MOD(C584,1))</f>
        <v/>
      </c>
      <c r="J584">
        <f>IF(I584="","",IF(B584=Dashboard!$AA$1,I584,""))</f>
        <v/>
      </c>
    </row>
    <row r="585">
      <c r="A585" s="1" t="n"/>
      <c r="B585" s="26" t="n"/>
      <c r="C585" s="27" t="n"/>
      <c r="D585" s="28" t="n"/>
      <c r="E585" s="29" t="n"/>
      <c r="F585" s="29" t="n"/>
      <c r="G585" s="28" t="n"/>
      <c r="H585" s="1" t="n"/>
      <c r="I585">
        <f>IF(OR(B585="",C585=""),"",B585+MOD(C585,1))</f>
        <v/>
      </c>
      <c r="J585">
        <f>IF(I585="","",IF(B585=Dashboard!$AA$1,I585,""))</f>
        <v/>
      </c>
    </row>
    <row r="586">
      <c r="A586" s="1" t="n"/>
      <c r="B586" s="26" t="n"/>
      <c r="C586" s="27" t="n"/>
      <c r="D586" s="28" t="n"/>
      <c r="E586" s="29" t="n"/>
      <c r="F586" s="29" t="n"/>
      <c r="G586" s="28" t="n"/>
      <c r="H586" s="1" t="n"/>
      <c r="I586">
        <f>IF(OR(B586="",C586=""),"",B586+MOD(C586,1))</f>
        <v/>
      </c>
      <c r="J586">
        <f>IF(I586="","",IF(B586=Dashboard!$AA$1,I586,""))</f>
        <v/>
      </c>
    </row>
    <row r="587">
      <c r="A587" s="1" t="n"/>
      <c r="B587" s="26" t="n"/>
      <c r="C587" s="27" t="n"/>
      <c r="D587" s="28" t="n"/>
      <c r="E587" s="29" t="n"/>
      <c r="F587" s="29" t="n"/>
      <c r="G587" s="28" t="n"/>
      <c r="H587" s="1" t="n"/>
      <c r="I587">
        <f>IF(OR(B587="",C587=""),"",B587+MOD(C587,1))</f>
        <v/>
      </c>
      <c r="J587">
        <f>IF(I587="","",IF(B587=Dashboard!$AA$1,I587,""))</f>
        <v/>
      </c>
    </row>
    <row r="588">
      <c r="A588" s="1" t="n"/>
      <c r="B588" s="26" t="n"/>
      <c r="C588" s="27" t="n"/>
      <c r="D588" s="28" t="n"/>
      <c r="E588" s="29" t="n"/>
      <c r="F588" s="29" t="n"/>
      <c r="G588" s="28" t="n"/>
      <c r="H588" s="1" t="n"/>
      <c r="I588">
        <f>IF(OR(B588="",C588=""),"",B588+MOD(C588,1))</f>
        <v/>
      </c>
      <c r="J588">
        <f>IF(I588="","",IF(B588=Dashboard!$AA$1,I588,""))</f>
        <v/>
      </c>
    </row>
    <row r="589">
      <c r="A589" s="1" t="n"/>
      <c r="B589" s="26" t="n"/>
      <c r="C589" s="27" t="n"/>
      <c r="D589" s="28" t="n"/>
      <c r="E589" s="29" t="n"/>
      <c r="F589" s="29" t="n"/>
      <c r="G589" s="28" t="n"/>
      <c r="H589" s="1" t="n"/>
      <c r="I589">
        <f>IF(OR(B589="",C589=""),"",B589+MOD(C589,1))</f>
        <v/>
      </c>
      <c r="J589">
        <f>IF(I589="","",IF(B589=Dashboard!$AA$1,I589,""))</f>
        <v/>
      </c>
    </row>
    <row r="590">
      <c r="A590" s="1" t="n"/>
      <c r="B590" s="26" t="n"/>
      <c r="C590" s="27" t="n"/>
      <c r="D590" s="28" t="n"/>
      <c r="E590" s="29" t="n"/>
      <c r="F590" s="29" t="n"/>
      <c r="G590" s="28" t="n"/>
      <c r="H590" s="1" t="n"/>
      <c r="I590">
        <f>IF(OR(B590="",C590=""),"",B590+MOD(C590,1))</f>
        <v/>
      </c>
      <c r="J590">
        <f>IF(I590="","",IF(B590=Dashboard!$AA$1,I590,""))</f>
        <v/>
      </c>
    </row>
    <row r="591">
      <c r="A591" s="1" t="n"/>
      <c r="B591" s="26" t="n"/>
      <c r="C591" s="27" t="n"/>
      <c r="D591" s="28" t="n"/>
      <c r="E591" s="29" t="n"/>
      <c r="F591" s="29" t="n"/>
      <c r="G591" s="28" t="n"/>
      <c r="H591" s="1" t="n"/>
      <c r="I591">
        <f>IF(OR(B591="",C591=""),"",B591+MOD(C591,1))</f>
        <v/>
      </c>
      <c r="J591">
        <f>IF(I591="","",IF(B591=Dashboard!$AA$1,I591,""))</f>
        <v/>
      </c>
    </row>
    <row r="592">
      <c r="A592" s="1" t="n"/>
      <c r="B592" s="26" t="n"/>
      <c r="C592" s="27" t="n"/>
      <c r="D592" s="28" t="n"/>
      <c r="E592" s="29" t="n"/>
      <c r="F592" s="29" t="n"/>
      <c r="G592" s="28" t="n"/>
      <c r="H592" s="1" t="n"/>
      <c r="I592">
        <f>IF(OR(B592="",C592=""),"",B592+MOD(C592,1))</f>
        <v/>
      </c>
      <c r="J592">
        <f>IF(I592="","",IF(B592=Dashboard!$AA$1,I592,""))</f>
        <v/>
      </c>
    </row>
    <row r="593">
      <c r="A593" s="1" t="n"/>
      <c r="B593" s="26" t="n"/>
      <c r="C593" s="27" t="n"/>
      <c r="D593" s="28" t="n"/>
      <c r="E593" s="29" t="n"/>
      <c r="F593" s="29" t="n"/>
      <c r="G593" s="28" t="n"/>
      <c r="H593" s="1" t="n"/>
      <c r="I593">
        <f>IF(OR(B593="",C593=""),"",B593+MOD(C593,1))</f>
        <v/>
      </c>
      <c r="J593">
        <f>IF(I593="","",IF(B593=Dashboard!$AA$1,I593,""))</f>
        <v/>
      </c>
    </row>
    <row r="594">
      <c r="A594" s="1" t="n"/>
      <c r="B594" s="26" t="n"/>
      <c r="C594" s="27" t="n"/>
      <c r="D594" s="28" t="n"/>
      <c r="E594" s="29" t="n"/>
      <c r="F594" s="29" t="n"/>
      <c r="G594" s="28" t="n"/>
      <c r="H594" s="1" t="n"/>
      <c r="I594">
        <f>IF(OR(B594="",C594=""),"",B594+MOD(C594,1))</f>
        <v/>
      </c>
      <c r="J594">
        <f>IF(I594="","",IF(B594=Dashboard!$AA$1,I594,""))</f>
        <v/>
      </c>
    </row>
    <row r="595">
      <c r="A595" s="1" t="n"/>
      <c r="B595" s="26" t="n"/>
      <c r="C595" s="27" t="n"/>
      <c r="D595" s="28" t="n"/>
      <c r="E595" s="29" t="n"/>
      <c r="F595" s="29" t="n"/>
      <c r="G595" s="28" t="n"/>
      <c r="H595" s="1" t="n"/>
      <c r="I595">
        <f>IF(OR(B595="",C595=""),"",B595+MOD(C595,1))</f>
        <v/>
      </c>
      <c r="J595">
        <f>IF(I595="","",IF(B595=Dashboard!$AA$1,I595,""))</f>
        <v/>
      </c>
    </row>
    <row r="596">
      <c r="A596" s="1" t="n"/>
      <c r="B596" s="26" t="n"/>
      <c r="C596" s="27" t="n"/>
      <c r="D596" s="28" t="n"/>
      <c r="E596" s="29" t="n"/>
      <c r="F596" s="29" t="n"/>
      <c r="G596" s="28" t="n"/>
      <c r="H596" s="1" t="n"/>
      <c r="I596">
        <f>IF(OR(B596="",C596=""),"",B596+MOD(C596,1))</f>
        <v/>
      </c>
      <c r="J596">
        <f>IF(I596="","",IF(B596=Dashboard!$AA$1,I596,""))</f>
        <v/>
      </c>
    </row>
    <row r="597">
      <c r="A597" s="1" t="n"/>
      <c r="B597" s="26" t="n"/>
      <c r="C597" s="27" t="n"/>
      <c r="D597" s="28" t="n"/>
      <c r="E597" s="29" t="n"/>
      <c r="F597" s="29" t="n"/>
      <c r="G597" s="28" t="n"/>
      <c r="H597" s="1" t="n"/>
      <c r="I597">
        <f>IF(OR(B597="",C597=""),"",B597+MOD(C597,1))</f>
        <v/>
      </c>
      <c r="J597">
        <f>IF(I597="","",IF(B597=Dashboard!$AA$1,I597,""))</f>
        <v/>
      </c>
    </row>
    <row r="598">
      <c r="A598" s="1" t="n"/>
      <c r="B598" s="26" t="n"/>
      <c r="C598" s="27" t="n"/>
      <c r="D598" s="28" t="n"/>
      <c r="E598" s="29" t="n"/>
      <c r="F598" s="29" t="n"/>
      <c r="G598" s="28" t="n"/>
      <c r="H598" s="1" t="n"/>
      <c r="I598">
        <f>IF(OR(B598="",C598=""),"",B598+MOD(C598,1))</f>
        <v/>
      </c>
      <c r="J598">
        <f>IF(I598="","",IF(B598=Dashboard!$AA$1,I598,""))</f>
        <v/>
      </c>
    </row>
    <row r="599">
      <c r="A599" s="1" t="n"/>
      <c r="B599" s="26" t="n"/>
      <c r="C599" s="27" t="n"/>
      <c r="D599" s="28" t="n"/>
      <c r="E599" s="29" t="n"/>
      <c r="F599" s="29" t="n"/>
      <c r="G599" s="28" t="n"/>
      <c r="H599" s="1" t="n"/>
      <c r="I599">
        <f>IF(OR(B599="",C599=""),"",B599+MOD(C599,1))</f>
        <v/>
      </c>
      <c r="J599">
        <f>IF(I599="","",IF(B599=Dashboard!$AA$1,I599,""))</f>
        <v/>
      </c>
    </row>
    <row r="600">
      <c r="A600" s="1" t="n"/>
      <c r="B600" s="26" t="n"/>
      <c r="C600" s="27" t="n"/>
      <c r="D600" s="28" t="n"/>
      <c r="E600" s="29" t="n"/>
      <c r="F600" s="29" t="n"/>
      <c r="G600" s="28" t="n"/>
      <c r="H600" s="1" t="n"/>
      <c r="I600">
        <f>IF(OR(B600="",C600=""),"",B600+MOD(C600,1))</f>
        <v/>
      </c>
      <c r="J600">
        <f>IF(I600="","",IF(B600=Dashboard!$AA$1,I600,""))</f>
        <v/>
      </c>
    </row>
    <row r="601">
      <c r="A601" s="1" t="n"/>
      <c r="B601" s="26" t="n"/>
      <c r="C601" s="27" t="n"/>
      <c r="D601" s="28" t="n"/>
      <c r="E601" s="29" t="n"/>
      <c r="F601" s="29" t="n"/>
      <c r="G601" s="28" t="n"/>
      <c r="H601" s="1" t="n"/>
      <c r="I601">
        <f>IF(OR(B601="",C601=""),"",B601+MOD(C601,1))</f>
        <v/>
      </c>
      <c r="J601">
        <f>IF(I601="","",IF(B601=Dashboard!$AA$1,I601,""))</f>
        <v/>
      </c>
    </row>
    <row r="602">
      <c r="A602" s="1" t="n"/>
      <c r="B602" s="26" t="n"/>
      <c r="C602" s="27" t="n"/>
      <c r="D602" s="28" t="n"/>
      <c r="E602" s="29" t="n"/>
      <c r="F602" s="29" t="n"/>
      <c r="G602" s="28" t="n"/>
      <c r="H602" s="1" t="n"/>
      <c r="I602">
        <f>IF(OR(B602="",C602=""),"",B602+MOD(C602,1))</f>
        <v/>
      </c>
      <c r="J602">
        <f>IF(I602="","",IF(B602=Dashboard!$AA$1,I602,""))</f>
        <v/>
      </c>
    </row>
    <row r="603">
      <c r="A603" s="1" t="n"/>
      <c r="B603" s="26" t="n"/>
      <c r="C603" s="27" t="n"/>
      <c r="D603" s="28" t="n"/>
      <c r="E603" s="29" t="n"/>
      <c r="F603" s="29" t="n"/>
      <c r="G603" s="28" t="n"/>
      <c r="H603" s="1" t="n"/>
      <c r="I603">
        <f>IF(OR(B603="",C603=""),"",B603+MOD(C603,1))</f>
        <v/>
      </c>
      <c r="J603">
        <f>IF(I603="","",IF(B603=Dashboard!$AA$1,I603,""))</f>
        <v/>
      </c>
    </row>
    <row r="604">
      <c r="A604" s="1" t="n"/>
      <c r="B604" s="26" t="n"/>
      <c r="C604" s="27" t="n"/>
      <c r="D604" s="28" t="n"/>
      <c r="E604" s="29" t="n"/>
      <c r="F604" s="29" t="n"/>
      <c r="G604" s="28" t="n"/>
      <c r="H604" s="1" t="n"/>
      <c r="I604">
        <f>IF(OR(B604="",C604=""),"",B604+MOD(C604,1))</f>
        <v/>
      </c>
      <c r="J604">
        <f>IF(I604="","",IF(B604=Dashboard!$AA$1,I604,""))</f>
        <v/>
      </c>
    </row>
    <row r="605">
      <c r="A605" s="1" t="n"/>
      <c r="B605" s="26" t="n"/>
      <c r="C605" s="27" t="n"/>
      <c r="D605" s="28" t="n"/>
      <c r="E605" s="29" t="n"/>
      <c r="F605" s="29" t="n"/>
      <c r="G605" s="28" t="n"/>
      <c r="H605" s="1" t="n"/>
      <c r="I605">
        <f>IF(OR(B605="",C605=""),"",B605+MOD(C605,1))</f>
        <v/>
      </c>
      <c r="J605">
        <f>IF(I605="","",IF(B605=Dashboard!$AA$1,I605,""))</f>
        <v/>
      </c>
    </row>
    <row r="606">
      <c r="A606" s="1" t="n"/>
      <c r="B606" s="26" t="n"/>
      <c r="C606" s="27" t="n"/>
      <c r="D606" s="28" t="n"/>
      <c r="E606" s="29" t="n"/>
      <c r="F606" s="29" t="n"/>
      <c r="G606" s="28" t="n"/>
      <c r="H606" s="1" t="n"/>
      <c r="I606">
        <f>IF(OR(B606="",C606=""),"",B606+MOD(C606,1))</f>
        <v/>
      </c>
      <c r="J606">
        <f>IF(I606="","",IF(B606=Dashboard!$AA$1,I606,""))</f>
        <v/>
      </c>
    </row>
    <row r="607">
      <c r="A607" s="1" t="n"/>
      <c r="B607" s="26" t="n"/>
      <c r="C607" s="27" t="n"/>
      <c r="D607" s="28" t="n"/>
      <c r="E607" s="29" t="n"/>
      <c r="F607" s="29" t="n"/>
      <c r="G607" s="28" t="n"/>
      <c r="H607" s="1" t="n"/>
      <c r="I607">
        <f>IF(OR(B607="",C607=""),"",B607+MOD(C607,1))</f>
        <v/>
      </c>
      <c r="J607">
        <f>IF(I607="","",IF(B607=Dashboard!$AA$1,I607,""))</f>
        <v/>
      </c>
    </row>
    <row r="608">
      <c r="A608" s="1" t="n"/>
      <c r="B608" s="26" t="n"/>
      <c r="C608" s="27" t="n"/>
      <c r="D608" s="28" t="n"/>
      <c r="E608" s="29" t="n"/>
      <c r="F608" s="29" t="n"/>
      <c r="G608" s="28" t="n"/>
      <c r="H608" s="1" t="n"/>
      <c r="I608">
        <f>IF(OR(B608="",C608=""),"",B608+MOD(C608,1))</f>
        <v/>
      </c>
      <c r="J608">
        <f>IF(I608="","",IF(B608=Dashboard!$AA$1,I608,""))</f>
        <v/>
      </c>
    </row>
    <row r="609">
      <c r="A609" s="1" t="n"/>
      <c r="B609" s="26" t="n"/>
      <c r="C609" s="27" t="n"/>
      <c r="D609" s="28" t="n"/>
      <c r="E609" s="29" t="n"/>
      <c r="F609" s="29" t="n"/>
      <c r="G609" s="28" t="n"/>
      <c r="H609" s="1" t="n"/>
      <c r="I609">
        <f>IF(OR(B609="",C609=""),"",B609+MOD(C609,1))</f>
        <v/>
      </c>
      <c r="J609">
        <f>IF(I609="","",IF(B609=Dashboard!$AA$1,I609,""))</f>
        <v/>
      </c>
    </row>
    <row r="610">
      <c r="A610" s="1" t="n"/>
      <c r="B610" s="26" t="n"/>
      <c r="C610" s="27" t="n"/>
      <c r="D610" s="28" t="n"/>
      <c r="E610" s="29" t="n"/>
      <c r="F610" s="29" t="n"/>
      <c r="G610" s="28" t="n"/>
      <c r="H610" s="1" t="n"/>
      <c r="I610">
        <f>IF(OR(B610="",C610=""),"",B610+MOD(C610,1))</f>
        <v/>
      </c>
      <c r="J610">
        <f>IF(I610="","",IF(B610=Dashboard!$AA$1,I610,""))</f>
        <v/>
      </c>
    </row>
    <row r="611">
      <c r="A611" s="1" t="n"/>
      <c r="B611" s="26" t="n"/>
      <c r="C611" s="27" t="n"/>
      <c r="D611" s="28" t="n"/>
      <c r="E611" s="29" t="n"/>
      <c r="F611" s="29" t="n"/>
      <c r="G611" s="28" t="n"/>
      <c r="H611" s="1" t="n"/>
      <c r="I611">
        <f>IF(OR(B611="",C611=""),"",B611+MOD(C611,1))</f>
        <v/>
      </c>
      <c r="J611">
        <f>IF(I611="","",IF(B611=Dashboard!$AA$1,I611,""))</f>
        <v/>
      </c>
    </row>
    <row r="612">
      <c r="A612" s="1" t="n"/>
      <c r="B612" s="26" t="n"/>
      <c r="C612" s="27" t="n"/>
      <c r="D612" s="28" t="n"/>
      <c r="E612" s="29" t="n"/>
      <c r="F612" s="29" t="n"/>
      <c r="G612" s="28" t="n"/>
      <c r="H612" s="1" t="n"/>
      <c r="I612">
        <f>IF(OR(B612="",C612=""),"",B612+MOD(C612,1))</f>
        <v/>
      </c>
      <c r="J612">
        <f>IF(I612="","",IF(B612=Dashboard!$AA$1,I612,""))</f>
        <v/>
      </c>
    </row>
    <row r="613">
      <c r="A613" s="1" t="n"/>
      <c r="B613" s="26" t="n"/>
      <c r="C613" s="27" t="n"/>
      <c r="D613" s="28" t="n"/>
      <c r="E613" s="29" t="n"/>
      <c r="F613" s="29" t="n"/>
      <c r="G613" s="28" t="n"/>
      <c r="H613" s="1" t="n"/>
      <c r="I613">
        <f>IF(OR(B613="",C613=""),"",B613+MOD(C613,1))</f>
        <v/>
      </c>
      <c r="J613">
        <f>IF(I613="","",IF(B613=Dashboard!$AA$1,I613,""))</f>
        <v/>
      </c>
    </row>
    <row r="614">
      <c r="A614" s="1" t="n"/>
      <c r="B614" s="26" t="n"/>
      <c r="C614" s="27" t="n"/>
      <c r="D614" s="28" t="n"/>
      <c r="E614" s="29" t="n"/>
      <c r="F614" s="29" t="n"/>
      <c r="G614" s="28" t="n"/>
      <c r="H614" s="1" t="n"/>
      <c r="I614">
        <f>IF(OR(B614="",C614=""),"",B614+MOD(C614,1))</f>
        <v/>
      </c>
      <c r="J614">
        <f>IF(I614="","",IF(B614=Dashboard!$AA$1,I614,""))</f>
        <v/>
      </c>
    </row>
    <row r="615">
      <c r="A615" s="1" t="n"/>
      <c r="B615" s="26" t="n"/>
      <c r="C615" s="27" t="n"/>
      <c r="D615" s="28" t="n"/>
      <c r="E615" s="29" t="n"/>
      <c r="F615" s="29" t="n"/>
      <c r="G615" s="28" t="n"/>
      <c r="H615" s="1" t="n"/>
      <c r="I615">
        <f>IF(OR(B615="",C615=""),"",B615+MOD(C615,1))</f>
        <v/>
      </c>
      <c r="J615">
        <f>IF(I615="","",IF(B615=Dashboard!$AA$1,I615,""))</f>
        <v/>
      </c>
    </row>
    <row r="616">
      <c r="A616" s="1" t="n"/>
      <c r="B616" s="26" t="n"/>
      <c r="C616" s="27" t="n"/>
      <c r="D616" s="28" t="n"/>
      <c r="E616" s="29" t="n"/>
      <c r="F616" s="29" t="n"/>
      <c r="G616" s="28" t="n"/>
      <c r="H616" s="1" t="n"/>
      <c r="I616">
        <f>IF(OR(B616="",C616=""),"",B616+MOD(C616,1))</f>
        <v/>
      </c>
      <c r="J616">
        <f>IF(I616="","",IF(B616=Dashboard!$AA$1,I616,""))</f>
        <v/>
      </c>
    </row>
    <row r="617">
      <c r="A617" s="1" t="n"/>
      <c r="B617" s="26" t="n"/>
      <c r="C617" s="27" t="n"/>
      <c r="D617" s="28" t="n"/>
      <c r="E617" s="29" t="n"/>
      <c r="F617" s="29" t="n"/>
      <c r="G617" s="28" t="n"/>
      <c r="H617" s="1" t="n"/>
      <c r="I617">
        <f>IF(OR(B617="",C617=""),"",B617+MOD(C617,1))</f>
        <v/>
      </c>
      <c r="J617">
        <f>IF(I617="","",IF(B617=Dashboard!$AA$1,I617,""))</f>
        <v/>
      </c>
    </row>
    <row r="618">
      <c r="A618" s="1" t="n"/>
      <c r="B618" s="26" t="n"/>
      <c r="C618" s="27" t="n"/>
      <c r="D618" s="28" t="n"/>
      <c r="E618" s="29" t="n"/>
      <c r="F618" s="29" t="n"/>
      <c r="G618" s="28" t="n"/>
      <c r="H618" s="1" t="n"/>
      <c r="I618">
        <f>IF(OR(B618="",C618=""),"",B618+MOD(C618,1))</f>
        <v/>
      </c>
      <c r="J618">
        <f>IF(I618="","",IF(B618=Dashboard!$AA$1,I618,""))</f>
        <v/>
      </c>
    </row>
    <row r="619">
      <c r="A619" s="1" t="n"/>
      <c r="B619" s="26" t="n"/>
      <c r="C619" s="27" t="n"/>
      <c r="D619" s="28" t="n"/>
      <c r="E619" s="29" t="n"/>
      <c r="F619" s="29" t="n"/>
      <c r="G619" s="28" t="n"/>
      <c r="H619" s="1" t="n"/>
      <c r="I619">
        <f>IF(OR(B619="",C619=""),"",B619+MOD(C619,1))</f>
        <v/>
      </c>
      <c r="J619">
        <f>IF(I619="","",IF(B619=Dashboard!$AA$1,I619,""))</f>
        <v/>
      </c>
    </row>
    <row r="620">
      <c r="A620" s="1" t="n"/>
      <c r="B620" s="26" t="n"/>
      <c r="C620" s="27" t="n"/>
      <c r="D620" s="28" t="n"/>
      <c r="E620" s="29" t="n"/>
      <c r="F620" s="29" t="n"/>
      <c r="G620" s="28" t="n"/>
      <c r="H620" s="1" t="n"/>
      <c r="I620">
        <f>IF(OR(B620="",C620=""),"",B620+MOD(C620,1))</f>
        <v/>
      </c>
      <c r="J620">
        <f>IF(I620="","",IF(B620=Dashboard!$AA$1,I620,""))</f>
        <v/>
      </c>
    </row>
    <row r="621">
      <c r="A621" s="1" t="n"/>
      <c r="B621" s="26" t="n"/>
      <c r="C621" s="27" t="n"/>
      <c r="D621" s="28" t="n"/>
      <c r="E621" s="29" t="n"/>
      <c r="F621" s="29" t="n"/>
      <c r="G621" s="28" t="n"/>
      <c r="H621" s="1" t="n"/>
      <c r="I621">
        <f>IF(OR(B621="",C621=""),"",B621+MOD(C621,1))</f>
        <v/>
      </c>
      <c r="J621">
        <f>IF(I621="","",IF(B621=Dashboard!$AA$1,I621,""))</f>
        <v/>
      </c>
    </row>
    <row r="622">
      <c r="A622" s="1" t="n"/>
      <c r="B622" s="26" t="n"/>
      <c r="C622" s="27" t="n"/>
      <c r="D622" s="28" t="n"/>
      <c r="E622" s="29" t="n"/>
      <c r="F622" s="29" t="n"/>
      <c r="G622" s="28" t="n"/>
      <c r="H622" s="1" t="n"/>
      <c r="I622">
        <f>IF(OR(B622="",C622=""),"",B622+MOD(C622,1))</f>
        <v/>
      </c>
      <c r="J622">
        <f>IF(I622="","",IF(B622=Dashboard!$AA$1,I622,""))</f>
        <v/>
      </c>
    </row>
    <row r="623">
      <c r="A623" s="1" t="n"/>
      <c r="B623" s="26" t="n"/>
      <c r="C623" s="27" t="n"/>
      <c r="D623" s="28" t="n"/>
      <c r="E623" s="29" t="n"/>
      <c r="F623" s="29" t="n"/>
      <c r="G623" s="28" t="n"/>
      <c r="H623" s="1" t="n"/>
      <c r="I623">
        <f>IF(OR(B623="",C623=""),"",B623+MOD(C623,1))</f>
        <v/>
      </c>
      <c r="J623">
        <f>IF(I623="","",IF(B623=Dashboard!$AA$1,I623,""))</f>
        <v/>
      </c>
    </row>
    <row r="624">
      <c r="A624" s="1" t="n"/>
      <c r="B624" s="26" t="n"/>
      <c r="C624" s="27" t="n"/>
      <c r="D624" s="28" t="n"/>
      <c r="E624" s="29" t="n"/>
      <c r="F624" s="29" t="n"/>
      <c r="G624" s="28" t="n"/>
      <c r="H624" s="1" t="n"/>
      <c r="I624">
        <f>IF(OR(B624="",C624=""),"",B624+MOD(C624,1))</f>
        <v/>
      </c>
      <c r="J624">
        <f>IF(I624="","",IF(B624=Dashboard!$AA$1,I624,""))</f>
        <v/>
      </c>
    </row>
    <row r="625">
      <c r="A625" s="1" t="n"/>
      <c r="B625" s="26" t="n"/>
      <c r="C625" s="27" t="n"/>
      <c r="D625" s="28" t="n"/>
      <c r="E625" s="29" t="n"/>
      <c r="F625" s="29" t="n"/>
      <c r="G625" s="28" t="n"/>
      <c r="H625" s="1" t="n"/>
      <c r="I625">
        <f>IF(OR(B625="",C625=""),"",B625+MOD(C625,1))</f>
        <v/>
      </c>
      <c r="J625">
        <f>IF(I625="","",IF(B625=Dashboard!$AA$1,I625,""))</f>
        <v/>
      </c>
    </row>
    <row r="626">
      <c r="A626" s="1" t="n"/>
      <c r="B626" s="26" t="n"/>
      <c r="C626" s="27" t="n"/>
      <c r="D626" s="28" t="n"/>
      <c r="E626" s="29" t="n"/>
      <c r="F626" s="29" t="n"/>
      <c r="G626" s="28" t="n"/>
      <c r="H626" s="1" t="n"/>
      <c r="I626">
        <f>IF(OR(B626="",C626=""),"",B626+MOD(C626,1))</f>
        <v/>
      </c>
      <c r="J626">
        <f>IF(I626="","",IF(B626=Dashboard!$AA$1,I626,""))</f>
        <v/>
      </c>
    </row>
    <row r="627">
      <c r="A627" s="1" t="n"/>
      <c r="B627" s="26" t="n"/>
      <c r="C627" s="27" t="n"/>
      <c r="D627" s="28" t="n"/>
      <c r="E627" s="29" t="n"/>
      <c r="F627" s="29" t="n"/>
      <c r="G627" s="28" t="n"/>
      <c r="H627" s="1" t="n"/>
      <c r="I627">
        <f>IF(OR(B627="",C627=""),"",B627+MOD(C627,1))</f>
        <v/>
      </c>
      <c r="J627">
        <f>IF(I627="","",IF(B627=Dashboard!$AA$1,I627,""))</f>
        <v/>
      </c>
    </row>
    <row r="628">
      <c r="A628" s="1" t="n"/>
      <c r="B628" s="26" t="n"/>
      <c r="C628" s="27" t="n"/>
      <c r="D628" s="28" t="n"/>
      <c r="E628" s="29" t="n"/>
      <c r="F628" s="29" t="n"/>
      <c r="G628" s="28" t="n"/>
      <c r="H628" s="1" t="n"/>
      <c r="I628">
        <f>IF(OR(B628="",C628=""),"",B628+MOD(C628,1))</f>
        <v/>
      </c>
      <c r="J628">
        <f>IF(I628="","",IF(B628=Dashboard!$AA$1,I628,""))</f>
        <v/>
      </c>
    </row>
    <row r="629">
      <c r="A629" s="1" t="n"/>
      <c r="B629" s="26" t="n"/>
      <c r="C629" s="27" t="n"/>
      <c r="D629" s="28" t="n"/>
      <c r="E629" s="29" t="n"/>
      <c r="F629" s="29" t="n"/>
      <c r="G629" s="28" t="n"/>
      <c r="H629" s="1" t="n"/>
      <c r="I629">
        <f>IF(OR(B629="",C629=""),"",B629+MOD(C629,1))</f>
        <v/>
      </c>
      <c r="J629">
        <f>IF(I629="","",IF(B629=Dashboard!$AA$1,I629,""))</f>
        <v/>
      </c>
    </row>
    <row r="630">
      <c r="A630" s="1" t="n"/>
      <c r="B630" s="26" t="n"/>
      <c r="C630" s="27" t="n"/>
      <c r="D630" s="28" t="n"/>
      <c r="E630" s="29" t="n"/>
      <c r="F630" s="29" t="n"/>
      <c r="G630" s="28" t="n"/>
      <c r="H630" s="1" t="n"/>
      <c r="I630">
        <f>IF(OR(B630="",C630=""),"",B630+MOD(C630,1))</f>
        <v/>
      </c>
      <c r="J630">
        <f>IF(I630="","",IF(B630=Dashboard!$AA$1,I630,""))</f>
        <v/>
      </c>
    </row>
    <row r="631">
      <c r="A631" s="1" t="n"/>
      <c r="B631" s="26" t="n"/>
      <c r="C631" s="27" t="n"/>
      <c r="D631" s="28" t="n"/>
      <c r="E631" s="29" t="n"/>
      <c r="F631" s="29" t="n"/>
      <c r="G631" s="28" t="n"/>
      <c r="H631" s="1" t="n"/>
      <c r="I631">
        <f>IF(OR(B631="",C631=""),"",B631+MOD(C631,1))</f>
        <v/>
      </c>
      <c r="J631">
        <f>IF(I631="","",IF(B631=Dashboard!$AA$1,I631,""))</f>
        <v/>
      </c>
    </row>
    <row r="632">
      <c r="A632" s="1" t="n"/>
      <c r="B632" s="26" t="n"/>
      <c r="C632" s="27" t="n"/>
      <c r="D632" s="28" t="n"/>
      <c r="E632" s="29" t="n"/>
      <c r="F632" s="29" t="n"/>
      <c r="G632" s="28" t="n"/>
      <c r="H632" s="1" t="n"/>
      <c r="I632">
        <f>IF(OR(B632="",C632=""),"",B632+MOD(C632,1))</f>
        <v/>
      </c>
      <c r="J632">
        <f>IF(I632="","",IF(B632=Dashboard!$AA$1,I632,""))</f>
        <v/>
      </c>
    </row>
    <row r="633">
      <c r="A633" s="1" t="n"/>
      <c r="B633" s="26" t="n"/>
      <c r="C633" s="27" t="n"/>
      <c r="D633" s="28" t="n"/>
      <c r="E633" s="29" t="n"/>
      <c r="F633" s="29" t="n"/>
      <c r="G633" s="28" t="n"/>
      <c r="H633" s="1" t="n"/>
      <c r="I633">
        <f>IF(OR(B633="",C633=""),"",B633+MOD(C633,1))</f>
        <v/>
      </c>
      <c r="J633">
        <f>IF(I633="","",IF(B633=Dashboard!$AA$1,I633,""))</f>
        <v/>
      </c>
    </row>
    <row r="634">
      <c r="A634" s="1" t="n"/>
      <c r="B634" s="26" t="n"/>
      <c r="C634" s="27" t="n"/>
      <c r="D634" s="28" t="n"/>
      <c r="E634" s="29" t="n"/>
      <c r="F634" s="29" t="n"/>
      <c r="G634" s="28" t="n"/>
      <c r="H634" s="1" t="n"/>
      <c r="I634">
        <f>IF(OR(B634="",C634=""),"",B634+MOD(C634,1))</f>
        <v/>
      </c>
      <c r="J634">
        <f>IF(I634="","",IF(B634=Dashboard!$AA$1,I634,""))</f>
        <v/>
      </c>
    </row>
    <row r="635">
      <c r="A635" s="1" t="n"/>
      <c r="B635" s="26" t="n"/>
      <c r="C635" s="27" t="n"/>
      <c r="D635" s="28" t="n"/>
      <c r="E635" s="29" t="n"/>
      <c r="F635" s="29" t="n"/>
      <c r="G635" s="28" t="n"/>
      <c r="H635" s="1" t="n"/>
      <c r="I635">
        <f>IF(OR(B635="",C635=""),"",B635+MOD(C635,1))</f>
        <v/>
      </c>
      <c r="J635">
        <f>IF(I635="","",IF(B635=Dashboard!$AA$1,I635,""))</f>
        <v/>
      </c>
    </row>
    <row r="636">
      <c r="A636" s="1" t="n"/>
      <c r="B636" s="26" t="n"/>
      <c r="C636" s="27" t="n"/>
      <c r="D636" s="28" t="n"/>
      <c r="E636" s="29" t="n"/>
      <c r="F636" s="29" t="n"/>
      <c r="G636" s="28" t="n"/>
      <c r="H636" s="1" t="n"/>
      <c r="I636">
        <f>IF(OR(B636="",C636=""),"",B636+MOD(C636,1))</f>
        <v/>
      </c>
      <c r="J636">
        <f>IF(I636="","",IF(B636=Dashboard!$AA$1,I636,""))</f>
        <v/>
      </c>
    </row>
    <row r="637">
      <c r="A637" s="1" t="n"/>
      <c r="B637" s="26" t="n"/>
      <c r="C637" s="27" t="n"/>
      <c r="D637" s="28" t="n"/>
      <c r="E637" s="29" t="n"/>
      <c r="F637" s="29" t="n"/>
      <c r="G637" s="28" t="n"/>
      <c r="H637" s="1" t="n"/>
      <c r="I637">
        <f>IF(OR(B637="",C637=""),"",B637+MOD(C637,1))</f>
        <v/>
      </c>
      <c r="J637">
        <f>IF(I637="","",IF(B637=Dashboard!$AA$1,I637,""))</f>
        <v/>
      </c>
    </row>
    <row r="638">
      <c r="A638" s="1" t="n"/>
      <c r="B638" s="26" t="n"/>
      <c r="C638" s="27" t="n"/>
      <c r="D638" s="28" t="n"/>
      <c r="E638" s="29" t="n"/>
      <c r="F638" s="29" t="n"/>
      <c r="G638" s="28" t="n"/>
      <c r="H638" s="1" t="n"/>
      <c r="I638">
        <f>IF(OR(B638="",C638=""),"",B638+MOD(C638,1))</f>
        <v/>
      </c>
      <c r="J638">
        <f>IF(I638="","",IF(B638=Dashboard!$AA$1,I638,""))</f>
        <v/>
      </c>
    </row>
    <row r="639">
      <c r="A639" s="1" t="n"/>
      <c r="B639" s="26" t="n"/>
      <c r="C639" s="27" t="n"/>
      <c r="D639" s="28" t="n"/>
      <c r="E639" s="29" t="n"/>
      <c r="F639" s="29" t="n"/>
      <c r="G639" s="28" t="n"/>
      <c r="H639" s="1" t="n"/>
      <c r="I639">
        <f>IF(OR(B639="",C639=""),"",B639+MOD(C639,1))</f>
        <v/>
      </c>
      <c r="J639">
        <f>IF(I639="","",IF(B639=Dashboard!$AA$1,I639,""))</f>
        <v/>
      </c>
    </row>
    <row r="640">
      <c r="A640" s="1" t="n"/>
      <c r="B640" s="26" t="n"/>
      <c r="C640" s="27" t="n"/>
      <c r="D640" s="28" t="n"/>
      <c r="E640" s="29" t="n"/>
      <c r="F640" s="29" t="n"/>
      <c r="G640" s="28" t="n"/>
      <c r="H640" s="1" t="n"/>
      <c r="I640">
        <f>IF(OR(B640="",C640=""),"",B640+MOD(C640,1))</f>
        <v/>
      </c>
      <c r="J640">
        <f>IF(I640="","",IF(B640=Dashboard!$AA$1,I640,""))</f>
        <v/>
      </c>
    </row>
    <row r="641">
      <c r="A641" s="1" t="n"/>
      <c r="B641" s="26" t="n"/>
      <c r="C641" s="27" t="n"/>
      <c r="D641" s="28" t="n"/>
      <c r="E641" s="29" t="n"/>
      <c r="F641" s="29" t="n"/>
      <c r="G641" s="28" t="n"/>
      <c r="H641" s="1" t="n"/>
      <c r="I641">
        <f>IF(OR(B641="",C641=""),"",B641+MOD(C641,1))</f>
        <v/>
      </c>
      <c r="J641">
        <f>IF(I641="","",IF(B641=Dashboard!$AA$1,I641,""))</f>
        <v/>
      </c>
    </row>
    <row r="642">
      <c r="A642" s="1" t="n"/>
      <c r="B642" s="26" t="n"/>
      <c r="C642" s="27" t="n"/>
      <c r="D642" s="28" t="n"/>
      <c r="E642" s="29" t="n"/>
      <c r="F642" s="29" t="n"/>
      <c r="G642" s="28" t="n"/>
      <c r="H642" s="1" t="n"/>
      <c r="I642">
        <f>IF(OR(B642="",C642=""),"",B642+MOD(C642,1))</f>
        <v/>
      </c>
      <c r="J642">
        <f>IF(I642="","",IF(B642=Dashboard!$AA$1,I642,""))</f>
        <v/>
      </c>
    </row>
    <row r="643">
      <c r="A643" s="1" t="n"/>
      <c r="B643" s="26" t="n"/>
      <c r="C643" s="27" t="n"/>
      <c r="D643" s="28" t="n"/>
      <c r="E643" s="29" t="n"/>
      <c r="F643" s="29" t="n"/>
      <c r="G643" s="28" t="n"/>
      <c r="H643" s="1" t="n"/>
      <c r="I643">
        <f>IF(OR(B643="",C643=""),"",B643+MOD(C643,1))</f>
        <v/>
      </c>
      <c r="J643">
        <f>IF(I643="","",IF(B643=Dashboard!$AA$1,I643,""))</f>
        <v/>
      </c>
    </row>
    <row r="644">
      <c r="A644" s="1" t="n"/>
      <c r="B644" s="26" t="n"/>
      <c r="C644" s="27" t="n"/>
      <c r="D644" s="28" t="n"/>
      <c r="E644" s="29" t="n"/>
      <c r="F644" s="29" t="n"/>
      <c r="G644" s="28" t="n"/>
      <c r="H644" s="1" t="n"/>
      <c r="I644">
        <f>IF(OR(B644="",C644=""),"",B644+MOD(C644,1))</f>
        <v/>
      </c>
      <c r="J644">
        <f>IF(I644="","",IF(B644=Dashboard!$AA$1,I644,""))</f>
        <v/>
      </c>
    </row>
    <row r="645">
      <c r="A645" s="1" t="n"/>
      <c r="B645" s="26" t="n"/>
      <c r="C645" s="27" t="n"/>
      <c r="D645" s="28" t="n"/>
      <c r="E645" s="29" t="n"/>
      <c r="F645" s="29" t="n"/>
      <c r="G645" s="28" t="n"/>
      <c r="H645" s="1" t="n"/>
      <c r="I645">
        <f>IF(OR(B645="",C645=""),"",B645+MOD(C645,1))</f>
        <v/>
      </c>
      <c r="J645">
        <f>IF(I645="","",IF(B645=Dashboard!$AA$1,I645,""))</f>
        <v/>
      </c>
    </row>
    <row r="646">
      <c r="A646" s="1" t="n"/>
      <c r="B646" s="26" t="n"/>
      <c r="C646" s="27" t="n"/>
      <c r="D646" s="28" t="n"/>
      <c r="E646" s="29" t="n"/>
      <c r="F646" s="29" t="n"/>
      <c r="G646" s="28" t="n"/>
      <c r="H646" s="1" t="n"/>
      <c r="I646">
        <f>IF(OR(B646="",C646=""),"",B646+MOD(C646,1))</f>
        <v/>
      </c>
      <c r="J646">
        <f>IF(I646="","",IF(B646=Dashboard!$AA$1,I646,""))</f>
        <v/>
      </c>
    </row>
    <row r="647">
      <c r="A647" s="1" t="n"/>
      <c r="B647" s="26" t="n"/>
      <c r="C647" s="27" t="n"/>
      <c r="D647" s="28" t="n"/>
      <c r="E647" s="29" t="n"/>
      <c r="F647" s="29" t="n"/>
      <c r="G647" s="28" t="n"/>
      <c r="H647" s="1" t="n"/>
      <c r="I647">
        <f>IF(OR(B647="",C647=""),"",B647+MOD(C647,1))</f>
        <v/>
      </c>
      <c r="J647">
        <f>IF(I647="","",IF(B647=Dashboard!$AA$1,I647,""))</f>
        <v/>
      </c>
    </row>
    <row r="648">
      <c r="A648" s="1" t="n"/>
      <c r="B648" s="26" t="n"/>
      <c r="C648" s="27" t="n"/>
      <c r="D648" s="28" t="n"/>
      <c r="E648" s="29" t="n"/>
      <c r="F648" s="29" t="n"/>
      <c r="G648" s="28" t="n"/>
      <c r="H648" s="1" t="n"/>
      <c r="I648">
        <f>IF(OR(B648="",C648=""),"",B648+MOD(C648,1))</f>
        <v/>
      </c>
      <c r="J648">
        <f>IF(I648="","",IF(B648=Dashboard!$AA$1,I648,""))</f>
        <v/>
      </c>
    </row>
    <row r="649">
      <c r="A649" s="1" t="n"/>
      <c r="B649" s="26" t="n"/>
      <c r="C649" s="27" t="n"/>
      <c r="D649" s="28" t="n"/>
      <c r="E649" s="29" t="n"/>
      <c r="F649" s="29" t="n"/>
      <c r="G649" s="28" t="n"/>
      <c r="H649" s="1" t="n"/>
      <c r="I649">
        <f>IF(OR(B649="",C649=""),"",B649+MOD(C649,1))</f>
        <v/>
      </c>
      <c r="J649">
        <f>IF(I649="","",IF(B649=Dashboard!$AA$1,I649,""))</f>
        <v/>
      </c>
    </row>
    <row r="650">
      <c r="A650" s="1" t="n"/>
      <c r="B650" s="26" t="n"/>
      <c r="C650" s="27" t="n"/>
      <c r="D650" s="28" t="n"/>
      <c r="E650" s="29" t="n"/>
      <c r="F650" s="29" t="n"/>
      <c r="G650" s="28" t="n"/>
      <c r="H650" s="1" t="n"/>
      <c r="I650">
        <f>IF(OR(B650="",C650=""),"",B650+MOD(C650,1))</f>
        <v/>
      </c>
      <c r="J650">
        <f>IF(I650="","",IF(B650=Dashboard!$AA$1,I650,""))</f>
        <v/>
      </c>
    </row>
    <row r="651">
      <c r="A651" s="1" t="n"/>
      <c r="B651" s="26" t="n"/>
      <c r="C651" s="27" t="n"/>
      <c r="D651" s="28" t="n"/>
      <c r="E651" s="29" t="n"/>
      <c r="F651" s="29" t="n"/>
      <c r="G651" s="28" t="n"/>
      <c r="H651" s="1" t="n"/>
      <c r="I651">
        <f>IF(OR(B651="",C651=""),"",B651+MOD(C651,1))</f>
        <v/>
      </c>
      <c r="J651">
        <f>IF(I651="","",IF(B651=Dashboard!$AA$1,I651,""))</f>
        <v/>
      </c>
    </row>
    <row r="652">
      <c r="A652" s="1" t="n"/>
      <c r="B652" s="26" t="n"/>
      <c r="C652" s="27" t="n"/>
      <c r="D652" s="28" t="n"/>
      <c r="E652" s="29" t="n"/>
      <c r="F652" s="29" t="n"/>
      <c r="G652" s="28" t="n"/>
      <c r="H652" s="1" t="n"/>
      <c r="I652">
        <f>IF(OR(B652="",C652=""),"",B652+MOD(C652,1))</f>
        <v/>
      </c>
      <c r="J652">
        <f>IF(I652="","",IF(B652=Dashboard!$AA$1,I652,""))</f>
        <v/>
      </c>
    </row>
    <row r="653">
      <c r="A653" s="1" t="n"/>
      <c r="B653" s="26" t="n"/>
      <c r="C653" s="27" t="n"/>
      <c r="D653" s="28" t="n"/>
      <c r="E653" s="29" t="n"/>
      <c r="F653" s="29" t="n"/>
      <c r="G653" s="28" t="n"/>
      <c r="H653" s="1" t="n"/>
      <c r="I653">
        <f>IF(OR(B653="",C653=""),"",B653+MOD(C653,1))</f>
        <v/>
      </c>
      <c r="J653">
        <f>IF(I653="","",IF(B653=Dashboard!$AA$1,I653,""))</f>
        <v/>
      </c>
    </row>
    <row r="654">
      <c r="A654" s="1" t="n"/>
      <c r="B654" s="26" t="n"/>
      <c r="C654" s="27" t="n"/>
      <c r="D654" s="28" t="n"/>
      <c r="E654" s="29" t="n"/>
      <c r="F654" s="29" t="n"/>
      <c r="G654" s="28" t="n"/>
      <c r="H654" s="1" t="n"/>
      <c r="I654">
        <f>IF(OR(B654="",C654=""),"",B654+MOD(C654,1))</f>
        <v/>
      </c>
      <c r="J654">
        <f>IF(I654="","",IF(B654=Dashboard!$AA$1,I654,""))</f>
        <v/>
      </c>
    </row>
    <row r="655">
      <c r="A655" s="1" t="n"/>
      <c r="B655" s="26" t="n"/>
      <c r="C655" s="27" t="n"/>
      <c r="D655" s="28" t="n"/>
      <c r="E655" s="29" t="n"/>
      <c r="F655" s="29" t="n"/>
      <c r="G655" s="28" t="n"/>
      <c r="H655" s="1" t="n"/>
      <c r="I655">
        <f>IF(OR(B655="",C655=""),"",B655+MOD(C655,1))</f>
        <v/>
      </c>
      <c r="J655">
        <f>IF(I655="","",IF(B655=Dashboard!$AA$1,I655,""))</f>
        <v/>
      </c>
    </row>
    <row r="656">
      <c r="A656" s="1" t="n"/>
      <c r="B656" s="26" t="n"/>
      <c r="C656" s="27" t="n"/>
      <c r="D656" s="28" t="n"/>
      <c r="E656" s="29" t="n"/>
      <c r="F656" s="29" t="n"/>
      <c r="G656" s="28" t="n"/>
      <c r="H656" s="1" t="n"/>
      <c r="I656">
        <f>IF(OR(B656="",C656=""),"",B656+MOD(C656,1))</f>
        <v/>
      </c>
      <c r="J656">
        <f>IF(I656="","",IF(B656=Dashboard!$AA$1,I656,""))</f>
        <v/>
      </c>
    </row>
    <row r="657">
      <c r="A657" s="1" t="n"/>
      <c r="B657" s="26" t="n"/>
      <c r="C657" s="27" t="n"/>
      <c r="D657" s="28" t="n"/>
      <c r="E657" s="29" t="n"/>
      <c r="F657" s="29" t="n"/>
      <c r="G657" s="28" t="n"/>
      <c r="H657" s="1" t="n"/>
      <c r="I657">
        <f>IF(OR(B657="",C657=""),"",B657+MOD(C657,1))</f>
        <v/>
      </c>
      <c r="J657">
        <f>IF(I657="","",IF(B657=Dashboard!$AA$1,I657,""))</f>
        <v/>
      </c>
    </row>
    <row r="658">
      <c r="A658" s="1" t="n"/>
      <c r="B658" s="26" t="n"/>
      <c r="C658" s="27" t="n"/>
      <c r="D658" s="28" t="n"/>
      <c r="E658" s="29" t="n"/>
      <c r="F658" s="29" t="n"/>
      <c r="G658" s="28" t="n"/>
      <c r="H658" s="1" t="n"/>
      <c r="I658">
        <f>IF(OR(B658="",C658=""),"",B658+MOD(C658,1))</f>
        <v/>
      </c>
      <c r="J658">
        <f>IF(I658="","",IF(B658=Dashboard!$AA$1,I658,""))</f>
        <v/>
      </c>
    </row>
    <row r="659">
      <c r="A659" s="1" t="n"/>
      <c r="B659" s="26" t="n"/>
      <c r="C659" s="27" t="n"/>
      <c r="D659" s="28" t="n"/>
      <c r="E659" s="29" t="n"/>
      <c r="F659" s="29" t="n"/>
      <c r="G659" s="28" t="n"/>
      <c r="H659" s="1" t="n"/>
      <c r="I659">
        <f>IF(OR(B659="",C659=""),"",B659+MOD(C659,1))</f>
        <v/>
      </c>
      <c r="J659">
        <f>IF(I659="","",IF(B659=Dashboard!$AA$1,I659,""))</f>
        <v/>
      </c>
    </row>
    <row r="660">
      <c r="A660" s="1" t="n"/>
      <c r="B660" s="26" t="n"/>
      <c r="C660" s="27" t="n"/>
      <c r="D660" s="28" t="n"/>
      <c r="E660" s="29" t="n"/>
      <c r="F660" s="29" t="n"/>
      <c r="G660" s="28" t="n"/>
      <c r="H660" s="1" t="n"/>
      <c r="I660">
        <f>IF(OR(B660="",C660=""),"",B660+MOD(C660,1))</f>
        <v/>
      </c>
      <c r="J660">
        <f>IF(I660="","",IF(B660=Dashboard!$AA$1,I660,""))</f>
        <v/>
      </c>
    </row>
    <row r="661">
      <c r="A661" s="1" t="n"/>
      <c r="B661" s="26" t="n"/>
      <c r="C661" s="27" t="n"/>
      <c r="D661" s="28" t="n"/>
      <c r="E661" s="29" t="n"/>
      <c r="F661" s="29" t="n"/>
      <c r="G661" s="28" t="n"/>
      <c r="H661" s="1" t="n"/>
      <c r="I661">
        <f>IF(OR(B661="",C661=""),"",B661+MOD(C661,1))</f>
        <v/>
      </c>
      <c r="J661">
        <f>IF(I661="","",IF(B661=Dashboard!$AA$1,I661,""))</f>
        <v/>
      </c>
    </row>
    <row r="662">
      <c r="A662" s="1" t="n"/>
      <c r="B662" s="26" t="n"/>
      <c r="C662" s="27" t="n"/>
      <c r="D662" s="28" t="n"/>
      <c r="E662" s="29" t="n"/>
      <c r="F662" s="29" t="n"/>
      <c r="G662" s="28" t="n"/>
      <c r="H662" s="1" t="n"/>
      <c r="I662">
        <f>IF(OR(B662="",C662=""),"",B662+MOD(C662,1))</f>
        <v/>
      </c>
      <c r="J662">
        <f>IF(I662="","",IF(B662=Dashboard!$AA$1,I662,""))</f>
        <v/>
      </c>
    </row>
    <row r="663">
      <c r="A663" s="1" t="n"/>
      <c r="B663" s="26" t="n"/>
      <c r="C663" s="27" t="n"/>
      <c r="D663" s="28" t="n"/>
      <c r="E663" s="29" t="n"/>
      <c r="F663" s="29" t="n"/>
      <c r="G663" s="28" t="n"/>
      <c r="H663" s="1" t="n"/>
      <c r="I663">
        <f>IF(OR(B663="",C663=""),"",B663+MOD(C663,1))</f>
        <v/>
      </c>
      <c r="J663">
        <f>IF(I663="","",IF(B663=Dashboard!$AA$1,I663,""))</f>
        <v/>
      </c>
    </row>
    <row r="664">
      <c r="A664" s="1" t="n"/>
      <c r="B664" s="26" t="n"/>
      <c r="C664" s="27" t="n"/>
      <c r="D664" s="28" t="n"/>
      <c r="E664" s="29" t="n"/>
      <c r="F664" s="29" t="n"/>
      <c r="G664" s="28" t="n"/>
      <c r="H664" s="1" t="n"/>
      <c r="I664">
        <f>IF(OR(B664="",C664=""),"",B664+MOD(C664,1))</f>
        <v/>
      </c>
      <c r="J664">
        <f>IF(I664="","",IF(B664=Dashboard!$AA$1,I664,""))</f>
        <v/>
      </c>
    </row>
    <row r="665">
      <c r="A665" s="1" t="n"/>
      <c r="B665" s="26" t="n"/>
      <c r="C665" s="27" t="n"/>
      <c r="D665" s="28" t="n"/>
      <c r="E665" s="29" t="n"/>
      <c r="F665" s="29" t="n"/>
      <c r="G665" s="28" t="n"/>
      <c r="H665" s="1" t="n"/>
      <c r="I665">
        <f>IF(OR(B665="",C665=""),"",B665+MOD(C665,1))</f>
        <v/>
      </c>
      <c r="J665">
        <f>IF(I665="","",IF(B665=Dashboard!$AA$1,I665,""))</f>
        <v/>
      </c>
    </row>
    <row r="666">
      <c r="A666" s="1" t="n"/>
      <c r="B666" s="26" t="n"/>
      <c r="C666" s="27" t="n"/>
      <c r="D666" s="28" t="n"/>
      <c r="E666" s="29" t="n"/>
      <c r="F666" s="29" t="n"/>
      <c r="G666" s="28" t="n"/>
      <c r="H666" s="1" t="n"/>
      <c r="I666">
        <f>IF(OR(B666="",C666=""),"",B666+MOD(C666,1))</f>
        <v/>
      </c>
      <c r="J666">
        <f>IF(I666="","",IF(B666=Dashboard!$AA$1,I666,""))</f>
        <v/>
      </c>
    </row>
    <row r="667">
      <c r="A667" s="1" t="n"/>
      <c r="B667" s="26" t="n"/>
      <c r="C667" s="27" t="n"/>
      <c r="D667" s="28" t="n"/>
      <c r="E667" s="29" t="n"/>
      <c r="F667" s="29" t="n"/>
      <c r="G667" s="28" t="n"/>
      <c r="H667" s="1" t="n"/>
      <c r="I667">
        <f>IF(OR(B667="",C667=""),"",B667+MOD(C667,1))</f>
        <v/>
      </c>
      <c r="J667">
        <f>IF(I667="","",IF(B667=Dashboard!$AA$1,I667,""))</f>
        <v/>
      </c>
    </row>
    <row r="668">
      <c r="A668" s="1" t="n"/>
      <c r="B668" s="26" t="n"/>
      <c r="C668" s="27" t="n"/>
      <c r="D668" s="28" t="n"/>
      <c r="E668" s="29" t="n"/>
      <c r="F668" s="29" t="n"/>
      <c r="G668" s="28" t="n"/>
      <c r="H668" s="1" t="n"/>
      <c r="I668">
        <f>IF(OR(B668="",C668=""),"",B668+MOD(C668,1))</f>
        <v/>
      </c>
      <c r="J668">
        <f>IF(I668="","",IF(B668=Dashboard!$AA$1,I668,""))</f>
        <v/>
      </c>
    </row>
    <row r="669">
      <c r="A669" s="1" t="n"/>
      <c r="B669" s="26" t="n"/>
      <c r="C669" s="27" t="n"/>
      <c r="D669" s="28" t="n"/>
      <c r="E669" s="29" t="n"/>
      <c r="F669" s="29" t="n"/>
      <c r="G669" s="28" t="n"/>
      <c r="H669" s="1" t="n"/>
      <c r="I669">
        <f>IF(OR(B669="",C669=""),"",B669+MOD(C669,1))</f>
        <v/>
      </c>
      <c r="J669">
        <f>IF(I669="","",IF(B669=Dashboard!$AA$1,I669,""))</f>
        <v/>
      </c>
    </row>
    <row r="670">
      <c r="A670" s="1" t="n"/>
      <c r="B670" s="26" t="n"/>
      <c r="C670" s="27" t="n"/>
      <c r="D670" s="28" t="n"/>
      <c r="E670" s="29" t="n"/>
      <c r="F670" s="29" t="n"/>
      <c r="G670" s="28" t="n"/>
      <c r="H670" s="1" t="n"/>
      <c r="I670">
        <f>IF(OR(B670="",C670=""),"",B670+MOD(C670,1))</f>
        <v/>
      </c>
      <c r="J670">
        <f>IF(I670="","",IF(B670=Dashboard!$AA$1,I670,""))</f>
        <v/>
      </c>
    </row>
    <row r="671">
      <c r="A671" s="1" t="n"/>
      <c r="B671" s="26" t="n"/>
      <c r="C671" s="27" t="n"/>
      <c r="D671" s="28" t="n"/>
      <c r="E671" s="29" t="n"/>
      <c r="F671" s="29" t="n"/>
      <c r="G671" s="28" t="n"/>
      <c r="H671" s="1" t="n"/>
      <c r="I671">
        <f>IF(OR(B671="",C671=""),"",B671+MOD(C671,1))</f>
        <v/>
      </c>
      <c r="J671">
        <f>IF(I671="","",IF(B671=Dashboard!$AA$1,I671,""))</f>
        <v/>
      </c>
    </row>
    <row r="672">
      <c r="A672" s="1" t="n"/>
      <c r="B672" s="26" t="n"/>
      <c r="C672" s="27" t="n"/>
      <c r="D672" s="28" t="n"/>
      <c r="E672" s="29" t="n"/>
      <c r="F672" s="29" t="n"/>
      <c r="G672" s="28" t="n"/>
      <c r="H672" s="1" t="n"/>
      <c r="I672">
        <f>IF(OR(B672="",C672=""),"",B672+MOD(C672,1))</f>
        <v/>
      </c>
      <c r="J672">
        <f>IF(I672="","",IF(B672=Dashboard!$AA$1,I672,""))</f>
        <v/>
      </c>
    </row>
    <row r="673">
      <c r="A673" s="1" t="n"/>
      <c r="B673" s="26" t="n"/>
      <c r="C673" s="27" t="n"/>
      <c r="D673" s="28" t="n"/>
      <c r="E673" s="29" t="n"/>
      <c r="F673" s="29" t="n"/>
      <c r="G673" s="28" t="n"/>
      <c r="H673" s="1" t="n"/>
      <c r="I673">
        <f>IF(OR(B673="",C673=""),"",B673+MOD(C673,1))</f>
        <v/>
      </c>
      <c r="J673">
        <f>IF(I673="","",IF(B673=Dashboard!$AA$1,I673,""))</f>
        <v/>
      </c>
    </row>
    <row r="674">
      <c r="A674" s="1" t="n"/>
      <c r="B674" s="26" t="n"/>
      <c r="C674" s="27" t="n"/>
      <c r="D674" s="28" t="n"/>
      <c r="E674" s="29" t="n"/>
      <c r="F674" s="29" t="n"/>
      <c r="G674" s="28" t="n"/>
      <c r="H674" s="1" t="n"/>
      <c r="I674">
        <f>IF(OR(B674="",C674=""),"",B674+MOD(C674,1))</f>
        <v/>
      </c>
      <c r="J674">
        <f>IF(I674="","",IF(B674=Dashboard!$AA$1,I674,""))</f>
        <v/>
      </c>
    </row>
    <row r="675">
      <c r="A675" s="1" t="n"/>
      <c r="B675" s="26" t="n"/>
      <c r="C675" s="27" t="n"/>
      <c r="D675" s="28" t="n"/>
      <c r="E675" s="29" t="n"/>
      <c r="F675" s="29" t="n"/>
      <c r="G675" s="28" t="n"/>
      <c r="H675" s="1" t="n"/>
      <c r="I675">
        <f>IF(OR(B675="",C675=""),"",B675+MOD(C675,1))</f>
        <v/>
      </c>
      <c r="J675">
        <f>IF(I675="","",IF(B675=Dashboard!$AA$1,I675,""))</f>
        <v/>
      </c>
    </row>
    <row r="676">
      <c r="A676" s="1" t="n"/>
      <c r="B676" s="26" t="n"/>
      <c r="C676" s="27" t="n"/>
      <c r="D676" s="28" t="n"/>
      <c r="E676" s="29" t="n"/>
      <c r="F676" s="29" t="n"/>
      <c r="G676" s="28" t="n"/>
      <c r="H676" s="1" t="n"/>
      <c r="I676">
        <f>IF(OR(B676="",C676=""),"",B676+MOD(C676,1))</f>
        <v/>
      </c>
      <c r="J676">
        <f>IF(I676="","",IF(B676=Dashboard!$AA$1,I676,""))</f>
        <v/>
      </c>
    </row>
    <row r="677">
      <c r="A677" s="1" t="n"/>
      <c r="B677" s="26" t="n"/>
      <c r="C677" s="27" t="n"/>
      <c r="D677" s="28" t="n"/>
      <c r="E677" s="29" t="n"/>
      <c r="F677" s="29" t="n"/>
      <c r="G677" s="28" t="n"/>
      <c r="H677" s="1" t="n"/>
      <c r="I677">
        <f>IF(OR(B677="",C677=""),"",B677+MOD(C677,1))</f>
        <v/>
      </c>
      <c r="J677">
        <f>IF(I677="","",IF(B677=Dashboard!$AA$1,I677,""))</f>
        <v/>
      </c>
    </row>
    <row r="678">
      <c r="A678" s="1" t="n"/>
      <c r="B678" s="26" t="n"/>
      <c r="C678" s="27" t="n"/>
      <c r="D678" s="28" t="n"/>
      <c r="E678" s="29" t="n"/>
      <c r="F678" s="29" t="n"/>
      <c r="G678" s="28" t="n"/>
      <c r="H678" s="1" t="n"/>
      <c r="I678">
        <f>IF(OR(B678="",C678=""),"",B678+MOD(C678,1))</f>
        <v/>
      </c>
      <c r="J678">
        <f>IF(I678="","",IF(B678=Dashboard!$AA$1,I678,""))</f>
        <v/>
      </c>
    </row>
    <row r="679">
      <c r="A679" s="1" t="n"/>
      <c r="B679" s="26" t="n"/>
      <c r="C679" s="27" t="n"/>
      <c r="D679" s="28" t="n"/>
      <c r="E679" s="29" t="n"/>
      <c r="F679" s="29" t="n"/>
      <c r="G679" s="28" t="n"/>
      <c r="H679" s="1" t="n"/>
      <c r="I679">
        <f>IF(OR(B679="",C679=""),"",B679+MOD(C679,1))</f>
        <v/>
      </c>
      <c r="J679">
        <f>IF(I679="","",IF(B679=Dashboard!$AA$1,I679,""))</f>
        <v/>
      </c>
    </row>
    <row r="680">
      <c r="A680" s="1" t="n"/>
      <c r="B680" s="26" t="n"/>
      <c r="C680" s="27" t="n"/>
      <c r="D680" s="28" t="n"/>
      <c r="E680" s="29" t="n"/>
      <c r="F680" s="29" t="n"/>
      <c r="G680" s="28" t="n"/>
      <c r="H680" s="1" t="n"/>
      <c r="I680">
        <f>IF(OR(B680="",C680=""),"",B680+MOD(C680,1))</f>
        <v/>
      </c>
      <c r="J680">
        <f>IF(I680="","",IF(B680=Dashboard!$AA$1,I680,""))</f>
        <v/>
      </c>
    </row>
    <row r="681">
      <c r="A681" s="1" t="n"/>
      <c r="B681" s="26" t="n"/>
      <c r="C681" s="27" t="n"/>
      <c r="D681" s="28" t="n"/>
      <c r="E681" s="29" t="n"/>
      <c r="F681" s="29" t="n"/>
      <c r="G681" s="28" t="n"/>
      <c r="H681" s="1" t="n"/>
      <c r="I681">
        <f>IF(OR(B681="",C681=""),"",B681+MOD(C681,1))</f>
        <v/>
      </c>
      <c r="J681">
        <f>IF(I681="","",IF(B681=Dashboard!$AA$1,I681,""))</f>
        <v/>
      </c>
    </row>
    <row r="682">
      <c r="A682" s="1" t="n"/>
      <c r="B682" s="26" t="n"/>
      <c r="C682" s="27" t="n"/>
      <c r="D682" s="28" t="n"/>
      <c r="E682" s="29" t="n"/>
      <c r="F682" s="29" t="n"/>
      <c r="G682" s="28" t="n"/>
      <c r="H682" s="1" t="n"/>
      <c r="I682">
        <f>IF(OR(B682="",C682=""),"",B682+MOD(C682,1))</f>
        <v/>
      </c>
      <c r="J682">
        <f>IF(I682="","",IF(B682=Dashboard!$AA$1,I682,""))</f>
        <v/>
      </c>
    </row>
    <row r="683">
      <c r="A683" s="1" t="n"/>
      <c r="B683" s="26" t="n"/>
      <c r="C683" s="27" t="n"/>
      <c r="D683" s="28" t="n"/>
      <c r="E683" s="29" t="n"/>
      <c r="F683" s="29" t="n"/>
      <c r="G683" s="28" t="n"/>
      <c r="H683" s="1" t="n"/>
      <c r="I683">
        <f>IF(OR(B683="",C683=""),"",B683+MOD(C683,1))</f>
        <v/>
      </c>
      <c r="J683">
        <f>IF(I683="","",IF(B683=Dashboard!$AA$1,I683,""))</f>
        <v/>
      </c>
    </row>
    <row r="684">
      <c r="A684" s="1" t="n"/>
      <c r="B684" s="26" t="n"/>
      <c r="C684" s="27" t="n"/>
      <c r="D684" s="28" t="n"/>
      <c r="E684" s="29" t="n"/>
      <c r="F684" s="29" t="n"/>
      <c r="G684" s="28" t="n"/>
      <c r="H684" s="1" t="n"/>
      <c r="I684">
        <f>IF(OR(B684="",C684=""),"",B684+MOD(C684,1))</f>
        <v/>
      </c>
      <c r="J684">
        <f>IF(I684="","",IF(B684=Dashboard!$AA$1,I684,""))</f>
        <v/>
      </c>
    </row>
    <row r="685">
      <c r="A685" s="1" t="n"/>
      <c r="B685" s="26" t="n"/>
      <c r="C685" s="27" t="n"/>
      <c r="D685" s="28" t="n"/>
      <c r="E685" s="29" t="n"/>
      <c r="F685" s="29" t="n"/>
      <c r="G685" s="28" t="n"/>
      <c r="H685" s="1" t="n"/>
      <c r="I685">
        <f>IF(OR(B685="",C685=""),"",B685+MOD(C685,1))</f>
        <v/>
      </c>
      <c r="J685">
        <f>IF(I685="","",IF(B685=Dashboard!$AA$1,I685,""))</f>
        <v/>
      </c>
    </row>
    <row r="686">
      <c r="A686" s="1" t="n"/>
      <c r="B686" s="26" t="n"/>
      <c r="C686" s="27" t="n"/>
      <c r="D686" s="28" t="n"/>
      <c r="E686" s="29" t="n"/>
      <c r="F686" s="29" t="n"/>
      <c r="G686" s="28" t="n"/>
      <c r="H686" s="1" t="n"/>
      <c r="I686">
        <f>IF(OR(B686="",C686=""),"",B686+MOD(C686,1))</f>
        <v/>
      </c>
      <c r="J686">
        <f>IF(I686="","",IF(B686=Dashboard!$AA$1,I686,""))</f>
        <v/>
      </c>
    </row>
    <row r="687">
      <c r="A687" s="1" t="n"/>
      <c r="B687" s="26" t="n"/>
      <c r="C687" s="27" t="n"/>
      <c r="D687" s="28" t="n"/>
      <c r="E687" s="29" t="n"/>
      <c r="F687" s="29" t="n"/>
      <c r="G687" s="28" t="n"/>
      <c r="H687" s="1" t="n"/>
      <c r="I687">
        <f>IF(OR(B687="",C687=""),"",B687+MOD(C687,1))</f>
        <v/>
      </c>
      <c r="J687">
        <f>IF(I687="","",IF(B687=Dashboard!$AA$1,I687,""))</f>
        <v/>
      </c>
    </row>
    <row r="688">
      <c r="A688" s="1" t="n"/>
      <c r="B688" s="26" t="n"/>
      <c r="C688" s="27" t="n"/>
      <c r="D688" s="28" t="n"/>
      <c r="E688" s="29" t="n"/>
      <c r="F688" s="29" t="n"/>
      <c r="G688" s="28" t="n"/>
      <c r="H688" s="1" t="n"/>
      <c r="I688">
        <f>IF(OR(B688="",C688=""),"",B688+MOD(C688,1))</f>
        <v/>
      </c>
      <c r="J688">
        <f>IF(I688="","",IF(B688=Dashboard!$AA$1,I688,""))</f>
        <v/>
      </c>
    </row>
    <row r="689">
      <c r="A689" s="1" t="n"/>
      <c r="B689" s="26" t="n"/>
      <c r="C689" s="27" t="n"/>
      <c r="D689" s="28" t="n"/>
      <c r="E689" s="29" t="n"/>
      <c r="F689" s="29" t="n"/>
      <c r="G689" s="28" t="n"/>
      <c r="H689" s="1" t="n"/>
      <c r="I689">
        <f>IF(OR(B689="",C689=""),"",B689+MOD(C689,1))</f>
        <v/>
      </c>
      <c r="J689">
        <f>IF(I689="","",IF(B689=Dashboard!$AA$1,I689,""))</f>
        <v/>
      </c>
    </row>
    <row r="690">
      <c r="A690" s="1" t="n"/>
      <c r="B690" s="26" t="n"/>
      <c r="C690" s="27" t="n"/>
      <c r="D690" s="28" t="n"/>
      <c r="E690" s="29" t="n"/>
      <c r="F690" s="29" t="n"/>
      <c r="G690" s="28" t="n"/>
      <c r="H690" s="1" t="n"/>
      <c r="I690">
        <f>IF(OR(B690="",C690=""),"",B690+MOD(C690,1))</f>
        <v/>
      </c>
      <c r="J690">
        <f>IF(I690="","",IF(B690=Dashboard!$AA$1,I690,""))</f>
        <v/>
      </c>
    </row>
    <row r="691">
      <c r="A691" s="1" t="n"/>
      <c r="B691" s="26" t="n"/>
      <c r="C691" s="27" t="n"/>
      <c r="D691" s="28" t="n"/>
      <c r="E691" s="29" t="n"/>
      <c r="F691" s="29" t="n"/>
      <c r="G691" s="28" t="n"/>
      <c r="H691" s="1" t="n"/>
      <c r="I691">
        <f>IF(OR(B691="",C691=""),"",B691+MOD(C691,1))</f>
        <v/>
      </c>
      <c r="J691">
        <f>IF(I691="","",IF(B691=Dashboard!$AA$1,I691,""))</f>
        <v/>
      </c>
    </row>
    <row r="692">
      <c r="A692" s="1" t="n"/>
      <c r="B692" s="26" t="n"/>
      <c r="C692" s="27" t="n"/>
      <c r="D692" s="28" t="n"/>
      <c r="E692" s="29" t="n"/>
      <c r="F692" s="29" t="n"/>
      <c r="G692" s="28" t="n"/>
      <c r="H692" s="1" t="n"/>
      <c r="I692">
        <f>IF(OR(B692="",C692=""),"",B692+MOD(C692,1))</f>
        <v/>
      </c>
      <c r="J692">
        <f>IF(I692="","",IF(B692=Dashboard!$AA$1,I692,""))</f>
        <v/>
      </c>
    </row>
    <row r="693">
      <c r="A693" s="1" t="n"/>
      <c r="B693" s="26" t="n"/>
      <c r="C693" s="27" t="n"/>
      <c r="D693" s="28" t="n"/>
      <c r="E693" s="29" t="n"/>
      <c r="F693" s="29" t="n"/>
      <c r="G693" s="28" t="n"/>
      <c r="H693" s="1" t="n"/>
      <c r="I693">
        <f>IF(OR(B693="",C693=""),"",B693+MOD(C693,1))</f>
        <v/>
      </c>
      <c r="J693">
        <f>IF(I693="","",IF(B693=Dashboard!$AA$1,I693,""))</f>
        <v/>
      </c>
    </row>
    <row r="694">
      <c r="A694" s="1" t="n"/>
      <c r="B694" s="26" t="n"/>
      <c r="C694" s="27" t="n"/>
      <c r="D694" s="28" t="n"/>
      <c r="E694" s="29" t="n"/>
      <c r="F694" s="29" t="n"/>
      <c r="G694" s="28" t="n"/>
      <c r="H694" s="1" t="n"/>
      <c r="I694">
        <f>IF(OR(B694="",C694=""),"",B694+MOD(C694,1))</f>
        <v/>
      </c>
      <c r="J694">
        <f>IF(I694="","",IF(B694=Dashboard!$AA$1,I694,""))</f>
        <v/>
      </c>
    </row>
    <row r="695">
      <c r="A695" s="1" t="n"/>
      <c r="B695" s="26" t="n"/>
      <c r="C695" s="27" t="n"/>
      <c r="D695" s="28" t="n"/>
      <c r="E695" s="29" t="n"/>
      <c r="F695" s="29" t="n"/>
      <c r="G695" s="28" t="n"/>
      <c r="H695" s="1" t="n"/>
      <c r="I695">
        <f>IF(OR(B695="",C695=""),"",B695+MOD(C695,1))</f>
        <v/>
      </c>
      <c r="J695">
        <f>IF(I695="","",IF(B695=Dashboard!$AA$1,I695,""))</f>
        <v/>
      </c>
    </row>
    <row r="696">
      <c r="A696" s="1" t="n"/>
      <c r="B696" s="26" t="n"/>
      <c r="C696" s="27" t="n"/>
      <c r="D696" s="28" t="n"/>
      <c r="E696" s="29" t="n"/>
      <c r="F696" s="29" t="n"/>
      <c r="G696" s="28" t="n"/>
      <c r="H696" s="1" t="n"/>
      <c r="I696">
        <f>IF(OR(B696="",C696=""),"",B696+MOD(C696,1))</f>
        <v/>
      </c>
      <c r="J696">
        <f>IF(I696="","",IF(B696=Dashboard!$AA$1,I696,""))</f>
        <v/>
      </c>
    </row>
    <row r="697">
      <c r="A697" s="1" t="n"/>
      <c r="B697" s="26" t="n"/>
      <c r="C697" s="27" t="n"/>
      <c r="D697" s="28" t="n"/>
      <c r="E697" s="29" t="n"/>
      <c r="F697" s="29" t="n"/>
      <c r="G697" s="28" t="n"/>
      <c r="H697" s="1" t="n"/>
      <c r="I697">
        <f>IF(OR(B697="",C697=""),"",B697+MOD(C697,1))</f>
        <v/>
      </c>
      <c r="J697">
        <f>IF(I697="","",IF(B697=Dashboard!$AA$1,I697,""))</f>
        <v/>
      </c>
    </row>
    <row r="698">
      <c r="A698" s="1" t="n"/>
      <c r="B698" s="26" t="n"/>
      <c r="C698" s="27" t="n"/>
      <c r="D698" s="28" t="n"/>
      <c r="E698" s="29" t="n"/>
      <c r="F698" s="29" t="n"/>
      <c r="G698" s="28" t="n"/>
      <c r="H698" s="1" t="n"/>
      <c r="I698">
        <f>IF(OR(B698="",C698=""),"",B698+MOD(C698,1))</f>
        <v/>
      </c>
      <c r="J698">
        <f>IF(I698="","",IF(B698=Dashboard!$AA$1,I698,""))</f>
        <v/>
      </c>
    </row>
    <row r="699">
      <c r="A699" s="1" t="n"/>
      <c r="B699" s="26" t="n"/>
      <c r="C699" s="27" t="n"/>
      <c r="D699" s="28" t="n"/>
      <c r="E699" s="29" t="n"/>
      <c r="F699" s="29" t="n"/>
      <c r="G699" s="28" t="n"/>
      <c r="H699" s="1" t="n"/>
      <c r="I699">
        <f>IF(OR(B699="",C699=""),"",B699+MOD(C699,1))</f>
        <v/>
      </c>
      <c r="J699">
        <f>IF(I699="","",IF(B699=Dashboard!$AA$1,I699,""))</f>
        <v/>
      </c>
    </row>
    <row r="700">
      <c r="A700" s="1" t="n"/>
      <c r="B700" s="26" t="n"/>
      <c r="C700" s="27" t="n"/>
      <c r="D700" s="28" t="n"/>
      <c r="E700" s="29" t="n"/>
      <c r="F700" s="29" t="n"/>
      <c r="G700" s="28" t="n"/>
      <c r="H700" s="1" t="n"/>
      <c r="I700">
        <f>IF(OR(B700="",C700=""),"",B700+MOD(C700,1))</f>
        <v/>
      </c>
      <c r="J700">
        <f>IF(I700="","",IF(B700=Dashboard!$AA$1,I700,""))</f>
        <v/>
      </c>
    </row>
    <row r="701">
      <c r="A701" s="1" t="n"/>
      <c r="B701" s="26" t="n"/>
      <c r="C701" s="27" t="n"/>
      <c r="D701" s="28" t="n"/>
      <c r="E701" s="29" t="n"/>
      <c r="F701" s="29" t="n"/>
      <c r="G701" s="28" t="n"/>
      <c r="H701" s="1" t="n"/>
      <c r="I701">
        <f>IF(OR(B701="",C701=""),"",B701+MOD(C701,1))</f>
        <v/>
      </c>
      <c r="J701">
        <f>IF(I701="","",IF(B701=Dashboard!$AA$1,I701,""))</f>
        <v/>
      </c>
    </row>
    <row r="702">
      <c r="A702" s="1" t="n"/>
      <c r="B702" s="26" t="n"/>
      <c r="C702" s="27" t="n"/>
      <c r="D702" s="28" t="n"/>
      <c r="E702" s="29" t="n"/>
      <c r="F702" s="29" t="n"/>
      <c r="G702" s="28" t="n"/>
      <c r="H702" s="1" t="n"/>
      <c r="I702">
        <f>IF(OR(B702="",C702=""),"",B702+MOD(C702,1))</f>
        <v/>
      </c>
      <c r="J702">
        <f>IF(I702="","",IF(B702=Dashboard!$AA$1,I702,""))</f>
        <v/>
      </c>
    </row>
    <row r="703">
      <c r="A703" s="1" t="n"/>
      <c r="B703" s="26" t="n"/>
      <c r="C703" s="27" t="n"/>
      <c r="D703" s="28" t="n"/>
      <c r="E703" s="29" t="n"/>
      <c r="F703" s="29" t="n"/>
      <c r="G703" s="28" t="n"/>
      <c r="H703" s="1" t="n"/>
      <c r="I703">
        <f>IF(OR(B703="",C703=""),"",B703+MOD(C703,1))</f>
        <v/>
      </c>
      <c r="J703">
        <f>IF(I703="","",IF(B703=Dashboard!$AA$1,I703,""))</f>
        <v/>
      </c>
    </row>
    <row r="704">
      <c r="A704" s="1" t="n"/>
      <c r="B704" s="26" t="n"/>
      <c r="C704" s="27" t="n"/>
      <c r="D704" s="28" t="n"/>
      <c r="E704" s="29" t="n"/>
      <c r="F704" s="29" t="n"/>
      <c r="G704" s="28" t="n"/>
      <c r="H704" s="1" t="n"/>
      <c r="I704">
        <f>IF(OR(B704="",C704=""),"",B704+MOD(C704,1))</f>
        <v/>
      </c>
      <c r="J704">
        <f>IF(I704="","",IF(B704=Dashboard!$AA$1,I704,""))</f>
        <v/>
      </c>
    </row>
    <row r="705">
      <c r="A705" s="1" t="n"/>
      <c r="B705" s="26" t="n"/>
      <c r="C705" s="27" t="n"/>
      <c r="D705" s="28" t="n"/>
      <c r="E705" s="29" t="n"/>
      <c r="F705" s="29" t="n"/>
      <c r="G705" s="28" t="n"/>
      <c r="H705" s="1" t="n"/>
      <c r="I705">
        <f>IF(OR(B705="",C705=""),"",B705+MOD(C705,1))</f>
        <v/>
      </c>
      <c r="J705">
        <f>IF(I705="","",IF(B705=Dashboard!$AA$1,I705,""))</f>
        <v/>
      </c>
    </row>
    <row r="706">
      <c r="A706" s="1" t="n"/>
      <c r="B706" s="26" t="n"/>
      <c r="C706" s="27" t="n"/>
      <c r="D706" s="28" t="n"/>
      <c r="E706" s="29" t="n"/>
      <c r="F706" s="29" t="n"/>
      <c r="G706" s="28" t="n"/>
      <c r="H706" s="1" t="n"/>
      <c r="I706">
        <f>IF(OR(B706="",C706=""),"",B706+MOD(C706,1))</f>
        <v/>
      </c>
      <c r="J706">
        <f>IF(I706="","",IF(B706=Dashboard!$AA$1,I706,""))</f>
        <v/>
      </c>
    </row>
    <row r="707">
      <c r="A707" s="1" t="n"/>
      <c r="B707" s="26" t="n"/>
      <c r="C707" s="27" t="n"/>
      <c r="D707" s="28" t="n"/>
      <c r="E707" s="29" t="n"/>
      <c r="F707" s="29" t="n"/>
      <c r="G707" s="28" t="n"/>
      <c r="H707" s="1" t="n"/>
      <c r="I707">
        <f>IF(OR(B707="",C707=""),"",B707+MOD(C707,1))</f>
        <v/>
      </c>
      <c r="J707">
        <f>IF(I707="","",IF(B707=Dashboard!$AA$1,I707,""))</f>
        <v/>
      </c>
    </row>
    <row r="708">
      <c r="A708" s="1" t="n"/>
      <c r="B708" s="26" t="n"/>
      <c r="C708" s="27" t="n"/>
      <c r="D708" s="28" t="n"/>
      <c r="E708" s="29" t="n"/>
      <c r="F708" s="29" t="n"/>
      <c r="G708" s="28" t="n"/>
      <c r="H708" s="1" t="n"/>
      <c r="I708">
        <f>IF(OR(B708="",C708=""),"",B708+MOD(C708,1))</f>
        <v/>
      </c>
      <c r="J708">
        <f>IF(I708="","",IF(B708=Dashboard!$AA$1,I708,""))</f>
        <v/>
      </c>
    </row>
    <row r="709">
      <c r="A709" s="1" t="n"/>
      <c r="B709" s="26" t="n"/>
      <c r="C709" s="27" t="n"/>
      <c r="D709" s="28" t="n"/>
      <c r="E709" s="29" t="n"/>
      <c r="F709" s="29" t="n"/>
      <c r="G709" s="28" t="n"/>
      <c r="H709" s="1" t="n"/>
      <c r="I709">
        <f>IF(OR(B709="",C709=""),"",B709+MOD(C709,1))</f>
        <v/>
      </c>
      <c r="J709">
        <f>IF(I709="","",IF(B709=Dashboard!$AA$1,I709,""))</f>
        <v/>
      </c>
    </row>
    <row r="710">
      <c r="A710" s="1" t="n"/>
      <c r="B710" s="26" t="n"/>
      <c r="C710" s="27" t="n"/>
      <c r="D710" s="28" t="n"/>
      <c r="E710" s="29" t="n"/>
      <c r="F710" s="29" t="n"/>
      <c r="G710" s="28" t="n"/>
      <c r="H710" s="1" t="n"/>
      <c r="I710">
        <f>IF(OR(B710="",C710=""),"",B710+MOD(C710,1))</f>
        <v/>
      </c>
      <c r="J710">
        <f>IF(I710="","",IF(B710=Dashboard!$AA$1,I710,""))</f>
        <v/>
      </c>
    </row>
    <row r="711">
      <c r="A711" s="1" t="n"/>
      <c r="B711" s="26" t="n"/>
      <c r="C711" s="27" t="n"/>
      <c r="D711" s="28" t="n"/>
      <c r="E711" s="29" t="n"/>
      <c r="F711" s="29" t="n"/>
      <c r="G711" s="28" t="n"/>
      <c r="H711" s="1" t="n"/>
      <c r="I711">
        <f>IF(OR(B711="",C711=""),"",B711+MOD(C711,1))</f>
        <v/>
      </c>
      <c r="J711">
        <f>IF(I711="","",IF(B711=Dashboard!$AA$1,I711,""))</f>
        <v/>
      </c>
    </row>
    <row r="712">
      <c r="A712" s="1" t="n"/>
      <c r="B712" s="26" t="n"/>
      <c r="C712" s="27" t="n"/>
      <c r="D712" s="28" t="n"/>
      <c r="E712" s="29" t="n"/>
      <c r="F712" s="29" t="n"/>
      <c r="G712" s="28" t="n"/>
      <c r="H712" s="1" t="n"/>
      <c r="I712">
        <f>IF(OR(B712="",C712=""),"",B712+MOD(C712,1))</f>
        <v/>
      </c>
      <c r="J712">
        <f>IF(I712="","",IF(B712=Dashboard!$AA$1,I712,""))</f>
        <v/>
      </c>
    </row>
    <row r="713">
      <c r="A713" s="1" t="n"/>
      <c r="B713" s="26" t="n"/>
      <c r="C713" s="27" t="n"/>
      <c r="D713" s="28" t="n"/>
      <c r="E713" s="29" t="n"/>
      <c r="F713" s="29" t="n"/>
      <c r="G713" s="28" t="n"/>
      <c r="H713" s="1" t="n"/>
      <c r="I713">
        <f>IF(OR(B713="",C713=""),"",B713+MOD(C713,1))</f>
        <v/>
      </c>
      <c r="J713">
        <f>IF(I713="","",IF(B713=Dashboard!$AA$1,I713,""))</f>
        <v/>
      </c>
    </row>
    <row r="714">
      <c r="A714" s="1" t="n"/>
      <c r="B714" s="26" t="n"/>
      <c r="C714" s="27" t="n"/>
      <c r="D714" s="28" t="n"/>
      <c r="E714" s="29" t="n"/>
      <c r="F714" s="29" t="n"/>
      <c r="G714" s="28" t="n"/>
      <c r="H714" s="1" t="n"/>
      <c r="I714">
        <f>IF(OR(B714="",C714=""),"",B714+MOD(C714,1))</f>
        <v/>
      </c>
      <c r="J714">
        <f>IF(I714="","",IF(B714=Dashboard!$AA$1,I714,""))</f>
        <v/>
      </c>
    </row>
    <row r="715">
      <c r="A715" s="1" t="n"/>
      <c r="B715" s="26" t="n"/>
      <c r="C715" s="27" t="n"/>
      <c r="D715" s="28" t="n"/>
      <c r="E715" s="29" t="n"/>
      <c r="F715" s="29" t="n"/>
      <c r="G715" s="28" t="n"/>
      <c r="H715" s="1" t="n"/>
      <c r="I715">
        <f>IF(OR(B715="",C715=""),"",B715+MOD(C715,1))</f>
        <v/>
      </c>
      <c r="J715">
        <f>IF(I715="","",IF(B715=Dashboard!$AA$1,I715,""))</f>
        <v/>
      </c>
    </row>
    <row r="716">
      <c r="A716" s="1" t="n"/>
      <c r="B716" s="26" t="n"/>
      <c r="C716" s="27" t="n"/>
      <c r="D716" s="28" t="n"/>
      <c r="E716" s="29" t="n"/>
      <c r="F716" s="29" t="n"/>
      <c r="G716" s="28" t="n"/>
      <c r="H716" s="1" t="n"/>
      <c r="I716">
        <f>IF(OR(B716="",C716=""),"",B716+MOD(C716,1))</f>
        <v/>
      </c>
      <c r="J716">
        <f>IF(I716="","",IF(B716=Dashboard!$AA$1,I716,""))</f>
        <v/>
      </c>
    </row>
    <row r="717">
      <c r="A717" s="1" t="n"/>
      <c r="B717" s="26" t="n"/>
      <c r="C717" s="27" t="n"/>
      <c r="D717" s="28" t="n"/>
      <c r="E717" s="29" t="n"/>
      <c r="F717" s="29" t="n"/>
      <c r="G717" s="28" t="n"/>
      <c r="H717" s="1" t="n"/>
      <c r="I717">
        <f>IF(OR(B717="",C717=""),"",B717+MOD(C717,1))</f>
        <v/>
      </c>
      <c r="J717">
        <f>IF(I717="","",IF(B717=Dashboard!$AA$1,I717,""))</f>
        <v/>
      </c>
    </row>
    <row r="718">
      <c r="A718" s="1" t="n"/>
      <c r="B718" s="26" t="n"/>
      <c r="C718" s="27" t="n"/>
      <c r="D718" s="28" t="n"/>
      <c r="E718" s="29" t="n"/>
      <c r="F718" s="29" t="n"/>
      <c r="G718" s="28" t="n"/>
      <c r="H718" s="1" t="n"/>
      <c r="I718">
        <f>IF(OR(B718="",C718=""),"",B718+MOD(C718,1))</f>
        <v/>
      </c>
      <c r="J718">
        <f>IF(I718="","",IF(B718=Dashboard!$AA$1,I718,""))</f>
        <v/>
      </c>
    </row>
    <row r="719">
      <c r="A719" s="1" t="n"/>
      <c r="B719" s="26" t="n"/>
      <c r="C719" s="27" t="n"/>
      <c r="D719" s="28" t="n"/>
      <c r="E719" s="29" t="n"/>
      <c r="F719" s="29" t="n"/>
      <c r="G719" s="28" t="n"/>
      <c r="H719" s="1" t="n"/>
      <c r="I719">
        <f>IF(OR(B719="",C719=""),"",B719+MOD(C719,1))</f>
        <v/>
      </c>
      <c r="J719">
        <f>IF(I719="","",IF(B719=Dashboard!$AA$1,I719,""))</f>
        <v/>
      </c>
    </row>
    <row r="720">
      <c r="A720" s="1" t="n"/>
      <c r="B720" s="26" t="n"/>
      <c r="C720" s="27" t="n"/>
      <c r="D720" s="28" t="n"/>
      <c r="E720" s="29" t="n"/>
      <c r="F720" s="29" t="n"/>
      <c r="G720" s="28" t="n"/>
      <c r="H720" s="1" t="n"/>
      <c r="I720">
        <f>IF(OR(B720="",C720=""),"",B720+MOD(C720,1))</f>
        <v/>
      </c>
      <c r="J720">
        <f>IF(I720="","",IF(B720=Dashboard!$AA$1,I720,""))</f>
        <v/>
      </c>
    </row>
    <row r="721">
      <c r="A721" s="1" t="n"/>
      <c r="B721" s="26" t="n"/>
      <c r="C721" s="27" t="n"/>
      <c r="D721" s="28" t="n"/>
      <c r="E721" s="29" t="n"/>
      <c r="F721" s="29" t="n"/>
      <c r="G721" s="28" t="n"/>
      <c r="H721" s="1" t="n"/>
      <c r="I721">
        <f>IF(OR(B721="",C721=""),"",B721+MOD(C721,1))</f>
        <v/>
      </c>
      <c r="J721">
        <f>IF(I721="","",IF(B721=Dashboard!$AA$1,I721,""))</f>
        <v/>
      </c>
    </row>
    <row r="722">
      <c r="A722" s="1" t="n"/>
      <c r="B722" s="26" t="n"/>
      <c r="C722" s="27" t="n"/>
      <c r="D722" s="28" t="n"/>
      <c r="E722" s="29" t="n"/>
      <c r="F722" s="29" t="n"/>
      <c r="G722" s="28" t="n"/>
      <c r="H722" s="1" t="n"/>
      <c r="I722">
        <f>IF(OR(B722="",C722=""),"",B722+MOD(C722,1))</f>
        <v/>
      </c>
      <c r="J722">
        <f>IF(I722="","",IF(B722=Dashboard!$AA$1,I722,""))</f>
        <v/>
      </c>
    </row>
    <row r="723">
      <c r="A723" s="1" t="n"/>
      <c r="B723" s="26" t="n"/>
      <c r="C723" s="27" t="n"/>
      <c r="D723" s="28" t="n"/>
      <c r="E723" s="29" t="n"/>
      <c r="F723" s="29" t="n"/>
      <c r="G723" s="28" t="n"/>
      <c r="H723" s="1" t="n"/>
      <c r="I723">
        <f>IF(OR(B723="",C723=""),"",B723+MOD(C723,1))</f>
        <v/>
      </c>
      <c r="J723">
        <f>IF(I723="","",IF(B723=Dashboard!$AA$1,I723,""))</f>
        <v/>
      </c>
    </row>
    <row r="724">
      <c r="A724" s="1" t="n"/>
      <c r="B724" s="26" t="n"/>
      <c r="C724" s="27" t="n"/>
      <c r="D724" s="28" t="n"/>
      <c r="E724" s="29" t="n"/>
      <c r="F724" s="29" t="n"/>
      <c r="G724" s="28" t="n"/>
      <c r="H724" s="1" t="n"/>
      <c r="I724">
        <f>IF(OR(B724="",C724=""),"",B724+MOD(C724,1))</f>
        <v/>
      </c>
      <c r="J724">
        <f>IF(I724="","",IF(B724=Dashboard!$AA$1,I724,""))</f>
        <v/>
      </c>
    </row>
    <row r="725">
      <c r="A725" s="1" t="n"/>
      <c r="B725" s="26" t="n"/>
      <c r="C725" s="27" t="n"/>
      <c r="D725" s="28" t="n"/>
      <c r="E725" s="29" t="n"/>
      <c r="F725" s="29" t="n"/>
      <c r="G725" s="28" t="n"/>
      <c r="H725" s="1" t="n"/>
      <c r="I725">
        <f>IF(OR(B725="",C725=""),"",B725+MOD(C725,1))</f>
        <v/>
      </c>
      <c r="J725">
        <f>IF(I725="","",IF(B725=Dashboard!$AA$1,I725,""))</f>
        <v/>
      </c>
    </row>
    <row r="726">
      <c r="A726" s="1" t="n"/>
      <c r="B726" s="26" t="n"/>
      <c r="C726" s="27" t="n"/>
      <c r="D726" s="28" t="n"/>
      <c r="E726" s="29" t="n"/>
      <c r="F726" s="29" t="n"/>
      <c r="G726" s="28" t="n"/>
      <c r="H726" s="1" t="n"/>
      <c r="I726">
        <f>IF(OR(B726="",C726=""),"",B726+MOD(C726,1))</f>
        <v/>
      </c>
      <c r="J726">
        <f>IF(I726="","",IF(B726=Dashboard!$AA$1,I726,""))</f>
        <v/>
      </c>
    </row>
    <row r="727">
      <c r="A727" s="1" t="n"/>
      <c r="B727" s="26" t="n"/>
      <c r="C727" s="27" t="n"/>
      <c r="D727" s="28" t="n"/>
      <c r="E727" s="29" t="n"/>
      <c r="F727" s="29" t="n"/>
      <c r="G727" s="28" t="n"/>
      <c r="H727" s="1" t="n"/>
      <c r="I727">
        <f>IF(OR(B727="",C727=""),"",B727+MOD(C727,1))</f>
        <v/>
      </c>
      <c r="J727">
        <f>IF(I727="","",IF(B727=Dashboard!$AA$1,I727,""))</f>
        <v/>
      </c>
    </row>
    <row r="728">
      <c r="A728" s="1" t="n"/>
      <c r="B728" s="26" t="n"/>
      <c r="C728" s="27" t="n"/>
      <c r="D728" s="28" t="n"/>
      <c r="E728" s="29" t="n"/>
      <c r="F728" s="29" t="n"/>
      <c r="G728" s="28" t="n"/>
      <c r="H728" s="1" t="n"/>
      <c r="I728">
        <f>IF(OR(B728="",C728=""),"",B728+MOD(C728,1))</f>
        <v/>
      </c>
      <c r="J728">
        <f>IF(I728="","",IF(B728=Dashboard!$AA$1,I728,""))</f>
        <v/>
      </c>
    </row>
    <row r="729">
      <c r="A729" s="1" t="n"/>
      <c r="B729" s="26" t="n"/>
      <c r="C729" s="27" t="n"/>
      <c r="D729" s="28" t="n"/>
      <c r="E729" s="29" t="n"/>
      <c r="F729" s="29" t="n"/>
      <c r="G729" s="28" t="n"/>
      <c r="H729" s="1" t="n"/>
      <c r="I729">
        <f>IF(OR(B729="",C729=""),"",B729+MOD(C729,1))</f>
        <v/>
      </c>
      <c r="J729">
        <f>IF(I729="","",IF(B729=Dashboard!$AA$1,I729,""))</f>
        <v/>
      </c>
    </row>
    <row r="730">
      <c r="A730" s="1" t="n"/>
      <c r="B730" s="26" t="n"/>
      <c r="C730" s="27" t="n"/>
      <c r="D730" s="28" t="n"/>
      <c r="E730" s="29" t="n"/>
      <c r="F730" s="29" t="n"/>
      <c r="G730" s="28" t="n"/>
      <c r="H730" s="1" t="n"/>
      <c r="I730">
        <f>IF(OR(B730="",C730=""),"",B730+MOD(C730,1))</f>
        <v/>
      </c>
      <c r="J730">
        <f>IF(I730="","",IF(B730=Dashboard!$AA$1,I730,""))</f>
        <v/>
      </c>
    </row>
    <row r="731">
      <c r="A731" s="1" t="n"/>
      <c r="B731" s="26" t="n"/>
      <c r="C731" s="27" t="n"/>
      <c r="D731" s="28" t="n"/>
      <c r="E731" s="29" t="n"/>
      <c r="F731" s="29" t="n"/>
      <c r="G731" s="28" t="n"/>
      <c r="H731" s="1" t="n"/>
      <c r="I731">
        <f>IF(OR(B731="",C731=""),"",B731+MOD(C731,1))</f>
        <v/>
      </c>
      <c r="J731">
        <f>IF(I731="","",IF(B731=Dashboard!$AA$1,I731,""))</f>
        <v/>
      </c>
    </row>
    <row r="732">
      <c r="A732" s="1" t="n"/>
      <c r="B732" s="26" t="n"/>
      <c r="C732" s="27" t="n"/>
      <c r="D732" s="28" t="n"/>
      <c r="E732" s="29" t="n"/>
      <c r="F732" s="29" t="n"/>
      <c r="G732" s="28" t="n"/>
      <c r="H732" s="1" t="n"/>
      <c r="I732">
        <f>IF(OR(B732="",C732=""),"",B732+MOD(C732,1))</f>
        <v/>
      </c>
      <c r="J732">
        <f>IF(I732="","",IF(B732=Dashboard!$AA$1,I732,""))</f>
        <v/>
      </c>
    </row>
    <row r="733">
      <c r="A733" s="1" t="n"/>
      <c r="B733" s="26" t="n"/>
      <c r="C733" s="27" t="n"/>
      <c r="D733" s="28" t="n"/>
      <c r="E733" s="29" t="n"/>
      <c r="F733" s="29" t="n"/>
      <c r="G733" s="28" t="n"/>
      <c r="H733" s="1" t="n"/>
      <c r="I733">
        <f>IF(OR(B733="",C733=""),"",B733+MOD(C733,1))</f>
        <v/>
      </c>
      <c r="J733">
        <f>IF(I733="","",IF(B733=Dashboard!$AA$1,I733,""))</f>
        <v/>
      </c>
    </row>
    <row r="734">
      <c r="A734" s="1" t="n"/>
      <c r="B734" s="26" t="n"/>
      <c r="C734" s="27" t="n"/>
      <c r="D734" s="28" t="n"/>
      <c r="E734" s="29" t="n"/>
      <c r="F734" s="29" t="n"/>
      <c r="G734" s="28" t="n"/>
      <c r="H734" s="1" t="n"/>
      <c r="I734">
        <f>IF(OR(B734="",C734=""),"",B734+MOD(C734,1))</f>
        <v/>
      </c>
      <c r="J734">
        <f>IF(I734="","",IF(B734=Dashboard!$AA$1,I734,""))</f>
        <v/>
      </c>
    </row>
    <row r="735">
      <c r="A735" s="1" t="n"/>
      <c r="B735" s="26" t="n"/>
      <c r="C735" s="27" t="n"/>
      <c r="D735" s="28" t="n"/>
      <c r="E735" s="29" t="n"/>
      <c r="F735" s="29" t="n"/>
      <c r="G735" s="28" t="n"/>
      <c r="H735" s="1" t="n"/>
      <c r="I735">
        <f>IF(OR(B735="",C735=""),"",B735+MOD(C735,1))</f>
        <v/>
      </c>
      <c r="J735">
        <f>IF(I735="","",IF(B735=Dashboard!$AA$1,I735,""))</f>
        <v/>
      </c>
    </row>
    <row r="736">
      <c r="A736" s="1" t="n"/>
      <c r="B736" s="26" t="n"/>
      <c r="C736" s="27" t="n"/>
      <c r="D736" s="28" t="n"/>
      <c r="E736" s="29" t="n"/>
      <c r="F736" s="29" t="n"/>
      <c r="G736" s="28" t="n"/>
      <c r="H736" s="1" t="n"/>
      <c r="I736">
        <f>IF(OR(B736="",C736=""),"",B736+MOD(C736,1))</f>
        <v/>
      </c>
      <c r="J736">
        <f>IF(I736="","",IF(B736=Dashboard!$AA$1,I736,""))</f>
        <v/>
      </c>
    </row>
    <row r="737">
      <c r="A737" s="1" t="n"/>
      <c r="B737" s="26" t="n"/>
      <c r="C737" s="27" t="n"/>
      <c r="D737" s="28" t="n"/>
      <c r="E737" s="29" t="n"/>
      <c r="F737" s="29" t="n"/>
      <c r="G737" s="28" t="n"/>
      <c r="H737" s="1" t="n"/>
      <c r="I737">
        <f>IF(OR(B737="",C737=""),"",B737+MOD(C737,1))</f>
        <v/>
      </c>
      <c r="J737">
        <f>IF(I737="","",IF(B737=Dashboard!$AA$1,I737,""))</f>
        <v/>
      </c>
    </row>
    <row r="738">
      <c r="A738" s="1" t="n"/>
      <c r="B738" s="26" t="n"/>
      <c r="C738" s="27" t="n"/>
      <c r="D738" s="28" t="n"/>
      <c r="E738" s="29" t="n"/>
      <c r="F738" s="29" t="n"/>
      <c r="G738" s="28" t="n"/>
      <c r="H738" s="1" t="n"/>
      <c r="I738">
        <f>IF(OR(B738="",C738=""),"",B738+MOD(C738,1))</f>
        <v/>
      </c>
      <c r="J738">
        <f>IF(I738="","",IF(B738=Dashboard!$AA$1,I738,""))</f>
        <v/>
      </c>
    </row>
    <row r="739">
      <c r="A739" s="1" t="n"/>
      <c r="B739" s="26" t="n"/>
      <c r="C739" s="27" t="n"/>
      <c r="D739" s="28" t="n"/>
      <c r="E739" s="29" t="n"/>
      <c r="F739" s="29" t="n"/>
      <c r="G739" s="28" t="n"/>
      <c r="H739" s="1" t="n"/>
      <c r="I739">
        <f>IF(OR(B739="",C739=""),"",B739+MOD(C739,1))</f>
        <v/>
      </c>
      <c r="J739">
        <f>IF(I739="","",IF(B739=Dashboard!$AA$1,I739,""))</f>
        <v/>
      </c>
    </row>
    <row r="740">
      <c r="A740" s="1" t="n"/>
      <c r="B740" s="26" t="n"/>
      <c r="C740" s="27" t="n"/>
      <c r="D740" s="28" t="n"/>
      <c r="E740" s="29" t="n"/>
      <c r="F740" s="29" t="n"/>
      <c r="G740" s="28" t="n"/>
      <c r="H740" s="1" t="n"/>
      <c r="I740">
        <f>IF(OR(B740="",C740=""),"",B740+MOD(C740,1))</f>
        <v/>
      </c>
      <c r="J740">
        <f>IF(I740="","",IF(B740=Dashboard!$AA$1,I740,""))</f>
        <v/>
      </c>
    </row>
    <row r="741">
      <c r="A741" s="1" t="n"/>
      <c r="B741" s="26" t="n"/>
      <c r="C741" s="27" t="n"/>
      <c r="D741" s="28" t="n"/>
      <c r="E741" s="29" t="n"/>
      <c r="F741" s="29" t="n"/>
      <c r="G741" s="28" t="n"/>
      <c r="H741" s="1" t="n"/>
      <c r="I741">
        <f>IF(OR(B741="",C741=""),"",B741+MOD(C741,1))</f>
        <v/>
      </c>
      <c r="J741">
        <f>IF(I741="","",IF(B741=Dashboard!$AA$1,I741,""))</f>
        <v/>
      </c>
    </row>
    <row r="742">
      <c r="A742" s="1" t="n"/>
      <c r="B742" s="26" t="n"/>
      <c r="C742" s="27" t="n"/>
      <c r="D742" s="28" t="n"/>
      <c r="E742" s="29" t="n"/>
      <c r="F742" s="29" t="n"/>
      <c r="G742" s="28" t="n"/>
      <c r="H742" s="1" t="n"/>
      <c r="I742">
        <f>IF(OR(B742="",C742=""),"",B742+MOD(C742,1))</f>
        <v/>
      </c>
      <c r="J742">
        <f>IF(I742="","",IF(B742=Dashboard!$AA$1,I742,""))</f>
        <v/>
      </c>
    </row>
    <row r="743">
      <c r="A743" s="1" t="n"/>
      <c r="B743" s="26" t="n"/>
      <c r="C743" s="27" t="n"/>
      <c r="D743" s="28" t="n"/>
      <c r="E743" s="29" t="n"/>
      <c r="F743" s="29" t="n"/>
      <c r="G743" s="28" t="n"/>
      <c r="H743" s="1" t="n"/>
      <c r="I743">
        <f>IF(OR(B743="",C743=""),"",B743+MOD(C743,1))</f>
        <v/>
      </c>
      <c r="J743">
        <f>IF(I743="","",IF(B743=Dashboard!$AA$1,I743,""))</f>
        <v/>
      </c>
    </row>
    <row r="744">
      <c r="A744" s="1" t="n"/>
      <c r="B744" s="26" t="n"/>
      <c r="C744" s="27" t="n"/>
      <c r="D744" s="28" t="n"/>
      <c r="E744" s="29" t="n"/>
      <c r="F744" s="29" t="n"/>
      <c r="G744" s="28" t="n"/>
      <c r="H744" s="1" t="n"/>
      <c r="I744">
        <f>IF(OR(B744="",C744=""),"",B744+MOD(C744,1))</f>
        <v/>
      </c>
      <c r="J744">
        <f>IF(I744="","",IF(B744=Dashboard!$AA$1,I744,""))</f>
        <v/>
      </c>
    </row>
    <row r="745">
      <c r="A745" s="1" t="n"/>
      <c r="B745" s="26" t="n"/>
      <c r="C745" s="27" t="n"/>
      <c r="D745" s="28" t="n"/>
      <c r="E745" s="29" t="n"/>
      <c r="F745" s="29" t="n"/>
      <c r="G745" s="28" t="n"/>
      <c r="H745" s="1" t="n"/>
      <c r="I745">
        <f>IF(OR(B745="",C745=""),"",B745+MOD(C745,1))</f>
        <v/>
      </c>
      <c r="J745">
        <f>IF(I745="","",IF(B745=Dashboard!$AA$1,I745,""))</f>
        <v/>
      </c>
    </row>
    <row r="746">
      <c r="A746" s="1" t="n"/>
      <c r="B746" s="26" t="n"/>
      <c r="C746" s="27" t="n"/>
      <c r="D746" s="28" t="n"/>
      <c r="E746" s="29" t="n"/>
      <c r="F746" s="29" t="n"/>
      <c r="G746" s="28" t="n"/>
      <c r="H746" s="1" t="n"/>
      <c r="I746">
        <f>IF(OR(B746="",C746=""),"",B746+MOD(C746,1))</f>
        <v/>
      </c>
      <c r="J746">
        <f>IF(I746="","",IF(B746=Dashboard!$AA$1,I746,""))</f>
        <v/>
      </c>
    </row>
    <row r="747">
      <c r="A747" s="1" t="n"/>
      <c r="B747" s="26" t="n"/>
      <c r="C747" s="27" t="n"/>
      <c r="D747" s="28" t="n"/>
      <c r="E747" s="29" t="n"/>
      <c r="F747" s="29" t="n"/>
      <c r="G747" s="28" t="n"/>
      <c r="H747" s="1" t="n"/>
      <c r="I747">
        <f>IF(OR(B747="",C747=""),"",B747+MOD(C747,1))</f>
        <v/>
      </c>
      <c r="J747">
        <f>IF(I747="","",IF(B747=Dashboard!$AA$1,I747,""))</f>
        <v/>
      </c>
    </row>
    <row r="748">
      <c r="A748" s="1" t="n"/>
      <c r="B748" s="26" t="n"/>
      <c r="C748" s="27" t="n"/>
      <c r="D748" s="28" t="n"/>
      <c r="E748" s="29" t="n"/>
      <c r="F748" s="29" t="n"/>
      <c r="G748" s="28" t="n"/>
      <c r="H748" s="1" t="n"/>
      <c r="I748">
        <f>IF(OR(B748="",C748=""),"",B748+MOD(C748,1))</f>
        <v/>
      </c>
      <c r="J748">
        <f>IF(I748="","",IF(B748=Dashboard!$AA$1,I748,""))</f>
        <v/>
      </c>
    </row>
    <row r="749">
      <c r="A749" s="1" t="n"/>
      <c r="B749" s="26" t="n"/>
      <c r="C749" s="27" t="n"/>
      <c r="D749" s="28" t="n"/>
      <c r="E749" s="29" t="n"/>
      <c r="F749" s="29" t="n"/>
      <c r="G749" s="28" t="n"/>
      <c r="H749" s="1" t="n"/>
      <c r="I749">
        <f>IF(OR(B749="",C749=""),"",B749+MOD(C749,1))</f>
        <v/>
      </c>
      <c r="J749">
        <f>IF(I749="","",IF(B749=Dashboard!$AA$1,I749,""))</f>
        <v/>
      </c>
    </row>
    <row r="750">
      <c r="A750" s="1" t="n"/>
      <c r="B750" s="26" t="n"/>
      <c r="C750" s="27" t="n"/>
      <c r="D750" s="28" t="n"/>
      <c r="E750" s="29" t="n"/>
      <c r="F750" s="29" t="n"/>
      <c r="G750" s="28" t="n"/>
      <c r="H750" s="1" t="n"/>
      <c r="I750">
        <f>IF(OR(B750="",C750=""),"",B750+MOD(C750,1))</f>
        <v/>
      </c>
      <c r="J750">
        <f>IF(I750="","",IF(B750=Dashboard!$AA$1,I750,""))</f>
        <v/>
      </c>
    </row>
    <row r="751">
      <c r="A751" s="1" t="n"/>
      <c r="B751" s="26" t="n"/>
      <c r="C751" s="27" t="n"/>
      <c r="D751" s="28" t="n"/>
      <c r="E751" s="29" t="n"/>
      <c r="F751" s="29" t="n"/>
      <c r="G751" s="28" t="n"/>
      <c r="H751" s="1" t="n"/>
      <c r="I751">
        <f>IF(OR(B751="",C751=""),"",B751+MOD(C751,1))</f>
        <v/>
      </c>
      <c r="J751">
        <f>IF(I751="","",IF(B751=Dashboard!$AA$1,I751,""))</f>
        <v/>
      </c>
    </row>
    <row r="752">
      <c r="A752" s="1" t="n"/>
      <c r="B752" s="26" t="n"/>
      <c r="C752" s="27" t="n"/>
      <c r="D752" s="28" t="n"/>
      <c r="E752" s="29" t="n"/>
      <c r="F752" s="29" t="n"/>
      <c r="G752" s="28" t="n"/>
      <c r="H752" s="1" t="n"/>
      <c r="I752">
        <f>IF(OR(B752="",C752=""),"",B752+MOD(C752,1))</f>
        <v/>
      </c>
      <c r="J752">
        <f>IF(I752="","",IF(B752=Dashboard!$AA$1,I752,""))</f>
        <v/>
      </c>
    </row>
    <row r="753">
      <c r="A753" s="1" t="n"/>
      <c r="B753" s="26" t="n"/>
      <c r="C753" s="27" t="n"/>
      <c r="D753" s="28" t="n"/>
      <c r="E753" s="29" t="n"/>
      <c r="F753" s="29" t="n"/>
      <c r="G753" s="28" t="n"/>
      <c r="H753" s="1" t="n"/>
      <c r="I753">
        <f>IF(OR(B753="",C753=""),"",B753+MOD(C753,1))</f>
        <v/>
      </c>
      <c r="J753">
        <f>IF(I753="","",IF(B753=Dashboard!$AA$1,I753,""))</f>
        <v/>
      </c>
    </row>
    <row r="754">
      <c r="A754" s="1" t="n"/>
      <c r="B754" s="26" t="n"/>
      <c r="C754" s="27" t="n"/>
      <c r="D754" s="28" t="n"/>
      <c r="E754" s="29" t="n"/>
      <c r="F754" s="29" t="n"/>
      <c r="G754" s="28" t="n"/>
      <c r="H754" s="1" t="n"/>
      <c r="I754">
        <f>IF(OR(B754="",C754=""),"",B754+MOD(C754,1))</f>
        <v/>
      </c>
      <c r="J754">
        <f>IF(I754="","",IF(B754=Dashboard!$AA$1,I754,""))</f>
        <v/>
      </c>
    </row>
    <row r="755">
      <c r="A755" s="1" t="n"/>
      <c r="B755" s="26" t="n"/>
      <c r="C755" s="27" t="n"/>
      <c r="D755" s="28" t="n"/>
      <c r="E755" s="29" t="n"/>
      <c r="F755" s="29" t="n"/>
      <c r="G755" s="28" t="n"/>
      <c r="H755" s="1" t="n"/>
      <c r="I755">
        <f>IF(OR(B755="",C755=""),"",B755+MOD(C755,1))</f>
        <v/>
      </c>
      <c r="J755">
        <f>IF(I755="","",IF(B755=Dashboard!$AA$1,I755,""))</f>
        <v/>
      </c>
    </row>
    <row r="756">
      <c r="A756" s="1" t="n"/>
      <c r="B756" s="26" t="n"/>
      <c r="C756" s="27" t="n"/>
      <c r="D756" s="28" t="n"/>
      <c r="E756" s="29" t="n"/>
      <c r="F756" s="29" t="n"/>
      <c r="G756" s="28" t="n"/>
      <c r="H756" s="1" t="n"/>
      <c r="I756">
        <f>IF(OR(B756="",C756=""),"",B756+MOD(C756,1))</f>
        <v/>
      </c>
      <c r="J756">
        <f>IF(I756="","",IF(B756=Dashboard!$AA$1,I756,""))</f>
        <v/>
      </c>
    </row>
    <row r="757">
      <c r="A757" s="1" t="n"/>
      <c r="B757" s="26" t="n"/>
      <c r="C757" s="27" t="n"/>
      <c r="D757" s="28" t="n"/>
      <c r="E757" s="29" t="n"/>
      <c r="F757" s="29" t="n"/>
      <c r="G757" s="28" t="n"/>
      <c r="H757" s="1" t="n"/>
      <c r="I757">
        <f>IF(OR(B757="",C757=""),"",B757+MOD(C757,1))</f>
        <v/>
      </c>
      <c r="J757">
        <f>IF(I757="","",IF(B757=Dashboard!$AA$1,I757,""))</f>
        <v/>
      </c>
    </row>
    <row r="758">
      <c r="A758" s="1" t="n"/>
      <c r="B758" s="26" t="n"/>
      <c r="C758" s="27" t="n"/>
      <c r="D758" s="28" t="n"/>
      <c r="E758" s="29" t="n"/>
      <c r="F758" s="29" t="n"/>
      <c r="G758" s="28" t="n"/>
      <c r="H758" s="1" t="n"/>
      <c r="I758">
        <f>IF(OR(B758="",C758=""),"",B758+MOD(C758,1))</f>
        <v/>
      </c>
      <c r="J758">
        <f>IF(I758="","",IF(B758=Dashboard!$AA$1,I758,""))</f>
        <v/>
      </c>
    </row>
    <row r="759">
      <c r="A759" s="1" t="n"/>
      <c r="B759" s="26" t="n"/>
      <c r="C759" s="27" t="n"/>
      <c r="D759" s="28" t="n"/>
      <c r="E759" s="29" t="n"/>
      <c r="F759" s="29" t="n"/>
      <c r="G759" s="28" t="n"/>
      <c r="H759" s="1" t="n"/>
      <c r="I759">
        <f>IF(OR(B759="",C759=""),"",B759+MOD(C759,1))</f>
        <v/>
      </c>
      <c r="J759">
        <f>IF(I759="","",IF(B759=Dashboard!$AA$1,I759,""))</f>
        <v/>
      </c>
    </row>
    <row r="760">
      <c r="A760" s="1" t="n"/>
      <c r="B760" s="26" t="n"/>
      <c r="C760" s="27" t="n"/>
      <c r="D760" s="28" t="n"/>
      <c r="E760" s="29" t="n"/>
      <c r="F760" s="29" t="n"/>
      <c r="G760" s="28" t="n"/>
      <c r="H760" s="1" t="n"/>
      <c r="I760">
        <f>IF(OR(B760="",C760=""),"",B760+MOD(C760,1))</f>
        <v/>
      </c>
      <c r="J760">
        <f>IF(I760="","",IF(B760=Dashboard!$AA$1,I760,""))</f>
        <v/>
      </c>
    </row>
    <row r="761">
      <c r="A761" s="1" t="n"/>
      <c r="B761" s="26" t="n"/>
      <c r="C761" s="27" t="n"/>
      <c r="D761" s="28" t="n"/>
      <c r="E761" s="29" t="n"/>
      <c r="F761" s="29" t="n"/>
      <c r="G761" s="28" t="n"/>
      <c r="H761" s="1" t="n"/>
      <c r="I761">
        <f>IF(OR(B761="",C761=""),"",B761+MOD(C761,1))</f>
        <v/>
      </c>
      <c r="J761">
        <f>IF(I761="","",IF(B761=Dashboard!$AA$1,I761,""))</f>
        <v/>
      </c>
    </row>
    <row r="762">
      <c r="A762" s="1" t="n"/>
      <c r="B762" s="26" t="n"/>
      <c r="C762" s="27" t="n"/>
      <c r="D762" s="28" t="n"/>
      <c r="E762" s="29" t="n"/>
      <c r="F762" s="29" t="n"/>
      <c r="G762" s="28" t="n"/>
      <c r="H762" s="1" t="n"/>
      <c r="I762">
        <f>IF(OR(B762="",C762=""),"",B762+MOD(C762,1))</f>
        <v/>
      </c>
      <c r="J762">
        <f>IF(I762="","",IF(B762=Dashboard!$AA$1,I762,""))</f>
        <v/>
      </c>
    </row>
    <row r="763">
      <c r="A763" s="1" t="n"/>
      <c r="B763" s="26" t="n"/>
      <c r="C763" s="27" t="n"/>
      <c r="D763" s="28" t="n"/>
      <c r="E763" s="29" t="n"/>
      <c r="F763" s="29" t="n"/>
      <c r="G763" s="28" t="n"/>
      <c r="H763" s="1" t="n"/>
      <c r="I763">
        <f>IF(OR(B763="",C763=""),"",B763+MOD(C763,1))</f>
        <v/>
      </c>
      <c r="J763">
        <f>IF(I763="","",IF(B763=Dashboard!$AA$1,I763,""))</f>
        <v/>
      </c>
    </row>
    <row r="764">
      <c r="A764" s="1" t="n"/>
      <c r="B764" s="26" t="n"/>
      <c r="C764" s="27" t="n"/>
      <c r="D764" s="28" t="n"/>
      <c r="E764" s="29" t="n"/>
      <c r="F764" s="29" t="n"/>
      <c r="G764" s="28" t="n"/>
      <c r="H764" s="1" t="n"/>
      <c r="I764">
        <f>IF(OR(B764="",C764=""),"",B764+MOD(C764,1))</f>
        <v/>
      </c>
      <c r="J764">
        <f>IF(I764="","",IF(B764=Dashboard!$AA$1,I764,""))</f>
        <v/>
      </c>
    </row>
    <row r="765">
      <c r="A765" s="1" t="n"/>
      <c r="B765" s="26" t="n"/>
      <c r="C765" s="27" t="n"/>
      <c r="D765" s="28" t="n"/>
      <c r="E765" s="29" t="n"/>
      <c r="F765" s="29" t="n"/>
      <c r="G765" s="28" t="n"/>
      <c r="H765" s="1" t="n"/>
      <c r="I765">
        <f>IF(OR(B765="",C765=""),"",B765+MOD(C765,1))</f>
        <v/>
      </c>
      <c r="J765">
        <f>IF(I765="","",IF(B765=Dashboard!$AA$1,I765,""))</f>
        <v/>
      </c>
    </row>
    <row r="766">
      <c r="A766" s="1" t="n"/>
      <c r="B766" s="26" t="n"/>
      <c r="C766" s="27" t="n"/>
      <c r="D766" s="28" t="n"/>
      <c r="E766" s="29" t="n"/>
      <c r="F766" s="29" t="n"/>
      <c r="G766" s="28" t="n"/>
      <c r="H766" s="1" t="n"/>
      <c r="I766">
        <f>IF(OR(B766="",C766=""),"",B766+MOD(C766,1))</f>
        <v/>
      </c>
      <c r="J766">
        <f>IF(I766="","",IF(B766=Dashboard!$AA$1,I766,""))</f>
        <v/>
      </c>
    </row>
    <row r="767">
      <c r="A767" s="1" t="n"/>
      <c r="B767" s="26" t="n"/>
      <c r="C767" s="27" t="n"/>
      <c r="D767" s="28" t="n"/>
      <c r="E767" s="29" t="n"/>
      <c r="F767" s="29" t="n"/>
      <c r="G767" s="28" t="n"/>
      <c r="H767" s="1" t="n"/>
      <c r="I767">
        <f>IF(OR(B767="",C767=""),"",B767+MOD(C767,1))</f>
        <v/>
      </c>
      <c r="J767">
        <f>IF(I767="","",IF(B767=Dashboard!$AA$1,I767,""))</f>
        <v/>
      </c>
    </row>
    <row r="768">
      <c r="A768" s="1" t="n"/>
      <c r="B768" s="26" t="n"/>
      <c r="C768" s="27" t="n"/>
      <c r="D768" s="28" t="n"/>
      <c r="E768" s="29" t="n"/>
      <c r="F768" s="29" t="n"/>
      <c r="G768" s="28" t="n"/>
      <c r="H768" s="1" t="n"/>
      <c r="I768">
        <f>IF(OR(B768="",C768=""),"",B768+MOD(C768,1))</f>
        <v/>
      </c>
      <c r="J768">
        <f>IF(I768="","",IF(B768=Dashboard!$AA$1,I768,""))</f>
        <v/>
      </c>
    </row>
    <row r="769">
      <c r="A769" s="1" t="n"/>
      <c r="B769" s="26" t="n"/>
      <c r="C769" s="27" t="n"/>
      <c r="D769" s="28" t="n"/>
      <c r="E769" s="29" t="n"/>
      <c r="F769" s="29" t="n"/>
      <c r="G769" s="28" t="n"/>
      <c r="H769" s="1" t="n"/>
      <c r="I769">
        <f>IF(OR(B769="",C769=""),"",B769+MOD(C769,1))</f>
        <v/>
      </c>
      <c r="J769">
        <f>IF(I769="","",IF(B769=Dashboard!$AA$1,I769,""))</f>
        <v/>
      </c>
    </row>
    <row r="770">
      <c r="A770" s="1" t="n"/>
      <c r="B770" s="26" t="n"/>
      <c r="C770" s="27" t="n"/>
      <c r="D770" s="28" t="n"/>
      <c r="E770" s="29" t="n"/>
      <c r="F770" s="29" t="n"/>
      <c r="G770" s="28" t="n"/>
      <c r="H770" s="1" t="n"/>
      <c r="I770">
        <f>IF(OR(B770="",C770=""),"",B770+MOD(C770,1))</f>
        <v/>
      </c>
      <c r="J770">
        <f>IF(I770="","",IF(B770=Dashboard!$AA$1,I770,""))</f>
        <v/>
      </c>
    </row>
    <row r="771">
      <c r="A771" s="1" t="n"/>
      <c r="B771" s="26" t="n"/>
      <c r="C771" s="27" t="n"/>
      <c r="D771" s="28" t="n"/>
      <c r="E771" s="29" t="n"/>
      <c r="F771" s="29" t="n"/>
      <c r="G771" s="28" t="n"/>
      <c r="H771" s="1" t="n"/>
      <c r="I771">
        <f>IF(OR(B771="",C771=""),"",B771+MOD(C771,1))</f>
        <v/>
      </c>
      <c r="J771">
        <f>IF(I771="","",IF(B771=Dashboard!$AA$1,I771,""))</f>
        <v/>
      </c>
    </row>
    <row r="772">
      <c r="A772" s="1" t="n"/>
      <c r="B772" s="26" t="n"/>
      <c r="C772" s="27" t="n"/>
      <c r="D772" s="28" t="n"/>
      <c r="E772" s="29" t="n"/>
      <c r="F772" s="29" t="n"/>
      <c r="G772" s="28" t="n"/>
      <c r="H772" s="1" t="n"/>
      <c r="I772">
        <f>IF(OR(B772="",C772=""),"",B772+MOD(C772,1))</f>
        <v/>
      </c>
      <c r="J772">
        <f>IF(I772="","",IF(B772=Dashboard!$AA$1,I772,""))</f>
        <v/>
      </c>
    </row>
    <row r="773">
      <c r="A773" s="1" t="n"/>
      <c r="B773" s="26" t="n"/>
      <c r="C773" s="27" t="n"/>
      <c r="D773" s="28" t="n"/>
      <c r="E773" s="29" t="n"/>
      <c r="F773" s="29" t="n"/>
      <c r="G773" s="28" t="n"/>
      <c r="H773" s="1" t="n"/>
      <c r="I773">
        <f>IF(OR(B773="",C773=""),"",B773+MOD(C773,1))</f>
        <v/>
      </c>
      <c r="J773">
        <f>IF(I773="","",IF(B773=Dashboard!$AA$1,I773,""))</f>
        <v/>
      </c>
    </row>
    <row r="774">
      <c r="A774" s="1" t="n"/>
      <c r="B774" s="26" t="n"/>
      <c r="C774" s="27" t="n"/>
      <c r="D774" s="28" t="n"/>
      <c r="E774" s="29" t="n"/>
      <c r="F774" s="29" t="n"/>
      <c r="G774" s="28" t="n"/>
      <c r="H774" s="1" t="n"/>
      <c r="I774">
        <f>IF(OR(B774="",C774=""),"",B774+MOD(C774,1))</f>
        <v/>
      </c>
      <c r="J774">
        <f>IF(I774="","",IF(B774=Dashboard!$AA$1,I774,""))</f>
        <v/>
      </c>
    </row>
    <row r="775">
      <c r="A775" s="1" t="n"/>
      <c r="B775" s="26" t="n"/>
      <c r="C775" s="27" t="n"/>
      <c r="D775" s="28" t="n"/>
      <c r="E775" s="29" t="n"/>
      <c r="F775" s="29" t="n"/>
      <c r="G775" s="28" t="n"/>
      <c r="H775" s="1" t="n"/>
      <c r="I775">
        <f>IF(OR(B775="",C775=""),"",B775+MOD(C775,1))</f>
        <v/>
      </c>
      <c r="J775">
        <f>IF(I775="","",IF(B775=Dashboard!$AA$1,I775,""))</f>
        <v/>
      </c>
    </row>
    <row r="776">
      <c r="A776" s="1" t="n"/>
      <c r="B776" s="26" t="n"/>
      <c r="C776" s="27" t="n"/>
      <c r="D776" s="28" t="n"/>
      <c r="E776" s="29" t="n"/>
      <c r="F776" s="29" t="n"/>
      <c r="G776" s="28" t="n"/>
      <c r="H776" s="1" t="n"/>
      <c r="I776">
        <f>IF(OR(B776="",C776=""),"",B776+MOD(C776,1))</f>
        <v/>
      </c>
      <c r="J776">
        <f>IF(I776="","",IF(B776=Dashboard!$AA$1,I776,""))</f>
        <v/>
      </c>
    </row>
    <row r="777">
      <c r="A777" s="1" t="n"/>
      <c r="B777" s="26" t="n"/>
      <c r="C777" s="27" t="n"/>
      <c r="D777" s="28" t="n"/>
      <c r="E777" s="29" t="n"/>
      <c r="F777" s="29" t="n"/>
      <c r="G777" s="28" t="n"/>
      <c r="H777" s="1" t="n"/>
      <c r="I777">
        <f>IF(OR(B777="",C777=""),"",B777+MOD(C777,1))</f>
        <v/>
      </c>
      <c r="J777">
        <f>IF(I777="","",IF(B777=Dashboard!$AA$1,I777,""))</f>
        <v/>
      </c>
    </row>
    <row r="778">
      <c r="A778" s="1" t="n"/>
      <c r="B778" s="26" t="n"/>
      <c r="C778" s="27" t="n"/>
      <c r="D778" s="28" t="n"/>
      <c r="E778" s="29" t="n"/>
      <c r="F778" s="29" t="n"/>
      <c r="G778" s="28" t="n"/>
      <c r="H778" s="1" t="n"/>
      <c r="I778">
        <f>IF(OR(B778="",C778=""),"",B778+MOD(C778,1))</f>
        <v/>
      </c>
      <c r="J778">
        <f>IF(I778="","",IF(B778=Dashboard!$AA$1,I778,""))</f>
        <v/>
      </c>
    </row>
    <row r="779">
      <c r="A779" s="1" t="n"/>
      <c r="B779" s="26" t="n"/>
      <c r="C779" s="27" t="n"/>
      <c r="D779" s="28" t="n"/>
      <c r="E779" s="29" t="n"/>
      <c r="F779" s="29" t="n"/>
      <c r="G779" s="28" t="n"/>
      <c r="H779" s="1" t="n"/>
      <c r="I779">
        <f>IF(OR(B779="",C779=""),"",B779+MOD(C779,1))</f>
        <v/>
      </c>
      <c r="J779">
        <f>IF(I779="","",IF(B779=Dashboard!$AA$1,I779,""))</f>
        <v/>
      </c>
    </row>
    <row r="780">
      <c r="A780" s="1" t="n"/>
      <c r="B780" s="26" t="n"/>
      <c r="C780" s="27" t="n"/>
      <c r="D780" s="28" t="n"/>
      <c r="E780" s="29" t="n"/>
      <c r="F780" s="29" t="n"/>
      <c r="G780" s="28" t="n"/>
      <c r="H780" s="1" t="n"/>
      <c r="I780">
        <f>IF(OR(B780="",C780=""),"",B780+MOD(C780,1))</f>
        <v/>
      </c>
      <c r="J780">
        <f>IF(I780="","",IF(B780=Dashboard!$AA$1,I780,""))</f>
        <v/>
      </c>
    </row>
    <row r="781">
      <c r="A781" s="1" t="n"/>
      <c r="B781" s="26" t="n"/>
      <c r="C781" s="27" t="n"/>
      <c r="D781" s="28" t="n"/>
      <c r="E781" s="29" t="n"/>
      <c r="F781" s="29" t="n"/>
      <c r="G781" s="28" t="n"/>
      <c r="H781" s="1" t="n"/>
      <c r="I781">
        <f>IF(OR(B781="",C781=""),"",B781+MOD(C781,1))</f>
        <v/>
      </c>
      <c r="J781">
        <f>IF(I781="","",IF(B781=Dashboard!$AA$1,I781,""))</f>
        <v/>
      </c>
    </row>
    <row r="782">
      <c r="A782" s="1" t="n"/>
      <c r="B782" s="26" t="n"/>
      <c r="C782" s="27" t="n"/>
      <c r="D782" s="28" t="n"/>
      <c r="E782" s="29" t="n"/>
      <c r="F782" s="29" t="n"/>
      <c r="G782" s="28" t="n"/>
      <c r="H782" s="1" t="n"/>
      <c r="I782">
        <f>IF(OR(B782="",C782=""),"",B782+MOD(C782,1))</f>
        <v/>
      </c>
      <c r="J782">
        <f>IF(I782="","",IF(B782=Dashboard!$AA$1,I782,""))</f>
        <v/>
      </c>
    </row>
    <row r="783">
      <c r="A783" s="1" t="n"/>
      <c r="B783" s="26" t="n"/>
      <c r="C783" s="27" t="n"/>
      <c r="D783" s="28" t="n"/>
      <c r="E783" s="29" t="n"/>
      <c r="F783" s="29" t="n"/>
      <c r="G783" s="28" t="n"/>
      <c r="H783" s="1" t="n"/>
      <c r="I783">
        <f>IF(OR(B783="",C783=""),"",B783+MOD(C783,1))</f>
        <v/>
      </c>
      <c r="J783">
        <f>IF(I783="","",IF(B783=Dashboard!$AA$1,I783,""))</f>
        <v/>
      </c>
    </row>
    <row r="784">
      <c r="A784" s="1" t="n"/>
      <c r="B784" s="26" t="n"/>
      <c r="C784" s="27" t="n"/>
      <c r="D784" s="28" t="n"/>
      <c r="E784" s="29" t="n"/>
      <c r="F784" s="29" t="n"/>
      <c r="G784" s="28" t="n"/>
      <c r="H784" s="1" t="n"/>
      <c r="I784">
        <f>IF(OR(B784="",C784=""),"",B784+MOD(C784,1))</f>
        <v/>
      </c>
      <c r="J784">
        <f>IF(I784="","",IF(B784=Dashboard!$AA$1,I784,""))</f>
        <v/>
      </c>
    </row>
    <row r="785">
      <c r="A785" s="1" t="n"/>
      <c r="B785" s="26" t="n"/>
      <c r="C785" s="27" t="n"/>
      <c r="D785" s="28" t="n"/>
      <c r="E785" s="29" t="n"/>
      <c r="F785" s="29" t="n"/>
      <c r="G785" s="28" t="n"/>
      <c r="H785" s="1" t="n"/>
      <c r="I785">
        <f>IF(OR(B785="",C785=""),"",B785+MOD(C785,1))</f>
        <v/>
      </c>
      <c r="J785">
        <f>IF(I785="","",IF(B785=Dashboard!$AA$1,I785,""))</f>
        <v/>
      </c>
    </row>
    <row r="786">
      <c r="A786" s="1" t="n"/>
      <c r="B786" s="26" t="n"/>
      <c r="C786" s="27" t="n"/>
      <c r="D786" s="28" t="n"/>
      <c r="E786" s="29" t="n"/>
      <c r="F786" s="29" t="n"/>
      <c r="G786" s="28" t="n"/>
      <c r="H786" s="1" t="n"/>
      <c r="I786">
        <f>IF(OR(B786="",C786=""),"",B786+MOD(C786,1))</f>
        <v/>
      </c>
      <c r="J786">
        <f>IF(I786="","",IF(B786=Dashboard!$AA$1,I786,""))</f>
        <v/>
      </c>
    </row>
    <row r="787">
      <c r="A787" s="1" t="n"/>
      <c r="B787" s="26" t="n"/>
      <c r="C787" s="27" t="n"/>
      <c r="D787" s="28" t="n"/>
      <c r="E787" s="29" t="n"/>
      <c r="F787" s="29" t="n"/>
      <c r="G787" s="28" t="n"/>
      <c r="H787" s="1" t="n"/>
      <c r="I787">
        <f>IF(OR(B787="",C787=""),"",B787+MOD(C787,1))</f>
        <v/>
      </c>
      <c r="J787">
        <f>IF(I787="","",IF(B787=Dashboard!$AA$1,I787,""))</f>
        <v/>
      </c>
    </row>
    <row r="788">
      <c r="A788" s="1" t="n"/>
      <c r="B788" s="26" t="n"/>
      <c r="C788" s="27" t="n"/>
      <c r="D788" s="28" t="n"/>
      <c r="E788" s="29" t="n"/>
      <c r="F788" s="29" t="n"/>
      <c r="G788" s="28" t="n"/>
      <c r="H788" s="1" t="n"/>
      <c r="I788">
        <f>IF(OR(B788="",C788=""),"",B788+MOD(C788,1))</f>
        <v/>
      </c>
      <c r="J788">
        <f>IF(I788="","",IF(B788=Dashboard!$AA$1,I788,""))</f>
        <v/>
      </c>
    </row>
    <row r="789">
      <c r="A789" s="1" t="n"/>
      <c r="B789" s="26" t="n"/>
      <c r="C789" s="27" t="n"/>
      <c r="D789" s="28" t="n"/>
      <c r="E789" s="29" t="n"/>
      <c r="F789" s="29" t="n"/>
      <c r="G789" s="28" t="n"/>
      <c r="H789" s="1" t="n"/>
      <c r="I789">
        <f>IF(OR(B789="",C789=""),"",B789+MOD(C789,1))</f>
        <v/>
      </c>
      <c r="J789">
        <f>IF(I789="","",IF(B789=Dashboard!$AA$1,I789,""))</f>
        <v/>
      </c>
    </row>
    <row r="790">
      <c r="A790" s="1" t="n"/>
      <c r="B790" s="26" t="n"/>
      <c r="C790" s="27" t="n"/>
      <c r="D790" s="28" t="n"/>
      <c r="E790" s="29" t="n"/>
      <c r="F790" s="29" t="n"/>
      <c r="G790" s="28" t="n"/>
      <c r="H790" s="1" t="n"/>
      <c r="I790">
        <f>IF(OR(B790="",C790=""),"",B790+MOD(C790,1))</f>
        <v/>
      </c>
      <c r="J790">
        <f>IF(I790="","",IF(B790=Dashboard!$AA$1,I790,""))</f>
        <v/>
      </c>
    </row>
    <row r="791">
      <c r="A791" s="1" t="n"/>
      <c r="B791" s="26" t="n"/>
      <c r="C791" s="27" t="n"/>
      <c r="D791" s="28" t="n"/>
      <c r="E791" s="29" t="n"/>
      <c r="F791" s="29" t="n"/>
      <c r="G791" s="28" t="n"/>
      <c r="H791" s="1" t="n"/>
      <c r="I791">
        <f>IF(OR(B791="",C791=""),"",B791+MOD(C791,1))</f>
        <v/>
      </c>
      <c r="J791">
        <f>IF(I791="","",IF(B791=Dashboard!$AA$1,I791,""))</f>
        <v/>
      </c>
    </row>
    <row r="792">
      <c r="A792" s="1" t="n"/>
      <c r="B792" s="26" t="n"/>
      <c r="C792" s="27" t="n"/>
      <c r="D792" s="28" t="n"/>
      <c r="E792" s="29" t="n"/>
      <c r="F792" s="29" t="n"/>
      <c r="G792" s="28" t="n"/>
      <c r="H792" s="1" t="n"/>
      <c r="I792">
        <f>IF(OR(B792="",C792=""),"",B792+MOD(C792,1))</f>
        <v/>
      </c>
      <c r="J792">
        <f>IF(I792="","",IF(B792=Dashboard!$AA$1,I792,""))</f>
        <v/>
      </c>
    </row>
    <row r="793">
      <c r="A793" s="1" t="n"/>
      <c r="B793" s="26" t="n"/>
      <c r="C793" s="27" t="n"/>
      <c r="D793" s="28" t="n"/>
      <c r="E793" s="29" t="n"/>
      <c r="F793" s="29" t="n"/>
      <c r="G793" s="28" t="n"/>
      <c r="H793" s="1" t="n"/>
      <c r="I793">
        <f>IF(OR(B793="",C793=""),"",B793+MOD(C793,1))</f>
        <v/>
      </c>
      <c r="J793">
        <f>IF(I793="","",IF(B793=Dashboard!$AA$1,I793,""))</f>
        <v/>
      </c>
    </row>
    <row r="794">
      <c r="A794" s="1" t="n"/>
      <c r="B794" s="26" t="n"/>
      <c r="C794" s="27" t="n"/>
      <c r="D794" s="28" t="n"/>
      <c r="E794" s="29" t="n"/>
      <c r="F794" s="29" t="n"/>
      <c r="G794" s="28" t="n"/>
      <c r="H794" s="1" t="n"/>
      <c r="I794">
        <f>IF(OR(B794="",C794=""),"",B794+MOD(C794,1))</f>
        <v/>
      </c>
      <c r="J794">
        <f>IF(I794="","",IF(B794=Dashboard!$AA$1,I794,""))</f>
        <v/>
      </c>
    </row>
    <row r="795">
      <c r="A795" s="1" t="n"/>
      <c r="B795" s="26" t="n"/>
      <c r="C795" s="27" t="n"/>
      <c r="D795" s="28" t="n"/>
      <c r="E795" s="29" t="n"/>
      <c r="F795" s="29" t="n"/>
      <c r="G795" s="28" t="n"/>
      <c r="H795" s="1" t="n"/>
      <c r="I795">
        <f>IF(OR(B795="",C795=""),"",B795+MOD(C795,1))</f>
        <v/>
      </c>
      <c r="J795">
        <f>IF(I795="","",IF(B795=Dashboard!$AA$1,I795,""))</f>
        <v/>
      </c>
    </row>
    <row r="796">
      <c r="A796" s="1" t="n"/>
      <c r="B796" s="26" t="n"/>
      <c r="C796" s="27" t="n"/>
      <c r="D796" s="28" t="n"/>
      <c r="E796" s="29" t="n"/>
      <c r="F796" s="29" t="n"/>
      <c r="G796" s="28" t="n"/>
      <c r="H796" s="1" t="n"/>
      <c r="I796">
        <f>IF(OR(B796="",C796=""),"",B796+MOD(C796,1))</f>
        <v/>
      </c>
      <c r="J796">
        <f>IF(I796="","",IF(B796=Dashboard!$AA$1,I796,""))</f>
        <v/>
      </c>
    </row>
    <row r="797">
      <c r="A797" s="1" t="n"/>
      <c r="B797" s="26" t="n"/>
      <c r="C797" s="27" t="n"/>
      <c r="D797" s="28" t="n"/>
      <c r="E797" s="29" t="n"/>
      <c r="F797" s="29" t="n"/>
      <c r="G797" s="28" t="n"/>
      <c r="H797" s="1" t="n"/>
      <c r="I797">
        <f>IF(OR(B797="",C797=""),"",B797+MOD(C797,1))</f>
        <v/>
      </c>
      <c r="J797">
        <f>IF(I797="","",IF(B797=Dashboard!$AA$1,I797,""))</f>
        <v/>
      </c>
    </row>
    <row r="798">
      <c r="A798" s="1" t="n"/>
      <c r="B798" s="26" t="n"/>
      <c r="C798" s="27" t="n"/>
      <c r="D798" s="28" t="n"/>
      <c r="E798" s="29" t="n"/>
      <c r="F798" s="29" t="n"/>
      <c r="G798" s="28" t="n"/>
      <c r="H798" s="1" t="n"/>
      <c r="I798">
        <f>IF(OR(B798="",C798=""),"",B798+MOD(C798,1))</f>
        <v/>
      </c>
      <c r="J798">
        <f>IF(I798="","",IF(B798=Dashboard!$AA$1,I798,""))</f>
        <v/>
      </c>
    </row>
    <row r="799">
      <c r="A799" s="1" t="n"/>
      <c r="B799" s="26" t="n"/>
      <c r="C799" s="27" t="n"/>
      <c r="D799" s="28" t="n"/>
      <c r="E799" s="29" t="n"/>
      <c r="F799" s="29" t="n"/>
      <c r="G799" s="28" t="n"/>
      <c r="H799" s="1" t="n"/>
      <c r="I799">
        <f>IF(OR(B799="",C799=""),"",B799+MOD(C799,1))</f>
        <v/>
      </c>
      <c r="J799">
        <f>IF(I799="","",IF(B799=Dashboard!$AA$1,I799,""))</f>
        <v/>
      </c>
    </row>
    <row r="800">
      <c r="A800" s="1" t="n"/>
      <c r="B800" s="26" t="n"/>
      <c r="C800" s="27" t="n"/>
      <c r="D800" s="28" t="n"/>
      <c r="E800" s="29" t="n"/>
      <c r="F800" s="29" t="n"/>
      <c r="G800" s="28" t="n"/>
      <c r="H800" s="1" t="n"/>
      <c r="I800">
        <f>IF(OR(B800="",C800=""),"",B800+MOD(C800,1))</f>
        <v/>
      </c>
      <c r="J800">
        <f>IF(I800="","",IF(B800=Dashboard!$AA$1,I800,""))</f>
        <v/>
      </c>
    </row>
    <row r="801">
      <c r="A801" s="1" t="n"/>
      <c r="B801" s="26" t="n"/>
      <c r="C801" s="27" t="n"/>
      <c r="D801" s="28" t="n"/>
      <c r="E801" s="29" t="n"/>
      <c r="F801" s="29" t="n"/>
      <c r="G801" s="28" t="n"/>
      <c r="H801" s="1" t="n"/>
      <c r="I801">
        <f>IF(OR(B801="",C801=""),"",B801+MOD(C801,1))</f>
        <v/>
      </c>
      <c r="J801">
        <f>IF(I801="","",IF(B801=Dashboard!$AA$1,I801,""))</f>
        <v/>
      </c>
    </row>
    <row r="802">
      <c r="A802" s="1" t="n"/>
      <c r="B802" s="26" t="n"/>
      <c r="C802" s="27" t="n"/>
      <c r="D802" s="28" t="n"/>
      <c r="E802" s="29" t="n"/>
      <c r="F802" s="29" t="n"/>
      <c r="G802" s="28" t="n"/>
      <c r="H802" s="1" t="n"/>
      <c r="I802">
        <f>IF(OR(B802="",C802=""),"",B802+MOD(C802,1))</f>
        <v/>
      </c>
      <c r="J802">
        <f>IF(I802="","",IF(B802=Dashboard!$AA$1,I802,""))</f>
        <v/>
      </c>
    </row>
    <row r="803">
      <c r="A803" s="1" t="n"/>
      <c r="B803" s="26" t="n"/>
      <c r="C803" s="27" t="n"/>
      <c r="D803" s="28" t="n"/>
      <c r="E803" s="29" t="n"/>
      <c r="F803" s="29" t="n"/>
      <c r="G803" s="28" t="n"/>
      <c r="H803" s="1" t="n"/>
      <c r="I803">
        <f>IF(OR(B803="",C803=""),"",B803+MOD(C803,1))</f>
        <v/>
      </c>
      <c r="J803">
        <f>IF(I803="","",IF(B803=Dashboard!$AA$1,I803,""))</f>
        <v/>
      </c>
    </row>
    <row r="804">
      <c r="A804" s="1" t="n"/>
      <c r="B804" s="26" t="n"/>
      <c r="C804" s="27" t="n"/>
      <c r="D804" s="28" t="n"/>
      <c r="E804" s="29" t="n"/>
      <c r="F804" s="29" t="n"/>
      <c r="G804" s="28" t="n"/>
      <c r="H804" s="1" t="n"/>
      <c r="I804">
        <f>IF(OR(B804="",C804=""),"",B804+MOD(C804,1))</f>
        <v/>
      </c>
      <c r="J804">
        <f>IF(I804="","",IF(B804=Dashboard!$AA$1,I804,""))</f>
        <v/>
      </c>
    </row>
    <row r="805">
      <c r="A805" s="1" t="n"/>
      <c r="B805" s="26" t="n"/>
      <c r="C805" s="27" t="n"/>
      <c r="D805" s="28" t="n"/>
      <c r="E805" s="29" t="n"/>
      <c r="F805" s="29" t="n"/>
      <c r="G805" s="28" t="n"/>
      <c r="H805" s="1" t="n"/>
      <c r="I805">
        <f>IF(OR(B805="",C805=""),"",B805+MOD(C805,1))</f>
        <v/>
      </c>
      <c r="J805">
        <f>IF(I805="","",IF(B805=Dashboard!$AA$1,I805,""))</f>
        <v/>
      </c>
    </row>
    <row r="806">
      <c r="A806" s="1" t="n"/>
      <c r="B806" s="26" t="n"/>
      <c r="C806" s="27" t="n"/>
      <c r="D806" s="28" t="n"/>
      <c r="E806" s="29" t="n"/>
      <c r="F806" s="29" t="n"/>
      <c r="G806" s="28" t="n"/>
      <c r="H806" s="1" t="n"/>
      <c r="I806">
        <f>IF(OR(B806="",C806=""),"",B806+MOD(C806,1))</f>
        <v/>
      </c>
      <c r="J806">
        <f>IF(I806="","",IF(B806=Dashboard!$AA$1,I806,""))</f>
        <v/>
      </c>
    </row>
    <row r="807">
      <c r="A807" s="1" t="n"/>
      <c r="B807" s="26" t="n"/>
      <c r="C807" s="27" t="n"/>
      <c r="D807" s="28" t="n"/>
      <c r="E807" s="29" t="n"/>
      <c r="F807" s="29" t="n"/>
      <c r="G807" s="28" t="n"/>
      <c r="H807" s="1" t="n"/>
      <c r="I807">
        <f>IF(OR(B807="",C807=""),"",B807+MOD(C807,1))</f>
        <v/>
      </c>
      <c r="J807">
        <f>IF(I807="","",IF(B807=Dashboard!$AA$1,I807,""))</f>
        <v/>
      </c>
    </row>
    <row r="808">
      <c r="A808" s="1" t="n"/>
      <c r="B808" s="26" t="n"/>
      <c r="C808" s="27" t="n"/>
      <c r="D808" s="28" t="n"/>
      <c r="E808" s="29" t="n"/>
      <c r="F808" s="29" t="n"/>
      <c r="G808" s="28" t="n"/>
      <c r="H808" s="1" t="n"/>
      <c r="I808">
        <f>IF(OR(B808="",C808=""),"",B808+MOD(C808,1))</f>
        <v/>
      </c>
      <c r="J808">
        <f>IF(I808="","",IF(B808=Dashboard!$AA$1,I808,""))</f>
        <v/>
      </c>
    </row>
    <row r="809">
      <c r="A809" s="1" t="n"/>
      <c r="B809" s="26" t="n"/>
      <c r="C809" s="27" t="n"/>
      <c r="D809" s="28" t="n"/>
      <c r="E809" s="29" t="n"/>
      <c r="F809" s="29" t="n"/>
      <c r="G809" s="28" t="n"/>
      <c r="H809" s="1" t="n"/>
      <c r="I809">
        <f>IF(OR(B809="",C809=""),"",B809+MOD(C809,1))</f>
        <v/>
      </c>
      <c r="J809">
        <f>IF(I809="","",IF(B809=Dashboard!$AA$1,I809,""))</f>
        <v/>
      </c>
    </row>
    <row r="810">
      <c r="A810" s="1" t="n"/>
      <c r="B810" s="26" t="n"/>
      <c r="C810" s="27" t="n"/>
      <c r="D810" s="28" t="n"/>
      <c r="E810" s="29" t="n"/>
      <c r="F810" s="29" t="n"/>
      <c r="G810" s="28" t="n"/>
      <c r="H810" s="1" t="n"/>
      <c r="I810">
        <f>IF(OR(B810="",C810=""),"",B810+MOD(C810,1))</f>
        <v/>
      </c>
      <c r="J810">
        <f>IF(I810="","",IF(B810=Dashboard!$AA$1,I810,""))</f>
        <v/>
      </c>
    </row>
    <row r="811">
      <c r="A811" s="1" t="n"/>
      <c r="B811" s="26" t="n"/>
      <c r="C811" s="27" t="n"/>
      <c r="D811" s="28" t="n"/>
      <c r="E811" s="29" t="n"/>
      <c r="F811" s="29" t="n"/>
      <c r="G811" s="28" t="n"/>
      <c r="H811" s="1" t="n"/>
      <c r="I811">
        <f>IF(OR(B811="",C811=""),"",B811+MOD(C811,1))</f>
        <v/>
      </c>
      <c r="J811">
        <f>IF(I811="","",IF(B811=Dashboard!$AA$1,I811,""))</f>
        <v/>
      </c>
    </row>
    <row r="812">
      <c r="A812" s="1" t="n"/>
      <c r="B812" s="26" t="n"/>
      <c r="C812" s="27" t="n"/>
      <c r="D812" s="28" t="n"/>
      <c r="E812" s="29" t="n"/>
      <c r="F812" s="29" t="n"/>
      <c r="G812" s="28" t="n"/>
      <c r="H812" s="1" t="n"/>
      <c r="I812">
        <f>IF(OR(B812="",C812=""),"",B812+MOD(C812,1))</f>
        <v/>
      </c>
      <c r="J812">
        <f>IF(I812="","",IF(B812=Dashboard!$AA$1,I812,""))</f>
        <v/>
      </c>
    </row>
    <row r="813">
      <c r="A813" s="1" t="n"/>
      <c r="B813" s="26" t="n"/>
      <c r="C813" s="27" t="n"/>
      <c r="D813" s="28" t="n"/>
      <c r="E813" s="29" t="n"/>
      <c r="F813" s="29" t="n"/>
      <c r="G813" s="28" t="n"/>
      <c r="H813" s="1" t="n"/>
      <c r="I813">
        <f>IF(OR(B813="",C813=""),"",B813+MOD(C813,1))</f>
        <v/>
      </c>
      <c r="J813">
        <f>IF(I813="","",IF(B813=Dashboard!$AA$1,I813,""))</f>
        <v/>
      </c>
    </row>
    <row r="814">
      <c r="A814" s="1" t="n"/>
      <c r="B814" s="26" t="n"/>
      <c r="C814" s="27" t="n"/>
      <c r="D814" s="28" t="n"/>
      <c r="E814" s="29" t="n"/>
      <c r="F814" s="29" t="n"/>
      <c r="G814" s="28" t="n"/>
      <c r="H814" s="1" t="n"/>
      <c r="I814">
        <f>IF(OR(B814="",C814=""),"",B814+MOD(C814,1))</f>
        <v/>
      </c>
      <c r="J814">
        <f>IF(I814="","",IF(B814=Dashboard!$AA$1,I814,""))</f>
        <v/>
      </c>
    </row>
    <row r="815">
      <c r="A815" s="1" t="n"/>
      <c r="B815" s="26" t="n"/>
      <c r="C815" s="27" t="n"/>
      <c r="D815" s="28" t="n"/>
      <c r="E815" s="29" t="n"/>
      <c r="F815" s="29" t="n"/>
      <c r="G815" s="28" t="n"/>
      <c r="H815" s="1" t="n"/>
      <c r="I815">
        <f>IF(OR(B815="",C815=""),"",B815+MOD(C815,1))</f>
        <v/>
      </c>
      <c r="J815">
        <f>IF(I815="","",IF(B815=Dashboard!$AA$1,I815,""))</f>
        <v/>
      </c>
    </row>
    <row r="816">
      <c r="A816" s="1" t="n"/>
      <c r="B816" s="26" t="n"/>
      <c r="C816" s="27" t="n"/>
      <c r="D816" s="28" t="n"/>
      <c r="E816" s="29" t="n"/>
      <c r="F816" s="29" t="n"/>
      <c r="G816" s="28" t="n"/>
      <c r="H816" s="1" t="n"/>
      <c r="I816">
        <f>IF(OR(B816="",C816=""),"",B816+MOD(C816,1))</f>
        <v/>
      </c>
      <c r="J816">
        <f>IF(I816="","",IF(B816=Dashboard!$AA$1,I816,""))</f>
        <v/>
      </c>
    </row>
    <row r="817">
      <c r="A817" s="1" t="n"/>
      <c r="B817" s="26" t="n"/>
      <c r="C817" s="27" t="n"/>
      <c r="D817" s="28" t="n"/>
      <c r="E817" s="29" t="n"/>
      <c r="F817" s="29" t="n"/>
      <c r="G817" s="28" t="n"/>
      <c r="H817" s="1" t="n"/>
      <c r="I817">
        <f>IF(OR(B817="",C817=""),"",B817+MOD(C817,1))</f>
        <v/>
      </c>
      <c r="J817">
        <f>IF(I817="","",IF(B817=Dashboard!$AA$1,I817,""))</f>
        <v/>
      </c>
    </row>
    <row r="818">
      <c r="A818" s="1" t="n"/>
      <c r="B818" s="26" t="n"/>
      <c r="C818" s="27" t="n"/>
      <c r="D818" s="28" t="n"/>
      <c r="E818" s="29" t="n"/>
      <c r="F818" s="29" t="n"/>
      <c r="G818" s="28" t="n"/>
      <c r="H818" s="1" t="n"/>
      <c r="I818">
        <f>IF(OR(B818="",C818=""),"",B818+MOD(C818,1))</f>
        <v/>
      </c>
      <c r="J818">
        <f>IF(I818="","",IF(B818=Dashboard!$AA$1,I818,""))</f>
        <v/>
      </c>
    </row>
    <row r="819">
      <c r="A819" s="1" t="n"/>
      <c r="B819" s="26" t="n"/>
      <c r="C819" s="27" t="n"/>
      <c r="D819" s="28" t="n"/>
      <c r="E819" s="29" t="n"/>
      <c r="F819" s="29" t="n"/>
      <c r="G819" s="28" t="n"/>
      <c r="H819" s="1" t="n"/>
      <c r="I819">
        <f>IF(OR(B819="",C819=""),"",B819+MOD(C819,1))</f>
        <v/>
      </c>
      <c r="J819">
        <f>IF(I819="","",IF(B819=Dashboard!$AA$1,I819,""))</f>
        <v/>
      </c>
    </row>
    <row r="820">
      <c r="A820" s="1" t="n"/>
      <c r="B820" s="26" t="n"/>
      <c r="C820" s="27" t="n"/>
      <c r="D820" s="28" t="n"/>
      <c r="E820" s="29" t="n"/>
      <c r="F820" s="29" t="n"/>
      <c r="G820" s="28" t="n"/>
      <c r="H820" s="1" t="n"/>
      <c r="I820">
        <f>IF(OR(B820="",C820=""),"",B820+MOD(C820,1))</f>
        <v/>
      </c>
      <c r="J820">
        <f>IF(I820="","",IF(B820=Dashboard!$AA$1,I820,""))</f>
        <v/>
      </c>
    </row>
    <row r="821">
      <c r="A821" s="1" t="n"/>
      <c r="B821" s="26" t="n"/>
      <c r="C821" s="27" t="n"/>
      <c r="D821" s="28" t="n"/>
      <c r="E821" s="29" t="n"/>
      <c r="F821" s="29" t="n"/>
      <c r="G821" s="28" t="n"/>
      <c r="H821" s="1" t="n"/>
      <c r="I821">
        <f>IF(OR(B821="",C821=""),"",B821+MOD(C821,1))</f>
        <v/>
      </c>
      <c r="J821">
        <f>IF(I821="","",IF(B821=Dashboard!$AA$1,I821,""))</f>
        <v/>
      </c>
    </row>
    <row r="822">
      <c r="A822" s="1" t="n"/>
      <c r="B822" s="26" t="n"/>
      <c r="C822" s="27" t="n"/>
      <c r="D822" s="28" t="n"/>
      <c r="E822" s="29" t="n"/>
      <c r="F822" s="29" t="n"/>
      <c r="G822" s="28" t="n"/>
      <c r="H822" s="1" t="n"/>
      <c r="I822">
        <f>IF(OR(B822="",C822=""),"",B822+MOD(C822,1))</f>
        <v/>
      </c>
      <c r="J822">
        <f>IF(I822="","",IF(B822=Dashboard!$AA$1,I822,""))</f>
        <v/>
      </c>
    </row>
    <row r="823">
      <c r="A823" s="1" t="n"/>
      <c r="B823" s="26" t="n"/>
      <c r="C823" s="27" t="n"/>
      <c r="D823" s="28" t="n"/>
      <c r="E823" s="29" t="n"/>
      <c r="F823" s="29" t="n"/>
      <c r="G823" s="28" t="n"/>
      <c r="H823" s="1" t="n"/>
      <c r="I823">
        <f>IF(OR(B823="",C823=""),"",B823+MOD(C823,1))</f>
        <v/>
      </c>
      <c r="J823">
        <f>IF(I823="","",IF(B823=Dashboard!$AA$1,I823,""))</f>
        <v/>
      </c>
    </row>
    <row r="824">
      <c r="A824" s="1" t="n"/>
      <c r="B824" s="26" t="n"/>
      <c r="C824" s="27" t="n"/>
      <c r="D824" s="28" t="n"/>
      <c r="E824" s="29" t="n"/>
      <c r="F824" s="29" t="n"/>
      <c r="G824" s="28" t="n"/>
      <c r="H824" s="1" t="n"/>
      <c r="I824">
        <f>IF(OR(B824="",C824=""),"",B824+MOD(C824,1))</f>
        <v/>
      </c>
      <c r="J824">
        <f>IF(I824="","",IF(B824=Dashboard!$AA$1,I824,""))</f>
        <v/>
      </c>
    </row>
    <row r="825">
      <c r="A825" s="1" t="n"/>
      <c r="B825" s="26" t="n"/>
      <c r="C825" s="27" t="n"/>
      <c r="D825" s="28" t="n"/>
      <c r="E825" s="29" t="n"/>
      <c r="F825" s="29" t="n"/>
      <c r="G825" s="28" t="n"/>
      <c r="H825" s="1" t="n"/>
      <c r="I825">
        <f>IF(OR(B825="",C825=""),"",B825+MOD(C825,1))</f>
        <v/>
      </c>
      <c r="J825">
        <f>IF(I825="","",IF(B825=Dashboard!$AA$1,I825,""))</f>
        <v/>
      </c>
    </row>
    <row r="826">
      <c r="A826" s="1" t="n"/>
      <c r="B826" s="26" t="n"/>
      <c r="C826" s="27" t="n"/>
      <c r="D826" s="28" t="n"/>
      <c r="E826" s="29" t="n"/>
      <c r="F826" s="29" t="n"/>
      <c r="G826" s="28" t="n"/>
      <c r="H826" s="1" t="n"/>
      <c r="I826">
        <f>IF(OR(B826="",C826=""),"",B826+MOD(C826,1))</f>
        <v/>
      </c>
      <c r="J826">
        <f>IF(I826="","",IF(B826=Dashboard!$AA$1,I826,""))</f>
        <v/>
      </c>
    </row>
    <row r="827">
      <c r="A827" s="1" t="n"/>
      <c r="B827" s="26" t="n"/>
      <c r="C827" s="27" t="n"/>
      <c r="D827" s="28" t="n"/>
      <c r="E827" s="29" t="n"/>
      <c r="F827" s="29" t="n"/>
      <c r="G827" s="28" t="n"/>
      <c r="H827" s="1" t="n"/>
      <c r="I827">
        <f>IF(OR(B827="",C827=""),"",B827+MOD(C827,1))</f>
        <v/>
      </c>
      <c r="J827">
        <f>IF(I827="","",IF(B827=Dashboard!$AA$1,I827,""))</f>
        <v/>
      </c>
    </row>
    <row r="828">
      <c r="A828" s="1" t="n"/>
      <c r="B828" s="26" t="n"/>
      <c r="C828" s="27" t="n"/>
      <c r="D828" s="28" t="n"/>
      <c r="E828" s="29" t="n"/>
      <c r="F828" s="29" t="n"/>
      <c r="G828" s="28" t="n"/>
      <c r="H828" s="1" t="n"/>
      <c r="I828">
        <f>IF(OR(B828="",C828=""),"",B828+MOD(C828,1))</f>
        <v/>
      </c>
      <c r="J828">
        <f>IF(I828="","",IF(B828=Dashboard!$AA$1,I828,""))</f>
        <v/>
      </c>
    </row>
    <row r="829">
      <c r="A829" s="1" t="n"/>
      <c r="B829" s="26" t="n"/>
      <c r="C829" s="27" t="n"/>
      <c r="D829" s="28" t="n"/>
      <c r="E829" s="29" t="n"/>
      <c r="F829" s="29" t="n"/>
      <c r="G829" s="28" t="n"/>
      <c r="H829" s="1" t="n"/>
      <c r="I829">
        <f>IF(OR(B829="",C829=""),"",B829+MOD(C829,1))</f>
        <v/>
      </c>
      <c r="J829">
        <f>IF(I829="","",IF(B829=Dashboard!$AA$1,I829,""))</f>
        <v/>
      </c>
    </row>
    <row r="830">
      <c r="A830" s="1" t="n"/>
      <c r="B830" s="26" t="n"/>
      <c r="C830" s="27" t="n"/>
      <c r="D830" s="28" t="n"/>
      <c r="E830" s="29" t="n"/>
      <c r="F830" s="29" t="n"/>
      <c r="G830" s="28" t="n"/>
      <c r="H830" s="1" t="n"/>
      <c r="I830">
        <f>IF(OR(B830="",C830=""),"",B830+MOD(C830,1))</f>
        <v/>
      </c>
      <c r="J830">
        <f>IF(I830="","",IF(B830=Dashboard!$AA$1,I830,""))</f>
        <v/>
      </c>
    </row>
    <row r="831">
      <c r="A831" s="1" t="n"/>
      <c r="B831" s="26" t="n"/>
      <c r="C831" s="27" t="n"/>
      <c r="D831" s="28" t="n"/>
      <c r="E831" s="29" t="n"/>
      <c r="F831" s="29" t="n"/>
      <c r="G831" s="28" t="n"/>
      <c r="H831" s="1" t="n"/>
      <c r="I831">
        <f>IF(OR(B831="",C831=""),"",B831+MOD(C831,1))</f>
        <v/>
      </c>
      <c r="J831">
        <f>IF(I831="","",IF(B831=Dashboard!$AA$1,I831,""))</f>
        <v/>
      </c>
    </row>
    <row r="832">
      <c r="A832" s="1" t="n"/>
      <c r="B832" s="26" t="n"/>
      <c r="C832" s="27" t="n"/>
      <c r="D832" s="28" t="n"/>
      <c r="E832" s="29" t="n"/>
      <c r="F832" s="29" t="n"/>
      <c r="G832" s="28" t="n"/>
      <c r="H832" s="1" t="n"/>
      <c r="I832">
        <f>IF(OR(B832="",C832=""),"",B832+MOD(C832,1))</f>
        <v/>
      </c>
      <c r="J832">
        <f>IF(I832="","",IF(B832=Dashboard!$AA$1,I832,""))</f>
        <v/>
      </c>
    </row>
    <row r="833">
      <c r="A833" s="1" t="n"/>
      <c r="B833" s="26" t="n"/>
      <c r="C833" s="27" t="n"/>
      <c r="D833" s="28" t="n"/>
      <c r="E833" s="29" t="n"/>
      <c r="F833" s="29" t="n"/>
      <c r="G833" s="28" t="n"/>
      <c r="H833" s="1" t="n"/>
      <c r="I833">
        <f>IF(OR(B833="",C833=""),"",B833+MOD(C833,1))</f>
        <v/>
      </c>
      <c r="J833">
        <f>IF(I833="","",IF(B833=Dashboard!$AA$1,I833,""))</f>
        <v/>
      </c>
    </row>
    <row r="834">
      <c r="A834" s="1" t="n"/>
      <c r="B834" s="26" t="n"/>
      <c r="C834" s="27" t="n"/>
      <c r="D834" s="28" t="n"/>
      <c r="E834" s="29" t="n"/>
      <c r="F834" s="29" t="n"/>
      <c r="G834" s="28" t="n"/>
      <c r="H834" s="1" t="n"/>
      <c r="I834">
        <f>IF(OR(B834="",C834=""),"",B834+MOD(C834,1))</f>
        <v/>
      </c>
      <c r="J834">
        <f>IF(I834="","",IF(B834=Dashboard!$AA$1,I834,""))</f>
        <v/>
      </c>
    </row>
    <row r="835">
      <c r="A835" s="1" t="n"/>
      <c r="B835" s="26" t="n"/>
      <c r="C835" s="27" t="n"/>
      <c r="D835" s="28" t="n"/>
      <c r="E835" s="29" t="n"/>
      <c r="F835" s="29" t="n"/>
      <c r="G835" s="28" t="n"/>
      <c r="H835" s="1" t="n"/>
      <c r="I835">
        <f>IF(OR(B835="",C835=""),"",B835+MOD(C835,1))</f>
        <v/>
      </c>
      <c r="J835">
        <f>IF(I835="","",IF(B835=Dashboard!$AA$1,I835,""))</f>
        <v/>
      </c>
    </row>
    <row r="836">
      <c r="A836" s="1" t="n"/>
      <c r="B836" s="26" t="n"/>
      <c r="C836" s="27" t="n"/>
      <c r="D836" s="28" t="n"/>
      <c r="E836" s="29" t="n"/>
      <c r="F836" s="29" t="n"/>
      <c r="G836" s="28" t="n"/>
      <c r="H836" s="1" t="n"/>
      <c r="I836">
        <f>IF(OR(B836="",C836=""),"",B836+MOD(C836,1))</f>
        <v/>
      </c>
      <c r="J836">
        <f>IF(I836="","",IF(B836=Dashboard!$AA$1,I836,""))</f>
        <v/>
      </c>
    </row>
    <row r="837">
      <c r="A837" s="1" t="n"/>
      <c r="B837" s="26" t="n"/>
      <c r="C837" s="27" t="n"/>
      <c r="D837" s="28" t="n"/>
      <c r="E837" s="29" t="n"/>
      <c r="F837" s="29" t="n"/>
      <c r="G837" s="28" t="n"/>
      <c r="H837" s="1" t="n"/>
      <c r="I837">
        <f>IF(OR(B837="",C837=""),"",B837+MOD(C837,1))</f>
        <v/>
      </c>
      <c r="J837">
        <f>IF(I837="","",IF(B837=Dashboard!$AA$1,I837,""))</f>
        <v/>
      </c>
    </row>
    <row r="838">
      <c r="A838" s="1" t="n"/>
      <c r="B838" s="26" t="n"/>
      <c r="C838" s="27" t="n"/>
      <c r="D838" s="28" t="n"/>
      <c r="E838" s="29" t="n"/>
      <c r="F838" s="29" t="n"/>
      <c r="G838" s="28" t="n"/>
      <c r="H838" s="1" t="n"/>
      <c r="I838">
        <f>IF(OR(B838="",C838=""),"",B838+MOD(C838,1))</f>
        <v/>
      </c>
      <c r="J838">
        <f>IF(I838="","",IF(B838=Dashboard!$AA$1,I838,""))</f>
        <v/>
      </c>
    </row>
    <row r="839">
      <c r="A839" s="1" t="n"/>
      <c r="B839" s="26" t="n"/>
      <c r="C839" s="27" t="n"/>
      <c r="D839" s="28" t="n"/>
      <c r="E839" s="29" t="n"/>
      <c r="F839" s="29" t="n"/>
      <c r="G839" s="28" t="n"/>
      <c r="H839" s="1" t="n"/>
      <c r="I839">
        <f>IF(OR(B839="",C839=""),"",B839+MOD(C839,1))</f>
        <v/>
      </c>
      <c r="J839">
        <f>IF(I839="","",IF(B839=Dashboard!$AA$1,I839,""))</f>
        <v/>
      </c>
    </row>
    <row r="840">
      <c r="A840" s="1" t="n"/>
      <c r="B840" s="26" t="n"/>
      <c r="C840" s="27" t="n"/>
      <c r="D840" s="28" t="n"/>
      <c r="E840" s="29" t="n"/>
      <c r="F840" s="29" t="n"/>
      <c r="G840" s="28" t="n"/>
      <c r="H840" s="1" t="n"/>
      <c r="I840">
        <f>IF(OR(B840="",C840=""),"",B840+MOD(C840,1))</f>
        <v/>
      </c>
      <c r="J840">
        <f>IF(I840="","",IF(B840=Dashboard!$AA$1,I840,""))</f>
        <v/>
      </c>
    </row>
    <row r="841">
      <c r="A841" s="1" t="n"/>
      <c r="B841" s="26" t="n"/>
      <c r="C841" s="27" t="n"/>
      <c r="D841" s="28" t="n"/>
      <c r="E841" s="29" t="n"/>
      <c r="F841" s="29" t="n"/>
      <c r="G841" s="28" t="n"/>
      <c r="H841" s="1" t="n"/>
      <c r="I841">
        <f>IF(OR(B841="",C841=""),"",B841+MOD(C841,1))</f>
        <v/>
      </c>
      <c r="J841">
        <f>IF(I841="","",IF(B841=Dashboard!$AA$1,I841,""))</f>
        <v/>
      </c>
    </row>
    <row r="842">
      <c r="A842" s="1" t="n"/>
      <c r="B842" s="26" t="n"/>
      <c r="C842" s="27" t="n"/>
      <c r="D842" s="28" t="n"/>
      <c r="E842" s="29" t="n"/>
      <c r="F842" s="29" t="n"/>
      <c r="G842" s="28" t="n"/>
      <c r="H842" s="1" t="n"/>
      <c r="I842">
        <f>IF(OR(B842="",C842=""),"",B842+MOD(C842,1))</f>
        <v/>
      </c>
      <c r="J842">
        <f>IF(I842="","",IF(B842=Dashboard!$AA$1,I842,""))</f>
        <v/>
      </c>
    </row>
    <row r="843">
      <c r="A843" s="1" t="n"/>
      <c r="B843" s="26" t="n"/>
      <c r="C843" s="27" t="n"/>
      <c r="D843" s="28" t="n"/>
      <c r="E843" s="29" t="n"/>
      <c r="F843" s="29" t="n"/>
      <c r="G843" s="28" t="n"/>
      <c r="H843" s="1" t="n"/>
      <c r="I843">
        <f>IF(OR(B843="",C843=""),"",B843+MOD(C843,1))</f>
        <v/>
      </c>
      <c r="J843">
        <f>IF(I843="","",IF(B843=Dashboard!$AA$1,I843,""))</f>
        <v/>
      </c>
    </row>
    <row r="844">
      <c r="A844" s="1" t="n"/>
      <c r="B844" s="26" t="n"/>
      <c r="C844" s="27" t="n"/>
      <c r="D844" s="28" t="n"/>
      <c r="E844" s="29" t="n"/>
      <c r="F844" s="29" t="n"/>
      <c r="G844" s="28" t="n"/>
      <c r="H844" s="1" t="n"/>
      <c r="I844">
        <f>IF(OR(B844="",C844=""),"",B844+MOD(C844,1))</f>
        <v/>
      </c>
      <c r="J844">
        <f>IF(I844="","",IF(B844=Dashboard!$AA$1,I844,""))</f>
        <v/>
      </c>
    </row>
    <row r="845">
      <c r="A845" s="1" t="n"/>
      <c r="B845" s="26" t="n"/>
      <c r="C845" s="27" t="n"/>
      <c r="D845" s="28" t="n"/>
      <c r="E845" s="29" t="n"/>
      <c r="F845" s="29" t="n"/>
      <c r="G845" s="28" t="n"/>
      <c r="H845" s="1" t="n"/>
      <c r="I845">
        <f>IF(OR(B845="",C845=""),"",B845+MOD(C845,1))</f>
        <v/>
      </c>
      <c r="J845">
        <f>IF(I845="","",IF(B845=Dashboard!$AA$1,I845,""))</f>
        <v/>
      </c>
    </row>
    <row r="846">
      <c r="A846" s="1" t="n"/>
      <c r="B846" s="26" t="n"/>
      <c r="C846" s="27" t="n"/>
      <c r="D846" s="28" t="n"/>
      <c r="E846" s="29" t="n"/>
      <c r="F846" s="29" t="n"/>
      <c r="G846" s="28" t="n"/>
      <c r="H846" s="1" t="n"/>
      <c r="I846">
        <f>IF(OR(B846="",C846=""),"",B846+MOD(C846,1))</f>
        <v/>
      </c>
      <c r="J846">
        <f>IF(I846="","",IF(B846=Dashboard!$AA$1,I846,""))</f>
        <v/>
      </c>
    </row>
    <row r="847">
      <c r="A847" s="1" t="n"/>
      <c r="B847" s="26" t="n"/>
      <c r="C847" s="27" t="n"/>
      <c r="D847" s="28" t="n"/>
      <c r="E847" s="29" t="n"/>
      <c r="F847" s="29" t="n"/>
      <c r="G847" s="28" t="n"/>
      <c r="H847" s="1" t="n"/>
      <c r="I847">
        <f>IF(OR(B847="",C847=""),"",B847+MOD(C847,1))</f>
        <v/>
      </c>
      <c r="J847">
        <f>IF(I847="","",IF(B847=Dashboard!$AA$1,I847,""))</f>
        <v/>
      </c>
    </row>
    <row r="848">
      <c r="A848" s="1" t="n"/>
      <c r="B848" s="26" t="n"/>
      <c r="C848" s="27" t="n"/>
      <c r="D848" s="28" t="n"/>
      <c r="E848" s="29" t="n"/>
      <c r="F848" s="29" t="n"/>
      <c r="G848" s="28" t="n"/>
      <c r="H848" s="1" t="n"/>
      <c r="I848">
        <f>IF(OR(B848="",C848=""),"",B848+MOD(C848,1))</f>
        <v/>
      </c>
      <c r="J848">
        <f>IF(I848="","",IF(B848=Dashboard!$AA$1,I848,""))</f>
        <v/>
      </c>
    </row>
    <row r="849">
      <c r="A849" s="1" t="n"/>
      <c r="B849" s="26" t="n"/>
      <c r="C849" s="27" t="n"/>
      <c r="D849" s="28" t="n"/>
      <c r="E849" s="29" t="n"/>
      <c r="F849" s="29" t="n"/>
      <c r="G849" s="28" t="n"/>
      <c r="H849" s="1" t="n"/>
      <c r="I849">
        <f>IF(OR(B849="",C849=""),"",B849+MOD(C849,1))</f>
        <v/>
      </c>
      <c r="J849">
        <f>IF(I849="","",IF(B849=Dashboard!$AA$1,I849,""))</f>
        <v/>
      </c>
    </row>
    <row r="850">
      <c r="A850" s="1" t="n"/>
      <c r="B850" s="26" t="n"/>
      <c r="C850" s="27" t="n"/>
      <c r="D850" s="28" t="n"/>
      <c r="E850" s="29" t="n"/>
      <c r="F850" s="29" t="n"/>
      <c r="G850" s="28" t="n"/>
      <c r="H850" s="1" t="n"/>
      <c r="I850">
        <f>IF(OR(B850="",C850=""),"",B850+MOD(C850,1))</f>
        <v/>
      </c>
      <c r="J850">
        <f>IF(I850="","",IF(B850=Dashboard!$AA$1,I850,""))</f>
        <v/>
      </c>
    </row>
    <row r="851">
      <c r="A851" s="1" t="n"/>
      <c r="B851" s="26" t="n"/>
      <c r="C851" s="27" t="n"/>
      <c r="D851" s="28" t="n"/>
      <c r="E851" s="29" t="n"/>
      <c r="F851" s="29" t="n"/>
      <c r="G851" s="28" t="n"/>
      <c r="H851" s="1" t="n"/>
      <c r="I851">
        <f>IF(OR(B851="",C851=""),"",B851+MOD(C851,1))</f>
        <v/>
      </c>
      <c r="J851">
        <f>IF(I851="","",IF(B851=Dashboard!$AA$1,I851,""))</f>
        <v/>
      </c>
    </row>
    <row r="852">
      <c r="A852" s="1" t="n"/>
      <c r="B852" s="26" t="n"/>
      <c r="C852" s="27" t="n"/>
      <c r="D852" s="28" t="n"/>
      <c r="E852" s="29" t="n"/>
      <c r="F852" s="29" t="n"/>
      <c r="G852" s="28" t="n"/>
      <c r="H852" s="1" t="n"/>
      <c r="I852">
        <f>IF(OR(B852="",C852=""),"",B852+MOD(C852,1))</f>
        <v/>
      </c>
      <c r="J852">
        <f>IF(I852="","",IF(B852=Dashboard!$AA$1,I852,""))</f>
        <v/>
      </c>
    </row>
    <row r="853">
      <c r="A853" s="1" t="n"/>
      <c r="B853" s="26" t="n"/>
      <c r="C853" s="27" t="n"/>
      <c r="D853" s="28" t="n"/>
      <c r="E853" s="29" t="n"/>
      <c r="F853" s="29" t="n"/>
      <c r="G853" s="28" t="n"/>
      <c r="H853" s="1" t="n"/>
      <c r="I853">
        <f>IF(OR(B853="",C853=""),"",B853+MOD(C853,1))</f>
        <v/>
      </c>
      <c r="J853">
        <f>IF(I853="","",IF(B853=Dashboard!$AA$1,I853,""))</f>
        <v/>
      </c>
    </row>
    <row r="854">
      <c r="A854" s="1" t="n"/>
      <c r="B854" s="26" t="n"/>
      <c r="C854" s="27" t="n"/>
      <c r="D854" s="28" t="n"/>
      <c r="E854" s="29" t="n"/>
      <c r="F854" s="29" t="n"/>
      <c r="G854" s="28" t="n"/>
      <c r="H854" s="1" t="n"/>
      <c r="I854">
        <f>IF(OR(B854="",C854=""),"",B854+MOD(C854,1))</f>
        <v/>
      </c>
      <c r="J854">
        <f>IF(I854="","",IF(B854=Dashboard!$AA$1,I854,""))</f>
        <v/>
      </c>
    </row>
    <row r="855">
      <c r="A855" s="1" t="n"/>
      <c r="B855" s="26" t="n"/>
      <c r="C855" s="27" t="n"/>
      <c r="D855" s="28" t="n"/>
      <c r="E855" s="29" t="n"/>
      <c r="F855" s="29" t="n"/>
      <c r="G855" s="28" t="n"/>
      <c r="H855" s="1" t="n"/>
      <c r="I855">
        <f>IF(OR(B855="",C855=""),"",B855+MOD(C855,1))</f>
        <v/>
      </c>
      <c r="J855">
        <f>IF(I855="","",IF(B855=Dashboard!$AA$1,I855,""))</f>
        <v/>
      </c>
    </row>
    <row r="856">
      <c r="A856" s="1" t="n"/>
      <c r="B856" s="26" t="n"/>
      <c r="C856" s="27" t="n"/>
      <c r="D856" s="28" t="n"/>
      <c r="E856" s="29" t="n"/>
      <c r="F856" s="29" t="n"/>
      <c r="G856" s="28" t="n"/>
      <c r="H856" s="1" t="n"/>
      <c r="I856">
        <f>IF(OR(B856="",C856=""),"",B856+MOD(C856,1))</f>
        <v/>
      </c>
      <c r="J856">
        <f>IF(I856="","",IF(B856=Dashboard!$AA$1,I856,""))</f>
        <v/>
      </c>
    </row>
    <row r="857">
      <c r="A857" s="1" t="n"/>
      <c r="B857" s="26" t="n"/>
      <c r="C857" s="27" t="n"/>
      <c r="D857" s="28" t="n"/>
      <c r="E857" s="29" t="n"/>
      <c r="F857" s="29" t="n"/>
      <c r="G857" s="28" t="n"/>
      <c r="H857" s="1" t="n"/>
      <c r="I857">
        <f>IF(OR(B857="",C857=""),"",B857+MOD(C857,1))</f>
        <v/>
      </c>
      <c r="J857">
        <f>IF(I857="","",IF(B857=Dashboard!$AA$1,I857,""))</f>
        <v/>
      </c>
    </row>
    <row r="858">
      <c r="A858" s="1" t="n"/>
      <c r="B858" s="26" t="n"/>
      <c r="C858" s="27" t="n"/>
      <c r="D858" s="28" t="n"/>
      <c r="E858" s="29" t="n"/>
      <c r="F858" s="29" t="n"/>
      <c r="G858" s="28" t="n"/>
      <c r="H858" s="1" t="n"/>
      <c r="I858">
        <f>IF(OR(B858="",C858=""),"",B858+MOD(C858,1))</f>
        <v/>
      </c>
      <c r="J858">
        <f>IF(I858="","",IF(B858=Dashboard!$AA$1,I858,""))</f>
        <v/>
      </c>
    </row>
    <row r="859">
      <c r="A859" s="1" t="n"/>
      <c r="B859" s="26" t="n"/>
      <c r="C859" s="27" t="n"/>
      <c r="D859" s="28" t="n"/>
      <c r="E859" s="29" t="n"/>
      <c r="F859" s="29" t="n"/>
      <c r="G859" s="28" t="n"/>
      <c r="H859" s="1" t="n"/>
      <c r="I859">
        <f>IF(OR(B859="",C859=""),"",B859+MOD(C859,1))</f>
        <v/>
      </c>
      <c r="J859">
        <f>IF(I859="","",IF(B859=Dashboard!$AA$1,I859,""))</f>
        <v/>
      </c>
    </row>
    <row r="860">
      <c r="A860" s="1" t="n"/>
      <c r="B860" s="26" t="n"/>
      <c r="C860" s="27" t="n"/>
      <c r="D860" s="28" t="n"/>
      <c r="E860" s="29" t="n"/>
      <c r="F860" s="29" t="n"/>
      <c r="G860" s="28" t="n"/>
      <c r="H860" s="1" t="n"/>
      <c r="I860">
        <f>IF(OR(B860="",C860=""),"",B860+MOD(C860,1))</f>
        <v/>
      </c>
      <c r="J860">
        <f>IF(I860="","",IF(B860=Dashboard!$AA$1,I860,""))</f>
        <v/>
      </c>
    </row>
    <row r="861">
      <c r="A861" s="1" t="n"/>
      <c r="B861" s="26" t="n"/>
      <c r="C861" s="27" t="n"/>
      <c r="D861" s="28" t="n"/>
      <c r="E861" s="29" t="n"/>
      <c r="F861" s="29" t="n"/>
      <c r="G861" s="28" t="n"/>
      <c r="H861" s="1" t="n"/>
      <c r="I861">
        <f>IF(OR(B861="",C861=""),"",B861+MOD(C861,1))</f>
        <v/>
      </c>
      <c r="J861">
        <f>IF(I861="","",IF(B861=Dashboard!$AA$1,I861,""))</f>
        <v/>
      </c>
    </row>
    <row r="862">
      <c r="A862" s="1" t="n"/>
      <c r="B862" s="26" t="n"/>
      <c r="C862" s="27" t="n"/>
      <c r="D862" s="28" t="n"/>
      <c r="E862" s="29" t="n"/>
      <c r="F862" s="29" t="n"/>
      <c r="G862" s="28" t="n"/>
      <c r="H862" s="1" t="n"/>
      <c r="I862">
        <f>IF(OR(B862="",C862=""),"",B862+MOD(C862,1))</f>
        <v/>
      </c>
      <c r="J862">
        <f>IF(I862="","",IF(B862=Dashboard!$AA$1,I862,""))</f>
        <v/>
      </c>
    </row>
    <row r="863">
      <c r="A863" s="1" t="n"/>
      <c r="B863" s="26" t="n"/>
      <c r="C863" s="27" t="n"/>
      <c r="D863" s="28" t="n"/>
      <c r="E863" s="29" t="n"/>
      <c r="F863" s="29" t="n"/>
      <c r="G863" s="28" t="n"/>
      <c r="H863" s="1" t="n"/>
      <c r="I863">
        <f>IF(OR(B863="",C863=""),"",B863+MOD(C863,1))</f>
        <v/>
      </c>
      <c r="J863">
        <f>IF(I863="","",IF(B863=Dashboard!$AA$1,I863,""))</f>
        <v/>
      </c>
    </row>
    <row r="864">
      <c r="A864" s="1" t="n"/>
      <c r="B864" s="26" t="n"/>
      <c r="C864" s="27" t="n"/>
      <c r="D864" s="28" t="n"/>
      <c r="E864" s="29" t="n"/>
      <c r="F864" s="29" t="n"/>
      <c r="G864" s="28" t="n"/>
      <c r="H864" s="1" t="n"/>
      <c r="I864">
        <f>IF(OR(B864="",C864=""),"",B864+MOD(C864,1))</f>
        <v/>
      </c>
      <c r="J864">
        <f>IF(I864="","",IF(B864=Dashboard!$AA$1,I864,""))</f>
        <v/>
      </c>
    </row>
    <row r="865">
      <c r="A865" s="1" t="n"/>
      <c r="B865" s="26" t="n"/>
      <c r="C865" s="27" t="n"/>
      <c r="D865" s="28" t="n"/>
      <c r="E865" s="29" t="n"/>
      <c r="F865" s="29" t="n"/>
      <c r="G865" s="28" t="n"/>
      <c r="H865" s="1" t="n"/>
      <c r="I865">
        <f>IF(OR(B865="",C865=""),"",B865+MOD(C865,1))</f>
        <v/>
      </c>
      <c r="J865">
        <f>IF(I865="","",IF(B865=Dashboard!$AA$1,I865,""))</f>
        <v/>
      </c>
    </row>
    <row r="866">
      <c r="A866" s="1" t="n"/>
      <c r="B866" s="26" t="n"/>
      <c r="C866" s="27" t="n"/>
      <c r="D866" s="28" t="n"/>
      <c r="E866" s="29" t="n"/>
      <c r="F866" s="29" t="n"/>
      <c r="G866" s="28" t="n"/>
      <c r="H866" s="1" t="n"/>
      <c r="I866">
        <f>IF(OR(B866="",C866=""),"",B866+MOD(C866,1))</f>
        <v/>
      </c>
      <c r="J866">
        <f>IF(I866="","",IF(B866=Dashboard!$AA$1,I866,""))</f>
        <v/>
      </c>
    </row>
    <row r="867">
      <c r="A867" s="1" t="n"/>
      <c r="B867" s="26" t="n"/>
      <c r="C867" s="27" t="n"/>
      <c r="D867" s="28" t="n"/>
      <c r="E867" s="29" t="n"/>
      <c r="F867" s="29" t="n"/>
      <c r="G867" s="28" t="n"/>
      <c r="H867" s="1" t="n"/>
      <c r="I867">
        <f>IF(OR(B867="",C867=""),"",B867+MOD(C867,1))</f>
        <v/>
      </c>
      <c r="J867">
        <f>IF(I867="","",IF(B867=Dashboard!$AA$1,I867,""))</f>
        <v/>
      </c>
    </row>
    <row r="868">
      <c r="A868" s="1" t="n"/>
      <c r="B868" s="26" t="n"/>
      <c r="C868" s="27" t="n"/>
      <c r="D868" s="28" t="n"/>
      <c r="E868" s="29" t="n"/>
      <c r="F868" s="29" t="n"/>
      <c r="G868" s="28" t="n"/>
      <c r="H868" s="1" t="n"/>
      <c r="I868">
        <f>IF(OR(B868="",C868=""),"",B868+MOD(C868,1))</f>
        <v/>
      </c>
      <c r="J868">
        <f>IF(I868="","",IF(B868=Dashboard!$AA$1,I868,""))</f>
        <v/>
      </c>
    </row>
    <row r="869">
      <c r="A869" s="1" t="n"/>
      <c r="B869" s="26" t="n"/>
      <c r="C869" s="27" t="n"/>
      <c r="D869" s="28" t="n"/>
      <c r="E869" s="29" t="n"/>
      <c r="F869" s="29" t="n"/>
      <c r="G869" s="28" t="n"/>
      <c r="H869" s="1" t="n"/>
      <c r="I869">
        <f>IF(OR(B869="",C869=""),"",B869+MOD(C869,1))</f>
        <v/>
      </c>
      <c r="J869">
        <f>IF(I869="","",IF(B869=Dashboard!$AA$1,I869,""))</f>
        <v/>
      </c>
    </row>
    <row r="870">
      <c r="A870" s="1" t="n"/>
      <c r="B870" s="26" t="n"/>
      <c r="C870" s="27" t="n"/>
      <c r="D870" s="28" t="n"/>
      <c r="E870" s="29" t="n"/>
      <c r="F870" s="29" t="n"/>
      <c r="G870" s="28" t="n"/>
      <c r="H870" s="1" t="n"/>
      <c r="I870">
        <f>IF(OR(B870="",C870=""),"",B870+MOD(C870,1))</f>
        <v/>
      </c>
      <c r="J870">
        <f>IF(I870="","",IF(B870=Dashboard!$AA$1,I870,""))</f>
        <v/>
      </c>
    </row>
    <row r="871">
      <c r="A871" s="1" t="n"/>
      <c r="B871" s="26" t="n"/>
      <c r="C871" s="27" t="n"/>
      <c r="D871" s="28" t="n"/>
      <c r="E871" s="29" t="n"/>
      <c r="F871" s="29" t="n"/>
      <c r="G871" s="28" t="n"/>
      <c r="H871" s="1" t="n"/>
      <c r="I871">
        <f>IF(OR(B871="",C871=""),"",B871+MOD(C871,1))</f>
        <v/>
      </c>
      <c r="J871">
        <f>IF(I871="","",IF(B871=Dashboard!$AA$1,I871,""))</f>
        <v/>
      </c>
    </row>
    <row r="872">
      <c r="A872" s="1" t="n"/>
      <c r="B872" s="26" t="n"/>
      <c r="C872" s="27" t="n"/>
      <c r="D872" s="28" t="n"/>
      <c r="E872" s="29" t="n"/>
      <c r="F872" s="29" t="n"/>
      <c r="G872" s="28" t="n"/>
      <c r="H872" s="1" t="n"/>
      <c r="I872">
        <f>IF(OR(B872="",C872=""),"",B872+MOD(C872,1))</f>
        <v/>
      </c>
      <c r="J872">
        <f>IF(I872="","",IF(B872=Dashboard!$AA$1,I872,""))</f>
        <v/>
      </c>
    </row>
    <row r="873">
      <c r="A873" s="1" t="n"/>
      <c r="B873" s="26" t="n"/>
      <c r="C873" s="27" t="n"/>
      <c r="D873" s="28" t="n"/>
      <c r="E873" s="29" t="n"/>
      <c r="F873" s="29" t="n"/>
      <c r="G873" s="28" t="n"/>
      <c r="H873" s="1" t="n"/>
      <c r="I873">
        <f>IF(OR(B873="",C873=""),"",B873+MOD(C873,1))</f>
        <v/>
      </c>
      <c r="J873">
        <f>IF(I873="","",IF(B873=Dashboard!$AA$1,I873,""))</f>
        <v/>
      </c>
    </row>
    <row r="874">
      <c r="A874" s="1" t="n"/>
      <c r="B874" s="26" t="n"/>
      <c r="C874" s="27" t="n"/>
      <c r="D874" s="28" t="n"/>
      <c r="E874" s="29" t="n"/>
      <c r="F874" s="29" t="n"/>
      <c r="G874" s="28" t="n"/>
      <c r="H874" s="1" t="n"/>
      <c r="I874">
        <f>IF(OR(B874="",C874=""),"",B874+MOD(C874,1))</f>
        <v/>
      </c>
      <c r="J874">
        <f>IF(I874="","",IF(B874=Dashboard!$AA$1,I874,""))</f>
        <v/>
      </c>
    </row>
    <row r="875">
      <c r="A875" s="1" t="n"/>
      <c r="B875" s="26" t="n"/>
      <c r="C875" s="27" t="n"/>
      <c r="D875" s="28" t="n"/>
      <c r="E875" s="29" t="n"/>
      <c r="F875" s="29" t="n"/>
      <c r="G875" s="28" t="n"/>
      <c r="H875" s="1" t="n"/>
      <c r="I875">
        <f>IF(OR(B875="",C875=""),"",B875+MOD(C875,1))</f>
        <v/>
      </c>
      <c r="J875">
        <f>IF(I875="","",IF(B875=Dashboard!$AA$1,I875,""))</f>
        <v/>
      </c>
    </row>
    <row r="876">
      <c r="A876" s="1" t="n"/>
      <c r="B876" s="26" t="n"/>
      <c r="C876" s="27" t="n"/>
      <c r="D876" s="28" t="n"/>
      <c r="E876" s="29" t="n"/>
      <c r="F876" s="29" t="n"/>
      <c r="G876" s="28" t="n"/>
      <c r="H876" s="1" t="n"/>
      <c r="I876">
        <f>IF(OR(B876="",C876=""),"",B876+MOD(C876,1))</f>
        <v/>
      </c>
      <c r="J876">
        <f>IF(I876="","",IF(B876=Dashboard!$AA$1,I876,""))</f>
        <v/>
      </c>
    </row>
    <row r="877">
      <c r="A877" s="1" t="n"/>
      <c r="B877" s="26" t="n"/>
      <c r="C877" s="27" t="n"/>
      <c r="D877" s="28" t="n"/>
      <c r="E877" s="29" t="n"/>
      <c r="F877" s="29" t="n"/>
      <c r="G877" s="28" t="n"/>
      <c r="H877" s="1" t="n"/>
      <c r="I877">
        <f>IF(OR(B877="",C877=""),"",B877+MOD(C877,1))</f>
        <v/>
      </c>
      <c r="J877">
        <f>IF(I877="","",IF(B877=Dashboard!$AA$1,I877,""))</f>
        <v/>
      </c>
    </row>
    <row r="878">
      <c r="A878" s="1" t="n"/>
      <c r="B878" s="26" t="n"/>
      <c r="C878" s="27" t="n"/>
      <c r="D878" s="28" t="n"/>
      <c r="E878" s="29" t="n"/>
      <c r="F878" s="29" t="n"/>
      <c r="G878" s="28" t="n"/>
      <c r="H878" s="1" t="n"/>
      <c r="I878">
        <f>IF(OR(B878="",C878=""),"",B878+MOD(C878,1))</f>
        <v/>
      </c>
      <c r="J878">
        <f>IF(I878="","",IF(B878=Dashboard!$AA$1,I878,""))</f>
        <v/>
      </c>
    </row>
    <row r="879">
      <c r="A879" s="1" t="n"/>
      <c r="B879" s="26" t="n"/>
      <c r="C879" s="27" t="n"/>
      <c r="D879" s="28" t="n"/>
      <c r="E879" s="29" t="n"/>
      <c r="F879" s="29" t="n"/>
      <c r="G879" s="28" t="n"/>
      <c r="H879" s="1" t="n"/>
      <c r="I879">
        <f>IF(OR(B879="",C879=""),"",B879+MOD(C879,1))</f>
        <v/>
      </c>
      <c r="J879">
        <f>IF(I879="","",IF(B879=Dashboard!$AA$1,I879,""))</f>
        <v/>
      </c>
    </row>
    <row r="880">
      <c r="A880" s="1" t="n"/>
      <c r="B880" s="26" t="n"/>
      <c r="C880" s="27" t="n"/>
      <c r="D880" s="28" t="n"/>
      <c r="E880" s="29" t="n"/>
      <c r="F880" s="29" t="n"/>
      <c r="G880" s="28" t="n"/>
      <c r="H880" s="1" t="n"/>
      <c r="I880">
        <f>IF(OR(B880="",C880=""),"",B880+MOD(C880,1))</f>
        <v/>
      </c>
      <c r="J880">
        <f>IF(I880="","",IF(B880=Dashboard!$AA$1,I880,""))</f>
        <v/>
      </c>
    </row>
    <row r="881">
      <c r="A881" s="1" t="n"/>
      <c r="B881" s="26" t="n"/>
      <c r="C881" s="27" t="n"/>
      <c r="D881" s="28" t="n"/>
      <c r="E881" s="29" t="n"/>
      <c r="F881" s="29" t="n"/>
      <c r="G881" s="28" t="n"/>
      <c r="H881" s="1" t="n"/>
      <c r="I881">
        <f>IF(OR(B881="",C881=""),"",B881+MOD(C881,1))</f>
        <v/>
      </c>
      <c r="J881">
        <f>IF(I881="","",IF(B881=Dashboard!$AA$1,I881,""))</f>
        <v/>
      </c>
    </row>
    <row r="882">
      <c r="A882" s="1" t="n"/>
      <c r="B882" s="26" t="n"/>
      <c r="C882" s="27" t="n"/>
      <c r="D882" s="28" t="n"/>
      <c r="E882" s="29" t="n"/>
      <c r="F882" s="29" t="n"/>
      <c r="G882" s="28" t="n"/>
      <c r="H882" s="1" t="n"/>
      <c r="I882">
        <f>IF(OR(B882="",C882=""),"",B882+MOD(C882,1))</f>
        <v/>
      </c>
      <c r="J882">
        <f>IF(I882="","",IF(B882=Dashboard!$AA$1,I882,""))</f>
        <v/>
      </c>
    </row>
    <row r="883">
      <c r="A883" s="1" t="n"/>
      <c r="B883" s="26" t="n"/>
      <c r="C883" s="27" t="n"/>
      <c r="D883" s="28" t="n"/>
      <c r="E883" s="29" t="n"/>
      <c r="F883" s="29" t="n"/>
      <c r="G883" s="28" t="n"/>
      <c r="H883" s="1" t="n"/>
      <c r="I883">
        <f>IF(OR(B883="",C883=""),"",B883+MOD(C883,1))</f>
        <v/>
      </c>
      <c r="J883">
        <f>IF(I883="","",IF(B883=Dashboard!$AA$1,I883,""))</f>
        <v/>
      </c>
    </row>
    <row r="884">
      <c r="A884" s="1" t="n"/>
      <c r="B884" s="26" t="n"/>
      <c r="C884" s="27" t="n"/>
      <c r="D884" s="28" t="n"/>
      <c r="E884" s="29" t="n"/>
      <c r="F884" s="29" t="n"/>
      <c r="G884" s="28" t="n"/>
      <c r="H884" s="1" t="n"/>
      <c r="I884">
        <f>IF(OR(B884="",C884=""),"",B884+MOD(C884,1))</f>
        <v/>
      </c>
      <c r="J884">
        <f>IF(I884="","",IF(B884=Dashboard!$AA$1,I884,""))</f>
        <v/>
      </c>
    </row>
    <row r="885">
      <c r="A885" s="1" t="n"/>
      <c r="B885" s="26" t="n"/>
      <c r="C885" s="27" t="n"/>
      <c r="D885" s="28" t="n"/>
      <c r="E885" s="29" t="n"/>
      <c r="F885" s="29" t="n"/>
      <c r="G885" s="28" t="n"/>
      <c r="H885" s="1" t="n"/>
      <c r="I885">
        <f>IF(OR(B885="",C885=""),"",B885+MOD(C885,1))</f>
        <v/>
      </c>
      <c r="J885">
        <f>IF(I885="","",IF(B885=Dashboard!$AA$1,I885,""))</f>
        <v/>
      </c>
    </row>
    <row r="886">
      <c r="A886" s="1" t="n"/>
      <c r="B886" s="26" t="n"/>
      <c r="C886" s="27" t="n"/>
      <c r="D886" s="28" t="n"/>
      <c r="E886" s="29" t="n"/>
      <c r="F886" s="29" t="n"/>
      <c r="G886" s="28" t="n"/>
      <c r="H886" s="1" t="n"/>
      <c r="I886">
        <f>IF(OR(B886="",C886=""),"",B886+MOD(C886,1))</f>
        <v/>
      </c>
      <c r="J886">
        <f>IF(I886="","",IF(B886=Dashboard!$AA$1,I886,""))</f>
        <v/>
      </c>
    </row>
    <row r="887">
      <c r="A887" s="1" t="n"/>
      <c r="B887" s="26" t="n"/>
      <c r="C887" s="27" t="n"/>
      <c r="D887" s="28" t="n"/>
      <c r="E887" s="29" t="n"/>
      <c r="F887" s="29" t="n"/>
      <c r="G887" s="28" t="n"/>
      <c r="H887" s="1" t="n"/>
      <c r="I887">
        <f>IF(OR(B887="",C887=""),"",B887+MOD(C887,1))</f>
        <v/>
      </c>
      <c r="J887">
        <f>IF(I887="","",IF(B887=Dashboard!$AA$1,I887,""))</f>
        <v/>
      </c>
    </row>
    <row r="888">
      <c r="A888" s="1" t="n"/>
      <c r="B888" s="26" t="n"/>
      <c r="C888" s="27" t="n"/>
      <c r="D888" s="28" t="n"/>
      <c r="E888" s="29" t="n"/>
      <c r="F888" s="29" t="n"/>
      <c r="G888" s="28" t="n"/>
      <c r="H888" s="1" t="n"/>
      <c r="I888">
        <f>IF(OR(B888="",C888=""),"",B888+MOD(C888,1))</f>
        <v/>
      </c>
      <c r="J888">
        <f>IF(I888="","",IF(B888=Dashboard!$AA$1,I888,""))</f>
        <v/>
      </c>
    </row>
    <row r="889">
      <c r="A889" s="1" t="n"/>
      <c r="B889" s="26" t="n"/>
      <c r="C889" s="27" t="n"/>
      <c r="D889" s="28" t="n"/>
      <c r="E889" s="29" t="n"/>
      <c r="F889" s="29" t="n"/>
      <c r="G889" s="28" t="n"/>
      <c r="H889" s="1" t="n"/>
      <c r="I889">
        <f>IF(OR(B889="",C889=""),"",B889+MOD(C889,1))</f>
        <v/>
      </c>
      <c r="J889">
        <f>IF(I889="","",IF(B889=Dashboard!$AA$1,I889,""))</f>
        <v/>
      </c>
    </row>
    <row r="890">
      <c r="A890" s="1" t="n"/>
      <c r="B890" s="26" t="n"/>
      <c r="C890" s="27" t="n"/>
      <c r="D890" s="28" t="n"/>
      <c r="E890" s="29" t="n"/>
      <c r="F890" s="29" t="n"/>
      <c r="G890" s="28" t="n"/>
      <c r="H890" s="1" t="n"/>
      <c r="I890">
        <f>IF(OR(B890="",C890=""),"",B890+MOD(C890,1))</f>
        <v/>
      </c>
      <c r="J890">
        <f>IF(I890="","",IF(B890=Dashboard!$AA$1,I890,""))</f>
        <v/>
      </c>
    </row>
    <row r="891">
      <c r="A891" s="1" t="n"/>
      <c r="B891" s="26" t="n"/>
      <c r="C891" s="27" t="n"/>
      <c r="D891" s="28" t="n"/>
      <c r="E891" s="29" t="n"/>
      <c r="F891" s="29" t="n"/>
      <c r="G891" s="28" t="n"/>
      <c r="H891" s="1" t="n"/>
      <c r="I891">
        <f>IF(OR(B891="",C891=""),"",B891+MOD(C891,1))</f>
        <v/>
      </c>
      <c r="J891">
        <f>IF(I891="","",IF(B891=Dashboard!$AA$1,I891,""))</f>
        <v/>
      </c>
    </row>
    <row r="892">
      <c r="A892" s="1" t="n"/>
      <c r="B892" s="26" t="n"/>
      <c r="C892" s="27" t="n"/>
      <c r="D892" s="28" t="n"/>
      <c r="E892" s="29" t="n"/>
      <c r="F892" s="29" t="n"/>
      <c r="G892" s="28" t="n"/>
      <c r="H892" s="1" t="n"/>
      <c r="I892">
        <f>IF(OR(B892="",C892=""),"",B892+MOD(C892,1))</f>
        <v/>
      </c>
      <c r="J892">
        <f>IF(I892="","",IF(B892=Dashboard!$AA$1,I892,""))</f>
        <v/>
      </c>
    </row>
    <row r="893">
      <c r="A893" s="1" t="n"/>
      <c r="B893" s="26" t="n"/>
      <c r="C893" s="27" t="n"/>
      <c r="D893" s="28" t="n"/>
      <c r="E893" s="29" t="n"/>
      <c r="F893" s="29" t="n"/>
      <c r="G893" s="28" t="n"/>
      <c r="H893" s="1" t="n"/>
      <c r="I893">
        <f>IF(OR(B893="",C893=""),"",B893+MOD(C893,1))</f>
        <v/>
      </c>
      <c r="J893">
        <f>IF(I893="","",IF(B893=Dashboard!$AA$1,I893,""))</f>
        <v/>
      </c>
    </row>
    <row r="894">
      <c r="A894" s="1" t="n"/>
      <c r="B894" s="26" t="n"/>
      <c r="C894" s="27" t="n"/>
      <c r="D894" s="28" t="n"/>
      <c r="E894" s="29" t="n"/>
      <c r="F894" s="29" t="n"/>
      <c r="G894" s="28" t="n"/>
      <c r="H894" s="1" t="n"/>
      <c r="I894">
        <f>IF(OR(B894="",C894=""),"",B894+MOD(C894,1))</f>
        <v/>
      </c>
      <c r="J894">
        <f>IF(I894="","",IF(B894=Dashboard!$AA$1,I894,""))</f>
        <v/>
      </c>
    </row>
    <row r="895">
      <c r="A895" s="1" t="n"/>
      <c r="B895" s="26" t="n"/>
      <c r="C895" s="27" t="n"/>
      <c r="D895" s="28" t="n"/>
      <c r="E895" s="29" t="n"/>
      <c r="F895" s="29" t="n"/>
      <c r="G895" s="28" t="n"/>
      <c r="H895" s="1" t="n"/>
      <c r="I895">
        <f>IF(OR(B895="",C895=""),"",B895+MOD(C895,1))</f>
        <v/>
      </c>
      <c r="J895">
        <f>IF(I895="","",IF(B895=Dashboard!$AA$1,I895,""))</f>
        <v/>
      </c>
    </row>
    <row r="896">
      <c r="A896" s="1" t="n"/>
      <c r="B896" s="26" t="n"/>
      <c r="C896" s="27" t="n"/>
      <c r="D896" s="28" t="n"/>
      <c r="E896" s="29" t="n"/>
      <c r="F896" s="29" t="n"/>
      <c r="G896" s="28" t="n"/>
      <c r="H896" s="1" t="n"/>
      <c r="I896">
        <f>IF(OR(B896="",C896=""),"",B896+MOD(C896,1))</f>
        <v/>
      </c>
      <c r="J896">
        <f>IF(I896="","",IF(B896=Dashboard!$AA$1,I896,""))</f>
        <v/>
      </c>
    </row>
    <row r="897">
      <c r="A897" s="1" t="n"/>
      <c r="B897" s="26" t="n"/>
      <c r="C897" s="27" t="n"/>
      <c r="D897" s="28" t="n"/>
      <c r="E897" s="29" t="n"/>
      <c r="F897" s="29" t="n"/>
      <c r="G897" s="28" t="n"/>
      <c r="H897" s="1" t="n"/>
      <c r="I897">
        <f>IF(OR(B897="",C897=""),"",B897+MOD(C897,1))</f>
        <v/>
      </c>
      <c r="J897">
        <f>IF(I897="","",IF(B897=Dashboard!$AA$1,I897,""))</f>
        <v/>
      </c>
    </row>
    <row r="898">
      <c r="A898" s="1" t="n"/>
      <c r="B898" s="26" t="n"/>
      <c r="C898" s="27" t="n"/>
      <c r="D898" s="28" t="n"/>
      <c r="E898" s="29" t="n"/>
      <c r="F898" s="29" t="n"/>
      <c r="G898" s="28" t="n"/>
      <c r="H898" s="1" t="n"/>
      <c r="I898">
        <f>IF(OR(B898="",C898=""),"",B898+MOD(C898,1))</f>
        <v/>
      </c>
      <c r="J898">
        <f>IF(I898="","",IF(B898=Dashboard!$AA$1,I898,""))</f>
        <v/>
      </c>
    </row>
    <row r="899">
      <c r="A899" s="1" t="n"/>
      <c r="B899" s="26" t="n"/>
      <c r="C899" s="27" t="n"/>
      <c r="D899" s="28" t="n"/>
      <c r="E899" s="29" t="n"/>
      <c r="F899" s="29" t="n"/>
      <c r="G899" s="28" t="n"/>
      <c r="H899" s="1" t="n"/>
      <c r="I899">
        <f>IF(OR(B899="",C899=""),"",B899+MOD(C899,1))</f>
        <v/>
      </c>
      <c r="J899">
        <f>IF(I899="","",IF(B899=Dashboard!$AA$1,I899,""))</f>
        <v/>
      </c>
    </row>
    <row r="900">
      <c r="A900" s="1" t="n"/>
      <c r="B900" s="26" t="n"/>
      <c r="C900" s="27" t="n"/>
      <c r="D900" s="28" t="n"/>
      <c r="E900" s="29" t="n"/>
      <c r="F900" s="29" t="n"/>
      <c r="G900" s="28" t="n"/>
      <c r="H900" s="1" t="n"/>
      <c r="I900">
        <f>IF(OR(B900="",C900=""),"",B900+MOD(C900,1))</f>
        <v/>
      </c>
      <c r="J900">
        <f>IF(I900="","",IF(B900=Dashboard!$AA$1,I900,""))</f>
        <v/>
      </c>
    </row>
    <row r="901">
      <c r="A901" s="1" t="n"/>
      <c r="B901" s="26" t="n"/>
      <c r="C901" s="27" t="n"/>
      <c r="D901" s="28" t="n"/>
      <c r="E901" s="29" t="n"/>
      <c r="F901" s="29" t="n"/>
      <c r="G901" s="28" t="n"/>
      <c r="H901" s="1" t="n"/>
      <c r="I901">
        <f>IF(OR(B901="",C901=""),"",B901+MOD(C901,1))</f>
        <v/>
      </c>
      <c r="J901">
        <f>IF(I901="","",IF(B901=Dashboard!$AA$1,I901,""))</f>
        <v/>
      </c>
    </row>
    <row r="902">
      <c r="A902" s="1" t="n"/>
      <c r="B902" s="26" t="n"/>
      <c r="C902" s="27" t="n"/>
      <c r="D902" s="28" t="n"/>
      <c r="E902" s="29" t="n"/>
      <c r="F902" s="29" t="n"/>
      <c r="G902" s="28" t="n"/>
      <c r="H902" s="1" t="n"/>
      <c r="I902">
        <f>IF(OR(B902="",C902=""),"",B902+MOD(C902,1))</f>
        <v/>
      </c>
      <c r="J902">
        <f>IF(I902="","",IF(B902=Dashboard!$AA$1,I902,""))</f>
        <v/>
      </c>
    </row>
    <row r="903">
      <c r="A903" s="1" t="n"/>
      <c r="B903" s="26" t="n"/>
      <c r="C903" s="27" t="n"/>
      <c r="D903" s="28" t="n"/>
      <c r="E903" s="29" t="n"/>
      <c r="F903" s="29" t="n"/>
      <c r="G903" s="28" t="n"/>
      <c r="H903" s="1" t="n"/>
      <c r="I903">
        <f>IF(OR(B903="",C903=""),"",B903+MOD(C903,1))</f>
        <v/>
      </c>
      <c r="J903">
        <f>IF(I903="","",IF(B903=Dashboard!$AA$1,I903,""))</f>
        <v/>
      </c>
    </row>
    <row r="904">
      <c r="A904" s="1" t="n"/>
      <c r="B904" s="26" t="n"/>
      <c r="C904" s="27" t="n"/>
      <c r="D904" s="28" t="n"/>
      <c r="E904" s="29" t="n"/>
      <c r="F904" s="29" t="n"/>
      <c r="G904" s="28" t="n"/>
      <c r="H904" s="1" t="n"/>
      <c r="I904">
        <f>IF(OR(B904="",C904=""),"",B904+MOD(C904,1))</f>
        <v/>
      </c>
      <c r="J904">
        <f>IF(I904="","",IF(B904=Dashboard!$AA$1,I904,""))</f>
        <v/>
      </c>
    </row>
    <row r="905">
      <c r="A905" s="1" t="n"/>
      <c r="B905" s="26" t="n"/>
      <c r="C905" s="27" t="n"/>
      <c r="D905" s="28" t="n"/>
      <c r="E905" s="29" t="n"/>
      <c r="F905" s="29" t="n"/>
      <c r="G905" s="28" t="n"/>
      <c r="H905" s="1" t="n"/>
      <c r="I905">
        <f>IF(OR(B905="",C905=""),"",B905+MOD(C905,1))</f>
        <v/>
      </c>
      <c r="J905">
        <f>IF(I905="","",IF(B905=Dashboard!$AA$1,I905,""))</f>
        <v/>
      </c>
    </row>
    <row r="906">
      <c r="A906" s="1" t="n"/>
      <c r="B906" s="26" t="n"/>
      <c r="C906" s="27" t="n"/>
      <c r="D906" s="28" t="n"/>
      <c r="E906" s="29" t="n"/>
      <c r="F906" s="29" t="n"/>
      <c r="G906" s="28" t="n"/>
      <c r="H906" s="1" t="n"/>
      <c r="I906">
        <f>IF(OR(B906="",C906=""),"",B906+MOD(C906,1))</f>
        <v/>
      </c>
      <c r="J906">
        <f>IF(I906="","",IF(B906=Dashboard!$AA$1,I906,""))</f>
        <v/>
      </c>
    </row>
    <row r="907">
      <c r="A907" s="1" t="n"/>
      <c r="B907" s="26" t="n"/>
      <c r="C907" s="27" t="n"/>
      <c r="D907" s="28" t="n"/>
      <c r="E907" s="29" t="n"/>
      <c r="F907" s="29" t="n"/>
      <c r="G907" s="28" t="n"/>
      <c r="H907" s="1" t="n"/>
      <c r="I907">
        <f>IF(OR(B907="",C907=""),"",B907+MOD(C907,1))</f>
        <v/>
      </c>
      <c r="J907">
        <f>IF(I907="","",IF(B907=Dashboard!$AA$1,I907,""))</f>
        <v/>
      </c>
    </row>
    <row r="908">
      <c r="A908" s="1" t="n"/>
      <c r="B908" s="26" t="n"/>
      <c r="C908" s="27" t="n"/>
      <c r="D908" s="28" t="n"/>
      <c r="E908" s="29" t="n"/>
      <c r="F908" s="29" t="n"/>
      <c r="G908" s="28" t="n"/>
      <c r="H908" s="1" t="n"/>
      <c r="I908">
        <f>IF(OR(B908="",C908=""),"",B908+MOD(C908,1))</f>
        <v/>
      </c>
      <c r="J908">
        <f>IF(I908="","",IF(B908=Dashboard!$AA$1,I908,""))</f>
        <v/>
      </c>
    </row>
    <row r="909">
      <c r="A909" s="1" t="n"/>
      <c r="B909" s="26" t="n"/>
      <c r="C909" s="27" t="n"/>
      <c r="D909" s="28" t="n"/>
      <c r="E909" s="29" t="n"/>
      <c r="F909" s="29" t="n"/>
      <c r="G909" s="28" t="n"/>
      <c r="H909" s="1" t="n"/>
      <c r="I909">
        <f>IF(OR(B909="",C909=""),"",B909+MOD(C909,1))</f>
        <v/>
      </c>
      <c r="J909">
        <f>IF(I909="","",IF(B909=Dashboard!$AA$1,I909,""))</f>
        <v/>
      </c>
    </row>
    <row r="910">
      <c r="A910" s="1" t="n"/>
      <c r="B910" s="26" t="n"/>
      <c r="C910" s="27" t="n"/>
      <c r="D910" s="28" t="n"/>
      <c r="E910" s="29" t="n"/>
      <c r="F910" s="29" t="n"/>
      <c r="G910" s="28" t="n"/>
      <c r="H910" s="1" t="n"/>
      <c r="I910">
        <f>IF(OR(B910="",C910=""),"",B910+MOD(C910,1))</f>
        <v/>
      </c>
      <c r="J910">
        <f>IF(I910="","",IF(B910=Dashboard!$AA$1,I910,""))</f>
        <v/>
      </c>
    </row>
    <row r="911">
      <c r="A911" s="1" t="n"/>
      <c r="B911" s="26" t="n"/>
      <c r="C911" s="27" t="n"/>
      <c r="D911" s="28" t="n"/>
      <c r="E911" s="29" t="n"/>
      <c r="F911" s="29" t="n"/>
      <c r="G911" s="28" t="n"/>
      <c r="H911" s="1" t="n"/>
      <c r="I911">
        <f>IF(OR(B911="",C911=""),"",B911+MOD(C911,1))</f>
        <v/>
      </c>
      <c r="J911">
        <f>IF(I911="","",IF(B911=Dashboard!$AA$1,I911,""))</f>
        <v/>
      </c>
    </row>
    <row r="912">
      <c r="A912" s="1" t="n"/>
      <c r="B912" s="26" t="n"/>
      <c r="C912" s="27" t="n"/>
      <c r="D912" s="28" t="n"/>
      <c r="E912" s="29" t="n"/>
      <c r="F912" s="29" t="n"/>
      <c r="G912" s="28" t="n"/>
      <c r="H912" s="1" t="n"/>
      <c r="I912">
        <f>IF(OR(B912="",C912=""),"",B912+MOD(C912,1))</f>
        <v/>
      </c>
      <c r="J912">
        <f>IF(I912="","",IF(B912=Dashboard!$AA$1,I912,""))</f>
        <v/>
      </c>
    </row>
    <row r="913">
      <c r="A913" s="1" t="n"/>
      <c r="B913" s="26" t="n"/>
      <c r="C913" s="27" t="n"/>
      <c r="D913" s="28" t="n"/>
      <c r="E913" s="29" t="n"/>
      <c r="F913" s="29" t="n"/>
      <c r="G913" s="28" t="n"/>
      <c r="H913" s="1" t="n"/>
      <c r="I913">
        <f>IF(OR(B913="",C913=""),"",B913+MOD(C913,1))</f>
        <v/>
      </c>
      <c r="J913">
        <f>IF(I913="","",IF(B913=Dashboard!$AA$1,I913,""))</f>
        <v/>
      </c>
    </row>
    <row r="914">
      <c r="A914" s="1" t="n"/>
      <c r="B914" s="26" t="n"/>
      <c r="C914" s="27" t="n"/>
      <c r="D914" s="28" t="n"/>
      <c r="E914" s="29" t="n"/>
      <c r="F914" s="29" t="n"/>
      <c r="G914" s="28" t="n"/>
      <c r="H914" s="1" t="n"/>
      <c r="I914">
        <f>IF(OR(B914="",C914=""),"",B914+MOD(C914,1))</f>
        <v/>
      </c>
      <c r="J914">
        <f>IF(I914="","",IF(B914=Dashboard!$AA$1,I914,""))</f>
        <v/>
      </c>
    </row>
    <row r="915">
      <c r="A915" s="1" t="n"/>
      <c r="B915" s="26" t="n"/>
      <c r="C915" s="27" t="n"/>
      <c r="D915" s="28" t="n"/>
      <c r="E915" s="29" t="n"/>
      <c r="F915" s="29" t="n"/>
      <c r="G915" s="28" t="n"/>
      <c r="H915" s="1" t="n"/>
      <c r="I915">
        <f>IF(OR(B915="",C915=""),"",B915+MOD(C915,1))</f>
        <v/>
      </c>
      <c r="J915">
        <f>IF(I915="","",IF(B915=Dashboard!$AA$1,I915,""))</f>
        <v/>
      </c>
    </row>
    <row r="916">
      <c r="A916" s="1" t="n"/>
      <c r="B916" s="26" t="n"/>
      <c r="C916" s="27" t="n"/>
      <c r="D916" s="28" t="n"/>
      <c r="E916" s="29" t="n"/>
      <c r="F916" s="29" t="n"/>
      <c r="G916" s="28" t="n"/>
      <c r="H916" s="1" t="n"/>
      <c r="I916">
        <f>IF(OR(B916="",C916=""),"",B916+MOD(C916,1))</f>
        <v/>
      </c>
      <c r="J916">
        <f>IF(I916="","",IF(B916=Dashboard!$AA$1,I916,""))</f>
        <v/>
      </c>
    </row>
    <row r="917">
      <c r="A917" s="1" t="n"/>
      <c r="B917" s="26" t="n"/>
      <c r="C917" s="27" t="n"/>
      <c r="D917" s="28" t="n"/>
      <c r="E917" s="29" t="n"/>
      <c r="F917" s="29" t="n"/>
      <c r="G917" s="28" t="n"/>
      <c r="H917" s="1" t="n"/>
      <c r="I917">
        <f>IF(OR(B917="",C917=""),"",B917+MOD(C917,1))</f>
        <v/>
      </c>
      <c r="J917">
        <f>IF(I917="","",IF(B917=Dashboard!$AA$1,I917,""))</f>
        <v/>
      </c>
    </row>
    <row r="918">
      <c r="A918" s="1" t="n"/>
      <c r="B918" s="26" t="n"/>
      <c r="C918" s="27" t="n"/>
      <c r="D918" s="28" t="n"/>
      <c r="E918" s="29" t="n"/>
      <c r="F918" s="29" t="n"/>
      <c r="G918" s="28" t="n"/>
      <c r="H918" s="1" t="n"/>
      <c r="I918">
        <f>IF(OR(B918="",C918=""),"",B918+MOD(C918,1))</f>
        <v/>
      </c>
      <c r="J918">
        <f>IF(I918="","",IF(B918=Dashboard!$AA$1,I918,""))</f>
        <v/>
      </c>
    </row>
    <row r="919">
      <c r="A919" s="1" t="n"/>
      <c r="B919" s="26" t="n"/>
      <c r="C919" s="27" t="n"/>
      <c r="D919" s="28" t="n"/>
      <c r="E919" s="29" t="n"/>
      <c r="F919" s="29" t="n"/>
      <c r="G919" s="28" t="n"/>
      <c r="H919" s="1" t="n"/>
      <c r="I919">
        <f>IF(OR(B919="",C919=""),"",B919+MOD(C919,1))</f>
        <v/>
      </c>
      <c r="J919">
        <f>IF(I919="","",IF(B919=Dashboard!$AA$1,I919,""))</f>
        <v/>
      </c>
    </row>
    <row r="920">
      <c r="A920" s="1" t="n"/>
      <c r="B920" s="26" t="n"/>
      <c r="C920" s="27" t="n"/>
      <c r="D920" s="28" t="n"/>
      <c r="E920" s="29" t="n"/>
      <c r="F920" s="29" t="n"/>
      <c r="G920" s="28" t="n"/>
      <c r="H920" s="1" t="n"/>
      <c r="I920">
        <f>IF(OR(B920="",C920=""),"",B920+MOD(C920,1))</f>
        <v/>
      </c>
      <c r="J920">
        <f>IF(I920="","",IF(B920=Dashboard!$AA$1,I920,""))</f>
        <v/>
      </c>
    </row>
    <row r="921">
      <c r="A921" s="1" t="n"/>
      <c r="B921" s="26" t="n"/>
      <c r="C921" s="27" t="n"/>
      <c r="D921" s="28" t="n"/>
      <c r="E921" s="29" t="n"/>
      <c r="F921" s="29" t="n"/>
      <c r="G921" s="28" t="n"/>
      <c r="H921" s="1" t="n"/>
      <c r="I921">
        <f>IF(OR(B921="",C921=""),"",B921+MOD(C921,1))</f>
        <v/>
      </c>
      <c r="J921">
        <f>IF(I921="","",IF(B921=Dashboard!$AA$1,I921,""))</f>
        <v/>
      </c>
    </row>
    <row r="922">
      <c r="A922" s="1" t="n"/>
      <c r="B922" s="26" t="n"/>
      <c r="C922" s="27" t="n"/>
      <c r="D922" s="28" t="n"/>
      <c r="E922" s="29" t="n"/>
      <c r="F922" s="29" t="n"/>
      <c r="G922" s="28" t="n"/>
      <c r="H922" s="1" t="n"/>
      <c r="I922">
        <f>IF(OR(B922="",C922=""),"",B922+MOD(C922,1))</f>
        <v/>
      </c>
      <c r="J922">
        <f>IF(I922="","",IF(B922=Dashboard!$AA$1,I922,""))</f>
        <v/>
      </c>
    </row>
    <row r="923">
      <c r="A923" s="1" t="n"/>
      <c r="B923" s="26" t="n"/>
      <c r="C923" s="27" t="n"/>
      <c r="D923" s="28" t="n"/>
      <c r="E923" s="29" t="n"/>
      <c r="F923" s="29" t="n"/>
      <c r="G923" s="28" t="n"/>
      <c r="H923" s="1" t="n"/>
      <c r="I923">
        <f>IF(OR(B923="",C923=""),"",B923+MOD(C923,1))</f>
        <v/>
      </c>
      <c r="J923">
        <f>IF(I923="","",IF(B923=Dashboard!$AA$1,I923,""))</f>
        <v/>
      </c>
    </row>
    <row r="924">
      <c r="A924" s="1" t="n"/>
      <c r="B924" s="26" t="n"/>
      <c r="C924" s="27" t="n"/>
      <c r="D924" s="28" t="n"/>
      <c r="E924" s="29" t="n"/>
      <c r="F924" s="29" t="n"/>
      <c r="G924" s="28" t="n"/>
      <c r="H924" s="1" t="n"/>
      <c r="I924">
        <f>IF(OR(B924="",C924=""),"",B924+MOD(C924,1))</f>
        <v/>
      </c>
      <c r="J924">
        <f>IF(I924="","",IF(B924=Dashboard!$AA$1,I924,""))</f>
        <v/>
      </c>
    </row>
    <row r="925">
      <c r="A925" s="1" t="n"/>
      <c r="B925" s="26" t="n"/>
      <c r="C925" s="27" t="n"/>
      <c r="D925" s="28" t="n"/>
      <c r="E925" s="29" t="n"/>
      <c r="F925" s="29" t="n"/>
      <c r="G925" s="28" t="n"/>
      <c r="H925" s="1" t="n"/>
      <c r="I925">
        <f>IF(OR(B925="",C925=""),"",B925+MOD(C925,1))</f>
        <v/>
      </c>
      <c r="J925">
        <f>IF(I925="","",IF(B925=Dashboard!$AA$1,I925,""))</f>
        <v/>
      </c>
    </row>
    <row r="926">
      <c r="A926" s="1" t="n"/>
      <c r="B926" s="26" t="n"/>
      <c r="C926" s="27" t="n"/>
      <c r="D926" s="28" t="n"/>
      <c r="E926" s="29" t="n"/>
      <c r="F926" s="29" t="n"/>
      <c r="G926" s="28" t="n"/>
      <c r="H926" s="1" t="n"/>
      <c r="I926">
        <f>IF(OR(B926="",C926=""),"",B926+MOD(C926,1))</f>
        <v/>
      </c>
      <c r="J926">
        <f>IF(I926="","",IF(B926=Dashboard!$AA$1,I926,""))</f>
        <v/>
      </c>
    </row>
    <row r="927">
      <c r="A927" s="1" t="n"/>
      <c r="B927" s="26" t="n"/>
      <c r="C927" s="27" t="n"/>
      <c r="D927" s="28" t="n"/>
      <c r="E927" s="29" t="n"/>
      <c r="F927" s="29" t="n"/>
      <c r="G927" s="28" t="n"/>
      <c r="H927" s="1" t="n"/>
      <c r="I927">
        <f>IF(OR(B927="",C927=""),"",B927+MOD(C927,1))</f>
        <v/>
      </c>
      <c r="J927">
        <f>IF(I927="","",IF(B927=Dashboard!$AA$1,I927,""))</f>
        <v/>
      </c>
    </row>
    <row r="928">
      <c r="A928" s="1" t="n"/>
      <c r="B928" s="26" t="n"/>
      <c r="C928" s="27" t="n"/>
      <c r="D928" s="28" t="n"/>
      <c r="E928" s="29" t="n"/>
      <c r="F928" s="29" t="n"/>
      <c r="G928" s="28" t="n"/>
      <c r="H928" s="1" t="n"/>
      <c r="I928">
        <f>IF(OR(B928="",C928=""),"",B928+MOD(C928,1))</f>
        <v/>
      </c>
      <c r="J928">
        <f>IF(I928="","",IF(B928=Dashboard!$AA$1,I928,""))</f>
        <v/>
      </c>
    </row>
    <row r="929">
      <c r="A929" s="1" t="n"/>
      <c r="B929" s="26" t="n"/>
      <c r="C929" s="27" t="n"/>
      <c r="D929" s="28" t="n"/>
      <c r="E929" s="29" t="n"/>
      <c r="F929" s="29" t="n"/>
      <c r="G929" s="28" t="n"/>
      <c r="H929" s="1" t="n"/>
      <c r="I929">
        <f>IF(OR(B929="",C929=""),"",B929+MOD(C929,1))</f>
        <v/>
      </c>
      <c r="J929">
        <f>IF(I929="","",IF(B929=Dashboard!$AA$1,I929,""))</f>
        <v/>
      </c>
    </row>
    <row r="930">
      <c r="A930" s="1" t="n"/>
      <c r="B930" s="26" t="n"/>
      <c r="C930" s="27" t="n"/>
      <c r="D930" s="28" t="n"/>
      <c r="E930" s="29" t="n"/>
      <c r="F930" s="29" t="n"/>
      <c r="G930" s="28" t="n"/>
      <c r="H930" s="1" t="n"/>
      <c r="I930">
        <f>IF(OR(B930="",C930=""),"",B930+MOD(C930,1))</f>
        <v/>
      </c>
      <c r="J930">
        <f>IF(I930="","",IF(B930=Dashboard!$AA$1,I930,""))</f>
        <v/>
      </c>
    </row>
    <row r="931">
      <c r="A931" s="1" t="n"/>
      <c r="B931" s="26" t="n"/>
      <c r="C931" s="27" t="n"/>
      <c r="D931" s="28" t="n"/>
      <c r="E931" s="29" t="n"/>
      <c r="F931" s="29" t="n"/>
      <c r="G931" s="28" t="n"/>
      <c r="H931" s="1" t="n"/>
      <c r="I931">
        <f>IF(OR(B931="",C931=""),"",B931+MOD(C931,1))</f>
        <v/>
      </c>
      <c r="J931">
        <f>IF(I931="","",IF(B931=Dashboard!$AA$1,I931,""))</f>
        <v/>
      </c>
    </row>
    <row r="932">
      <c r="A932" s="1" t="n"/>
      <c r="B932" s="26" t="n"/>
      <c r="C932" s="27" t="n"/>
      <c r="D932" s="28" t="n"/>
      <c r="E932" s="29" t="n"/>
      <c r="F932" s="29" t="n"/>
      <c r="G932" s="28" t="n"/>
      <c r="H932" s="1" t="n"/>
      <c r="I932">
        <f>IF(OR(B932="",C932=""),"",B932+MOD(C932,1))</f>
        <v/>
      </c>
      <c r="J932">
        <f>IF(I932="","",IF(B932=Dashboard!$AA$1,I932,""))</f>
        <v/>
      </c>
    </row>
    <row r="933">
      <c r="A933" s="1" t="n"/>
      <c r="B933" s="26" t="n"/>
      <c r="C933" s="27" t="n"/>
      <c r="D933" s="28" t="n"/>
      <c r="E933" s="29" t="n"/>
      <c r="F933" s="29" t="n"/>
      <c r="G933" s="28" t="n"/>
      <c r="H933" s="1" t="n"/>
      <c r="I933">
        <f>IF(OR(B933="",C933=""),"",B933+MOD(C933,1))</f>
        <v/>
      </c>
      <c r="J933">
        <f>IF(I933="","",IF(B933=Dashboard!$AA$1,I933,""))</f>
        <v/>
      </c>
    </row>
    <row r="934">
      <c r="A934" s="1" t="n"/>
      <c r="B934" s="26" t="n"/>
      <c r="C934" s="27" t="n"/>
      <c r="D934" s="28" t="n"/>
      <c r="E934" s="29" t="n"/>
      <c r="F934" s="29" t="n"/>
      <c r="G934" s="28" t="n"/>
      <c r="H934" s="1" t="n"/>
      <c r="I934">
        <f>IF(OR(B934="",C934=""),"",B934+MOD(C934,1))</f>
        <v/>
      </c>
      <c r="J934">
        <f>IF(I934="","",IF(B934=Dashboard!$AA$1,I934,""))</f>
        <v/>
      </c>
    </row>
    <row r="935">
      <c r="A935" s="1" t="n"/>
      <c r="B935" s="26" t="n"/>
      <c r="C935" s="27" t="n"/>
      <c r="D935" s="28" t="n"/>
      <c r="E935" s="29" t="n"/>
      <c r="F935" s="29" t="n"/>
      <c r="G935" s="28" t="n"/>
      <c r="H935" s="1" t="n"/>
      <c r="I935">
        <f>IF(OR(B935="",C935=""),"",B935+MOD(C935,1))</f>
        <v/>
      </c>
      <c r="J935">
        <f>IF(I935="","",IF(B935=Dashboard!$AA$1,I935,""))</f>
        <v/>
      </c>
    </row>
    <row r="936">
      <c r="A936" s="1" t="n"/>
      <c r="B936" s="26" t="n"/>
      <c r="C936" s="27" t="n"/>
      <c r="D936" s="28" t="n"/>
      <c r="E936" s="29" t="n"/>
      <c r="F936" s="29" t="n"/>
      <c r="G936" s="28" t="n"/>
      <c r="H936" s="1" t="n"/>
      <c r="I936">
        <f>IF(OR(B936="",C936=""),"",B936+MOD(C936,1))</f>
        <v/>
      </c>
      <c r="J936">
        <f>IF(I936="","",IF(B936=Dashboard!$AA$1,I936,""))</f>
        <v/>
      </c>
    </row>
    <row r="937">
      <c r="A937" s="1" t="n"/>
      <c r="B937" s="26" t="n"/>
      <c r="C937" s="27" t="n"/>
      <c r="D937" s="28" t="n"/>
      <c r="E937" s="29" t="n"/>
      <c r="F937" s="29" t="n"/>
      <c r="G937" s="28" t="n"/>
      <c r="H937" s="1" t="n"/>
      <c r="I937">
        <f>IF(OR(B937="",C937=""),"",B937+MOD(C937,1))</f>
        <v/>
      </c>
      <c r="J937">
        <f>IF(I937="","",IF(B937=Dashboard!$AA$1,I937,""))</f>
        <v/>
      </c>
    </row>
    <row r="938">
      <c r="A938" s="1" t="n"/>
      <c r="B938" s="26" t="n"/>
      <c r="C938" s="27" t="n"/>
      <c r="D938" s="28" t="n"/>
      <c r="E938" s="29" t="n"/>
      <c r="F938" s="29" t="n"/>
      <c r="G938" s="28" t="n"/>
      <c r="H938" s="1" t="n"/>
      <c r="I938">
        <f>IF(OR(B938="",C938=""),"",B938+MOD(C938,1))</f>
        <v/>
      </c>
      <c r="J938">
        <f>IF(I938="","",IF(B938=Dashboard!$AA$1,I938,""))</f>
        <v/>
      </c>
    </row>
    <row r="939">
      <c r="A939" s="1" t="n"/>
      <c r="B939" s="26" t="n"/>
      <c r="C939" s="27" t="n"/>
      <c r="D939" s="28" t="n"/>
      <c r="E939" s="29" t="n"/>
      <c r="F939" s="29" t="n"/>
      <c r="G939" s="28" t="n"/>
      <c r="H939" s="1" t="n"/>
      <c r="I939">
        <f>IF(OR(B939="",C939=""),"",B939+MOD(C939,1))</f>
        <v/>
      </c>
      <c r="J939">
        <f>IF(I939="","",IF(B939=Dashboard!$AA$1,I939,""))</f>
        <v/>
      </c>
    </row>
    <row r="940">
      <c r="A940" s="1" t="n"/>
      <c r="B940" s="26" t="n"/>
      <c r="C940" s="27" t="n"/>
      <c r="D940" s="28" t="n"/>
      <c r="E940" s="29" t="n"/>
      <c r="F940" s="29" t="n"/>
      <c r="G940" s="28" t="n"/>
      <c r="H940" s="1" t="n"/>
      <c r="I940">
        <f>IF(OR(B940="",C940=""),"",B940+MOD(C940,1))</f>
        <v/>
      </c>
      <c r="J940">
        <f>IF(I940="","",IF(B940=Dashboard!$AA$1,I940,""))</f>
        <v/>
      </c>
    </row>
    <row r="941">
      <c r="A941" s="1" t="n"/>
      <c r="B941" s="26" t="n"/>
      <c r="C941" s="27" t="n"/>
      <c r="D941" s="28" t="n"/>
      <c r="E941" s="29" t="n"/>
      <c r="F941" s="29" t="n"/>
      <c r="G941" s="28" t="n"/>
      <c r="H941" s="1" t="n"/>
      <c r="I941">
        <f>IF(OR(B941="",C941=""),"",B941+MOD(C941,1))</f>
        <v/>
      </c>
      <c r="J941">
        <f>IF(I941="","",IF(B941=Dashboard!$AA$1,I941,""))</f>
        <v/>
      </c>
    </row>
    <row r="942">
      <c r="A942" s="1" t="n"/>
      <c r="B942" s="26" t="n"/>
      <c r="C942" s="27" t="n"/>
      <c r="D942" s="28" t="n"/>
      <c r="E942" s="29" t="n"/>
      <c r="F942" s="29" t="n"/>
      <c r="G942" s="28" t="n"/>
      <c r="H942" s="1" t="n"/>
      <c r="I942">
        <f>IF(OR(B942="",C942=""),"",B942+MOD(C942,1))</f>
        <v/>
      </c>
      <c r="J942">
        <f>IF(I942="","",IF(B942=Dashboard!$AA$1,I942,""))</f>
        <v/>
      </c>
    </row>
    <row r="943">
      <c r="A943" s="1" t="n"/>
      <c r="B943" s="26" t="n"/>
      <c r="C943" s="27" t="n"/>
      <c r="D943" s="28" t="n"/>
      <c r="E943" s="29" t="n"/>
      <c r="F943" s="29" t="n"/>
      <c r="G943" s="28" t="n"/>
      <c r="H943" s="1" t="n"/>
      <c r="I943">
        <f>IF(OR(B943="",C943=""),"",B943+MOD(C943,1))</f>
        <v/>
      </c>
      <c r="J943">
        <f>IF(I943="","",IF(B943=Dashboard!$AA$1,I943,""))</f>
        <v/>
      </c>
    </row>
    <row r="944">
      <c r="A944" s="1" t="n"/>
      <c r="B944" s="26" t="n"/>
      <c r="C944" s="27" t="n"/>
      <c r="D944" s="28" t="n"/>
      <c r="E944" s="29" t="n"/>
      <c r="F944" s="29" t="n"/>
      <c r="G944" s="28" t="n"/>
      <c r="H944" s="1" t="n"/>
      <c r="I944">
        <f>IF(OR(B944="",C944=""),"",B944+MOD(C944,1))</f>
        <v/>
      </c>
      <c r="J944">
        <f>IF(I944="","",IF(B944=Dashboard!$AA$1,I944,""))</f>
        <v/>
      </c>
    </row>
    <row r="945">
      <c r="A945" s="1" t="n"/>
      <c r="B945" s="26" t="n"/>
      <c r="C945" s="27" t="n"/>
      <c r="D945" s="28" t="n"/>
      <c r="E945" s="29" t="n"/>
      <c r="F945" s="29" t="n"/>
      <c r="G945" s="28" t="n"/>
      <c r="H945" s="1" t="n"/>
      <c r="I945">
        <f>IF(OR(B945="",C945=""),"",B945+MOD(C945,1))</f>
        <v/>
      </c>
      <c r="J945">
        <f>IF(I945="","",IF(B945=Dashboard!$AA$1,I945,""))</f>
        <v/>
      </c>
    </row>
    <row r="946">
      <c r="A946" s="1" t="n"/>
      <c r="B946" s="26" t="n"/>
      <c r="C946" s="27" t="n"/>
      <c r="D946" s="28" t="n"/>
      <c r="E946" s="29" t="n"/>
      <c r="F946" s="29" t="n"/>
      <c r="G946" s="28" t="n"/>
      <c r="H946" s="1" t="n"/>
      <c r="I946">
        <f>IF(OR(B946="",C946=""),"",B946+MOD(C946,1))</f>
        <v/>
      </c>
      <c r="J946">
        <f>IF(I946="","",IF(B946=Dashboard!$AA$1,I946,""))</f>
        <v/>
      </c>
    </row>
    <row r="947">
      <c r="A947" s="1" t="n"/>
      <c r="B947" s="26" t="n"/>
      <c r="C947" s="27" t="n"/>
      <c r="D947" s="28" t="n"/>
      <c r="E947" s="29" t="n"/>
      <c r="F947" s="29" t="n"/>
      <c r="G947" s="28" t="n"/>
      <c r="H947" s="1" t="n"/>
      <c r="I947">
        <f>IF(OR(B947="",C947=""),"",B947+MOD(C947,1))</f>
        <v/>
      </c>
      <c r="J947">
        <f>IF(I947="","",IF(B947=Dashboard!$AA$1,I947,""))</f>
        <v/>
      </c>
    </row>
    <row r="948">
      <c r="A948" s="1" t="n"/>
      <c r="B948" s="26" t="n"/>
      <c r="C948" s="27" t="n"/>
      <c r="D948" s="28" t="n"/>
      <c r="E948" s="29" t="n"/>
      <c r="F948" s="29" t="n"/>
      <c r="G948" s="28" t="n"/>
      <c r="H948" s="1" t="n"/>
      <c r="I948">
        <f>IF(OR(B948="",C948=""),"",B948+MOD(C948,1))</f>
        <v/>
      </c>
      <c r="J948">
        <f>IF(I948="","",IF(B948=Dashboard!$AA$1,I948,""))</f>
        <v/>
      </c>
    </row>
    <row r="949">
      <c r="A949" s="1" t="n"/>
      <c r="B949" s="26" t="n"/>
      <c r="C949" s="27" t="n"/>
      <c r="D949" s="28" t="n"/>
      <c r="E949" s="29" t="n"/>
      <c r="F949" s="29" t="n"/>
      <c r="G949" s="28" t="n"/>
      <c r="H949" s="1" t="n"/>
      <c r="I949">
        <f>IF(OR(B949="",C949=""),"",B949+MOD(C949,1))</f>
        <v/>
      </c>
      <c r="J949">
        <f>IF(I949="","",IF(B949=Dashboard!$AA$1,I949,""))</f>
        <v/>
      </c>
    </row>
    <row r="950">
      <c r="A950" s="1" t="n"/>
      <c r="B950" s="26" t="n"/>
      <c r="C950" s="27" t="n"/>
      <c r="D950" s="28" t="n"/>
      <c r="E950" s="29" t="n"/>
      <c r="F950" s="29" t="n"/>
      <c r="G950" s="28" t="n"/>
      <c r="H950" s="1" t="n"/>
      <c r="I950">
        <f>IF(OR(B950="",C950=""),"",B950+MOD(C950,1))</f>
        <v/>
      </c>
      <c r="J950">
        <f>IF(I950="","",IF(B950=Dashboard!$AA$1,I950,""))</f>
        <v/>
      </c>
    </row>
    <row r="951">
      <c r="A951" s="1" t="n"/>
      <c r="B951" s="26" t="n"/>
      <c r="C951" s="27" t="n"/>
      <c r="D951" s="28" t="n"/>
      <c r="E951" s="29" t="n"/>
      <c r="F951" s="29" t="n"/>
      <c r="G951" s="28" t="n"/>
      <c r="H951" s="1" t="n"/>
      <c r="I951">
        <f>IF(OR(B951="",C951=""),"",B951+MOD(C951,1))</f>
        <v/>
      </c>
      <c r="J951">
        <f>IF(I951="","",IF(B951=Dashboard!$AA$1,I951,""))</f>
        <v/>
      </c>
    </row>
    <row r="952">
      <c r="A952" s="1" t="n"/>
      <c r="B952" s="26" t="n"/>
      <c r="C952" s="27" t="n"/>
      <c r="D952" s="28" t="n"/>
      <c r="E952" s="29" t="n"/>
      <c r="F952" s="29" t="n"/>
      <c r="G952" s="28" t="n"/>
      <c r="H952" s="1" t="n"/>
      <c r="I952">
        <f>IF(OR(B952="",C952=""),"",B952+MOD(C952,1))</f>
        <v/>
      </c>
      <c r="J952">
        <f>IF(I952="","",IF(B952=Dashboard!$AA$1,I952,""))</f>
        <v/>
      </c>
    </row>
    <row r="953">
      <c r="A953" s="1" t="n"/>
      <c r="B953" s="26" t="n"/>
      <c r="C953" s="27" t="n"/>
      <c r="D953" s="28" t="n"/>
      <c r="E953" s="29" t="n"/>
      <c r="F953" s="29" t="n"/>
      <c r="G953" s="28" t="n"/>
      <c r="H953" s="1" t="n"/>
      <c r="I953">
        <f>IF(OR(B953="",C953=""),"",B953+MOD(C953,1))</f>
        <v/>
      </c>
      <c r="J953">
        <f>IF(I953="","",IF(B953=Dashboard!$AA$1,I953,""))</f>
        <v/>
      </c>
    </row>
    <row r="954">
      <c r="A954" s="1" t="n"/>
      <c r="B954" s="26" t="n"/>
      <c r="C954" s="27" t="n"/>
      <c r="D954" s="28" t="n"/>
      <c r="E954" s="29" t="n"/>
      <c r="F954" s="29" t="n"/>
      <c r="G954" s="28" t="n"/>
      <c r="H954" s="1" t="n"/>
      <c r="I954">
        <f>IF(OR(B954="",C954=""),"",B954+MOD(C954,1))</f>
        <v/>
      </c>
      <c r="J954">
        <f>IF(I954="","",IF(B954=Dashboard!$AA$1,I954,""))</f>
        <v/>
      </c>
    </row>
    <row r="955">
      <c r="A955" s="1" t="n"/>
      <c r="B955" s="26" t="n"/>
      <c r="C955" s="27" t="n"/>
      <c r="D955" s="28" t="n"/>
      <c r="E955" s="29" t="n"/>
      <c r="F955" s="29" t="n"/>
      <c r="G955" s="28" t="n"/>
      <c r="H955" s="1" t="n"/>
      <c r="I955">
        <f>IF(OR(B955="",C955=""),"",B955+MOD(C955,1))</f>
        <v/>
      </c>
      <c r="J955">
        <f>IF(I955="","",IF(B955=Dashboard!$AA$1,I955,""))</f>
        <v/>
      </c>
    </row>
    <row r="956">
      <c r="A956" s="1" t="n"/>
      <c r="B956" s="26" t="n"/>
      <c r="C956" s="27" t="n"/>
      <c r="D956" s="28" t="n"/>
      <c r="E956" s="29" t="n"/>
      <c r="F956" s="29" t="n"/>
      <c r="G956" s="28" t="n"/>
      <c r="H956" s="1" t="n"/>
      <c r="I956">
        <f>IF(OR(B956="",C956=""),"",B956+MOD(C956,1))</f>
        <v/>
      </c>
      <c r="J956">
        <f>IF(I956="","",IF(B956=Dashboard!$AA$1,I956,""))</f>
        <v/>
      </c>
    </row>
    <row r="957">
      <c r="A957" s="1" t="n"/>
      <c r="B957" s="26" t="n"/>
      <c r="C957" s="27" t="n"/>
      <c r="D957" s="28" t="n"/>
      <c r="E957" s="29" t="n"/>
      <c r="F957" s="29" t="n"/>
      <c r="G957" s="28" t="n"/>
      <c r="H957" s="1" t="n"/>
      <c r="I957">
        <f>IF(OR(B957="",C957=""),"",B957+MOD(C957,1))</f>
        <v/>
      </c>
      <c r="J957">
        <f>IF(I957="","",IF(B957=Dashboard!$AA$1,I957,""))</f>
        <v/>
      </c>
    </row>
    <row r="958">
      <c r="A958" s="1" t="n"/>
      <c r="B958" s="26" t="n"/>
      <c r="C958" s="27" t="n"/>
      <c r="D958" s="28" t="n"/>
      <c r="E958" s="29" t="n"/>
      <c r="F958" s="29" t="n"/>
      <c r="G958" s="28" t="n"/>
      <c r="H958" s="1" t="n"/>
      <c r="I958">
        <f>IF(OR(B958="",C958=""),"",B958+MOD(C958,1))</f>
        <v/>
      </c>
      <c r="J958">
        <f>IF(I958="","",IF(B958=Dashboard!$AA$1,I958,""))</f>
        <v/>
      </c>
    </row>
    <row r="959">
      <c r="A959" s="1" t="n"/>
      <c r="B959" s="26" t="n"/>
      <c r="C959" s="27" t="n"/>
      <c r="D959" s="28" t="n"/>
      <c r="E959" s="29" t="n"/>
      <c r="F959" s="29" t="n"/>
      <c r="G959" s="28" t="n"/>
      <c r="H959" s="1" t="n"/>
      <c r="I959">
        <f>IF(OR(B959="",C959=""),"",B959+MOD(C959,1))</f>
        <v/>
      </c>
      <c r="J959">
        <f>IF(I959="","",IF(B959=Dashboard!$AA$1,I959,""))</f>
        <v/>
      </c>
    </row>
    <row r="960">
      <c r="A960" s="1" t="n"/>
      <c r="B960" s="26" t="n"/>
      <c r="C960" s="27" t="n"/>
      <c r="D960" s="28" t="n"/>
      <c r="E960" s="29" t="n"/>
      <c r="F960" s="29" t="n"/>
      <c r="G960" s="28" t="n"/>
      <c r="H960" s="1" t="n"/>
      <c r="I960">
        <f>IF(OR(B960="",C960=""),"",B960+MOD(C960,1))</f>
        <v/>
      </c>
      <c r="J960">
        <f>IF(I960="","",IF(B960=Dashboard!$AA$1,I960,""))</f>
        <v/>
      </c>
    </row>
    <row r="961">
      <c r="A961" s="1" t="n"/>
      <c r="B961" s="26" t="n"/>
      <c r="C961" s="27" t="n"/>
      <c r="D961" s="28" t="n"/>
      <c r="E961" s="29" t="n"/>
      <c r="F961" s="29" t="n"/>
      <c r="G961" s="28" t="n"/>
      <c r="H961" s="1" t="n"/>
      <c r="I961">
        <f>IF(OR(B961="",C961=""),"",B961+MOD(C961,1))</f>
        <v/>
      </c>
      <c r="J961">
        <f>IF(I961="","",IF(B961=Dashboard!$AA$1,I961,""))</f>
        <v/>
      </c>
    </row>
    <row r="962">
      <c r="A962" s="1" t="n"/>
      <c r="B962" s="26" t="n"/>
      <c r="C962" s="27" t="n"/>
      <c r="D962" s="28" t="n"/>
      <c r="E962" s="29" t="n"/>
      <c r="F962" s="29" t="n"/>
      <c r="G962" s="28" t="n"/>
      <c r="H962" s="1" t="n"/>
      <c r="I962">
        <f>IF(OR(B962="",C962=""),"",B962+MOD(C962,1))</f>
        <v/>
      </c>
      <c r="J962">
        <f>IF(I962="","",IF(B962=Dashboard!$AA$1,I962,""))</f>
        <v/>
      </c>
    </row>
    <row r="963">
      <c r="A963" s="1" t="n"/>
      <c r="B963" s="26" t="n"/>
      <c r="C963" s="27" t="n"/>
      <c r="D963" s="28" t="n"/>
      <c r="E963" s="29" t="n"/>
      <c r="F963" s="29" t="n"/>
      <c r="G963" s="28" t="n"/>
      <c r="H963" s="1" t="n"/>
      <c r="I963">
        <f>IF(OR(B963="",C963=""),"",B963+MOD(C963,1))</f>
        <v/>
      </c>
      <c r="J963">
        <f>IF(I963="","",IF(B963=Dashboard!$AA$1,I963,""))</f>
        <v/>
      </c>
    </row>
    <row r="964">
      <c r="A964" s="1" t="n"/>
      <c r="B964" s="26" t="n"/>
      <c r="C964" s="27" t="n"/>
      <c r="D964" s="28" t="n"/>
      <c r="E964" s="29" t="n"/>
      <c r="F964" s="29" t="n"/>
      <c r="G964" s="28" t="n"/>
      <c r="H964" s="1" t="n"/>
      <c r="I964">
        <f>IF(OR(B964="",C964=""),"",B964+MOD(C964,1))</f>
        <v/>
      </c>
      <c r="J964">
        <f>IF(I964="","",IF(B964=Dashboard!$AA$1,I964,""))</f>
        <v/>
      </c>
    </row>
    <row r="965">
      <c r="A965" s="1" t="n"/>
      <c r="B965" s="26" t="n"/>
      <c r="C965" s="27" t="n"/>
      <c r="D965" s="28" t="n"/>
      <c r="E965" s="29" t="n"/>
      <c r="F965" s="29" t="n"/>
      <c r="G965" s="28" t="n"/>
      <c r="H965" s="1" t="n"/>
      <c r="I965">
        <f>IF(OR(B965="",C965=""),"",B965+MOD(C965,1))</f>
        <v/>
      </c>
      <c r="J965">
        <f>IF(I965="","",IF(B965=Dashboard!$AA$1,I965,""))</f>
        <v/>
      </c>
    </row>
    <row r="966">
      <c r="A966" s="1" t="n"/>
      <c r="B966" s="26" t="n"/>
      <c r="C966" s="27" t="n"/>
      <c r="D966" s="28" t="n"/>
      <c r="E966" s="29" t="n"/>
      <c r="F966" s="29" t="n"/>
      <c r="G966" s="28" t="n"/>
      <c r="H966" s="1" t="n"/>
      <c r="I966">
        <f>IF(OR(B966="",C966=""),"",B966+MOD(C966,1))</f>
        <v/>
      </c>
      <c r="J966">
        <f>IF(I966="","",IF(B966=Dashboard!$AA$1,I966,""))</f>
        <v/>
      </c>
    </row>
    <row r="967">
      <c r="A967" s="1" t="n"/>
      <c r="B967" s="26" t="n"/>
      <c r="C967" s="27" t="n"/>
      <c r="D967" s="28" t="n"/>
      <c r="E967" s="29" t="n"/>
      <c r="F967" s="29" t="n"/>
      <c r="G967" s="28" t="n"/>
      <c r="H967" s="1" t="n"/>
      <c r="I967">
        <f>IF(OR(B967="",C967=""),"",B967+MOD(C967,1))</f>
        <v/>
      </c>
      <c r="J967">
        <f>IF(I967="","",IF(B967=Dashboard!$AA$1,I967,""))</f>
        <v/>
      </c>
    </row>
    <row r="968">
      <c r="A968" s="1" t="n"/>
      <c r="B968" s="26" t="n"/>
      <c r="C968" s="27" t="n"/>
      <c r="D968" s="28" t="n"/>
      <c r="E968" s="29" t="n"/>
      <c r="F968" s="29" t="n"/>
      <c r="G968" s="28" t="n"/>
      <c r="H968" s="1" t="n"/>
      <c r="I968">
        <f>IF(OR(B968="",C968=""),"",B968+MOD(C968,1))</f>
        <v/>
      </c>
      <c r="J968">
        <f>IF(I968="","",IF(B968=Dashboard!$AA$1,I968,""))</f>
        <v/>
      </c>
    </row>
    <row r="969">
      <c r="A969" s="1" t="n"/>
      <c r="B969" s="26" t="n"/>
      <c r="C969" s="27" t="n"/>
      <c r="D969" s="28" t="n"/>
      <c r="E969" s="29" t="n"/>
      <c r="F969" s="29" t="n"/>
      <c r="G969" s="28" t="n"/>
      <c r="H969" s="1" t="n"/>
      <c r="I969">
        <f>IF(OR(B969="",C969=""),"",B969+MOD(C969,1))</f>
        <v/>
      </c>
      <c r="J969">
        <f>IF(I969="","",IF(B969=Dashboard!$AA$1,I969,""))</f>
        <v/>
      </c>
    </row>
    <row r="970">
      <c r="A970" s="1" t="n"/>
      <c r="B970" s="26" t="n"/>
      <c r="C970" s="27" t="n"/>
      <c r="D970" s="28" t="n"/>
      <c r="E970" s="29" t="n"/>
      <c r="F970" s="29" t="n"/>
      <c r="G970" s="28" t="n"/>
      <c r="H970" s="1" t="n"/>
      <c r="I970">
        <f>IF(OR(B970="",C970=""),"",B970+MOD(C970,1))</f>
        <v/>
      </c>
      <c r="J970">
        <f>IF(I970="","",IF(B970=Dashboard!$AA$1,I970,""))</f>
        <v/>
      </c>
    </row>
    <row r="971">
      <c r="A971" s="1" t="n"/>
      <c r="B971" s="26" t="n"/>
      <c r="C971" s="27" t="n"/>
      <c r="D971" s="28" t="n"/>
      <c r="E971" s="29" t="n"/>
      <c r="F971" s="29" t="n"/>
      <c r="G971" s="28" t="n"/>
      <c r="H971" s="1" t="n"/>
      <c r="I971">
        <f>IF(OR(B971="",C971=""),"",B971+MOD(C971,1))</f>
        <v/>
      </c>
      <c r="J971">
        <f>IF(I971="","",IF(B971=Dashboard!$AA$1,I971,""))</f>
        <v/>
      </c>
    </row>
    <row r="972">
      <c r="A972" s="1" t="n"/>
      <c r="B972" s="26" t="n"/>
      <c r="C972" s="27" t="n"/>
      <c r="D972" s="28" t="n"/>
      <c r="E972" s="29" t="n"/>
      <c r="F972" s="29" t="n"/>
      <c r="G972" s="28" t="n"/>
      <c r="H972" s="1" t="n"/>
      <c r="I972">
        <f>IF(OR(B972="",C972=""),"",B972+MOD(C972,1))</f>
        <v/>
      </c>
      <c r="J972">
        <f>IF(I972="","",IF(B972=Dashboard!$AA$1,I972,""))</f>
        <v/>
      </c>
    </row>
    <row r="973">
      <c r="A973" s="1" t="n"/>
      <c r="B973" s="26" t="n"/>
      <c r="C973" s="27" t="n"/>
      <c r="D973" s="28" t="n"/>
      <c r="E973" s="29" t="n"/>
      <c r="F973" s="29" t="n"/>
      <c r="G973" s="28" t="n"/>
      <c r="H973" s="1" t="n"/>
      <c r="I973">
        <f>IF(OR(B973="",C973=""),"",B973+MOD(C973,1))</f>
        <v/>
      </c>
      <c r="J973">
        <f>IF(I973="","",IF(B973=Dashboard!$AA$1,I973,""))</f>
        <v/>
      </c>
    </row>
    <row r="974">
      <c r="A974" s="1" t="n"/>
      <c r="B974" s="26" t="n"/>
      <c r="C974" s="27" t="n"/>
      <c r="D974" s="28" t="n"/>
      <c r="E974" s="29" t="n"/>
      <c r="F974" s="29" t="n"/>
      <c r="G974" s="28" t="n"/>
      <c r="H974" s="1" t="n"/>
      <c r="I974">
        <f>IF(OR(B974="",C974=""),"",B974+MOD(C974,1))</f>
        <v/>
      </c>
      <c r="J974">
        <f>IF(I974="","",IF(B974=Dashboard!$AA$1,I974,""))</f>
        <v/>
      </c>
    </row>
    <row r="975">
      <c r="A975" s="1" t="n"/>
      <c r="B975" s="26" t="n"/>
      <c r="C975" s="27" t="n"/>
      <c r="D975" s="28" t="n"/>
      <c r="E975" s="29" t="n"/>
      <c r="F975" s="29" t="n"/>
      <c r="G975" s="28" t="n"/>
      <c r="H975" s="1" t="n"/>
      <c r="I975">
        <f>IF(OR(B975="",C975=""),"",B975+MOD(C975,1))</f>
        <v/>
      </c>
      <c r="J975">
        <f>IF(I975="","",IF(B975=Dashboard!$AA$1,I975,""))</f>
        <v/>
      </c>
    </row>
    <row r="976">
      <c r="A976" s="1" t="n"/>
      <c r="B976" s="26" t="n"/>
      <c r="C976" s="27" t="n"/>
      <c r="D976" s="28" t="n"/>
      <c r="E976" s="29" t="n"/>
      <c r="F976" s="29" t="n"/>
      <c r="G976" s="28" t="n"/>
      <c r="H976" s="1" t="n"/>
      <c r="I976">
        <f>IF(OR(B976="",C976=""),"",B976+MOD(C976,1))</f>
        <v/>
      </c>
      <c r="J976">
        <f>IF(I976="","",IF(B976=Dashboard!$AA$1,I976,""))</f>
        <v/>
      </c>
    </row>
    <row r="977">
      <c r="A977" s="1" t="n"/>
      <c r="B977" s="26" t="n"/>
      <c r="C977" s="27" t="n"/>
      <c r="D977" s="28" t="n"/>
      <c r="E977" s="29" t="n"/>
      <c r="F977" s="29" t="n"/>
      <c r="G977" s="28" t="n"/>
      <c r="H977" s="1" t="n"/>
      <c r="I977">
        <f>IF(OR(B977="",C977=""),"",B977+MOD(C977,1))</f>
        <v/>
      </c>
      <c r="J977">
        <f>IF(I977="","",IF(B977=Dashboard!$AA$1,I977,""))</f>
        <v/>
      </c>
    </row>
    <row r="978">
      <c r="A978" s="1" t="n"/>
      <c r="B978" s="26" t="n"/>
      <c r="C978" s="27" t="n"/>
      <c r="D978" s="28" t="n"/>
      <c r="E978" s="29" t="n"/>
      <c r="F978" s="29" t="n"/>
      <c r="G978" s="28" t="n"/>
      <c r="H978" s="1" t="n"/>
      <c r="I978">
        <f>IF(OR(B978="",C978=""),"",B978+MOD(C978,1))</f>
        <v/>
      </c>
      <c r="J978">
        <f>IF(I978="","",IF(B978=Dashboard!$AA$1,I978,""))</f>
        <v/>
      </c>
    </row>
    <row r="979">
      <c r="A979" s="1" t="n"/>
      <c r="B979" s="26" t="n"/>
      <c r="C979" s="27" t="n"/>
      <c r="D979" s="28" t="n"/>
      <c r="E979" s="29" t="n"/>
      <c r="F979" s="29" t="n"/>
      <c r="G979" s="28" t="n"/>
      <c r="H979" s="1" t="n"/>
      <c r="I979">
        <f>IF(OR(B979="",C979=""),"",B979+MOD(C979,1))</f>
        <v/>
      </c>
      <c r="J979">
        <f>IF(I979="","",IF(B979=Dashboard!$AA$1,I979,""))</f>
        <v/>
      </c>
    </row>
    <row r="980">
      <c r="A980" s="1" t="n"/>
      <c r="B980" s="26" t="n"/>
      <c r="C980" s="27" t="n"/>
      <c r="D980" s="28" t="n"/>
      <c r="E980" s="29" t="n"/>
      <c r="F980" s="29" t="n"/>
      <c r="G980" s="28" t="n"/>
      <c r="H980" s="1" t="n"/>
      <c r="I980">
        <f>IF(OR(B980="",C980=""),"",B980+MOD(C980,1))</f>
        <v/>
      </c>
      <c r="J980">
        <f>IF(I980="","",IF(B980=Dashboard!$AA$1,I980,""))</f>
        <v/>
      </c>
    </row>
    <row r="981">
      <c r="A981" s="1" t="n"/>
      <c r="B981" s="26" t="n"/>
      <c r="C981" s="27" t="n"/>
      <c r="D981" s="28" t="n"/>
      <c r="E981" s="29" t="n"/>
      <c r="F981" s="29" t="n"/>
      <c r="G981" s="28" t="n"/>
      <c r="H981" s="1" t="n"/>
      <c r="I981">
        <f>IF(OR(B981="",C981=""),"",B981+MOD(C981,1))</f>
        <v/>
      </c>
      <c r="J981">
        <f>IF(I981="","",IF(B981=Dashboard!$AA$1,I981,""))</f>
        <v/>
      </c>
    </row>
    <row r="982">
      <c r="A982" s="1" t="n"/>
      <c r="B982" s="26" t="n"/>
      <c r="C982" s="27" t="n"/>
      <c r="D982" s="28" t="n"/>
      <c r="E982" s="29" t="n"/>
      <c r="F982" s="29" t="n"/>
      <c r="G982" s="28" t="n"/>
      <c r="H982" s="1" t="n"/>
      <c r="I982">
        <f>IF(OR(B982="",C982=""),"",B982+MOD(C982,1))</f>
        <v/>
      </c>
      <c r="J982">
        <f>IF(I982="","",IF(B982=Dashboard!$AA$1,I982,""))</f>
        <v/>
      </c>
    </row>
    <row r="983">
      <c r="A983" s="1" t="n"/>
      <c r="B983" s="26" t="n"/>
      <c r="C983" s="27" t="n"/>
      <c r="D983" s="28" t="n"/>
      <c r="E983" s="29" t="n"/>
      <c r="F983" s="29" t="n"/>
      <c r="G983" s="28" t="n"/>
      <c r="H983" s="1" t="n"/>
      <c r="I983">
        <f>IF(OR(B983="",C983=""),"",B983+MOD(C983,1))</f>
        <v/>
      </c>
      <c r="J983">
        <f>IF(I983="","",IF(B983=Dashboard!$AA$1,I983,""))</f>
        <v/>
      </c>
    </row>
    <row r="984">
      <c r="A984" s="1" t="n"/>
      <c r="B984" s="26" t="n"/>
      <c r="C984" s="27" t="n"/>
      <c r="D984" s="28" t="n"/>
      <c r="E984" s="29" t="n"/>
      <c r="F984" s="29" t="n"/>
      <c r="G984" s="28" t="n"/>
      <c r="H984" s="1" t="n"/>
      <c r="I984">
        <f>IF(OR(B984="",C984=""),"",B984+MOD(C984,1))</f>
        <v/>
      </c>
      <c r="J984">
        <f>IF(I984="","",IF(B984=Dashboard!$AA$1,I984,""))</f>
        <v/>
      </c>
    </row>
    <row r="985">
      <c r="A985" s="1" t="n"/>
      <c r="B985" s="26" t="n"/>
      <c r="C985" s="27" t="n"/>
      <c r="D985" s="28" t="n"/>
      <c r="E985" s="29" t="n"/>
      <c r="F985" s="29" t="n"/>
      <c r="G985" s="28" t="n"/>
      <c r="H985" s="1" t="n"/>
      <c r="I985">
        <f>IF(OR(B985="",C985=""),"",B985+MOD(C985,1))</f>
        <v/>
      </c>
      <c r="J985">
        <f>IF(I985="","",IF(B985=Dashboard!$AA$1,I985,""))</f>
        <v/>
      </c>
    </row>
    <row r="986">
      <c r="A986" s="1" t="n"/>
      <c r="B986" s="26" t="n"/>
      <c r="C986" s="27" t="n"/>
      <c r="D986" s="28" t="n"/>
      <c r="E986" s="29" t="n"/>
      <c r="F986" s="29" t="n"/>
      <c r="G986" s="28" t="n"/>
      <c r="H986" s="1" t="n"/>
      <c r="I986">
        <f>IF(OR(B986="",C986=""),"",B986+MOD(C986,1))</f>
        <v/>
      </c>
      <c r="J986">
        <f>IF(I986="","",IF(B986=Dashboard!$AA$1,I986,""))</f>
        <v/>
      </c>
    </row>
    <row r="987">
      <c r="A987" s="1" t="n"/>
      <c r="B987" s="26" t="n"/>
      <c r="C987" s="27" t="n"/>
      <c r="D987" s="28" t="n"/>
      <c r="E987" s="29" t="n"/>
      <c r="F987" s="29" t="n"/>
      <c r="G987" s="28" t="n"/>
      <c r="H987" s="1" t="n"/>
      <c r="I987">
        <f>IF(OR(B987="",C987=""),"",B987+MOD(C987,1))</f>
        <v/>
      </c>
      <c r="J987">
        <f>IF(I987="","",IF(B987=Dashboard!$AA$1,I987,""))</f>
        <v/>
      </c>
    </row>
    <row r="988">
      <c r="A988" s="1" t="n"/>
      <c r="B988" s="26" t="n"/>
      <c r="C988" s="27" t="n"/>
      <c r="D988" s="28" t="n"/>
      <c r="E988" s="29" t="n"/>
      <c r="F988" s="29" t="n"/>
      <c r="G988" s="28" t="n"/>
      <c r="H988" s="1" t="n"/>
      <c r="I988">
        <f>IF(OR(B988="",C988=""),"",B988+MOD(C988,1))</f>
        <v/>
      </c>
      <c r="J988">
        <f>IF(I988="","",IF(B988=Dashboard!$AA$1,I988,""))</f>
        <v/>
      </c>
    </row>
    <row r="989">
      <c r="A989" s="1" t="n"/>
      <c r="B989" s="26" t="n"/>
      <c r="C989" s="27" t="n"/>
      <c r="D989" s="28" t="n"/>
      <c r="E989" s="29" t="n"/>
      <c r="F989" s="29" t="n"/>
      <c r="G989" s="28" t="n"/>
      <c r="H989" s="1" t="n"/>
      <c r="I989">
        <f>IF(OR(B989="",C989=""),"",B989+MOD(C989,1))</f>
        <v/>
      </c>
      <c r="J989">
        <f>IF(I989="","",IF(B989=Dashboard!$AA$1,I989,""))</f>
        <v/>
      </c>
    </row>
    <row r="990">
      <c r="A990" s="1" t="n"/>
      <c r="B990" s="26" t="n"/>
      <c r="C990" s="27" t="n"/>
      <c r="D990" s="28" t="n"/>
      <c r="E990" s="29" t="n"/>
      <c r="F990" s="29" t="n"/>
      <c r="G990" s="28" t="n"/>
      <c r="H990" s="1" t="n"/>
      <c r="I990">
        <f>IF(OR(B990="",C990=""),"",B990+MOD(C990,1))</f>
        <v/>
      </c>
      <c r="J990">
        <f>IF(I990="","",IF(B990=Dashboard!$AA$1,I990,""))</f>
        <v/>
      </c>
    </row>
    <row r="991">
      <c r="A991" s="1" t="n"/>
      <c r="B991" s="26" t="n"/>
      <c r="C991" s="27" t="n"/>
      <c r="D991" s="28" t="n"/>
      <c r="E991" s="29" t="n"/>
      <c r="F991" s="29" t="n"/>
      <c r="G991" s="28" t="n"/>
      <c r="H991" s="1" t="n"/>
      <c r="I991">
        <f>IF(OR(B991="",C991=""),"",B991+MOD(C991,1))</f>
        <v/>
      </c>
      <c r="J991">
        <f>IF(I991="","",IF(B991=Dashboard!$AA$1,I991,""))</f>
        <v/>
      </c>
    </row>
    <row r="992">
      <c r="A992" s="1" t="n"/>
      <c r="B992" s="26" t="n"/>
      <c r="C992" s="27" t="n"/>
      <c r="D992" s="28" t="n"/>
      <c r="E992" s="29" t="n"/>
      <c r="F992" s="29" t="n"/>
      <c r="G992" s="28" t="n"/>
      <c r="H992" s="1" t="n"/>
      <c r="I992">
        <f>IF(OR(B992="",C992=""),"",B992+MOD(C992,1))</f>
        <v/>
      </c>
      <c r="J992">
        <f>IF(I992="","",IF(B992=Dashboard!$AA$1,I992,""))</f>
        <v/>
      </c>
    </row>
    <row r="993">
      <c r="A993" s="1" t="n"/>
      <c r="B993" s="26" t="n"/>
      <c r="C993" s="27" t="n"/>
      <c r="D993" s="28" t="n"/>
      <c r="E993" s="29" t="n"/>
      <c r="F993" s="29" t="n"/>
      <c r="G993" s="28" t="n"/>
      <c r="H993" s="1" t="n"/>
      <c r="I993">
        <f>IF(OR(B993="",C993=""),"",B993+MOD(C993,1))</f>
        <v/>
      </c>
      <c r="J993">
        <f>IF(I993="","",IF(B993=Dashboard!$AA$1,I993,""))</f>
        <v/>
      </c>
    </row>
    <row r="994">
      <c r="A994" s="1" t="n"/>
      <c r="B994" s="26" t="n"/>
      <c r="C994" s="27" t="n"/>
      <c r="D994" s="28" t="n"/>
      <c r="E994" s="29" t="n"/>
      <c r="F994" s="29" t="n"/>
      <c r="G994" s="28" t="n"/>
      <c r="H994" s="1" t="n"/>
      <c r="I994">
        <f>IF(OR(B994="",C994=""),"",B994+MOD(C994,1))</f>
        <v/>
      </c>
      <c r="J994">
        <f>IF(I994="","",IF(B994=Dashboard!$AA$1,I994,""))</f>
        <v/>
      </c>
    </row>
    <row r="995">
      <c r="A995" s="1" t="n"/>
      <c r="B995" s="26" t="n"/>
      <c r="C995" s="27" t="n"/>
      <c r="D995" s="28" t="n"/>
      <c r="E995" s="29" t="n"/>
      <c r="F995" s="29" t="n"/>
      <c r="G995" s="28" t="n"/>
      <c r="H995" s="1" t="n"/>
      <c r="I995">
        <f>IF(OR(B995="",C995=""),"",B995+MOD(C995,1))</f>
        <v/>
      </c>
      <c r="J995">
        <f>IF(I995="","",IF(B995=Dashboard!$AA$1,I995,""))</f>
        <v/>
      </c>
    </row>
    <row r="996">
      <c r="A996" s="1" t="n"/>
      <c r="B996" s="26" t="n"/>
      <c r="C996" s="27" t="n"/>
      <c r="D996" s="28" t="n"/>
      <c r="E996" s="29" t="n"/>
      <c r="F996" s="29" t="n"/>
      <c r="G996" s="28" t="n"/>
      <c r="H996" s="1" t="n"/>
      <c r="I996">
        <f>IF(OR(B996="",C996=""),"",B996+MOD(C996,1))</f>
        <v/>
      </c>
      <c r="J996">
        <f>IF(I996="","",IF(B996=Dashboard!$AA$1,I996,""))</f>
        <v/>
      </c>
    </row>
    <row r="997">
      <c r="A997" s="1" t="n"/>
      <c r="B997" s="26" t="n"/>
      <c r="C997" s="27" t="n"/>
      <c r="D997" s="28" t="n"/>
      <c r="E997" s="29" t="n"/>
      <c r="F997" s="29" t="n"/>
      <c r="G997" s="28" t="n"/>
      <c r="H997" s="1" t="n"/>
      <c r="I997">
        <f>IF(OR(B997="",C997=""),"",B997+MOD(C997,1))</f>
        <v/>
      </c>
      <c r="J997">
        <f>IF(I997="","",IF(B997=Dashboard!$AA$1,I997,""))</f>
        <v/>
      </c>
    </row>
    <row r="998">
      <c r="A998" s="1" t="n"/>
      <c r="B998" s="26" t="n"/>
      <c r="C998" s="27" t="n"/>
      <c r="D998" s="28" t="n"/>
      <c r="E998" s="29" t="n"/>
      <c r="F998" s="29" t="n"/>
      <c r="G998" s="28" t="n"/>
      <c r="H998" s="1" t="n"/>
      <c r="I998">
        <f>IF(OR(B998="",C998=""),"",B998+MOD(C998,1))</f>
        <v/>
      </c>
      <c r="J998">
        <f>IF(I998="","",IF(B998=Dashboard!$AA$1,I998,""))</f>
        <v/>
      </c>
    </row>
    <row r="999">
      <c r="A999" s="1" t="n"/>
      <c r="B999" s="26" t="n"/>
      <c r="C999" s="27" t="n"/>
      <c r="D999" s="28" t="n"/>
      <c r="E999" s="29" t="n"/>
      <c r="F999" s="29" t="n"/>
      <c r="G999" s="28" t="n"/>
      <c r="H999" s="1" t="n"/>
      <c r="I999">
        <f>IF(OR(B999="",C999=""),"",B999+MOD(C999,1))</f>
        <v/>
      </c>
      <c r="J999">
        <f>IF(I999="","",IF(B999=Dashboard!$AA$1,I999,""))</f>
        <v/>
      </c>
    </row>
    <row r="1000">
      <c r="A1000" s="1" t="n"/>
      <c r="B1000" s="26" t="n"/>
      <c r="C1000" s="27" t="n"/>
      <c r="D1000" s="28" t="n"/>
      <c r="E1000" s="29" t="n"/>
      <c r="F1000" s="29" t="n"/>
      <c r="G1000" s="28" t="n"/>
      <c r="H1000" s="1" t="n"/>
      <c r="I1000">
        <f>IF(OR(B1000="",C1000=""),"",B1000+MOD(C1000,1))</f>
        <v/>
      </c>
      <c r="J1000">
        <f>IF(I1000="","",IF(B1000=Dashboard!$AA$1,I1000,""))</f>
        <v/>
      </c>
    </row>
    <row r="1001">
      <c r="A1001" s="1" t="n"/>
      <c r="B1001" s="26" t="n"/>
      <c r="C1001" s="27" t="n"/>
      <c r="D1001" s="28" t="n"/>
      <c r="E1001" s="29" t="n"/>
      <c r="F1001" s="29" t="n"/>
      <c r="G1001" s="28" t="n"/>
      <c r="H1001" s="1" t="n"/>
      <c r="I1001">
        <f>IF(OR(B1001="",C1001=""),"",B1001+MOD(C1001,1))</f>
        <v/>
      </c>
      <c r="J1001">
        <f>IF(I1001="","",IF(B1001=Dashboard!$AA$1,I1001,""))</f>
        <v/>
      </c>
    </row>
    <row r="1002">
      <c r="A1002" s="1" t="n"/>
      <c r="B1002" s="26" t="n"/>
      <c r="C1002" s="27" t="n"/>
      <c r="D1002" s="28" t="n"/>
      <c r="E1002" s="29" t="n"/>
      <c r="F1002" s="29" t="n"/>
      <c r="G1002" s="28" t="n"/>
      <c r="H1002" s="1" t="n"/>
      <c r="I1002">
        <f>IF(OR(B1002="",C1002=""),"",B1002+MOD(C1002,1))</f>
        <v/>
      </c>
      <c r="J1002">
        <f>IF(I1002="","",IF(B1002=Dashboard!$AA$1,I1002,""))</f>
        <v/>
      </c>
    </row>
    <row r="1003">
      <c r="A1003" s="1" t="n"/>
      <c r="B1003" s="26" t="n"/>
      <c r="C1003" s="27" t="n"/>
      <c r="D1003" s="28" t="n"/>
      <c r="E1003" s="29" t="n"/>
      <c r="F1003" s="29" t="n"/>
      <c r="G1003" s="28" t="n"/>
      <c r="H1003" s="1" t="n"/>
      <c r="I1003">
        <f>IF(OR(B1003="",C1003=""),"",B1003+MOD(C1003,1))</f>
        <v/>
      </c>
      <c r="J1003">
        <f>IF(I1003="","",IF(B1003=Dashboard!$AA$1,I1003,""))</f>
        <v/>
      </c>
    </row>
    <row r="1004">
      <c r="A1004" s="1" t="n"/>
      <c r="B1004" s="26" t="n"/>
      <c r="C1004" s="27" t="n"/>
      <c r="D1004" s="28" t="n"/>
      <c r="E1004" s="29" t="n"/>
      <c r="F1004" s="29" t="n"/>
      <c r="G1004" s="28" t="n"/>
      <c r="H1004" s="1" t="n"/>
      <c r="I1004">
        <f>IF(OR(B1004="",C1004=""),"",B1004+MOD(C1004,1))</f>
        <v/>
      </c>
      <c r="J1004">
        <f>IF(I1004="","",IF(B1004=Dashboard!$AA$1,I1004,""))</f>
        <v/>
      </c>
    </row>
    <row r="1005">
      <c r="A1005" s="1" t="n"/>
      <c r="B1005" s="26" t="n"/>
      <c r="C1005" s="27" t="n"/>
      <c r="D1005" s="28" t="n"/>
      <c r="E1005" s="29" t="n"/>
      <c r="F1005" s="29" t="n"/>
      <c r="G1005" s="28" t="n"/>
      <c r="H1005" s="1" t="n"/>
      <c r="I1005">
        <f>IF(OR(B1005="",C1005=""),"",B1005+MOD(C1005,1))</f>
        <v/>
      </c>
      <c r="J1005">
        <f>IF(I1005="","",IF(B1005=Dashboard!$AA$1,I1005,""))</f>
        <v/>
      </c>
    </row>
    <row r="1006">
      <c r="A1006" s="1" t="n"/>
      <c r="B1006" s="26" t="n"/>
      <c r="C1006" s="27" t="n"/>
      <c r="D1006" s="28" t="n"/>
      <c r="E1006" s="29" t="n"/>
      <c r="F1006" s="29" t="n"/>
      <c r="G1006" s="28" t="n"/>
      <c r="H1006" s="1" t="n"/>
      <c r="I1006">
        <f>IF(OR(B1006="",C1006=""),"",B1006+MOD(C1006,1))</f>
        <v/>
      </c>
      <c r="J1006">
        <f>IF(I1006="","",IF(B1006=Dashboard!$AA$1,I1006,""))</f>
        <v/>
      </c>
    </row>
    <row r="1007">
      <c r="A1007" s="1" t="n"/>
      <c r="B1007" s="26" t="n"/>
      <c r="C1007" s="27" t="n"/>
      <c r="D1007" s="28" t="n"/>
      <c r="E1007" s="29" t="n"/>
      <c r="F1007" s="29" t="n"/>
      <c r="G1007" s="28" t="n"/>
      <c r="H1007" s="1" t="n"/>
      <c r="I1007">
        <f>IF(OR(B1007="",C1007=""),"",B1007+MOD(C1007,1))</f>
        <v/>
      </c>
      <c r="J1007">
        <f>IF(I1007="","",IF(B1007=Dashboard!$AA$1,I1007,""))</f>
        <v/>
      </c>
    </row>
    <row r="1008">
      <c r="A1008" s="1" t="n"/>
      <c r="B1008" s="26" t="n"/>
      <c r="C1008" s="27" t="n"/>
      <c r="D1008" s="28" t="n"/>
      <c r="E1008" s="29" t="n"/>
      <c r="F1008" s="29" t="n"/>
      <c r="G1008" s="28" t="n"/>
      <c r="H1008" s="1" t="n"/>
      <c r="I1008">
        <f>IF(OR(B1008="",C1008=""),"",B1008+MOD(C1008,1))</f>
        <v/>
      </c>
      <c r="J1008">
        <f>IF(I1008="","",IF(B1008=Dashboard!$AA$1,I1008,""))</f>
        <v/>
      </c>
    </row>
    <row r="1009">
      <c r="A1009" s="1" t="n"/>
      <c r="B1009" s="26" t="n"/>
      <c r="C1009" s="27" t="n"/>
      <c r="D1009" s="28" t="n"/>
      <c r="E1009" s="29" t="n"/>
      <c r="F1009" s="29" t="n"/>
      <c r="G1009" s="28" t="n"/>
      <c r="H1009" s="1" t="n"/>
      <c r="I1009">
        <f>IF(OR(B1009="",C1009=""),"",B1009+MOD(C1009,1))</f>
        <v/>
      </c>
      <c r="J1009">
        <f>IF(I1009="","",IF(B1009=Dashboard!$AA$1,I1009,""))</f>
        <v/>
      </c>
    </row>
    <row r="1010">
      <c r="A1010" s="1" t="n"/>
      <c r="B1010" s="26" t="n"/>
      <c r="C1010" s="27" t="n"/>
      <c r="D1010" s="28" t="n"/>
      <c r="E1010" s="29" t="n"/>
      <c r="F1010" s="29" t="n"/>
      <c r="G1010" s="28" t="n"/>
      <c r="H1010" s="1" t="n"/>
      <c r="I1010">
        <f>IF(OR(B1010="",C1010=""),"",B1010+MOD(C1010,1))</f>
        <v/>
      </c>
      <c r="J1010">
        <f>IF(I1010="","",IF(B1010=Dashboard!$AA$1,I1010,""))</f>
        <v/>
      </c>
    </row>
    <row r="1011">
      <c r="A1011" s="1" t="n"/>
      <c r="B1011" s="26" t="n"/>
      <c r="C1011" s="27" t="n"/>
      <c r="D1011" s="28" t="n"/>
      <c r="E1011" s="29" t="n"/>
      <c r="F1011" s="29" t="n"/>
      <c r="G1011" s="28" t="n"/>
      <c r="H1011" s="1" t="n"/>
      <c r="I1011">
        <f>IF(OR(B1011="",C1011=""),"",B1011+MOD(C1011,1))</f>
        <v/>
      </c>
      <c r="J1011">
        <f>IF(I1011="","",IF(B1011=Dashboard!$AA$1,I1011,""))</f>
        <v/>
      </c>
    </row>
    <row r="1012">
      <c r="A1012" s="1" t="n"/>
      <c r="B1012" s="26" t="n"/>
      <c r="C1012" s="27" t="n"/>
      <c r="D1012" s="28" t="n"/>
      <c r="E1012" s="29" t="n"/>
      <c r="F1012" s="29" t="n"/>
      <c r="G1012" s="28" t="n"/>
      <c r="H1012" s="1" t="n"/>
      <c r="I1012">
        <f>IF(OR(B1012="",C1012=""),"",B1012+MOD(C1012,1))</f>
        <v/>
      </c>
      <c r="J1012">
        <f>IF(I1012="","",IF(B1012=Dashboard!$AA$1,I1012,""))</f>
        <v/>
      </c>
    </row>
    <row r="1013">
      <c r="A1013" s="1" t="n"/>
      <c r="B1013" s="26" t="n"/>
      <c r="C1013" s="27" t="n"/>
      <c r="D1013" s="28" t="n"/>
      <c r="E1013" s="29" t="n"/>
      <c r="F1013" s="29" t="n"/>
      <c r="G1013" s="28" t="n"/>
      <c r="H1013" s="1" t="n"/>
      <c r="I1013">
        <f>IF(OR(B1013="",C1013=""),"",B1013+MOD(C1013,1))</f>
        <v/>
      </c>
      <c r="J1013">
        <f>IF(I1013="","",IF(B1013=Dashboard!$AA$1,I1013,""))</f>
        <v/>
      </c>
    </row>
    <row r="1014">
      <c r="A1014" s="1" t="n"/>
      <c r="B1014" s="26" t="n"/>
      <c r="C1014" s="27" t="n"/>
      <c r="D1014" s="28" t="n"/>
      <c r="E1014" s="29" t="n"/>
      <c r="F1014" s="29" t="n"/>
      <c r="G1014" s="28" t="n"/>
      <c r="H1014" s="1" t="n"/>
      <c r="I1014">
        <f>IF(OR(B1014="",C1014=""),"",B1014+MOD(C1014,1))</f>
        <v/>
      </c>
      <c r="J1014">
        <f>IF(I1014="","",IF(B1014=Dashboard!$AA$1,I1014,""))</f>
        <v/>
      </c>
    </row>
    <row r="1015">
      <c r="A1015" s="1" t="n"/>
      <c r="B1015" s="26" t="n"/>
      <c r="C1015" s="27" t="n"/>
      <c r="D1015" s="28" t="n"/>
      <c r="E1015" s="29" t="n"/>
      <c r="F1015" s="29" t="n"/>
      <c r="G1015" s="28" t="n"/>
      <c r="H1015" s="1" t="n"/>
      <c r="I1015">
        <f>IF(OR(B1015="",C1015=""),"",B1015+MOD(C1015,1))</f>
        <v/>
      </c>
      <c r="J1015">
        <f>IF(I1015="","",IF(B1015=Dashboard!$AA$1,I1015,""))</f>
        <v/>
      </c>
    </row>
    <row r="1016">
      <c r="A1016" s="1" t="n"/>
      <c r="B1016" s="26" t="n"/>
      <c r="C1016" s="27" t="n"/>
      <c r="D1016" s="28" t="n"/>
      <c r="E1016" s="29" t="n"/>
      <c r="F1016" s="29" t="n"/>
      <c r="G1016" s="28" t="n"/>
      <c r="H1016" s="1" t="n"/>
      <c r="I1016">
        <f>IF(OR(B1016="",C1016=""),"",B1016+MOD(C1016,1))</f>
        <v/>
      </c>
      <c r="J1016">
        <f>IF(I1016="","",IF(B1016=Dashboard!$AA$1,I1016,""))</f>
        <v/>
      </c>
    </row>
    <row r="1017">
      <c r="A1017" s="1" t="n"/>
      <c r="B1017" s="26" t="n"/>
      <c r="C1017" s="27" t="n"/>
      <c r="D1017" s="28" t="n"/>
      <c r="E1017" s="29" t="n"/>
      <c r="F1017" s="29" t="n"/>
      <c r="G1017" s="28" t="n"/>
      <c r="H1017" s="1" t="n"/>
      <c r="I1017">
        <f>IF(OR(B1017="",C1017=""),"",B1017+MOD(C1017,1))</f>
        <v/>
      </c>
      <c r="J1017">
        <f>IF(I1017="","",IF(B1017=Dashboard!$AA$1,I1017,""))</f>
        <v/>
      </c>
    </row>
    <row r="1018">
      <c r="A1018" s="1" t="n"/>
      <c r="B1018" s="26" t="n"/>
      <c r="C1018" s="27" t="n"/>
      <c r="D1018" s="28" t="n"/>
      <c r="E1018" s="29" t="n"/>
      <c r="F1018" s="29" t="n"/>
      <c r="G1018" s="28" t="n"/>
      <c r="H1018" s="1" t="n"/>
      <c r="I1018">
        <f>IF(OR(B1018="",C1018=""),"",B1018+MOD(C1018,1))</f>
        <v/>
      </c>
      <c r="J1018">
        <f>IF(I1018="","",IF(B1018=Dashboard!$AA$1,I1018,""))</f>
        <v/>
      </c>
    </row>
    <row r="1019">
      <c r="A1019" s="1" t="n"/>
      <c r="B1019" s="26" t="n"/>
      <c r="C1019" s="27" t="n"/>
      <c r="D1019" s="28" t="n"/>
      <c r="E1019" s="29" t="n"/>
      <c r="F1019" s="29" t="n"/>
      <c r="G1019" s="28" t="n"/>
      <c r="H1019" s="1" t="n"/>
      <c r="I1019">
        <f>IF(OR(B1019="",C1019=""),"",B1019+MOD(C1019,1))</f>
        <v/>
      </c>
      <c r="J1019">
        <f>IF(I1019="","",IF(B1019=Dashboard!$AA$1,I1019,""))</f>
        <v/>
      </c>
    </row>
    <row r="1020">
      <c r="A1020" s="1" t="n"/>
      <c r="B1020" s="26" t="n"/>
      <c r="C1020" s="27" t="n"/>
      <c r="D1020" s="28" t="n"/>
      <c r="E1020" s="29" t="n"/>
      <c r="F1020" s="29" t="n"/>
      <c r="G1020" s="28" t="n"/>
      <c r="H1020" s="1" t="n"/>
      <c r="I1020">
        <f>IF(OR(B1020="",C1020=""),"",B1020+MOD(C1020,1))</f>
        <v/>
      </c>
      <c r="J1020">
        <f>IF(I1020="","",IF(B1020=Dashboard!$AA$1,I1020,""))</f>
        <v/>
      </c>
    </row>
    <row r="1021">
      <c r="A1021" s="1" t="n"/>
      <c r="B1021" s="26" t="n"/>
      <c r="C1021" s="27" t="n"/>
      <c r="D1021" s="28" t="n"/>
      <c r="E1021" s="29" t="n"/>
      <c r="F1021" s="29" t="n"/>
      <c r="G1021" s="28" t="n"/>
      <c r="H1021" s="1" t="n"/>
      <c r="I1021">
        <f>IF(OR(B1021="",C1021=""),"",B1021+MOD(C1021,1))</f>
        <v/>
      </c>
      <c r="J1021">
        <f>IF(I1021="","",IF(B1021=Dashboard!$AA$1,I1021,""))</f>
        <v/>
      </c>
    </row>
    <row r="1022">
      <c r="A1022" s="1" t="n"/>
      <c r="B1022" s="26" t="n"/>
      <c r="C1022" s="27" t="n"/>
      <c r="D1022" s="28" t="n"/>
      <c r="E1022" s="29" t="n"/>
      <c r="F1022" s="29" t="n"/>
      <c r="G1022" s="28" t="n"/>
      <c r="H1022" s="1" t="n"/>
      <c r="I1022">
        <f>IF(OR(B1022="",C1022=""),"",B1022+MOD(C1022,1))</f>
        <v/>
      </c>
      <c r="J1022">
        <f>IF(I1022="","",IF(B1022=Dashboard!$AA$1,I1022,""))</f>
        <v/>
      </c>
    </row>
    <row r="1023">
      <c r="A1023" s="1" t="n"/>
      <c r="B1023" s="26" t="n"/>
      <c r="C1023" s="27" t="n"/>
      <c r="D1023" s="28" t="n"/>
      <c r="E1023" s="29" t="n"/>
      <c r="F1023" s="29" t="n"/>
      <c r="G1023" s="28" t="n"/>
      <c r="H1023" s="1" t="n"/>
      <c r="I1023">
        <f>IF(OR(B1023="",C1023=""),"",B1023+MOD(C1023,1))</f>
        <v/>
      </c>
      <c r="J1023">
        <f>IF(I1023="","",IF(B1023=Dashboard!$AA$1,I1023,""))</f>
        <v/>
      </c>
    </row>
    <row r="1024">
      <c r="A1024" s="1" t="n"/>
      <c r="B1024" s="26" t="n"/>
      <c r="C1024" s="27" t="n"/>
      <c r="D1024" s="28" t="n"/>
      <c r="E1024" s="29" t="n"/>
      <c r="F1024" s="29" t="n"/>
      <c r="G1024" s="28" t="n"/>
      <c r="H1024" s="1" t="n"/>
      <c r="I1024">
        <f>IF(OR(B1024="",C1024=""),"",B1024+MOD(C1024,1))</f>
        <v/>
      </c>
      <c r="J1024">
        <f>IF(I1024="","",IF(B1024=Dashboard!$AA$1,I1024,""))</f>
        <v/>
      </c>
    </row>
    <row r="1025">
      <c r="A1025" s="1" t="n"/>
      <c r="B1025" s="26" t="n"/>
      <c r="C1025" s="27" t="n"/>
      <c r="D1025" s="28" t="n"/>
      <c r="E1025" s="29" t="n"/>
      <c r="F1025" s="29" t="n"/>
      <c r="G1025" s="28" t="n"/>
      <c r="H1025" s="1" t="n"/>
      <c r="I1025">
        <f>IF(OR(B1025="",C1025=""),"",B1025+MOD(C1025,1))</f>
        <v/>
      </c>
      <c r="J1025">
        <f>IF(I1025="","",IF(B1025=Dashboard!$AA$1,I1025,""))</f>
        <v/>
      </c>
    </row>
    <row r="1026">
      <c r="A1026" s="1" t="n"/>
      <c r="B1026" s="26" t="n"/>
      <c r="C1026" s="27" t="n"/>
      <c r="D1026" s="28" t="n"/>
      <c r="E1026" s="29" t="n"/>
      <c r="F1026" s="29" t="n"/>
      <c r="G1026" s="28" t="n"/>
      <c r="H1026" s="1" t="n"/>
      <c r="I1026">
        <f>IF(OR(B1026="",C1026=""),"",B1026+MOD(C1026,1))</f>
        <v/>
      </c>
      <c r="J1026">
        <f>IF(I1026="","",IF(B1026=Dashboard!$AA$1,I1026,""))</f>
        <v/>
      </c>
    </row>
    <row r="1027">
      <c r="A1027" s="1" t="n"/>
      <c r="B1027" s="26" t="n"/>
      <c r="C1027" s="27" t="n"/>
      <c r="D1027" s="28" t="n"/>
      <c r="E1027" s="29" t="n"/>
      <c r="F1027" s="29" t="n"/>
      <c r="G1027" s="28" t="n"/>
      <c r="H1027" s="1" t="n"/>
      <c r="I1027">
        <f>IF(OR(B1027="",C1027=""),"",B1027+MOD(C1027,1))</f>
        <v/>
      </c>
      <c r="J1027">
        <f>IF(I1027="","",IF(B1027=Dashboard!$AA$1,I1027,""))</f>
        <v/>
      </c>
    </row>
    <row r="1028">
      <c r="A1028" s="1" t="n"/>
      <c r="B1028" s="26" t="n"/>
      <c r="C1028" s="27" t="n"/>
      <c r="D1028" s="28" t="n"/>
      <c r="E1028" s="29" t="n"/>
      <c r="F1028" s="29" t="n"/>
      <c r="G1028" s="28" t="n"/>
      <c r="H1028" s="1" t="n"/>
      <c r="I1028">
        <f>IF(OR(B1028="",C1028=""),"",B1028+MOD(C1028,1))</f>
        <v/>
      </c>
      <c r="J1028">
        <f>IF(I1028="","",IF(B1028=Dashboard!$AA$1,I1028,""))</f>
        <v/>
      </c>
    </row>
    <row r="1029">
      <c r="A1029" s="1" t="n"/>
      <c r="B1029" s="26" t="n"/>
      <c r="C1029" s="27" t="n"/>
      <c r="D1029" s="28" t="n"/>
      <c r="E1029" s="29" t="n"/>
      <c r="F1029" s="29" t="n"/>
      <c r="G1029" s="28" t="n"/>
      <c r="H1029" s="1" t="n"/>
      <c r="I1029">
        <f>IF(OR(B1029="",C1029=""),"",B1029+MOD(C1029,1))</f>
        <v/>
      </c>
      <c r="J1029">
        <f>IF(I1029="","",IF(B1029=Dashboard!$AA$1,I1029,""))</f>
        <v/>
      </c>
    </row>
    <row r="1030">
      <c r="A1030" s="1" t="n"/>
      <c r="B1030" s="26" t="n"/>
      <c r="C1030" s="27" t="n"/>
      <c r="D1030" s="28" t="n"/>
      <c r="E1030" s="29" t="n"/>
      <c r="F1030" s="29" t="n"/>
      <c r="G1030" s="28" t="n"/>
      <c r="H1030" s="1" t="n"/>
      <c r="I1030">
        <f>IF(OR(B1030="",C1030=""),"",B1030+MOD(C1030,1))</f>
        <v/>
      </c>
      <c r="J1030">
        <f>IF(I1030="","",IF(B1030=Dashboard!$AA$1,I1030,""))</f>
        <v/>
      </c>
    </row>
    <row r="1031">
      <c r="A1031" s="1" t="n"/>
      <c r="B1031" s="26" t="n"/>
      <c r="C1031" s="27" t="n"/>
      <c r="D1031" s="28" t="n"/>
      <c r="E1031" s="29" t="n"/>
      <c r="F1031" s="29" t="n"/>
      <c r="G1031" s="28" t="n"/>
      <c r="H1031" s="1" t="n"/>
      <c r="I1031">
        <f>IF(OR(B1031="",C1031=""),"",B1031+MOD(C1031,1))</f>
        <v/>
      </c>
      <c r="J1031">
        <f>IF(I1031="","",IF(B1031=Dashboard!$AA$1,I1031,""))</f>
        <v/>
      </c>
    </row>
    <row r="1032">
      <c r="A1032" s="1" t="n"/>
      <c r="B1032" s="26" t="n"/>
      <c r="C1032" s="27" t="n"/>
      <c r="D1032" s="28" t="n"/>
      <c r="E1032" s="29" t="n"/>
      <c r="F1032" s="29" t="n"/>
      <c r="G1032" s="28" t="n"/>
      <c r="H1032" s="1" t="n"/>
      <c r="I1032">
        <f>IF(OR(B1032="",C1032=""),"",B1032+MOD(C1032,1))</f>
        <v/>
      </c>
      <c r="J1032">
        <f>IF(I1032="","",IF(B1032=Dashboard!$AA$1,I1032,""))</f>
        <v/>
      </c>
    </row>
    <row r="1033">
      <c r="A1033" s="1" t="n"/>
      <c r="B1033" s="26" t="n"/>
      <c r="C1033" s="27" t="n"/>
      <c r="D1033" s="28" t="n"/>
      <c r="E1033" s="29" t="n"/>
      <c r="F1033" s="29" t="n"/>
      <c r="G1033" s="28" t="n"/>
      <c r="H1033" s="1" t="n"/>
      <c r="I1033">
        <f>IF(OR(B1033="",C1033=""),"",B1033+MOD(C1033,1))</f>
        <v/>
      </c>
      <c r="J1033">
        <f>IF(I1033="","",IF(B1033=Dashboard!$AA$1,I1033,""))</f>
        <v/>
      </c>
    </row>
    <row r="1034">
      <c r="A1034" s="1" t="n"/>
      <c r="B1034" s="26" t="n"/>
      <c r="C1034" s="27" t="n"/>
      <c r="D1034" s="28" t="n"/>
      <c r="E1034" s="29" t="n"/>
      <c r="F1034" s="29" t="n"/>
      <c r="G1034" s="28" t="n"/>
      <c r="H1034" s="1" t="n"/>
      <c r="I1034">
        <f>IF(OR(B1034="",C1034=""),"",B1034+MOD(C1034,1))</f>
        <v/>
      </c>
      <c r="J1034">
        <f>IF(I1034="","",IF(B1034=Dashboard!$AA$1,I1034,""))</f>
        <v/>
      </c>
    </row>
    <row r="1035">
      <c r="A1035" s="1" t="n"/>
      <c r="B1035" s="26" t="n"/>
      <c r="C1035" s="27" t="n"/>
      <c r="D1035" s="28" t="n"/>
      <c r="E1035" s="29" t="n"/>
      <c r="F1035" s="29" t="n"/>
      <c r="G1035" s="28" t="n"/>
      <c r="H1035" s="1" t="n"/>
      <c r="I1035">
        <f>IF(OR(B1035="",C1035=""),"",B1035+MOD(C1035,1))</f>
        <v/>
      </c>
      <c r="J1035">
        <f>IF(I1035="","",IF(B1035=Dashboard!$AA$1,I1035,""))</f>
        <v/>
      </c>
    </row>
    <row r="1036">
      <c r="A1036" s="1" t="n"/>
      <c r="B1036" s="26" t="n"/>
      <c r="C1036" s="27" t="n"/>
      <c r="D1036" s="28" t="n"/>
      <c r="E1036" s="29" t="n"/>
      <c r="F1036" s="29" t="n"/>
      <c r="G1036" s="28" t="n"/>
      <c r="H1036" s="1" t="n"/>
      <c r="I1036">
        <f>IF(OR(B1036="",C1036=""),"",B1036+MOD(C1036,1))</f>
        <v/>
      </c>
      <c r="J1036">
        <f>IF(I1036="","",IF(B1036=Dashboard!$AA$1,I1036,""))</f>
        <v/>
      </c>
    </row>
    <row r="1037">
      <c r="A1037" s="1" t="n"/>
      <c r="B1037" s="26" t="n"/>
      <c r="C1037" s="27" t="n"/>
      <c r="D1037" s="28" t="n"/>
      <c r="E1037" s="29" t="n"/>
      <c r="F1037" s="29" t="n"/>
      <c r="G1037" s="28" t="n"/>
      <c r="H1037" s="1" t="n"/>
      <c r="I1037">
        <f>IF(OR(B1037="",C1037=""),"",B1037+MOD(C1037,1))</f>
        <v/>
      </c>
      <c r="J1037">
        <f>IF(I1037="","",IF(B1037=Dashboard!$AA$1,I1037,""))</f>
        <v/>
      </c>
    </row>
    <row r="1038">
      <c r="A1038" s="1" t="n"/>
      <c r="B1038" s="26" t="n"/>
      <c r="C1038" s="27" t="n"/>
      <c r="D1038" s="28" t="n"/>
      <c r="E1038" s="29" t="n"/>
      <c r="F1038" s="29" t="n"/>
      <c r="G1038" s="28" t="n"/>
      <c r="H1038" s="1" t="n"/>
      <c r="I1038">
        <f>IF(OR(B1038="",C1038=""),"",B1038+MOD(C1038,1))</f>
        <v/>
      </c>
      <c r="J1038">
        <f>IF(I1038="","",IF(B1038=Dashboard!$AA$1,I1038,""))</f>
        <v/>
      </c>
    </row>
    <row r="1039">
      <c r="A1039" s="1" t="n"/>
      <c r="B1039" s="26" t="n"/>
      <c r="C1039" s="27" t="n"/>
      <c r="D1039" s="28" t="n"/>
      <c r="E1039" s="29" t="n"/>
      <c r="F1039" s="29" t="n"/>
      <c r="G1039" s="28" t="n"/>
      <c r="H1039" s="1" t="n"/>
      <c r="I1039">
        <f>IF(OR(B1039="",C1039=""),"",B1039+MOD(C1039,1))</f>
        <v/>
      </c>
      <c r="J1039">
        <f>IF(I1039="","",IF(B1039=Dashboard!$AA$1,I1039,""))</f>
        <v/>
      </c>
    </row>
    <row r="1040">
      <c r="A1040" s="1" t="n"/>
      <c r="B1040" s="26" t="n"/>
      <c r="C1040" s="27" t="n"/>
      <c r="D1040" s="28" t="n"/>
      <c r="E1040" s="29" t="n"/>
      <c r="F1040" s="29" t="n"/>
      <c r="G1040" s="28" t="n"/>
      <c r="H1040" s="1" t="n"/>
      <c r="I1040">
        <f>IF(OR(B1040="",C1040=""),"",B1040+MOD(C1040,1))</f>
        <v/>
      </c>
      <c r="J1040">
        <f>IF(I1040="","",IF(B1040=Dashboard!$AA$1,I1040,""))</f>
        <v/>
      </c>
    </row>
    <row r="1041">
      <c r="A1041" s="1" t="n"/>
      <c r="B1041" s="26" t="n"/>
      <c r="C1041" s="27" t="n"/>
      <c r="D1041" s="28" t="n"/>
      <c r="E1041" s="29" t="n"/>
      <c r="F1041" s="29" t="n"/>
      <c r="G1041" s="28" t="n"/>
      <c r="H1041" s="1" t="n"/>
      <c r="I1041">
        <f>IF(OR(B1041="",C1041=""),"",B1041+MOD(C1041,1))</f>
        <v/>
      </c>
      <c r="J1041">
        <f>IF(I1041="","",IF(B1041=Dashboard!$AA$1,I1041,""))</f>
        <v/>
      </c>
    </row>
    <row r="1042">
      <c r="A1042" s="1" t="n"/>
      <c r="B1042" s="26" t="n"/>
      <c r="C1042" s="27" t="n"/>
      <c r="D1042" s="28" t="n"/>
      <c r="E1042" s="29" t="n"/>
      <c r="F1042" s="29" t="n"/>
      <c r="G1042" s="28" t="n"/>
      <c r="H1042" s="1" t="n"/>
      <c r="I1042">
        <f>IF(OR(B1042="",C1042=""),"",B1042+MOD(C1042,1))</f>
        <v/>
      </c>
      <c r="J1042">
        <f>IF(I1042="","",IF(B1042=Dashboard!$AA$1,I1042,""))</f>
        <v/>
      </c>
    </row>
    <row r="1043">
      <c r="A1043" s="1" t="n"/>
      <c r="B1043" s="26" t="n"/>
      <c r="C1043" s="27" t="n"/>
      <c r="D1043" s="28" t="n"/>
      <c r="E1043" s="29" t="n"/>
      <c r="F1043" s="29" t="n"/>
      <c r="G1043" s="28" t="n"/>
      <c r="H1043" s="1" t="n"/>
      <c r="I1043">
        <f>IF(OR(B1043="",C1043=""),"",B1043+MOD(C1043,1))</f>
        <v/>
      </c>
      <c r="J1043">
        <f>IF(I1043="","",IF(B1043=Dashboard!$AA$1,I1043,""))</f>
        <v/>
      </c>
    </row>
    <row r="1044">
      <c r="A1044" s="1" t="n"/>
      <c r="B1044" s="26" t="n"/>
      <c r="C1044" s="27" t="n"/>
      <c r="D1044" s="28" t="n"/>
      <c r="E1044" s="29" t="n"/>
      <c r="F1044" s="29" t="n"/>
      <c r="G1044" s="28" t="n"/>
      <c r="H1044" s="1" t="n"/>
      <c r="I1044">
        <f>IF(OR(B1044="",C1044=""),"",B1044+MOD(C1044,1))</f>
        <v/>
      </c>
      <c r="J1044">
        <f>IF(I1044="","",IF(B1044=Dashboard!$AA$1,I1044,""))</f>
        <v/>
      </c>
    </row>
    <row r="1045">
      <c r="A1045" s="1" t="n"/>
      <c r="B1045" s="26" t="n"/>
      <c r="C1045" s="27" t="n"/>
      <c r="D1045" s="28" t="n"/>
      <c r="E1045" s="29" t="n"/>
      <c r="F1045" s="29" t="n"/>
      <c r="G1045" s="28" t="n"/>
      <c r="H1045" s="1" t="n"/>
      <c r="I1045">
        <f>IF(OR(B1045="",C1045=""),"",B1045+MOD(C1045,1))</f>
        <v/>
      </c>
      <c r="J1045">
        <f>IF(I1045="","",IF(B1045=Dashboard!$AA$1,I1045,""))</f>
        <v/>
      </c>
    </row>
    <row r="1046">
      <c r="A1046" s="1" t="n"/>
      <c r="B1046" s="26" t="n"/>
      <c r="C1046" s="27" t="n"/>
      <c r="D1046" s="28" t="n"/>
      <c r="E1046" s="29" t="n"/>
      <c r="F1046" s="29" t="n"/>
      <c r="G1046" s="28" t="n"/>
      <c r="H1046" s="1" t="n"/>
      <c r="I1046">
        <f>IF(OR(B1046="",C1046=""),"",B1046+MOD(C1046,1))</f>
        <v/>
      </c>
      <c r="J1046">
        <f>IF(I1046="","",IF(B1046=Dashboard!$AA$1,I1046,""))</f>
        <v/>
      </c>
    </row>
    <row r="1047">
      <c r="A1047" s="1" t="n"/>
      <c r="B1047" s="26" t="n"/>
      <c r="C1047" s="27" t="n"/>
      <c r="D1047" s="28" t="n"/>
      <c r="E1047" s="29" t="n"/>
      <c r="F1047" s="29" t="n"/>
      <c r="G1047" s="28" t="n"/>
      <c r="H1047" s="1" t="n"/>
      <c r="I1047">
        <f>IF(OR(B1047="",C1047=""),"",B1047+MOD(C1047,1))</f>
        <v/>
      </c>
      <c r="J1047">
        <f>IF(I1047="","",IF(B1047=Dashboard!$AA$1,I1047,""))</f>
        <v/>
      </c>
    </row>
    <row r="1048">
      <c r="A1048" s="1" t="n"/>
      <c r="B1048" s="26" t="n"/>
      <c r="C1048" s="27" t="n"/>
      <c r="D1048" s="28" t="n"/>
      <c r="E1048" s="29" t="n"/>
      <c r="F1048" s="29" t="n"/>
      <c r="G1048" s="28" t="n"/>
      <c r="H1048" s="1" t="n"/>
      <c r="I1048">
        <f>IF(OR(B1048="",C1048=""),"",B1048+MOD(C1048,1))</f>
        <v/>
      </c>
      <c r="J1048">
        <f>IF(I1048="","",IF(B1048=Dashboard!$AA$1,I1048,""))</f>
        <v/>
      </c>
    </row>
    <row r="1049">
      <c r="A1049" s="1" t="n"/>
      <c r="B1049" s="26" t="n"/>
      <c r="C1049" s="27" t="n"/>
      <c r="D1049" s="28" t="n"/>
      <c r="E1049" s="29" t="n"/>
      <c r="F1049" s="29" t="n"/>
      <c r="G1049" s="28" t="n"/>
      <c r="H1049" s="1" t="n"/>
      <c r="I1049">
        <f>IF(OR(B1049="",C1049=""),"",B1049+MOD(C1049,1))</f>
        <v/>
      </c>
      <c r="J1049">
        <f>IF(I1049="","",IF(B1049=Dashboard!$AA$1,I1049,""))</f>
        <v/>
      </c>
    </row>
    <row r="1050">
      <c r="A1050" s="1" t="n"/>
      <c r="B1050" s="26" t="n"/>
      <c r="C1050" s="27" t="n"/>
      <c r="D1050" s="28" t="n"/>
      <c r="E1050" s="29" t="n"/>
      <c r="F1050" s="29" t="n"/>
      <c r="G1050" s="28" t="n"/>
      <c r="H1050" s="1" t="n"/>
      <c r="I1050">
        <f>IF(OR(B1050="",C1050=""),"",B1050+MOD(C1050,1))</f>
        <v/>
      </c>
      <c r="J1050">
        <f>IF(I1050="","",IF(B1050=Dashboard!$AA$1,I1050,""))</f>
        <v/>
      </c>
    </row>
    <row r="1051">
      <c r="A1051" s="1" t="n"/>
      <c r="B1051" s="26" t="n"/>
      <c r="C1051" s="27" t="n"/>
      <c r="D1051" s="28" t="n"/>
      <c r="E1051" s="29" t="n"/>
      <c r="F1051" s="29" t="n"/>
      <c r="G1051" s="28" t="n"/>
      <c r="H1051" s="1" t="n"/>
      <c r="I1051">
        <f>IF(OR(B1051="",C1051=""),"",B1051+MOD(C1051,1))</f>
        <v/>
      </c>
      <c r="J1051">
        <f>IF(I1051="","",IF(B1051=Dashboard!$AA$1,I1051,""))</f>
        <v/>
      </c>
    </row>
    <row r="1052">
      <c r="A1052" s="1" t="n"/>
      <c r="B1052" s="26" t="n"/>
      <c r="C1052" s="27" t="n"/>
      <c r="D1052" s="28" t="n"/>
      <c r="E1052" s="29" t="n"/>
      <c r="F1052" s="29" t="n"/>
      <c r="G1052" s="28" t="n"/>
      <c r="H1052" s="1" t="n"/>
      <c r="I1052">
        <f>IF(OR(B1052="",C1052=""),"",B1052+MOD(C1052,1))</f>
        <v/>
      </c>
      <c r="J1052">
        <f>IF(I1052="","",IF(B1052=Dashboard!$AA$1,I1052,""))</f>
        <v/>
      </c>
    </row>
    <row r="1053">
      <c r="A1053" s="1" t="n"/>
      <c r="B1053" s="26" t="n"/>
      <c r="C1053" s="27" t="n"/>
      <c r="D1053" s="28" t="n"/>
      <c r="E1053" s="29" t="n"/>
      <c r="F1053" s="29" t="n"/>
      <c r="G1053" s="28" t="n"/>
      <c r="H1053" s="1" t="n"/>
      <c r="I1053">
        <f>IF(OR(B1053="",C1053=""),"",B1053+MOD(C1053,1))</f>
        <v/>
      </c>
      <c r="J1053">
        <f>IF(I1053="","",IF(B1053=Dashboard!$AA$1,I1053,""))</f>
        <v/>
      </c>
    </row>
    <row r="1054">
      <c r="A1054" s="1" t="n"/>
      <c r="B1054" s="26" t="n"/>
      <c r="C1054" s="27" t="n"/>
      <c r="D1054" s="28" t="n"/>
      <c r="E1054" s="29" t="n"/>
      <c r="F1054" s="29" t="n"/>
      <c r="G1054" s="28" t="n"/>
      <c r="H1054" s="1" t="n"/>
      <c r="I1054">
        <f>IF(OR(B1054="",C1054=""),"",B1054+MOD(C1054,1))</f>
        <v/>
      </c>
      <c r="J1054">
        <f>IF(I1054="","",IF(B1054=Dashboard!$AA$1,I1054,""))</f>
        <v/>
      </c>
    </row>
    <row r="1055">
      <c r="A1055" s="1" t="n"/>
      <c r="B1055" s="26" t="n"/>
      <c r="C1055" s="27" t="n"/>
      <c r="D1055" s="28" t="n"/>
      <c r="E1055" s="29" t="n"/>
      <c r="F1055" s="29" t="n"/>
      <c r="G1055" s="28" t="n"/>
      <c r="H1055" s="1" t="n"/>
      <c r="I1055">
        <f>IF(OR(B1055="",C1055=""),"",B1055+MOD(C1055,1))</f>
        <v/>
      </c>
      <c r="J1055">
        <f>IF(I1055="","",IF(B1055=Dashboard!$AA$1,I1055,""))</f>
        <v/>
      </c>
    </row>
    <row r="1056">
      <c r="A1056" s="1" t="n"/>
      <c r="B1056" s="26" t="n"/>
      <c r="C1056" s="27" t="n"/>
      <c r="D1056" s="28" t="n"/>
      <c r="E1056" s="29" t="n"/>
      <c r="F1056" s="29" t="n"/>
      <c r="G1056" s="28" t="n"/>
      <c r="H1056" s="1" t="n"/>
      <c r="I1056">
        <f>IF(OR(B1056="",C1056=""),"",B1056+MOD(C1056,1))</f>
        <v/>
      </c>
      <c r="J1056">
        <f>IF(I1056="","",IF(B1056=Dashboard!$AA$1,I1056,""))</f>
        <v/>
      </c>
    </row>
    <row r="1057">
      <c r="A1057" s="1" t="n"/>
      <c r="B1057" s="26" t="n"/>
      <c r="C1057" s="27" t="n"/>
      <c r="D1057" s="28" t="n"/>
      <c r="E1057" s="29" t="n"/>
      <c r="F1057" s="29" t="n"/>
      <c r="G1057" s="28" t="n"/>
      <c r="H1057" s="1" t="n"/>
      <c r="I1057">
        <f>IF(OR(B1057="",C1057=""),"",B1057+MOD(C1057,1))</f>
        <v/>
      </c>
      <c r="J1057">
        <f>IF(I1057="","",IF(B1057=Dashboard!$AA$1,I1057,""))</f>
        <v/>
      </c>
    </row>
    <row r="1058">
      <c r="A1058" s="1" t="n"/>
      <c r="B1058" s="26" t="n"/>
      <c r="C1058" s="27" t="n"/>
      <c r="D1058" s="28" t="n"/>
      <c r="E1058" s="29" t="n"/>
      <c r="F1058" s="29" t="n"/>
      <c r="G1058" s="28" t="n"/>
      <c r="H1058" s="1" t="n"/>
      <c r="I1058">
        <f>IF(OR(B1058="",C1058=""),"",B1058+MOD(C1058,1))</f>
        <v/>
      </c>
      <c r="J1058">
        <f>IF(I1058="","",IF(B1058=Dashboard!$AA$1,I1058,""))</f>
        <v/>
      </c>
    </row>
    <row r="1059">
      <c r="A1059" s="1" t="n"/>
      <c r="B1059" s="26" t="n"/>
      <c r="C1059" s="27" t="n"/>
      <c r="D1059" s="28" t="n"/>
      <c r="E1059" s="29" t="n"/>
      <c r="F1059" s="29" t="n"/>
      <c r="G1059" s="28" t="n"/>
      <c r="H1059" s="1" t="n"/>
      <c r="I1059">
        <f>IF(OR(B1059="",C1059=""),"",B1059+MOD(C1059,1))</f>
        <v/>
      </c>
      <c r="J1059">
        <f>IF(I1059="","",IF(B1059=Dashboard!$AA$1,I1059,""))</f>
        <v/>
      </c>
    </row>
    <row r="1060">
      <c r="A1060" s="1" t="n"/>
      <c r="B1060" s="26" t="n"/>
      <c r="C1060" s="27" t="n"/>
      <c r="D1060" s="28" t="n"/>
      <c r="E1060" s="29" t="n"/>
      <c r="F1060" s="29" t="n"/>
      <c r="G1060" s="28" t="n"/>
      <c r="H1060" s="1" t="n"/>
      <c r="I1060">
        <f>IF(OR(B1060="",C1060=""),"",B1060+MOD(C1060,1))</f>
        <v/>
      </c>
      <c r="J1060">
        <f>IF(I1060="","",IF(B1060=Dashboard!$AA$1,I1060,""))</f>
        <v/>
      </c>
    </row>
    <row r="1061">
      <c r="A1061" s="1" t="n"/>
      <c r="B1061" s="26" t="n"/>
      <c r="C1061" s="27" t="n"/>
      <c r="D1061" s="28" t="n"/>
      <c r="E1061" s="29" t="n"/>
      <c r="F1061" s="29" t="n"/>
      <c r="G1061" s="28" t="n"/>
      <c r="H1061" s="1" t="n"/>
      <c r="I1061">
        <f>IF(OR(B1061="",C1061=""),"",B1061+MOD(C1061,1))</f>
        <v/>
      </c>
      <c r="J1061">
        <f>IF(I1061="","",IF(B1061=Dashboard!$AA$1,I1061,""))</f>
        <v/>
      </c>
    </row>
    <row r="1062">
      <c r="A1062" s="1" t="n"/>
      <c r="B1062" s="26" t="n"/>
      <c r="C1062" s="27" t="n"/>
      <c r="D1062" s="28" t="n"/>
      <c r="E1062" s="29" t="n"/>
      <c r="F1062" s="29" t="n"/>
      <c r="G1062" s="28" t="n"/>
      <c r="H1062" s="1" t="n"/>
      <c r="I1062">
        <f>IF(OR(B1062="",C1062=""),"",B1062+MOD(C1062,1))</f>
        <v/>
      </c>
      <c r="J1062">
        <f>IF(I1062="","",IF(B1062=Dashboard!$AA$1,I1062,""))</f>
        <v/>
      </c>
    </row>
    <row r="1063">
      <c r="A1063" s="1" t="n"/>
      <c r="B1063" s="26" t="n"/>
      <c r="C1063" s="27" t="n"/>
      <c r="D1063" s="28" t="n"/>
      <c r="E1063" s="29" t="n"/>
      <c r="F1063" s="29" t="n"/>
      <c r="G1063" s="28" t="n"/>
      <c r="H1063" s="1" t="n"/>
      <c r="I1063">
        <f>IF(OR(B1063="",C1063=""),"",B1063+MOD(C1063,1))</f>
        <v/>
      </c>
      <c r="J1063">
        <f>IF(I1063="","",IF(B1063=Dashboard!$AA$1,I1063,""))</f>
        <v/>
      </c>
    </row>
    <row r="1064">
      <c r="A1064" s="1" t="n"/>
      <c r="B1064" s="26" t="n"/>
      <c r="C1064" s="27" t="n"/>
      <c r="D1064" s="28" t="n"/>
      <c r="E1064" s="29" t="n"/>
      <c r="F1064" s="29" t="n"/>
      <c r="G1064" s="28" t="n"/>
      <c r="H1064" s="1" t="n"/>
      <c r="I1064">
        <f>IF(OR(B1064="",C1064=""),"",B1064+MOD(C1064,1))</f>
        <v/>
      </c>
      <c r="J1064">
        <f>IF(I1064="","",IF(B1064=Dashboard!$AA$1,I1064,""))</f>
        <v/>
      </c>
    </row>
    <row r="1065">
      <c r="A1065" s="1" t="n"/>
      <c r="B1065" s="26" t="n"/>
      <c r="C1065" s="27" t="n"/>
      <c r="D1065" s="28" t="n"/>
      <c r="E1065" s="29" t="n"/>
      <c r="F1065" s="29" t="n"/>
      <c r="G1065" s="28" t="n"/>
      <c r="H1065" s="1" t="n"/>
      <c r="I1065">
        <f>IF(OR(B1065="",C1065=""),"",B1065+MOD(C1065,1))</f>
        <v/>
      </c>
      <c r="J1065">
        <f>IF(I1065="","",IF(B1065=Dashboard!$AA$1,I1065,""))</f>
        <v/>
      </c>
    </row>
    <row r="1066">
      <c r="A1066" s="1" t="n"/>
      <c r="B1066" s="26" t="n"/>
      <c r="C1066" s="27" t="n"/>
      <c r="D1066" s="28" t="n"/>
      <c r="E1066" s="29" t="n"/>
      <c r="F1066" s="29" t="n"/>
      <c r="G1066" s="28" t="n"/>
      <c r="H1066" s="1" t="n"/>
      <c r="I1066">
        <f>IF(OR(B1066="",C1066=""),"",B1066+MOD(C1066,1))</f>
        <v/>
      </c>
      <c r="J1066">
        <f>IF(I1066="","",IF(B1066=Dashboard!$AA$1,I1066,""))</f>
        <v/>
      </c>
    </row>
    <row r="1067">
      <c r="A1067" s="1" t="n"/>
      <c r="B1067" s="26" t="n"/>
      <c r="C1067" s="27" t="n"/>
      <c r="D1067" s="28" t="n"/>
      <c r="E1067" s="29" t="n"/>
      <c r="F1067" s="29" t="n"/>
      <c r="G1067" s="28" t="n"/>
      <c r="H1067" s="1" t="n"/>
      <c r="I1067">
        <f>IF(OR(B1067="",C1067=""),"",B1067+MOD(C1067,1))</f>
        <v/>
      </c>
      <c r="J1067">
        <f>IF(I1067="","",IF(B1067=Dashboard!$AA$1,I1067,""))</f>
        <v/>
      </c>
    </row>
    <row r="1068">
      <c r="A1068" s="1" t="n"/>
      <c r="B1068" s="26" t="n"/>
      <c r="C1068" s="27" t="n"/>
      <c r="D1068" s="28" t="n"/>
      <c r="E1068" s="29" t="n"/>
      <c r="F1068" s="29" t="n"/>
      <c r="G1068" s="28" t="n"/>
      <c r="H1068" s="1" t="n"/>
      <c r="I1068">
        <f>IF(OR(B1068="",C1068=""),"",B1068+MOD(C1068,1))</f>
        <v/>
      </c>
      <c r="J1068">
        <f>IF(I1068="","",IF(B1068=Dashboard!$AA$1,I1068,""))</f>
        <v/>
      </c>
    </row>
    <row r="1069">
      <c r="A1069" s="1" t="n"/>
      <c r="B1069" s="26" t="n"/>
      <c r="C1069" s="27" t="n"/>
      <c r="D1069" s="28" t="n"/>
      <c r="E1069" s="29" t="n"/>
      <c r="F1069" s="29" t="n"/>
      <c r="G1069" s="28" t="n"/>
      <c r="H1069" s="1" t="n"/>
      <c r="I1069">
        <f>IF(OR(B1069="",C1069=""),"",B1069+MOD(C1069,1))</f>
        <v/>
      </c>
      <c r="J1069">
        <f>IF(I1069="","",IF(B1069=Dashboard!$AA$1,I1069,""))</f>
        <v/>
      </c>
    </row>
    <row r="1070">
      <c r="A1070" s="1" t="n"/>
      <c r="B1070" s="26" t="n"/>
      <c r="C1070" s="27" t="n"/>
      <c r="D1070" s="28" t="n"/>
      <c r="E1070" s="29" t="n"/>
      <c r="F1070" s="29" t="n"/>
      <c r="G1070" s="28" t="n"/>
      <c r="H1070" s="1" t="n"/>
      <c r="I1070">
        <f>IF(OR(B1070="",C1070=""),"",B1070+MOD(C1070,1))</f>
        <v/>
      </c>
      <c r="J1070">
        <f>IF(I1070="","",IF(B1070=Dashboard!$AA$1,I1070,""))</f>
        <v/>
      </c>
    </row>
    <row r="1071">
      <c r="A1071" s="1" t="n"/>
      <c r="B1071" s="26" t="n"/>
      <c r="C1071" s="27" t="n"/>
      <c r="D1071" s="28" t="n"/>
      <c r="E1071" s="29" t="n"/>
      <c r="F1071" s="29" t="n"/>
      <c r="G1071" s="28" t="n"/>
      <c r="H1071" s="1" t="n"/>
      <c r="I1071">
        <f>IF(OR(B1071="",C1071=""),"",B1071+MOD(C1071,1))</f>
        <v/>
      </c>
      <c r="J1071">
        <f>IF(I1071="","",IF(B1071=Dashboard!$AA$1,I1071,""))</f>
        <v/>
      </c>
    </row>
    <row r="1072">
      <c r="A1072" s="1" t="n"/>
      <c r="B1072" s="26" t="n"/>
      <c r="C1072" s="27" t="n"/>
      <c r="D1072" s="28" t="n"/>
      <c r="E1072" s="29" t="n"/>
      <c r="F1072" s="29" t="n"/>
      <c r="G1072" s="28" t="n"/>
      <c r="H1072" s="1" t="n"/>
      <c r="I1072">
        <f>IF(OR(B1072="",C1072=""),"",B1072+MOD(C1072,1))</f>
        <v/>
      </c>
      <c r="J1072">
        <f>IF(I1072="","",IF(B1072=Dashboard!$AA$1,I1072,""))</f>
        <v/>
      </c>
    </row>
    <row r="1073">
      <c r="A1073" s="1" t="n"/>
      <c r="B1073" s="26" t="n"/>
      <c r="C1073" s="27" t="n"/>
      <c r="D1073" s="28" t="n"/>
      <c r="E1073" s="29" t="n"/>
      <c r="F1073" s="29" t="n"/>
      <c r="G1073" s="28" t="n"/>
      <c r="H1073" s="1" t="n"/>
      <c r="I1073">
        <f>IF(OR(B1073="",C1073=""),"",B1073+MOD(C1073,1))</f>
        <v/>
      </c>
      <c r="J1073">
        <f>IF(I1073="","",IF(B1073=Dashboard!$AA$1,I1073,""))</f>
        <v/>
      </c>
    </row>
    <row r="1074">
      <c r="A1074" s="1" t="n"/>
      <c r="B1074" s="26" t="n"/>
      <c r="C1074" s="27" t="n"/>
      <c r="D1074" s="28" t="n"/>
      <c r="E1074" s="29" t="n"/>
      <c r="F1074" s="29" t="n"/>
      <c r="G1074" s="28" t="n"/>
      <c r="H1074" s="1" t="n"/>
      <c r="I1074">
        <f>IF(OR(B1074="",C1074=""),"",B1074+MOD(C1074,1))</f>
        <v/>
      </c>
      <c r="J1074">
        <f>IF(I1074="","",IF(B1074=Dashboard!$AA$1,I1074,""))</f>
        <v/>
      </c>
    </row>
    <row r="1075">
      <c r="A1075" s="1" t="n"/>
      <c r="B1075" s="26" t="n"/>
      <c r="C1075" s="27" t="n"/>
      <c r="D1075" s="28" t="n"/>
      <c r="E1075" s="29" t="n"/>
      <c r="F1075" s="29" t="n"/>
      <c r="G1075" s="28" t="n"/>
      <c r="H1075" s="1" t="n"/>
      <c r="I1075">
        <f>IF(OR(B1075="",C1075=""),"",B1075+MOD(C1075,1))</f>
        <v/>
      </c>
      <c r="J1075">
        <f>IF(I1075="","",IF(B1075=Dashboard!$AA$1,I1075,""))</f>
        <v/>
      </c>
    </row>
    <row r="1076">
      <c r="A1076" s="1" t="n"/>
      <c r="B1076" s="26" t="n"/>
      <c r="C1076" s="27" t="n"/>
      <c r="D1076" s="28" t="n"/>
      <c r="E1076" s="29" t="n"/>
      <c r="F1076" s="29" t="n"/>
      <c r="G1076" s="28" t="n"/>
      <c r="H1076" s="1" t="n"/>
      <c r="I1076">
        <f>IF(OR(B1076="",C1076=""),"",B1076+MOD(C1076,1))</f>
        <v/>
      </c>
      <c r="J1076">
        <f>IF(I1076="","",IF(B1076=Dashboard!$AA$1,I1076,""))</f>
        <v/>
      </c>
    </row>
    <row r="1077">
      <c r="A1077" s="1" t="n"/>
      <c r="B1077" s="26" t="n"/>
      <c r="C1077" s="27" t="n"/>
      <c r="D1077" s="28" t="n"/>
      <c r="E1077" s="29" t="n"/>
      <c r="F1077" s="29" t="n"/>
      <c r="G1077" s="28" t="n"/>
      <c r="H1077" s="1" t="n"/>
      <c r="I1077">
        <f>IF(OR(B1077="",C1077=""),"",B1077+MOD(C1077,1))</f>
        <v/>
      </c>
      <c r="J1077">
        <f>IF(I1077="","",IF(B1077=Dashboard!$AA$1,I1077,""))</f>
        <v/>
      </c>
    </row>
    <row r="1078">
      <c r="A1078" s="1" t="n"/>
      <c r="B1078" s="26" t="n"/>
      <c r="C1078" s="27" t="n"/>
      <c r="D1078" s="28" t="n"/>
      <c r="E1078" s="29" t="n"/>
      <c r="F1078" s="29" t="n"/>
      <c r="G1078" s="28" t="n"/>
      <c r="H1078" s="1" t="n"/>
      <c r="I1078">
        <f>IF(OR(B1078="",C1078=""),"",B1078+MOD(C1078,1))</f>
        <v/>
      </c>
      <c r="J1078">
        <f>IF(I1078="","",IF(B1078=Dashboard!$AA$1,I1078,""))</f>
        <v/>
      </c>
    </row>
    <row r="1079">
      <c r="A1079" s="1" t="n"/>
      <c r="B1079" s="26" t="n"/>
      <c r="C1079" s="27" t="n"/>
      <c r="D1079" s="28" t="n"/>
      <c r="E1079" s="29" t="n"/>
      <c r="F1079" s="29" t="n"/>
      <c r="G1079" s="28" t="n"/>
      <c r="H1079" s="1" t="n"/>
      <c r="I1079">
        <f>IF(OR(B1079="",C1079=""),"",B1079+MOD(C1079,1))</f>
        <v/>
      </c>
      <c r="J1079">
        <f>IF(I1079="","",IF(B1079=Dashboard!$AA$1,I1079,""))</f>
        <v/>
      </c>
    </row>
    <row r="1080">
      <c r="A1080" s="1" t="n"/>
      <c r="B1080" s="26" t="n"/>
      <c r="C1080" s="27" t="n"/>
      <c r="D1080" s="28" t="n"/>
      <c r="E1080" s="29" t="n"/>
      <c r="F1080" s="29" t="n"/>
      <c r="G1080" s="28" t="n"/>
      <c r="H1080" s="1" t="n"/>
      <c r="I1080">
        <f>IF(OR(B1080="",C1080=""),"",B1080+MOD(C1080,1))</f>
        <v/>
      </c>
      <c r="J1080">
        <f>IF(I1080="","",IF(B1080=Dashboard!$AA$1,I1080,""))</f>
        <v/>
      </c>
    </row>
    <row r="1081">
      <c r="A1081" s="1" t="n"/>
      <c r="B1081" s="26" t="n"/>
      <c r="C1081" s="27" t="n"/>
      <c r="D1081" s="28" t="n"/>
      <c r="E1081" s="29" t="n"/>
      <c r="F1081" s="29" t="n"/>
      <c r="G1081" s="28" t="n"/>
      <c r="H1081" s="1" t="n"/>
      <c r="I1081">
        <f>IF(OR(B1081="",C1081=""),"",B1081+MOD(C1081,1))</f>
        <v/>
      </c>
      <c r="J1081">
        <f>IF(I1081="","",IF(B1081=Dashboard!$AA$1,I1081,""))</f>
        <v/>
      </c>
    </row>
    <row r="1082">
      <c r="A1082" s="1" t="n"/>
      <c r="B1082" s="26" t="n"/>
      <c r="C1082" s="27" t="n"/>
      <c r="D1082" s="28" t="n"/>
      <c r="E1082" s="29" t="n"/>
      <c r="F1082" s="29" t="n"/>
      <c r="G1082" s="28" t="n"/>
      <c r="H1082" s="1" t="n"/>
      <c r="I1082">
        <f>IF(OR(B1082="",C1082=""),"",B1082+MOD(C1082,1))</f>
        <v/>
      </c>
      <c r="J1082">
        <f>IF(I1082="","",IF(B1082=Dashboard!$AA$1,I1082,""))</f>
        <v/>
      </c>
    </row>
    <row r="1083">
      <c r="A1083" s="1" t="n"/>
      <c r="B1083" s="26" t="n"/>
      <c r="C1083" s="27" t="n"/>
      <c r="D1083" s="28" t="n"/>
      <c r="E1083" s="29" t="n"/>
      <c r="F1083" s="29" t="n"/>
      <c r="G1083" s="28" t="n"/>
      <c r="H1083" s="1" t="n"/>
      <c r="I1083">
        <f>IF(OR(B1083="",C1083=""),"",B1083+MOD(C1083,1))</f>
        <v/>
      </c>
      <c r="J1083">
        <f>IF(I1083="","",IF(B1083=Dashboard!$AA$1,I1083,""))</f>
        <v/>
      </c>
    </row>
    <row r="1084">
      <c r="A1084" s="1" t="n"/>
      <c r="B1084" s="26" t="n"/>
      <c r="C1084" s="27" t="n"/>
      <c r="D1084" s="28" t="n"/>
      <c r="E1084" s="29" t="n"/>
      <c r="F1084" s="29" t="n"/>
      <c r="G1084" s="28" t="n"/>
      <c r="H1084" s="1" t="n"/>
      <c r="I1084">
        <f>IF(OR(B1084="",C1084=""),"",B1084+MOD(C1084,1))</f>
        <v/>
      </c>
      <c r="J1084">
        <f>IF(I1084="","",IF(B1084=Dashboard!$AA$1,I1084,""))</f>
        <v/>
      </c>
    </row>
    <row r="1085">
      <c r="A1085" s="1" t="n"/>
      <c r="B1085" s="26" t="n"/>
      <c r="C1085" s="27" t="n"/>
      <c r="D1085" s="28" t="n"/>
      <c r="E1085" s="29" t="n"/>
      <c r="F1085" s="29" t="n"/>
      <c r="G1085" s="28" t="n"/>
      <c r="H1085" s="1" t="n"/>
      <c r="I1085">
        <f>IF(OR(B1085="",C1085=""),"",B1085+MOD(C1085,1))</f>
        <v/>
      </c>
      <c r="J1085">
        <f>IF(I1085="","",IF(B1085=Dashboard!$AA$1,I1085,""))</f>
        <v/>
      </c>
    </row>
    <row r="1086">
      <c r="A1086" s="1" t="n"/>
      <c r="B1086" s="26" t="n"/>
      <c r="C1086" s="27" t="n"/>
      <c r="D1086" s="28" t="n"/>
      <c r="E1086" s="29" t="n"/>
      <c r="F1086" s="29" t="n"/>
      <c r="G1086" s="28" t="n"/>
      <c r="H1086" s="1" t="n"/>
      <c r="I1086">
        <f>IF(OR(B1086="",C1086=""),"",B1086+MOD(C1086,1))</f>
        <v/>
      </c>
      <c r="J1086">
        <f>IF(I1086="","",IF(B1086=Dashboard!$AA$1,I1086,""))</f>
        <v/>
      </c>
    </row>
    <row r="1087">
      <c r="A1087" s="1" t="n"/>
      <c r="B1087" s="26" t="n"/>
      <c r="C1087" s="27" t="n"/>
      <c r="D1087" s="28" t="n"/>
      <c r="E1087" s="29" t="n"/>
      <c r="F1087" s="29" t="n"/>
      <c r="G1087" s="28" t="n"/>
      <c r="H1087" s="1" t="n"/>
      <c r="I1087">
        <f>IF(OR(B1087="",C1087=""),"",B1087+MOD(C1087,1))</f>
        <v/>
      </c>
      <c r="J1087">
        <f>IF(I1087="","",IF(B1087=Dashboard!$AA$1,I1087,""))</f>
        <v/>
      </c>
    </row>
    <row r="1088">
      <c r="A1088" s="1" t="n"/>
      <c r="B1088" s="26" t="n"/>
      <c r="C1088" s="27" t="n"/>
      <c r="D1088" s="28" t="n"/>
      <c r="E1088" s="29" t="n"/>
      <c r="F1088" s="29" t="n"/>
      <c r="G1088" s="28" t="n"/>
      <c r="H1088" s="1" t="n"/>
      <c r="I1088">
        <f>IF(OR(B1088="",C1088=""),"",B1088+MOD(C1088,1))</f>
        <v/>
      </c>
      <c r="J1088">
        <f>IF(I1088="","",IF(B1088=Dashboard!$AA$1,I1088,""))</f>
        <v/>
      </c>
    </row>
    <row r="1089">
      <c r="A1089" s="1" t="n"/>
      <c r="B1089" s="26" t="n"/>
      <c r="C1089" s="27" t="n"/>
      <c r="D1089" s="28" t="n"/>
      <c r="E1089" s="29" t="n"/>
      <c r="F1089" s="29" t="n"/>
      <c r="G1089" s="28" t="n"/>
      <c r="H1089" s="1" t="n"/>
      <c r="I1089">
        <f>IF(OR(B1089="",C1089=""),"",B1089+MOD(C1089,1))</f>
        <v/>
      </c>
      <c r="J1089">
        <f>IF(I1089="","",IF(B1089=Dashboard!$AA$1,I1089,""))</f>
        <v/>
      </c>
    </row>
    <row r="1090">
      <c r="A1090" s="1" t="n"/>
      <c r="B1090" s="26" t="n"/>
      <c r="C1090" s="27" t="n"/>
      <c r="D1090" s="28" t="n"/>
      <c r="E1090" s="29" t="n"/>
      <c r="F1090" s="29" t="n"/>
      <c r="G1090" s="28" t="n"/>
      <c r="H1090" s="1" t="n"/>
      <c r="I1090">
        <f>IF(OR(B1090="",C1090=""),"",B1090+MOD(C1090,1))</f>
        <v/>
      </c>
      <c r="J1090">
        <f>IF(I1090="","",IF(B1090=Dashboard!$AA$1,I1090,""))</f>
        <v/>
      </c>
    </row>
    <row r="1091">
      <c r="A1091" s="1" t="n"/>
      <c r="B1091" s="26" t="n"/>
      <c r="C1091" s="27" t="n"/>
      <c r="D1091" s="28" t="n"/>
      <c r="E1091" s="29" t="n"/>
      <c r="F1091" s="29" t="n"/>
      <c r="G1091" s="28" t="n"/>
      <c r="H1091" s="1" t="n"/>
      <c r="I1091">
        <f>IF(OR(B1091="",C1091=""),"",B1091+MOD(C1091,1))</f>
        <v/>
      </c>
      <c r="J1091">
        <f>IF(I1091="","",IF(B1091=Dashboard!$AA$1,I1091,""))</f>
        <v/>
      </c>
    </row>
    <row r="1092">
      <c r="A1092" s="1" t="n"/>
      <c r="B1092" s="26" t="n"/>
      <c r="C1092" s="27" t="n"/>
      <c r="D1092" s="28" t="n"/>
      <c r="E1092" s="29" t="n"/>
      <c r="F1092" s="29" t="n"/>
      <c r="G1092" s="28" t="n"/>
      <c r="H1092" s="1" t="n"/>
      <c r="I1092">
        <f>IF(OR(B1092="",C1092=""),"",B1092+MOD(C1092,1))</f>
        <v/>
      </c>
      <c r="J1092">
        <f>IF(I1092="","",IF(B1092=Dashboard!$AA$1,I1092,""))</f>
        <v/>
      </c>
    </row>
    <row r="1093">
      <c r="A1093" s="1" t="n"/>
      <c r="B1093" s="26" t="n"/>
      <c r="C1093" s="27" t="n"/>
      <c r="D1093" s="28" t="n"/>
      <c r="E1093" s="29" t="n"/>
      <c r="F1093" s="29" t="n"/>
      <c r="G1093" s="28" t="n"/>
      <c r="H1093" s="1" t="n"/>
      <c r="I1093">
        <f>IF(OR(B1093="",C1093=""),"",B1093+MOD(C1093,1))</f>
        <v/>
      </c>
      <c r="J1093">
        <f>IF(I1093="","",IF(B1093=Dashboard!$AA$1,I1093,""))</f>
        <v/>
      </c>
    </row>
    <row r="1094">
      <c r="A1094" s="1" t="n"/>
      <c r="B1094" s="26" t="n"/>
      <c r="C1094" s="27" t="n"/>
      <c r="D1094" s="28" t="n"/>
      <c r="E1094" s="29" t="n"/>
      <c r="F1094" s="29" t="n"/>
      <c r="G1094" s="28" t="n"/>
      <c r="H1094" s="1" t="n"/>
      <c r="I1094">
        <f>IF(OR(B1094="",C1094=""),"",B1094+MOD(C1094,1))</f>
        <v/>
      </c>
      <c r="J1094">
        <f>IF(I1094="","",IF(B1094=Dashboard!$AA$1,I1094,""))</f>
        <v/>
      </c>
    </row>
    <row r="1095">
      <c r="A1095" s="1" t="n"/>
      <c r="B1095" s="26" t="n"/>
      <c r="C1095" s="27" t="n"/>
      <c r="D1095" s="28" t="n"/>
      <c r="E1095" s="29" t="n"/>
      <c r="F1095" s="29" t="n"/>
      <c r="G1095" s="28" t="n"/>
      <c r="H1095" s="1" t="n"/>
      <c r="I1095">
        <f>IF(OR(B1095="",C1095=""),"",B1095+MOD(C1095,1))</f>
        <v/>
      </c>
      <c r="J1095">
        <f>IF(I1095="","",IF(B1095=Dashboard!$AA$1,I1095,""))</f>
        <v/>
      </c>
    </row>
    <row r="1096">
      <c r="A1096" s="1" t="n"/>
      <c r="B1096" s="26" t="n"/>
      <c r="C1096" s="27" t="n"/>
      <c r="D1096" s="28" t="n"/>
      <c r="E1096" s="29" t="n"/>
      <c r="F1096" s="29" t="n"/>
      <c r="G1096" s="28" t="n"/>
      <c r="H1096" s="1" t="n"/>
      <c r="I1096">
        <f>IF(OR(B1096="",C1096=""),"",B1096+MOD(C1096,1))</f>
        <v/>
      </c>
      <c r="J1096">
        <f>IF(I1096="","",IF(B1096=Dashboard!$AA$1,I1096,""))</f>
        <v/>
      </c>
    </row>
    <row r="1097">
      <c r="A1097" s="1" t="n"/>
      <c r="B1097" s="26" t="n"/>
      <c r="C1097" s="27" t="n"/>
      <c r="D1097" s="28" t="n"/>
      <c r="E1097" s="29" t="n"/>
      <c r="F1097" s="29" t="n"/>
      <c r="G1097" s="28" t="n"/>
      <c r="H1097" s="1" t="n"/>
      <c r="I1097">
        <f>IF(OR(B1097="",C1097=""),"",B1097+MOD(C1097,1))</f>
        <v/>
      </c>
      <c r="J1097">
        <f>IF(I1097="","",IF(B1097=Dashboard!$AA$1,I1097,""))</f>
        <v/>
      </c>
    </row>
    <row r="1098">
      <c r="A1098" s="1" t="n"/>
      <c r="B1098" s="26" t="n"/>
      <c r="C1098" s="27" t="n"/>
      <c r="D1098" s="28" t="n"/>
      <c r="E1098" s="29" t="n"/>
      <c r="F1098" s="29" t="n"/>
      <c r="G1098" s="28" t="n"/>
      <c r="H1098" s="1" t="n"/>
      <c r="I1098">
        <f>IF(OR(B1098="",C1098=""),"",B1098+MOD(C1098,1))</f>
        <v/>
      </c>
      <c r="J1098">
        <f>IF(I1098="","",IF(B1098=Dashboard!$AA$1,I1098,""))</f>
        <v/>
      </c>
    </row>
    <row r="1099">
      <c r="A1099" s="1" t="n"/>
      <c r="B1099" s="26" t="n"/>
      <c r="C1099" s="27" t="n"/>
      <c r="D1099" s="28" t="n"/>
      <c r="E1099" s="29" t="n"/>
      <c r="F1099" s="29" t="n"/>
      <c r="G1099" s="28" t="n"/>
      <c r="H1099" s="1" t="n"/>
      <c r="I1099">
        <f>IF(OR(B1099="",C1099=""),"",B1099+MOD(C1099,1))</f>
        <v/>
      </c>
      <c r="J1099">
        <f>IF(I1099="","",IF(B1099=Dashboard!$AA$1,I1099,""))</f>
        <v/>
      </c>
    </row>
    <row r="1100">
      <c r="A1100" s="1" t="n"/>
      <c r="B1100" s="26" t="n"/>
      <c r="C1100" s="27" t="n"/>
      <c r="D1100" s="28" t="n"/>
      <c r="E1100" s="29" t="n"/>
      <c r="F1100" s="29" t="n"/>
      <c r="G1100" s="28" t="n"/>
      <c r="H1100" s="1" t="n"/>
      <c r="I1100">
        <f>IF(OR(B1100="",C1100=""),"",B1100+MOD(C1100,1))</f>
        <v/>
      </c>
      <c r="J1100">
        <f>IF(I1100="","",IF(B1100=Dashboard!$AA$1,I1100,""))</f>
        <v/>
      </c>
    </row>
    <row r="1101">
      <c r="A1101" s="1" t="n"/>
      <c r="B1101" s="26" t="n"/>
      <c r="C1101" s="27" t="n"/>
      <c r="D1101" s="28" t="n"/>
      <c r="E1101" s="29" t="n"/>
      <c r="F1101" s="29" t="n"/>
      <c r="G1101" s="28" t="n"/>
      <c r="H1101" s="1" t="n"/>
      <c r="I1101">
        <f>IF(OR(B1101="",C1101=""),"",B1101+MOD(C1101,1))</f>
        <v/>
      </c>
      <c r="J1101">
        <f>IF(I1101="","",IF(B1101=Dashboard!$AA$1,I1101,""))</f>
        <v/>
      </c>
    </row>
    <row r="1102">
      <c r="A1102" s="1" t="n"/>
      <c r="B1102" s="26" t="n"/>
      <c r="C1102" s="27" t="n"/>
      <c r="D1102" s="28" t="n"/>
      <c r="E1102" s="29" t="n"/>
      <c r="F1102" s="29" t="n"/>
      <c r="G1102" s="28" t="n"/>
      <c r="H1102" s="1" t="n"/>
      <c r="I1102">
        <f>IF(OR(B1102="",C1102=""),"",B1102+MOD(C1102,1))</f>
        <v/>
      </c>
      <c r="J1102">
        <f>IF(I1102="","",IF(B1102=Dashboard!$AA$1,I1102,""))</f>
        <v/>
      </c>
    </row>
    <row r="1103">
      <c r="A1103" s="1" t="n"/>
      <c r="B1103" s="26" t="n"/>
      <c r="C1103" s="27" t="n"/>
      <c r="D1103" s="28" t="n"/>
      <c r="E1103" s="29" t="n"/>
      <c r="F1103" s="29" t="n"/>
      <c r="G1103" s="28" t="n"/>
      <c r="H1103" s="1" t="n"/>
      <c r="I1103">
        <f>IF(OR(B1103="",C1103=""),"",B1103+MOD(C1103,1))</f>
        <v/>
      </c>
      <c r="J1103">
        <f>IF(I1103="","",IF(B1103=Dashboard!$AA$1,I1103,""))</f>
        <v/>
      </c>
    </row>
    <row r="1104">
      <c r="A1104" s="1" t="n"/>
      <c r="B1104" s="26" t="n"/>
      <c r="C1104" s="27" t="n"/>
      <c r="D1104" s="28" t="n"/>
      <c r="E1104" s="29" t="n"/>
      <c r="F1104" s="29" t="n"/>
      <c r="G1104" s="28" t="n"/>
      <c r="H1104" s="1" t="n"/>
      <c r="I1104">
        <f>IF(OR(B1104="",C1104=""),"",B1104+MOD(C1104,1))</f>
        <v/>
      </c>
      <c r="J1104">
        <f>IF(I1104="","",IF(B1104=Dashboard!$AA$1,I1104,""))</f>
        <v/>
      </c>
    </row>
    <row r="1105">
      <c r="A1105" s="1" t="n"/>
      <c r="B1105" s="26" t="n"/>
      <c r="C1105" s="27" t="n"/>
      <c r="D1105" s="28" t="n"/>
      <c r="E1105" s="29" t="n"/>
      <c r="F1105" s="29" t="n"/>
      <c r="G1105" s="28" t="n"/>
      <c r="H1105" s="1" t="n"/>
      <c r="I1105">
        <f>IF(OR(B1105="",C1105=""),"",B1105+MOD(C1105,1))</f>
        <v/>
      </c>
      <c r="J1105">
        <f>IF(I1105="","",IF(B1105=Dashboard!$AA$1,I1105,""))</f>
        <v/>
      </c>
    </row>
    <row r="1106">
      <c r="A1106" s="1" t="n"/>
      <c r="B1106" s="26" t="n"/>
      <c r="C1106" s="27" t="n"/>
      <c r="D1106" s="28" t="n"/>
      <c r="E1106" s="29" t="n"/>
      <c r="F1106" s="29" t="n"/>
      <c r="G1106" s="28" t="n"/>
      <c r="H1106" s="1" t="n"/>
      <c r="I1106">
        <f>IF(OR(B1106="",C1106=""),"",B1106+MOD(C1106,1))</f>
        <v/>
      </c>
      <c r="J1106">
        <f>IF(I1106="","",IF(B1106=Dashboard!$AA$1,I1106,""))</f>
        <v/>
      </c>
    </row>
    <row r="1107">
      <c r="A1107" s="1" t="n"/>
      <c r="B1107" s="26" t="n"/>
      <c r="C1107" s="27" t="n"/>
      <c r="D1107" s="28" t="n"/>
      <c r="E1107" s="29" t="n"/>
      <c r="F1107" s="29" t="n"/>
      <c r="G1107" s="28" t="n"/>
      <c r="H1107" s="1" t="n"/>
      <c r="I1107">
        <f>IF(OR(B1107="",C1107=""),"",B1107+MOD(C1107,1))</f>
        <v/>
      </c>
      <c r="J1107">
        <f>IF(I1107="","",IF(B1107=Dashboard!$AA$1,I1107,""))</f>
        <v/>
      </c>
    </row>
    <row r="1108">
      <c r="A1108" s="1" t="n"/>
      <c r="B1108" s="26" t="n"/>
      <c r="C1108" s="27" t="n"/>
      <c r="D1108" s="28" t="n"/>
      <c r="E1108" s="29" t="n"/>
      <c r="F1108" s="29" t="n"/>
      <c r="G1108" s="28" t="n"/>
      <c r="H1108" s="1" t="n"/>
      <c r="I1108">
        <f>IF(OR(B1108="",C1108=""),"",B1108+MOD(C1108,1))</f>
        <v/>
      </c>
      <c r="J1108">
        <f>IF(I1108="","",IF(B1108=Dashboard!$AA$1,I1108,""))</f>
        <v/>
      </c>
    </row>
    <row r="1109">
      <c r="A1109" s="1" t="n"/>
      <c r="B1109" s="26" t="n"/>
      <c r="C1109" s="27" t="n"/>
      <c r="D1109" s="28" t="n"/>
      <c r="E1109" s="29" t="n"/>
      <c r="F1109" s="29" t="n"/>
      <c r="G1109" s="28" t="n"/>
      <c r="H1109" s="1" t="n"/>
      <c r="I1109">
        <f>IF(OR(B1109="",C1109=""),"",B1109+MOD(C1109,1))</f>
        <v/>
      </c>
      <c r="J1109">
        <f>IF(I1109="","",IF(B1109=Dashboard!$AA$1,I1109,""))</f>
        <v/>
      </c>
    </row>
    <row r="1110">
      <c r="A1110" s="1" t="n"/>
      <c r="B1110" s="26" t="n"/>
      <c r="C1110" s="27" t="n"/>
      <c r="D1110" s="28" t="n"/>
      <c r="E1110" s="29" t="n"/>
      <c r="F1110" s="29" t="n"/>
      <c r="G1110" s="28" t="n"/>
      <c r="H1110" s="1" t="n"/>
      <c r="I1110">
        <f>IF(OR(B1110="",C1110=""),"",B1110+MOD(C1110,1))</f>
        <v/>
      </c>
      <c r="J1110">
        <f>IF(I1110="","",IF(B1110=Dashboard!$AA$1,I1110,""))</f>
        <v/>
      </c>
    </row>
    <row r="1111">
      <c r="A1111" s="1" t="n"/>
      <c r="B1111" s="26" t="n"/>
      <c r="C1111" s="27" t="n"/>
      <c r="D1111" s="28" t="n"/>
      <c r="E1111" s="29" t="n"/>
      <c r="F1111" s="29" t="n"/>
      <c r="G1111" s="28" t="n"/>
      <c r="H1111" s="1" t="n"/>
      <c r="I1111">
        <f>IF(OR(B1111="",C1111=""),"",B1111+MOD(C1111,1))</f>
        <v/>
      </c>
      <c r="J1111">
        <f>IF(I1111="","",IF(B1111=Dashboard!$AA$1,I1111,""))</f>
        <v/>
      </c>
    </row>
    <row r="1112">
      <c r="A1112" s="1" t="n"/>
      <c r="B1112" s="26" t="n"/>
      <c r="C1112" s="27" t="n"/>
      <c r="D1112" s="28" t="n"/>
      <c r="E1112" s="29" t="n"/>
      <c r="F1112" s="29" t="n"/>
      <c r="G1112" s="28" t="n"/>
      <c r="H1112" s="1" t="n"/>
      <c r="I1112">
        <f>IF(OR(B1112="",C1112=""),"",B1112+MOD(C1112,1))</f>
        <v/>
      </c>
      <c r="J1112">
        <f>IF(I1112="","",IF(B1112=Dashboard!$AA$1,I1112,""))</f>
        <v/>
      </c>
    </row>
    <row r="1113">
      <c r="A1113" s="1" t="n"/>
      <c r="B1113" s="26" t="n"/>
      <c r="C1113" s="27" t="n"/>
      <c r="D1113" s="28" t="n"/>
      <c r="E1113" s="29" t="n"/>
      <c r="F1113" s="29" t="n"/>
      <c r="G1113" s="28" t="n"/>
      <c r="H1113" s="1" t="n"/>
      <c r="I1113">
        <f>IF(OR(B1113="",C1113=""),"",B1113+MOD(C1113,1))</f>
        <v/>
      </c>
      <c r="J1113">
        <f>IF(I1113="","",IF(B1113=Dashboard!$AA$1,I1113,""))</f>
        <v/>
      </c>
    </row>
    <row r="1114">
      <c r="A1114" s="1" t="n"/>
      <c r="B1114" s="26" t="n"/>
      <c r="C1114" s="27" t="n"/>
      <c r="D1114" s="28" t="n"/>
      <c r="E1114" s="29" t="n"/>
      <c r="F1114" s="29" t="n"/>
      <c r="G1114" s="28" t="n"/>
      <c r="H1114" s="1" t="n"/>
      <c r="I1114">
        <f>IF(OR(B1114="",C1114=""),"",B1114+MOD(C1114,1))</f>
        <v/>
      </c>
      <c r="J1114">
        <f>IF(I1114="","",IF(B1114=Dashboard!$AA$1,I1114,""))</f>
        <v/>
      </c>
    </row>
    <row r="1115">
      <c r="A1115" s="1" t="n"/>
      <c r="B1115" s="26" t="n"/>
      <c r="C1115" s="27" t="n"/>
      <c r="D1115" s="28" t="n"/>
      <c r="E1115" s="29" t="n"/>
      <c r="F1115" s="29" t="n"/>
      <c r="G1115" s="28" t="n"/>
      <c r="H1115" s="1" t="n"/>
      <c r="I1115">
        <f>IF(OR(B1115="",C1115=""),"",B1115+MOD(C1115,1))</f>
        <v/>
      </c>
      <c r="J1115">
        <f>IF(I1115="","",IF(B1115=Dashboard!$AA$1,I1115,""))</f>
        <v/>
      </c>
    </row>
    <row r="1116">
      <c r="A1116" s="1" t="n"/>
      <c r="B1116" s="26" t="n"/>
      <c r="C1116" s="27" t="n"/>
      <c r="D1116" s="28" t="n"/>
      <c r="E1116" s="29" t="n"/>
      <c r="F1116" s="29" t="n"/>
      <c r="G1116" s="28" t="n"/>
      <c r="H1116" s="1" t="n"/>
      <c r="I1116">
        <f>IF(OR(B1116="",C1116=""),"",B1116+MOD(C1116,1))</f>
        <v/>
      </c>
      <c r="J1116">
        <f>IF(I1116="","",IF(B1116=Dashboard!$AA$1,I1116,""))</f>
        <v/>
      </c>
    </row>
    <row r="1117">
      <c r="A1117" s="1" t="n"/>
      <c r="B1117" s="26" t="n"/>
      <c r="C1117" s="27" t="n"/>
      <c r="D1117" s="28" t="n"/>
      <c r="E1117" s="29" t="n"/>
      <c r="F1117" s="29" t="n"/>
      <c r="G1117" s="28" t="n"/>
      <c r="H1117" s="1" t="n"/>
      <c r="I1117">
        <f>IF(OR(B1117="",C1117=""),"",B1117+MOD(C1117,1))</f>
        <v/>
      </c>
      <c r="J1117">
        <f>IF(I1117="","",IF(B1117=Dashboard!$AA$1,I1117,""))</f>
        <v/>
      </c>
    </row>
    <row r="1118">
      <c r="A1118" s="1" t="n"/>
      <c r="B1118" s="26" t="n"/>
      <c r="C1118" s="27" t="n"/>
      <c r="D1118" s="28" t="n"/>
      <c r="E1118" s="29" t="n"/>
      <c r="F1118" s="29" t="n"/>
      <c r="G1118" s="28" t="n"/>
      <c r="H1118" s="1" t="n"/>
      <c r="I1118">
        <f>IF(OR(B1118="",C1118=""),"",B1118+MOD(C1118,1))</f>
        <v/>
      </c>
      <c r="J1118">
        <f>IF(I1118="","",IF(B1118=Dashboard!$AA$1,I1118,""))</f>
        <v/>
      </c>
    </row>
    <row r="1119">
      <c r="A1119" s="1" t="n"/>
      <c r="B1119" s="26" t="n"/>
      <c r="C1119" s="27" t="n"/>
      <c r="D1119" s="28" t="n"/>
      <c r="E1119" s="29" t="n"/>
      <c r="F1119" s="29" t="n"/>
      <c r="G1119" s="28" t="n"/>
      <c r="H1119" s="1" t="n"/>
      <c r="I1119">
        <f>IF(OR(B1119="",C1119=""),"",B1119+MOD(C1119,1))</f>
        <v/>
      </c>
      <c r="J1119">
        <f>IF(I1119="","",IF(B1119=Dashboard!$AA$1,I1119,""))</f>
        <v/>
      </c>
    </row>
    <row r="1120">
      <c r="A1120" s="1" t="n"/>
      <c r="B1120" s="26" t="n"/>
      <c r="C1120" s="27" t="n"/>
      <c r="D1120" s="28" t="n"/>
      <c r="E1120" s="29" t="n"/>
      <c r="F1120" s="29" t="n"/>
      <c r="G1120" s="28" t="n"/>
      <c r="H1120" s="1" t="n"/>
      <c r="I1120">
        <f>IF(OR(B1120="",C1120=""),"",B1120+MOD(C1120,1))</f>
        <v/>
      </c>
      <c r="J1120">
        <f>IF(I1120="","",IF(B1120=Dashboard!$AA$1,I1120,""))</f>
        <v/>
      </c>
    </row>
    <row r="1121">
      <c r="A1121" s="1" t="n"/>
      <c r="B1121" s="26" t="n"/>
      <c r="C1121" s="27" t="n"/>
      <c r="D1121" s="28" t="n"/>
      <c r="E1121" s="29" t="n"/>
      <c r="F1121" s="29" t="n"/>
      <c r="G1121" s="28" t="n"/>
      <c r="H1121" s="1" t="n"/>
      <c r="I1121">
        <f>IF(OR(B1121="",C1121=""),"",B1121+MOD(C1121,1))</f>
        <v/>
      </c>
      <c r="J1121">
        <f>IF(I1121="","",IF(B1121=Dashboard!$AA$1,I1121,""))</f>
        <v/>
      </c>
    </row>
    <row r="1122">
      <c r="A1122" s="1" t="n"/>
      <c r="B1122" s="26" t="n"/>
      <c r="C1122" s="27" t="n"/>
      <c r="D1122" s="28" t="n"/>
      <c r="E1122" s="29" t="n"/>
      <c r="F1122" s="29" t="n"/>
      <c r="G1122" s="28" t="n"/>
      <c r="H1122" s="1" t="n"/>
      <c r="I1122">
        <f>IF(OR(B1122="",C1122=""),"",B1122+MOD(C1122,1))</f>
        <v/>
      </c>
      <c r="J1122">
        <f>IF(I1122="","",IF(B1122=Dashboard!$AA$1,I1122,""))</f>
        <v/>
      </c>
    </row>
    <row r="1123">
      <c r="A1123" s="1" t="n"/>
      <c r="B1123" s="26" t="n"/>
      <c r="C1123" s="27" t="n"/>
      <c r="D1123" s="28" t="n"/>
      <c r="E1123" s="29" t="n"/>
      <c r="F1123" s="29" t="n"/>
      <c r="G1123" s="28" t="n"/>
      <c r="H1123" s="1" t="n"/>
      <c r="I1123">
        <f>IF(OR(B1123="",C1123=""),"",B1123+MOD(C1123,1))</f>
        <v/>
      </c>
      <c r="J1123">
        <f>IF(I1123="","",IF(B1123=Dashboard!$AA$1,I1123,""))</f>
        <v/>
      </c>
    </row>
    <row r="1124">
      <c r="A1124" s="1" t="n"/>
      <c r="B1124" s="26" t="n"/>
      <c r="C1124" s="27" t="n"/>
      <c r="D1124" s="28" t="n"/>
      <c r="E1124" s="29" t="n"/>
      <c r="F1124" s="29" t="n"/>
      <c r="G1124" s="28" t="n"/>
      <c r="H1124" s="1" t="n"/>
      <c r="I1124">
        <f>IF(OR(B1124="",C1124=""),"",B1124+MOD(C1124,1))</f>
        <v/>
      </c>
      <c r="J1124">
        <f>IF(I1124="","",IF(B1124=Dashboard!$AA$1,I1124,""))</f>
        <v/>
      </c>
    </row>
    <row r="1125">
      <c r="A1125" s="1" t="n"/>
      <c r="B1125" s="26" t="n"/>
      <c r="C1125" s="27" t="n"/>
      <c r="D1125" s="28" t="n"/>
      <c r="E1125" s="29" t="n"/>
      <c r="F1125" s="29" t="n"/>
      <c r="G1125" s="28" t="n"/>
      <c r="H1125" s="1" t="n"/>
      <c r="I1125">
        <f>IF(OR(B1125="",C1125=""),"",B1125+MOD(C1125,1))</f>
        <v/>
      </c>
      <c r="J1125">
        <f>IF(I1125="","",IF(B1125=Dashboard!$AA$1,I1125,""))</f>
        <v/>
      </c>
    </row>
    <row r="1126">
      <c r="A1126" s="1" t="n"/>
      <c r="B1126" s="26" t="n"/>
      <c r="C1126" s="27" t="n"/>
      <c r="D1126" s="28" t="n"/>
      <c r="E1126" s="29" t="n"/>
      <c r="F1126" s="29" t="n"/>
      <c r="G1126" s="28" t="n"/>
      <c r="H1126" s="1" t="n"/>
      <c r="I1126">
        <f>IF(OR(B1126="",C1126=""),"",B1126+MOD(C1126,1))</f>
        <v/>
      </c>
      <c r="J1126">
        <f>IF(I1126="","",IF(B1126=Dashboard!$AA$1,I1126,""))</f>
        <v/>
      </c>
    </row>
    <row r="1127">
      <c r="A1127" s="1" t="n"/>
      <c r="B1127" s="26" t="n"/>
      <c r="C1127" s="27" t="n"/>
      <c r="D1127" s="28" t="n"/>
      <c r="E1127" s="29" t="n"/>
      <c r="F1127" s="29" t="n"/>
      <c r="G1127" s="28" t="n"/>
      <c r="H1127" s="1" t="n"/>
      <c r="I1127">
        <f>IF(OR(B1127="",C1127=""),"",B1127+MOD(C1127,1))</f>
        <v/>
      </c>
      <c r="J1127">
        <f>IF(I1127="","",IF(B1127=Dashboard!$AA$1,I1127,""))</f>
        <v/>
      </c>
    </row>
    <row r="1128">
      <c r="A1128" s="1" t="n"/>
      <c r="B1128" s="26" t="n"/>
      <c r="C1128" s="27" t="n"/>
      <c r="D1128" s="28" t="n"/>
      <c r="E1128" s="29" t="n"/>
      <c r="F1128" s="29" t="n"/>
      <c r="G1128" s="28" t="n"/>
      <c r="H1128" s="1" t="n"/>
      <c r="I1128">
        <f>IF(OR(B1128="",C1128=""),"",B1128+MOD(C1128,1))</f>
        <v/>
      </c>
      <c r="J1128">
        <f>IF(I1128="","",IF(B1128=Dashboard!$AA$1,I1128,""))</f>
        <v/>
      </c>
    </row>
    <row r="1129">
      <c r="A1129" s="1" t="n"/>
      <c r="B1129" s="26" t="n"/>
      <c r="C1129" s="27" t="n"/>
      <c r="D1129" s="28" t="n"/>
      <c r="E1129" s="29" t="n"/>
      <c r="F1129" s="29" t="n"/>
      <c r="G1129" s="28" t="n"/>
      <c r="H1129" s="1" t="n"/>
      <c r="I1129">
        <f>IF(OR(B1129="",C1129=""),"",B1129+MOD(C1129,1))</f>
        <v/>
      </c>
      <c r="J1129">
        <f>IF(I1129="","",IF(B1129=Dashboard!$AA$1,I1129,""))</f>
        <v/>
      </c>
    </row>
    <row r="1130">
      <c r="A1130" s="1" t="n"/>
      <c r="B1130" s="26" t="n"/>
      <c r="C1130" s="27" t="n"/>
      <c r="D1130" s="28" t="n"/>
      <c r="E1130" s="29" t="n"/>
      <c r="F1130" s="29" t="n"/>
      <c r="G1130" s="28" t="n"/>
      <c r="H1130" s="1" t="n"/>
      <c r="I1130">
        <f>IF(OR(B1130="",C1130=""),"",B1130+MOD(C1130,1))</f>
        <v/>
      </c>
      <c r="J1130">
        <f>IF(I1130="","",IF(B1130=Dashboard!$AA$1,I1130,""))</f>
        <v/>
      </c>
    </row>
    <row r="1131">
      <c r="A1131" s="1" t="n"/>
      <c r="B1131" s="26" t="n"/>
      <c r="C1131" s="27" t="n"/>
      <c r="D1131" s="28" t="n"/>
      <c r="E1131" s="29" t="n"/>
      <c r="F1131" s="29" t="n"/>
      <c r="G1131" s="28" t="n"/>
      <c r="H1131" s="1" t="n"/>
      <c r="I1131">
        <f>IF(OR(B1131="",C1131=""),"",B1131+MOD(C1131,1))</f>
        <v/>
      </c>
      <c r="J1131">
        <f>IF(I1131="","",IF(B1131=Dashboard!$AA$1,I1131,""))</f>
        <v/>
      </c>
    </row>
    <row r="1132">
      <c r="A1132" s="1" t="n"/>
      <c r="B1132" s="26" t="n"/>
      <c r="C1132" s="27" t="n"/>
      <c r="D1132" s="28" t="n"/>
      <c r="E1132" s="29" t="n"/>
      <c r="F1132" s="29" t="n"/>
      <c r="G1132" s="28" t="n"/>
      <c r="H1132" s="1" t="n"/>
      <c r="I1132">
        <f>IF(OR(B1132="",C1132=""),"",B1132+MOD(C1132,1))</f>
        <v/>
      </c>
      <c r="J1132">
        <f>IF(I1132="","",IF(B1132=Dashboard!$AA$1,I1132,""))</f>
        <v/>
      </c>
    </row>
    <row r="1133">
      <c r="A1133" s="1" t="n"/>
      <c r="B1133" s="26" t="n"/>
      <c r="C1133" s="27" t="n"/>
      <c r="D1133" s="28" t="n"/>
      <c r="E1133" s="29" t="n"/>
      <c r="F1133" s="29" t="n"/>
      <c r="G1133" s="28" t="n"/>
      <c r="H1133" s="1" t="n"/>
      <c r="I1133">
        <f>IF(OR(B1133="",C1133=""),"",B1133+MOD(C1133,1))</f>
        <v/>
      </c>
      <c r="J1133">
        <f>IF(I1133="","",IF(B1133=Dashboard!$AA$1,I1133,""))</f>
        <v/>
      </c>
    </row>
    <row r="1134">
      <c r="A1134" s="1" t="n"/>
      <c r="B1134" s="26" t="n"/>
      <c r="C1134" s="27" t="n"/>
      <c r="D1134" s="28" t="n"/>
      <c r="E1134" s="29" t="n"/>
      <c r="F1134" s="29" t="n"/>
      <c r="G1134" s="28" t="n"/>
      <c r="H1134" s="1" t="n"/>
      <c r="I1134">
        <f>IF(OR(B1134="",C1134=""),"",B1134+MOD(C1134,1))</f>
        <v/>
      </c>
      <c r="J1134">
        <f>IF(I1134="","",IF(B1134=Dashboard!$AA$1,I1134,""))</f>
        <v/>
      </c>
    </row>
    <row r="1135">
      <c r="A1135" s="1" t="n"/>
      <c r="B1135" s="26" t="n"/>
      <c r="C1135" s="27" t="n"/>
      <c r="D1135" s="28" t="n"/>
      <c r="E1135" s="29" t="n"/>
      <c r="F1135" s="29" t="n"/>
      <c r="G1135" s="28" t="n"/>
      <c r="H1135" s="1" t="n"/>
      <c r="I1135">
        <f>IF(OR(B1135="",C1135=""),"",B1135+MOD(C1135,1))</f>
        <v/>
      </c>
      <c r="J1135">
        <f>IF(I1135="","",IF(B1135=Dashboard!$AA$1,I1135,""))</f>
        <v/>
      </c>
    </row>
    <row r="1136">
      <c r="A1136" s="1" t="n"/>
      <c r="B1136" s="26" t="n"/>
      <c r="C1136" s="27" t="n"/>
      <c r="D1136" s="28" t="n"/>
      <c r="E1136" s="29" t="n"/>
      <c r="F1136" s="29" t="n"/>
      <c r="G1136" s="28" t="n"/>
      <c r="H1136" s="1" t="n"/>
      <c r="I1136">
        <f>IF(OR(B1136="",C1136=""),"",B1136+MOD(C1136,1))</f>
        <v/>
      </c>
      <c r="J1136">
        <f>IF(I1136="","",IF(B1136=Dashboard!$AA$1,I1136,""))</f>
        <v/>
      </c>
    </row>
    <row r="1137">
      <c r="A1137" s="1" t="n"/>
      <c r="B1137" s="26" t="n"/>
      <c r="C1137" s="27" t="n"/>
      <c r="D1137" s="28" t="n"/>
      <c r="E1137" s="29" t="n"/>
      <c r="F1137" s="29" t="n"/>
      <c r="G1137" s="28" t="n"/>
      <c r="H1137" s="1" t="n"/>
      <c r="I1137">
        <f>IF(OR(B1137="",C1137=""),"",B1137+MOD(C1137,1))</f>
        <v/>
      </c>
      <c r="J1137">
        <f>IF(I1137="","",IF(B1137=Dashboard!$AA$1,I1137,""))</f>
        <v/>
      </c>
    </row>
    <row r="1138">
      <c r="A1138" s="1" t="n"/>
      <c r="B1138" s="26" t="n"/>
      <c r="C1138" s="27" t="n"/>
      <c r="D1138" s="28" t="n"/>
      <c r="E1138" s="29" t="n"/>
      <c r="F1138" s="29" t="n"/>
      <c r="G1138" s="28" t="n"/>
      <c r="H1138" s="1" t="n"/>
      <c r="I1138">
        <f>IF(OR(B1138="",C1138=""),"",B1138+MOD(C1138,1))</f>
        <v/>
      </c>
      <c r="J1138">
        <f>IF(I1138="","",IF(B1138=Dashboard!$AA$1,I1138,""))</f>
        <v/>
      </c>
    </row>
    <row r="1139">
      <c r="A1139" s="1" t="n"/>
      <c r="B1139" s="26" t="n"/>
      <c r="C1139" s="27" t="n"/>
      <c r="D1139" s="28" t="n"/>
      <c r="E1139" s="29" t="n"/>
      <c r="F1139" s="29" t="n"/>
      <c r="G1139" s="28" t="n"/>
      <c r="H1139" s="1" t="n"/>
      <c r="I1139">
        <f>IF(OR(B1139="",C1139=""),"",B1139+MOD(C1139,1))</f>
        <v/>
      </c>
      <c r="J1139">
        <f>IF(I1139="","",IF(B1139=Dashboard!$AA$1,I1139,""))</f>
        <v/>
      </c>
    </row>
    <row r="1140">
      <c r="A1140" s="1" t="n"/>
      <c r="B1140" s="26" t="n"/>
      <c r="C1140" s="27" t="n"/>
      <c r="D1140" s="28" t="n"/>
      <c r="E1140" s="29" t="n"/>
      <c r="F1140" s="29" t="n"/>
      <c r="G1140" s="28" t="n"/>
      <c r="H1140" s="1" t="n"/>
      <c r="I1140">
        <f>IF(OR(B1140="",C1140=""),"",B1140+MOD(C1140,1))</f>
        <v/>
      </c>
      <c r="J1140">
        <f>IF(I1140="","",IF(B1140=Dashboard!$AA$1,I1140,""))</f>
        <v/>
      </c>
    </row>
    <row r="1141">
      <c r="A1141" s="1" t="n"/>
      <c r="B1141" s="26" t="n"/>
      <c r="C1141" s="27" t="n"/>
      <c r="D1141" s="28" t="n"/>
      <c r="E1141" s="29" t="n"/>
      <c r="F1141" s="29" t="n"/>
      <c r="G1141" s="28" t="n"/>
      <c r="H1141" s="1" t="n"/>
      <c r="I1141">
        <f>IF(OR(B1141="",C1141=""),"",B1141+MOD(C1141,1))</f>
        <v/>
      </c>
      <c r="J1141">
        <f>IF(I1141="","",IF(B1141=Dashboard!$AA$1,I1141,""))</f>
        <v/>
      </c>
    </row>
    <row r="1142">
      <c r="A1142" s="1" t="n"/>
      <c r="B1142" s="26" t="n"/>
      <c r="C1142" s="27" t="n"/>
      <c r="D1142" s="28" t="n"/>
      <c r="E1142" s="29" t="n"/>
      <c r="F1142" s="29" t="n"/>
      <c r="G1142" s="28" t="n"/>
      <c r="H1142" s="1" t="n"/>
      <c r="I1142">
        <f>IF(OR(B1142="",C1142=""),"",B1142+MOD(C1142,1))</f>
        <v/>
      </c>
      <c r="J1142">
        <f>IF(I1142="","",IF(B1142=Dashboard!$AA$1,I1142,""))</f>
        <v/>
      </c>
    </row>
    <row r="1143">
      <c r="A1143" s="1" t="n"/>
      <c r="B1143" s="26" t="n"/>
      <c r="C1143" s="27" t="n"/>
      <c r="D1143" s="28" t="n"/>
      <c r="E1143" s="29" t="n"/>
      <c r="F1143" s="29" t="n"/>
      <c r="G1143" s="28" t="n"/>
      <c r="H1143" s="1" t="n"/>
      <c r="I1143">
        <f>IF(OR(B1143="",C1143=""),"",B1143+MOD(C1143,1))</f>
        <v/>
      </c>
      <c r="J1143">
        <f>IF(I1143="","",IF(B1143=Dashboard!$AA$1,I1143,""))</f>
        <v/>
      </c>
    </row>
    <row r="1144">
      <c r="A1144" s="1" t="n"/>
      <c r="B1144" s="26" t="n"/>
      <c r="C1144" s="27" t="n"/>
      <c r="D1144" s="28" t="n"/>
      <c r="E1144" s="29" t="n"/>
      <c r="F1144" s="29" t="n"/>
      <c r="G1144" s="28" t="n"/>
      <c r="H1144" s="1" t="n"/>
      <c r="I1144">
        <f>IF(OR(B1144="",C1144=""),"",B1144+MOD(C1144,1))</f>
        <v/>
      </c>
      <c r="J1144">
        <f>IF(I1144="","",IF(B1144=Dashboard!$AA$1,I1144,""))</f>
        <v/>
      </c>
    </row>
    <row r="1145">
      <c r="A1145" s="1" t="n"/>
      <c r="B1145" s="26" t="n"/>
      <c r="C1145" s="27" t="n"/>
      <c r="D1145" s="28" t="n"/>
      <c r="E1145" s="29" t="n"/>
      <c r="F1145" s="29" t="n"/>
      <c r="G1145" s="28" t="n"/>
      <c r="H1145" s="1" t="n"/>
      <c r="I1145">
        <f>IF(OR(B1145="",C1145=""),"",B1145+MOD(C1145,1))</f>
        <v/>
      </c>
      <c r="J1145">
        <f>IF(I1145="","",IF(B1145=Dashboard!$AA$1,I1145,""))</f>
        <v/>
      </c>
    </row>
    <row r="1146">
      <c r="A1146" s="1" t="n"/>
      <c r="B1146" s="26" t="n"/>
      <c r="C1146" s="27" t="n"/>
      <c r="D1146" s="28" t="n"/>
      <c r="E1146" s="29" t="n"/>
      <c r="F1146" s="29" t="n"/>
      <c r="G1146" s="28" t="n"/>
      <c r="H1146" s="1" t="n"/>
      <c r="I1146">
        <f>IF(OR(B1146="",C1146=""),"",B1146+MOD(C1146,1))</f>
        <v/>
      </c>
      <c r="J1146">
        <f>IF(I1146="","",IF(B1146=Dashboard!$AA$1,I1146,""))</f>
        <v/>
      </c>
    </row>
    <row r="1147">
      <c r="A1147" s="1" t="n"/>
      <c r="B1147" s="26" t="n"/>
      <c r="C1147" s="27" t="n"/>
      <c r="D1147" s="28" t="n"/>
      <c r="E1147" s="29" t="n"/>
      <c r="F1147" s="29" t="n"/>
      <c r="G1147" s="28" t="n"/>
      <c r="H1147" s="1" t="n"/>
      <c r="I1147">
        <f>IF(OR(B1147="",C1147=""),"",B1147+MOD(C1147,1))</f>
        <v/>
      </c>
      <c r="J1147">
        <f>IF(I1147="","",IF(B1147=Dashboard!$AA$1,I1147,""))</f>
        <v/>
      </c>
    </row>
    <row r="1148">
      <c r="A1148" s="1" t="n"/>
      <c r="B1148" s="26" t="n"/>
      <c r="C1148" s="27" t="n"/>
      <c r="D1148" s="28" t="n"/>
      <c r="E1148" s="29" t="n"/>
      <c r="F1148" s="29" t="n"/>
      <c r="G1148" s="28" t="n"/>
      <c r="H1148" s="1" t="n"/>
      <c r="I1148">
        <f>IF(OR(B1148="",C1148=""),"",B1148+MOD(C1148,1))</f>
        <v/>
      </c>
      <c r="J1148">
        <f>IF(I1148="","",IF(B1148=Dashboard!$AA$1,I1148,""))</f>
        <v/>
      </c>
    </row>
    <row r="1149">
      <c r="A1149" s="1" t="n"/>
      <c r="B1149" s="26" t="n"/>
      <c r="C1149" s="27" t="n"/>
      <c r="D1149" s="28" t="n"/>
      <c r="E1149" s="29" t="n"/>
      <c r="F1149" s="29" t="n"/>
      <c r="G1149" s="28" t="n"/>
      <c r="H1149" s="1" t="n"/>
      <c r="I1149">
        <f>IF(OR(B1149="",C1149=""),"",B1149+MOD(C1149,1))</f>
        <v/>
      </c>
      <c r="J1149">
        <f>IF(I1149="","",IF(B1149=Dashboard!$AA$1,I1149,""))</f>
        <v/>
      </c>
    </row>
    <row r="1150">
      <c r="A1150" s="1" t="n"/>
      <c r="B1150" s="26" t="n"/>
      <c r="C1150" s="27" t="n"/>
      <c r="D1150" s="28" t="n"/>
      <c r="E1150" s="29" t="n"/>
      <c r="F1150" s="29" t="n"/>
      <c r="G1150" s="28" t="n"/>
      <c r="H1150" s="1" t="n"/>
      <c r="I1150">
        <f>IF(OR(B1150="",C1150=""),"",B1150+MOD(C1150,1))</f>
        <v/>
      </c>
      <c r="J1150">
        <f>IF(I1150="","",IF(B1150=Dashboard!$AA$1,I1150,""))</f>
        <v/>
      </c>
    </row>
    <row r="1151">
      <c r="A1151" s="1" t="n"/>
      <c r="B1151" s="26" t="n"/>
      <c r="C1151" s="27" t="n"/>
      <c r="D1151" s="28" t="n"/>
      <c r="E1151" s="29" t="n"/>
      <c r="F1151" s="29" t="n"/>
      <c r="G1151" s="28" t="n"/>
      <c r="H1151" s="1" t="n"/>
      <c r="I1151">
        <f>IF(OR(B1151="",C1151=""),"",B1151+MOD(C1151,1))</f>
        <v/>
      </c>
      <c r="J1151">
        <f>IF(I1151="","",IF(B1151=Dashboard!$AA$1,I1151,""))</f>
        <v/>
      </c>
    </row>
    <row r="1152">
      <c r="A1152" s="1" t="n"/>
      <c r="B1152" s="26" t="n"/>
      <c r="C1152" s="27" t="n"/>
      <c r="D1152" s="28" t="n"/>
      <c r="E1152" s="29" t="n"/>
      <c r="F1152" s="29" t="n"/>
      <c r="G1152" s="28" t="n"/>
      <c r="H1152" s="1" t="n"/>
      <c r="I1152">
        <f>IF(OR(B1152="",C1152=""),"",B1152+MOD(C1152,1))</f>
        <v/>
      </c>
      <c r="J1152">
        <f>IF(I1152="","",IF(B1152=Dashboard!$AA$1,I1152,""))</f>
        <v/>
      </c>
    </row>
    <row r="1153">
      <c r="A1153" s="1" t="n"/>
      <c r="B1153" s="26" t="n"/>
      <c r="C1153" s="27" t="n"/>
      <c r="D1153" s="28" t="n"/>
      <c r="E1153" s="29" t="n"/>
      <c r="F1153" s="29" t="n"/>
      <c r="G1153" s="28" t="n"/>
      <c r="H1153" s="1" t="n"/>
      <c r="I1153">
        <f>IF(OR(B1153="",C1153=""),"",B1153+MOD(C1153,1))</f>
        <v/>
      </c>
      <c r="J1153">
        <f>IF(I1153="","",IF(B1153=Dashboard!$AA$1,I1153,""))</f>
        <v/>
      </c>
    </row>
    <row r="1154">
      <c r="A1154" s="1" t="n"/>
      <c r="B1154" s="26" t="n"/>
      <c r="C1154" s="27" t="n"/>
      <c r="D1154" s="28" t="n"/>
      <c r="E1154" s="29" t="n"/>
      <c r="F1154" s="29" t="n"/>
      <c r="G1154" s="28" t="n"/>
      <c r="H1154" s="1" t="n"/>
      <c r="I1154">
        <f>IF(OR(B1154="",C1154=""),"",B1154+MOD(C1154,1))</f>
        <v/>
      </c>
      <c r="J1154">
        <f>IF(I1154="","",IF(B1154=Dashboard!$AA$1,I1154,""))</f>
        <v/>
      </c>
    </row>
    <row r="1155">
      <c r="A1155" s="1" t="n"/>
      <c r="B1155" s="26" t="n"/>
      <c r="C1155" s="27" t="n"/>
      <c r="D1155" s="28" t="n"/>
      <c r="E1155" s="29" t="n"/>
      <c r="F1155" s="29" t="n"/>
      <c r="G1155" s="28" t="n"/>
      <c r="H1155" s="1" t="n"/>
      <c r="I1155">
        <f>IF(OR(B1155="",C1155=""),"",B1155+MOD(C1155,1))</f>
        <v/>
      </c>
      <c r="J1155">
        <f>IF(I1155="","",IF(B1155=Dashboard!$AA$1,I1155,""))</f>
        <v/>
      </c>
    </row>
    <row r="1156">
      <c r="A1156" s="1" t="n"/>
      <c r="B1156" s="26" t="n"/>
      <c r="C1156" s="27" t="n"/>
      <c r="D1156" s="28" t="n"/>
      <c r="E1156" s="29" t="n"/>
      <c r="F1156" s="29" t="n"/>
      <c r="G1156" s="28" t="n"/>
      <c r="H1156" s="1" t="n"/>
      <c r="I1156">
        <f>IF(OR(B1156="",C1156=""),"",B1156+MOD(C1156,1))</f>
        <v/>
      </c>
      <c r="J1156">
        <f>IF(I1156="","",IF(B1156=Dashboard!$AA$1,I1156,""))</f>
        <v/>
      </c>
    </row>
    <row r="1157">
      <c r="A1157" s="1" t="n"/>
      <c r="B1157" s="26" t="n"/>
      <c r="C1157" s="27" t="n"/>
      <c r="D1157" s="28" t="n"/>
      <c r="E1157" s="29" t="n"/>
      <c r="F1157" s="29" t="n"/>
      <c r="G1157" s="28" t="n"/>
      <c r="H1157" s="1" t="n"/>
      <c r="I1157">
        <f>IF(OR(B1157="",C1157=""),"",B1157+MOD(C1157,1))</f>
        <v/>
      </c>
      <c r="J1157">
        <f>IF(I1157="","",IF(B1157=Dashboard!$AA$1,I1157,""))</f>
        <v/>
      </c>
    </row>
    <row r="1158">
      <c r="A1158" s="1" t="n"/>
      <c r="B1158" s="26" t="n"/>
      <c r="C1158" s="27" t="n"/>
      <c r="D1158" s="28" t="n"/>
      <c r="E1158" s="29" t="n"/>
      <c r="F1158" s="29" t="n"/>
      <c r="G1158" s="28" t="n"/>
      <c r="H1158" s="1" t="n"/>
      <c r="I1158">
        <f>IF(OR(B1158="",C1158=""),"",B1158+MOD(C1158,1))</f>
        <v/>
      </c>
      <c r="J1158">
        <f>IF(I1158="","",IF(B1158=Dashboard!$AA$1,I1158,""))</f>
        <v/>
      </c>
    </row>
    <row r="1159">
      <c r="A1159" s="1" t="n"/>
      <c r="B1159" s="26" t="n"/>
      <c r="C1159" s="27" t="n"/>
      <c r="D1159" s="28" t="n"/>
      <c r="E1159" s="29" t="n"/>
      <c r="F1159" s="29" t="n"/>
      <c r="G1159" s="28" t="n"/>
      <c r="H1159" s="1" t="n"/>
      <c r="I1159">
        <f>IF(OR(B1159="",C1159=""),"",B1159+MOD(C1159,1))</f>
        <v/>
      </c>
      <c r="J1159">
        <f>IF(I1159="","",IF(B1159=Dashboard!$AA$1,I1159,""))</f>
        <v/>
      </c>
    </row>
    <row r="1160">
      <c r="A1160" s="1" t="n"/>
      <c r="B1160" s="26" t="n"/>
      <c r="C1160" s="27" t="n"/>
      <c r="D1160" s="28" t="n"/>
      <c r="E1160" s="29" t="n"/>
      <c r="F1160" s="29" t="n"/>
      <c r="G1160" s="28" t="n"/>
      <c r="H1160" s="1" t="n"/>
      <c r="I1160">
        <f>IF(OR(B1160="",C1160=""),"",B1160+MOD(C1160,1))</f>
        <v/>
      </c>
      <c r="J1160">
        <f>IF(I1160="","",IF(B1160=Dashboard!$AA$1,I1160,""))</f>
        <v/>
      </c>
    </row>
    <row r="1161">
      <c r="A1161" s="1" t="n"/>
      <c r="B1161" s="26" t="n"/>
      <c r="C1161" s="27" t="n"/>
      <c r="D1161" s="28" t="n"/>
      <c r="E1161" s="29" t="n"/>
      <c r="F1161" s="29" t="n"/>
      <c r="G1161" s="28" t="n"/>
      <c r="H1161" s="1" t="n"/>
      <c r="I1161">
        <f>IF(OR(B1161="",C1161=""),"",B1161+MOD(C1161,1))</f>
        <v/>
      </c>
      <c r="J1161">
        <f>IF(I1161="","",IF(B1161=Dashboard!$AA$1,I1161,""))</f>
        <v/>
      </c>
    </row>
    <row r="1162">
      <c r="A1162" s="1" t="n"/>
      <c r="B1162" s="26" t="n"/>
      <c r="C1162" s="27" t="n"/>
      <c r="D1162" s="28" t="n"/>
      <c r="E1162" s="29" t="n"/>
      <c r="F1162" s="29" t="n"/>
      <c r="G1162" s="28" t="n"/>
      <c r="H1162" s="1" t="n"/>
      <c r="I1162">
        <f>IF(OR(B1162="",C1162=""),"",B1162+MOD(C1162,1))</f>
        <v/>
      </c>
      <c r="J1162">
        <f>IF(I1162="","",IF(B1162=Dashboard!$AA$1,I1162,""))</f>
        <v/>
      </c>
    </row>
    <row r="1163">
      <c r="A1163" s="1" t="n"/>
      <c r="B1163" s="26" t="n"/>
      <c r="C1163" s="27" t="n"/>
      <c r="D1163" s="28" t="n"/>
      <c r="E1163" s="29" t="n"/>
      <c r="F1163" s="29" t="n"/>
      <c r="G1163" s="28" t="n"/>
      <c r="H1163" s="1" t="n"/>
      <c r="I1163">
        <f>IF(OR(B1163="",C1163=""),"",B1163+MOD(C1163,1))</f>
        <v/>
      </c>
      <c r="J1163">
        <f>IF(I1163="","",IF(B1163=Dashboard!$AA$1,I1163,""))</f>
        <v/>
      </c>
    </row>
    <row r="1164">
      <c r="A1164" s="1" t="n"/>
      <c r="B1164" s="26" t="n"/>
      <c r="C1164" s="27" t="n"/>
      <c r="D1164" s="28" t="n"/>
      <c r="E1164" s="29" t="n"/>
      <c r="F1164" s="29" t="n"/>
      <c r="G1164" s="28" t="n"/>
      <c r="H1164" s="1" t="n"/>
      <c r="I1164">
        <f>IF(OR(B1164="",C1164=""),"",B1164+MOD(C1164,1))</f>
        <v/>
      </c>
      <c r="J1164">
        <f>IF(I1164="","",IF(B1164=Dashboard!$AA$1,I1164,""))</f>
        <v/>
      </c>
    </row>
    <row r="1165">
      <c r="A1165" s="1" t="n"/>
      <c r="B1165" s="26" t="n"/>
      <c r="C1165" s="27" t="n"/>
      <c r="D1165" s="28" t="n"/>
      <c r="E1165" s="29" t="n"/>
      <c r="F1165" s="29" t="n"/>
      <c r="G1165" s="28" t="n"/>
      <c r="H1165" s="1" t="n"/>
      <c r="I1165">
        <f>IF(OR(B1165="",C1165=""),"",B1165+MOD(C1165,1))</f>
        <v/>
      </c>
      <c r="J1165">
        <f>IF(I1165="","",IF(B1165=Dashboard!$AA$1,I1165,""))</f>
        <v/>
      </c>
    </row>
    <row r="1166">
      <c r="A1166" s="1" t="n"/>
      <c r="B1166" s="26" t="n"/>
      <c r="C1166" s="27" t="n"/>
      <c r="D1166" s="28" t="n"/>
      <c r="E1166" s="29" t="n"/>
      <c r="F1166" s="29" t="n"/>
      <c r="G1166" s="28" t="n"/>
      <c r="H1166" s="1" t="n"/>
      <c r="I1166">
        <f>IF(OR(B1166="",C1166=""),"",B1166+MOD(C1166,1))</f>
        <v/>
      </c>
      <c r="J1166">
        <f>IF(I1166="","",IF(B1166=Dashboard!$AA$1,I1166,""))</f>
        <v/>
      </c>
    </row>
    <row r="1167">
      <c r="A1167" s="1" t="n"/>
      <c r="B1167" s="26" t="n"/>
      <c r="C1167" s="27" t="n"/>
      <c r="D1167" s="28" t="n"/>
      <c r="E1167" s="29" t="n"/>
      <c r="F1167" s="29" t="n"/>
      <c r="G1167" s="28" t="n"/>
      <c r="H1167" s="1" t="n"/>
      <c r="I1167">
        <f>IF(OR(B1167="",C1167=""),"",B1167+MOD(C1167,1))</f>
        <v/>
      </c>
      <c r="J1167">
        <f>IF(I1167="","",IF(B1167=Dashboard!$AA$1,I1167,""))</f>
        <v/>
      </c>
    </row>
    <row r="1168">
      <c r="A1168" s="1" t="n"/>
      <c r="B1168" s="26" t="n"/>
      <c r="C1168" s="27" t="n"/>
      <c r="D1168" s="28" t="n"/>
      <c r="E1168" s="29" t="n"/>
      <c r="F1168" s="29" t="n"/>
      <c r="G1168" s="28" t="n"/>
      <c r="H1168" s="1" t="n"/>
      <c r="I1168">
        <f>IF(OR(B1168="",C1168=""),"",B1168+MOD(C1168,1))</f>
        <v/>
      </c>
      <c r="J1168">
        <f>IF(I1168="","",IF(B1168=Dashboard!$AA$1,I1168,""))</f>
        <v/>
      </c>
    </row>
    <row r="1169">
      <c r="A1169" s="1" t="n"/>
      <c r="B1169" s="26" t="n"/>
      <c r="C1169" s="27" t="n"/>
      <c r="D1169" s="28" t="n"/>
      <c r="E1169" s="29" t="n"/>
      <c r="F1169" s="29" t="n"/>
      <c r="G1169" s="28" t="n"/>
      <c r="H1169" s="1" t="n"/>
      <c r="I1169">
        <f>IF(OR(B1169="",C1169=""),"",B1169+MOD(C1169,1))</f>
        <v/>
      </c>
      <c r="J1169">
        <f>IF(I1169="","",IF(B1169=Dashboard!$AA$1,I1169,""))</f>
        <v/>
      </c>
    </row>
    <row r="1170">
      <c r="A1170" s="1" t="n"/>
      <c r="B1170" s="26" t="n"/>
      <c r="C1170" s="27" t="n"/>
      <c r="D1170" s="28" t="n"/>
      <c r="E1170" s="29" t="n"/>
      <c r="F1170" s="29" t="n"/>
      <c r="G1170" s="28" t="n"/>
      <c r="H1170" s="1" t="n"/>
      <c r="I1170">
        <f>IF(OR(B1170="",C1170=""),"",B1170+MOD(C1170,1))</f>
        <v/>
      </c>
      <c r="J1170">
        <f>IF(I1170="","",IF(B1170=Dashboard!$AA$1,I1170,""))</f>
        <v/>
      </c>
    </row>
    <row r="1171">
      <c r="A1171" s="1" t="n"/>
      <c r="B1171" s="26" t="n"/>
      <c r="C1171" s="27" t="n"/>
      <c r="D1171" s="28" t="n"/>
      <c r="E1171" s="29" t="n"/>
      <c r="F1171" s="29" t="n"/>
      <c r="G1171" s="28" t="n"/>
      <c r="H1171" s="1" t="n"/>
      <c r="I1171">
        <f>IF(OR(B1171="",C1171=""),"",B1171+MOD(C1171,1))</f>
        <v/>
      </c>
      <c r="J1171">
        <f>IF(I1171="","",IF(B1171=Dashboard!$AA$1,I1171,""))</f>
        <v/>
      </c>
    </row>
    <row r="1172">
      <c r="A1172" s="1" t="n"/>
      <c r="B1172" s="26" t="n"/>
      <c r="C1172" s="27" t="n"/>
      <c r="D1172" s="28" t="n"/>
      <c r="E1172" s="29" t="n"/>
      <c r="F1172" s="29" t="n"/>
      <c r="G1172" s="28" t="n"/>
      <c r="H1172" s="1" t="n"/>
      <c r="I1172">
        <f>IF(OR(B1172="",C1172=""),"",B1172+MOD(C1172,1))</f>
        <v/>
      </c>
      <c r="J1172">
        <f>IF(I1172="","",IF(B1172=Dashboard!$AA$1,I1172,""))</f>
        <v/>
      </c>
    </row>
    <row r="1173">
      <c r="A1173" s="1" t="n"/>
      <c r="B1173" s="26" t="n"/>
      <c r="C1173" s="27" t="n"/>
      <c r="D1173" s="28" t="n"/>
      <c r="E1173" s="29" t="n"/>
      <c r="F1173" s="29" t="n"/>
      <c r="G1173" s="28" t="n"/>
      <c r="H1173" s="1" t="n"/>
      <c r="I1173">
        <f>IF(OR(B1173="",C1173=""),"",B1173+MOD(C1173,1))</f>
        <v/>
      </c>
      <c r="J1173">
        <f>IF(I1173="","",IF(B1173=Dashboard!$AA$1,I1173,""))</f>
        <v/>
      </c>
    </row>
    <row r="1174">
      <c r="A1174" s="1" t="n"/>
      <c r="B1174" s="26" t="n"/>
      <c r="C1174" s="27" t="n"/>
      <c r="D1174" s="28" t="n"/>
      <c r="E1174" s="29" t="n"/>
      <c r="F1174" s="29" t="n"/>
      <c r="G1174" s="28" t="n"/>
      <c r="H1174" s="1" t="n"/>
      <c r="I1174">
        <f>IF(OR(B1174="",C1174=""),"",B1174+MOD(C1174,1))</f>
        <v/>
      </c>
      <c r="J1174">
        <f>IF(I1174="","",IF(B1174=Dashboard!$AA$1,I1174,""))</f>
        <v/>
      </c>
    </row>
    <row r="1175">
      <c r="A1175" s="1" t="n"/>
      <c r="B1175" s="26" t="n"/>
      <c r="C1175" s="27" t="n"/>
      <c r="D1175" s="28" t="n"/>
      <c r="E1175" s="29" t="n"/>
      <c r="F1175" s="29" t="n"/>
      <c r="G1175" s="28" t="n"/>
      <c r="H1175" s="1" t="n"/>
      <c r="I1175">
        <f>IF(OR(B1175="",C1175=""),"",B1175+MOD(C1175,1))</f>
        <v/>
      </c>
      <c r="J1175">
        <f>IF(I1175="","",IF(B1175=Dashboard!$AA$1,I1175,""))</f>
        <v/>
      </c>
    </row>
    <row r="1176">
      <c r="A1176" s="1" t="n"/>
      <c r="B1176" s="26" t="n"/>
      <c r="C1176" s="27" t="n"/>
      <c r="D1176" s="28" t="n"/>
      <c r="E1176" s="29" t="n"/>
      <c r="F1176" s="29" t="n"/>
      <c r="G1176" s="28" t="n"/>
      <c r="H1176" s="1" t="n"/>
      <c r="I1176">
        <f>IF(OR(B1176="",C1176=""),"",B1176+MOD(C1176,1))</f>
        <v/>
      </c>
      <c r="J1176">
        <f>IF(I1176="","",IF(B1176=Dashboard!$AA$1,I1176,""))</f>
        <v/>
      </c>
    </row>
    <row r="1177">
      <c r="A1177" s="1" t="n"/>
      <c r="B1177" s="26" t="n"/>
      <c r="C1177" s="27" t="n"/>
      <c r="D1177" s="28" t="n"/>
      <c r="E1177" s="29" t="n"/>
      <c r="F1177" s="29" t="n"/>
      <c r="G1177" s="28" t="n"/>
      <c r="H1177" s="1" t="n"/>
      <c r="I1177">
        <f>IF(OR(B1177="",C1177=""),"",B1177+MOD(C1177,1))</f>
        <v/>
      </c>
      <c r="J1177">
        <f>IF(I1177="","",IF(B1177=Dashboard!$AA$1,I1177,""))</f>
        <v/>
      </c>
    </row>
    <row r="1178">
      <c r="A1178" s="1" t="n"/>
      <c r="B1178" s="26" t="n"/>
      <c r="C1178" s="27" t="n"/>
      <c r="D1178" s="28" t="n"/>
      <c r="E1178" s="29" t="n"/>
      <c r="F1178" s="29" t="n"/>
      <c r="G1178" s="28" t="n"/>
      <c r="H1178" s="1" t="n"/>
      <c r="I1178">
        <f>IF(OR(B1178="",C1178=""),"",B1178+MOD(C1178,1))</f>
        <v/>
      </c>
      <c r="J1178">
        <f>IF(I1178="","",IF(B1178=Dashboard!$AA$1,I1178,""))</f>
        <v/>
      </c>
    </row>
    <row r="1179">
      <c r="A1179" s="1" t="n"/>
      <c r="B1179" s="26" t="n"/>
      <c r="C1179" s="27" t="n"/>
      <c r="D1179" s="28" t="n"/>
      <c r="E1179" s="29" t="n"/>
      <c r="F1179" s="29" t="n"/>
      <c r="G1179" s="28" t="n"/>
      <c r="H1179" s="1" t="n"/>
      <c r="I1179">
        <f>IF(OR(B1179="",C1179=""),"",B1179+MOD(C1179,1))</f>
        <v/>
      </c>
      <c r="J1179">
        <f>IF(I1179="","",IF(B1179=Dashboard!$AA$1,I1179,""))</f>
        <v/>
      </c>
    </row>
    <row r="1180">
      <c r="A1180" s="1" t="n"/>
      <c r="B1180" s="26" t="n"/>
      <c r="C1180" s="27" t="n"/>
      <c r="D1180" s="28" t="n"/>
      <c r="E1180" s="29" t="n"/>
      <c r="F1180" s="29" t="n"/>
      <c r="G1180" s="28" t="n"/>
      <c r="H1180" s="1" t="n"/>
      <c r="I1180">
        <f>IF(OR(B1180="",C1180=""),"",B1180+MOD(C1180,1))</f>
        <v/>
      </c>
      <c r="J1180">
        <f>IF(I1180="","",IF(B1180=Dashboard!$AA$1,I1180,""))</f>
        <v/>
      </c>
    </row>
    <row r="1181">
      <c r="A1181" s="1" t="n"/>
      <c r="B1181" s="26" t="n"/>
      <c r="C1181" s="27" t="n"/>
      <c r="D1181" s="28" t="n"/>
      <c r="E1181" s="29" t="n"/>
      <c r="F1181" s="29" t="n"/>
      <c r="G1181" s="28" t="n"/>
      <c r="H1181" s="1" t="n"/>
      <c r="I1181">
        <f>IF(OR(B1181="",C1181=""),"",B1181+MOD(C1181,1))</f>
        <v/>
      </c>
      <c r="J1181">
        <f>IF(I1181="","",IF(B1181=Dashboard!$AA$1,I1181,""))</f>
        <v/>
      </c>
    </row>
    <row r="1182">
      <c r="A1182" s="1" t="n"/>
      <c r="B1182" s="26" t="n"/>
      <c r="C1182" s="27" t="n"/>
      <c r="D1182" s="28" t="n"/>
      <c r="E1182" s="29" t="n"/>
      <c r="F1182" s="29" t="n"/>
      <c r="G1182" s="28" t="n"/>
      <c r="H1182" s="1" t="n"/>
      <c r="I1182">
        <f>IF(OR(B1182="",C1182=""),"",B1182+MOD(C1182,1))</f>
        <v/>
      </c>
      <c r="J1182">
        <f>IF(I1182="","",IF(B1182=Dashboard!$AA$1,I1182,""))</f>
        <v/>
      </c>
    </row>
    <row r="1183">
      <c r="A1183" s="1" t="n"/>
      <c r="B1183" s="26" t="n"/>
      <c r="C1183" s="27" t="n"/>
      <c r="D1183" s="28" t="n"/>
      <c r="E1183" s="29" t="n"/>
      <c r="F1183" s="29" t="n"/>
      <c r="G1183" s="28" t="n"/>
      <c r="H1183" s="1" t="n"/>
      <c r="I1183">
        <f>IF(OR(B1183="",C1183=""),"",B1183+MOD(C1183,1))</f>
        <v/>
      </c>
      <c r="J1183">
        <f>IF(I1183="","",IF(B1183=Dashboard!$AA$1,I1183,""))</f>
        <v/>
      </c>
    </row>
    <row r="1184">
      <c r="A1184" s="1" t="n"/>
      <c r="B1184" s="26" t="n"/>
      <c r="C1184" s="27" t="n"/>
      <c r="D1184" s="28" t="n"/>
      <c r="E1184" s="29" t="n"/>
      <c r="F1184" s="29" t="n"/>
      <c r="G1184" s="28" t="n"/>
      <c r="H1184" s="1" t="n"/>
      <c r="I1184">
        <f>IF(OR(B1184="",C1184=""),"",B1184+MOD(C1184,1))</f>
        <v/>
      </c>
      <c r="J1184">
        <f>IF(I1184="","",IF(B1184=Dashboard!$AA$1,I1184,""))</f>
        <v/>
      </c>
    </row>
    <row r="1185">
      <c r="A1185" s="1" t="n"/>
      <c r="B1185" s="26" t="n"/>
      <c r="C1185" s="27" t="n"/>
      <c r="D1185" s="28" t="n"/>
      <c r="E1185" s="29" t="n"/>
      <c r="F1185" s="29" t="n"/>
      <c r="G1185" s="28" t="n"/>
      <c r="H1185" s="1" t="n"/>
      <c r="I1185">
        <f>IF(OR(B1185="",C1185=""),"",B1185+MOD(C1185,1))</f>
        <v/>
      </c>
      <c r="J1185">
        <f>IF(I1185="","",IF(B1185=Dashboard!$AA$1,I1185,""))</f>
        <v/>
      </c>
    </row>
    <row r="1186">
      <c r="A1186" s="1" t="n"/>
      <c r="B1186" s="26" t="n"/>
      <c r="C1186" s="27" t="n"/>
      <c r="D1186" s="28" t="n"/>
      <c r="E1186" s="29" t="n"/>
      <c r="F1186" s="29" t="n"/>
      <c r="G1186" s="28" t="n"/>
      <c r="H1186" s="1" t="n"/>
      <c r="I1186">
        <f>IF(OR(B1186="",C1186=""),"",B1186+MOD(C1186,1))</f>
        <v/>
      </c>
      <c r="J1186">
        <f>IF(I1186="","",IF(B1186=Dashboard!$AA$1,I1186,""))</f>
        <v/>
      </c>
    </row>
    <row r="1187">
      <c r="A1187" s="1" t="n"/>
      <c r="B1187" s="26" t="n"/>
      <c r="C1187" s="27" t="n"/>
      <c r="D1187" s="28" t="n"/>
      <c r="E1187" s="29" t="n"/>
      <c r="F1187" s="29" t="n"/>
      <c r="G1187" s="28" t="n"/>
      <c r="H1187" s="1" t="n"/>
      <c r="I1187">
        <f>IF(OR(B1187="",C1187=""),"",B1187+MOD(C1187,1))</f>
        <v/>
      </c>
      <c r="J1187">
        <f>IF(I1187="","",IF(B1187=Dashboard!$AA$1,I1187,""))</f>
        <v/>
      </c>
    </row>
    <row r="1188">
      <c r="A1188" s="1" t="n"/>
      <c r="B1188" s="26" t="n"/>
      <c r="C1188" s="27" t="n"/>
      <c r="D1188" s="28" t="n"/>
      <c r="E1188" s="29" t="n"/>
      <c r="F1188" s="29" t="n"/>
      <c r="G1188" s="28" t="n"/>
      <c r="H1188" s="1" t="n"/>
      <c r="I1188">
        <f>IF(OR(B1188="",C1188=""),"",B1188+MOD(C1188,1))</f>
        <v/>
      </c>
      <c r="J1188">
        <f>IF(I1188="","",IF(B1188=Dashboard!$AA$1,I1188,""))</f>
        <v/>
      </c>
    </row>
    <row r="1189">
      <c r="A1189" s="1" t="n"/>
      <c r="B1189" s="26" t="n"/>
      <c r="C1189" s="27" t="n"/>
      <c r="D1189" s="28" t="n"/>
      <c r="E1189" s="29" t="n"/>
      <c r="F1189" s="29" t="n"/>
      <c r="G1189" s="28" t="n"/>
      <c r="H1189" s="1" t="n"/>
      <c r="I1189">
        <f>IF(OR(B1189="",C1189=""),"",B1189+MOD(C1189,1))</f>
        <v/>
      </c>
      <c r="J1189">
        <f>IF(I1189="","",IF(B1189=Dashboard!$AA$1,I1189,""))</f>
        <v/>
      </c>
    </row>
    <row r="1190">
      <c r="A1190" s="1" t="n"/>
      <c r="B1190" s="26" t="n"/>
      <c r="C1190" s="27" t="n"/>
      <c r="D1190" s="28" t="n"/>
      <c r="E1190" s="29" t="n"/>
      <c r="F1190" s="29" t="n"/>
      <c r="G1190" s="28" t="n"/>
      <c r="H1190" s="1" t="n"/>
      <c r="I1190">
        <f>IF(OR(B1190="",C1190=""),"",B1190+MOD(C1190,1))</f>
        <v/>
      </c>
      <c r="J1190">
        <f>IF(I1190="","",IF(B1190=Dashboard!$AA$1,I1190,""))</f>
        <v/>
      </c>
    </row>
    <row r="1191">
      <c r="A1191" s="1" t="n"/>
      <c r="B1191" s="26" t="n"/>
      <c r="C1191" s="27" t="n"/>
      <c r="D1191" s="28" t="n"/>
      <c r="E1191" s="29" t="n"/>
      <c r="F1191" s="29" t="n"/>
      <c r="G1191" s="28" t="n"/>
      <c r="H1191" s="1" t="n"/>
      <c r="I1191">
        <f>IF(OR(B1191="",C1191=""),"",B1191+MOD(C1191,1))</f>
        <v/>
      </c>
      <c r="J1191">
        <f>IF(I1191="","",IF(B1191=Dashboard!$AA$1,I1191,""))</f>
        <v/>
      </c>
    </row>
    <row r="1192">
      <c r="A1192" s="1" t="n"/>
      <c r="B1192" s="26" t="n"/>
      <c r="C1192" s="27" t="n"/>
      <c r="D1192" s="28" t="n"/>
      <c r="E1192" s="29" t="n"/>
      <c r="F1192" s="29" t="n"/>
      <c r="G1192" s="28" t="n"/>
      <c r="H1192" s="1" t="n"/>
      <c r="I1192">
        <f>IF(OR(B1192="",C1192=""),"",B1192+MOD(C1192,1))</f>
        <v/>
      </c>
      <c r="J1192">
        <f>IF(I1192="","",IF(B1192=Dashboard!$AA$1,I1192,""))</f>
        <v/>
      </c>
    </row>
    <row r="1193">
      <c r="A1193" s="1" t="n"/>
      <c r="B1193" s="26" t="n"/>
      <c r="C1193" s="27" t="n"/>
      <c r="D1193" s="28" t="n"/>
      <c r="E1193" s="29" t="n"/>
      <c r="F1193" s="29" t="n"/>
      <c r="G1193" s="28" t="n"/>
      <c r="H1193" s="1" t="n"/>
      <c r="I1193">
        <f>IF(OR(B1193="",C1193=""),"",B1193+MOD(C1193,1))</f>
        <v/>
      </c>
      <c r="J1193">
        <f>IF(I1193="","",IF(B1193=Dashboard!$AA$1,I1193,""))</f>
        <v/>
      </c>
    </row>
    <row r="1194">
      <c r="A1194" s="1" t="n"/>
      <c r="B1194" s="26" t="n"/>
      <c r="C1194" s="27" t="n"/>
      <c r="D1194" s="28" t="n"/>
      <c r="E1194" s="29" t="n"/>
      <c r="F1194" s="29" t="n"/>
      <c r="G1194" s="28" t="n"/>
      <c r="H1194" s="1" t="n"/>
      <c r="I1194">
        <f>IF(OR(B1194="",C1194=""),"",B1194+MOD(C1194,1))</f>
        <v/>
      </c>
      <c r="J1194">
        <f>IF(I1194="","",IF(B1194=Dashboard!$AA$1,I1194,""))</f>
        <v/>
      </c>
    </row>
    <row r="1195">
      <c r="A1195" s="1" t="n"/>
      <c r="B1195" s="26" t="n"/>
      <c r="C1195" s="27" t="n"/>
      <c r="D1195" s="28" t="n"/>
      <c r="E1195" s="29" t="n"/>
      <c r="F1195" s="29" t="n"/>
      <c r="G1195" s="28" t="n"/>
      <c r="H1195" s="1" t="n"/>
      <c r="I1195">
        <f>IF(OR(B1195="",C1195=""),"",B1195+MOD(C1195,1))</f>
        <v/>
      </c>
      <c r="J1195">
        <f>IF(I1195="","",IF(B1195=Dashboard!$AA$1,I1195,""))</f>
        <v/>
      </c>
    </row>
    <row r="1196">
      <c r="A1196" s="1" t="n"/>
      <c r="B1196" s="26" t="n"/>
      <c r="C1196" s="27" t="n"/>
      <c r="D1196" s="28" t="n"/>
      <c r="E1196" s="29" t="n"/>
      <c r="F1196" s="29" t="n"/>
      <c r="G1196" s="28" t="n"/>
      <c r="H1196" s="1" t="n"/>
      <c r="I1196">
        <f>IF(OR(B1196="",C1196=""),"",B1196+MOD(C1196,1))</f>
        <v/>
      </c>
      <c r="J1196">
        <f>IF(I1196="","",IF(B1196=Dashboard!$AA$1,I1196,""))</f>
        <v/>
      </c>
    </row>
    <row r="1197">
      <c r="A1197" s="1" t="n"/>
      <c r="B1197" s="26" t="n"/>
      <c r="C1197" s="27" t="n"/>
      <c r="D1197" s="28" t="n"/>
      <c r="E1197" s="29" t="n"/>
      <c r="F1197" s="29" t="n"/>
      <c r="G1197" s="28" t="n"/>
      <c r="H1197" s="1" t="n"/>
      <c r="I1197">
        <f>IF(OR(B1197="",C1197=""),"",B1197+MOD(C1197,1))</f>
        <v/>
      </c>
      <c r="J1197">
        <f>IF(I1197="","",IF(B1197=Dashboard!$AA$1,I1197,""))</f>
        <v/>
      </c>
    </row>
    <row r="1198">
      <c r="A1198" s="1" t="n"/>
      <c r="B1198" s="26" t="n"/>
      <c r="C1198" s="27" t="n"/>
      <c r="D1198" s="28" t="n"/>
      <c r="E1198" s="29" t="n"/>
      <c r="F1198" s="29" t="n"/>
      <c r="G1198" s="28" t="n"/>
      <c r="H1198" s="1" t="n"/>
      <c r="I1198">
        <f>IF(OR(B1198="",C1198=""),"",B1198+MOD(C1198,1))</f>
        <v/>
      </c>
      <c r="J1198">
        <f>IF(I1198="","",IF(B1198=Dashboard!$AA$1,I1198,""))</f>
        <v/>
      </c>
    </row>
    <row r="1199">
      <c r="A1199" s="1" t="n"/>
      <c r="B1199" s="26" t="n"/>
      <c r="C1199" s="27" t="n"/>
      <c r="D1199" s="28" t="n"/>
      <c r="E1199" s="29" t="n"/>
      <c r="F1199" s="29" t="n"/>
      <c r="G1199" s="28" t="n"/>
      <c r="H1199" s="1" t="n"/>
      <c r="I1199">
        <f>IF(OR(B1199="",C1199=""),"",B1199+MOD(C1199,1))</f>
        <v/>
      </c>
      <c r="J1199">
        <f>IF(I1199="","",IF(B1199=Dashboard!$AA$1,I1199,""))</f>
        <v/>
      </c>
    </row>
    <row r="1200">
      <c r="A1200" s="1" t="n"/>
      <c r="B1200" s="26" t="n"/>
      <c r="C1200" s="27" t="n"/>
      <c r="D1200" s="28" t="n"/>
      <c r="E1200" s="29" t="n"/>
      <c r="F1200" s="29" t="n"/>
      <c r="G1200" s="28" t="n"/>
      <c r="H1200" s="1" t="n"/>
      <c r="I1200">
        <f>IF(OR(B1200="",C1200=""),"",B1200+MOD(C1200,1))</f>
        <v/>
      </c>
      <c r="J1200">
        <f>IF(I1200="","",IF(B1200=Dashboard!$AA$1,I1200,""))</f>
        <v/>
      </c>
    </row>
    <row r="1201">
      <c r="A1201" s="1" t="n"/>
      <c r="B1201" s="26" t="n"/>
      <c r="C1201" s="27" t="n"/>
      <c r="D1201" s="28" t="n"/>
      <c r="E1201" s="29" t="n"/>
      <c r="F1201" s="29" t="n"/>
      <c r="G1201" s="28" t="n"/>
      <c r="H1201" s="1" t="n"/>
      <c r="I1201">
        <f>IF(OR(B1201="",C1201=""),"",B1201+MOD(C1201,1))</f>
        <v/>
      </c>
      <c r="J1201">
        <f>IF(I1201="","",IF(B1201=Dashboard!$AA$1,I1201,""))</f>
        <v/>
      </c>
    </row>
    <row r="1202">
      <c r="A1202" s="1" t="n"/>
      <c r="B1202" s="26" t="n"/>
      <c r="C1202" s="27" t="n"/>
      <c r="D1202" s="28" t="n"/>
      <c r="E1202" s="29" t="n"/>
      <c r="F1202" s="29" t="n"/>
      <c r="G1202" s="28" t="n"/>
      <c r="H1202" s="1" t="n"/>
      <c r="I1202">
        <f>IF(OR(B1202="",C1202=""),"",B1202+MOD(C1202,1))</f>
        <v/>
      </c>
      <c r="J1202">
        <f>IF(I1202="","",IF(B1202=Dashboard!$AA$1,I1202,""))</f>
        <v/>
      </c>
    </row>
    <row r="1203">
      <c r="A1203" s="1" t="n"/>
      <c r="B1203" s="26" t="n"/>
      <c r="C1203" s="27" t="n"/>
      <c r="D1203" s="28" t="n"/>
      <c r="E1203" s="29" t="n"/>
      <c r="F1203" s="29" t="n"/>
      <c r="G1203" s="28" t="n"/>
      <c r="H1203" s="1" t="n"/>
      <c r="I1203">
        <f>IF(OR(B1203="",C1203=""),"",B1203+MOD(C1203,1))</f>
        <v/>
      </c>
      <c r="J1203">
        <f>IF(I1203="","",IF(B1203=Dashboard!$AA$1,I1203,""))</f>
        <v/>
      </c>
    </row>
    <row r="1204">
      <c r="A1204" s="1" t="n"/>
      <c r="B1204" s="26" t="n"/>
      <c r="C1204" s="27" t="n"/>
      <c r="D1204" s="28" t="n"/>
      <c r="E1204" s="29" t="n"/>
      <c r="F1204" s="29" t="n"/>
      <c r="G1204" s="28" t="n"/>
      <c r="H1204" s="1" t="n"/>
      <c r="I1204">
        <f>IF(OR(B1204="",C1204=""),"",B1204+MOD(C1204,1))</f>
        <v/>
      </c>
      <c r="J1204">
        <f>IF(I1204="","",IF(B1204=Dashboard!$AA$1,I1204,""))</f>
        <v/>
      </c>
    </row>
    <row r="1205">
      <c r="A1205" s="1" t="n"/>
      <c r="B1205" s="26" t="n"/>
      <c r="C1205" s="27" t="n"/>
      <c r="D1205" s="28" t="n"/>
      <c r="E1205" s="29" t="n"/>
      <c r="F1205" s="29" t="n"/>
      <c r="G1205" s="28" t="n"/>
      <c r="H1205" s="1" t="n"/>
      <c r="I1205">
        <f>IF(OR(B1205="",C1205=""),"",B1205+MOD(C1205,1))</f>
        <v/>
      </c>
      <c r="J1205">
        <f>IF(I1205="","",IF(B1205=Dashboard!$AA$1,I1205,""))</f>
        <v/>
      </c>
    </row>
    <row r="1206">
      <c r="A1206" s="1" t="n"/>
      <c r="B1206" s="26" t="n"/>
      <c r="C1206" s="27" t="n"/>
      <c r="D1206" s="28" t="n"/>
      <c r="E1206" s="29" t="n"/>
      <c r="F1206" s="29" t="n"/>
      <c r="G1206" s="28" t="n"/>
      <c r="H1206" s="1" t="n"/>
      <c r="I1206">
        <f>IF(OR(B1206="",C1206=""),"",B1206+MOD(C1206,1))</f>
        <v/>
      </c>
      <c r="J1206">
        <f>IF(I1206="","",IF(B1206=Dashboard!$AA$1,I1206,""))</f>
        <v/>
      </c>
    </row>
    <row r="1207">
      <c r="A1207" s="1" t="n"/>
      <c r="B1207" s="26" t="n"/>
      <c r="C1207" s="27" t="n"/>
      <c r="D1207" s="28" t="n"/>
      <c r="E1207" s="29" t="n"/>
      <c r="F1207" s="29" t="n"/>
      <c r="G1207" s="28" t="n"/>
      <c r="H1207" s="1" t="n"/>
      <c r="I1207">
        <f>IF(OR(B1207="",C1207=""),"",B1207+MOD(C1207,1))</f>
        <v/>
      </c>
      <c r="J1207">
        <f>IF(I1207="","",IF(B1207=Dashboard!$AA$1,I1207,""))</f>
        <v/>
      </c>
    </row>
    <row r="1208">
      <c r="A1208" s="1" t="n"/>
      <c r="B1208" s="26" t="n"/>
      <c r="C1208" s="27" t="n"/>
      <c r="D1208" s="28" t="n"/>
      <c r="E1208" s="29" t="n"/>
      <c r="F1208" s="29" t="n"/>
      <c r="G1208" s="28" t="n"/>
      <c r="H1208" s="1" t="n"/>
      <c r="I1208">
        <f>IF(OR(B1208="",C1208=""),"",B1208+MOD(C1208,1))</f>
        <v/>
      </c>
      <c r="J1208">
        <f>IF(I1208="","",IF(B1208=Dashboard!$AA$1,I1208,""))</f>
        <v/>
      </c>
    </row>
    <row r="1209">
      <c r="A1209" s="1" t="n"/>
      <c r="B1209" s="26" t="n"/>
      <c r="C1209" s="27" t="n"/>
      <c r="D1209" s="28" t="n"/>
      <c r="E1209" s="29" t="n"/>
      <c r="F1209" s="29" t="n"/>
      <c r="G1209" s="28" t="n"/>
      <c r="H1209" s="1" t="n"/>
      <c r="I1209">
        <f>IF(OR(B1209="",C1209=""),"",B1209+MOD(C1209,1))</f>
        <v/>
      </c>
      <c r="J1209">
        <f>IF(I1209="","",IF(B1209=Dashboard!$AA$1,I1209,""))</f>
        <v/>
      </c>
    </row>
    <row r="1210">
      <c r="A1210" s="1" t="n"/>
      <c r="B1210" s="26" t="n"/>
      <c r="C1210" s="27" t="n"/>
      <c r="D1210" s="28" t="n"/>
      <c r="E1210" s="29" t="n"/>
      <c r="F1210" s="29" t="n"/>
      <c r="G1210" s="28" t="n"/>
      <c r="H1210" s="1" t="n"/>
      <c r="I1210">
        <f>IF(OR(B1210="",C1210=""),"",B1210+MOD(C1210,1))</f>
        <v/>
      </c>
      <c r="J1210">
        <f>IF(I1210="","",IF(B1210=Dashboard!$AA$1,I1210,""))</f>
        <v/>
      </c>
    </row>
    <row r="1211">
      <c r="A1211" s="1" t="n"/>
      <c r="B1211" s="26" t="n"/>
      <c r="C1211" s="27" t="n"/>
      <c r="D1211" s="28" t="n"/>
      <c r="E1211" s="29" t="n"/>
      <c r="F1211" s="29" t="n"/>
      <c r="G1211" s="28" t="n"/>
      <c r="H1211" s="1" t="n"/>
      <c r="I1211">
        <f>IF(OR(B1211="",C1211=""),"",B1211+MOD(C1211,1))</f>
        <v/>
      </c>
      <c r="J1211">
        <f>IF(I1211="","",IF(B1211=Dashboard!$AA$1,I1211,""))</f>
        <v/>
      </c>
    </row>
    <row r="1212">
      <c r="A1212" s="1" t="n"/>
      <c r="B1212" s="26" t="n"/>
      <c r="C1212" s="27" t="n"/>
      <c r="D1212" s="28" t="n"/>
      <c r="E1212" s="29" t="n"/>
      <c r="F1212" s="29" t="n"/>
      <c r="G1212" s="28" t="n"/>
      <c r="H1212" s="1" t="n"/>
      <c r="I1212">
        <f>IF(OR(B1212="",C1212=""),"",B1212+MOD(C1212,1))</f>
        <v/>
      </c>
      <c r="J1212">
        <f>IF(I1212="","",IF(B1212=Dashboard!$AA$1,I1212,""))</f>
        <v/>
      </c>
    </row>
    <row r="1213">
      <c r="A1213" s="1" t="n"/>
      <c r="B1213" s="26" t="n"/>
      <c r="C1213" s="27" t="n"/>
      <c r="D1213" s="28" t="n"/>
      <c r="E1213" s="29" t="n"/>
      <c r="F1213" s="29" t="n"/>
      <c r="G1213" s="28" t="n"/>
      <c r="H1213" s="1" t="n"/>
      <c r="I1213">
        <f>IF(OR(B1213="",C1213=""),"",B1213+MOD(C1213,1))</f>
        <v/>
      </c>
      <c r="J1213">
        <f>IF(I1213="","",IF(B1213=Dashboard!$AA$1,I1213,""))</f>
        <v/>
      </c>
    </row>
    <row r="1214">
      <c r="A1214" s="1" t="n"/>
      <c r="B1214" s="26" t="n"/>
      <c r="C1214" s="27" t="n"/>
      <c r="D1214" s="28" t="n"/>
      <c r="E1214" s="29" t="n"/>
      <c r="F1214" s="29" t="n"/>
      <c r="G1214" s="28" t="n"/>
      <c r="H1214" s="1" t="n"/>
      <c r="I1214">
        <f>IF(OR(B1214="",C1214=""),"",B1214+MOD(C1214,1))</f>
        <v/>
      </c>
      <c r="J1214">
        <f>IF(I1214="","",IF(B1214=Dashboard!$AA$1,I1214,""))</f>
        <v/>
      </c>
    </row>
    <row r="1215">
      <c r="A1215" s="1" t="n"/>
      <c r="B1215" s="26" t="n"/>
      <c r="C1215" s="27" t="n"/>
      <c r="D1215" s="28" t="n"/>
      <c r="E1215" s="29" t="n"/>
      <c r="F1215" s="29" t="n"/>
      <c r="G1215" s="28" t="n"/>
      <c r="H1215" s="1" t="n"/>
      <c r="I1215">
        <f>IF(OR(B1215="",C1215=""),"",B1215+MOD(C1215,1))</f>
        <v/>
      </c>
      <c r="J1215">
        <f>IF(I1215="","",IF(B1215=Dashboard!$AA$1,I1215,""))</f>
        <v/>
      </c>
    </row>
    <row r="1216">
      <c r="A1216" s="1" t="n"/>
      <c r="B1216" s="26" t="n"/>
      <c r="C1216" s="27" t="n"/>
      <c r="D1216" s="28" t="n"/>
      <c r="E1216" s="29" t="n"/>
      <c r="F1216" s="29" t="n"/>
      <c r="G1216" s="28" t="n"/>
      <c r="H1216" s="1" t="n"/>
      <c r="I1216">
        <f>IF(OR(B1216="",C1216=""),"",B1216+MOD(C1216,1))</f>
        <v/>
      </c>
      <c r="J1216">
        <f>IF(I1216="","",IF(B1216=Dashboard!$AA$1,I1216,""))</f>
        <v/>
      </c>
    </row>
    <row r="1217">
      <c r="A1217" s="1" t="n"/>
      <c r="B1217" s="26" t="n"/>
      <c r="C1217" s="27" t="n"/>
      <c r="D1217" s="28" t="n"/>
      <c r="E1217" s="29" t="n"/>
      <c r="F1217" s="29" t="n"/>
      <c r="G1217" s="28" t="n"/>
      <c r="H1217" s="1" t="n"/>
      <c r="I1217">
        <f>IF(OR(B1217="",C1217=""),"",B1217+MOD(C1217,1))</f>
        <v/>
      </c>
      <c r="J1217">
        <f>IF(I1217="","",IF(B1217=Dashboard!$AA$1,I1217,""))</f>
        <v/>
      </c>
    </row>
    <row r="1218">
      <c r="A1218" s="1" t="n"/>
      <c r="B1218" s="26" t="n"/>
      <c r="C1218" s="27" t="n"/>
      <c r="D1218" s="28" t="n"/>
      <c r="E1218" s="29" t="n"/>
      <c r="F1218" s="29" t="n"/>
      <c r="G1218" s="28" t="n"/>
      <c r="H1218" s="1" t="n"/>
      <c r="I1218">
        <f>IF(OR(B1218="",C1218=""),"",B1218+MOD(C1218,1))</f>
        <v/>
      </c>
      <c r="J1218">
        <f>IF(I1218="","",IF(B1218=Dashboard!$AA$1,I1218,""))</f>
        <v/>
      </c>
    </row>
    <row r="1219">
      <c r="A1219" s="1" t="n"/>
      <c r="B1219" s="26" t="n"/>
      <c r="C1219" s="27" t="n"/>
      <c r="D1219" s="28" t="n"/>
      <c r="E1219" s="29" t="n"/>
      <c r="F1219" s="29" t="n"/>
      <c r="G1219" s="28" t="n"/>
      <c r="H1219" s="1" t="n"/>
      <c r="I1219">
        <f>IF(OR(B1219="",C1219=""),"",B1219+MOD(C1219,1))</f>
        <v/>
      </c>
      <c r="J1219">
        <f>IF(I1219="","",IF(B1219=Dashboard!$AA$1,I1219,""))</f>
        <v/>
      </c>
    </row>
    <row r="1220">
      <c r="A1220" s="1" t="n"/>
      <c r="B1220" s="26" t="n"/>
      <c r="C1220" s="27" t="n"/>
      <c r="D1220" s="28" t="n"/>
      <c r="E1220" s="29" t="n"/>
      <c r="F1220" s="29" t="n"/>
      <c r="G1220" s="28" t="n"/>
      <c r="H1220" s="1" t="n"/>
      <c r="I1220">
        <f>IF(OR(B1220="",C1220=""),"",B1220+MOD(C1220,1))</f>
        <v/>
      </c>
      <c r="J1220">
        <f>IF(I1220="","",IF(B1220=Dashboard!$AA$1,I1220,""))</f>
        <v/>
      </c>
    </row>
    <row r="1221">
      <c r="A1221" s="1" t="n"/>
      <c r="B1221" s="26" t="n"/>
      <c r="C1221" s="27" t="n"/>
      <c r="D1221" s="28" t="n"/>
      <c r="E1221" s="29" t="n"/>
      <c r="F1221" s="29" t="n"/>
      <c r="G1221" s="28" t="n"/>
      <c r="H1221" s="1" t="n"/>
      <c r="I1221">
        <f>IF(OR(B1221="",C1221=""),"",B1221+MOD(C1221,1))</f>
        <v/>
      </c>
      <c r="J1221">
        <f>IF(I1221="","",IF(B1221=Dashboard!$AA$1,I1221,""))</f>
        <v/>
      </c>
    </row>
    <row r="1222">
      <c r="A1222" s="1" t="n"/>
      <c r="B1222" s="26" t="n"/>
      <c r="C1222" s="27" t="n"/>
      <c r="D1222" s="28" t="n"/>
      <c r="E1222" s="29" t="n"/>
      <c r="F1222" s="29" t="n"/>
      <c r="G1222" s="28" t="n"/>
      <c r="H1222" s="1" t="n"/>
      <c r="I1222">
        <f>IF(OR(B1222="",C1222=""),"",B1222+MOD(C1222,1))</f>
        <v/>
      </c>
      <c r="J1222">
        <f>IF(I1222="","",IF(B1222=Dashboard!$AA$1,I1222,""))</f>
        <v/>
      </c>
    </row>
    <row r="1223">
      <c r="A1223" s="1" t="n"/>
      <c r="B1223" s="26" t="n"/>
      <c r="C1223" s="27" t="n"/>
      <c r="D1223" s="28" t="n"/>
      <c r="E1223" s="29" t="n"/>
      <c r="F1223" s="29" t="n"/>
      <c r="G1223" s="28" t="n"/>
      <c r="H1223" s="1" t="n"/>
      <c r="I1223">
        <f>IF(OR(B1223="",C1223=""),"",B1223+MOD(C1223,1))</f>
        <v/>
      </c>
      <c r="J1223">
        <f>IF(I1223="","",IF(B1223=Dashboard!$AA$1,I1223,""))</f>
        <v/>
      </c>
    </row>
    <row r="1224">
      <c r="A1224" s="1" t="n"/>
      <c r="B1224" s="26" t="n"/>
      <c r="C1224" s="27" t="n"/>
      <c r="D1224" s="28" t="n"/>
      <c r="E1224" s="29" t="n"/>
      <c r="F1224" s="29" t="n"/>
      <c r="G1224" s="28" t="n"/>
      <c r="H1224" s="1" t="n"/>
      <c r="I1224">
        <f>IF(OR(B1224="",C1224=""),"",B1224+MOD(C1224,1))</f>
        <v/>
      </c>
      <c r="J1224">
        <f>IF(I1224="","",IF(B1224=Dashboard!$AA$1,I1224,""))</f>
        <v/>
      </c>
    </row>
    <row r="1225">
      <c r="A1225" s="1" t="n"/>
      <c r="B1225" s="26" t="n"/>
      <c r="C1225" s="27" t="n"/>
      <c r="D1225" s="28" t="n"/>
      <c r="E1225" s="29" t="n"/>
      <c r="F1225" s="29" t="n"/>
      <c r="G1225" s="28" t="n"/>
      <c r="H1225" s="1" t="n"/>
      <c r="I1225">
        <f>IF(OR(B1225="",C1225=""),"",B1225+MOD(C1225,1))</f>
        <v/>
      </c>
      <c r="J1225">
        <f>IF(I1225="","",IF(B1225=Dashboard!$AA$1,I1225,""))</f>
        <v/>
      </c>
    </row>
    <row r="1226">
      <c r="A1226" s="1" t="n"/>
      <c r="B1226" s="26" t="n"/>
      <c r="C1226" s="27" t="n"/>
      <c r="D1226" s="28" t="n"/>
      <c r="E1226" s="29" t="n"/>
      <c r="F1226" s="29" t="n"/>
      <c r="G1226" s="28" t="n"/>
      <c r="H1226" s="1" t="n"/>
      <c r="I1226">
        <f>IF(OR(B1226="",C1226=""),"",B1226+MOD(C1226,1))</f>
        <v/>
      </c>
      <c r="J1226">
        <f>IF(I1226="","",IF(B1226=Dashboard!$AA$1,I1226,""))</f>
        <v/>
      </c>
    </row>
    <row r="1227">
      <c r="A1227" s="1" t="n"/>
      <c r="B1227" s="26" t="n"/>
      <c r="C1227" s="27" t="n"/>
      <c r="D1227" s="28" t="n"/>
      <c r="E1227" s="29" t="n"/>
      <c r="F1227" s="29" t="n"/>
      <c r="G1227" s="28" t="n"/>
      <c r="H1227" s="1" t="n"/>
      <c r="I1227">
        <f>IF(OR(B1227="",C1227=""),"",B1227+MOD(C1227,1))</f>
        <v/>
      </c>
      <c r="J1227">
        <f>IF(I1227="","",IF(B1227=Dashboard!$AA$1,I1227,""))</f>
        <v/>
      </c>
    </row>
    <row r="1228">
      <c r="A1228" s="1" t="n"/>
      <c r="B1228" s="26" t="n"/>
      <c r="C1228" s="27" t="n"/>
      <c r="D1228" s="28" t="n"/>
      <c r="E1228" s="29" t="n"/>
      <c r="F1228" s="29" t="n"/>
      <c r="G1228" s="28" t="n"/>
      <c r="H1228" s="1" t="n"/>
      <c r="I1228">
        <f>IF(OR(B1228="",C1228=""),"",B1228+MOD(C1228,1))</f>
        <v/>
      </c>
      <c r="J1228">
        <f>IF(I1228="","",IF(B1228=Dashboard!$AA$1,I1228,""))</f>
        <v/>
      </c>
    </row>
    <row r="1229">
      <c r="A1229" s="1" t="n"/>
      <c r="B1229" s="26" t="n"/>
      <c r="C1229" s="27" t="n"/>
      <c r="D1229" s="28" t="n"/>
      <c r="E1229" s="29" t="n"/>
      <c r="F1229" s="29" t="n"/>
      <c r="G1229" s="28" t="n"/>
      <c r="H1229" s="1" t="n"/>
      <c r="I1229">
        <f>IF(OR(B1229="",C1229=""),"",B1229+MOD(C1229,1))</f>
        <v/>
      </c>
      <c r="J1229">
        <f>IF(I1229="","",IF(B1229=Dashboard!$AA$1,I1229,""))</f>
        <v/>
      </c>
    </row>
    <row r="1230">
      <c r="A1230" s="1" t="n"/>
      <c r="B1230" s="26" t="n"/>
      <c r="C1230" s="27" t="n"/>
      <c r="D1230" s="28" t="n"/>
      <c r="E1230" s="29" t="n"/>
      <c r="F1230" s="29" t="n"/>
      <c r="G1230" s="28" t="n"/>
      <c r="H1230" s="1" t="n"/>
      <c r="I1230">
        <f>IF(OR(B1230="",C1230=""),"",B1230+MOD(C1230,1))</f>
        <v/>
      </c>
      <c r="J1230">
        <f>IF(I1230="","",IF(B1230=Dashboard!$AA$1,I1230,""))</f>
        <v/>
      </c>
    </row>
    <row r="1231">
      <c r="A1231" s="1" t="n"/>
      <c r="B1231" s="26" t="n"/>
      <c r="C1231" s="27" t="n"/>
      <c r="D1231" s="28" t="n"/>
      <c r="E1231" s="29" t="n"/>
      <c r="F1231" s="29" t="n"/>
      <c r="G1231" s="28" t="n"/>
      <c r="H1231" s="1" t="n"/>
      <c r="I1231">
        <f>IF(OR(B1231="",C1231=""),"",B1231+MOD(C1231,1))</f>
        <v/>
      </c>
      <c r="J1231">
        <f>IF(I1231="","",IF(B1231=Dashboard!$AA$1,I1231,""))</f>
        <v/>
      </c>
    </row>
    <row r="1232">
      <c r="A1232" s="1" t="n"/>
      <c r="B1232" s="26" t="n"/>
      <c r="C1232" s="27" t="n"/>
      <c r="D1232" s="28" t="n"/>
      <c r="E1232" s="29" t="n"/>
      <c r="F1232" s="29" t="n"/>
      <c r="G1232" s="28" t="n"/>
      <c r="H1232" s="1" t="n"/>
      <c r="I1232">
        <f>IF(OR(B1232="",C1232=""),"",B1232+MOD(C1232,1))</f>
        <v/>
      </c>
      <c r="J1232">
        <f>IF(I1232="","",IF(B1232=Dashboard!$AA$1,I1232,""))</f>
        <v/>
      </c>
    </row>
    <row r="1233">
      <c r="A1233" s="1" t="n"/>
      <c r="B1233" s="26" t="n"/>
      <c r="C1233" s="27" t="n"/>
      <c r="D1233" s="28" t="n"/>
      <c r="E1233" s="29" t="n"/>
      <c r="F1233" s="29" t="n"/>
      <c r="G1233" s="28" t="n"/>
      <c r="H1233" s="1" t="n"/>
      <c r="I1233">
        <f>IF(OR(B1233="",C1233=""),"",B1233+MOD(C1233,1))</f>
        <v/>
      </c>
      <c r="J1233">
        <f>IF(I1233="","",IF(B1233=Dashboard!$AA$1,I1233,""))</f>
        <v/>
      </c>
    </row>
    <row r="1234">
      <c r="A1234" s="1" t="n"/>
      <c r="B1234" s="26" t="n"/>
      <c r="C1234" s="27" t="n"/>
      <c r="D1234" s="28" t="n"/>
      <c r="E1234" s="29" t="n"/>
      <c r="F1234" s="29" t="n"/>
      <c r="G1234" s="28" t="n"/>
      <c r="H1234" s="1" t="n"/>
      <c r="I1234">
        <f>IF(OR(B1234="",C1234=""),"",B1234+MOD(C1234,1))</f>
        <v/>
      </c>
      <c r="J1234">
        <f>IF(I1234="","",IF(B1234=Dashboard!$AA$1,I1234,""))</f>
        <v/>
      </c>
    </row>
    <row r="1235">
      <c r="A1235" s="1" t="n"/>
      <c r="B1235" s="26" t="n"/>
      <c r="C1235" s="27" t="n"/>
      <c r="D1235" s="28" t="n"/>
      <c r="E1235" s="29" t="n"/>
      <c r="F1235" s="29" t="n"/>
      <c r="G1235" s="28" t="n"/>
      <c r="H1235" s="1" t="n"/>
      <c r="I1235">
        <f>IF(OR(B1235="",C1235=""),"",B1235+MOD(C1235,1))</f>
        <v/>
      </c>
      <c r="J1235">
        <f>IF(I1235="","",IF(B1235=Dashboard!$AA$1,I1235,""))</f>
        <v/>
      </c>
    </row>
    <row r="1236">
      <c r="A1236" s="1" t="n"/>
      <c r="B1236" s="26" t="n"/>
      <c r="C1236" s="27" t="n"/>
      <c r="D1236" s="28" t="n"/>
      <c r="E1236" s="29" t="n"/>
      <c r="F1236" s="29" t="n"/>
      <c r="G1236" s="28" t="n"/>
      <c r="H1236" s="1" t="n"/>
      <c r="I1236">
        <f>IF(OR(B1236="",C1236=""),"",B1236+MOD(C1236,1))</f>
        <v/>
      </c>
      <c r="J1236">
        <f>IF(I1236="","",IF(B1236=Dashboard!$AA$1,I1236,""))</f>
        <v/>
      </c>
    </row>
    <row r="1237">
      <c r="A1237" s="1" t="n"/>
      <c r="B1237" s="26" t="n"/>
      <c r="C1237" s="27" t="n"/>
      <c r="D1237" s="28" t="n"/>
      <c r="E1237" s="29" t="n"/>
      <c r="F1237" s="29" t="n"/>
      <c r="G1237" s="28" t="n"/>
      <c r="H1237" s="1" t="n"/>
      <c r="I1237">
        <f>IF(OR(B1237="",C1237=""),"",B1237+MOD(C1237,1))</f>
        <v/>
      </c>
      <c r="J1237">
        <f>IF(I1237="","",IF(B1237=Dashboard!$AA$1,I1237,""))</f>
        <v/>
      </c>
    </row>
    <row r="1238">
      <c r="A1238" s="1" t="n"/>
      <c r="B1238" s="26" t="n"/>
      <c r="C1238" s="27" t="n"/>
      <c r="D1238" s="28" t="n"/>
      <c r="E1238" s="29" t="n"/>
      <c r="F1238" s="29" t="n"/>
      <c r="G1238" s="28" t="n"/>
      <c r="H1238" s="1" t="n"/>
      <c r="I1238">
        <f>IF(OR(B1238="",C1238=""),"",B1238+MOD(C1238,1))</f>
        <v/>
      </c>
      <c r="J1238">
        <f>IF(I1238="","",IF(B1238=Dashboard!$AA$1,I1238,""))</f>
        <v/>
      </c>
    </row>
    <row r="1239">
      <c r="A1239" s="1" t="n"/>
      <c r="B1239" s="26" t="n"/>
      <c r="C1239" s="27" t="n"/>
      <c r="D1239" s="28" t="n"/>
      <c r="E1239" s="29" t="n"/>
      <c r="F1239" s="29" t="n"/>
      <c r="G1239" s="28" t="n"/>
      <c r="H1239" s="1" t="n"/>
      <c r="I1239">
        <f>IF(OR(B1239="",C1239=""),"",B1239+MOD(C1239,1))</f>
        <v/>
      </c>
      <c r="J1239">
        <f>IF(I1239="","",IF(B1239=Dashboard!$AA$1,I1239,""))</f>
        <v/>
      </c>
    </row>
    <row r="1240">
      <c r="A1240" s="1" t="n"/>
      <c r="B1240" s="26" t="n"/>
      <c r="C1240" s="27" t="n"/>
      <c r="D1240" s="28" t="n"/>
      <c r="E1240" s="29" t="n"/>
      <c r="F1240" s="29" t="n"/>
      <c r="G1240" s="28" t="n"/>
      <c r="H1240" s="1" t="n"/>
      <c r="I1240">
        <f>IF(OR(B1240="",C1240=""),"",B1240+MOD(C1240,1))</f>
        <v/>
      </c>
      <c r="J1240">
        <f>IF(I1240="","",IF(B1240=Dashboard!$AA$1,I1240,""))</f>
        <v/>
      </c>
    </row>
    <row r="1241">
      <c r="A1241" s="1" t="n"/>
      <c r="B1241" s="26" t="n"/>
      <c r="C1241" s="27" t="n"/>
      <c r="D1241" s="28" t="n"/>
      <c r="E1241" s="29" t="n"/>
      <c r="F1241" s="29" t="n"/>
      <c r="G1241" s="28" t="n"/>
      <c r="H1241" s="1" t="n"/>
      <c r="I1241">
        <f>IF(OR(B1241="",C1241=""),"",B1241+MOD(C1241,1))</f>
        <v/>
      </c>
      <c r="J1241">
        <f>IF(I1241="","",IF(B1241=Dashboard!$AA$1,I1241,""))</f>
        <v/>
      </c>
    </row>
    <row r="1242">
      <c r="A1242" s="1" t="n"/>
      <c r="B1242" s="26" t="n"/>
      <c r="C1242" s="27" t="n"/>
      <c r="D1242" s="28" t="n"/>
      <c r="E1242" s="29" t="n"/>
      <c r="F1242" s="29" t="n"/>
      <c r="G1242" s="28" t="n"/>
      <c r="H1242" s="1" t="n"/>
      <c r="I1242">
        <f>IF(OR(B1242="",C1242=""),"",B1242+MOD(C1242,1))</f>
        <v/>
      </c>
      <c r="J1242">
        <f>IF(I1242="","",IF(B1242=Dashboard!$AA$1,I1242,""))</f>
        <v/>
      </c>
    </row>
    <row r="1243">
      <c r="A1243" s="1" t="n"/>
      <c r="B1243" s="26" t="n"/>
      <c r="C1243" s="27" t="n"/>
      <c r="D1243" s="28" t="n"/>
      <c r="E1243" s="29" t="n"/>
      <c r="F1243" s="29" t="n"/>
      <c r="G1243" s="28" t="n"/>
      <c r="H1243" s="1" t="n"/>
      <c r="I1243">
        <f>IF(OR(B1243="",C1243=""),"",B1243+MOD(C1243,1))</f>
        <v/>
      </c>
      <c r="J1243">
        <f>IF(I1243="","",IF(B1243=Dashboard!$AA$1,I1243,""))</f>
        <v/>
      </c>
    </row>
    <row r="1244">
      <c r="A1244" s="1" t="n"/>
      <c r="B1244" s="26" t="n"/>
      <c r="C1244" s="27" t="n"/>
      <c r="D1244" s="28" t="n"/>
      <c r="E1244" s="29" t="n"/>
      <c r="F1244" s="29" t="n"/>
      <c r="G1244" s="28" t="n"/>
      <c r="H1244" s="1" t="n"/>
      <c r="I1244">
        <f>IF(OR(B1244="",C1244=""),"",B1244+MOD(C1244,1))</f>
        <v/>
      </c>
      <c r="J1244">
        <f>IF(I1244="","",IF(B1244=Dashboard!$AA$1,I1244,""))</f>
        <v/>
      </c>
    </row>
    <row r="1245">
      <c r="A1245" s="1" t="n"/>
      <c r="B1245" s="26" t="n"/>
      <c r="C1245" s="27" t="n"/>
      <c r="D1245" s="28" t="n"/>
      <c r="E1245" s="29" t="n"/>
      <c r="F1245" s="29" t="n"/>
      <c r="G1245" s="28" t="n"/>
      <c r="H1245" s="1" t="n"/>
      <c r="I1245">
        <f>IF(OR(B1245="",C1245=""),"",B1245+MOD(C1245,1))</f>
        <v/>
      </c>
      <c r="J1245">
        <f>IF(I1245="","",IF(B1245=Dashboard!$AA$1,I1245,""))</f>
        <v/>
      </c>
    </row>
    <row r="1246">
      <c r="A1246" s="1" t="n"/>
      <c r="B1246" s="26" t="n"/>
      <c r="C1246" s="27" t="n"/>
      <c r="D1246" s="28" t="n"/>
      <c r="E1246" s="29" t="n"/>
      <c r="F1246" s="29" t="n"/>
      <c r="G1246" s="28" t="n"/>
      <c r="H1246" s="1" t="n"/>
      <c r="I1246">
        <f>IF(OR(B1246="",C1246=""),"",B1246+MOD(C1246,1))</f>
        <v/>
      </c>
      <c r="J1246">
        <f>IF(I1246="","",IF(B1246=Dashboard!$AA$1,I1246,""))</f>
        <v/>
      </c>
    </row>
    <row r="1247">
      <c r="A1247" s="1" t="n"/>
      <c r="B1247" s="26" t="n"/>
      <c r="C1247" s="27" t="n"/>
      <c r="D1247" s="28" t="n"/>
      <c r="E1247" s="29" t="n"/>
      <c r="F1247" s="29" t="n"/>
      <c r="G1247" s="28" t="n"/>
      <c r="H1247" s="1" t="n"/>
      <c r="I1247">
        <f>IF(OR(B1247="",C1247=""),"",B1247+MOD(C1247,1))</f>
        <v/>
      </c>
      <c r="J1247">
        <f>IF(I1247="","",IF(B1247=Dashboard!$AA$1,I1247,""))</f>
        <v/>
      </c>
    </row>
    <row r="1248">
      <c r="A1248" s="1" t="n"/>
      <c r="B1248" s="26" t="n"/>
      <c r="C1248" s="27" t="n"/>
      <c r="D1248" s="28" t="n"/>
      <c r="E1248" s="29" t="n"/>
      <c r="F1248" s="29" t="n"/>
      <c r="G1248" s="28" t="n"/>
      <c r="H1248" s="1" t="n"/>
      <c r="I1248">
        <f>IF(OR(B1248="",C1248=""),"",B1248+MOD(C1248,1))</f>
        <v/>
      </c>
      <c r="J1248">
        <f>IF(I1248="","",IF(B1248=Dashboard!$AA$1,I1248,""))</f>
        <v/>
      </c>
    </row>
    <row r="1249">
      <c r="A1249" s="1" t="n"/>
      <c r="B1249" s="26" t="n"/>
      <c r="C1249" s="27" t="n"/>
      <c r="D1249" s="28" t="n"/>
      <c r="E1249" s="29" t="n"/>
      <c r="F1249" s="29" t="n"/>
      <c r="G1249" s="28" t="n"/>
      <c r="H1249" s="1" t="n"/>
      <c r="I1249">
        <f>IF(OR(B1249="",C1249=""),"",B1249+MOD(C1249,1))</f>
        <v/>
      </c>
      <c r="J1249">
        <f>IF(I1249="","",IF(B1249=Dashboard!$AA$1,I1249,""))</f>
        <v/>
      </c>
    </row>
    <row r="1250">
      <c r="A1250" s="1" t="n"/>
      <c r="B1250" s="26" t="n"/>
      <c r="C1250" s="27" t="n"/>
      <c r="D1250" s="28" t="n"/>
      <c r="E1250" s="29" t="n"/>
      <c r="F1250" s="29" t="n"/>
      <c r="G1250" s="28" t="n"/>
      <c r="H1250" s="1" t="n"/>
      <c r="I1250">
        <f>IF(OR(B1250="",C1250=""),"",B1250+MOD(C1250,1))</f>
        <v/>
      </c>
      <c r="J1250">
        <f>IF(I1250="","",IF(B1250=Dashboard!$AA$1,I1250,""))</f>
        <v/>
      </c>
    </row>
    <row r="1251">
      <c r="A1251" s="1" t="n"/>
      <c r="B1251" s="26" t="n"/>
      <c r="C1251" s="27" t="n"/>
      <c r="D1251" s="28" t="n"/>
      <c r="E1251" s="29" t="n"/>
      <c r="F1251" s="29" t="n"/>
      <c r="G1251" s="28" t="n"/>
      <c r="H1251" s="1" t="n"/>
      <c r="I1251">
        <f>IF(OR(B1251="",C1251=""),"",B1251+MOD(C1251,1))</f>
        <v/>
      </c>
      <c r="J1251">
        <f>IF(I1251="","",IF(B1251=Dashboard!$AA$1,I1251,""))</f>
        <v/>
      </c>
    </row>
    <row r="1252">
      <c r="A1252" s="1" t="n"/>
      <c r="B1252" s="26" t="n"/>
      <c r="C1252" s="27" t="n"/>
      <c r="D1252" s="28" t="n"/>
      <c r="E1252" s="29" t="n"/>
      <c r="F1252" s="29" t="n"/>
      <c r="G1252" s="28" t="n"/>
      <c r="H1252" s="1" t="n"/>
      <c r="I1252">
        <f>IF(OR(B1252="",C1252=""),"",B1252+MOD(C1252,1))</f>
        <v/>
      </c>
      <c r="J1252">
        <f>IF(I1252="","",IF(B1252=Dashboard!$AA$1,I1252,""))</f>
        <v/>
      </c>
    </row>
    <row r="1253">
      <c r="A1253" s="1" t="n"/>
      <c r="B1253" s="26" t="n"/>
      <c r="C1253" s="27" t="n"/>
      <c r="D1253" s="28" t="n"/>
      <c r="E1253" s="29" t="n"/>
      <c r="F1253" s="29" t="n"/>
      <c r="G1253" s="28" t="n"/>
      <c r="H1253" s="1" t="n"/>
      <c r="I1253">
        <f>IF(OR(B1253="",C1253=""),"",B1253+MOD(C1253,1))</f>
        <v/>
      </c>
      <c r="J1253">
        <f>IF(I1253="","",IF(B1253=Dashboard!$AA$1,I1253,""))</f>
        <v/>
      </c>
    </row>
    <row r="1254">
      <c r="A1254" s="1" t="n"/>
      <c r="B1254" s="26" t="n"/>
      <c r="C1254" s="27" t="n"/>
      <c r="D1254" s="28" t="n"/>
      <c r="E1254" s="29" t="n"/>
      <c r="F1254" s="29" t="n"/>
      <c r="G1254" s="28" t="n"/>
      <c r="H1254" s="1" t="n"/>
      <c r="I1254">
        <f>IF(OR(B1254="",C1254=""),"",B1254+MOD(C1254,1))</f>
        <v/>
      </c>
      <c r="J1254">
        <f>IF(I1254="","",IF(B1254=Dashboard!$AA$1,I1254,""))</f>
        <v/>
      </c>
    </row>
    <row r="1255">
      <c r="A1255" s="1" t="n"/>
      <c r="B1255" s="26" t="n"/>
      <c r="C1255" s="27" t="n"/>
      <c r="D1255" s="28" t="n"/>
      <c r="E1255" s="29" t="n"/>
      <c r="F1255" s="29" t="n"/>
      <c r="G1255" s="28" t="n"/>
      <c r="H1255" s="1" t="n"/>
      <c r="I1255">
        <f>IF(OR(B1255="",C1255=""),"",B1255+MOD(C1255,1))</f>
        <v/>
      </c>
      <c r="J1255">
        <f>IF(I1255="","",IF(B1255=Dashboard!$AA$1,I1255,""))</f>
        <v/>
      </c>
    </row>
    <row r="1256">
      <c r="A1256" s="1" t="n"/>
      <c r="B1256" s="26" t="n"/>
      <c r="C1256" s="27" t="n"/>
      <c r="D1256" s="28" t="n"/>
      <c r="E1256" s="29" t="n"/>
      <c r="F1256" s="29" t="n"/>
      <c r="G1256" s="28" t="n"/>
      <c r="H1256" s="1" t="n"/>
      <c r="I1256">
        <f>IF(OR(B1256="",C1256=""),"",B1256+MOD(C1256,1))</f>
        <v/>
      </c>
      <c r="J1256">
        <f>IF(I1256="","",IF(B1256=Dashboard!$AA$1,I1256,""))</f>
        <v/>
      </c>
    </row>
    <row r="1257">
      <c r="A1257" s="1" t="n"/>
      <c r="B1257" s="26" t="n"/>
      <c r="C1257" s="27" t="n"/>
      <c r="D1257" s="28" t="n"/>
      <c r="E1257" s="29" t="n"/>
      <c r="F1257" s="29" t="n"/>
      <c r="G1257" s="28" t="n"/>
      <c r="H1257" s="1" t="n"/>
      <c r="I1257">
        <f>IF(OR(B1257="",C1257=""),"",B1257+MOD(C1257,1))</f>
        <v/>
      </c>
      <c r="J1257">
        <f>IF(I1257="","",IF(B1257=Dashboard!$AA$1,I1257,""))</f>
        <v/>
      </c>
    </row>
    <row r="1258">
      <c r="A1258" s="1" t="n"/>
      <c r="B1258" s="26" t="n"/>
      <c r="C1258" s="27" t="n"/>
      <c r="D1258" s="28" t="n"/>
      <c r="E1258" s="29" t="n"/>
      <c r="F1258" s="29" t="n"/>
      <c r="G1258" s="28" t="n"/>
      <c r="H1258" s="1" t="n"/>
      <c r="I1258">
        <f>IF(OR(B1258="",C1258=""),"",B1258+MOD(C1258,1))</f>
        <v/>
      </c>
      <c r="J1258">
        <f>IF(I1258="","",IF(B1258=Dashboard!$AA$1,I1258,""))</f>
        <v/>
      </c>
    </row>
    <row r="1259">
      <c r="A1259" s="1" t="n"/>
      <c r="B1259" s="26" t="n"/>
      <c r="C1259" s="27" t="n"/>
      <c r="D1259" s="28" t="n"/>
      <c r="E1259" s="29" t="n"/>
      <c r="F1259" s="29" t="n"/>
      <c r="G1259" s="28" t="n"/>
      <c r="H1259" s="1" t="n"/>
      <c r="I1259">
        <f>IF(OR(B1259="",C1259=""),"",B1259+MOD(C1259,1))</f>
        <v/>
      </c>
      <c r="J1259">
        <f>IF(I1259="","",IF(B1259=Dashboard!$AA$1,I1259,""))</f>
        <v/>
      </c>
    </row>
    <row r="1260">
      <c r="A1260" s="1" t="n"/>
      <c r="B1260" s="26" t="n"/>
      <c r="C1260" s="27" t="n"/>
      <c r="D1260" s="28" t="n"/>
      <c r="E1260" s="29" t="n"/>
      <c r="F1260" s="29" t="n"/>
      <c r="G1260" s="28" t="n"/>
      <c r="H1260" s="1" t="n"/>
      <c r="I1260">
        <f>IF(OR(B1260="",C1260=""),"",B1260+MOD(C1260,1))</f>
        <v/>
      </c>
      <c r="J1260">
        <f>IF(I1260="","",IF(B1260=Dashboard!$AA$1,I1260,""))</f>
        <v/>
      </c>
    </row>
    <row r="1261">
      <c r="A1261" s="1" t="n"/>
      <c r="B1261" s="26" t="n"/>
      <c r="C1261" s="27" t="n"/>
      <c r="D1261" s="28" t="n"/>
      <c r="E1261" s="29" t="n"/>
      <c r="F1261" s="29" t="n"/>
      <c r="G1261" s="28" t="n"/>
      <c r="H1261" s="1" t="n"/>
      <c r="I1261">
        <f>IF(OR(B1261="",C1261=""),"",B1261+MOD(C1261,1))</f>
        <v/>
      </c>
      <c r="J1261">
        <f>IF(I1261="","",IF(B1261=Dashboard!$AA$1,I1261,""))</f>
        <v/>
      </c>
    </row>
    <row r="1262">
      <c r="A1262" s="1" t="n"/>
      <c r="B1262" s="26" t="n"/>
      <c r="C1262" s="27" t="n"/>
      <c r="D1262" s="28" t="n"/>
      <c r="E1262" s="29" t="n"/>
      <c r="F1262" s="29" t="n"/>
      <c r="G1262" s="28" t="n"/>
      <c r="H1262" s="1" t="n"/>
      <c r="I1262">
        <f>IF(OR(B1262="",C1262=""),"",B1262+MOD(C1262,1))</f>
        <v/>
      </c>
      <c r="J1262">
        <f>IF(I1262="","",IF(B1262=Dashboard!$AA$1,I1262,""))</f>
        <v/>
      </c>
    </row>
    <row r="1263">
      <c r="A1263" s="1" t="n"/>
      <c r="B1263" s="26" t="n"/>
      <c r="C1263" s="27" t="n"/>
      <c r="D1263" s="28" t="n"/>
      <c r="E1263" s="29" t="n"/>
      <c r="F1263" s="29" t="n"/>
      <c r="G1263" s="28" t="n"/>
      <c r="H1263" s="1" t="n"/>
      <c r="I1263">
        <f>IF(OR(B1263="",C1263=""),"",B1263+MOD(C1263,1))</f>
        <v/>
      </c>
      <c r="J1263">
        <f>IF(I1263="","",IF(B1263=Dashboard!$AA$1,I1263,""))</f>
        <v/>
      </c>
    </row>
    <row r="1264">
      <c r="A1264" s="1" t="n"/>
      <c r="B1264" s="26" t="n"/>
      <c r="C1264" s="27" t="n"/>
      <c r="D1264" s="28" t="n"/>
      <c r="E1264" s="29" t="n"/>
      <c r="F1264" s="29" t="n"/>
      <c r="G1264" s="28" t="n"/>
      <c r="H1264" s="1" t="n"/>
      <c r="I1264">
        <f>IF(OR(B1264="",C1264=""),"",B1264+MOD(C1264,1))</f>
        <v/>
      </c>
      <c r="J1264">
        <f>IF(I1264="","",IF(B1264=Dashboard!$AA$1,I1264,""))</f>
        <v/>
      </c>
    </row>
    <row r="1265">
      <c r="A1265" s="1" t="n"/>
      <c r="B1265" s="26" t="n"/>
      <c r="C1265" s="27" t="n"/>
      <c r="D1265" s="28" t="n"/>
      <c r="E1265" s="29" t="n"/>
      <c r="F1265" s="29" t="n"/>
      <c r="G1265" s="28" t="n"/>
      <c r="H1265" s="1" t="n"/>
      <c r="I1265">
        <f>IF(OR(B1265="",C1265=""),"",B1265+MOD(C1265,1))</f>
        <v/>
      </c>
      <c r="J1265">
        <f>IF(I1265="","",IF(B1265=Dashboard!$AA$1,I1265,""))</f>
        <v/>
      </c>
    </row>
    <row r="1266">
      <c r="A1266" s="1" t="n"/>
      <c r="B1266" s="26" t="n"/>
      <c r="C1266" s="27" t="n"/>
      <c r="D1266" s="28" t="n"/>
      <c r="E1266" s="29" t="n"/>
      <c r="F1266" s="29" t="n"/>
      <c r="G1266" s="28" t="n"/>
      <c r="H1266" s="1" t="n"/>
      <c r="I1266">
        <f>IF(OR(B1266="",C1266=""),"",B1266+MOD(C1266,1))</f>
        <v/>
      </c>
      <c r="J1266">
        <f>IF(I1266="","",IF(B1266=Dashboard!$AA$1,I1266,""))</f>
        <v/>
      </c>
    </row>
    <row r="1267">
      <c r="A1267" s="1" t="n"/>
      <c r="B1267" s="26" t="n"/>
      <c r="C1267" s="27" t="n"/>
      <c r="D1267" s="28" t="n"/>
      <c r="E1267" s="29" t="n"/>
      <c r="F1267" s="29" t="n"/>
      <c r="G1267" s="28" t="n"/>
      <c r="H1267" s="1" t="n"/>
      <c r="I1267">
        <f>IF(OR(B1267="",C1267=""),"",B1267+MOD(C1267,1))</f>
        <v/>
      </c>
      <c r="J1267">
        <f>IF(I1267="","",IF(B1267=Dashboard!$AA$1,I1267,""))</f>
        <v/>
      </c>
    </row>
    <row r="1268">
      <c r="A1268" s="1" t="n"/>
      <c r="B1268" s="26" t="n"/>
      <c r="C1268" s="27" t="n"/>
      <c r="D1268" s="28" t="n"/>
      <c r="E1268" s="29" t="n"/>
      <c r="F1268" s="29" t="n"/>
      <c r="G1268" s="28" t="n"/>
      <c r="H1268" s="1" t="n"/>
      <c r="I1268">
        <f>IF(OR(B1268="",C1268=""),"",B1268+MOD(C1268,1))</f>
        <v/>
      </c>
      <c r="J1268">
        <f>IF(I1268="","",IF(B1268=Dashboard!$AA$1,I1268,""))</f>
        <v/>
      </c>
    </row>
    <row r="1269">
      <c r="A1269" s="1" t="n"/>
      <c r="B1269" s="26" t="n"/>
      <c r="C1269" s="27" t="n"/>
      <c r="D1269" s="28" t="n"/>
      <c r="E1269" s="29" t="n"/>
      <c r="F1269" s="29" t="n"/>
      <c r="G1269" s="28" t="n"/>
      <c r="H1269" s="1" t="n"/>
      <c r="I1269">
        <f>IF(OR(B1269="",C1269=""),"",B1269+MOD(C1269,1))</f>
        <v/>
      </c>
      <c r="J1269">
        <f>IF(I1269="","",IF(B1269=Dashboard!$AA$1,I1269,""))</f>
        <v/>
      </c>
    </row>
    <row r="1270">
      <c r="A1270" s="1" t="n"/>
      <c r="B1270" s="26" t="n"/>
      <c r="C1270" s="27" t="n"/>
      <c r="D1270" s="28" t="n"/>
      <c r="E1270" s="29" t="n"/>
      <c r="F1270" s="29" t="n"/>
      <c r="G1270" s="28" t="n"/>
      <c r="H1270" s="1" t="n"/>
      <c r="I1270">
        <f>IF(OR(B1270="",C1270=""),"",B1270+MOD(C1270,1))</f>
        <v/>
      </c>
      <c r="J1270">
        <f>IF(I1270="","",IF(B1270=Dashboard!$AA$1,I1270,""))</f>
        <v/>
      </c>
    </row>
    <row r="1271">
      <c r="A1271" s="1" t="n"/>
      <c r="B1271" s="26" t="n"/>
      <c r="C1271" s="27" t="n"/>
      <c r="D1271" s="28" t="n"/>
      <c r="E1271" s="29" t="n"/>
      <c r="F1271" s="29" t="n"/>
      <c r="G1271" s="28" t="n"/>
      <c r="H1271" s="1" t="n"/>
      <c r="I1271">
        <f>IF(OR(B1271="",C1271=""),"",B1271+MOD(C1271,1))</f>
        <v/>
      </c>
      <c r="J1271">
        <f>IF(I1271="","",IF(B1271=Dashboard!$AA$1,I1271,""))</f>
        <v/>
      </c>
    </row>
    <row r="1272">
      <c r="A1272" s="1" t="n"/>
      <c r="B1272" s="26" t="n"/>
      <c r="C1272" s="27" t="n"/>
      <c r="D1272" s="28" t="n"/>
      <c r="E1272" s="29" t="n"/>
      <c r="F1272" s="29" t="n"/>
      <c r="G1272" s="28" t="n"/>
      <c r="H1272" s="1" t="n"/>
      <c r="I1272">
        <f>IF(OR(B1272="",C1272=""),"",B1272+MOD(C1272,1))</f>
        <v/>
      </c>
      <c r="J1272">
        <f>IF(I1272="","",IF(B1272=Dashboard!$AA$1,I1272,""))</f>
        <v/>
      </c>
    </row>
    <row r="1273">
      <c r="A1273" s="1" t="n"/>
      <c r="B1273" s="26" t="n"/>
      <c r="C1273" s="27" t="n"/>
      <c r="D1273" s="28" t="n"/>
      <c r="E1273" s="29" t="n"/>
      <c r="F1273" s="29" t="n"/>
      <c r="G1273" s="28" t="n"/>
      <c r="H1273" s="1" t="n"/>
      <c r="I1273">
        <f>IF(OR(B1273="",C1273=""),"",B1273+MOD(C1273,1))</f>
        <v/>
      </c>
      <c r="J1273">
        <f>IF(I1273="","",IF(B1273=Dashboard!$AA$1,I1273,""))</f>
        <v/>
      </c>
    </row>
    <row r="1274">
      <c r="A1274" s="1" t="n"/>
      <c r="B1274" s="26" t="n"/>
      <c r="C1274" s="27" t="n"/>
      <c r="D1274" s="28" t="n"/>
      <c r="E1274" s="29" t="n"/>
      <c r="F1274" s="29" t="n"/>
      <c r="G1274" s="28" t="n"/>
      <c r="H1274" s="1" t="n"/>
      <c r="I1274">
        <f>IF(OR(B1274="",C1274=""),"",B1274+MOD(C1274,1))</f>
        <v/>
      </c>
      <c r="J1274">
        <f>IF(I1274="","",IF(B1274=Dashboard!$AA$1,I1274,""))</f>
        <v/>
      </c>
    </row>
    <row r="1275">
      <c r="A1275" s="1" t="n"/>
      <c r="B1275" s="26" t="n"/>
      <c r="C1275" s="27" t="n"/>
      <c r="D1275" s="28" t="n"/>
      <c r="E1275" s="29" t="n"/>
      <c r="F1275" s="29" t="n"/>
      <c r="G1275" s="28" t="n"/>
      <c r="H1275" s="1" t="n"/>
      <c r="I1275">
        <f>IF(OR(B1275="",C1275=""),"",B1275+MOD(C1275,1))</f>
        <v/>
      </c>
      <c r="J1275">
        <f>IF(I1275="","",IF(B1275=Dashboard!$AA$1,I1275,""))</f>
        <v/>
      </c>
    </row>
    <row r="1276">
      <c r="A1276" s="1" t="n"/>
      <c r="B1276" s="26" t="n"/>
      <c r="C1276" s="27" t="n"/>
      <c r="D1276" s="28" t="n"/>
      <c r="E1276" s="29" t="n"/>
      <c r="F1276" s="29" t="n"/>
      <c r="G1276" s="28" t="n"/>
      <c r="H1276" s="1" t="n"/>
      <c r="I1276">
        <f>IF(OR(B1276="",C1276=""),"",B1276+MOD(C1276,1))</f>
        <v/>
      </c>
      <c r="J1276">
        <f>IF(I1276="","",IF(B1276=Dashboard!$AA$1,I1276,""))</f>
        <v/>
      </c>
    </row>
    <row r="1277">
      <c r="A1277" s="1" t="n"/>
      <c r="B1277" s="26" t="n"/>
      <c r="C1277" s="27" t="n"/>
      <c r="D1277" s="28" t="n"/>
      <c r="E1277" s="29" t="n"/>
      <c r="F1277" s="29" t="n"/>
      <c r="G1277" s="28" t="n"/>
      <c r="H1277" s="1" t="n"/>
      <c r="I1277">
        <f>IF(OR(B1277="",C1277=""),"",B1277+MOD(C1277,1))</f>
        <v/>
      </c>
      <c r="J1277">
        <f>IF(I1277="","",IF(B1277=Dashboard!$AA$1,I1277,""))</f>
        <v/>
      </c>
    </row>
    <row r="1278">
      <c r="A1278" s="1" t="n"/>
      <c r="B1278" s="26" t="n"/>
      <c r="C1278" s="27" t="n"/>
      <c r="D1278" s="28" t="n"/>
      <c r="E1278" s="29" t="n"/>
      <c r="F1278" s="29" t="n"/>
      <c r="G1278" s="28" t="n"/>
      <c r="H1278" s="1" t="n"/>
      <c r="I1278">
        <f>IF(OR(B1278="",C1278=""),"",B1278+MOD(C1278,1))</f>
        <v/>
      </c>
      <c r="J1278">
        <f>IF(I1278="","",IF(B1278=Dashboard!$AA$1,I1278,""))</f>
        <v/>
      </c>
    </row>
    <row r="1279">
      <c r="A1279" s="1" t="n"/>
      <c r="B1279" s="26" t="n"/>
      <c r="C1279" s="27" t="n"/>
      <c r="D1279" s="28" t="n"/>
      <c r="E1279" s="29" t="n"/>
      <c r="F1279" s="29" t="n"/>
      <c r="G1279" s="28" t="n"/>
      <c r="H1279" s="1" t="n"/>
      <c r="I1279">
        <f>IF(OR(B1279="",C1279=""),"",B1279+MOD(C1279,1))</f>
        <v/>
      </c>
      <c r="J1279">
        <f>IF(I1279="","",IF(B1279=Dashboard!$AA$1,I1279,""))</f>
        <v/>
      </c>
    </row>
    <row r="1280">
      <c r="A1280" s="1" t="n"/>
      <c r="B1280" s="26" t="n"/>
      <c r="C1280" s="27" t="n"/>
      <c r="D1280" s="28" t="n"/>
      <c r="E1280" s="29" t="n"/>
      <c r="F1280" s="29" t="n"/>
      <c r="G1280" s="28" t="n"/>
      <c r="H1280" s="1" t="n"/>
      <c r="I1280">
        <f>IF(OR(B1280="",C1280=""),"",B1280+MOD(C1280,1))</f>
        <v/>
      </c>
      <c r="J1280">
        <f>IF(I1280="","",IF(B1280=Dashboard!$AA$1,I1280,""))</f>
        <v/>
      </c>
    </row>
    <row r="1281">
      <c r="A1281" s="1" t="n"/>
      <c r="B1281" s="26" t="n"/>
      <c r="C1281" s="27" t="n"/>
      <c r="D1281" s="28" t="n"/>
      <c r="E1281" s="29" t="n"/>
      <c r="F1281" s="29" t="n"/>
      <c r="G1281" s="28" t="n"/>
      <c r="H1281" s="1" t="n"/>
      <c r="I1281">
        <f>IF(OR(B1281="",C1281=""),"",B1281+MOD(C1281,1))</f>
        <v/>
      </c>
      <c r="J1281">
        <f>IF(I1281="","",IF(B1281=Dashboard!$AA$1,I1281,""))</f>
        <v/>
      </c>
    </row>
    <row r="1282">
      <c r="A1282" s="1" t="n"/>
      <c r="B1282" s="26" t="n"/>
      <c r="C1282" s="27" t="n"/>
      <c r="D1282" s="28" t="n"/>
      <c r="E1282" s="29" t="n"/>
      <c r="F1282" s="29" t="n"/>
      <c r="G1282" s="28" t="n"/>
      <c r="H1282" s="1" t="n"/>
      <c r="I1282">
        <f>IF(OR(B1282="",C1282=""),"",B1282+MOD(C1282,1))</f>
        <v/>
      </c>
      <c r="J1282">
        <f>IF(I1282="","",IF(B1282=Dashboard!$AA$1,I1282,""))</f>
        <v/>
      </c>
    </row>
    <row r="1283">
      <c r="A1283" s="1" t="n"/>
      <c r="B1283" s="26" t="n"/>
      <c r="C1283" s="27" t="n"/>
      <c r="D1283" s="28" t="n"/>
      <c r="E1283" s="29" t="n"/>
      <c r="F1283" s="29" t="n"/>
      <c r="G1283" s="28" t="n"/>
      <c r="H1283" s="1" t="n"/>
      <c r="I1283">
        <f>IF(OR(B1283="",C1283=""),"",B1283+MOD(C1283,1))</f>
        <v/>
      </c>
      <c r="J1283">
        <f>IF(I1283="","",IF(B1283=Dashboard!$AA$1,I1283,""))</f>
        <v/>
      </c>
    </row>
    <row r="1284">
      <c r="A1284" s="1" t="n"/>
      <c r="B1284" s="26" t="n"/>
      <c r="C1284" s="27" t="n"/>
      <c r="D1284" s="28" t="n"/>
      <c r="E1284" s="29" t="n"/>
      <c r="F1284" s="29" t="n"/>
      <c r="G1284" s="28" t="n"/>
      <c r="H1284" s="1" t="n"/>
      <c r="I1284">
        <f>IF(OR(B1284="",C1284=""),"",B1284+MOD(C1284,1))</f>
        <v/>
      </c>
      <c r="J1284">
        <f>IF(I1284="","",IF(B1284=Dashboard!$AA$1,I1284,""))</f>
        <v/>
      </c>
    </row>
    <row r="1285">
      <c r="A1285" s="1" t="n"/>
      <c r="B1285" s="26" t="n"/>
      <c r="C1285" s="27" t="n"/>
      <c r="D1285" s="28" t="n"/>
      <c r="E1285" s="29" t="n"/>
      <c r="F1285" s="29" t="n"/>
      <c r="G1285" s="28" t="n"/>
      <c r="H1285" s="1" t="n"/>
      <c r="I1285">
        <f>IF(OR(B1285="",C1285=""),"",B1285+MOD(C1285,1))</f>
        <v/>
      </c>
      <c r="J1285">
        <f>IF(I1285="","",IF(B1285=Dashboard!$AA$1,I1285,""))</f>
        <v/>
      </c>
    </row>
    <row r="1286">
      <c r="A1286" s="1" t="n"/>
      <c r="B1286" s="26" t="n"/>
      <c r="C1286" s="27" t="n"/>
      <c r="D1286" s="28" t="n"/>
      <c r="E1286" s="29" t="n"/>
      <c r="F1286" s="29" t="n"/>
      <c r="G1286" s="28" t="n"/>
      <c r="H1286" s="1" t="n"/>
      <c r="I1286">
        <f>IF(OR(B1286="",C1286=""),"",B1286+MOD(C1286,1))</f>
        <v/>
      </c>
      <c r="J1286">
        <f>IF(I1286="","",IF(B1286=Dashboard!$AA$1,I1286,""))</f>
        <v/>
      </c>
    </row>
    <row r="1287">
      <c r="A1287" s="1" t="n"/>
      <c r="B1287" s="26" t="n"/>
      <c r="C1287" s="27" t="n"/>
      <c r="D1287" s="28" t="n"/>
      <c r="E1287" s="29" t="n"/>
      <c r="F1287" s="29" t="n"/>
      <c r="G1287" s="28" t="n"/>
      <c r="H1287" s="1" t="n"/>
      <c r="I1287">
        <f>IF(OR(B1287="",C1287=""),"",B1287+MOD(C1287,1))</f>
        <v/>
      </c>
      <c r="J1287">
        <f>IF(I1287="","",IF(B1287=Dashboard!$AA$1,I1287,""))</f>
        <v/>
      </c>
    </row>
    <row r="1288">
      <c r="A1288" s="1" t="n"/>
      <c r="B1288" s="26" t="n"/>
      <c r="C1288" s="27" t="n"/>
      <c r="D1288" s="28" t="n"/>
      <c r="E1288" s="29" t="n"/>
      <c r="F1288" s="29" t="n"/>
      <c r="G1288" s="28" t="n"/>
      <c r="H1288" s="1" t="n"/>
      <c r="I1288">
        <f>IF(OR(B1288="",C1288=""),"",B1288+MOD(C1288,1))</f>
        <v/>
      </c>
      <c r="J1288">
        <f>IF(I1288="","",IF(B1288=Dashboard!$AA$1,I1288,""))</f>
        <v/>
      </c>
    </row>
    <row r="1289">
      <c r="A1289" s="1" t="n"/>
      <c r="B1289" s="26" t="n"/>
      <c r="C1289" s="27" t="n"/>
      <c r="D1289" s="28" t="n"/>
      <c r="E1289" s="29" t="n"/>
      <c r="F1289" s="29" t="n"/>
      <c r="G1289" s="28" t="n"/>
      <c r="H1289" s="1" t="n"/>
      <c r="I1289">
        <f>IF(OR(B1289="",C1289=""),"",B1289+MOD(C1289,1))</f>
        <v/>
      </c>
      <c r="J1289">
        <f>IF(I1289="","",IF(B1289=Dashboard!$AA$1,I1289,""))</f>
        <v/>
      </c>
    </row>
    <row r="1290">
      <c r="A1290" s="1" t="n"/>
      <c r="B1290" s="26" t="n"/>
      <c r="C1290" s="27" t="n"/>
      <c r="D1290" s="28" t="n"/>
      <c r="E1290" s="29" t="n"/>
      <c r="F1290" s="29" t="n"/>
      <c r="G1290" s="28" t="n"/>
      <c r="H1290" s="1" t="n"/>
      <c r="I1290">
        <f>IF(OR(B1290="",C1290=""),"",B1290+MOD(C1290,1))</f>
        <v/>
      </c>
      <c r="J1290">
        <f>IF(I1290="","",IF(B1290=Dashboard!$AA$1,I1290,""))</f>
        <v/>
      </c>
    </row>
    <row r="1291">
      <c r="A1291" s="1" t="n"/>
      <c r="B1291" s="26" t="n"/>
      <c r="C1291" s="27" t="n"/>
      <c r="D1291" s="28" t="n"/>
      <c r="E1291" s="29" t="n"/>
      <c r="F1291" s="29" t="n"/>
      <c r="G1291" s="28" t="n"/>
      <c r="H1291" s="1" t="n"/>
      <c r="I1291">
        <f>IF(OR(B1291="",C1291=""),"",B1291+MOD(C1291,1))</f>
        <v/>
      </c>
      <c r="J1291">
        <f>IF(I1291="","",IF(B1291=Dashboard!$AA$1,I1291,""))</f>
        <v/>
      </c>
    </row>
    <row r="1292">
      <c r="A1292" s="1" t="n"/>
      <c r="B1292" s="26" t="n"/>
      <c r="C1292" s="27" t="n"/>
      <c r="D1292" s="28" t="n"/>
      <c r="E1292" s="29" t="n"/>
      <c r="F1292" s="29" t="n"/>
      <c r="G1292" s="28" t="n"/>
      <c r="H1292" s="1" t="n"/>
      <c r="I1292">
        <f>IF(OR(B1292="",C1292=""),"",B1292+MOD(C1292,1))</f>
        <v/>
      </c>
      <c r="J1292">
        <f>IF(I1292="","",IF(B1292=Dashboard!$AA$1,I1292,""))</f>
        <v/>
      </c>
    </row>
    <row r="1293">
      <c r="A1293" s="1" t="n"/>
      <c r="B1293" s="26" t="n"/>
      <c r="C1293" s="27" t="n"/>
      <c r="D1293" s="28" t="n"/>
      <c r="E1293" s="29" t="n"/>
      <c r="F1293" s="29" t="n"/>
      <c r="G1293" s="28" t="n"/>
      <c r="H1293" s="1" t="n"/>
      <c r="I1293">
        <f>IF(OR(B1293="",C1293=""),"",B1293+MOD(C1293,1))</f>
        <v/>
      </c>
      <c r="J1293">
        <f>IF(I1293="","",IF(B1293=Dashboard!$AA$1,I1293,""))</f>
        <v/>
      </c>
    </row>
    <row r="1294">
      <c r="A1294" s="1" t="n"/>
      <c r="B1294" s="26" t="n"/>
      <c r="C1294" s="27" t="n"/>
      <c r="D1294" s="28" t="n"/>
      <c r="E1294" s="29" t="n"/>
      <c r="F1294" s="29" t="n"/>
      <c r="G1294" s="28" t="n"/>
      <c r="H1294" s="1" t="n"/>
      <c r="I1294">
        <f>IF(OR(B1294="",C1294=""),"",B1294+MOD(C1294,1))</f>
        <v/>
      </c>
      <c r="J1294">
        <f>IF(I1294="","",IF(B1294=Dashboard!$AA$1,I1294,""))</f>
        <v/>
      </c>
    </row>
    <row r="1295">
      <c r="A1295" s="1" t="n"/>
      <c r="B1295" s="26" t="n"/>
      <c r="C1295" s="27" t="n"/>
      <c r="D1295" s="28" t="n"/>
      <c r="E1295" s="29" t="n"/>
      <c r="F1295" s="29" t="n"/>
      <c r="G1295" s="28" t="n"/>
      <c r="H1295" s="1" t="n"/>
      <c r="I1295">
        <f>IF(OR(B1295="",C1295=""),"",B1295+MOD(C1295,1))</f>
        <v/>
      </c>
      <c r="J1295">
        <f>IF(I1295="","",IF(B1295=Dashboard!$AA$1,I1295,""))</f>
        <v/>
      </c>
    </row>
    <row r="1296">
      <c r="A1296" s="1" t="n"/>
      <c r="B1296" s="26" t="n"/>
      <c r="C1296" s="27" t="n"/>
      <c r="D1296" s="28" t="n"/>
      <c r="E1296" s="29" t="n"/>
      <c r="F1296" s="29" t="n"/>
      <c r="G1296" s="28" t="n"/>
      <c r="H1296" s="1" t="n"/>
      <c r="I1296">
        <f>IF(OR(B1296="",C1296=""),"",B1296+MOD(C1296,1))</f>
        <v/>
      </c>
      <c r="J1296">
        <f>IF(I1296="","",IF(B1296=Dashboard!$AA$1,I1296,""))</f>
        <v/>
      </c>
    </row>
    <row r="1297">
      <c r="A1297" s="1" t="n"/>
      <c r="B1297" s="26" t="n"/>
      <c r="C1297" s="27" t="n"/>
      <c r="D1297" s="28" t="n"/>
      <c r="E1297" s="29" t="n"/>
      <c r="F1297" s="29" t="n"/>
      <c r="G1297" s="28" t="n"/>
      <c r="H1297" s="1" t="n"/>
      <c r="I1297">
        <f>IF(OR(B1297="",C1297=""),"",B1297+MOD(C1297,1))</f>
        <v/>
      </c>
      <c r="J1297">
        <f>IF(I1297="","",IF(B1297=Dashboard!$AA$1,I1297,""))</f>
        <v/>
      </c>
    </row>
    <row r="1298">
      <c r="A1298" s="1" t="n"/>
      <c r="B1298" s="26" t="n"/>
      <c r="C1298" s="27" t="n"/>
      <c r="D1298" s="28" t="n"/>
      <c r="E1298" s="29" t="n"/>
      <c r="F1298" s="29" t="n"/>
      <c r="G1298" s="28" t="n"/>
      <c r="H1298" s="1" t="n"/>
      <c r="I1298">
        <f>IF(OR(B1298="",C1298=""),"",B1298+MOD(C1298,1))</f>
        <v/>
      </c>
      <c r="J1298">
        <f>IF(I1298="","",IF(B1298=Dashboard!$AA$1,I1298,""))</f>
        <v/>
      </c>
    </row>
    <row r="1299">
      <c r="A1299" s="1" t="n"/>
      <c r="B1299" s="26" t="n"/>
      <c r="C1299" s="27" t="n"/>
      <c r="D1299" s="28" t="n"/>
      <c r="E1299" s="29" t="n"/>
      <c r="F1299" s="29" t="n"/>
      <c r="G1299" s="28" t="n"/>
      <c r="H1299" s="1" t="n"/>
      <c r="I1299">
        <f>IF(OR(B1299="",C1299=""),"",B1299+MOD(C1299,1))</f>
        <v/>
      </c>
      <c r="J1299">
        <f>IF(I1299="","",IF(B1299=Dashboard!$AA$1,I1299,""))</f>
        <v/>
      </c>
    </row>
    <row r="1300">
      <c r="A1300" s="1" t="n"/>
      <c r="B1300" s="26" t="n"/>
      <c r="C1300" s="27" t="n"/>
      <c r="D1300" s="28" t="n"/>
      <c r="E1300" s="29" t="n"/>
      <c r="F1300" s="29" t="n"/>
      <c r="G1300" s="28" t="n"/>
      <c r="H1300" s="1" t="n"/>
      <c r="I1300">
        <f>IF(OR(B1300="",C1300=""),"",B1300+MOD(C1300,1))</f>
        <v/>
      </c>
      <c r="J1300">
        <f>IF(I1300="","",IF(B1300=Dashboard!$AA$1,I1300,""))</f>
        <v/>
      </c>
    </row>
    <row r="1301">
      <c r="A1301" s="1" t="n"/>
      <c r="B1301" s="26" t="n"/>
      <c r="C1301" s="27" t="n"/>
      <c r="D1301" s="28" t="n"/>
      <c r="E1301" s="29" t="n"/>
      <c r="F1301" s="29" t="n"/>
      <c r="G1301" s="28" t="n"/>
      <c r="H1301" s="1" t="n"/>
      <c r="I1301">
        <f>IF(OR(B1301="",C1301=""),"",B1301+MOD(C1301,1))</f>
        <v/>
      </c>
      <c r="J1301">
        <f>IF(I1301="","",IF(B1301=Dashboard!$AA$1,I1301,""))</f>
        <v/>
      </c>
    </row>
    <row r="1302">
      <c r="A1302" s="1" t="n"/>
      <c r="B1302" s="26" t="n"/>
      <c r="C1302" s="27" t="n"/>
      <c r="D1302" s="28" t="n"/>
      <c r="E1302" s="29" t="n"/>
      <c r="F1302" s="29" t="n"/>
      <c r="G1302" s="28" t="n"/>
      <c r="H1302" s="1" t="n"/>
      <c r="I1302">
        <f>IF(OR(B1302="",C1302=""),"",B1302+MOD(C1302,1))</f>
        <v/>
      </c>
      <c r="J1302">
        <f>IF(I1302="","",IF(B1302=Dashboard!$AA$1,I1302,""))</f>
        <v/>
      </c>
    </row>
    <row r="1303">
      <c r="A1303" s="1" t="n"/>
      <c r="B1303" s="26" t="n"/>
      <c r="C1303" s="27" t="n"/>
      <c r="D1303" s="28" t="n"/>
      <c r="E1303" s="29" t="n"/>
      <c r="F1303" s="29" t="n"/>
      <c r="G1303" s="28" t="n"/>
      <c r="H1303" s="1" t="n"/>
      <c r="I1303">
        <f>IF(OR(B1303="",C1303=""),"",B1303+MOD(C1303,1))</f>
        <v/>
      </c>
      <c r="J1303">
        <f>IF(I1303="","",IF(B1303=Dashboard!$AA$1,I1303,""))</f>
        <v/>
      </c>
    </row>
    <row r="1304">
      <c r="A1304" s="1" t="n"/>
      <c r="B1304" s="26" t="n"/>
      <c r="C1304" s="27" t="n"/>
      <c r="D1304" s="28" t="n"/>
      <c r="E1304" s="29" t="n"/>
      <c r="F1304" s="29" t="n"/>
      <c r="G1304" s="28" t="n"/>
      <c r="H1304" s="1" t="n"/>
      <c r="I1304">
        <f>IF(OR(B1304="",C1304=""),"",B1304+MOD(C1304,1))</f>
        <v/>
      </c>
      <c r="J1304">
        <f>IF(I1304="","",IF(B1304=Dashboard!$AA$1,I1304,""))</f>
        <v/>
      </c>
    </row>
    <row r="1305">
      <c r="A1305" s="1" t="n"/>
      <c r="B1305" s="26" t="n"/>
      <c r="C1305" s="27" t="n"/>
      <c r="D1305" s="28" t="n"/>
      <c r="E1305" s="29" t="n"/>
      <c r="F1305" s="29" t="n"/>
      <c r="G1305" s="28" t="n"/>
      <c r="H1305" s="1" t="n"/>
      <c r="I1305">
        <f>IF(OR(B1305="",C1305=""),"",B1305+MOD(C1305,1))</f>
        <v/>
      </c>
      <c r="J1305">
        <f>IF(I1305="","",IF(B1305=Dashboard!$AA$1,I1305,""))</f>
        <v/>
      </c>
    </row>
    <row r="1306">
      <c r="A1306" s="1" t="n"/>
      <c r="B1306" s="26" t="n"/>
      <c r="C1306" s="27" t="n"/>
      <c r="D1306" s="28" t="n"/>
      <c r="E1306" s="29" t="n"/>
      <c r="F1306" s="29" t="n"/>
      <c r="G1306" s="28" t="n"/>
      <c r="H1306" s="1" t="n"/>
      <c r="I1306">
        <f>IF(OR(B1306="",C1306=""),"",B1306+MOD(C1306,1))</f>
        <v/>
      </c>
      <c r="J1306">
        <f>IF(I1306="","",IF(B1306=Dashboard!$AA$1,I1306,""))</f>
        <v/>
      </c>
    </row>
    <row r="1307">
      <c r="A1307" s="1" t="n"/>
      <c r="B1307" s="26" t="n"/>
      <c r="C1307" s="27" t="n"/>
      <c r="D1307" s="28" t="n"/>
      <c r="E1307" s="29" t="n"/>
      <c r="F1307" s="29" t="n"/>
      <c r="G1307" s="28" t="n"/>
      <c r="H1307" s="1" t="n"/>
      <c r="I1307">
        <f>IF(OR(B1307="",C1307=""),"",B1307+MOD(C1307,1))</f>
        <v/>
      </c>
      <c r="J1307">
        <f>IF(I1307="","",IF(B1307=Dashboard!$AA$1,I1307,""))</f>
        <v/>
      </c>
    </row>
    <row r="1308">
      <c r="A1308" s="1" t="n"/>
      <c r="B1308" s="26" t="n"/>
      <c r="C1308" s="27" t="n"/>
      <c r="D1308" s="28" t="n"/>
      <c r="E1308" s="29" t="n"/>
      <c r="F1308" s="29" t="n"/>
      <c r="G1308" s="28" t="n"/>
      <c r="H1308" s="1" t="n"/>
      <c r="I1308">
        <f>IF(OR(B1308="",C1308=""),"",B1308+MOD(C1308,1))</f>
        <v/>
      </c>
      <c r="J1308">
        <f>IF(I1308="","",IF(B1308=Dashboard!$AA$1,I1308,""))</f>
        <v/>
      </c>
    </row>
    <row r="1309">
      <c r="A1309" s="1" t="n"/>
      <c r="B1309" s="26" t="n"/>
      <c r="C1309" s="27" t="n"/>
      <c r="D1309" s="28" t="n"/>
      <c r="E1309" s="29" t="n"/>
      <c r="F1309" s="29" t="n"/>
      <c r="G1309" s="28" t="n"/>
      <c r="H1309" s="1" t="n"/>
      <c r="I1309">
        <f>IF(OR(B1309="",C1309=""),"",B1309+MOD(C1309,1))</f>
        <v/>
      </c>
      <c r="J1309">
        <f>IF(I1309="","",IF(B1309=Dashboard!$AA$1,I1309,""))</f>
        <v/>
      </c>
    </row>
    <row r="1310">
      <c r="A1310" s="1" t="n"/>
      <c r="B1310" s="26" t="n"/>
      <c r="C1310" s="27" t="n"/>
      <c r="D1310" s="28" t="n"/>
      <c r="E1310" s="29" t="n"/>
      <c r="F1310" s="29" t="n"/>
      <c r="G1310" s="28" t="n"/>
      <c r="H1310" s="1" t="n"/>
      <c r="I1310">
        <f>IF(OR(B1310="",C1310=""),"",B1310+MOD(C1310,1))</f>
        <v/>
      </c>
      <c r="J1310">
        <f>IF(I1310="","",IF(B1310=Dashboard!$AA$1,I1310,""))</f>
        <v/>
      </c>
    </row>
    <row r="1311">
      <c r="A1311" s="1" t="n"/>
      <c r="B1311" s="26" t="n"/>
      <c r="C1311" s="27" t="n"/>
      <c r="D1311" s="28" t="n"/>
      <c r="E1311" s="29" t="n"/>
      <c r="F1311" s="29" t="n"/>
      <c r="G1311" s="28" t="n"/>
      <c r="H1311" s="1" t="n"/>
      <c r="I1311">
        <f>IF(OR(B1311="",C1311=""),"",B1311+MOD(C1311,1))</f>
        <v/>
      </c>
      <c r="J1311">
        <f>IF(I1311="","",IF(B1311=Dashboard!$AA$1,I1311,""))</f>
        <v/>
      </c>
    </row>
    <row r="1312">
      <c r="A1312" s="1" t="n"/>
      <c r="B1312" s="26" t="n"/>
      <c r="C1312" s="27" t="n"/>
      <c r="D1312" s="28" t="n"/>
      <c r="E1312" s="29" t="n"/>
      <c r="F1312" s="29" t="n"/>
      <c r="G1312" s="28" t="n"/>
      <c r="H1312" s="1" t="n"/>
      <c r="I1312">
        <f>IF(OR(B1312="",C1312=""),"",B1312+MOD(C1312,1))</f>
        <v/>
      </c>
      <c r="J1312">
        <f>IF(I1312="","",IF(B1312=Dashboard!$AA$1,I1312,""))</f>
        <v/>
      </c>
    </row>
    <row r="1313">
      <c r="A1313" s="1" t="n"/>
      <c r="B1313" s="26" t="n"/>
      <c r="C1313" s="27" t="n"/>
      <c r="D1313" s="28" t="n"/>
      <c r="E1313" s="29" t="n"/>
      <c r="F1313" s="29" t="n"/>
      <c r="G1313" s="28" t="n"/>
      <c r="H1313" s="1" t="n"/>
      <c r="I1313">
        <f>IF(OR(B1313="",C1313=""),"",B1313+MOD(C1313,1))</f>
        <v/>
      </c>
      <c r="J1313">
        <f>IF(I1313="","",IF(B1313=Dashboard!$AA$1,I1313,""))</f>
        <v/>
      </c>
    </row>
    <row r="1314">
      <c r="A1314" s="1" t="n"/>
      <c r="B1314" s="26" t="n"/>
      <c r="C1314" s="27" t="n"/>
      <c r="D1314" s="28" t="n"/>
      <c r="E1314" s="29" t="n"/>
      <c r="F1314" s="29" t="n"/>
      <c r="G1314" s="28" t="n"/>
      <c r="H1314" s="1" t="n"/>
      <c r="I1314">
        <f>IF(OR(B1314="",C1314=""),"",B1314+MOD(C1314,1))</f>
        <v/>
      </c>
      <c r="J1314">
        <f>IF(I1314="","",IF(B1314=Dashboard!$AA$1,I1314,""))</f>
        <v/>
      </c>
    </row>
    <row r="1315">
      <c r="A1315" s="1" t="n"/>
      <c r="B1315" s="26" t="n"/>
      <c r="C1315" s="27" t="n"/>
      <c r="D1315" s="28" t="n"/>
      <c r="E1315" s="29" t="n"/>
      <c r="F1315" s="29" t="n"/>
      <c r="G1315" s="28" t="n"/>
      <c r="H1315" s="1" t="n"/>
      <c r="I1315">
        <f>IF(OR(B1315="",C1315=""),"",B1315+MOD(C1315,1))</f>
        <v/>
      </c>
      <c r="J1315">
        <f>IF(I1315="","",IF(B1315=Dashboard!$AA$1,I1315,""))</f>
        <v/>
      </c>
    </row>
    <row r="1316">
      <c r="A1316" s="1" t="n"/>
      <c r="B1316" s="26" t="n"/>
      <c r="C1316" s="27" t="n"/>
      <c r="D1316" s="28" t="n"/>
      <c r="E1316" s="29" t="n"/>
      <c r="F1316" s="29" t="n"/>
      <c r="G1316" s="28" t="n"/>
      <c r="H1316" s="1" t="n"/>
      <c r="I1316">
        <f>IF(OR(B1316="",C1316=""),"",B1316+MOD(C1316,1))</f>
        <v/>
      </c>
      <c r="J1316">
        <f>IF(I1316="","",IF(B1316=Dashboard!$AA$1,I1316,""))</f>
        <v/>
      </c>
    </row>
    <row r="1317">
      <c r="A1317" s="1" t="n"/>
      <c r="B1317" s="26" t="n"/>
      <c r="C1317" s="27" t="n"/>
      <c r="D1317" s="28" t="n"/>
      <c r="E1317" s="29" t="n"/>
      <c r="F1317" s="29" t="n"/>
      <c r="G1317" s="28" t="n"/>
      <c r="H1317" s="1" t="n"/>
      <c r="I1317">
        <f>IF(OR(B1317="",C1317=""),"",B1317+MOD(C1317,1))</f>
        <v/>
      </c>
      <c r="J1317">
        <f>IF(I1317="","",IF(B1317=Dashboard!$AA$1,I1317,""))</f>
        <v/>
      </c>
    </row>
    <row r="1318">
      <c r="A1318" s="1" t="n"/>
      <c r="B1318" s="26" t="n"/>
      <c r="C1318" s="27" t="n"/>
      <c r="D1318" s="28" t="n"/>
      <c r="E1318" s="29" t="n"/>
      <c r="F1318" s="29" t="n"/>
      <c r="G1318" s="28" t="n"/>
      <c r="H1318" s="1" t="n"/>
      <c r="I1318">
        <f>IF(OR(B1318="",C1318=""),"",B1318+MOD(C1318,1))</f>
        <v/>
      </c>
      <c r="J1318">
        <f>IF(I1318="","",IF(B1318=Dashboard!$AA$1,I1318,""))</f>
        <v/>
      </c>
    </row>
    <row r="1319">
      <c r="A1319" s="1" t="n"/>
      <c r="B1319" s="26" t="n"/>
      <c r="C1319" s="27" t="n"/>
      <c r="D1319" s="28" t="n"/>
      <c r="E1319" s="29" t="n"/>
      <c r="F1319" s="29" t="n"/>
      <c r="G1319" s="28" t="n"/>
      <c r="H1319" s="1" t="n"/>
      <c r="I1319">
        <f>IF(OR(B1319="",C1319=""),"",B1319+MOD(C1319,1))</f>
        <v/>
      </c>
      <c r="J1319">
        <f>IF(I1319="","",IF(B1319=Dashboard!$AA$1,I1319,""))</f>
        <v/>
      </c>
    </row>
    <row r="1320">
      <c r="A1320" s="1" t="n"/>
      <c r="B1320" s="26" t="n"/>
      <c r="C1320" s="27" t="n"/>
      <c r="D1320" s="28" t="n"/>
      <c r="E1320" s="29" t="n"/>
      <c r="F1320" s="29" t="n"/>
      <c r="G1320" s="28" t="n"/>
      <c r="H1320" s="1" t="n"/>
      <c r="I1320">
        <f>IF(OR(B1320="",C1320=""),"",B1320+MOD(C1320,1))</f>
        <v/>
      </c>
      <c r="J1320">
        <f>IF(I1320="","",IF(B1320=Dashboard!$AA$1,I1320,""))</f>
        <v/>
      </c>
    </row>
    <row r="1321">
      <c r="A1321" s="1" t="n"/>
      <c r="B1321" s="26" t="n"/>
      <c r="C1321" s="27" t="n"/>
      <c r="D1321" s="28" t="n"/>
      <c r="E1321" s="29" t="n"/>
      <c r="F1321" s="29" t="n"/>
      <c r="G1321" s="28" t="n"/>
      <c r="H1321" s="1" t="n"/>
      <c r="I1321">
        <f>IF(OR(B1321="",C1321=""),"",B1321+MOD(C1321,1))</f>
        <v/>
      </c>
      <c r="J1321">
        <f>IF(I1321="","",IF(B1321=Dashboard!$AA$1,I1321,""))</f>
        <v/>
      </c>
    </row>
    <row r="1322">
      <c r="A1322" s="1" t="n"/>
      <c r="B1322" s="26" t="n"/>
      <c r="C1322" s="27" t="n"/>
      <c r="D1322" s="28" t="n"/>
      <c r="E1322" s="29" t="n"/>
      <c r="F1322" s="29" t="n"/>
      <c r="G1322" s="28" t="n"/>
      <c r="H1322" s="1" t="n"/>
      <c r="I1322">
        <f>IF(OR(B1322="",C1322=""),"",B1322+MOD(C1322,1))</f>
        <v/>
      </c>
      <c r="J1322">
        <f>IF(I1322="","",IF(B1322=Dashboard!$AA$1,I1322,""))</f>
        <v/>
      </c>
    </row>
    <row r="1323">
      <c r="A1323" s="1" t="n"/>
      <c r="B1323" s="26" t="n"/>
      <c r="C1323" s="27" t="n"/>
      <c r="D1323" s="28" t="n"/>
      <c r="E1323" s="29" t="n"/>
      <c r="F1323" s="29" t="n"/>
      <c r="G1323" s="28" t="n"/>
      <c r="H1323" s="1" t="n"/>
      <c r="I1323">
        <f>IF(OR(B1323="",C1323=""),"",B1323+MOD(C1323,1))</f>
        <v/>
      </c>
      <c r="J1323">
        <f>IF(I1323="","",IF(B1323=Dashboard!$AA$1,I1323,""))</f>
        <v/>
      </c>
    </row>
    <row r="1324">
      <c r="A1324" s="1" t="n"/>
      <c r="B1324" s="26" t="n"/>
      <c r="C1324" s="27" t="n"/>
      <c r="D1324" s="28" t="n"/>
      <c r="E1324" s="29" t="n"/>
      <c r="F1324" s="29" t="n"/>
      <c r="G1324" s="28" t="n"/>
      <c r="H1324" s="1" t="n"/>
      <c r="I1324">
        <f>IF(OR(B1324="",C1324=""),"",B1324+MOD(C1324,1))</f>
        <v/>
      </c>
      <c r="J1324">
        <f>IF(I1324="","",IF(B1324=Dashboard!$AA$1,I1324,""))</f>
        <v/>
      </c>
    </row>
    <row r="1325">
      <c r="A1325" s="1" t="n"/>
      <c r="B1325" s="26" t="n"/>
      <c r="C1325" s="27" t="n"/>
      <c r="D1325" s="28" t="n"/>
      <c r="E1325" s="29" t="n"/>
      <c r="F1325" s="29" t="n"/>
      <c r="G1325" s="28" t="n"/>
      <c r="H1325" s="1" t="n"/>
      <c r="I1325">
        <f>IF(OR(B1325="",C1325=""),"",B1325+MOD(C1325,1))</f>
        <v/>
      </c>
      <c r="J1325">
        <f>IF(I1325="","",IF(B1325=Dashboard!$AA$1,I1325,""))</f>
        <v/>
      </c>
    </row>
    <row r="1326">
      <c r="A1326" s="1" t="n"/>
      <c r="B1326" s="26" t="n"/>
      <c r="C1326" s="27" t="n"/>
      <c r="D1326" s="28" t="n"/>
      <c r="E1326" s="29" t="n"/>
      <c r="F1326" s="29" t="n"/>
      <c r="G1326" s="28" t="n"/>
      <c r="H1326" s="1" t="n"/>
      <c r="I1326">
        <f>IF(OR(B1326="",C1326=""),"",B1326+MOD(C1326,1))</f>
        <v/>
      </c>
      <c r="J1326">
        <f>IF(I1326="","",IF(B1326=Dashboard!$AA$1,I1326,""))</f>
        <v/>
      </c>
    </row>
    <row r="1327">
      <c r="A1327" s="1" t="n"/>
      <c r="B1327" s="26" t="n"/>
      <c r="C1327" s="27" t="n"/>
      <c r="D1327" s="28" t="n"/>
      <c r="E1327" s="29" t="n"/>
      <c r="F1327" s="29" t="n"/>
      <c r="G1327" s="28" t="n"/>
      <c r="H1327" s="1" t="n"/>
      <c r="I1327">
        <f>IF(OR(B1327="",C1327=""),"",B1327+MOD(C1327,1))</f>
        <v/>
      </c>
      <c r="J1327">
        <f>IF(I1327="","",IF(B1327=Dashboard!$AA$1,I1327,""))</f>
        <v/>
      </c>
    </row>
    <row r="1328">
      <c r="A1328" s="1" t="n"/>
      <c r="B1328" s="26" t="n"/>
      <c r="C1328" s="27" t="n"/>
      <c r="D1328" s="28" t="n"/>
      <c r="E1328" s="29" t="n"/>
      <c r="F1328" s="29" t="n"/>
      <c r="G1328" s="28" t="n"/>
      <c r="H1328" s="1" t="n"/>
      <c r="I1328">
        <f>IF(OR(B1328="",C1328=""),"",B1328+MOD(C1328,1))</f>
        <v/>
      </c>
      <c r="J1328">
        <f>IF(I1328="","",IF(B1328=Dashboard!$AA$1,I1328,""))</f>
        <v/>
      </c>
    </row>
    <row r="1329">
      <c r="A1329" s="1" t="n"/>
      <c r="B1329" s="26" t="n"/>
      <c r="C1329" s="27" t="n"/>
      <c r="D1329" s="28" t="n"/>
      <c r="E1329" s="29" t="n"/>
      <c r="F1329" s="29" t="n"/>
      <c r="G1329" s="28" t="n"/>
      <c r="H1329" s="1" t="n"/>
      <c r="I1329">
        <f>IF(OR(B1329="",C1329=""),"",B1329+MOD(C1329,1))</f>
        <v/>
      </c>
      <c r="J1329">
        <f>IF(I1329="","",IF(B1329=Dashboard!$AA$1,I1329,""))</f>
        <v/>
      </c>
    </row>
    <row r="1330">
      <c r="A1330" s="1" t="n"/>
      <c r="B1330" s="26" t="n"/>
      <c r="C1330" s="27" t="n"/>
      <c r="D1330" s="28" t="n"/>
      <c r="E1330" s="29" t="n"/>
      <c r="F1330" s="29" t="n"/>
      <c r="G1330" s="28" t="n"/>
      <c r="H1330" s="1" t="n"/>
      <c r="I1330">
        <f>IF(OR(B1330="",C1330=""),"",B1330+MOD(C1330,1))</f>
        <v/>
      </c>
      <c r="J1330">
        <f>IF(I1330="","",IF(B1330=Dashboard!$AA$1,I1330,""))</f>
        <v/>
      </c>
    </row>
    <row r="1331">
      <c r="A1331" s="1" t="n"/>
      <c r="B1331" s="26" t="n"/>
      <c r="C1331" s="27" t="n"/>
      <c r="D1331" s="28" t="n"/>
      <c r="E1331" s="29" t="n"/>
      <c r="F1331" s="29" t="n"/>
      <c r="G1331" s="28" t="n"/>
      <c r="H1331" s="1" t="n"/>
      <c r="I1331">
        <f>IF(OR(B1331="",C1331=""),"",B1331+MOD(C1331,1))</f>
        <v/>
      </c>
      <c r="J1331">
        <f>IF(I1331="","",IF(B1331=Dashboard!$AA$1,I1331,""))</f>
        <v/>
      </c>
    </row>
    <row r="1332">
      <c r="A1332" s="1" t="n"/>
      <c r="B1332" s="26" t="n"/>
      <c r="C1332" s="27" t="n"/>
      <c r="D1332" s="28" t="n"/>
      <c r="E1332" s="29" t="n"/>
      <c r="F1332" s="29" t="n"/>
      <c r="G1332" s="28" t="n"/>
      <c r="H1332" s="1" t="n"/>
      <c r="I1332">
        <f>IF(OR(B1332="",C1332=""),"",B1332+MOD(C1332,1))</f>
        <v/>
      </c>
      <c r="J1332">
        <f>IF(I1332="","",IF(B1332=Dashboard!$AA$1,I1332,""))</f>
        <v/>
      </c>
    </row>
    <row r="1333">
      <c r="A1333" s="1" t="n"/>
      <c r="B1333" s="26" t="n"/>
      <c r="C1333" s="27" t="n"/>
      <c r="D1333" s="28" t="n"/>
      <c r="E1333" s="29" t="n"/>
      <c r="F1333" s="29" t="n"/>
      <c r="G1333" s="28" t="n"/>
      <c r="H1333" s="1" t="n"/>
      <c r="I1333">
        <f>IF(OR(B1333="",C1333=""),"",B1333+MOD(C1333,1))</f>
        <v/>
      </c>
      <c r="J1333">
        <f>IF(I1333="","",IF(B1333=Dashboard!$AA$1,I1333,""))</f>
        <v/>
      </c>
    </row>
    <row r="1334">
      <c r="A1334" s="1" t="n"/>
      <c r="B1334" s="26" t="n"/>
      <c r="C1334" s="27" t="n"/>
      <c r="D1334" s="28" t="n"/>
      <c r="E1334" s="29" t="n"/>
      <c r="F1334" s="29" t="n"/>
      <c r="G1334" s="28" t="n"/>
      <c r="H1334" s="1" t="n"/>
      <c r="I1334">
        <f>IF(OR(B1334="",C1334=""),"",B1334+MOD(C1334,1))</f>
        <v/>
      </c>
      <c r="J1334">
        <f>IF(I1334="","",IF(B1334=Dashboard!$AA$1,I1334,""))</f>
        <v/>
      </c>
    </row>
    <row r="1335">
      <c r="A1335" s="1" t="n"/>
      <c r="B1335" s="26" t="n"/>
      <c r="C1335" s="27" t="n"/>
      <c r="D1335" s="28" t="n"/>
      <c r="E1335" s="29" t="n"/>
      <c r="F1335" s="29" t="n"/>
      <c r="G1335" s="28" t="n"/>
      <c r="H1335" s="1" t="n"/>
      <c r="I1335">
        <f>IF(OR(B1335="",C1335=""),"",B1335+MOD(C1335,1))</f>
        <v/>
      </c>
      <c r="J1335">
        <f>IF(I1335="","",IF(B1335=Dashboard!$AA$1,I1335,""))</f>
        <v/>
      </c>
    </row>
    <row r="1336">
      <c r="A1336" s="1" t="n"/>
      <c r="B1336" s="26" t="n"/>
      <c r="C1336" s="27" t="n"/>
      <c r="D1336" s="28" t="n"/>
      <c r="E1336" s="29" t="n"/>
      <c r="F1336" s="29" t="n"/>
      <c r="G1336" s="28" t="n"/>
      <c r="H1336" s="1" t="n"/>
      <c r="I1336">
        <f>IF(OR(B1336="",C1336=""),"",B1336+MOD(C1336,1))</f>
        <v/>
      </c>
      <c r="J1336">
        <f>IF(I1336="","",IF(B1336=Dashboard!$AA$1,I1336,""))</f>
        <v/>
      </c>
    </row>
    <row r="1337">
      <c r="A1337" s="1" t="n"/>
      <c r="B1337" s="26" t="n"/>
      <c r="C1337" s="27" t="n"/>
      <c r="D1337" s="28" t="n"/>
      <c r="E1337" s="29" t="n"/>
      <c r="F1337" s="29" t="n"/>
      <c r="G1337" s="28" t="n"/>
      <c r="H1337" s="1" t="n"/>
      <c r="I1337">
        <f>IF(OR(B1337="",C1337=""),"",B1337+MOD(C1337,1))</f>
        <v/>
      </c>
      <c r="J1337">
        <f>IF(I1337="","",IF(B1337=Dashboard!$AA$1,I1337,""))</f>
        <v/>
      </c>
    </row>
    <row r="1338">
      <c r="A1338" s="1" t="n"/>
      <c r="B1338" s="26" t="n"/>
      <c r="C1338" s="27" t="n"/>
      <c r="D1338" s="28" t="n"/>
      <c r="E1338" s="29" t="n"/>
      <c r="F1338" s="29" t="n"/>
      <c r="G1338" s="28" t="n"/>
      <c r="H1338" s="1" t="n"/>
      <c r="I1338">
        <f>IF(OR(B1338="",C1338=""),"",B1338+MOD(C1338,1))</f>
        <v/>
      </c>
      <c r="J1338">
        <f>IF(I1338="","",IF(B1338=Dashboard!$AA$1,I1338,""))</f>
        <v/>
      </c>
    </row>
    <row r="1339">
      <c r="A1339" s="1" t="n"/>
      <c r="B1339" s="26" t="n"/>
      <c r="C1339" s="27" t="n"/>
      <c r="D1339" s="28" t="n"/>
      <c r="E1339" s="29" t="n"/>
      <c r="F1339" s="29" t="n"/>
      <c r="G1339" s="28" t="n"/>
      <c r="H1339" s="1" t="n"/>
      <c r="I1339">
        <f>IF(OR(B1339="",C1339=""),"",B1339+MOD(C1339,1))</f>
        <v/>
      </c>
      <c r="J1339">
        <f>IF(I1339="","",IF(B1339=Dashboard!$AA$1,I1339,""))</f>
        <v/>
      </c>
    </row>
    <row r="1340">
      <c r="A1340" s="1" t="n"/>
      <c r="B1340" s="26" t="n"/>
      <c r="C1340" s="27" t="n"/>
      <c r="D1340" s="28" t="n"/>
      <c r="E1340" s="29" t="n"/>
      <c r="F1340" s="29" t="n"/>
      <c r="G1340" s="28" t="n"/>
      <c r="H1340" s="1" t="n"/>
      <c r="I1340">
        <f>IF(OR(B1340="",C1340=""),"",B1340+MOD(C1340,1))</f>
        <v/>
      </c>
      <c r="J1340">
        <f>IF(I1340="","",IF(B1340=Dashboard!$AA$1,I1340,""))</f>
        <v/>
      </c>
    </row>
    <row r="1341">
      <c r="A1341" s="1" t="n"/>
      <c r="B1341" s="26" t="n"/>
      <c r="C1341" s="27" t="n"/>
      <c r="D1341" s="28" t="n"/>
      <c r="E1341" s="29" t="n"/>
      <c r="F1341" s="29" t="n"/>
      <c r="G1341" s="28" t="n"/>
      <c r="H1341" s="1" t="n"/>
      <c r="I1341">
        <f>IF(OR(B1341="",C1341=""),"",B1341+MOD(C1341,1))</f>
        <v/>
      </c>
      <c r="J1341">
        <f>IF(I1341="","",IF(B1341=Dashboard!$AA$1,I1341,""))</f>
        <v/>
      </c>
    </row>
    <row r="1342">
      <c r="A1342" s="1" t="n"/>
      <c r="B1342" s="26" t="n"/>
      <c r="C1342" s="27" t="n"/>
      <c r="D1342" s="28" t="n"/>
      <c r="E1342" s="29" t="n"/>
      <c r="F1342" s="29" t="n"/>
      <c r="G1342" s="28" t="n"/>
      <c r="H1342" s="1" t="n"/>
      <c r="I1342">
        <f>IF(OR(B1342="",C1342=""),"",B1342+MOD(C1342,1))</f>
        <v/>
      </c>
      <c r="J1342">
        <f>IF(I1342="","",IF(B1342=Dashboard!$AA$1,I1342,""))</f>
        <v/>
      </c>
    </row>
    <row r="1343">
      <c r="A1343" s="1" t="n"/>
      <c r="B1343" s="26" t="n"/>
      <c r="C1343" s="27" t="n"/>
      <c r="D1343" s="28" t="n"/>
      <c r="E1343" s="29" t="n"/>
      <c r="F1343" s="29" t="n"/>
      <c r="G1343" s="28" t="n"/>
      <c r="H1343" s="1" t="n"/>
      <c r="I1343">
        <f>IF(OR(B1343="",C1343=""),"",B1343+MOD(C1343,1))</f>
        <v/>
      </c>
      <c r="J1343">
        <f>IF(I1343="","",IF(B1343=Dashboard!$AA$1,I1343,""))</f>
        <v/>
      </c>
    </row>
    <row r="1344">
      <c r="A1344" s="1" t="n"/>
      <c r="B1344" s="26" t="n"/>
      <c r="C1344" s="27" t="n"/>
      <c r="D1344" s="28" t="n"/>
      <c r="E1344" s="29" t="n"/>
      <c r="F1344" s="29" t="n"/>
      <c r="G1344" s="28" t="n"/>
      <c r="H1344" s="1" t="n"/>
      <c r="I1344">
        <f>IF(OR(B1344="",C1344=""),"",B1344+MOD(C1344,1))</f>
        <v/>
      </c>
      <c r="J1344">
        <f>IF(I1344="","",IF(B1344=Dashboard!$AA$1,I1344,""))</f>
        <v/>
      </c>
    </row>
    <row r="1345">
      <c r="A1345" s="1" t="n"/>
      <c r="B1345" s="26" t="n"/>
      <c r="C1345" s="27" t="n"/>
      <c r="D1345" s="28" t="n"/>
      <c r="E1345" s="29" t="n"/>
      <c r="F1345" s="29" t="n"/>
      <c r="G1345" s="28" t="n"/>
      <c r="H1345" s="1" t="n"/>
      <c r="I1345">
        <f>IF(OR(B1345="",C1345=""),"",B1345+MOD(C1345,1))</f>
        <v/>
      </c>
      <c r="J1345">
        <f>IF(I1345="","",IF(B1345=Dashboard!$AA$1,I1345,""))</f>
        <v/>
      </c>
    </row>
    <row r="1346">
      <c r="A1346" s="1" t="n"/>
      <c r="B1346" s="26" t="n"/>
      <c r="C1346" s="27" t="n"/>
      <c r="D1346" s="28" t="n"/>
      <c r="E1346" s="29" t="n"/>
      <c r="F1346" s="29" t="n"/>
      <c r="G1346" s="28" t="n"/>
      <c r="H1346" s="1" t="n"/>
      <c r="I1346">
        <f>IF(OR(B1346="",C1346=""),"",B1346+MOD(C1346,1))</f>
        <v/>
      </c>
      <c r="J1346">
        <f>IF(I1346="","",IF(B1346=Dashboard!$AA$1,I1346,""))</f>
        <v/>
      </c>
    </row>
    <row r="1347">
      <c r="A1347" s="1" t="n"/>
      <c r="B1347" s="26" t="n"/>
      <c r="C1347" s="27" t="n"/>
      <c r="D1347" s="28" t="n"/>
      <c r="E1347" s="29" t="n"/>
      <c r="F1347" s="29" t="n"/>
      <c r="G1347" s="28" t="n"/>
      <c r="H1347" s="1" t="n"/>
      <c r="I1347">
        <f>IF(OR(B1347="",C1347=""),"",B1347+MOD(C1347,1))</f>
        <v/>
      </c>
      <c r="J1347">
        <f>IF(I1347="","",IF(B1347=Dashboard!$AA$1,I1347,""))</f>
        <v/>
      </c>
    </row>
    <row r="1348">
      <c r="A1348" s="1" t="n"/>
      <c r="B1348" s="26" t="n"/>
      <c r="C1348" s="27" t="n"/>
      <c r="D1348" s="28" t="n"/>
      <c r="E1348" s="29" t="n"/>
      <c r="F1348" s="29" t="n"/>
      <c r="G1348" s="28" t="n"/>
      <c r="H1348" s="1" t="n"/>
      <c r="I1348">
        <f>IF(OR(B1348="",C1348=""),"",B1348+MOD(C1348,1))</f>
        <v/>
      </c>
      <c r="J1348">
        <f>IF(I1348="","",IF(B1348=Dashboard!$AA$1,I1348,""))</f>
        <v/>
      </c>
    </row>
    <row r="1349">
      <c r="A1349" s="1" t="n"/>
      <c r="B1349" s="26" t="n"/>
      <c r="C1349" s="27" t="n"/>
      <c r="D1349" s="28" t="n"/>
      <c r="E1349" s="29" t="n"/>
      <c r="F1349" s="29" t="n"/>
      <c r="G1349" s="28" t="n"/>
      <c r="H1349" s="1" t="n"/>
      <c r="I1349">
        <f>IF(OR(B1349="",C1349=""),"",B1349+MOD(C1349,1))</f>
        <v/>
      </c>
      <c r="J1349">
        <f>IF(I1349="","",IF(B1349=Dashboard!$AA$1,I1349,""))</f>
        <v/>
      </c>
    </row>
    <row r="1350">
      <c r="A1350" s="1" t="n"/>
      <c r="B1350" s="26" t="n"/>
      <c r="C1350" s="27" t="n"/>
      <c r="D1350" s="28" t="n"/>
      <c r="E1350" s="29" t="n"/>
      <c r="F1350" s="29" t="n"/>
      <c r="G1350" s="28" t="n"/>
      <c r="H1350" s="1" t="n"/>
      <c r="I1350">
        <f>IF(OR(B1350="",C1350=""),"",B1350+MOD(C1350,1))</f>
        <v/>
      </c>
      <c r="J1350">
        <f>IF(I1350="","",IF(B1350=Dashboard!$AA$1,I1350,""))</f>
        <v/>
      </c>
    </row>
    <row r="1351">
      <c r="A1351" s="1" t="n"/>
      <c r="B1351" s="26" t="n"/>
      <c r="C1351" s="27" t="n"/>
      <c r="D1351" s="28" t="n"/>
      <c r="E1351" s="29" t="n"/>
      <c r="F1351" s="29" t="n"/>
      <c r="G1351" s="28" t="n"/>
      <c r="H1351" s="1" t="n"/>
      <c r="I1351">
        <f>IF(OR(B1351="",C1351=""),"",B1351+MOD(C1351,1))</f>
        <v/>
      </c>
      <c r="J1351">
        <f>IF(I1351="","",IF(B1351=Dashboard!$AA$1,I1351,""))</f>
        <v/>
      </c>
    </row>
    <row r="1352">
      <c r="A1352" s="1" t="n"/>
      <c r="B1352" s="26" t="n"/>
      <c r="C1352" s="27" t="n"/>
      <c r="D1352" s="28" t="n"/>
      <c r="E1352" s="29" t="n"/>
      <c r="F1352" s="29" t="n"/>
      <c r="G1352" s="28" t="n"/>
      <c r="H1352" s="1" t="n"/>
      <c r="I1352">
        <f>IF(OR(B1352="",C1352=""),"",B1352+MOD(C1352,1))</f>
        <v/>
      </c>
      <c r="J1352">
        <f>IF(I1352="","",IF(B1352=Dashboard!$AA$1,I1352,""))</f>
        <v/>
      </c>
    </row>
    <row r="1353">
      <c r="A1353" s="1" t="n"/>
      <c r="B1353" s="26" t="n"/>
      <c r="C1353" s="27" t="n"/>
      <c r="D1353" s="28" t="n"/>
      <c r="E1353" s="29" t="n"/>
      <c r="F1353" s="29" t="n"/>
      <c r="G1353" s="28" t="n"/>
      <c r="H1353" s="1" t="n"/>
      <c r="I1353">
        <f>IF(OR(B1353="",C1353=""),"",B1353+MOD(C1353,1))</f>
        <v/>
      </c>
      <c r="J1353">
        <f>IF(I1353="","",IF(B1353=Dashboard!$AA$1,I1353,""))</f>
        <v/>
      </c>
    </row>
    <row r="1354">
      <c r="A1354" s="1" t="n"/>
      <c r="B1354" s="26" t="n"/>
      <c r="C1354" s="27" t="n"/>
      <c r="D1354" s="28" t="n"/>
      <c r="E1354" s="29" t="n"/>
      <c r="F1354" s="29" t="n"/>
      <c r="G1354" s="28" t="n"/>
      <c r="H1354" s="1" t="n"/>
      <c r="I1354">
        <f>IF(OR(B1354="",C1354=""),"",B1354+MOD(C1354,1))</f>
        <v/>
      </c>
      <c r="J1354">
        <f>IF(I1354="","",IF(B1354=Dashboard!$AA$1,I1354,""))</f>
        <v/>
      </c>
    </row>
    <row r="1355">
      <c r="A1355" s="1" t="n"/>
      <c r="B1355" s="26" t="n"/>
      <c r="C1355" s="27" t="n"/>
      <c r="D1355" s="28" t="n"/>
      <c r="E1355" s="29" t="n"/>
      <c r="F1355" s="29" t="n"/>
      <c r="G1355" s="28" t="n"/>
      <c r="H1355" s="1" t="n"/>
      <c r="I1355">
        <f>IF(OR(B1355="",C1355=""),"",B1355+MOD(C1355,1))</f>
        <v/>
      </c>
      <c r="J1355">
        <f>IF(I1355="","",IF(B1355=Dashboard!$AA$1,I1355,""))</f>
        <v/>
      </c>
    </row>
    <row r="1356">
      <c r="A1356" s="1" t="n"/>
      <c r="B1356" s="26" t="n"/>
      <c r="C1356" s="27" t="n"/>
      <c r="D1356" s="28" t="n"/>
      <c r="E1356" s="29" t="n"/>
      <c r="F1356" s="29" t="n"/>
      <c r="G1356" s="28" t="n"/>
      <c r="H1356" s="1" t="n"/>
      <c r="I1356">
        <f>IF(OR(B1356="",C1356=""),"",B1356+MOD(C1356,1))</f>
        <v/>
      </c>
      <c r="J1356">
        <f>IF(I1356="","",IF(B1356=Dashboard!$AA$1,I1356,""))</f>
        <v/>
      </c>
    </row>
    <row r="1357">
      <c r="A1357" s="1" t="n"/>
      <c r="B1357" s="26" t="n"/>
      <c r="C1357" s="27" t="n"/>
      <c r="D1357" s="28" t="n"/>
      <c r="E1357" s="29" t="n"/>
      <c r="F1357" s="29" t="n"/>
      <c r="G1357" s="28" t="n"/>
      <c r="H1357" s="1" t="n"/>
      <c r="I1357">
        <f>IF(OR(B1357="",C1357=""),"",B1357+MOD(C1357,1))</f>
        <v/>
      </c>
      <c r="J1357">
        <f>IF(I1357="","",IF(B1357=Dashboard!$AA$1,I1357,""))</f>
        <v/>
      </c>
    </row>
    <row r="1358">
      <c r="A1358" s="1" t="n"/>
      <c r="B1358" s="26" t="n"/>
      <c r="C1358" s="27" t="n"/>
      <c r="D1358" s="28" t="n"/>
      <c r="E1358" s="29" t="n"/>
      <c r="F1358" s="29" t="n"/>
      <c r="G1358" s="28" t="n"/>
      <c r="H1358" s="1" t="n"/>
      <c r="I1358">
        <f>IF(OR(B1358="",C1358=""),"",B1358+MOD(C1358,1))</f>
        <v/>
      </c>
      <c r="J1358">
        <f>IF(I1358="","",IF(B1358=Dashboard!$AA$1,I1358,""))</f>
        <v/>
      </c>
    </row>
    <row r="1359">
      <c r="A1359" s="1" t="n"/>
      <c r="B1359" s="26" t="n"/>
      <c r="C1359" s="27" t="n"/>
      <c r="D1359" s="28" t="n"/>
      <c r="E1359" s="29" t="n"/>
      <c r="F1359" s="29" t="n"/>
      <c r="G1359" s="28" t="n"/>
      <c r="H1359" s="1" t="n"/>
      <c r="I1359">
        <f>IF(OR(B1359="",C1359=""),"",B1359+MOD(C1359,1))</f>
        <v/>
      </c>
      <c r="J1359">
        <f>IF(I1359="","",IF(B1359=Dashboard!$AA$1,I1359,""))</f>
        <v/>
      </c>
    </row>
    <row r="1360">
      <c r="A1360" s="1" t="n"/>
      <c r="B1360" s="26" t="n"/>
      <c r="C1360" s="27" t="n"/>
      <c r="D1360" s="28" t="n"/>
      <c r="E1360" s="29" t="n"/>
      <c r="F1360" s="29" t="n"/>
      <c r="G1360" s="28" t="n"/>
      <c r="H1360" s="1" t="n"/>
      <c r="I1360">
        <f>IF(OR(B1360="",C1360=""),"",B1360+MOD(C1360,1))</f>
        <v/>
      </c>
      <c r="J1360">
        <f>IF(I1360="","",IF(B1360=Dashboard!$AA$1,I1360,""))</f>
        <v/>
      </c>
    </row>
    <row r="1361">
      <c r="A1361" s="1" t="n"/>
      <c r="B1361" s="26" t="n"/>
      <c r="C1361" s="27" t="n"/>
      <c r="D1361" s="28" t="n"/>
      <c r="E1361" s="29" t="n"/>
      <c r="F1361" s="29" t="n"/>
      <c r="G1361" s="28" t="n"/>
      <c r="H1361" s="1" t="n"/>
      <c r="I1361">
        <f>IF(OR(B1361="",C1361=""),"",B1361+MOD(C1361,1))</f>
        <v/>
      </c>
      <c r="J1361">
        <f>IF(I1361="","",IF(B1361=Dashboard!$AA$1,I1361,""))</f>
        <v/>
      </c>
    </row>
    <row r="1362">
      <c r="A1362" s="1" t="n"/>
      <c r="B1362" s="26" t="n"/>
      <c r="C1362" s="27" t="n"/>
      <c r="D1362" s="28" t="n"/>
      <c r="E1362" s="29" t="n"/>
      <c r="F1362" s="29" t="n"/>
      <c r="G1362" s="28" t="n"/>
      <c r="H1362" s="1" t="n"/>
      <c r="I1362">
        <f>IF(OR(B1362="",C1362=""),"",B1362+MOD(C1362,1))</f>
        <v/>
      </c>
      <c r="J1362">
        <f>IF(I1362="","",IF(B1362=Dashboard!$AA$1,I1362,""))</f>
        <v/>
      </c>
    </row>
    <row r="1363">
      <c r="A1363" s="1" t="n"/>
      <c r="B1363" s="26" t="n"/>
      <c r="C1363" s="27" t="n"/>
      <c r="D1363" s="28" t="n"/>
      <c r="E1363" s="29" t="n"/>
      <c r="F1363" s="29" t="n"/>
      <c r="G1363" s="28" t="n"/>
      <c r="H1363" s="1" t="n"/>
      <c r="I1363">
        <f>IF(OR(B1363="",C1363=""),"",B1363+MOD(C1363,1))</f>
        <v/>
      </c>
      <c r="J1363">
        <f>IF(I1363="","",IF(B1363=Dashboard!$AA$1,I1363,""))</f>
        <v/>
      </c>
    </row>
    <row r="1364">
      <c r="A1364" s="1" t="n"/>
      <c r="B1364" s="26" t="n"/>
      <c r="C1364" s="27" t="n"/>
      <c r="D1364" s="28" t="n"/>
      <c r="E1364" s="29" t="n"/>
      <c r="F1364" s="29" t="n"/>
      <c r="G1364" s="28" t="n"/>
      <c r="H1364" s="1" t="n"/>
      <c r="I1364">
        <f>IF(OR(B1364="",C1364=""),"",B1364+MOD(C1364,1))</f>
        <v/>
      </c>
      <c r="J1364">
        <f>IF(I1364="","",IF(B1364=Dashboard!$AA$1,I1364,""))</f>
        <v/>
      </c>
    </row>
    <row r="1365">
      <c r="A1365" s="1" t="n"/>
      <c r="B1365" s="26" t="n"/>
      <c r="C1365" s="27" t="n"/>
      <c r="D1365" s="28" t="n"/>
      <c r="E1365" s="29" t="n"/>
      <c r="F1365" s="29" t="n"/>
      <c r="G1365" s="28" t="n"/>
      <c r="H1365" s="1" t="n"/>
      <c r="I1365">
        <f>IF(OR(B1365="",C1365=""),"",B1365+MOD(C1365,1))</f>
        <v/>
      </c>
      <c r="J1365">
        <f>IF(I1365="","",IF(B1365=Dashboard!$AA$1,I1365,""))</f>
        <v/>
      </c>
    </row>
    <row r="1366">
      <c r="A1366" s="1" t="n"/>
      <c r="B1366" s="26" t="n"/>
      <c r="C1366" s="27" t="n"/>
      <c r="D1366" s="28" t="n"/>
      <c r="E1366" s="29" t="n"/>
      <c r="F1366" s="29" t="n"/>
      <c r="G1366" s="28" t="n"/>
      <c r="H1366" s="1" t="n"/>
      <c r="I1366">
        <f>IF(OR(B1366="",C1366=""),"",B1366+MOD(C1366,1))</f>
        <v/>
      </c>
      <c r="J1366">
        <f>IF(I1366="","",IF(B1366=Dashboard!$AA$1,I1366,""))</f>
        <v/>
      </c>
    </row>
    <row r="1367">
      <c r="A1367" s="1" t="n"/>
      <c r="B1367" s="26" t="n"/>
      <c r="C1367" s="27" t="n"/>
      <c r="D1367" s="28" t="n"/>
      <c r="E1367" s="29" t="n"/>
      <c r="F1367" s="29" t="n"/>
      <c r="G1367" s="28" t="n"/>
      <c r="H1367" s="1" t="n"/>
      <c r="I1367">
        <f>IF(OR(B1367="",C1367=""),"",B1367+MOD(C1367,1))</f>
        <v/>
      </c>
      <c r="J1367">
        <f>IF(I1367="","",IF(B1367=Dashboard!$AA$1,I1367,""))</f>
        <v/>
      </c>
    </row>
    <row r="1368">
      <c r="A1368" s="1" t="n"/>
      <c r="B1368" s="26" t="n"/>
      <c r="C1368" s="27" t="n"/>
      <c r="D1368" s="28" t="n"/>
      <c r="E1368" s="29" t="n"/>
      <c r="F1368" s="29" t="n"/>
      <c r="G1368" s="28" t="n"/>
      <c r="H1368" s="1" t="n"/>
      <c r="I1368">
        <f>IF(OR(B1368="",C1368=""),"",B1368+MOD(C1368,1))</f>
        <v/>
      </c>
      <c r="J1368">
        <f>IF(I1368="","",IF(B1368=Dashboard!$AA$1,I1368,""))</f>
        <v/>
      </c>
    </row>
    <row r="1369">
      <c r="A1369" s="1" t="n"/>
      <c r="B1369" s="26" t="n"/>
      <c r="C1369" s="27" t="n"/>
      <c r="D1369" s="28" t="n"/>
      <c r="E1369" s="29" t="n"/>
      <c r="F1369" s="29" t="n"/>
      <c r="G1369" s="28" t="n"/>
      <c r="H1369" s="1" t="n"/>
      <c r="I1369">
        <f>IF(OR(B1369="",C1369=""),"",B1369+MOD(C1369,1))</f>
        <v/>
      </c>
      <c r="J1369">
        <f>IF(I1369="","",IF(B1369=Dashboard!$AA$1,I1369,""))</f>
        <v/>
      </c>
    </row>
    <row r="1370">
      <c r="A1370" s="1" t="n"/>
      <c r="B1370" s="26" t="n"/>
      <c r="C1370" s="27" t="n"/>
      <c r="D1370" s="28" t="n"/>
      <c r="E1370" s="29" t="n"/>
      <c r="F1370" s="29" t="n"/>
      <c r="G1370" s="28" t="n"/>
      <c r="H1370" s="1" t="n"/>
      <c r="I1370">
        <f>IF(OR(B1370="",C1370=""),"",B1370+MOD(C1370,1))</f>
        <v/>
      </c>
      <c r="J1370">
        <f>IF(I1370="","",IF(B1370=Dashboard!$AA$1,I1370,""))</f>
        <v/>
      </c>
    </row>
    <row r="1371">
      <c r="A1371" s="1" t="n"/>
      <c r="B1371" s="26" t="n"/>
      <c r="C1371" s="27" t="n"/>
      <c r="D1371" s="28" t="n"/>
      <c r="E1371" s="29" t="n"/>
      <c r="F1371" s="29" t="n"/>
      <c r="G1371" s="28" t="n"/>
      <c r="H1371" s="1" t="n"/>
      <c r="I1371">
        <f>IF(OR(B1371="",C1371=""),"",B1371+MOD(C1371,1))</f>
        <v/>
      </c>
      <c r="J1371">
        <f>IF(I1371="","",IF(B1371=Dashboard!$AA$1,I1371,""))</f>
        <v/>
      </c>
    </row>
    <row r="1372">
      <c r="A1372" s="1" t="n"/>
      <c r="B1372" s="26" t="n"/>
      <c r="C1372" s="27" t="n"/>
      <c r="D1372" s="28" t="n"/>
      <c r="E1372" s="29" t="n"/>
      <c r="F1372" s="29" t="n"/>
      <c r="G1372" s="28" t="n"/>
      <c r="H1372" s="1" t="n"/>
      <c r="I1372">
        <f>IF(OR(B1372="",C1372=""),"",B1372+MOD(C1372,1))</f>
        <v/>
      </c>
      <c r="J1372">
        <f>IF(I1372="","",IF(B1372=Dashboard!$AA$1,I1372,""))</f>
        <v/>
      </c>
    </row>
    <row r="1373">
      <c r="A1373" s="1" t="n"/>
      <c r="B1373" s="26" t="n"/>
      <c r="C1373" s="27" t="n"/>
      <c r="D1373" s="28" t="n"/>
      <c r="E1373" s="29" t="n"/>
      <c r="F1373" s="29" t="n"/>
      <c r="G1373" s="28" t="n"/>
      <c r="H1373" s="1" t="n"/>
      <c r="I1373">
        <f>IF(OR(B1373="",C1373=""),"",B1373+MOD(C1373,1))</f>
        <v/>
      </c>
      <c r="J1373">
        <f>IF(I1373="","",IF(B1373=Dashboard!$AA$1,I1373,""))</f>
        <v/>
      </c>
    </row>
    <row r="1374">
      <c r="A1374" s="1" t="n"/>
      <c r="B1374" s="26" t="n"/>
      <c r="C1374" s="27" t="n"/>
      <c r="D1374" s="28" t="n"/>
      <c r="E1374" s="29" t="n"/>
      <c r="F1374" s="29" t="n"/>
      <c r="G1374" s="28" t="n"/>
      <c r="H1374" s="1" t="n"/>
      <c r="I1374">
        <f>IF(OR(B1374="",C1374=""),"",B1374+MOD(C1374,1))</f>
        <v/>
      </c>
      <c r="J1374">
        <f>IF(I1374="","",IF(B1374=Dashboard!$AA$1,I1374,""))</f>
        <v/>
      </c>
    </row>
    <row r="1375">
      <c r="A1375" s="1" t="n"/>
      <c r="B1375" s="26" t="n"/>
      <c r="C1375" s="27" t="n"/>
      <c r="D1375" s="28" t="n"/>
      <c r="E1375" s="29" t="n"/>
      <c r="F1375" s="29" t="n"/>
      <c r="G1375" s="28" t="n"/>
      <c r="H1375" s="1" t="n"/>
      <c r="I1375">
        <f>IF(OR(B1375="",C1375=""),"",B1375+MOD(C1375,1))</f>
        <v/>
      </c>
      <c r="J1375">
        <f>IF(I1375="","",IF(B1375=Dashboard!$AA$1,I1375,""))</f>
        <v/>
      </c>
    </row>
    <row r="1376">
      <c r="A1376" s="1" t="n"/>
      <c r="B1376" s="26" t="n"/>
      <c r="C1376" s="27" t="n"/>
      <c r="D1376" s="28" t="n"/>
      <c r="E1376" s="29" t="n"/>
      <c r="F1376" s="29" t="n"/>
      <c r="G1376" s="28" t="n"/>
      <c r="H1376" s="1" t="n"/>
      <c r="I1376">
        <f>IF(OR(B1376="",C1376=""),"",B1376+MOD(C1376,1))</f>
        <v/>
      </c>
      <c r="J1376">
        <f>IF(I1376="","",IF(B1376=Dashboard!$AA$1,I1376,""))</f>
        <v/>
      </c>
    </row>
    <row r="1377">
      <c r="A1377" s="1" t="n"/>
      <c r="B1377" s="26" t="n"/>
      <c r="C1377" s="27" t="n"/>
      <c r="D1377" s="28" t="n"/>
      <c r="E1377" s="29" t="n"/>
      <c r="F1377" s="29" t="n"/>
      <c r="G1377" s="28" t="n"/>
      <c r="H1377" s="1" t="n"/>
      <c r="I1377">
        <f>IF(OR(B1377="",C1377=""),"",B1377+MOD(C1377,1))</f>
        <v/>
      </c>
      <c r="J1377">
        <f>IF(I1377="","",IF(B1377=Dashboard!$AA$1,I1377,""))</f>
        <v/>
      </c>
    </row>
    <row r="1378">
      <c r="A1378" s="1" t="n"/>
      <c r="B1378" s="26" t="n"/>
      <c r="C1378" s="27" t="n"/>
      <c r="D1378" s="28" t="n"/>
      <c r="E1378" s="29" t="n"/>
      <c r="F1378" s="29" t="n"/>
      <c r="G1378" s="28" t="n"/>
      <c r="H1378" s="1" t="n"/>
      <c r="I1378">
        <f>IF(OR(B1378="",C1378=""),"",B1378+MOD(C1378,1))</f>
        <v/>
      </c>
      <c r="J1378">
        <f>IF(I1378="","",IF(B1378=Dashboard!$AA$1,I1378,""))</f>
        <v/>
      </c>
    </row>
    <row r="1379">
      <c r="A1379" s="1" t="n"/>
      <c r="B1379" s="26" t="n"/>
      <c r="C1379" s="27" t="n"/>
      <c r="D1379" s="28" t="n"/>
      <c r="E1379" s="29" t="n"/>
      <c r="F1379" s="29" t="n"/>
      <c r="G1379" s="28" t="n"/>
      <c r="H1379" s="1" t="n"/>
      <c r="I1379">
        <f>IF(OR(B1379="",C1379=""),"",B1379+MOD(C1379,1))</f>
        <v/>
      </c>
      <c r="J1379">
        <f>IF(I1379="","",IF(B1379=Dashboard!$AA$1,I1379,""))</f>
        <v/>
      </c>
    </row>
    <row r="1380">
      <c r="A1380" s="1" t="n"/>
      <c r="B1380" s="26" t="n"/>
      <c r="C1380" s="27" t="n"/>
      <c r="D1380" s="28" t="n"/>
      <c r="E1380" s="29" t="n"/>
      <c r="F1380" s="29" t="n"/>
      <c r="G1380" s="28" t="n"/>
      <c r="H1380" s="1" t="n"/>
      <c r="I1380">
        <f>IF(OR(B1380="",C1380=""),"",B1380+MOD(C1380,1))</f>
        <v/>
      </c>
      <c r="J1380">
        <f>IF(I1380="","",IF(B1380=Dashboard!$AA$1,I1380,""))</f>
        <v/>
      </c>
    </row>
    <row r="1381">
      <c r="A1381" s="1" t="n"/>
      <c r="B1381" s="26" t="n"/>
      <c r="C1381" s="27" t="n"/>
      <c r="D1381" s="28" t="n"/>
      <c r="E1381" s="29" t="n"/>
      <c r="F1381" s="29" t="n"/>
      <c r="G1381" s="28" t="n"/>
      <c r="H1381" s="1" t="n"/>
      <c r="I1381">
        <f>IF(OR(B1381="",C1381=""),"",B1381+MOD(C1381,1))</f>
        <v/>
      </c>
      <c r="J1381">
        <f>IF(I1381="","",IF(B1381=Dashboard!$AA$1,I1381,""))</f>
        <v/>
      </c>
    </row>
    <row r="1382">
      <c r="A1382" s="1" t="n"/>
      <c r="B1382" s="26" t="n"/>
      <c r="C1382" s="27" t="n"/>
      <c r="D1382" s="28" t="n"/>
      <c r="E1382" s="29" t="n"/>
      <c r="F1382" s="29" t="n"/>
      <c r="G1382" s="28" t="n"/>
      <c r="H1382" s="1" t="n"/>
      <c r="I1382">
        <f>IF(OR(B1382="",C1382=""),"",B1382+MOD(C1382,1))</f>
        <v/>
      </c>
      <c r="J1382">
        <f>IF(I1382="","",IF(B1382=Dashboard!$AA$1,I1382,""))</f>
        <v/>
      </c>
    </row>
    <row r="1383">
      <c r="A1383" s="1" t="n"/>
      <c r="B1383" s="26" t="n"/>
      <c r="C1383" s="27" t="n"/>
      <c r="D1383" s="28" t="n"/>
      <c r="E1383" s="29" t="n"/>
      <c r="F1383" s="29" t="n"/>
      <c r="G1383" s="28" t="n"/>
      <c r="H1383" s="1" t="n"/>
      <c r="I1383">
        <f>IF(OR(B1383="",C1383=""),"",B1383+MOD(C1383,1))</f>
        <v/>
      </c>
      <c r="J1383">
        <f>IF(I1383="","",IF(B1383=Dashboard!$AA$1,I1383,""))</f>
        <v/>
      </c>
    </row>
    <row r="1384">
      <c r="A1384" s="1" t="n"/>
      <c r="B1384" s="26" t="n"/>
      <c r="C1384" s="27" t="n"/>
      <c r="D1384" s="28" t="n"/>
      <c r="E1384" s="29" t="n"/>
      <c r="F1384" s="29" t="n"/>
      <c r="G1384" s="28" t="n"/>
      <c r="H1384" s="1" t="n"/>
      <c r="I1384">
        <f>IF(OR(B1384="",C1384=""),"",B1384+MOD(C1384,1))</f>
        <v/>
      </c>
      <c r="J1384">
        <f>IF(I1384="","",IF(B1384=Dashboard!$AA$1,I1384,""))</f>
        <v/>
      </c>
    </row>
    <row r="1385">
      <c r="A1385" s="1" t="n"/>
      <c r="B1385" s="26" t="n"/>
      <c r="C1385" s="27" t="n"/>
      <c r="D1385" s="28" t="n"/>
      <c r="E1385" s="29" t="n"/>
      <c r="F1385" s="29" t="n"/>
      <c r="G1385" s="28" t="n"/>
      <c r="H1385" s="1" t="n"/>
      <c r="I1385">
        <f>IF(OR(B1385="",C1385=""),"",B1385+MOD(C1385,1))</f>
        <v/>
      </c>
      <c r="J1385">
        <f>IF(I1385="","",IF(B1385=Dashboard!$AA$1,I1385,""))</f>
        <v/>
      </c>
    </row>
    <row r="1386">
      <c r="A1386" s="1" t="n"/>
      <c r="B1386" s="26" t="n"/>
      <c r="C1386" s="27" t="n"/>
      <c r="D1386" s="28" t="n"/>
      <c r="E1386" s="29" t="n"/>
      <c r="F1386" s="29" t="n"/>
      <c r="G1386" s="28" t="n"/>
      <c r="H1386" s="1" t="n"/>
      <c r="I1386">
        <f>IF(OR(B1386="",C1386=""),"",B1386+MOD(C1386,1))</f>
        <v/>
      </c>
      <c r="J1386">
        <f>IF(I1386="","",IF(B1386=Dashboard!$AA$1,I1386,""))</f>
        <v/>
      </c>
    </row>
    <row r="1387">
      <c r="A1387" s="1" t="n"/>
      <c r="B1387" s="26" t="n"/>
      <c r="C1387" s="27" t="n"/>
      <c r="D1387" s="28" t="n"/>
      <c r="E1387" s="29" t="n"/>
      <c r="F1387" s="29" t="n"/>
      <c r="G1387" s="28" t="n"/>
      <c r="H1387" s="1" t="n"/>
      <c r="I1387">
        <f>IF(OR(B1387="",C1387=""),"",B1387+MOD(C1387,1))</f>
        <v/>
      </c>
      <c r="J1387">
        <f>IF(I1387="","",IF(B1387=Dashboard!$AA$1,I1387,""))</f>
        <v/>
      </c>
    </row>
    <row r="1388">
      <c r="A1388" s="1" t="n"/>
      <c r="B1388" s="26" t="n"/>
      <c r="C1388" s="27" t="n"/>
      <c r="D1388" s="28" t="n"/>
      <c r="E1388" s="29" t="n"/>
      <c r="F1388" s="29" t="n"/>
      <c r="G1388" s="28" t="n"/>
      <c r="H1388" s="1" t="n"/>
      <c r="I1388">
        <f>IF(OR(B1388="",C1388=""),"",B1388+MOD(C1388,1))</f>
        <v/>
      </c>
      <c r="J1388">
        <f>IF(I1388="","",IF(B1388=Dashboard!$AA$1,I1388,""))</f>
        <v/>
      </c>
    </row>
    <row r="1389">
      <c r="A1389" s="1" t="n"/>
      <c r="B1389" s="26" t="n"/>
      <c r="C1389" s="27" t="n"/>
      <c r="D1389" s="28" t="n"/>
      <c r="E1389" s="29" t="n"/>
      <c r="F1389" s="29" t="n"/>
      <c r="G1389" s="28" t="n"/>
      <c r="H1389" s="1" t="n"/>
      <c r="I1389">
        <f>IF(OR(B1389="",C1389=""),"",B1389+MOD(C1389,1))</f>
        <v/>
      </c>
      <c r="J1389">
        <f>IF(I1389="","",IF(B1389=Dashboard!$AA$1,I1389,""))</f>
        <v/>
      </c>
    </row>
    <row r="1390">
      <c r="A1390" s="1" t="n"/>
      <c r="B1390" s="26" t="n"/>
      <c r="C1390" s="27" t="n"/>
      <c r="D1390" s="28" t="n"/>
      <c r="E1390" s="29" t="n"/>
      <c r="F1390" s="29" t="n"/>
      <c r="G1390" s="28" t="n"/>
      <c r="H1390" s="1" t="n"/>
      <c r="I1390">
        <f>IF(OR(B1390="",C1390=""),"",B1390+MOD(C1390,1))</f>
        <v/>
      </c>
      <c r="J1390">
        <f>IF(I1390="","",IF(B1390=Dashboard!$AA$1,I1390,""))</f>
        <v/>
      </c>
    </row>
    <row r="1391">
      <c r="A1391" s="1" t="n"/>
      <c r="B1391" s="26" t="n"/>
      <c r="C1391" s="27" t="n"/>
      <c r="D1391" s="28" t="n"/>
      <c r="E1391" s="29" t="n"/>
      <c r="F1391" s="29" t="n"/>
      <c r="G1391" s="28" t="n"/>
      <c r="H1391" s="1" t="n"/>
      <c r="I1391">
        <f>IF(OR(B1391="",C1391=""),"",B1391+MOD(C1391,1))</f>
        <v/>
      </c>
      <c r="J1391">
        <f>IF(I1391="","",IF(B1391=Dashboard!$AA$1,I1391,""))</f>
        <v/>
      </c>
    </row>
    <row r="1392">
      <c r="A1392" s="1" t="n"/>
      <c r="B1392" s="26" t="n"/>
      <c r="C1392" s="27" t="n"/>
      <c r="D1392" s="28" t="n"/>
      <c r="E1392" s="29" t="n"/>
      <c r="F1392" s="29" t="n"/>
      <c r="G1392" s="28" t="n"/>
      <c r="H1392" s="1" t="n"/>
      <c r="I1392">
        <f>IF(OR(B1392="",C1392=""),"",B1392+MOD(C1392,1))</f>
        <v/>
      </c>
      <c r="J1392">
        <f>IF(I1392="","",IF(B1392=Dashboard!$AA$1,I1392,""))</f>
        <v/>
      </c>
    </row>
    <row r="1393">
      <c r="A1393" s="1" t="n"/>
      <c r="B1393" s="26" t="n"/>
      <c r="C1393" s="27" t="n"/>
      <c r="D1393" s="28" t="n"/>
      <c r="E1393" s="29" t="n"/>
      <c r="F1393" s="29" t="n"/>
      <c r="G1393" s="28" t="n"/>
      <c r="H1393" s="1" t="n"/>
      <c r="I1393">
        <f>IF(OR(B1393="",C1393=""),"",B1393+MOD(C1393,1))</f>
        <v/>
      </c>
      <c r="J1393">
        <f>IF(I1393="","",IF(B1393=Dashboard!$AA$1,I1393,""))</f>
        <v/>
      </c>
    </row>
    <row r="1394">
      <c r="A1394" s="1" t="n"/>
      <c r="B1394" s="26" t="n"/>
      <c r="C1394" s="27" t="n"/>
      <c r="D1394" s="28" t="n"/>
      <c r="E1394" s="29" t="n"/>
      <c r="F1394" s="29" t="n"/>
      <c r="G1394" s="28" t="n"/>
      <c r="H1394" s="1" t="n"/>
      <c r="I1394">
        <f>IF(OR(B1394="",C1394=""),"",B1394+MOD(C1394,1))</f>
        <v/>
      </c>
      <c r="J1394">
        <f>IF(I1394="","",IF(B1394=Dashboard!$AA$1,I1394,""))</f>
        <v/>
      </c>
    </row>
    <row r="1395">
      <c r="A1395" s="1" t="n"/>
      <c r="B1395" s="26" t="n"/>
      <c r="C1395" s="27" t="n"/>
      <c r="D1395" s="28" t="n"/>
      <c r="E1395" s="29" t="n"/>
      <c r="F1395" s="29" t="n"/>
      <c r="G1395" s="28" t="n"/>
      <c r="H1395" s="1" t="n"/>
      <c r="I1395">
        <f>IF(OR(B1395="",C1395=""),"",B1395+MOD(C1395,1))</f>
        <v/>
      </c>
      <c r="J1395">
        <f>IF(I1395="","",IF(B1395=Dashboard!$AA$1,I1395,""))</f>
        <v/>
      </c>
    </row>
    <row r="1396">
      <c r="A1396" s="1" t="n"/>
      <c r="B1396" s="26" t="n"/>
      <c r="C1396" s="27" t="n"/>
      <c r="D1396" s="28" t="n"/>
      <c r="E1396" s="29" t="n"/>
      <c r="F1396" s="29" t="n"/>
      <c r="G1396" s="28" t="n"/>
      <c r="H1396" s="1" t="n"/>
      <c r="I1396">
        <f>IF(OR(B1396="",C1396=""),"",B1396+MOD(C1396,1))</f>
        <v/>
      </c>
      <c r="J1396">
        <f>IF(I1396="","",IF(B1396=Dashboard!$AA$1,I1396,""))</f>
        <v/>
      </c>
    </row>
    <row r="1397">
      <c r="A1397" s="1" t="n"/>
      <c r="B1397" s="26" t="n"/>
      <c r="C1397" s="27" t="n"/>
      <c r="D1397" s="28" t="n"/>
      <c r="E1397" s="29" t="n"/>
      <c r="F1397" s="29" t="n"/>
      <c r="G1397" s="28" t="n"/>
      <c r="H1397" s="1" t="n"/>
      <c r="I1397">
        <f>IF(OR(B1397="",C1397=""),"",B1397+MOD(C1397,1))</f>
        <v/>
      </c>
      <c r="J1397">
        <f>IF(I1397="","",IF(B1397=Dashboard!$AA$1,I1397,""))</f>
        <v/>
      </c>
    </row>
    <row r="1398">
      <c r="A1398" s="1" t="n"/>
      <c r="B1398" s="26" t="n"/>
      <c r="C1398" s="27" t="n"/>
      <c r="D1398" s="28" t="n"/>
      <c r="E1398" s="29" t="n"/>
      <c r="F1398" s="29" t="n"/>
      <c r="G1398" s="28" t="n"/>
      <c r="H1398" s="1" t="n"/>
      <c r="I1398">
        <f>IF(OR(B1398="",C1398=""),"",B1398+MOD(C1398,1))</f>
        <v/>
      </c>
      <c r="J1398">
        <f>IF(I1398="","",IF(B1398=Dashboard!$AA$1,I1398,""))</f>
        <v/>
      </c>
    </row>
    <row r="1399">
      <c r="A1399" s="1" t="n"/>
      <c r="B1399" s="26" t="n"/>
      <c r="C1399" s="27" t="n"/>
      <c r="D1399" s="28" t="n"/>
      <c r="E1399" s="29" t="n"/>
      <c r="F1399" s="29" t="n"/>
      <c r="G1399" s="28" t="n"/>
      <c r="H1399" s="1" t="n"/>
      <c r="I1399">
        <f>IF(OR(B1399="",C1399=""),"",B1399+MOD(C1399,1))</f>
        <v/>
      </c>
      <c r="J1399">
        <f>IF(I1399="","",IF(B1399=Dashboard!$AA$1,I1399,""))</f>
        <v/>
      </c>
    </row>
    <row r="1400">
      <c r="A1400" s="1" t="n"/>
      <c r="B1400" s="26" t="n"/>
      <c r="C1400" s="27" t="n"/>
      <c r="D1400" s="28" t="n"/>
      <c r="E1400" s="29" t="n"/>
      <c r="F1400" s="29" t="n"/>
      <c r="G1400" s="28" t="n"/>
      <c r="H1400" s="1" t="n"/>
      <c r="I1400">
        <f>IF(OR(B1400="",C1400=""),"",B1400+MOD(C1400,1))</f>
        <v/>
      </c>
      <c r="J1400">
        <f>IF(I1400="","",IF(B1400=Dashboard!$AA$1,I1400,""))</f>
        <v/>
      </c>
    </row>
    <row r="1401">
      <c r="A1401" s="1" t="n"/>
      <c r="B1401" s="26" t="n"/>
      <c r="C1401" s="27" t="n"/>
      <c r="D1401" s="28" t="n"/>
      <c r="E1401" s="29" t="n"/>
      <c r="F1401" s="29" t="n"/>
      <c r="G1401" s="28" t="n"/>
      <c r="H1401" s="1" t="n"/>
      <c r="I1401">
        <f>IF(OR(B1401="",C1401=""),"",B1401+MOD(C1401,1))</f>
        <v/>
      </c>
      <c r="J1401">
        <f>IF(I1401="","",IF(B1401=Dashboard!$AA$1,I1401,""))</f>
        <v/>
      </c>
    </row>
    <row r="1402">
      <c r="A1402" s="1" t="n"/>
      <c r="B1402" s="26" t="n"/>
      <c r="C1402" s="27" t="n"/>
      <c r="D1402" s="28" t="n"/>
      <c r="E1402" s="29" t="n"/>
      <c r="F1402" s="29" t="n"/>
      <c r="G1402" s="28" t="n"/>
      <c r="H1402" s="1" t="n"/>
      <c r="I1402">
        <f>IF(OR(B1402="",C1402=""),"",B1402+MOD(C1402,1))</f>
        <v/>
      </c>
      <c r="J1402">
        <f>IF(I1402="","",IF(B1402=Dashboard!$AA$1,I1402,""))</f>
        <v/>
      </c>
    </row>
    <row r="1403">
      <c r="A1403" s="1" t="n"/>
      <c r="B1403" s="26" t="n"/>
      <c r="C1403" s="27" t="n"/>
      <c r="D1403" s="28" t="n"/>
      <c r="E1403" s="29" t="n"/>
      <c r="F1403" s="29" t="n"/>
      <c r="G1403" s="28" t="n"/>
      <c r="H1403" s="1" t="n"/>
      <c r="I1403">
        <f>IF(OR(B1403="",C1403=""),"",B1403+MOD(C1403,1))</f>
        <v/>
      </c>
      <c r="J1403">
        <f>IF(I1403="","",IF(B1403=Dashboard!$AA$1,I1403,""))</f>
        <v/>
      </c>
    </row>
    <row r="1404">
      <c r="A1404" s="1" t="n"/>
      <c r="B1404" s="26" t="n"/>
      <c r="C1404" s="27" t="n"/>
      <c r="D1404" s="28" t="n"/>
      <c r="E1404" s="29" t="n"/>
      <c r="F1404" s="29" t="n"/>
      <c r="G1404" s="28" t="n"/>
      <c r="H1404" s="1" t="n"/>
      <c r="I1404">
        <f>IF(OR(B1404="",C1404=""),"",B1404+MOD(C1404,1))</f>
        <v/>
      </c>
      <c r="J1404">
        <f>IF(I1404="","",IF(B1404=Dashboard!$AA$1,I1404,""))</f>
        <v/>
      </c>
    </row>
    <row r="1405">
      <c r="A1405" s="1" t="n"/>
      <c r="B1405" s="26" t="n"/>
      <c r="C1405" s="27" t="n"/>
      <c r="D1405" s="28" t="n"/>
      <c r="E1405" s="29" t="n"/>
      <c r="F1405" s="29" t="n"/>
      <c r="G1405" s="28" t="n"/>
      <c r="H1405" s="1" t="n"/>
      <c r="I1405">
        <f>IF(OR(B1405="",C1405=""),"",B1405+MOD(C1405,1))</f>
        <v/>
      </c>
      <c r="J1405">
        <f>IF(I1405="","",IF(B1405=Dashboard!$AA$1,I1405,""))</f>
        <v/>
      </c>
    </row>
    <row r="1406">
      <c r="A1406" s="1" t="n"/>
      <c r="B1406" s="26" t="n"/>
      <c r="C1406" s="27" t="n"/>
      <c r="D1406" s="28" t="n"/>
      <c r="E1406" s="29" t="n"/>
      <c r="F1406" s="29" t="n"/>
      <c r="G1406" s="28" t="n"/>
      <c r="H1406" s="1" t="n"/>
      <c r="I1406">
        <f>IF(OR(B1406="",C1406=""),"",B1406+MOD(C1406,1))</f>
        <v/>
      </c>
      <c r="J1406">
        <f>IF(I1406="","",IF(B1406=Dashboard!$AA$1,I1406,""))</f>
        <v/>
      </c>
    </row>
    <row r="1407">
      <c r="A1407" s="1" t="n"/>
      <c r="B1407" s="26" t="n"/>
      <c r="C1407" s="27" t="n"/>
      <c r="D1407" s="28" t="n"/>
      <c r="E1407" s="29" t="n"/>
      <c r="F1407" s="29" t="n"/>
      <c r="G1407" s="28" t="n"/>
      <c r="H1407" s="1" t="n"/>
      <c r="I1407">
        <f>IF(OR(B1407="",C1407=""),"",B1407+MOD(C1407,1))</f>
        <v/>
      </c>
      <c r="J1407">
        <f>IF(I1407="","",IF(B1407=Dashboard!$AA$1,I1407,""))</f>
        <v/>
      </c>
    </row>
    <row r="1408">
      <c r="A1408" s="1" t="n"/>
      <c r="B1408" s="26" t="n"/>
      <c r="C1408" s="27" t="n"/>
      <c r="D1408" s="28" t="n"/>
      <c r="E1408" s="29" t="n"/>
      <c r="F1408" s="29" t="n"/>
      <c r="G1408" s="28" t="n"/>
      <c r="H1408" s="1" t="n"/>
      <c r="I1408">
        <f>IF(OR(B1408="",C1408=""),"",B1408+MOD(C1408,1))</f>
        <v/>
      </c>
      <c r="J1408">
        <f>IF(I1408="","",IF(B1408=Dashboard!$AA$1,I1408,""))</f>
        <v/>
      </c>
    </row>
    <row r="1409">
      <c r="A1409" s="1" t="n"/>
      <c r="B1409" s="26" t="n"/>
      <c r="C1409" s="27" t="n"/>
      <c r="D1409" s="28" t="n"/>
      <c r="E1409" s="29" t="n"/>
      <c r="F1409" s="29" t="n"/>
      <c r="G1409" s="28" t="n"/>
      <c r="H1409" s="1" t="n"/>
      <c r="I1409">
        <f>IF(OR(B1409="",C1409=""),"",B1409+MOD(C1409,1))</f>
        <v/>
      </c>
      <c r="J1409">
        <f>IF(I1409="","",IF(B1409=Dashboard!$AA$1,I1409,""))</f>
        <v/>
      </c>
    </row>
    <row r="1410">
      <c r="A1410" s="1" t="n"/>
      <c r="B1410" s="26" t="n"/>
      <c r="C1410" s="27" t="n"/>
      <c r="D1410" s="28" t="n"/>
      <c r="E1410" s="29" t="n"/>
      <c r="F1410" s="29" t="n"/>
      <c r="G1410" s="28" t="n"/>
      <c r="H1410" s="1" t="n"/>
      <c r="I1410">
        <f>IF(OR(B1410="",C1410=""),"",B1410+MOD(C1410,1))</f>
        <v/>
      </c>
      <c r="J1410">
        <f>IF(I1410="","",IF(B1410=Dashboard!$AA$1,I1410,""))</f>
        <v/>
      </c>
    </row>
    <row r="1411">
      <c r="A1411" s="1" t="n"/>
      <c r="B1411" s="26" t="n"/>
      <c r="C1411" s="27" t="n"/>
      <c r="D1411" s="28" t="n"/>
      <c r="E1411" s="29" t="n"/>
      <c r="F1411" s="29" t="n"/>
      <c r="G1411" s="28" t="n"/>
      <c r="H1411" s="1" t="n"/>
      <c r="I1411">
        <f>IF(OR(B1411="",C1411=""),"",B1411+MOD(C1411,1))</f>
        <v/>
      </c>
      <c r="J1411">
        <f>IF(I1411="","",IF(B1411=Dashboard!$AA$1,I1411,""))</f>
        <v/>
      </c>
    </row>
    <row r="1412">
      <c r="A1412" s="1" t="n"/>
      <c r="B1412" s="26" t="n"/>
      <c r="C1412" s="27" t="n"/>
      <c r="D1412" s="28" t="n"/>
      <c r="E1412" s="29" t="n"/>
      <c r="F1412" s="29" t="n"/>
      <c r="G1412" s="28" t="n"/>
      <c r="H1412" s="1" t="n"/>
      <c r="I1412">
        <f>IF(OR(B1412="",C1412=""),"",B1412+MOD(C1412,1))</f>
        <v/>
      </c>
      <c r="J1412">
        <f>IF(I1412="","",IF(B1412=Dashboard!$AA$1,I1412,""))</f>
        <v/>
      </c>
    </row>
    <row r="1413">
      <c r="A1413" s="1" t="n"/>
      <c r="B1413" s="26" t="n"/>
      <c r="C1413" s="27" t="n"/>
      <c r="D1413" s="28" t="n"/>
      <c r="E1413" s="29" t="n"/>
      <c r="F1413" s="29" t="n"/>
      <c r="G1413" s="28" t="n"/>
      <c r="H1413" s="1" t="n"/>
      <c r="I1413">
        <f>IF(OR(B1413="",C1413=""),"",B1413+MOD(C1413,1))</f>
        <v/>
      </c>
      <c r="J1413">
        <f>IF(I1413="","",IF(B1413=Dashboard!$AA$1,I1413,""))</f>
        <v/>
      </c>
    </row>
    <row r="1414">
      <c r="A1414" s="1" t="n"/>
      <c r="B1414" s="26" t="n"/>
      <c r="C1414" s="27" t="n"/>
      <c r="D1414" s="28" t="n"/>
      <c r="E1414" s="29" t="n"/>
      <c r="F1414" s="29" t="n"/>
      <c r="G1414" s="28" t="n"/>
      <c r="H1414" s="1" t="n"/>
      <c r="I1414">
        <f>IF(OR(B1414="",C1414=""),"",B1414+MOD(C1414,1))</f>
        <v/>
      </c>
      <c r="J1414">
        <f>IF(I1414="","",IF(B1414=Dashboard!$AA$1,I1414,""))</f>
        <v/>
      </c>
    </row>
    <row r="1415">
      <c r="A1415" s="1" t="n"/>
      <c r="B1415" s="26" t="n"/>
      <c r="C1415" s="27" t="n"/>
      <c r="D1415" s="28" t="n"/>
      <c r="E1415" s="29" t="n"/>
      <c r="F1415" s="29" t="n"/>
      <c r="G1415" s="28" t="n"/>
      <c r="H1415" s="1" t="n"/>
      <c r="I1415">
        <f>IF(OR(B1415="",C1415=""),"",B1415+MOD(C1415,1))</f>
        <v/>
      </c>
      <c r="J1415">
        <f>IF(I1415="","",IF(B1415=Dashboard!$AA$1,I1415,""))</f>
        <v/>
      </c>
    </row>
    <row r="1416">
      <c r="A1416" s="1" t="n"/>
      <c r="B1416" s="26" t="n"/>
      <c r="C1416" s="27" t="n"/>
      <c r="D1416" s="28" t="n"/>
      <c r="E1416" s="29" t="n"/>
      <c r="F1416" s="29" t="n"/>
      <c r="G1416" s="28" t="n"/>
      <c r="H1416" s="1" t="n"/>
      <c r="I1416">
        <f>IF(OR(B1416="",C1416=""),"",B1416+MOD(C1416,1))</f>
        <v/>
      </c>
      <c r="J1416">
        <f>IF(I1416="","",IF(B1416=Dashboard!$AA$1,I1416,""))</f>
        <v/>
      </c>
    </row>
    <row r="1417">
      <c r="A1417" s="1" t="n"/>
      <c r="B1417" s="26" t="n"/>
      <c r="C1417" s="27" t="n"/>
      <c r="D1417" s="28" t="n"/>
      <c r="E1417" s="29" t="n"/>
      <c r="F1417" s="29" t="n"/>
      <c r="G1417" s="28" t="n"/>
      <c r="H1417" s="1" t="n"/>
      <c r="I1417">
        <f>IF(OR(B1417="",C1417=""),"",B1417+MOD(C1417,1))</f>
        <v/>
      </c>
      <c r="J1417">
        <f>IF(I1417="","",IF(B1417=Dashboard!$AA$1,I1417,""))</f>
        <v/>
      </c>
    </row>
    <row r="1418">
      <c r="A1418" s="1" t="n"/>
      <c r="B1418" s="26" t="n"/>
      <c r="C1418" s="27" t="n"/>
      <c r="D1418" s="28" t="n"/>
      <c r="E1418" s="29" t="n"/>
      <c r="F1418" s="29" t="n"/>
      <c r="G1418" s="28" t="n"/>
      <c r="H1418" s="1" t="n"/>
      <c r="I1418">
        <f>IF(OR(B1418="",C1418=""),"",B1418+MOD(C1418,1))</f>
        <v/>
      </c>
      <c r="J1418">
        <f>IF(I1418="","",IF(B1418=Dashboard!$AA$1,I1418,""))</f>
        <v/>
      </c>
    </row>
    <row r="1419">
      <c r="A1419" s="1" t="n"/>
      <c r="B1419" s="26" t="n"/>
      <c r="C1419" s="27" t="n"/>
      <c r="D1419" s="28" t="n"/>
      <c r="E1419" s="29" t="n"/>
      <c r="F1419" s="29" t="n"/>
      <c r="G1419" s="28" t="n"/>
      <c r="H1419" s="1" t="n"/>
      <c r="I1419">
        <f>IF(OR(B1419="",C1419=""),"",B1419+MOD(C1419,1))</f>
        <v/>
      </c>
      <c r="J1419">
        <f>IF(I1419="","",IF(B1419=Dashboard!$AA$1,I1419,""))</f>
        <v/>
      </c>
    </row>
    <row r="1420">
      <c r="A1420" s="1" t="n"/>
      <c r="B1420" s="26" t="n"/>
      <c r="C1420" s="27" t="n"/>
      <c r="D1420" s="28" t="n"/>
      <c r="E1420" s="29" t="n"/>
      <c r="F1420" s="29" t="n"/>
      <c r="G1420" s="28" t="n"/>
      <c r="H1420" s="1" t="n"/>
      <c r="I1420">
        <f>IF(OR(B1420="",C1420=""),"",B1420+MOD(C1420,1))</f>
        <v/>
      </c>
      <c r="J1420">
        <f>IF(I1420="","",IF(B1420=Dashboard!$AA$1,I1420,""))</f>
        <v/>
      </c>
    </row>
    <row r="1421">
      <c r="A1421" s="1" t="n"/>
      <c r="B1421" s="26" t="n"/>
      <c r="C1421" s="27" t="n"/>
      <c r="D1421" s="28" t="n"/>
      <c r="E1421" s="29" t="n"/>
      <c r="F1421" s="29" t="n"/>
      <c r="G1421" s="28" t="n"/>
      <c r="H1421" s="1" t="n"/>
      <c r="I1421">
        <f>IF(OR(B1421="",C1421=""),"",B1421+MOD(C1421,1))</f>
        <v/>
      </c>
      <c r="J1421">
        <f>IF(I1421="","",IF(B1421=Dashboard!$AA$1,I1421,""))</f>
        <v/>
      </c>
    </row>
    <row r="1422">
      <c r="A1422" s="1" t="n"/>
      <c r="B1422" s="26" t="n"/>
      <c r="C1422" s="27" t="n"/>
      <c r="D1422" s="28" t="n"/>
      <c r="E1422" s="29" t="n"/>
      <c r="F1422" s="29" t="n"/>
      <c r="G1422" s="28" t="n"/>
      <c r="H1422" s="1" t="n"/>
      <c r="I1422">
        <f>IF(OR(B1422="",C1422=""),"",B1422+MOD(C1422,1))</f>
        <v/>
      </c>
      <c r="J1422">
        <f>IF(I1422="","",IF(B1422=Dashboard!$AA$1,I1422,""))</f>
        <v/>
      </c>
    </row>
    <row r="1423">
      <c r="A1423" s="1" t="n"/>
      <c r="B1423" s="26" t="n"/>
      <c r="C1423" s="27" t="n"/>
      <c r="D1423" s="28" t="n"/>
      <c r="E1423" s="29" t="n"/>
      <c r="F1423" s="29" t="n"/>
      <c r="G1423" s="28" t="n"/>
      <c r="H1423" s="1" t="n"/>
      <c r="I1423">
        <f>IF(OR(B1423="",C1423=""),"",B1423+MOD(C1423,1))</f>
        <v/>
      </c>
      <c r="J1423">
        <f>IF(I1423="","",IF(B1423=Dashboard!$AA$1,I1423,""))</f>
        <v/>
      </c>
    </row>
    <row r="1424">
      <c r="A1424" s="1" t="n"/>
      <c r="B1424" s="26" t="n"/>
      <c r="C1424" s="27" t="n"/>
      <c r="D1424" s="28" t="n"/>
      <c r="E1424" s="29" t="n"/>
      <c r="F1424" s="29" t="n"/>
      <c r="G1424" s="28" t="n"/>
      <c r="H1424" s="1" t="n"/>
      <c r="I1424">
        <f>IF(OR(B1424="",C1424=""),"",B1424+MOD(C1424,1))</f>
        <v/>
      </c>
      <c r="J1424">
        <f>IF(I1424="","",IF(B1424=Dashboard!$AA$1,I1424,""))</f>
        <v/>
      </c>
    </row>
    <row r="1425">
      <c r="A1425" s="1" t="n"/>
      <c r="B1425" s="26" t="n"/>
      <c r="C1425" s="27" t="n"/>
      <c r="D1425" s="28" t="n"/>
      <c r="E1425" s="29" t="n"/>
      <c r="F1425" s="29" t="n"/>
      <c r="G1425" s="28" t="n"/>
      <c r="H1425" s="1" t="n"/>
      <c r="I1425">
        <f>IF(OR(B1425="",C1425=""),"",B1425+MOD(C1425,1))</f>
        <v/>
      </c>
      <c r="J1425">
        <f>IF(I1425="","",IF(B1425=Dashboard!$AA$1,I1425,""))</f>
        <v/>
      </c>
    </row>
    <row r="1426">
      <c r="A1426" s="1" t="n"/>
      <c r="B1426" s="26" t="n"/>
      <c r="C1426" s="27" t="n"/>
      <c r="D1426" s="28" t="n"/>
      <c r="E1426" s="29" t="n"/>
      <c r="F1426" s="29" t="n"/>
      <c r="G1426" s="28" t="n"/>
      <c r="H1426" s="1" t="n"/>
      <c r="I1426">
        <f>IF(OR(B1426="",C1426=""),"",B1426+MOD(C1426,1))</f>
        <v/>
      </c>
      <c r="J1426">
        <f>IF(I1426="","",IF(B1426=Dashboard!$AA$1,I1426,""))</f>
        <v/>
      </c>
    </row>
    <row r="1427">
      <c r="A1427" s="1" t="n"/>
      <c r="B1427" s="26" t="n"/>
      <c r="C1427" s="27" t="n"/>
      <c r="D1427" s="28" t="n"/>
      <c r="E1427" s="29" t="n"/>
      <c r="F1427" s="29" t="n"/>
      <c r="G1427" s="28" t="n"/>
      <c r="H1427" s="1" t="n"/>
      <c r="I1427">
        <f>IF(OR(B1427="",C1427=""),"",B1427+MOD(C1427,1))</f>
        <v/>
      </c>
      <c r="J1427">
        <f>IF(I1427="","",IF(B1427=Dashboard!$AA$1,I1427,""))</f>
        <v/>
      </c>
    </row>
    <row r="1428">
      <c r="A1428" s="1" t="n"/>
      <c r="B1428" s="26" t="n"/>
      <c r="C1428" s="27" t="n"/>
      <c r="D1428" s="28" t="n"/>
      <c r="E1428" s="29" t="n"/>
      <c r="F1428" s="29" t="n"/>
      <c r="G1428" s="28" t="n"/>
      <c r="H1428" s="1" t="n"/>
      <c r="I1428">
        <f>IF(OR(B1428="",C1428=""),"",B1428+MOD(C1428,1))</f>
        <v/>
      </c>
      <c r="J1428">
        <f>IF(I1428="","",IF(B1428=Dashboard!$AA$1,I1428,""))</f>
        <v/>
      </c>
    </row>
    <row r="1429">
      <c r="A1429" s="1" t="n"/>
      <c r="B1429" s="26" t="n"/>
      <c r="C1429" s="27" t="n"/>
      <c r="D1429" s="28" t="n"/>
      <c r="E1429" s="29" t="n"/>
      <c r="F1429" s="29" t="n"/>
      <c r="G1429" s="28" t="n"/>
      <c r="H1429" s="1" t="n"/>
      <c r="I1429">
        <f>IF(OR(B1429="",C1429=""),"",B1429+MOD(C1429,1))</f>
        <v/>
      </c>
      <c r="J1429">
        <f>IF(I1429="","",IF(B1429=Dashboard!$AA$1,I1429,""))</f>
        <v/>
      </c>
    </row>
    <row r="1430">
      <c r="A1430" s="1" t="n"/>
      <c r="B1430" s="26" t="n"/>
      <c r="C1430" s="27" t="n"/>
      <c r="D1430" s="28" t="n"/>
      <c r="E1430" s="29" t="n"/>
      <c r="F1430" s="29" t="n"/>
      <c r="G1430" s="28" t="n"/>
      <c r="H1430" s="1" t="n"/>
      <c r="I1430">
        <f>IF(OR(B1430="",C1430=""),"",B1430+MOD(C1430,1))</f>
        <v/>
      </c>
      <c r="J1430">
        <f>IF(I1430="","",IF(B1430=Dashboard!$AA$1,I1430,""))</f>
        <v/>
      </c>
    </row>
    <row r="1431">
      <c r="A1431" s="1" t="n"/>
      <c r="B1431" s="26" t="n"/>
      <c r="C1431" s="27" t="n"/>
      <c r="D1431" s="28" t="n"/>
      <c r="E1431" s="29" t="n"/>
      <c r="F1431" s="29" t="n"/>
      <c r="G1431" s="28" t="n"/>
      <c r="H1431" s="1" t="n"/>
      <c r="I1431">
        <f>IF(OR(B1431="",C1431=""),"",B1431+MOD(C1431,1))</f>
        <v/>
      </c>
      <c r="J1431">
        <f>IF(I1431="","",IF(B1431=Dashboard!$AA$1,I1431,""))</f>
        <v/>
      </c>
    </row>
    <row r="1432">
      <c r="A1432" s="1" t="n"/>
      <c r="B1432" s="26" t="n"/>
      <c r="C1432" s="27" t="n"/>
      <c r="D1432" s="28" t="n"/>
      <c r="E1432" s="29" t="n"/>
      <c r="F1432" s="29" t="n"/>
      <c r="G1432" s="28" t="n"/>
      <c r="H1432" s="1" t="n"/>
      <c r="I1432">
        <f>IF(OR(B1432="",C1432=""),"",B1432+MOD(C1432,1))</f>
        <v/>
      </c>
      <c r="J1432">
        <f>IF(I1432="","",IF(B1432=Dashboard!$AA$1,I1432,""))</f>
        <v/>
      </c>
    </row>
    <row r="1433">
      <c r="A1433" s="1" t="n"/>
      <c r="B1433" s="26" t="n"/>
      <c r="C1433" s="27" t="n"/>
      <c r="D1433" s="28" t="n"/>
      <c r="E1433" s="29" t="n"/>
      <c r="F1433" s="29" t="n"/>
      <c r="G1433" s="28" t="n"/>
      <c r="H1433" s="1" t="n"/>
      <c r="I1433">
        <f>IF(OR(B1433="",C1433=""),"",B1433+MOD(C1433,1))</f>
        <v/>
      </c>
      <c r="J1433">
        <f>IF(I1433="","",IF(B1433=Dashboard!$AA$1,I1433,""))</f>
        <v/>
      </c>
    </row>
    <row r="1434">
      <c r="A1434" s="1" t="n"/>
      <c r="B1434" s="26" t="n"/>
      <c r="C1434" s="27" t="n"/>
      <c r="D1434" s="28" t="n"/>
      <c r="E1434" s="29" t="n"/>
      <c r="F1434" s="29" t="n"/>
      <c r="G1434" s="28" t="n"/>
      <c r="H1434" s="1" t="n"/>
      <c r="I1434">
        <f>IF(OR(B1434="",C1434=""),"",B1434+MOD(C1434,1))</f>
        <v/>
      </c>
      <c r="J1434">
        <f>IF(I1434="","",IF(B1434=Dashboard!$AA$1,I1434,""))</f>
        <v/>
      </c>
    </row>
    <row r="1435">
      <c r="A1435" s="1" t="n"/>
      <c r="B1435" s="26" t="n"/>
      <c r="C1435" s="27" t="n"/>
      <c r="D1435" s="28" t="n"/>
      <c r="E1435" s="29" t="n"/>
      <c r="F1435" s="29" t="n"/>
      <c r="G1435" s="28" t="n"/>
      <c r="H1435" s="1" t="n"/>
      <c r="I1435">
        <f>IF(OR(B1435="",C1435=""),"",B1435+MOD(C1435,1))</f>
        <v/>
      </c>
      <c r="J1435">
        <f>IF(I1435="","",IF(B1435=Dashboard!$AA$1,I1435,""))</f>
        <v/>
      </c>
    </row>
    <row r="1436">
      <c r="A1436" s="1" t="n"/>
      <c r="B1436" s="26" t="n"/>
      <c r="C1436" s="27" t="n"/>
      <c r="D1436" s="28" t="n"/>
      <c r="E1436" s="29" t="n"/>
      <c r="F1436" s="29" t="n"/>
      <c r="G1436" s="28" t="n"/>
      <c r="H1436" s="1" t="n"/>
      <c r="I1436">
        <f>IF(OR(B1436="",C1436=""),"",B1436+MOD(C1436,1))</f>
        <v/>
      </c>
      <c r="J1436">
        <f>IF(I1436="","",IF(B1436=Dashboard!$AA$1,I1436,""))</f>
        <v/>
      </c>
    </row>
    <row r="1437">
      <c r="A1437" s="1" t="n"/>
      <c r="B1437" s="26" t="n"/>
      <c r="C1437" s="27" t="n"/>
      <c r="D1437" s="28" t="n"/>
      <c r="E1437" s="29" t="n"/>
      <c r="F1437" s="29" t="n"/>
      <c r="G1437" s="28" t="n"/>
      <c r="H1437" s="1" t="n"/>
      <c r="I1437">
        <f>IF(OR(B1437="",C1437=""),"",B1437+MOD(C1437,1))</f>
        <v/>
      </c>
      <c r="J1437">
        <f>IF(I1437="","",IF(B1437=Dashboard!$AA$1,I1437,""))</f>
        <v/>
      </c>
    </row>
    <row r="1438">
      <c r="A1438" s="1" t="n"/>
      <c r="B1438" s="26" t="n"/>
      <c r="C1438" s="27" t="n"/>
      <c r="D1438" s="28" t="n"/>
      <c r="E1438" s="29" t="n"/>
      <c r="F1438" s="29" t="n"/>
      <c r="G1438" s="28" t="n"/>
      <c r="H1438" s="1" t="n"/>
      <c r="I1438">
        <f>IF(OR(B1438="",C1438=""),"",B1438+MOD(C1438,1))</f>
        <v/>
      </c>
      <c r="J1438">
        <f>IF(I1438="","",IF(B1438=Dashboard!$AA$1,I1438,""))</f>
        <v/>
      </c>
    </row>
    <row r="1439">
      <c r="A1439" s="1" t="n"/>
      <c r="B1439" s="26" t="n"/>
      <c r="C1439" s="27" t="n"/>
      <c r="D1439" s="28" t="n"/>
      <c r="E1439" s="29" t="n"/>
      <c r="F1439" s="29" t="n"/>
      <c r="G1439" s="28" t="n"/>
      <c r="H1439" s="1" t="n"/>
      <c r="I1439">
        <f>IF(OR(B1439="",C1439=""),"",B1439+MOD(C1439,1))</f>
        <v/>
      </c>
      <c r="J1439">
        <f>IF(I1439="","",IF(B1439=Dashboard!$AA$1,I1439,""))</f>
        <v/>
      </c>
    </row>
    <row r="1440">
      <c r="A1440" s="1" t="n"/>
      <c r="B1440" s="26" t="n"/>
      <c r="C1440" s="27" t="n"/>
      <c r="D1440" s="28" t="n"/>
      <c r="E1440" s="29" t="n"/>
      <c r="F1440" s="29" t="n"/>
      <c r="G1440" s="28" t="n"/>
      <c r="H1440" s="1" t="n"/>
      <c r="I1440">
        <f>IF(OR(B1440="",C1440=""),"",B1440+MOD(C1440,1))</f>
        <v/>
      </c>
      <c r="J1440">
        <f>IF(I1440="","",IF(B1440=Dashboard!$AA$1,I1440,""))</f>
        <v/>
      </c>
    </row>
    <row r="1441">
      <c r="A1441" s="1" t="n"/>
      <c r="B1441" s="26" t="n"/>
      <c r="C1441" s="27" t="n"/>
      <c r="D1441" s="28" t="n"/>
      <c r="E1441" s="29" t="n"/>
      <c r="F1441" s="29" t="n"/>
      <c r="G1441" s="28" t="n"/>
      <c r="H1441" s="1" t="n"/>
      <c r="I1441">
        <f>IF(OR(B1441="",C1441=""),"",B1441+MOD(C1441,1))</f>
        <v/>
      </c>
      <c r="J1441">
        <f>IF(I1441="","",IF(B1441=Dashboard!$AA$1,I1441,""))</f>
        <v/>
      </c>
    </row>
    <row r="1442">
      <c r="A1442" s="1" t="n"/>
      <c r="B1442" s="26" t="n"/>
      <c r="C1442" s="27" t="n"/>
      <c r="D1442" s="28" t="n"/>
      <c r="E1442" s="29" t="n"/>
      <c r="F1442" s="29" t="n"/>
      <c r="G1442" s="28" t="n"/>
      <c r="H1442" s="1" t="n"/>
      <c r="I1442">
        <f>IF(OR(B1442="",C1442=""),"",B1442+MOD(C1442,1))</f>
        <v/>
      </c>
      <c r="J1442">
        <f>IF(I1442="","",IF(B1442=Dashboard!$AA$1,I1442,""))</f>
        <v/>
      </c>
    </row>
    <row r="1443">
      <c r="A1443" s="1" t="n"/>
      <c r="B1443" s="26" t="n"/>
      <c r="C1443" s="27" t="n"/>
      <c r="D1443" s="28" t="n"/>
      <c r="E1443" s="29" t="n"/>
      <c r="F1443" s="29" t="n"/>
      <c r="G1443" s="28" t="n"/>
      <c r="H1443" s="1" t="n"/>
      <c r="I1443">
        <f>IF(OR(B1443="",C1443=""),"",B1443+MOD(C1443,1))</f>
        <v/>
      </c>
      <c r="J1443">
        <f>IF(I1443="","",IF(B1443=Dashboard!$AA$1,I1443,""))</f>
        <v/>
      </c>
    </row>
    <row r="1444">
      <c r="A1444" s="1" t="n"/>
      <c r="B1444" s="26" t="n"/>
      <c r="C1444" s="27" t="n"/>
      <c r="D1444" s="28" t="n"/>
      <c r="E1444" s="29" t="n"/>
      <c r="F1444" s="29" t="n"/>
      <c r="G1444" s="28" t="n"/>
      <c r="H1444" s="1" t="n"/>
      <c r="I1444">
        <f>IF(OR(B1444="",C1444=""),"",B1444+MOD(C1444,1))</f>
        <v/>
      </c>
      <c r="J1444">
        <f>IF(I1444="","",IF(B1444=Dashboard!$AA$1,I1444,""))</f>
        <v/>
      </c>
    </row>
    <row r="1445">
      <c r="A1445" s="1" t="n"/>
      <c r="B1445" s="26" t="n"/>
      <c r="C1445" s="27" t="n"/>
      <c r="D1445" s="28" t="n"/>
      <c r="E1445" s="29" t="n"/>
      <c r="F1445" s="29" t="n"/>
      <c r="G1445" s="28" t="n"/>
      <c r="H1445" s="1" t="n"/>
      <c r="I1445">
        <f>IF(OR(B1445="",C1445=""),"",B1445+MOD(C1445,1))</f>
        <v/>
      </c>
      <c r="J1445">
        <f>IF(I1445="","",IF(B1445=Dashboard!$AA$1,I1445,""))</f>
        <v/>
      </c>
    </row>
    <row r="1446">
      <c r="A1446" s="1" t="n"/>
      <c r="B1446" s="26" t="n"/>
      <c r="C1446" s="27" t="n"/>
      <c r="D1446" s="28" t="n"/>
      <c r="E1446" s="29" t="n"/>
      <c r="F1446" s="29" t="n"/>
      <c r="G1446" s="28" t="n"/>
      <c r="H1446" s="1" t="n"/>
      <c r="I1446">
        <f>IF(OR(B1446="",C1446=""),"",B1446+MOD(C1446,1))</f>
        <v/>
      </c>
      <c r="J1446">
        <f>IF(I1446="","",IF(B1446=Dashboard!$AA$1,I1446,""))</f>
        <v/>
      </c>
    </row>
    <row r="1447">
      <c r="A1447" s="1" t="n"/>
      <c r="B1447" s="26" t="n"/>
      <c r="C1447" s="27" t="n"/>
      <c r="D1447" s="28" t="n"/>
      <c r="E1447" s="29" t="n"/>
      <c r="F1447" s="29" t="n"/>
      <c r="G1447" s="28" t="n"/>
      <c r="H1447" s="1" t="n"/>
      <c r="I1447">
        <f>IF(OR(B1447="",C1447=""),"",B1447+MOD(C1447,1))</f>
        <v/>
      </c>
      <c r="J1447">
        <f>IF(I1447="","",IF(B1447=Dashboard!$AA$1,I1447,""))</f>
        <v/>
      </c>
    </row>
    <row r="1448">
      <c r="A1448" s="1" t="n"/>
      <c r="B1448" s="26" t="n"/>
      <c r="C1448" s="27" t="n"/>
      <c r="D1448" s="28" t="n"/>
      <c r="E1448" s="29" t="n"/>
      <c r="F1448" s="29" t="n"/>
      <c r="G1448" s="28" t="n"/>
      <c r="H1448" s="1" t="n"/>
      <c r="I1448">
        <f>IF(OR(B1448="",C1448=""),"",B1448+MOD(C1448,1))</f>
        <v/>
      </c>
      <c r="J1448">
        <f>IF(I1448="","",IF(B1448=Dashboard!$AA$1,I1448,""))</f>
        <v/>
      </c>
    </row>
    <row r="1449">
      <c r="A1449" s="1" t="n"/>
      <c r="B1449" s="26" t="n"/>
      <c r="C1449" s="27" t="n"/>
      <c r="D1449" s="28" t="n"/>
      <c r="E1449" s="29" t="n"/>
      <c r="F1449" s="29" t="n"/>
      <c r="G1449" s="28" t="n"/>
      <c r="H1449" s="1" t="n"/>
      <c r="I1449">
        <f>IF(OR(B1449="",C1449=""),"",B1449+MOD(C1449,1))</f>
        <v/>
      </c>
      <c r="J1449">
        <f>IF(I1449="","",IF(B1449=Dashboard!$AA$1,I1449,""))</f>
        <v/>
      </c>
    </row>
    <row r="1450">
      <c r="A1450" s="1" t="n"/>
      <c r="B1450" s="26" t="n"/>
      <c r="C1450" s="27" t="n"/>
      <c r="D1450" s="28" t="n"/>
      <c r="E1450" s="29" t="n"/>
      <c r="F1450" s="29" t="n"/>
      <c r="G1450" s="28" t="n"/>
      <c r="H1450" s="1" t="n"/>
      <c r="I1450">
        <f>IF(OR(B1450="",C1450=""),"",B1450+MOD(C1450,1))</f>
        <v/>
      </c>
      <c r="J1450">
        <f>IF(I1450="","",IF(B1450=Dashboard!$AA$1,I1450,""))</f>
        <v/>
      </c>
    </row>
    <row r="1451">
      <c r="A1451" s="1" t="n"/>
      <c r="B1451" s="26" t="n"/>
      <c r="C1451" s="27" t="n"/>
      <c r="D1451" s="28" t="n"/>
      <c r="E1451" s="29" t="n"/>
      <c r="F1451" s="29" t="n"/>
      <c r="G1451" s="28" t="n"/>
      <c r="H1451" s="1" t="n"/>
      <c r="I1451">
        <f>IF(OR(B1451="",C1451=""),"",B1451+MOD(C1451,1))</f>
        <v/>
      </c>
      <c r="J1451">
        <f>IF(I1451="","",IF(B1451=Dashboard!$AA$1,I1451,""))</f>
        <v/>
      </c>
    </row>
    <row r="1452">
      <c r="A1452" s="1" t="n"/>
      <c r="B1452" s="26" t="n"/>
      <c r="C1452" s="27" t="n"/>
      <c r="D1452" s="28" t="n"/>
      <c r="E1452" s="29" t="n"/>
      <c r="F1452" s="29" t="n"/>
      <c r="G1452" s="28" t="n"/>
      <c r="H1452" s="1" t="n"/>
      <c r="I1452">
        <f>IF(OR(B1452="",C1452=""),"",B1452+MOD(C1452,1))</f>
        <v/>
      </c>
      <c r="J1452">
        <f>IF(I1452="","",IF(B1452=Dashboard!$AA$1,I1452,""))</f>
        <v/>
      </c>
    </row>
    <row r="1453">
      <c r="A1453" s="1" t="n"/>
      <c r="B1453" s="26" t="n"/>
      <c r="C1453" s="27" t="n"/>
      <c r="D1453" s="28" t="n"/>
      <c r="E1453" s="29" t="n"/>
      <c r="F1453" s="29" t="n"/>
      <c r="G1453" s="28" t="n"/>
      <c r="H1453" s="1" t="n"/>
      <c r="I1453">
        <f>IF(OR(B1453="",C1453=""),"",B1453+MOD(C1453,1))</f>
        <v/>
      </c>
      <c r="J1453">
        <f>IF(I1453="","",IF(B1453=Dashboard!$AA$1,I1453,""))</f>
        <v/>
      </c>
    </row>
    <row r="1454">
      <c r="A1454" s="1" t="n"/>
      <c r="B1454" s="26" t="n"/>
      <c r="C1454" s="27" t="n"/>
      <c r="D1454" s="28" t="n"/>
      <c r="E1454" s="29" t="n"/>
      <c r="F1454" s="29" t="n"/>
      <c r="G1454" s="28" t="n"/>
      <c r="H1454" s="1" t="n"/>
      <c r="I1454">
        <f>IF(OR(B1454="",C1454=""),"",B1454+MOD(C1454,1))</f>
        <v/>
      </c>
      <c r="J1454">
        <f>IF(I1454="","",IF(B1454=Dashboard!$AA$1,I1454,""))</f>
        <v/>
      </c>
    </row>
    <row r="1455">
      <c r="A1455" s="1" t="n"/>
      <c r="B1455" s="26" t="n"/>
      <c r="C1455" s="27" t="n"/>
      <c r="D1455" s="28" t="n"/>
      <c r="E1455" s="29" t="n"/>
      <c r="F1455" s="29" t="n"/>
      <c r="G1455" s="28" t="n"/>
      <c r="H1455" s="1" t="n"/>
      <c r="I1455">
        <f>IF(OR(B1455="",C1455=""),"",B1455+MOD(C1455,1))</f>
        <v/>
      </c>
      <c r="J1455">
        <f>IF(I1455="","",IF(B1455=Dashboard!$AA$1,I1455,""))</f>
        <v/>
      </c>
    </row>
    <row r="1456">
      <c r="A1456" s="1" t="n"/>
      <c r="B1456" s="26" t="n"/>
      <c r="C1456" s="27" t="n"/>
      <c r="D1456" s="28" t="n"/>
      <c r="E1456" s="29" t="n"/>
      <c r="F1456" s="29" t="n"/>
      <c r="G1456" s="28" t="n"/>
      <c r="H1456" s="1" t="n"/>
      <c r="I1456">
        <f>IF(OR(B1456="",C1456=""),"",B1456+MOD(C1456,1))</f>
        <v/>
      </c>
      <c r="J1456">
        <f>IF(I1456="","",IF(B1456=Dashboard!$AA$1,I1456,""))</f>
        <v/>
      </c>
    </row>
    <row r="1457">
      <c r="A1457" s="1" t="n"/>
      <c r="B1457" s="26" t="n"/>
      <c r="C1457" s="27" t="n"/>
      <c r="D1457" s="28" t="n"/>
      <c r="E1457" s="29" t="n"/>
      <c r="F1457" s="29" t="n"/>
      <c r="G1457" s="28" t="n"/>
      <c r="H1457" s="1" t="n"/>
      <c r="I1457">
        <f>IF(OR(B1457="",C1457=""),"",B1457+MOD(C1457,1))</f>
        <v/>
      </c>
      <c r="J1457">
        <f>IF(I1457="","",IF(B1457=Dashboard!$AA$1,I1457,""))</f>
        <v/>
      </c>
    </row>
    <row r="1458">
      <c r="A1458" s="1" t="n"/>
      <c r="B1458" s="26" t="n"/>
      <c r="C1458" s="27" t="n"/>
      <c r="D1458" s="28" t="n"/>
      <c r="E1458" s="29" t="n"/>
      <c r="F1458" s="29" t="n"/>
      <c r="G1458" s="28" t="n"/>
      <c r="H1458" s="1" t="n"/>
      <c r="I1458">
        <f>IF(OR(B1458="",C1458=""),"",B1458+MOD(C1458,1))</f>
        <v/>
      </c>
      <c r="J1458">
        <f>IF(I1458="","",IF(B1458=Dashboard!$AA$1,I1458,""))</f>
        <v/>
      </c>
    </row>
    <row r="1459">
      <c r="A1459" s="1" t="n"/>
      <c r="B1459" s="26" t="n"/>
      <c r="C1459" s="27" t="n"/>
      <c r="D1459" s="28" t="n"/>
      <c r="E1459" s="29" t="n"/>
      <c r="F1459" s="29" t="n"/>
      <c r="G1459" s="28" t="n"/>
      <c r="H1459" s="1" t="n"/>
      <c r="I1459">
        <f>IF(OR(B1459="",C1459=""),"",B1459+MOD(C1459,1))</f>
        <v/>
      </c>
      <c r="J1459">
        <f>IF(I1459="","",IF(B1459=Dashboard!$AA$1,I1459,""))</f>
        <v/>
      </c>
    </row>
    <row r="1460">
      <c r="A1460" s="1" t="n"/>
      <c r="B1460" s="26" t="n"/>
      <c r="C1460" s="27" t="n"/>
      <c r="D1460" s="28" t="n"/>
      <c r="E1460" s="29" t="n"/>
      <c r="F1460" s="29" t="n"/>
      <c r="G1460" s="28" t="n"/>
      <c r="H1460" s="1" t="n"/>
      <c r="I1460">
        <f>IF(OR(B1460="",C1460=""),"",B1460+MOD(C1460,1))</f>
        <v/>
      </c>
      <c r="J1460">
        <f>IF(I1460="","",IF(B1460=Dashboard!$AA$1,I1460,""))</f>
        <v/>
      </c>
    </row>
    <row r="1461">
      <c r="A1461" s="1" t="n"/>
      <c r="B1461" s="26" t="n"/>
      <c r="C1461" s="27" t="n"/>
      <c r="D1461" s="28" t="n"/>
      <c r="E1461" s="29" t="n"/>
      <c r="F1461" s="29" t="n"/>
      <c r="G1461" s="28" t="n"/>
      <c r="H1461" s="1" t="n"/>
      <c r="I1461">
        <f>IF(OR(B1461="",C1461=""),"",B1461+MOD(C1461,1))</f>
        <v/>
      </c>
      <c r="J1461">
        <f>IF(I1461="","",IF(B1461=Dashboard!$AA$1,I1461,""))</f>
        <v/>
      </c>
    </row>
    <row r="1462">
      <c r="A1462" s="1" t="n"/>
      <c r="B1462" s="26" t="n"/>
      <c r="C1462" s="27" t="n"/>
      <c r="D1462" s="28" t="n"/>
      <c r="E1462" s="29" t="n"/>
      <c r="F1462" s="29" t="n"/>
      <c r="G1462" s="28" t="n"/>
      <c r="H1462" s="1" t="n"/>
      <c r="I1462">
        <f>IF(OR(B1462="",C1462=""),"",B1462+MOD(C1462,1))</f>
        <v/>
      </c>
      <c r="J1462">
        <f>IF(I1462="","",IF(B1462=Dashboard!$AA$1,I1462,""))</f>
        <v/>
      </c>
    </row>
    <row r="1463">
      <c r="A1463" s="1" t="n"/>
      <c r="B1463" s="26" t="n"/>
      <c r="C1463" s="27" t="n"/>
      <c r="D1463" s="28" t="n"/>
      <c r="E1463" s="29" t="n"/>
      <c r="F1463" s="29" t="n"/>
      <c r="G1463" s="28" t="n"/>
      <c r="H1463" s="1" t="n"/>
      <c r="I1463">
        <f>IF(OR(B1463="",C1463=""),"",B1463+MOD(C1463,1))</f>
        <v/>
      </c>
      <c r="J1463">
        <f>IF(I1463="","",IF(B1463=Dashboard!$AA$1,I1463,""))</f>
        <v/>
      </c>
    </row>
    <row r="1464">
      <c r="A1464" s="1" t="n"/>
      <c r="B1464" s="26" t="n"/>
      <c r="C1464" s="27" t="n"/>
      <c r="D1464" s="28" t="n"/>
      <c r="E1464" s="29" t="n"/>
      <c r="F1464" s="29" t="n"/>
      <c r="G1464" s="28" t="n"/>
      <c r="H1464" s="1" t="n"/>
      <c r="I1464">
        <f>IF(OR(B1464="",C1464=""),"",B1464+MOD(C1464,1))</f>
        <v/>
      </c>
      <c r="J1464">
        <f>IF(I1464="","",IF(B1464=Dashboard!$AA$1,I1464,""))</f>
        <v/>
      </c>
    </row>
    <row r="1465">
      <c r="A1465" s="1" t="n"/>
      <c r="B1465" s="26" t="n"/>
      <c r="C1465" s="27" t="n"/>
      <c r="D1465" s="28" t="n"/>
      <c r="E1465" s="29" t="n"/>
      <c r="F1465" s="29" t="n"/>
      <c r="G1465" s="28" t="n"/>
      <c r="H1465" s="1" t="n"/>
      <c r="I1465">
        <f>IF(OR(B1465="",C1465=""),"",B1465+MOD(C1465,1))</f>
        <v/>
      </c>
      <c r="J1465">
        <f>IF(I1465="","",IF(B1465=Dashboard!$AA$1,I1465,""))</f>
        <v/>
      </c>
    </row>
    <row r="1466">
      <c r="A1466" s="1" t="n"/>
      <c r="B1466" s="26" t="n"/>
      <c r="C1466" s="27" t="n"/>
      <c r="D1466" s="28" t="n"/>
      <c r="E1466" s="29" t="n"/>
      <c r="F1466" s="29" t="n"/>
      <c r="G1466" s="28" t="n"/>
      <c r="H1466" s="1" t="n"/>
      <c r="I1466">
        <f>IF(OR(B1466="",C1466=""),"",B1466+MOD(C1466,1))</f>
        <v/>
      </c>
      <c r="J1466">
        <f>IF(I1466="","",IF(B1466=Dashboard!$AA$1,I1466,""))</f>
        <v/>
      </c>
    </row>
    <row r="1467">
      <c r="A1467" s="1" t="n"/>
      <c r="B1467" s="26" t="n"/>
      <c r="C1467" s="27" t="n"/>
      <c r="D1467" s="28" t="n"/>
      <c r="E1467" s="29" t="n"/>
      <c r="F1467" s="29" t="n"/>
      <c r="G1467" s="28" t="n"/>
      <c r="H1467" s="1" t="n"/>
      <c r="I1467">
        <f>IF(OR(B1467="",C1467=""),"",B1467+MOD(C1467,1))</f>
        <v/>
      </c>
      <c r="J1467">
        <f>IF(I1467="","",IF(B1467=Dashboard!$AA$1,I1467,""))</f>
        <v/>
      </c>
    </row>
    <row r="1468">
      <c r="A1468" s="1" t="n"/>
      <c r="B1468" s="26" t="n"/>
      <c r="C1468" s="27" t="n"/>
      <c r="D1468" s="28" t="n"/>
      <c r="E1468" s="29" t="n"/>
      <c r="F1468" s="29" t="n"/>
      <c r="G1468" s="28" t="n"/>
      <c r="H1468" s="1" t="n"/>
      <c r="I1468">
        <f>IF(OR(B1468="",C1468=""),"",B1468+MOD(C1468,1))</f>
        <v/>
      </c>
      <c r="J1468">
        <f>IF(I1468="","",IF(B1468=Dashboard!$AA$1,I1468,""))</f>
        <v/>
      </c>
    </row>
    <row r="1469">
      <c r="A1469" s="1" t="n"/>
      <c r="B1469" s="26" t="n"/>
      <c r="C1469" s="27" t="n"/>
      <c r="D1469" s="28" t="n"/>
      <c r="E1469" s="29" t="n"/>
      <c r="F1469" s="29" t="n"/>
      <c r="G1469" s="28" t="n"/>
      <c r="H1469" s="1" t="n"/>
      <c r="I1469">
        <f>IF(OR(B1469="",C1469=""),"",B1469+MOD(C1469,1))</f>
        <v/>
      </c>
      <c r="J1469">
        <f>IF(I1469="","",IF(B1469=Dashboard!$AA$1,I1469,""))</f>
        <v/>
      </c>
    </row>
    <row r="1470">
      <c r="A1470" s="1" t="n"/>
      <c r="B1470" s="26" t="n"/>
      <c r="C1470" s="27" t="n"/>
      <c r="D1470" s="28" t="n"/>
      <c r="E1470" s="29" t="n"/>
      <c r="F1470" s="29" t="n"/>
      <c r="G1470" s="28" t="n"/>
      <c r="H1470" s="1" t="n"/>
      <c r="I1470">
        <f>IF(OR(B1470="",C1470=""),"",B1470+MOD(C1470,1))</f>
        <v/>
      </c>
      <c r="J1470">
        <f>IF(I1470="","",IF(B1470=Dashboard!$AA$1,I1470,""))</f>
        <v/>
      </c>
    </row>
    <row r="1471">
      <c r="A1471" s="1" t="n"/>
      <c r="B1471" s="26" t="n"/>
      <c r="C1471" s="27" t="n"/>
      <c r="D1471" s="28" t="n"/>
      <c r="E1471" s="29" t="n"/>
      <c r="F1471" s="29" t="n"/>
      <c r="G1471" s="28" t="n"/>
      <c r="H1471" s="1" t="n"/>
      <c r="I1471">
        <f>IF(OR(B1471="",C1471=""),"",B1471+MOD(C1471,1))</f>
        <v/>
      </c>
      <c r="J1471">
        <f>IF(I1471="","",IF(B1471=Dashboard!$AA$1,I1471,""))</f>
        <v/>
      </c>
    </row>
    <row r="1472">
      <c r="A1472" s="1" t="n"/>
      <c r="B1472" s="26" t="n"/>
      <c r="C1472" s="27" t="n"/>
      <c r="D1472" s="28" t="n"/>
      <c r="E1472" s="29" t="n"/>
      <c r="F1472" s="29" t="n"/>
      <c r="G1472" s="28" t="n"/>
      <c r="H1472" s="1" t="n"/>
      <c r="I1472">
        <f>IF(OR(B1472="",C1472=""),"",B1472+MOD(C1472,1))</f>
        <v/>
      </c>
      <c r="J1472">
        <f>IF(I1472="","",IF(B1472=Dashboard!$AA$1,I1472,""))</f>
        <v/>
      </c>
    </row>
    <row r="1473">
      <c r="A1473" s="1" t="n"/>
      <c r="B1473" s="26" t="n"/>
      <c r="C1473" s="27" t="n"/>
      <c r="D1473" s="28" t="n"/>
      <c r="E1473" s="29" t="n"/>
      <c r="F1473" s="29" t="n"/>
      <c r="G1473" s="28" t="n"/>
      <c r="H1473" s="1" t="n"/>
      <c r="I1473">
        <f>IF(OR(B1473="",C1473=""),"",B1473+MOD(C1473,1))</f>
        <v/>
      </c>
      <c r="J1473">
        <f>IF(I1473="","",IF(B1473=Dashboard!$AA$1,I1473,""))</f>
        <v/>
      </c>
    </row>
    <row r="1474">
      <c r="A1474" s="1" t="n"/>
      <c r="B1474" s="26" t="n"/>
      <c r="C1474" s="27" t="n"/>
      <c r="D1474" s="28" t="n"/>
      <c r="E1474" s="29" t="n"/>
      <c r="F1474" s="29" t="n"/>
      <c r="G1474" s="28" t="n"/>
      <c r="H1474" s="1" t="n"/>
      <c r="I1474">
        <f>IF(OR(B1474="",C1474=""),"",B1474+MOD(C1474,1))</f>
        <v/>
      </c>
      <c r="J1474">
        <f>IF(I1474="","",IF(B1474=Dashboard!$AA$1,I1474,""))</f>
        <v/>
      </c>
    </row>
    <row r="1475">
      <c r="A1475" s="1" t="n"/>
      <c r="B1475" s="26" t="n"/>
      <c r="C1475" s="27" t="n"/>
      <c r="D1475" s="28" t="n"/>
      <c r="E1475" s="29" t="n"/>
      <c r="F1475" s="29" t="n"/>
      <c r="G1475" s="28" t="n"/>
      <c r="H1475" s="1" t="n"/>
      <c r="I1475">
        <f>IF(OR(B1475="",C1475=""),"",B1475+MOD(C1475,1))</f>
        <v/>
      </c>
      <c r="J1475">
        <f>IF(I1475="","",IF(B1475=Dashboard!$AA$1,I1475,""))</f>
        <v/>
      </c>
    </row>
    <row r="1476">
      <c r="A1476" s="1" t="n"/>
      <c r="B1476" s="26" t="n"/>
      <c r="C1476" s="27" t="n"/>
      <c r="D1476" s="28" t="n"/>
      <c r="E1476" s="29" t="n"/>
      <c r="F1476" s="29" t="n"/>
      <c r="G1476" s="28" t="n"/>
      <c r="H1476" s="1" t="n"/>
      <c r="I1476">
        <f>IF(OR(B1476="",C1476=""),"",B1476+MOD(C1476,1))</f>
        <v/>
      </c>
      <c r="J1476">
        <f>IF(I1476="","",IF(B1476=Dashboard!$AA$1,I1476,""))</f>
        <v/>
      </c>
    </row>
    <row r="1477">
      <c r="A1477" s="1" t="n"/>
      <c r="B1477" s="26" t="n"/>
      <c r="C1477" s="27" t="n"/>
      <c r="D1477" s="28" t="n"/>
      <c r="E1477" s="29" t="n"/>
      <c r="F1477" s="29" t="n"/>
      <c r="G1477" s="28" t="n"/>
      <c r="H1477" s="1" t="n"/>
      <c r="I1477">
        <f>IF(OR(B1477="",C1477=""),"",B1477+MOD(C1477,1))</f>
        <v/>
      </c>
      <c r="J1477">
        <f>IF(I1477="","",IF(B1477=Dashboard!$AA$1,I1477,""))</f>
        <v/>
      </c>
    </row>
    <row r="1478">
      <c r="A1478" s="1" t="n"/>
      <c r="B1478" s="26" t="n"/>
      <c r="C1478" s="27" t="n"/>
      <c r="D1478" s="28" t="n"/>
      <c r="E1478" s="29" t="n"/>
      <c r="F1478" s="29" t="n"/>
      <c r="G1478" s="28" t="n"/>
      <c r="H1478" s="1" t="n"/>
      <c r="I1478">
        <f>IF(OR(B1478="",C1478=""),"",B1478+MOD(C1478,1))</f>
        <v/>
      </c>
      <c r="J1478">
        <f>IF(I1478="","",IF(B1478=Dashboard!$AA$1,I1478,""))</f>
        <v/>
      </c>
    </row>
    <row r="1479">
      <c r="A1479" s="1" t="n"/>
      <c r="B1479" s="26" t="n"/>
      <c r="C1479" s="27" t="n"/>
      <c r="D1479" s="28" t="n"/>
      <c r="E1479" s="29" t="n"/>
      <c r="F1479" s="29" t="n"/>
      <c r="G1479" s="28" t="n"/>
      <c r="H1479" s="1" t="n"/>
      <c r="I1479">
        <f>IF(OR(B1479="",C1479=""),"",B1479+MOD(C1479,1))</f>
        <v/>
      </c>
      <c r="J1479">
        <f>IF(I1479="","",IF(B1479=Dashboard!$AA$1,I1479,""))</f>
        <v/>
      </c>
    </row>
    <row r="1480">
      <c r="A1480" s="1" t="n"/>
      <c r="B1480" s="26" t="n"/>
      <c r="C1480" s="27" t="n"/>
      <c r="D1480" s="28" t="n"/>
      <c r="E1480" s="29" t="n"/>
      <c r="F1480" s="29" t="n"/>
      <c r="G1480" s="28" t="n"/>
      <c r="H1480" s="1" t="n"/>
      <c r="I1480">
        <f>IF(OR(B1480="",C1480=""),"",B1480+MOD(C1480,1))</f>
        <v/>
      </c>
      <c r="J1480">
        <f>IF(I1480="","",IF(B1480=Dashboard!$AA$1,I1480,""))</f>
        <v/>
      </c>
    </row>
    <row r="1481">
      <c r="A1481" s="1" t="n"/>
      <c r="B1481" s="26" t="n"/>
      <c r="C1481" s="27" t="n"/>
      <c r="D1481" s="28" t="n"/>
      <c r="E1481" s="29" t="n"/>
      <c r="F1481" s="29" t="n"/>
      <c r="G1481" s="28" t="n"/>
      <c r="H1481" s="1" t="n"/>
      <c r="I1481">
        <f>IF(OR(B1481="",C1481=""),"",B1481+MOD(C1481,1))</f>
        <v/>
      </c>
      <c r="J1481">
        <f>IF(I1481="","",IF(B1481=Dashboard!$AA$1,I1481,""))</f>
        <v/>
      </c>
    </row>
    <row r="1482">
      <c r="A1482" s="1" t="n"/>
      <c r="B1482" s="26" t="n"/>
      <c r="C1482" s="27" t="n"/>
      <c r="D1482" s="28" t="n"/>
      <c r="E1482" s="29" t="n"/>
      <c r="F1482" s="29" t="n"/>
      <c r="G1482" s="28" t="n"/>
      <c r="H1482" s="1" t="n"/>
      <c r="I1482">
        <f>IF(OR(B1482="",C1482=""),"",B1482+MOD(C1482,1))</f>
        <v/>
      </c>
      <c r="J1482">
        <f>IF(I1482="","",IF(B1482=Dashboard!$AA$1,I1482,""))</f>
        <v/>
      </c>
    </row>
    <row r="1483">
      <c r="A1483" s="1" t="n"/>
      <c r="B1483" s="26" t="n"/>
      <c r="C1483" s="27" t="n"/>
      <c r="D1483" s="28" t="n"/>
      <c r="E1483" s="29" t="n"/>
      <c r="F1483" s="29" t="n"/>
      <c r="G1483" s="28" t="n"/>
      <c r="H1483" s="1" t="n"/>
      <c r="I1483">
        <f>IF(OR(B1483="",C1483=""),"",B1483+MOD(C1483,1))</f>
        <v/>
      </c>
      <c r="J1483">
        <f>IF(I1483="","",IF(B1483=Dashboard!$AA$1,I1483,""))</f>
        <v/>
      </c>
    </row>
    <row r="1484">
      <c r="A1484" s="1" t="n"/>
      <c r="B1484" s="26" t="n"/>
      <c r="C1484" s="27" t="n"/>
      <c r="D1484" s="28" t="n"/>
      <c r="E1484" s="29" t="n"/>
      <c r="F1484" s="29" t="n"/>
      <c r="G1484" s="28" t="n"/>
      <c r="H1484" s="1" t="n"/>
      <c r="I1484">
        <f>IF(OR(B1484="",C1484=""),"",B1484+MOD(C1484,1))</f>
        <v/>
      </c>
      <c r="J1484">
        <f>IF(I1484="","",IF(B1484=Dashboard!$AA$1,I1484,""))</f>
        <v/>
      </c>
    </row>
    <row r="1485">
      <c r="A1485" s="1" t="n"/>
      <c r="B1485" s="26" t="n"/>
      <c r="C1485" s="27" t="n"/>
      <c r="D1485" s="28" t="n"/>
      <c r="E1485" s="29" t="n"/>
      <c r="F1485" s="29" t="n"/>
      <c r="G1485" s="28" t="n"/>
      <c r="H1485" s="1" t="n"/>
      <c r="I1485">
        <f>IF(OR(B1485="",C1485=""),"",B1485+MOD(C1485,1))</f>
        <v/>
      </c>
      <c r="J1485">
        <f>IF(I1485="","",IF(B1485=Dashboard!$AA$1,I1485,""))</f>
        <v/>
      </c>
    </row>
    <row r="1486">
      <c r="A1486" s="1" t="n"/>
      <c r="B1486" s="26" t="n"/>
      <c r="C1486" s="27" t="n"/>
      <c r="D1486" s="28" t="n"/>
      <c r="E1486" s="29" t="n"/>
      <c r="F1486" s="29" t="n"/>
      <c r="G1486" s="28" t="n"/>
      <c r="H1486" s="1" t="n"/>
      <c r="I1486">
        <f>IF(OR(B1486="",C1486=""),"",B1486+MOD(C1486,1))</f>
        <v/>
      </c>
      <c r="J1486">
        <f>IF(I1486="","",IF(B1486=Dashboard!$AA$1,I1486,""))</f>
        <v/>
      </c>
    </row>
    <row r="1487">
      <c r="A1487" s="1" t="n"/>
      <c r="B1487" s="26" t="n"/>
      <c r="C1487" s="27" t="n"/>
      <c r="D1487" s="28" t="n"/>
      <c r="E1487" s="29" t="n"/>
      <c r="F1487" s="29" t="n"/>
      <c r="G1487" s="28" t="n"/>
      <c r="H1487" s="1" t="n"/>
      <c r="I1487">
        <f>IF(OR(B1487="",C1487=""),"",B1487+MOD(C1487,1))</f>
        <v/>
      </c>
      <c r="J1487">
        <f>IF(I1487="","",IF(B1487=Dashboard!$AA$1,I1487,""))</f>
        <v/>
      </c>
    </row>
    <row r="1488">
      <c r="A1488" s="1" t="n"/>
      <c r="B1488" s="26" t="n"/>
      <c r="C1488" s="27" t="n"/>
      <c r="D1488" s="28" t="n"/>
      <c r="E1488" s="29" t="n"/>
      <c r="F1488" s="29" t="n"/>
      <c r="G1488" s="28" t="n"/>
      <c r="H1488" s="1" t="n"/>
      <c r="I1488">
        <f>IF(OR(B1488="",C1488=""),"",B1488+MOD(C1488,1))</f>
        <v/>
      </c>
      <c r="J1488">
        <f>IF(I1488="","",IF(B1488=Dashboard!$AA$1,I1488,""))</f>
        <v/>
      </c>
    </row>
    <row r="1489">
      <c r="A1489" s="1" t="n"/>
      <c r="B1489" s="26" t="n"/>
      <c r="C1489" s="27" t="n"/>
      <c r="D1489" s="28" t="n"/>
      <c r="E1489" s="29" t="n"/>
      <c r="F1489" s="29" t="n"/>
      <c r="G1489" s="28" t="n"/>
      <c r="H1489" s="1" t="n"/>
      <c r="I1489">
        <f>IF(OR(B1489="",C1489=""),"",B1489+MOD(C1489,1))</f>
        <v/>
      </c>
      <c r="J1489">
        <f>IF(I1489="","",IF(B1489=Dashboard!$AA$1,I1489,""))</f>
        <v/>
      </c>
    </row>
    <row r="1490">
      <c r="A1490" s="1" t="n"/>
      <c r="B1490" s="26" t="n"/>
      <c r="C1490" s="27" t="n"/>
      <c r="D1490" s="28" t="n"/>
      <c r="E1490" s="29" t="n"/>
      <c r="F1490" s="29" t="n"/>
      <c r="G1490" s="28" t="n"/>
      <c r="H1490" s="1" t="n"/>
      <c r="I1490">
        <f>IF(OR(B1490="",C1490=""),"",B1490+MOD(C1490,1))</f>
        <v/>
      </c>
      <c r="J1490">
        <f>IF(I1490="","",IF(B1490=Dashboard!$AA$1,I1490,""))</f>
        <v/>
      </c>
    </row>
    <row r="1491">
      <c r="A1491" s="1" t="n"/>
      <c r="B1491" s="26" t="n"/>
      <c r="C1491" s="27" t="n"/>
      <c r="D1491" s="28" t="n"/>
      <c r="E1491" s="29" t="n"/>
      <c r="F1491" s="29" t="n"/>
      <c r="G1491" s="28" t="n"/>
      <c r="H1491" s="1" t="n"/>
      <c r="I1491">
        <f>IF(OR(B1491="",C1491=""),"",B1491+MOD(C1491,1))</f>
        <v/>
      </c>
      <c r="J1491">
        <f>IF(I1491="","",IF(B1491=Dashboard!$AA$1,I1491,""))</f>
        <v/>
      </c>
    </row>
    <row r="1492">
      <c r="A1492" s="1" t="n"/>
      <c r="B1492" s="26" t="n"/>
      <c r="C1492" s="27" t="n"/>
      <c r="D1492" s="28" t="n"/>
      <c r="E1492" s="29" t="n"/>
      <c r="F1492" s="29" t="n"/>
      <c r="G1492" s="28" t="n"/>
      <c r="H1492" s="1" t="n"/>
      <c r="I1492">
        <f>IF(OR(B1492="",C1492=""),"",B1492+MOD(C1492,1))</f>
        <v/>
      </c>
      <c r="J1492">
        <f>IF(I1492="","",IF(B1492=Dashboard!$AA$1,I1492,""))</f>
        <v/>
      </c>
    </row>
    <row r="1493">
      <c r="A1493" s="1" t="n"/>
      <c r="B1493" s="26" t="n"/>
      <c r="C1493" s="27" t="n"/>
      <c r="D1493" s="28" t="n"/>
      <c r="E1493" s="29" t="n"/>
      <c r="F1493" s="29" t="n"/>
      <c r="G1493" s="28" t="n"/>
      <c r="H1493" s="1" t="n"/>
      <c r="I1493">
        <f>IF(OR(B1493="",C1493=""),"",B1493+MOD(C1493,1))</f>
        <v/>
      </c>
      <c r="J1493">
        <f>IF(I1493="","",IF(B1493=Dashboard!$AA$1,I1493,""))</f>
        <v/>
      </c>
    </row>
    <row r="1494">
      <c r="A1494" s="1" t="n"/>
      <c r="B1494" s="26" t="n"/>
      <c r="C1494" s="27" t="n"/>
      <c r="D1494" s="28" t="n"/>
      <c r="E1494" s="29" t="n"/>
      <c r="F1494" s="29" t="n"/>
      <c r="G1494" s="28" t="n"/>
      <c r="H1494" s="1" t="n"/>
      <c r="I1494">
        <f>IF(OR(B1494="",C1494=""),"",B1494+MOD(C1494,1))</f>
        <v/>
      </c>
      <c r="J1494">
        <f>IF(I1494="","",IF(B1494=Dashboard!$AA$1,I1494,""))</f>
        <v/>
      </c>
    </row>
    <row r="1495">
      <c r="A1495" s="1" t="n"/>
      <c r="B1495" s="26" t="n"/>
      <c r="C1495" s="27" t="n"/>
      <c r="D1495" s="28" t="n"/>
      <c r="E1495" s="29" t="n"/>
      <c r="F1495" s="29" t="n"/>
      <c r="G1495" s="28" t="n"/>
      <c r="H1495" s="1" t="n"/>
      <c r="I1495">
        <f>IF(OR(B1495="",C1495=""),"",B1495+MOD(C1495,1))</f>
        <v/>
      </c>
      <c r="J1495">
        <f>IF(I1495="","",IF(B1495=Dashboard!$AA$1,I1495,""))</f>
        <v/>
      </c>
    </row>
    <row r="1496">
      <c r="A1496" s="1" t="n"/>
      <c r="B1496" s="26" t="n"/>
      <c r="C1496" s="27" t="n"/>
      <c r="D1496" s="28" t="n"/>
      <c r="E1496" s="29" t="n"/>
      <c r="F1496" s="29" t="n"/>
      <c r="G1496" s="28" t="n"/>
      <c r="H1496" s="1" t="n"/>
      <c r="I1496">
        <f>IF(OR(B1496="",C1496=""),"",B1496+MOD(C1496,1))</f>
        <v/>
      </c>
      <c r="J1496">
        <f>IF(I1496="","",IF(B1496=Dashboard!$AA$1,I1496,""))</f>
        <v/>
      </c>
    </row>
    <row r="1497">
      <c r="A1497" s="1" t="n"/>
      <c r="B1497" s="26" t="n"/>
      <c r="C1497" s="27" t="n"/>
      <c r="D1497" s="28" t="n"/>
      <c r="E1497" s="29" t="n"/>
      <c r="F1497" s="29" t="n"/>
      <c r="G1497" s="28" t="n"/>
      <c r="H1497" s="1" t="n"/>
      <c r="I1497">
        <f>IF(OR(B1497="",C1497=""),"",B1497+MOD(C1497,1))</f>
        <v/>
      </c>
      <c r="J1497">
        <f>IF(I1497="","",IF(B1497=Dashboard!$AA$1,I1497,""))</f>
        <v/>
      </c>
    </row>
    <row r="1498">
      <c r="A1498" s="1" t="n"/>
      <c r="B1498" s="26" t="n"/>
      <c r="C1498" s="27" t="n"/>
      <c r="D1498" s="28" t="n"/>
      <c r="E1498" s="29" t="n"/>
      <c r="F1498" s="29" t="n"/>
      <c r="G1498" s="28" t="n"/>
      <c r="H1498" s="1" t="n"/>
      <c r="I1498">
        <f>IF(OR(B1498="",C1498=""),"",B1498+MOD(C1498,1))</f>
        <v/>
      </c>
      <c r="J1498">
        <f>IF(I1498="","",IF(B1498=Dashboard!$AA$1,I1498,""))</f>
        <v/>
      </c>
    </row>
    <row r="1499">
      <c r="A1499" s="1" t="n"/>
      <c r="B1499" s="26" t="n"/>
      <c r="C1499" s="27" t="n"/>
      <c r="D1499" s="28" t="n"/>
      <c r="E1499" s="29" t="n"/>
      <c r="F1499" s="29" t="n"/>
      <c r="G1499" s="28" t="n"/>
      <c r="H1499" s="1" t="n"/>
      <c r="I1499">
        <f>IF(OR(B1499="",C1499=""),"",B1499+MOD(C1499,1))</f>
        <v/>
      </c>
      <c r="J1499">
        <f>IF(I1499="","",IF(B1499=Dashboard!$AA$1,I1499,""))</f>
        <v/>
      </c>
    </row>
    <row r="1500">
      <c r="A1500" s="1" t="n"/>
      <c r="B1500" s="26" t="n"/>
      <c r="C1500" s="27" t="n"/>
      <c r="D1500" s="28" t="n"/>
      <c r="E1500" s="29" t="n"/>
      <c r="F1500" s="29" t="n"/>
      <c r="G1500" s="28" t="n"/>
      <c r="H1500" s="1" t="n"/>
      <c r="I1500">
        <f>IF(OR(B1500="",C1500=""),"",B1500+MOD(C1500,1))</f>
        <v/>
      </c>
      <c r="J1500">
        <f>IF(I1500="","",IF(B1500=Dashboard!$AA$1,I1500,""))</f>
        <v/>
      </c>
    </row>
    <row r="1501">
      <c r="A1501" s="1" t="n"/>
      <c r="B1501" s="26" t="n"/>
      <c r="C1501" s="27" t="n"/>
      <c r="D1501" s="28" t="n"/>
      <c r="E1501" s="29" t="n"/>
      <c r="F1501" s="29" t="n"/>
      <c r="G1501" s="28" t="n"/>
      <c r="H1501" s="1" t="n"/>
      <c r="I1501">
        <f>IF(OR(B1501="",C1501=""),"",B1501+MOD(C1501,1))</f>
        <v/>
      </c>
      <c r="J1501">
        <f>IF(I1501="","",IF(B1501=Dashboard!$AA$1,I1501,""))</f>
        <v/>
      </c>
    </row>
    <row r="1502">
      <c r="A1502" s="1" t="n"/>
      <c r="B1502" s="26" t="n"/>
      <c r="C1502" s="27" t="n"/>
      <c r="D1502" s="28" t="n"/>
      <c r="E1502" s="29" t="n"/>
      <c r="F1502" s="29" t="n"/>
      <c r="G1502" s="28" t="n"/>
      <c r="H1502" s="1" t="n"/>
      <c r="I1502">
        <f>IF(OR(B1502="",C1502=""),"",B1502+MOD(C1502,1))</f>
        <v/>
      </c>
      <c r="J1502">
        <f>IF(I1502="","",IF(B1502=Dashboard!$AA$1,I1502,""))</f>
        <v/>
      </c>
    </row>
    <row r="1503">
      <c r="A1503" s="1" t="n"/>
      <c r="B1503" s="26" t="n"/>
      <c r="C1503" s="27" t="n"/>
      <c r="D1503" s="28" t="n"/>
      <c r="E1503" s="29" t="n"/>
      <c r="F1503" s="29" t="n"/>
      <c r="G1503" s="28" t="n"/>
      <c r="H1503" s="1" t="n"/>
      <c r="I1503">
        <f>IF(OR(B1503="",C1503=""),"",B1503+MOD(C1503,1))</f>
        <v/>
      </c>
      <c r="J1503">
        <f>IF(I1503="","",IF(B1503=Dashboard!$AA$1,I1503,""))</f>
        <v/>
      </c>
    </row>
    <row r="1504">
      <c r="A1504" s="1" t="n"/>
      <c r="B1504" s="26" t="n"/>
      <c r="C1504" s="27" t="n"/>
      <c r="D1504" s="28" t="n"/>
      <c r="E1504" s="29" t="n"/>
      <c r="F1504" s="29" t="n"/>
      <c r="G1504" s="28" t="n"/>
      <c r="H1504" s="1" t="n"/>
      <c r="I1504">
        <f>IF(OR(B1504="",C1504=""),"",B1504+MOD(C1504,1))</f>
        <v/>
      </c>
      <c r="J1504">
        <f>IF(I1504="","",IF(B1504=Dashboard!$AA$1,I1504,""))</f>
        <v/>
      </c>
    </row>
    <row r="1505">
      <c r="A1505" s="1" t="n"/>
      <c r="B1505" s="26" t="n"/>
      <c r="C1505" s="27" t="n"/>
      <c r="D1505" s="28" t="n"/>
      <c r="E1505" s="29" t="n"/>
      <c r="F1505" s="29" t="n"/>
      <c r="G1505" s="28" t="n"/>
      <c r="H1505" s="1" t="n"/>
      <c r="I1505">
        <f>IF(OR(B1505="",C1505=""),"",B1505+MOD(C1505,1))</f>
        <v/>
      </c>
      <c r="J1505">
        <f>IF(I1505="","",IF(B1505=Dashboard!$AA$1,I1505,""))</f>
        <v/>
      </c>
    </row>
    <row r="1506">
      <c r="A1506" s="1" t="n"/>
      <c r="B1506" s="26" t="n"/>
      <c r="C1506" s="27" t="n"/>
      <c r="D1506" s="28" t="n"/>
      <c r="E1506" s="29" t="n"/>
      <c r="F1506" s="29" t="n"/>
      <c r="G1506" s="28" t="n"/>
      <c r="H1506" s="1" t="n"/>
      <c r="I1506">
        <f>IF(OR(B1506="",C1506=""),"",B1506+MOD(C1506,1))</f>
        <v/>
      </c>
      <c r="J1506">
        <f>IF(I1506="","",IF(B1506=Dashboard!$AA$1,I1506,""))</f>
        <v/>
      </c>
    </row>
    <row r="1507">
      <c r="A1507" s="1" t="n"/>
      <c r="B1507" s="26" t="n"/>
      <c r="C1507" s="27" t="n"/>
      <c r="D1507" s="28" t="n"/>
      <c r="E1507" s="29" t="n"/>
      <c r="F1507" s="29" t="n"/>
      <c r="G1507" s="28" t="n"/>
      <c r="H1507" s="1" t="n"/>
      <c r="I1507">
        <f>IF(OR(B1507="",C1507=""),"",B1507+MOD(C1507,1))</f>
        <v/>
      </c>
      <c r="J1507">
        <f>IF(I1507="","",IF(B1507=Dashboard!$AA$1,I1507,""))</f>
        <v/>
      </c>
    </row>
    <row r="1508">
      <c r="A1508" s="1" t="n"/>
      <c r="B1508" s="26" t="n"/>
      <c r="C1508" s="27" t="n"/>
      <c r="D1508" s="28" t="n"/>
      <c r="E1508" s="29" t="n"/>
      <c r="F1508" s="29" t="n"/>
      <c r="G1508" s="28" t="n"/>
      <c r="H1508" s="1" t="n"/>
      <c r="I1508">
        <f>IF(OR(B1508="",C1508=""),"",B1508+MOD(C1508,1))</f>
        <v/>
      </c>
      <c r="J1508">
        <f>IF(I1508="","",IF(B1508=Dashboard!$AA$1,I1508,""))</f>
        <v/>
      </c>
    </row>
    <row r="1509">
      <c r="A1509" s="1" t="n"/>
      <c r="B1509" s="26" t="n"/>
      <c r="C1509" s="27" t="n"/>
      <c r="D1509" s="28" t="n"/>
      <c r="E1509" s="29" t="n"/>
      <c r="F1509" s="29" t="n"/>
      <c r="G1509" s="28" t="n"/>
      <c r="H1509" s="1" t="n"/>
      <c r="I1509">
        <f>IF(OR(B1509="",C1509=""),"",B1509+MOD(C1509,1))</f>
        <v/>
      </c>
      <c r="J1509">
        <f>IF(I1509="","",IF(B1509=Dashboard!$AA$1,I1509,""))</f>
        <v/>
      </c>
    </row>
    <row r="1510">
      <c r="A1510" s="1" t="n"/>
      <c r="B1510" s="26" t="n"/>
      <c r="C1510" s="27" t="n"/>
      <c r="D1510" s="28" t="n"/>
      <c r="E1510" s="29" t="n"/>
      <c r="F1510" s="29" t="n"/>
      <c r="G1510" s="28" t="n"/>
      <c r="H1510" s="1" t="n"/>
      <c r="I1510">
        <f>IF(OR(B1510="",C1510=""),"",B1510+MOD(C1510,1))</f>
        <v/>
      </c>
      <c r="J1510">
        <f>IF(I1510="","",IF(B1510=Dashboard!$AA$1,I1510,""))</f>
        <v/>
      </c>
    </row>
    <row r="1511">
      <c r="A1511" s="1" t="n"/>
      <c r="B1511" s="26" t="n"/>
      <c r="C1511" s="27" t="n"/>
      <c r="D1511" s="28" t="n"/>
      <c r="E1511" s="29" t="n"/>
      <c r="F1511" s="29" t="n"/>
      <c r="G1511" s="28" t="n"/>
      <c r="H1511" s="1" t="n"/>
      <c r="I1511">
        <f>IF(OR(B1511="",C1511=""),"",B1511+MOD(C1511,1))</f>
        <v/>
      </c>
      <c r="J1511">
        <f>IF(I1511="","",IF(B1511=Dashboard!$AA$1,I1511,""))</f>
        <v/>
      </c>
    </row>
    <row r="1512">
      <c r="A1512" s="1" t="n"/>
      <c r="B1512" s="26" t="n"/>
      <c r="C1512" s="27" t="n"/>
      <c r="D1512" s="28" t="n"/>
      <c r="E1512" s="29" t="n"/>
      <c r="F1512" s="29" t="n"/>
      <c r="G1512" s="28" t="n"/>
      <c r="H1512" s="1" t="n"/>
      <c r="I1512">
        <f>IF(OR(B1512="",C1512=""),"",B1512+MOD(C1512,1))</f>
        <v/>
      </c>
      <c r="J1512">
        <f>IF(I1512="","",IF(B1512=Dashboard!$AA$1,I1512,""))</f>
        <v/>
      </c>
    </row>
    <row r="1513">
      <c r="A1513" s="1" t="n"/>
      <c r="B1513" s="26" t="n"/>
      <c r="C1513" s="27" t="n"/>
      <c r="D1513" s="28" t="n"/>
      <c r="E1513" s="29" t="n"/>
      <c r="F1513" s="29" t="n"/>
      <c r="G1513" s="28" t="n"/>
      <c r="H1513" s="1" t="n"/>
      <c r="I1513">
        <f>IF(OR(B1513="",C1513=""),"",B1513+MOD(C1513,1))</f>
        <v/>
      </c>
      <c r="J1513">
        <f>IF(I1513="","",IF(B1513=Dashboard!$AA$1,I1513,""))</f>
        <v/>
      </c>
    </row>
    <row r="1514">
      <c r="A1514" s="1" t="n"/>
      <c r="B1514" s="26" t="n"/>
      <c r="C1514" s="27" t="n"/>
      <c r="D1514" s="28" t="n"/>
      <c r="E1514" s="29" t="n"/>
      <c r="F1514" s="29" t="n"/>
      <c r="G1514" s="28" t="n"/>
      <c r="H1514" s="1" t="n"/>
      <c r="I1514">
        <f>IF(OR(B1514="",C1514=""),"",B1514+MOD(C1514,1))</f>
        <v/>
      </c>
      <c r="J1514">
        <f>IF(I1514="","",IF(B1514=Dashboard!$AA$1,I1514,""))</f>
        <v/>
      </c>
    </row>
    <row r="1515">
      <c r="A1515" s="1" t="n"/>
      <c r="B1515" s="26" t="n"/>
      <c r="C1515" s="27" t="n"/>
      <c r="D1515" s="28" t="n"/>
      <c r="E1515" s="29" t="n"/>
      <c r="F1515" s="29" t="n"/>
      <c r="G1515" s="28" t="n"/>
      <c r="H1515" s="1" t="n"/>
      <c r="I1515">
        <f>IF(OR(B1515="",C1515=""),"",B1515+MOD(C1515,1))</f>
        <v/>
      </c>
      <c r="J1515">
        <f>IF(I1515="","",IF(B1515=Dashboard!$AA$1,I1515,""))</f>
        <v/>
      </c>
    </row>
    <row r="1516">
      <c r="A1516" s="1" t="n"/>
      <c r="B1516" s="26" t="n"/>
      <c r="C1516" s="27" t="n"/>
      <c r="D1516" s="28" t="n"/>
      <c r="E1516" s="29" t="n"/>
      <c r="F1516" s="29" t="n"/>
      <c r="G1516" s="28" t="n"/>
      <c r="H1516" s="1" t="n"/>
      <c r="I1516">
        <f>IF(OR(B1516="",C1516=""),"",B1516+MOD(C1516,1))</f>
        <v/>
      </c>
      <c r="J1516">
        <f>IF(I1516="","",IF(B1516=Dashboard!$AA$1,I1516,""))</f>
        <v/>
      </c>
    </row>
    <row r="1517">
      <c r="A1517" s="1" t="n"/>
      <c r="B1517" s="26" t="n"/>
      <c r="C1517" s="27" t="n"/>
      <c r="D1517" s="28" t="n"/>
      <c r="E1517" s="29" t="n"/>
      <c r="F1517" s="29" t="n"/>
      <c r="G1517" s="28" t="n"/>
      <c r="H1517" s="1" t="n"/>
      <c r="I1517">
        <f>IF(OR(B1517="",C1517=""),"",B1517+MOD(C1517,1))</f>
        <v/>
      </c>
      <c r="J1517">
        <f>IF(I1517="","",IF(B1517=Dashboard!$AA$1,I1517,""))</f>
        <v/>
      </c>
    </row>
    <row r="1518">
      <c r="A1518" s="1" t="n"/>
      <c r="B1518" s="26" t="n"/>
      <c r="C1518" s="27" t="n"/>
      <c r="D1518" s="28" t="n"/>
      <c r="E1518" s="29" t="n"/>
      <c r="F1518" s="29" t="n"/>
      <c r="G1518" s="28" t="n"/>
      <c r="H1518" s="1" t="n"/>
      <c r="I1518">
        <f>IF(OR(B1518="",C1518=""),"",B1518+MOD(C1518,1))</f>
        <v/>
      </c>
      <c r="J1518">
        <f>IF(I1518="","",IF(B1518=Dashboard!$AA$1,I1518,""))</f>
        <v/>
      </c>
    </row>
    <row r="1519">
      <c r="A1519" s="1" t="n"/>
      <c r="B1519" s="26" t="n"/>
      <c r="C1519" s="27" t="n"/>
      <c r="D1519" s="28" t="n"/>
      <c r="E1519" s="29" t="n"/>
      <c r="F1519" s="29" t="n"/>
      <c r="G1519" s="28" t="n"/>
      <c r="H1519" s="1" t="n"/>
      <c r="I1519">
        <f>IF(OR(B1519="",C1519=""),"",B1519+MOD(C1519,1))</f>
        <v/>
      </c>
      <c r="J1519">
        <f>IF(I1519="","",IF(B1519=Dashboard!$AA$1,I1519,""))</f>
        <v/>
      </c>
    </row>
    <row r="1520">
      <c r="A1520" s="1" t="n"/>
      <c r="B1520" s="26" t="n"/>
      <c r="C1520" s="27" t="n"/>
      <c r="D1520" s="28" t="n"/>
      <c r="E1520" s="29" t="n"/>
      <c r="F1520" s="29" t="n"/>
      <c r="G1520" s="28" t="n"/>
      <c r="H1520" s="1" t="n"/>
      <c r="I1520">
        <f>IF(OR(B1520="",C1520=""),"",B1520+MOD(C1520,1))</f>
        <v/>
      </c>
      <c r="J1520">
        <f>IF(I1520="","",IF(B1520=Dashboard!$AA$1,I1520,""))</f>
        <v/>
      </c>
    </row>
    <row r="1521">
      <c r="A1521" s="1" t="n"/>
      <c r="B1521" s="26" t="n"/>
      <c r="C1521" s="27" t="n"/>
      <c r="D1521" s="28" t="n"/>
      <c r="E1521" s="29" t="n"/>
      <c r="F1521" s="29" t="n"/>
      <c r="G1521" s="28" t="n"/>
      <c r="H1521" s="1" t="n"/>
      <c r="I1521">
        <f>IF(OR(B1521="",C1521=""),"",B1521+MOD(C1521,1))</f>
        <v/>
      </c>
      <c r="J1521">
        <f>IF(I1521="","",IF(B1521=Dashboard!$AA$1,I1521,""))</f>
        <v/>
      </c>
    </row>
    <row r="1522">
      <c r="A1522" s="1" t="n"/>
      <c r="B1522" s="26" t="n"/>
      <c r="C1522" s="27" t="n"/>
      <c r="D1522" s="28" t="n"/>
      <c r="E1522" s="29" t="n"/>
      <c r="F1522" s="29" t="n"/>
      <c r="G1522" s="28" t="n"/>
      <c r="H1522" s="1" t="n"/>
      <c r="I1522">
        <f>IF(OR(B1522="",C1522=""),"",B1522+MOD(C1522,1))</f>
        <v/>
      </c>
      <c r="J1522">
        <f>IF(I1522="","",IF(B1522=Dashboard!$AA$1,I1522,""))</f>
        <v/>
      </c>
    </row>
    <row r="1523">
      <c r="A1523" s="1" t="n"/>
      <c r="B1523" s="26" t="n"/>
      <c r="C1523" s="27" t="n"/>
      <c r="D1523" s="28" t="n"/>
      <c r="E1523" s="29" t="n"/>
      <c r="F1523" s="29" t="n"/>
      <c r="G1523" s="28" t="n"/>
      <c r="H1523" s="1" t="n"/>
      <c r="I1523">
        <f>IF(OR(B1523="",C1523=""),"",B1523+MOD(C1523,1))</f>
        <v/>
      </c>
      <c r="J1523">
        <f>IF(I1523="","",IF(B1523=Dashboard!$AA$1,I1523,""))</f>
        <v/>
      </c>
    </row>
    <row r="1524">
      <c r="A1524" s="1" t="n"/>
      <c r="B1524" s="26" t="n"/>
      <c r="C1524" s="27" t="n"/>
      <c r="D1524" s="28" t="n"/>
      <c r="E1524" s="29" t="n"/>
      <c r="F1524" s="29" t="n"/>
      <c r="G1524" s="28" t="n"/>
      <c r="H1524" s="1" t="n"/>
      <c r="I1524">
        <f>IF(OR(B1524="",C1524=""),"",B1524+MOD(C1524,1))</f>
        <v/>
      </c>
      <c r="J1524">
        <f>IF(I1524="","",IF(B1524=Dashboard!$AA$1,I1524,""))</f>
        <v/>
      </c>
    </row>
    <row r="1525">
      <c r="A1525" s="1" t="n"/>
      <c r="B1525" s="26" t="n"/>
      <c r="C1525" s="27" t="n"/>
      <c r="D1525" s="28" t="n"/>
      <c r="E1525" s="29" t="n"/>
      <c r="F1525" s="29" t="n"/>
      <c r="G1525" s="28" t="n"/>
      <c r="H1525" s="1" t="n"/>
      <c r="I1525">
        <f>IF(OR(B1525="",C1525=""),"",B1525+MOD(C1525,1))</f>
        <v/>
      </c>
      <c r="J1525">
        <f>IF(I1525="","",IF(B1525=Dashboard!$AA$1,I1525,""))</f>
        <v/>
      </c>
    </row>
    <row r="1526">
      <c r="A1526" s="1" t="n"/>
      <c r="B1526" s="26" t="n"/>
      <c r="C1526" s="27" t="n"/>
      <c r="D1526" s="28" t="n"/>
      <c r="E1526" s="29" t="n"/>
      <c r="F1526" s="29" t="n"/>
      <c r="G1526" s="28" t="n"/>
      <c r="H1526" s="1" t="n"/>
      <c r="I1526">
        <f>IF(OR(B1526="",C1526=""),"",B1526+MOD(C1526,1))</f>
        <v/>
      </c>
      <c r="J1526">
        <f>IF(I1526="","",IF(B1526=Dashboard!$AA$1,I1526,""))</f>
        <v/>
      </c>
    </row>
    <row r="1527">
      <c r="A1527" s="1" t="n"/>
      <c r="B1527" s="26" t="n"/>
      <c r="C1527" s="27" t="n"/>
      <c r="D1527" s="28" t="n"/>
      <c r="E1527" s="29" t="n"/>
      <c r="F1527" s="29" t="n"/>
      <c r="G1527" s="28" t="n"/>
      <c r="H1527" s="1" t="n"/>
      <c r="I1527">
        <f>IF(OR(B1527="",C1527=""),"",B1527+MOD(C1527,1))</f>
        <v/>
      </c>
      <c r="J1527">
        <f>IF(I1527="","",IF(B1527=Dashboard!$AA$1,I1527,""))</f>
        <v/>
      </c>
    </row>
    <row r="1528">
      <c r="A1528" s="1" t="n"/>
      <c r="B1528" s="26" t="n"/>
      <c r="C1528" s="27" t="n"/>
      <c r="D1528" s="28" t="n"/>
      <c r="E1528" s="29" t="n"/>
      <c r="F1528" s="29" t="n"/>
      <c r="G1528" s="28" t="n"/>
      <c r="H1528" s="1" t="n"/>
      <c r="I1528">
        <f>IF(OR(B1528="",C1528=""),"",B1528+MOD(C1528,1))</f>
        <v/>
      </c>
      <c r="J1528">
        <f>IF(I1528="","",IF(B1528=Dashboard!$AA$1,I1528,""))</f>
        <v/>
      </c>
    </row>
    <row r="1529">
      <c r="A1529" s="1" t="n"/>
      <c r="B1529" s="26" t="n"/>
      <c r="C1529" s="27" t="n"/>
      <c r="D1529" s="28" t="n"/>
      <c r="E1529" s="29" t="n"/>
      <c r="F1529" s="29" t="n"/>
      <c r="G1529" s="28" t="n"/>
      <c r="H1529" s="1" t="n"/>
      <c r="I1529">
        <f>IF(OR(B1529="",C1529=""),"",B1529+MOD(C1529,1))</f>
        <v/>
      </c>
      <c r="J1529">
        <f>IF(I1529="","",IF(B1529=Dashboard!$AA$1,I1529,""))</f>
        <v/>
      </c>
    </row>
    <row r="1530">
      <c r="A1530" s="1" t="n"/>
      <c r="B1530" s="26" t="n"/>
      <c r="C1530" s="27" t="n"/>
      <c r="D1530" s="28" t="n"/>
      <c r="E1530" s="29" t="n"/>
      <c r="F1530" s="29" t="n"/>
      <c r="G1530" s="28" t="n"/>
      <c r="H1530" s="1" t="n"/>
      <c r="I1530">
        <f>IF(OR(B1530="",C1530=""),"",B1530+MOD(C1530,1))</f>
        <v/>
      </c>
      <c r="J1530">
        <f>IF(I1530="","",IF(B1530=Dashboard!$AA$1,I1530,""))</f>
        <v/>
      </c>
    </row>
    <row r="1531">
      <c r="A1531" s="1" t="n"/>
      <c r="B1531" s="26" t="n"/>
      <c r="C1531" s="27" t="n"/>
      <c r="D1531" s="28" t="n"/>
      <c r="E1531" s="29" t="n"/>
      <c r="F1531" s="29" t="n"/>
      <c r="G1531" s="28" t="n"/>
      <c r="H1531" s="1" t="n"/>
      <c r="I1531">
        <f>IF(OR(B1531="",C1531=""),"",B1531+MOD(C1531,1))</f>
        <v/>
      </c>
      <c r="J1531">
        <f>IF(I1531="","",IF(B1531=Dashboard!$AA$1,I1531,""))</f>
        <v/>
      </c>
    </row>
    <row r="1532">
      <c r="A1532" s="1" t="n"/>
      <c r="B1532" s="26" t="n"/>
      <c r="C1532" s="27" t="n"/>
      <c r="D1532" s="28" t="n"/>
      <c r="E1532" s="29" t="n"/>
      <c r="F1532" s="29" t="n"/>
      <c r="G1532" s="28" t="n"/>
      <c r="H1532" s="1" t="n"/>
      <c r="I1532">
        <f>IF(OR(B1532="",C1532=""),"",B1532+MOD(C1532,1))</f>
        <v/>
      </c>
      <c r="J1532">
        <f>IF(I1532="","",IF(B1532=Dashboard!$AA$1,I1532,""))</f>
        <v/>
      </c>
    </row>
    <row r="1533">
      <c r="A1533" s="1" t="n"/>
      <c r="B1533" s="26" t="n"/>
      <c r="C1533" s="27" t="n"/>
      <c r="D1533" s="28" t="n"/>
      <c r="E1533" s="29" t="n"/>
      <c r="F1533" s="29" t="n"/>
      <c r="G1533" s="28" t="n"/>
      <c r="H1533" s="1" t="n"/>
      <c r="I1533">
        <f>IF(OR(B1533="",C1533=""),"",B1533+MOD(C1533,1))</f>
        <v/>
      </c>
      <c r="J1533">
        <f>IF(I1533="","",IF(B1533=Dashboard!$AA$1,I1533,""))</f>
        <v/>
      </c>
    </row>
    <row r="1534">
      <c r="A1534" s="1" t="n"/>
      <c r="B1534" s="26" t="n"/>
      <c r="C1534" s="27" t="n"/>
      <c r="D1534" s="28" t="n"/>
      <c r="E1534" s="29" t="n"/>
      <c r="F1534" s="29" t="n"/>
      <c r="G1534" s="28" t="n"/>
      <c r="H1534" s="1" t="n"/>
      <c r="I1534">
        <f>IF(OR(B1534="",C1534=""),"",B1534+MOD(C1534,1))</f>
        <v/>
      </c>
      <c r="J1534">
        <f>IF(I1534="","",IF(B1534=Dashboard!$AA$1,I1534,""))</f>
        <v/>
      </c>
    </row>
    <row r="1535">
      <c r="A1535" s="1" t="n"/>
      <c r="B1535" s="26" t="n"/>
      <c r="C1535" s="27" t="n"/>
      <c r="D1535" s="28" t="n"/>
      <c r="E1535" s="29" t="n"/>
      <c r="F1535" s="29" t="n"/>
      <c r="G1535" s="28" t="n"/>
      <c r="H1535" s="1" t="n"/>
      <c r="I1535">
        <f>IF(OR(B1535="",C1535=""),"",B1535+MOD(C1535,1))</f>
        <v/>
      </c>
      <c r="J1535">
        <f>IF(I1535="","",IF(B1535=Dashboard!$AA$1,I1535,""))</f>
        <v/>
      </c>
    </row>
    <row r="1536">
      <c r="A1536" s="1" t="n"/>
      <c r="B1536" s="26" t="n"/>
      <c r="C1536" s="27" t="n"/>
      <c r="D1536" s="28" t="n"/>
      <c r="E1536" s="29" t="n"/>
      <c r="F1536" s="29" t="n"/>
      <c r="G1536" s="28" t="n"/>
      <c r="H1536" s="1" t="n"/>
      <c r="I1536">
        <f>IF(OR(B1536="",C1536=""),"",B1536+MOD(C1536,1))</f>
        <v/>
      </c>
      <c r="J1536">
        <f>IF(I1536="","",IF(B1536=Dashboard!$AA$1,I1536,""))</f>
        <v/>
      </c>
    </row>
    <row r="1537">
      <c r="A1537" s="1" t="n"/>
      <c r="B1537" s="26" t="n"/>
      <c r="C1537" s="27" t="n"/>
      <c r="D1537" s="28" t="n"/>
      <c r="E1537" s="29" t="n"/>
      <c r="F1537" s="29" t="n"/>
      <c r="G1537" s="28" t="n"/>
      <c r="H1537" s="1" t="n"/>
      <c r="I1537">
        <f>IF(OR(B1537="",C1537=""),"",B1537+MOD(C1537,1))</f>
        <v/>
      </c>
      <c r="J1537">
        <f>IF(I1537="","",IF(B1537=Dashboard!$AA$1,I1537,""))</f>
        <v/>
      </c>
    </row>
    <row r="1538">
      <c r="A1538" s="1" t="n"/>
      <c r="B1538" s="26" t="n"/>
      <c r="C1538" s="27" t="n"/>
      <c r="D1538" s="28" t="n"/>
      <c r="E1538" s="29" t="n"/>
      <c r="F1538" s="29" t="n"/>
      <c r="G1538" s="28" t="n"/>
      <c r="H1538" s="1" t="n"/>
      <c r="I1538">
        <f>IF(OR(B1538="",C1538=""),"",B1538+MOD(C1538,1))</f>
        <v/>
      </c>
      <c r="J1538">
        <f>IF(I1538="","",IF(B1538=Dashboard!$AA$1,I1538,""))</f>
        <v/>
      </c>
    </row>
    <row r="1539">
      <c r="A1539" s="1" t="n"/>
      <c r="B1539" s="26" t="n"/>
      <c r="C1539" s="27" t="n"/>
      <c r="D1539" s="28" t="n"/>
      <c r="E1539" s="29" t="n"/>
      <c r="F1539" s="29" t="n"/>
      <c r="G1539" s="28" t="n"/>
      <c r="H1539" s="1" t="n"/>
      <c r="I1539">
        <f>IF(OR(B1539="",C1539=""),"",B1539+MOD(C1539,1))</f>
        <v/>
      </c>
      <c r="J1539">
        <f>IF(I1539="","",IF(B1539=Dashboard!$AA$1,I1539,""))</f>
        <v/>
      </c>
    </row>
    <row r="1540">
      <c r="A1540" s="1" t="n"/>
      <c r="B1540" s="26" t="n"/>
      <c r="C1540" s="27" t="n"/>
      <c r="D1540" s="28" t="n"/>
      <c r="E1540" s="29" t="n"/>
      <c r="F1540" s="29" t="n"/>
      <c r="G1540" s="28" t="n"/>
      <c r="H1540" s="1" t="n"/>
      <c r="I1540">
        <f>IF(OR(B1540="",C1540=""),"",B1540+MOD(C1540,1))</f>
        <v/>
      </c>
      <c r="J1540">
        <f>IF(I1540="","",IF(B1540=Dashboard!$AA$1,I1540,""))</f>
        <v/>
      </c>
    </row>
    <row r="1541">
      <c r="A1541" s="1" t="n"/>
      <c r="B1541" s="26" t="n"/>
      <c r="C1541" s="27" t="n"/>
      <c r="D1541" s="28" t="n"/>
      <c r="E1541" s="29" t="n"/>
      <c r="F1541" s="29" t="n"/>
      <c r="G1541" s="28" t="n"/>
      <c r="H1541" s="1" t="n"/>
      <c r="I1541">
        <f>IF(OR(B1541="",C1541=""),"",B1541+MOD(C1541,1))</f>
        <v/>
      </c>
      <c r="J1541">
        <f>IF(I1541="","",IF(B1541=Dashboard!$AA$1,I1541,""))</f>
        <v/>
      </c>
    </row>
    <row r="1542">
      <c r="A1542" s="1" t="n"/>
      <c r="B1542" s="26" t="n"/>
      <c r="C1542" s="27" t="n"/>
      <c r="D1542" s="28" t="n"/>
      <c r="E1542" s="29" t="n"/>
      <c r="F1542" s="29" t="n"/>
      <c r="G1542" s="28" t="n"/>
      <c r="H1542" s="1" t="n"/>
      <c r="I1542">
        <f>IF(OR(B1542="",C1542=""),"",B1542+MOD(C1542,1))</f>
        <v/>
      </c>
      <c r="J1542">
        <f>IF(I1542="","",IF(B1542=Dashboard!$AA$1,I1542,""))</f>
        <v/>
      </c>
    </row>
    <row r="1543">
      <c r="A1543" s="1" t="n"/>
      <c r="B1543" s="26" t="n"/>
      <c r="C1543" s="27" t="n"/>
      <c r="D1543" s="28" t="n"/>
      <c r="E1543" s="29" t="n"/>
      <c r="F1543" s="29" t="n"/>
      <c r="G1543" s="28" t="n"/>
      <c r="H1543" s="1" t="n"/>
      <c r="I1543">
        <f>IF(OR(B1543="",C1543=""),"",B1543+MOD(C1543,1))</f>
        <v/>
      </c>
      <c r="J1543">
        <f>IF(I1543="","",IF(B1543=Dashboard!$AA$1,I1543,""))</f>
        <v/>
      </c>
    </row>
    <row r="1544">
      <c r="A1544" s="1" t="n"/>
      <c r="B1544" s="26" t="n"/>
      <c r="C1544" s="27" t="n"/>
      <c r="D1544" s="28" t="n"/>
      <c r="E1544" s="29" t="n"/>
      <c r="F1544" s="29" t="n"/>
      <c r="G1544" s="28" t="n"/>
      <c r="H1544" s="1" t="n"/>
      <c r="I1544">
        <f>IF(OR(B1544="",C1544=""),"",B1544+MOD(C1544,1))</f>
        <v/>
      </c>
      <c r="J1544">
        <f>IF(I1544="","",IF(B1544=Dashboard!$AA$1,I1544,""))</f>
        <v/>
      </c>
    </row>
    <row r="1545">
      <c r="A1545" s="1" t="n"/>
      <c r="B1545" s="26" t="n"/>
      <c r="C1545" s="27" t="n"/>
      <c r="D1545" s="28" t="n"/>
      <c r="E1545" s="29" t="n"/>
      <c r="F1545" s="29" t="n"/>
      <c r="G1545" s="28" t="n"/>
      <c r="H1545" s="1" t="n"/>
      <c r="I1545">
        <f>IF(OR(B1545="",C1545=""),"",B1545+MOD(C1545,1))</f>
        <v/>
      </c>
      <c r="J1545">
        <f>IF(I1545="","",IF(B1545=Dashboard!$AA$1,I1545,""))</f>
        <v/>
      </c>
    </row>
    <row r="1546">
      <c r="A1546" s="1" t="n"/>
      <c r="B1546" s="26" t="n"/>
      <c r="C1546" s="27" t="n"/>
      <c r="D1546" s="28" t="n"/>
      <c r="E1546" s="29" t="n"/>
      <c r="F1546" s="29" t="n"/>
      <c r="G1546" s="28" t="n"/>
      <c r="H1546" s="1" t="n"/>
      <c r="I1546">
        <f>IF(OR(B1546="",C1546=""),"",B1546+MOD(C1546,1))</f>
        <v/>
      </c>
      <c r="J1546">
        <f>IF(I1546="","",IF(B1546=Dashboard!$AA$1,I1546,""))</f>
        <v/>
      </c>
    </row>
    <row r="1547">
      <c r="A1547" s="1" t="n"/>
      <c r="B1547" s="26" t="n"/>
      <c r="C1547" s="27" t="n"/>
      <c r="D1547" s="28" t="n"/>
      <c r="E1547" s="29" t="n"/>
      <c r="F1547" s="29" t="n"/>
      <c r="G1547" s="28" t="n"/>
      <c r="H1547" s="1" t="n"/>
      <c r="I1547">
        <f>IF(OR(B1547="",C1547=""),"",B1547+MOD(C1547,1))</f>
        <v/>
      </c>
      <c r="J1547">
        <f>IF(I1547="","",IF(B1547=Dashboard!$AA$1,I1547,""))</f>
        <v/>
      </c>
    </row>
    <row r="1548">
      <c r="A1548" s="1" t="n"/>
      <c r="B1548" s="26" t="n"/>
      <c r="C1548" s="27" t="n"/>
      <c r="D1548" s="28" t="n"/>
      <c r="E1548" s="29" t="n"/>
      <c r="F1548" s="29" t="n"/>
      <c r="G1548" s="28" t="n"/>
      <c r="H1548" s="1" t="n"/>
      <c r="I1548">
        <f>IF(OR(B1548="",C1548=""),"",B1548+MOD(C1548,1))</f>
        <v/>
      </c>
      <c r="J1548">
        <f>IF(I1548="","",IF(B1548=Dashboard!$AA$1,I1548,""))</f>
        <v/>
      </c>
    </row>
    <row r="1549">
      <c r="A1549" s="1" t="n"/>
      <c r="B1549" s="26" t="n"/>
      <c r="C1549" s="27" t="n"/>
      <c r="D1549" s="28" t="n"/>
      <c r="E1549" s="29" t="n"/>
      <c r="F1549" s="29" t="n"/>
      <c r="G1549" s="28" t="n"/>
      <c r="H1549" s="1" t="n"/>
      <c r="I1549">
        <f>IF(OR(B1549="",C1549=""),"",B1549+MOD(C1549,1))</f>
        <v/>
      </c>
      <c r="J1549">
        <f>IF(I1549="","",IF(B1549=Dashboard!$AA$1,I1549,""))</f>
        <v/>
      </c>
    </row>
    <row r="1550">
      <c r="A1550" s="1" t="n"/>
      <c r="B1550" s="26" t="n"/>
      <c r="C1550" s="27" t="n"/>
      <c r="D1550" s="28" t="n"/>
      <c r="E1550" s="29" t="n"/>
      <c r="F1550" s="29" t="n"/>
      <c r="G1550" s="28" t="n"/>
      <c r="H1550" s="1" t="n"/>
      <c r="I1550">
        <f>IF(OR(B1550="",C1550=""),"",B1550+MOD(C1550,1))</f>
        <v/>
      </c>
      <c r="J1550">
        <f>IF(I1550="","",IF(B1550=Dashboard!$AA$1,I1550,""))</f>
        <v/>
      </c>
    </row>
    <row r="1551">
      <c r="A1551" s="1" t="n"/>
      <c r="B1551" s="26" t="n"/>
      <c r="C1551" s="27" t="n"/>
      <c r="D1551" s="28" t="n"/>
      <c r="E1551" s="29" t="n"/>
      <c r="F1551" s="29" t="n"/>
      <c r="G1551" s="28" t="n"/>
      <c r="H1551" s="1" t="n"/>
      <c r="I1551">
        <f>IF(OR(B1551="",C1551=""),"",B1551+MOD(C1551,1))</f>
        <v/>
      </c>
      <c r="J1551">
        <f>IF(I1551="","",IF(B1551=Dashboard!$AA$1,I1551,""))</f>
        <v/>
      </c>
    </row>
    <row r="1552">
      <c r="A1552" s="1" t="n"/>
      <c r="B1552" s="26" t="n"/>
      <c r="C1552" s="27" t="n"/>
      <c r="D1552" s="28" t="n"/>
      <c r="E1552" s="29" t="n"/>
      <c r="F1552" s="29" t="n"/>
      <c r="G1552" s="28" t="n"/>
      <c r="H1552" s="1" t="n"/>
      <c r="I1552">
        <f>IF(OR(B1552="",C1552=""),"",B1552+MOD(C1552,1))</f>
        <v/>
      </c>
      <c r="J1552">
        <f>IF(I1552="","",IF(B1552=Dashboard!$AA$1,I1552,""))</f>
        <v/>
      </c>
    </row>
    <row r="1553">
      <c r="A1553" s="1" t="n"/>
      <c r="B1553" s="26" t="n"/>
      <c r="C1553" s="27" t="n"/>
      <c r="D1553" s="28" t="n"/>
      <c r="E1553" s="29" t="n"/>
      <c r="F1553" s="29" t="n"/>
      <c r="G1553" s="28" t="n"/>
      <c r="H1553" s="1" t="n"/>
      <c r="I1553">
        <f>IF(OR(B1553="",C1553=""),"",B1553+MOD(C1553,1))</f>
        <v/>
      </c>
      <c r="J1553">
        <f>IF(I1553="","",IF(B1553=Dashboard!$AA$1,I1553,""))</f>
        <v/>
      </c>
    </row>
    <row r="1554">
      <c r="A1554" s="1" t="n"/>
      <c r="B1554" s="26" t="n"/>
      <c r="C1554" s="27" t="n"/>
      <c r="D1554" s="28" t="n"/>
      <c r="E1554" s="29" t="n"/>
      <c r="F1554" s="29" t="n"/>
      <c r="G1554" s="28" t="n"/>
      <c r="H1554" s="1" t="n"/>
      <c r="I1554">
        <f>IF(OR(B1554="",C1554=""),"",B1554+MOD(C1554,1))</f>
        <v/>
      </c>
      <c r="J1554">
        <f>IF(I1554="","",IF(B1554=Dashboard!$AA$1,I1554,""))</f>
        <v/>
      </c>
    </row>
    <row r="1555">
      <c r="A1555" s="1" t="n"/>
      <c r="B1555" s="26" t="n"/>
      <c r="C1555" s="27" t="n"/>
      <c r="D1555" s="28" t="n"/>
      <c r="E1555" s="29" t="n"/>
      <c r="F1555" s="29" t="n"/>
      <c r="G1555" s="28" t="n"/>
      <c r="H1555" s="1" t="n"/>
      <c r="I1555">
        <f>IF(OR(B1555="",C1555=""),"",B1555+MOD(C1555,1))</f>
        <v/>
      </c>
      <c r="J1555">
        <f>IF(I1555="","",IF(B1555=Dashboard!$AA$1,I1555,""))</f>
        <v/>
      </c>
    </row>
    <row r="1556">
      <c r="A1556" s="1" t="n"/>
      <c r="B1556" s="26" t="n"/>
      <c r="C1556" s="27" t="n"/>
      <c r="D1556" s="28" t="n"/>
      <c r="E1556" s="29" t="n"/>
      <c r="F1556" s="29" t="n"/>
      <c r="G1556" s="28" t="n"/>
      <c r="H1556" s="1" t="n"/>
      <c r="I1556">
        <f>IF(OR(B1556="",C1556=""),"",B1556+MOD(C1556,1))</f>
        <v/>
      </c>
      <c r="J1556">
        <f>IF(I1556="","",IF(B1556=Dashboard!$AA$1,I1556,""))</f>
        <v/>
      </c>
    </row>
    <row r="1557">
      <c r="A1557" s="1" t="n"/>
      <c r="B1557" s="26" t="n"/>
      <c r="C1557" s="27" t="n"/>
      <c r="D1557" s="28" t="n"/>
      <c r="E1557" s="29" t="n"/>
      <c r="F1557" s="29" t="n"/>
      <c r="G1557" s="28" t="n"/>
      <c r="H1557" s="1" t="n"/>
      <c r="I1557">
        <f>IF(OR(B1557="",C1557=""),"",B1557+MOD(C1557,1))</f>
        <v/>
      </c>
      <c r="J1557">
        <f>IF(I1557="","",IF(B1557=Dashboard!$AA$1,I1557,""))</f>
        <v/>
      </c>
    </row>
    <row r="1558">
      <c r="A1558" s="1" t="n"/>
      <c r="B1558" s="26" t="n"/>
      <c r="C1558" s="27" t="n"/>
      <c r="D1558" s="28" t="n"/>
      <c r="E1558" s="29" t="n"/>
      <c r="F1558" s="29" t="n"/>
      <c r="G1558" s="28" t="n"/>
      <c r="H1558" s="1" t="n"/>
      <c r="I1558">
        <f>IF(OR(B1558="",C1558=""),"",B1558+MOD(C1558,1))</f>
        <v/>
      </c>
      <c r="J1558">
        <f>IF(I1558="","",IF(B1558=Dashboard!$AA$1,I1558,""))</f>
        <v/>
      </c>
    </row>
    <row r="1559">
      <c r="A1559" s="1" t="n"/>
      <c r="B1559" s="26" t="n"/>
      <c r="C1559" s="27" t="n"/>
      <c r="D1559" s="28" t="n"/>
      <c r="E1559" s="29" t="n"/>
      <c r="F1559" s="29" t="n"/>
      <c r="G1559" s="28" t="n"/>
      <c r="H1559" s="1" t="n"/>
      <c r="I1559">
        <f>IF(OR(B1559="",C1559=""),"",B1559+MOD(C1559,1))</f>
        <v/>
      </c>
      <c r="J1559">
        <f>IF(I1559="","",IF(B1559=Dashboard!$AA$1,I1559,""))</f>
        <v/>
      </c>
    </row>
    <row r="1560">
      <c r="A1560" s="1" t="n"/>
      <c r="B1560" s="26" t="n"/>
      <c r="C1560" s="27" t="n"/>
      <c r="D1560" s="28" t="n"/>
      <c r="E1560" s="29" t="n"/>
      <c r="F1560" s="29" t="n"/>
      <c r="G1560" s="28" t="n"/>
      <c r="H1560" s="1" t="n"/>
      <c r="I1560">
        <f>IF(OR(B1560="",C1560=""),"",B1560+MOD(C1560,1))</f>
        <v/>
      </c>
      <c r="J1560">
        <f>IF(I1560="","",IF(B1560=Dashboard!$AA$1,I1560,""))</f>
        <v/>
      </c>
    </row>
    <row r="1561">
      <c r="A1561" s="1" t="n"/>
      <c r="B1561" s="26" t="n"/>
      <c r="C1561" s="27" t="n"/>
      <c r="D1561" s="28" t="n"/>
      <c r="E1561" s="29" t="n"/>
      <c r="F1561" s="29" t="n"/>
      <c r="G1561" s="28" t="n"/>
      <c r="H1561" s="1" t="n"/>
      <c r="I1561">
        <f>IF(OR(B1561="",C1561=""),"",B1561+MOD(C1561,1))</f>
        <v/>
      </c>
      <c r="J1561">
        <f>IF(I1561="","",IF(B1561=Dashboard!$AA$1,I1561,""))</f>
        <v/>
      </c>
    </row>
    <row r="1562">
      <c r="A1562" s="1" t="n"/>
      <c r="B1562" s="26" t="n"/>
      <c r="C1562" s="27" t="n"/>
      <c r="D1562" s="28" t="n"/>
      <c r="E1562" s="29" t="n"/>
      <c r="F1562" s="29" t="n"/>
      <c r="G1562" s="28" t="n"/>
      <c r="H1562" s="1" t="n"/>
      <c r="I1562">
        <f>IF(OR(B1562="",C1562=""),"",B1562+MOD(C1562,1))</f>
        <v/>
      </c>
      <c r="J1562">
        <f>IF(I1562="","",IF(B1562=Dashboard!$AA$1,I1562,""))</f>
        <v/>
      </c>
    </row>
    <row r="1563">
      <c r="A1563" s="1" t="n"/>
      <c r="B1563" s="26" t="n"/>
      <c r="C1563" s="27" t="n"/>
      <c r="D1563" s="28" t="n"/>
      <c r="E1563" s="29" t="n"/>
      <c r="F1563" s="29" t="n"/>
      <c r="G1563" s="28" t="n"/>
      <c r="H1563" s="1" t="n"/>
      <c r="I1563">
        <f>IF(OR(B1563="",C1563=""),"",B1563+MOD(C1563,1))</f>
        <v/>
      </c>
      <c r="J1563">
        <f>IF(I1563="","",IF(B1563=Dashboard!$AA$1,I1563,""))</f>
        <v/>
      </c>
    </row>
    <row r="1564">
      <c r="A1564" s="1" t="n"/>
      <c r="B1564" s="26" t="n"/>
      <c r="C1564" s="27" t="n"/>
      <c r="D1564" s="28" t="n"/>
      <c r="E1564" s="29" t="n"/>
      <c r="F1564" s="29" t="n"/>
      <c r="G1564" s="28" t="n"/>
      <c r="H1564" s="1" t="n"/>
      <c r="I1564">
        <f>IF(OR(B1564="",C1564=""),"",B1564+MOD(C1564,1))</f>
        <v/>
      </c>
      <c r="J1564">
        <f>IF(I1564="","",IF(B1564=Dashboard!$AA$1,I1564,""))</f>
        <v/>
      </c>
    </row>
    <row r="1565">
      <c r="A1565" s="1" t="n"/>
      <c r="B1565" s="26" t="n"/>
      <c r="C1565" s="27" t="n"/>
      <c r="D1565" s="28" t="n"/>
      <c r="E1565" s="29" t="n"/>
      <c r="F1565" s="29" t="n"/>
      <c r="G1565" s="28" t="n"/>
      <c r="H1565" s="1" t="n"/>
      <c r="I1565">
        <f>IF(OR(B1565="",C1565=""),"",B1565+MOD(C1565,1))</f>
        <v/>
      </c>
      <c r="J1565">
        <f>IF(I1565="","",IF(B1565=Dashboard!$AA$1,I1565,""))</f>
        <v/>
      </c>
    </row>
    <row r="1566">
      <c r="A1566" s="1" t="n"/>
      <c r="B1566" s="26" t="n"/>
      <c r="C1566" s="27" t="n"/>
      <c r="D1566" s="28" t="n"/>
      <c r="E1566" s="29" t="n"/>
      <c r="F1566" s="29" t="n"/>
      <c r="G1566" s="28" t="n"/>
      <c r="H1566" s="1" t="n"/>
      <c r="I1566">
        <f>IF(OR(B1566="",C1566=""),"",B1566+MOD(C1566,1))</f>
        <v/>
      </c>
      <c r="J1566">
        <f>IF(I1566="","",IF(B1566=Dashboard!$AA$1,I1566,""))</f>
        <v/>
      </c>
    </row>
    <row r="1567">
      <c r="A1567" s="1" t="n"/>
      <c r="B1567" s="26" t="n"/>
      <c r="C1567" s="27" t="n"/>
      <c r="D1567" s="28" t="n"/>
      <c r="E1567" s="29" t="n"/>
      <c r="F1567" s="29" t="n"/>
      <c r="G1567" s="28" t="n"/>
      <c r="H1567" s="1" t="n"/>
      <c r="I1567">
        <f>IF(OR(B1567="",C1567=""),"",B1567+MOD(C1567,1))</f>
        <v/>
      </c>
      <c r="J1567">
        <f>IF(I1567="","",IF(B1567=Dashboard!$AA$1,I1567,""))</f>
        <v/>
      </c>
    </row>
    <row r="1568">
      <c r="A1568" s="1" t="n"/>
      <c r="B1568" s="26" t="n"/>
      <c r="C1568" s="27" t="n"/>
      <c r="D1568" s="28" t="n"/>
      <c r="E1568" s="29" t="n"/>
      <c r="F1568" s="29" t="n"/>
      <c r="G1568" s="28" t="n"/>
      <c r="H1568" s="1" t="n"/>
      <c r="I1568">
        <f>IF(OR(B1568="",C1568=""),"",B1568+MOD(C1568,1))</f>
        <v/>
      </c>
      <c r="J1568">
        <f>IF(I1568="","",IF(B1568=Dashboard!$AA$1,I1568,""))</f>
        <v/>
      </c>
    </row>
    <row r="1569">
      <c r="A1569" s="1" t="n"/>
      <c r="B1569" s="26" t="n"/>
      <c r="C1569" s="27" t="n"/>
      <c r="D1569" s="28" t="n"/>
      <c r="E1569" s="29" t="n"/>
      <c r="F1569" s="29" t="n"/>
      <c r="G1569" s="28" t="n"/>
      <c r="H1569" s="1" t="n"/>
      <c r="I1569">
        <f>IF(OR(B1569="",C1569=""),"",B1569+MOD(C1569,1))</f>
        <v/>
      </c>
      <c r="J1569">
        <f>IF(I1569="","",IF(B1569=Dashboard!$AA$1,I1569,""))</f>
        <v/>
      </c>
    </row>
    <row r="1570">
      <c r="A1570" s="1" t="n"/>
      <c r="B1570" s="26" t="n"/>
      <c r="C1570" s="27" t="n"/>
      <c r="D1570" s="28" t="n"/>
      <c r="E1570" s="29" t="n"/>
      <c r="F1570" s="29" t="n"/>
      <c r="G1570" s="28" t="n"/>
      <c r="H1570" s="1" t="n"/>
      <c r="I1570">
        <f>IF(OR(B1570="",C1570=""),"",B1570+MOD(C1570,1))</f>
        <v/>
      </c>
      <c r="J1570">
        <f>IF(I1570="","",IF(B1570=Dashboard!$AA$1,I1570,""))</f>
        <v/>
      </c>
    </row>
    <row r="1571">
      <c r="A1571" s="1" t="n"/>
      <c r="B1571" s="26" t="n"/>
      <c r="C1571" s="27" t="n"/>
      <c r="D1571" s="28" t="n"/>
      <c r="E1571" s="29" t="n"/>
      <c r="F1571" s="29" t="n"/>
      <c r="G1571" s="28" t="n"/>
      <c r="H1571" s="1" t="n"/>
      <c r="I1571">
        <f>IF(OR(B1571="",C1571=""),"",B1571+MOD(C1571,1))</f>
        <v/>
      </c>
      <c r="J1571">
        <f>IF(I1571="","",IF(B1571=Dashboard!$AA$1,I1571,""))</f>
        <v/>
      </c>
    </row>
    <row r="1572">
      <c r="A1572" s="1" t="n"/>
      <c r="B1572" s="26" t="n"/>
      <c r="C1572" s="27" t="n"/>
      <c r="D1572" s="28" t="n"/>
      <c r="E1572" s="29" t="n"/>
      <c r="F1572" s="29" t="n"/>
      <c r="G1572" s="28" t="n"/>
      <c r="H1572" s="1" t="n"/>
      <c r="I1572">
        <f>IF(OR(B1572="",C1572=""),"",B1572+MOD(C1572,1))</f>
        <v/>
      </c>
      <c r="J1572">
        <f>IF(I1572="","",IF(B1572=Dashboard!$AA$1,I1572,""))</f>
        <v/>
      </c>
    </row>
    <row r="1573">
      <c r="A1573" s="1" t="n"/>
      <c r="B1573" s="26" t="n"/>
      <c r="C1573" s="27" t="n"/>
      <c r="D1573" s="28" t="n"/>
      <c r="E1573" s="29" t="n"/>
      <c r="F1573" s="29" t="n"/>
      <c r="G1573" s="28" t="n"/>
      <c r="H1573" s="1" t="n"/>
      <c r="I1573">
        <f>IF(OR(B1573="",C1573=""),"",B1573+MOD(C1573,1))</f>
        <v/>
      </c>
      <c r="J1573">
        <f>IF(I1573="","",IF(B1573=Dashboard!$AA$1,I1573,""))</f>
        <v/>
      </c>
    </row>
    <row r="1574">
      <c r="A1574" s="1" t="n"/>
      <c r="B1574" s="26" t="n"/>
      <c r="C1574" s="27" t="n"/>
      <c r="D1574" s="28" t="n"/>
      <c r="E1574" s="29" t="n"/>
      <c r="F1574" s="29" t="n"/>
      <c r="G1574" s="28" t="n"/>
      <c r="H1574" s="1" t="n"/>
      <c r="I1574">
        <f>IF(OR(B1574="",C1574=""),"",B1574+MOD(C1574,1))</f>
        <v/>
      </c>
      <c r="J1574">
        <f>IF(I1574="","",IF(B1574=Dashboard!$AA$1,I1574,""))</f>
        <v/>
      </c>
    </row>
    <row r="1575">
      <c r="A1575" s="1" t="n"/>
      <c r="B1575" s="26" t="n"/>
      <c r="C1575" s="27" t="n"/>
      <c r="D1575" s="28" t="n"/>
      <c r="E1575" s="29" t="n"/>
      <c r="F1575" s="29" t="n"/>
      <c r="G1575" s="28" t="n"/>
      <c r="H1575" s="1" t="n"/>
      <c r="I1575">
        <f>IF(OR(B1575="",C1575=""),"",B1575+MOD(C1575,1))</f>
        <v/>
      </c>
      <c r="J1575">
        <f>IF(I1575="","",IF(B1575=Dashboard!$AA$1,I1575,""))</f>
        <v/>
      </c>
    </row>
    <row r="1576">
      <c r="A1576" s="1" t="n"/>
      <c r="B1576" s="26" t="n"/>
      <c r="C1576" s="27" t="n"/>
      <c r="D1576" s="28" t="n"/>
      <c r="E1576" s="29" t="n"/>
      <c r="F1576" s="29" t="n"/>
      <c r="G1576" s="28" t="n"/>
      <c r="H1576" s="1" t="n"/>
      <c r="I1576">
        <f>IF(OR(B1576="",C1576=""),"",B1576+MOD(C1576,1))</f>
        <v/>
      </c>
      <c r="J1576">
        <f>IF(I1576="","",IF(B1576=Dashboard!$AA$1,I1576,""))</f>
        <v/>
      </c>
    </row>
    <row r="1577">
      <c r="A1577" s="1" t="n"/>
      <c r="B1577" s="26" t="n"/>
      <c r="C1577" s="27" t="n"/>
      <c r="D1577" s="28" t="n"/>
      <c r="E1577" s="29" t="n"/>
      <c r="F1577" s="29" t="n"/>
      <c r="G1577" s="28" t="n"/>
      <c r="H1577" s="1" t="n"/>
      <c r="I1577">
        <f>IF(OR(B1577="",C1577=""),"",B1577+MOD(C1577,1))</f>
        <v/>
      </c>
      <c r="J1577">
        <f>IF(I1577="","",IF(B1577=Dashboard!$AA$1,I1577,""))</f>
        <v/>
      </c>
    </row>
    <row r="1578">
      <c r="A1578" s="1" t="n"/>
      <c r="B1578" s="26" t="n"/>
      <c r="C1578" s="27" t="n"/>
      <c r="D1578" s="28" t="n"/>
      <c r="E1578" s="29" t="n"/>
      <c r="F1578" s="29" t="n"/>
      <c r="G1578" s="28" t="n"/>
      <c r="H1578" s="1" t="n"/>
      <c r="I1578">
        <f>IF(OR(B1578="",C1578=""),"",B1578+MOD(C1578,1))</f>
        <v/>
      </c>
      <c r="J1578">
        <f>IF(I1578="","",IF(B1578=Dashboard!$AA$1,I1578,""))</f>
        <v/>
      </c>
    </row>
    <row r="1579">
      <c r="A1579" s="1" t="n"/>
      <c r="B1579" s="26" t="n"/>
      <c r="C1579" s="27" t="n"/>
      <c r="D1579" s="28" t="n"/>
      <c r="E1579" s="29" t="n"/>
      <c r="F1579" s="29" t="n"/>
      <c r="G1579" s="28" t="n"/>
      <c r="H1579" s="1" t="n"/>
      <c r="I1579">
        <f>IF(OR(B1579="",C1579=""),"",B1579+MOD(C1579,1))</f>
        <v/>
      </c>
      <c r="J1579">
        <f>IF(I1579="","",IF(B1579=Dashboard!$AA$1,I1579,""))</f>
        <v/>
      </c>
    </row>
    <row r="1580">
      <c r="A1580" s="1" t="n"/>
      <c r="B1580" s="26" t="n"/>
      <c r="C1580" s="27" t="n"/>
      <c r="D1580" s="28" t="n"/>
      <c r="E1580" s="29" t="n"/>
      <c r="F1580" s="29" t="n"/>
      <c r="G1580" s="28" t="n"/>
      <c r="H1580" s="1" t="n"/>
      <c r="I1580">
        <f>IF(OR(B1580="",C1580=""),"",B1580+MOD(C1580,1))</f>
        <v/>
      </c>
      <c r="J1580">
        <f>IF(I1580="","",IF(B1580=Dashboard!$AA$1,I1580,""))</f>
        <v/>
      </c>
    </row>
    <row r="1581">
      <c r="A1581" s="1" t="n"/>
      <c r="B1581" s="26" t="n"/>
      <c r="C1581" s="27" t="n"/>
      <c r="D1581" s="28" t="n"/>
      <c r="E1581" s="29" t="n"/>
      <c r="F1581" s="29" t="n"/>
      <c r="G1581" s="28" t="n"/>
      <c r="H1581" s="1" t="n"/>
      <c r="I1581">
        <f>IF(OR(B1581="",C1581=""),"",B1581+MOD(C1581,1))</f>
        <v/>
      </c>
      <c r="J1581">
        <f>IF(I1581="","",IF(B1581=Dashboard!$AA$1,I1581,""))</f>
        <v/>
      </c>
    </row>
    <row r="1582">
      <c r="A1582" s="1" t="n"/>
      <c r="B1582" s="26" t="n"/>
      <c r="C1582" s="27" t="n"/>
      <c r="D1582" s="28" t="n"/>
      <c r="E1582" s="29" t="n"/>
      <c r="F1582" s="29" t="n"/>
      <c r="G1582" s="28" t="n"/>
      <c r="H1582" s="1" t="n"/>
      <c r="I1582">
        <f>IF(OR(B1582="",C1582=""),"",B1582+MOD(C1582,1))</f>
        <v/>
      </c>
      <c r="J1582">
        <f>IF(I1582="","",IF(B1582=Dashboard!$AA$1,I1582,""))</f>
        <v/>
      </c>
    </row>
    <row r="1583">
      <c r="A1583" s="1" t="n"/>
      <c r="B1583" s="26" t="n"/>
      <c r="C1583" s="27" t="n"/>
      <c r="D1583" s="28" t="n"/>
      <c r="E1583" s="29" t="n"/>
      <c r="F1583" s="29" t="n"/>
      <c r="G1583" s="28" t="n"/>
      <c r="H1583" s="1" t="n"/>
      <c r="I1583">
        <f>IF(OR(B1583="",C1583=""),"",B1583+MOD(C1583,1))</f>
        <v/>
      </c>
      <c r="J1583">
        <f>IF(I1583="","",IF(B1583=Dashboard!$AA$1,I1583,""))</f>
        <v/>
      </c>
    </row>
    <row r="1584">
      <c r="A1584" s="1" t="n"/>
      <c r="B1584" s="26" t="n"/>
      <c r="C1584" s="27" t="n"/>
      <c r="D1584" s="28" t="n"/>
      <c r="E1584" s="29" t="n"/>
      <c r="F1584" s="29" t="n"/>
      <c r="G1584" s="28" t="n"/>
      <c r="H1584" s="1" t="n"/>
      <c r="I1584">
        <f>IF(OR(B1584="",C1584=""),"",B1584+MOD(C1584,1))</f>
        <v/>
      </c>
      <c r="J1584">
        <f>IF(I1584="","",IF(B1584=Dashboard!$AA$1,I1584,""))</f>
        <v/>
      </c>
    </row>
    <row r="1585">
      <c r="A1585" s="1" t="n"/>
      <c r="B1585" s="26" t="n"/>
      <c r="C1585" s="27" t="n"/>
      <c r="D1585" s="28" t="n"/>
      <c r="E1585" s="29" t="n"/>
      <c r="F1585" s="29" t="n"/>
      <c r="G1585" s="28" t="n"/>
      <c r="H1585" s="1" t="n"/>
      <c r="I1585">
        <f>IF(OR(B1585="",C1585=""),"",B1585+MOD(C1585,1))</f>
        <v/>
      </c>
      <c r="J1585">
        <f>IF(I1585="","",IF(B1585=Dashboard!$AA$1,I1585,""))</f>
        <v/>
      </c>
    </row>
    <row r="1586">
      <c r="A1586" s="1" t="n"/>
      <c r="B1586" s="26" t="n"/>
      <c r="C1586" s="27" t="n"/>
      <c r="D1586" s="28" t="n"/>
      <c r="E1586" s="29" t="n"/>
      <c r="F1586" s="29" t="n"/>
      <c r="G1586" s="28" t="n"/>
      <c r="H1586" s="1" t="n"/>
      <c r="I1586">
        <f>IF(OR(B1586="",C1586=""),"",B1586+MOD(C1586,1))</f>
        <v/>
      </c>
      <c r="J1586">
        <f>IF(I1586="","",IF(B1586=Dashboard!$AA$1,I1586,""))</f>
        <v/>
      </c>
    </row>
    <row r="1587">
      <c r="A1587" s="1" t="n"/>
      <c r="B1587" s="26" t="n"/>
      <c r="C1587" s="27" t="n"/>
      <c r="D1587" s="28" t="n"/>
      <c r="E1587" s="29" t="n"/>
      <c r="F1587" s="29" t="n"/>
      <c r="G1587" s="28" t="n"/>
      <c r="H1587" s="1" t="n"/>
      <c r="I1587">
        <f>IF(OR(B1587="",C1587=""),"",B1587+MOD(C1587,1))</f>
        <v/>
      </c>
      <c r="J1587">
        <f>IF(I1587="","",IF(B1587=Dashboard!$AA$1,I1587,""))</f>
        <v/>
      </c>
    </row>
    <row r="1588">
      <c r="A1588" s="1" t="n"/>
      <c r="B1588" s="26" t="n"/>
      <c r="C1588" s="27" t="n"/>
      <c r="D1588" s="28" t="n"/>
      <c r="E1588" s="29" t="n"/>
      <c r="F1588" s="29" t="n"/>
      <c r="G1588" s="28" t="n"/>
      <c r="H1588" s="1" t="n"/>
      <c r="I1588">
        <f>IF(OR(B1588="",C1588=""),"",B1588+MOD(C1588,1))</f>
        <v/>
      </c>
      <c r="J1588">
        <f>IF(I1588="","",IF(B1588=Dashboard!$AA$1,I1588,""))</f>
        <v/>
      </c>
    </row>
    <row r="1589">
      <c r="A1589" s="1" t="n"/>
      <c r="B1589" s="26" t="n"/>
      <c r="C1589" s="27" t="n"/>
      <c r="D1589" s="28" t="n"/>
      <c r="E1589" s="29" t="n"/>
      <c r="F1589" s="29" t="n"/>
      <c r="G1589" s="28" t="n"/>
      <c r="H1589" s="1" t="n"/>
      <c r="I1589">
        <f>IF(OR(B1589="",C1589=""),"",B1589+MOD(C1589,1))</f>
        <v/>
      </c>
      <c r="J1589">
        <f>IF(I1589="","",IF(B1589=Dashboard!$AA$1,I1589,""))</f>
        <v/>
      </c>
    </row>
    <row r="1590">
      <c r="A1590" s="1" t="n"/>
      <c r="B1590" s="26" t="n"/>
      <c r="C1590" s="27" t="n"/>
      <c r="D1590" s="28" t="n"/>
      <c r="E1590" s="29" t="n"/>
      <c r="F1590" s="29" t="n"/>
      <c r="G1590" s="28" t="n"/>
      <c r="H1590" s="1" t="n"/>
      <c r="I1590">
        <f>IF(OR(B1590="",C1590=""),"",B1590+MOD(C1590,1))</f>
        <v/>
      </c>
      <c r="J1590">
        <f>IF(I1590="","",IF(B1590=Dashboard!$AA$1,I1590,""))</f>
        <v/>
      </c>
    </row>
    <row r="1591">
      <c r="A1591" s="1" t="n"/>
      <c r="B1591" s="26" t="n"/>
      <c r="C1591" s="27" t="n"/>
      <c r="D1591" s="28" t="n"/>
      <c r="E1591" s="29" t="n"/>
      <c r="F1591" s="29" t="n"/>
      <c r="G1591" s="28" t="n"/>
      <c r="H1591" s="1" t="n"/>
      <c r="I1591">
        <f>IF(OR(B1591="",C1591=""),"",B1591+MOD(C1591,1))</f>
        <v/>
      </c>
      <c r="J1591">
        <f>IF(I1591="","",IF(B1591=Dashboard!$AA$1,I1591,""))</f>
        <v/>
      </c>
    </row>
    <row r="1592">
      <c r="A1592" s="1" t="n"/>
      <c r="B1592" s="26" t="n"/>
      <c r="C1592" s="27" t="n"/>
      <c r="D1592" s="28" t="n"/>
      <c r="E1592" s="29" t="n"/>
      <c r="F1592" s="29" t="n"/>
      <c r="G1592" s="28" t="n"/>
      <c r="H1592" s="1" t="n"/>
      <c r="I1592">
        <f>IF(OR(B1592="",C1592=""),"",B1592+MOD(C1592,1))</f>
        <v/>
      </c>
      <c r="J1592">
        <f>IF(I1592="","",IF(B1592=Dashboard!$AA$1,I1592,""))</f>
        <v/>
      </c>
    </row>
    <row r="1593">
      <c r="A1593" s="1" t="n"/>
      <c r="B1593" s="26" t="n"/>
      <c r="C1593" s="27" t="n"/>
      <c r="D1593" s="28" t="n"/>
      <c r="E1593" s="29" t="n"/>
      <c r="F1593" s="29" t="n"/>
      <c r="G1593" s="28" t="n"/>
      <c r="H1593" s="1" t="n"/>
      <c r="I1593">
        <f>IF(OR(B1593="",C1593=""),"",B1593+MOD(C1593,1))</f>
        <v/>
      </c>
      <c r="J1593">
        <f>IF(I1593="","",IF(B1593=Dashboard!$AA$1,I1593,""))</f>
        <v/>
      </c>
    </row>
    <row r="1594">
      <c r="A1594" s="1" t="n"/>
      <c r="B1594" s="26" t="n"/>
      <c r="C1594" s="27" t="n"/>
      <c r="D1594" s="28" t="n"/>
      <c r="E1594" s="29" t="n"/>
      <c r="F1594" s="29" t="n"/>
      <c r="G1594" s="28" t="n"/>
      <c r="H1594" s="1" t="n"/>
      <c r="I1594">
        <f>IF(OR(B1594="",C1594=""),"",B1594+MOD(C1594,1))</f>
        <v/>
      </c>
      <c r="J1594">
        <f>IF(I1594="","",IF(B1594=Dashboard!$AA$1,I1594,""))</f>
        <v/>
      </c>
    </row>
    <row r="1595">
      <c r="A1595" s="1" t="n"/>
      <c r="B1595" s="26" t="n"/>
      <c r="C1595" s="27" t="n"/>
      <c r="D1595" s="28" t="n"/>
      <c r="E1595" s="29" t="n"/>
      <c r="F1595" s="29" t="n"/>
      <c r="G1595" s="28" t="n"/>
      <c r="H1595" s="1" t="n"/>
      <c r="I1595">
        <f>IF(OR(B1595="",C1595=""),"",B1595+MOD(C1595,1))</f>
        <v/>
      </c>
      <c r="J1595">
        <f>IF(I1595="","",IF(B1595=Dashboard!$AA$1,I1595,""))</f>
        <v/>
      </c>
    </row>
    <row r="1596">
      <c r="A1596" s="1" t="n"/>
      <c r="B1596" s="26" t="n"/>
      <c r="C1596" s="27" t="n"/>
      <c r="D1596" s="28" t="n"/>
      <c r="E1596" s="29" t="n"/>
      <c r="F1596" s="29" t="n"/>
      <c r="G1596" s="28" t="n"/>
      <c r="H1596" s="1" t="n"/>
      <c r="I1596">
        <f>IF(OR(B1596="",C1596=""),"",B1596+MOD(C1596,1))</f>
        <v/>
      </c>
      <c r="J1596">
        <f>IF(I1596="","",IF(B1596=Dashboard!$AA$1,I1596,""))</f>
        <v/>
      </c>
    </row>
    <row r="1597">
      <c r="A1597" s="1" t="n"/>
      <c r="B1597" s="26" t="n"/>
      <c r="C1597" s="27" t="n"/>
      <c r="D1597" s="28" t="n"/>
      <c r="E1597" s="29" t="n"/>
      <c r="F1597" s="29" t="n"/>
      <c r="G1597" s="28" t="n"/>
      <c r="H1597" s="1" t="n"/>
      <c r="I1597">
        <f>IF(OR(B1597="",C1597=""),"",B1597+MOD(C1597,1))</f>
        <v/>
      </c>
      <c r="J1597">
        <f>IF(I1597="","",IF(B1597=Dashboard!$AA$1,I1597,""))</f>
        <v/>
      </c>
    </row>
    <row r="1598">
      <c r="A1598" s="1" t="n"/>
      <c r="B1598" s="26" t="n"/>
      <c r="C1598" s="27" t="n"/>
      <c r="D1598" s="28" t="n"/>
      <c r="E1598" s="29" t="n"/>
      <c r="F1598" s="29" t="n"/>
      <c r="G1598" s="28" t="n"/>
      <c r="H1598" s="1" t="n"/>
      <c r="I1598">
        <f>IF(OR(B1598="",C1598=""),"",B1598+MOD(C1598,1))</f>
        <v/>
      </c>
      <c r="J1598">
        <f>IF(I1598="","",IF(B1598=Dashboard!$AA$1,I1598,""))</f>
        <v/>
      </c>
    </row>
    <row r="1599">
      <c r="A1599" s="1" t="n"/>
      <c r="B1599" s="26" t="n"/>
      <c r="C1599" s="27" t="n"/>
      <c r="D1599" s="28" t="n"/>
      <c r="E1599" s="29" t="n"/>
      <c r="F1599" s="29" t="n"/>
      <c r="G1599" s="28" t="n"/>
      <c r="H1599" s="1" t="n"/>
      <c r="I1599">
        <f>IF(OR(B1599="",C1599=""),"",B1599+MOD(C1599,1))</f>
        <v/>
      </c>
      <c r="J1599">
        <f>IF(I1599="","",IF(B1599=Dashboard!$AA$1,I1599,""))</f>
        <v/>
      </c>
    </row>
    <row r="1600">
      <c r="A1600" s="1" t="n"/>
      <c r="B1600" s="26" t="n"/>
      <c r="C1600" s="27" t="n"/>
      <c r="D1600" s="28" t="n"/>
      <c r="E1600" s="29" t="n"/>
      <c r="F1600" s="29" t="n"/>
      <c r="G1600" s="28" t="n"/>
      <c r="H1600" s="1" t="n"/>
      <c r="I1600">
        <f>IF(OR(B1600="",C1600=""),"",B1600+MOD(C1600,1))</f>
        <v/>
      </c>
      <c r="J1600">
        <f>IF(I1600="","",IF(B1600=Dashboard!$AA$1,I1600,""))</f>
        <v/>
      </c>
    </row>
    <row r="1601">
      <c r="A1601" s="1" t="n"/>
      <c r="B1601" s="26" t="n"/>
      <c r="C1601" s="27" t="n"/>
      <c r="D1601" s="28" t="n"/>
      <c r="E1601" s="29" t="n"/>
      <c r="F1601" s="29" t="n"/>
      <c r="G1601" s="28" t="n"/>
      <c r="H1601" s="1" t="n"/>
      <c r="I1601">
        <f>IF(OR(B1601="",C1601=""),"",B1601+MOD(C1601,1))</f>
        <v/>
      </c>
      <c r="J1601">
        <f>IF(I1601="","",IF(B1601=Dashboard!$AA$1,I1601,""))</f>
        <v/>
      </c>
    </row>
    <row r="1602">
      <c r="A1602" s="1" t="n"/>
      <c r="B1602" s="26" t="n"/>
      <c r="C1602" s="27" t="n"/>
      <c r="D1602" s="28" t="n"/>
      <c r="E1602" s="29" t="n"/>
      <c r="F1602" s="29" t="n"/>
      <c r="G1602" s="28" t="n"/>
      <c r="H1602" s="1" t="n"/>
      <c r="I1602">
        <f>IF(OR(B1602="",C1602=""),"",B1602+MOD(C1602,1))</f>
        <v/>
      </c>
      <c r="J1602">
        <f>IF(I1602="","",IF(B1602=Dashboard!$AA$1,I1602,""))</f>
        <v/>
      </c>
    </row>
    <row r="1603">
      <c r="A1603" s="1" t="n"/>
      <c r="B1603" s="26" t="n"/>
      <c r="C1603" s="27" t="n"/>
      <c r="D1603" s="28" t="n"/>
      <c r="E1603" s="29" t="n"/>
      <c r="F1603" s="29" t="n"/>
      <c r="G1603" s="28" t="n"/>
      <c r="H1603" s="1" t="n"/>
      <c r="I1603">
        <f>IF(OR(B1603="",C1603=""),"",B1603+MOD(C1603,1))</f>
        <v/>
      </c>
      <c r="J1603">
        <f>IF(I1603="","",IF(B1603=Dashboard!$AA$1,I1603,""))</f>
        <v/>
      </c>
    </row>
    <row r="1604">
      <c r="A1604" s="1" t="n"/>
      <c r="B1604" s="26" t="n"/>
      <c r="C1604" s="27" t="n"/>
      <c r="D1604" s="28" t="n"/>
      <c r="E1604" s="29" t="n"/>
      <c r="F1604" s="29" t="n"/>
      <c r="G1604" s="28" t="n"/>
      <c r="H1604" s="1" t="n"/>
      <c r="I1604">
        <f>IF(OR(B1604="",C1604=""),"",B1604+MOD(C1604,1))</f>
        <v/>
      </c>
      <c r="J1604">
        <f>IF(I1604="","",IF(B1604=Dashboard!$AA$1,I1604,""))</f>
        <v/>
      </c>
    </row>
    <row r="1605">
      <c r="A1605" s="1" t="n"/>
      <c r="B1605" s="26" t="n"/>
      <c r="C1605" s="27" t="n"/>
      <c r="D1605" s="28" t="n"/>
      <c r="E1605" s="29" t="n"/>
      <c r="F1605" s="29" t="n"/>
      <c r="G1605" s="28" t="n"/>
      <c r="H1605" s="1" t="n"/>
      <c r="I1605">
        <f>IF(OR(B1605="",C1605=""),"",B1605+MOD(C1605,1))</f>
        <v/>
      </c>
      <c r="J1605">
        <f>IF(I1605="","",IF(B1605=Dashboard!$AA$1,I1605,""))</f>
        <v/>
      </c>
    </row>
    <row r="1606">
      <c r="A1606" s="1" t="n"/>
      <c r="B1606" s="26" t="n"/>
      <c r="C1606" s="27" t="n"/>
      <c r="D1606" s="28" t="n"/>
      <c r="E1606" s="29" t="n"/>
      <c r="F1606" s="29" t="n"/>
      <c r="G1606" s="28" t="n"/>
      <c r="H1606" s="1" t="n"/>
      <c r="I1606">
        <f>IF(OR(B1606="",C1606=""),"",B1606+MOD(C1606,1))</f>
        <v/>
      </c>
      <c r="J1606">
        <f>IF(I1606="","",IF(B1606=Dashboard!$AA$1,I1606,""))</f>
        <v/>
      </c>
    </row>
    <row r="1607">
      <c r="A1607" s="1" t="n"/>
      <c r="B1607" s="26" t="n"/>
      <c r="C1607" s="27" t="n"/>
      <c r="D1607" s="28" t="n"/>
      <c r="E1607" s="29" t="n"/>
      <c r="F1607" s="29" t="n"/>
      <c r="G1607" s="28" t="n"/>
      <c r="H1607" s="1" t="n"/>
      <c r="I1607">
        <f>IF(OR(B1607="",C1607=""),"",B1607+MOD(C1607,1))</f>
        <v/>
      </c>
      <c r="J1607">
        <f>IF(I1607="","",IF(B1607=Dashboard!$AA$1,I1607,""))</f>
        <v/>
      </c>
    </row>
    <row r="1608">
      <c r="A1608" s="1" t="n"/>
      <c r="B1608" s="26" t="n"/>
      <c r="C1608" s="27" t="n"/>
      <c r="D1608" s="28" t="n"/>
      <c r="E1608" s="29" t="n"/>
      <c r="F1608" s="29" t="n"/>
      <c r="G1608" s="28" t="n"/>
      <c r="H1608" s="1" t="n"/>
      <c r="I1608">
        <f>IF(OR(B1608="",C1608=""),"",B1608+MOD(C1608,1))</f>
        <v/>
      </c>
      <c r="J1608">
        <f>IF(I1608="","",IF(B1608=Dashboard!$AA$1,I1608,""))</f>
        <v/>
      </c>
    </row>
    <row r="1609">
      <c r="A1609" s="1" t="n"/>
      <c r="B1609" s="26" t="n"/>
      <c r="C1609" s="27" t="n"/>
      <c r="D1609" s="28" t="n"/>
      <c r="E1609" s="29" t="n"/>
      <c r="F1609" s="29" t="n"/>
      <c r="G1609" s="28" t="n"/>
      <c r="H1609" s="1" t="n"/>
      <c r="I1609">
        <f>IF(OR(B1609="",C1609=""),"",B1609+MOD(C1609,1))</f>
        <v/>
      </c>
      <c r="J1609">
        <f>IF(I1609="","",IF(B1609=Dashboard!$AA$1,I1609,""))</f>
        <v/>
      </c>
    </row>
    <row r="1610">
      <c r="A1610" s="1" t="n"/>
      <c r="B1610" s="26" t="n"/>
      <c r="C1610" s="27" t="n"/>
      <c r="D1610" s="28" t="n"/>
      <c r="E1610" s="29" t="n"/>
      <c r="F1610" s="29" t="n"/>
      <c r="G1610" s="28" t="n"/>
      <c r="H1610" s="1" t="n"/>
      <c r="I1610">
        <f>IF(OR(B1610="",C1610=""),"",B1610+MOD(C1610,1))</f>
        <v/>
      </c>
      <c r="J1610">
        <f>IF(I1610="","",IF(B1610=Dashboard!$AA$1,I1610,""))</f>
        <v/>
      </c>
    </row>
    <row r="1611">
      <c r="A1611" s="1" t="n"/>
      <c r="B1611" s="26" t="n"/>
      <c r="C1611" s="27" t="n"/>
      <c r="D1611" s="28" t="n"/>
      <c r="E1611" s="29" t="n"/>
      <c r="F1611" s="29" t="n"/>
      <c r="G1611" s="28" t="n"/>
      <c r="H1611" s="1" t="n"/>
      <c r="I1611">
        <f>IF(OR(B1611="",C1611=""),"",B1611+MOD(C1611,1))</f>
        <v/>
      </c>
      <c r="J1611">
        <f>IF(I1611="","",IF(B1611=Dashboard!$AA$1,I1611,""))</f>
        <v/>
      </c>
    </row>
    <row r="1612">
      <c r="A1612" s="1" t="n"/>
      <c r="B1612" s="26" t="n"/>
      <c r="C1612" s="27" t="n"/>
      <c r="D1612" s="28" t="n"/>
      <c r="E1612" s="29" t="n"/>
      <c r="F1612" s="29" t="n"/>
      <c r="G1612" s="28" t="n"/>
      <c r="H1612" s="1" t="n"/>
      <c r="I1612">
        <f>IF(OR(B1612="",C1612=""),"",B1612+MOD(C1612,1))</f>
        <v/>
      </c>
      <c r="J1612">
        <f>IF(I1612="","",IF(B1612=Dashboard!$AA$1,I1612,""))</f>
        <v/>
      </c>
    </row>
    <row r="1613">
      <c r="A1613" s="1" t="n"/>
      <c r="B1613" s="26" t="n"/>
      <c r="C1613" s="27" t="n"/>
      <c r="D1613" s="28" t="n"/>
      <c r="E1613" s="29" t="n"/>
      <c r="F1613" s="29" t="n"/>
      <c r="G1613" s="28" t="n"/>
      <c r="H1613" s="1" t="n"/>
      <c r="I1613">
        <f>IF(OR(B1613="",C1613=""),"",B1613+MOD(C1613,1))</f>
        <v/>
      </c>
      <c r="J1613">
        <f>IF(I1613="","",IF(B1613=Dashboard!$AA$1,I1613,""))</f>
        <v/>
      </c>
    </row>
    <row r="1614">
      <c r="A1614" s="1" t="n"/>
      <c r="B1614" s="26" t="n"/>
      <c r="C1614" s="27" t="n"/>
      <c r="D1614" s="28" t="n"/>
      <c r="E1614" s="29" t="n"/>
      <c r="F1614" s="29" t="n"/>
      <c r="G1614" s="28" t="n"/>
      <c r="H1614" s="1" t="n"/>
      <c r="I1614">
        <f>IF(OR(B1614="",C1614=""),"",B1614+MOD(C1614,1))</f>
        <v/>
      </c>
      <c r="J1614">
        <f>IF(I1614="","",IF(B1614=Dashboard!$AA$1,I1614,""))</f>
        <v/>
      </c>
    </row>
    <row r="1615">
      <c r="A1615" s="1" t="n"/>
      <c r="B1615" s="26" t="n"/>
      <c r="C1615" s="27" t="n"/>
      <c r="D1615" s="28" t="n"/>
      <c r="E1615" s="29" t="n"/>
      <c r="F1615" s="29" t="n"/>
      <c r="G1615" s="28" t="n"/>
      <c r="H1615" s="1" t="n"/>
      <c r="I1615">
        <f>IF(OR(B1615="",C1615=""),"",B1615+MOD(C1615,1))</f>
        <v/>
      </c>
      <c r="J1615">
        <f>IF(I1615="","",IF(B1615=Dashboard!$AA$1,I1615,""))</f>
        <v/>
      </c>
    </row>
    <row r="1616">
      <c r="A1616" s="1" t="n"/>
      <c r="B1616" s="26" t="n"/>
      <c r="C1616" s="27" t="n"/>
      <c r="D1616" s="28" t="n"/>
      <c r="E1616" s="29" t="n"/>
      <c r="F1616" s="29" t="n"/>
      <c r="G1616" s="28" t="n"/>
      <c r="H1616" s="1" t="n"/>
      <c r="I1616">
        <f>IF(OR(B1616="",C1616=""),"",B1616+MOD(C1616,1))</f>
        <v/>
      </c>
      <c r="J1616">
        <f>IF(I1616="","",IF(B1616=Dashboard!$AA$1,I1616,""))</f>
        <v/>
      </c>
    </row>
    <row r="1617">
      <c r="A1617" s="1" t="n"/>
      <c r="B1617" s="26" t="n"/>
      <c r="C1617" s="27" t="n"/>
      <c r="D1617" s="28" t="n"/>
      <c r="E1617" s="29" t="n"/>
      <c r="F1617" s="29" t="n"/>
      <c r="G1617" s="28" t="n"/>
      <c r="H1617" s="1" t="n"/>
      <c r="I1617">
        <f>IF(OR(B1617="",C1617=""),"",B1617+MOD(C1617,1))</f>
        <v/>
      </c>
      <c r="J1617">
        <f>IF(I1617="","",IF(B1617=Dashboard!$AA$1,I1617,""))</f>
        <v/>
      </c>
    </row>
    <row r="1618">
      <c r="A1618" s="1" t="n"/>
      <c r="B1618" s="26" t="n"/>
      <c r="C1618" s="27" t="n"/>
      <c r="D1618" s="28" t="n"/>
      <c r="E1618" s="29" t="n"/>
      <c r="F1618" s="29" t="n"/>
      <c r="G1618" s="28" t="n"/>
      <c r="H1618" s="1" t="n"/>
      <c r="I1618">
        <f>IF(OR(B1618="",C1618=""),"",B1618+MOD(C1618,1))</f>
        <v/>
      </c>
      <c r="J1618">
        <f>IF(I1618="","",IF(B1618=Dashboard!$AA$1,I1618,""))</f>
        <v/>
      </c>
    </row>
    <row r="1619">
      <c r="A1619" s="1" t="n"/>
      <c r="B1619" s="26" t="n"/>
      <c r="C1619" s="27" t="n"/>
      <c r="D1619" s="28" t="n"/>
      <c r="E1619" s="29" t="n"/>
      <c r="F1619" s="29" t="n"/>
      <c r="G1619" s="28" t="n"/>
      <c r="H1619" s="1" t="n"/>
      <c r="I1619">
        <f>IF(OR(B1619="",C1619=""),"",B1619+MOD(C1619,1))</f>
        <v/>
      </c>
      <c r="J1619">
        <f>IF(I1619="","",IF(B1619=Dashboard!$AA$1,I1619,""))</f>
        <v/>
      </c>
    </row>
    <row r="1620">
      <c r="A1620" s="1" t="n"/>
      <c r="B1620" s="26" t="n"/>
      <c r="C1620" s="27" t="n"/>
      <c r="D1620" s="28" t="n"/>
      <c r="E1620" s="29" t="n"/>
      <c r="F1620" s="29" t="n"/>
      <c r="G1620" s="28" t="n"/>
      <c r="H1620" s="1" t="n"/>
      <c r="I1620">
        <f>IF(OR(B1620="",C1620=""),"",B1620+MOD(C1620,1))</f>
        <v/>
      </c>
      <c r="J1620">
        <f>IF(I1620="","",IF(B1620=Dashboard!$AA$1,I1620,""))</f>
        <v/>
      </c>
    </row>
    <row r="1621">
      <c r="A1621" s="1" t="n"/>
      <c r="B1621" s="26" t="n"/>
      <c r="C1621" s="27" t="n"/>
      <c r="D1621" s="28" t="n"/>
      <c r="E1621" s="29" t="n"/>
      <c r="F1621" s="29" t="n"/>
      <c r="G1621" s="28" t="n"/>
      <c r="H1621" s="1" t="n"/>
      <c r="I1621">
        <f>IF(OR(B1621="",C1621=""),"",B1621+MOD(C1621,1))</f>
        <v/>
      </c>
      <c r="J1621">
        <f>IF(I1621="","",IF(B1621=Dashboard!$AA$1,I1621,""))</f>
        <v/>
      </c>
    </row>
    <row r="1622">
      <c r="A1622" s="1" t="n"/>
      <c r="B1622" s="26" t="n"/>
      <c r="C1622" s="27" t="n"/>
      <c r="D1622" s="28" t="n"/>
      <c r="E1622" s="29" t="n"/>
      <c r="F1622" s="29" t="n"/>
      <c r="G1622" s="28" t="n"/>
      <c r="H1622" s="1" t="n"/>
      <c r="I1622">
        <f>IF(OR(B1622="",C1622=""),"",B1622+MOD(C1622,1))</f>
        <v/>
      </c>
      <c r="J1622">
        <f>IF(I1622="","",IF(B1622=Dashboard!$AA$1,I1622,""))</f>
        <v/>
      </c>
    </row>
    <row r="1623">
      <c r="A1623" s="1" t="n"/>
      <c r="B1623" s="26" t="n"/>
      <c r="C1623" s="27" t="n"/>
      <c r="D1623" s="28" t="n"/>
      <c r="E1623" s="29" t="n"/>
      <c r="F1623" s="29" t="n"/>
      <c r="G1623" s="28" t="n"/>
      <c r="H1623" s="1" t="n"/>
      <c r="I1623">
        <f>IF(OR(B1623="",C1623=""),"",B1623+MOD(C1623,1))</f>
        <v/>
      </c>
      <c r="J1623">
        <f>IF(I1623="","",IF(B1623=Dashboard!$AA$1,I1623,""))</f>
        <v/>
      </c>
    </row>
    <row r="1624">
      <c r="A1624" s="1" t="n"/>
      <c r="B1624" s="26" t="n"/>
      <c r="C1624" s="27" t="n"/>
      <c r="D1624" s="28" t="n"/>
      <c r="E1624" s="29" t="n"/>
      <c r="F1624" s="29" t="n"/>
      <c r="G1624" s="28" t="n"/>
      <c r="H1624" s="1" t="n"/>
      <c r="I1624">
        <f>IF(OR(B1624="",C1624=""),"",B1624+MOD(C1624,1))</f>
        <v/>
      </c>
      <c r="J1624">
        <f>IF(I1624="","",IF(B1624=Dashboard!$AA$1,I1624,""))</f>
        <v/>
      </c>
    </row>
    <row r="1625">
      <c r="A1625" s="1" t="n"/>
      <c r="B1625" s="26" t="n"/>
      <c r="C1625" s="27" t="n"/>
      <c r="D1625" s="28" t="n"/>
      <c r="E1625" s="29" t="n"/>
      <c r="F1625" s="29" t="n"/>
      <c r="G1625" s="28" t="n"/>
      <c r="H1625" s="1" t="n"/>
      <c r="I1625">
        <f>IF(OR(B1625="",C1625=""),"",B1625+MOD(C1625,1))</f>
        <v/>
      </c>
      <c r="J1625">
        <f>IF(I1625="","",IF(B1625=Dashboard!$AA$1,I1625,""))</f>
        <v/>
      </c>
    </row>
    <row r="1626">
      <c r="A1626" s="1" t="n"/>
      <c r="B1626" s="26" t="n"/>
      <c r="C1626" s="27" t="n"/>
      <c r="D1626" s="28" t="n"/>
      <c r="E1626" s="29" t="n"/>
      <c r="F1626" s="29" t="n"/>
      <c r="G1626" s="28" t="n"/>
      <c r="H1626" s="1" t="n"/>
      <c r="I1626">
        <f>IF(OR(B1626="",C1626=""),"",B1626+MOD(C1626,1))</f>
        <v/>
      </c>
      <c r="J1626">
        <f>IF(I1626="","",IF(B1626=Dashboard!$AA$1,I1626,""))</f>
        <v/>
      </c>
    </row>
    <row r="1627">
      <c r="A1627" s="1" t="n"/>
      <c r="B1627" s="26" t="n"/>
      <c r="C1627" s="27" t="n"/>
      <c r="D1627" s="28" t="n"/>
      <c r="E1627" s="29" t="n"/>
      <c r="F1627" s="29" t="n"/>
      <c r="G1627" s="28" t="n"/>
      <c r="H1627" s="1" t="n"/>
      <c r="I1627">
        <f>IF(OR(B1627="",C1627=""),"",B1627+MOD(C1627,1))</f>
        <v/>
      </c>
      <c r="J1627">
        <f>IF(I1627="","",IF(B1627=Dashboard!$AA$1,I1627,""))</f>
        <v/>
      </c>
    </row>
    <row r="1628">
      <c r="A1628" s="1" t="n"/>
      <c r="B1628" s="26" t="n"/>
      <c r="C1628" s="27" t="n"/>
      <c r="D1628" s="28" t="n"/>
      <c r="E1628" s="29" t="n"/>
      <c r="F1628" s="29" t="n"/>
      <c r="G1628" s="28" t="n"/>
      <c r="H1628" s="1" t="n"/>
      <c r="I1628">
        <f>IF(OR(B1628="",C1628=""),"",B1628+MOD(C1628,1))</f>
        <v/>
      </c>
      <c r="J1628">
        <f>IF(I1628="","",IF(B1628=Dashboard!$AA$1,I1628,""))</f>
        <v/>
      </c>
    </row>
    <row r="1629">
      <c r="A1629" s="1" t="n"/>
      <c r="B1629" s="26" t="n"/>
      <c r="C1629" s="27" t="n"/>
      <c r="D1629" s="28" t="n"/>
      <c r="E1629" s="29" t="n"/>
      <c r="F1629" s="29" t="n"/>
      <c r="G1629" s="28" t="n"/>
      <c r="H1629" s="1" t="n"/>
      <c r="I1629">
        <f>IF(OR(B1629="",C1629=""),"",B1629+MOD(C1629,1))</f>
        <v/>
      </c>
      <c r="J1629">
        <f>IF(I1629="","",IF(B1629=Dashboard!$AA$1,I1629,""))</f>
        <v/>
      </c>
    </row>
    <row r="1630">
      <c r="A1630" s="1" t="n"/>
      <c r="B1630" s="26" t="n"/>
      <c r="C1630" s="27" t="n"/>
      <c r="D1630" s="28" t="n"/>
      <c r="E1630" s="29" t="n"/>
      <c r="F1630" s="29" t="n"/>
      <c r="G1630" s="28" t="n"/>
      <c r="H1630" s="1" t="n"/>
      <c r="I1630">
        <f>IF(OR(B1630="",C1630=""),"",B1630+MOD(C1630,1))</f>
        <v/>
      </c>
      <c r="J1630">
        <f>IF(I1630="","",IF(B1630=Dashboard!$AA$1,I1630,""))</f>
        <v/>
      </c>
    </row>
    <row r="1631">
      <c r="A1631" s="1" t="n"/>
      <c r="B1631" s="26" t="n"/>
      <c r="C1631" s="27" t="n"/>
      <c r="D1631" s="28" t="n"/>
      <c r="E1631" s="29" t="n"/>
      <c r="F1631" s="29" t="n"/>
      <c r="G1631" s="28" t="n"/>
      <c r="H1631" s="1" t="n"/>
      <c r="I1631">
        <f>IF(OR(B1631="",C1631=""),"",B1631+MOD(C1631,1))</f>
        <v/>
      </c>
      <c r="J1631">
        <f>IF(I1631="","",IF(B1631=Dashboard!$AA$1,I1631,""))</f>
        <v/>
      </c>
    </row>
    <row r="1632">
      <c r="A1632" s="1" t="n"/>
      <c r="B1632" s="26" t="n"/>
      <c r="C1632" s="27" t="n"/>
      <c r="D1632" s="28" t="n"/>
      <c r="E1632" s="29" t="n"/>
      <c r="F1632" s="29" t="n"/>
      <c r="G1632" s="28" t="n"/>
      <c r="H1632" s="1" t="n"/>
      <c r="I1632">
        <f>IF(OR(B1632="",C1632=""),"",B1632+MOD(C1632,1))</f>
        <v/>
      </c>
      <c r="J1632">
        <f>IF(I1632="","",IF(B1632=Dashboard!$AA$1,I1632,""))</f>
        <v/>
      </c>
    </row>
    <row r="1633">
      <c r="A1633" s="1" t="n"/>
      <c r="B1633" s="26" t="n"/>
      <c r="C1633" s="27" t="n"/>
      <c r="D1633" s="28" t="n"/>
      <c r="E1633" s="29" t="n"/>
      <c r="F1633" s="29" t="n"/>
      <c r="G1633" s="28" t="n"/>
      <c r="H1633" s="1" t="n"/>
      <c r="I1633">
        <f>IF(OR(B1633="",C1633=""),"",B1633+MOD(C1633,1))</f>
        <v/>
      </c>
      <c r="J1633">
        <f>IF(I1633="","",IF(B1633=Dashboard!$AA$1,I1633,""))</f>
        <v/>
      </c>
    </row>
    <row r="1634">
      <c r="A1634" s="1" t="n"/>
      <c r="B1634" s="26" t="n"/>
      <c r="C1634" s="27" t="n"/>
      <c r="D1634" s="28" t="n"/>
      <c r="E1634" s="29" t="n"/>
      <c r="F1634" s="29" t="n"/>
      <c r="G1634" s="28" t="n"/>
      <c r="H1634" s="1" t="n"/>
      <c r="I1634">
        <f>IF(OR(B1634="",C1634=""),"",B1634+MOD(C1634,1))</f>
        <v/>
      </c>
      <c r="J1634">
        <f>IF(I1634="","",IF(B1634=Dashboard!$AA$1,I1634,""))</f>
        <v/>
      </c>
    </row>
    <row r="1635">
      <c r="A1635" s="1" t="n"/>
      <c r="B1635" s="26" t="n"/>
      <c r="C1635" s="27" t="n"/>
      <c r="D1635" s="28" t="n"/>
      <c r="E1635" s="29" t="n"/>
      <c r="F1635" s="29" t="n"/>
      <c r="G1635" s="28" t="n"/>
      <c r="H1635" s="1" t="n"/>
      <c r="I1635">
        <f>IF(OR(B1635="",C1635=""),"",B1635+MOD(C1635,1))</f>
        <v/>
      </c>
      <c r="J1635">
        <f>IF(I1635="","",IF(B1635=Dashboard!$AA$1,I1635,""))</f>
        <v/>
      </c>
    </row>
    <row r="1636">
      <c r="A1636" s="1" t="n"/>
      <c r="B1636" s="26" t="n"/>
      <c r="C1636" s="27" t="n"/>
      <c r="D1636" s="28" t="n"/>
      <c r="E1636" s="29" t="n"/>
      <c r="F1636" s="29" t="n"/>
      <c r="G1636" s="28" t="n"/>
      <c r="H1636" s="1" t="n"/>
      <c r="I1636">
        <f>IF(OR(B1636="",C1636=""),"",B1636+MOD(C1636,1))</f>
        <v/>
      </c>
      <c r="J1636">
        <f>IF(I1636="","",IF(B1636=Dashboard!$AA$1,I1636,""))</f>
        <v/>
      </c>
    </row>
    <row r="1637">
      <c r="A1637" s="1" t="n"/>
      <c r="B1637" s="26" t="n"/>
      <c r="C1637" s="27" t="n"/>
      <c r="D1637" s="28" t="n"/>
      <c r="E1637" s="29" t="n"/>
      <c r="F1637" s="29" t="n"/>
      <c r="G1637" s="28" t="n"/>
      <c r="H1637" s="1" t="n"/>
      <c r="I1637">
        <f>IF(OR(B1637="",C1637=""),"",B1637+MOD(C1637,1))</f>
        <v/>
      </c>
      <c r="J1637">
        <f>IF(I1637="","",IF(B1637=Dashboard!$AA$1,I1637,""))</f>
        <v/>
      </c>
    </row>
    <row r="1638">
      <c r="A1638" s="1" t="n"/>
      <c r="B1638" s="26" t="n"/>
      <c r="C1638" s="27" t="n"/>
      <c r="D1638" s="28" t="n"/>
      <c r="E1638" s="29" t="n"/>
      <c r="F1638" s="29" t="n"/>
      <c r="G1638" s="28" t="n"/>
      <c r="H1638" s="1" t="n"/>
      <c r="I1638">
        <f>IF(OR(B1638="",C1638=""),"",B1638+MOD(C1638,1))</f>
        <v/>
      </c>
      <c r="J1638">
        <f>IF(I1638="","",IF(B1638=Dashboard!$AA$1,I1638,""))</f>
        <v/>
      </c>
    </row>
    <row r="1639">
      <c r="A1639" s="1" t="n"/>
      <c r="B1639" s="26" t="n"/>
      <c r="C1639" s="27" t="n"/>
      <c r="D1639" s="28" t="n"/>
      <c r="E1639" s="29" t="n"/>
      <c r="F1639" s="29" t="n"/>
      <c r="G1639" s="28" t="n"/>
      <c r="H1639" s="1" t="n"/>
      <c r="I1639">
        <f>IF(OR(B1639="",C1639=""),"",B1639+MOD(C1639,1))</f>
        <v/>
      </c>
      <c r="J1639">
        <f>IF(I1639="","",IF(B1639=Dashboard!$AA$1,I1639,""))</f>
        <v/>
      </c>
    </row>
    <row r="1640">
      <c r="A1640" s="1" t="n"/>
      <c r="B1640" s="26" t="n"/>
      <c r="C1640" s="27" t="n"/>
      <c r="D1640" s="28" t="n"/>
      <c r="E1640" s="29" t="n"/>
      <c r="F1640" s="29" t="n"/>
      <c r="G1640" s="28" t="n"/>
      <c r="H1640" s="1" t="n"/>
      <c r="I1640">
        <f>IF(OR(B1640="",C1640=""),"",B1640+MOD(C1640,1))</f>
        <v/>
      </c>
      <c r="J1640">
        <f>IF(I1640="","",IF(B1640=Dashboard!$AA$1,I1640,""))</f>
        <v/>
      </c>
    </row>
    <row r="1641">
      <c r="A1641" s="1" t="n"/>
      <c r="B1641" s="26" t="n"/>
      <c r="C1641" s="27" t="n"/>
      <c r="D1641" s="28" t="n"/>
      <c r="E1641" s="29" t="n"/>
      <c r="F1641" s="29" t="n"/>
      <c r="G1641" s="28" t="n"/>
      <c r="H1641" s="1" t="n"/>
      <c r="I1641">
        <f>IF(OR(B1641="",C1641=""),"",B1641+MOD(C1641,1))</f>
        <v/>
      </c>
      <c r="J1641">
        <f>IF(I1641="","",IF(B1641=Dashboard!$AA$1,I1641,""))</f>
        <v/>
      </c>
    </row>
    <row r="1642">
      <c r="A1642" s="1" t="n"/>
      <c r="B1642" s="26" t="n"/>
      <c r="C1642" s="27" t="n"/>
      <c r="D1642" s="28" t="n"/>
      <c r="E1642" s="29" t="n"/>
      <c r="F1642" s="29" t="n"/>
      <c r="G1642" s="28" t="n"/>
      <c r="H1642" s="1" t="n"/>
      <c r="I1642">
        <f>IF(OR(B1642="",C1642=""),"",B1642+MOD(C1642,1))</f>
        <v/>
      </c>
      <c r="J1642">
        <f>IF(I1642="","",IF(B1642=Dashboard!$AA$1,I1642,""))</f>
        <v/>
      </c>
    </row>
    <row r="1643">
      <c r="A1643" s="1" t="n"/>
      <c r="B1643" s="26" t="n"/>
      <c r="C1643" s="27" t="n"/>
      <c r="D1643" s="28" t="n"/>
      <c r="E1643" s="29" t="n"/>
      <c r="F1643" s="29" t="n"/>
      <c r="G1643" s="28" t="n"/>
      <c r="H1643" s="1" t="n"/>
      <c r="I1643">
        <f>IF(OR(B1643="",C1643=""),"",B1643+MOD(C1643,1))</f>
        <v/>
      </c>
      <c r="J1643">
        <f>IF(I1643="","",IF(B1643=Dashboard!$AA$1,I1643,""))</f>
        <v/>
      </c>
    </row>
    <row r="1644">
      <c r="A1644" s="1" t="n"/>
      <c r="B1644" s="26" t="n"/>
      <c r="C1644" s="27" t="n"/>
      <c r="D1644" s="28" t="n"/>
      <c r="E1644" s="29" t="n"/>
      <c r="F1644" s="29" t="n"/>
      <c r="G1644" s="28" t="n"/>
      <c r="H1644" s="1" t="n"/>
      <c r="I1644">
        <f>IF(OR(B1644="",C1644=""),"",B1644+MOD(C1644,1))</f>
        <v/>
      </c>
      <c r="J1644">
        <f>IF(I1644="","",IF(B1644=Dashboard!$AA$1,I1644,""))</f>
        <v/>
      </c>
    </row>
    <row r="1645">
      <c r="A1645" s="1" t="n"/>
      <c r="B1645" s="26" t="n"/>
      <c r="C1645" s="27" t="n"/>
      <c r="D1645" s="28" t="n"/>
      <c r="E1645" s="29" t="n"/>
      <c r="F1645" s="29" t="n"/>
      <c r="G1645" s="28" t="n"/>
      <c r="H1645" s="1" t="n"/>
      <c r="I1645">
        <f>IF(OR(B1645="",C1645=""),"",B1645+MOD(C1645,1))</f>
        <v/>
      </c>
      <c r="J1645">
        <f>IF(I1645="","",IF(B1645=Dashboard!$AA$1,I1645,""))</f>
        <v/>
      </c>
    </row>
    <row r="1646">
      <c r="A1646" s="1" t="n"/>
      <c r="B1646" s="26" t="n"/>
      <c r="C1646" s="27" t="n"/>
      <c r="D1646" s="28" t="n"/>
      <c r="E1646" s="29" t="n"/>
      <c r="F1646" s="29" t="n"/>
      <c r="G1646" s="28" t="n"/>
      <c r="H1646" s="1" t="n"/>
      <c r="I1646">
        <f>IF(OR(B1646="",C1646=""),"",B1646+MOD(C1646,1))</f>
        <v/>
      </c>
      <c r="J1646">
        <f>IF(I1646="","",IF(B1646=Dashboard!$AA$1,I1646,""))</f>
        <v/>
      </c>
    </row>
    <row r="1647">
      <c r="A1647" s="1" t="n"/>
      <c r="B1647" s="26" t="n"/>
      <c r="C1647" s="27" t="n"/>
      <c r="D1647" s="28" t="n"/>
      <c r="E1647" s="29" t="n"/>
      <c r="F1647" s="29" t="n"/>
      <c r="G1647" s="28" t="n"/>
      <c r="H1647" s="1" t="n"/>
      <c r="I1647">
        <f>IF(OR(B1647="",C1647=""),"",B1647+MOD(C1647,1))</f>
        <v/>
      </c>
      <c r="J1647">
        <f>IF(I1647="","",IF(B1647=Dashboard!$AA$1,I1647,""))</f>
        <v/>
      </c>
    </row>
    <row r="1648">
      <c r="A1648" s="1" t="n"/>
      <c r="B1648" s="26" t="n"/>
      <c r="C1648" s="27" t="n"/>
      <c r="D1648" s="28" t="n"/>
      <c r="E1648" s="29" t="n"/>
      <c r="F1648" s="29" t="n"/>
      <c r="G1648" s="28" t="n"/>
      <c r="H1648" s="1" t="n"/>
      <c r="I1648">
        <f>IF(OR(B1648="",C1648=""),"",B1648+MOD(C1648,1))</f>
        <v/>
      </c>
      <c r="J1648">
        <f>IF(I1648="","",IF(B1648=Dashboard!$AA$1,I1648,""))</f>
        <v/>
      </c>
    </row>
    <row r="1649">
      <c r="A1649" s="1" t="n"/>
      <c r="B1649" s="26" t="n"/>
      <c r="C1649" s="27" t="n"/>
      <c r="D1649" s="28" t="n"/>
      <c r="E1649" s="29" t="n"/>
      <c r="F1649" s="29" t="n"/>
      <c r="G1649" s="28" t="n"/>
      <c r="H1649" s="1" t="n"/>
      <c r="I1649">
        <f>IF(OR(B1649="",C1649=""),"",B1649+MOD(C1649,1))</f>
        <v/>
      </c>
      <c r="J1649">
        <f>IF(I1649="","",IF(B1649=Dashboard!$AA$1,I1649,""))</f>
        <v/>
      </c>
    </row>
    <row r="1650">
      <c r="A1650" s="1" t="n"/>
      <c r="B1650" s="26" t="n"/>
      <c r="C1650" s="27" t="n"/>
      <c r="D1650" s="28" t="n"/>
      <c r="E1650" s="29" t="n"/>
      <c r="F1650" s="29" t="n"/>
      <c r="G1650" s="28" t="n"/>
      <c r="H1650" s="1" t="n"/>
      <c r="I1650">
        <f>IF(OR(B1650="",C1650=""),"",B1650+MOD(C1650,1))</f>
        <v/>
      </c>
      <c r="J1650">
        <f>IF(I1650="","",IF(B1650=Dashboard!$AA$1,I1650,""))</f>
        <v/>
      </c>
    </row>
    <row r="1651">
      <c r="A1651" s="1" t="n"/>
      <c r="B1651" s="26" t="n"/>
      <c r="C1651" s="27" t="n"/>
      <c r="D1651" s="28" t="n"/>
      <c r="E1651" s="29" t="n"/>
      <c r="F1651" s="29" t="n"/>
      <c r="G1651" s="28" t="n"/>
      <c r="H1651" s="1" t="n"/>
      <c r="I1651">
        <f>IF(OR(B1651="",C1651=""),"",B1651+MOD(C1651,1))</f>
        <v/>
      </c>
      <c r="J1651">
        <f>IF(I1651="","",IF(B1651=Dashboard!$AA$1,I1651,""))</f>
        <v/>
      </c>
    </row>
    <row r="1652">
      <c r="A1652" s="1" t="n"/>
      <c r="B1652" s="26" t="n"/>
      <c r="C1652" s="27" t="n"/>
      <c r="D1652" s="28" t="n"/>
      <c r="E1652" s="29" t="n"/>
      <c r="F1652" s="29" t="n"/>
      <c r="G1652" s="28" t="n"/>
      <c r="H1652" s="1" t="n"/>
      <c r="I1652">
        <f>IF(OR(B1652="",C1652=""),"",B1652+MOD(C1652,1))</f>
        <v/>
      </c>
      <c r="J1652">
        <f>IF(I1652="","",IF(B1652=Dashboard!$AA$1,I1652,""))</f>
        <v/>
      </c>
    </row>
    <row r="1653">
      <c r="A1653" s="1" t="n"/>
      <c r="B1653" s="26" t="n"/>
      <c r="C1653" s="27" t="n"/>
      <c r="D1653" s="28" t="n"/>
      <c r="E1653" s="29" t="n"/>
      <c r="F1653" s="29" t="n"/>
      <c r="G1653" s="28" t="n"/>
      <c r="H1653" s="1" t="n"/>
      <c r="I1653">
        <f>IF(OR(B1653="",C1653=""),"",B1653+MOD(C1653,1))</f>
        <v/>
      </c>
      <c r="J1653">
        <f>IF(I1653="","",IF(B1653=Dashboard!$AA$1,I1653,""))</f>
        <v/>
      </c>
    </row>
    <row r="1654">
      <c r="A1654" s="1" t="n"/>
      <c r="B1654" s="26" t="n"/>
      <c r="C1654" s="27" t="n"/>
      <c r="D1654" s="28" t="n"/>
      <c r="E1654" s="29" t="n"/>
      <c r="F1654" s="29" t="n"/>
      <c r="G1654" s="28" t="n"/>
      <c r="H1654" s="1" t="n"/>
      <c r="I1654">
        <f>IF(OR(B1654="",C1654=""),"",B1654+MOD(C1654,1))</f>
        <v/>
      </c>
      <c r="J1654">
        <f>IF(I1654="","",IF(B1654=Dashboard!$AA$1,I1654,""))</f>
        <v/>
      </c>
    </row>
    <row r="1655">
      <c r="A1655" s="1" t="n"/>
      <c r="B1655" s="26" t="n"/>
      <c r="C1655" s="27" t="n"/>
      <c r="D1655" s="28" t="n"/>
      <c r="E1655" s="29" t="n"/>
      <c r="F1655" s="29" t="n"/>
      <c r="G1655" s="28" t="n"/>
      <c r="H1655" s="1" t="n"/>
      <c r="I1655">
        <f>IF(OR(B1655="",C1655=""),"",B1655+MOD(C1655,1))</f>
        <v/>
      </c>
      <c r="J1655">
        <f>IF(I1655="","",IF(B1655=Dashboard!$AA$1,I1655,""))</f>
        <v/>
      </c>
    </row>
    <row r="1656">
      <c r="A1656" s="1" t="n"/>
      <c r="B1656" s="26" t="n"/>
      <c r="C1656" s="27" t="n"/>
      <c r="D1656" s="28" t="n"/>
      <c r="E1656" s="29" t="n"/>
      <c r="F1656" s="29" t="n"/>
      <c r="G1656" s="28" t="n"/>
      <c r="H1656" s="1" t="n"/>
      <c r="I1656">
        <f>IF(OR(B1656="",C1656=""),"",B1656+MOD(C1656,1))</f>
        <v/>
      </c>
      <c r="J1656">
        <f>IF(I1656="","",IF(B1656=Dashboard!$AA$1,I1656,""))</f>
        <v/>
      </c>
    </row>
    <row r="1657">
      <c r="A1657" s="1" t="n"/>
      <c r="B1657" s="26" t="n"/>
      <c r="C1657" s="27" t="n"/>
      <c r="D1657" s="28" t="n"/>
      <c r="E1657" s="29" t="n"/>
      <c r="F1657" s="29" t="n"/>
      <c r="G1657" s="28" t="n"/>
      <c r="H1657" s="1" t="n"/>
      <c r="I1657">
        <f>IF(OR(B1657="",C1657=""),"",B1657+MOD(C1657,1))</f>
        <v/>
      </c>
      <c r="J1657">
        <f>IF(I1657="","",IF(B1657=Dashboard!$AA$1,I1657,""))</f>
        <v/>
      </c>
    </row>
    <row r="1658">
      <c r="A1658" s="1" t="n"/>
      <c r="B1658" s="26" t="n"/>
      <c r="C1658" s="27" t="n"/>
      <c r="D1658" s="28" t="n"/>
      <c r="E1658" s="29" t="n"/>
      <c r="F1658" s="29" t="n"/>
      <c r="G1658" s="28" t="n"/>
      <c r="H1658" s="1" t="n"/>
      <c r="I1658">
        <f>IF(OR(B1658="",C1658=""),"",B1658+MOD(C1658,1))</f>
        <v/>
      </c>
      <c r="J1658">
        <f>IF(I1658="","",IF(B1658=Dashboard!$AA$1,I1658,""))</f>
        <v/>
      </c>
    </row>
    <row r="1659">
      <c r="A1659" s="1" t="n"/>
      <c r="B1659" s="26" t="n"/>
      <c r="C1659" s="27" t="n"/>
      <c r="D1659" s="28" t="n"/>
      <c r="E1659" s="29" t="n"/>
      <c r="F1659" s="29" t="n"/>
      <c r="G1659" s="28" t="n"/>
      <c r="H1659" s="1" t="n"/>
      <c r="I1659">
        <f>IF(OR(B1659="",C1659=""),"",B1659+MOD(C1659,1))</f>
        <v/>
      </c>
      <c r="J1659">
        <f>IF(I1659="","",IF(B1659=Dashboard!$AA$1,I1659,""))</f>
        <v/>
      </c>
    </row>
    <row r="1660">
      <c r="A1660" s="1" t="n"/>
      <c r="B1660" s="26" t="n"/>
      <c r="C1660" s="27" t="n"/>
      <c r="D1660" s="28" t="n"/>
      <c r="E1660" s="29" t="n"/>
      <c r="F1660" s="29" t="n"/>
      <c r="G1660" s="28" t="n"/>
      <c r="H1660" s="1" t="n"/>
      <c r="I1660">
        <f>IF(OR(B1660="",C1660=""),"",B1660+MOD(C1660,1))</f>
        <v/>
      </c>
      <c r="J1660">
        <f>IF(I1660="","",IF(B1660=Dashboard!$AA$1,I1660,""))</f>
        <v/>
      </c>
    </row>
    <row r="1661">
      <c r="A1661" s="1" t="n"/>
      <c r="B1661" s="26" t="n"/>
      <c r="C1661" s="27" t="n"/>
      <c r="D1661" s="28" t="n"/>
      <c r="E1661" s="29" t="n"/>
      <c r="F1661" s="29" t="n"/>
      <c r="G1661" s="28" t="n"/>
      <c r="H1661" s="1" t="n"/>
      <c r="I1661">
        <f>IF(OR(B1661="",C1661=""),"",B1661+MOD(C1661,1))</f>
        <v/>
      </c>
      <c r="J1661">
        <f>IF(I1661="","",IF(B1661=Dashboard!$AA$1,I1661,""))</f>
        <v/>
      </c>
    </row>
    <row r="1662">
      <c r="A1662" s="1" t="n"/>
      <c r="B1662" s="26" t="n"/>
      <c r="C1662" s="27" t="n"/>
      <c r="D1662" s="28" t="n"/>
      <c r="E1662" s="29" t="n"/>
      <c r="F1662" s="29" t="n"/>
      <c r="G1662" s="28" t="n"/>
      <c r="H1662" s="1" t="n"/>
      <c r="I1662">
        <f>IF(OR(B1662="",C1662=""),"",B1662+MOD(C1662,1))</f>
        <v/>
      </c>
      <c r="J1662">
        <f>IF(I1662="","",IF(B1662=Dashboard!$AA$1,I1662,""))</f>
        <v/>
      </c>
    </row>
    <row r="1663">
      <c r="A1663" s="1" t="n"/>
      <c r="B1663" s="26" t="n"/>
      <c r="C1663" s="27" t="n"/>
      <c r="D1663" s="28" t="n"/>
      <c r="E1663" s="29" t="n"/>
      <c r="F1663" s="29" t="n"/>
      <c r="G1663" s="28" t="n"/>
      <c r="H1663" s="1" t="n"/>
      <c r="I1663">
        <f>IF(OR(B1663="",C1663=""),"",B1663+MOD(C1663,1))</f>
        <v/>
      </c>
      <c r="J1663">
        <f>IF(I1663="","",IF(B1663=Dashboard!$AA$1,I1663,""))</f>
        <v/>
      </c>
    </row>
    <row r="1664">
      <c r="A1664" s="1" t="n"/>
      <c r="B1664" s="26" t="n"/>
      <c r="C1664" s="27" t="n"/>
      <c r="D1664" s="28" t="n"/>
      <c r="E1664" s="29" t="n"/>
      <c r="F1664" s="29" t="n"/>
      <c r="G1664" s="28" t="n"/>
      <c r="H1664" s="1" t="n"/>
      <c r="I1664">
        <f>IF(OR(B1664="",C1664=""),"",B1664+MOD(C1664,1))</f>
        <v/>
      </c>
      <c r="J1664">
        <f>IF(I1664="","",IF(B1664=Dashboard!$AA$1,I1664,""))</f>
        <v/>
      </c>
    </row>
    <row r="1665">
      <c r="A1665" s="1" t="n"/>
      <c r="B1665" s="26" t="n"/>
      <c r="C1665" s="27" t="n"/>
      <c r="D1665" s="28" t="n"/>
      <c r="E1665" s="29" t="n"/>
      <c r="F1665" s="29" t="n"/>
      <c r="G1665" s="28" t="n"/>
      <c r="H1665" s="1" t="n"/>
      <c r="I1665">
        <f>IF(OR(B1665="",C1665=""),"",B1665+MOD(C1665,1))</f>
        <v/>
      </c>
      <c r="J1665">
        <f>IF(I1665="","",IF(B1665=Dashboard!$AA$1,I1665,""))</f>
        <v/>
      </c>
    </row>
    <row r="1666">
      <c r="A1666" s="1" t="n"/>
      <c r="B1666" s="26" t="n"/>
      <c r="C1666" s="27" t="n"/>
      <c r="D1666" s="28" t="n"/>
      <c r="E1666" s="29" t="n"/>
      <c r="F1666" s="29" t="n"/>
      <c r="G1666" s="28" t="n"/>
      <c r="H1666" s="1" t="n"/>
      <c r="I1666">
        <f>IF(OR(B1666="",C1666=""),"",B1666+MOD(C1666,1))</f>
        <v/>
      </c>
      <c r="J1666">
        <f>IF(I1666="","",IF(B1666=Dashboard!$AA$1,I1666,""))</f>
        <v/>
      </c>
    </row>
    <row r="1667">
      <c r="A1667" s="1" t="n"/>
      <c r="B1667" s="26" t="n"/>
      <c r="C1667" s="27" t="n"/>
      <c r="D1667" s="28" t="n"/>
      <c r="E1667" s="29" t="n"/>
      <c r="F1667" s="29" t="n"/>
      <c r="G1667" s="28" t="n"/>
      <c r="H1667" s="1" t="n"/>
      <c r="I1667">
        <f>IF(OR(B1667="",C1667=""),"",B1667+MOD(C1667,1))</f>
        <v/>
      </c>
      <c r="J1667">
        <f>IF(I1667="","",IF(B1667=Dashboard!$AA$1,I1667,""))</f>
        <v/>
      </c>
    </row>
    <row r="1668">
      <c r="A1668" s="1" t="n"/>
      <c r="B1668" s="26" t="n"/>
      <c r="C1668" s="27" t="n"/>
      <c r="D1668" s="28" t="n"/>
      <c r="E1668" s="29" t="n"/>
      <c r="F1668" s="29" t="n"/>
      <c r="G1668" s="28" t="n"/>
      <c r="H1668" s="1" t="n"/>
      <c r="I1668">
        <f>IF(OR(B1668="",C1668=""),"",B1668+MOD(C1668,1))</f>
        <v/>
      </c>
      <c r="J1668">
        <f>IF(I1668="","",IF(B1668=Dashboard!$AA$1,I1668,""))</f>
        <v/>
      </c>
    </row>
    <row r="1669">
      <c r="A1669" s="1" t="n"/>
      <c r="B1669" s="26" t="n"/>
      <c r="C1669" s="27" t="n"/>
      <c r="D1669" s="28" t="n"/>
      <c r="E1669" s="29" t="n"/>
      <c r="F1669" s="29" t="n"/>
      <c r="G1669" s="28" t="n"/>
      <c r="H1669" s="1" t="n"/>
      <c r="I1669">
        <f>IF(OR(B1669="",C1669=""),"",B1669+MOD(C1669,1))</f>
        <v/>
      </c>
      <c r="J1669">
        <f>IF(I1669="","",IF(B1669=Dashboard!$AA$1,I1669,""))</f>
        <v/>
      </c>
    </row>
    <row r="1670">
      <c r="A1670" s="1" t="n"/>
      <c r="B1670" s="26" t="n"/>
      <c r="C1670" s="27" t="n"/>
      <c r="D1670" s="28" t="n"/>
      <c r="E1670" s="29" t="n"/>
      <c r="F1670" s="29" t="n"/>
      <c r="G1670" s="28" t="n"/>
      <c r="H1670" s="1" t="n"/>
      <c r="I1670">
        <f>IF(OR(B1670="",C1670=""),"",B1670+MOD(C1670,1))</f>
        <v/>
      </c>
      <c r="J1670">
        <f>IF(I1670="","",IF(B1670=Dashboard!$AA$1,I1670,""))</f>
        <v/>
      </c>
    </row>
    <row r="1671">
      <c r="A1671" s="1" t="n"/>
      <c r="B1671" s="26" t="n"/>
      <c r="C1671" s="27" t="n"/>
      <c r="D1671" s="28" t="n"/>
      <c r="E1671" s="29" t="n"/>
      <c r="F1671" s="29" t="n"/>
      <c r="G1671" s="28" t="n"/>
      <c r="H1671" s="1" t="n"/>
      <c r="I1671">
        <f>IF(OR(B1671="",C1671=""),"",B1671+MOD(C1671,1))</f>
        <v/>
      </c>
      <c r="J1671">
        <f>IF(I1671="","",IF(B1671=Dashboard!$AA$1,I1671,""))</f>
        <v/>
      </c>
    </row>
    <row r="1672">
      <c r="A1672" s="1" t="n"/>
      <c r="B1672" s="26" t="n"/>
      <c r="C1672" s="27" t="n"/>
      <c r="D1672" s="28" t="n"/>
      <c r="E1672" s="29" t="n"/>
      <c r="F1672" s="29" t="n"/>
      <c r="G1672" s="28" t="n"/>
      <c r="H1672" s="1" t="n"/>
      <c r="I1672">
        <f>IF(OR(B1672="",C1672=""),"",B1672+MOD(C1672,1))</f>
        <v/>
      </c>
      <c r="J1672">
        <f>IF(I1672="","",IF(B1672=Dashboard!$AA$1,I1672,""))</f>
        <v/>
      </c>
    </row>
    <row r="1673">
      <c r="A1673" s="1" t="n"/>
      <c r="B1673" s="26" t="n"/>
      <c r="C1673" s="27" t="n"/>
      <c r="D1673" s="28" t="n"/>
      <c r="E1673" s="29" t="n"/>
      <c r="F1673" s="29" t="n"/>
      <c r="G1673" s="28" t="n"/>
      <c r="H1673" s="1" t="n"/>
      <c r="I1673">
        <f>IF(OR(B1673="",C1673=""),"",B1673+MOD(C1673,1))</f>
        <v/>
      </c>
      <c r="J1673">
        <f>IF(I1673="","",IF(B1673=Dashboard!$AA$1,I1673,""))</f>
        <v/>
      </c>
    </row>
    <row r="1674">
      <c r="A1674" s="1" t="n"/>
      <c r="B1674" s="26" t="n"/>
      <c r="C1674" s="27" t="n"/>
      <c r="D1674" s="28" t="n"/>
      <c r="E1674" s="29" t="n"/>
      <c r="F1674" s="29" t="n"/>
      <c r="G1674" s="28" t="n"/>
      <c r="H1674" s="1" t="n"/>
      <c r="I1674">
        <f>IF(OR(B1674="",C1674=""),"",B1674+MOD(C1674,1))</f>
        <v/>
      </c>
      <c r="J1674">
        <f>IF(I1674="","",IF(B1674=Dashboard!$AA$1,I1674,""))</f>
        <v/>
      </c>
    </row>
    <row r="1675">
      <c r="A1675" s="1" t="n"/>
      <c r="B1675" s="26" t="n"/>
      <c r="C1675" s="27" t="n"/>
      <c r="D1675" s="28" t="n"/>
      <c r="E1675" s="29" t="n"/>
      <c r="F1675" s="29" t="n"/>
      <c r="G1675" s="28" t="n"/>
      <c r="H1675" s="1" t="n"/>
      <c r="I1675">
        <f>IF(OR(B1675="",C1675=""),"",B1675+MOD(C1675,1))</f>
        <v/>
      </c>
      <c r="J1675">
        <f>IF(I1675="","",IF(B1675=Dashboard!$AA$1,I1675,""))</f>
        <v/>
      </c>
    </row>
    <row r="1676">
      <c r="A1676" s="1" t="n"/>
      <c r="B1676" s="26" t="n"/>
      <c r="C1676" s="27" t="n"/>
      <c r="D1676" s="28" t="n"/>
      <c r="E1676" s="29" t="n"/>
      <c r="F1676" s="29" t="n"/>
      <c r="G1676" s="28" t="n"/>
      <c r="H1676" s="1" t="n"/>
      <c r="I1676">
        <f>IF(OR(B1676="",C1676=""),"",B1676+MOD(C1676,1))</f>
        <v/>
      </c>
      <c r="J1676">
        <f>IF(I1676="","",IF(B1676=Dashboard!$AA$1,I1676,""))</f>
        <v/>
      </c>
    </row>
    <row r="1677">
      <c r="A1677" s="1" t="n"/>
      <c r="B1677" s="26" t="n"/>
      <c r="C1677" s="27" t="n"/>
      <c r="D1677" s="28" t="n"/>
      <c r="E1677" s="29" t="n"/>
      <c r="F1677" s="29" t="n"/>
      <c r="G1677" s="28" t="n"/>
      <c r="H1677" s="1" t="n"/>
      <c r="I1677">
        <f>IF(OR(B1677="",C1677=""),"",B1677+MOD(C1677,1))</f>
        <v/>
      </c>
      <c r="J1677">
        <f>IF(I1677="","",IF(B1677=Dashboard!$AA$1,I1677,""))</f>
        <v/>
      </c>
    </row>
    <row r="1678">
      <c r="A1678" s="1" t="n"/>
      <c r="B1678" s="26" t="n"/>
      <c r="C1678" s="27" t="n"/>
      <c r="D1678" s="28" t="n"/>
      <c r="E1678" s="29" t="n"/>
      <c r="F1678" s="29" t="n"/>
      <c r="G1678" s="28" t="n"/>
      <c r="H1678" s="1" t="n"/>
      <c r="I1678">
        <f>IF(OR(B1678="",C1678=""),"",B1678+MOD(C1678,1))</f>
        <v/>
      </c>
      <c r="J1678">
        <f>IF(I1678="","",IF(B1678=Dashboard!$AA$1,I1678,""))</f>
        <v/>
      </c>
    </row>
    <row r="1679">
      <c r="A1679" s="1" t="n"/>
      <c r="B1679" s="26" t="n"/>
      <c r="C1679" s="27" t="n"/>
      <c r="D1679" s="28" t="n"/>
      <c r="E1679" s="29" t="n"/>
      <c r="F1679" s="29" t="n"/>
      <c r="G1679" s="28" t="n"/>
      <c r="H1679" s="1" t="n"/>
      <c r="I1679">
        <f>IF(OR(B1679="",C1679=""),"",B1679+MOD(C1679,1))</f>
        <v/>
      </c>
      <c r="J1679">
        <f>IF(I1679="","",IF(B1679=Dashboard!$AA$1,I1679,""))</f>
        <v/>
      </c>
    </row>
    <row r="1680">
      <c r="A1680" s="1" t="n"/>
      <c r="B1680" s="26" t="n"/>
      <c r="C1680" s="27" t="n"/>
      <c r="D1680" s="28" t="n"/>
      <c r="E1680" s="29" t="n"/>
      <c r="F1680" s="29" t="n"/>
      <c r="G1680" s="28" t="n"/>
      <c r="H1680" s="1" t="n"/>
      <c r="I1680">
        <f>IF(OR(B1680="",C1680=""),"",B1680+MOD(C1680,1))</f>
        <v/>
      </c>
      <c r="J1680">
        <f>IF(I1680="","",IF(B1680=Dashboard!$AA$1,I1680,""))</f>
        <v/>
      </c>
    </row>
    <row r="1681">
      <c r="A1681" s="1" t="n"/>
      <c r="B1681" s="26" t="n"/>
      <c r="C1681" s="27" t="n"/>
      <c r="D1681" s="28" t="n"/>
      <c r="E1681" s="29" t="n"/>
      <c r="F1681" s="29" t="n"/>
      <c r="G1681" s="28" t="n"/>
      <c r="H1681" s="1" t="n"/>
      <c r="I1681">
        <f>IF(OR(B1681="",C1681=""),"",B1681+MOD(C1681,1))</f>
        <v/>
      </c>
      <c r="J1681">
        <f>IF(I1681="","",IF(B1681=Dashboard!$AA$1,I1681,""))</f>
        <v/>
      </c>
    </row>
    <row r="1682">
      <c r="A1682" s="1" t="n"/>
      <c r="B1682" s="26" t="n"/>
      <c r="C1682" s="27" t="n"/>
      <c r="D1682" s="28" t="n"/>
      <c r="E1682" s="29" t="n"/>
      <c r="F1682" s="29" t="n"/>
      <c r="G1682" s="28" t="n"/>
      <c r="H1682" s="1" t="n"/>
      <c r="I1682">
        <f>IF(OR(B1682="",C1682=""),"",B1682+MOD(C1682,1))</f>
        <v/>
      </c>
      <c r="J1682">
        <f>IF(I1682="","",IF(B1682=Dashboard!$AA$1,I1682,""))</f>
        <v/>
      </c>
    </row>
    <row r="1683">
      <c r="A1683" s="1" t="n"/>
      <c r="B1683" s="26" t="n"/>
      <c r="C1683" s="27" t="n"/>
      <c r="D1683" s="28" t="n"/>
      <c r="E1683" s="29" t="n"/>
      <c r="F1683" s="29" t="n"/>
      <c r="G1683" s="28" t="n"/>
      <c r="H1683" s="1" t="n"/>
      <c r="I1683">
        <f>IF(OR(B1683="",C1683=""),"",B1683+MOD(C1683,1))</f>
        <v/>
      </c>
      <c r="J1683">
        <f>IF(I1683="","",IF(B1683=Dashboard!$AA$1,I1683,""))</f>
        <v/>
      </c>
    </row>
    <row r="1684">
      <c r="A1684" s="1" t="n"/>
      <c r="B1684" s="26" t="n"/>
      <c r="C1684" s="27" t="n"/>
      <c r="D1684" s="28" t="n"/>
      <c r="E1684" s="29" t="n"/>
      <c r="F1684" s="29" t="n"/>
      <c r="G1684" s="28" t="n"/>
      <c r="H1684" s="1" t="n"/>
      <c r="I1684">
        <f>IF(OR(B1684="",C1684=""),"",B1684+MOD(C1684,1))</f>
        <v/>
      </c>
      <c r="J1684">
        <f>IF(I1684="","",IF(B1684=Dashboard!$AA$1,I1684,""))</f>
        <v/>
      </c>
    </row>
    <row r="1685">
      <c r="A1685" s="1" t="n"/>
      <c r="B1685" s="26" t="n"/>
      <c r="C1685" s="27" t="n"/>
      <c r="D1685" s="28" t="n"/>
      <c r="E1685" s="29" t="n"/>
      <c r="F1685" s="29" t="n"/>
      <c r="G1685" s="28" t="n"/>
      <c r="H1685" s="1" t="n"/>
      <c r="I1685">
        <f>IF(OR(B1685="",C1685=""),"",B1685+MOD(C1685,1))</f>
        <v/>
      </c>
      <c r="J1685">
        <f>IF(I1685="","",IF(B1685=Dashboard!$AA$1,I1685,""))</f>
        <v/>
      </c>
    </row>
    <row r="1686">
      <c r="A1686" s="1" t="n"/>
      <c r="B1686" s="26" t="n"/>
      <c r="C1686" s="27" t="n"/>
      <c r="D1686" s="28" t="n"/>
      <c r="E1686" s="29" t="n"/>
      <c r="F1686" s="29" t="n"/>
      <c r="G1686" s="28" t="n"/>
      <c r="H1686" s="1" t="n"/>
      <c r="I1686">
        <f>IF(OR(B1686="",C1686=""),"",B1686+MOD(C1686,1))</f>
        <v/>
      </c>
      <c r="J1686">
        <f>IF(I1686="","",IF(B1686=Dashboard!$AA$1,I1686,""))</f>
        <v/>
      </c>
    </row>
    <row r="1687">
      <c r="A1687" s="1" t="n"/>
      <c r="B1687" s="26" t="n"/>
      <c r="C1687" s="27" t="n"/>
      <c r="D1687" s="28" t="n"/>
      <c r="E1687" s="29" t="n"/>
      <c r="F1687" s="29" t="n"/>
      <c r="G1687" s="28" t="n"/>
      <c r="H1687" s="1" t="n"/>
      <c r="I1687">
        <f>IF(OR(B1687="",C1687=""),"",B1687+MOD(C1687,1))</f>
        <v/>
      </c>
      <c r="J1687">
        <f>IF(I1687="","",IF(B1687=Dashboard!$AA$1,I1687,""))</f>
        <v/>
      </c>
    </row>
    <row r="1688">
      <c r="A1688" s="1" t="n"/>
      <c r="B1688" s="26" t="n"/>
      <c r="C1688" s="27" t="n"/>
      <c r="D1688" s="28" t="n"/>
      <c r="E1688" s="29" t="n"/>
      <c r="F1688" s="29" t="n"/>
      <c r="G1688" s="28" t="n"/>
      <c r="H1688" s="1" t="n"/>
      <c r="I1688">
        <f>IF(OR(B1688="",C1688=""),"",B1688+MOD(C1688,1))</f>
        <v/>
      </c>
      <c r="J1688">
        <f>IF(I1688="","",IF(B1688=Dashboard!$AA$1,I1688,""))</f>
        <v/>
      </c>
    </row>
    <row r="1689">
      <c r="A1689" s="1" t="n"/>
      <c r="B1689" s="26" t="n"/>
      <c r="C1689" s="27" t="n"/>
      <c r="D1689" s="28" t="n"/>
      <c r="E1689" s="29" t="n"/>
      <c r="F1689" s="29" t="n"/>
      <c r="G1689" s="28" t="n"/>
      <c r="H1689" s="1" t="n"/>
      <c r="I1689">
        <f>IF(OR(B1689="",C1689=""),"",B1689+MOD(C1689,1))</f>
        <v/>
      </c>
      <c r="J1689">
        <f>IF(I1689="","",IF(B1689=Dashboard!$AA$1,I1689,""))</f>
        <v/>
      </c>
    </row>
    <row r="1690">
      <c r="A1690" s="1" t="n"/>
      <c r="B1690" s="26" t="n"/>
      <c r="C1690" s="27" t="n"/>
      <c r="D1690" s="28" t="n"/>
      <c r="E1690" s="29" t="n"/>
      <c r="F1690" s="29" t="n"/>
      <c r="G1690" s="28" t="n"/>
      <c r="H1690" s="1" t="n"/>
      <c r="I1690">
        <f>IF(OR(B1690="",C1690=""),"",B1690+MOD(C1690,1))</f>
        <v/>
      </c>
      <c r="J1690">
        <f>IF(I1690="","",IF(B1690=Dashboard!$AA$1,I1690,""))</f>
        <v/>
      </c>
    </row>
    <row r="1691">
      <c r="A1691" s="1" t="n"/>
      <c r="B1691" s="26" t="n"/>
      <c r="C1691" s="27" t="n"/>
      <c r="D1691" s="28" t="n"/>
      <c r="E1691" s="29" t="n"/>
      <c r="F1691" s="29" t="n"/>
      <c r="G1691" s="28" t="n"/>
      <c r="H1691" s="1" t="n"/>
      <c r="I1691">
        <f>IF(OR(B1691="",C1691=""),"",B1691+MOD(C1691,1))</f>
        <v/>
      </c>
      <c r="J1691">
        <f>IF(I1691="","",IF(B1691=Dashboard!$AA$1,I1691,""))</f>
        <v/>
      </c>
    </row>
    <row r="1692">
      <c r="A1692" s="1" t="n"/>
      <c r="B1692" s="26" t="n"/>
      <c r="C1692" s="27" t="n"/>
      <c r="D1692" s="28" t="n"/>
      <c r="E1692" s="29" t="n"/>
      <c r="F1692" s="29" t="n"/>
      <c r="G1692" s="28" t="n"/>
      <c r="H1692" s="1" t="n"/>
      <c r="I1692">
        <f>IF(OR(B1692="",C1692=""),"",B1692+MOD(C1692,1))</f>
        <v/>
      </c>
      <c r="J1692">
        <f>IF(I1692="","",IF(B1692=Dashboard!$AA$1,I1692,""))</f>
        <v/>
      </c>
    </row>
    <row r="1693">
      <c r="A1693" s="1" t="n"/>
      <c r="B1693" s="26" t="n"/>
      <c r="C1693" s="27" t="n"/>
      <c r="D1693" s="28" t="n"/>
      <c r="E1693" s="29" t="n"/>
      <c r="F1693" s="29" t="n"/>
      <c r="G1693" s="28" t="n"/>
      <c r="H1693" s="1" t="n"/>
      <c r="I1693">
        <f>IF(OR(B1693="",C1693=""),"",B1693+MOD(C1693,1))</f>
        <v/>
      </c>
      <c r="J1693">
        <f>IF(I1693="","",IF(B1693=Dashboard!$AA$1,I1693,""))</f>
        <v/>
      </c>
    </row>
    <row r="1694">
      <c r="A1694" s="1" t="n"/>
      <c r="B1694" s="26" t="n"/>
      <c r="C1694" s="27" t="n"/>
      <c r="D1694" s="28" t="n"/>
      <c r="E1694" s="29" t="n"/>
      <c r="F1694" s="29" t="n"/>
      <c r="G1694" s="28" t="n"/>
      <c r="H1694" s="1" t="n"/>
      <c r="I1694">
        <f>IF(OR(B1694="",C1694=""),"",B1694+MOD(C1694,1))</f>
        <v/>
      </c>
      <c r="J1694">
        <f>IF(I1694="","",IF(B1694=Dashboard!$AA$1,I1694,""))</f>
        <v/>
      </c>
    </row>
    <row r="1695">
      <c r="A1695" s="1" t="n"/>
      <c r="B1695" s="26" t="n"/>
      <c r="C1695" s="27" t="n"/>
      <c r="D1695" s="28" t="n"/>
      <c r="E1695" s="29" t="n"/>
      <c r="F1695" s="29" t="n"/>
      <c r="G1695" s="28" t="n"/>
      <c r="H1695" s="1" t="n"/>
      <c r="I1695">
        <f>IF(OR(B1695="",C1695=""),"",B1695+MOD(C1695,1))</f>
        <v/>
      </c>
      <c r="J1695">
        <f>IF(I1695="","",IF(B1695=Dashboard!$AA$1,I1695,""))</f>
        <v/>
      </c>
    </row>
    <row r="1696">
      <c r="A1696" s="1" t="n"/>
      <c r="B1696" s="26" t="n"/>
      <c r="C1696" s="27" t="n"/>
      <c r="D1696" s="28" t="n"/>
      <c r="E1696" s="29" t="n"/>
      <c r="F1696" s="29" t="n"/>
      <c r="G1696" s="28" t="n"/>
      <c r="H1696" s="1" t="n"/>
      <c r="I1696">
        <f>IF(OR(B1696="",C1696=""),"",B1696+MOD(C1696,1))</f>
        <v/>
      </c>
      <c r="J1696">
        <f>IF(I1696="","",IF(B1696=Dashboard!$AA$1,I1696,""))</f>
        <v/>
      </c>
    </row>
    <row r="1697">
      <c r="A1697" s="1" t="n"/>
      <c r="B1697" s="26" t="n"/>
      <c r="C1697" s="27" t="n"/>
      <c r="D1697" s="28" t="n"/>
      <c r="E1697" s="29" t="n"/>
      <c r="F1697" s="29" t="n"/>
      <c r="G1697" s="28" t="n"/>
      <c r="H1697" s="1" t="n"/>
      <c r="I1697">
        <f>IF(OR(B1697="",C1697=""),"",B1697+MOD(C1697,1))</f>
        <v/>
      </c>
      <c r="J1697">
        <f>IF(I1697="","",IF(B1697=Dashboard!$AA$1,I1697,""))</f>
        <v/>
      </c>
    </row>
    <row r="1698">
      <c r="A1698" s="1" t="n"/>
      <c r="B1698" s="26" t="n"/>
      <c r="C1698" s="27" t="n"/>
      <c r="D1698" s="28" t="n"/>
      <c r="E1698" s="29" t="n"/>
      <c r="F1698" s="29" t="n"/>
      <c r="G1698" s="28" t="n"/>
      <c r="H1698" s="1" t="n"/>
      <c r="I1698">
        <f>IF(OR(B1698="",C1698=""),"",B1698+MOD(C1698,1))</f>
        <v/>
      </c>
      <c r="J1698">
        <f>IF(I1698="","",IF(B1698=Dashboard!$AA$1,I1698,""))</f>
        <v/>
      </c>
    </row>
    <row r="1699">
      <c r="A1699" s="1" t="n"/>
      <c r="B1699" s="26" t="n"/>
      <c r="C1699" s="27" t="n"/>
      <c r="D1699" s="28" t="n"/>
      <c r="E1699" s="29" t="n"/>
      <c r="F1699" s="29" t="n"/>
      <c r="G1699" s="28" t="n"/>
      <c r="H1699" s="1" t="n"/>
      <c r="I1699">
        <f>IF(OR(B1699="",C1699=""),"",B1699+MOD(C1699,1))</f>
        <v/>
      </c>
      <c r="J1699">
        <f>IF(I1699="","",IF(B1699=Dashboard!$AA$1,I1699,""))</f>
        <v/>
      </c>
    </row>
    <row r="1700">
      <c r="A1700" s="1" t="n"/>
      <c r="B1700" s="26" t="n"/>
      <c r="C1700" s="27" t="n"/>
      <c r="D1700" s="28" t="n"/>
      <c r="E1700" s="29" t="n"/>
      <c r="F1700" s="29" t="n"/>
      <c r="G1700" s="28" t="n"/>
      <c r="H1700" s="1" t="n"/>
      <c r="I1700">
        <f>IF(OR(B1700="",C1700=""),"",B1700+MOD(C1700,1))</f>
        <v/>
      </c>
      <c r="J1700">
        <f>IF(I1700="","",IF(B1700=Dashboard!$AA$1,I1700,""))</f>
        <v/>
      </c>
    </row>
    <row r="1701">
      <c r="A1701" s="1" t="n"/>
      <c r="B1701" s="26" t="n"/>
      <c r="C1701" s="27" t="n"/>
      <c r="D1701" s="28" t="n"/>
      <c r="E1701" s="29" t="n"/>
      <c r="F1701" s="29" t="n"/>
      <c r="G1701" s="28" t="n"/>
      <c r="H1701" s="1" t="n"/>
      <c r="I1701">
        <f>IF(OR(B1701="",C1701=""),"",B1701+MOD(C1701,1))</f>
        <v/>
      </c>
      <c r="J1701">
        <f>IF(I1701="","",IF(B1701=Dashboard!$AA$1,I1701,""))</f>
        <v/>
      </c>
    </row>
    <row r="1702">
      <c r="A1702" s="1" t="n"/>
      <c r="B1702" s="26" t="n"/>
      <c r="C1702" s="27" t="n"/>
      <c r="D1702" s="28" t="n"/>
      <c r="E1702" s="29" t="n"/>
      <c r="F1702" s="29" t="n"/>
      <c r="G1702" s="28" t="n"/>
      <c r="H1702" s="1" t="n"/>
      <c r="I1702">
        <f>IF(OR(B1702="",C1702=""),"",B1702+MOD(C1702,1))</f>
        <v/>
      </c>
      <c r="J1702">
        <f>IF(I1702="","",IF(B1702=Dashboard!$AA$1,I1702,""))</f>
        <v/>
      </c>
    </row>
    <row r="1703">
      <c r="A1703" s="1" t="n"/>
      <c r="B1703" s="26" t="n"/>
      <c r="C1703" s="27" t="n"/>
      <c r="D1703" s="28" t="n"/>
      <c r="E1703" s="29" t="n"/>
      <c r="F1703" s="29" t="n"/>
      <c r="G1703" s="28" t="n"/>
      <c r="H1703" s="1" t="n"/>
      <c r="I1703">
        <f>IF(OR(B1703="",C1703=""),"",B1703+MOD(C1703,1))</f>
        <v/>
      </c>
      <c r="J1703">
        <f>IF(I1703="","",IF(B1703=Dashboard!$AA$1,I1703,""))</f>
        <v/>
      </c>
    </row>
    <row r="1704">
      <c r="A1704" s="1" t="n"/>
      <c r="B1704" s="26" t="n"/>
      <c r="C1704" s="27" t="n"/>
      <c r="D1704" s="28" t="n"/>
      <c r="E1704" s="29" t="n"/>
      <c r="F1704" s="29" t="n"/>
      <c r="G1704" s="28" t="n"/>
      <c r="H1704" s="1" t="n"/>
      <c r="I1704">
        <f>IF(OR(B1704="",C1704=""),"",B1704+MOD(C1704,1))</f>
        <v/>
      </c>
      <c r="J1704">
        <f>IF(I1704="","",IF(B1704=Dashboard!$AA$1,I1704,""))</f>
        <v/>
      </c>
    </row>
    <row r="1705">
      <c r="A1705" s="1" t="n"/>
      <c r="B1705" s="26" t="n"/>
      <c r="C1705" s="27" t="n"/>
      <c r="D1705" s="28" t="n"/>
      <c r="E1705" s="29" t="n"/>
      <c r="F1705" s="29" t="n"/>
      <c r="G1705" s="28" t="n"/>
      <c r="H1705" s="1" t="n"/>
      <c r="I1705">
        <f>IF(OR(B1705="",C1705=""),"",B1705+MOD(C1705,1))</f>
        <v/>
      </c>
      <c r="J1705">
        <f>IF(I1705="","",IF(B1705=Dashboard!$AA$1,I1705,""))</f>
        <v/>
      </c>
    </row>
    <row r="1706">
      <c r="A1706" s="1" t="n"/>
      <c r="B1706" s="26" t="n"/>
      <c r="C1706" s="27" t="n"/>
      <c r="D1706" s="28" t="n"/>
      <c r="E1706" s="29" t="n"/>
      <c r="F1706" s="29" t="n"/>
      <c r="G1706" s="28" t="n"/>
      <c r="H1706" s="1" t="n"/>
      <c r="I1706">
        <f>IF(OR(B1706="",C1706=""),"",B1706+MOD(C1706,1))</f>
        <v/>
      </c>
      <c r="J1706">
        <f>IF(I1706="","",IF(B1706=Dashboard!$AA$1,I1706,""))</f>
        <v/>
      </c>
    </row>
    <row r="1707">
      <c r="A1707" s="1" t="n"/>
      <c r="B1707" s="26" t="n"/>
      <c r="C1707" s="27" t="n"/>
      <c r="D1707" s="28" t="n"/>
      <c r="E1707" s="29" t="n"/>
      <c r="F1707" s="29" t="n"/>
      <c r="G1707" s="28" t="n"/>
      <c r="H1707" s="1" t="n"/>
      <c r="I1707">
        <f>IF(OR(B1707="",C1707=""),"",B1707+MOD(C1707,1))</f>
        <v/>
      </c>
      <c r="J1707">
        <f>IF(I1707="","",IF(B1707=Dashboard!$AA$1,I1707,""))</f>
        <v/>
      </c>
    </row>
    <row r="1708">
      <c r="A1708" s="1" t="n"/>
      <c r="B1708" s="26" t="n"/>
      <c r="C1708" s="27" t="n"/>
      <c r="D1708" s="28" t="n"/>
      <c r="E1708" s="29" t="n"/>
      <c r="F1708" s="29" t="n"/>
      <c r="G1708" s="28" t="n"/>
      <c r="H1708" s="1" t="n"/>
      <c r="I1708">
        <f>IF(OR(B1708="",C1708=""),"",B1708+MOD(C1708,1))</f>
        <v/>
      </c>
      <c r="J1708">
        <f>IF(I1708="","",IF(B1708=Dashboard!$AA$1,I1708,""))</f>
        <v/>
      </c>
    </row>
    <row r="1709">
      <c r="A1709" s="1" t="n"/>
      <c r="B1709" s="26" t="n"/>
      <c r="C1709" s="27" t="n"/>
      <c r="D1709" s="28" t="n"/>
      <c r="E1709" s="29" t="n"/>
      <c r="F1709" s="29" t="n"/>
      <c r="G1709" s="28" t="n"/>
      <c r="H1709" s="1" t="n"/>
      <c r="I1709">
        <f>IF(OR(B1709="",C1709=""),"",B1709+MOD(C1709,1))</f>
        <v/>
      </c>
      <c r="J1709">
        <f>IF(I1709="","",IF(B1709=Dashboard!$AA$1,I1709,""))</f>
        <v/>
      </c>
    </row>
    <row r="1710">
      <c r="A1710" s="1" t="n"/>
      <c r="B1710" s="26" t="n"/>
      <c r="C1710" s="27" t="n"/>
      <c r="D1710" s="28" t="n"/>
      <c r="E1710" s="29" t="n"/>
      <c r="F1710" s="29" t="n"/>
      <c r="G1710" s="28" t="n"/>
      <c r="H1710" s="1" t="n"/>
      <c r="I1710">
        <f>IF(OR(B1710="",C1710=""),"",B1710+MOD(C1710,1))</f>
        <v/>
      </c>
      <c r="J1710">
        <f>IF(I1710="","",IF(B1710=Dashboard!$AA$1,I1710,""))</f>
        <v/>
      </c>
    </row>
    <row r="1711">
      <c r="A1711" s="1" t="n"/>
      <c r="B1711" s="26" t="n"/>
      <c r="C1711" s="27" t="n"/>
      <c r="D1711" s="28" t="n"/>
      <c r="E1711" s="29" t="n"/>
      <c r="F1711" s="29" t="n"/>
      <c r="G1711" s="28" t="n"/>
      <c r="H1711" s="1" t="n"/>
      <c r="I1711">
        <f>IF(OR(B1711="",C1711=""),"",B1711+MOD(C1711,1))</f>
        <v/>
      </c>
      <c r="J1711">
        <f>IF(I1711="","",IF(B1711=Dashboard!$AA$1,I1711,""))</f>
        <v/>
      </c>
    </row>
    <row r="1712">
      <c r="A1712" s="1" t="n"/>
      <c r="B1712" s="26" t="n"/>
      <c r="C1712" s="27" t="n"/>
      <c r="D1712" s="28" t="n"/>
      <c r="E1712" s="29" t="n"/>
      <c r="F1712" s="29" t="n"/>
      <c r="G1712" s="28" t="n"/>
      <c r="H1712" s="1" t="n"/>
      <c r="I1712">
        <f>IF(OR(B1712="",C1712=""),"",B1712+MOD(C1712,1))</f>
        <v/>
      </c>
      <c r="J1712">
        <f>IF(I1712="","",IF(B1712=Dashboard!$AA$1,I1712,""))</f>
        <v/>
      </c>
    </row>
    <row r="1713">
      <c r="A1713" s="1" t="n"/>
      <c r="B1713" s="26" t="n"/>
      <c r="C1713" s="27" t="n"/>
      <c r="D1713" s="28" t="n"/>
      <c r="E1713" s="29" t="n"/>
      <c r="F1713" s="29" t="n"/>
      <c r="G1713" s="28" t="n"/>
      <c r="H1713" s="1" t="n"/>
      <c r="I1713">
        <f>IF(OR(B1713="",C1713=""),"",B1713+MOD(C1713,1))</f>
        <v/>
      </c>
      <c r="J1713">
        <f>IF(I1713="","",IF(B1713=Dashboard!$AA$1,I1713,""))</f>
        <v/>
      </c>
    </row>
    <row r="1714">
      <c r="A1714" s="1" t="n"/>
      <c r="B1714" s="26" t="n"/>
      <c r="C1714" s="27" t="n"/>
      <c r="D1714" s="28" t="n"/>
      <c r="E1714" s="29" t="n"/>
      <c r="F1714" s="29" t="n"/>
      <c r="G1714" s="28" t="n"/>
      <c r="H1714" s="1" t="n"/>
      <c r="I1714">
        <f>IF(OR(B1714="",C1714=""),"",B1714+MOD(C1714,1))</f>
        <v/>
      </c>
      <c r="J1714">
        <f>IF(I1714="","",IF(B1714=Dashboard!$AA$1,I1714,""))</f>
        <v/>
      </c>
    </row>
    <row r="1715">
      <c r="A1715" s="1" t="n"/>
      <c r="B1715" s="26" t="n"/>
      <c r="C1715" s="27" t="n"/>
      <c r="D1715" s="28" t="n"/>
      <c r="E1715" s="29" t="n"/>
      <c r="F1715" s="29" t="n"/>
      <c r="G1715" s="28" t="n"/>
      <c r="H1715" s="1" t="n"/>
      <c r="I1715">
        <f>IF(OR(B1715="",C1715=""),"",B1715+MOD(C1715,1))</f>
        <v/>
      </c>
      <c r="J1715">
        <f>IF(I1715="","",IF(B1715=Dashboard!$AA$1,I1715,""))</f>
        <v/>
      </c>
    </row>
    <row r="1716">
      <c r="A1716" s="1" t="n"/>
      <c r="B1716" s="26" t="n"/>
      <c r="C1716" s="27" t="n"/>
      <c r="D1716" s="28" t="n"/>
      <c r="E1716" s="29" t="n"/>
      <c r="F1716" s="29" t="n"/>
      <c r="G1716" s="28" t="n"/>
      <c r="H1716" s="1" t="n"/>
      <c r="I1716">
        <f>IF(OR(B1716="",C1716=""),"",B1716+MOD(C1716,1))</f>
        <v/>
      </c>
      <c r="J1716">
        <f>IF(I1716="","",IF(B1716=Dashboard!$AA$1,I1716,""))</f>
        <v/>
      </c>
    </row>
    <row r="1717">
      <c r="A1717" s="1" t="n"/>
      <c r="B1717" s="26" t="n"/>
      <c r="C1717" s="27" t="n"/>
      <c r="D1717" s="28" t="n"/>
      <c r="E1717" s="29" t="n"/>
      <c r="F1717" s="29" t="n"/>
      <c r="G1717" s="28" t="n"/>
      <c r="H1717" s="1" t="n"/>
      <c r="I1717">
        <f>IF(OR(B1717="",C1717=""),"",B1717+MOD(C1717,1))</f>
        <v/>
      </c>
      <c r="J1717">
        <f>IF(I1717="","",IF(B1717=Dashboard!$AA$1,I1717,""))</f>
        <v/>
      </c>
    </row>
    <row r="1718">
      <c r="A1718" s="1" t="n"/>
      <c r="B1718" s="26" t="n"/>
      <c r="C1718" s="27" t="n"/>
      <c r="D1718" s="28" t="n"/>
      <c r="E1718" s="29" t="n"/>
      <c r="F1718" s="29" t="n"/>
      <c r="G1718" s="28" t="n"/>
      <c r="H1718" s="1" t="n"/>
      <c r="I1718">
        <f>IF(OR(B1718="",C1718=""),"",B1718+MOD(C1718,1))</f>
        <v/>
      </c>
      <c r="J1718">
        <f>IF(I1718="","",IF(B1718=Dashboard!$AA$1,I1718,""))</f>
        <v/>
      </c>
    </row>
    <row r="1719">
      <c r="A1719" s="1" t="n"/>
      <c r="B1719" s="26" t="n"/>
      <c r="C1719" s="27" t="n"/>
      <c r="D1719" s="28" t="n"/>
      <c r="E1719" s="29" t="n"/>
      <c r="F1719" s="29" t="n"/>
      <c r="G1719" s="28" t="n"/>
      <c r="H1719" s="1" t="n"/>
      <c r="I1719">
        <f>IF(OR(B1719="",C1719=""),"",B1719+MOD(C1719,1))</f>
        <v/>
      </c>
      <c r="J1719">
        <f>IF(I1719="","",IF(B1719=Dashboard!$AA$1,I1719,""))</f>
        <v/>
      </c>
    </row>
    <row r="1720">
      <c r="A1720" s="1" t="n"/>
      <c r="B1720" s="26" t="n"/>
      <c r="C1720" s="27" t="n"/>
      <c r="D1720" s="28" t="n"/>
      <c r="E1720" s="29" t="n"/>
      <c r="F1720" s="29" t="n"/>
      <c r="G1720" s="28" t="n"/>
      <c r="H1720" s="1" t="n"/>
      <c r="I1720">
        <f>IF(OR(B1720="",C1720=""),"",B1720+MOD(C1720,1))</f>
        <v/>
      </c>
      <c r="J1720">
        <f>IF(I1720="","",IF(B1720=Dashboard!$AA$1,I1720,""))</f>
        <v/>
      </c>
    </row>
    <row r="1721">
      <c r="A1721" s="1" t="n"/>
      <c r="B1721" s="26" t="n"/>
      <c r="C1721" s="27" t="n"/>
      <c r="D1721" s="28" t="n"/>
      <c r="E1721" s="29" t="n"/>
      <c r="F1721" s="29" t="n"/>
      <c r="G1721" s="28" t="n"/>
      <c r="H1721" s="1" t="n"/>
      <c r="I1721">
        <f>IF(OR(B1721="",C1721=""),"",B1721+MOD(C1721,1))</f>
        <v/>
      </c>
      <c r="J1721">
        <f>IF(I1721="","",IF(B1721=Dashboard!$AA$1,I1721,""))</f>
        <v/>
      </c>
    </row>
    <row r="1722">
      <c r="A1722" s="1" t="n"/>
      <c r="B1722" s="26" t="n"/>
      <c r="C1722" s="27" t="n"/>
      <c r="D1722" s="28" t="n"/>
      <c r="E1722" s="29" t="n"/>
      <c r="F1722" s="29" t="n"/>
      <c r="G1722" s="28" t="n"/>
      <c r="H1722" s="1" t="n"/>
      <c r="I1722">
        <f>IF(OR(B1722="",C1722=""),"",B1722+MOD(C1722,1))</f>
        <v/>
      </c>
      <c r="J1722">
        <f>IF(I1722="","",IF(B1722=Dashboard!$AA$1,I1722,""))</f>
        <v/>
      </c>
    </row>
    <row r="1723">
      <c r="A1723" s="1" t="n"/>
      <c r="B1723" s="26" t="n"/>
      <c r="C1723" s="27" t="n"/>
      <c r="D1723" s="28" t="n"/>
      <c r="E1723" s="29" t="n"/>
      <c r="F1723" s="29" t="n"/>
      <c r="G1723" s="28" t="n"/>
      <c r="H1723" s="1" t="n"/>
      <c r="I1723">
        <f>IF(OR(B1723="",C1723=""),"",B1723+MOD(C1723,1))</f>
        <v/>
      </c>
      <c r="J1723">
        <f>IF(I1723="","",IF(B1723=Dashboard!$AA$1,I1723,""))</f>
        <v/>
      </c>
    </row>
    <row r="1724">
      <c r="A1724" s="1" t="n"/>
      <c r="B1724" s="26" t="n"/>
      <c r="C1724" s="27" t="n"/>
      <c r="D1724" s="28" t="n"/>
      <c r="E1724" s="29" t="n"/>
      <c r="F1724" s="29" t="n"/>
      <c r="G1724" s="28" t="n"/>
      <c r="H1724" s="1" t="n"/>
      <c r="I1724">
        <f>IF(OR(B1724="",C1724=""),"",B1724+MOD(C1724,1))</f>
        <v/>
      </c>
      <c r="J1724">
        <f>IF(I1724="","",IF(B1724=Dashboard!$AA$1,I1724,""))</f>
        <v/>
      </c>
    </row>
    <row r="1725">
      <c r="A1725" s="1" t="n"/>
      <c r="B1725" s="26" t="n"/>
      <c r="C1725" s="27" t="n"/>
      <c r="D1725" s="28" t="n"/>
      <c r="E1725" s="29" t="n"/>
      <c r="F1725" s="29" t="n"/>
      <c r="G1725" s="28" t="n"/>
      <c r="H1725" s="1" t="n"/>
      <c r="I1725">
        <f>IF(OR(B1725="",C1725=""),"",B1725+MOD(C1725,1))</f>
        <v/>
      </c>
      <c r="J1725">
        <f>IF(I1725="","",IF(B1725=Dashboard!$AA$1,I1725,""))</f>
        <v/>
      </c>
    </row>
    <row r="1726">
      <c r="A1726" s="1" t="n"/>
      <c r="B1726" s="26" t="n"/>
      <c r="C1726" s="27" t="n"/>
      <c r="D1726" s="28" t="n"/>
      <c r="E1726" s="29" t="n"/>
      <c r="F1726" s="29" t="n"/>
      <c r="G1726" s="28" t="n"/>
      <c r="H1726" s="1" t="n"/>
      <c r="I1726">
        <f>IF(OR(B1726="",C1726=""),"",B1726+MOD(C1726,1))</f>
        <v/>
      </c>
      <c r="J1726">
        <f>IF(I1726="","",IF(B1726=Dashboard!$AA$1,I1726,""))</f>
        <v/>
      </c>
    </row>
    <row r="1727">
      <c r="A1727" s="1" t="n"/>
      <c r="B1727" s="26" t="n"/>
      <c r="C1727" s="27" t="n"/>
      <c r="D1727" s="28" t="n"/>
      <c r="E1727" s="29" t="n"/>
      <c r="F1727" s="29" t="n"/>
      <c r="G1727" s="28" t="n"/>
      <c r="H1727" s="1" t="n"/>
      <c r="I1727">
        <f>IF(OR(B1727="",C1727=""),"",B1727+MOD(C1727,1))</f>
        <v/>
      </c>
      <c r="J1727">
        <f>IF(I1727="","",IF(B1727=Dashboard!$AA$1,I1727,""))</f>
        <v/>
      </c>
    </row>
    <row r="1728">
      <c r="A1728" s="1" t="n"/>
      <c r="B1728" s="26" t="n"/>
      <c r="C1728" s="27" t="n"/>
      <c r="D1728" s="28" t="n"/>
      <c r="E1728" s="29" t="n"/>
      <c r="F1728" s="29" t="n"/>
      <c r="G1728" s="28" t="n"/>
      <c r="H1728" s="1" t="n"/>
      <c r="I1728">
        <f>IF(OR(B1728="",C1728=""),"",B1728+MOD(C1728,1))</f>
        <v/>
      </c>
      <c r="J1728">
        <f>IF(I1728="","",IF(B1728=Dashboard!$AA$1,I1728,""))</f>
        <v/>
      </c>
    </row>
    <row r="1729">
      <c r="A1729" s="1" t="n"/>
      <c r="B1729" s="26" t="n"/>
      <c r="C1729" s="27" t="n"/>
      <c r="D1729" s="28" t="n"/>
      <c r="E1729" s="29" t="n"/>
      <c r="F1729" s="29" t="n"/>
      <c r="G1729" s="28" t="n"/>
      <c r="H1729" s="1" t="n"/>
      <c r="I1729">
        <f>IF(OR(B1729="",C1729=""),"",B1729+MOD(C1729,1))</f>
        <v/>
      </c>
      <c r="J1729">
        <f>IF(I1729="","",IF(B1729=Dashboard!$AA$1,I1729,""))</f>
        <v/>
      </c>
    </row>
    <row r="1730">
      <c r="A1730" s="1" t="n"/>
      <c r="B1730" s="26" t="n"/>
      <c r="C1730" s="27" t="n"/>
      <c r="D1730" s="28" t="n"/>
      <c r="E1730" s="29" t="n"/>
      <c r="F1730" s="29" t="n"/>
      <c r="G1730" s="28" t="n"/>
      <c r="H1730" s="1" t="n"/>
      <c r="I1730">
        <f>IF(OR(B1730="",C1730=""),"",B1730+MOD(C1730,1))</f>
        <v/>
      </c>
      <c r="J1730">
        <f>IF(I1730="","",IF(B1730=Dashboard!$AA$1,I1730,""))</f>
        <v/>
      </c>
    </row>
    <row r="1731">
      <c r="A1731" s="1" t="n"/>
      <c r="B1731" s="26" t="n"/>
      <c r="C1731" s="27" t="n"/>
      <c r="D1731" s="28" t="n"/>
      <c r="E1731" s="29" t="n"/>
      <c r="F1731" s="29" t="n"/>
      <c r="G1731" s="28" t="n"/>
      <c r="H1731" s="1" t="n"/>
      <c r="I1731">
        <f>IF(OR(B1731="",C1731=""),"",B1731+MOD(C1731,1))</f>
        <v/>
      </c>
      <c r="J1731">
        <f>IF(I1731="","",IF(B1731=Dashboard!$AA$1,I1731,""))</f>
        <v/>
      </c>
    </row>
    <row r="1732">
      <c r="A1732" s="1" t="n"/>
      <c r="B1732" s="26" t="n"/>
      <c r="C1732" s="27" t="n"/>
      <c r="D1732" s="28" t="n"/>
      <c r="E1732" s="29" t="n"/>
      <c r="F1732" s="29" t="n"/>
      <c r="G1732" s="28" t="n"/>
      <c r="H1732" s="1" t="n"/>
      <c r="I1732">
        <f>IF(OR(B1732="",C1732=""),"",B1732+MOD(C1732,1))</f>
        <v/>
      </c>
      <c r="J1732">
        <f>IF(I1732="","",IF(B1732=Dashboard!$AA$1,I1732,""))</f>
        <v/>
      </c>
    </row>
    <row r="1733">
      <c r="A1733" s="1" t="n"/>
      <c r="B1733" s="26" t="n"/>
      <c r="C1733" s="27" t="n"/>
      <c r="D1733" s="28" t="n"/>
      <c r="E1733" s="29" t="n"/>
      <c r="F1733" s="29" t="n"/>
      <c r="G1733" s="28" t="n"/>
      <c r="H1733" s="1" t="n"/>
      <c r="I1733">
        <f>IF(OR(B1733="",C1733=""),"",B1733+MOD(C1733,1))</f>
        <v/>
      </c>
      <c r="J1733">
        <f>IF(I1733="","",IF(B1733=Dashboard!$AA$1,I1733,""))</f>
        <v/>
      </c>
    </row>
    <row r="1734">
      <c r="A1734" s="1" t="n"/>
      <c r="B1734" s="26" t="n"/>
      <c r="C1734" s="27" t="n"/>
      <c r="D1734" s="28" t="n"/>
      <c r="E1734" s="29" t="n"/>
      <c r="F1734" s="29" t="n"/>
      <c r="G1734" s="28" t="n"/>
      <c r="H1734" s="1" t="n"/>
      <c r="I1734">
        <f>IF(OR(B1734="",C1734=""),"",B1734+MOD(C1734,1))</f>
        <v/>
      </c>
      <c r="J1734">
        <f>IF(I1734="","",IF(B1734=Dashboard!$AA$1,I1734,""))</f>
        <v/>
      </c>
    </row>
    <row r="1735">
      <c r="A1735" s="1" t="n"/>
      <c r="B1735" s="26" t="n"/>
      <c r="C1735" s="27" t="n"/>
      <c r="D1735" s="28" t="n"/>
      <c r="E1735" s="29" t="n"/>
      <c r="F1735" s="29" t="n"/>
      <c r="G1735" s="28" t="n"/>
      <c r="H1735" s="1" t="n"/>
      <c r="I1735">
        <f>IF(OR(B1735="",C1735=""),"",B1735+MOD(C1735,1))</f>
        <v/>
      </c>
      <c r="J1735">
        <f>IF(I1735="","",IF(B1735=Dashboard!$AA$1,I1735,""))</f>
        <v/>
      </c>
    </row>
    <row r="1736">
      <c r="A1736" s="1" t="n"/>
      <c r="B1736" s="26" t="n"/>
      <c r="C1736" s="27" t="n"/>
      <c r="D1736" s="28" t="n"/>
      <c r="E1736" s="29" t="n"/>
      <c r="F1736" s="29" t="n"/>
      <c r="G1736" s="28" t="n"/>
      <c r="H1736" s="1" t="n"/>
      <c r="I1736">
        <f>IF(OR(B1736="",C1736=""),"",B1736+MOD(C1736,1))</f>
        <v/>
      </c>
      <c r="J1736">
        <f>IF(I1736="","",IF(B1736=Dashboard!$AA$1,I1736,""))</f>
        <v/>
      </c>
    </row>
    <row r="1737">
      <c r="A1737" s="1" t="n"/>
      <c r="B1737" s="26" t="n"/>
      <c r="C1737" s="27" t="n"/>
      <c r="D1737" s="28" t="n"/>
      <c r="E1737" s="29" t="n"/>
      <c r="F1737" s="29" t="n"/>
      <c r="G1737" s="28" t="n"/>
      <c r="H1737" s="1" t="n"/>
      <c r="I1737">
        <f>IF(OR(B1737="",C1737=""),"",B1737+MOD(C1737,1))</f>
        <v/>
      </c>
      <c r="J1737">
        <f>IF(I1737="","",IF(B1737=Dashboard!$AA$1,I1737,""))</f>
        <v/>
      </c>
    </row>
    <row r="1738">
      <c r="A1738" s="1" t="n"/>
      <c r="B1738" s="26" t="n"/>
      <c r="C1738" s="27" t="n"/>
      <c r="D1738" s="28" t="n"/>
      <c r="E1738" s="29" t="n"/>
      <c r="F1738" s="29" t="n"/>
      <c r="G1738" s="28" t="n"/>
      <c r="H1738" s="1" t="n"/>
      <c r="I1738">
        <f>IF(OR(B1738="",C1738=""),"",B1738+MOD(C1738,1))</f>
        <v/>
      </c>
      <c r="J1738">
        <f>IF(I1738="","",IF(B1738=Dashboard!$AA$1,I1738,""))</f>
        <v/>
      </c>
    </row>
    <row r="1739">
      <c r="A1739" s="1" t="n"/>
      <c r="B1739" s="26" t="n"/>
      <c r="C1739" s="27" t="n"/>
      <c r="D1739" s="28" t="n"/>
      <c r="E1739" s="29" t="n"/>
      <c r="F1739" s="29" t="n"/>
      <c r="G1739" s="28" t="n"/>
      <c r="H1739" s="1" t="n"/>
      <c r="I1739">
        <f>IF(OR(B1739="",C1739=""),"",B1739+MOD(C1739,1))</f>
        <v/>
      </c>
      <c r="J1739">
        <f>IF(I1739="","",IF(B1739=Dashboard!$AA$1,I1739,""))</f>
        <v/>
      </c>
    </row>
    <row r="1740">
      <c r="A1740" s="1" t="n"/>
      <c r="B1740" s="26" t="n"/>
      <c r="C1740" s="27" t="n"/>
      <c r="D1740" s="28" t="n"/>
      <c r="E1740" s="29" t="n"/>
      <c r="F1740" s="29" t="n"/>
      <c r="G1740" s="28" t="n"/>
      <c r="H1740" s="1" t="n"/>
      <c r="I1740">
        <f>IF(OR(B1740="",C1740=""),"",B1740+MOD(C1740,1))</f>
        <v/>
      </c>
      <c r="J1740">
        <f>IF(I1740="","",IF(B1740=Dashboard!$AA$1,I1740,""))</f>
        <v/>
      </c>
    </row>
    <row r="1741">
      <c r="A1741" s="1" t="n"/>
      <c r="B1741" s="26" t="n"/>
      <c r="C1741" s="27" t="n"/>
      <c r="D1741" s="28" t="n"/>
      <c r="E1741" s="29" t="n"/>
      <c r="F1741" s="29" t="n"/>
      <c r="G1741" s="28" t="n"/>
      <c r="H1741" s="1" t="n"/>
      <c r="I1741">
        <f>IF(OR(B1741="",C1741=""),"",B1741+MOD(C1741,1))</f>
        <v/>
      </c>
      <c r="J1741">
        <f>IF(I1741="","",IF(B1741=Dashboard!$AA$1,I1741,""))</f>
        <v/>
      </c>
    </row>
    <row r="1742">
      <c r="A1742" s="1" t="n"/>
      <c r="B1742" s="26" t="n"/>
      <c r="C1742" s="27" t="n"/>
      <c r="D1742" s="28" t="n"/>
      <c r="E1742" s="29" t="n"/>
      <c r="F1742" s="29" t="n"/>
      <c r="G1742" s="28" t="n"/>
      <c r="H1742" s="1" t="n"/>
      <c r="I1742">
        <f>IF(OR(B1742="",C1742=""),"",B1742+MOD(C1742,1))</f>
        <v/>
      </c>
      <c r="J1742">
        <f>IF(I1742="","",IF(B1742=Dashboard!$AA$1,I1742,""))</f>
        <v/>
      </c>
    </row>
    <row r="1743">
      <c r="A1743" s="1" t="n"/>
      <c r="B1743" s="26" t="n"/>
      <c r="C1743" s="27" t="n"/>
      <c r="D1743" s="28" t="n"/>
      <c r="E1743" s="29" t="n"/>
      <c r="F1743" s="29" t="n"/>
      <c r="G1743" s="28" t="n"/>
      <c r="H1743" s="1" t="n"/>
      <c r="I1743">
        <f>IF(OR(B1743="",C1743=""),"",B1743+MOD(C1743,1))</f>
        <v/>
      </c>
      <c r="J1743">
        <f>IF(I1743="","",IF(B1743=Dashboard!$AA$1,I1743,""))</f>
        <v/>
      </c>
    </row>
    <row r="1744">
      <c r="A1744" s="1" t="n"/>
      <c r="B1744" s="26" t="n"/>
      <c r="C1744" s="27" t="n"/>
      <c r="D1744" s="28" t="n"/>
      <c r="E1744" s="29" t="n"/>
      <c r="F1744" s="29" t="n"/>
      <c r="G1744" s="28" t="n"/>
      <c r="H1744" s="1" t="n"/>
      <c r="I1744">
        <f>IF(OR(B1744="",C1744=""),"",B1744+MOD(C1744,1))</f>
        <v/>
      </c>
      <c r="J1744">
        <f>IF(I1744="","",IF(B1744=Dashboard!$AA$1,I1744,""))</f>
        <v/>
      </c>
    </row>
    <row r="1745">
      <c r="A1745" s="1" t="n"/>
      <c r="B1745" s="26" t="n"/>
      <c r="C1745" s="27" t="n"/>
      <c r="D1745" s="28" t="n"/>
      <c r="E1745" s="29" t="n"/>
      <c r="F1745" s="29" t="n"/>
      <c r="G1745" s="28" t="n"/>
      <c r="H1745" s="1" t="n"/>
      <c r="I1745">
        <f>IF(OR(B1745="",C1745=""),"",B1745+MOD(C1745,1))</f>
        <v/>
      </c>
      <c r="J1745">
        <f>IF(I1745="","",IF(B1745=Dashboard!$AA$1,I1745,""))</f>
        <v/>
      </c>
    </row>
    <row r="1746">
      <c r="A1746" s="1" t="n"/>
      <c r="B1746" s="26" t="n"/>
      <c r="C1746" s="27" t="n"/>
      <c r="D1746" s="28" t="n"/>
      <c r="E1746" s="29" t="n"/>
      <c r="F1746" s="29" t="n"/>
      <c r="G1746" s="28" t="n"/>
      <c r="H1746" s="1" t="n"/>
      <c r="I1746">
        <f>IF(OR(B1746="",C1746=""),"",B1746+MOD(C1746,1))</f>
        <v/>
      </c>
      <c r="J1746">
        <f>IF(I1746="","",IF(B1746=Dashboard!$AA$1,I1746,""))</f>
        <v/>
      </c>
    </row>
    <row r="1747">
      <c r="A1747" s="1" t="n"/>
      <c r="B1747" s="26" t="n"/>
      <c r="C1747" s="27" t="n"/>
      <c r="D1747" s="28" t="n"/>
      <c r="E1747" s="29" t="n"/>
      <c r="F1747" s="29" t="n"/>
      <c r="G1747" s="28" t="n"/>
      <c r="H1747" s="1" t="n"/>
      <c r="I1747">
        <f>IF(OR(B1747="",C1747=""),"",B1747+MOD(C1747,1))</f>
        <v/>
      </c>
      <c r="J1747">
        <f>IF(I1747="","",IF(B1747=Dashboard!$AA$1,I1747,""))</f>
        <v/>
      </c>
    </row>
    <row r="1748">
      <c r="A1748" s="1" t="n"/>
      <c r="B1748" s="26" t="n"/>
      <c r="C1748" s="27" t="n"/>
      <c r="D1748" s="28" t="n"/>
      <c r="E1748" s="29" t="n"/>
      <c r="F1748" s="29" t="n"/>
      <c r="G1748" s="28" t="n"/>
      <c r="H1748" s="1" t="n"/>
      <c r="I1748">
        <f>IF(OR(B1748="",C1748=""),"",B1748+MOD(C1748,1))</f>
        <v/>
      </c>
      <c r="J1748">
        <f>IF(I1748="","",IF(B1748=Dashboard!$AA$1,I1748,""))</f>
        <v/>
      </c>
    </row>
    <row r="1749">
      <c r="A1749" s="1" t="n"/>
      <c r="B1749" s="26" t="n"/>
      <c r="C1749" s="27" t="n"/>
      <c r="D1749" s="28" t="n"/>
      <c r="E1749" s="29" t="n"/>
      <c r="F1749" s="29" t="n"/>
      <c r="G1749" s="28" t="n"/>
      <c r="H1749" s="1" t="n"/>
      <c r="I1749">
        <f>IF(OR(B1749="",C1749=""),"",B1749+MOD(C1749,1))</f>
        <v/>
      </c>
      <c r="J1749">
        <f>IF(I1749="","",IF(B1749=Dashboard!$AA$1,I1749,""))</f>
        <v/>
      </c>
    </row>
    <row r="1750">
      <c r="A1750" s="1" t="n"/>
      <c r="B1750" s="26" t="n"/>
      <c r="C1750" s="27" t="n"/>
      <c r="D1750" s="28" t="n"/>
      <c r="E1750" s="29" t="n"/>
      <c r="F1750" s="29" t="n"/>
      <c r="G1750" s="28" t="n"/>
      <c r="H1750" s="1" t="n"/>
      <c r="I1750">
        <f>IF(OR(B1750="",C1750=""),"",B1750+MOD(C1750,1))</f>
        <v/>
      </c>
      <c r="J1750">
        <f>IF(I1750="","",IF(B1750=Dashboard!$AA$1,I1750,""))</f>
        <v/>
      </c>
    </row>
    <row r="1751">
      <c r="A1751" s="1" t="n"/>
      <c r="B1751" s="26" t="n"/>
      <c r="C1751" s="27" t="n"/>
      <c r="D1751" s="28" t="n"/>
      <c r="E1751" s="29" t="n"/>
      <c r="F1751" s="29" t="n"/>
      <c r="G1751" s="28" t="n"/>
      <c r="H1751" s="1" t="n"/>
      <c r="I1751">
        <f>IF(OR(B1751="",C1751=""),"",B1751+MOD(C1751,1))</f>
        <v/>
      </c>
      <c r="J1751">
        <f>IF(I1751="","",IF(B1751=Dashboard!$AA$1,I1751,""))</f>
        <v/>
      </c>
    </row>
    <row r="1752">
      <c r="A1752" s="1" t="n"/>
      <c r="B1752" s="26" t="n"/>
      <c r="C1752" s="27" t="n"/>
      <c r="D1752" s="28" t="n"/>
      <c r="E1752" s="29" t="n"/>
      <c r="F1752" s="29" t="n"/>
      <c r="G1752" s="28" t="n"/>
      <c r="H1752" s="1" t="n"/>
      <c r="I1752">
        <f>IF(OR(B1752="",C1752=""),"",B1752+MOD(C1752,1))</f>
        <v/>
      </c>
      <c r="J1752">
        <f>IF(I1752="","",IF(B1752=Dashboard!$AA$1,I1752,""))</f>
        <v/>
      </c>
    </row>
    <row r="1753">
      <c r="A1753" s="1" t="n"/>
      <c r="B1753" s="26" t="n"/>
      <c r="C1753" s="27" t="n"/>
      <c r="D1753" s="28" t="n"/>
      <c r="E1753" s="29" t="n"/>
      <c r="F1753" s="29" t="n"/>
      <c r="G1753" s="28" t="n"/>
      <c r="H1753" s="1" t="n"/>
      <c r="I1753">
        <f>IF(OR(B1753="",C1753=""),"",B1753+MOD(C1753,1))</f>
        <v/>
      </c>
      <c r="J1753">
        <f>IF(I1753="","",IF(B1753=Dashboard!$AA$1,I1753,""))</f>
        <v/>
      </c>
    </row>
    <row r="1754">
      <c r="A1754" s="1" t="n"/>
      <c r="B1754" s="26" t="n"/>
      <c r="C1754" s="27" t="n"/>
      <c r="D1754" s="28" t="n"/>
      <c r="E1754" s="29" t="n"/>
      <c r="F1754" s="29" t="n"/>
      <c r="G1754" s="28" t="n"/>
      <c r="H1754" s="1" t="n"/>
      <c r="I1754">
        <f>IF(OR(B1754="",C1754=""),"",B1754+MOD(C1754,1))</f>
        <v/>
      </c>
      <c r="J1754">
        <f>IF(I1754="","",IF(B1754=Dashboard!$AA$1,I1754,""))</f>
        <v/>
      </c>
    </row>
    <row r="1755">
      <c r="A1755" s="1" t="n"/>
      <c r="B1755" s="26" t="n"/>
      <c r="C1755" s="27" t="n"/>
      <c r="D1755" s="28" t="n"/>
      <c r="E1755" s="29" t="n"/>
      <c r="F1755" s="29" t="n"/>
      <c r="G1755" s="28" t="n"/>
      <c r="H1755" s="1" t="n"/>
      <c r="I1755">
        <f>IF(OR(B1755="",C1755=""),"",B1755+MOD(C1755,1))</f>
        <v/>
      </c>
      <c r="J1755">
        <f>IF(I1755="","",IF(B1755=Dashboard!$AA$1,I1755,""))</f>
        <v/>
      </c>
    </row>
    <row r="1756">
      <c r="A1756" s="1" t="n"/>
      <c r="B1756" s="26" t="n"/>
      <c r="C1756" s="27" t="n"/>
      <c r="D1756" s="28" t="n"/>
      <c r="E1756" s="29" t="n"/>
      <c r="F1756" s="29" t="n"/>
      <c r="G1756" s="28" t="n"/>
      <c r="H1756" s="1" t="n"/>
      <c r="I1756">
        <f>IF(OR(B1756="",C1756=""),"",B1756+MOD(C1756,1))</f>
        <v/>
      </c>
      <c r="J1756">
        <f>IF(I1756="","",IF(B1756=Dashboard!$AA$1,I1756,""))</f>
        <v/>
      </c>
    </row>
    <row r="1757">
      <c r="A1757" s="1" t="n"/>
      <c r="B1757" s="26" t="n"/>
      <c r="C1757" s="27" t="n"/>
      <c r="D1757" s="28" t="n"/>
      <c r="E1757" s="29" t="n"/>
      <c r="F1757" s="29" t="n"/>
      <c r="G1757" s="28" t="n"/>
      <c r="H1757" s="1" t="n"/>
      <c r="I1757">
        <f>IF(OR(B1757="",C1757=""),"",B1757+MOD(C1757,1))</f>
        <v/>
      </c>
      <c r="J1757">
        <f>IF(I1757="","",IF(B1757=Dashboard!$AA$1,I1757,""))</f>
        <v/>
      </c>
    </row>
    <row r="1758">
      <c r="A1758" s="1" t="n"/>
      <c r="B1758" s="26" t="n"/>
      <c r="C1758" s="27" t="n"/>
      <c r="D1758" s="28" t="n"/>
      <c r="E1758" s="29" t="n"/>
      <c r="F1758" s="29" t="n"/>
      <c r="G1758" s="28" t="n"/>
      <c r="H1758" s="1" t="n"/>
      <c r="I1758">
        <f>IF(OR(B1758="",C1758=""),"",B1758+MOD(C1758,1))</f>
        <v/>
      </c>
      <c r="J1758">
        <f>IF(I1758="","",IF(B1758=Dashboard!$AA$1,I1758,""))</f>
        <v/>
      </c>
    </row>
    <row r="1759">
      <c r="A1759" s="1" t="n"/>
      <c r="B1759" s="26" t="n"/>
      <c r="C1759" s="27" t="n"/>
      <c r="D1759" s="28" t="n"/>
      <c r="E1759" s="29" t="n"/>
      <c r="F1759" s="29" t="n"/>
      <c r="G1759" s="28" t="n"/>
      <c r="H1759" s="1" t="n"/>
      <c r="I1759">
        <f>IF(OR(B1759="",C1759=""),"",B1759+MOD(C1759,1))</f>
        <v/>
      </c>
      <c r="J1759">
        <f>IF(I1759="","",IF(B1759=Dashboard!$AA$1,I1759,""))</f>
        <v/>
      </c>
    </row>
    <row r="1760">
      <c r="A1760" s="1" t="n"/>
      <c r="B1760" s="26" t="n"/>
      <c r="C1760" s="27" t="n"/>
      <c r="D1760" s="28" t="n"/>
      <c r="E1760" s="29" t="n"/>
      <c r="F1760" s="29" t="n"/>
      <c r="G1760" s="28" t="n"/>
      <c r="H1760" s="1" t="n"/>
      <c r="I1760">
        <f>IF(OR(B1760="",C1760=""),"",B1760+MOD(C1760,1))</f>
        <v/>
      </c>
      <c r="J1760">
        <f>IF(I1760="","",IF(B1760=Dashboard!$AA$1,I1760,""))</f>
        <v/>
      </c>
    </row>
    <row r="1761">
      <c r="A1761" s="1" t="n"/>
      <c r="B1761" s="26" t="n"/>
      <c r="C1761" s="27" t="n"/>
      <c r="D1761" s="28" t="n"/>
      <c r="E1761" s="29" t="n"/>
      <c r="F1761" s="29" t="n"/>
      <c r="G1761" s="28" t="n"/>
      <c r="H1761" s="1" t="n"/>
      <c r="I1761">
        <f>IF(OR(B1761="",C1761=""),"",B1761+MOD(C1761,1))</f>
        <v/>
      </c>
      <c r="J1761">
        <f>IF(I1761="","",IF(B1761=Dashboard!$AA$1,I1761,""))</f>
        <v/>
      </c>
    </row>
    <row r="1762">
      <c r="A1762" s="1" t="n"/>
      <c r="B1762" s="26" t="n"/>
      <c r="C1762" s="27" t="n"/>
      <c r="D1762" s="28" t="n"/>
      <c r="E1762" s="29" t="n"/>
      <c r="F1762" s="29" t="n"/>
      <c r="G1762" s="28" t="n"/>
      <c r="H1762" s="1" t="n"/>
      <c r="I1762">
        <f>IF(OR(B1762="",C1762=""),"",B1762+MOD(C1762,1))</f>
        <v/>
      </c>
      <c r="J1762">
        <f>IF(I1762="","",IF(B1762=Dashboard!$AA$1,I1762,""))</f>
        <v/>
      </c>
    </row>
    <row r="1763">
      <c r="A1763" s="1" t="n"/>
      <c r="B1763" s="26" t="n"/>
      <c r="C1763" s="27" t="n"/>
      <c r="D1763" s="28" t="n"/>
      <c r="E1763" s="29" t="n"/>
      <c r="F1763" s="29" t="n"/>
      <c r="G1763" s="28" t="n"/>
      <c r="H1763" s="1" t="n"/>
      <c r="I1763">
        <f>IF(OR(B1763="",C1763=""),"",B1763+MOD(C1763,1))</f>
        <v/>
      </c>
      <c r="J1763">
        <f>IF(I1763="","",IF(B1763=Dashboard!$AA$1,I1763,""))</f>
        <v/>
      </c>
    </row>
    <row r="1764">
      <c r="A1764" s="1" t="n"/>
      <c r="B1764" s="26" t="n"/>
      <c r="C1764" s="27" t="n"/>
      <c r="D1764" s="28" t="n"/>
      <c r="E1764" s="29" t="n"/>
      <c r="F1764" s="29" t="n"/>
      <c r="G1764" s="28" t="n"/>
      <c r="H1764" s="1" t="n"/>
      <c r="I1764">
        <f>IF(OR(B1764="",C1764=""),"",B1764+MOD(C1764,1))</f>
        <v/>
      </c>
      <c r="J1764">
        <f>IF(I1764="","",IF(B1764=Dashboard!$AA$1,I1764,""))</f>
        <v/>
      </c>
    </row>
    <row r="1765">
      <c r="A1765" s="1" t="n"/>
      <c r="B1765" s="26" t="n"/>
      <c r="C1765" s="27" t="n"/>
      <c r="D1765" s="28" t="n"/>
      <c r="E1765" s="29" t="n"/>
      <c r="F1765" s="29" t="n"/>
      <c r="G1765" s="28" t="n"/>
      <c r="H1765" s="1" t="n"/>
      <c r="I1765">
        <f>IF(OR(B1765="",C1765=""),"",B1765+MOD(C1765,1))</f>
        <v/>
      </c>
      <c r="J1765">
        <f>IF(I1765="","",IF(B1765=Dashboard!$AA$1,I1765,""))</f>
        <v/>
      </c>
    </row>
    <row r="1766">
      <c r="A1766" s="1" t="n"/>
      <c r="B1766" s="26" t="n"/>
      <c r="C1766" s="27" t="n"/>
      <c r="D1766" s="28" t="n"/>
      <c r="E1766" s="29" t="n"/>
      <c r="F1766" s="29" t="n"/>
      <c r="G1766" s="28" t="n"/>
      <c r="H1766" s="1" t="n"/>
      <c r="I1766">
        <f>IF(OR(B1766="",C1766=""),"",B1766+MOD(C1766,1))</f>
        <v/>
      </c>
      <c r="J1766">
        <f>IF(I1766="","",IF(B1766=Dashboard!$AA$1,I1766,""))</f>
        <v/>
      </c>
    </row>
    <row r="1767">
      <c r="A1767" s="1" t="n"/>
      <c r="B1767" s="26" t="n"/>
      <c r="C1767" s="27" t="n"/>
      <c r="D1767" s="28" t="n"/>
      <c r="E1767" s="29" t="n"/>
      <c r="F1767" s="29" t="n"/>
      <c r="G1767" s="28" t="n"/>
      <c r="H1767" s="1" t="n"/>
      <c r="I1767">
        <f>IF(OR(B1767="",C1767=""),"",B1767+MOD(C1767,1))</f>
        <v/>
      </c>
      <c r="J1767">
        <f>IF(I1767="","",IF(B1767=Dashboard!$AA$1,I1767,""))</f>
        <v/>
      </c>
    </row>
    <row r="1768">
      <c r="A1768" s="1" t="n"/>
      <c r="B1768" s="26" t="n"/>
      <c r="C1768" s="27" t="n"/>
      <c r="D1768" s="28" t="n"/>
      <c r="E1768" s="29" t="n"/>
      <c r="F1768" s="29" t="n"/>
      <c r="G1768" s="28" t="n"/>
      <c r="H1768" s="1" t="n"/>
      <c r="I1768">
        <f>IF(OR(B1768="",C1768=""),"",B1768+MOD(C1768,1))</f>
        <v/>
      </c>
      <c r="J1768">
        <f>IF(I1768="","",IF(B1768=Dashboard!$AA$1,I1768,""))</f>
        <v/>
      </c>
    </row>
    <row r="1769">
      <c r="A1769" s="1" t="n"/>
      <c r="B1769" s="26" t="n"/>
      <c r="C1769" s="27" t="n"/>
      <c r="D1769" s="28" t="n"/>
      <c r="E1769" s="29" t="n"/>
      <c r="F1769" s="29" t="n"/>
      <c r="G1769" s="28" t="n"/>
      <c r="H1769" s="1" t="n"/>
      <c r="I1769">
        <f>IF(OR(B1769="",C1769=""),"",B1769+MOD(C1769,1))</f>
        <v/>
      </c>
      <c r="J1769">
        <f>IF(I1769="","",IF(B1769=Dashboard!$AA$1,I1769,""))</f>
        <v/>
      </c>
    </row>
    <row r="1770">
      <c r="A1770" s="1" t="n"/>
      <c r="B1770" s="26" t="n"/>
      <c r="C1770" s="27" t="n"/>
      <c r="D1770" s="28" t="n"/>
      <c r="E1770" s="29" t="n"/>
      <c r="F1770" s="29" t="n"/>
      <c r="G1770" s="28" t="n"/>
      <c r="H1770" s="1" t="n"/>
      <c r="I1770">
        <f>IF(OR(B1770="",C1770=""),"",B1770+MOD(C1770,1))</f>
        <v/>
      </c>
      <c r="J1770">
        <f>IF(I1770="","",IF(B1770=Dashboard!$AA$1,I1770,""))</f>
        <v/>
      </c>
    </row>
    <row r="1771">
      <c r="A1771" s="1" t="n"/>
      <c r="B1771" s="26" t="n"/>
      <c r="C1771" s="27" t="n"/>
      <c r="D1771" s="28" t="n"/>
      <c r="E1771" s="29" t="n"/>
      <c r="F1771" s="29" t="n"/>
      <c r="G1771" s="28" t="n"/>
      <c r="H1771" s="1" t="n"/>
      <c r="I1771">
        <f>IF(OR(B1771="",C1771=""),"",B1771+MOD(C1771,1))</f>
        <v/>
      </c>
      <c r="J1771">
        <f>IF(I1771="","",IF(B1771=Dashboard!$AA$1,I1771,""))</f>
        <v/>
      </c>
    </row>
    <row r="1772">
      <c r="A1772" s="1" t="n"/>
      <c r="B1772" s="26" t="n"/>
      <c r="C1772" s="27" t="n"/>
      <c r="D1772" s="28" t="n"/>
      <c r="E1772" s="29" t="n"/>
      <c r="F1772" s="29" t="n"/>
      <c r="G1772" s="28" t="n"/>
      <c r="H1772" s="1" t="n"/>
      <c r="I1772">
        <f>IF(OR(B1772="",C1772=""),"",B1772+MOD(C1772,1))</f>
        <v/>
      </c>
      <c r="J1772">
        <f>IF(I1772="","",IF(B1772=Dashboard!$AA$1,I1772,""))</f>
        <v/>
      </c>
    </row>
    <row r="1773">
      <c r="A1773" s="1" t="n"/>
      <c r="B1773" s="26" t="n"/>
      <c r="C1773" s="27" t="n"/>
      <c r="D1773" s="28" t="n"/>
      <c r="E1773" s="29" t="n"/>
      <c r="F1773" s="29" t="n"/>
      <c r="G1773" s="28" t="n"/>
      <c r="H1773" s="1" t="n"/>
      <c r="I1773">
        <f>IF(OR(B1773="",C1773=""),"",B1773+MOD(C1773,1))</f>
        <v/>
      </c>
      <c r="J1773">
        <f>IF(I1773="","",IF(B1773=Dashboard!$AA$1,I1773,""))</f>
        <v/>
      </c>
    </row>
    <row r="1774">
      <c r="A1774" s="1" t="n"/>
      <c r="B1774" s="26" t="n"/>
      <c r="C1774" s="27" t="n"/>
      <c r="D1774" s="28" t="n"/>
      <c r="E1774" s="29" t="n"/>
      <c r="F1774" s="29" t="n"/>
      <c r="G1774" s="28" t="n"/>
      <c r="H1774" s="1" t="n"/>
      <c r="I1774">
        <f>IF(OR(B1774="",C1774=""),"",B1774+MOD(C1774,1))</f>
        <v/>
      </c>
      <c r="J1774">
        <f>IF(I1774="","",IF(B1774=Dashboard!$AA$1,I1774,""))</f>
        <v/>
      </c>
    </row>
    <row r="1775">
      <c r="A1775" s="1" t="n"/>
      <c r="B1775" s="26" t="n"/>
      <c r="C1775" s="27" t="n"/>
      <c r="D1775" s="28" t="n"/>
      <c r="E1775" s="29" t="n"/>
      <c r="F1775" s="29" t="n"/>
      <c r="G1775" s="28" t="n"/>
      <c r="H1775" s="1" t="n"/>
      <c r="I1775">
        <f>IF(OR(B1775="",C1775=""),"",B1775+MOD(C1775,1))</f>
        <v/>
      </c>
      <c r="J1775">
        <f>IF(I1775="","",IF(B1775=Dashboard!$AA$1,I1775,""))</f>
        <v/>
      </c>
    </row>
    <row r="1776">
      <c r="A1776" s="1" t="n"/>
      <c r="B1776" s="26" t="n"/>
      <c r="C1776" s="27" t="n"/>
      <c r="D1776" s="28" t="n"/>
      <c r="E1776" s="29" t="n"/>
      <c r="F1776" s="29" t="n"/>
      <c r="G1776" s="28" t="n"/>
      <c r="H1776" s="1" t="n"/>
      <c r="I1776">
        <f>IF(OR(B1776="",C1776=""),"",B1776+MOD(C1776,1))</f>
        <v/>
      </c>
      <c r="J1776">
        <f>IF(I1776="","",IF(B1776=Dashboard!$AA$1,I1776,""))</f>
        <v/>
      </c>
    </row>
    <row r="1777">
      <c r="A1777" s="1" t="n"/>
      <c r="B1777" s="26" t="n"/>
      <c r="C1777" s="27" t="n"/>
      <c r="D1777" s="28" t="n"/>
      <c r="E1777" s="29" t="n"/>
      <c r="F1777" s="29" t="n"/>
      <c r="G1777" s="28" t="n"/>
      <c r="H1777" s="1" t="n"/>
      <c r="I1777">
        <f>IF(OR(B1777="",C1777=""),"",B1777+MOD(C1777,1))</f>
        <v/>
      </c>
      <c r="J1777">
        <f>IF(I1777="","",IF(B1777=Dashboard!$AA$1,I1777,""))</f>
        <v/>
      </c>
    </row>
    <row r="1778">
      <c r="A1778" s="1" t="n"/>
      <c r="B1778" s="26" t="n"/>
      <c r="C1778" s="27" t="n"/>
      <c r="D1778" s="28" t="n"/>
      <c r="E1778" s="29" t="n"/>
      <c r="F1778" s="29" t="n"/>
      <c r="G1778" s="28" t="n"/>
      <c r="H1778" s="1" t="n"/>
      <c r="I1778">
        <f>IF(OR(B1778="",C1778=""),"",B1778+MOD(C1778,1))</f>
        <v/>
      </c>
      <c r="J1778">
        <f>IF(I1778="","",IF(B1778=Dashboard!$AA$1,I1778,""))</f>
        <v/>
      </c>
    </row>
    <row r="1779">
      <c r="A1779" s="1" t="n"/>
      <c r="B1779" s="26" t="n"/>
      <c r="C1779" s="27" t="n"/>
      <c r="D1779" s="28" t="n"/>
      <c r="E1779" s="29" t="n"/>
      <c r="F1779" s="29" t="n"/>
      <c r="G1779" s="28" t="n"/>
      <c r="H1779" s="1" t="n"/>
      <c r="I1779">
        <f>IF(OR(B1779="",C1779=""),"",B1779+MOD(C1779,1))</f>
        <v/>
      </c>
      <c r="J1779">
        <f>IF(I1779="","",IF(B1779=Dashboard!$AA$1,I1779,""))</f>
        <v/>
      </c>
    </row>
    <row r="1780">
      <c r="A1780" s="1" t="n"/>
      <c r="B1780" s="26" t="n"/>
      <c r="C1780" s="27" t="n"/>
      <c r="D1780" s="28" t="n"/>
      <c r="E1780" s="29" t="n"/>
      <c r="F1780" s="29" t="n"/>
      <c r="G1780" s="28" t="n"/>
      <c r="H1780" s="1" t="n"/>
      <c r="I1780">
        <f>IF(OR(B1780="",C1780=""),"",B1780+MOD(C1780,1))</f>
        <v/>
      </c>
      <c r="J1780">
        <f>IF(I1780="","",IF(B1780=Dashboard!$AA$1,I1780,""))</f>
        <v/>
      </c>
    </row>
    <row r="1781">
      <c r="A1781" s="1" t="n"/>
      <c r="B1781" s="26" t="n"/>
      <c r="C1781" s="27" t="n"/>
      <c r="D1781" s="28" t="n"/>
      <c r="E1781" s="29" t="n"/>
      <c r="F1781" s="29" t="n"/>
      <c r="G1781" s="28" t="n"/>
      <c r="H1781" s="1" t="n"/>
      <c r="I1781">
        <f>IF(OR(B1781="",C1781=""),"",B1781+MOD(C1781,1))</f>
        <v/>
      </c>
      <c r="J1781">
        <f>IF(I1781="","",IF(B1781=Dashboard!$AA$1,I1781,""))</f>
        <v/>
      </c>
    </row>
    <row r="1782">
      <c r="A1782" s="1" t="n"/>
      <c r="B1782" s="26" t="n"/>
      <c r="C1782" s="27" t="n"/>
      <c r="D1782" s="28" t="n"/>
      <c r="E1782" s="29" t="n"/>
      <c r="F1782" s="29" t="n"/>
      <c r="G1782" s="28" t="n"/>
      <c r="H1782" s="1" t="n"/>
      <c r="I1782">
        <f>IF(OR(B1782="",C1782=""),"",B1782+MOD(C1782,1))</f>
        <v/>
      </c>
      <c r="J1782">
        <f>IF(I1782="","",IF(B1782=Dashboard!$AA$1,I1782,""))</f>
        <v/>
      </c>
    </row>
    <row r="1783">
      <c r="A1783" s="1" t="n"/>
      <c r="B1783" s="26" t="n"/>
      <c r="C1783" s="27" t="n"/>
      <c r="D1783" s="28" t="n"/>
      <c r="E1783" s="29" t="n"/>
      <c r="F1783" s="29" t="n"/>
      <c r="G1783" s="28" t="n"/>
      <c r="H1783" s="1" t="n"/>
      <c r="I1783">
        <f>IF(OR(B1783="",C1783=""),"",B1783+MOD(C1783,1))</f>
        <v/>
      </c>
      <c r="J1783">
        <f>IF(I1783="","",IF(B1783=Dashboard!$AA$1,I1783,""))</f>
        <v/>
      </c>
    </row>
    <row r="1784">
      <c r="A1784" s="1" t="n"/>
      <c r="B1784" s="26" t="n"/>
      <c r="C1784" s="27" t="n"/>
      <c r="D1784" s="28" t="n"/>
      <c r="E1784" s="29" t="n"/>
      <c r="F1784" s="29" t="n"/>
      <c r="G1784" s="28" t="n"/>
      <c r="H1784" s="1" t="n"/>
      <c r="I1784">
        <f>IF(OR(B1784="",C1784=""),"",B1784+MOD(C1784,1))</f>
        <v/>
      </c>
      <c r="J1784">
        <f>IF(I1784="","",IF(B1784=Dashboard!$AA$1,I1784,""))</f>
        <v/>
      </c>
    </row>
    <row r="1785">
      <c r="A1785" s="1" t="n"/>
      <c r="B1785" s="26" t="n"/>
      <c r="C1785" s="27" t="n"/>
      <c r="D1785" s="28" t="n"/>
      <c r="E1785" s="29" t="n"/>
      <c r="F1785" s="29" t="n"/>
      <c r="G1785" s="28" t="n"/>
      <c r="H1785" s="1" t="n"/>
      <c r="I1785">
        <f>IF(OR(B1785="",C1785=""),"",B1785+MOD(C1785,1))</f>
        <v/>
      </c>
      <c r="J1785">
        <f>IF(I1785="","",IF(B1785=Dashboard!$AA$1,I1785,""))</f>
        <v/>
      </c>
    </row>
    <row r="1786">
      <c r="A1786" s="1" t="n"/>
      <c r="B1786" s="26" t="n"/>
      <c r="C1786" s="27" t="n"/>
      <c r="D1786" s="28" t="n"/>
      <c r="E1786" s="29" t="n"/>
      <c r="F1786" s="29" t="n"/>
      <c r="G1786" s="28" t="n"/>
      <c r="H1786" s="1" t="n"/>
      <c r="I1786">
        <f>IF(OR(B1786="",C1786=""),"",B1786+MOD(C1786,1))</f>
        <v/>
      </c>
      <c r="J1786">
        <f>IF(I1786="","",IF(B1786=Dashboard!$AA$1,I1786,""))</f>
        <v/>
      </c>
    </row>
    <row r="1787">
      <c r="A1787" s="1" t="n"/>
      <c r="B1787" s="26" t="n"/>
      <c r="C1787" s="27" t="n"/>
      <c r="D1787" s="28" t="n"/>
      <c r="E1787" s="29" t="n"/>
      <c r="F1787" s="29" t="n"/>
      <c r="G1787" s="28" t="n"/>
      <c r="H1787" s="1" t="n"/>
      <c r="I1787">
        <f>IF(OR(B1787="",C1787=""),"",B1787+MOD(C1787,1))</f>
        <v/>
      </c>
      <c r="J1787">
        <f>IF(I1787="","",IF(B1787=Dashboard!$AA$1,I1787,""))</f>
        <v/>
      </c>
    </row>
    <row r="1788">
      <c r="A1788" s="1" t="n"/>
      <c r="B1788" s="26" t="n"/>
      <c r="C1788" s="27" t="n"/>
      <c r="D1788" s="28" t="n"/>
      <c r="E1788" s="29" t="n"/>
      <c r="F1788" s="29" t="n"/>
      <c r="G1788" s="28" t="n"/>
      <c r="H1788" s="1" t="n"/>
      <c r="I1788">
        <f>IF(OR(B1788="",C1788=""),"",B1788+MOD(C1788,1))</f>
        <v/>
      </c>
      <c r="J1788">
        <f>IF(I1788="","",IF(B1788=Dashboard!$AA$1,I1788,""))</f>
        <v/>
      </c>
    </row>
    <row r="1789">
      <c r="A1789" s="1" t="n"/>
      <c r="B1789" s="26" t="n"/>
      <c r="C1789" s="27" t="n"/>
      <c r="D1789" s="28" t="n"/>
      <c r="E1789" s="29" t="n"/>
      <c r="F1789" s="29" t="n"/>
      <c r="G1789" s="28" t="n"/>
      <c r="H1789" s="1" t="n"/>
      <c r="I1789">
        <f>IF(OR(B1789="",C1789=""),"",B1789+MOD(C1789,1))</f>
        <v/>
      </c>
      <c r="J1789">
        <f>IF(I1789="","",IF(B1789=Dashboard!$AA$1,I1789,""))</f>
        <v/>
      </c>
    </row>
    <row r="1790">
      <c r="A1790" s="1" t="n"/>
      <c r="B1790" s="26" t="n"/>
      <c r="C1790" s="27" t="n"/>
      <c r="D1790" s="28" t="n"/>
      <c r="E1790" s="29" t="n"/>
      <c r="F1790" s="29" t="n"/>
      <c r="G1790" s="28" t="n"/>
      <c r="H1790" s="1" t="n"/>
      <c r="I1790">
        <f>IF(OR(B1790="",C1790=""),"",B1790+MOD(C1790,1))</f>
        <v/>
      </c>
      <c r="J1790">
        <f>IF(I1790="","",IF(B1790=Dashboard!$AA$1,I1790,""))</f>
        <v/>
      </c>
    </row>
    <row r="1791">
      <c r="A1791" s="1" t="n"/>
      <c r="B1791" s="26" t="n"/>
      <c r="C1791" s="27" t="n"/>
      <c r="D1791" s="28" t="n"/>
      <c r="E1791" s="29" t="n"/>
      <c r="F1791" s="29" t="n"/>
      <c r="G1791" s="28" t="n"/>
      <c r="H1791" s="1" t="n"/>
      <c r="I1791">
        <f>IF(OR(B1791="",C1791=""),"",B1791+MOD(C1791,1))</f>
        <v/>
      </c>
      <c r="J1791">
        <f>IF(I1791="","",IF(B1791=Dashboard!$AA$1,I1791,""))</f>
        <v/>
      </c>
    </row>
    <row r="1792">
      <c r="A1792" s="1" t="n"/>
      <c r="B1792" s="26" t="n"/>
      <c r="C1792" s="27" t="n"/>
      <c r="D1792" s="28" t="n"/>
      <c r="E1792" s="29" t="n"/>
      <c r="F1792" s="29" t="n"/>
      <c r="G1792" s="28" t="n"/>
      <c r="H1792" s="1" t="n"/>
      <c r="I1792">
        <f>IF(OR(B1792="",C1792=""),"",B1792+MOD(C1792,1))</f>
        <v/>
      </c>
      <c r="J1792">
        <f>IF(I1792="","",IF(B1792=Dashboard!$AA$1,I1792,""))</f>
        <v/>
      </c>
    </row>
    <row r="1793">
      <c r="A1793" s="1" t="n"/>
      <c r="B1793" s="26" t="n"/>
      <c r="C1793" s="27" t="n"/>
      <c r="D1793" s="28" t="n"/>
      <c r="E1793" s="29" t="n"/>
      <c r="F1793" s="29" t="n"/>
      <c r="G1793" s="28" t="n"/>
      <c r="H1793" s="1" t="n"/>
      <c r="I1793">
        <f>IF(OR(B1793="",C1793=""),"",B1793+MOD(C1793,1))</f>
        <v/>
      </c>
      <c r="J1793">
        <f>IF(I1793="","",IF(B1793=Dashboard!$AA$1,I1793,""))</f>
        <v/>
      </c>
    </row>
    <row r="1794">
      <c r="A1794" s="1" t="n"/>
      <c r="B1794" s="26" t="n"/>
      <c r="C1794" s="27" t="n"/>
      <c r="D1794" s="28" t="n"/>
      <c r="E1794" s="29" t="n"/>
      <c r="F1794" s="29" t="n"/>
      <c r="G1794" s="28" t="n"/>
      <c r="H1794" s="1" t="n"/>
      <c r="I1794">
        <f>IF(OR(B1794="",C1794=""),"",B1794+MOD(C1794,1))</f>
        <v/>
      </c>
      <c r="J1794">
        <f>IF(I1794="","",IF(B1794=Dashboard!$AA$1,I1794,""))</f>
        <v/>
      </c>
    </row>
    <row r="1795">
      <c r="A1795" s="1" t="n"/>
      <c r="B1795" s="26" t="n"/>
      <c r="C1795" s="27" t="n"/>
      <c r="D1795" s="28" t="n"/>
      <c r="E1795" s="29" t="n"/>
      <c r="F1795" s="29" t="n"/>
      <c r="G1795" s="28" t="n"/>
      <c r="H1795" s="1" t="n"/>
      <c r="I1795">
        <f>IF(OR(B1795="",C1795=""),"",B1795+MOD(C1795,1))</f>
        <v/>
      </c>
      <c r="J1795">
        <f>IF(I1795="","",IF(B1795=Dashboard!$AA$1,I1795,""))</f>
        <v/>
      </c>
    </row>
    <row r="1796">
      <c r="A1796" s="1" t="n"/>
      <c r="B1796" s="26" t="n"/>
      <c r="C1796" s="27" t="n"/>
      <c r="D1796" s="28" t="n"/>
      <c r="E1796" s="29" t="n"/>
      <c r="F1796" s="29" t="n"/>
      <c r="G1796" s="28" t="n"/>
      <c r="H1796" s="1" t="n"/>
      <c r="I1796">
        <f>IF(OR(B1796="",C1796=""),"",B1796+MOD(C1796,1))</f>
        <v/>
      </c>
      <c r="J1796">
        <f>IF(I1796="","",IF(B1796=Dashboard!$AA$1,I1796,""))</f>
        <v/>
      </c>
    </row>
    <row r="1797">
      <c r="A1797" s="1" t="n"/>
      <c r="B1797" s="26" t="n"/>
      <c r="C1797" s="27" t="n"/>
      <c r="D1797" s="28" t="n"/>
      <c r="E1797" s="29" t="n"/>
      <c r="F1797" s="29" t="n"/>
      <c r="G1797" s="28" t="n"/>
      <c r="H1797" s="1" t="n"/>
      <c r="I1797">
        <f>IF(OR(B1797="",C1797=""),"",B1797+MOD(C1797,1))</f>
        <v/>
      </c>
      <c r="J1797">
        <f>IF(I1797="","",IF(B1797=Dashboard!$AA$1,I1797,""))</f>
        <v/>
      </c>
    </row>
    <row r="1798">
      <c r="A1798" s="1" t="n"/>
      <c r="B1798" s="26" t="n"/>
      <c r="C1798" s="27" t="n"/>
      <c r="D1798" s="28" t="n"/>
      <c r="E1798" s="29" t="n"/>
      <c r="F1798" s="29" t="n"/>
      <c r="G1798" s="28" t="n"/>
      <c r="H1798" s="1" t="n"/>
      <c r="I1798">
        <f>IF(OR(B1798="",C1798=""),"",B1798+MOD(C1798,1))</f>
        <v/>
      </c>
      <c r="J1798">
        <f>IF(I1798="","",IF(B1798=Dashboard!$AA$1,I1798,""))</f>
        <v/>
      </c>
    </row>
    <row r="1799">
      <c r="A1799" s="1" t="n"/>
      <c r="B1799" s="26" t="n"/>
      <c r="C1799" s="27" t="n"/>
      <c r="D1799" s="28" t="n"/>
      <c r="E1799" s="29" t="n"/>
      <c r="F1799" s="29" t="n"/>
      <c r="G1799" s="28" t="n"/>
      <c r="H1799" s="1" t="n"/>
      <c r="I1799">
        <f>IF(OR(B1799="",C1799=""),"",B1799+MOD(C1799,1))</f>
        <v/>
      </c>
      <c r="J1799">
        <f>IF(I1799="","",IF(B1799=Dashboard!$AA$1,I1799,""))</f>
        <v/>
      </c>
    </row>
    <row r="1800">
      <c r="A1800" s="1" t="n"/>
      <c r="B1800" s="26" t="n"/>
      <c r="C1800" s="27" t="n"/>
      <c r="D1800" s="28" t="n"/>
      <c r="E1800" s="29" t="n"/>
      <c r="F1800" s="29" t="n"/>
      <c r="G1800" s="28" t="n"/>
      <c r="H1800" s="1" t="n"/>
      <c r="I1800">
        <f>IF(OR(B1800="",C1800=""),"",B1800+MOD(C1800,1))</f>
        <v/>
      </c>
      <c r="J1800">
        <f>IF(I1800="","",IF(B1800=Dashboard!$AA$1,I1800,""))</f>
        <v/>
      </c>
    </row>
    <row r="1801">
      <c r="A1801" s="1" t="n"/>
      <c r="B1801" s="26" t="n"/>
      <c r="C1801" s="27" t="n"/>
      <c r="D1801" s="28" t="n"/>
      <c r="E1801" s="29" t="n"/>
      <c r="F1801" s="29" t="n"/>
      <c r="G1801" s="28" t="n"/>
      <c r="H1801" s="1" t="n"/>
      <c r="I1801">
        <f>IF(OR(B1801="",C1801=""),"",B1801+MOD(C1801,1))</f>
        <v/>
      </c>
      <c r="J1801">
        <f>IF(I1801="","",IF(B1801=Dashboard!$AA$1,I1801,""))</f>
        <v/>
      </c>
    </row>
    <row r="1802">
      <c r="A1802" s="1" t="n"/>
      <c r="B1802" s="26" t="n"/>
      <c r="C1802" s="27" t="n"/>
      <c r="D1802" s="28" t="n"/>
      <c r="E1802" s="29" t="n"/>
      <c r="F1802" s="29" t="n"/>
      <c r="G1802" s="28" t="n"/>
      <c r="H1802" s="1" t="n"/>
      <c r="I1802">
        <f>IF(OR(B1802="",C1802=""),"",B1802+MOD(C1802,1))</f>
        <v/>
      </c>
      <c r="J1802">
        <f>IF(I1802="","",IF(B1802=Dashboard!$AA$1,I1802,""))</f>
        <v/>
      </c>
    </row>
    <row r="1803">
      <c r="A1803" s="1" t="n"/>
      <c r="B1803" s="26" t="n"/>
      <c r="C1803" s="27" t="n"/>
      <c r="D1803" s="28" t="n"/>
      <c r="E1803" s="29" t="n"/>
      <c r="F1803" s="29" t="n"/>
      <c r="G1803" s="28" t="n"/>
      <c r="H1803" s="1" t="n"/>
      <c r="I1803">
        <f>IF(OR(B1803="",C1803=""),"",B1803+MOD(C1803,1))</f>
        <v/>
      </c>
      <c r="J1803">
        <f>IF(I1803="","",IF(B1803=Dashboard!$AA$1,I1803,""))</f>
        <v/>
      </c>
    </row>
    <row r="1804">
      <c r="A1804" s="1" t="n"/>
      <c r="B1804" s="26" t="n"/>
      <c r="C1804" s="27" t="n"/>
      <c r="D1804" s="28" t="n"/>
      <c r="E1804" s="29" t="n"/>
      <c r="F1804" s="29" t="n"/>
      <c r="G1804" s="28" t="n"/>
      <c r="H1804" s="1" t="n"/>
      <c r="I1804">
        <f>IF(OR(B1804="",C1804=""),"",B1804+MOD(C1804,1))</f>
        <v/>
      </c>
      <c r="J1804">
        <f>IF(I1804="","",IF(B1804=Dashboard!$AA$1,I1804,""))</f>
        <v/>
      </c>
    </row>
    <row r="1805">
      <c r="A1805" s="1" t="n"/>
      <c r="B1805" s="26" t="n"/>
      <c r="C1805" s="27" t="n"/>
      <c r="D1805" s="28" t="n"/>
      <c r="E1805" s="29" t="n"/>
      <c r="F1805" s="29" t="n"/>
      <c r="G1805" s="28" t="n"/>
      <c r="H1805" s="1" t="n"/>
      <c r="I1805">
        <f>IF(OR(B1805="",C1805=""),"",B1805+MOD(C1805,1))</f>
        <v/>
      </c>
      <c r="J1805">
        <f>IF(I1805="","",IF(B1805=Dashboard!$AA$1,I1805,""))</f>
        <v/>
      </c>
    </row>
    <row r="1806">
      <c r="A1806" s="1" t="n"/>
      <c r="B1806" s="26" t="n"/>
      <c r="C1806" s="27" t="n"/>
      <c r="D1806" s="28" t="n"/>
      <c r="E1806" s="29" t="n"/>
      <c r="F1806" s="29" t="n"/>
      <c r="G1806" s="28" t="n"/>
      <c r="H1806" s="1" t="n"/>
      <c r="I1806">
        <f>IF(OR(B1806="",C1806=""),"",B1806+MOD(C1806,1))</f>
        <v/>
      </c>
      <c r="J1806">
        <f>IF(I1806="","",IF(B1806=Dashboard!$AA$1,I1806,""))</f>
        <v/>
      </c>
    </row>
    <row r="1807">
      <c r="A1807" s="1" t="n"/>
      <c r="B1807" s="26" t="n"/>
      <c r="C1807" s="27" t="n"/>
      <c r="D1807" s="28" t="n"/>
      <c r="E1807" s="29" t="n"/>
      <c r="F1807" s="29" t="n"/>
      <c r="G1807" s="28" t="n"/>
      <c r="H1807" s="1" t="n"/>
      <c r="I1807">
        <f>IF(OR(B1807="",C1807=""),"",B1807+MOD(C1807,1))</f>
        <v/>
      </c>
      <c r="J1807">
        <f>IF(I1807="","",IF(B1807=Dashboard!$AA$1,I1807,""))</f>
        <v/>
      </c>
    </row>
    <row r="1808">
      <c r="A1808" s="1" t="n"/>
      <c r="B1808" s="26" t="n"/>
      <c r="C1808" s="27" t="n"/>
      <c r="D1808" s="28" t="n"/>
      <c r="E1808" s="29" t="n"/>
      <c r="F1808" s="29" t="n"/>
      <c r="G1808" s="28" t="n"/>
      <c r="H1808" s="1" t="n"/>
      <c r="I1808">
        <f>IF(OR(B1808="",C1808=""),"",B1808+MOD(C1808,1))</f>
        <v/>
      </c>
      <c r="J1808">
        <f>IF(I1808="","",IF(B1808=Dashboard!$AA$1,I1808,""))</f>
        <v/>
      </c>
    </row>
    <row r="1809">
      <c r="A1809" s="1" t="n"/>
      <c r="B1809" s="26" t="n"/>
      <c r="C1809" s="27" t="n"/>
      <c r="D1809" s="28" t="n"/>
      <c r="E1809" s="29" t="n"/>
      <c r="F1809" s="29" t="n"/>
      <c r="G1809" s="28" t="n"/>
      <c r="H1809" s="1" t="n"/>
      <c r="I1809">
        <f>IF(OR(B1809="",C1809=""),"",B1809+MOD(C1809,1))</f>
        <v/>
      </c>
      <c r="J1809">
        <f>IF(I1809="","",IF(B1809=Dashboard!$AA$1,I1809,""))</f>
        <v/>
      </c>
    </row>
    <row r="1810">
      <c r="A1810" s="1" t="n"/>
      <c r="B1810" s="26" t="n"/>
      <c r="C1810" s="27" t="n"/>
      <c r="D1810" s="28" t="n"/>
      <c r="E1810" s="29" t="n"/>
      <c r="F1810" s="29" t="n"/>
      <c r="G1810" s="28" t="n"/>
      <c r="H1810" s="1" t="n"/>
      <c r="I1810">
        <f>IF(OR(B1810="",C1810=""),"",B1810+MOD(C1810,1))</f>
        <v/>
      </c>
      <c r="J1810">
        <f>IF(I1810="","",IF(B1810=Dashboard!$AA$1,I1810,""))</f>
        <v/>
      </c>
    </row>
    <row r="1811">
      <c r="A1811" s="1" t="n"/>
      <c r="B1811" s="26" t="n"/>
      <c r="C1811" s="27" t="n"/>
      <c r="D1811" s="28" t="n"/>
      <c r="E1811" s="29" t="n"/>
      <c r="F1811" s="29" t="n"/>
      <c r="G1811" s="28" t="n"/>
      <c r="H1811" s="1" t="n"/>
      <c r="I1811">
        <f>IF(OR(B1811="",C1811=""),"",B1811+MOD(C1811,1))</f>
        <v/>
      </c>
      <c r="J1811">
        <f>IF(I1811="","",IF(B1811=Dashboard!$AA$1,I1811,""))</f>
        <v/>
      </c>
    </row>
    <row r="1812">
      <c r="A1812" s="1" t="n"/>
      <c r="B1812" s="26" t="n"/>
      <c r="C1812" s="27" t="n"/>
      <c r="D1812" s="28" t="n"/>
      <c r="E1812" s="29" t="n"/>
      <c r="F1812" s="29" t="n"/>
      <c r="G1812" s="28" t="n"/>
      <c r="H1812" s="1" t="n"/>
      <c r="I1812">
        <f>IF(OR(B1812="",C1812=""),"",B1812+MOD(C1812,1))</f>
        <v/>
      </c>
      <c r="J1812">
        <f>IF(I1812="","",IF(B1812=Dashboard!$AA$1,I1812,""))</f>
        <v/>
      </c>
    </row>
    <row r="1813">
      <c r="A1813" s="1" t="n"/>
      <c r="B1813" s="26" t="n"/>
      <c r="C1813" s="27" t="n"/>
      <c r="D1813" s="28" t="n"/>
      <c r="E1813" s="29" t="n"/>
      <c r="F1813" s="29" t="n"/>
      <c r="G1813" s="28" t="n"/>
      <c r="H1813" s="1" t="n"/>
      <c r="I1813">
        <f>IF(OR(B1813="",C1813=""),"",B1813+MOD(C1813,1))</f>
        <v/>
      </c>
      <c r="J1813">
        <f>IF(I1813="","",IF(B1813=Dashboard!$AA$1,I1813,""))</f>
        <v/>
      </c>
    </row>
    <row r="1814">
      <c r="A1814" s="1" t="n"/>
      <c r="B1814" s="26" t="n"/>
      <c r="C1814" s="27" t="n"/>
      <c r="D1814" s="28" t="n"/>
      <c r="E1814" s="29" t="n"/>
      <c r="F1814" s="29" t="n"/>
      <c r="G1814" s="28" t="n"/>
      <c r="H1814" s="1" t="n"/>
      <c r="I1814">
        <f>IF(OR(B1814="",C1814=""),"",B1814+MOD(C1814,1))</f>
        <v/>
      </c>
      <c r="J1814">
        <f>IF(I1814="","",IF(B1814=Dashboard!$AA$1,I1814,""))</f>
        <v/>
      </c>
    </row>
    <row r="1815">
      <c r="A1815" s="1" t="n"/>
      <c r="B1815" s="26" t="n"/>
      <c r="C1815" s="27" t="n"/>
      <c r="D1815" s="28" t="n"/>
      <c r="E1815" s="29" t="n"/>
      <c r="F1815" s="29" t="n"/>
      <c r="G1815" s="28" t="n"/>
      <c r="H1815" s="1" t="n"/>
      <c r="I1815">
        <f>IF(OR(B1815="",C1815=""),"",B1815+MOD(C1815,1))</f>
        <v/>
      </c>
      <c r="J1815">
        <f>IF(I1815="","",IF(B1815=Dashboard!$AA$1,I1815,""))</f>
        <v/>
      </c>
    </row>
    <row r="1816">
      <c r="A1816" s="1" t="n"/>
      <c r="B1816" s="26" t="n"/>
      <c r="C1816" s="27" t="n"/>
      <c r="D1816" s="28" t="n"/>
      <c r="E1816" s="29" t="n"/>
      <c r="F1816" s="29" t="n"/>
      <c r="G1816" s="28" t="n"/>
      <c r="H1816" s="1" t="n"/>
      <c r="I1816">
        <f>IF(OR(B1816="",C1816=""),"",B1816+MOD(C1816,1))</f>
        <v/>
      </c>
      <c r="J1816">
        <f>IF(I1816="","",IF(B1816=Dashboard!$AA$1,I1816,""))</f>
        <v/>
      </c>
    </row>
    <row r="1817">
      <c r="A1817" s="1" t="n"/>
      <c r="B1817" s="26" t="n"/>
      <c r="C1817" s="27" t="n"/>
      <c r="D1817" s="28" t="n"/>
      <c r="E1817" s="29" t="n"/>
      <c r="F1817" s="29" t="n"/>
      <c r="G1817" s="28" t="n"/>
      <c r="H1817" s="1" t="n"/>
      <c r="I1817">
        <f>IF(OR(B1817="",C1817=""),"",B1817+MOD(C1817,1))</f>
        <v/>
      </c>
      <c r="J1817">
        <f>IF(I1817="","",IF(B1817=Dashboard!$AA$1,I1817,""))</f>
        <v/>
      </c>
    </row>
    <row r="1818">
      <c r="A1818" s="1" t="n"/>
      <c r="B1818" s="26" t="n"/>
      <c r="C1818" s="27" t="n"/>
      <c r="D1818" s="28" t="n"/>
      <c r="E1818" s="29" t="n"/>
      <c r="F1818" s="29" t="n"/>
      <c r="G1818" s="28" t="n"/>
      <c r="H1818" s="1" t="n"/>
      <c r="I1818">
        <f>IF(OR(B1818="",C1818=""),"",B1818+MOD(C1818,1))</f>
        <v/>
      </c>
      <c r="J1818">
        <f>IF(I1818="","",IF(B1818=Dashboard!$AA$1,I1818,""))</f>
        <v/>
      </c>
    </row>
    <row r="1819">
      <c r="A1819" s="1" t="n"/>
      <c r="B1819" s="26" t="n"/>
      <c r="C1819" s="27" t="n"/>
      <c r="D1819" s="28" t="n"/>
      <c r="E1819" s="29" t="n"/>
      <c r="F1819" s="29" t="n"/>
      <c r="G1819" s="28" t="n"/>
      <c r="H1819" s="1" t="n"/>
      <c r="I1819">
        <f>IF(OR(B1819="",C1819=""),"",B1819+MOD(C1819,1))</f>
        <v/>
      </c>
      <c r="J1819">
        <f>IF(I1819="","",IF(B1819=Dashboard!$AA$1,I1819,""))</f>
        <v/>
      </c>
    </row>
    <row r="1820">
      <c r="A1820" s="1" t="n"/>
      <c r="B1820" s="26" t="n"/>
      <c r="C1820" s="27" t="n"/>
      <c r="D1820" s="28" t="n"/>
      <c r="E1820" s="29" t="n"/>
      <c r="F1820" s="29" t="n"/>
      <c r="G1820" s="28" t="n"/>
      <c r="H1820" s="1" t="n"/>
      <c r="I1820">
        <f>IF(OR(B1820="",C1820=""),"",B1820+MOD(C1820,1))</f>
        <v/>
      </c>
      <c r="J1820">
        <f>IF(I1820="","",IF(B1820=Dashboard!$AA$1,I1820,""))</f>
        <v/>
      </c>
    </row>
    <row r="1821">
      <c r="A1821" s="1" t="n"/>
      <c r="B1821" s="26" t="n"/>
      <c r="C1821" s="27" t="n"/>
      <c r="D1821" s="28" t="n"/>
      <c r="E1821" s="29" t="n"/>
      <c r="F1821" s="29" t="n"/>
      <c r="G1821" s="28" t="n"/>
      <c r="H1821" s="1" t="n"/>
      <c r="I1821">
        <f>IF(OR(B1821="",C1821=""),"",B1821+MOD(C1821,1))</f>
        <v/>
      </c>
      <c r="J1821">
        <f>IF(I1821="","",IF(B1821=Dashboard!$AA$1,I1821,""))</f>
        <v/>
      </c>
    </row>
    <row r="1822">
      <c r="A1822" s="1" t="n"/>
      <c r="B1822" s="26" t="n"/>
      <c r="C1822" s="27" t="n"/>
      <c r="D1822" s="28" t="n"/>
      <c r="E1822" s="29" t="n"/>
      <c r="F1822" s="29" t="n"/>
      <c r="G1822" s="28" t="n"/>
      <c r="H1822" s="1" t="n"/>
      <c r="I1822">
        <f>IF(OR(B1822="",C1822=""),"",B1822+MOD(C1822,1))</f>
        <v/>
      </c>
      <c r="J1822">
        <f>IF(I1822="","",IF(B1822=Dashboard!$AA$1,I1822,""))</f>
        <v/>
      </c>
    </row>
    <row r="1823">
      <c r="A1823" s="1" t="n"/>
      <c r="B1823" s="26" t="n"/>
      <c r="C1823" s="27" t="n"/>
      <c r="D1823" s="28" t="n"/>
      <c r="E1823" s="29" t="n"/>
      <c r="F1823" s="29" t="n"/>
      <c r="G1823" s="28" t="n"/>
      <c r="H1823" s="1" t="n"/>
      <c r="I1823">
        <f>IF(OR(B1823="",C1823=""),"",B1823+MOD(C1823,1))</f>
        <v/>
      </c>
      <c r="J1823">
        <f>IF(I1823="","",IF(B1823=Dashboard!$AA$1,I1823,""))</f>
        <v/>
      </c>
    </row>
    <row r="1824">
      <c r="A1824" s="1" t="n"/>
      <c r="B1824" s="26" t="n"/>
      <c r="C1824" s="27" t="n"/>
      <c r="D1824" s="28" t="n"/>
      <c r="E1824" s="29" t="n"/>
      <c r="F1824" s="29" t="n"/>
      <c r="G1824" s="28" t="n"/>
      <c r="H1824" s="1" t="n"/>
      <c r="I1824">
        <f>IF(OR(B1824="",C1824=""),"",B1824+MOD(C1824,1))</f>
        <v/>
      </c>
      <c r="J1824">
        <f>IF(I1824="","",IF(B1824=Dashboard!$AA$1,I1824,""))</f>
        <v/>
      </c>
    </row>
    <row r="1825">
      <c r="A1825" s="1" t="n"/>
      <c r="B1825" s="26" t="n"/>
      <c r="C1825" s="27" t="n"/>
      <c r="D1825" s="28" t="n"/>
      <c r="E1825" s="29" t="n"/>
      <c r="F1825" s="29" t="n"/>
      <c r="G1825" s="28" t="n"/>
      <c r="H1825" s="1" t="n"/>
      <c r="I1825">
        <f>IF(OR(B1825="",C1825=""),"",B1825+MOD(C1825,1))</f>
        <v/>
      </c>
      <c r="J1825">
        <f>IF(I1825="","",IF(B1825=Dashboard!$AA$1,I1825,""))</f>
        <v/>
      </c>
    </row>
    <row r="1826">
      <c r="A1826" s="1" t="n"/>
      <c r="B1826" s="26" t="n"/>
      <c r="C1826" s="27" t="n"/>
      <c r="D1826" s="28" t="n"/>
      <c r="E1826" s="29" t="n"/>
      <c r="F1826" s="29" t="n"/>
      <c r="G1826" s="28" t="n"/>
      <c r="H1826" s="1" t="n"/>
      <c r="I1826">
        <f>IF(OR(B1826="",C1826=""),"",B1826+MOD(C1826,1))</f>
        <v/>
      </c>
      <c r="J1826">
        <f>IF(I1826="","",IF(B1826=Dashboard!$AA$1,I1826,""))</f>
        <v/>
      </c>
    </row>
    <row r="1827">
      <c r="A1827" s="1" t="n"/>
      <c r="B1827" s="26" t="n"/>
      <c r="C1827" s="27" t="n"/>
      <c r="D1827" s="28" t="n"/>
      <c r="E1827" s="29" t="n"/>
      <c r="F1827" s="29" t="n"/>
      <c r="G1827" s="28" t="n"/>
      <c r="H1827" s="1" t="n"/>
      <c r="I1827">
        <f>IF(OR(B1827="",C1827=""),"",B1827+MOD(C1827,1))</f>
        <v/>
      </c>
      <c r="J1827">
        <f>IF(I1827="","",IF(B1827=Dashboard!$AA$1,I1827,""))</f>
        <v/>
      </c>
    </row>
    <row r="1828">
      <c r="A1828" s="1" t="n"/>
      <c r="B1828" s="26" t="n"/>
      <c r="C1828" s="27" t="n"/>
      <c r="D1828" s="28" t="n"/>
      <c r="E1828" s="29" t="n"/>
      <c r="F1828" s="29" t="n"/>
      <c r="G1828" s="28" t="n"/>
      <c r="H1828" s="1" t="n"/>
      <c r="I1828">
        <f>IF(OR(B1828="",C1828=""),"",B1828+MOD(C1828,1))</f>
        <v/>
      </c>
      <c r="J1828">
        <f>IF(I1828="","",IF(B1828=Dashboard!$AA$1,I1828,""))</f>
        <v/>
      </c>
    </row>
    <row r="1829">
      <c r="A1829" s="1" t="n"/>
      <c r="B1829" s="26" t="n"/>
      <c r="C1829" s="27" t="n"/>
      <c r="D1829" s="28" t="n"/>
      <c r="E1829" s="29" t="n"/>
      <c r="F1829" s="29" t="n"/>
      <c r="G1829" s="28" t="n"/>
      <c r="H1829" s="1" t="n"/>
      <c r="I1829">
        <f>IF(OR(B1829="",C1829=""),"",B1829+MOD(C1829,1))</f>
        <v/>
      </c>
      <c r="J1829">
        <f>IF(I1829="","",IF(B1829=Dashboard!$AA$1,I1829,""))</f>
        <v/>
      </c>
    </row>
    <row r="1830">
      <c r="A1830" s="1" t="n"/>
      <c r="B1830" s="26" t="n"/>
      <c r="C1830" s="27" t="n"/>
      <c r="D1830" s="28" t="n"/>
      <c r="E1830" s="29" t="n"/>
      <c r="F1830" s="29" t="n"/>
      <c r="G1830" s="28" t="n"/>
      <c r="H1830" s="1" t="n"/>
      <c r="I1830">
        <f>IF(OR(B1830="",C1830=""),"",B1830+MOD(C1830,1))</f>
        <v/>
      </c>
      <c r="J1830">
        <f>IF(I1830="","",IF(B1830=Dashboard!$AA$1,I1830,""))</f>
        <v/>
      </c>
    </row>
    <row r="1831">
      <c r="A1831" s="1" t="n"/>
      <c r="B1831" s="26" t="n"/>
      <c r="C1831" s="27" t="n"/>
      <c r="D1831" s="28" t="n"/>
      <c r="E1831" s="29" t="n"/>
      <c r="F1831" s="29" t="n"/>
      <c r="G1831" s="28" t="n"/>
      <c r="H1831" s="1" t="n"/>
      <c r="I1831">
        <f>IF(OR(B1831="",C1831=""),"",B1831+MOD(C1831,1))</f>
        <v/>
      </c>
      <c r="J1831">
        <f>IF(I1831="","",IF(B1831=Dashboard!$AA$1,I1831,""))</f>
        <v/>
      </c>
    </row>
    <row r="1832">
      <c r="A1832" s="1" t="n"/>
      <c r="B1832" s="26" t="n"/>
      <c r="C1832" s="27" t="n"/>
      <c r="D1832" s="28" t="n"/>
      <c r="E1832" s="29" t="n"/>
      <c r="F1832" s="29" t="n"/>
      <c r="G1832" s="28" t="n"/>
      <c r="H1832" s="1" t="n"/>
      <c r="I1832">
        <f>IF(OR(B1832="",C1832=""),"",B1832+MOD(C1832,1))</f>
        <v/>
      </c>
      <c r="J1832">
        <f>IF(I1832="","",IF(B1832=Dashboard!$AA$1,I1832,""))</f>
        <v/>
      </c>
    </row>
    <row r="1833">
      <c r="A1833" s="1" t="n"/>
      <c r="B1833" s="26" t="n"/>
      <c r="C1833" s="27" t="n"/>
      <c r="D1833" s="28" t="n"/>
      <c r="E1833" s="29" t="n"/>
      <c r="F1833" s="29" t="n"/>
      <c r="G1833" s="28" t="n"/>
      <c r="H1833" s="1" t="n"/>
      <c r="I1833">
        <f>IF(OR(B1833="",C1833=""),"",B1833+MOD(C1833,1))</f>
        <v/>
      </c>
      <c r="J1833">
        <f>IF(I1833="","",IF(B1833=Dashboard!$AA$1,I1833,""))</f>
        <v/>
      </c>
    </row>
    <row r="1834">
      <c r="A1834" s="1" t="n"/>
      <c r="B1834" s="26" t="n"/>
      <c r="C1834" s="27" t="n"/>
      <c r="D1834" s="28" t="n"/>
      <c r="E1834" s="29" t="n"/>
      <c r="F1834" s="29" t="n"/>
      <c r="G1834" s="28" t="n"/>
      <c r="H1834" s="1" t="n"/>
      <c r="I1834">
        <f>IF(OR(B1834="",C1834=""),"",B1834+MOD(C1834,1))</f>
        <v/>
      </c>
      <c r="J1834">
        <f>IF(I1834="","",IF(B1834=Dashboard!$AA$1,I1834,""))</f>
        <v/>
      </c>
    </row>
    <row r="1835">
      <c r="A1835" s="1" t="n"/>
      <c r="B1835" s="26" t="n"/>
      <c r="C1835" s="27" t="n"/>
      <c r="D1835" s="28" t="n"/>
      <c r="E1835" s="29" t="n"/>
      <c r="F1835" s="29" t="n"/>
      <c r="G1835" s="28" t="n"/>
      <c r="H1835" s="1" t="n"/>
      <c r="I1835">
        <f>IF(OR(B1835="",C1835=""),"",B1835+MOD(C1835,1))</f>
        <v/>
      </c>
      <c r="J1835">
        <f>IF(I1835="","",IF(B1835=Dashboard!$AA$1,I1835,""))</f>
        <v/>
      </c>
    </row>
    <row r="1836">
      <c r="A1836" s="1" t="n"/>
      <c r="B1836" s="26" t="n"/>
      <c r="C1836" s="27" t="n"/>
      <c r="D1836" s="28" t="n"/>
      <c r="E1836" s="29" t="n"/>
      <c r="F1836" s="29" t="n"/>
      <c r="G1836" s="28" t="n"/>
      <c r="H1836" s="1" t="n"/>
      <c r="I1836">
        <f>IF(OR(B1836="",C1836=""),"",B1836+MOD(C1836,1))</f>
        <v/>
      </c>
      <c r="J1836">
        <f>IF(I1836="","",IF(B1836=Dashboard!$AA$1,I1836,""))</f>
        <v/>
      </c>
    </row>
    <row r="1837">
      <c r="A1837" s="1" t="n"/>
      <c r="B1837" s="26" t="n"/>
      <c r="C1837" s="27" t="n"/>
      <c r="D1837" s="28" t="n"/>
      <c r="E1837" s="29" t="n"/>
      <c r="F1837" s="29" t="n"/>
      <c r="G1837" s="28" t="n"/>
      <c r="H1837" s="1" t="n"/>
      <c r="I1837">
        <f>IF(OR(B1837="",C1837=""),"",B1837+MOD(C1837,1))</f>
        <v/>
      </c>
      <c r="J1837">
        <f>IF(I1837="","",IF(B1837=Dashboard!$AA$1,I1837,""))</f>
        <v/>
      </c>
    </row>
    <row r="1838">
      <c r="A1838" s="1" t="n"/>
      <c r="B1838" s="26" t="n"/>
      <c r="C1838" s="27" t="n"/>
      <c r="D1838" s="28" t="n"/>
      <c r="E1838" s="29" t="n"/>
      <c r="F1838" s="29" t="n"/>
      <c r="G1838" s="28" t="n"/>
      <c r="H1838" s="1" t="n"/>
      <c r="I1838">
        <f>IF(OR(B1838="",C1838=""),"",B1838+MOD(C1838,1))</f>
        <v/>
      </c>
      <c r="J1838">
        <f>IF(I1838="","",IF(B1838=Dashboard!$AA$1,I1838,""))</f>
        <v/>
      </c>
    </row>
    <row r="1839">
      <c r="A1839" s="1" t="n"/>
      <c r="B1839" s="26" t="n"/>
      <c r="C1839" s="27" t="n"/>
      <c r="D1839" s="28" t="n"/>
      <c r="E1839" s="29" t="n"/>
      <c r="F1839" s="29" t="n"/>
      <c r="G1839" s="28" t="n"/>
      <c r="H1839" s="1" t="n"/>
      <c r="I1839">
        <f>IF(OR(B1839="",C1839=""),"",B1839+MOD(C1839,1))</f>
        <v/>
      </c>
      <c r="J1839">
        <f>IF(I1839="","",IF(B1839=Dashboard!$AA$1,I1839,""))</f>
        <v/>
      </c>
    </row>
    <row r="1840">
      <c r="A1840" s="1" t="n"/>
      <c r="B1840" s="26" t="n"/>
      <c r="C1840" s="27" t="n"/>
      <c r="D1840" s="28" t="n"/>
      <c r="E1840" s="29" t="n"/>
      <c r="F1840" s="29" t="n"/>
      <c r="G1840" s="28" t="n"/>
      <c r="H1840" s="1" t="n"/>
      <c r="I1840">
        <f>IF(OR(B1840="",C1840=""),"",B1840+MOD(C1840,1))</f>
        <v/>
      </c>
      <c r="J1840">
        <f>IF(I1840="","",IF(B1840=Dashboard!$AA$1,I1840,""))</f>
        <v/>
      </c>
    </row>
    <row r="1841">
      <c r="A1841" s="1" t="n"/>
      <c r="B1841" s="26" t="n"/>
      <c r="C1841" s="27" t="n"/>
      <c r="D1841" s="28" t="n"/>
      <c r="E1841" s="29" t="n"/>
      <c r="F1841" s="29" t="n"/>
      <c r="G1841" s="28" t="n"/>
      <c r="H1841" s="1" t="n"/>
      <c r="I1841">
        <f>IF(OR(B1841="",C1841=""),"",B1841+MOD(C1841,1))</f>
        <v/>
      </c>
      <c r="J1841">
        <f>IF(I1841="","",IF(B1841=Dashboard!$AA$1,I1841,""))</f>
        <v/>
      </c>
    </row>
    <row r="1842">
      <c r="A1842" s="1" t="n"/>
      <c r="B1842" s="26" t="n"/>
      <c r="C1842" s="27" t="n"/>
      <c r="D1842" s="28" t="n"/>
      <c r="E1842" s="29" t="n"/>
      <c r="F1842" s="29" t="n"/>
      <c r="G1842" s="28" t="n"/>
      <c r="H1842" s="1" t="n"/>
      <c r="I1842">
        <f>IF(OR(B1842="",C1842=""),"",B1842+MOD(C1842,1))</f>
        <v/>
      </c>
      <c r="J1842">
        <f>IF(I1842="","",IF(B1842=Dashboard!$AA$1,I1842,""))</f>
        <v/>
      </c>
    </row>
    <row r="1843">
      <c r="A1843" s="1" t="n"/>
      <c r="B1843" s="26" t="n"/>
      <c r="C1843" s="27" t="n"/>
      <c r="D1843" s="28" t="n"/>
      <c r="E1843" s="29" t="n"/>
      <c r="F1843" s="29" t="n"/>
      <c r="G1843" s="28" t="n"/>
      <c r="H1843" s="1" t="n"/>
      <c r="I1843">
        <f>IF(OR(B1843="",C1843=""),"",B1843+MOD(C1843,1))</f>
        <v/>
      </c>
      <c r="J1843">
        <f>IF(I1843="","",IF(B1843=Dashboard!$AA$1,I1843,""))</f>
        <v/>
      </c>
    </row>
    <row r="1844">
      <c r="A1844" s="1" t="n"/>
      <c r="B1844" s="26" t="n"/>
      <c r="C1844" s="27" t="n"/>
      <c r="D1844" s="28" t="n"/>
      <c r="E1844" s="29" t="n"/>
      <c r="F1844" s="29" t="n"/>
      <c r="G1844" s="28" t="n"/>
      <c r="H1844" s="1" t="n"/>
      <c r="I1844">
        <f>IF(OR(B1844="",C1844=""),"",B1844+MOD(C1844,1))</f>
        <v/>
      </c>
      <c r="J1844">
        <f>IF(I1844="","",IF(B1844=Dashboard!$AA$1,I1844,""))</f>
        <v/>
      </c>
    </row>
    <row r="1845">
      <c r="A1845" s="1" t="n"/>
      <c r="B1845" s="26" t="n"/>
      <c r="C1845" s="27" t="n"/>
      <c r="D1845" s="28" t="n"/>
      <c r="E1845" s="29" t="n"/>
      <c r="F1845" s="29" t="n"/>
      <c r="G1845" s="28" t="n"/>
      <c r="H1845" s="1" t="n"/>
      <c r="I1845">
        <f>IF(OR(B1845="",C1845=""),"",B1845+MOD(C1845,1))</f>
        <v/>
      </c>
      <c r="J1845">
        <f>IF(I1845="","",IF(B1845=Dashboard!$AA$1,I1845,""))</f>
        <v/>
      </c>
    </row>
    <row r="1846">
      <c r="A1846" s="1" t="n"/>
      <c r="B1846" s="26" t="n"/>
      <c r="C1846" s="27" t="n"/>
      <c r="D1846" s="28" t="n"/>
      <c r="E1846" s="29" t="n"/>
      <c r="F1846" s="29" t="n"/>
      <c r="G1846" s="28" t="n"/>
      <c r="H1846" s="1" t="n"/>
      <c r="I1846">
        <f>IF(OR(B1846="",C1846=""),"",B1846+MOD(C1846,1))</f>
        <v/>
      </c>
      <c r="J1846">
        <f>IF(I1846="","",IF(B1846=Dashboard!$AA$1,I1846,""))</f>
        <v/>
      </c>
    </row>
    <row r="1847">
      <c r="A1847" s="1" t="n"/>
      <c r="B1847" s="26" t="n"/>
      <c r="C1847" s="27" t="n"/>
      <c r="D1847" s="28" t="n"/>
      <c r="E1847" s="29" t="n"/>
      <c r="F1847" s="29" t="n"/>
      <c r="G1847" s="28" t="n"/>
      <c r="H1847" s="1" t="n"/>
      <c r="I1847">
        <f>IF(OR(B1847="",C1847=""),"",B1847+MOD(C1847,1))</f>
        <v/>
      </c>
      <c r="J1847">
        <f>IF(I1847="","",IF(B1847=Dashboard!$AA$1,I1847,""))</f>
        <v/>
      </c>
    </row>
    <row r="1848">
      <c r="A1848" s="1" t="n"/>
      <c r="B1848" s="26" t="n"/>
      <c r="C1848" s="27" t="n"/>
      <c r="D1848" s="28" t="n"/>
      <c r="E1848" s="29" t="n"/>
      <c r="F1848" s="29" t="n"/>
      <c r="G1848" s="28" t="n"/>
      <c r="H1848" s="1" t="n"/>
      <c r="I1848">
        <f>IF(OR(B1848="",C1848=""),"",B1848+MOD(C1848,1))</f>
        <v/>
      </c>
      <c r="J1848">
        <f>IF(I1848="","",IF(B1848=Dashboard!$AA$1,I1848,""))</f>
        <v/>
      </c>
    </row>
    <row r="1849">
      <c r="A1849" s="1" t="n"/>
      <c r="B1849" s="26" t="n"/>
      <c r="C1849" s="27" t="n"/>
      <c r="D1849" s="28" t="n"/>
      <c r="E1849" s="29" t="n"/>
      <c r="F1849" s="29" t="n"/>
      <c r="G1849" s="28" t="n"/>
      <c r="H1849" s="1" t="n"/>
      <c r="I1849">
        <f>IF(OR(B1849="",C1849=""),"",B1849+MOD(C1849,1))</f>
        <v/>
      </c>
      <c r="J1849">
        <f>IF(I1849="","",IF(B1849=Dashboard!$AA$1,I1849,""))</f>
        <v/>
      </c>
    </row>
    <row r="1850">
      <c r="A1850" s="1" t="n"/>
      <c r="B1850" s="26" t="n"/>
      <c r="C1850" s="27" t="n"/>
      <c r="D1850" s="28" t="n"/>
      <c r="E1850" s="29" t="n"/>
      <c r="F1850" s="29" t="n"/>
      <c r="G1850" s="28" t="n"/>
      <c r="H1850" s="1" t="n"/>
      <c r="I1850">
        <f>IF(OR(B1850="",C1850=""),"",B1850+MOD(C1850,1))</f>
        <v/>
      </c>
      <c r="J1850">
        <f>IF(I1850="","",IF(B1850=Dashboard!$AA$1,I1850,""))</f>
        <v/>
      </c>
    </row>
    <row r="1851">
      <c r="A1851" s="1" t="n"/>
      <c r="B1851" s="26" t="n"/>
      <c r="C1851" s="27" t="n"/>
      <c r="D1851" s="28" t="n"/>
      <c r="E1851" s="29" t="n"/>
      <c r="F1851" s="29" t="n"/>
      <c r="G1851" s="28" t="n"/>
      <c r="H1851" s="1" t="n"/>
      <c r="I1851">
        <f>IF(OR(B1851="",C1851=""),"",B1851+MOD(C1851,1))</f>
        <v/>
      </c>
      <c r="J1851">
        <f>IF(I1851="","",IF(B1851=Dashboard!$AA$1,I1851,""))</f>
        <v/>
      </c>
    </row>
    <row r="1852">
      <c r="A1852" s="1" t="n"/>
      <c r="B1852" s="26" t="n"/>
      <c r="C1852" s="27" t="n"/>
      <c r="D1852" s="28" t="n"/>
      <c r="E1852" s="29" t="n"/>
      <c r="F1852" s="29" t="n"/>
      <c r="G1852" s="28" t="n"/>
      <c r="H1852" s="1" t="n"/>
      <c r="I1852">
        <f>IF(OR(B1852="",C1852=""),"",B1852+MOD(C1852,1))</f>
        <v/>
      </c>
      <c r="J1852">
        <f>IF(I1852="","",IF(B1852=Dashboard!$AA$1,I1852,""))</f>
        <v/>
      </c>
    </row>
    <row r="1853">
      <c r="A1853" s="1" t="n"/>
      <c r="B1853" s="26" t="n"/>
      <c r="C1853" s="27" t="n"/>
      <c r="D1853" s="28" t="n"/>
      <c r="E1853" s="29" t="n"/>
      <c r="F1853" s="29" t="n"/>
      <c r="G1853" s="28" t="n"/>
      <c r="H1853" s="1" t="n"/>
      <c r="I1853">
        <f>IF(OR(B1853="",C1853=""),"",B1853+MOD(C1853,1))</f>
        <v/>
      </c>
      <c r="J1853">
        <f>IF(I1853="","",IF(B1853=Dashboard!$AA$1,I1853,""))</f>
        <v/>
      </c>
    </row>
    <row r="1854">
      <c r="A1854" s="1" t="n"/>
      <c r="B1854" s="26" t="n"/>
      <c r="C1854" s="27" t="n"/>
      <c r="D1854" s="28" t="n"/>
      <c r="E1854" s="29" t="n"/>
      <c r="F1854" s="29" t="n"/>
      <c r="G1854" s="28" t="n"/>
      <c r="H1854" s="1" t="n"/>
      <c r="I1854">
        <f>IF(OR(B1854="",C1854=""),"",B1854+MOD(C1854,1))</f>
        <v/>
      </c>
      <c r="J1854">
        <f>IF(I1854="","",IF(B1854=Dashboard!$AA$1,I1854,""))</f>
        <v/>
      </c>
    </row>
    <row r="1855">
      <c r="A1855" s="1" t="n"/>
      <c r="B1855" s="26" t="n"/>
      <c r="C1855" s="27" t="n"/>
      <c r="D1855" s="28" t="n"/>
      <c r="E1855" s="29" t="n"/>
      <c r="F1855" s="29" t="n"/>
      <c r="G1855" s="28" t="n"/>
      <c r="H1855" s="1" t="n"/>
      <c r="I1855">
        <f>IF(OR(B1855="",C1855=""),"",B1855+MOD(C1855,1))</f>
        <v/>
      </c>
      <c r="J1855">
        <f>IF(I1855="","",IF(B1855=Dashboard!$AA$1,I1855,""))</f>
        <v/>
      </c>
    </row>
    <row r="1856">
      <c r="A1856" s="1" t="n"/>
      <c r="B1856" s="26" t="n"/>
      <c r="C1856" s="27" t="n"/>
      <c r="D1856" s="28" t="n"/>
      <c r="E1856" s="29" t="n"/>
      <c r="F1856" s="29" t="n"/>
      <c r="G1856" s="28" t="n"/>
      <c r="H1856" s="1" t="n"/>
      <c r="I1856">
        <f>IF(OR(B1856="",C1856=""),"",B1856+MOD(C1856,1))</f>
        <v/>
      </c>
      <c r="J1856">
        <f>IF(I1856="","",IF(B1856=Dashboard!$AA$1,I1856,""))</f>
        <v/>
      </c>
    </row>
    <row r="1857">
      <c r="A1857" s="1" t="n"/>
      <c r="B1857" s="26" t="n"/>
      <c r="C1857" s="27" t="n"/>
      <c r="D1857" s="28" t="n"/>
      <c r="E1857" s="29" t="n"/>
      <c r="F1857" s="29" t="n"/>
      <c r="G1857" s="28" t="n"/>
      <c r="H1857" s="1" t="n"/>
      <c r="I1857">
        <f>IF(OR(B1857="",C1857=""),"",B1857+MOD(C1857,1))</f>
        <v/>
      </c>
      <c r="J1857">
        <f>IF(I1857="","",IF(B1857=Dashboard!$AA$1,I1857,""))</f>
        <v/>
      </c>
    </row>
    <row r="1858">
      <c r="A1858" s="1" t="n"/>
      <c r="B1858" s="26" t="n"/>
      <c r="C1858" s="27" t="n"/>
      <c r="D1858" s="28" t="n"/>
      <c r="E1858" s="29" t="n"/>
      <c r="F1858" s="29" t="n"/>
      <c r="G1858" s="28" t="n"/>
      <c r="H1858" s="1" t="n"/>
      <c r="I1858">
        <f>IF(OR(B1858="",C1858=""),"",B1858+MOD(C1858,1))</f>
        <v/>
      </c>
      <c r="J1858">
        <f>IF(I1858="","",IF(B1858=Dashboard!$AA$1,I1858,""))</f>
        <v/>
      </c>
    </row>
    <row r="1859">
      <c r="A1859" s="1" t="n"/>
      <c r="B1859" s="26" t="n"/>
      <c r="C1859" s="27" t="n"/>
      <c r="D1859" s="28" t="n"/>
      <c r="E1859" s="29" t="n"/>
      <c r="F1859" s="29" t="n"/>
      <c r="G1859" s="28" t="n"/>
      <c r="H1859" s="1" t="n"/>
      <c r="I1859">
        <f>IF(OR(B1859="",C1859=""),"",B1859+MOD(C1859,1))</f>
        <v/>
      </c>
      <c r="J1859">
        <f>IF(I1859="","",IF(B1859=Dashboard!$AA$1,I1859,""))</f>
        <v/>
      </c>
    </row>
    <row r="1860">
      <c r="A1860" s="1" t="n"/>
      <c r="B1860" s="26" t="n"/>
      <c r="C1860" s="27" t="n"/>
      <c r="D1860" s="28" t="n"/>
      <c r="E1860" s="29" t="n"/>
      <c r="F1860" s="29" t="n"/>
      <c r="G1860" s="28" t="n"/>
      <c r="H1860" s="1" t="n"/>
      <c r="I1860">
        <f>IF(OR(B1860="",C1860=""),"",B1860+MOD(C1860,1))</f>
        <v/>
      </c>
      <c r="J1860">
        <f>IF(I1860="","",IF(B1860=Dashboard!$AA$1,I1860,""))</f>
        <v/>
      </c>
    </row>
    <row r="1861">
      <c r="A1861" s="1" t="n"/>
      <c r="B1861" s="26" t="n"/>
      <c r="C1861" s="27" t="n"/>
      <c r="D1861" s="28" t="n"/>
      <c r="E1861" s="29" t="n"/>
      <c r="F1861" s="29" t="n"/>
      <c r="G1861" s="28" t="n"/>
      <c r="H1861" s="1" t="n"/>
      <c r="I1861">
        <f>IF(OR(B1861="",C1861=""),"",B1861+MOD(C1861,1))</f>
        <v/>
      </c>
      <c r="J1861">
        <f>IF(I1861="","",IF(B1861=Dashboard!$AA$1,I1861,""))</f>
        <v/>
      </c>
    </row>
    <row r="1862">
      <c r="A1862" s="1" t="n"/>
      <c r="B1862" s="26" t="n"/>
      <c r="C1862" s="27" t="n"/>
      <c r="D1862" s="28" t="n"/>
      <c r="E1862" s="29" t="n"/>
      <c r="F1862" s="29" t="n"/>
      <c r="G1862" s="28" t="n"/>
      <c r="H1862" s="1" t="n"/>
      <c r="I1862">
        <f>IF(OR(B1862="",C1862=""),"",B1862+MOD(C1862,1))</f>
        <v/>
      </c>
      <c r="J1862">
        <f>IF(I1862="","",IF(B1862=Dashboard!$AA$1,I1862,""))</f>
        <v/>
      </c>
    </row>
    <row r="1863">
      <c r="A1863" s="1" t="n"/>
      <c r="B1863" s="26" t="n"/>
      <c r="C1863" s="27" t="n"/>
      <c r="D1863" s="28" t="n"/>
      <c r="E1863" s="29" t="n"/>
      <c r="F1863" s="29" t="n"/>
      <c r="G1863" s="28" t="n"/>
      <c r="H1863" s="1" t="n"/>
      <c r="I1863">
        <f>IF(OR(B1863="",C1863=""),"",B1863+MOD(C1863,1))</f>
        <v/>
      </c>
      <c r="J1863">
        <f>IF(I1863="","",IF(B1863=Dashboard!$AA$1,I1863,""))</f>
        <v/>
      </c>
    </row>
    <row r="1864">
      <c r="A1864" s="1" t="n"/>
      <c r="B1864" s="26" t="n"/>
      <c r="C1864" s="27" t="n"/>
      <c r="D1864" s="28" t="n"/>
      <c r="E1864" s="29" t="n"/>
      <c r="F1864" s="29" t="n"/>
      <c r="G1864" s="28" t="n"/>
      <c r="H1864" s="1" t="n"/>
      <c r="I1864">
        <f>IF(OR(B1864="",C1864=""),"",B1864+MOD(C1864,1))</f>
        <v/>
      </c>
      <c r="J1864">
        <f>IF(I1864="","",IF(B1864=Dashboard!$AA$1,I1864,""))</f>
        <v/>
      </c>
    </row>
    <row r="1865">
      <c r="A1865" s="1" t="n"/>
      <c r="B1865" s="26" t="n"/>
      <c r="C1865" s="27" t="n"/>
      <c r="D1865" s="28" t="n"/>
      <c r="E1865" s="29" t="n"/>
      <c r="F1865" s="29" t="n"/>
      <c r="G1865" s="28" t="n"/>
      <c r="H1865" s="1" t="n"/>
      <c r="I1865">
        <f>IF(OR(B1865="",C1865=""),"",B1865+MOD(C1865,1))</f>
        <v/>
      </c>
      <c r="J1865">
        <f>IF(I1865="","",IF(B1865=Dashboard!$AA$1,I1865,""))</f>
        <v/>
      </c>
    </row>
    <row r="1866">
      <c r="A1866" s="1" t="n"/>
      <c r="B1866" s="26" t="n"/>
      <c r="C1866" s="27" t="n"/>
      <c r="D1866" s="28" t="n"/>
      <c r="E1866" s="29" t="n"/>
      <c r="F1866" s="29" t="n"/>
      <c r="G1866" s="28" t="n"/>
      <c r="H1866" s="1" t="n"/>
      <c r="I1866">
        <f>IF(OR(B1866="",C1866=""),"",B1866+MOD(C1866,1))</f>
        <v/>
      </c>
      <c r="J1866">
        <f>IF(I1866="","",IF(B1866=Dashboard!$AA$1,I1866,""))</f>
        <v/>
      </c>
    </row>
    <row r="1867">
      <c r="A1867" s="1" t="n"/>
      <c r="B1867" s="26" t="n"/>
      <c r="C1867" s="27" t="n"/>
      <c r="D1867" s="28" t="n"/>
      <c r="E1867" s="29" t="n"/>
      <c r="F1867" s="29" t="n"/>
      <c r="G1867" s="28" t="n"/>
      <c r="H1867" s="1" t="n"/>
      <c r="I1867">
        <f>IF(OR(B1867="",C1867=""),"",B1867+MOD(C1867,1))</f>
        <v/>
      </c>
      <c r="J1867">
        <f>IF(I1867="","",IF(B1867=Dashboard!$AA$1,I1867,""))</f>
        <v/>
      </c>
    </row>
    <row r="1868">
      <c r="A1868" s="1" t="n"/>
      <c r="B1868" s="26" t="n"/>
      <c r="C1868" s="27" t="n"/>
      <c r="D1868" s="28" t="n"/>
      <c r="E1868" s="29" t="n"/>
      <c r="F1868" s="29" t="n"/>
      <c r="G1868" s="28" t="n"/>
      <c r="H1868" s="1" t="n"/>
      <c r="I1868">
        <f>IF(OR(B1868="",C1868=""),"",B1868+MOD(C1868,1))</f>
        <v/>
      </c>
      <c r="J1868">
        <f>IF(I1868="","",IF(B1868=Dashboard!$AA$1,I1868,""))</f>
        <v/>
      </c>
    </row>
    <row r="1869">
      <c r="A1869" s="1" t="n"/>
      <c r="B1869" s="26" t="n"/>
      <c r="C1869" s="27" t="n"/>
      <c r="D1869" s="28" t="n"/>
      <c r="E1869" s="29" t="n"/>
      <c r="F1869" s="29" t="n"/>
      <c r="G1869" s="28" t="n"/>
      <c r="H1869" s="1" t="n"/>
      <c r="I1869">
        <f>IF(OR(B1869="",C1869=""),"",B1869+MOD(C1869,1))</f>
        <v/>
      </c>
      <c r="J1869">
        <f>IF(I1869="","",IF(B1869=Dashboard!$AA$1,I1869,""))</f>
        <v/>
      </c>
    </row>
    <row r="1870">
      <c r="A1870" s="1" t="n"/>
      <c r="B1870" s="26" t="n"/>
      <c r="C1870" s="27" t="n"/>
      <c r="D1870" s="28" t="n"/>
      <c r="E1870" s="29" t="n"/>
      <c r="F1870" s="29" t="n"/>
      <c r="G1870" s="28" t="n"/>
      <c r="H1870" s="1" t="n"/>
      <c r="I1870">
        <f>IF(OR(B1870="",C1870=""),"",B1870+MOD(C1870,1))</f>
        <v/>
      </c>
      <c r="J1870">
        <f>IF(I1870="","",IF(B1870=Dashboard!$AA$1,I1870,""))</f>
        <v/>
      </c>
    </row>
    <row r="1871">
      <c r="A1871" s="1" t="n"/>
      <c r="B1871" s="26" t="n"/>
      <c r="C1871" s="27" t="n"/>
      <c r="D1871" s="28" t="n"/>
      <c r="E1871" s="29" t="n"/>
      <c r="F1871" s="29" t="n"/>
      <c r="G1871" s="28" t="n"/>
      <c r="H1871" s="1" t="n"/>
      <c r="I1871">
        <f>IF(OR(B1871="",C1871=""),"",B1871+MOD(C1871,1))</f>
        <v/>
      </c>
      <c r="J1871">
        <f>IF(I1871="","",IF(B1871=Dashboard!$AA$1,I1871,""))</f>
        <v/>
      </c>
    </row>
    <row r="1872">
      <c r="A1872" s="1" t="n"/>
      <c r="B1872" s="26" t="n"/>
      <c r="C1872" s="27" t="n"/>
      <c r="D1872" s="28" t="n"/>
      <c r="E1872" s="29" t="n"/>
      <c r="F1872" s="29" t="n"/>
      <c r="G1872" s="28" t="n"/>
      <c r="H1872" s="1" t="n"/>
      <c r="I1872">
        <f>IF(OR(B1872="",C1872=""),"",B1872+MOD(C1872,1))</f>
        <v/>
      </c>
      <c r="J1872">
        <f>IF(I1872="","",IF(B1872=Dashboard!$AA$1,I1872,""))</f>
        <v/>
      </c>
    </row>
    <row r="1873">
      <c r="A1873" s="1" t="n"/>
      <c r="B1873" s="26" t="n"/>
      <c r="C1873" s="27" t="n"/>
      <c r="D1873" s="28" t="n"/>
      <c r="E1873" s="29" t="n"/>
      <c r="F1873" s="29" t="n"/>
      <c r="G1873" s="28" t="n"/>
      <c r="H1873" s="1" t="n"/>
      <c r="I1873">
        <f>IF(OR(B1873="",C1873=""),"",B1873+MOD(C1873,1))</f>
        <v/>
      </c>
      <c r="J1873">
        <f>IF(I1873="","",IF(B1873=Dashboard!$AA$1,I1873,""))</f>
        <v/>
      </c>
    </row>
    <row r="1874">
      <c r="A1874" s="1" t="n"/>
      <c r="B1874" s="26" t="n"/>
      <c r="C1874" s="27" t="n"/>
      <c r="D1874" s="28" t="n"/>
      <c r="E1874" s="29" t="n"/>
      <c r="F1874" s="29" t="n"/>
      <c r="G1874" s="28" t="n"/>
      <c r="H1874" s="1" t="n"/>
      <c r="I1874">
        <f>IF(OR(B1874="",C1874=""),"",B1874+MOD(C1874,1))</f>
        <v/>
      </c>
      <c r="J1874">
        <f>IF(I1874="","",IF(B1874=Dashboard!$AA$1,I1874,""))</f>
        <v/>
      </c>
    </row>
    <row r="1875">
      <c r="A1875" s="1" t="n"/>
      <c r="B1875" s="26" t="n"/>
      <c r="C1875" s="27" t="n"/>
      <c r="D1875" s="28" t="n"/>
      <c r="E1875" s="29" t="n"/>
      <c r="F1875" s="29" t="n"/>
      <c r="G1875" s="28" t="n"/>
      <c r="H1875" s="1" t="n"/>
      <c r="I1875">
        <f>IF(OR(B1875="",C1875=""),"",B1875+MOD(C1875,1))</f>
        <v/>
      </c>
      <c r="J1875">
        <f>IF(I1875="","",IF(B1875=Dashboard!$AA$1,I1875,""))</f>
        <v/>
      </c>
    </row>
    <row r="1876">
      <c r="A1876" s="1" t="n"/>
      <c r="B1876" s="26" t="n"/>
      <c r="C1876" s="27" t="n"/>
      <c r="D1876" s="28" t="n"/>
      <c r="E1876" s="29" t="n"/>
      <c r="F1876" s="29" t="n"/>
      <c r="G1876" s="28" t="n"/>
      <c r="H1876" s="1" t="n"/>
      <c r="I1876">
        <f>IF(OR(B1876="",C1876=""),"",B1876+MOD(C1876,1))</f>
        <v/>
      </c>
      <c r="J1876">
        <f>IF(I1876="","",IF(B1876=Dashboard!$AA$1,I1876,""))</f>
        <v/>
      </c>
    </row>
    <row r="1877">
      <c r="A1877" s="1" t="n"/>
      <c r="B1877" s="26" t="n"/>
      <c r="C1877" s="27" t="n"/>
      <c r="D1877" s="28" t="n"/>
      <c r="E1877" s="29" t="n"/>
      <c r="F1877" s="29" t="n"/>
      <c r="G1877" s="28" t="n"/>
      <c r="H1877" s="1" t="n"/>
      <c r="I1877">
        <f>IF(OR(B1877="",C1877=""),"",B1877+MOD(C1877,1))</f>
        <v/>
      </c>
      <c r="J1877">
        <f>IF(I1877="","",IF(B1877=Dashboard!$AA$1,I1877,""))</f>
        <v/>
      </c>
    </row>
    <row r="1878">
      <c r="A1878" s="1" t="n"/>
      <c r="B1878" s="26" t="n"/>
      <c r="C1878" s="27" t="n"/>
      <c r="D1878" s="28" t="n"/>
      <c r="E1878" s="29" t="n"/>
      <c r="F1878" s="29" t="n"/>
      <c r="G1878" s="28" t="n"/>
      <c r="H1878" s="1" t="n"/>
      <c r="I1878">
        <f>IF(OR(B1878="",C1878=""),"",B1878+MOD(C1878,1))</f>
        <v/>
      </c>
      <c r="J1878">
        <f>IF(I1878="","",IF(B1878=Dashboard!$AA$1,I1878,""))</f>
        <v/>
      </c>
    </row>
    <row r="1879">
      <c r="A1879" s="1" t="n"/>
      <c r="B1879" s="26" t="n"/>
      <c r="C1879" s="27" t="n"/>
      <c r="D1879" s="28" t="n"/>
      <c r="E1879" s="29" t="n"/>
      <c r="F1879" s="29" t="n"/>
      <c r="G1879" s="28" t="n"/>
      <c r="H1879" s="1" t="n"/>
      <c r="I1879">
        <f>IF(OR(B1879="",C1879=""),"",B1879+MOD(C1879,1))</f>
        <v/>
      </c>
      <c r="J1879">
        <f>IF(I1879="","",IF(B1879=Dashboard!$AA$1,I1879,""))</f>
        <v/>
      </c>
    </row>
    <row r="1880">
      <c r="A1880" s="1" t="n"/>
      <c r="B1880" s="26" t="n"/>
      <c r="C1880" s="27" t="n"/>
      <c r="D1880" s="28" t="n"/>
      <c r="E1880" s="29" t="n"/>
      <c r="F1880" s="29" t="n"/>
      <c r="G1880" s="28" t="n"/>
      <c r="H1880" s="1" t="n"/>
      <c r="I1880">
        <f>IF(OR(B1880="",C1880=""),"",B1880+MOD(C1880,1))</f>
        <v/>
      </c>
      <c r="J1880">
        <f>IF(I1880="","",IF(B1880=Dashboard!$AA$1,I1880,""))</f>
        <v/>
      </c>
    </row>
    <row r="1881">
      <c r="A1881" s="1" t="n"/>
      <c r="B1881" s="26" t="n"/>
      <c r="C1881" s="27" t="n"/>
      <c r="D1881" s="28" t="n"/>
      <c r="E1881" s="29" t="n"/>
      <c r="F1881" s="29" t="n"/>
      <c r="G1881" s="28" t="n"/>
      <c r="H1881" s="1" t="n"/>
      <c r="I1881">
        <f>IF(OR(B1881="",C1881=""),"",B1881+MOD(C1881,1))</f>
        <v/>
      </c>
      <c r="J1881">
        <f>IF(I1881="","",IF(B1881=Dashboard!$AA$1,I1881,""))</f>
        <v/>
      </c>
    </row>
    <row r="1882">
      <c r="A1882" s="1" t="n"/>
      <c r="B1882" s="26" t="n"/>
      <c r="C1882" s="27" t="n"/>
      <c r="D1882" s="28" t="n"/>
      <c r="E1882" s="29" t="n"/>
      <c r="F1882" s="29" t="n"/>
      <c r="G1882" s="28" t="n"/>
      <c r="H1882" s="1" t="n"/>
      <c r="I1882">
        <f>IF(OR(B1882="",C1882=""),"",B1882+MOD(C1882,1))</f>
        <v/>
      </c>
      <c r="J1882">
        <f>IF(I1882="","",IF(B1882=Dashboard!$AA$1,I1882,""))</f>
        <v/>
      </c>
    </row>
    <row r="1883">
      <c r="A1883" s="1" t="n"/>
      <c r="B1883" s="26" t="n"/>
      <c r="C1883" s="27" t="n"/>
      <c r="D1883" s="28" t="n"/>
      <c r="E1883" s="29" t="n"/>
      <c r="F1883" s="29" t="n"/>
      <c r="G1883" s="28" t="n"/>
      <c r="H1883" s="1" t="n"/>
      <c r="I1883">
        <f>IF(OR(B1883="",C1883=""),"",B1883+MOD(C1883,1))</f>
        <v/>
      </c>
      <c r="J1883">
        <f>IF(I1883="","",IF(B1883=Dashboard!$AA$1,I1883,""))</f>
        <v/>
      </c>
    </row>
    <row r="1884">
      <c r="A1884" s="1" t="n"/>
      <c r="B1884" s="26" t="n"/>
      <c r="C1884" s="27" t="n"/>
      <c r="D1884" s="28" t="n"/>
      <c r="E1884" s="29" t="n"/>
      <c r="F1884" s="29" t="n"/>
      <c r="G1884" s="28" t="n"/>
      <c r="H1884" s="1" t="n"/>
      <c r="I1884">
        <f>IF(OR(B1884="",C1884=""),"",B1884+MOD(C1884,1))</f>
        <v/>
      </c>
      <c r="J1884">
        <f>IF(I1884="","",IF(B1884=Dashboard!$AA$1,I1884,""))</f>
        <v/>
      </c>
    </row>
    <row r="1885">
      <c r="A1885" s="1" t="n"/>
      <c r="B1885" s="26" t="n"/>
      <c r="C1885" s="27" t="n"/>
      <c r="D1885" s="28" t="n"/>
      <c r="E1885" s="29" t="n"/>
      <c r="F1885" s="29" t="n"/>
      <c r="G1885" s="28" t="n"/>
      <c r="H1885" s="1" t="n"/>
      <c r="I1885">
        <f>IF(OR(B1885="",C1885=""),"",B1885+MOD(C1885,1))</f>
        <v/>
      </c>
      <c r="J1885">
        <f>IF(I1885="","",IF(B1885=Dashboard!$AA$1,I1885,""))</f>
        <v/>
      </c>
    </row>
    <row r="1886">
      <c r="A1886" s="1" t="n"/>
      <c r="B1886" s="26" t="n"/>
      <c r="C1886" s="27" t="n"/>
      <c r="D1886" s="28" t="n"/>
      <c r="E1886" s="29" t="n"/>
      <c r="F1886" s="29" t="n"/>
      <c r="G1886" s="28" t="n"/>
      <c r="H1886" s="1" t="n"/>
      <c r="I1886">
        <f>IF(OR(B1886="",C1886=""),"",B1886+MOD(C1886,1))</f>
        <v/>
      </c>
      <c r="J1886">
        <f>IF(I1886="","",IF(B1886=Dashboard!$AA$1,I1886,""))</f>
        <v/>
      </c>
    </row>
    <row r="1887">
      <c r="A1887" s="1" t="n"/>
      <c r="B1887" s="26" t="n"/>
      <c r="C1887" s="27" t="n"/>
      <c r="D1887" s="28" t="n"/>
      <c r="E1887" s="29" t="n"/>
      <c r="F1887" s="29" t="n"/>
      <c r="G1887" s="28" t="n"/>
      <c r="H1887" s="1" t="n"/>
      <c r="I1887">
        <f>IF(OR(B1887="",C1887=""),"",B1887+MOD(C1887,1))</f>
        <v/>
      </c>
      <c r="J1887">
        <f>IF(I1887="","",IF(B1887=Dashboard!$AA$1,I1887,""))</f>
        <v/>
      </c>
    </row>
    <row r="1888">
      <c r="A1888" s="1" t="n"/>
      <c r="B1888" s="26" t="n"/>
      <c r="C1888" s="27" t="n"/>
      <c r="D1888" s="28" t="n"/>
      <c r="E1888" s="29" t="n"/>
      <c r="F1888" s="29" t="n"/>
      <c r="G1888" s="28" t="n"/>
      <c r="H1888" s="1" t="n"/>
      <c r="I1888">
        <f>IF(OR(B1888="",C1888=""),"",B1888+MOD(C1888,1))</f>
        <v/>
      </c>
      <c r="J1888">
        <f>IF(I1888="","",IF(B1888=Dashboard!$AA$1,I1888,""))</f>
        <v/>
      </c>
    </row>
    <row r="1889">
      <c r="A1889" s="1" t="n"/>
      <c r="B1889" s="26" t="n"/>
      <c r="C1889" s="27" t="n"/>
      <c r="D1889" s="28" t="n"/>
      <c r="E1889" s="29" t="n"/>
      <c r="F1889" s="29" t="n"/>
      <c r="G1889" s="28" t="n"/>
      <c r="H1889" s="1" t="n"/>
      <c r="I1889">
        <f>IF(OR(B1889="",C1889=""),"",B1889+MOD(C1889,1))</f>
        <v/>
      </c>
      <c r="J1889">
        <f>IF(I1889="","",IF(B1889=Dashboard!$AA$1,I1889,""))</f>
        <v/>
      </c>
    </row>
    <row r="1890">
      <c r="A1890" s="1" t="n"/>
      <c r="B1890" s="26" t="n"/>
      <c r="C1890" s="27" t="n"/>
      <c r="D1890" s="28" t="n"/>
      <c r="E1890" s="29" t="n"/>
      <c r="F1890" s="29" t="n"/>
      <c r="G1890" s="28" t="n"/>
      <c r="H1890" s="1" t="n"/>
      <c r="I1890">
        <f>IF(OR(B1890="",C1890=""),"",B1890+MOD(C1890,1))</f>
        <v/>
      </c>
      <c r="J1890">
        <f>IF(I1890="","",IF(B1890=Dashboard!$AA$1,I1890,""))</f>
        <v/>
      </c>
    </row>
    <row r="1891">
      <c r="A1891" s="1" t="n"/>
      <c r="B1891" s="26" t="n"/>
      <c r="C1891" s="27" t="n"/>
      <c r="D1891" s="28" t="n"/>
      <c r="E1891" s="29" t="n"/>
      <c r="F1891" s="29" t="n"/>
      <c r="G1891" s="28" t="n"/>
      <c r="H1891" s="1" t="n"/>
      <c r="I1891">
        <f>IF(OR(B1891="",C1891=""),"",B1891+MOD(C1891,1))</f>
        <v/>
      </c>
      <c r="J1891">
        <f>IF(I1891="","",IF(B1891=Dashboard!$AA$1,I1891,""))</f>
        <v/>
      </c>
    </row>
    <row r="1892">
      <c r="A1892" s="1" t="n"/>
      <c r="B1892" s="26" t="n"/>
      <c r="C1892" s="27" t="n"/>
      <c r="D1892" s="28" t="n"/>
      <c r="E1892" s="29" t="n"/>
      <c r="F1892" s="29" t="n"/>
      <c r="G1892" s="28" t="n"/>
      <c r="H1892" s="1" t="n"/>
      <c r="I1892">
        <f>IF(OR(B1892="",C1892=""),"",B1892+MOD(C1892,1))</f>
        <v/>
      </c>
      <c r="J1892">
        <f>IF(I1892="","",IF(B1892=Dashboard!$AA$1,I1892,""))</f>
        <v/>
      </c>
    </row>
    <row r="1893">
      <c r="A1893" s="1" t="n"/>
      <c r="B1893" s="26" t="n"/>
      <c r="C1893" s="27" t="n"/>
      <c r="D1893" s="28" t="n"/>
      <c r="E1893" s="29" t="n"/>
      <c r="F1893" s="29" t="n"/>
      <c r="G1893" s="28" t="n"/>
      <c r="H1893" s="1" t="n"/>
      <c r="I1893">
        <f>IF(OR(B1893="",C1893=""),"",B1893+MOD(C1893,1))</f>
        <v/>
      </c>
      <c r="J1893">
        <f>IF(I1893="","",IF(B1893=Dashboard!$AA$1,I1893,""))</f>
        <v/>
      </c>
    </row>
    <row r="1894">
      <c r="A1894" s="1" t="n"/>
      <c r="B1894" s="26" t="n"/>
      <c r="C1894" s="27" t="n"/>
      <c r="D1894" s="28" t="n"/>
      <c r="E1894" s="29" t="n"/>
      <c r="F1894" s="29" t="n"/>
      <c r="G1894" s="28" t="n"/>
      <c r="H1894" s="1" t="n"/>
      <c r="I1894">
        <f>IF(OR(B1894="",C1894=""),"",B1894+MOD(C1894,1))</f>
        <v/>
      </c>
      <c r="J1894">
        <f>IF(I1894="","",IF(B1894=Dashboard!$AA$1,I1894,""))</f>
        <v/>
      </c>
    </row>
    <row r="1895">
      <c r="A1895" s="1" t="n"/>
      <c r="B1895" s="26" t="n"/>
      <c r="C1895" s="27" t="n"/>
      <c r="D1895" s="28" t="n"/>
      <c r="E1895" s="29" t="n"/>
      <c r="F1895" s="29" t="n"/>
      <c r="G1895" s="28" t="n"/>
      <c r="H1895" s="1" t="n"/>
      <c r="I1895">
        <f>IF(OR(B1895="",C1895=""),"",B1895+MOD(C1895,1))</f>
        <v/>
      </c>
      <c r="J1895">
        <f>IF(I1895="","",IF(B1895=Dashboard!$AA$1,I1895,""))</f>
        <v/>
      </c>
    </row>
    <row r="1896">
      <c r="A1896" s="1" t="n"/>
      <c r="B1896" s="26" t="n"/>
      <c r="C1896" s="27" t="n"/>
      <c r="D1896" s="28" t="n"/>
      <c r="E1896" s="29" t="n"/>
      <c r="F1896" s="29" t="n"/>
      <c r="G1896" s="28" t="n"/>
      <c r="H1896" s="1" t="n"/>
      <c r="I1896">
        <f>IF(OR(B1896="",C1896=""),"",B1896+MOD(C1896,1))</f>
        <v/>
      </c>
      <c r="J1896">
        <f>IF(I1896="","",IF(B1896=Dashboard!$AA$1,I1896,""))</f>
        <v/>
      </c>
    </row>
    <row r="1897">
      <c r="A1897" s="1" t="n"/>
      <c r="B1897" s="26" t="n"/>
      <c r="C1897" s="27" t="n"/>
      <c r="D1897" s="28" t="n"/>
      <c r="E1897" s="29" t="n"/>
      <c r="F1897" s="29" t="n"/>
      <c r="G1897" s="28" t="n"/>
      <c r="H1897" s="1" t="n"/>
      <c r="I1897">
        <f>IF(OR(B1897="",C1897=""),"",B1897+MOD(C1897,1))</f>
        <v/>
      </c>
      <c r="J1897">
        <f>IF(I1897="","",IF(B1897=Dashboard!$AA$1,I1897,""))</f>
        <v/>
      </c>
    </row>
    <row r="1898">
      <c r="A1898" s="1" t="n"/>
      <c r="B1898" s="26" t="n"/>
      <c r="C1898" s="27" t="n"/>
      <c r="D1898" s="28" t="n"/>
      <c r="E1898" s="29" t="n"/>
      <c r="F1898" s="29" t="n"/>
      <c r="G1898" s="28" t="n"/>
      <c r="H1898" s="1" t="n"/>
      <c r="I1898">
        <f>IF(OR(B1898="",C1898=""),"",B1898+MOD(C1898,1))</f>
        <v/>
      </c>
      <c r="J1898">
        <f>IF(I1898="","",IF(B1898=Dashboard!$AA$1,I1898,""))</f>
        <v/>
      </c>
    </row>
    <row r="1899">
      <c r="A1899" s="1" t="n"/>
      <c r="B1899" s="26" t="n"/>
      <c r="C1899" s="27" t="n"/>
      <c r="D1899" s="28" t="n"/>
      <c r="E1899" s="29" t="n"/>
      <c r="F1899" s="29" t="n"/>
      <c r="G1899" s="28" t="n"/>
      <c r="H1899" s="1" t="n"/>
      <c r="I1899">
        <f>IF(OR(B1899="",C1899=""),"",B1899+MOD(C1899,1))</f>
        <v/>
      </c>
      <c r="J1899">
        <f>IF(I1899="","",IF(B1899=Dashboard!$AA$1,I1899,""))</f>
        <v/>
      </c>
    </row>
    <row r="1900">
      <c r="A1900" s="1" t="n"/>
      <c r="B1900" s="26" t="n"/>
      <c r="C1900" s="27" t="n"/>
      <c r="D1900" s="28" t="n"/>
      <c r="E1900" s="29" t="n"/>
      <c r="F1900" s="29" t="n"/>
      <c r="G1900" s="28" t="n"/>
      <c r="H1900" s="1" t="n"/>
      <c r="I1900">
        <f>IF(OR(B1900="",C1900=""),"",B1900+MOD(C1900,1))</f>
        <v/>
      </c>
      <c r="J1900">
        <f>IF(I1900="","",IF(B1900=Dashboard!$AA$1,I1900,""))</f>
        <v/>
      </c>
    </row>
    <row r="1901">
      <c r="A1901" s="1" t="n"/>
      <c r="B1901" s="26" t="n"/>
      <c r="C1901" s="27" t="n"/>
      <c r="D1901" s="28" t="n"/>
      <c r="E1901" s="29" t="n"/>
      <c r="F1901" s="29" t="n"/>
      <c r="G1901" s="28" t="n"/>
      <c r="H1901" s="1" t="n"/>
      <c r="I1901">
        <f>IF(OR(B1901="",C1901=""),"",B1901+MOD(C1901,1))</f>
        <v/>
      </c>
      <c r="J1901">
        <f>IF(I1901="","",IF(B1901=Dashboard!$AA$1,I1901,""))</f>
        <v/>
      </c>
    </row>
    <row r="1902">
      <c r="A1902" s="1" t="n"/>
      <c r="B1902" s="26" t="n"/>
      <c r="C1902" s="27" t="n"/>
      <c r="D1902" s="28" t="n"/>
      <c r="E1902" s="29" t="n"/>
      <c r="F1902" s="29" t="n"/>
      <c r="G1902" s="28" t="n"/>
      <c r="H1902" s="1" t="n"/>
      <c r="I1902">
        <f>IF(OR(B1902="",C1902=""),"",B1902+MOD(C1902,1))</f>
        <v/>
      </c>
      <c r="J1902">
        <f>IF(I1902="","",IF(B1902=Dashboard!$AA$1,I1902,""))</f>
        <v/>
      </c>
    </row>
    <row r="1903">
      <c r="A1903" s="1" t="n"/>
      <c r="B1903" s="26" t="n"/>
      <c r="C1903" s="27" t="n"/>
      <c r="D1903" s="28" t="n"/>
      <c r="E1903" s="29" t="n"/>
      <c r="F1903" s="29" t="n"/>
      <c r="G1903" s="28" t="n"/>
      <c r="H1903" s="1" t="n"/>
      <c r="I1903">
        <f>IF(OR(B1903="",C1903=""),"",B1903+MOD(C1903,1))</f>
        <v/>
      </c>
      <c r="J1903">
        <f>IF(I1903="","",IF(B1903=Dashboard!$AA$1,I1903,""))</f>
        <v/>
      </c>
    </row>
    <row r="1904">
      <c r="A1904" s="1" t="n"/>
      <c r="B1904" s="26" t="n"/>
      <c r="C1904" s="27" t="n"/>
      <c r="D1904" s="28" t="n"/>
      <c r="E1904" s="29" t="n"/>
      <c r="F1904" s="29" t="n"/>
      <c r="G1904" s="28" t="n"/>
      <c r="H1904" s="1" t="n"/>
      <c r="I1904">
        <f>IF(OR(B1904="",C1904=""),"",B1904+MOD(C1904,1))</f>
        <v/>
      </c>
      <c r="J1904">
        <f>IF(I1904="","",IF(B1904=Dashboard!$AA$1,I1904,""))</f>
        <v/>
      </c>
    </row>
    <row r="1905">
      <c r="A1905" s="1" t="n"/>
      <c r="B1905" s="26" t="n"/>
      <c r="C1905" s="27" t="n"/>
      <c r="D1905" s="28" t="n"/>
      <c r="E1905" s="29" t="n"/>
      <c r="F1905" s="29" t="n"/>
      <c r="G1905" s="28" t="n"/>
      <c r="H1905" s="1" t="n"/>
      <c r="I1905">
        <f>IF(OR(B1905="",C1905=""),"",B1905+MOD(C1905,1))</f>
        <v/>
      </c>
      <c r="J1905">
        <f>IF(I1905="","",IF(B1905=Dashboard!$AA$1,I1905,""))</f>
        <v/>
      </c>
    </row>
    <row r="1906">
      <c r="A1906" s="1" t="n"/>
      <c r="B1906" s="26" t="n"/>
      <c r="C1906" s="27" t="n"/>
      <c r="D1906" s="28" t="n"/>
      <c r="E1906" s="29" t="n"/>
      <c r="F1906" s="29" t="n"/>
      <c r="G1906" s="28" t="n"/>
      <c r="H1906" s="1" t="n"/>
      <c r="I1906">
        <f>IF(OR(B1906="",C1906=""),"",B1906+MOD(C1906,1))</f>
        <v/>
      </c>
      <c r="J1906">
        <f>IF(I1906="","",IF(B1906=Dashboard!$AA$1,I1906,""))</f>
        <v/>
      </c>
    </row>
    <row r="1907">
      <c r="A1907" s="1" t="n"/>
      <c r="B1907" s="26" t="n"/>
      <c r="C1907" s="27" t="n"/>
      <c r="D1907" s="28" t="n"/>
      <c r="E1907" s="29" t="n"/>
      <c r="F1907" s="29" t="n"/>
      <c r="G1907" s="28" t="n"/>
      <c r="H1907" s="1" t="n"/>
      <c r="I1907">
        <f>IF(OR(B1907="",C1907=""),"",B1907+MOD(C1907,1))</f>
        <v/>
      </c>
      <c r="J1907">
        <f>IF(I1907="","",IF(B1907=Dashboard!$AA$1,I1907,""))</f>
        <v/>
      </c>
    </row>
    <row r="1908">
      <c r="A1908" s="1" t="n"/>
      <c r="B1908" s="26" t="n"/>
      <c r="C1908" s="27" t="n"/>
      <c r="D1908" s="28" t="n"/>
      <c r="E1908" s="29" t="n"/>
      <c r="F1908" s="29" t="n"/>
      <c r="G1908" s="28" t="n"/>
      <c r="H1908" s="1" t="n"/>
      <c r="I1908">
        <f>IF(OR(B1908="",C1908=""),"",B1908+MOD(C1908,1))</f>
        <v/>
      </c>
      <c r="J1908">
        <f>IF(I1908="","",IF(B1908=Dashboard!$AA$1,I1908,""))</f>
        <v/>
      </c>
    </row>
    <row r="1909">
      <c r="A1909" s="1" t="n"/>
      <c r="B1909" s="26" t="n"/>
      <c r="C1909" s="27" t="n"/>
      <c r="D1909" s="28" t="n"/>
      <c r="E1909" s="29" t="n"/>
      <c r="F1909" s="29" t="n"/>
      <c r="G1909" s="28" t="n"/>
      <c r="H1909" s="1" t="n"/>
      <c r="I1909">
        <f>IF(OR(B1909="",C1909=""),"",B1909+MOD(C1909,1))</f>
        <v/>
      </c>
      <c r="J1909">
        <f>IF(I1909="","",IF(B1909=Dashboard!$AA$1,I1909,""))</f>
        <v/>
      </c>
    </row>
    <row r="1910">
      <c r="A1910" s="1" t="n"/>
      <c r="B1910" s="26" t="n"/>
      <c r="C1910" s="27" t="n"/>
      <c r="D1910" s="28" t="n"/>
      <c r="E1910" s="29" t="n"/>
      <c r="F1910" s="29" t="n"/>
      <c r="G1910" s="28" t="n"/>
      <c r="H1910" s="1" t="n"/>
      <c r="I1910">
        <f>IF(OR(B1910="",C1910=""),"",B1910+MOD(C1910,1))</f>
        <v/>
      </c>
      <c r="J1910">
        <f>IF(I1910="","",IF(B1910=Dashboard!$AA$1,I1910,""))</f>
        <v/>
      </c>
    </row>
    <row r="1911">
      <c r="A1911" s="1" t="n"/>
      <c r="B1911" s="26" t="n"/>
      <c r="C1911" s="27" t="n"/>
      <c r="D1911" s="28" t="n"/>
      <c r="E1911" s="29" t="n"/>
      <c r="F1911" s="29" t="n"/>
      <c r="G1911" s="28" t="n"/>
      <c r="H1911" s="1" t="n"/>
      <c r="I1911">
        <f>IF(OR(B1911="",C1911=""),"",B1911+MOD(C1911,1))</f>
        <v/>
      </c>
      <c r="J1911">
        <f>IF(I1911="","",IF(B1911=Dashboard!$AA$1,I1911,""))</f>
        <v/>
      </c>
    </row>
    <row r="1912">
      <c r="A1912" s="1" t="n"/>
      <c r="B1912" s="26" t="n"/>
      <c r="C1912" s="27" t="n"/>
      <c r="D1912" s="28" t="n"/>
      <c r="E1912" s="29" t="n"/>
      <c r="F1912" s="29" t="n"/>
      <c r="G1912" s="28" t="n"/>
      <c r="H1912" s="1" t="n"/>
      <c r="I1912">
        <f>IF(OR(B1912="",C1912=""),"",B1912+MOD(C1912,1))</f>
        <v/>
      </c>
      <c r="J1912">
        <f>IF(I1912="","",IF(B1912=Dashboard!$AA$1,I1912,""))</f>
        <v/>
      </c>
    </row>
    <row r="1913">
      <c r="A1913" s="1" t="n"/>
      <c r="B1913" s="26" t="n"/>
      <c r="C1913" s="27" t="n"/>
      <c r="D1913" s="28" t="n"/>
      <c r="E1913" s="29" t="n"/>
      <c r="F1913" s="29" t="n"/>
      <c r="G1913" s="28" t="n"/>
      <c r="H1913" s="1" t="n"/>
      <c r="I1913">
        <f>IF(OR(B1913="",C1913=""),"",B1913+MOD(C1913,1))</f>
        <v/>
      </c>
      <c r="J1913">
        <f>IF(I1913="","",IF(B1913=Dashboard!$AA$1,I1913,""))</f>
        <v/>
      </c>
    </row>
    <row r="1914">
      <c r="A1914" s="1" t="n"/>
      <c r="B1914" s="26" t="n"/>
      <c r="C1914" s="27" t="n"/>
      <c r="D1914" s="28" t="n"/>
      <c r="E1914" s="29" t="n"/>
      <c r="F1914" s="29" t="n"/>
      <c r="G1914" s="28" t="n"/>
      <c r="H1914" s="1" t="n"/>
      <c r="I1914">
        <f>IF(OR(B1914="",C1914=""),"",B1914+MOD(C1914,1))</f>
        <v/>
      </c>
      <c r="J1914">
        <f>IF(I1914="","",IF(B1914=Dashboard!$AA$1,I1914,""))</f>
        <v/>
      </c>
    </row>
    <row r="1915">
      <c r="A1915" s="1" t="n"/>
      <c r="B1915" s="26" t="n"/>
      <c r="C1915" s="27" t="n"/>
      <c r="D1915" s="28" t="n"/>
      <c r="E1915" s="29" t="n"/>
      <c r="F1915" s="29" t="n"/>
      <c r="G1915" s="28" t="n"/>
      <c r="H1915" s="1" t="n"/>
      <c r="I1915">
        <f>IF(OR(B1915="",C1915=""),"",B1915+MOD(C1915,1))</f>
        <v/>
      </c>
      <c r="J1915">
        <f>IF(I1915="","",IF(B1915=Dashboard!$AA$1,I1915,""))</f>
        <v/>
      </c>
    </row>
    <row r="1916">
      <c r="A1916" s="1" t="n"/>
      <c r="B1916" s="26" t="n"/>
      <c r="C1916" s="27" t="n"/>
      <c r="D1916" s="28" t="n"/>
      <c r="E1916" s="29" t="n"/>
      <c r="F1916" s="29" t="n"/>
      <c r="G1916" s="28" t="n"/>
      <c r="H1916" s="1" t="n"/>
      <c r="I1916">
        <f>IF(OR(B1916="",C1916=""),"",B1916+MOD(C1916,1))</f>
        <v/>
      </c>
      <c r="J1916">
        <f>IF(I1916="","",IF(B1916=Dashboard!$AA$1,I1916,""))</f>
        <v/>
      </c>
    </row>
    <row r="1917">
      <c r="A1917" s="1" t="n"/>
      <c r="B1917" s="26" t="n"/>
      <c r="C1917" s="27" t="n"/>
      <c r="D1917" s="28" t="n"/>
      <c r="E1917" s="29" t="n"/>
      <c r="F1917" s="29" t="n"/>
      <c r="G1917" s="28" t="n"/>
      <c r="H1917" s="1" t="n"/>
      <c r="I1917">
        <f>IF(OR(B1917="",C1917=""),"",B1917+MOD(C1917,1))</f>
        <v/>
      </c>
      <c r="J1917">
        <f>IF(I1917="","",IF(B1917=Dashboard!$AA$1,I1917,""))</f>
        <v/>
      </c>
    </row>
    <row r="1918">
      <c r="A1918" s="1" t="n"/>
      <c r="B1918" s="26" t="n"/>
      <c r="C1918" s="27" t="n"/>
      <c r="D1918" s="28" t="n"/>
      <c r="E1918" s="29" t="n"/>
      <c r="F1918" s="29" t="n"/>
      <c r="G1918" s="28" t="n"/>
      <c r="H1918" s="1" t="n"/>
      <c r="I1918">
        <f>IF(OR(B1918="",C1918=""),"",B1918+MOD(C1918,1))</f>
        <v/>
      </c>
      <c r="J1918">
        <f>IF(I1918="","",IF(B1918=Dashboard!$AA$1,I1918,""))</f>
        <v/>
      </c>
    </row>
    <row r="1919">
      <c r="A1919" s="1" t="n"/>
      <c r="B1919" s="26" t="n"/>
      <c r="C1919" s="27" t="n"/>
      <c r="D1919" s="28" t="n"/>
      <c r="E1919" s="29" t="n"/>
      <c r="F1919" s="29" t="n"/>
      <c r="G1919" s="28" t="n"/>
      <c r="H1919" s="1" t="n"/>
      <c r="I1919">
        <f>IF(OR(B1919="",C1919=""),"",B1919+MOD(C1919,1))</f>
        <v/>
      </c>
      <c r="J1919">
        <f>IF(I1919="","",IF(B1919=Dashboard!$AA$1,I1919,""))</f>
        <v/>
      </c>
    </row>
    <row r="1920">
      <c r="A1920" s="1" t="n"/>
      <c r="B1920" s="26" t="n"/>
      <c r="C1920" s="27" t="n"/>
      <c r="D1920" s="28" t="n"/>
      <c r="E1920" s="29" t="n"/>
      <c r="F1920" s="29" t="n"/>
      <c r="G1920" s="28" t="n"/>
      <c r="H1920" s="1" t="n"/>
      <c r="I1920">
        <f>IF(OR(B1920="",C1920=""),"",B1920+MOD(C1920,1))</f>
        <v/>
      </c>
      <c r="J1920">
        <f>IF(I1920="","",IF(B1920=Dashboard!$AA$1,I1920,""))</f>
        <v/>
      </c>
    </row>
    <row r="1921">
      <c r="A1921" s="1" t="n"/>
      <c r="B1921" s="26" t="n"/>
      <c r="C1921" s="27" t="n"/>
      <c r="D1921" s="28" t="n"/>
      <c r="E1921" s="29" t="n"/>
      <c r="F1921" s="29" t="n"/>
      <c r="G1921" s="28" t="n"/>
      <c r="H1921" s="1" t="n"/>
      <c r="I1921">
        <f>IF(OR(B1921="",C1921=""),"",B1921+MOD(C1921,1))</f>
        <v/>
      </c>
      <c r="J1921">
        <f>IF(I1921="","",IF(B1921=Dashboard!$AA$1,I1921,""))</f>
        <v/>
      </c>
    </row>
    <row r="1922">
      <c r="A1922" s="1" t="n"/>
      <c r="B1922" s="26" t="n"/>
      <c r="C1922" s="27" t="n"/>
      <c r="D1922" s="28" t="n"/>
      <c r="E1922" s="29" t="n"/>
      <c r="F1922" s="29" t="n"/>
      <c r="G1922" s="28" t="n"/>
      <c r="H1922" s="1" t="n"/>
      <c r="I1922">
        <f>IF(OR(B1922="",C1922=""),"",B1922+MOD(C1922,1))</f>
        <v/>
      </c>
      <c r="J1922">
        <f>IF(I1922="","",IF(B1922=Dashboard!$AA$1,I1922,""))</f>
        <v/>
      </c>
    </row>
    <row r="1923">
      <c r="A1923" s="1" t="n"/>
      <c r="B1923" s="26" t="n"/>
      <c r="C1923" s="27" t="n"/>
      <c r="D1923" s="28" t="n"/>
      <c r="E1923" s="29" t="n"/>
      <c r="F1923" s="29" t="n"/>
      <c r="G1923" s="28" t="n"/>
      <c r="H1923" s="1" t="n"/>
      <c r="I1923">
        <f>IF(OR(B1923="",C1923=""),"",B1923+MOD(C1923,1))</f>
        <v/>
      </c>
      <c r="J1923">
        <f>IF(I1923="","",IF(B1923=Dashboard!$AA$1,I1923,""))</f>
        <v/>
      </c>
    </row>
    <row r="1924">
      <c r="A1924" s="1" t="n"/>
      <c r="B1924" s="26" t="n"/>
      <c r="C1924" s="27" t="n"/>
      <c r="D1924" s="28" t="n"/>
      <c r="E1924" s="29" t="n"/>
      <c r="F1924" s="29" t="n"/>
      <c r="G1924" s="28" t="n"/>
      <c r="H1924" s="1" t="n"/>
      <c r="I1924">
        <f>IF(OR(B1924="",C1924=""),"",B1924+MOD(C1924,1))</f>
        <v/>
      </c>
      <c r="J1924">
        <f>IF(I1924="","",IF(B1924=Dashboard!$AA$1,I1924,""))</f>
        <v/>
      </c>
    </row>
    <row r="1925">
      <c r="A1925" s="1" t="n"/>
      <c r="B1925" s="26" t="n"/>
      <c r="C1925" s="27" t="n"/>
      <c r="D1925" s="28" t="n"/>
      <c r="E1925" s="29" t="n"/>
      <c r="F1925" s="29" t="n"/>
      <c r="G1925" s="28" t="n"/>
      <c r="H1925" s="1" t="n"/>
      <c r="I1925">
        <f>IF(OR(B1925="",C1925=""),"",B1925+MOD(C1925,1))</f>
        <v/>
      </c>
      <c r="J1925">
        <f>IF(I1925="","",IF(B1925=Dashboard!$AA$1,I1925,""))</f>
        <v/>
      </c>
    </row>
    <row r="1926">
      <c r="A1926" s="1" t="n"/>
      <c r="B1926" s="26" t="n"/>
      <c r="C1926" s="27" t="n"/>
      <c r="D1926" s="28" t="n"/>
      <c r="E1926" s="29" t="n"/>
      <c r="F1926" s="29" t="n"/>
      <c r="G1926" s="28" t="n"/>
      <c r="H1926" s="1" t="n"/>
      <c r="I1926">
        <f>IF(OR(B1926="",C1926=""),"",B1926+MOD(C1926,1))</f>
        <v/>
      </c>
      <c r="J1926">
        <f>IF(I1926="","",IF(B1926=Dashboard!$AA$1,I1926,""))</f>
        <v/>
      </c>
    </row>
    <row r="1927">
      <c r="A1927" s="1" t="n"/>
      <c r="B1927" s="26" t="n"/>
      <c r="C1927" s="27" t="n"/>
      <c r="D1927" s="28" t="n"/>
      <c r="E1927" s="29" t="n"/>
      <c r="F1927" s="29" t="n"/>
      <c r="G1927" s="28" t="n"/>
      <c r="H1927" s="1" t="n"/>
      <c r="I1927">
        <f>IF(OR(B1927="",C1927=""),"",B1927+MOD(C1927,1))</f>
        <v/>
      </c>
      <c r="J1927">
        <f>IF(I1927="","",IF(B1927=Dashboard!$AA$1,I1927,""))</f>
        <v/>
      </c>
    </row>
    <row r="1928">
      <c r="A1928" s="1" t="n"/>
      <c r="B1928" s="26" t="n"/>
      <c r="C1928" s="27" t="n"/>
      <c r="D1928" s="28" t="n"/>
      <c r="E1928" s="29" t="n"/>
      <c r="F1928" s="29" t="n"/>
      <c r="G1928" s="28" t="n"/>
      <c r="H1928" s="1" t="n"/>
      <c r="I1928">
        <f>IF(OR(B1928="",C1928=""),"",B1928+MOD(C1928,1))</f>
        <v/>
      </c>
      <c r="J1928">
        <f>IF(I1928="","",IF(B1928=Dashboard!$AA$1,I1928,""))</f>
        <v/>
      </c>
    </row>
    <row r="1929">
      <c r="A1929" s="1" t="n"/>
      <c r="B1929" s="26" t="n"/>
      <c r="C1929" s="27" t="n"/>
      <c r="D1929" s="28" t="n"/>
      <c r="E1929" s="29" t="n"/>
      <c r="F1929" s="29" t="n"/>
      <c r="G1929" s="28" t="n"/>
      <c r="H1929" s="1" t="n"/>
      <c r="I1929">
        <f>IF(OR(B1929="",C1929=""),"",B1929+MOD(C1929,1))</f>
        <v/>
      </c>
      <c r="J1929">
        <f>IF(I1929="","",IF(B1929=Dashboard!$AA$1,I1929,""))</f>
        <v/>
      </c>
    </row>
    <row r="1930">
      <c r="A1930" s="1" t="n"/>
      <c r="B1930" s="26" t="n"/>
      <c r="C1930" s="27" t="n"/>
      <c r="D1930" s="28" t="n"/>
      <c r="E1930" s="29" t="n"/>
      <c r="F1930" s="29" t="n"/>
      <c r="G1930" s="28" t="n"/>
      <c r="H1930" s="1" t="n"/>
      <c r="I1930">
        <f>IF(OR(B1930="",C1930=""),"",B1930+MOD(C1930,1))</f>
        <v/>
      </c>
      <c r="J1930">
        <f>IF(I1930="","",IF(B1930=Dashboard!$AA$1,I1930,""))</f>
        <v/>
      </c>
    </row>
    <row r="1931">
      <c r="A1931" s="1" t="n"/>
      <c r="B1931" s="26" t="n"/>
      <c r="C1931" s="27" t="n"/>
      <c r="D1931" s="28" t="n"/>
      <c r="E1931" s="29" t="n"/>
      <c r="F1931" s="29" t="n"/>
      <c r="G1931" s="28" t="n"/>
      <c r="H1931" s="1" t="n"/>
      <c r="I1931">
        <f>IF(OR(B1931="",C1931=""),"",B1931+MOD(C1931,1))</f>
        <v/>
      </c>
      <c r="J1931">
        <f>IF(I1931="","",IF(B1931=Dashboard!$AA$1,I1931,""))</f>
        <v/>
      </c>
    </row>
    <row r="1932">
      <c r="A1932" s="1" t="n"/>
      <c r="B1932" s="26" t="n"/>
      <c r="C1932" s="27" t="n"/>
      <c r="D1932" s="28" t="n"/>
      <c r="E1932" s="29" t="n"/>
      <c r="F1932" s="29" t="n"/>
      <c r="G1932" s="28" t="n"/>
      <c r="H1932" s="1" t="n"/>
      <c r="I1932">
        <f>IF(OR(B1932="",C1932=""),"",B1932+MOD(C1932,1))</f>
        <v/>
      </c>
      <c r="J1932">
        <f>IF(I1932="","",IF(B1932=Dashboard!$AA$1,I1932,""))</f>
        <v/>
      </c>
    </row>
    <row r="1933">
      <c r="A1933" s="1" t="n"/>
      <c r="B1933" s="26" t="n"/>
      <c r="C1933" s="27" t="n"/>
      <c r="D1933" s="28" t="n"/>
      <c r="E1933" s="29" t="n"/>
      <c r="F1933" s="29" t="n"/>
      <c r="G1933" s="28" t="n"/>
      <c r="H1933" s="1" t="n"/>
      <c r="I1933">
        <f>IF(OR(B1933="",C1933=""),"",B1933+MOD(C1933,1))</f>
        <v/>
      </c>
      <c r="J1933">
        <f>IF(I1933="","",IF(B1933=Dashboard!$AA$1,I1933,""))</f>
        <v/>
      </c>
    </row>
    <row r="1934">
      <c r="A1934" s="1" t="n"/>
      <c r="B1934" s="26" t="n"/>
      <c r="C1934" s="27" t="n"/>
      <c r="D1934" s="28" t="n"/>
      <c r="E1934" s="29" t="n"/>
      <c r="F1934" s="29" t="n"/>
      <c r="G1934" s="28" t="n"/>
      <c r="H1934" s="1" t="n"/>
      <c r="I1934">
        <f>IF(OR(B1934="",C1934=""),"",B1934+MOD(C1934,1))</f>
        <v/>
      </c>
      <c r="J1934">
        <f>IF(I1934="","",IF(B1934=Dashboard!$AA$1,I1934,""))</f>
        <v/>
      </c>
    </row>
    <row r="1935">
      <c r="A1935" s="1" t="n"/>
      <c r="B1935" s="26" t="n"/>
      <c r="C1935" s="27" t="n"/>
      <c r="D1935" s="28" t="n"/>
      <c r="E1935" s="29" t="n"/>
      <c r="F1935" s="29" t="n"/>
      <c r="G1935" s="28" t="n"/>
      <c r="H1935" s="1" t="n"/>
      <c r="I1935">
        <f>IF(OR(B1935="",C1935=""),"",B1935+MOD(C1935,1))</f>
        <v/>
      </c>
      <c r="J1935">
        <f>IF(I1935="","",IF(B1935=Dashboard!$AA$1,I1935,""))</f>
        <v/>
      </c>
    </row>
    <row r="1936">
      <c r="A1936" s="1" t="n"/>
      <c r="B1936" s="26" t="n"/>
      <c r="C1936" s="27" t="n"/>
      <c r="D1936" s="28" t="n"/>
      <c r="E1936" s="29" t="n"/>
      <c r="F1936" s="29" t="n"/>
      <c r="G1936" s="28" t="n"/>
      <c r="H1936" s="1" t="n"/>
      <c r="I1936">
        <f>IF(OR(B1936="",C1936=""),"",B1936+MOD(C1936,1))</f>
        <v/>
      </c>
      <c r="J1936">
        <f>IF(I1936="","",IF(B1936=Dashboard!$AA$1,I1936,""))</f>
        <v/>
      </c>
    </row>
    <row r="1937">
      <c r="A1937" s="1" t="n"/>
      <c r="B1937" s="26" t="n"/>
      <c r="C1937" s="27" t="n"/>
      <c r="D1937" s="28" t="n"/>
      <c r="E1937" s="29" t="n"/>
      <c r="F1937" s="29" t="n"/>
      <c r="G1937" s="28" t="n"/>
      <c r="H1937" s="1" t="n"/>
      <c r="I1937">
        <f>IF(OR(B1937="",C1937=""),"",B1937+MOD(C1937,1))</f>
        <v/>
      </c>
      <c r="J1937">
        <f>IF(I1937="","",IF(B1937=Dashboard!$AA$1,I1937,""))</f>
        <v/>
      </c>
    </row>
    <row r="1938">
      <c r="A1938" s="1" t="n"/>
      <c r="B1938" s="26" t="n"/>
      <c r="C1938" s="27" t="n"/>
      <c r="D1938" s="28" t="n"/>
      <c r="E1938" s="29" t="n"/>
      <c r="F1938" s="29" t="n"/>
      <c r="G1938" s="28" t="n"/>
      <c r="H1938" s="1" t="n"/>
      <c r="I1938">
        <f>IF(OR(B1938="",C1938=""),"",B1938+MOD(C1938,1))</f>
        <v/>
      </c>
      <c r="J1938">
        <f>IF(I1938="","",IF(B1938=Dashboard!$AA$1,I1938,""))</f>
        <v/>
      </c>
    </row>
    <row r="1939">
      <c r="A1939" s="1" t="n"/>
      <c r="B1939" s="26" t="n"/>
      <c r="C1939" s="27" t="n"/>
      <c r="D1939" s="28" t="n"/>
      <c r="E1939" s="29" t="n"/>
      <c r="F1939" s="29" t="n"/>
      <c r="G1939" s="28" t="n"/>
      <c r="H1939" s="1" t="n"/>
      <c r="I1939">
        <f>IF(OR(B1939="",C1939=""),"",B1939+MOD(C1939,1))</f>
        <v/>
      </c>
      <c r="J1939">
        <f>IF(I1939="","",IF(B1939=Dashboard!$AA$1,I1939,""))</f>
        <v/>
      </c>
    </row>
    <row r="1940">
      <c r="A1940" s="1" t="n"/>
      <c r="B1940" s="26" t="n"/>
      <c r="C1940" s="27" t="n"/>
      <c r="D1940" s="28" t="n"/>
      <c r="E1940" s="29" t="n"/>
      <c r="F1940" s="29" t="n"/>
      <c r="G1940" s="28" t="n"/>
      <c r="H1940" s="1" t="n"/>
      <c r="I1940">
        <f>IF(OR(B1940="",C1940=""),"",B1940+MOD(C1940,1))</f>
        <v/>
      </c>
      <c r="J1940">
        <f>IF(I1940="","",IF(B1940=Dashboard!$AA$1,I1940,""))</f>
        <v/>
      </c>
    </row>
    <row r="1941">
      <c r="A1941" s="1" t="n"/>
      <c r="B1941" s="26" t="n"/>
      <c r="C1941" s="27" t="n"/>
      <c r="D1941" s="28" t="n"/>
      <c r="E1941" s="29" t="n"/>
      <c r="F1941" s="29" t="n"/>
      <c r="G1941" s="28" t="n"/>
      <c r="H1941" s="1" t="n"/>
      <c r="I1941">
        <f>IF(OR(B1941="",C1941=""),"",B1941+MOD(C1941,1))</f>
        <v/>
      </c>
      <c r="J1941">
        <f>IF(I1941="","",IF(B1941=Dashboard!$AA$1,I1941,""))</f>
        <v/>
      </c>
    </row>
    <row r="1942">
      <c r="A1942" s="1" t="n"/>
      <c r="B1942" s="26" t="n"/>
      <c r="C1942" s="27" t="n"/>
      <c r="D1942" s="28" t="n"/>
      <c r="E1942" s="29" t="n"/>
      <c r="F1942" s="29" t="n"/>
      <c r="G1942" s="28" t="n"/>
      <c r="H1942" s="1" t="n"/>
      <c r="I1942">
        <f>IF(OR(B1942="",C1942=""),"",B1942+MOD(C1942,1))</f>
        <v/>
      </c>
      <c r="J1942">
        <f>IF(I1942="","",IF(B1942=Dashboard!$AA$1,I1942,""))</f>
        <v/>
      </c>
    </row>
    <row r="1943">
      <c r="A1943" s="1" t="n"/>
      <c r="B1943" s="26" t="n"/>
      <c r="C1943" s="27" t="n"/>
      <c r="D1943" s="28" t="n"/>
      <c r="E1943" s="29" t="n"/>
      <c r="F1943" s="29" t="n"/>
      <c r="G1943" s="28" t="n"/>
      <c r="H1943" s="1" t="n"/>
      <c r="I1943">
        <f>IF(OR(B1943="",C1943=""),"",B1943+MOD(C1943,1))</f>
        <v/>
      </c>
      <c r="J1943">
        <f>IF(I1943="","",IF(B1943=Dashboard!$AA$1,I1943,""))</f>
        <v/>
      </c>
    </row>
    <row r="1944">
      <c r="A1944" s="1" t="n"/>
      <c r="B1944" s="26" t="n"/>
      <c r="C1944" s="27" t="n"/>
      <c r="D1944" s="28" t="n"/>
      <c r="E1944" s="29" t="n"/>
      <c r="F1944" s="29" t="n"/>
      <c r="G1944" s="28" t="n"/>
      <c r="H1944" s="1" t="n"/>
      <c r="I1944">
        <f>IF(OR(B1944="",C1944=""),"",B1944+MOD(C1944,1))</f>
        <v/>
      </c>
      <c r="J1944">
        <f>IF(I1944="","",IF(B1944=Dashboard!$AA$1,I1944,""))</f>
        <v/>
      </c>
    </row>
    <row r="1945">
      <c r="A1945" s="1" t="n"/>
      <c r="B1945" s="26" t="n"/>
      <c r="C1945" s="27" t="n"/>
      <c r="D1945" s="28" t="n"/>
      <c r="E1945" s="29" t="n"/>
      <c r="F1945" s="29" t="n"/>
      <c r="G1945" s="28" t="n"/>
      <c r="H1945" s="1" t="n"/>
      <c r="I1945">
        <f>IF(OR(B1945="",C1945=""),"",B1945+MOD(C1945,1))</f>
        <v/>
      </c>
      <c r="J1945">
        <f>IF(I1945="","",IF(B1945=Dashboard!$AA$1,I1945,""))</f>
        <v/>
      </c>
    </row>
    <row r="1946">
      <c r="A1946" s="1" t="n"/>
      <c r="B1946" s="26" t="n"/>
      <c r="C1946" s="27" t="n"/>
      <c r="D1946" s="28" t="n"/>
      <c r="E1946" s="29" t="n"/>
      <c r="F1946" s="29" t="n"/>
      <c r="G1946" s="28" t="n"/>
      <c r="H1946" s="1" t="n"/>
      <c r="I1946">
        <f>IF(OR(B1946="",C1946=""),"",B1946+MOD(C1946,1))</f>
        <v/>
      </c>
      <c r="J1946">
        <f>IF(I1946="","",IF(B1946=Dashboard!$AA$1,I1946,""))</f>
        <v/>
      </c>
    </row>
    <row r="1947">
      <c r="A1947" s="1" t="n"/>
      <c r="B1947" s="26" t="n"/>
      <c r="C1947" s="27" t="n"/>
      <c r="D1947" s="28" t="n"/>
      <c r="E1947" s="29" t="n"/>
      <c r="F1947" s="29" t="n"/>
      <c r="G1947" s="28" t="n"/>
      <c r="H1947" s="1" t="n"/>
      <c r="I1947">
        <f>IF(OR(B1947="",C1947=""),"",B1947+MOD(C1947,1))</f>
        <v/>
      </c>
      <c r="J1947">
        <f>IF(I1947="","",IF(B1947=Dashboard!$AA$1,I1947,""))</f>
        <v/>
      </c>
    </row>
    <row r="1948">
      <c r="A1948" s="1" t="n"/>
      <c r="B1948" s="26" t="n"/>
      <c r="C1948" s="27" t="n"/>
      <c r="D1948" s="28" t="n"/>
      <c r="E1948" s="29" t="n"/>
      <c r="F1948" s="29" t="n"/>
      <c r="G1948" s="28" t="n"/>
      <c r="H1948" s="1" t="n"/>
      <c r="I1948">
        <f>IF(OR(B1948="",C1948=""),"",B1948+MOD(C1948,1))</f>
        <v/>
      </c>
      <c r="J1948">
        <f>IF(I1948="","",IF(B1948=Dashboard!$AA$1,I1948,""))</f>
        <v/>
      </c>
    </row>
    <row r="1949">
      <c r="A1949" s="1" t="n"/>
      <c r="B1949" s="26" t="n"/>
      <c r="C1949" s="27" t="n"/>
      <c r="D1949" s="28" t="n"/>
      <c r="E1949" s="29" t="n"/>
      <c r="F1949" s="29" t="n"/>
      <c r="G1949" s="28" t="n"/>
      <c r="H1949" s="1" t="n"/>
      <c r="I1949">
        <f>IF(OR(B1949="",C1949=""),"",B1949+MOD(C1949,1))</f>
        <v/>
      </c>
      <c r="J1949">
        <f>IF(I1949="","",IF(B1949=Dashboard!$AA$1,I1949,""))</f>
        <v/>
      </c>
    </row>
    <row r="1950">
      <c r="A1950" s="1" t="n"/>
      <c r="B1950" s="26" t="n"/>
      <c r="C1950" s="27" t="n"/>
      <c r="D1950" s="28" t="n"/>
      <c r="E1950" s="29" t="n"/>
      <c r="F1950" s="29" t="n"/>
      <c r="G1950" s="28" t="n"/>
      <c r="H1950" s="1" t="n"/>
      <c r="I1950">
        <f>IF(OR(B1950="",C1950=""),"",B1950+MOD(C1950,1))</f>
        <v/>
      </c>
      <c r="J1950">
        <f>IF(I1950="","",IF(B1950=Dashboard!$AA$1,I1950,""))</f>
        <v/>
      </c>
    </row>
    <row r="1951">
      <c r="A1951" s="1" t="n"/>
      <c r="B1951" s="26" t="n"/>
      <c r="C1951" s="27" t="n"/>
      <c r="D1951" s="28" t="n"/>
      <c r="E1951" s="29" t="n"/>
      <c r="F1951" s="29" t="n"/>
      <c r="G1951" s="28" t="n"/>
      <c r="H1951" s="1" t="n"/>
      <c r="I1951">
        <f>IF(OR(B1951="",C1951=""),"",B1951+MOD(C1951,1))</f>
        <v/>
      </c>
      <c r="J1951">
        <f>IF(I1951="","",IF(B1951=Dashboard!$AA$1,I1951,""))</f>
        <v/>
      </c>
    </row>
    <row r="1952">
      <c r="A1952" s="1" t="n"/>
      <c r="B1952" s="26" t="n"/>
      <c r="C1952" s="27" t="n"/>
      <c r="D1952" s="28" t="n"/>
      <c r="E1952" s="29" t="n"/>
      <c r="F1952" s="29" t="n"/>
      <c r="G1952" s="28" t="n"/>
      <c r="H1952" s="1" t="n"/>
      <c r="I1952">
        <f>IF(OR(B1952="",C1952=""),"",B1952+MOD(C1952,1))</f>
        <v/>
      </c>
      <c r="J1952">
        <f>IF(I1952="","",IF(B1952=Dashboard!$AA$1,I1952,""))</f>
        <v/>
      </c>
    </row>
    <row r="1953">
      <c r="A1953" s="1" t="n"/>
      <c r="B1953" s="26" t="n"/>
      <c r="C1953" s="27" t="n"/>
      <c r="D1953" s="28" t="n"/>
      <c r="E1953" s="29" t="n"/>
      <c r="F1953" s="29" t="n"/>
      <c r="G1953" s="28" t="n"/>
      <c r="H1953" s="1" t="n"/>
      <c r="I1953">
        <f>IF(OR(B1953="",C1953=""),"",B1953+MOD(C1953,1))</f>
        <v/>
      </c>
      <c r="J1953">
        <f>IF(I1953="","",IF(B1953=Dashboard!$AA$1,I1953,""))</f>
        <v/>
      </c>
    </row>
    <row r="1954">
      <c r="A1954" s="1" t="n"/>
      <c r="B1954" s="26" t="n"/>
      <c r="C1954" s="27" t="n"/>
      <c r="D1954" s="28" t="n"/>
      <c r="E1954" s="29" t="n"/>
      <c r="F1954" s="29" t="n"/>
      <c r="G1954" s="28" t="n"/>
      <c r="H1954" s="1" t="n"/>
      <c r="I1954">
        <f>IF(OR(B1954="",C1954=""),"",B1954+MOD(C1954,1))</f>
        <v/>
      </c>
      <c r="J1954">
        <f>IF(I1954="","",IF(B1954=Dashboard!$AA$1,I1954,""))</f>
        <v/>
      </c>
    </row>
    <row r="1955">
      <c r="A1955" s="1" t="n"/>
      <c r="B1955" s="26" t="n"/>
      <c r="C1955" s="27" t="n"/>
      <c r="D1955" s="28" t="n"/>
      <c r="E1955" s="29" t="n"/>
      <c r="F1955" s="29" t="n"/>
      <c r="G1955" s="28" t="n"/>
      <c r="H1955" s="1" t="n"/>
      <c r="I1955">
        <f>IF(OR(B1955="",C1955=""),"",B1955+MOD(C1955,1))</f>
        <v/>
      </c>
      <c r="J1955">
        <f>IF(I1955="","",IF(B1955=Dashboard!$AA$1,I1955,""))</f>
        <v/>
      </c>
    </row>
    <row r="1956">
      <c r="A1956" s="1" t="n"/>
      <c r="B1956" s="26" t="n"/>
      <c r="C1956" s="27" t="n"/>
      <c r="D1956" s="28" t="n"/>
      <c r="E1956" s="29" t="n"/>
      <c r="F1956" s="29" t="n"/>
      <c r="G1956" s="28" t="n"/>
      <c r="H1956" s="1" t="n"/>
      <c r="I1956">
        <f>IF(OR(B1956="",C1956=""),"",B1956+MOD(C1956,1))</f>
        <v/>
      </c>
      <c r="J1956">
        <f>IF(I1956="","",IF(B1956=Dashboard!$AA$1,I1956,""))</f>
        <v/>
      </c>
    </row>
    <row r="1957">
      <c r="A1957" s="1" t="n"/>
      <c r="B1957" s="26" t="n"/>
      <c r="C1957" s="27" t="n"/>
      <c r="D1957" s="28" t="n"/>
      <c r="E1957" s="29" t="n"/>
      <c r="F1957" s="29" t="n"/>
      <c r="G1957" s="28" t="n"/>
      <c r="H1957" s="1" t="n"/>
      <c r="I1957">
        <f>IF(OR(B1957="",C1957=""),"",B1957+MOD(C1957,1))</f>
        <v/>
      </c>
      <c r="J1957">
        <f>IF(I1957="","",IF(B1957=Dashboard!$AA$1,I1957,""))</f>
        <v/>
      </c>
    </row>
    <row r="1958">
      <c r="A1958" s="1" t="n"/>
      <c r="B1958" s="26" t="n"/>
      <c r="C1958" s="27" t="n"/>
      <c r="D1958" s="28" t="n"/>
      <c r="E1958" s="29" t="n"/>
      <c r="F1958" s="29" t="n"/>
      <c r="G1958" s="28" t="n"/>
      <c r="H1958" s="1" t="n"/>
      <c r="I1958">
        <f>IF(OR(B1958="",C1958=""),"",B1958+MOD(C1958,1))</f>
        <v/>
      </c>
      <c r="J1958">
        <f>IF(I1958="","",IF(B1958=Dashboard!$AA$1,I1958,""))</f>
        <v/>
      </c>
    </row>
    <row r="1959">
      <c r="A1959" s="1" t="n"/>
      <c r="B1959" s="26" t="n"/>
      <c r="C1959" s="27" t="n"/>
      <c r="D1959" s="28" t="n"/>
      <c r="E1959" s="29" t="n"/>
      <c r="F1959" s="29" t="n"/>
      <c r="G1959" s="28" t="n"/>
      <c r="H1959" s="1" t="n"/>
      <c r="I1959">
        <f>IF(OR(B1959="",C1959=""),"",B1959+MOD(C1959,1))</f>
        <v/>
      </c>
      <c r="J1959">
        <f>IF(I1959="","",IF(B1959=Dashboard!$AA$1,I1959,""))</f>
        <v/>
      </c>
    </row>
    <row r="1960">
      <c r="A1960" s="1" t="n"/>
      <c r="B1960" s="26" t="n"/>
      <c r="C1960" s="27" t="n"/>
      <c r="D1960" s="28" t="n"/>
      <c r="E1960" s="29" t="n"/>
      <c r="F1960" s="29" t="n"/>
      <c r="G1960" s="28" t="n"/>
      <c r="H1960" s="1" t="n"/>
      <c r="I1960">
        <f>IF(OR(B1960="",C1960=""),"",B1960+MOD(C1960,1))</f>
        <v/>
      </c>
      <c r="J1960">
        <f>IF(I1960="","",IF(B1960=Dashboard!$AA$1,I1960,""))</f>
        <v/>
      </c>
    </row>
    <row r="1961">
      <c r="A1961" s="1" t="n"/>
      <c r="B1961" s="26" t="n"/>
      <c r="C1961" s="27" t="n"/>
      <c r="D1961" s="28" t="n"/>
      <c r="E1961" s="29" t="n"/>
      <c r="F1961" s="29" t="n"/>
      <c r="G1961" s="28" t="n"/>
      <c r="H1961" s="1" t="n"/>
      <c r="I1961">
        <f>IF(OR(B1961="",C1961=""),"",B1961+MOD(C1961,1))</f>
        <v/>
      </c>
      <c r="J1961">
        <f>IF(I1961="","",IF(B1961=Dashboard!$AA$1,I1961,""))</f>
        <v/>
      </c>
    </row>
    <row r="1962">
      <c r="A1962" s="1" t="n"/>
      <c r="B1962" s="26" t="n"/>
      <c r="C1962" s="27" t="n"/>
      <c r="D1962" s="28" t="n"/>
      <c r="E1962" s="29" t="n"/>
      <c r="F1962" s="29" t="n"/>
      <c r="G1962" s="28" t="n"/>
      <c r="H1962" s="1" t="n"/>
      <c r="I1962">
        <f>IF(OR(B1962="",C1962=""),"",B1962+MOD(C1962,1))</f>
        <v/>
      </c>
      <c r="J1962">
        <f>IF(I1962="","",IF(B1962=Dashboard!$AA$1,I1962,""))</f>
        <v/>
      </c>
    </row>
    <row r="1963">
      <c r="A1963" s="1" t="n"/>
      <c r="B1963" s="26" t="n"/>
      <c r="C1963" s="27" t="n"/>
      <c r="D1963" s="28" t="n"/>
      <c r="E1963" s="29" t="n"/>
      <c r="F1963" s="29" t="n"/>
      <c r="G1963" s="28" t="n"/>
      <c r="H1963" s="1" t="n"/>
      <c r="I1963">
        <f>IF(OR(B1963="",C1963=""),"",B1963+MOD(C1963,1))</f>
        <v/>
      </c>
      <c r="J1963">
        <f>IF(I1963="","",IF(B1963=Dashboard!$AA$1,I1963,""))</f>
        <v/>
      </c>
    </row>
    <row r="1964">
      <c r="A1964" s="1" t="n"/>
      <c r="B1964" s="26" t="n"/>
      <c r="C1964" s="27" t="n"/>
      <c r="D1964" s="28" t="n"/>
      <c r="E1964" s="29" t="n"/>
      <c r="F1964" s="29" t="n"/>
      <c r="G1964" s="28" t="n"/>
      <c r="H1964" s="1" t="n"/>
      <c r="I1964">
        <f>IF(OR(B1964="",C1964=""),"",B1964+MOD(C1964,1))</f>
        <v/>
      </c>
      <c r="J1964">
        <f>IF(I1964="","",IF(B1964=Dashboard!$AA$1,I1964,""))</f>
        <v/>
      </c>
    </row>
    <row r="1965">
      <c r="A1965" s="1" t="n"/>
      <c r="B1965" s="26" t="n"/>
      <c r="C1965" s="27" t="n"/>
      <c r="D1965" s="28" t="n"/>
      <c r="E1965" s="29" t="n"/>
      <c r="F1965" s="29" t="n"/>
      <c r="G1965" s="28" t="n"/>
      <c r="H1965" s="1" t="n"/>
      <c r="I1965">
        <f>IF(OR(B1965="",C1965=""),"",B1965+MOD(C1965,1))</f>
        <v/>
      </c>
      <c r="J1965">
        <f>IF(I1965="","",IF(B1965=Dashboard!$AA$1,I1965,""))</f>
        <v/>
      </c>
    </row>
    <row r="1966">
      <c r="A1966" s="1" t="n"/>
      <c r="B1966" s="26" t="n"/>
      <c r="C1966" s="27" t="n"/>
      <c r="D1966" s="28" t="n"/>
      <c r="E1966" s="29" t="n"/>
      <c r="F1966" s="29" t="n"/>
      <c r="G1966" s="28" t="n"/>
      <c r="H1966" s="1" t="n"/>
      <c r="I1966">
        <f>IF(OR(B1966="",C1966=""),"",B1966+MOD(C1966,1))</f>
        <v/>
      </c>
      <c r="J1966">
        <f>IF(I1966="","",IF(B1966=Dashboard!$AA$1,I1966,""))</f>
        <v/>
      </c>
    </row>
    <row r="1967">
      <c r="A1967" s="1" t="n"/>
      <c r="B1967" s="26" t="n"/>
      <c r="C1967" s="27" t="n"/>
      <c r="D1967" s="28" t="n"/>
      <c r="E1967" s="29" t="n"/>
      <c r="F1967" s="29" t="n"/>
      <c r="G1967" s="28" t="n"/>
      <c r="H1967" s="1" t="n"/>
      <c r="I1967">
        <f>IF(OR(B1967="",C1967=""),"",B1967+MOD(C1967,1))</f>
        <v/>
      </c>
      <c r="J1967">
        <f>IF(I1967="","",IF(B1967=Dashboard!$AA$1,I1967,""))</f>
        <v/>
      </c>
    </row>
    <row r="1968">
      <c r="A1968" s="1" t="n"/>
      <c r="B1968" s="26" t="n"/>
      <c r="C1968" s="27" t="n"/>
      <c r="D1968" s="28" t="n"/>
      <c r="E1968" s="29" t="n"/>
      <c r="F1968" s="29" t="n"/>
      <c r="G1968" s="28" t="n"/>
      <c r="H1968" s="1" t="n"/>
      <c r="I1968">
        <f>IF(OR(B1968="",C1968=""),"",B1968+MOD(C1968,1))</f>
        <v/>
      </c>
      <c r="J1968">
        <f>IF(I1968="","",IF(B1968=Dashboard!$AA$1,I1968,""))</f>
        <v/>
      </c>
    </row>
    <row r="1969">
      <c r="A1969" s="1" t="n"/>
      <c r="B1969" s="26" t="n"/>
      <c r="C1969" s="27" t="n"/>
      <c r="D1969" s="28" t="n"/>
      <c r="E1969" s="29" t="n"/>
      <c r="F1969" s="29" t="n"/>
      <c r="G1969" s="28" t="n"/>
      <c r="H1969" s="1" t="n"/>
      <c r="I1969">
        <f>IF(OR(B1969="",C1969=""),"",B1969+MOD(C1969,1))</f>
        <v/>
      </c>
      <c r="J1969">
        <f>IF(I1969="","",IF(B1969=Dashboard!$AA$1,I1969,""))</f>
        <v/>
      </c>
    </row>
    <row r="1970">
      <c r="A1970" s="1" t="n"/>
      <c r="B1970" s="26" t="n"/>
      <c r="C1970" s="27" t="n"/>
      <c r="D1970" s="28" t="n"/>
      <c r="E1970" s="29" t="n"/>
      <c r="F1970" s="29" t="n"/>
      <c r="G1970" s="28" t="n"/>
      <c r="H1970" s="1" t="n"/>
      <c r="I1970">
        <f>IF(OR(B1970="",C1970=""),"",B1970+MOD(C1970,1))</f>
        <v/>
      </c>
      <c r="J1970">
        <f>IF(I1970="","",IF(B1970=Dashboard!$AA$1,I1970,""))</f>
        <v/>
      </c>
    </row>
    <row r="1971">
      <c r="A1971" s="1" t="n"/>
      <c r="B1971" s="26" t="n"/>
      <c r="C1971" s="27" t="n"/>
      <c r="D1971" s="28" t="n"/>
      <c r="E1971" s="29" t="n"/>
      <c r="F1971" s="29" t="n"/>
      <c r="G1971" s="28" t="n"/>
      <c r="H1971" s="1" t="n"/>
      <c r="I1971">
        <f>IF(OR(B1971="",C1971=""),"",B1971+MOD(C1971,1))</f>
        <v/>
      </c>
      <c r="J1971">
        <f>IF(I1971="","",IF(B1971=Dashboard!$AA$1,I1971,""))</f>
        <v/>
      </c>
    </row>
    <row r="1972">
      <c r="A1972" s="1" t="n"/>
      <c r="B1972" s="26" t="n"/>
      <c r="C1972" s="27" t="n"/>
      <c r="D1972" s="28" t="n"/>
      <c r="E1972" s="29" t="n"/>
      <c r="F1972" s="29" t="n"/>
      <c r="G1972" s="28" t="n"/>
      <c r="H1972" s="1" t="n"/>
      <c r="I1972">
        <f>IF(OR(B1972="",C1972=""),"",B1972+MOD(C1972,1))</f>
        <v/>
      </c>
      <c r="J1972">
        <f>IF(I1972="","",IF(B1972=Dashboard!$AA$1,I1972,""))</f>
        <v/>
      </c>
    </row>
    <row r="1973">
      <c r="A1973" s="1" t="n"/>
      <c r="B1973" s="26" t="n"/>
      <c r="C1973" s="27" t="n"/>
      <c r="D1973" s="28" t="n"/>
      <c r="E1973" s="29" t="n"/>
      <c r="F1973" s="29" t="n"/>
      <c r="G1973" s="28" t="n"/>
      <c r="H1973" s="1" t="n"/>
      <c r="I1973">
        <f>IF(OR(B1973="",C1973=""),"",B1973+MOD(C1973,1))</f>
        <v/>
      </c>
      <c r="J1973">
        <f>IF(I1973="","",IF(B1973=Dashboard!$AA$1,I1973,""))</f>
        <v/>
      </c>
    </row>
    <row r="1974">
      <c r="A1974" s="1" t="n"/>
      <c r="B1974" s="26" t="n"/>
      <c r="C1974" s="27" t="n"/>
      <c r="D1974" s="28" t="n"/>
      <c r="E1974" s="29" t="n"/>
      <c r="F1974" s="29" t="n"/>
      <c r="G1974" s="28" t="n"/>
      <c r="H1974" s="1" t="n"/>
      <c r="I1974">
        <f>IF(OR(B1974="",C1974=""),"",B1974+MOD(C1974,1))</f>
        <v/>
      </c>
      <c r="J1974">
        <f>IF(I1974="","",IF(B1974=Dashboard!$AA$1,I1974,""))</f>
        <v/>
      </c>
    </row>
    <row r="1975">
      <c r="A1975" s="1" t="n"/>
      <c r="B1975" s="26" t="n"/>
      <c r="C1975" s="27" t="n"/>
      <c r="D1975" s="28" t="n"/>
      <c r="E1975" s="29" t="n"/>
      <c r="F1975" s="29" t="n"/>
      <c r="G1975" s="28" t="n"/>
      <c r="H1975" s="1" t="n"/>
      <c r="I1975">
        <f>IF(OR(B1975="",C1975=""),"",B1975+MOD(C1975,1))</f>
        <v/>
      </c>
      <c r="J1975">
        <f>IF(I1975="","",IF(B1975=Dashboard!$AA$1,I1975,""))</f>
        <v/>
      </c>
    </row>
    <row r="1976">
      <c r="A1976" s="1" t="n"/>
      <c r="B1976" s="26" t="n"/>
      <c r="C1976" s="27" t="n"/>
      <c r="D1976" s="28" t="n"/>
      <c r="E1976" s="29" t="n"/>
      <c r="F1976" s="29" t="n"/>
      <c r="G1976" s="28" t="n"/>
      <c r="H1976" s="1" t="n"/>
      <c r="I1976">
        <f>IF(OR(B1976="",C1976=""),"",B1976+MOD(C1976,1))</f>
        <v/>
      </c>
      <c r="J1976">
        <f>IF(I1976="","",IF(B1976=Dashboard!$AA$1,I1976,""))</f>
        <v/>
      </c>
    </row>
    <row r="1977">
      <c r="A1977" s="1" t="n"/>
      <c r="B1977" s="26" t="n"/>
      <c r="C1977" s="27" t="n"/>
      <c r="D1977" s="28" t="n"/>
      <c r="E1977" s="29" t="n"/>
      <c r="F1977" s="29" t="n"/>
      <c r="G1977" s="28" t="n"/>
      <c r="H1977" s="1" t="n"/>
      <c r="I1977">
        <f>IF(OR(B1977="",C1977=""),"",B1977+MOD(C1977,1))</f>
        <v/>
      </c>
      <c r="J1977">
        <f>IF(I1977="","",IF(B1977=Dashboard!$AA$1,I1977,""))</f>
        <v/>
      </c>
    </row>
    <row r="1978">
      <c r="A1978" s="1" t="n"/>
      <c r="B1978" s="26" t="n"/>
      <c r="C1978" s="27" t="n"/>
      <c r="D1978" s="28" t="n"/>
      <c r="E1978" s="29" t="n"/>
      <c r="F1978" s="29" t="n"/>
      <c r="G1978" s="28" t="n"/>
      <c r="H1978" s="1" t="n"/>
      <c r="I1978">
        <f>IF(OR(B1978="",C1978=""),"",B1978+MOD(C1978,1))</f>
        <v/>
      </c>
      <c r="J1978">
        <f>IF(I1978="","",IF(B1978=Dashboard!$AA$1,I1978,""))</f>
        <v/>
      </c>
    </row>
    <row r="1979">
      <c r="A1979" s="1" t="n"/>
      <c r="B1979" s="26" t="n"/>
      <c r="C1979" s="27" t="n"/>
      <c r="D1979" s="28" t="n"/>
      <c r="E1979" s="29" t="n"/>
      <c r="F1979" s="29" t="n"/>
      <c r="G1979" s="28" t="n"/>
      <c r="H1979" s="1" t="n"/>
      <c r="I1979">
        <f>IF(OR(B1979="",C1979=""),"",B1979+MOD(C1979,1))</f>
        <v/>
      </c>
      <c r="J1979">
        <f>IF(I1979="","",IF(B1979=Dashboard!$AA$1,I1979,""))</f>
        <v/>
      </c>
    </row>
    <row r="1980">
      <c r="A1980" s="1" t="n"/>
      <c r="B1980" s="26" t="n"/>
      <c r="C1980" s="27" t="n"/>
      <c r="D1980" s="28" t="n"/>
      <c r="E1980" s="29" t="n"/>
      <c r="F1980" s="29" t="n"/>
      <c r="G1980" s="28" t="n"/>
      <c r="H1980" s="1" t="n"/>
      <c r="I1980">
        <f>IF(OR(B1980="",C1980=""),"",B1980+MOD(C1980,1))</f>
        <v/>
      </c>
      <c r="J1980">
        <f>IF(I1980="","",IF(B1980=Dashboard!$AA$1,I1980,""))</f>
        <v/>
      </c>
    </row>
    <row r="1981">
      <c r="A1981" s="1" t="n"/>
      <c r="B1981" s="26" t="n"/>
      <c r="C1981" s="27" t="n"/>
      <c r="D1981" s="28" t="n"/>
      <c r="E1981" s="29" t="n"/>
      <c r="F1981" s="29" t="n"/>
      <c r="G1981" s="28" t="n"/>
      <c r="H1981" s="1" t="n"/>
      <c r="I1981">
        <f>IF(OR(B1981="",C1981=""),"",B1981+MOD(C1981,1))</f>
        <v/>
      </c>
      <c r="J1981">
        <f>IF(I1981="","",IF(B1981=Dashboard!$AA$1,I1981,""))</f>
        <v/>
      </c>
    </row>
    <row r="1982">
      <c r="A1982" s="1" t="n"/>
      <c r="B1982" s="26" t="n"/>
      <c r="C1982" s="27" t="n"/>
      <c r="D1982" s="28" t="n"/>
      <c r="E1982" s="29" t="n"/>
      <c r="F1982" s="29" t="n"/>
      <c r="G1982" s="28" t="n"/>
      <c r="H1982" s="1" t="n"/>
      <c r="I1982">
        <f>IF(OR(B1982="",C1982=""),"",B1982+MOD(C1982,1))</f>
        <v/>
      </c>
      <c r="J1982">
        <f>IF(I1982="","",IF(B1982=Dashboard!$AA$1,I1982,""))</f>
        <v/>
      </c>
    </row>
    <row r="1983">
      <c r="A1983" s="1" t="n"/>
      <c r="B1983" s="26" t="n"/>
      <c r="C1983" s="27" t="n"/>
      <c r="D1983" s="28" t="n"/>
      <c r="E1983" s="29" t="n"/>
      <c r="F1983" s="29" t="n"/>
      <c r="G1983" s="28" t="n"/>
      <c r="H1983" s="1" t="n"/>
      <c r="I1983">
        <f>IF(OR(B1983="",C1983=""),"",B1983+MOD(C1983,1))</f>
        <v/>
      </c>
      <c r="J1983">
        <f>IF(I1983="","",IF(B1983=Dashboard!$AA$1,I1983,""))</f>
        <v/>
      </c>
    </row>
    <row r="1984">
      <c r="A1984" s="1" t="n"/>
      <c r="B1984" s="26" t="n"/>
      <c r="C1984" s="27" t="n"/>
      <c r="D1984" s="28" t="n"/>
      <c r="E1984" s="29" t="n"/>
      <c r="F1984" s="29" t="n"/>
      <c r="G1984" s="28" t="n"/>
      <c r="H1984" s="1" t="n"/>
      <c r="I1984">
        <f>IF(OR(B1984="",C1984=""),"",B1984+MOD(C1984,1))</f>
        <v/>
      </c>
      <c r="J1984">
        <f>IF(I1984="","",IF(B1984=Dashboard!$AA$1,I1984,""))</f>
        <v/>
      </c>
    </row>
    <row r="1985">
      <c r="A1985" s="1" t="n"/>
      <c r="B1985" s="26" t="n"/>
      <c r="C1985" s="27" t="n"/>
      <c r="D1985" s="28" t="n"/>
      <c r="E1985" s="29" t="n"/>
      <c r="F1985" s="29" t="n"/>
      <c r="G1985" s="28" t="n"/>
      <c r="H1985" s="1" t="n"/>
      <c r="I1985">
        <f>IF(OR(B1985="",C1985=""),"",B1985+MOD(C1985,1))</f>
        <v/>
      </c>
      <c r="J1985">
        <f>IF(I1985="","",IF(B1985=Dashboard!$AA$1,I1985,""))</f>
        <v/>
      </c>
    </row>
    <row r="1986">
      <c r="A1986" s="1" t="n"/>
      <c r="B1986" s="26" t="n"/>
      <c r="C1986" s="27" t="n"/>
      <c r="D1986" s="28" t="n"/>
      <c r="E1986" s="29" t="n"/>
      <c r="F1986" s="29" t="n"/>
      <c r="G1986" s="28" t="n"/>
      <c r="H1986" s="1" t="n"/>
      <c r="I1986">
        <f>IF(OR(B1986="",C1986=""),"",B1986+MOD(C1986,1))</f>
        <v/>
      </c>
      <c r="J1986">
        <f>IF(I1986="","",IF(B1986=Dashboard!$AA$1,I1986,""))</f>
        <v/>
      </c>
    </row>
    <row r="1987">
      <c r="A1987" s="1" t="n"/>
      <c r="B1987" s="26" t="n"/>
      <c r="C1987" s="27" t="n"/>
      <c r="D1987" s="28" t="n"/>
      <c r="E1987" s="29" t="n"/>
      <c r="F1987" s="29" t="n"/>
      <c r="G1987" s="28" t="n"/>
      <c r="H1987" s="1" t="n"/>
      <c r="I1987">
        <f>IF(OR(B1987="",C1987=""),"",B1987+MOD(C1987,1))</f>
        <v/>
      </c>
      <c r="J1987">
        <f>IF(I1987="","",IF(B1987=Dashboard!$AA$1,I1987,""))</f>
        <v/>
      </c>
    </row>
    <row r="1988">
      <c r="A1988" s="1" t="n"/>
      <c r="B1988" s="26" t="n"/>
      <c r="C1988" s="27" t="n"/>
      <c r="D1988" s="28" t="n"/>
      <c r="E1988" s="29" t="n"/>
      <c r="F1988" s="29" t="n"/>
      <c r="G1988" s="28" t="n"/>
      <c r="H1988" s="1" t="n"/>
      <c r="I1988">
        <f>IF(OR(B1988="",C1988=""),"",B1988+MOD(C1988,1))</f>
        <v/>
      </c>
      <c r="J1988">
        <f>IF(I1988="","",IF(B1988=Dashboard!$AA$1,I1988,""))</f>
        <v/>
      </c>
    </row>
    <row r="1989">
      <c r="A1989" s="1" t="n"/>
      <c r="B1989" s="26" t="n"/>
      <c r="C1989" s="27" t="n"/>
      <c r="D1989" s="28" t="n"/>
      <c r="E1989" s="29" t="n"/>
      <c r="F1989" s="29" t="n"/>
      <c r="G1989" s="28" t="n"/>
      <c r="H1989" s="1" t="n"/>
      <c r="I1989">
        <f>IF(OR(B1989="",C1989=""),"",B1989+MOD(C1989,1))</f>
        <v/>
      </c>
      <c r="J1989">
        <f>IF(I1989="","",IF(B1989=Dashboard!$AA$1,I1989,""))</f>
        <v/>
      </c>
    </row>
    <row r="1990">
      <c r="A1990" s="1" t="n"/>
      <c r="B1990" s="26" t="n"/>
      <c r="C1990" s="27" t="n"/>
      <c r="D1990" s="28" t="n"/>
      <c r="E1990" s="29" t="n"/>
      <c r="F1990" s="29" t="n"/>
      <c r="G1990" s="28" t="n"/>
      <c r="H1990" s="1" t="n"/>
      <c r="I1990">
        <f>IF(OR(B1990="",C1990=""),"",B1990+MOD(C1990,1))</f>
        <v/>
      </c>
      <c r="J1990">
        <f>IF(I1990="","",IF(B1990=Dashboard!$AA$1,I1990,""))</f>
        <v/>
      </c>
    </row>
    <row r="1991">
      <c r="A1991" s="1" t="n"/>
      <c r="B1991" s="26" t="n"/>
      <c r="C1991" s="27" t="n"/>
      <c r="D1991" s="28" t="n"/>
      <c r="E1991" s="29" t="n"/>
      <c r="F1991" s="29" t="n"/>
      <c r="G1991" s="28" t="n"/>
      <c r="H1991" s="1" t="n"/>
      <c r="I1991">
        <f>IF(OR(B1991="",C1991=""),"",B1991+MOD(C1991,1))</f>
        <v/>
      </c>
      <c r="J1991">
        <f>IF(I1991="","",IF(B1991=Dashboard!$AA$1,I1991,""))</f>
        <v/>
      </c>
    </row>
    <row r="1992">
      <c r="A1992" s="1" t="n"/>
      <c r="B1992" s="26" t="n"/>
      <c r="C1992" s="27" t="n"/>
      <c r="D1992" s="28" t="n"/>
      <c r="E1992" s="29" t="n"/>
      <c r="F1992" s="29" t="n"/>
      <c r="G1992" s="28" t="n"/>
      <c r="H1992" s="1" t="n"/>
      <c r="I1992">
        <f>IF(OR(B1992="",C1992=""),"",B1992+MOD(C1992,1))</f>
        <v/>
      </c>
      <c r="J1992">
        <f>IF(I1992="","",IF(B1992=Dashboard!$AA$1,I1992,""))</f>
        <v/>
      </c>
    </row>
    <row r="1993">
      <c r="A1993" s="1" t="n"/>
      <c r="B1993" s="26" t="n"/>
      <c r="C1993" s="27" t="n"/>
      <c r="D1993" s="28" t="n"/>
      <c r="E1993" s="29" t="n"/>
      <c r="F1993" s="29" t="n"/>
      <c r="G1993" s="28" t="n"/>
      <c r="H1993" s="1" t="n"/>
      <c r="I1993">
        <f>IF(OR(B1993="",C1993=""),"",B1993+MOD(C1993,1))</f>
        <v/>
      </c>
      <c r="J1993">
        <f>IF(I1993="","",IF(B1993=Dashboard!$AA$1,I1993,""))</f>
        <v/>
      </c>
    </row>
    <row r="1994">
      <c r="A1994" s="1" t="n"/>
      <c r="B1994" s="26" t="n"/>
      <c r="C1994" s="27" t="n"/>
      <c r="D1994" s="28" t="n"/>
      <c r="E1994" s="29" t="n"/>
      <c r="F1994" s="29" t="n"/>
      <c r="G1994" s="28" t="n"/>
      <c r="H1994" s="1" t="n"/>
      <c r="I1994">
        <f>IF(OR(B1994="",C1994=""),"",B1994+MOD(C1994,1))</f>
        <v/>
      </c>
      <c r="J1994">
        <f>IF(I1994="","",IF(B1994=Dashboard!$AA$1,I1994,""))</f>
        <v/>
      </c>
    </row>
    <row r="1995">
      <c r="A1995" s="1" t="n"/>
      <c r="B1995" s="26" t="n"/>
      <c r="C1995" s="27" t="n"/>
      <c r="D1995" s="28" t="n"/>
      <c r="E1995" s="29" t="n"/>
      <c r="F1995" s="29" t="n"/>
      <c r="G1995" s="28" t="n"/>
      <c r="H1995" s="1" t="n"/>
      <c r="I1995">
        <f>IF(OR(B1995="",C1995=""),"",B1995+MOD(C1995,1))</f>
        <v/>
      </c>
      <c r="J1995">
        <f>IF(I1995="","",IF(B1995=Dashboard!$AA$1,I1995,""))</f>
        <v/>
      </c>
    </row>
    <row r="1996">
      <c r="A1996" s="1" t="n"/>
      <c r="B1996" s="26" t="n"/>
      <c r="C1996" s="27" t="n"/>
      <c r="D1996" s="28" t="n"/>
      <c r="E1996" s="29" t="n"/>
      <c r="F1996" s="29" t="n"/>
      <c r="G1996" s="28" t="n"/>
      <c r="H1996" s="1" t="n"/>
      <c r="I1996">
        <f>IF(OR(B1996="",C1996=""),"",B1996+MOD(C1996,1))</f>
        <v/>
      </c>
      <c r="J1996">
        <f>IF(I1996="","",IF(B1996=Dashboard!$AA$1,I1996,""))</f>
        <v/>
      </c>
    </row>
    <row r="1997">
      <c r="A1997" s="1" t="n"/>
      <c r="B1997" s="26" t="n"/>
      <c r="C1997" s="27" t="n"/>
      <c r="D1997" s="28" t="n"/>
      <c r="E1997" s="29" t="n"/>
      <c r="F1997" s="29" t="n"/>
      <c r="G1997" s="28" t="n"/>
      <c r="H1997" s="1" t="n"/>
      <c r="I1997">
        <f>IF(OR(B1997="",C1997=""),"",B1997+MOD(C1997,1))</f>
        <v/>
      </c>
      <c r="J1997">
        <f>IF(I1997="","",IF(B1997=Dashboard!$AA$1,I1997,""))</f>
        <v/>
      </c>
    </row>
    <row r="1998">
      <c r="A1998" s="1" t="n"/>
      <c r="B1998" s="26" t="n"/>
      <c r="C1998" s="27" t="n"/>
      <c r="D1998" s="28" t="n"/>
      <c r="E1998" s="29" t="n"/>
      <c r="F1998" s="29" t="n"/>
      <c r="G1998" s="28" t="n"/>
      <c r="H1998" s="1" t="n"/>
      <c r="I1998">
        <f>IF(OR(B1998="",C1998=""),"",B1998+MOD(C1998,1))</f>
        <v/>
      </c>
      <c r="J1998">
        <f>IF(I1998="","",IF(B1998=Dashboard!$AA$1,I1998,""))</f>
        <v/>
      </c>
    </row>
    <row r="1999">
      <c r="A1999" s="1" t="n"/>
      <c r="B1999" s="26" t="n"/>
      <c r="C1999" s="27" t="n"/>
      <c r="D1999" s="28" t="n"/>
      <c r="E1999" s="29" t="n"/>
      <c r="F1999" s="29" t="n"/>
      <c r="G1999" s="28" t="n"/>
      <c r="H1999" s="1" t="n"/>
      <c r="I1999">
        <f>IF(OR(B1999="",C1999=""),"",B1999+MOD(C1999,1))</f>
        <v/>
      </c>
      <c r="J1999">
        <f>IF(I1999="","",IF(B1999=Dashboard!$AA$1,I1999,""))</f>
        <v/>
      </c>
    </row>
    <row r="2000">
      <c r="A2000" s="1" t="n"/>
      <c r="B2000" s="26" t="n"/>
      <c r="C2000" s="27" t="n"/>
      <c r="D2000" s="28" t="n"/>
      <c r="E2000" s="29" t="n"/>
      <c r="F2000" s="29" t="n"/>
      <c r="G2000" s="28" t="n"/>
      <c r="H2000" s="1" t="n"/>
      <c r="I2000">
        <f>IF(OR(B2000="",C2000=""),"",B2000+MOD(C2000,1))</f>
        <v/>
      </c>
      <c r="J2000">
        <f>IF(I2000="","",IF(B2000=Dashboard!$AA$1,I2000,""))</f>
        <v/>
      </c>
    </row>
    <row r="2001">
      <c r="A2001" s="1" t="n"/>
      <c r="B2001" s="26" t="n"/>
      <c r="C2001" s="27" t="n"/>
      <c r="D2001" s="28" t="n"/>
      <c r="E2001" s="29" t="n"/>
      <c r="F2001" s="29" t="n"/>
      <c r="G2001" s="28" t="n"/>
      <c r="H2001" s="1" t="n"/>
      <c r="I2001">
        <f>IF(OR(B2001="",C2001=""),"",B2001+MOD(C2001,1))</f>
        <v/>
      </c>
      <c r="J2001">
        <f>IF(I2001="","",IF(B2001=Dashboard!$AA$1,I2001,""))</f>
        <v/>
      </c>
    </row>
    <row r="2002">
      <c r="A2002" s="1" t="n"/>
      <c r="B2002" s="26" t="n"/>
      <c r="C2002" s="27" t="n"/>
      <c r="D2002" s="28" t="n"/>
      <c r="E2002" s="29" t="n"/>
      <c r="F2002" s="29" t="n"/>
      <c r="G2002" s="28" t="n"/>
      <c r="H2002" s="1" t="n"/>
      <c r="I2002">
        <f>IF(OR(B2002="",C2002=""),"",B2002+MOD(C2002,1))</f>
        <v/>
      </c>
      <c r="J2002">
        <f>IF(I2002="","",IF(B2002=Dashboard!$AA$1,I2002,""))</f>
        <v/>
      </c>
    </row>
    <row r="2003">
      <c r="A2003" s="1" t="n"/>
      <c r="B2003" s="26" t="n"/>
      <c r="C2003" s="27" t="n"/>
      <c r="D2003" s="28" t="n"/>
      <c r="E2003" s="29" t="n"/>
      <c r="F2003" s="29" t="n"/>
      <c r="G2003" s="28" t="n"/>
      <c r="H2003" s="1" t="n"/>
      <c r="I2003">
        <f>IF(OR(B2003="",C2003=""),"",B2003+MOD(C2003,1))</f>
        <v/>
      </c>
      <c r="J2003">
        <f>IF(I2003="","",IF(B2003=Dashboard!$AA$1,I2003,""))</f>
        <v/>
      </c>
    </row>
    <row r="2004">
      <c r="A2004" s="1" t="n"/>
      <c r="B2004" s="26" t="n"/>
      <c r="C2004" s="27" t="n"/>
      <c r="D2004" s="28" t="n"/>
      <c r="E2004" s="29" t="n"/>
      <c r="F2004" s="29" t="n"/>
      <c r="G2004" s="28" t="n"/>
      <c r="H2004" s="1" t="n"/>
      <c r="I2004">
        <f>IF(OR(B2004="",C2004=""),"",B2004+MOD(C2004,1))</f>
        <v/>
      </c>
      <c r="J2004">
        <f>IF(I2004="","",IF(B2004=Dashboard!$AA$1,I2004,""))</f>
        <v/>
      </c>
    </row>
    <row r="2005">
      <c r="A2005" s="1" t="n"/>
      <c r="B2005" s="26" t="n"/>
      <c r="C2005" s="27" t="n"/>
      <c r="D2005" s="28" t="n"/>
      <c r="E2005" s="29" t="n"/>
      <c r="F2005" s="29" t="n"/>
      <c r="G2005" s="28" t="n"/>
      <c r="H2005" s="1" t="n"/>
      <c r="I2005">
        <f>IF(OR(B2005="",C2005=""),"",B2005+MOD(C2005,1))</f>
        <v/>
      </c>
      <c r="J2005">
        <f>IF(I2005="","",IF(B2005=Dashboard!$AA$1,I2005,""))</f>
        <v/>
      </c>
    </row>
    <row r="2006">
      <c r="A2006" s="1" t="n"/>
      <c r="B2006" s="26" t="n"/>
      <c r="C2006" s="27" t="n"/>
      <c r="D2006" s="28" t="n"/>
      <c r="E2006" s="29" t="n"/>
      <c r="F2006" s="29" t="n"/>
      <c r="G2006" s="28" t="n"/>
      <c r="H2006" s="1" t="n"/>
      <c r="I2006">
        <f>IF(OR(B2006="",C2006=""),"",B2006+MOD(C2006,1))</f>
        <v/>
      </c>
      <c r="J2006">
        <f>IF(I2006="","",IF(B2006=Dashboard!$AA$1,I2006,""))</f>
        <v/>
      </c>
    </row>
    <row r="2007">
      <c r="A2007" s="1" t="n"/>
      <c r="B2007" s="26" t="n"/>
      <c r="C2007" s="27" t="n"/>
      <c r="D2007" s="28" t="n"/>
      <c r="E2007" s="29" t="n"/>
      <c r="F2007" s="29" t="n"/>
      <c r="G2007" s="28" t="n"/>
      <c r="H2007" s="1" t="n"/>
      <c r="I2007">
        <f>IF(OR(B2007="",C2007=""),"",B2007+MOD(C2007,1))</f>
        <v/>
      </c>
      <c r="J2007">
        <f>IF(I2007="","",IF(B2007=Dashboard!$AA$1,I2007,""))</f>
        <v/>
      </c>
    </row>
    <row r="2008">
      <c r="A2008" s="1" t="n"/>
      <c r="B2008" s="26" t="n"/>
      <c r="C2008" s="27" t="n"/>
      <c r="D2008" s="28" t="n"/>
      <c r="E2008" s="29" t="n"/>
      <c r="F2008" s="29" t="n"/>
      <c r="G2008" s="28" t="n"/>
      <c r="H2008" s="1" t="n"/>
      <c r="I2008">
        <f>IF(OR(B2008="",C2008=""),"",B2008+MOD(C2008,1))</f>
        <v/>
      </c>
      <c r="J2008">
        <f>IF(I2008="","",IF(B2008=Dashboard!$AA$1,I2008,""))</f>
        <v/>
      </c>
    </row>
    <row r="2009">
      <c r="A2009" s="1" t="n"/>
      <c r="B2009" s="26" t="n"/>
      <c r="C2009" s="27" t="n"/>
      <c r="D2009" s="28" t="n"/>
      <c r="E2009" s="29" t="n"/>
      <c r="F2009" s="29" t="n"/>
      <c r="G2009" s="28" t="n"/>
      <c r="H2009" s="1" t="n"/>
      <c r="I2009">
        <f>IF(OR(B2009="",C2009=""),"",B2009+MOD(C2009,1))</f>
        <v/>
      </c>
      <c r="J2009">
        <f>IF(I2009="","",IF(B2009=Dashboard!$AA$1,I2009,""))</f>
        <v/>
      </c>
    </row>
    <row r="2010">
      <c r="A2010" s="1" t="n"/>
      <c r="B2010" s="26" t="n"/>
      <c r="C2010" s="27" t="n"/>
      <c r="D2010" s="28" t="n"/>
      <c r="E2010" s="29" t="n"/>
      <c r="F2010" s="29" t="n"/>
      <c r="G2010" s="28" t="n"/>
      <c r="H2010" s="1" t="n"/>
      <c r="I2010">
        <f>IF(OR(B2010="",C2010=""),"",B2010+MOD(C2010,1))</f>
        <v/>
      </c>
      <c r="J2010">
        <f>IF(I2010="","",IF(B2010=Dashboard!$AA$1,I2010,""))</f>
        <v/>
      </c>
    </row>
    <row r="2011">
      <c r="A2011" s="1" t="n"/>
      <c r="B2011" s="26" t="n"/>
      <c r="C2011" s="27" t="n"/>
      <c r="D2011" s="28" t="n"/>
      <c r="E2011" s="29" t="n"/>
      <c r="F2011" s="29" t="n"/>
      <c r="G2011" s="28" t="n"/>
      <c r="H2011" s="1" t="n"/>
      <c r="I2011">
        <f>IF(OR(B2011="",C2011=""),"",B2011+MOD(C2011,1))</f>
        <v/>
      </c>
      <c r="J2011">
        <f>IF(I2011="","",IF(B2011=Dashboard!$AA$1,I2011,""))</f>
        <v/>
      </c>
    </row>
    <row r="2012">
      <c r="A2012" s="1" t="n"/>
      <c r="B2012" s="26" t="n"/>
      <c r="C2012" s="27" t="n"/>
      <c r="D2012" s="28" t="n"/>
      <c r="E2012" s="29" t="n"/>
      <c r="F2012" s="29" t="n"/>
      <c r="G2012" s="28" t="n"/>
      <c r="H2012" s="1" t="n"/>
      <c r="I2012">
        <f>IF(OR(B2012="",C2012=""),"",B2012+MOD(C2012,1))</f>
        <v/>
      </c>
      <c r="J2012">
        <f>IF(I2012="","",IF(B2012=Dashboard!$AA$1,I2012,""))</f>
        <v/>
      </c>
    </row>
    <row r="2013">
      <c r="A2013" s="1" t="n"/>
      <c r="B2013" s="26" t="n"/>
      <c r="C2013" s="27" t="n"/>
      <c r="D2013" s="28" t="n"/>
      <c r="E2013" s="29" t="n"/>
      <c r="F2013" s="29" t="n"/>
      <c r="G2013" s="28" t="n"/>
      <c r="H2013" s="1" t="n"/>
      <c r="I2013">
        <f>IF(OR(B2013="",C2013=""),"",B2013+MOD(C2013,1))</f>
        <v/>
      </c>
      <c r="J2013">
        <f>IF(I2013="","",IF(B2013=Dashboard!$AA$1,I2013,""))</f>
        <v/>
      </c>
    </row>
    <row r="2014">
      <c r="A2014" s="1" t="n"/>
      <c r="B2014" s="26" t="n"/>
      <c r="C2014" s="27" t="n"/>
      <c r="D2014" s="28" t="n"/>
      <c r="E2014" s="29" t="n"/>
      <c r="F2014" s="29" t="n"/>
      <c r="G2014" s="28" t="n"/>
      <c r="H2014" s="1" t="n"/>
      <c r="I2014">
        <f>IF(OR(B2014="",C2014=""),"",B2014+MOD(C2014,1))</f>
        <v/>
      </c>
      <c r="J2014">
        <f>IF(I2014="","",IF(B2014=Dashboard!$AA$1,I2014,""))</f>
        <v/>
      </c>
    </row>
    <row r="2015">
      <c r="A2015" s="1" t="n"/>
      <c r="B2015" s="26" t="n"/>
      <c r="C2015" s="27" t="n"/>
      <c r="D2015" s="28" t="n"/>
      <c r="E2015" s="29" t="n"/>
      <c r="F2015" s="29" t="n"/>
      <c r="G2015" s="28" t="n"/>
      <c r="H2015" s="1" t="n"/>
      <c r="I2015">
        <f>IF(OR(B2015="",C2015=""),"",B2015+MOD(C2015,1))</f>
        <v/>
      </c>
      <c r="J2015">
        <f>IF(I2015="","",IF(B2015=Dashboard!$AA$1,I2015,""))</f>
        <v/>
      </c>
    </row>
    <row r="2016">
      <c r="A2016" s="1" t="n"/>
      <c r="B2016" s="26" t="n"/>
      <c r="C2016" s="27" t="n"/>
      <c r="D2016" s="28" t="n"/>
      <c r="E2016" s="29" t="n"/>
      <c r="F2016" s="29" t="n"/>
      <c r="G2016" s="28" t="n"/>
      <c r="H2016" s="1" t="n"/>
      <c r="I2016">
        <f>IF(OR(B2016="",C2016=""),"",B2016+MOD(C2016,1))</f>
        <v/>
      </c>
      <c r="J2016">
        <f>IF(I2016="","",IF(B2016=Dashboard!$AA$1,I2016,""))</f>
        <v/>
      </c>
    </row>
    <row r="2017">
      <c r="A2017" s="1" t="n"/>
      <c r="B2017" s="26" t="n"/>
      <c r="C2017" s="27" t="n"/>
      <c r="D2017" s="28" t="n"/>
      <c r="E2017" s="29" t="n"/>
      <c r="F2017" s="29" t="n"/>
      <c r="G2017" s="28" t="n"/>
      <c r="H2017" s="1" t="n"/>
      <c r="I2017">
        <f>IF(OR(B2017="",C2017=""),"",B2017+MOD(C2017,1))</f>
        <v/>
      </c>
      <c r="J2017">
        <f>IF(I2017="","",IF(B2017=Dashboard!$AA$1,I2017,""))</f>
        <v/>
      </c>
    </row>
    <row r="2018">
      <c r="A2018" s="1" t="n"/>
      <c r="B2018" s="26" t="n"/>
      <c r="C2018" s="27" t="n"/>
      <c r="D2018" s="28" t="n"/>
      <c r="E2018" s="29" t="n"/>
      <c r="F2018" s="29" t="n"/>
      <c r="G2018" s="28" t="n"/>
      <c r="H2018" s="1" t="n"/>
      <c r="I2018">
        <f>IF(OR(B2018="",C2018=""),"",B2018+MOD(C2018,1))</f>
        <v/>
      </c>
      <c r="J2018">
        <f>IF(I2018="","",IF(B2018=Dashboard!$AA$1,I2018,""))</f>
        <v/>
      </c>
    </row>
    <row r="2019">
      <c r="A2019" s="1" t="n"/>
      <c r="B2019" s="26" t="n"/>
      <c r="C2019" s="27" t="n"/>
      <c r="D2019" s="28" t="n"/>
      <c r="E2019" s="29" t="n"/>
      <c r="F2019" s="29" t="n"/>
      <c r="G2019" s="28" t="n"/>
      <c r="H2019" s="1" t="n"/>
      <c r="I2019">
        <f>IF(OR(B2019="",C2019=""),"",B2019+MOD(C2019,1))</f>
        <v/>
      </c>
      <c r="J2019">
        <f>IF(I2019="","",IF(B2019=Dashboard!$AA$1,I2019,""))</f>
        <v/>
      </c>
    </row>
    <row r="2020">
      <c r="A2020" s="1" t="n"/>
      <c r="B2020" s="26" t="n"/>
      <c r="C2020" s="27" t="n"/>
      <c r="D2020" s="28" t="n"/>
      <c r="E2020" s="29" t="n"/>
      <c r="F2020" s="29" t="n"/>
      <c r="G2020" s="28" t="n"/>
      <c r="H2020" s="1" t="n"/>
      <c r="I2020">
        <f>IF(OR(B2020="",C2020=""),"",B2020+MOD(C2020,1))</f>
        <v/>
      </c>
      <c r="J2020">
        <f>IF(I2020="","",IF(B2020=Dashboard!$AA$1,I2020,""))</f>
        <v/>
      </c>
    </row>
    <row r="2021">
      <c r="A2021" s="1" t="n"/>
      <c r="B2021" s="26" t="n"/>
      <c r="C2021" s="27" t="n"/>
      <c r="D2021" s="28" t="n"/>
      <c r="E2021" s="29" t="n"/>
      <c r="F2021" s="29" t="n"/>
      <c r="G2021" s="28" t="n"/>
      <c r="H2021" s="1" t="n"/>
      <c r="I2021">
        <f>IF(OR(B2021="",C2021=""),"",B2021+MOD(C2021,1))</f>
        <v/>
      </c>
      <c r="J2021">
        <f>IF(I2021="","",IF(B2021=Dashboard!$AA$1,I2021,""))</f>
        <v/>
      </c>
    </row>
    <row r="2022">
      <c r="A2022" s="1" t="n"/>
      <c r="B2022" s="26" t="n"/>
      <c r="C2022" s="27" t="n"/>
      <c r="D2022" s="28" t="n"/>
      <c r="E2022" s="29" t="n"/>
      <c r="F2022" s="29" t="n"/>
      <c r="G2022" s="28" t="n"/>
      <c r="H2022" s="1" t="n"/>
      <c r="I2022">
        <f>IF(OR(B2022="",C2022=""),"",B2022+MOD(C2022,1))</f>
        <v/>
      </c>
      <c r="J2022">
        <f>IF(I2022="","",IF(B2022=Dashboard!$AA$1,I2022,""))</f>
        <v/>
      </c>
    </row>
    <row r="2023">
      <c r="A2023" s="1" t="n"/>
      <c r="B2023" s="26" t="n"/>
      <c r="C2023" s="27" t="n"/>
      <c r="D2023" s="28" t="n"/>
      <c r="E2023" s="29" t="n"/>
      <c r="F2023" s="29" t="n"/>
      <c r="G2023" s="28" t="n"/>
      <c r="H2023" s="1" t="n"/>
      <c r="I2023">
        <f>IF(OR(B2023="",C2023=""),"",B2023+MOD(C2023,1))</f>
        <v/>
      </c>
      <c r="J2023">
        <f>IF(I2023="","",IF(B2023=Dashboard!$AA$1,I2023,""))</f>
        <v/>
      </c>
    </row>
    <row r="2024">
      <c r="A2024" s="1" t="n"/>
      <c r="B2024" s="26" t="n"/>
      <c r="C2024" s="27" t="n"/>
      <c r="D2024" s="28" t="n"/>
      <c r="E2024" s="29" t="n"/>
      <c r="F2024" s="29" t="n"/>
      <c r="G2024" s="28" t="n"/>
      <c r="H2024" s="1" t="n"/>
      <c r="I2024">
        <f>IF(OR(B2024="",C2024=""),"",B2024+MOD(C2024,1))</f>
        <v/>
      </c>
      <c r="J2024">
        <f>IF(I2024="","",IF(B2024=Dashboard!$AA$1,I2024,""))</f>
        <v/>
      </c>
    </row>
    <row r="2025">
      <c r="A2025" s="1" t="n"/>
      <c r="B2025" s="26" t="n"/>
      <c r="C2025" s="27" t="n"/>
      <c r="D2025" s="28" t="n"/>
      <c r="E2025" s="29" t="n"/>
      <c r="F2025" s="29" t="n"/>
      <c r="G2025" s="28" t="n"/>
      <c r="H2025" s="1" t="n"/>
      <c r="I2025">
        <f>IF(OR(B2025="",C2025=""),"",B2025+MOD(C2025,1))</f>
        <v/>
      </c>
      <c r="J2025">
        <f>IF(I2025="","",IF(B2025=Dashboard!$AA$1,I2025,""))</f>
        <v/>
      </c>
    </row>
    <row r="2026">
      <c r="A2026" s="1" t="n"/>
      <c r="B2026" s="26" t="n"/>
      <c r="C2026" s="27" t="n"/>
      <c r="D2026" s="28" t="n"/>
      <c r="E2026" s="29" t="n"/>
      <c r="F2026" s="29" t="n"/>
      <c r="G2026" s="28" t="n"/>
      <c r="H2026" s="1" t="n"/>
      <c r="I2026">
        <f>IF(OR(B2026="",C2026=""),"",B2026+MOD(C2026,1))</f>
        <v/>
      </c>
      <c r="J2026">
        <f>IF(I2026="","",IF(B2026=Dashboard!$AA$1,I2026,""))</f>
        <v/>
      </c>
    </row>
    <row r="2027">
      <c r="A2027" s="1" t="n"/>
      <c r="B2027" s="26" t="n"/>
      <c r="C2027" s="27" t="n"/>
      <c r="D2027" s="28" t="n"/>
      <c r="E2027" s="29" t="n"/>
      <c r="F2027" s="29" t="n"/>
      <c r="G2027" s="28" t="n"/>
      <c r="H2027" s="1" t="n"/>
      <c r="I2027">
        <f>IF(OR(B2027="",C2027=""),"",B2027+MOD(C2027,1))</f>
        <v/>
      </c>
      <c r="J2027">
        <f>IF(I2027="","",IF(B2027=Dashboard!$AA$1,I2027,""))</f>
        <v/>
      </c>
    </row>
    <row r="2028">
      <c r="A2028" s="1" t="n"/>
      <c r="B2028" s="26" t="n"/>
      <c r="C2028" s="27" t="n"/>
      <c r="D2028" s="28" t="n"/>
      <c r="E2028" s="29" t="n"/>
      <c r="F2028" s="29" t="n"/>
      <c r="G2028" s="28" t="n"/>
      <c r="H2028" s="1" t="n"/>
      <c r="I2028">
        <f>IF(OR(B2028="",C2028=""),"",B2028+MOD(C2028,1))</f>
        <v/>
      </c>
      <c r="J2028">
        <f>IF(I2028="","",IF(B2028=Dashboard!$AA$1,I2028,""))</f>
        <v/>
      </c>
    </row>
    <row r="2029">
      <c r="A2029" s="1" t="n"/>
      <c r="B2029" s="26" t="n"/>
      <c r="C2029" s="27" t="n"/>
      <c r="D2029" s="28" t="n"/>
      <c r="E2029" s="29" t="n"/>
      <c r="F2029" s="29" t="n"/>
      <c r="G2029" s="28" t="n"/>
      <c r="H2029" s="1" t="n"/>
      <c r="I2029">
        <f>IF(OR(B2029="",C2029=""),"",B2029+MOD(C2029,1))</f>
        <v/>
      </c>
      <c r="J2029">
        <f>IF(I2029="","",IF(B2029=Dashboard!$AA$1,I2029,""))</f>
        <v/>
      </c>
    </row>
    <row r="2030">
      <c r="A2030" s="1" t="n"/>
      <c r="B2030" s="26" t="n"/>
      <c r="C2030" s="27" t="n"/>
      <c r="D2030" s="28" t="n"/>
      <c r="E2030" s="29" t="n"/>
      <c r="F2030" s="29" t="n"/>
      <c r="G2030" s="28" t="n"/>
      <c r="H2030" s="1" t="n"/>
      <c r="I2030">
        <f>IF(OR(B2030="",C2030=""),"",B2030+MOD(C2030,1))</f>
        <v/>
      </c>
      <c r="J2030">
        <f>IF(I2030="","",IF(B2030=Dashboard!$AA$1,I2030,""))</f>
        <v/>
      </c>
    </row>
    <row r="2031">
      <c r="A2031" s="1" t="n"/>
      <c r="B2031" s="26" t="n"/>
      <c r="C2031" s="27" t="n"/>
      <c r="D2031" s="28" t="n"/>
      <c r="E2031" s="29" t="n"/>
      <c r="F2031" s="29" t="n"/>
      <c r="G2031" s="28" t="n"/>
      <c r="H2031" s="1" t="n"/>
      <c r="I2031">
        <f>IF(OR(B2031="",C2031=""),"",B2031+MOD(C2031,1))</f>
        <v/>
      </c>
      <c r="J2031">
        <f>IF(I2031="","",IF(B2031=Dashboard!$AA$1,I2031,""))</f>
        <v/>
      </c>
    </row>
    <row r="2032">
      <c r="A2032" s="1" t="n"/>
      <c r="B2032" s="26" t="n"/>
      <c r="C2032" s="27" t="n"/>
      <c r="D2032" s="28" t="n"/>
      <c r="E2032" s="29" t="n"/>
      <c r="F2032" s="29" t="n"/>
      <c r="G2032" s="28" t="n"/>
      <c r="H2032" s="1" t="n"/>
      <c r="I2032">
        <f>IF(OR(B2032="",C2032=""),"",B2032+MOD(C2032,1))</f>
        <v/>
      </c>
      <c r="J2032">
        <f>IF(I2032="","",IF(B2032=Dashboard!$AA$1,I2032,""))</f>
        <v/>
      </c>
    </row>
    <row r="2033">
      <c r="A2033" s="1" t="n"/>
      <c r="B2033" s="26" t="n"/>
      <c r="C2033" s="27" t="n"/>
      <c r="D2033" s="28" t="n"/>
      <c r="E2033" s="29" t="n"/>
      <c r="F2033" s="29" t="n"/>
      <c r="G2033" s="28" t="n"/>
      <c r="H2033" s="1" t="n"/>
      <c r="I2033">
        <f>IF(OR(B2033="",C2033=""),"",B2033+MOD(C2033,1))</f>
        <v/>
      </c>
      <c r="J2033">
        <f>IF(I2033="","",IF(B2033=Dashboard!$AA$1,I2033,""))</f>
        <v/>
      </c>
    </row>
    <row r="2034">
      <c r="A2034" s="1" t="n"/>
      <c r="B2034" s="26" t="n"/>
      <c r="C2034" s="27" t="n"/>
      <c r="D2034" s="28" t="n"/>
      <c r="E2034" s="29" t="n"/>
      <c r="F2034" s="29" t="n"/>
      <c r="G2034" s="28" t="n"/>
      <c r="H2034" s="1" t="n"/>
      <c r="I2034">
        <f>IF(OR(B2034="",C2034=""),"",B2034+MOD(C2034,1))</f>
        <v/>
      </c>
      <c r="J2034">
        <f>IF(I2034="","",IF(B2034=Dashboard!$AA$1,I2034,""))</f>
        <v/>
      </c>
    </row>
    <row r="2035">
      <c r="A2035" s="1" t="n"/>
      <c r="B2035" s="26" t="n"/>
      <c r="C2035" s="27" t="n"/>
      <c r="D2035" s="28" t="n"/>
      <c r="E2035" s="29" t="n"/>
      <c r="F2035" s="29" t="n"/>
      <c r="G2035" s="28" t="n"/>
      <c r="H2035" s="1" t="n"/>
      <c r="I2035">
        <f>IF(OR(B2035="",C2035=""),"",B2035+MOD(C2035,1))</f>
        <v/>
      </c>
      <c r="J2035">
        <f>IF(I2035="","",IF(B2035=Dashboard!$AA$1,I2035,""))</f>
        <v/>
      </c>
    </row>
    <row r="2036">
      <c r="A2036" s="1" t="n"/>
      <c r="B2036" s="26" t="n"/>
      <c r="C2036" s="27" t="n"/>
      <c r="D2036" s="28" t="n"/>
      <c r="E2036" s="29" t="n"/>
      <c r="F2036" s="29" t="n"/>
      <c r="G2036" s="28" t="n"/>
      <c r="H2036" s="1" t="n"/>
      <c r="I2036">
        <f>IF(OR(B2036="",C2036=""),"",B2036+MOD(C2036,1))</f>
        <v/>
      </c>
      <c r="J2036">
        <f>IF(I2036="","",IF(B2036=Dashboard!$AA$1,I2036,""))</f>
        <v/>
      </c>
    </row>
    <row r="2037">
      <c r="A2037" s="1" t="n"/>
      <c r="B2037" s="26" t="n"/>
      <c r="C2037" s="27" t="n"/>
      <c r="D2037" s="28" t="n"/>
      <c r="E2037" s="29" t="n"/>
      <c r="F2037" s="29" t="n"/>
      <c r="G2037" s="28" t="n"/>
      <c r="H2037" s="1" t="n"/>
      <c r="I2037">
        <f>IF(OR(B2037="",C2037=""),"",B2037+MOD(C2037,1))</f>
        <v/>
      </c>
      <c r="J2037">
        <f>IF(I2037="","",IF(B2037=Dashboard!$AA$1,I2037,""))</f>
        <v/>
      </c>
    </row>
    <row r="2038">
      <c r="A2038" s="1" t="n"/>
      <c r="B2038" s="26" t="n"/>
      <c r="C2038" s="27" t="n"/>
      <c r="D2038" s="28" t="n"/>
      <c r="E2038" s="29" t="n"/>
      <c r="F2038" s="29" t="n"/>
      <c r="G2038" s="28" t="n"/>
      <c r="H2038" s="1" t="n"/>
      <c r="I2038">
        <f>IF(OR(B2038="",C2038=""),"",B2038+MOD(C2038,1))</f>
        <v/>
      </c>
      <c r="J2038">
        <f>IF(I2038="","",IF(B2038=Dashboard!$AA$1,I2038,""))</f>
        <v/>
      </c>
    </row>
    <row r="2039">
      <c r="A2039" s="1" t="n"/>
      <c r="B2039" s="26" t="n"/>
      <c r="C2039" s="27" t="n"/>
      <c r="D2039" s="28" t="n"/>
      <c r="E2039" s="29" t="n"/>
      <c r="F2039" s="29" t="n"/>
      <c r="G2039" s="28" t="n"/>
      <c r="H2039" s="1" t="n"/>
      <c r="I2039">
        <f>IF(OR(B2039="",C2039=""),"",B2039+MOD(C2039,1))</f>
        <v/>
      </c>
      <c r="J2039">
        <f>IF(I2039="","",IF(B2039=Dashboard!$AA$1,I2039,""))</f>
        <v/>
      </c>
    </row>
    <row r="2040">
      <c r="A2040" s="1" t="n"/>
      <c r="B2040" s="26" t="n"/>
      <c r="C2040" s="27" t="n"/>
      <c r="D2040" s="28" t="n"/>
      <c r="E2040" s="29" t="n"/>
      <c r="F2040" s="29" t="n"/>
      <c r="G2040" s="28" t="n"/>
      <c r="H2040" s="1" t="n"/>
      <c r="I2040">
        <f>IF(OR(B2040="",C2040=""),"",B2040+MOD(C2040,1))</f>
        <v/>
      </c>
      <c r="J2040">
        <f>IF(I2040="","",IF(B2040=Dashboard!$AA$1,I2040,""))</f>
        <v/>
      </c>
    </row>
    <row r="2041">
      <c r="A2041" s="1" t="n"/>
      <c r="B2041" s="26" t="n"/>
      <c r="C2041" s="27" t="n"/>
      <c r="D2041" s="28" t="n"/>
      <c r="E2041" s="29" t="n"/>
      <c r="F2041" s="29" t="n"/>
      <c r="G2041" s="28" t="n"/>
      <c r="H2041" s="1" t="n"/>
      <c r="I2041">
        <f>IF(OR(B2041="",C2041=""),"",B2041+MOD(C2041,1))</f>
        <v/>
      </c>
      <c r="J2041">
        <f>IF(I2041="","",IF(B2041=Dashboard!$AA$1,I2041,""))</f>
        <v/>
      </c>
    </row>
    <row r="2042">
      <c r="A2042" s="1" t="n"/>
      <c r="B2042" s="26" t="n"/>
      <c r="C2042" s="27" t="n"/>
      <c r="D2042" s="28" t="n"/>
      <c r="E2042" s="29" t="n"/>
      <c r="F2042" s="29" t="n"/>
      <c r="G2042" s="28" t="n"/>
      <c r="H2042" s="1" t="n"/>
      <c r="I2042">
        <f>IF(OR(B2042="",C2042=""),"",B2042+MOD(C2042,1))</f>
        <v/>
      </c>
      <c r="J2042">
        <f>IF(I2042="","",IF(B2042=Dashboard!$AA$1,I2042,""))</f>
        <v/>
      </c>
    </row>
    <row r="2043">
      <c r="A2043" s="1" t="n"/>
      <c r="B2043" s="26" t="n"/>
      <c r="C2043" s="27" t="n"/>
      <c r="D2043" s="28" t="n"/>
      <c r="E2043" s="29" t="n"/>
      <c r="F2043" s="29" t="n"/>
      <c r="G2043" s="28" t="n"/>
      <c r="H2043" s="1" t="n"/>
      <c r="I2043">
        <f>IF(OR(B2043="",C2043=""),"",B2043+MOD(C2043,1))</f>
        <v/>
      </c>
      <c r="J2043">
        <f>IF(I2043="","",IF(B2043=Dashboard!$AA$1,I2043,""))</f>
        <v/>
      </c>
    </row>
    <row r="2044">
      <c r="A2044" s="1" t="n"/>
      <c r="B2044" s="26" t="n"/>
      <c r="C2044" s="27" t="n"/>
      <c r="D2044" s="28" t="n"/>
      <c r="E2044" s="29" t="n"/>
      <c r="F2044" s="29" t="n"/>
      <c r="G2044" s="28" t="n"/>
      <c r="H2044" s="1" t="n"/>
      <c r="I2044">
        <f>IF(OR(B2044="",C2044=""),"",B2044+MOD(C2044,1))</f>
        <v/>
      </c>
      <c r="J2044">
        <f>IF(I2044="","",IF(B2044=Dashboard!$AA$1,I2044,""))</f>
        <v/>
      </c>
    </row>
    <row r="2045">
      <c r="A2045" s="1" t="n"/>
      <c r="B2045" s="26" t="n"/>
      <c r="C2045" s="27" t="n"/>
      <c r="D2045" s="28" t="n"/>
      <c r="E2045" s="29" t="n"/>
      <c r="F2045" s="29" t="n"/>
      <c r="G2045" s="28" t="n"/>
      <c r="H2045" s="1" t="n"/>
      <c r="I2045">
        <f>IF(OR(B2045="",C2045=""),"",B2045+MOD(C2045,1))</f>
        <v/>
      </c>
      <c r="J2045">
        <f>IF(I2045="","",IF(B2045=Dashboard!$AA$1,I2045,""))</f>
        <v/>
      </c>
    </row>
    <row r="2046">
      <c r="A2046" s="1" t="n"/>
      <c r="B2046" s="26" t="n"/>
      <c r="C2046" s="27" t="n"/>
      <c r="D2046" s="28" t="n"/>
      <c r="E2046" s="29" t="n"/>
      <c r="F2046" s="29" t="n"/>
      <c r="G2046" s="28" t="n"/>
      <c r="H2046" s="1" t="n"/>
      <c r="I2046">
        <f>IF(OR(B2046="",C2046=""),"",B2046+MOD(C2046,1))</f>
        <v/>
      </c>
      <c r="J2046">
        <f>IF(I2046="","",IF(B2046=Dashboard!$AA$1,I2046,""))</f>
        <v/>
      </c>
    </row>
    <row r="2047">
      <c r="A2047" s="1" t="n"/>
      <c r="B2047" s="26" t="n"/>
      <c r="C2047" s="27" t="n"/>
      <c r="D2047" s="28" t="n"/>
      <c r="E2047" s="29" t="n"/>
      <c r="F2047" s="29" t="n"/>
      <c r="G2047" s="28" t="n"/>
      <c r="H2047" s="1" t="n"/>
      <c r="I2047">
        <f>IF(OR(B2047="",C2047=""),"",B2047+MOD(C2047,1))</f>
        <v/>
      </c>
      <c r="J2047">
        <f>IF(I2047="","",IF(B2047=Dashboard!$AA$1,I2047,""))</f>
        <v/>
      </c>
    </row>
    <row r="2048">
      <c r="A2048" s="1" t="n"/>
      <c r="B2048" s="26" t="n"/>
      <c r="C2048" s="27" t="n"/>
      <c r="D2048" s="28" t="n"/>
      <c r="E2048" s="29" t="n"/>
      <c r="F2048" s="29" t="n"/>
      <c r="G2048" s="28" t="n"/>
      <c r="H2048" s="1" t="n"/>
      <c r="I2048">
        <f>IF(OR(B2048="",C2048=""),"",B2048+MOD(C2048,1))</f>
        <v/>
      </c>
      <c r="J2048">
        <f>IF(I2048="","",IF(B2048=Dashboard!$AA$1,I2048,""))</f>
        <v/>
      </c>
    </row>
    <row r="2049">
      <c r="A2049" s="1" t="n"/>
      <c r="B2049" s="26" t="n"/>
      <c r="C2049" s="27" t="n"/>
      <c r="D2049" s="28" t="n"/>
      <c r="E2049" s="29" t="n"/>
      <c r="F2049" s="29" t="n"/>
      <c r="G2049" s="28" t="n"/>
      <c r="H2049" s="1" t="n"/>
      <c r="I2049">
        <f>IF(OR(B2049="",C2049=""),"",B2049+MOD(C2049,1))</f>
        <v/>
      </c>
      <c r="J2049">
        <f>IF(I2049="","",IF(B2049=Dashboard!$AA$1,I2049,""))</f>
        <v/>
      </c>
    </row>
    <row r="2050">
      <c r="A2050" s="1" t="n"/>
      <c r="B2050" s="26" t="n"/>
      <c r="C2050" s="27" t="n"/>
      <c r="D2050" s="28" t="n"/>
      <c r="E2050" s="29" t="n"/>
      <c r="F2050" s="29" t="n"/>
      <c r="G2050" s="28" t="n"/>
      <c r="H2050" s="1" t="n"/>
      <c r="I2050">
        <f>IF(OR(B2050="",C2050=""),"",B2050+MOD(C2050,1))</f>
        <v/>
      </c>
      <c r="J2050">
        <f>IF(I2050="","",IF(B2050=Dashboard!$AA$1,I2050,""))</f>
        <v/>
      </c>
    </row>
    <row r="2051">
      <c r="A2051" s="1" t="n"/>
      <c r="B2051" s="26" t="n"/>
      <c r="C2051" s="27" t="n"/>
      <c r="D2051" s="28" t="n"/>
      <c r="E2051" s="29" t="n"/>
      <c r="F2051" s="29" t="n"/>
      <c r="G2051" s="28" t="n"/>
      <c r="H2051" s="1" t="n"/>
      <c r="I2051">
        <f>IF(OR(B2051="",C2051=""),"",B2051+MOD(C2051,1))</f>
        <v/>
      </c>
      <c r="J2051">
        <f>IF(I2051="","",IF(B2051=Dashboard!$AA$1,I2051,""))</f>
        <v/>
      </c>
    </row>
    <row r="2052">
      <c r="A2052" s="1" t="n"/>
      <c r="B2052" s="26" t="n"/>
      <c r="C2052" s="27" t="n"/>
      <c r="D2052" s="28" t="n"/>
      <c r="E2052" s="29" t="n"/>
      <c r="F2052" s="29" t="n"/>
      <c r="G2052" s="28" t="n"/>
      <c r="H2052" s="1" t="n"/>
      <c r="I2052">
        <f>IF(OR(B2052="",C2052=""),"",B2052+MOD(C2052,1))</f>
        <v/>
      </c>
      <c r="J2052">
        <f>IF(I2052="","",IF(B2052=Dashboard!$AA$1,I2052,""))</f>
        <v/>
      </c>
    </row>
    <row r="2053">
      <c r="A2053" s="1" t="n"/>
      <c r="B2053" s="26" t="n"/>
      <c r="C2053" s="27" t="n"/>
      <c r="D2053" s="28" t="n"/>
      <c r="E2053" s="29" t="n"/>
      <c r="F2053" s="29" t="n"/>
      <c r="G2053" s="28" t="n"/>
      <c r="H2053" s="1" t="n"/>
      <c r="I2053">
        <f>IF(OR(B2053="",C2053=""),"",B2053+MOD(C2053,1))</f>
        <v/>
      </c>
      <c r="J2053">
        <f>IF(I2053="","",IF(B2053=Dashboard!$AA$1,I2053,""))</f>
        <v/>
      </c>
    </row>
    <row r="2054">
      <c r="A2054" s="1" t="n"/>
      <c r="B2054" s="26" t="n"/>
      <c r="C2054" s="27" t="n"/>
      <c r="D2054" s="28" t="n"/>
      <c r="E2054" s="29" t="n"/>
      <c r="F2054" s="29" t="n"/>
      <c r="G2054" s="28" t="n"/>
      <c r="H2054" s="1" t="n"/>
      <c r="I2054">
        <f>IF(OR(B2054="",C2054=""),"",B2054+MOD(C2054,1))</f>
        <v/>
      </c>
      <c r="J2054">
        <f>IF(I2054="","",IF(B2054=Dashboard!$AA$1,I2054,""))</f>
        <v/>
      </c>
    </row>
    <row r="2055">
      <c r="A2055" s="1" t="n"/>
      <c r="B2055" s="26" t="n"/>
      <c r="C2055" s="27" t="n"/>
      <c r="D2055" s="28" t="n"/>
      <c r="E2055" s="29" t="n"/>
      <c r="F2055" s="29" t="n"/>
      <c r="G2055" s="28" t="n"/>
      <c r="H2055" s="1" t="n"/>
      <c r="I2055">
        <f>IF(OR(B2055="",C2055=""),"",B2055+MOD(C2055,1))</f>
        <v/>
      </c>
      <c r="J2055">
        <f>IF(I2055="","",IF(B2055=Dashboard!$AA$1,I2055,""))</f>
        <v/>
      </c>
    </row>
    <row r="2056">
      <c r="A2056" s="1" t="n"/>
      <c r="B2056" s="26" t="n"/>
      <c r="C2056" s="27" t="n"/>
      <c r="D2056" s="28" t="n"/>
      <c r="E2056" s="29" t="n"/>
      <c r="F2056" s="29" t="n"/>
      <c r="G2056" s="28" t="n"/>
      <c r="H2056" s="1" t="n"/>
      <c r="I2056">
        <f>IF(OR(B2056="",C2056=""),"",B2056+MOD(C2056,1))</f>
        <v/>
      </c>
      <c r="J2056">
        <f>IF(I2056="","",IF(B2056=Dashboard!$AA$1,I2056,""))</f>
        <v/>
      </c>
    </row>
    <row r="2057">
      <c r="A2057" s="1" t="n"/>
      <c r="B2057" s="26" t="n"/>
      <c r="C2057" s="27" t="n"/>
      <c r="D2057" s="28" t="n"/>
      <c r="E2057" s="29" t="n"/>
      <c r="F2057" s="29" t="n"/>
      <c r="G2057" s="28" t="n"/>
      <c r="H2057" s="1" t="n"/>
      <c r="I2057">
        <f>IF(OR(B2057="",C2057=""),"",B2057+MOD(C2057,1))</f>
        <v/>
      </c>
      <c r="J2057">
        <f>IF(I2057="","",IF(B2057=Dashboard!$AA$1,I2057,""))</f>
        <v/>
      </c>
    </row>
    <row r="2058">
      <c r="A2058" s="1" t="n"/>
      <c r="B2058" s="26" t="n"/>
      <c r="C2058" s="27" t="n"/>
      <c r="D2058" s="28" t="n"/>
      <c r="E2058" s="29" t="n"/>
      <c r="F2058" s="29" t="n"/>
      <c r="G2058" s="28" t="n"/>
      <c r="H2058" s="1" t="n"/>
      <c r="I2058">
        <f>IF(OR(B2058="",C2058=""),"",B2058+MOD(C2058,1))</f>
        <v/>
      </c>
      <c r="J2058">
        <f>IF(I2058="","",IF(B2058=Dashboard!$AA$1,I2058,""))</f>
        <v/>
      </c>
    </row>
    <row r="2059">
      <c r="A2059" s="1" t="n"/>
      <c r="B2059" s="26" t="n"/>
      <c r="C2059" s="27" t="n"/>
      <c r="D2059" s="28" t="n"/>
      <c r="E2059" s="29" t="n"/>
      <c r="F2059" s="29" t="n"/>
      <c r="G2059" s="28" t="n"/>
      <c r="H2059" s="1" t="n"/>
      <c r="I2059">
        <f>IF(OR(B2059="",C2059=""),"",B2059+MOD(C2059,1))</f>
        <v/>
      </c>
      <c r="J2059">
        <f>IF(I2059="","",IF(B2059=Dashboard!$AA$1,I2059,""))</f>
        <v/>
      </c>
    </row>
    <row r="2060">
      <c r="A2060" s="1" t="n"/>
      <c r="B2060" s="26" t="n"/>
      <c r="C2060" s="27" t="n"/>
      <c r="D2060" s="28" t="n"/>
      <c r="E2060" s="29" t="n"/>
      <c r="F2060" s="29" t="n"/>
      <c r="G2060" s="28" t="n"/>
      <c r="H2060" s="1" t="n"/>
      <c r="I2060">
        <f>IF(OR(B2060="",C2060=""),"",B2060+MOD(C2060,1))</f>
        <v/>
      </c>
      <c r="J2060">
        <f>IF(I2060="","",IF(B2060=Dashboard!$AA$1,I2060,""))</f>
        <v/>
      </c>
    </row>
    <row r="2061">
      <c r="A2061" s="1" t="n"/>
      <c r="B2061" s="26" t="n"/>
      <c r="C2061" s="27" t="n"/>
      <c r="D2061" s="28" t="n"/>
      <c r="E2061" s="29" t="n"/>
      <c r="F2061" s="29" t="n"/>
      <c r="G2061" s="28" t="n"/>
      <c r="H2061" s="1" t="n"/>
      <c r="I2061">
        <f>IF(OR(B2061="",C2061=""),"",B2061+MOD(C2061,1))</f>
        <v/>
      </c>
      <c r="J2061">
        <f>IF(I2061="","",IF(B2061=Dashboard!$AA$1,I2061,""))</f>
        <v/>
      </c>
    </row>
    <row r="2062">
      <c r="A2062" s="1" t="n"/>
      <c r="B2062" s="26" t="n"/>
      <c r="C2062" s="27" t="n"/>
      <c r="D2062" s="28" t="n"/>
      <c r="E2062" s="29" t="n"/>
      <c r="F2062" s="29" t="n"/>
      <c r="G2062" s="28" t="n"/>
      <c r="H2062" s="1" t="n"/>
      <c r="I2062">
        <f>IF(OR(B2062="",C2062=""),"",B2062+MOD(C2062,1))</f>
        <v/>
      </c>
      <c r="J2062">
        <f>IF(I2062="","",IF(B2062=Dashboard!$AA$1,I2062,""))</f>
        <v/>
      </c>
    </row>
    <row r="2063">
      <c r="A2063" s="1" t="n"/>
      <c r="B2063" s="26" t="n"/>
      <c r="C2063" s="27" t="n"/>
      <c r="D2063" s="28" t="n"/>
      <c r="E2063" s="29" t="n"/>
      <c r="F2063" s="29" t="n"/>
      <c r="G2063" s="28" t="n"/>
      <c r="H2063" s="1" t="n"/>
      <c r="I2063">
        <f>IF(OR(B2063="",C2063=""),"",B2063+MOD(C2063,1))</f>
        <v/>
      </c>
      <c r="J2063">
        <f>IF(I2063="","",IF(B2063=Dashboard!$AA$1,I2063,""))</f>
        <v/>
      </c>
    </row>
    <row r="2064">
      <c r="A2064" s="1" t="n"/>
      <c r="B2064" s="26" t="n"/>
      <c r="C2064" s="27" t="n"/>
      <c r="D2064" s="28" t="n"/>
      <c r="E2064" s="29" t="n"/>
      <c r="F2064" s="29" t="n"/>
      <c r="G2064" s="28" t="n"/>
      <c r="H2064" s="1" t="n"/>
      <c r="I2064">
        <f>IF(OR(B2064="",C2064=""),"",B2064+MOD(C2064,1))</f>
        <v/>
      </c>
      <c r="J2064">
        <f>IF(I2064="","",IF(B2064=Dashboard!$AA$1,I2064,""))</f>
        <v/>
      </c>
    </row>
    <row r="2065">
      <c r="A2065" s="1" t="n"/>
      <c r="B2065" s="26" t="n"/>
      <c r="C2065" s="27" t="n"/>
      <c r="D2065" s="28" t="n"/>
      <c r="E2065" s="29" t="n"/>
      <c r="F2065" s="29" t="n"/>
      <c r="G2065" s="28" t="n"/>
      <c r="H2065" s="1" t="n"/>
      <c r="I2065">
        <f>IF(OR(B2065="",C2065=""),"",B2065+MOD(C2065,1))</f>
        <v/>
      </c>
      <c r="J2065">
        <f>IF(I2065="","",IF(B2065=Dashboard!$AA$1,I2065,""))</f>
        <v/>
      </c>
    </row>
    <row r="2066">
      <c r="A2066" s="1" t="n"/>
      <c r="B2066" s="26" t="n"/>
      <c r="C2066" s="27" t="n"/>
      <c r="D2066" s="28" t="n"/>
      <c r="E2066" s="29" t="n"/>
      <c r="F2066" s="29" t="n"/>
      <c r="G2066" s="28" t="n"/>
      <c r="H2066" s="1" t="n"/>
      <c r="I2066">
        <f>IF(OR(B2066="",C2066=""),"",B2066+MOD(C2066,1))</f>
        <v/>
      </c>
      <c r="J2066">
        <f>IF(I2066="","",IF(B2066=Dashboard!$AA$1,I2066,""))</f>
        <v/>
      </c>
    </row>
    <row r="2067">
      <c r="A2067" s="1" t="n"/>
      <c r="B2067" s="26" t="n"/>
      <c r="C2067" s="27" t="n"/>
      <c r="D2067" s="28" t="n"/>
      <c r="E2067" s="29" t="n"/>
      <c r="F2067" s="29" t="n"/>
      <c r="G2067" s="28" t="n"/>
      <c r="H2067" s="1" t="n"/>
      <c r="I2067">
        <f>IF(OR(B2067="",C2067=""),"",B2067+MOD(C2067,1))</f>
        <v/>
      </c>
      <c r="J2067">
        <f>IF(I2067="","",IF(B2067=Dashboard!$AA$1,I2067,""))</f>
        <v/>
      </c>
    </row>
    <row r="2068">
      <c r="A2068" s="1" t="n"/>
      <c r="B2068" s="26" t="n"/>
      <c r="C2068" s="27" t="n"/>
      <c r="D2068" s="28" t="n"/>
      <c r="E2068" s="29" t="n"/>
      <c r="F2068" s="29" t="n"/>
      <c r="G2068" s="28" t="n"/>
      <c r="H2068" s="1" t="n"/>
      <c r="I2068">
        <f>IF(OR(B2068="",C2068=""),"",B2068+MOD(C2068,1))</f>
        <v/>
      </c>
      <c r="J2068">
        <f>IF(I2068="","",IF(B2068=Dashboard!$AA$1,I2068,""))</f>
        <v/>
      </c>
    </row>
    <row r="2069">
      <c r="A2069" s="1" t="n"/>
      <c r="B2069" s="26" t="n"/>
      <c r="C2069" s="27" t="n"/>
      <c r="D2069" s="28" t="n"/>
      <c r="E2069" s="29" t="n"/>
      <c r="F2069" s="29" t="n"/>
      <c r="G2069" s="28" t="n"/>
      <c r="H2069" s="1" t="n"/>
      <c r="I2069">
        <f>IF(OR(B2069="",C2069=""),"",B2069+MOD(C2069,1))</f>
        <v/>
      </c>
      <c r="J2069">
        <f>IF(I2069="","",IF(B2069=Dashboard!$AA$1,I2069,""))</f>
        <v/>
      </c>
    </row>
    <row r="2070">
      <c r="A2070" s="1" t="n"/>
      <c r="B2070" s="26" t="n"/>
      <c r="C2070" s="27" t="n"/>
      <c r="D2070" s="28" t="n"/>
      <c r="E2070" s="29" t="n"/>
      <c r="F2070" s="29" t="n"/>
      <c r="G2070" s="28" t="n"/>
      <c r="H2070" s="1" t="n"/>
      <c r="I2070">
        <f>IF(OR(B2070="",C2070=""),"",B2070+MOD(C2070,1))</f>
        <v/>
      </c>
      <c r="J2070">
        <f>IF(I2070="","",IF(B2070=Dashboard!$AA$1,I2070,""))</f>
        <v/>
      </c>
    </row>
    <row r="2071">
      <c r="A2071" s="1" t="n"/>
      <c r="B2071" s="26" t="n"/>
      <c r="C2071" s="27" t="n"/>
      <c r="D2071" s="28" t="n"/>
      <c r="E2071" s="29" t="n"/>
      <c r="F2071" s="29" t="n"/>
      <c r="G2071" s="28" t="n"/>
      <c r="H2071" s="1" t="n"/>
      <c r="I2071">
        <f>IF(OR(B2071="",C2071=""),"",B2071+MOD(C2071,1))</f>
        <v/>
      </c>
      <c r="J2071">
        <f>IF(I2071="","",IF(B2071=Dashboard!$AA$1,I2071,""))</f>
        <v/>
      </c>
    </row>
    <row r="2072">
      <c r="A2072" s="1" t="n"/>
      <c r="B2072" s="26" t="n"/>
      <c r="C2072" s="27" t="n"/>
      <c r="D2072" s="28" t="n"/>
      <c r="E2072" s="29" t="n"/>
      <c r="F2072" s="29" t="n"/>
      <c r="G2072" s="28" t="n"/>
      <c r="H2072" s="1" t="n"/>
      <c r="I2072">
        <f>IF(OR(B2072="",C2072=""),"",B2072+MOD(C2072,1))</f>
        <v/>
      </c>
      <c r="J2072">
        <f>IF(I2072="","",IF(B2072=Dashboard!$AA$1,I2072,""))</f>
        <v/>
      </c>
    </row>
    <row r="2073">
      <c r="A2073" s="1" t="n"/>
      <c r="B2073" s="26" t="n"/>
      <c r="C2073" s="27" t="n"/>
      <c r="D2073" s="28" t="n"/>
      <c r="E2073" s="29" t="n"/>
      <c r="F2073" s="29" t="n"/>
      <c r="G2073" s="28" t="n"/>
      <c r="H2073" s="1" t="n"/>
      <c r="I2073">
        <f>IF(OR(B2073="",C2073=""),"",B2073+MOD(C2073,1))</f>
        <v/>
      </c>
      <c r="J2073">
        <f>IF(I2073="","",IF(B2073=Dashboard!$AA$1,I2073,""))</f>
        <v/>
      </c>
    </row>
    <row r="2074">
      <c r="A2074" s="1" t="n"/>
      <c r="B2074" s="26" t="n"/>
      <c r="C2074" s="27" t="n"/>
      <c r="D2074" s="28" t="n"/>
      <c r="E2074" s="29" t="n"/>
      <c r="F2074" s="29" t="n"/>
      <c r="G2074" s="28" t="n"/>
      <c r="H2074" s="1" t="n"/>
      <c r="I2074">
        <f>IF(OR(B2074="",C2074=""),"",B2074+MOD(C2074,1))</f>
        <v/>
      </c>
      <c r="J2074">
        <f>IF(I2074="","",IF(B2074=Dashboard!$AA$1,I2074,""))</f>
        <v/>
      </c>
    </row>
    <row r="2075">
      <c r="A2075" s="1" t="n"/>
      <c r="B2075" s="26" t="n"/>
      <c r="C2075" s="27" t="n"/>
      <c r="D2075" s="28" t="n"/>
      <c r="E2075" s="29" t="n"/>
      <c r="F2075" s="29" t="n"/>
      <c r="G2075" s="28" t="n"/>
      <c r="H2075" s="1" t="n"/>
      <c r="I2075">
        <f>IF(OR(B2075="",C2075=""),"",B2075+MOD(C2075,1))</f>
        <v/>
      </c>
      <c r="J2075">
        <f>IF(I2075="","",IF(B2075=Dashboard!$AA$1,I2075,""))</f>
        <v/>
      </c>
    </row>
    <row r="2076">
      <c r="A2076" s="1" t="n"/>
      <c r="B2076" s="26" t="n"/>
      <c r="C2076" s="27" t="n"/>
      <c r="D2076" s="28" t="n"/>
      <c r="E2076" s="29" t="n"/>
      <c r="F2076" s="29" t="n"/>
      <c r="G2076" s="28" t="n"/>
      <c r="H2076" s="1" t="n"/>
      <c r="I2076">
        <f>IF(OR(B2076="",C2076=""),"",B2076+MOD(C2076,1))</f>
        <v/>
      </c>
      <c r="J2076">
        <f>IF(I2076="","",IF(B2076=Dashboard!$AA$1,I2076,""))</f>
        <v/>
      </c>
    </row>
    <row r="2077">
      <c r="A2077" s="1" t="n"/>
      <c r="B2077" s="26" t="n"/>
      <c r="C2077" s="27" t="n"/>
      <c r="D2077" s="28" t="n"/>
      <c r="E2077" s="29" t="n"/>
      <c r="F2077" s="29" t="n"/>
      <c r="G2077" s="28" t="n"/>
      <c r="H2077" s="1" t="n"/>
      <c r="I2077">
        <f>IF(OR(B2077="",C2077=""),"",B2077+MOD(C2077,1))</f>
        <v/>
      </c>
      <c r="J2077">
        <f>IF(I2077="","",IF(B2077=Dashboard!$AA$1,I2077,""))</f>
        <v/>
      </c>
    </row>
    <row r="2078">
      <c r="A2078" s="1" t="n"/>
      <c r="B2078" s="26" t="n"/>
      <c r="C2078" s="27" t="n"/>
      <c r="D2078" s="28" t="n"/>
      <c r="E2078" s="29" t="n"/>
      <c r="F2078" s="29" t="n"/>
      <c r="G2078" s="28" t="n"/>
      <c r="H2078" s="1" t="n"/>
      <c r="I2078">
        <f>IF(OR(B2078="",C2078=""),"",B2078+MOD(C2078,1))</f>
        <v/>
      </c>
      <c r="J2078">
        <f>IF(I2078="","",IF(B2078=Dashboard!$AA$1,I2078,""))</f>
        <v/>
      </c>
    </row>
    <row r="2079">
      <c r="A2079" s="1" t="n"/>
      <c r="B2079" s="26" t="n"/>
      <c r="C2079" s="27" t="n"/>
      <c r="D2079" s="28" t="n"/>
      <c r="E2079" s="29" t="n"/>
      <c r="F2079" s="29" t="n"/>
      <c r="G2079" s="28" t="n"/>
      <c r="H2079" s="1" t="n"/>
      <c r="I2079">
        <f>IF(OR(B2079="",C2079=""),"",B2079+MOD(C2079,1))</f>
        <v/>
      </c>
      <c r="J2079">
        <f>IF(I2079="","",IF(B2079=Dashboard!$AA$1,I2079,""))</f>
        <v/>
      </c>
    </row>
    <row r="2080">
      <c r="A2080" s="1" t="n"/>
      <c r="B2080" s="26" t="n"/>
      <c r="C2080" s="27" t="n"/>
      <c r="D2080" s="28" t="n"/>
      <c r="E2080" s="29" t="n"/>
      <c r="F2080" s="29" t="n"/>
      <c r="G2080" s="28" t="n"/>
      <c r="H2080" s="1" t="n"/>
      <c r="I2080">
        <f>IF(OR(B2080="",C2080=""),"",B2080+MOD(C2080,1))</f>
        <v/>
      </c>
      <c r="J2080">
        <f>IF(I2080="","",IF(B2080=Dashboard!$AA$1,I2080,""))</f>
        <v/>
      </c>
    </row>
    <row r="2081">
      <c r="A2081" s="1" t="n"/>
      <c r="B2081" s="26" t="n"/>
      <c r="C2081" s="27" t="n"/>
      <c r="D2081" s="28" t="n"/>
      <c r="E2081" s="29" t="n"/>
      <c r="F2081" s="29" t="n"/>
      <c r="G2081" s="28" t="n"/>
      <c r="H2081" s="1" t="n"/>
      <c r="I2081">
        <f>IF(OR(B2081="",C2081=""),"",B2081+MOD(C2081,1))</f>
        <v/>
      </c>
      <c r="J2081">
        <f>IF(I2081="","",IF(B2081=Dashboard!$AA$1,I2081,""))</f>
        <v/>
      </c>
    </row>
    <row r="2082">
      <c r="A2082" s="1" t="n"/>
      <c r="B2082" s="26" t="n"/>
      <c r="C2082" s="27" t="n"/>
      <c r="D2082" s="28" t="n"/>
      <c r="E2082" s="29" t="n"/>
      <c r="F2082" s="29" t="n"/>
      <c r="G2082" s="28" t="n"/>
      <c r="H2082" s="1" t="n"/>
      <c r="I2082">
        <f>IF(OR(B2082="",C2082=""),"",B2082+MOD(C2082,1))</f>
        <v/>
      </c>
      <c r="J2082">
        <f>IF(I2082="","",IF(B2082=Dashboard!$AA$1,I2082,""))</f>
        <v/>
      </c>
    </row>
    <row r="2083">
      <c r="A2083" s="1" t="n"/>
      <c r="B2083" s="26" t="n"/>
      <c r="C2083" s="27" t="n"/>
      <c r="D2083" s="28" t="n"/>
      <c r="E2083" s="29" t="n"/>
      <c r="F2083" s="29" t="n"/>
      <c r="G2083" s="28" t="n"/>
      <c r="H2083" s="1" t="n"/>
      <c r="I2083">
        <f>IF(OR(B2083="",C2083=""),"",B2083+MOD(C2083,1))</f>
        <v/>
      </c>
      <c r="J2083">
        <f>IF(I2083="","",IF(B2083=Dashboard!$AA$1,I2083,""))</f>
        <v/>
      </c>
    </row>
    <row r="2084">
      <c r="A2084" s="1" t="n"/>
      <c r="B2084" s="26" t="n"/>
      <c r="C2084" s="27" t="n"/>
      <c r="D2084" s="28" t="n"/>
      <c r="E2084" s="29" t="n"/>
      <c r="F2084" s="29" t="n"/>
      <c r="G2084" s="28" t="n"/>
      <c r="H2084" s="1" t="n"/>
      <c r="I2084">
        <f>IF(OR(B2084="",C2084=""),"",B2084+MOD(C2084,1))</f>
        <v/>
      </c>
      <c r="J2084">
        <f>IF(I2084="","",IF(B2084=Dashboard!$AA$1,I2084,""))</f>
        <v/>
      </c>
    </row>
    <row r="2085">
      <c r="A2085" s="1" t="n"/>
      <c r="B2085" s="26" t="n"/>
      <c r="C2085" s="27" t="n"/>
      <c r="D2085" s="28" t="n"/>
      <c r="E2085" s="29" t="n"/>
      <c r="F2085" s="29" t="n"/>
      <c r="G2085" s="28" t="n"/>
      <c r="H2085" s="1" t="n"/>
      <c r="I2085">
        <f>IF(OR(B2085="",C2085=""),"",B2085+MOD(C2085,1))</f>
        <v/>
      </c>
      <c r="J2085">
        <f>IF(I2085="","",IF(B2085=Dashboard!$AA$1,I2085,""))</f>
        <v/>
      </c>
    </row>
    <row r="2086">
      <c r="A2086" s="1" t="n"/>
      <c r="B2086" s="26" t="n"/>
      <c r="C2086" s="27" t="n"/>
      <c r="D2086" s="28" t="n"/>
      <c r="E2086" s="29" t="n"/>
      <c r="F2086" s="29" t="n"/>
      <c r="G2086" s="28" t="n"/>
      <c r="H2086" s="1" t="n"/>
      <c r="I2086">
        <f>IF(OR(B2086="",C2086=""),"",B2086+MOD(C2086,1))</f>
        <v/>
      </c>
      <c r="J2086">
        <f>IF(I2086="","",IF(B2086=Dashboard!$AA$1,I2086,""))</f>
        <v/>
      </c>
    </row>
    <row r="2087">
      <c r="A2087" s="1" t="n"/>
      <c r="B2087" s="26" t="n"/>
      <c r="C2087" s="27" t="n"/>
      <c r="D2087" s="28" t="n"/>
      <c r="E2087" s="29" t="n"/>
      <c r="F2087" s="29" t="n"/>
      <c r="G2087" s="28" t="n"/>
      <c r="H2087" s="1" t="n"/>
      <c r="I2087">
        <f>IF(OR(B2087="",C2087=""),"",B2087+MOD(C2087,1))</f>
        <v/>
      </c>
      <c r="J2087">
        <f>IF(I2087="","",IF(B2087=Dashboard!$AA$1,I2087,""))</f>
        <v/>
      </c>
    </row>
    <row r="2088">
      <c r="A2088" s="1" t="n"/>
      <c r="B2088" s="26" t="n"/>
      <c r="C2088" s="27" t="n"/>
      <c r="D2088" s="28" t="n"/>
      <c r="E2088" s="29" t="n"/>
      <c r="F2088" s="29" t="n"/>
      <c r="G2088" s="28" t="n"/>
      <c r="H2088" s="1" t="n"/>
      <c r="I2088">
        <f>IF(OR(B2088="",C2088=""),"",B2088+MOD(C2088,1))</f>
        <v/>
      </c>
      <c r="J2088">
        <f>IF(I2088="","",IF(B2088=Dashboard!$AA$1,I2088,""))</f>
        <v/>
      </c>
    </row>
    <row r="2089">
      <c r="A2089" s="1" t="n"/>
      <c r="B2089" s="26" t="n"/>
      <c r="C2089" s="27" t="n"/>
      <c r="D2089" s="28" t="n"/>
      <c r="E2089" s="29" t="n"/>
      <c r="F2089" s="29" t="n"/>
      <c r="G2089" s="28" t="n"/>
      <c r="H2089" s="1" t="n"/>
      <c r="I2089">
        <f>IF(OR(B2089="",C2089=""),"",B2089+MOD(C2089,1))</f>
        <v/>
      </c>
      <c r="J2089">
        <f>IF(I2089="","",IF(B2089=Dashboard!$AA$1,I2089,""))</f>
        <v/>
      </c>
    </row>
    <row r="2090">
      <c r="A2090" s="1" t="n"/>
      <c r="B2090" s="26" t="n"/>
      <c r="C2090" s="27" t="n"/>
      <c r="D2090" s="28" t="n"/>
      <c r="E2090" s="29" t="n"/>
      <c r="F2090" s="29" t="n"/>
      <c r="G2090" s="28" t="n"/>
      <c r="H2090" s="1" t="n"/>
      <c r="I2090">
        <f>IF(OR(B2090="",C2090=""),"",B2090+MOD(C2090,1))</f>
        <v/>
      </c>
      <c r="J2090">
        <f>IF(I2090="","",IF(B2090=Dashboard!$AA$1,I2090,""))</f>
        <v/>
      </c>
    </row>
    <row r="2091">
      <c r="A2091" s="1" t="n"/>
      <c r="B2091" s="26" t="n"/>
      <c r="C2091" s="27" t="n"/>
      <c r="D2091" s="28" t="n"/>
      <c r="E2091" s="29" t="n"/>
      <c r="F2091" s="29" t="n"/>
      <c r="G2091" s="28" t="n"/>
      <c r="H2091" s="1" t="n"/>
      <c r="I2091">
        <f>IF(OR(B2091="",C2091=""),"",B2091+MOD(C2091,1))</f>
        <v/>
      </c>
      <c r="J2091">
        <f>IF(I2091="","",IF(B2091=Dashboard!$AA$1,I2091,""))</f>
        <v/>
      </c>
    </row>
    <row r="2092">
      <c r="A2092" s="1" t="n"/>
      <c r="B2092" s="26" t="n"/>
      <c r="C2092" s="27" t="n"/>
      <c r="D2092" s="28" t="n"/>
      <c r="E2092" s="29" t="n"/>
      <c r="F2092" s="29" t="n"/>
      <c r="G2092" s="28" t="n"/>
      <c r="H2092" s="1" t="n"/>
      <c r="I2092">
        <f>IF(OR(B2092="",C2092=""),"",B2092+MOD(C2092,1))</f>
        <v/>
      </c>
      <c r="J2092">
        <f>IF(I2092="","",IF(B2092=Dashboard!$AA$1,I2092,""))</f>
        <v/>
      </c>
    </row>
    <row r="2093">
      <c r="A2093" s="1" t="n"/>
      <c r="B2093" s="26" t="n"/>
      <c r="C2093" s="27" t="n"/>
      <c r="D2093" s="28" t="n"/>
      <c r="E2093" s="29" t="n"/>
      <c r="F2093" s="29" t="n"/>
      <c r="G2093" s="28" t="n"/>
      <c r="H2093" s="1" t="n"/>
      <c r="I2093">
        <f>IF(OR(B2093="",C2093=""),"",B2093+MOD(C2093,1))</f>
        <v/>
      </c>
      <c r="J2093">
        <f>IF(I2093="","",IF(B2093=Dashboard!$AA$1,I2093,""))</f>
        <v/>
      </c>
    </row>
    <row r="2094">
      <c r="A2094" s="1" t="n"/>
      <c r="B2094" s="26" t="n"/>
      <c r="C2094" s="27" t="n"/>
      <c r="D2094" s="28" t="n"/>
      <c r="E2094" s="29" t="n"/>
      <c r="F2094" s="29" t="n"/>
      <c r="G2094" s="28" t="n"/>
      <c r="H2094" s="1" t="n"/>
      <c r="I2094">
        <f>IF(OR(B2094="",C2094=""),"",B2094+MOD(C2094,1))</f>
        <v/>
      </c>
      <c r="J2094">
        <f>IF(I2094="","",IF(B2094=Dashboard!$AA$1,I2094,""))</f>
        <v/>
      </c>
    </row>
    <row r="2095">
      <c r="A2095" s="1" t="n"/>
      <c r="B2095" s="26" t="n"/>
      <c r="C2095" s="27" t="n"/>
      <c r="D2095" s="28" t="n"/>
      <c r="E2095" s="29" t="n"/>
      <c r="F2095" s="29" t="n"/>
      <c r="G2095" s="28" t="n"/>
      <c r="H2095" s="1" t="n"/>
      <c r="I2095">
        <f>IF(OR(B2095="",C2095=""),"",B2095+MOD(C2095,1))</f>
        <v/>
      </c>
      <c r="J2095">
        <f>IF(I2095="","",IF(B2095=Dashboard!$AA$1,I2095,""))</f>
        <v/>
      </c>
    </row>
    <row r="2096">
      <c r="A2096" s="1" t="n"/>
      <c r="B2096" s="26" t="n"/>
      <c r="C2096" s="27" t="n"/>
      <c r="D2096" s="28" t="n"/>
      <c r="E2096" s="29" t="n"/>
      <c r="F2096" s="29" t="n"/>
      <c r="G2096" s="28" t="n"/>
      <c r="H2096" s="1" t="n"/>
      <c r="I2096">
        <f>IF(OR(B2096="",C2096=""),"",B2096+MOD(C2096,1))</f>
        <v/>
      </c>
      <c r="J2096">
        <f>IF(I2096="","",IF(B2096=Dashboard!$AA$1,I2096,""))</f>
        <v/>
      </c>
    </row>
    <row r="2097">
      <c r="A2097" s="1" t="n"/>
      <c r="B2097" s="26" t="n"/>
      <c r="C2097" s="27" t="n"/>
      <c r="D2097" s="28" t="n"/>
      <c r="E2097" s="29" t="n"/>
      <c r="F2097" s="29" t="n"/>
      <c r="G2097" s="28" t="n"/>
      <c r="H2097" s="1" t="n"/>
      <c r="I2097">
        <f>IF(OR(B2097="",C2097=""),"",B2097+MOD(C2097,1))</f>
        <v/>
      </c>
      <c r="J2097">
        <f>IF(I2097="","",IF(B2097=Dashboard!$AA$1,I2097,""))</f>
        <v/>
      </c>
    </row>
    <row r="2098">
      <c r="A2098" s="1" t="n"/>
      <c r="B2098" s="26" t="n"/>
      <c r="C2098" s="27" t="n"/>
      <c r="D2098" s="28" t="n"/>
      <c r="E2098" s="29" t="n"/>
      <c r="F2098" s="29" t="n"/>
      <c r="G2098" s="28" t="n"/>
      <c r="H2098" s="1" t="n"/>
      <c r="I2098">
        <f>IF(OR(B2098="",C2098=""),"",B2098+MOD(C2098,1))</f>
        <v/>
      </c>
      <c r="J2098">
        <f>IF(I2098="","",IF(B2098=Dashboard!$AA$1,I2098,""))</f>
        <v/>
      </c>
    </row>
    <row r="2099">
      <c r="A2099" s="1" t="n"/>
      <c r="B2099" s="26" t="n"/>
      <c r="C2099" s="27" t="n"/>
      <c r="D2099" s="28" t="n"/>
      <c r="E2099" s="29" t="n"/>
      <c r="F2099" s="29" t="n"/>
      <c r="G2099" s="28" t="n"/>
      <c r="H2099" s="1" t="n"/>
      <c r="I2099">
        <f>IF(OR(B2099="",C2099=""),"",B2099+MOD(C2099,1))</f>
        <v/>
      </c>
      <c r="J2099">
        <f>IF(I2099="","",IF(B2099=Dashboard!$AA$1,I2099,""))</f>
        <v/>
      </c>
    </row>
    <row r="2100">
      <c r="A2100" s="1" t="n"/>
      <c r="B2100" s="26" t="n"/>
      <c r="C2100" s="27" t="n"/>
      <c r="D2100" s="28" t="n"/>
      <c r="E2100" s="29" t="n"/>
      <c r="F2100" s="29" t="n"/>
      <c r="G2100" s="28" t="n"/>
      <c r="H2100" s="1" t="n"/>
      <c r="I2100">
        <f>IF(OR(B2100="",C2100=""),"",B2100+MOD(C2100,1))</f>
        <v/>
      </c>
      <c r="J2100">
        <f>IF(I2100="","",IF(B2100=Dashboard!$AA$1,I2100,""))</f>
        <v/>
      </c>
    </row>
    <row r="2101">
      <c r="A2101" s="1" t="n"/>
      <c r="B2101" s="26" t="n"/>
      <c r="C2101" s="27" t="n"/>
      <c r="D2101" s="28" t="n"/>
      <c r="E2101" s="29" t="n"/>
      <c r="F2101" s="29" t="n"/>
      <c r="G2101" s="28" t="n"/>
      <c r="H2101" s="1" t="n"/>
      <c r="I2101">
        <f>IF(OR(B2101="",C2101=""),"",B2101+MOD(C2101,1))</f>
        <v/>
      </c>
      <c r="J2101">
        <f>IF(I2101="","",IF(B2101=Dashboard!$AA$1,I2101,""))</f>
        <v/>
      </c>
    </row>
    <row r="2102">
      <c r="A2102" s="1" t="n"/>
      <c r="B2102" s="26" t="n"/>
      <c r="C2102" s="27" t="n"/>
      <c r="D2102" s="28" t="n"/>
      <c r="E2102" s="29" t="n"/>
      <c r="F2102" s="29" t="n"/>
      <c r="G2102" s="28" t="n"/>
      <c r="H2102" s="1" t="n"/>
      <c r="I2102">
        <f>IF(OR(B2102="",C2102=""),"",B2102+MOD(C2102,1))</f>
        <v/>
      </c>
      <c r="J2102">
        <f>IF(I2102="","",IF(B2102=Dashboard!$AA$1,I2102,""))</f>
        <v/>
      </c>
    </row>
    <row r="2103">
      <c r="A2103" s="1" t="n"/>
      <c r="B2103" s="26" t="n"/>
      <c r="C2103" s="27" t="n"/>
      <c r="D2103" s="28" t="n"/>
      <c r="E2103" s="29" t="n"/>
      <c r="F2103" s="29" t="n"/>
      <c r="G2103" s="28" t="n"/>
      <c r="H2103" s="1" t="n"/>
      <c r="I2103">
        <f>IF(OR(B2103="",C2103=""),"",B2103+MOD(C2103,1))</f>
        <v/>
      </c>
      <c r="J2103">
        <f>IF(I2103="","",IF(B2103=Dashboard!$AA$1,I2103,""))</f>
        <v/>
      </c>
    </row>
    <row r="2104">
      <c r="A2104" s="1" t="n"/>
      <c r="B2104" s="26" t="n"/>
      <c r="C2104" s="27" t="n"/>
      <c r="D2104" s="28" t="n"/>
      <c r="E2104" s="29" t="n"/>
      <c r="F2104" s="29" t="n"/>
      <c r="G2104" s="28" t="n"/>
      <c r="H2104" s="1" t="n"/>
      <c r="I2104">
        <f>IF(OR(B2104="",C2104=""),"",B2104+MOD(C2104,1))</f>
        <v/>
      </c>
      <c r="J2104">
        <f>IF(I2104="","",IF(B2104=Dashboard!$AA$1,I2104,""))</f>
        <v/>
      </c>
    </row>
    <row r="2105">
      <c r="A2105" s="1" t="n"/>
      <c r="B2105" s="26" t="n"/>
      <c r="C2105" s="27" t="n"/>
      <c r="D2105" s="28" t="n"/>
      <c r="E2105" s="29" t="n"/>
      <c r="F2105" s="29" t="n"/>
      <c r="G2105" s="28" t="n"/>
      <c r="H2105" s="1" t="n"/>
      <c r="I2105">
        <f>IF(OR(B2105="",C2105=""),"",B2105+MOD(C2105,1))</f>
        <v/>
      </c>
      <c r="J2105">
        <f>IF(I2105="","",IF(B2105=Dashboard!$AA$1,I2105,""))</f>
        <v/>
      </c>
    </row>
    <row r="2106">
      <c r="A2106" s="1" t="n"/>
      <c r="B2106" s="26" t="n"/>
      <c r="C2106" s="27" t="n"/>
      <c r="D2106" s="28" t="n"/>
      <c r="E2106" s="29" t="n"/>
      <c r="F2106" s="29" t="n"/>
      <c r="G2106" s="28" t="n"/>
      <c r="H2106" s="1" t="n"/>
      <c r="I2106">
        <f>IF(OR(B2106="",C2106=""),"",B2106+MOD(C2106,1))</f>
        <v/>
      </c>
      <c r="J2106">
        <f>IF(I2106="","",IF(B2106=Dashboard!$AA$1,I2106,""))</f>
        <v/>
      </c>
    </row>
    <row r="2107">
      <c r="A2107" s="1" t="n"/>
      <c r="B2107" s="26" t="n"/>
      <c r="C2107" s="27" t="n"/>
      <c r="D2107" s="28" t="n"/>
      <c r="E2107" s="29" t="n"/>
      <c r="F2107" s="29" t="n"/>
      <c r="G2107" s="28" t="n"/>
      <c r="H2107" s="1" t="n"/>
      <c r="I2107">
        <f>IF(OR(B2107="",C2107=""),"",B2107+MOD(C2107,1))</f>
        <v/>
      </c>
      <c r="J2107">
        <f>IF(I2107="","",IF(B2107=Dashboard!$AA$1,I2107,""))</f>
        <v/>
      </c>
    </row>
    <row r="2108">
      <c r="A2108" s="1" t="n"/>
      <c r="B2108" s="26" t="n"/>
      <c r="C2108" s="27" t="n"/>
      <c r="D2108" s="28" t="n"/>
      <c r="E2108" s="29" t="n"/>
      <c r="F2108" s="29" t="n"/>
      <c r="G2108" s="28" t="n"/>
      <c r="H2108" s="1" t="n"/>
      <c r="I2108">
        <f>IF(OR(B2108="",C2108=""),"",B2108+MOD(C2108,1))</f>
        <v/>
      </c>
      <c r="J2108">
        <f>IF(I2108="","",IF(B2108=Dashboard!$AA$1,I2108,""))</f>
        <v/>
      </c>
    </row>
    <row r="2109">
      <c r="A2109" s="1" t="n"/>
      <c r="B2109" s="26" t="n"/>
      <c r="C2109" s="27" t="n"/>
      <c r="D2109" s="28" t="n"/>
      <c r="E2109" s="29" t="n"/>
      <c r="F2109" s="29" t="n"/>
      <c r="G2109" s="28" t="n"/>
      <c r="H2109" s="1" t="n"/>
      <c r="I2109">
        <f>IF(OR(B2109="",C2109=""),"",B2109+MOD(C2109,1))</f>
        <v/>
      </c>
      <c r="J2109">
        <f>IF(I2109="","",IF(B2109=Dashboard!$AA$1,I2109,""))</f>
        <v/>
      </c>
    </row>
    <row r="2110">
      <c r="A2110" s="1" t="n"/>
      <c r="B2110" s="26" t="n"/>
      <c r="C2110" s="27" t="n"/>
      <c r="D2110" s="28" t="n"/>
      <c r="E2110" s="29" t="n"/>
      <c r="F2110" s="29" t="n"/>
      <c r="G2110" s="28" t="n"/>
      <c r="H2110" s="1" t="n"/>
      <c r="I2110">
        <f>IF(OR(B2110="",C2110=""),"",B2110+MOD(C2110,1))</f>
        <v/>
      </c>
      <c r="J2110">
        <f>IF(I2110="","",IF(B2110=Dashboard!$AA$1,I2110,""))</f>
        <v/>
      </c>
    </row>
    <row r="2111">
      <c r="A2111" s="1" t="n"/>
      <c r="B2111" s="26" t="n"/>
      <c r="C2111" s="27" t="n"/>
      <c r="D2111" s="28" t="n"/>
      <c r="E2111" s="29" t="n"/>
      <c r="F2111" s="29" t="n"/>
      <c r="G2111" s="28" t="n"/>
      <c r="H2111" s="1" t="n"/>
      <c r="I2111">
        <f>IF(OR(B2111="",C2111=""),"",B2111+MOD(C2111,1))</f>
        <v/>
      </c>
      <c r="J2111">
        <f>IF(I2111="","",IF(B2111=Dashboard!$AA$1,I2111,""))</f>
        <v/>
      </c>
    </row>
    <row r="2112">
      <c r="A2112" s="1" t="n"/>
      <c r="B2112" s="26" t="n"/>
      <c r="C2112" s="27" t="n"/>
      <c r="D2112" s="28" t="n"/>
      <c r="E2112" s="29" t="n"/>
      <c r="F2112" s="29" t="n"/>
      <c r="G2112" s="28" t="n"/>
      <c r="H2112" s="1" t="n"/>
      <c r="I2112">
        <f>IF(OR(B2112="",C2112=""),"",B2112+MOD(C2112,1))</f>
        <v/>
      </c>
      <c r="J2112">
        <f>IF(I2112="","",IF(B2112=Dashboard!$AA$1,I2112,""))</f>
        <v/>
      </c>
    </row>
    <row r="2113">
      <c r="A2113" s="1" t="n"/>
      <c r="B2113" s="26" t="n"/>
      <c r="C2113" s="27" t="n"/>
      <c r="D2113" s="28" t="n"/>
      <c r="E2113" s="29" t="n"/>
      <c r="F2113" s="29" t="n"/>
      <c r="G2113" s="28" t="n"/>
      <c r="H2113" s="1" t="n"/>
      <c r="I2113">
        <f>IF(OR(B2113="",C2113=""),"",B2113+MOD(C2113,1))</f>
        <v/>
      </c>
      <c r="J2113">
        <f>IF(I2113="","",IF(B2113=Dashboard!$AA$1,I2113,""))</f>
        <v/>
      </c>
    </row>
    <row r="2114">
      <c r="A2114" s="1" t="n"/>
      <c r="B2114" s="26" t="n"/>
      <c r="C2114" s="27" t="n"/>
      <c r="D2114" s="28" t="n"/>
      <c r="E2114" s="29" t="n"/>
      <c r="F2114" s="29" t="n"/>
      <c r="G2114" s="28" t="n"/>
      <c r="H2114" s="1" t="n"/>
      <c r="I2114">
        <f>IF(OR(B2114="",C2114=""),"",B2114+MOD(C2114,1))</f>
        <v/>
      </c>
      <c r="J2114">
        <f>IF(I2114="","",IF(B2114=Dashboard!$AA$1,I2114,""))</f>
        <v/>
      </c>
    </row>
    <row r="2115">
      <c r="A2115" s="1" t="n"/>
      <c r="B2115" s="26" t="n"/>
      <c r="C2115" s="27" t="n"/>
      <c r="D2115" s="28" t="n"/>
      <c r="E2115" s="29" t="n"/>
      <c r="F2115" s="29" t="n"/>
      <c r="G2115" s="28" t="n"/>
      <c r="H2115" s="1" t="n"/>
      <c r="I2115">
        <f>IF(OR(B2115="",C2115=""),"",B2115+MOD(C2115,1))</f>
        <v/>
      </c>
      <c r="J2115">
        <f>IF(I2115="","",IF(B2115=Dashboard!$AA$1,I2115,""))</f>
        <v/>
      </c>
    </row>
    <row r="2116">
      <c r="A2116" s="1" t="n"/>
      <c r="B2116" s="26" t="n"/>
      <c r="C2116" s="27" t="n"/>
      <c r="D2116" s="28" t="n"/>
      <c r="E2116" s="29" t="n"/>
      <c r="F2116" s="29" t="n"/>
      <c r="G2116" s="28" t="n"/>
      <c r="H2116" s="1" t="n"/>
      <c r="I2116">
        <f>IF(OR(B2116="",C2116=""),"",B2116+MOD(C2116,1))</f>
        <v/>
      </c>
      <c r="J2116">
        <f>IF(I2116="","",IF(B2116=Dashboard!$AA$1,I2116,""))</f>
        <v/>
      </c>
    </row>
    <row r="2117">
      <c r="A2117" s="1" t="n"/>
      <c r="B2117" s="26" t="n"/>
      <c r="C2117" s="27" t="n"/>
      <c r="D2117" s="28" t="n"/>
      <c r="E2117" s="29" t="n"/>
      <c r="F2117" s="29" t="n"/>
      <c r="G2117" s="28" t="n"/>
      <c r="H2117" s="1" t="n"/>
      <c r="I2117">
        <f>IF(OR(B2117="",C2117=""),"",B2117+MOD(C2117,1))</f>
        <v/>
      </c>
      <c r="J2117">
        <f>IF(I2117="","",IF(B2117=Dashboard!$AA$1,I2117,""))</f>
        <v/>
      </c>
    </row>
    <row r="2118">
      <c r="A2118" s="1" t="n"/>
      <c r="B2118" s="26" t="n"/>
      <c r="C2118" s="27" t="n"/>
      <c r="D2118" s="28" t="n"/>
      <c r="E2118" s="29" t="n"/>
      <c r="F2118" s="29" t="n"/>
      <c r="G2118" s="28" t="n"/>
      <c r="H2118" s="1" t="n"/>
      <c r="I2118">
        <f>IF(OR(B2118="",C2118=""),"",B2118+MOD(C2118,1))</f>
        <v/>
      </c>
      <c r="J2118">
        <f>IF(I2118="","",IF(B2118=Dashboard!$AA$1,I2118,""))</f>
        <v/>
      </c>
    </row>
    <row r="2119">
      <c r="A2119" s="1" t="n"/>
      <c r="B2119" s="26" t="n"/>
      <c r="C2119" s="27" t="n"/>
      <c r="D2119" s="28" t="n"/>
      <c r="E2119" s="29" t="n"/>
      <c r="F2119" s="29" t="n"/>
      <c r="G2119" s="28" t="n"/>
      <c r="H2119" s="1" t="n"/>
      <c r="I2119">
        <f>IF(OR(B2119="",C2119=""),"",B2119+MOD(C2119,1))</f>
        <v/>
      </c>
      <c r="J2119">
        <f>IF(I2119="","",IF(B2119=Dashboard!$AA$1,I2119,""))</f>
        <v/>
      </c>
    </row>
    <row r="2120">
      <c r="A2120" s="1" t="n"/>
      <c r="B2120" s="26" t="n"/>
      <c r="C2120" s="27" t="n"/>
      <c r="D2120" s="28" t="n"/>
      <c r="E2120" s="29" t="n"/>
      <c r="F2120" s="29" t="n"/>
      <c r="G2120" s="28" t="n"/>
      <c r="H2120" s="1" t="n"/>
      <c r="I2120">
        <f>IF(OR(B2120="",C2120=""),"",B2120+MOD(C2120,1))</f>
        <v/>
      </c>
      <c r="J2120">
        <f>IF(I2120="","",IF(B2120=Dashboard!$AA$1,I2120,""))</f>
        <v/>
      </c>
    </row>
    <row r="2121">
      <c r="A2121" s="1" t="n"/>
      <c r="B2121" s="26" t="n"/>
      <c r="C2121" s="27" t="n"/>
      <c r="D2121" s="28" t="n"/>
      <c r="E2121" s="29" t="n"/>
      <c r="F2121" s="29" t="n"/>
      <c r="G2121" s="28" t="n"/>
      <c r="H2121" s="1" t="n"/>
      <c r="I2121">
        <f>IF(OR(B2121="",C2121=""),"",B2121+MOD(C2121,1))</f>
        <v/>
      </c>
      <c r="J2121">
        <f>IF(I2121="","",IF(B2121=Dashboard!$AA$1,I2121,""))</f>
        <v/>
      </c>
    </row>
    <row r="2122">
      <c r="A2122" s="1" t="n"/>
      <c r="B2122" s="26" t="n"/>
      <c r="C2122" s="27" t="n"/>
      <c r="D2122" s="28" t="n"/>
      <c r="E2122" s="29" t="n"/>
      <c r="F2122" s="29" t="n"/>
      <c r="G2122" s="28" t="n"/>
      <c r="H2122" s="1" t="n"/>
      <c r="I2122">
        <f>IF(OR(B2122="",C2122=""),"",B2122+MOD(C2122,1))</f>
        <v/>
      </c>
      <c r="J2122">
        <f>IF(I2122="","",IF(B2122=Dashboard!$AA$1,I2122,""))</f>
        <v/>
      </c>
    </row>
    <row r="2123">
      <c r="A2123" s="1" t="n"/>
      <c r="B2123" s="26" t="n"/>
      <c r="C2123" s="27" t="n"/>
      <c r="D2123" s="28" t="n"/>
      <c r="E2123" s="29" t="n"/>
      <c r="F2123" s="29" t="n"/>
      <c r="G2123" s="28" t="n"/>
      <c r="H2123" s="1" t="n"/>
      <c r="I2123">
        <f>IF(OR(B2123="",C2123=""),"",B2123+MOD(C2123,1))</f>
        <v/>
      </c>
      <c r="J2123">
        <f>IF(I2123="","",IF(B2123=Dashboard!$AA$1,I2123,""))</f>
        <v/>
      </c>
    </row>
    <row r="2124">
      <c r="A2124" s="1" t="n"/>
      <c r="B2124" s="26" t="n"/>
      <c r="C2124" s="27" t="n"/>
      <c r="D2124" s="28" t="n"/>
      <c r="E2124" s="29" t="n"/>
      <c r="F2124" s="29" t="n"/>
      <c r="G2124" s="28" t="n"/>
      <c r="H2124" s="1" t="n"/>
      <c r="I2124">
        <f>IF(OR(B2124="",C2124=""),"",B2124+MOD(C2124,1))</f>
        <v/>
      </c>
      <c r="J2124">
        <f>IF(I2124="","",IF(B2124=Dashboard!$AA$1,I2124,""))</f>
        <v/>
      </c>
    </row>
    <row r="2125">
      <c r="A2125" s="1" t="n"/>
      <c r="B2125" s="26" t="n"/>
      <c r="C2125" s="27" t="n"/>
      <c r="D2125" s="28" t="n"/>
      <c r="E2125" s="29" t="n"/>
      <c r="F2125" s="29" t="n"/>
      <c r="G2125" s="28" t="n"/>
      <c r="H2125" s="1" t="n"/>
      <c r="I2125">
        <f>IF(OR(B2125="",C2125=""),"",B2125+MOD(C2125,1))</f>
        <v/>
      </c>
      <c r="J2125">
        <f>IF(I2125="","",IF(B2125=Dashboard!$AA$1,I2125,""))</f>
        <v/>
      </c>
    </row>
    <row r="2126">
      <c r="A2126" s="1" t="n"/>
      <c r="B2126" s="26" t="n"/>
      <c r="C2126" s="27" t="n"/>
      <c r="D2126" s="28" t="n"/>
      <c r="E2126" s="29" t="n"/>
      <c r="F2126" s="29" t="n"/>
      <c r="G2126" s="28" t="n"/>
      <c r="H2126" s="1" t="n"/>
      <c r="I2126">
        <f>IF(OR(B2126="",C2126=""),"",B2126+MOD(C2126,1))</f>
        <v/>
      </c>
      <c r="J2126">
        <f>IF(I2126="","",IF(B2126=Dashboard!$AA$1,I2126,""))</f>
        <v/>
      </c>
    </row>
    <row r="2127">
      <c r="A2127" s="1" t="n"/>
      <c r="B2127" s="26" t="n"/>
      <c r="C2127" s="27" t="n"/>
      <c r="D2127" s="28" t="n"/>
      <c r="E2127" s="29" t="n"/>
      <c r="F2127" s="29" t="n"/>
      <c r="G2127" s="28" t="n"/>
      <c r="H2127" s="1" t="n"/>
      <c r="I2127">
        <f>IF(OR(B2127="",C2127=""),"",B2127+MOD(C2127,1))</f>
        <v/>
      </c>
      <c r="J2127">
        <f>IF(I2127="","",IF(B2127=Dashboard!$AA$1,I2127,""))</f>
        <v/>
      </c>
    </row>
    <row r="2128">
      <c r="A2128" s="1" t="n"/>
      <c r="B2128" s="26" t="n"/>
      <c r="C2128" s="27" t="n"/>
      <c r="D2128" s="28" t="n"/>
      <c r="E2128" s="29" t="n"/>
      <c r="F2128" s="29" t="n"/>
      <c r="G2128" s="28" t="n"/>
      <c r="H2128" s="1" t="n"/>
      <c r="I2128">
        <f>IF(OR(B2128="",C2128=""),"",B2128+MOD(C2128,1))</f>
        <v/>
      </c>
      <c r="J2128">
        <f>IF(I2128="","",IF(B2128=Dashboard!$AA$1,I2128,""))</f>
        <v/>
      </c>
    </row>
    <row r="2129">
      <c r="A2129" s="1" t="n"/>
      <c r="B2129" s="26" t="n"/>
      <c r="C2129" s="27" t="n"/>
      <c r="D2129" s="28" t="n"/>
      <c r="E2129" s="29" t="n"/>
      <c r="F2129" s="29" t="n"/>
      <c r="G2129" s="28" t="n"/>
      <c r="H2129" s="1" t="n"/>
      <c r="I2129">
        <f>IF(OR(B2129="",C2129=""),"",B2129+MOD(C2129,1))</f>
        <v/>
      </c>
      <c r="J2129">
        <f>IF(I2129="","",IF(B2129=Dashboard!$AA$1,I2129,""))</f>
        <v/>
      </c>
    </row>
    <row r="2130">
      <c r="A2130" s="1" t="n"/>
      <c r="B2130" s="26" t="n"/>
      <c r="C2130" s="27" t="n"/>
      <c r="D2130" s="28" t="n"/>
      <c r="E2130" s="29" t="n"/>
      <c r="F2130" s="29" t="n"/>
      <c r="G2130" s="28" t="n"/>
      <c r="H2130" s="1" t="n"/>
      <c r="I2130">
        <f>IF(OR(B2130="",C2130=""),"",B2130+MOD(C2130,1))</f>
        <v/>
      </c>
      <c r="J2130">
        <f>IF(I2130="","",IF(B2130=Dashboard!$AA$1,I2130,""))</f>
        <v/>
      </c>
    </row>
    <row r="2131">
      <c r="A2131" s="1" t="n"/>
      <c r="B2131" s="26" t="n"/>
      <c r="C2131" s="27" t="n"/>
      <c r="D2131" s="28" t="n"/>
      <c r="E2131" s="29" t="n"/>
      <c r="F2131" s="29" t="n"/>
      <c r="G2131" s="28" t="n"/>
      <c r="H2131" s="1" t="n"/>
      <c r="I2131">
        <f>IF(OR(B2131="",C2131=""),"",B2131+MOD(C2131,1))</f>
        <v/>
      </c>
      <c r="J2131">
        <f>IF(I2131="","",IF(B2131=Dashboard!$AA$1,I2131,""))</f>
        <v/>
      </c>
    </row>
    <row r="2132">
      <c r="A2132" s="1" t="n"/>
      <c r="B2132" s="26" t="n"/>
      <c r="C2132" s="27" t="n"/>
      <c r="D2132" s="28" t="n"/>
      <c r="E2132" s="29" t="n"/>
      <c r="F2132" s="29" t="n"/>
      <c r="G2132" s="28" t="n"/>
      <c r="H2132" s="1" t="n"/>
      <c r="I2132">
        <f>IF(OR(B2132="",C2132=""),"",B2132+MOD(C2132,1))</f>
        <v/>
      </c>
      <c r="J2132">
        <f>IF(I2132="","",IF(B2132=Dashboard!$AA$1,I2132,""))</f>
        <v/>
      </c>
    </row>
    <row r="2133">
      <c r="A2133" s="1" t="n"/>
      <c r="B2133" s="26" t="n"/>
      <c r="C2133" s="27" t="n"/>
      <c r="D2133" s="28" t="n"/>
      <c r="E2133" s="29" t="n"/>
      <c r="F2133" s="29" t="n"/>
      <c r="G2133" s="28" t="n"/>
      <c r="H2133" s="1" t="n"/>
      <c r="I2133">
        <f>IF(OR(B2133="",C2133=""),"",B2133+MOD(C2133,1))</f>
        <v/>
      </c>
      <c r="J2133">
        <f>IF(I2133="","",IF(B2133=Dashboard!$AA$1,I2133,""))</f>
        <v/>
      </c>
    </row>
    <row r="2134">
      <c r="A2134" s="1" t="n"/>
      <c r="B2134" s="26" t="n"/>
      <c r="C2134" s="27" t="n"/>
      <c r="D2134" s="28" t="n"/>
      <c r="E2134" s="29" t="n"/>
      <c r="F2134" s="29" t="n"/>
      <c r="G2134" s="28" t="n"/>
      <c r="H2134" s="1" t="n"/>
      <c r="I2134">
        <f>IF(OR(B2134="",C2134=""),"",B2134+MOD(C2134,1))</f>
        <v/>
      </c>
      <c r="J2134">
        <f>IF(I2134="","",IF(B2134=Dashboard!$AA$1,I2134,""))</f>
        <v/>
      </c>
    </row>
    <row r="2135">
      <c r="A2135" s="1" t="n"/>
      <c r="B2135" s="26" t="n"/>
      <c r="C2135" s="27" t="n"/>
      <c r="D2135" s="28" t="n"/>
      <c r="E2135" s="29" t="n"/>
      <c r="F2135" s="29" t="n"/>
      <c r="G2135" s="28" t="n"/>
      <c r="H2135" s="1" t="n"/>
      <c r="I2135">
        <f>IF(OR(B2135="",C2135=""),"",B2135+MOD(C2135,1))</f>
        <v/>
      </c>
      <c r="J2135">
        <f>IF(I2135="","",IF(B2135=Dashboard!$AA$1,I2135,""))</f>
        <v/>
      </c>
    </row>
    <row r="2136">
      <c r="A2136" s="1" t="n"/>
      <c r="B2136" s="26" t="n"/>
      <c r="C2136" s="27" t="n"/>
      <c r="D2136" s="28" t="n"/>
      <c r="E2136" s="29" t="n"/>
      <c r="F2136" s="29" t="n"/>
      <c r="G2136" s="28" t="n"/>
      <c r="H2136" s="1" t="n"/>
      <c r="I2136">
        <f>IF(OR(B2136="",C2136=""),"",B2136+MOD(C2136,1))</f>
        <v/>
      </c>
      <c r="J2136">
        <f>IF(I2136="","",IF(B2136=Dashboard!$AA$1,I2136,""))</f>
        <v/>
      </c>
    </row>
    <row r="2137">
      <c r="A2137" s="1" t="n"/>
      <c r="B2137" s="26" t="n"/>
      <c r="C2137" s="27" t="n"/>
      <c r="D2137" s="28" t="n"/>
      <c r="E2137" s="29" t="n"/>
      <c r="F2137" s="29" t="n"/>
      <c r="G2137" s="28" t="n"/>
      <c r="H2137" s="1" t="n"/>
      <c r="I2137">
        <f>IF(OR(B2137="",C2137=""),"",B2137+MOD(C2137,1))</f>
        <v/>
      </c>
      <c r="J2137">
        <f>IF(I2137="","",IF(B2137=Dashboard!$AA$1,I2137,""))</f>
        <v/>
      </c>
    </row>
    <row r="2138">
      <c r="A2138" s="1" t="n"/>
      <c r="B2138" s="26" t="n"/>
      <c r="C2138" s="27" t="n"/>
      <c r="D2138" s="28" t="n"/>
      <c r="E2138" s="29" t="n"/>
      <c r="F2138" s="29" t="n"/>
      <c r="G2138" s="28" t="n"/>
      <c r="H2138" s="1" t="n"/>
      <c r="I2138">
        <f>IF(OR(B2138="",C2138=""),"",B2138+MOD(C2138,1))</f>
        <v/>
      </c>
      <c r="J2138">
        <f>IF(I2138="","",IF(B2138=Dashboard!$AA$1,I2138,""))</f>
        <v/>
      </c>
    </row>
    <row r="2139">
      <c r="A2139" s="1" t="n"/>
      <c r="B2139" s="26" t="n"/>
      <c r="C2139" s="27" t="n"/>
      <c r="D2139" s="28" t="n"/>
      <c r="E2139" s="29" t="n"/>
      <c r="F2139" s="29" t="n"/>
      <c r="G2139" s="28" t="n"/>
      <c r="H2139" s="1" t="n"/>
      <c r="I2139">
        <f>IF(OR(B2139="",C2139=""),"",B2139+MOD(C2139,1))</f>
        <v/>
      </c>
      <c r="J2139">
        <f>IF(I2139="","",IF(B2139=Dashboard!$AA$1,I2139,""))</f>
        <v/>
      </c>
    </row>
    <row r="2140">
      <c r="A2140" s="1" t="n"/>
      <c r="B2140" s="26" t="n"/>
      <c r="C2140" s="27" t="n"/>
      <c r="D2140" s="28" t="n"/>
      <c r="E2140" s="29" t="n"/>
      <c r="F2140" s="29" t="n"/>
      <c r="G2140" s="28" t="n"/>
      <c r="H2140" s="1" t="n"/>
      <c r="I2140">
        <f>IF(OR(B2140="",C2140=""),"",B2140+MOD(C2140,1))</f>
        <v/>
      </c>
      <c r="J2140">
        <f>IF(I2140="","",IF(B2140=Dashboard!$AA$1,I2140,""))</f>
        <v/>
      </c>
    </row>
    <row r="2141">
      <c r="A2141" s="1" t="n"/>
      <c r="B2141" s="26" t="n"/>
      <c r="C2141" s="27" t="n"/>
      <c r="D2141" s="28" t="n"/>
      <c r="E2141" s="29" t="n"/>
      <c r="F2141" s="29" t="n"/>
      <c r="G2141" s="28" t="n"/>
      <c r="H2141" s="1" t="n"/>
      <c r="I2141">
        <f>IF(OR(B2141="",C2141=""),"",B2141+MOD(C2141,1))</f>
        <v/>
      </c>
      <c r="J2141">
        <f>IF(I2141="","",IF(B2141=Dashboard!$AA$1,I2141,""))</f>
        <v/>
      </c>
    </row>
    <row r="2142">
      <c r="A2142" s="1" t="n"/>
      <c r="B2142" s="26" t="n"/>
      <c r="C2142" s="27" t="n"/>
      <c r="D2142" s="28" t="n"/>
      <c r="E2142" s="29" t="n"/>
      <c r="F2142" s="29" t="n"/>
      <c r="G2142" s="28" t="n"/>
      <c r="H2142" s="1" t="n"/>
      <c r="I2142">
        <f>IF(OR(B2142="",C2142=""),"",B2142+MOD(C2142,1))</f>
        <v/>
      </c>
      <c r="J2142">
        <f>IF(I2142="","",IF(B2142=Dashboard!$AA$1,I2142,""))</f>
        <v/>
      </c>
    </row>
    <row r="2143">
      <c r="A2143" s="1" t="n"/>
      <c r="B2143" s="26" t="n"/>
      <c r="C2143" s="27" t="n"/>
      <c r="D2143" s="28" t="n"/>
      <c r="E2143" s="29" t="n"/>
      <c r="F2143" s="29" t="n"/>
      <c r="G2143" s="28" t="n"/>
      <c r="H2143" s="1" t="n"/>
      <c r="I2143">
        <f>IF(OR(B2143="",C2143=""),"",B2143+MOD(C2143,1))</f>
        <v/>
      </c>
      <c r="J2143">
        <f>IF(I2143="","",IF(B2143=Dashboard!$AA$1,I2143,""))</f>
        <v/>
      </c>
    </row>
    <row r="2144">
      <c r="A2144" s="1" t="n"/>
      <c r="B2144" s="26" t="n"/>
      <c r="C2144" s="27" t="n"/>
      <c r="D2144" s="28" t="n"/>
      <c r="E2144" s="29" t="n"/>
      <c r="F2144" s="29" t="n"/>
      <c r="G2144" s="28" t="n"/>
      <c r="H2144" s="1" t="n"/>
      <c r="I2144">
        <f>IF(OR(B2144="",C2144=""),"",B2144+MOD(C2144,1))</f>
        <v/>
      </c>
      <c r="J2144">
        <f>IF(I2144="","",IF(B2144=Dashboard!$AA$1,I2144,""))</f>
        <v/>
      </c>
    </row>
    <row r="2145">
      <c r="A2145" s="1" t="n"/>
      <c r="B2145" s="26" t="n"/>
      <c r="C2145" s="27" t="n"/>
      <c r="D2145" s="28" t="n"/>
      <c r="E2145" s="29" t="n"/>
      <c r="F2145" s="29" t="n"/>
      <c r="G2145" s="28" t="n"/>
      <c r="H2145" s="1" t="n"/>
      <c r="I2145">
        <f>IF(OR(B2145="",C2145=""),"",B2145+MOD(C2145,1))</f>
        <v/>
      </c>
      <c r="J2145">
        <f>IF(I2145="","",IF(B2145=Dashboard!$AA$1,I2145,""))</f>
        <v/>
      </c>
    </row>
    <row r="2146">
      <c r="A2146" s="1" t="n"/>
      <c r="B2146" s="26" t="n"/>
      <c r="C2146" s="27" t="n"/>
      <c r="D2146" s="28" t="n"/>
      <c r="E2146" s="29" t="n"/>
      <c r="F2146" s="29" t="n"/>
      <c r="G2146" s="28" t="n"/>
      <c r="H2146" s="1" t="n"/>
      <c r="I2146">
        <f>IF(OR(B2146="",C2146=""),"",B2146+MOD(C2146,1))</f>
        <v/>
      </c>
      <c r="J2146">
        <f>IF(I2146="","",IF(B2146=Dashboard!$AA$1,I2146,""))</f>
        <v/>
      </c>
    </row>
    <row r="2147">
      <c r="A2147" s="1" t="n"/>
      <c r="B2147" s="26" t="n"/>
      <c r="C2147" s="27" t="n"/>
      <c r="D2147" s="28" t="n"/>
      <c r="E2147" s="29" t="n"/>
      <c r="F2147" s="29" t="n"/>
      <c r="G2147" s="28" t="n"/>
      <c r="H2147" s="1" t="n"/>
      <c r="I2147">
        <f>IF(OR(B2147="",C2147=""),"",B2147+MOD(C2147,1))</f>
        <v/>
      </c>
      <c r="J2147">
        <f>IF(I2147="","",IF(B2147=Dashboard!$AA$1,I2147,""))</f>
        <v/>
      </c>
    </row>
    <row r="2148">
      <c r="A2148" s="1" t="n"/>
      <c r="B2148" s="26" t="n"/>
      <c r="C2148" s="27" t="n"/>
      <c r="D2148" s="28" t="n"/>
      <c r="E2148" s="29" t="n"/>
      <c r="F2148" s="29" t="n"/>
      <c r="G2148" s="28" t="n"/>
      <c r="H2148" s="1" t="n"/>
      <c r="I2148">
        <f>IF(OR(B2148="",C2148=""),"",B2148+MOD(C2148,1))</f>
        <v/>
      </c>
      <c r="J2148">
        <f>IF(I2148="","",IF(B2148=Dashboard!$AA$1,I2148,""))</f>
        <v/>
      </c>
    </row>
    <row r="2149">
      <c r="A2149" s="1" t="n"/>
      <c r="B2149" s="26" t="n"/>
      <c r="C2149" s="27" t="n"/>
      <c r="D2149" s="28" t="n"/>
      <c r="E2149" s="29" t="n"/>
      <c r="F2149" s="29" t="n"/>
      <c r="G2149" s="28" t="n"/>
      <c r="H2149" s="1" t="n"/>
      <c r="I2149">
        <f>IF(OR(B2149="",C2149=""),"",B2149+MOD(C2149,1))</f>
        <v/>
      </c>
      <c r="J2149">
        <f>IF(I2149="","",IF(B2149=Dashboard!$AA$1,I2149,""))</f>
        <v/>
      </c>
    </row>
    <row r="2150">
      <c r="A2150" s="1" t="n"/>
      <c r="B2150" s="26" t="n"/>
      <c r="C2150" s="27" t="n"/>
      <c r="D2150" s="28" t="n"/>
      <c r="E2150" s="29" t="n"/>
      <c r="F2150" s="29" t="n"/>
      <c r="G2150" s="28" t="n"/>
      <c r="H2150" s="1" t="n"/>
      <c r="I2150">
        <f>IF(OR(B2150="",C2150=""),"",B2150+MOD(C2150,1))</f>
        <v/>
      </c>
      <c r="J2150">
        <f>IF(I2150="","",IF(B2150=Dashboard!$AA$1,I2150,""))</f>
        <v/>
      </c>
    </row>
    <row r="2151">
      <c r="A2151" s="1" t="n"/>
      <c r="B2151" s="26" t="n"/>
      <c r="C2151" s="27" t="n"/>
      <c r="D2151" s="28" t="n"/>
      <c r="E2151" s="29" t="n"/>
      <c r="F2151" s="29" t="n"/>
      <c r="G2151" s="28" t="n"/>
      <c r="H2151" s="1" t="n"/>
      <c r="I2151">
        <f>IF(OR(B2151="",C2151=""),"",B2151+MOD(C2151,1))</f>
        <v/>
      </c>
      <c r="J2151">
        <f>IF(I2151="","",IF(B2151=Dashboard!$AA$1,I2151,""))</f>
        <v/>
      </c>
    </row>
    <row r="2152">
      <c r="A2152" s="1" t="n"/>
      <c r="B2152" s="26" t="n"/>
      <c r="C2152" s="27" t="n"/>
      <c r="D2152" s="28" t="n"/>
      <c r="E2152" s="29" t="n"/>
      <c r="F2152" s="29" t="n"/>
      <c r="G2152" s="28" t="n"/>
      <c r="H2152" s="1" t="n"/>
      <c r="I2152">
        <f>IF(OR(B2152="",C2152=""),"",B2152+MOD(C2152,1))</f>
        <v/>
      </c>
      <c r="J2152">
        <f>IF(I2152="","",IF(B2152=Dashboard!$AA$1,I2152,""))</f>
        <v/>
      </c>
    </row>
    <row r="2153">
      <c r="A2153" s="1" t="n"/>
      <c r="B2153" s="26" t="n"/>
      <c r="C2153" s="27" t="n"/>
      <c r="D2153" s="28" t="n"/>
      <c r="E2153" s="29" t="n"/>
      <c r="F2153" s="29" t="n"/>
      <c r="G2153" s="28" t="n"/>
      <c r="H2153" s="1" t="n"/>
      <c r="I2153">
        <f>IF(OR(B2153="",C2153=""),"",B2153+MOD(C2153,1))</f>
        <v/>
      </c>
      <c r="J2153">
        <f>IF(I2153="","",IF(B2153=Dashboard!$AA$1,I2153,""))</f>
        <v/>
      </c>
    </row>
    <row r="2154">
      <c r="A2154" s="1" t="n"/>
      <c r="B2154" s="26" t="n"/>
      <c r="C2154" s="27" t="n"/>
      <c r="D2154" s="28" t="n"/>
      <c r="E2154" s="29" t="n"/>
      <c r="F2154" s="29" t="n"/>
      <c r="G2154" s="28" t="n"/>
      <c r="H2154" s="1" t="n"/>
      <c r="I2154">
        <f>IF(OR(B2154="",C2154=""),"",B2154+MOD(C2154,1))</f>
        <v/>
      </c>
      <c r="J2154">
        <f>IF(I2154="","",IF(B2154=Dashboard!$AA$1,I2154,""))</f>
        <v/>
      </c>
    </row>
    <row r="2155">
      <c r="A2155" s="1" t="n"/>
      <c r="B2155" s="26" t="n"/>
      <c r="C2155" s="27" t="n"/>
      <c r="D2155" s="28" t="n"/>
      <c r="E2155" s="29" t="n"/>
      <c r="F2155" s="29" t="n"/>
      <c r="G2155" s="28" t="n"/>
      <c r="H2155" s="1" t="n"/>
      <c r="I2155">
        <f>IF(OR(B2155="",C2155=""),"",B2155+MOD(C2155,1))</f>
        <v/>
      </c>
      <c r="J2155">
        <f>IF(I2155="","",IF(B2155=Dashboard!$AA$1,I2155,""))</f>
        <v/>
      </c>
    </row>
    <row r="2156">
      <c r="A2156" s="1" t="n"/>
      <c r="B2156" s="26" t="n"/>
      <c r="C2156" s="27" t="n"/>
      <c r="D2156" s="28" t="n"/>
      <c r="E2156" s="29" t="n"/>
      <c r="F2156" s="29" t="n"/>
      <c r="G2156" s="28" t="n"/>
      <c r="H2156" s="1" t="n"/>
      <c r="I2156">
        <f>IF(OR(B2156="",C2156=""),"",B2156+MOD(C2156,1))</f>
        <v/>
      </c>
      <c r="J2156">
        <f>IF(I2156="","",IF(B2156=Dashboard!$AA$1,I2156,""))</f>
        <v/>
      </c>
    </row>
    <row r="2157">
      <c r="A2157" s="1" t="n"/>
      <c r="B2157" s="26" t="n"/>
      <c r="C2157" s="27" t="n"/>
      <c r="D2157" s="28" t="n"/>
      <c r="E2157" s="29" t="n"/>
      <c r="F2157" s="29" t="n"/>
      <c r="G2157" s="28" t="n"/>
      <c r="H2157" s="1" t="n"/>
      <c r="I2157">
        <f>IF(OR(B2157="",C2157=""),"",B2157+MOD(C2157,1))</f>
        <v/>
      </c>
      <c r="J2157">
        <f>IF(I2157="","",IF(B2157=Dashboard!$AA$1,I2157,""))</f>
        <v/>
      </c>
    </row>
    <row r="2158">
      <c r="A2158" s="1" t="n"/>
      <c r="B2158" s="26" t="n"/>
      <c r="C2158" s="27" t="n"/>
      <c r="D2158" s="28" t="n"/>
      <c r="E2158" s="29" t="n"/>
      <c r="F2158" s="29" t="n"/>
      <c r="G2158" s="28" t="n"/>
      <c r="H2158" s="1" t="n"/>
      <c r="I2158">
        <f>IF(OR(B2158="",C2158=""),"",B2158+MOD(C2158,1))</f>
        <v/>
      </c>
      <c r="J2158">
        <f>IF(I2158="","",IF(B2158=Dashboard!$AA$1,I2158,""))</f>
        <v/>
      </c>
    </row>
    <row r="2159">
      <c r="A2159" s="1" t="n"/>
      <c r="B2159" s="26" t="n"/>
      <c r="C2159" s="27" t="n"/>
      <c r="D2159" s="28" t="n"/>
      <c r="E2159" s="29" t="n"/>
      <c r="F2159" s="29" t="n"/>
      <c r="G2159" s="28" t="n"/>
      <c r="H2159" s="1" t="n"/>
      <c r="I2159">
        <f>IF(OR(B2159="",C2159=""),"",B2159+MOD(C2159,1))</f>
        <v/>
      </c>
      <c r="J2159">
        <f>IF(I2159="","",IF(B2159=Dashboard!$AA$1,I2159,""))</f>
        <v/>
      </c>
    </row>
    <row r="2160">
      <c r="A2160" s="1" t="n"/>
      <c r="B2160" s="26" t="n"/>
      <c r="C2160" s="27" t="n"/>
      <c r="D2160" s="28" t="n"/>
      <c r="E2160" s="29" t="n"/>
      <c r="F2160" s="29" t="n"/>
      <c r="G2160" s="28" t="n"/>
      <c r="H2160" s="1" t="n"/>
      <c r="I2160">
        <f>IF(OR(B2160="",C2160=""),"",B2160+MOD(C2160,1))</f>
        <v/>
      </c>
      <c r="J2160">
        <f>IF(I2160="","",IF(B2160=Dashboard!$AA$1,I2160,""))</f>
        <v/>
      </c>
    </row>
    <row r="2161">
      <c r="A2161" s="1" t="n"/>
      <c r="B2161" s="26" t="n"/>
      <c r="C2161" s="27" t="n"/>
      <c r="D2161" s="28" t="n"/>
      <c r="E2161" s="29" t="n"/>
      <c r="F2161" s="29" t="n"/>
      <c r="G2161" s="28" t="n"/>
      <c r="H2161" s="1" t="n"/>
      <c r="I2161">
        <f>IF(OR(B2161="",C2161=""),"",B2161+MOD(C2161,1))</f>
        <v/>
      </c>
      <c r="J2161">
        <f>IF(I2161="","",IF(B2161=Dashboard!$AA$1,I2161,""))</f>
        <v/>
      </c>
    </row>
    <row r="2162">
      <c r="A2162" s="1" t="n"/>
      <c r="B2162" s="26" t="n"/>
      <c r="C2162" s="27" t="n"/>
      <c r="D2162" s="28" t="n"/>
      <c r="E2162" s="29" t="n"/>
      <c r="F2162" s="29" t="n"/>
      <c r="G2162" s="28" t="n"/>
      <c r="H2162" s="1" t="n"/>
      <c r="I2162">
        <f>IF(OR(B2162="",C2162=""),"",B2162+MOD(C2162,1))</f>
        <v/>
      </c>
      <c r="J2162">
        <f>IF(I2162="","",IF(B2162=Dashboard!$AA$1,I2162,""))</f>
        <v/>
      </c>
    </row>
    <row r="2163">
      <c r="A2163" s="1" t="n"/>
      <c r="B2163" s="26" t="n"/>
      <c r="C2163" s="27" t="n"/>
      <c r="D2163" s="28" t="n"/>
      <c r="E2163" s="29" t="n"/>
      <c r="F2163" s="29" t="n"/>
      <c r="G2163" s="28" t="n"/>
      <c r="H2163" s="1" t="n"/>
      <c r="I2163">
        <f>IF(OR(B2163="",C2163=""),"",B2163+MOD(C2163,1))</f>
        <v/>
      </c>
      <c r="J2163">
        <f>IF(I2163="","",IF(B2163=Dashboard!$AA$1,I2163,""))</f>
        <v/>
      </c>
    </row>
    <row r="2164">
      <c r="A2164" s="1" t="n"/>
      <c r="B2164" s="26" t="n"/>
      <c r="C2164" s="27" t="n"/>
      <c r="D2164" s="28" t="n"/>
      <c r="E2164" s="29" t="n"/>
      <c r="F2164" s="29" t="n"/>
      <c r="G2164" s="28" t="n"/>
      <c r="H2164" s="1" t="n"/>
      <c r="I2164">
        <f>IF(OR(B2164="",C2164=""),"",B2164+MOD(C2164,1))</f>
        <v/>
      </c>
      <c r="J2164">
        <f>IF(I2164="","",IF(B2164=Dashboard!$AA$1,I2164,""))</f>
        <v/>
      </c>
    </row>
    <row r="2165">
      <c r="A2165" s="1" t="n"/>
      <c r="B2165" s="26" t="n"/>
      <c r="C2165" s="27" t="n"/>
      <c r="D2165" s="28" t="n"/>
      <c r="E2165" s="29" t="n"/>
      <c r="F2165" s="29" t="n"/>
      <c r="G2165" s="28" t="n"/>
      <c r="H2165" s="1" t="n"/>
      <c r="I2165">
        <f>IF(OR(B2165="",C2165=""),"",B2165+MOD(C2165,1))</f>
        <v/>
      </c>
      <c r="J2165">
        <f>IF(I2165="","",IF(B2165=Dashboard!$AA$1,I2165,""))</f>
        <v/>
      </c>
    </row>
    <row r="2166">
      <c r="A2166" s="1" t="n"/>
      <c r="B2166" s="26" t="n"/>
      <c r="C2166" s="27" t="n"/>
      <c r="D2166" s="28" t="n"/>
      <c r="E2166" s="29" t="n"/>
      <c r="F2166" s="29" t="n"/>
      <c r="G2166" s="28" t="n"/>
      <c r="H2166" s="1" t="n"/>
      <c r="I2166">
        <f>IF(OR(B2166="",C2166=""),"",B2166+MOD(C2166,1))</f>
        <v/>
      </c>
      <c r="J2166">
        <f>IF(I2166="","",IF(B2166=Dashboard!$AA$1,I2166,""))</f>
        <v/>
      </c>
    </row>
    <row r="2167">
      <c r="A2167" s="1" t="n"/>
      <c r="B2167" s="26" t="n"/>
      <c r="C2167" s="27" t="n"/>
      <c r="D2167" s="28" t="n"/>
      <c r="E2167" s="29" t="n"/>
      <c r="F2167" s="29" t="n"/>
      <c r="G2167" s="28" t="n"/>
      <c r="H2167" s="1" t="n"/>
      <c r="I2167">
        <f>IF(OR(B2167="",C2167=""),"",B2167+MOD(C2167,1))</f>
        <v/>
      </c>
      <c r="J2167">
        <f>IF(I2167="","",IF(B2167=Dashboard!$AA$1,I2167,""))</f>
        <v/>
      </c>
    </row>
    <row r="2168">
      <c r="A2168" s="1" t="n"/>
      <c r="B2168" s="26" t="n"/>
      <c r="C2168" s="27" t="n"/>
      <c r="D2168" s="28" t="n"/>
      <c r="E2168" s="29" t="n"/>
      <c r="F2168" s="29" t="n"/>
      <c r="G2168" s="28" t="n"/>
      <c r="H2168" s="1" t="n"/>
      <c r="I2168">
        <f>IF(OR(B2168="",C2168=""),"",B2168+MOD(C2168,1))</f>
        <v/>
      </c>
      <c r="J2168">
        <f>IF(I2168="","",IF(B2168=Dashboard!$AA$1,I2168,""))</f>
        <v/>
      </c>
    </row>
    <row r="2169">
      <c r="A2169" s="1" t="n"/>
      <c r="B2169" s="26" t="n"/>
      <c r="C2169" s="27" t="n"/>
      <c r="D2169" s="28" t="n"/>
      <c r="E2169" s="29" t="n"/>
      <c r="F2169" s="29" t="n"/>
      <c r="G2169" s="28" t="n"/>
      <c r="H2169" s="1" t="n"/>
      <c r="I2169">
        <f>IF(OR(B2169="",C2169=""),"",B2169+MOD(C2169,1))</f>
        <v/>
      </c>
      <c r="J2169">
        <f>IF(I2169="","",IF(B2169=Dashboard!$AA$1,I2169,""))</f>
        <v/>
      </c>
    </row>
    <row r="2170">
      <c r="A2170" s="1" t="n"/>
      <c r="B2170" s="26" t="n"/>
      <c r="C2170" s="27" t="n"/>
      <c r="D2170" s="28" t="n"/>
      <c r="E2170" s="29" t="n"/>
      <c r="F2170" s="29" t="n"/>
      <c r="G2170" s="28" t="n"/>
      <c r="H2170" s="1" t="n"/>
      <c r="I2170">
        <f>IF(OR(B2170="",C2170=""),"",B2170+MOD(C2170,1))</f>
        <v/>
      </c>
      <c r="J2170">
        <f>IF(I2170="","",IF(B2170=Dashboard!$AA$1,I2170,""))</f>
        <v/>
      </c>
    </row>
    <row r="2171">
      <c r="A2171" s="1" t="n"/>
      <c r="B2171" s="26" t="n"/>
      <c r="C2171" s="27" t="n"/>
      <c r="D2171" s="28" t="n"/>
      <c r="E2171" s="29" t="n"/>
      <c r="F2171" s="29" t="n"/>
      <c r="G2171" s="28" t="n"/>
      <c r="H2171" s="1" t="n"/>
      <c r="I2171">
        <f>IF(OR(B2171="",C2171=""),"",B2171+MOD(C2171,1))</f>
        <v/>
      </c>
      <c r="J2171">
        <f>IF(I2171="","",IF(B2171=Dashboard!$AA$1,I2171,""))</f>
        <v/>
      </c>
    </row>
    <row r="2172">
      <c r="A2172" s="1" t="n"/>
      <c r="B2172" s="26" t="n"/>
      <c r="C2172" s="27" t="n"/>
      <c r="D2172" s="28" t="n"/>
      <c r="E2172" s="29" t="n"/>
      <c r="F2172" s="29" t="n"/>
      <c r="G2172" s="28" t="n"/>
      <c r="H2172" s="1" t="n"/>
      <c r="I2172">
        <f>IF(OR(B2172="",C2172=""),"",B2172+MOD(C2172,1))</f>
        <v/>
      </c>
      <c r="J2172">
        <f>IF(I2172="","",IF(B2172=Dashboard!$AA$1,I2172,""))</f>
        <v/>
      </c>
    </row>
    <row r="2173">
      <c r="A2173" s="1" t="n"/>
      <c r="B2173" s="26" t="n"/>
      <c r="C2173" s="27" t="n"/>
      <c r="D2173" s="28" t="n"/>
      <c r="E2173" s="29" t="n"/>
      <c r="F2173" s="29" t="n"/>
      <c r="G2173" s="28" t="n"/>
      <c r="H2173" s="1" t="n"/>
      <c r="I2173">
        <f>IF(OR(B2173="",C2173=""),"",B2173+MOD(C2173,1))</f>
        <v/>
      </c>
      <c r="J2173">
        <f>IF(I2173="","",IF(B2173=Dashboard!$AA$1,I2173,""))</f>
        <v/>
      </c>
    </row>
    <row r="2174">
      <c r="A2174" s="1" t="n"/>
      <c r="B2174" s="26" t="n"/>
      <c r="C2174" s="27" t="n"/>
      <c r="D2174" s="28" t="n"/>
      <c r="E2174" s="29" t="n"/>
      <c r="F2174" s="29" t="n"/>
      <c r="G2174" s="28" t="n"/>
      <c r="H2174" s="1" t="n"/>
      <c r="I2174">
        <f>IF(OR(B2174="",C2174=""),"",B2174+MOD(C2174,1))</f>
        <v/>
      </c>
      <c r="J2174">
        <f>IF(I2174="","",IF(B2174=Dashboard!$AA$1,I2174,""))</f>
        <v/>
      </c>
    </row>
    <row r="2175">
      <c r="A2175" s="1" t="n"/>
      <c r="B2175" s="26" t="n"/>
      <c r="C2175" s="27" t="n"/>
      <c r="D2175" s="28" t="n"/>
      <c r="E2175" s="29" t="n"/>
      <c r="F2175" s="29" t="n"/>
      <c r="G2175" s="28" t="n"/>
      <c r="H2175" s="1" t="n"/>
      <c r="I2175">
        <f>IF(OR(B2175="",C2175=""),"",B2175+MOD(C2175,1))</f>
        <v/>
      </c>
      <c r="J2175">
        <f>IF(I2175="","",IF(B2175=Dashboard!$AA$1,I2175,""))</f>
        <v/>
      </c>
    </row>
    <row r="2176">
      <c r="A2176" s="1" t="n"/>
      <c r="B2176" s="26" t="n"/>
      <c r="C2176" s="27" t="n"/>
      <c r="D2176" s="28" t="n"/>
      <c r="E2176" s="29" t="n"/>
      <c r="F2176" s="29" t="n"/>
      <c r="G2176" s="28" t="n"/>
      <c r="H2176" s="1" t="n"/>
      <c r="I2176">
        <f>IF(OR(B2176="",C2176=""),"",B2176+MOD(C2176,1))</f>
        <v/>
      </c>
      <c r="J2176">
        <f>IF(I2176="","",IF(B2176=Dashboard!$AA$1,I2176,""))</f>
        <v/>
      </c>
    </row>
    <row r="2177">
      <c r="A2177" s="1" t="n"/>
      <c r="B2177" s="26" t="n"/>
      <c r="C2177" s="27" t="n"/>
      <c r="D2177" s="28" t="n"/>
      <c r="E2177" s="29" t="n"/>
      <c r="F2177" s="29" t="n"/>
      <c r="G2177" s="28" t="n"/>
      <c r="H2177" s="1" t="n"/>
      <c r="I2177">
        <f>IF(OR(B2177="",C2177=""),"",B2177+MOD(C2177,1))</f>
        <v/>
      </c>
      <c r="J2177">
        <f>IF(I2177="","",IF(B2177=Dashboard!$AA$1,I2177,""))</f>
        <v/>
      </c>
    </row>
    <row r="2178">
      <c r="A2178" s="1" t="n"/>
      <c r="B2178" s="26" t="n"/>
      <c r="C2178" s="27" t="n"/>
      <c r="D2178" s="28" t="n"/>
      <c r="E2178" s="29" t="n"/>
      <c r="F2178" s="29" t="n"/>
      <c r="G2178" s="28" t="n"/>
      <c r="H2178" s="1" t="n"/>
      <c r="I2178">
        <f>IF(OR(B2178="",C2178=""),"",B2178+MOD(C2178,1))</f>
        <v/>
      </c>
      <c r="J2178">
        <f>IF(I2178="","",IF(B2178=Dashboard!$AA$1,I2178,""))</f>
        <v/>
      </c>
    </row>
    <row r="2179">
      <c r="A2179" s="1" t="n"/>
      <c r="B2179" s="26" t="n"/>
      <c r="C2179" s="27" t="n"/>
      <c r="D2179" s="28" t="n"/>
      <c r="E2179" s="29" t="n"/>
      <c r="F2179" s="29" t="n"/>
      <c r="G2179" s="28" t="n"/>
      <c r="H2179" s="1" t="n"/>
      <c r="I2179">
        <f>IF(OR(B2179="",C2179=""),"",B2179+MOD(C2179,1))</f>
        <v/>
      </c>
      <c r="J2179">
        <f>IF(I2179="","",IF(B2179=Dashboard!$AA$1,I2179,""))</f>
        <v/>
      </c>
    </row>
    <row r="2180">
      <c r="A2180" s="1" t="n"/>
      <c r="B2180" s="26" t="n"/>
      <c r="C2180" s="27" t="n"/>
      <c r="D2180" s="28" t="n"/>
      <c r="E2180" s="29" t="n"/>
      <c r="F2180" s="29" t="n"/>
      <c r="G2180" s="28" t="n"/>
      <c r="H2180" s="1" t="n"/>
      <c r="I2180">
        <f>IF(OR(B2180="",C2180=""),"",B2180+MOD(C2180,1))</f>
        <v/>
      </c>
      <c r="J2180">
        <f>IF(I2180="","",IF(B2180=Dashboard!$AA$1,I2180,""))</f>
        <v/>
      </c>
    </row>
    <row r="2181">
      <c r="A2181" s="1" t="n"/>
      <c r="B2181" s="26" t="n"/>
      <c r="C2181" s="27" t="n"/>
      <c r="D2181" s="28" t="n"/>
      <c r="E2181" s="29" t="n"/>
      <c r="F2181" s="29" t="n"/>
      <c r="G2181" s="28" t="n"/>
      <c r="H2181" s="1" t="n"/>
      <c r="I2181">
        <f>IF(OR(B2181="",C2181=""),"",B2181+MOD(C2181,1))</f>
        <v/>
      </c>
      <c r="J2181">
        <f>IF(I2181="","",IF(B2181=Dashboard!$AA$1,I2181,""))</f>
        <v/>
      </c>
    </row>
    <row r="2182">
      <c r="A2182" s="1" t="n"/>
      <c r="B2182" s="26" t="n"/>
      <c r="C2182" s="27" t="n"/>
      <c r="D2182" s="28" t="n"/>
      <c r="E2182" s="29" t="n"/>
      <c r="F2182" s="29" t="n"/>
      <c r="G2182" s="28" t="n"/>
      <c r="H2182" s="1" t="n"/>
      <c r="I2182">
        <f>IF(OR(B2182="",C2182=""),"",B2182+MOD(C2182,1))</f>
        <v/>
      </c>
      <c r="J2182">
        <f>IF(I2182="","",IF(B2182=Dashboard!$AA$1,I2182,""))</f>
        <v/>
      </c>
    </row>
    <row r="2183">
      <c r="A2183" s="1" t="n"/>
      <c r="B2183" s="26" t="n"/>
      <c r="C2183" s="27" t="n"/>
      <c r="D2183" s="28" t="n"/>
      <c r="E2183" s="29" t="n"/>
      <c r="F2183" s="29" t="n"/>
      <c r="G2183" s="28" t="n"/>
      <c r="H2183" s="1" t="n"/>
      <c r="I2183">
        <f>IF(OR(B2183="",C2183=""),"",B2183+MOD(C2183,1))</f>
        <v/>
      </c>
      <c r="J2183">
        <f>IF(I2183="","",IF(B2183=Dashboard!$AA$1,I2183,""))</f>
        <v/>
      </c>
    </row>
    <row r="2184">
      <c r="A2184" s="1" t="n"/>
      <c r="B2184" s="26" t="n"/>
      <c r="C2184" s="27" t="n"/>
      <c r="D2184" s="28" t="n"/>
      <c r="E2184" s="29" t="n"/>
      <c r="F2184" s="29" t="n"/>
      <c r="G2184" s="28" t="n"/>
      <c r="H2184" s="1" t="n"/>
      <c r="I2184">
        <f>IF(OR(B2184="",C2184=""),"",B2184+MOD(C2184,1))</f>
        <v/>
      </c>
      <c r="J2184">
        <f>IF(I2184="","",IF(B2184=Dashboard!$AA$1,I2184,""))</f>
        <v/>
      </c>
    </row>
    <row r="2185">
      <c r="A2185" s="1" t="n"/>
      <c r="B2185" s="26" t="n"/>
      <c r="C2185" s="27" t="n"/>
      <c r="D2185" s="28" t="n"/>
      <c r="E2185" s="29" t="n"/>
      <c r="F2185" s="29" t="n"/>
      <c r="G2185" s="28" t="n"/>
      <c r="H2185" s="1" t="n"/>
      <c r="I2185">
        <f>IF(OR(B2185="",C2185=""),"",B2185+MOD(C2185,1))</f>
        <v/>
      </c>
      <c r="J2185">
        <f>IF(I2185="","",IF(B2185=Dashboard!$AA$1,I2185,""))</f>
        <v/>
      </c>
    </row>
    <row r="2186">
      <c r="A2186" s="1" t="n"/>
      <c r="B2186" s="26" t="n"/>
      <c r="C2186" s="27" t="n"/>
      <c r="D2186" s="28" t="n"/>
      <c r="E2186" s="29" t="n"/>
      <c r="F2186" s="29" t="n"/>
      <c r="G2186" s="28" t="n"/>
      <c r="H2186" s="1" t="n"/>
      <c r="I2186">
        <f>IF(OR(B2186="",C2186=""),"",B2186+MOD(C2186,1))</f>
        <v/>
      </c>
      <c r="J2186">
        <f>IF(I2186="","",IF(B2186=Dashboard!$AA$1,I2186,""))</f>
        <v/>
      </c>
    </row>
    <row r="2187">
      <c r="A2187" s="1" t="n"/>
      <c r="B2187" s="26" t="n"/>
      <c r="C2187" s="27" t="n"/>
      <c r="D2187" s="28" t="n"/>
      <c r="E2187" s="29" t="n"/>
      <c r="F2187" s="29" t="n"/>
      <c r="G2187" s="28" t="n"/>
      <c r="H2187" s="1" t="n"/>
      <c r="I2187">
        <f>IF(OR(B2187="",C2187=""),"",B2187+MOD(C2187,1))</f>
        <v/>
      </c>
      <c r="J2187">
        <f>IF(I2187="","",IF(B2187=Dashboard!$AA$1,I2187,""))</f>
        <v/>
      </c>
    </row>
    <row r="2188">
      <c r="A2188" s="1" t="n"/>
      <c r="B2188" s="26" t="n"/>
      <c r="C2188" s="27" t="n"/>
      <c r="D2188" s="28" t="n"/>
      <c r="E2188" s="29" t="n"/>
      <c r="F2188" s="29" t="n"/>
      <c r="G2188" s="28" t="n"/>
      <c r="H2188" s="1" t="n"/>
      <c r="I2188">
        <f>IF(OR(B2188="",C2188=""),"",B2188+MOD(C2188,1))</f>
        <v/>
      </c>
      <c r="J2188">
        <f>IF(I2188="","",IF(B2188=Dashboard!$AA$1,I2188,""))</f>
        <v/>
      </c>
    </row>
    <row r="2189">
      <c r="A2189" s="1" t="n"/>
      <c r="B2189" s="26" t="n"/>
      <c r="C2189" s="27" t="n"/>
      <c r="D2189" s="28" t="n"/>
      <c r="E2189" s="29" t="n"/>
      <c r="F2189" s="29" t="n"/>
      <c r="G2189" s="28" t="n"/>
      <c r="H2189" s="1" t="n"/>
      <c r="I2189">
        <f>IF(OR(B2189="",C2189=""),"",B2189+MOD(C2189,1))</f>
        <v/>
      </c>
      <c r="J2189">
        <f>IF(I2189="","",IF(B2189=Dashboard!$AA$1,I2189,""))</f>
        <v/>
      </c>
    </row>
    <row r="2190">
      <c r="A2190" s="1" t="n"/>
      <c r="B2190" s="26" t="n"/>
      <c r="C2190" s="27" t="n"/>
      <c r="D2190" s="28" t="n"/>
      <c r="E2190" s="29" t="n"/>
      <c r="F2190" s="29" t="n"/>
      <c r="G2190" s="28" t="n"/>
      <c r="H2190" s="1" t="n"/>
      <c r="I2190">
        <f>IF(OR(B2190="",C2190=""),"",B2190+MOD(C2190,1))</f>
        <v/>
      </c>
      <c r="J2190">
        <f>IF(I2190="","",IF(B2190=Dashboard!$AA$1,I2190,""))</f>
        <v/>
      </c>
    </row>
    <row r="2191">
      <c r="A2191" s="1" t="n"/>
      <c r="B2191" s="26" t="n"/>
      <c r="C2191" s="27" t="n"/>
      <c r="D2191" s="28" t="n"/>
      <c r="E2191" s="29" t="n"/>
      <c r="F2191" s="29" t="n"/>
      <c r="G2191" s="28" t="n"/>
      <c r="H2191" s="1" t="n"/>
      <c r="I2191">
        <f>IF(OR(B2191="",C2191=""),"",B2191+MOD(C2191,1))</f>
        <v/>
      </c>
      <c r="J2191">
        <f>IF(I2191="","",IF(B2191=Dashboard!$AA$1,I2191,""))</f>
        <v/>
      </c>
    </row>
    <row r="2192">
      <c r="A2192" s="1" t="n"/>
      <c r="B2192" s="26" t="n"/>
      <c r="C2192" s="27" t="n"/>
      <c r="D2192" s="28" t="n"/>
      <c r="E2192" s="29" t="n"/>
      <c r="F2192" s="29" t="n"/>
      <c r="G2192" s="28" t="n"/>
      <c r="H2192" s="1" t="n"/>
      <c r="I2192">
        <f>IF(OR(B2192="",C2192=""),"",B2192+MOD(C2192,1))</f>
        <v/>
      </c>
      <c r="J2192">
        <f>IF(I2192="","",IF(B2192=Dashboard!$AA$1,I2192,""))</f>
        <v/>
      </c>
    </row>
    <row r="2193">
      <c r="A2193" s="1" t="n"/>
      <c r="B2193" s="26" t="n"/>
      <c r="C2193" s="27" t="n"/>
      <c r="D2193" s="28" t="n"/>
      <c r="E2193" s="29" t="n"/>
      <c r="F2193" s="29" t="n"/>
      <c r="G2193" s="28" t="n"/>
      <c r="H2193" s="1" t="n"/>
      <c r="I2193">
        <f>IF(OR(B2193="",C2193=""),"",B2193+MOD(C2193,1))</f>
        <v/>
      </c>
      <c r="J2193">
        <f>IF(I2193="","",IF(B2193=Dashboard!$AA$1,I2193,""))</f>
        <v/>
      </c>
    </row>
    <row r="2194">
      <c r="A2194" s="1" t="n"/>
      <c r="B2194" s="26" t="n"/>
      <c r="C2194" s="27" t="n"/>
      <c r="D2194" s="28" t="n"/>
      <c r="E2194" s="29" t="n"/>
      <c r="F2194" s="29" t="n"/>
      <c r="G2194" s="28" t="n"/>
      <c r="H2194" s="1" t="n"/>
      <c r="I2194">
        <f>IF(OR(B2194="",C2194=""),"",B2194+MOD(C2194,1))</f>
        <v/>
      </c>
      <c r="J2194">
        <f>IF(I2194="","",IF(B2194=Dashboard!$AA$1,I2194,""))</f>
        <v/>
      </c>
    </row>
    <row r="2195">
      <c r="A2195" s="1" t="n"/>
      <c r="B2195" s="26" t="n"/>
      <c r="C2195" s="27" t="n"/>
      <c r="D2195" s="28" t="n"/>
      <c r="E2195" s="29" t="n"/>
      <c r="F2195" s="29" t="n"/>
      <c r="G2195" s="28" t="n"/>
      <c r="H2195" s="1" t="n"/>
      <c r="I2195">
        <f>IF(OR(B2195="",C2195=""),"",B2195+MOD(C2195,1))</f>
        <v/>
      </c>
      <c r="J2195">
        <f>IF(I2195="","",IF(B2195=Dashboard!$AA$1,I2195,""))</f>
        <v/>
      </c>
    </row>
    <row r="2196">
      <c r="A2196" s="1" t="n"/>
      <c r="B2196" s="26" t="n"/>
      <c r="C2196" s="27" t="n"/>
      <c r="D2196" s="28" t="n"/>
      <c r="E2196" s="29" t="n"/>
      <c r="F2196" s="29" t="n"/>
      <c r="G2196" s="28" t="n"/>
      <c r="H2196" s="1" t="n"/>
      <c r="I2196">
        <f>IF(OR(B2196="",C2196=""),"",B2196+MOD(C2196,1))</f>
        <v/>
      </c>
      <c r="J2196">
        <f>IF(I2196="","",IF(B2196=Dashboard!$AA$1,I2196,""))</f>
        <v/>
      </c>
    </row>
    <row r="2197">
      <c r="A2197" s="1" t="n"/>
      <c r="B2197" s="26" t="n"/>
      <c r="C2197" s="27" t="n"/>
      <c r="D2197" s="28" t="n"/>
      <c r="E2197" s="29" t="n"/>
      <c r="F2197" s="29" t="n"/>
      <c r="G2197" s="28" t="n"/>
      <c r="H2197" s="1" t="n"/>
      <c r="I2197">
        <f>IF(OR(B2197="",C2197=""),"",B2197+MOD(C2197,1))</f>
        <v/>
      </c>
      <c r="J2197">
        <f>IF(I2197="","",IF(B2197=Dashboard!$AA$1,I2197,""))</f>
        <v/>
      </c>
    </row>
    <row r="2198">
      <c r="A2198" s="1" t="n"/>
      <c r="B2198" s="26" t="n"/>
      <c r="C2198" s="27" t="n"/>
      <c r="D2198" s="28" t="n"/>
      <c r="E2198" s="29" t="n"/>
      <c r="F2198" s="29" t="n"/>
      <c r="G2198" s="28" t="n"/>
      <c r="H2198" s="1" t="n"/>
      <c r="I2198">
        <f>IF(OR(B2198="",C2198=""),"",B2198+MOD(C2198,1))</f>
        <v/>
      </c>
      <c r="J2198">
        <f>IF(I2198="","",IF(B2198=Dashboard!$AA$1,I2198,""))</f>
        <v/>
      </c>
    </row>
    <row r="2199">
      <c r="A2199" s="1" t="n"/>
      <c r="B2199" s="26" t="n"/>
      <c r="C2199" s="27" t="n"/>
      <c r="D2199" s="28" t="n"/>
      <c r="E2199" s="29" t="n"/>
      <c r="F2199" s="29" t="n"/>
      <c r="G2199" s="28" t="n"/>
      <c r="H2199" s="1" t="n"/>
      <c r="I2199">
        <f>IF(OR(B2199="",C2199=""),"",B2199+MOD(C2199,1))</f>
        <v/>
      </c>
      <c r="J2199">
        <f>IF(I2199="","",IF(B2199=Dashboard!$AA$1,I2199,""))</f>
        <v/>
      </c>
    </row>
    <row r="2200">
      <c r="A2200" s="1" t="n"/>
      <c r="B2200" s="26" t="n"/>
      <c r="C2200" s="27" t="n"/>
      <c r="D2200" s="28" t="n"/>
      <c r="E2200" s="29" t="n"/>
      <c r="F2200" s="29" t="n"/>
      <c r="G2200" s="28" t="n"/>
      <c r="H2200" s="1" t="n"/>
      <c r="I2200">
        <f>IF(OR(B2200="",C2200=""),"",B2200+MOD(C2200,1))</f>
        <v/>
      </c>
      <c r="J2200">
        <f>IF(I2200="","",IF(B2200=Dashboard!$AA$1,I2200,""))</f>
        <v/>
      </c>
    </row>
    <row r="2201">
      <c r="A2201" s="1" t="n"/>
      <c r="B2201" s="26" t="n"/>
      <c r="C2201" s="27" t="n"/>
      <c r="D2201" s="28" t="n"/>
      <c r="E2201" s="29" t="n"/>
      <c r="F2201" s="29" t="n"/>
      <c r="G2201" s="28" t="n"/>
      <c r="H2201" s="1" t="n"/>
      <c r="I2201">
        <f>IF(OR(B2201="",C2201=""),"",B2201+MOD(C2201,1))</f>
        <v/>
      </c>
      <c r="J2201">
        <f>IF(I2201="","",IF(B2201=Dashboard!$AA$1,I2201,""))</f>
        <v/>
      </c>
    </row>
    <row r="2202">
      <c r="A2202" s="1" t="n"/>
      <c r="B2202" s="26" t="n"/>
      <c r="C2202" s="27" t="n"/>
      <c r="D2202" s="28" t="n"/>
      <c r="E2202" s="29" t="n"/>
      <c r="F2202" s="29" t="n"/>
      <c r="G2202" s="28" t="n"/>
      <c r="H2202" s="1" t="n"/>
      <c r="I2202">
        <f>IF(OR(B2202="",C2202=""),"",B2202+MOD(C2202,1))</f>
        <v/>
      </c>
      <c r="J2202">
        <f>IF(I2202="","",IF(B2202=Dashboard!$AA$1,I2202,""))</f>
        <v/>
      </c>
    </row>
    <row r="2203">
      <c r="A2203" s="1" t="n"/>
      <c r="B2203" s="26" t="n"/>
      <c r="C2203" s="27" t="n"/>
      <c r="D2203" s="28" t="n"/>
      <c r="E2203" s="29" t="n"/>
      <c r="F2203" s="29" t="n"/>
      <c r="G2203" s="28" t="n"/>
      <c r="H2203" s="1" t="n"/>
      <c r="I2203">
        <f>IF(OR(B2203="",C2203=""),"",B2203+MOD(C2203,1))</f>
        <v/>
      </c>
      <c r="J2203">
        <f>IF(I2203="","",IF(B2203=Dashboard!$AA$1,I2203,""))</f>
        <v/>
      </c>
    </row>
    <row r="2204">
      <c r="A2204" s="1" t="n"/>
      <c r="B2204" s="26" t="n"/>
      <c r="C2204" s="27" t="n"/>
      <c r="D2204" s="28" t="n"/>
      <c r="E2204" s="29" t="n"/>
      <c r="F2204" s="29" t="n"/>
      <c r="G2204" s="28" t="n"/>
      <c r="H2204" s="1" t="n"/>
      <c r="I2204">
        <f>IF(OR(B2204="",C2204=""),"",B2204+MOD(C2204,1))</f>
        <v/>
      </c>
      <c r="J2204">
        <f>IF(I2204="","",IF(B2204=Dashboard!$AA$1,I2204,""))</f>
        <v/>
      </c>
    </row>
    <row r="2205">
      <c r="A2205" s="1" t="n"/>
      <c r="B2205" s="26" t="n"/>
      <c r="C2205" s="27" t="n"/>
      <c r="D2205" s="28" t="n"/>
      <c r="E2205" s="29" t="n"/>
      <c r="F2205" s="29" t="n"/>
      <c r="G2205" s="28" t="n"/>
      <c r="H2205" s="1" t="n"/>
      <c r="I2205">
        <f>IF(OR(B2205="",C2205=""),"",B2205+MOD(C2205,1))</f>
        <v/>
      </c>
      <c r="J2205">
        <f>IF(I2205="","",IF(B2205=Dashboard!$AA$1,I2205,""))</f>
        <v/>
      </c>
    </row>
    <row r="2206">
      <c r="A2206" s="1" t="n"/>
      <c r="B2206" s="26" t="n"/>
      <c r="C2206" s="27" t="n"/>
      <c r="D2206" s="28" t="n"/>
      <c r="E2206" s="29" t="n"/>
      <c r="F2206" s="29" t="n"/>
      <c r="G2206" s="28" t="n"/>
      <c r="H2206" s="1" t="n"/>
      <c r="I2206">
        <f>IF(OR(B2206="",C2206=""),"",B2206+MOD(C2206,1))</f>
        <v/>
      </c>
      <c r="J2206">
        <f>IF(I2206="","",IF(B2206=Dashboard!$AA$1,I2206,""))</f>
        <v/>
      </c>
    </row>
    <row r="2207">
      <c r="A2207" s="1" t="n"/>
      <c r="B2207" s="26" t="n"/>
      <c r="C2207" s="27" t="n"/>
      <c r="D2207" s="28" t="n"/>
      <c r="E2207" s="29" t="n"/>
      <c r="F2207" s="29" t="n"/>
      <c r="G2207" s="28" t="n"/>
      <c r="H2207" s="1" t="n"/>
      <c r="I2207">
        <f>IF(OR(B2207="",C2207=""),"",B2207+MOD(C2207,1))</f>
        <v/>
      </c>
      <c r="J2207">
        <f>IF(I2207="","",IF(B2207=Dashboard!$AA$1,I2207,""))</f>
        <v/>
      </c>
    </row>
    <row r="2208">
      <c r="A2208" s="1" t="n"/>
      <c r="B2208" s="26" t="n"/>
      <c r="C2208" s="27" t="n"/>
      <c r="D2208" s="28" t="n"/>
      <c r="E2208" s="29" t="n"/>
      <c r="F2208" s="29" t="n"/>
      <c r="G2208" s="28" t="n"/>
      <c r="H2208" s="1" t="n"/>
      <c r="I2208">
        <f>IF(OR(B2208="",C2208=""),"",B2208+MOD(C2208,1))</f>
        <v/>
      </c>
      <c r="J2208">
        <f>IF(I2208="","",IF(B2208=Dashboard!$AA$1,I2208,""))</f>
        <v/>
      </c>
    </row>
    <row r="2209">
      <c r="A2209" s="1" t="n"/>
      <c r="B2209" s="26" t="n"/>
      <c r="C2209" s="27" t="n"/>
      <c r="D2209" s="28" t="n"/>
      <c r="E2209" s="29" t="n"/>
      <c r="F2209" s="29" t="n"/>
      <c r="G2209" s="28" t="n"/>
      <c r="H2209" s="1" t="n"/>
      <c r="I2209">
        <f>IF(OR(B2209="",C2209=""),"",B2209+MOD(C2209,1))</f>
        <v/>
      </c>
      <c r="J2209">
        <f>IF(I2209="","",IF(B2209=Dashboard!$AA$1,I2209,""))</f>
        <v/>
      </c>
    </row>
    <row r="2210">
      <c r="A2210" s="1" t="n"/>
      <c r="B2210" s="26" t="n"/>
      <c r="C2210" s="27" t="n"/>
      <c r="D2210" s="28" t="n"/>
      <c r="E2210" s="29" t="n"/>
      <c r="F2210" s="29" t="n"/>
      <c r="G2210" s="28" t="n"/>
      <c r="H2210" s="1" t="n"/>
      <c r="I2210">
        <f>IF(OR(B2210="",C2210=""),"",B2210+MOD(C2210,1))</f>
        <v/>
      </c>
      <c r="J2210">
        <f>IF(I2210="","",IF(B2210=Dashboard!$AA$1,I2210,""))</f>
        <v/>
      </c>
    </row>
    <row r="2211">
      <c r="A2211" s="1" t="n"/>
      <c r="B2211" s="26" t="n"/>
      <c r="C2211" s="27" t="n"/>
      <c r="D2211" s="28" t="n"/>
      <c r="E2211" s="29" t="n"/>
      <c r="F2211" s="29" t="n"/>
      <c r="G2211" s="28" t="n"/>
      <c r="H2211" s="1" t="n"/>
      <c r="I2211">
        <f>IF(OR(B2211="",C2211=""),"",B2211+MOD(C2211,1))</f>
        <v/>
      </c>
      <c r="J2211">
        <f>IF(I2211="","",IF(B2211=Dashboard!$AA$1,I2211,""))</f>
        <v/>
      </c>
    </row>
    <row r="2212">
      <c r="A2212" s="1" t="n"/>
      <c r="B2212" s="26" t="n"/>
      <c r="C2212" s="27" t="n"/>
      <c r="D2212" s="28" t="n"/>
      <c r="E2212" s="29" t="n"/>
      <c r="F2212" s="29" t="n"/>
      <c r="G2212" s="28" t="n"/>
      <c r="H2212" s="1" t="n"/>
      <c r="I2212">
        <f>IF(OR(B2212="",C2212=""),"",B2212+MOD(C2212,1))</f>
        <v/>
      </c>
      <c r="J2212">
        <f>IF(I2212="","",IF(B2212=Dashboard!$AA$1,I2212,""))</f>
        <v/>
      </c>
    </row>
    <row r="2213">
      <c r="A2213" s="1" t="n"/>
      <c r="B2213" s="26" t="n"/>
      <c r="C2213" s="27" t="n"/>
      <c r="D2213" s="28" t="n"/>
      <c r="E2213" s="29" t="n"/>
      <c r="F2213" s="29" t="n"/>
      <c r="G2213" s="28" t="n"/>
      <c r="H2213" s="1" t="n"/>
      <c r="I2213">
        <f>IF(OR(B2213="",C2213=""),"",B2213+MOD(C2213,1))</f>
        <v/>
      </c>
      <c r="J2213">
        <f>IF(I2213="","",IF(B2213=Dashboard!$AA$1,I2213,""))</f>
        <v/>
      </c>
    </row>
    <row r="2214">
      <c r="A2214" s="1" t="n"/>
      <c r="B2214" s="26" t="n"/>
      <c r="C2214" s="27" t="n"/>
      <c r="D2214" s="28" t="n"/>
      <c r="E2214" s="29" t="n"/>
      <c r="F2214" s="29" t="n"/>
      <c r="G2214" s="28" t="n"/>
      <c r="H2214" s="1" t="n"/>
      <c r="I2214">
        <f>IF(OR(B2214="",C2214=""),"",B2214+MOD(C2214,1))</f>
        <v/>
      </c>
      <c r="J2214">
        <f>IF(I2214="","",IF(B2214=Dashboard!$AA$1,I2214,""))</f>
        <v/>
      </c>
    </row>
    <row r="2215">
      <c r="A2215" s="1" t="n"/>
      <c r="B2215" s="26" t="n"/>
      <c r="C2215" s="27" t="n"/>
      <c r="D2215" s="28" t="n"/>
      <c r="E2215" s="29" t="n"/>
      <c r="F2215" s="29" t="n"/>
      <c r="G2215" s="28" t="n"/>
      <c r="H2215" s="1" t="n"/>
      <c r="I2215">
        <f>IF(OR(B2215="",C2215=""),"",B2215+MOD(C2215,1))</f>
        <v/>
      </c>
      <c r="J2215">
        <f>IF(I2215="","",IF(B2215=Dashboard!$AA$1,I2215,""))</f>
        <v/>
      </c>
    </row>
    <row r="2216">
      <c r="A2216" s="1" t="n"/>
      <c r="B2216" s="26" t="n"/>
      <c r="C2216" s="27" t="n"/>
      <c r="D2216" s="28" t="n"/>
      <c r="E2216" s="29" t="n"/>
      <c r="F2216" s="29" t="n"/>
      <c r="G2216" s="28" t="n"/>
      <c r="H2216" s="1" t="n"/>
      <c r="I2216">
        <f>IF(OR(B2216="",C2216=""),"",B2216+MOD(C2216,1))</f>
        <v/>
      </c>
      <c r="J2216">
        <f>IF(I2216="","",IF(B2216=Dashboard!$AA$1,I2216,""))</f>
        <v/>
      </c>
    </row>
    <row r="2217">
      <c r="A2217" s="1" t="n"/>
      <c r="B2217" s="26" t="n"/>
      <c r="C2217" s="27" t="n"/>
      <c r="D2217" s="28" t="n"/>
      <c r="E2217" s="29" t="n"/>
      <c r="F2217" s="29" t="n"/>
      <c r="G2217" s="28" t="n"/>
      <c r="H2217" s="1" t="n"/>
      <c r="I2217">
        <f>IF(OR(B2217="",C2217=""),"",B2217+MOD(C2217,1))</f>
        <v/>
      </c>
      <c r="J2217">
        <f>IF(I2217="","",IF(B2217=Dashboard!$AA$1,I2217,""))</f>
        <v/>
      </c>
    </row>
    <row r="2218">
      <c r="A2218" s="1" t="n"/>
      <c r="B2218" s="26" t="n"/>
      <c r="C2218" s="27" t="n"/>
      <c r="D2218" s="28" t="n"/>
      <c r="E2218" s="29" t="n"/>
      <c r="F2218" s="29" t="n"/>
      <c r="G2218" s="28" t="n"/>
      <c r="H2218" s="1" t="n"/>
      <c r="I2218">
        <f>IF(OR(B2218="",C2218=""),"",B2218+MOD(C2218,1))</f>
        <v/>
      </c>
      <c r="J2218">
        <f>IF(I2218="","",IF(B2218=Dashboard!$AA$1,I2218,""))</f>
        <v/>
      </c>
    </row>
    <row r="2219">
      <c r="A2219" s="1" t="n"/>
      <c r="B2219" s="26" t="n"/>
      <c r="C2219" s="27" t="n"/>
      <c r="D2219" s="28" t="n"/>
      <c r="E2219" s="29" t="n"/>
      <c r="F2219" s="29" t="n"/>
      <c r="G2219" s="28" t="n"/>
      <c r="H2219" s="1" t="n"/>
      <c r="I2219">
        <f>IF(OR(B2219="",C2219=""),"",B2219+MOD(C2219,1))</f>
        <v/>
      </c>
      <c r="J2219">
        <f>IF(I2219="","",IF(B2219=Dashboard!$AA$1,I2219,""))</f>
        <v/>
      </c>
    </row>
    <row r="2220">
      <c r="A2220" s="1" t="n"/>
      <c r="B2220" s="26" t="n"/>
      <c r="C2220" s="27" t="n"/>
      <c r="D2220" s="28" t="n"/>
      <c r="E2220" s="29" t="n"/>
      <c r="F2220" s="29" t="n"/>
      <c r="G2220" s="28" t="n"/>
      <c r="H2220" s="1" t="n"/>
      <c r="I2220">
        <f>IF(OR(B2220="",C2220=""),"",B2220+MOD(C2220,1))</f>
        <v/>
      </c>
      <c r="J2220">
        <f>IF(I2220="","",IF(B2220=Dashboard!$AA$1,I2220,""))</f>
        <v/>
      </c>
    </row>
    <row r="2221">
      <c r="A2221" s="1" t="n"/>
      <c r="B2221" s="26" t="n"/>
      <c r="C2221" s="27" t="n"/>
      <c r="D2221" s="28" t="n"/>
      <c r="E2221" s="29" t="n"/>
      <c r="F2221" s="29" t="n"/>
      <c r="G2221" s="28" t="n"/>
      <c r="H2221" s="1" t="n"/>
      <c r="I2221">
        <f>IF(OR(B2221="",C2221=""),"",B2221+MOD(C2221,1))</f>
        <v/>
      </c>
      <c r="J2221">
        <f>IF(I2221="","",IF(B2221=Dashboard!$AA$1,I2221,""))</f>
        <v/>
      </c>
    </row>
    <row r="2222">
      <c r="A2222" s="1" t="n"/>
      <c r="B2222" s="26" t="n"/>
      <c r="C2222" s="27" t="n"/>
      <c r="D2222" s="28" t="n"/>
      <c r="E2222" s="29" t="n"/>
      <c r="F2222" s="29" t="n"/>
      <c r="G2222" s="28" t="n"/>
      <c r="H2222" s="1" t="n"/>
      <c r="I2222">
        <f>IF(OR(B2222="",C2222=""),"",B2222+MOD(C2222,1))</f>
        <v/>
      </c>
      <c r="J2222">
        <f>IF(I2222="","",IF(B2222=Dashboard!$AA$1,I2222,""))</f>
        <v/>
      </c>
    </row>
    <row r="2223">
      <c r="A2223" s="1" t="n"/>
      <c r="B2223" s="26" t="n"/>
      <c r="C2223" s="27" t="n"/>
      <c r="D2223" s="28" t="n"/>
      <c r="E2223" s="29" t="n"/>
      <c r="F2223" s="29" t="n"/>
      <c r="G2223" s="28" t="n"/>
      <c r="H2223" s="1" t="n"/>
      <c r="I2223">
        <f>IF(OR(B2223="",C2223=""),"",B2223+MOD(C2223,1))</f>
        <v/>
      </c>
      <c r="J2223">
        <f>IF(I2223="","",IF(B2223=Dashboard!$AA$1,I2223,""))</f>
        <v/>
      </c>
    </row>
    <row r="2224">
      <c r="A2224" s="1" t="n"/>
      <c r="B2224" s="26" t="n"/>
      <c r="C2224" s="27" t="n"/>
      <c r="D2224" s="28" t="n"/>
      <c r="E2224" s="29" t="n"/>
      <c r="F2224" s="29" t="n"/>
      <c r="G2224" s="28" t="n"/>
      <c r="H2224" s="1" t="n"/>
      <c r="I2224">
        <f>IF(OR(B2224="",C2224=""),"",B2224+MOD(C2224,1))</f>
        <v/>
      </c>
      <c r="J2224">
        <f>IF(I2224="","",IF(B2224=Dashboard!$AA$1,I2224,""))</f>
        <v/>
      </c>
    </row>
    <row r="2225">
      <c r="A2225" s="1" t="n"/>
      <c r="B2225" s="26" t="n"/>
      <c r="C2225" s="27" t="n"/>
      <c r="D2225" s="28" t="n"/>
      <c r="E2225" s="29" t="n"/>
      <c r="F2225" s="29" t="n"/>
      <c r="G2225" s="28" t="n"/>
      <c r="H2225" s="1" t="n"/>
      <c r="I2225">
        <f>IF(OR(B2225="",C2225=""),"",B2225+MOD(C2225,1))</f>
        <v/>
      </c>
      <c r="J2225">
        <f>IF(I2225="","",IF(B2225=Dashboard!$AA$1,I2225,""))</f>
        <v/>
      </c>
    </row>
    <row r="2226">
      <c r="A2226" s="1" t="n"/>
      <c r="B2226" s="26" t="n"/>
      <c r="C2226" s="27" t="n"/>
      <c r="D2226" s="28" t="n"/>
      <c r="E2226" s="29" t="n"/>
      <c r="F2226" s="29" t="n"/>
      <c r="G2226" s="28" t="n"/>
      <c r="H2226" s="1" t="n"/>
      <c r="I2226">
        <f>IF(OR(B2226="",C2226=""),"",B2226+MOD(C2226,1))</f>
        <v/>
      </c>
      <c r="J2226">
        <f>IF(I2226="","",IF(B2226=Dashboard!$AA$1,I2226,""))</f>
        <v/>
      </c>
    </row>
    <row r="2227">
      <c r="A2227" s="1" t="n"/>
      <c r="B2227" s="26" t="n"/>
      <c r="C2227" s="27" t="n"/>
      <c r="D2227" s="28" t="n"/>
      <c r="E2227" s="29" t="n"/>
      <c r="F2227" s="29" t="n"/>
      <c r="G2227" s="28" t="n"/>
      <c r="H2227" s="1" t="n"/>
      <c r="I2227">
        <f>IF(OR(B2227="",C2227=""),"",B2227+MOD(C2227,1))</f>
        <v/>
      </c>
      <c r="J2227">
        <f>IF(I2227="","",IF(B2227=Dashboard!$AA$1,I2227,""))</f>
        <v/>
      </c>
    </row>
    <row r="2228">
      <c r="A2228" s="1" t="n"/>
      <c r="B2228" s="26" t="n"/>
      <c r="C2228" s="27" t="n"/>
      <c r="D2228" s="28" t="n"/>
      <c r="E2228" s="29" t="n"/>
      <c r="F2228" s="29" t="n"/>
      <c r="G2228" s="28" t="n"/>
      <c r="H2228" s="1" t="n"/>
      <c r="I2228">
        <f>IF(OR(B2228="",C2228=""),"",B2228+MOD(C2228,1))</f>
        <v/>
      </c>
      <c r="J2228">
        <f>IF(I2228="","",IF(B2228=Dashboard!$AA$1,I2228,""))</f>
        <v/>
      </c>
    </row>
    <row r="2229">
      <c r="A2229" s="1" t="n"/>
      <c r="B2229" s="26" t="n"/>
      <c r="C2229" s="27" t="n"/>
      <c r="D2229" s="28" t="n"/>
      <c r="E2229" s="29" t="n"/>
      <c r="F2229" s="29" t="n"/>
      <c r="G2229" s="28" t="n"/>
      <c r="H2229" s="1" t="n"/>
      <c r="I2229">
        <f>IF(OR(B2229="",C2229=""),"",B2229+MOD(C2229,1))</f>
        <v/>
      </c>
      <c r="J2229">
        <f>IF(I2229="","",IF(B2229=Dashboard!$AA$1,I2229,""))</f>
        <v/>
      </c>
    </row>
    <row r="2230">
      <c r="A2230" s="1" t="n"/>
      <c r="B2230" s="26" t="n"/>
      <c r="C2230" s="27" t="n"/>
      <c r="D2230" s="28" t="n"/>
      <c r="E2230" s="29" t="n"/>
      <c r="F2230" s="29" t="n"/>
      <c r="G2230" s="28" t="n"/>
      <c r="H2230" s="1" t="n"/>
      <c r="I2230">
        <f>IF(OR(B2230="",C2230=""),"",B2230+MOD(C2230,1))</f>
        <v/>
      </c>
      <c r="J2230">
        <f>IF(I2230="","",IF(B2230=Dashboard!$AA$1,I2230,""))</f>
        <v/>
      </c>
    </row>
    <row r="2231">
      <c r="A2231" s="1" t="n"/>
      <c r="B2231" s="26" t="n"/>
      <c r="C2231" s="27" t="n"/>
      <c r="D2231" s="28" t="n"/>
      <c r="E2231" s="29" t="n"/>
      <c r="F2231" s="29" t="n"/>
      <c r="G2231" s="28" t="n"/>
      <c r="H2231" s="1" t="n"/>
      <c r="I2231">
        <f>IF(OR(B2231="",C2231=""),"",B2231+MOD(C2231,1))</f>
        <v/>
      </c>
      <c r="J2231">
        <f>IF(I2231="","",IF(B2231=Dashboard!$AA$1,I2231,""))</f>
        <v/>
      </c>
    </row>
    <row r="2232">
      <c r="A2232" s="1" t="n"/>
      <c r="B2232" s="26" t="n"/>
      <c r="C2232" s="27" t="n"/>
      <c r="D2232" s="28" t="n"/>
      <c r="E2232" s="29" t="n"/>
      <c r="F2232" s="29" t="n"/>
      <c r="G2232" s="28" t="n"/>
      <c r="H2232" s="1" t="n"/>
      <c r="I2232">
        <f>IF(OR(B2232="",C2232=""),"",B2232+MOD(C2232,1))</f>
        <v/>
      </c>
      <c r="J2232">
        <f>IF(I2232="","",IF(B2232=Dashboard!$AA$1,I2232,""))</f>
        <v/>
      </c>
    </row>
    <row r="2233">
      <c r="A2233" s="1" t="n"/>
      <c r="B2233" s="26" t="n"/>
      <c r="C2233" s="27" t="n"/>
      <c r="D2233" s="28" t="n"/>
      <c r="E2233" s="29" t="n"/>
      <c r="F2233" s="29" t="n"/>
      <c r="G2233" s="28" t="n"/>
      <c r="H2233" s="1" t="n"/>
      <c r="I2233">
        <f>IF(OR(B2233="",C2233=""),"",B2233+MOD(C2233,1))</f>
        <v/>
      </c>
      <c r="J2233">
        <f>IF(I2233="","",IF(B2233=Dashboard!$AA$1,I2233,""))</f>
        <v/>
      </c>
    </row>
    <row r="2234">
      <c r="A2234" s="1" t="n"/>
      <c r="B2234" s="26" t="n"/>
      <c r="C2234" s="27" t="n"/>
      <c r="D2234" s="28" t="n"/>
      <c r="E2234" s="29" t="n"/>
      <c r="F2234" s="29" t="n"/>
      <c r="G2234" s="28" t="n"/>
      <c r="H2234" s="1" t="n"/>
      <c r="I2234">
        <f>IF(OR(B2234="",C2234=""),"",B2234+MOD(C2234,1))</f>
        <v/>
      </c>
      <c r="J2234">
        <f>IF(I2234="","",IF(B2234=Dashboard!$AA$1,I2234,""))</f>
        <v/>
      </c>
    </row>
    <row r="2235">
      <c r="A2235" s="1" t="n"/>
      <c r="B2235" s="26" t="n"/>
      <c r="C2235" s="27" t="n"/>
      <c r="D2235" s="28" t="n"/>
      <c r="E2235" s="29" t="n"/>
      <c r="F2235" s="29" t="n"/>
      <c r="G2235" s="28" t="n"/>
      <c r="H2235" s="1" t="n"/>
      <c r="I2235">
        <f>IF(OR(B2235="",C2235=""),"",B2235+MOD(C2235,1))</f>
        <v/>
      </c>
      <c r="J2235">
        <f>IF(I2235="","",IF(B2235=Dashboard!$AA$1,I2235,""))</f>
        <v/>
      </c>
    </row>
    <row r="2236">
      <c r="A2236" s="1" t="n"/>
      <c r="B2236" s="26" t="n"/>
      <c r="C2236" s="27" t="n"/>
      <c r="D2236" s="28" t="n"/>
      <c r="E2236" s="29" t="n"/>
      <c r="F2236" s="29" t="n"/>
      <c r="G2236" s="28" t="n"/>
      <c r="H2236" s="1" t="n"/>
      <c r="I2236">
        <f>IF(OR(B2236="",C2236=""),"",B2236+MOD(C2236,1))</f>
        <v/>
      </c>
      <c r="J2236">
        <f>IF(I2236="","",IF(B2236=Dashboard!$AA$1,I2236,""))</f>
        <v/>
      </c>
    </row>
    <row r="2237">
      <c r="A2237" s="1" t="n"/>
      <c r="B2237" s="26" t="n"/>
      <c r="C2237" s="27" t="n"/>
      <c r="D2237" s="28" t="n"/>
      <c r="E2237" s="29" t="n"/>
      <c r="F2237" s="29" t="n"/>
      <c r="G2237" s="28" t="n"/>
      <c r="H2237" s="1" t="n"/>
      <c r="I2237">
        <f>IF(OR(B2237="",C2237=""),"",B2237+MOD(C2237,1))</f>
        <v/>
      </c>
      <c r="J2237">
        <f>IF(I2237="","",IF(B2237=Dashboard!$AA$1,I2237,""))</f>
        <v/>
      </c>
    </row>
    <row r="2238">
      <c r="A2238" s="1" t="n"/>
      <c r="B2238" s="26" t="n"/>
      <c r="C2238" s="27" t="n"/>
      <c r="D2238" s="28" t="n"/>
      <c r="E2238" s="29" t="n"/>
      <c r="F2238" s="29" t="n"/>
      <c r="G2238" s="28" t="n"/>
      <c r="H2238" s="1" t="n"/>
      <c r="I2238">
        <f>IF(OR(B2238="",C2238=""),"",B2238+MOD(C2238,1))</f>
        <v/>
      </c>
      <c r="J2238">
        <f>IF(I2238="","",IF(B2238=Dashboard!$AA$1,I2238,""))</f>
        <v/>
      </c>
    </row>
    <row r="2239">
      <c r="A2239" s="1" t="n"/>
      <c r="B2239" s="26" t="n"/>
      <c r="C2239" s="27" t="n"/>
      <c r="D2239" s="28" t="n"/>
      <c r="E2239" s="29" t="n"/>
      <c r="F2239" s="29" t="n"/>
      <c r="G2239" s="28" t="n"/>
      <c r="H2239" s="1" t="n"/>
      <c r="I2239">
        <f>IF(OR(B2239="",C2239=""),"",B2239+MOD(C2239,1))</f>
        <v/>
      </c>
      <c r="J2239">
        <f>IF(I2239="","",IF(B2239=Dashboard!$AA$1,I2239,""))</f>
        <v/>
      </c>
    </row>
    <row r="2240">
      <c r="A2240" s="1" t="n"/>
      <c r="B2240" s="26" t="n"/>
      <c r="C2240" s="27" t="n"/>
      <c r="D2240" s="28" t="n"/>
      <c r="E2240" s="29" t="n"/>
      <c r="F2240" s="29" t="n"/>
      <c r="G2240" s="28" t="n"/>
      <c r="H2240" s="1" t="n"/>
      <c r="I2240">
        <f>IF(OR(B2240="",C2240=""),"",B2240+MOD(C2240,1))</f>
        <v/>
      </c>
      <c r="J2240">
        <f>IF(I2240="","",IF(B2240=Dashboard!$AA$1,I2240,""))</f>
        <v/>
      </c>
    </row>
    <row r="2241">
      <c r="A2241" s="1" t="n"/>
      <c r="B2241" s="26" t="n"/>
      <c r="C2241" s="27" t="n"/>
      <c r="D2241" s="28" t="n"/>
      <c r="E2241" s="29" t="n"/>
      <c r="F2241" s="29" t="n"/>
      <c r="G2241" s="28" t="n"/>
      <c r="H2241" s="1" t="n"/>
      <c r="I2241">
        <f>IF(OR(B2241="",C2241=""),"",B2241+MOD(C2241,1))</f>
        <v/>
      </c>
      <c r="J2241">
        <f>IF(I2241="","",IF(B2241=Dashboard!$AA$1,I2241,""))</f>
        <v/>
      </c>
    </row>
    <row r="2242">
      <c r="A2242" s="1" t="n"/>
      <c r="B2242" s="26" t="n"/>
      <c r="C2242" s="27" t="n"/>
      <c r="D2242" s="28" t="n"/>
      <c r="E2242" s="29" t="n"/>
      <c r="F2242" s="29" t="n"/>
      <c r="G2242" s="28" t="n"/>
      <c r="H2242" s="1" t="n"/>
      <c r="I2242">
        <f>IF(OR(B2242="",C2242=""),"",B2242+MOD(C2242,1))</f>
        <v/>
      </c>
      <c r="J2242">
        <f>IF(I2242="","",IF(B2242=Dashboard!$AA$1,I2242,""))</f>
        <v/>
      </c>
    </row>
    <row r="2243">
      <c r="A2243" s="1" t="n"/>
      <c r="B2243" s="26" t="n"/>
      <c r="C2243" s="27" t="n"/>
      <c r="D2243" s="28" t="n"/>
      <c r="E2243" s="29" t="n"/>
      <c r="F2243" s="29" t="n"/>
      <c r="G2243" s="28" t="n"/>
      <c r="H2243" s="1" t="n"/>
      <c r="I2243">
        <f>IF(OR(B2243="",C2243=""),"",B2243+MOD(C2243,1))</f>
        <v/>
      </c>
      <c r="J2243">
        <f>IF(I2243="","",IF(B2243=Dashboard!$AA$1,I2243,""))</f>
        <v/>
      </c>
    </row>
    <row r="2244">
      <c r="A2244" s="1" t="n"/>
      <c r="B2244" s="26" t="n"/>
      <c r="C2244" s="27" t="n"/>
      <c r="D2244" s="28" t="n"/>
      <c r="E2244" s="29" t="n"/>
      <c r="F2244" s="29" t="n"/>
      <c r="G2244" s="28" t="n"/>
      <c r="H2244" s="1" t="n"/>
      <c r="I2244">
        <f>IF(OR(B2244="",C2244=""),"",B2244+MOD(C2244,1))</f>
        <v/>
      </c>
      <c r="J2244">
        <f>IF(I2244="","",IF(B2244=Dashboard!$AA$1,I2244,""))</f>
        <v/>
      </c>
    </row>
    <row r="2245">
      <c r="A2245" s="1" t="n"/>
      <c r="B2245" s="26" t="n"/>
      <c r="C2245" s="27" t="n"/>
      <c r="D2245" s="28" t="n"/>
      <c r="E2245" s="29" t="n"/>
      <c r="F2245" s="29" t="n"/>
      <c r="G2245" s="28" t="n"/>
      <c r="H2245" s="1" t="n"/>
      <c r="I2245">
        <f>IF(OR(B2245="",C2245=""),"",B2245+MOD(C2245,1))</f>
        <v/>
      </c>
      <c r="J2245">
        <f>IF(I2245="","",IF(B2245=Dashboard!$AA$1,I2245,""))</f>
        <v/>
      </c>
    </row>
    <row r="2246">
      <c r="A2246" s="1" t="n"/>
      <c r="B2246" s="26" t="n"/>
      <c r="C2246" s="27" t="n"/>
      <c r="D2246" s="28" t="n"/>
      <c r="E2246" s="29" t="n"/>
      <c r="F2246" s="29" t="n"/>
      <c r="G2246" s="28" t="n"/>
      <c r="H2246" s="1" t="n"/>
      <c r="I2246">
        <f>IF(OR(B2246="",C2246=""),"",B2246+MOD(C2246,1))</f>
        <v/>
      </c>
      <c r="J2246">
        <f>IF(I2246="","",IF(B2246=Dashboard!$AA$1,I2246,""))</f>
        <v/>
      </c>
    </row>
    <row r="2247">
      <c r="A2247" s="1" t="n"/>
      <c r="B2247" s="26" t="n"/>
      <c r="C2247" s="27" t="n"/>
      <c r="D2247" s="28" t="n"/>
      <c r="E2247" s="29" t="n"/>
      <c r="F2247" s="29" t="n"/>
      <c r="G2247" s="28" t="n"/>
      <c r="H2247" s="1" t="n"/>
      <c r="I2247">
        <f>IF(OR(B2247="",C2247=""),"",B2247+MOD(C2247,1))</f>
        <v/>
      </c>
      <c r="J2247">
        <f>IF(I2247="","",IF(B2247=Dashboard!$AA$1,I2247,""))</f>
        <v/>
      </c>
    </row>
    <row r="2248">
      <c r="A2248" s="1" t="n"/>
      <c r="B2248" s="26" t="n"/>
      <c r="C2248" s="27" t="n"/>
      <c r="D2248" s="28" t="n"/>
      <c r="E2248" s="29" t="n"/>
      <c r="F2248" s="29" t="n"/>
      <c r="G2248" s="28" t="n"/>
      <c r="H2248" s="1" t="n"/>
      <c r="I2248">
        <f>IF(OR(B2248="",C2248=""),"",B2248+MOD(C2248,1))</f>
        <v/>
      </c>
      <c r="J2248">
        <f>IF(I2248="","",IF(B2248=Dashboard!$AA$1,I2248,""))</f>
        <v/>
      </c>
    </row>
    <row r="2249">
      <c r="A2249" s="1" t="n"/>
      <c r="B2249" s="26" t="n"/>
      <c r="C2249" s="27" t="n"/>
      <c r="D2249" s="28" t="n"/>
      <c r="E2249" s="29" t="n"/>
      <c r="F2249" s="29" t="n"/>
      <c r="G2249" s="28" t="n"/>
      <c r="H2249" s="1" t="n"/>
      <c r="I2249">
        <f>IF(OR(B2249="",C2249=""),"",B2249+MOD(C2249,1))</f>
        <v/>
      </c>
      <c r="J2249">
        <f>IF(I2249="","",IF(B2249=Dashboard!$AA$1,I2249,""))</f>
        <v/>
      </c>
    </row>
    <row r="2250">
      <c r="A2250" s="1" t="n"/>
      <c r="B2250" s="26" t="n"/>
      <c r="C2250" s="27" t="n"/>
      <c r="D2250" s="28" t="n"/>
      <c r="E2250" s="29" t="n"/>
      <c r="F2250" s="29" t="n"/>
      <c r="G2250" s="28" t="n"/>
      <c r="H2250" s="1" t="n"/>
      <c r="I2250">
        <f>IF(OR(B2250="",C2250=""),"",B2250+MOD(C2250,1))</f>
        <v/>
      </c>
      <c r="J2250">
        <f>IF(I2250="","",IF(B2250=Dashboard!$AA$1,I2250,""))</f>
        <v/>
      </c>
    </row>
    <row r="2251">
      <c r="A2251" s="1" t="n"/>
      <c r="B2251" s="26" t="n"/>
      <c r="C2251" s="27" t="n"/>
      <c r="D2251" s="28" t="n"/>
      <c r="E2251" s="29" t="n"/>
      <c r="F2251" s="29" t="n"/>
      <c r="G2251" s="28" t="n"/>
      <c r="H2251" s="1" t="n"/>
      <c r="I2251">
        <f>IF(OR(B2251="",C2251=""),"",B2251+MOD(C2251,1))</f>
        <v/>
      </c>
      <c r="J2251">
        <f>IF(I2251="","",IF(B2251=Dashboard!$AA$1,I2251,""))</f>
        <v/>
      </c>
    </row>
    <row r="2252">
      <c r="A2252" s="1" t="n"/>
      <c r="B2252" s="26" t="n"/>
      <c r="C2252" s="27" t="n"/>
      <c r="D2252" s="28" t="n"/>
      <c r="E2252" s="29" t="n"/>
      <c r="F2252" s="29" t="n"/>
      <c r="G2252" s="28" t="n"/>
      <c r="H2252" s="1" t="n"/>
      <c r="I2252">
        <f>IF(OR(B2252="",C2252=""),"",B2252+MOD(C2252,1))</f>
        <v/>
      </c>
      <c r="J2252">
        <f>IF(I2252="","",IF(B2252=Dashboard!$AA$1,I2252,""))</f>
        <v/>
      </c>
    </row>
    <row r="2253">
      <c r="A2253" s="1" t="n"/>
      <c r="B2253" s="26" t="n"/>
      <c r="C2253" s="27" t="n"/>
      <c r="D2253" s="28" t="n"/>
      <c r="E2253" s="29" t="n"/>
      <c r="F2253" s="29" t="n"/>
      <c r="G2253" s="28" t="n"/>
      <c r="H2253" s="1" t="n"/>
      <c r="I2253">
        <f>IF(OR(B2253="",C2253=""),"",B2253+MOD(C2253,1))</f>
        <v/>
      </c>
      <c r="J2253">
        <f>IF(I2253="","",IF(B2253=Dashboard!$AA$1,I2253,""))</f>
        <v/>
      </c>
    </row>
    <row r="2254">
      <c r="A2254" s="1" t="n"/>
      <c r="B2254" s="26" t="n"/>
      <c r="C2254" s="27" t="n"/>
      <c r="D2254" s="28" t="n"/>
      <c r="E2254" s="29" t="n"/>
      <c r="F2254" s="29" t="n"/>
      <c r="G2254" s="28" t="n"/>
      <c r="H2254" s="1" t="n"/>
      <c r="I2254">
        <f>IF(OR(B2254="",C2254=""),"",B2254+MOD(C2254,1))</f>
        <v/>
      </c>
      <c r="J2254">
        <f>IF(I2254="","",IF(B2254=Dashboard!$AA$1,I2254,""))</f>
        <v/>
      </c>
    </row>
    <row r="2255">
      <c r="A2255" s="1" t="n"/>
      <c r="B2255" s="26" t="n"/>
      <c r="C2255" s="27" t="n"/>
      <c r="D2255" s="28" t="n"/>
      <c r="E2255" s="29" t="n"/>
      <c r="F2255" s="29" t="n"/>
      <c r="G2255" s="28" t="n"/>
      <c r="H2255" s="1" t="n"/>
      <c r="I2255">
        <f>IF(OR(B2255="",C2255=""),"",B2255+MOD(C2255,1))</f>
        <v/>
      </c>
      <c r="J2255">
        <f>IF(I2255="","",IF(B2255=Dashboard!$AA$1,I2255,""))</f>
        <v/>
      </c>
    </row>
    <row r="2256">
      <c r="A2256" s="1" t="n"/>
      <c r="B2256" s="26" t="n"/>
      <c r="C2256" s="27" t="n"/>
      <c r="D2256" s="28" t="n"/>
      <c r="E2256" s="29" t="n"/>
      <c r="F2256" s="29" t="n"/>
      <c r="G2256" s="28" t="n"/>
      <c r="H2256" s="1" t="n"/>
      <c r="I2256">
        <f>IF(OR(B2256="",C2256=""),"",B2256+MOD(C2256,1))</f>
        <v/>
      </c>
      <c r="J2256">
        <f>IF(I2256="","",IF(B2256=Dashboard!$AA$1,I2256,""))</f>
        <v/>
      </c>
    </row>
    <row r="2257">
      <c r="A2257" s="1" t="n"/>
      <c r="B2257" s="26" t="n"/>
      <c r="C2257" s="27" t="n"/>
      <c r="D2257" s="28" t="n"/>
      <c r="E2257" s="29" t="n"/>
      <c r="F2257" s="29" t="n"/>
      <c r="G2257" s="28" t="n"/>
      <c r="H2257" s="1" t="n"/>
      <c r="I2257">
        <f>IF(OR(B2257="",C2257=""),"",B2257+MOD(C2257,1))</f>
        <v/>
      </c>
      <c r="J2257">
        <f>IF(I2257="","",IF(B2257=Dashboard!$AA$1,I2257,""))</f>
        <v/>
      </c>
    </row>
    <row r="2258">
      <c r="A2258" s="1" t="n"/>
      <c r="B2258" s="26" t="n"/>
      <c r="C2258" s="27" t="n"/>
      <c r="D2258" s="28" t="n"/>
      <c r="E2258" s="29" t="n"/>
      <c r="F2258" s="29" t="n"/>
      <c r="G2258" s="28" t="n"/>
      <c r="H2258" s="1" t="n"/>
      <c r="I2258">
        <f>IF(OR(B2258="",C2258=""),"",B2258+MOD(C2258,1))</f>
        <v/>
      </c>
      <c r="J2258">
        <f>IF(I2258="","",IF(B2258=Dashboard!$AA$1,I2258,""))</f>
        <v/>
      </c>
    </row>
    <row r="2259">
      <c r="A2259" s="1" t="n"/>
      <c r="B2259" s="26" t="n"/>
      <c r="C2259" s="27" t="n"/>
      <c r="D2259" s="28" t="n"/>
      <c r="E2259" s="29" t="n"/>
      <c r="F2259" s="29" t="n"/>
      <c r="G2259" s="28" t="n"/>
      <c r="H2259" s="1" t="n"/>
      <c r="I2259">
        <f>IF(OR(B2259="",C2259=""),"",B2259+MOD(C2259,1))</f>
        <v/>
      </c>
      <c r="J2259">
        <f>IF(I2259="","",IF(B2259=Dashboard!$AA$1,I2259,""))</f>
        <v/>
      </c>
    </row>
    <row r="2260">
      <c r="A2260" s="1" t="n"/>
      <c r="B2260" s="26" t="n"/>
      <c r="C2260" s="27" t="n"/>
      <c r="D2260" s="28" t="n"/>
      <c r="E2260" s="29" t="n"/>
      <c r="F2260" s="29" t="n"/>
      <c r="G2260" s="28" t="n"/>
      <c r="H2260" s="1" t="n"/>
      <c r="I2260">
        <f>IF(OR(B2260="",C2260=""),"",B2260+MOD(C2260,1))</f>
        <v/>
      </c>
      <c r="J2260">
        <f>IF(I2260="","",IF(B2260=Dashboard!$AA$1,I2260,""))</f>
        <v/>
      </c>
    </row>
    <row r="2261">
      <c r="A2261" s="1" t="n"/>
      <c r="B2261" s="26" t="n"/>
      <c r="C2261" s="27" t="n"/>
      <c r="D2261" s="28" t="n"/>
      <c r="E2261" s="29" t="n"/>
      <c r="F2261" s="29" t="n"/>
      <c r="G2261" s="28" t="n"/>
      <c r="H2261" s="1" t="n"/>
      <c r="I2261">
        <f>IF(OR(B2261="",C2261=""),"",B2261+MOD(C2261,1))</f>
        <v/>
      </c>
      <c r="J2261">
        <f>IF(I2261="","",IF(B2261=Dashboard!$AA$1,I2261,""))</f>
        <v/>
      </c>
    </row>
    <row r="2262">
      <c r="A2262" s="1" t="n"/>
      <c r="B2262" s="26" t="n"/>
      <c r="C2262" s="27" t="n"/>
      <c r="D2262" s="28" t="n"/>
      <c r="E2262" s="29" t="n"/>
      <c r="F2262" s="29" t="n"/>
      <c r="G2262" s="28" t="n"/>
      <c r="H2262" s="1" t="n"/>
      <c r="I2262">
        <f>IF(OR(B2262="",C2262=""),"",B2262+MOD(C2262,1))</f>
        <v/>
      </c>
      <c r="J2262">
        <f>IF(I2262="","",IF(B2262=Dashboard!$AA$1,I2262,""))</f>
        <v/>
      </c>
    </row>
    <row r="2263">
      <c r="A2263" s="1" t="n"/>
      <c r="B2263" s="26" t="n"/>
      <c r="C2263" s="27" t="n"/>
      <c r="D2263" s="28" t="n"/>
      <c r="E2263" s="29" t="n"/>
      <c r="F2263" s="29" t="n"/>
      <c r="G2263" s="28" t="n"/>
      <c r="H2263" s="1" t="n"/>
      <c r="I2263">
        <f>IF(OR(B2263="",C2263=""),"",B2263+MOD(C2263,1))</f>
        <v/>
      </c>
      <c r="J2263">
        <f>IF(I2263="","",IF(B2263=Dashboard!$AA$1,I2263,""))</f>
        <v/>
      </c>
    </row>
    <row r="2264">
      <c r="A2264" s="1" t="n"/>
      <c r="B2264" s="26" t="n"/>
      <c r="C2264" s="27" t="n"/>
      <c r="D2264" s="28" t="n"/>
      <c r="E2264" s="29" t="n"/>
      <c r="F2264" s="29" t="n"/>
      <c r="G2264" s="28" t="n"/>
      <c r="H2264" s="1" t="n"/>
      <c r="I2264">
        <f>IF(OR(B2264="",C2264=""),"",B2264+MOD(C2264,1))</f>
        <v/>
      </c>
      <c r="J2264">
        <f>IF(I2264="","",IF(B2264=Dashboard!$AA$1,I2264,""))</f>
        <v/>
      </c>
    </row>
    <row r="2265">
      <c r="A2265" s="1" t="n"/>
      <c r="B2265" s="26" t="n"/>
      <c r="C2265" s="27" t="n"/>
      <c r="D2265" s="28" t="n"/>
      <c r="E2265" s="29" t="n"/>
      <c r="F2265" s="29" t="n"/>
      <c r="G2265" s="28" t="n"/>
      <c r="H2265" s="1" t="n"/>
      <c r="I2265">
        <f>IF(OR(B2265="",C2265=""),"",B2265+MOD(C2265,1))</f>
        <v/>
      </c>
      <c r="J2265">
        <f>IF(I2265="","",IF(B2265=Dashboard!$AA$1,I2265,""))</f>
        <v/>
      </c>
    </row>
    <row r="2266">
      <c r="A2266" s="1" t="n"/>
      <c r="B2266" s="26" t="n"/>
      <c r="C2266" s="27" t="n"/>
      <c r="D2266" s="28" t="n"/>
      <c r="E2266" s="29" t="n"/>
      <c r="F2266" s="29" t="n"/>
      <c r="G2266" s="28" t="n"/>
      <c r="H2266" s="1" t="n"/>
      <c r="I2266">
        <f>IF(OR(B2266="",C2266=""),"",B2266+MOD(C2266,1))</f>
        <v/>
      </c>
      <c r="J2266">
        <f>IF(I2266="","",IF(B2266=Dashboard!$AA$1,I2266,""))</f>
        <v/>
      </c>
    </row>
    <row r="2267">
      <c r="A2267" s="1" t="n"/>
      <c r="B2267" s="26" t="n"/>
      <c r="C2267" s="27" t="n"/>
      <c r="D2267" s="28" t="n"/>
      <c r="E2267" s="29" t="n"/>
      <c r="F2267" s="29" t="n"/>
      <c r="G2267" s="28" t="n"/>
      <c r="H2267" s="1" t="n"/>
      <c r="I2267">
        <f>IF(OR(B2267="",C2267=""),"",B2267+MOD(C2267,1))</f>
        <v/>
      </c>
      <c r="J2267">
        <f>IF(I2267="","",IF(B2267=Dashboard!$AA$1,I2267,""))</f>
        <v/>
      </c>
    </row>
    <row r="2268">
      <c r="A2268" s="1" t="n"/>
      <c r="B2268" s="26" t="n"/>
      <c r="C2268" s="27" t="n"/>
      <c r="D2268" s="28" t="n"/>
      <c r="E2268" s="29" t="n"/>
      <c r="F2268" s="29" t="n"/>
      <c r="G2268" s="28" t="n"/>
      <c r="H2268" s="1" t="n"/>
      <c r="I2268">
        <f>IF(OR(B2268="",C2268=""),"",B2268+MOD(C2268,1))</f>
        <v/>
      </c>
      <c r="J2268">
        <f>IF(I2268="","",IF(B2268=Dashboard!$AA$1,I2268,""))</f>
        <v/>
      </c>
    </row>
    <row r="2269">
      <c r="A2269" s="1" t="n"/>
      <c r="B2269" s="26" t="n"/>
      <c r="C2269" s="27" t="n"/>
      <c r="D2269" s="28" t="n"/>
      <c r="E2269" s="29" t="n"/>
      <c r="F2269" s="29" t="n"/>
      <c r="G2269" s="28" t="n"/>
      <c r="H2269" s="1" t="n"/>
      <c r="I2269">
        <f>IF(OR(B2269="",C2269=""),"",B2269+MOD(C2269,1))</f>
        <v/>
      </c>
      <c r="J2269">
        <f>IF(I2269="","",IF(B2269=Dashboard!$AA$1,I2269,""))</f>
        <v/>
      </c>
    </row>
    <row r="2270">
      <c r="A2270" s="1" t="n"/>
      <c r="B2270" s="26" t="n"/>
      <c r="C2270" s="27" t="n"/>
      <c r="D2270" s="28" t="n"/>
      <c r="E2270" s="29" t="n"/>
      <c r="F2270" s="29" t="n"/>
      <c r="G2270" s="28" t="n"/>
      <c r="H2270" s="1" t="n"/>
      <c r="I2270">
        <f>IF(OR(B2270="",C2270=""),"",B2270+MOD(C2270,1))</f>
        <v/>
      </c>
      <c r="J2270">
        <f>IF(I2270="","",IF(B2270=Dashboard!$AA$1,I2270,""))</f>
        <v/>
      </c>
    </row>
    <row r="2271">
      <c r="A2271" s="1" t="n"/>
      <c r="B2271" s="26" t="n"/>
      <c r="C2271" s="27" t="n"/>
      <c r="D2271" s="28" t="n"/>
      <c r="E2271" s="29" t="n"/>
      <c r="F2271" s="29" t="n"/>
      <c r="G2271" s="28" t="n"/>
      <c r="H2271" s="1" t="n"/>
      <c r="I2271">
        <f>IF(OR(B2271="",C2271=""),"",B2271+MOD(C2271,1))</f>
        <v/>
      </c>
      <c r="J2271">
        <f>IF(I2271="","",IF(B2271=Dashboard!$AA$1,I2271,""))</f>
        <v/>
      </c>
    </row>
    <row r="2272">
      <c r="A2272" s="1" t="n"/>
      <c r="B2272" s="26" t="n"/>
      <c r="C2272" s="27" t="n"/>
      <c r="D2272" s="28" t="n"/>
      <c r="E2272" s="29" t="n"/>
      <c r="F2272" s="29" t="n"/>
      <c r="G2272" s="28" t="n"/>
      <c r="H2272" s="1" t="n"/>
      <c r="I2272">
        <f>IF(OR(B2272="",C2272=""),"",B2272+MOD(C2272,1))</f>
        <v/>
      </c>
      <c r="J2272">
        <f>IF(I2272="","",IF(B2272=Dashboard!$AA$1,I2272,""))</f>
        <v/>
      </c>
    </row>
    <row r="2273">
      <c r="A2273" s="1" t="n"/>
      <c r="B2273" s="26" t="n"/>
      <c r="C2273" s="27" t="n"/>
      <c r="D2273" s="28" t="n"/>
      <c r="E2273" s="29" t="n"/>
      <c r="F2273" s="29" t="n"/>
      <c r="G2273" s="28" t="n"/>
      <c r="H2273" s="1" t="n"/>
      <c r="I2273">
        <f>IF(OR(B2273="",C2273=""),"",B2273+MOD(C2273,1))</f>
        <v/>
      </c>
      <c r="J2273">
        <f>IF(I2273="","",IF(B2273=Dashboard!$AA$1,I2273,""))</f>
        <v/>
      </c>
    </row>
    <row r="2274">
      <c r="A2274" s="1" t="n"/>
      <c r="B2274" s="26" t="n"/>
      <c r="C2274" s="27" t="n"/>
      <c r="D2274" s="28" t="n"/>
      <c r="E2274" s="29" t="n"/>
      <c r="F2274" s="29" t="n"/>
      <c r="G2274" s="28" t="n"/>
      <c r="H2274" s="1" t="n"/>
      <c r="I2274">
        <f>IF(OR(B2274="",C2274=""),"",B2274+MOD(C2274,1))</f>
        <v/>
      </c>
      <c r="J2274">
        <f>IF(I2274="","",IF(B2274=Dashboard!$AA$1,I2274,""))</f>
        <v/>
      </c>
    </row>
    <row r="2275">
      <c r="A2275" s="1" t="n"/>
      <c r="B2275" s="26" t="n"/>
      <c r="C2275" s="27" t="n"/>
      <c r="D2275" s="28" t="n"/>
      <c r="E2275" s="29" t="n"/>
      <c r="F2275" s="29" t="n"/>
      <c r="G2275" s="28" t="n"/>
      <c r="H2275" s="1" t="n"/>
      <c r="I2275">
        <f>IF(OR(B2275="",C2275=""),"",B2275+MOD(C2275,1))</f>
        <v/>
      </c>
      <c r="J2275">
        <f>IF(I2275="","",IF(B2275=Dashboard!$AA$1,I2275,""))</f>
        <v/>
      </c>
    </row>
    <row r="2276">
      <c r="A2276" s="1" t="n"/>
      <c r="B2276" s="26" t="n"/>
      <c r="C2276" s="27" t="n"/>
      <c r="D2276" s="28" t="n"/>
      <c r="E2276" s="29" t="n"/>
      <c r="F2276" s="29" t="n"/>
      <c r="G2276" s="28" t="n"/>
      <c r="H2276" s="1" t="n"/>
      <c r="I2276">
        <f>IF(OR(B2276="",C2276=""),"",B2276+MOD(C2276,1))</f>
        <v/>
      </c>
      <c r="J2276">
        <f>IF(I2276="","",IF(B2276=Dashboard!$AA$1,I2276,""))</f>
        <v/>
      </c>
    </row>
    <row r="2277">
      <c r="A2277" s="1" t="n"/>
      <c r="B2277" s="26" t="n"/>
      <c r="C2277" s="27" t="n"/>
      <c r="D2277" s="28" t="n"/>
      <c r="E2277" s="29" t="n"/>
      <c r="F2277" s="29" t="n"/>
      <c r="G2277" s="28" t="n"/>
      <c r="H2277" s="1" t="n"/>
      <c r="I2277">
        <f>IF(OR(B2277="",C2277=""),"",B2277+MOD(C2277,1))</f>
        <v/>
      </c>
      <c r="J2277">
        <f>IF(I2277="","",IF(B2277=Dashboard!$AA$1,I2277,""))</f>
        <v/>
      </c>
    </row>
    <row r="2278">
      <c r="A2278" s="1" t="n"/>
      <c r="B2278" s="26" t="n"/>
      <c r="C2278" s="27" t="n"/>
      <c r="D2278" s="28" t="n"/>
      <c r="E2278" s="29" t="n"/>
      <c r="F2278" s="29" t="n"/>
      <c r="G2278" s="28" t="n"/>
      <c r="H2278" s="1" t="n"/>
      <c r="I2278">
        <f>IF(OR(B2278="",C2278=""),"",B2278+MOD(C2278,1))</f>
        <v/>
      </c>
      <c r="J2278">
        <f>IF(I2278="","",IF(B2278=Dashboard!$AA$1,I2278,""))</f>
        <v/>
      </c>
    </row>
    <row r="2279">
      <c r="A2279" s="1" t="n"/>
      <c r="B2279" s="26" t="n"/>
      <c r="C2279" s="27" t="n"/>
      <c r="D2279" s="28" t="n"/>
      <c r="E2279" s="29" t="n"/>
      <c r="F2279" s="29" t="n"/>
      <c r="G2279" s="28" t="n"/>
      <c r="H2279" s="1" t="n"/>
      <c r="I2279">
        <f>IF(OR(B2279="",C2279=""),"",B2279+MOD(C2279,1))</f>
        <v/>
      </c>
      <c r="J2279">
        <f>IF(I2279="","",IF(B2279=Dashboard!$AA$1,I2279,""))</f>
        <v/>
      </c>
    </row>
    <row r="2280">
      <c r="A2280" s="1" t="n"/>
      <c r="B2280" s="26" t="n"/>
      <c r="C2280" s="27" t="n"/>
      <c r="D2280" s="28" t="n"/>
      <c r="E2280" s="29" t="n"/>
      <c r="F2280" s="29" t="n"/>
      <c r="G2280" s="28" t="n"/>
      <c r="H2280" s="1" t="n"/>
      <c r="I2280">
        <f>IF(OR(B2280="",C2280=""),"",B2280+MOD(C2280,1))</f>
        <v/>
      </c>
      <c r="J2280">
        <f>IF(I2280="","",IF(B2280=Dashboard!$AA$1,I2280,""))</f>
        <v/>
      </c>
    </row>
    <row r="2281">
      <c r="A2281" s="1" t="n"/>
      <c r="B2281" s="26" t="n"/>
      <c r="C2281" s="27" t="n"/>
      <c r="D2281" s="28" t="n"/>
      <c r="E2281" s="29" t="n"/>
      <c r="F2281" s="29" t="n"/>
      <c r="G2281" s="28" t="n"/>
      <c r="H2281" s="1" t="n"/>
      <c r="I2281">
        <f>IF(OR(B2281="",C2281=""),"",B2281+MOD(C2281,1))</f>
        <v/>
      </c>
      <c r="J2281">
        <f>IF(I2281="","",IF(B2281=Dashboard!$AA$1,I2281,""))</f>
        <v/>
      </c>
    </row>
    <row r="2282">
      <c r="A2282" s="1" t="n"/>
      <c r="B2282" s="26" t="n"/>
      <c r="C2282" s="27" t="n"/>
      <c r="D2282" s="28" t="n"/>
      <c r="E2282" s="29" t="n"/>
      <c r="F2282" s="29" t="n"/>
      <c r="G2282" s="28" t="n"/>
      <c r="H2282" s="1" t="n"/>
      <c r="I2282">
        <f>IF(OR(B2282="",C2282=""),"",B2282+MOD(C2282,1))</f>
        <v/>
      </c>
      <c r="J2282">
        <f>IF(I2282="","",IF(B2282=Dashboard!$AA$1,I2282,""))</f>
        <v/>
      </c>
    </row>
    <row r="2283">
      <c r="A2283" s="1" t="n"/>
      <c r="B2283" s="26" t="n"/>
      <c r="C2283" s="27" t="n"/>
      <c r="D2283" s="28" t="n"/>
      <c r="E2283" s="29" t="n"/>
      <c r="F2283" s="29" t="n"/>
      <c r="G2283" s="28" t="n"/>
      <c r="H2283" s="1" t="n"/>
      <c r="I2283">
        <f>IF(OR(B2283="",C2283=""),"",B2283+MOD(C2283,1))</f>
        <v/>
      </c>
      <c r="J2283">
        <f>IF(I2283="","",IF(B2283=Dashboard!$AA$1,I2283,""))</f>
        <v/>
      </c>
    </row>
    <row r="2284">
      <c r="A2284" s="1" t="n"/>
      <c r="B2284" s="26" t="n"/>
      <c r="C2284" s="27" t="n"/>
      <c r="D2284" s="28" t="n"/>
      <c r="E2284" s="29" t="n"/>
      <c r="F2284" s="29" t="n"/>
      <c r="G2284" s="28" t="n"/>
      <c r="H2284" s="1" t="n"/>
      <c r="I2284">
        <f>IF(OR(B2284="",C2284=""),"",B2284+MOD(C2284,1))</f>
        <v/>
      </c>
      <c r="J2284">
        <f>IF(I2284="","",IF(B2284=Dashboard!$AA$1,I2284,""))</f>
        <v/>
      </c>
    </row>
    <row r="2285">
      <c r="A2285" s="1" t="n"/>
      <c r="B2285" s="26" t="n"/>
      <c r="C2285" s="27" t="n"/>
      <c r="D2285" s="28" t="n"/>
      <c r="E2285" s="29" t="n"/>
      <c r="F2285" s="29" t="n"/>
      <c r="G2285" s="28" t="n"/>
      <c r="H2285" s="1" t="n"/>
      <c r="I2285">
        <f>IF(OR(B2285="",C2285=""),"",B2285+MOD(C2285,1))</f>
        <v/>
      </c>
      <c r="J2285">
        <f>IF(I2285="","",IF(B2285=Dashboard!$AA$1,I2285,""))</f>
        <v/>
      </c>
    </row>
    <row r="2286">
      <c r="A2286" s="1" t="n"/>
      <c r="B2286" s="26" t="n"/>
      <c r="C2286" s="27" t="n"/>
      <c r="D2286" s="28" t="n"/>
      <c r="E2286" s="29" t="n"/>
      <c r="F2286" s="29" t="n"/>
      <c r="G2286" s="28" t="n"/>
      <c r="H2286" s="1" t="n"/>
      <c r="I2286">
        <f>IF(OR(B2286="",C2286=""),"",B2286+MOD(C2286,1))</f>
        <v/>
      </c>
      <c r="J2286">
        <f>IF(I2286="","",IF(B2286=Dashboard!$AA$1,I2286,""))</f>
        <v/>
      </c>
    </row>
    <row r="2287">
      <c r="A2287" s="1" t="n"/>
      <c r="B2287" s="26" t="n"/>
      <c r="C2287" s="27" t="n"/>
      <c r="D2287" s="28" t="n"/>
      <c r="E2287" s="29" t="n"/>
      <c r="F2287" s="29" t="n"/>
      <c r="G2287" s="28" t="n"/>
      <c r="H2287" s="1" t="n"/>
      <c r="I2287">
        <f>IF(OR(B2287="",C2287=""),"",B2287+MOD(C2287,1))</f>
        <v/>
      </c>
      <c r="J2287">
        <f>IF(I2287="","",IF(B2287=Dashboard!$AA$1,I2287,""))</f>
        <v/>
      </c>
    </row>
    <row r="2288">
      <c r="A2288" s="1" t="n"/>
      <c r="B2288" s="26" t="n"/>
      <c r="C2288" s="27" t="n"/>
      <c r="D2288" s="28" t="n"/>
      <c r="E2288" s="29" t="n"/>
      <c r="F2288" s="29" t="n"/>
      <c r="G2288" s="28" t="n"/>
      <c r="H2288" s="1" t="n"/>
      <c r="I2288">
        <f>IF(OR(B2288="",C2288=""),"",B2288+MOD(C2288,1))</f>
        <v/>
      </c>
      <c r="J2288">
        <f>IF(I2288="","",IF(B2288=Dashboard!$AA$1,I2288,""))</f>
        <v/>
      </c>
    </row>
    <row r="2289">
      <c r="A2289" s="1" t="n"/>
      <c r="B2289" s="26" t="n"/>
      <c r="C2289" s="27" t="n"/>
      <c r="D2289" s="28" t="n"/>
      <c r="E2289" s="29" t="n"/>
      <c r="F2289" s="29" t="n"/>
      <c r="G2289" s="28" t="n"/>
      <c r="H2289" s="1" t="n"/>
      <c r="I2289">
        <f>IF(OR(B2289="",C2289=""),"",B2289+MOD(C2289,1))</f>
        <v/>
      </c>
      <c r="J2289">
        <f>IF(I2289="","",IF(B2289=Dashboard!$AA$1,I2289,""))</f>
        <v/>
      </c>
    </row>
    <row r="2290">
      <c r="A2290" s="1" t="n"/>
      <c r="B2290" s="26" t="n"/>
      <c r="C2290" s="27" t="n"/>
      <c r="D2290" s="28" t="n"/>
      <c r="E2290" s="29" t="n"/>
      <c r="F2290" s="29" t="n"/>
      <c r="G2290" s="28" t="n"/>
      <c r="H2290" s="1" t="n"/>
      <c r="I2290">
        <f>IF(OR(B2290="",C2290=""),"",B2290+MOD(C2290,1))</f>
        <v/>
      </c>
      <c r="J2290">
        <f>IF(I2290="","",IF(B2290=Dashboard!$AA$1,I2290,""))</f>
        <v/>
      </c>
    </row>
    <row r="2291">
      <c r="A2291" s="1" t="n"/>
      <c r="B2291" s="26" t="n"/>
      <c r="C2291" s="27" t="n"/>
      <c r="D2291" s="28" t="n"/>
      <c r="E2291" s="29" t="n"/>
      <c r="F2291" s="29" t="n"/>
      <c r="G2291" s="28" t="n"/>
      <c r="H2291" s="1" t="n"/>
      <c r="I2291">
        <f>IF(OR(B2291="",C2291=""),"",B2291+MOD(C2291,1))</f>
        <v/>
      </c>
      <c r="J2291">
        <f>IF(I2291="","",IF(B2291=Dashboard!$AA$1,I2291,""))</f>
        <v/>
      </c>
    </row>
    <row r="2292">
      <c r="A2292" s="1" t="n"/>
      <c r="B2292" s="26" t="n"/>
      <c r="C2292" s="27" t="n"/>
      <c r="D2292" s="28" t="n"/>
      <c r="E2292" s="29" t="n"/>
      <c r="F2292" s="29" t="n"/>
      <c r="G2292" s="28" t="n"/>
      <c r="H2292" s="1" t="n"/>
      <c r="I2292">
        <f>IF(OR(B2292="",C2292=""),"",B2292+MOD(C2292,1))</f>
        <v/>
      </c>
      <c r="J2292">
        <f>IF(I2292="","",IF(B2292=Dashboard!$AA$1,I2292,""))</f>
        <v/>
      </c>
    </row>
    <row r="2293">
      <c r="A2293" s="1" t="n"/>
      <c r="B2293" s="26" t="n"/>
      <c r="C2293" s="27" t="n"/>
      <c r="D2293" s="28" t="n"/>
      <c r="E2293" s="29" t="n"/>
      <c r="F2293" s="29" t="n"/>
      <c r="G2293" s="28" t="n"/>
      <c r="H2293" s="1" t="n"/>
      <c r="I2293">
        <f>IF(OR(B2293="",C2293=""),"",B2293+MOD(C2293,1))</f>
        <v/>
      </c>
      <c r="J2293">
        <f>IF(I2293="","",IF(B2293=Dashboard!$AA$1,I2293,""))</f>
        <v/>
      </c>
    </row>
    <row r="2294">
      <c r="A2294" s="1" t="n"/>
      <c r="B2294" s="26" t="n"/>
      <c r="C2294" s="27" t="n"/>
      <c r="D2294" s="28" t="n"/>
      <c r="E2294" s="29" t="n"/>
      <c r="F2294" s="29" t="n"/>
      <c r="G2294" s="28" t="n"/>
      <c r="H2294" s="1" t="n"/>
      <c r="I2294">
        <f>IF(OR(B2294="",C2294=""),"",B2294+MOD(C2294,1))</f>
        <v/>
      </c>
      <c r="J2294">
        <f>IF(I2294="","",IF(B2294=Dashboard!$AA$1,I2294,""))</f>
        <v/>
      </c>
    </row>
    <row r="2295">
      <c r="A2295" s="1" t="n"/>
      <c r="B2295" s="26" t="n"/>
      <c r="C2295" s="27" t="n"/>
      <c r="D2295" s="28" t="n"/>
      <c r="E2295" s="29" t="n"/>
      <c r="F2295" s="29" t="n"/>
      <c r="G2295" s="28" t="n"/>
      <c r="H2295" s="1" t="n"/>
      <c r="I2295">
        <f>IF(OR(B2295="",C2295=""),"",B2295+MOD(C2295,1))</f>
        <v/>
      </c>
      <c r="J2295">
        <f>IF(I2295="","",IF(B2295=Dashboard!$AA$1,I2295,""))</f>
        <v/>
      </c>
    </row>
    <row r="2296">
      <c r="A2296" s="1" t="n"/>
      <c r="B2296" s="26" t="n"/>
      <c r="C2296" s="27" t="n"/>
      <c r="D2296" s="28" t="n"/>
      <c r="E2296" s="29" t="n"/>
      <c r="F2296" s="29" t="n"/>
      <c r="G2296" s="28" t="n"/>
      <c r="H2296" s="1" t="n"/>
      <c r="I2296">
        <f>IF(OR(B2296="",C2296=""),"",B2296+MOD(C2296,1))</f>
        <v/>
      </c>
      <c r="J2296">
        <f>IF(I2296="","",IF(B2296=Dashboard!$AA$1,I2296,""))</f>
        <v/>
      </c>
    </row>
    <row r="2297">
      <c r="A2297" s="1" t="n"/>
      <c r="B2297" s="26" t="n"/>
      <c r="C2297" s="27" t="n"/>
      <c r="D2297" s="28" t="n"/>
      <c r="E2297" s="29" t="n"/>
      <c r="F2297" s="29" t="n"/>
      <c r="G2297" s="28" t="n"/>
      <c r="H2297" s="1" t="n"/>
      <c r="I2297">
        <f>IF(OR(B2297="",C2297=""),"",B2297+MOD(C2297,1))</f>
        <v/>
      </c>
      <c r="J2297">
        <f>IF(I2297="","",IF(B2297=Dashboard!$AA$1,I2297,""))</f>
        <v/>
      </c>
    </row>
    <row r="2298">
      <c r="A2298" s="1" t="n"/>
      <c r="B2298" s="26" t="n"/>
      <c r="C2298" s="27" t="n"/>
      <c r="D2298" s="28" t="n"/>
      <c r="E2298" s="29" t="n"/>
      <c r="F2298" s="29" t="n"/>
      <c r="G2298" s="28" t="n"/>
      <c r="H2298" s="1" t="n"/>
      <c r="I2298">
        <f>IF(OR(B2298="",C2298=""),"",B2298+MOD(C2298,1))</f>
        <v/>
      </c>
      <c r="J2298">
        <f>IF(I2298="","",IF(B2298=Dashboard!$AA$1,I2298,""))</f>
        <v/>
      </c>
    </row>
    <row r="2299">
      <c r="A2299" s="1" t="n"/>
      <c r="B2299" s="26" t="n"/>
      <c r="C2299" s="27" t="n"/>
      <c r="D2299" s="28" t="n"/>
      <c r="E2299" s="29" t="n"/>
      <c r="F2299" s="29" t="n"/>
      <c r="G2299" s="28" t="n"/>
      <c r="H2299" s="1" t="n"/>
      <c r="I2299">
        <f>IF(OR(B2299="",C2299=""),"",B2299+MOD(C2299,1))</f>
        <v/>
      </c>
      <c r="J2299">
        <f>IF(I2299="","",IF(B2299=Dashboard!$AA$1,I2299,""))</f>
        <v/>
      </c>
    </row>
    <row r="2300">
      <c r="A2300" s="1" t="n"/>
      <c r="B2300" s="26" t="n"/>
      <c r="C2300" s="27" t="n"/>
      <c r="D2300" s="28" t="n"/>
      <c r="E2300" s="29" t="n"/>
      <c r="F2300" s="29" t="n"/>
      <c r="G2300" s="28" t="n"/>
      <c r="H2300" s="1" t="n"/>
      <c r="I2300">
        <f>IF(OR(B2300="",C2300=""),"",B2300+MOD(C2300,1))</f>
        <v/>
      </c>
      <c r="J2300">
        <f>IF(I2300="","",IF(B2300=Dashboard!$AA$1,I2300,""))</f>
        <v/>
      </c>
    </row>
    <row r="2301">
      <c r="A2301" s="1" t="n"/>
      <c r="B2301" s="26" t="n"/>
      <c r="C2301" s="27" t="n"/>
      <c r="D2301" s="28" t="n"/>
      <c r="E2301" s="29" t="n"/>
      <c r="F2301" s="29" t="n"/>
      <c r="G2301" s="28" t="n"/>
      <c r="H2301" s="1" t="n"/>
      <c r="I2301">
        <f>IF(OR(B2301="",C2301=""),"",B2301+MOD(C2301,1))</f>
        <v/>
      </c>
      <c r="J2301">
        <f>IF(I2301="","",IF(B2301=Dashboard!$AA$1,I2301,""))</f>
        <v/>
      </c>
    </row>
    <row r="2302">
      <c r="A2302" s="1" t="n"/>
      <c r="B2302" s="26" t="n"/>
      <c r="C2302" s="27" t="n"/>
      <c r="D2302" s="28" t="n"/>
      <c r="E2302" s="29" t="n"/>
      <c r="F2302" s="29" t="n"/>
      <c r="G2302" s="28" t="n"/>
      <c r="H2302" s="1" t="n"/>
      <c r="I2302">
        <f>IF(OR(B2302="",C2302=""),"",B2302+MOD(C2302,1))</f>
        <v/>
      </c>
      <c r="J2302">
        <f>IF(I2302="","",IF(B2302=Dashboard!$AA$1,I2302,""))</f>
        <v/>
      </c>
    </row>
    <row r="2303">
      <c r="A2303" s="1" t="n"/>
      <c r="B2303" s="26" t="n"/>
      <c r="C2303" s="27" t="n"/>
      <c r="D2303" s="28" t="n"/>
      <c r="E2303" s="29" t="n"/>
      <c r="F2303" s="29" t="n"/>
      <c r="G2303" s="28" t="n"/>
      <c r="H2303" s="1" t="n"/>
      <c r="I2303">
        <f>IF(OR(B2303="",C2303=""),"",B2303+MOD(C2303,1))</f>
        <v/>
      </c>
      <c r="J2303">
        <f>IF(I2303="","",IF(B2303=Dashboard!$AA$1,I2303,""))</f>
        <v/>
      </c>
    </row>
    <row r="2304">
      <c r="A2304" s="1" t="n"/>
      <c r="B2304" s="26" t="n"/>
      <c r="C2304" s="27" t="n"/>
      <c r="D2304" s="28" t="n"/>
      <c r="E2304" s="29" t="n"/>
      <c r="F2304" s="29" t="n"/>
      <c r="G2304" s="28" t="n"/>
      <c r="H2304" s="1" t="n"/>
      <c r="I2304">
        <f>IF(OR(B2304="",C2304=""),"",B2304+MOD(C2304,1))</f>
        <v/>
      </c>
      <c r="J2304">
        <f>IF(I2304="","",IF(B2304=Dashboard!$AA$1,I2304,""))</f>
        <v/>
      </c>
    </row>
    <row r="2305">
      <c r="A2305" s="1" t="n"/>
      <c r="B2305" s="26" t="n"/>
      <c r="C2305" s="27" t="n"/>
      <c r="D2305" s="28" t="n"/>
      <c r="E2305" s="29" t="n"/>
      <c r="F2305" s="29" t="n"/>
      <c r="G2305" s="28" t="n"/>
      <c r="H2305" s="1" t="n"/>
      <c r="I2305">
        <f>IF(OR(B2305="",C2305=""),"",B2305+MOD(C2305,1))</f>
        <v/>
      </c>
      <c r="J2305">
        <f>IF(I2305="","",IF(B2305=Dashboard!$AA$1,I2305,""))</f>
        <v/>
      </c>
    </row>
    <row r="2306">
      <c r="A2306" s="1" t="n"/>
      <c r="B2306" s="26" t="n"/>
      <c r="C2306" s="27" t="n"/>
      <c r="D2306" s="28" t="n"/>
      <c r="E2306" s="29" t="n"/>
      <c r="F2306" s="29" t="n"/>
      <c r="G2306" s="28" t="n"/>
      <c r="H2306" s="1" t="n"/>
      <c r="I2306">
        <f>IF(OR(B2306="",C2306=""),"",B2306+MOD(C2306,1))</f>
        <v/>
      </c>
      <c r="J2306">
        <f>IF(I2306="","",IF(B2306=Dashboard!$AA$1,I2306,""))</f>
        <v/>
      </c>
    </row>
    <row r="2307">
      <c r="A2307" s="1" t="n"/>
      <c r="B2307" s="26" t="n"/>
      <c r="C2307" s="27" t="n"/>
      <c r="D2307" s="28" t="n"/>
      <c r="E2307" s="29" t="n"/>
      <c r="F2307" s="29" t="n"/>
      <c r="G2307" s="28" t="n"/>
      <c r="H2307" s="1" t="n"/>
      <c r="I2307">
        <f>IF(OR(B2307="",C2307=""),"",B2307+MOD(C2307,1))</f>
        <v/>
      </c>
      <c r="J2307">
        <f>IF(I2307="","",IF(B2307=Dashboard!$AA$1,I2307,""))</f>
        <v/>
      </c>
    </row>
    <row r="2308">
      <c r="A2308" s="1" t="n"/>
      <c r="B2308" s="26" t="n"/>
      <c r="C2308" s="27" t="n"/>
      <c r="D2308" s="28" t="n"/>
      <c r="E2308" s="29" t="n"/>
      <c r="F2308" s="29" t="n"/>
      <c r="G2308" s="28" t="n"/>
      <c r="H2308" s="1" t="n"/>
      <c r="I2308">
        <f>IF(OR(B2308="",C2308=""),"",B2308+MOD(C2308,1))</f>
        <v/>
      </c>
      <c r="J2308">
        <f>IF(I2308="","",IF(B2308=Dashboard!$AA$1,I2308,""))</f>
        <v/>
      </c>
    </row>
    <row r="2309">
      <c r="A2309" s="1" t="n"/>
      <c r="B2309" s="26" t="n"/>
      <c r="C2309" s="27" t="n"/>
      <c r="D2309" s="28" t="n"/>
      <c r="E2309" s="29" t="n"/>
      <c r="F2309" s="29" t="n"/>
      <c r="G2309" s="28" t="n"/>
      <c r="H2309" s="1" t="n"/>
      <c r="I2309">
        <f>IF(OR(B2309="",C2309=""),"",B2309+MOD(C2309,1))</f>
        <v/>
      </c>
      <c r="J2309">
        <f>IF(I2309="","",IF(B2309=Dashboard!$AA$1,I2309,""))</f>
        <v/>
      </c>
    </row>
    <row r="2310">
      <c r="A2310" s="1" t="n"/>
      <c r="B2310" s="26" t="n"/>
      <c r="C2310" s="27" t="n"/>
      <c r="D2310" s="28" t="n"/>
      <c r="E2310" s="29" t="n"/>
      <c r="F2310" s="29" t="n"/>
      <c r="G2310" s="28" t="n"/>
      <c r="H2310" s="1" t="n"/>
      <c r="I2310">
        <f>IF(OR(B2310="",C2310=""),"",B2310+MOD(C2310,1))</f>
        <v/>
      </c>
      <c r="J2310">
        <f>IF(I2310="","",IF(B2310=Dashboard!$AA$1,I2310,""))</f>
        <v/>
      </c>
    </row>
    <row r="2311">
      <c r="A2311" s="1" t="n"/>
      <c r="B2311" s="26" t="n"/>
      <c r="C2311" s="27" t="n"/>
      <c r="D2311" s="28" t="n"/>
      <c r="E2311" s="29" t="n"/>
      <c r="F2311" s="29" t="n"/>
      <c r="G2311" s="28" t="n"/>
      <c r="H2311" s="1" t="n"/>
      <c r="I2311">
        <f>IF(OR(B2311="",C2311=""),"",B2311+MOD(C2311,1))</f>
        <v/>
      </c>
      <c r="J2311">
        <f>IF(I2311="","",IF(B2311=Dashboard!$AA$1,I2311,""))</f>
        <v/>
      </c>
    </row>
    <row r="2312">
      <c r="A2312" s="1" t="n"/>
      <c r="B2312" s="26" t="n"/>
      <c r="C2312" s="27" t="n"/>
      <c r="D2312" s="28" t="n"/>
      <c r="E2312" s="29" t="n"/>
      <c r="F2312" s="29" t="n"/>
      <c r="G2312" s="28" t="n"/>
      <c r="H2312" s="1" t="n"/>
      <c r="I2312">
        <f>IF(OR(B2312="",C2312=""),"",B2312+MOD(C2312,1))</f>
        <v/>
      </c>
      <c r="J2312">
        <f>IF(I2312="","",IF(B2312=Dashboard!$AA$1,I2312,""))</f>
        <v/>
      </c>
    </row>
    <row r="2313">
      <c r="A2313" s="1" t="n"/>
      <c r="B2313" s="26" t="n"/>
      <c r="C2313" s="27" t="n"/>
      <c r="D2313" s="28" t="n"/>
      <c r="E2313" s="29" t="n"/>
      <c r="F2313" s="29" t="n"/>
      <c r="G2313" s="28" t="n"/>
      <c r="H2313" s="1" t="n"/>
      <c r="I2313">
        <f>IF(OR(B2313="",C2313=""),"",B2313+MOD(C2313,1))</f>
        <v/>
      </c>
      <c r="J2313">
        <f>IF(I2313="","",IF(B2313=Dashboard!$AA$1,I2313,""))</f>
        <v/>
      </c>
    </row>
    <row r="2314">
      <c r="A2314" s="1" t="n"/>
      <c r="B2314" s="26" t="n"/>
      <c r="C2314" s="27" t="n"/>
      <c r="D2314" s="28" t="n"/>
      <c r="E2314" s="29" t="n"/>
      <c r="F2314" s="29" t="n"/>
      <c r="G2314" s="28" t="n"/>
      <c r="H2314" s="1" t="n"/>
      <c r="I2314">
        <f>IF(OR(B2314="",C2314=""),"",B2314+MOD(C2314,1))</f>
        <v/>
      </c>
      <c r="J2314">
        <f>IF(I2314="","",IF(B2314=Dashboard!$AA$1,I2314,""))</f>
        <v/>
      </c>
    </row>
    <row r="2315">
      <c r="A2315" s="1" t="n"/>
      <c r="B2315" s="26" t="n"/>
      <c r="C2315" s="27" t="n"/>
      <c r="D2315" s="28" t="n"/>
      <c r="E2315" s="29" t="n"/>
      <c r="F2315" s="29" t="n"/>
      <c r="G2315" s="28" t="n"/>
      <c r="H2315" s="1" t="n"/>
      <c r="I2315">
        <f>IF(OR(B2315="",C2315=""),"",B2315+MOD(C2315,1))</f>
        <v/>
      </c>
      <c r="J2315">
        <f>IF(I2315="","",IF(B2315=Dashboard!$AA$1,I2315,""))</f>
        <v/>
      </c>
    </row>
    <row r="2316">
      <c r="A2316" s="1" t="n"/>
      <c r="B2316" s="26" t="n"/>
      <c r="C2316" s="27" t="n"/>
      <c r="D2316" s="28" t="n"/>
      <c r="E2316" s="29" t="n"/>
      <c r="F2316" s="29" t="n"/>
      <c r="G2316" s="28" t="n"/>
      <c r="H2316" s="1" t="n"/>
      <c r="I2316">
        <f>IF(OR(B2316="",C2316=""),"",B2316+MOD(C2316,1))</f>
        <v/>
      </c>
      <c r="J2316">
        <f>IF(I2316="","",IF(B2316=Dashboard!$AA$1,I2316,""))</f>
        <v/>
      </c>
    </row>
    <row r="2317">
      <c r="A2317" s="1" t="n"/>
      <c r="B2317" s="26" t="n"/>
      <c r="C2317" s="27" t="n"/>
      <c r="D2317" s="28" t="n"/>
      <c r="E2317" s="29" t="n"/>
      <c r="F2317" s="29" t="n"/>
      <c r="G2317" s="28" t="n"/>
      <c r="H2317" s="1" t="n"/>
      <c r="I2317">
        <f>IF(OR(B2317="",C2317=""),"",B2317+MOD(C2317,1))</f>
        <v/>
      </c>
      <c r="J2317">
        <f>IF(I2317="","",IF(B2317=Dashboard!$AA$1,I2317,""))</f>
        <v/>
      </c>
    </row>
    <row r="2318">
      <c r="A2318" s="1" t="n"/>
      <c r="B2318" s="26" t="n"/>
      <c r="C2318" s="27" t="n"/>
      <c r="D2318" s="28" t="n"/>
      <c r="E2318" s="29" t="n"/>
      <c r="F2318" s="29" t="n"/>
      <c r="G2318" s="28" t="n"/>
      <c r="H2318" s="1" t="n"/>
      <c r="I2318">
        <f>IF(OR(B2318="",C2318=""),"",B2318+MOD(C2318,1))</f>
        <v/>
      </c>
      <c r="J2318">
        <f>IF(I2318="","",IF(B2318=Dashboard!$AA$1,I2318,""))</f>
        <v/>
      </c>
    </row>
    <row r="2319">
      <c r="A2319" s="1" t="n"/>
      <c r="B2319" s="26" t="n"/>
      <c r="C2319" s="27" t="n"/>
      <c r="D2319" s="28" t="n"/>
      <c r="E2319" s="29" t="n"/>
      <c r="F2319" s="29" t="n"/>
      <c r="G2319" s="28" t="n"/>
      <c r="H2319" s="1" t="n"/>
      <c r="I2319">
        <f>IF(OR(B2319="",C2319=""),"",B2319+MOD(C2319,1))</f>
        <v/>
      </c>
      <c r="J2319">
        <f>IF(I2319="","",IF(B2319=Dashboard!$AA$1,I2319,""))</f>
        <v/>
      </c>
    </row>
    <row r="2320">
      <c r="A2320" s="1" t="n"/>
      <c r="B2320" s="26" t="n"/>
      <c r="C2320" s="27" t="n"/>
      <c r="D2320" s="28" t="n"/>
      <c r="E2320" s="29" t="n"/>
      <c r="F2320" s="29" t="n"/>
      <c r="G2320" s="28" t="n"/>
      <c r="H2320" s="1" t="n"/>
      <c r="I2320">
        <f>IF(OR(B2320="",C2320=""),"",B2320+MOD(C2320,1))</f>
        <v/>
      </c>
      <c r="J2320">
        <f>IF(I2320="","",IF(B2320=Dashboard!$AA$1,I2320,""))</f>
        <v/>
      </c>
    </row>
    <row r="2321">
      <c r="A2321" s="1" t="n"/>
      <c r="B2321" s="26" t="n"/>
      <c r="C2321" s="27" t="n"/>
      <c r="D2321" s="28" t="n"/>
      <c r="E2321" s="29" t="n"/>
      <c r="F2321" s="29" t="n"/>
      <c r="G2321" s="28" t="n"/>
      <c r="H2321" s="1" t="n"/>
      <c r="I2321">
        <f>IF(OR(B2321="",C2321=""),"",B2321+MOD(C2321,1))</f>
        <v/>
      </c>
      <c r="J2321">
        <f>IF(I2321="","",IF(B2321=Dashboard!$AA$1,I2321,""))</f>
        <v/>
      </c>
    </row>
    <row r="2322">
      <c r="A2322" s="1" t="n"/>
      <c r="B2322" s="26" t="n"/>
      <c r="C2322" s="27" t="n"/>
      <c r="D2322" s="28" t="n"/>
      <c r="E2322" s="29" t="n"/>
      <c r="F2322" s="29" t="n"/>
      <c r="G2322" s="28" t="n"/>
      <c r="H2322" s="1" t="n"/>
      <c r="I2322">
        <f>IF(OR(B2322="",C2322=""),"",B2322+MOD(C2322,1))</f>
        <v/>
      </c>
      <c r="J2322">
        <f>IF(I2322="","",IF(B2322=Dashboard!$AA$1,I2322,""))</f>
        <v/>
      </c>
    </row>
    <row r="2323">
      <c r="A2323" s="1" t="n"/>
      <c r="B2323" s="26" t="n"/>
      <c r="C2323" s="27" t="n"/>
      <c r="D2323" s="28" t="n"/>
      <c r="E2323" s="29" t="n"/>
      <c r="F2323" s="29" t="n"/>
      <c r="G2323" s="28" t="n"/>
      <c r="H2323" s="1" t="n"/>
      <c r="I2323">
        <f>IF(OR(B2323="",C2323=""),"",B2323+MOD(C2323,1))</f>
        <v/>
      </c>
      <c r="J2323">
        <f>IF(I2323="","",IF(B2323=Dashboard!$AA$1,I2323,""))</f>
        <v/>
      </c>
    </row>
    <row r="2324">
      <c r="A2324" s="1" t="n"/>
      <c r="B2324" s="26" t="n"/>
      <c r="C2324" s="27" t="n"/>
      <c r="D2324" s="28" t="n"/>
      <c r="E2324" s="29" t="n"/>
      <c r="F2324" s="29" t="n"/>
      <c r="G2324" s="28" t="n"/>
      <c r="H2324" s="1" t="n"/>
      <c r="I2324">
        <f>IF(OR(B2324="",C2324=""),"",B2324+MOD(C2324,1))</f>
        <v/>
      </c>
      <c r="J2324">
        <f>IF(I2324="","",IF(B2324=Dashboard!$AA$1,I2324,""))</f>
        <v/>
      </c>
    </row>
    <row r="2325">
      <c r="A2325" s="1" t="n"/>
      <c r="B2325" s="26" t="n"/>
      <c r="C2325" s="27" t="n"/>
      <c r="D2325" s="28" t="n"/>
      <c r="E2325" s="29" t="n"/>
      <c r="F2325" s="29" t="n"/>
      <c r="G2325" s="28" t="n"/>
      <c r="H2325" s="1" t="n"/>
      <c r="I2325">
        <f>IF(OR(B2325="",C2325=""),"",B2325+MOD(C2325,1))</f>
        <v/>
      </c>
      <c r="J2325">
        <f>IF(I2325="","",IF(B2325=Dashboard!$AA$1,I2325,""))</f>
        <v/>
      </c>
    </row>
    <row r="2326">
      <c r="A2326" s="1" t="n"/>
      <c r="B2326" s="26" t="n"/>
      <c r="C2326" s="27" t="n"/>
      <c r="D2326" s="28" t="n"/>
      <c r="E2326" s="29" t="n"/>
      <c r="F2326" s="29" t="n"/>
      <c r="G2326" s="28" t="n"/>
      <c r="H2326" s="1" t="n"/>
      <c r="I2326">
        <f>IF(OR(B2326="",C2326=""),"",B2326+MOD(C2326,1))</f>
        <v/>
      </c>
      <c r="J2326">
        <f>IF(I2326="","",IF(B2326=Dashboard!$AA$1,I2326,""))</f>
        <v/>
      </c>
    </row>
    <row r="2327">
      <c r="A2327" s="1" t="n"/>
      <c r="B2327" s="26" t="n"/>
      <c r="C2327" s="27" t="n"/>
      <c r="D2327" s="28" t="n"/>
      <c r="E2327" s="29" t="n"/>
      <c r="F2327" s="29" t="n"/>
      <c r="G2327" s="28" t="n"/>
      <c r="H2327" s="1" t="n"/>
      <c r="I2327">
        <f>IF(OR(B2327="",C2327=""),"",B2327+MOD(C2327,1))</f>
        <v/>
      </c>
      <c r="J2327">
        <f>IF(I2327="","",IF(B2327=Dashboard!$AA$1,I2327,""))</f>
        <v/>
      </c>
    </row>
    <row r="2328">
      <c r="A2328" s="1" t="n"/>
      <c r="B2328" s="26" t="n"/>
      <c r="C2328" s="27" t="n"/>
      <c r="D2328" s="28" t="n"/>
      <c r="E2328" s="29" t="n"/>
      <c r="F2328" s="29" t="n"/>
      <c r="G2328" s="28" t="n"/>
      <c r="H2328" s="1" t="n"/>
      <c r="I2328">
        <f>IF(OR(B2328="",C2328=""),"",B2328+MOD(C2328,1))</f>
        <v/>
      </c>
      <c r="J2328">
        <f>IF(I2328="","",IF(B2328=Dashboard!$AA$1,I2328,""))</f>
        <v/>
      </c>
    </row>
    <row r="2329">
      <c r="A2329" s="1" t="n"/>
      <c r="B2329" s="26" t="n"/>
      <c r="C2329" s="27" t="n"/>
      <c r="D2329" s="28" t="n"/>
      <c r="E2329" s="29" t="n"/>
      <c r="F2329" s="29" t="n"/>
      <c r="G2329" s="28" t="n"/>
      <c r="H2329" s="1" t="n"/>
      <c r="I2329">
        <f>IF(OR(B2329="",C2329=""),"",B2329+MOD(C2329,1))</f>
        <v/>
      </c>
      <c r="J2329">
        <f>IF(I2329="","",IF(B2329=Dashboard!$AA$1,I2329,""))</f>
        <v/>
      </c>
    </row>
    <row r="2330">
      <c r="A2330" s="1" t="n"/>
      <c r="B2330" s="26" t="n"/>
      <c r="C2330" s="27" t="n"/>
      <c r="D2330" s="28" t="n"/>
      <c r="E2330" s="29" t="n"/>
      <c r="F2330" s="29" t="n"/>
      <c r="G2330" s="28" t="n"/>
      <c r="H2330" s="1" t="n"/>
      <c r="I2330">
        <f>IF(OR(B2330="",C2330=""),"",B2330+MOD(C2330,1))</f>
        <v/>
      </c>
      <c r="J2330">
        <f>IF(I2330="","",IF(B2330=Dashboard!$AA$1,I2330,""))</f>
        <v/>
      </c>
    </row>
    <row r="2331">
      <c r="A2331" s="1" t="n"/>
      <c r="B2331" s="26" t="n"/>
      <c r="C2331" s="27" t="n"/>
      <c r="D2331" s="28" t="n"/>
      <c r="E2331" s="29" t="n"/>
      <c r="F2331" s="29" t="n"/>
      <c r="G2331" s="28" t="n"/>
      <c r="H2331" s="1" t="n"/>
      <c r="I2331">
        <f>IF(OR(B2331="",C2331=""),"",B2331+MOD(C2331,1))</f>
        <v/>
      </c>
      <c r="J2331">
        <f>IF(I2331="","",IF(B2331=Dashboard!$AA$1,I2331,""))</f>
        <v/>
      </c>
    </row>
    <row r="2332">
      <c r="A2332" s="1" t="n"/>
      <c r="B2332" s="26" t="n"/>
      <c r="C2332" s="27" t="n"/>
      <c r="D2332" s="28" t="n"/>
      <c r="E2332" s="29" t="n"/>
      <c r="F2332" s="29" t="n"/>
      <c r="G2332" s="28" t="n"/>
      <c r="H2332" s="1" t="n"/>
      <c r="I2332">
        <f>IF(OR(B2332="",C2332=""),"",B2332+MOD(C2332,1))</f>
        <v/>
      </c>
      <c r="J2332">
        <f>IF(I2332="","",IF(B2332=Dashboard!$AA$1,I2332,""))</f>
        <v/>
      </c>
    </row>
    <row r="2333">
      <c r="A2333" s="1" t="n"/>
      <c r="B2333" s="26" t="n"/>
      <c r="C2333" s="27" t="n"/>
      <c r="D2333" s="28" t="n"/>
      <c r="E2333" s="29" t="n"/>
      <c r="F2333" s="29" t="n"/>
      <c r="G2333" s="28" t="n"/>
      <c r="H2333" s="1" t="n"/>
      <c r="I2333">
        <f>IF(OR(B2333="",C2333=""),"",B2333+MOD(C2333,1))</f>
        <v/>
      </c>
      <c r="J2333">
        <f>IF(I2333="","",IF(B2333=Dashboard!$AA$1,I2333,""))</f>
        <v/>
      </c>
    </row>
    <row r="2334">
      <c r="A2334" s="1" t="n"/>
      <c r="B2334" s="26" t="n"/>
      <c r="C2334" s="27" t="n"/>
      <c r="D2334" s="28" t="n"/>
      <c r="E2334" s="29" t="n"/>
      <c r="F2334" s="29" t="n"/>
      <c r="G2334" s="28" t="n"/>
      <c r="H2334" s="1" t="n"/>
      <c r="I2334">
        <f>IF(OR(B2334="",C2334=""),"",B2334+MOD(C2334,1))</f>
        <v/>
      </c>
      <c r="J2334">
        <f>IF(I2334="","",IF(B2334=Dashboard!$AA$1,I2334,""))</f>
        <v/>
      </c>
    </row>
    <row r="2335">
      <c r="A2335" s="1" t="n"/>
      <c r="B2335" s="26" t="n"/>
      <c r="C2335" s="27" t="n"/>
      <c r="D2335" s="28" t="n"/>
      <c r="E2335" s="29" t="n"/>
      <c r="F2335" s="29" t="n"/>
      <c r="G2335" s="28" t="n"/>
      <c r="H2335" s="1" t="n"/>
      <c r="I2335">
        <f>IF(OR(B2335="",C2335=""),"",B2335+MOD(C2335,1))</f>
        <v/>
      </c>
      <c r="J2335">
        <f>IF(I2335="","",IF(B2335=Dashboard!$AA$1,I2335,""))</f>
        <v/>
      </c>
    </row>
    <row r="2336">
      <c r="A2336" s="1" t="n"/>
      <c r="B2336" s="26" t="n"/>
      <c r="C2336" s="27" t="n"/>
      <c r="D2336" s="28" t="n"/>
      <c r="E2336" s="29" t="n"/>
      <c r="F2336" s="29" t="n"/>
      <c r="G2336" s="28" t="n"/>
      <c r="H2336" s="1" t="n"/>
      <c r="I2336">
        <f>IF(OR(B2336="",C2336=""),"",B2336+MOD(C2336,1))</f>
        <v/>
      </c>
      <c r="J2336">
        <f>IF(I2336="","",IF(B2336=Dashboard!$AA$1,I2336,""))</f>
        <v/>
      </c>
    </row>
    <row r="2337">
      <c r="A2337" s="1" t="n"/>
      <c r="B2337" s="26" t="n"/>
      <c r="C2337" s="27" t="n"/>
      <c r="D2337" s="28" t="n"/>
      <c r="E2337" s="29" t="n"/>
      <c r="F2337" s="29" t="n"/>
      <c r="G2337" s="28" t="n"/>
      <c r="H2337" s="1" t="n"/>
      <c r="I2337">
        <f>IF(OR(B2337="",C2337=""),"",B2337+MOD(C2337,1))</f>
        <v/>
      </c>
      <c r="J2337">
        <f>IF(I2337="","",IF(B2337=Dashboard!$AA$1,I2337,""))</f>
        <v/>
      </c>
    </row>
    <row r="2338">
      <c r="A2338" s="1" t="n"/>
      <c r="B2338" s="26" t="n"/>
      <c r="C2338" s="27" t="n"/>
      <c r="D2338" s="28" t="n"/>
      <c r="E2338" s="29" t="n"/>
      <c r="F2338" s="29" t="n"/>
      <c r="G2338" s="28" t="n"/>
      <c r="H2338" s="1" t="n"/>
      <c r="I2338">
        <f>IF(OR(B2338="",C2338=""),"",B2338+MOD(C2338,1))</f>
        <v/>
      </c>
      <c r="J2338">
        <f>IF(I2338="","",IF(B2338=Dashboard!$AA$1,I2338,""))</f>
        <v/>
      </c>
    </row>
    <row r="2339">
      <c r="A2339" s="1" t="n"/>
      <c r="B2339" s="26" t="n"/>
      <c r="C2339" s="27" t="n"/>
      <c r="D2339" s="28" t="n"/>
      <c r="E2339" s="29" t="n"/>
      <c r="F2339" s="29" t="n"/>
      <c r="G2339" s="28" t="n"/>
      <c r="H2339" s="1" t="n"/>
      <c r="I2339">
        <f>IF(OR(B2339="",C2339=""),"",B2339+MOD(C2339,1))</f>
        <v/>
      </c>
      <c r="J2339">
        <f>IF(I2339="","",IF(B2339=Dashboard!$AA$1,I2339,""))</f>
        <v/>
      </c>
    </row>
    <row r="2340">
      <c r="A2340" s="1" t="n"/>
      <c r="B2340" s="26" t="n"/>
      <c r="C2340" s="27" t="n"/>
      <c r="D2340" s="28" t="n"/>
      <c r="E2340" s="29" t="n"/>
      <c r="F2340" s="29" t="n"/>
      <c r="G2340" s="28" t="n"/>
      <c r="H2340" s="1" t="n"/>
      <c r="I2340">
        <f>IF(OR(B2340="",C2340=""),"",B2340+MOD(C2340,1))</f>
        <v/>
      </c>
      <c r="J2340">
        <f>IF(I2340="","",IF(B2340=Dashboard!$AA$1,I2340,""))</f>
        <v/>
      </c>
    </row>
    <row r="2341">
      <c r="A2341" s="1" t="n"/>
      <c r="B2341" s="26" t="n"/>
      <c r="C2341" s="27" t="n"/>
      <c r="D2341" s="28" t="n"/>
      <c r="E2341" s="29" t="n"/>
      <c r="F2341" s="29" t="n"/>
      <c r="G2341" s="28" t="n"/>
      <c r="H2341" s="1" t="n"/>
      <c r="I2341">
        <f>IF(OR(B2341="",C2341=""),"",B2341+MOD(C2341,1))</f>
        <v/>
      </c>
      <c r="J2341">
        <f>IF(I2341="","",IF(B2341=Dashboard!$AA$1,I2341,""))</f>
        <v/>
      </c>
    </row>
    <row r="2342">
      <c r="A2342" s="1" t="n"/>
      <c r="B2342" s="26" t="n"/>
      <c r="C2342" s="27" t="n"/>
      <c r="D2342" s="28" t="n"/>
      <c r="E2342" s="29" t="n"/>
      <c r="F2342" s="29" t="n"/>
      <c r="G2342" s="28" t="n"/>
      <c r="H2342" s="1" t="n"/>
      <c r="I2342">
        <f>IF(OR(B2342="",C2342=""),"",B2342+MOD(C2342,1))</f>
        <v/>
      </c>
      <c r="J2342">
        <f>IF(I2342="","",IF(B2342=Dashboard!$AA$1,I2342,""))</f>
        <v/>
      </c>
    </row>
    <row r="2343">
      <c r="A2343" s="1" t="n"/>
      <c r="B2343" s="26" t="n"/>
      <c r="C2343" s="27" t="n"/>
      <c r="D2343" s="28" t="n"/>
      <c r="E2343" s="29" t="n"/>
      <c r="F2343" s="29" t="n"/>
      <c r="G2343" s="28" t="n"/>
      <c r="H2343" s="1" t="n"/>
      <c r="I2343">
        <f>IF(OR(B2343="",C2343=""),"",B2343+MOD(C2343,1))</f>
        <v/>
      </c>
      <c r="J2343">
        <f>IF(I2343="","",IF(B2343=Dashboard!$AA$1,I2343,""))</f>
        <v/>
      </c>
    </row>
    <row r="2344">
      <c r="A2344" s="1" t="n"/>
      <c r="B2344" s="26" t="n"/>
      <c r="C2344" s="27" t="n"/>
      <c r="D2344" s="28" t="n"/>
      <c r="E2344" s="29" t="n"/>
      <c r="F2344" s="29" t="n"/>
      <c r="G2344" s="28" t="n"/>
      <c r="H2344" s="1" t="n"/>
      <c r="I2344">
        <f>IF(OR(B2344="",C2344=""),"",B2344+MOD(C2344,1))</f>
        <v/>
      </c>
      <c r="J2344">
        <f>IF(I2344="","",IF(B2344=Dashboard!$AA$1,I2344,""))</f>
        <v/>
      </c>
    </row>
    <row r="2345">
      <c r="A2345" s="1" t="n"/>
      <c r="B2345" s="26" t="n"/>
      <c r="C2345" s="27" t="n"/>
      <c r="D2345" s="28" t="n"/>
      <c r="E2345" s="29" t="n"/>
      <c r="F2345" s="29" t="n"/>
      <c r="G2345" s="28" t="n"/>
      <c r="H2345" s="1" t="n"/>
      <c r="I2345">
        <f>IF(OR(B2345="",C2345=""),"",B2345+MOD(C2345,1))</f>
        <v/>
      </c>
      <c r="J2345">
        <f>IF(I2345="","",IF(B2345=Dashboard!$AA$1,I2345,""))</f>
        <v/>
      </c>
    </row>
    <row r="2346">
      <c r="A2346" s="1" t="n"/>
      <c r="B2346" s="26" t="n"/>
      <c r="C2346" s="27" t="n"/>
      <c r="D2346" s="28" t="n"/>
      <c r="E2346" s="29" t="n"/>
      <c r="F2346" s="29" t="n"/>
      <c r="G2346" s="28" t="n"/>
      <c r="H2346" s="1" t="n"/>
      <c r="I2346">
        <f>IF(OR(B2346="",C2346=""),"",B2346+MOD(C2346,1))</f>
        <v/>
      </c>
      <c r="J2346">
        <f>IF(I2346="","",IF(B2346=Dashboard!$AA$1,I2346,""))</f>
        <v/>
      </c>
    </row>
    <row r="2347">
      <c r="A2347" s="1" t="n"/>
      <c r="B2347" s="26" t="n"/>
      <c r="C2347" s="27" t="n"/>
      <c r="D2347" s="28" t="n"/>
      <c r="E2347" s="29" t="n"/>
      <c r="F2347" s="29" t="n"/>
      <c r="G2347" s="28" t="n"/>
      <c r="H2347" s="1" t="n"/>
      <c r="I2347">
        <f>IF(OR(B2347="",C2347=""),"",B2347+MOD(C2347,1))</f>
        <v/>
      </c>
      <c r="J2347">
        <f>IF(I2347="","",IF(B2347=Dashboard!$AA$1,I2347,""))</f>
        <v/>
      </c>
    </row>
    <row r="2348">
      <c r="A2348" s="1" t="n"/>
      <c r="B2348" s="26" t="n"/>
      <c r="C2348" s="27" t="n"/>
      <c r="D2348" s="28" t="n"/>
      <c r="E2348" s="29" t="n"/>
      <c r="F2348" s="29" t="n"/>
      <c r="G2348" s="28" t="n"/>
      <c r="H2348" s="1" t="n"/>
      <c r="I2348">
        <f>IF(OR(B2348="",C2348=""),"",B2348+MOD(C2348,1))</f>
        <v/>
      </c>
      <c r="J2348">
        <f>IF(I2348="","",IF(B2348=Dashboard!$AA$1,I2348,""))</f>
        <v/>
      </c>
    </row>
    <row r="2349">
      <c r="A2349" s="1" t="n"/>
      <c r="B2349" s="26" t="n"/>
      <c r="C2349" s="27" t="n"/>
      <c r="D2349" s="28" t="n"/>
      <c r="E2349" s="29" t="n"/>
      <c r="F2349" s="29" t="n"/>
      <c r="G2349" s="28" t="n"/>
      <c r="H2349" s="1" t="n"/>
      <c r="I2349">
        <f>IF(OR(B2349="",C2349=""),"",B2349+MOD(C2349,1))</f>
        <v/>
      </c>
      <c r="J2349">
        <f>IF(I2349="","",IF(B2349=Dashboard!$AA$1,I2349,""))</f>
        <v/>
      </c>
    </row>
    <row r="2350">
      <c r="A2350" s="1" t="n"/>
      <c r="B2350" s="26" t="n"/>
      <c r="C2350" s="27" t="n"/>
      <c r="D2350" s="28" t="n"/>
      <c r="E2350" s="29" t="n"/>
      <c r="F2350" s="29" t="n"/>
      <c r="G2350" s="28" t="n"/>
      <c r="H2350" s="1" t="n"/>
      <c r="I2350">
        <f>IF(OR(B2350="",C2350=""),"",B2350+MOD(C2350,1))</f>
        <v/>
      </c>
      <c r="J2350">
        <f>IF(I2350="","",IF(B2350=Dashboard!$AA$1,I2350,""))</f>
        <v/>
      </c>
    </row>
    <row r="2351">
      <c r="A2351" s="1" t="n"/>
      <c r="B2351" s="26" t="n"/>
      <c r="C2351" s="27" t="n"/>
      <c r="D2351" s="28" t="n"/>
      <c r="E2351" s="29" t="n"/>
      <c r="F2351" s="29" t="n"/>
      <c r="G2351" s="28" t="n"/>
      <c r="H2351" s="1" t="n"/>
      <c r="I2351">
        <f>IF(OR(B2351="",C2351=""),"",B2351+MOD(C2351,1))</f>
        <v/>
      </c>
      <c r="J2351">
        <f>IF(I2351="","",IF(B2351=Dashboard!$AA$1,I2351,""))</f>
        <v/>
      </c>
    </row>
    <row r="2352">
      <c r="A2352" s="1" t="n"/>
      <c r="B2352" s="26" t="n"/>
      <c r="C2352" s="27" t="n"/>
      <c r="D2352" s="28" t="n"/>
      <c r="E2352" s="29" t="n"/>
      <c r="F2352" s="29" t="n"/>
      <c r="G2352" s="28" t="n"/>
      <c r="H2352" s="1" t="n"/>
      <c r="I2352">
        <f>IF(OR(B2352="",C2352=""),"",B2352+MOD(C2352,1))</f>
        <v/>
      </c>
      <c r="J2352">
        <f>IF(I2352="","",IF(B2352=Dashboard!$AA$1,I2352,""))</f>
        <v/>
      </c>
    </row>
    <row r="2353">
      <c r="A2353" s="1" t="n"/>
      <c r="B2353" s="26" t="n"/>
      <c r="C2353" s="27" t="n"/>
      <c r="D2353" s="28" t="n"/>
      <c r="E2353" s="29" t="n"/>
      <c r="F2353" s="29" t="n"/>
      <c r="G2353" s="28" t="n"/>
      <c r="H2353" s="1" t="n"/>
      <c r="I2353">
        <f>IF(OR(B2353="",C2353=""),"",B2353+MOD(C2353,1))</f>
        <v/>
      </c>
      <c r="J2353">
        <f>IF(I2353="","",IF(B2353=Dashboard!$AA$1,I2353,""))</f>
        <v/>
      </c>
    </row>
    <row r="2354">
      <c r="A2354" s="1" t="n"/>
      <c r="B2354" s="26" t="n"/>
      <c r="C2354" s="27" t="n"/>
      <c r="D2354" s="28" t="n"/>
      <c r="E2354" s="29" t="n"/>
      <c r="F2354" s="29" t="n"/>
      <c r="G2354" s="28" t="n"/>
      <c r="H2354" s="1" t="n"/>
      <c r="I2354">
        <f>IF(OR(B2354="",C2354=""),"",B2354+MOD(C2354,1))</f>
        <v/>
      </c>
      <c r="J2354">
        <f>IF(I2354="","",IF(B2354=Dashboard!$AA$1,I2354,""))</f>
        <v/>
      </c>
    </row>
    <row r="2355">
      <c r="A2355" s="1" t="n"/>
      <c r="B2355" s="26" t="n"/>
      <c r="C2355" s="27" t="n"/>
      <c r="D2355" s="28" t="n"/>
      <c r="E2355" s="29" t="n"/>
      <c r="F2355" s="29" t="n"/>
      <c r="G2355" s="28" t="n"/>
      <c r="H2355" s="1" t="n"/>
      <c r="I2355">
        <f>IF(OR(B2355="",C2355=""),"",B2355+MOD(C2355,1))</f>
        <v/>
      </c>
      <c r="J2355">
        <f>IF(I2355="","",IF(B2355=Dashboard!$AA$1,I2355,""))</f>
        <v/>
      </c>
    </row>
    <row r="2356">
      <c r="A2356" s="1" t="n"/>
      <c r="B2356" s="26" t="n"/>
      <c r="C2356" s="27" t="n"/>
      <c r="D2356" s="28" t="n"/>
      <c r="E2356" s="29" t="n"/>
      <c r="F2356" s="29" t="n"/>
      <c r="G2356" s="28" t="n"/>
      <c r="H2356" s="1" t="n"/>
      <c r="I2356">
        <f>IF(OR(B2356="",C2356=""),"",B2356+MOD(C2356,1))</f>
        <v/>
      </c>
      <c r="J2356">
        <f>IF(I2356="","",IF(B2356=Dashboard!$AA$1,I2356,""))</f>
        <v/>
      </c>
    </row>
    <row r="2357">
      <c r="A2357" s="1" t="n"/>
      <c r="B2357" s="26" t="n"/>
      <c r="C2357" s="27" t="n"/>
      <c r="D2357" s="28" t="n"/>
      <c r="E2357" s="29" t="n"/>
      <c r="F2357" s="29" t="n"/>
      <c r="G2357" s="28" t="n"/>
      <c r="H2357" s="1" t="n"/>
      <c r="I2357">
        <f>IF(OR(B2357="",C2357=""),"",B2357+MOD(C2357,1))</f>
        <v/>
      </c>
      <c r="J2357">
        <f>IF(I2357="","",IF(B2357=Dashboard!$AA$1,I2357,""))</f>
        <v/>
      </c>
    </row>
    <row r="2358">
      <c r="A2358" s="1" t="n"/>
      <c r="B2358" s="26" t="n"/>
      <c r="C2358" s="27" t="n"/>
      <c r="D2358" s="28" t="n"/>
      <c r="E2358" s="29" t="n"/>
      <c r="F2358" s="29" t="n"/>
      <c r="G2358" s="28" t="n"/>
      <c r="H2358" s="1" t="n"/>
      <c r="I2358">
        <f>IF(OR(B2358="",C2358=""),"",B2358+MOD(C2358,1))</f>
        <v/>
      </c>
      <c r="J2358">
        <f>IF(I2358="","",IF(B2358=Dashboard!$AA$1,I2358,""))</f>
        <v/>
      </c>
    </row>
    <row r="2359">
      <c r="A2359" s="1" t="n"/>
      <c r="B2359" s="26" t="n"/>
      <c r="C2359" s="27" t="n"/>
      <c r="D2359" s="28" t="n"/>
      <c r="E2359" s="29" t="n"/>
      <c r="F2359" s="29" t="n"/>
      <c r="G2359" s="28" t="n"/>
      <c r="H2359" s="1" t="n"/>
      <c r="I2359">
        <f>IF(OR(B2359="",C2359=""),"",B2359+MOD(C2359,1))</f>
        <v/>
      </c>
      <c r="J2359">
        <f>IF(I2359="","",IF(B2359=Dashboard!$AA$1,I2359,""))</f>
        <v/>
      </c>
    </row>
    <row r="2360">
      <c r="A2360" s="1" t="n"/>
      <c r="B2360" s="26" t="n"/>
      <c r="C2360" s="27" t="n"/>
      <c r="D2360" s="28" t="n"/>
      <c r="E2360" s="29" t="n"/>
      <c r="F2360" s="29" t="n"/>
      <c r="G2360" s="28" t="n"/>
      <c r="H2360" s="1" t="n"/>
      <c r="I2360">
        <f>IF(OR(B2360="",C2360=""),"",B2360+MOD(C2360,1))</f>
        <v/>
      </c>
      <c r="J2360">
        <f>IF(I2360="","",IF(B2360=Dashboard!$AA$1,I2360,""))</f>
        <v/>
      </c>
    </row>
    <row r="2361">
      <c r="A2361" s="1" t="n"/>
      <c r="B2361" s="26" t="n"/>
      <c r="C2361" s="27" t="n"/>
      <c r="D2361" s="28" t="n"/>
      <c r="E2361" s="29" t="n"/>
      <c r="F2361" s="29" t="n"/>
      <c r="G2361" s="28" t="n"/>
      <c r="H2361" s="1" t="n"/>
      <c r="I2361">
        <f>IF(OR(B2361="",C2361=""),"",B2361+MOD(C2361,1))</f>
        <v/>
      </c>
      <c r="J2361">
        <f>IF(I2361="","",IF(B2361=Dashboard!$AA$1,I2361,""))</f>
        <v/>
      </c>
    </row>
    <row r="2362">
      <c r="A2362" s="1" t="n"/>
      <c r="B2362" s="26" t="n"/>
      <c r="C2362" s="27" t="n"/>
      <c r="D2362" s="28" t="n"/>
      <c r="E2362" s="29" t="n"/>
      <c r="F2362" s="29" t="n"/>
      <c r="G2362" s="28" t="n"/>
      <c r="H2362" s="1" t="n"/>
      <c r="I2362">
        <f>IF(OR(B2362="",C2362=""),"",B2362+MOD(C2362,1))</f>
        <v/>
      </c>
      <c r="J2362">
        <f>IF(I2362="","",IF(B2362=Dashboard!$AA$1,I2362,""))</f>
        <v/>
      </c>
    </row>
    <row r="2363">
      <c r="A2363" s="1" t="n"/>
      <c r="B2363" s="26" t="n"/>
      <c r="C2363" s="27" t="n"/>
      <c r="D2363" s="28" t="n"/>
      <c r="E2363" s="29" t="n"/>
      <c r="F2363" s="29" t="n"/>
      <c r="G2363" s="28" t="n"/>
      <c r="H2363" s="1" t="n"/>
      <c r="I2363">
        <f>IF(OR(B2363="",C2363=""),"",B2363+MOD(C2363,1))</f>
        <v/>
      </c>
      <c r="J2363">
        <f>IF(I2363="","",IF(B2363=Dashboard!$AA$1,I2363,""))</f>
        <v/>
      </c>
    </row>
    <row r="2364">
      <c r="A2364" s="1" t="n"/>
      <c r="B2364" s="26" t="n"/>
      <c r="C2364" s="27" t="n"/>
      <c r="D2364" s="28" t="n"/>
      <c r="E2364" s="29" t="n"/>
      <c r="F2364" s="29" t="n"/>
      <c r="G2364" s="28" t="n"/>
      <c r="H2364" s="1" t="n"/>
      <c r="I2364">
        <f>IF(OR(B2364="",C2364=""),"",B2364+MOD(C2364,1))</f>
        <v/>
      </c>
      <c r="J2364">
        <f>IF(I2364="","",IF(B2364=Dashboard!$AA$1,I2364,""))</f>
        <v/>
      </c>
    </row>
    <row r="2365">
      <c r="A2365" s="1" t="n"/>
      <c r="B2365" s="26" t="n"/>
      <c r="C2365" s="27" t="n"/>
      <c r="D2365" s="28" t="n"/>
      <c r="E2365" s="29" t="n"/>
      <c r="F2365" s="29" t="n"/>
      <c r="G2365" s="28" t="n"/>
      <c r="H2365" s="1" t="n"/>
      <c r="I2365">
        <f>IF(OR(B2365="",C2365=""),"",B2365+MOD(C2365,1))</f>
        <v/>
      </c>
      <c r="J2365">
        <f>IF(I2365="","",IF(B2365=Dashboard!$AA$1,I2365,""))</f>
        <v/>
      </c>
    </row>
    <row r="2366">
      <c r="A2366" s="1" t="n"/>
      <c r="B2366" s="26" t="n"/>
      <c r="C2366" s="27" t="n"/>
      <c r="D2366" s="28" t="n"/>
      <c r="E2366" s="29" t="n"/>
      <c r="F2366" s="29" t="n"/>
      <c r="G2366" s="28" t="n"/>
      <c r="H2366" s="1" t="n"/>
      <c r="I2366">
        <f>IF(OR(B2366="",C2366=""),"",B2366+MOD(C2366,1))</f>
        <v/>
      </c>
      <c r="J2366">
        <f>IF(I2366="","",IF(B2366=Dashboard!$AA$1,I2366,""))</f>
        <v/>
      </c>
    </row>
    <row r="2367">
      <c r="A2367" s="1" t="n"/>
      <c r="B2367" s="26" t="n"/>
      <c r="C2367" s="27" t="n"/>
      <c r="D2367" s="28" t="n"/>
      <c r="E2367" s="29" t="n"/>
      <c r="F2367" s="29" t="n"/>
      <c r="G2367" s="28" t="n"/>
      <c r="H2367" s="1" t="n"/>
      <c r="I2367">
        <f>IF(OR(B2367="",C2367=""),"",B2367+MOD(C2367,1))</f>
        <v/>
      </c>
      <c r="J2367">
        <f>IF(I2367="","",IF(B2367=Dashboard!$AA$1,I2367,""))</f>
        <v/>
      </c>
    </row>
    <row r="2368">
      <c r="A2368" s="1" t="n"/>
      <c r="B2368" s="26" t="n"/>
      <c r="C2368" s="27" t="n"/>
      <c r="D2368" s="28" t="n"/>
      <c r="E2368" s="29" t="n"/>
      <c r="F2368" s="29" t="n"/>
      <c r="G2368" s="28" t="n"/>
      <c r="H2368" s="1" t="n"/>
      <c r="I2368">
        <f>IF(OR(B2368="",C2368=""),"",B2368+MOD(C2368,1))</f>
        <v/>
      </c>
      <c r="J2368">
        <f>IF(I2368="","",IF(B2368=Dashboard!$AA$1,I2368,""))</f>
        <v/>
      </c>
    </row>
    <row r="2369">
      <c r="A2369" s="1" t="n"/>
      <c r="B2369" s="26" t="n"/>
      <c r="C2369" s="27" t="n"/>
      <c r="D2369" s="28" t="n"/>
      <c r="E2369" s="29" t="n"/>
      <c r="F2369" s="29" t="n"/>
      <c r="G2369" s="28" t="n"/>
      <c r="H2369" s="1" t="n"/>
      <c r="I2369">
        <f>IF(OR(B2369="",C2369=""),"",B2369+MOD(C2369,1))</f>
        <v/>
      </c>
      <c r="J2369">
        <f>IF(I2369="","",IF(B2369=Dashboard!$AA$1,I2369,""))</f>
        <v/>
      </c>
    </row>
    <row r="2370">
      <c r="A2370" s="1" t="n"/>
      <c r="B2370" s="26" t="n"/>
      <c r="C2370" s="27" t="n"/>
      <c r="D2370" s="28" t="n"/>
      <c r="E2370" s="29" t="n"/>
      <c r="F2370" s="29" t="n"/>
      <c r="G2370" s="28" t="n"/>
      <c r="H2370" s="1" t="n"/>
      <c r="I2370">
        <f>IF(OR(B2370="",C2370=""),"",B2370+MOD(C2370,1))</f>
        <v/>
      </c>
      <c r="J2370">
        <f>IF(I2370="","",IF(B2370=Dashboard!$AA$1,I2370,""))</f>
        <v/>
      </c>
    </row>
    <row r="2371">
      <c r="A2371" s="1" t="n"/>
      <c r="B2371" s="26" t="n"/>
      <c r="C2371" s="27" t="n"/>
      <c r="D2371" s="28" t="n"/>
      <c r="E2371" s="29" t="n"/>
      <c r="F2371" s="29" t="n"/>
      <c r="G2371" s="28" t="n"/>
      <c r="H2371" s="1" t="n"/>
      <c r="I2371">
        <f>IF(OR(B2371="",C2371=""),"",B2371+MOD(C2371,1))</f>
        <v/>
      </c>
      <c r="J2371">
        <f>IF(I2371="","",IF(B2371=Dashboard!$AA$1,I2371,""))</f>
        <v/>
      </c>
    </row>
    <row r="2372">
      <c r="A2372" s="1" t="n"/>
      <c r="B2372" s="26" t="n"/>
      <c r="C2372" s="27" t="n"/>
      <c r="D2372" s="28" t="n"/>
      <c r="E2372" s="29" t="n"/>
      <c r="F2372" s="29" t="n"/>
      <c r="G2372" s="28" t="n"/>
      <c r="H2372" s="1" t="n"/>
      <c r="I2372">
        <f>IF(OR(B2372="",C2372=""),"",B2372+MOD(C2372,1))</f>
        <v/>
      </c>
      <c r="J2372">
        <f>IF(I2372="","",IF(B2372=Dashboard!$AA$1,I2372,""))</f>
        <v/>
      </c>
    </row>
    <row r="2373">
      <c r="A2373" s="1" t="n"/>
      <c r="B2373" s="26" t="n"/>
      <c r="C2373" s="27" t="n"/>
      <c r="D2373" s="28" t="n"/>
      <c r="E2373" s="29" t="n"/>
      <c r="F2373" s="29" t="n"/>
      <c r="G2373" s="28" t="n"/>
      <c r="H2373" s="1" t="n"/>
      <c r="I2373">
        <f>IF(OR(B2373="",C2373=""),"",B2373+MOD(C2373,1))</f>
        <v/>
      </c>
      <c r="J2373">
        <f>IF(I2373="","",IF(B2373=Dashboard!$AA$1,I2373,""))</f>
        <v/>
      </c>
    </row>
    <row r="2374">
      <c r="A2374" s="1" t="n"/>
      <c r="B2374" s="26" t="n"/>
      <c r="C2374" s="27" t="n"/>
      <c r="D2374" s="28" t="n"/>
      <c r="E2374" s="29" t="n"/>
      <c r="F2374" s="29" t="n"/>
      <c r="G2374" s="28" t="n"/>
      <c r="H2374" s="1" t="n"/>
      <c r="I2374">
        <f>IF(OR(B2374="",C2374=""),"",B2374+MOD(C2374,1))</f>
        <v/>
      </c>
      <c r="J2374">
        <f>IF(I2374="","",IF(B2374=Dashboard!$AA$1,I2374,""))</f>
        <v/>
      </c>
    </row>
    <row r="2375">
      <c r="A2375" s="1" t="n"/>
      <c r="B2375" s="26" t="n"/>
      <c r="C2375" s="27" t="n"/>
      <c r="D2375" s="28" t="n"/>
      <c r="E2375" s="29" t="n"/>
      <c r="F2375" s="29" t="n"/>
      <c r="G2375" s="28" t="n"/>
      <c r="H2375" s="1" t="n"/>
      <c r="I2375">
        <f>IF(OR(B2375="",C2375=""),"",B2375+MOD(C2375,1))</f>
        <v/>
      </c>
      <c r="J2375">
        <f>IF(I2375="","",IF(B2375=Dashboard!$AA$1,I2375,""))</f>
        <v/>
      </c>
    </row>
    <row r="2376">
      <c r="A2376" s="1" t="n"/>
      <c r="B2376" s="26" t="n"/>
      <c r="C2376" s="27" t="n"/>
      <c r="D2376" s="28" t="n"/>
      <c r="E2376" s="29" t="n"/>
      <c r="F2376" s="29" t="n"/>
      <c r="G2376" s="28" t="n"/>
      <c r="H2376" s="1" t="n"/>
      <c r="I2376">
        <f>IF(OR(B2376="",C2376=""),"",B2376+MOD(C2376,1))</f>
        <v/>
      </c>
      <c r="J2376">
        <f>IF(I2376="","",IF(B2376=Dashboard!$AA$1,I2376,""))</f>
        <v/>
      </c>
    </row>
    <row r="2377">
      <c r="A2377" s="1" t="n"/>
      <c r="B2377" s="26" t="n"/>
      <c r="C2377" s="27" t="n"/>
      <c r="D2377" s="28" t="n"/>
      <c r="E2377" s="29" t="n"/>
      <c r="F2377" s="29" t="n"/>
      <c r="G2377" s="28" t="n"/>
      <c r="H2377" s="1" t="n"/>
      <c r="I2377">
        <f>IF(OR(B2377="",C2377=""),"",B2377+MOD(C2377,1))</f>
        <v/>
      </c>
      <c r="J2377">
        <f>IF(I2377="","",IF(B2377=Dashboard!$AA$1,I2377,""))</f>
        <v/>
      </c>
    </row>
    <row r="2378">
      <c r="A2378" s="1" t="n"/>
      <c r="B2378" s="26" t="n"/>
      <c r="C2378" s="27" t="n"/>
      <c r="D2378" s="28" t="n"/>
      <c r="E2378" s="29" t="n"/>
      <c r="F2378" s="29" t="n"/>
      <c r="G2378" s="28" t="n"/>
      <c r="H2378" s="1" t="n"/>
      <c r="I2378">
        <f>IF(OR(B2378="",C2378=""),"",B2378+MOD(C2378,1))</f>
        <v/>
      </c>
      <c r="J2378">
        <f>IF(I2378="","",IF(B2378=Dashboard!$AA$1,I2378,""))</f>
        <v/>
      </c>
    </row>
    <row r="2379">
      <c r="A2379" s="1" t="n"/>
      <c r="B2379" s="26" t="n"/>
      <c r="C2379" s="27" t="n"/>
      <c r="D2379" s="28" t="n"/>
      <c r="E2379" s="29" t="n"/>
      <c r="F2379" s="29" t="n"/>
      <c r="G2379" s="28" t="n"/>
      <c r="H2379" s="1" t="n"/>
      <c r="I2379">
        <f>IF(OR(B2379="",C2379=""),"",B2379+MOD(C2379,1))</f>
        <v/>
      </c>
      <c r="J2379">
        <f>IF(I2379="","",IF(B2379=Dashboard!$AA$1,I2379,""))</f>
        <v/>
      </c>
    </row>
    <row r="2380">
      <c r="A2380" s="1" t="n"/>
      <c r="B2380" s="26" t="n"/>
      <c r="C2380" s="27" t="n"/>
      <c r="D2380" s="28" t="n"/>
      <c r="E2380" s="29" t="n"/>
      <c r="F2380" s="29" t="n"/>
      <c r="G2380" s="28" t="n"/>
      <c r="H2380" s="1" t="n"/>
      <c r="I2380">
        <f>IF(OR(B2380="",C2380=""),"",B2380+MOD(C2380,1))</f>
        <v/>
      </c>
      <c r="J2380">
        <f>IF(I2380="","",IF(B2380=Dashboard!$AA$1,I2380,""))</f>
        <v/>
      </c>
    </row>
    <row r="2381">
      <c r="A2381" s="1" t="n"/>
      <c r="B2381" s="26" t="n"/>
      <c r="C2381" s="27" t="n"/>
      <c r="D2381" s="28" t="n"/>
      <c r="E2381" s="29" t="n"/>
      <c r="F2381" s="29" t="n"/>
      <c r="G2381" s="28" t="n"/>
      <c r="H2381" s="1" t="n"/>
      <c r="I2381">
        <f>IF(OR(B2381="",C2381=""),"",B2381+MOD(C2381,1))</f>
        <v/>
      </c>
      <c r="J2381">
        <f>IF(I2381="","",IF(B2381=Dashboard!$AA$1,I2381,""))</f>
        <v/>
      </c>
    </row>
    <row r="2382">
      <c r="A2382" s="1" t="n"/>
      <c r="B2382" s="26" t="n"/>
      <c r="C2382" s="27" t="n"/>
      <c r="D2382" s="28" t="n"/>
      <c r="E2382" s="29" t="n"/>
      <c r="F2382" s="29" t="n"/>
      <c r="G2382" s="28" t="n"/>
      <c r="H2382" s="1" t="n"/>
      <c r="I2382">
        <f>IF(OR(B2382="",C2382=""),"",B2382+MOD(C2382,1))</f>
        <v/>
      </c>
      <c r="J2382">
        <f>IF(I2382="","",IF(B2382=Dashboard!$AA$1,I2382,""))</f>
        <v/>
      </c>
    </row>
    <row r="2383">
      <c r="A2383" s="1" t="n"/>
      <c r="B2383" s="26" t="n"/>
      <c r="C2383" s="27" t="n"/>
      <c r="D2383" s="28" t="n"/>
      <c r="E2383" s="29" t="n"/>
      <c r="F2383" s="29" t="n"/>
      <c r="G2383" s="28" t="n"/>
      <c r="H2383" s="1" t="n"/>
      <c r="I2383">
        <f>IF(OR(B2383="",C2383=""),"",B2383+MOD(C2383,1))</f>
        <v/>
      </c>
      <c r="J2383">
        <f>IF(I2383="","",IF(B2383=Dashboard!$AA$1,I2383,""))</f>
        <v/>
      </c>
    </row>
    <row r="2384">
      <c r="A2384" s="1" t="n"/>
      <c r="B2384" s="26" t="n"/>
      <c r="C2384" s="27" t="n"/>
      <c r="D2384" s="28" t="n"/>
      <c r="E2384" s="29" t="n"/>
      <c r="F2384" s="29" t="n"/>
      <c r="G2384" s="28" t="n"/>
      <c r="H2384" s="1" t="n"/>
      <c r="I2384">
        <f>IF(OR(B2384="",C2384=""),"",B2384+MOD(C2384,1))</f>
        <v/>
      </c>
      <c r="J2384">
        <f>IF(I2384="","",IF(B2384=Dashboard!$AA$1,I2384,""))</f>
        <v/>
      </c>
    </row>
    <row r="2385">
      <c r="A2385" s="1" t="n"/>
      <c r="B2385" s="26" t="n"/>
      <c r="C2385" s="27" t="n"/>
      <c r="D2385" s="28" t="n"/>
      <c r="E2385" s="29" t="n"/>
      <c r="F2385" s="29" t="n"/>
      <c r="G2385" s="28" t="n"/>
      <c r="H2385" s="1" t="n"/>
      <c r="I2385">
        <f>IF(OR(B2385="",C2385=""),"",B2385+MOD(C2385,1))</f>
        <v/>
      </c>
      <c r="J2385">
        <f>IF(I2385="","",IF(B2385=Dashboard!$AA$1,I2385,""))</f>
        <v/>
      </c>
    </row>
    <row r="2386">
      <c r="A2386" s="1" t="n"/>
      <c r="B2386" s="26" t="n"/>
      <c r="C2386" s="27" t="n"/>
      <c r="D2386" s="28" t="n"/>
      <c r="E2386" s="29" t="n"/>
      <c r="F2386" s="29" t="n"/>
      <c r="G2386" s="28" t="n"/>
      <c r="H2386" s="1" t="n"/>
      <c r="I2386">
        <f>IF(OR(B2386="",C2386=""),"",B2386+MOD(C2386,1))</f>
        <v/>
      </c>
      <c r="J2386">
        <f>IF(I2386="","",IF(B2386=Dashboard!$AA$1,I2386,""))</f>
        <v/>
      </c>
    </row>
    <row r="2387">
      <c r="A2387" s="1" t="n"/>
      <c r="B2387" s="26" t="n"/>
      <c r="C2387" s="27" t="n"/>
      <c r="D2387" s="28" t="n"/>
      <c r="E2387" s="29" t="n"/>
      <c r="F2387" s="29" t="n"/>
      <c r="G2387" s="28" t="n"/>
      <c r="H2387" s="1" t="n"/>
      <c r="I2387">
        <f>IF(OR(B2387="",C2387=""),"",B2387+MOD(C2387,1))</f>
        <v/>
      </c>
      <c r="J2387">
        <f>IF(I2387="","",IF(B2387=Dashboard!$AA$1,I2387,""))</f>
        <v/>
      </c>
    </row>
    <row r="2388">
      <c r="A2388" s="1" t="n"/>
      <c r="B2388" s="26" t="n"/>
      <c r="C2388" s="27" t="n"/>
      <c r="D2388" s="28" t="n"/>
      <c r="E2388" s="29" t="n"/>
      <c r="F2388" s="29" t="n"/>
      <c r="G2388" s="28" t="n"/>
      <c r="H2388" s="1" t="n"/>
      <c r="I2388">
        <f>IF(OR(B2388="",C2388=""),"",B2388+MOD(C2388,1))</f>
        <v/>
      </c>
      <c r="J2388">
        <f>IF(I2388="","",IF(B2388=Dashboard!$AA$1,I2388,""))</f>
        <v/>
      </c>
    </row>
    <row r="2389">
      <c r="A2389" s="1" t="n"/>
      <c r="B2389" s="26" t="n"/>
      <c r="C2389" s="27" t="n"/>
      <c r="D2389" s="28" t="n"/>
      <c r="E2389" s="29" t="n"/>
      <c r="F2389" s="29" t="n"/>
      <c r="G2389" s="28" t="n"/>
      <c r="H2389" s="1" t="n"/>
      <c r="I2389">
        <f>IF(OR(B2389="",C2389=""),"",B2389+MOD(C2389,1))</f>
        <v/>
      </c>
      <c r="J2389">
        <f>IF(I2389="","",IF(B2389=Dashboard!$AA$1,I2389,""))</f>
        <v/>
      </c>
    </row>
    <row r="2390">
      <c r="A2390" s="1" t="n"/>
      <c r="B2390" s="26" t="n"/>
      <c r="C2390" s="27" t="n"/>
      <c r="D2390" s="28" t="n"/>
      <c r="E2390" s="29" t="n"/>
      <c r="F2390" s="29" t="n"/>
      <c r="G2390" s="28" t="n"/>
      <c r="H2390" s="1" t="n"/>
      <c r="I2390">
        <f>IF(OR(B2390="",C2390=""),"",B2390+MOD(C2390,1))</f>
        <v/>
      </c>
      <c r="J2390">
        <f>IF(I2390="","",IF(B2390=Dashboard!$AA$1,I2390,""))</f>
        <v/>
      </c>
    </row>
    <row r="2391">
      <c r="A2391" s="1" t="n"/>
      <c r="B2391" s="26" t="n"/>
      <c r="C2391" s="27" t="n"/>
      <c r="D2391" s="28" t="n"/>
      <c r="E2391" s="29" t="n"/>
      <c r="F2391" s="29" t="n"/>
      <c r="G2391" s="28" t="n"/>
      <c r="H2391" s="1" t="n"/>
      <c r="I2391">
        <f>IF(OR(B2391="",C2391=""),"",B2391+MOD(C2391,1))</f>
        <v/>
      </c>
      <c r="J2391">
        <f>IF(I2391="","",IF(B2391=Dashboard!$AA$1,I2391,""))</f>
        <v/>
      </c>
    </row>
    <row r="2392">
      <c r="A2392" s="1" t="n"/>
      <c r="B2392" s="26" t="n"/>
      <c r="C2392" s="27" t="n"/>
      <c r="D2392" s="28" t="n"/>
      <c r="E2392" s="29" t="n"/>
      <c r="F2392" s="29" t="n"/>
      <c r="G2392" s="28" t="n"/>
      <c r="H2392" s="1" t="n"/>
      <c r="I2392">
        <f>IF(OR(B2392="",C2392=""),"",B2392+MOD(C2392,1))</f>
        <v/>
      </c>
      <c r="J2392">
        <f>IF(I2392="","",IF(B2392=Dashboard!$AA$1,I2392,""))</f>
        <v/>
      </c>
    </row>
    <row r="2393">
      <c r="A2393" s="1" t="n"/>
      <c r="B2393" s="26" t="n"/>
      <c r="C2393" s="27" t="n"/>
      <c r="D2393" s="28" t="n"/>
      <c r="E2393" s="29" t="n"/>
      <c r="F2393" s="29" t="n"/>
      <c r="G2393" s="28" t="n"/>
      <c r="H2393" s="1" t="n"/>
      <c r="I2393">
        <f>IF(OR(B2393="",C2393=""),"",B2393+MOD(C2393,1))</f>
        <v/>
      </c>
      <c r="J2393">
        <f>IF(I2393="","",IF(B2393=Dashboard!$AA$1,I2393,""))</f>
        <v/>
      </c>
    </row>
    <row r="2394">
      <c r="A2394" s="1" t="n"/>
      <c r="B2394" s="26" t="n"/>
      <c r="C2394" s="27" t="n"/>
      <c r="D2394" s="28" t="n"/>
      <c r="E2394" s="29" t="n"/>
      <c r="F2394" s="29" t="n"/>
      <c r="G2394" s="28" t="n"/>
      <c r="H2394" s="1" t="n"/>
      <c r="I2394">
        <f>IF(OR(B2394="",C2394=""),"",B2394+MOD(C2394,1))</f>
        <v/>
      </c>
      <c r="J2394">
        <f>IF(I2394="","",IF(B2394=Dashboard!$AA$1,I2394,""))</f>
        <v/>
      </c>
    </row>
    <row r="2395">
      <c r="A2395" s="1" t="n"/>
      <c r="B2395" s="26" t="n"/>
      <c r="C2395" s="27" t="n"/>
      <c r="D2395" s="28" t="n"/>
      <c r="E2395" s="29" t="n"/>
      <c r="F2395" s="29" t="n"/>
      <c r="G2395" s="28" t="n"/>
      <c r="H2395" s="1" t="n"/>
      <c r="I2395">
        <f>IF(OR(B2395="",C2395=""),"",B2395+MOD(C2395,1))</f>
        <v/>
      </c>
      <c r="J2395">
        <f>IF(I2395="","",IF(B2395=Dashboard!$AA$1,I2395,""))</f>
        <v/>
      </c>
    </row>
    <row r="2396">
      <c r="A2396" s="1" t="n"/>
      <c r="B2396" s="26" t="n"/>
      <c r="C2396" s="27" t="n"/>
      <c r="D2396" s="28" t="n"/>
      <c r="E2396" s="29" t="n"/>
      <c r="F2396" s="29" t="n"/>
      <c r="G2396" s="28" t="n"/>
      <c r="H2396" s="1" t="n"/>
      <c r="I2396">
        <f>IF(OR(B2396="",C2396=""),"",B2396+MOD(C2396,1))</f>
        <v/>
      </c>
      <c r="J2396">
        <f>IF(I2396="","",IF(B2396=Dashboard!$AA$1,I2396,""))</f>
        <v/>
      </c>
    </row>
    <row r="2397">
      <c r="A2397" s="1" t="n"/>
      <c r="B2397" s="26" t="n"/>
      <c r="C2397" s="27" t="n"/>
      <c r="D2397" s="28" t="n"/>
      <c r="E2397" s="29" t="n"/>
      <c r="F2397" s="29" t="n"/>
      <c r="G2397" s="28" t="n"/>
      <c r="H2397" s="1" t="n"/>
      <c r="I2397">
        <f>IF(OR(B2397="",C2397=""),"",B2397+MOD(C2397,1))</f>
        <v/>
      </c>
      <c r="J2397">
        <f>IF(I2397="","",IF(B2397=Dashboard!$AA$1,I2397,""))</f>
        <v/>
      </c>
    </row>
    <row r="2398">
      <c r="A2398" s="1" t="n"/>
      <c r="B2398" s="26" t="n"/>
      <c r="C2398" s="27" t="n"/>
      <c r="D2398" s="28" t="n"/>
      <c r="E2398" s="29" t="n"/>
      <c r="F2398" s="29" t="n"/>
      <c r="G2398" s="28" t="n"/>
      <c r="H2398" s="1" t="n"/>
      <c r="I2398">
        <f>IF(OR(B2398="",C2398=""),"",B2398+MOD(C2398,1))</f>
        <v/>
      </c>
      <c r="J2398">
        <f>IF(I2398="","",IF(B2398=Dashboard!$AA$1,I2398,""))</f>
        <v/>
      </c>
    </row>
    <row r="2399">
      <c r="A2399" s="1" t="n"/>
      <c r="B2399" s="26" t="n"/>
      <c r="C2399" s="27" t="n"/>
      <c r="D2399" s="28" t="n"/>
      <c r="E2399" s="29" t="n"/>
      <c r="F2399" s="29" t="n"/>
      <c r="G2399" s="28" t="n"/>
      <c r="H2399" s="1" t="n"/>
      <c r="I2399">
        <f>IF(OR(B2399="",C2399=""),"",B2399+MOD(C2399,1))</f>
        <v/>
      </c>
      <c r="J2399">
        <f>IF(I2399="","",IF(B2399=Dashboard!$AA$1,I2399,""))</f>
        <v/>
      </c>
    </row>
    <row r="2400">
      <c r="A2400" s="1" t="n"/>
      <c r="B2400" s="26" t="n"/>
      <c r="C2400" s="27" t="n"/>
      <c r="D2400" s="28" t="n"/>
      <c r="E2400" s="29" t="n"/>
      <c r="F2400" s="29" t="n"/>
      <c r="G2400" s="28" t="n"/>
      <c r="H2400" s="1" t="n"/>
      <c r="I2400">
        <f>IF(OR(B2400="",C2400=""),"",B2400+MOD(C2400,1))</f>
        <v/>
      </c>
      <c r="J2400">
        <f>IF(I2400="","",IF(B2400=Dashboard!$AA$1,I2400,""))</f>
        <v/>
      </c>
    </row>
    <row r="2401">
      <c r="A2401" s="1" t="n"/>
      <c r="B2401" s="26" t="n"/>
      <c r="C2401" s="27" t="n"/>
      <c r="D2401" s="28" t="n"/>
      <c r="E2401" s="29" t="n"/>
      <c r="F2401" s="29" t="n"/>
      <c r="G2401" s="28" t="n"/>
      <c r="H2401" s="1" t="n"/>
      <c r="I2401">
        <f>IF(OR(B2401="",C2401=""),"",B2401+MOD(C2401,1))</f>
        <v/>
      </c>
      <c r="J2401">
        <f>IF(I2401="","",IF(B2401=Dashboard!$AA$1,I2401,""))</f>
        <v/>
      </c>
    </row>
    <row r="2402">
      <c r="A2402" s="1" t="n"/>
      <c r="B2402" s="26" t="n"/>
      <c r="C2402" s="27" t="n"/>
      <c r="D2402" s="28" t="n"/>
      <c r="E2402" s="29" t="n"/>
      <c r="F2402" s="29" t="n"/>
      <c r="G2402" s="28" t="n"/>
      <c r="H2402" s="1" t="n"/>
      <c r="I2402">
        <f>IF(OR(B2402="",C2402=""),"",B2402+MOD(C2402,1))</f>
        <v/>
      </c>
      <c r="J2402">
        <f>IF(I2402="","",IF(B2402=Dashboard!$AA$1,I2402,""))</f>
        <v/>
      </c>
    </row>
    <row r="2403">
      <c r="A2403" s="1" t="n"/>
      <c r="B2403" s="26" t="n"/>
      <c r="C2403" s="27" t="n"/>
      <c r="D2403" s="28" t="n"/>
      <c r="E2403" s="29" t="n"/>
      <c r="F2403" s="29" t="n"/>
      <c r="G2403" s="28" t="n"/>
      <c r="H2403" s="1" t="n"/>
      <c r="I2403">
        <f>IF(OR(B2403="",C2403=""),"",B2403+MOD(C2403,1))</f>
        <v/>
      </c>
      <c r="J2403">
        <f>IF(I2403="","",IF(B2403=Dashboard!$AA$1,I2403,""))</f>
        <v/>
      </c>
    </row>
    <row r="2404">
      <c r="A2404" s="1" t="n"/>
      <c r="B2404" s="26" t="n"/>
      <c r="C2404" s="27" t="n"/>
      <c r="D2404" s="28" t="n"/>
      <c r="E2404" s="29" t="n"/>
      <c r="F2404" s="29" t="n"/>
      <c r="G2404" s="28" t="n"/>
      <c r="H2404" s="1" t="n"/>
      <c r="I2404">
        <f>IF(OR(B2404="",C2404=""),"",B2404+MOD(C2404,1))</f>
        <v/>
      </c>
      <c r="J2404">
        <f>IF(I2404="","",IF(B2404=Dashboard!$AA$1,I2404,""))</f>
        <v/>
      </c>
    </row>
    <row r="2405">
      <c r="A2405" s="1" t="n"/>
      <c r="B2405" s="26" t="n"/>
      <c r="C2405" s="27" t="n"/>
      <c r="D2405" s="28" t="n"/>
      <c r="E2405" s="29" t="n"/>
      <c r="F2405" s="29" t="n"/>
      <c r="G2405" s="28" t="n"/>
      <c r="H2405" s="1" t="n"/>
      <c r="I2405">
        <f>IF(OR(B2405="",C2405=""),"",B2405+MOD(C2405,1))</f>
        <v/>
      </c>
      <c r="J2405">
        <f>IF(I2405="","",IF(B2405=Dashboard!$AA$1,I2405,""))</f>
        <v/>
      </c>
    </row>
    <row r="2406">
      <c r="A2406" s="1" t="n"/>
      <c r="B2406" s="26" t="n"/>
      <c r="C2406" s="27" t="n"/>
      <c r="D2406" s="28" t="n"/>
      <c r="E2406" s="29" t="n"/>
      <c r="F2406" s="29" t="n"/>
      <c r="G2406" s="28" t="n"/>
      <c r="H2406" s="1" t="n"/>
      <c r="I2406">
        <f>IF(OR(B2406="",C2406=""),"",B2406+MOD(C2406,1))</f>
        <v/>
      </c>
      <c r="J2406">
        <f>IF(I2406="","",IF(B2406=Dashboard!$AA$1,I2406,""))</f>
        <v/>
      </c>
    </row>
    <row r="2407">
      <c r="A2407" s="1" t="n"/>
      <c r="B2407" s="26" t="n"/>
      <c r="C2407" s="27" t="n"/>
      <c r="D2407" s="28" t="n"/>
      <c r="E2407" s="29" t="n"/>
      <c r="F2407" s="29" t="n"/>
      <c r="G2407" s="28" t="n"/>
      <c r="H2407" s="1" t="n"/>
      <c r="I2407">
        <f>IF(OR(B2407="",C2407=""),"",B2407+MOD(C2407,1))</f>
        <v/>
      </c>
      <c r="J2407">
        <f>IF(I2407="","",IF(B2407=Dashboard!$AA$1,I2407,""))</f>
        <v/>
      </c>
    </row>
    <row r="2408">
      <c r="A2408" s="1" t="n"/>
      <c r="B2408" s="26" t="n"/>
      <c r="C2408" s="27" t="n"/>
      <c r="D2408" s="28" t="n"/>
      <c r="E2408" s="29" t="n"/>
      <c r="F2408" s="29" t="n"/>
      <c r="G2408" s="28" t="n"/>
      <c r="H2408" s="1" t="n"/>
      <c r="I2408">
        <f>IF(OR(B2408="",C2408=""),"",B2408+MOD(C2408,1))</f>
        <v/>
      </c>
      <c r="J2408">
        <f>IF(I2408="","",IF(B2408=Dashboard!$AA$1,I2408,""))</f>
        <v/>
      </c>
    </row>
    <row r="2409">
      <c r="A2409" s="1" t="n"/>
      <c r="B2409" s="26" t="n"/>
      <c r="C2409" s="27" t="n"/>
      <c r="D2409" s="28" t="n"/>
      <c r="E2409" s="29" t="n"/>
      <c r="F2409" s="29" t="n"/>
      <c r="G2409" s="28" t="n"/>
      <c r="H2409" s="1" t="n"/>
      <c r="I2409">
        <f>IF(OR(B2409="",C2409=""),"",B2409+MOD(C2409,1))</f>
        <v/>
      </c>
      <c r="J2409">
        <f>IF(I2409="","",IF(B2409=Dashboard!$AA$1,I2409,""))</f>
        <v/>
      </c>
    </row>
    <row r="2410">
      <c r="A2410" s="1" t="n"/>
      <c r="B2410" s="26" t="n"/>
      <c r="C2410" s="27" t="n"/>
      <c r="D2410" s="28" t="n"/>
      <c r="E2410" s="29" t="n"/>
      <c r="F2410" s="29" t="n"/>
      <c r="G2410" s="28" t="n"/>
      <c r="H2410" s="1" t="n"/>
      <c r="I2410">
        <f>IF(OR(B2410="",C2410=""),"",B2410+MOD(C2410,1))</f>
        <v/>
      </c>
      <c r="J2410">
        <f>IF(I2410="","",IF(B2410=Dashboard!$AA$1,I2410,""))</f>
        <v/>
      </c>
    </row>
    <row r="2411">
      <c r="A2411" s="1" t="n"/>
      <c r="B2411" s="26" t="n"/>
      <c r="C2411" s="27" t="n"/>
      <c r="D2411" s="28" t="n"/>
      <c r="E2411" s="29" t="n"/>
      <c r="F2411" s="29" t="n"/>
      <c r="G2411" s="28" t="n"/>
      <c r="H2411" s="1" t="n"/>
      <c r="I2411">
        <f>IF(OR(B2411="",C2411=""),"",B2411+MOD(C2411,1))</f>
        <v/>
      </c>
      <c r="J2411">
        <f>IF(I2411="","",IF(B2411=Dashboard!$AA$1,I2411,""))</f>
        <v/>
      </c>
    </row>
    <row r="2412">
      <c r="A2412" s="1" t="n"/>
      <c r="B2412" s="26" t="n"/>
      <c r="C2412" s="27" t="n"/>
      <c r="D2412" s="28" t="n"/>
      <c r="E2412" s="29" t="n"/>
      <c r="F2412" s="29" t="n"/>
      <c r="G2412" s="28" t="n"/>
      <c r="H2412" s="1" t="n"/>
      <c r="I2412">
        <f>IF(OR(B2412="",C2412=""),"",B2412+MOD(C2412,1))</f>
        <v/>
      </c>
      <c r="J2412">
        <f>IF(I2412="","",IF(B2412=Dashboard!$AA$1,I2412,""))</f>
        <v/>
      </c>
    </row>
    <row r="2413">
      <c r="A2413" s="1" t="n"/>
      <c r="B2413" s="26" t="n"/>
      <c r="C2413" s="27" t="n"/>
      <c r="D2413" s="28" t="n"/>
      <c r="E2413" s="29" t="n"/>
      <c r="F2413" s="29" t="n"/>
      <c r="G2413" s="28" t="n"/>
      <c r="H2413" s="1" t="n"/>
      <c r="I2413">
        <f>IF(OR(B2413="",C2413=""),"",B2413+MOD(C2413,1))</f>
        <v/>
      </c>
      <c r="J2413">
        <f>IF(I2413="","",IF(B2413=Dashboard!$AA$1,I2413,""))</f>
        <v/>
      </c>
    </row>
    <row r="2414">
      <c r="A2414" s="1" t="n"/>
      <c r="B2414" s="26" t="n"/>
      <c r="C2414" s="27" t="n"/>
      <c r="D2414" s="28" t="n"/>
      <c r="E2414" s="29" t="n"/>
      <c r="F2414" s="29" t="n"/>
      <c r="G2414" s="28" t="n"/>
      <c r="H2414" s="1" t="n"/>
      <c r="I2414">
        <f>IF(OR(B2414="",C2414=""),"",B2414+MOD(C2414,1))</f>
        <v/>
      </c>
      <c r="J2414">
        <f>IF(I2414="","",IF(B2414=Dashboard!$AA$1,I2414,""))</f>
        <v/>
      </c>
    </row>
    <row r="2415">
      <c r="A2415" s="1" t="n"/>
      <c r="B2415" s="26" t="n"/>
      <c r="C2415" s="27" t="n"/>
      <c r="D2415" s="28" t="n"/>
      <c r="E2415" s="29" t="n"/>
      <c r="F2415" s="29" t="n"/>
      <c r="G2415" s="28" t="n"/>
      <c r="H2415" s="1" t="n"/>
      <c r="I2415">
        <f>IF(OR(B2415="",C2415=""),"",B2415+MOD(C2415,1))</f>
        <v/>
      </c>
      <c r="J2415">
        <f>IF(I2415="","",IF(B2415=Dashboard!$AA$1,I2415,""))</f>
        <v/>
      </c>
    </row>
    <row r="2416">
      <c r="A2416" s="1" t="n"/>
      <c r="B2416" s="26" t="n"/>
      <c r="C2416" s="27" t="n"/>
      <c r="D2416" s="28" t="n"/>
      <c r="E2416" s="29" t="n"/>
      <c r="F2416" s="29" t="n"/>
      <c r="G2416" s="28" t="n"/>
      <c r="H2416" s="1" t="n"/>
      <c r="I2416">
        <f>IF(OR(B2416="",C2416=""),"",B2416+MOD(C2416,1))</f>
        <v/>
      </c>
      <c r="J2416">
        <f>IF(I2416="","",IF(B2416=Dashboard!$AA$1,I2416,""))</f>
        <v/>
      </c>
    </row>
    <row r="2417">
      <c r="A2417" s="1" t="n"/>
      <c r="B2417" s="26" t="n"/>
      <c r="C2417" s="27" t="n"/>
      <c r="D2417" s="28" t="n"/>
      <c r="E2417" s="29" t="n"/>
      <c r="F2417" s="29" t="n"/>
      <c r="G2417" s="28" t="n"/>
      <c r="H2417" s="1" t="n"/>
      <c r="I2417">
        <f>IF(OR(B2417="",C2417=""),"",B2417+MOD(C2417,1))</f>
        <v/>
      </c>
      <c r="J2417">
        <f>IF(I2417="","",IF(B2417=Dashboard!$AA$1,I2417,""))</f>
        <v/>
      </c>
    </row>
    <row r="2418">
      <c r="A2418" s="1" t="n"/>
      <c r="B2418" s="26" t="n"/>
      <c r="C2418" s="27" t="n"/>
      <c r="D2418" s="28" t="n"/>
      <c r="E2418" s="29" t="n"/>
      <c r="F2418" s="29" t="n"/>
      <c r="G2418" s="28" t="n"/>
      <c r="H2418" s="1" t="n"/>
      <c r="I2418">
        <f>IF(OR(B2418="",C2418=""),"",B2418+MOD(C2418,1))</f>
        <v/>
      </c>
      <c r="J2418">
        <f>IF(I2418="","",IF(B2418=Dashboard!$AA$1,I2418,""))</f>
        <v/>
      </c>
    </row>
    <row r="2419">
      <c r="A2419" s="1" t="n"/>
      <c r="B2419" s="26" t="n"/>
      <c r="C2419" s="27" t="n"/>
      <c r="D2419" s="28" t="n"/>
      <c r="E2419" s="29" t="n"/>
      <c r="F2419" s="29" t="n"/>
      <c r="G2419" s="28" t="n"/>
      <c r="H2419" s="1" t="n"/>
      <c r="I2419">
        <f>IF(OR(B2419="",C2419=""),"",B2419+MOD(C2419,1))</f>
        <v/>
      </c>
      <c r="J2419">
        <f>IF(I2419="","",IF(B2419=Dashboard!$AA$1,I2419,""))</f>
        <v/>
      </c>
    </row>
    <row r="2420">
      <c r="A2420" s="1" t="n"/>
      <c r="B2420" s="26" t="n"/>
      <c r="C2420" s="27" t="n"/>
      <c r="D2420" s="28" t="n"/>
      <c r="E2420" s="29" t="n"/>
      <c r="F2420" s="29" t="n"/>
      <c r="G2420" s="28" t="n"/>
      <c r="H2420" s="1" t="n"/>
      <c r="I2420">
        <f>IF(OR(B2420="",C2420=""),"",B2420+MOD(C2420,1))</f>
        <v/>
      </c>
      <c r="J2420">
        <f>IF(I2420="","",IF(B2420=Dashboard!$AA$1,I2420,""))</f>
        <v/>
      </c>
    </row>
    <row r="2421">
      <c r="A2421" s="1" t="n"/>
      <c r="B2421" s="26" t="n"/>
      <c r="C2421" s="27" t="n"/>
      <c r="D2421" s="28" t="n"/>
      <c r="E2421" s="29" t="n"/>
      <c r="F2421" s="29" t="n"/>
      <c r="G2421" s="28" t="n"/>
      <c r="H2421" s="1" t="n"/>
      <c r="I2421">
        <f>IF(OR(B2421="",C2421=""),"",B2421+MOD(C2421,1))</f>
        <v/>
      </c>
      <c r="J2421">
        <f>IF(I2421="","",IF(B2421=Dashboard!$AA$1,I2421,""))</f>
        <v/>
      </c>
    </row>
    <row r="2422">
      <c r="A2422" s="1" t="n"/>
      <c r="B2422" s="26" t="n"/>
      <c r="C2422" s="27" t="n"/>
      <c r="D2422" s="28" t="n"/>
      <c r="E2422" s="29" t="n"/>
      <c r="F2422" s="29" t="n"/>
      <c r="G2422" s="28" t="n"/>
      <c r="H2422" s="1" t="n"/>
      <c r="I2422">
        <f>IF(OR(B2422="",C2422=""),"",B2422+MOD(C2422,1))</f>
        <v/>
      </c>
      <c r="J2422">
        <f>IF(I2422="","",IF(B2422=Dashboard!$AA$1,I2422,""))</f>
        <v/>
      </c>
    </row>
    <row r="2423">
      <c r="A2423" s="1" t="n"/>
      <c r="B2423" s="26" t="n"/>
      <c r="C2423" s="27" t="n"/>
      <c r="D2423" s="28" t="n"/>
      <c r="E2423" s="29" t="n"/>
      <c r="F2423" s="29" t="n"/>
      <c r="G2423" s="28" t="n"/>
      <c r="H2423" s="1" t="n"/>
      <c r="I2423">
        <f>IF(OR(B2423="",C2423=""),"",B2423+MOD(C2423,1))</f>
        <v/>
      </c>
      <c r="J2423">
        <f>IF(I2423="","",IF(B2423=Dashboard!$AA$1,I2423,""))</f>
        <v/>
      </c>
    </row>
    <row r="2424">
      <c r="A2424" s="1" t="n"/>
      <c r="B2424" s="26" t="n"/>
      <c r="C2424" s="27" t="n"/>
      <c r="D2424" s="28" t="n"/>
      <c r="E2424" s="29" t="n"/>
      <c r="F2424" s="29" t="n"/>
      <c r="G2424" s="28" t="n"/>
      <c r="H2424" s="1" t="n"/>
      <c r="I2424">
        <f>IF(OR(B2424="",C2424=""),"",B2424+MOD(C2424,1))</f>
        <v/>
      </c>
      <c r="J2424">
        <f>IF(I2424="","",IF(B2424=Dashboard!$AA$1,I2424,""))</f>
        <v/>
      </c>
    </row>
    <row r="2425">
      <c r="A2425" s="1" t="n"/>
      <c r="B2425" s="26" t="n"/>
      <c r="C2425" s="27" t="n"/>
      <c r="D2425" s="28" t="n"/>
      <c r="E2425" s="29" t="n"/>
      <c r="F2425" s="29" t="n"/>
      <c r="G2425" s="28" t="n"/>
      <c r="H2425" s="1" t="n"/>
      <c r="I2425">
        <f>IF(OR(B2425="",C2425=""),"",B2425+MOD(C2425,1))</f>
        <v/>
      </c>
      <c r="J2425">
        <f>IF(I2425="","",IF(B2425=Dashboard!$AA$1,I2425,""))</f>
        <v/>
      </c>
    </row>
    <row r="2426">
      <c r="A2426" s="1" t="n"/>
      <c r="B2426" s="26" t="n"/>
      <c r="C2426" s="27" t="n"/>
      <c r="D2426" s="28" t="n"/>
      <c r="E2426" s="29" t="n"/>
      <c r="F2426" s="29" t="n"/>
      <c r="G2426" s="28" t="n"/>
      <c r="H2426" s="1" t="n"/>
      <c r="I2426">
        <f>IF(OR(B2426="",C2426=""),"",B2426+MOD(C2426,1))</f>
        <v/>
      </c>
      <c r="J2426">
        <f>IF(I2426="","",IF(B2426=Dashboard!$AA$1,I2426,""))</f>
        <v/>
      </c>
    </row>
    <row r="2427">
      <c r="A2427" s="1" t="n"/>
      <c r="B2427" s="26" t="n"/>
      <c r="C2427" s="27" t="n"/>
      <c r="D2427" s="28" t="n"/>
      <c r="E2427" s="29" t="n"/>
      <c r="F2427" s="29" t="n"/>
      <c r="G2427" s="28" t="n"/>
      <c r="H2427" s="1" t="n"/>
      <c r="I2427">
        <f>IF(OR(B2427="",C2427=""),"",B2427+MOD(C2427,1))</f>
        <v/>
      </c>
      <c r="J2427">
        <f>IF(I2427="","",IF(B2427=Dashboard!$AA$1,I2427,""))</f>
        <v/>
      </c>
    </row>
    <row r="2428">
      <c r="A2428" s="1" t="n"/>
      <c r="B2428" s="26" t="n"/>
      <c r="C2428" s="27" t="n"/>
      <c r="D2428" s="28" t="n"/>
      <c r="E2428" s="29" t="n"/>
      <c r="F2428" s="29" t="n"/>
      <c r="G2428" s="28" t="n"/>
      <c r="H2428" s="1" t="n"/>
      <c r="I2428">
        <f>IF(OR(B2428="",C2428=""),"",B2428+MOD(C2428,1))</f>
        <v/>
      </c>
      <c r="J2428">
        <f>IF(I2428="","",IF(B2428=Dashboard!$AA$1,I2428,""))</f>
        <v/>
      </c>
    </row>
    <row r="2429">
      <c r="A2429" s="1" t="n"/>
      <c r="B2429" s="26" t="n"/>
      <c r="C2429" s="27" t="n"/>
      <c r="D2429" s="28" t="n"/>
      <c r="E2429" s="29" t="n"/>
      <c r="F2429" s="29" t="n"/>
      <c r="G2429" s="28" t="n"/>
      <c r="H2429" s="1" t="n"/>
      <c r="I2429">
        <f>IF(OR(B2429="",C2429=""),"",B2429+MOD(C2429,1))</f>
        <v/>
      </c>
      <c r="J2429">
        <f>IF(I2429="","",IF(B2429=Dashboard!$AA$1,I2429,""))</f>
        <v/>
      </c>
    </row>
    <row r="2430">
      <c r="A2430" s="1" t="n"/>
      <c r="B2430" s="26" t="n"/>
      <c r="C2430" s="27" t="n"/>
      <c r="D2430" s="28" t="n"/>
      <c r="E2430" s="29" t="n"/>
      <c r="F2430" s="29" t="n"/>
      <c r="G2430" s="28" t="n"/>
      <c r="H2430" s="1" t="n"/>
      <c r="I2430">
        <f>IF(OR(B2430="",C2430=""),"",B2430+MOD(C2430,1))</f>
        <v/>
      </c>
      <c r="J2430">
        <f>IF(I2430="","",IF(B2430=Dashboard!$AA$1,I2430,""))</f>
        <v/>
      </c>
    </row>
    <row r="2431">
      <c r="A2431" s="1" t="n"/>
      <c r="B2431" s="26" t="n"/>
      <c r="C2431" s="27" t="n"/>
      <c r="D2431" s="28" t="n"/>
      <c r="E2431" s="29" t="n"/>
      <c r="F2431" s="29" t="n"/>
      <c r="G2431" s="28" t="n"/>
      <c r="H2431" s="1" t="n"/>
      <c r="I2431">
        <f>IF(OR(B2431="",C2431=""),"",B2431+MOD(C2431,1))</f>
        <v/>
      </c>
      <c r="J2431">
        <f>IF(I2431="","",IF(B2431=Dashboard!$AA$1,I2431,""))</f>
        <v/>
      </c>
    </row>
    <row r="2432">
      <c r="A2432" s="1" t="n"/>
      <c r="B2432" s="26" t="n"/>
      <c r="C2432" s="27" t="n"/>
      <c r="D2432" s="28" t="n"/>
      <c r="E2432" s="29" t="n"/>
      <c r="F2432" s="29" t="n"/>
      <c r="G2432" s="28" t="n"/>
      <c r="H2432" s="1" t="n"/>
      <c r="I2432">
        <f>IF(OR(B2432="",C2432=""),"",B2432+MOD(C2432,1))</f>
        <v/>
      </c>
      <c r="J2432">
        <f>IF(I2432="","",IF(B2432=Dashboard!$AA$1,I2432,""))</f>
        <v/>
      </c>
    </row>
    <row r="2433">
      <c r="A2433" s="1" t="n"/>
      <c r="B2433" s="26" t="n"/>
      <c r="C2433" s="27" t="n"/>
      <c r="D2433" s="28" t="n"/>
      <c r="E2433" s="29" t="n"/>
      <c r="F2433" s="29" t="n"/>
      <c r="G2433" s="28" t="n"/>
      <c r="H2433" s="1" t="n"/>
      <c r="I2433">
        <f>IF(OR(B2433="",C2433=""),"",B2433+MOD(C2433,1))</f>
        <v/>
      </c>
      <c r="J2433">
        <f>IF(I2433="","",IF(B2433=Dashboard!$AA$1,I2433,""))</f>
        <v/>
      </c>
    </row>
    <row r="2434">
      <c r="A2434" s="1" t="n"/>
      <c r="B2434" s="26" t="n"/>
      <c r="C2434" s="27" t="n"/>
      <c r="D2434" s="28" t="n"/>
      <c r="E2434" s="29" t="n"/>
      <c r="F2434" s="29" t="n"/>
      <c r="G2434" s="28" t="n"/>
      <c r="H2434" s="1" t="n"/>
      <c r="I2434">
        <f>IF(OR(B2434="",C2434=""),"",B2434+MOD(C2434,1))</f>
        <v/>
      </c>
      <c r="J2434">
        <f>IF(I2434="","",IF(B2434=Dashboard!$AA$1,I2434,""))</f>
        <v/>
      </c>
    </row>
    <row r="2435">
      <c r="A2435" s="1" t="n"/>
      <c r="B2435" s="26" t="n"/>
      <c r="C2435" s="27" t="n"/>
      <c r="D2435" s="28" t="n"/>
      <c r="E2435" s="29" t="n"/>
      <c r="F2435" s="29" t="n"/>
      <c r="G2435" s="28" t="n"/>
      <c r="H2435" s="1" t="n"/>
      <c r="I2435">
        <f>IF(OR(B2435="",C2435=""),"",B2435+MOD(C2435,1))</f>
        <v/>
      </c>
      <c r="J2435">
        <f>IF(I2435="","",IF(B2435=Dashboard!$AA$1,I2435,""))</f>
        <v/>
      </c>
    </row>
    <row r="2436">
      <c r="A2436" s="1" t="n"/>
      <c r="B2436" s="26" t="n"/>
      <c r="C2436" s="27" t="n"/>
      <c r="D2436" s="28" t="n"/>
      <c r="E2436" s="29" t="n"/>
      <c r="F2436" s="29" t="n"/>
      <c r="G2436" s="28" t="n"/>
      <c r="H2436" s="1" t="n"/>
      <c r="I2436">
        <f>IF(OR(B2436="",C2436=""),"",B2436+MOD(C2436,1))</f>
        <v/>
      </c>
      <c r="J2436">
        <f>IF(I2436="","",IF(B2436=Dashboard!$AA$1,I2436,""))</f>
        <v/>
      </c>
    </row>
    <row r="2437">
      <c r="A2437" s="1" t="n"/>
      <c r="B2437" s="26" t="n"/>
      <c r="C2437" s="27" t="n"/>
      <c r="D2437" s="28" t="n"/>
      <c r="E2437" s="29" t="n"/>
      <c r="F2437" s="29" t="n"/>
      <c r="G2437" s="28" t="n"/>
      <c r="H2437" s="1" t="n"/>
      <c r="I2437">
        <f>IF(OR(B2437="",C2437=""),"",B2437+MOD(C2437,1))</f>
        <v/>
      </c>
      <c r="J2437">
        <f>IF(I2437="","",IF(B2437=Dashboard!$AA$1,I2437,""))</f>
        <v/>
      </c>
    </row>
    <row r="2438">
      <c r="A2438" s="1" t="n"/>
      <c r="B2438" s="26" t="n"/>
      <c r="C2438" s="27" t="n"/>
      <c r="D2438" s="28" t="n"/>
      <c r="E2438" s="29" t="n"/>
      <c r="F2438" s="29" t="n"/>
      <c r="G2438" s="28" t="n"/>
      <c r="H2438" s="1" t="n"/>
      <c r="I2438">
        <f>IF(OR(B2438="",C2438=""),"",B2438+MOD(C2438,1))</f>
        <v/>
      </c>
      <c r="J2438">
        <f>IF(I2438="","",IF(B2438=Dashboard!$AA$1,I2438,""))</f>
        <v/>
      </c>
    </row>
    <row r="2439">
      <c r="A2439" s="1" t="n"/>
      <c r="B2439" s="26" t="n"/>
      <c r="C2439" s="27" t="n"/>
      <c r="D2439" s="28" t="n"/>
      <c r="E2439" s="29" t="n"/>
      <c r="F2439" s="29" t="n"/>
      <c r="G2439" s="28" t="n"/>
      <c r="H2439" s="1" t="n"/>
      <c r="I2439">
        <f>IF(OR(B2439="",C2439=""),"",B2439+MOD(C2439,1))</f>
        <v/>
      </c>
      <c r="J2439">
        <f>IF(I2439="","",IF(B2439=Dashboard!$AA$1,I2439,""))</f>
        <v/>
      </c>
    </row>
    <row r="2440">
      <c r="A2440" s="1" t="n"/>
      <c r="B2440" s="26" t="n"/>
      <c r="C2440" s="27" t="n"/>
      <c r="D2440" s="28" t="n"/>
      <c r="E2440" s="29" t="n"/>
      <c r="F2440" s="29" t="n"/>
      <c r="G2440" s="28" t="n"/>
      <c r="H2440" s="1" t="n"/>
      <c r="I2440">
        <f>IF(OR(B2440="",C2440=""),"",B2440+MOD(C2440,1))</f>
        <v/>
      </c>
      <c r="J2440">
        <f>IF(I2440="","",IF(B2440=Dashboard!$AA$1,I2440,""))</f>
        <v/>
      </c>
    </row>
    <row r="2441">
      <c r="A2441" s="1" t="n"/>
      <c r="B2441" s="26" t="n"/>
      <c r="C2441" s="27" t="n"/>
      <c r="D2441" s="28" t="n"/>
      <c r="E2441" s="29" t="n"/>
      <c r="F2441" s="29" t="n"/>
      <c r="G2441" s="28" t="n"/>
      <c r="H2441" s="1" t="n"/>
      <c r="I2441">
        <f>IF(OR(B2441="",C2441=""),"",B2441+MOD(C2441,1))</f>
        <v/>
      </c>
      <c r="J2441">
        <f>IF(I2441="","",IF(B2441=Dashboard!$AA$1,I2441,""))</f>
        <v/>
      </c>
    </row>
    <row r="2442">
      <c r="A2442" s="1" t="n"/>
      <c r="B2442" s="26" t="n"/>
      <c r="C2442" s="27" t="n"/>
      <c r="D2442" s="28" t="n"/>
      <c r="E2442" s="29" t="n"/>
      <c r="F2442" s="29" t="n"/>
      <c r="G2442" s="28" t="n"/>
      <c r="H2442" s="1" t="n"/>
      <c r="I2442">
        <f>IF(OR(B2442="",C2442=""),"",B2442+MOD(C2442,1))</f>
        <v/>
      </c>
      <c r="J2442">
        <f>IF(I2442="","",IF(B2442=Dashboard!$AA$1,I2442,""))</f>
        <v/>
      </c>
    </row>
    <row r="2443">
      <c r="A2443" s="1" t="n"/>
      <c r="B2443" s="26" t="n"/>
      <c r="C2443" s="27" t="n"/>
      <c r="D2443" s="28" t="n"/>
      <c r="E2443" s="29" t="n"/>
      <c r="F2443" s="29" t="n"/>
      <c r="G2443" s="28" t="n"/>
      <c r="H2443" s="1" t="n"/>
      <c r="I2443">
        <f>IF(OR(B2443="",C2443=""),"",B2443+MOD(C2443,1))</f>
        <v/>
      </c>
      <c r="J2443">
        <f>IF(I2443="","",IF(B2443=Dashboard!$AA$1,I2443,""))</f>
        <v/>
      </c>
    </row>
    <row r="2444">
      <c r="A2444" s="1" t="n"/>
      <c r="B2444" s="26" t="n"/>
      <c r="C2444" s="27" t="n"/>
      <c r="D2444" s="28" t="n"/>
      <c r="E2444" s="29" t="n"/>
      <c r="F2444" s="29" t="n"/>
      <c r="G2444" s="28" t="n"/>
      <c r="H2444" s="1" t="n"/>
      <c r="I2444">
        <f>IF(OR(B2444="",C2444=""),"",B2444+MOD(C2444,1))</f>
        <v/>
      </c>
      <c r="J2444">
        <f>IF(I2444="","",IF(B2444=Dashboard!$AA$1,I2444,""))</f>
        <v/>
      </c>
    </row>
    <row r="2445">
      <c r="A2445" s="1" t="n"/>
      <c r="B2445" s="26" t="n"/>
      <c r="C2445" s="27" t="n"/>
      <c r="D2445" s="28" t="n"/>
      <c r="E2445" s="29" t="n"/>
      <c r="F2445" s="29" t="n"/>
      <c r="G2445" s="28" t="n"/>
      <c r="H2445" s="1" t="n"/>
      <c r="I2445">
        <f>IF(OR(B2445="",C2445=""),"",B2445+MOD(C2445,1))</f>
        <v/>
      </c>
      <c r="J2445">
        <f>IF(I2445="","",IF(B2445=Dashboard!$AA$1,I2445,""))</f>
        <v/>
      </c>
    </row>
    <row r="2446">
      <c r="A2446" s="1" t="n"/>
      <c r="B2446" s="26" t="n"/>
      <c r="C2446" s="27" t="n"/>
      <c r="D2446" s="28" t="n"/>
      <c r="E2446" s="29" t="n"/>
      <c r="F2446" s="29" t="n"/>
      <c r="G2446" s="28" t="n"/>
      <c r="H2446" s="1" t="n"/>
      <c r="I2446">
        <f>IF(OR(B2446="",C2446=""),"",B2446+MOD(C2446,1))</f>
        <v/>
      </c>
      <c r="J2446">
        <f>IF(I2446="","",IF(B2446=Dashboard!$AA$1,I2446,""))</f>
        <v/>
      </c>
    </row>
    <row r="2447">
      <c r="A2447" s="1" t="n"/>
      <c r="B2447" s="26" t="n"/>
      <c r="C2447" s="27" t="n"/>
      <c r="D2447" s="28" t="n"/>
      <c r="E2447" s="29" t="n"/>
      <c r="F2447" s="29" t="n"/>
      <c r="G2447" s="28" t="n"/>
      <c r="H2447" s="1" t="n"/>
      <c r="I2447">
        <f>IF(OR(B2447="",C2447=""),"",B2447+MOD(C2447,1))</f>
        <v/>
      </c>
      <c r="J2447">
        <f>IF(I2447="","",IF(B2447=Dashboard!$AA$1,I2447,""))</f>
        <v/>
      </c>
    </row>
    <row r="2448">
      <c r="A2448" s="1" t="n"/>
      <c r="B2448" s="26" t="n"/>
      <c r="C2448" s="27" t="n"/>
      <c r="D2448" s="28" t="n"/>
      <c r="E2448" s="29" t="n"/>
      <c r="F2448" s="29" t="n"/>
      <c r="G2448" s="28" t="n"/>
      <c r="H2448" s="1" t="n"/>
      <c r="I2448">
        <f>IF(OR(B2448="",C2448=""),"",B2448+MOD(C2448,1))</f>
        <v/>
      </c>
      <c r="J2448">
        <f>IF(I2448="","",IF(B2448=Dashboard!$AA$1,I2448,""))</f>
        <v/>
      </c>
    </row>
    <row r="2449">
      <c r="A2449" s="1" t="n"/>
      <c r="B2449" s="26" t="n"/>
      <c r="C2449" s="27" t="n"/>
      <c r="D2449" s="28" t="n"/>
      <c r="E2449" s="29" t="n"/>
      <c r="F2449" s="29" t="n"/>
      <c r="G2449" s="28" t="n"/>
      <c r="H2449" s="1" t="n"/>
      <c r="I2449">
        <f>IF(OR(B2449="",C2449=""),"",B2449+MOD(C2449,1))</f>
        <v/>
      </c>
      <c r="J2449">
        <f>IF(I2449="","",IF(B2449=Dashboard!$AA$1,I2449,""))</f>
        <v/>
      </c>
    </row>
    <row r="2450">
      <c r="A2450" s="1" t="n"/>
      <c r="B2450" s="26" t="n"/>
      <c r="C2450" s="27" t="n"/>
      <c r="D2450" s="28" t="n"/>
      <c r="E2450" s="29" t="n"/>
      <c r="F2450" s="29" t="n"/>
      <c r="G2450" s="28" t="n"/>
      <c r="H2450" s="1" t="n"/>
      <c r="I2450">
        <f>IF(OR(B2450="",C2450=""),"",B2450+MOD(C2450,1))</f>
        <v/>
      </c>
      <c r="J2450">
        <f>IF(I2450="","",IF(B2450=Dashboard!$AA$1,I2450,""))</f>
        <v/>
      </c>
    </row>
    <row r="2451">
      <c r="A2451" s="1" t="n"/>
      <c r="B2451" s="26" t="n"/>
      <c r="C2451" s="27" t="n"/>
      <c r="D2451" s="28" t="n"/>
      <c r="E2451" s="29" t="n"/>
      <c r="F2451" s="29" t="n"/>
      <c r="G2451" s="28" t="n"/>
      <c r="H2451" s="1" t="n"/>
      <c r="I2451">
        <f>IF(OR(B2451="",C2451=""),"",B2451+MOD(C2451,1))</f>
        <v/>
      </c>
      <c r="J2451">
        <f>IF(I2451="","",IF(B2451=Dashboard!$AA$1,I2451,""))</f>
        <v/>
      </c>
    </row>
    <row r="2452">
      <c r="A2452" s="1" t="n"/>
      <c r="B2452" s="26" t="n"/>
      <c r="C2452" s="27" t="n"/>
      <c r="D2452" s="28" t="n"/>
      <c r="E2452" s="29" t="n"/>
      <c r="F2452" s="29" t="n"/>
      <c r="G2452" s="28" t="n"/>
      <c r="H2452" s="1" t="n"/>
      <c r="I2452">
        <f>IF(OR(B2452="",C2452=""),"",B2452+MOD(C2452,1))</f>
        <v/>
      </c>
      <c r="J2452">
        <f>IF(I2452="","",IF(B2452=Dashboard!$AA$1,I2452,""))</f>
        <v/>
      </c>
    </row>
    <row r="2453">
      <c r="A2453" s="1" t="n"/>
      <c r="B2453" s="26" t="n"/>
      <c r="C2453" s="27" t="n"/>
      <c r="D2453" s="28" t="n"/>
      <c r="E2453" s="29" t="n"/>
      <c r="F2453" s="29" t="n"/>
      <c r="G2453" s="28" t="n"/>
      <c r="H2453" s="1" t="n"/>
      <c r="I2453">
        <f>IF(OR(B2453="",C2453=""),"",B2453+MOD(C2453,1))</f>
        <v/>
      </c>
      <c r="J2453">
        <f>IF(I2453="","",IF(B2453=Dashboard!$AA$1,I2453,""))</f>
        <v/>
      </c>
    </row>
    <row r="2454">
      <c r="A2454" s="1" t="n"/>
      <c r="B2454" s="26" t="n"/>
      <c r="C2454" s="27" t="n"/>
      <c r="D2454" s="28" t="n"/>
      <c r="E2454" s="29" t="n"/>
      <c r="F2454" s="29" t="n"/>
      <c r="G2454" s="28" t="n"/>
      <c r="H2454" s="1" t="n"/>
      <c r="I2454">
        <f>IF(OR(B2454="",C2454=""),"",B2454+MOD(C2454,1))</f>
        <v/>
      </c>
      <c r="J2454">
        <f>IF(I2454="","",IF(B2454=Dashboard!$AA$1,I2454,""))</f>
        <v/>
      </c>
    </row>
    <row r="2455">
      <c r="A2455" s="1" t="n"/>
      <c r="B2455" s="26" t="n"/>
      <c r="C2455" s="27" t="n"/>
      <c r="D2455" s="28" t="n"/>
      <c r="E2455" s="29" t="n"/>
      <c r="F2455" s="29" t="n"/>
      <c r="G2455" s="28" t="n"/>
      <c r="H2455" s="1" t="n"/>
      <c r="I2455">
        <f>IF(OR(B2455="",C2455=""),"",B2455+MOD(C2455,1))</f>
        <v/>
      </c>
      <c r="J2455">
        <f>IF(I2455="","",IF(B2455=Dashboard!$AA$1,I2455,""))</f>
        <v/>
      </c>
    </row>
    <row r="2456">
      <c r="A2456" s="1" t="n"/>
      <c r="B2456" s="26" t="n"/>
      <c r="C2456" s="27" t="n"/>
      <c r="D2456" s="28" t="n"/>
      <c r="E2456" s="29" t="n"/>
      <c r="F2456" s="29" t="n"/>
      <c r="G2456" s="28" t="n"/>
      <c r="H2456" s="1" t="n"/>
      <c r="I2456">
        <f>IF(OR(B2456="",C2456=""),"",B2456+MOD(C2456,1))</f>
        <v/>
      </c>
      <c r="J2456">
        <f>IF(I2456="","",IF(B2456=Dashboard!$AA$1,I2456,""))</f>
        <v/>
      </c>
    </row>
    <row r="2457">
      <c r="A2457" s="1" t="n"/>
      <c r="B2457" s="26" t="n"/>
      <c r="C2457" s="27" t="n"/>
      <c r="D2457" s="28" t="n"/>
      <c r="E2457" s="29" t="n"/>
      <c r="F2457" s="29" t="n"/>
      <c r="G2457" s="28" t="n"/>
      <c r="H2457" s="1" t="n"/>
      <c r="I2457">
        <f>IF(OR(B2457="",C2457=""),"",B2457+MOD(C2457,1))</f>
        <v/>
      </c>
      <c r="J2457">
        <f>IF(I2457="","",IF(B2457=Dashboard!$AA$1,I2457,""))</f>
        <v/>
      </c>
    </row>
    <row r="2458">
      <c r="A2458" s="1" t="n"/>
      <c r="B2458" s="26" t="n"/>
      <c r="C2458" s="27" t="n"/>
      <c r="D2458" s="28" t="n"/>
      <c r="E2458" s="29" t="n"/>
      <c r="F2458" s="29" t="n"/>
      <c r="G2458" s="28" t="n"/>
      <c r="H2458" s="1" t="n"/>
      <c r="I2458">
        <f>IF(OR(B2458="",C2458=""),"",B2458+MOD(C2458,1))</f>
        <v/>
      </c>
      <c r="J2458">
        <f>IF(I2458="","",IF(B2458=Dashboard!$AA$1,I2458,""))</f>
        <v/>
      </c>
    </row>
    <row r="2459">
      <c r="A2459" s="1" t="n"/>
      <c r="B2459" s="26" t="n"/>
      <c r="C2459" s="27" t="n"/>
      <c r="D2459" s="28" t="n"/>
      <c r="E2459" s="29" t="n"/>
      <c r="F2459" s="29" t="n"/>
      <c r="G2459" s="28" t="n"/>
      <c r="H2459" s="1" t="n"/>
      <c r="I2459">
        <f>IF(OR(B2459="",C2459=""),"",B2459+MOD(C2459,1))</f>
        <v/>
      </c>
      <c r="J2459">
        <f>IF(I2459="","",IF(B2459=Dashboard!$AA$1,I2459,""))</f>
        <v/>
      </c>
    </row>
    <row r="2460">
      <c r="A2460" s="1" t="n"/>
      <c r="B2460" s="26" t="n"/>
      <c r="C2460" s="27" t="n"/>
      <c r="D2460" s="28" t="n"/>
      <c r="E2460" s="29" t="n"/>
      <c r="F2460" s="29" t="n"/>
      <c r="G2460" s="28" t="n"/>
      <c r="H2460" s="1" t="n"/>
      <c r="I2460">
        <f>IF(OR(B2460="",C2460=""),"",B2460+MOD(C2460,1))</f>
        <v/>
      </c>
      <c r="J2460">
        <f>IF(I2460="","",IF(B2460=Dashboard!$AA$1,I2460,""))</f>
        <v/>
      </c>
    </row>
    <row r="2461">
      <c r="A2461" s="1" t="n"/>
      <c r="B2461" s="26" t="n"/>
      <c r="C2461" s="27" t="n"/>
      <c r="D2461" s="28" t="n"/>
      <c r="E2461" s="29" t="n"/>
      <c r="F2461" s="29" t="n"/>
      <c r="G2461" s="28" t="n"/>
      <c r="H2461" s="1" t="n"/>
      <c r="I2461">
        <f>IF(OR(B2461="",C2461=""),"",B2461+MOD(C2461,1))</f>
        <v/>
      </c>
      <c r="J2461">
        <f>IF(I2461="","",IF(B2461=Dashboard!$AA$1,I2461,""))</f>
        <v/>
      </c>
    </row>
    <row r="2462">
      <c r="A2462" s="1" t="n"/>
      <c r="B2462" s="26" t="n"/>
      <c r="C2462" s="27" t="n"/>
      <c r="D2462" s="28" t="n"/>
      <c r="E2462" s="29" t="n"/>
      <c r="F2462" s="29" t="n"/>
      <c r="G2462" s="28" t="n"/>
      <c r="H2462" s="1" t="n"/>
      <c r="I2462">
        <f>IF(OR(B2462="",C2462=""),"",B2462+MOD(C2462,1))</f>
        <v/>
      </c>
      <c r="J2462">
        <f>IF(I2462="","",IF(B2462=Dashboard!$AA$1,I2462,""))</f>
        <v/>
      </c>
    </row>
    <row r="2463">
      <c r="A2463" s="1" t="n"/>
      <c r="B2463" s="26" t="n"/>
      <c r="C2463" s="27" t="n"/>
      <c r="D2463" s="28" t="n"/>
      <c r="E2463" s="29" t="n"/>
      <c r="F2463" s="29" t="n"/>
      <c r="G2463" s="28" t="n"/>
      <c r="H2463" s="1" t="n"/>
      <c r="I2463">
        <f>IF(OR(B2463="",C2463=""),"",B2463+MOD(C2463,1))</f>
        <v/>
      </c>
      <c r="J2463">
        <f>IF(I2463="","",IF(B2463=Dashboard!$AA$1,I2463,""))</f>
        <v/>
      </c>
    </row>
    <row r="2464">
      <c r="A2464" s="1" t="n"/>
      <c r="B2464" s="26" t="n"/>
      <c r="C2464" s="27" t="n"/>
      <c r="D2464" s="28" t="n"/>
      <c r="E2464" s="29" t="n"/>
      <c r="F2464" s="29" t="n"/>
      <c r="G2464" s="28" t="n"/>
      <c r="H2464" s="1" t="n"/>
      <c r="I2464">
        <f>IF(OR(B2464="",C2464=""),"",B2464+MOD(C2464,1))</f>
        <v/>
      </c>
      <c r="J2464">
        <f>IF(I2464="","",IF(B2464=Dashboard!$AA$1,I2464,""))</f>
        <v/>
      </c>
    </row>
    <row r="2465">
      <c r="A2465" s="1" t="n"/>
      <c r="B2465" s="26" t="n"/>
      <c r="C2465" s="27" t="n"/>
      <c r="D2465" s="28" t="n"/>
      <c r="E2465" s="29" t="n"/>
      <c r="F2465" s="29" t="n"/>
      <c r="G2465" s="28" t="n"/>
      <c r="H2465" s="1" t="n"/>
      <c r="I2465">
        <f>IF(OR(B2465="",C2465=""),"",B2465+MOD(C2465,1))</f>
        <v/>
      </c>
      <c r="J2465">
        <f>IF(I2465="","",IF(B2465=Dashboard!$AA$1,I2465,""))</f>
        <v/>
      </c>
    </row>
    <row r="2466">
      <c r="A2466" s="1" t="n"/>
      <c r="B2466" s="26" t="n"/>
      <c r="C2466" s="27" t="n"/>
      <c r="D2466" s="28" t="n"/>
      <c r="E2466" s="29" t="n"/>
      <c r="F2466" s="29" t="n"/>
      <c r="G2466" s="28" t="n"/>
      <c r="H2466" s="1" t="n"/>
      <c r="I2466">
        <f>IF(OR(B2466="",C2466=""),"",B2466+MOD(C2466,1))</f>
        <v/>
      </c>
      <c r="J2466">
        <f>IF(I2466="","",IF(B2466=Dashboard!$AA$1,I2466,""))</f>
        <v/>
      </c>
    </row>
    <row r="2467">
      <c r="A2467" s="1" t="n"/>
      <c r="B2467" s="26" t="n"/>
      <c r="C2467" s="27" t="n"/>
      <c r="D2467" s="28" t="n"/>
      <c r="E2467" s="29" t="n"/>
      <c r="F2467" s="29" t="n"/>
      <c r="G2467" s="28" t="n"/>
      <c r="H2467" s="1" t="n"/>
      <c r="I2467">
        <f>IF(OR(B2467="",C2467=""),"",B2467+MOD(C2467,1))</f>
        <v/>
      </c>
      <c r="J2467">
        <f>IF(I2467="","",IF(B2467=Dashboard!$AA$1,I2467,""))</f>
        <v/>
      </c>
    </row>
    <row r="2468">
      <c r="A2468" s="1" t="n"/>
      <c r="B2468" s="26" t="n"/>
      <c r="C2468" s="27" t="n"/>
      <c r="D2468" s="28" t="n"/>
      <c r="E2468" s="29" t="n"/>
      <c r="F2468" s="29" t="n"/>
      <c r="G2468" s="28" t="n"/>
      <c r="H2468" s="1" t="n"/>
      <c r="I2468">
        <f>IF(OR(B2468="",C2468=""),"",B2468+MOD(C2468,1))</f>
        <v/>
      </c>
      <c r="J2468">
        <f>IF(I2468="","",IF(B2468=Dashboard!$AA$1,I2468,""))</f>
        <v/>
      </c>
    </row>
    <row r="2469">
      <c r="A2469" s="1" t="n"/>
      <c r="B2469" s="26" t="n"/>
      <c r="C2469" s="27" t="n"/>
      <c r="D2469" s="28" t="n"/>
      <c r="E2469" s="29" t="n"/>
      <c r="F2469" s="29" t="n"/>
      <c r="G2469" s="28" t="n"/>
      <c r="H2469" s="1" t="n"/>
      <c r="I2469">
        <f>IF(OR(B2469="",C2469=""),"",B2469+MOD(C2469,1))</f>
        <v/>
      </c>
      <c r="J2469">
        <f>IF(I2469="","",IF(B2469=Dashboard!$AA$1,I2469,""))</f>
        <v/>
      </c>
    </row>
    <row r="2470">
      <c r="A2470" s="1" t="n"/>
      <c r="B2470" s="26" t="n"/>
      <c r="C2470" s="27" t="n"/>
      <c r="D2470" s="28" t="n"/>
      <c r="E2470" s="29" t="n"/>
      <c r="F2470" s="29" t="n"/>
      <c r="G2470" s="28" t="n"/>
      <c r="H2470" s="1" t="n"/>
      <c r="I2470">
        <f>IF(OR(B2470="",C2470=""),"",B2470+MOD(C2470,1))</f>
        <v/>
      </c>
      <c r="J2470">
        <f>IF(I2470="","",IF(B2470=Dashboard!$AA$1,I2470,""))</f>
        <v/>
      </c>
    </row>
    <row r="2471">
      <c r="A2471" s="1" t="n"/>
      <c r="B2471" s="26" t="n"/>
      <c r="C2471" s="27" t="n"/>
      <c r="D2471" s="28" t="n"/>
      <c r="E2471" s="29" t="n"/>
      <c r="F2471" s="29" t="n"/>
      <c r="G2471" s="28" t="n"/>
      <c r="H2471" s="1" t="n"/>
      <c r="I2471">
        <f>IF(OR(B2471="",C2471=""),"",B2471+MOD(C2471,1))</f>
        <v/>
      </c>
      <c r="J2471">
        <f>IF(I2471="","",IF(B2471=Dashboard!$AA$1,I2471,""))</f>
        <v/>
      </c>
    </row>
    <row r="2472">
      <c r="A2472" s="1" t="n"/>
      <c r="B2472" s="26" t="n"/>
      <c r="C2472" s="27" t="n"/>
      <c r="D2472" s="28" t="n"/>
      <c r="E2472" s="29" t="n"/>
      <c r="F2472" s="29" t="n"/>
      <c r="G2472" s="28" t="n"/>
      <c r="H2472" s="1" t="n"/>
      <c r="I2472">
        <f>IF(OR(B2472="",C2472=""),"",B2472+MOD(C2472,1))</f>
        <v/>
      </c>
      <c r="J2472">
        <f>IF(I2472="","",IF(B2472=Dashboard!$AA$1,I2472,""))</f>
        <v/>
      </c>
    </row>
    <row r="2473">
      <c r="A2473" s="1" t="n"/>
      <c r="B2473" s="26" t="n"/>
      <c r="C2473" s="27" t="n"/>
      <c r="D2473" s="28" t="n"/>
      <c r="E2473" s="29" t="n"/>
      <c r="F2473" s="29" t="n"/>
      <c r="G2473" s="28" t="n"/>
      <c r="H2473" s="1" t="n"/>
      <c r="I2473">
        <f>IF(OR(B2473="",C2473=""),"",B2473+MOD(C2473,1))</f>
        <v/>
      </c>
      <c r="J2473">
        <f>IF(I2473="","",IF(B2473=Dashboard!$AA$1,I2473,""))</f>
        <v/>
      </c>
    </row>
    <row r="2474">
      <c r="A2474" s="1" t="n"/>
      <c r="B2474" s="26" t="n"/>
      <c r="C2474" s="27" t="n"/>
      <c r="D2474" s="28" t="n"/>
      <c r="E2474" s="29" t="n"/>
      <c r="F2474" s="29" t="n"/>
      <c r="G2474" s="28" t="n"/>
      <c r="H2474" s="1" t="n"/>
      <c r="I2474">
        <f>IF(OR(B2474="",C2474=""),"",B2474+MOD(C2474,1))</f>
        <v/>
      </c>
      <c r="J2474">
        <f>IF(I2474="","",IF(B2474=Dashboard!$AA$1,I2474,""))</f>
        <v/>
      </c>
    </row>
    <row r="2475">
      <c r="A2475" s="1" t="n"/>
      <c r="B2475" s="26" t="n"/>
      <c r="C2475" s="27" t="n"/>
      <c r="D2475" s="28" t="n"/>
      <c r="E2475" s="29" t="n"/>
      <c r="F2475" s="29" t="n"/>
      <c r="G2475" s="28" t="n"/>
      <c r="H2475" s="1" t="n"/>
      <c r="I2475">
        <f>IF(OR(B2475="",C2475=""),"",B2475+MOD(C2475,1))</f>
        <v/>
      </c>
      <c r="J2475">
        <f>IF(I2475="","",IF(B2475=Dashboard!$AA$1,I2475,""))</f>
        <v/>
      </c>
    </row>
    <row r="2476">
      <c r="A2476" s="1" t="n"/>
      <c r="B2476" s="26" t="n"/>
      <c r="C2476" s="27" t="n"/>
      <c r="D2476" s="28" t="n"/>
      <c r="E2476" s="29" t="n"/>
      <c r="F2476" s="29" t="n"/>
      <c r="G2476" s="28" t="n"/>
      <c r="H2476" s="1" t="n"/>
      <c r="I2476">
        <f>IF(OR(B2476="",C2476=""),"",B2476+MOD(C2476,1))</f>
        <v/>
      </c>
      <c r="J2476">
        <f>IF(I2476="","",IF(B2476=Dashboard!$AA$1,I2476,""))</f>
        <v/>
      </c>
    </row>
    <row r="2477">
      <c r="A2477" s="1" t="n"/>
      <c r="B2477" s="26" t="n"/>
      <c r="C2477" s="27" t="n"/>
      <c r="D2477" s="28" t="n"/>
      <c r="E2477" s="29" t="n"/>
      <c r="F2477" s="29" t="n"/>
      <c r="G2477" s="28" t="n"/>
      <c r="H2477" s="1" t="n"/>
      <c r="I2477">
        <f>IF(OR(B2477="",C2477=""),"",B2477+MOD(C2477,1))</f>
        <v/>
      </c>
      <c r="J2477">
        <f>IF(I2477="","",IF(B2477=Dashboard!$AA$1,I2477,""))</f>
        <v/>
      </c>
    </row>
    <row r="2478">
      <c r="A2478" s="1" t="n"/>
      <c r="B2478" s="26" t="n"/>
      <c r="C2478" s="27" t="n"/>
      <c r="D2478" s="28" t="n"/>
      <c r="E2478" s="29" t="n"/>
      <c r="F2478" s="29" t="n"/>
      <c r="G2478" s="28" t="n"/>
      <c r="H2478" s="1" t="n"/>
      <c r="I2478">
        <f>IF(OR(B2478="",C2478=""),"",B2478+MOD(C2478,1))</f>
        <v/>
      </c>
      <c r="J2478">
        <f>IF(I2478="","",IF(B2478=Dashboard!$AA$1,I2478,""))</f>
        <v/>
      </c>
    </row>
    <row r="2479">
      <c r="A2479" s="1" t="n"/>
      <c r="B2479" s="26" t="n"/>
      <c r="C2479" s="27" t="n"/>
      <c r="D2479" s="28" t="n"/>
      <c r="E2479" s="29" t="n"/>
      <c r="F2479" s="29" t="n"/>
      <c r="G2479" s="28" t="n"/>
      <c r="H2479" s="1" t="n"/>
      <c r="I2479">
        <f>IF(OR(B2479="",C2479=""),"",B2479+MOD(C2479,1))</f>
        <v/>
      </c>
      <c r="J2479">
        <f>IF(I2479="","",IF(B2479=Dashboard!$AA$1,I2479,""))</f>
        <v/>
      </c>
    </row>
    <row r="2480">
      <c r="A2480" s="1" t="n"/>
      <c r="B2480" s="26" t="n"/>
      <c r="C2480" s="27" t="n"/>
      <c r="D2480" s="28" t="n"/>
      <c r="E2480" s="29" t="n"/>
      <c r="F2480" s="29" t="n"/>
      <c r="G2480" s="28" t="n"/>
      <c r="H2480" s="1" t="n"/>
      <c r="I2480">
        <f>IF(OR(B2480="",C2480=""),"",B2480+MOD(C2480,1))</f>
        <v/>
      </c>
      <c r="J2480">
        <f>IF(I2480="","",IF(B2480=Dashboard!$AA$1,I2480,""))</f>
        <v/>
      </c>
    </row>
    <row r="2481">
      <c r="A2481" s="1" t="n"/>
      <c r="B2481" s="26" t="n"/>
      <c r="C2481" s="27" t="n"/>
      <c r="D2481" s="28" t="n"/>
      <c r="E2481" s="29" t="n"/>
      <c r="F2481" s="29" t="n"/>
      <c r="G2481" s="28" t="n"/>
      <c r="H2481" s="1" t="n"/>
      <c r="I2481">
        <f>IF(OR(B2481="",C2481=""),"",B2481+MOD(C2481,1))</f>
        <v/>
      </c>
      <c r="J2481">
        <f>IF(I2481="","",IF(B2481=Dashboard!$AA$1,I2481,""))</f>
        <v/>
      </c>
    </row>
    <row r="2482">
      <c r="A2482" s="1" t="n"/>
      <c r="B2482" s="26" t="n"/>
      <c r="C2482" s="27" t="n"/>
      <c r="D2482" s="28" t="n"/>
      <c r="E2482" s="29" t="n"/>
      <c r="F2482" s="29" t="n"/>
      <c r="G2482" s="28" t="n"/>
      <c r="H2482" s="1" t="n"/>
      <c r="I2482">
        <f>IF(OR(B2482="",C2482=""),"",B2482+MOD(C2482,1))</f>
        <v/>
      </c>
      <c r="J2482">
        <f>IF(I2482="","",IF(B2482=Dashboard!$AA$1,I2482,""))</f>
        <v/>
      </c>
    </row>
    <row r="2483">
      <c r="A2483" s="1" t="n"/>
      <c r="B2483" s="26" t="n"/>
      <c r="C2483" s="27" t="n"/>
      <c r="D2483" s="28" t="n"/>
      <c r="E2483" s="29" t="n"/>
      <c r="F2483" s="29" t="n"/>
      <c r="G2483" s="28" t="n"/>
      <c r="H2483" s="1" t="n"/>
      <c r="I2483">
        <f>IF(OR(B2483="",C2483=""),"",B2483+MOD(C2483,1))</f>
        <v/>
      </c>
      <c r="J2483">
        <f>IF(I2483="","",IF(B2483=Dashboard!$AA$1,I2483,""))</f>
        <v/>
      </c>
    </row>
    <row r="2484">
      <c r="A2484" s="1" t="n"/>
      <c r="B2484" s="26" t="n"/>
      <c r="C2484" s="27" t="n"/>
      <c r="D2484" s="28" t="n"/>
      <c r="E2484" s="29" t="n"/>
      <c r="F2484" s="29" t="n"/>
      <c r="G2484" s="28" t="n"/>
      <c r="H2484" s="1" t="n"/>
      <c r="I2484">
        <f>IF(OR(B2484="",C2484=""),"",B2484+MOD(C2484,1))</f>
        <v/>
      </c>
      <c r="J2484">
        <f>IF(I2484="","",IF(B2484=Dashboard!$AA$1,I2484,""))</f>
        <v/>
      </c>
    </row>
    <row r="2485">
      <c r="A2485" s="1" t="n"/>
      <c r="B2485" s="26" t="n"/>
      <c r="C2485" s="27" t="n"/>
      <c r="D2485" s="28" t="n"/>
      <c r="E2485" s="29" t="n"/>
      <c r="F2485" s="29" t="n"/>
      <c r="G2485" s="28" t="n"/>
      <c r="H2485" s="1" t="n"/>
      <c r="I2485">
        <f>IF(OR(B2485="",C2485=""),"",B2485+MOD(C2485,1))</f>
        <v/>
      </c>
      <c r="J2485">
        <f>IF(I2485="","",IF(B2485=Dashboard!$AA$1,I2485,""))</f>
        <v/>
      </c>
    </row>
    <row r="2486">
      <c r="A2486" s="1" t="n"/>
      <c r="B2486" s="26" t="n"/>
      <c r="C2486" s="27" t="n"/>
      <c r="D2486" s="28" t="n"/>
      <c r="E2486" s="29" t="n"/>
      <c r="F2486" s="29" t="n"/>
      <c r="G2486" s="28" t="n"/>
      <c r="H2486" s="1" t="n"/>
      <c r="I2486">
        <f>IF(OR(B2486="",C2486=""),"",B2486+MOD(C2486,1))</f>
        <v/>
      </c>
      <c r="J2486">
        <f>IF(I2486="","",IF(B2486=Dashboard!$AA$1,I2486,""))</f>
        <v/>
      </c>
    </row>
    <row r="2487">
      <c r="A2487" s="1" t="n"/>
      <c r="B2487" s="26" t="n"/>
      <c r="C2487" s="27" t="n"/>
      <c r="D2487" s="28" t="n"/>
      <c r="E2487" s="29" t="n"/>
      <c r="F2487" s="29" t="n"/>
      <c r="G2487" s="28" t="n"/>
      <c r="H2487" s="1" t="n"/>
      <c r="I2487">
        <f>IF(OR(B2487="",C2487=""),"",B2487+MOD(C2487,1))</f>
        <v/>
      </c>
      <c r="J2487">
        <f>IF(I2487="","",IF(B2487=Dashboard!$AA$1,I2487,""))</f>
        <v/>
      </c>
    </row>
    <row r="2488">
      <c r="A2488" s="1" t="n"/>
      <c r="B2488" s="26" t="n"/>
      <c r="C2488" s="27" t="n"/>
      <c r="D2488" s="28" t="n"/>
      <c r="E2488" s="29" t="n"/>
      <c r="F2488" s="29" t="n"/>
      <c r="G2488" s="28" t="n"/>
      <c r="H2488" s="1" t="n"/>
      <c r="I2488">
        <f>IF(OR(B2488="",C2488=""),"",B2488+MOD(C2488,1))</f>
        <v/>
      </c>
      <c r="J2488">
        <f>IF(I2488="","",IF(B2488=Dashboard!$AA$1,I2488,""))</f>
        <v/>
      </c>
    </row>
    <row r="2489">
      <c r="A2489" s="1" t="n"/>
      <c r="B2489" s="26" t="n"/>
      <c r="C2489" s="27" t="n"/>
      <c r="D2489" s="28" t="n"/>
      <c r="E2489" s="29" t="n"/>
      <c r="F2489" s="29" t="n"/>
      <c r="G2489" s="28" t="n"/>
      <c r="H2489" s="1" t="n"/>
      <c r="I2489">
        <f>IF(OR(B2489="",C2489=""),"",B2489+MOD(C2489,1))</f>
        <v/>
      </c>
      <c r="J2489">
        <f>IF(I2489="","",IF(B2489=Dashboard!$AA$1,I2489,""))</f>
        <v/>
      </c>
    </row>
    <row r="2490">
      <c r="A2490" s="1" t="n"/>
      <c r="B2490" s="26" t="n"/>
      <c r="C2490" s="27" t="n"/>
      <c r="D2490" s="28" t="n"/>
      <c r="E2490" s="29" t="n"/>
      <c r="F2490" s="29" t="n"/>
      <c r="G2490" s="28" t="n"/>
      <c r="H2490" s="1" t="n"/>
      <c r="I2490">
        <f>IF(OR(B2490="",C2490=""),"",B2490+MOD(C2490,1))</f>
        <v/>
      </c>
      <c r="J2490">
        <f>IF(I2490="","",IF(B2490=Dashboard!$AA$1,I2490,""))</f>
        <v/>
      </c>
    </row>
    <row r="2491">
      <c r="A2491" s="1" t="n"/>
      <c r="B2491" s="26" t="n"/>
      <c r="C2491" s="27" t="n"/>
      <c r="D2491" s="28" t="n"/>
      <c r="E2491" s="29" t="n"/>
      <c r="F2491" s="29" t="n"/>
      <c r="G2491" s="28" t="n"/>
      <c r="H2491" s="1" t="n"/>
      <c r="I2491">
        <f>IF(OR(B2491="",C2491=""),"",B2491+MOD(C2491,1))</f>
        <v/>
      </c>
      <c r="J2491">
        <f>IF(I2491="","",IF(B2491=Dashboard!$AA$1,I2491,""))</f>
        <v/>
      </c>
    </row>
    <row r="2492">
      <c r="A2492" s="1" t="n"/>
      <c r="B2492" s="26" t="n"/>
      <c r="C2492" s="27" t="n"/>
      <c r="D2492" s="28" t="n"/>
      <c r="E2492" s="29" t="n"/>
      <c r="F2492" s="29" t="n"/>
      <c r="G2492" s="28" t="n"/>
      <c r="H2492" s="1" t="n"/>
      <c r="I2492">
        <f>IF(OR(B2492="",C2492=""),"",B2492+MOD(C2492,1))</f>
        <v/>
      </c>
      <c r="J2492">
        <f>IF(I2492="","",IF(B2492=Dashboard!$AA$1,I2492,""))</f>
        <v/>
      </c>
    </row>
    <row r="2493">
      <c r="A2493" s="1" t="n"/>
      <c r="B2493" s="26" t="n"/>
      <c r="C2493" s="27" t="n"/>
      <c r="D2493" s="28" t="n"/>
      <c r="E2493" s="29" t="n"/>
      <c r="F2493" s="29" t="n"/>
      <c r="G2493" s="28" t="n"/>
      <c r="H2493" s="1" t="n"/>
      <c r="I2493">
        <f>IF(OR(B2493="",C2493=""),"",B2493+MOD(C2493,1))</f>
        <v/>
      </c>
      <c r="J2493">
        <f>IF(I2493="","",IF(B2493=Dashboard!$AA$1,I2493,""))</f>
        <v/>
      </c>
    </row>
    <row r="2494">
      <c r="A2494" s="1" t="n"/>
      <c r="B2494" s="26" t="n"/>
      <c r="C2494" s="27" t="n"/>
      <c r="D2494" s="28" t="n"/>
      <c r="E2494" s="29" t="n"/>
      <c r="F2494" s="29" t="n"/>
      <c r="G2494" s="28" t="n"/>
      <c r="H2494" s="1" t="n"/>
      <c r="I2494">
        <f>IF(OR(B2494="",C2494=""),"",B2494+MOD(C2494,1))</f>
        <v/>
      </c>
      <c r="J2494">
        <f>IF(I2494="","",IF(B2494=Dashboard!$AA$1,I2494,""))</f>
        <v/>
      </c>
    </row>
    <row r="2495">
      <c r="A2495" s="1" t="n"/>
      <c r="B2495" s="26" t="n"/>
      <c r="C2495" s="27" t="n"/>
      <c r="D2495" s="28" t="n"/>
      <c r="E2495" s="29" t="n"/>
      <c r="F2495" s="29" t="n"/>
      <c r="G2495" s="28" t="n"/>
      <c r="H2495" s="1" t="n"/>
      <c r="I2495">
        <f>IF(OR(B2495="",C2495=""),"",B2495+MOD(C2495,1))</f>
        <v/>
      </c>
      <c r="J2495">
        <f>IF(I2495="","",IF(B2495=Dashboard!$AA$1,I2495,""))</f>
        <v/>
      </c>
    </row>
    <row r="2496">
      <c r="A2496" s="1" t="n"/>
      <c r="B2496" s="26" t="n"/>
      <c r="C2496" s="27" t="n"/>
      <c r="D2496" s="28" t="n"/>
      <c r="E2496" s="29" t="n"/>
      <c r="F2496" s="29" t="n"/>
      <c r="G2496" s="28" t="n"/>
      <c r="H2496" s="1" t="n"/>
      <c r="I2496">
        <f>IF(OR(B2496="",C2496=""),"",B2496+MOD(C2496,1))</f>
        <v/>
      </c>
      <c r="J2496">
        <f>IF(I2496="","",IF(B2496=Dashboard!$AA$1,I2496,""))</f>
        <v/>
      </c>
    </row>
    <row r="2497">
      <c r="A2497" s="1" t="n"/>
      <c r="B2497" s="26" t="n"/>
      <c r="C2497" s="27" t="n"/>
      <c r="D2497" s="28" t="n"/>
      <c r="E2497" s="29" t="n"/>
      <c r="F2497" s="29" t="n"/>
      <c r="G2497" s="28" t="n"/>
      <c r="H2497" s="1" t="n"/>
      <c r="I2497">
        <f>IF(OR(B2497="",C2497=""),"",B2497+MOD(C2497,1))</f>
        <v/>
      </c>
      <c r="J2497">
        <f>IF(I2497="","",IF(B2497=Dashboard!$AA$1,I2497,""))</f>
        <v/>
      </c>
    </row>
    <row r="2498">
      <c r="A2498" s="1" t="n"/>
      <c r="B2498" s="26" t="n"/>
      <c r="C2498" s="27" t="n"/>
      <c r="D2498" s="28" t="n"/>
      <c r="E2498" s="29" t="n"/>
      <c r="F2498" s="29" t="n"/>
      <c r="G2498" s="28" t="n"/>
      <c r="H2498" s="1" t="n"/>
      <c r="I2498">
        <f>IF(OR(B2498="",C2498=""),"",B2498+MOD(C2498,1))</f>
        <v/>
      </c>
      <c r="J2498">
        <f>IF(I2498="","",IF(B2498=Dashboard!$AA$1,I2498,""))</f>
        <v/>
      </c>
    </row>
    <row r="2499">
      <c r="A2499" s="1" t="n"/>
      <c r="B2499" s="26" t="n"/>
      <c r="C2499" s="27" t="n"/>
      <c r="D2499" s="28" t="n"/>
      <c r="E2499" s="29" t="n"/>
      <c r="F2499" s="29" t="n"/>
      <c r="G2499" s="28" t="n"/>
      <c r="H2499" s="1" t="n"/>
      <c r="I2499">
        <f>IF(OR(B2499="",C2499=""),"",B2499+MOD(C2499,1))</f>
        <v/>
      </c>
      <c r="J2499">
        <f>IF(I2499="","",IF(B2499=Dashboard!$AA$1,I2499,""))</f>
        <v/>
      </c>
    </row>
    <row r="2500">
      <c r="A2500" s="1" t="n"/>
      <c r="B2500" s="26" t="n"/>
      <c r="C2500" s="27" t="n"/>
      <c r="D2500" s="28" t="n"/>
      <c r="E2500" s="29" t="n"/>
      <c r="F2500" s="29" t="n"/>
      <c r="G2500" s="28" t="n"/>
      <c r="H2500" s="1" t="n"/>
      <c r="I2500">
        <f>IF(OR(B2500="",C2500=""),"",B2500+MOD(C2500,1))</f>
        <v/>
      </c>
      <c r="J2500">
        <f>IF(I2500="","",IF(B2500=Dashboard!$AA$1,I2500,""))</f>
        <v/>
      </c>
    </row>
    <row r="2501">
      <c r="A2501" s="1" t="n"/>
      <c r="B2501" s="26" t="n"/>
      <c r="C2501" s="27" t="n"/>
      <c r="D2501" s="28" t="n"/>
      <c r="E2501" s="29" t="n"/>
      <c r="F2501" s="29" t="n"/>
      <c r="G2501" s="28" t="n"/>
      <c r="H2501" s="1" t="n"/>
      <c r="I2501">
        <f>IF(OR(B2501="",C2501=""),"",B2501+MOD(C2501,1))</f>
        <v/>
      </c>
      <c r="J2501">
        <f>IF(I2501="","",IF(B2501=Dashboard!$AA$1,I2501,""))</f>
        <v/>
      </c>
    </row>
    <row r="2502">
      <c r="A2502" s="1" t="n"/>
      <c r="B2502" s="26" t="n"/>
      <c r="C2502" s="27" t="n"/>
      <c r="D2502" s="28" t="n"/>
      <c r="E2502" s="29" t="n"/>
      <c r="F2502" s="29" t="n"/>
      <c r="G2502" s="28" t="n"/>
      <c r="H2502" s="1" t="n"/>
      <c r="I2502">
        <f>IF(OR(B2502="",C2502=""),"",B2502+MOD(C2502,1))</f>
        <v/>
      </c>
      <c r="J2502">
        <f>IF(I2502="","",IF(B2502=Dashboard!$AA$1,I2502,""))</f>
        <v/>
      </c>
    </row>
    <row r="2503">
      <c r="A2503" s="1" t="n"/>
      <c r="B2503" s="26" t="n"/>
      <c r="C2503" s="27" t="n"/>
      <c r="D2503" s="28" t="n"/>
      <c r="E2503" s="29" t="n"/>
      <c r="F2503" s="29" t="n"/>
      <c r="G2503" s="28" t="n"/>
      <c r="H2503" s="1" t="n"/>
      <c r="I2503">
        <f>IF(OR(B2503="",C2503=""),"",B2503+MOD(C2503,1))</f>
        <v/>
      </c>
      <c r="J2503">
        <f>IF(I2503="","",IF(B2503=Dashboard!$AA$1,I2503,""))</f>
        <v/>
      </c>
    </row>
    <row r="2504">
      <c r="A2504" s="1" t="n"/>
      <c r="B2504" s="26" t="n"/>
      <c r="C2504" s="27" t="n"/>
      <c r="D2504" s="28" t="n"/>
      <c r="E2504" s="29" t="n"/>
      <c r="F2504" s="29" t="n"/>
      <c r="G2504" s="28" t="n"/>
      <c r="H2504" s="1" t="n"/>
      <c r="I2504">
        <f>IF(OR(B2504="",C2504=""),"",B2504+MOD(C2504,1))</f>
        <v/>
      </c>
      <c r="J2504">
        <f>IF(I2504="","",IF(B2504=Dashboard!$AA$1,I2504,""))</f>
        <v/>
      </c>
    </row>
    <row r="2505">
      <c r="A2505" s="1" t="n"/>
      <c r="B2505" s="26" t="n"/>
      <c r="C2505" s="27" t="n"/>
      <c r="D2505" s="28" t="n"/>
      <c r="E2505" s="29" t="n"/>
      <c r="F2505" s="29" t="n"/>
      <c r="G2505" s="28" t="n"/>
      <c r="H2505" s="1" t="n"/>
      <c r="I2505">
        <f>IF(OR(B2505="",C2505=""),"",B2505+MOD(C2505,1))</f>
        <v/>
      </c>
      <c r="J2505">
        <f>IF(I2505="","",IF(B2505=Dashboard!$AA$1,I2505,""))</f>
        <v/>
      </c>
    </row>
    <row r="2506">
      <c r="A2506" s="1" t="n"/>
      <c r="B2506" s="26" t="n"/>
      <c r="C2506" s="27" t="n"/>
      <c r="D2506" s="28" t="n"/>
      <c r="E2506" s="29" t="n"/>
      <c r="F2506" s="29" t="n"/>
      <c r="G2506" s="28" t="n"/>
      <c r="H2506" s="1" t="n"/>
      <c r="I2506">
        <f>IF(OR(B2506="",C2506=""),"",B2506+MOD(C2506,1))</f>
        <v/>
      </c>
      <c r="J2506">
        <f>IF(I2506="","",IF(B2506=Dashboard!$AA$1,I2506,""))</f>
        <v/>
      </c>
    </row>
    <row r="2507">
      <c r="A2507" s="1" t="n"/>
      <c r="B2507" s="26" t="n"/>
      <c r="C2507" s="27" t="n"/>
      <c r="D2507" s="28" t="n"/>
      <c r="E2507" s="29" t="n"/>
      <c r="F2507" s="29" t="n"/>
      <c r="G2507" s="28" t="n"/>
      <c r="H2507" s="1" t="n"/>
      <c r="I2507">
        <f>IF(OR(B2507="",C2507=""),"",B2507+MOD(C2507,1))</f>
        <v/>
      </c>
      <c r="J2507">
        <f>IF(I2507="","",IF(B2507=Dashboard!$AA$1,I2507,""))</f>
        <v/>
      </c>
    </row>
    <row r="2508">
      <c r="A2508" s="1" t="n"/>
      <c r="B2508" s="26" t="n"/>
      <c r="C2508" s="27" t="n"/>
      <c r="D2508" s="28" t="n"/>
      <c r="E2508" s="29" t="n"/>
      <c r="F2508" s="29" t="n"/>
      <c r="G2508" s="28" t="n"/>
      <c r="H2508" s="1" t="n"/>
      <c r="I2508">
        <f>IF(OR(B2508="",C2508=""),"",B2508+MOD(C2508,1))</f>
        <v/>
      </c>
      <c r="J2508">
        <f>IF(I2508="","",IF(B2508=Dashboard!$AA$1,I2508,""))</f>
        <v/>
      </c>
    </row>
    <row r="2509">
      <c r="A2509" s="1" t="n"/>
      <c r="B2509" s="26" t="n"/>
      <c r="C2509" s="27" t="n"/>
      <c r="D2509" s="28" t="n"/>
      <c r="E2509" s="29" t="n"/>
      <c r="F2509" s="29" t="n"/>
      <c r="G2509" s="28" t="n"/>
      <c r="H2509" s="1" t="n"/>
      <c r="I2509">
        <f>IF(OR(B2509="",C2509=""),"",B2509+MOD(C2509,1))</f>
        <v/>
      </c>
      <c r="J2509">
        <f>IF(I2509="","",IF(B2509=Dashboard!$AA$1,I2509,""))</f>
        <v/>
      </c>
    </row>
    <row r="2510">
      <c r="A2510" s="1" t="n"/>
      <c r="B2510" s="26" t="n"/>
      <c r="C2510" s="27" t="n"/>
      <c r="D2510" s="28" t="n"/>
      <c r="E2510" s="29" t="n"/>
      <c r="F2510" s="29" t="n"/>
      <c r="G2510" s="28" t="n"/>
      <c r="H2510" s="1" t="n"/>
      <c r="I2510">
        <f>IF(OR(B2510="",C2510=""),"",B2510+MOD(C2510,1))</f>
        <v/>
      </c>
      <c r="J2510">
        <f>IF(I2510="","",IF(B2510=Dashboard!$AA$1,I2510,""))</f>
        <v/>
      </c>
    </row>
    <row r="2511">
      <c r="A2511" s="1" t="n"/>
      <c r="B2511" s="26" t="n"/>
      <c r="C2511" s="27" t="n"/>
      <c r="D2511" s="28" t="n"/>
      <c r="E2511" s="29" t="n"/>
      <c r="F2511" s="29" t="n"/>
      <c r="G2511" s="28" t="n"/>
      <c r="H2511" s="1" t="n"/>
      <c r="I2511">
        <f>IF(OR(B2511="",C2511=""),"",B2511+MOD(C2511,1))</f>
        <v/>
      </c>
      <c r="J2511">
        <f>IF(I2511="","",IF(B2511=Dashboard!$AA$1,I2511,""))</f>
        <v/>
      </c>
    </row>
    <row r="2512">
      <c r="A2512" s="1" t="n"/>
      <c r="B2512" s="26" t="n"/>
      <c r="C2512" s="27" t="n"/>
      <c r="D2512" s="28" t="n"/>
      <c r="E2512" s="29" t="n"/>
      <c r="F2512" s="29" t="n"/>
      <c r="G2512" s="28" t="n"/>
      <c r="H2512" s="1" t="n"/>
      <c r="I2512">
        <f>IF(OR(B2512="",C2512=""),"",B2512+MOD(C2512,1))</f>
        <v/>
      </c>
      <c r="J2512">
        <f>IF(I2512="","",IF(B2512=Dashboard!$AA$1,I2512,""))</f>
        <v/>
      </c>
    </row>
    <row r="2513">
      <c r="A2513" s="1" t="n"/>
      <c r="B2513" s="26" t="n"/>
      <c r="C2513" s="27" t="n"/>
      <c r="D2513" s="28" t="n"/>
      <c r="E2513" s="29" t="n"/>
      <c r="F2513" s="29" t="n"/>
      <c r="G2513" s="28" t="n"/>
      <c r="H2513" s="1" t="n"/>
      <c r="I2513">
        <f>IF(OR(B2513="",C2513=""),"",B2513+MOD(C2513,1))</f>
        <v/>
      </c>
      <c r="J2513">
        <f>IF(I2513="","",IF(B2513=Dashboard!$AA$1,I2513,""))</f>
        <v/>
      </c>
    </row>
    <row r="2514">
      <c r="A2514" s="1" t="n"/>
      <c r="B2514" s="26" t="n"/>
      <c r="C2514" s="27" t="n"/>
      <c r="D2514" s="28" t="n"/>
      <c r="E2514" s="29" t="n"/>
      <c r="F2514" s="29" t="n"/>
      <c r="G2514" s="28" t="n"/>
      <c r="H2514" s="1" t="n"/>
      <c r="I2514">
        <f>IF(OR(B2514="",C2514=""),"",B2514+MOD(C2514,1))</f>
        <v/>
      </c>
      <c r="J2514">
        <f>IF(I2514="","",IF(B2514=Dashboard!$AA$1,I2514,""))</f>
        <v/>
      </c>
    </row>
    <row r="2515">
      <c r="A2515" s="1" t="n"/>
      <c r="B2515" s="26" t="n"/>
      <c r="C2515" s="27" t="n"/>
      <c r="D2515" s="28" t="n"/>
      <c r="E2515" s="29" t="n"/>
      <c r="F2515" s="29" t="n"/>
      <c r="G2515" s="28" t="n"/>
      <c r="H2515" s="1" t="n"/>
      <c r="I2515">
        <f>IF(OR(B2515="",C2515=""),"",B2515+MOD(C2515,1))</f>
        <v/>
      </c>
      <c r="J2515">
        <f>IF(I2515="","",IF(B2515=Dashboard!$AA$1,I2515,""))</f>
        <v/>
      </c>
    </row>
    <row r="2516">
      <c r="A2516" s="1" t="n"/>
      <c r="B2516" s="26" t="n"/>
      <c r="C2516" s="27" t="n"/>
      <c r="D2516" s="28" t="n"/>
      <c r="E2516" s="29" t="n"/>
      <c r="F2516" s="29" t="n"/>
      <c r="G2516" s="28" t="n"/>
      <c r="H2516" s="1" t="n"/>
      <c r="I2516">
        <f>IF(OR(B2516="",C2516=""),"",B2516+MOD(C2516,1))</f>
        <v/>
      </c>
      <c r="J2516">
        <f>IF(I2516="","",IF(B2516=Dashboard!$AA$1,I2516,""))</f>
        <v/>
      </c>
    </row>
    <row r="2517">
      <c r="A2517" s="1" t="n"/>
      <c r="B2517" s="26" t="n"/>
      <c r="C2517" s="27" t="n"/>
      <c r="D2517" s="28" t="n"/>
      <c r="E2517" s="29" t="n"/>
      <c r="F2517" s="29" t="n"/>
      <c r="G2517" s="28" t="n"/>
      <c r="H2517" s="1" t="n"/>
      <c r="I2517">
        <f>IF(OR(B2517="",C2517=""),"",B2517+MOD(C2517,1))</f>
        <v/>
      </c>
      <c r="J2517">
        <f>IF(I2517="","",IF(B2517=Dashboard!$AA$1,I2517,""))</f>
        <v/>
      </c>
    </row>
    <row r="2518">
      <c r="A2518" s="1" t="n"/>
      <c r="B2518" s="26" t="n"/>
      <c r="C2518" s="27" t="n"/>
      <c r="D2518" s="28" t="n"/>
      <c r="E2518" s="29" t="n"/>
      <c r="F2518" s="29" t="n"/>
      <c r="G2518" s="28" t="n"/>
      <c r="H2518" s="1" t="n"/>
      <c r="I2518">
        <f>IF(OR(B2518="",C2518=""),"",B2518+MOD(C2518,1))</f>
        <v/>
      </c>
      <c r="J2518">
        <f>IF(I2518="","",IF(B2518=Dashboard!$AA$1,I2518,""))</f>
        <v/>
      </c>
    </row>
    <row r="2519">
      <c r="A2519" s="1" t="n"/>
      <c r="B2519" s="26" t="n"/>
      <c r="C2519" s="27" t="n"/>
      <c r="D2519" s="28" t="n"/>
      <c r="E2519" s="29" t="n"/>
      <c r="F2519" s="29" t="n"/>
      <c r="G2519" s="28" t="n"/>
      <c r="H2519" s="1" t="n"/>
      <c r="I2519">
        <f>IF(OR(B2519="",C2519=""),"",B2519+MOD(C2519,1))</f>
        <v/>
      </c>
      <c r="J2519">
        <f>IF(I2519="","",IF(B2519=Dashboard!$AA$1,I2519,""))</f>
        <v/>
      </c>
    </row>
    <row r="2520">
      <c r="A2520" s="1" t="n"/>
      <c r="B2520" s="26" t="n"/>
      <c r="C2520" s="27" t="n"/>
      <c r="D2520" s="28" t="n"/>
      <c r="E2520" s="29" t="n"/>
      <c r="F2520" s="29" t="n"/>
      <c r="G2520" s="28" t="n"/>
      <c r="H2520" s="1" t="n"/>
      <c r="I2520">
        <f>IF(OR(B2520="",C2520=""),"",B2520+MOD(C2520,1))</f>
        <v/>
      </c>
      <c r="J2520">
        <f>IF(I2520="","",IF(B2520=Dashboard!$AA$1,I2520,""))</f>
        <v/>
      </c>
    </row>
    <row r="2521">
      <c r="A2521" s="1" t="n"/>
      <c r="B2521" s="26" t="n"/>
      <c r="C2521" s="27" t="n"/>
      <c r="D2521" s="28" t="n"/>
      <c r="E2521" s="29" t="n"/>
      <c r="F2521" s="29" t="n"/>
      <c r="G2521" s="28" t="n"/>
      <c r="H2521" s="1" t="n"/>
      <c r="I2521">
        <f>IF(OR(B2521="",C2521=""),"",B2521+MOD(C2521,1))</f>
        <v/>
      </c>
      <c r="J2521">
        <f>IF(I2521="","",IF(B2521=Dashboard!$AA$1,I2521,""))</f>
        <v/>
      </c>
    </row>
    <row r="2522">
      <c r="A2522" s="1" t="n"/>
      <c r="B2522" s="26" t="n"/>
      <c r="C2522" s="27" t="n"/>
      <c r="D2522" s="28" t="n"/>
      <c r="E2522" s="29" t="n"/>
      <c r="F2522" s="29" t="n"/>
      <c r="G2522" s="28" t="n"/>
      <c r="H2522" s="1" t="n"/>
      <c r="I2522">
        <f>IF(OR(B2522="",C2522=""),"",B2522+MOD(C2522,1))</f>
        <v/>
      </c>
      <c r="J2522">
        <f>IF(I2522="","",IF(B2522=Dashboard!$AA$1,I2522,""))</f>
        <v/>
      </c>
    </row>
    <row r="2523">
      <c r="A2523" s="1" t="n"/>
      <c r="B2523" s="26" t="n"/>
      <c r="C2523" s="27" t="n"/>
      <c r="D2523" s="28" t="n"/>
      <c r="E2523" s="29" t="n"/>
      <c r="F2523" s="29" t="n"/>
      <c r="G2523" s="28" t="n"/>
      <c r="H2523" s="1" t="n"/>
      <c r="I2523">
        <f>IF(OR(B2523="",C2523=""),"",B2523+MOD(C2523,1))</f>
        <v/>
      </c>
      <c r="J2523">
        <f>IF(I2523="","",IF(B2523=Dashboard!$AA$1,I2523,""))</f>
        <v/>
      </c>
    </row>
    <row r="2524">
      <c r="A2524" s="1" t="n"/>
      <c r="B2524" s="26" t="n"/>
      <c r="C2524" s="27" t="n"/>
      <c r="D2524" s="28" t="n"/>
      <c r="E2524" s="29" t="n"/>
      <c r="F2524" s="29" t="n"/>
      <c r="G2524" s="28" t="n"/>
      <c r="H2524" s="1" t="n"/>
      <c r="I2524">
        <f>IF(OR(B2524="",C2524=""),"",B2524+MOD(C2524,1))</f>
        <v/>
      </c>
      <c r="J2524">
        <f>IF(I2524="","",IF(B2524=Dashboard!$AA$1,I2524,""))</f>
        <v/>
      </c>
    </row>
    <row r="2525">
      <c r="A2525" s="1" t="n"/>
      <c r="B2525" s="26" t="n"/>
      <c r="C2525" s="27" t="n"/>
      <c r="D2525" s="28" t="n"/>
      <c r="E2525" s="29" t="n"/>
      <c r="F2525" s="29" t="n"/>
      <c r="G2525" s="28" t="n"/>
      <c r="H2525" s="1" t="n"/>
      <c r="I2525">
        <f>IF(OR(B2525="",C2525=""),"",B2525+MOD(C2525,1))</f>
        <v/>
      </c>
      <c r="J2525">
        <f>IF(I2525="","",IF(B2525=Dashboard!$AA$1,I2525,""))</f>
        <v/>
      </c>
    </row>
    <row r="2526">
      <c r="A2526" s="1" t="n"/>
      <c r="B2526" s="26" t="n"/>
      <c r="C2526" s="27" t="n"/>
      <c r="D2526" s="28" t="n"/>
      <c r="E2526" s="29" t="n"/>
      <c r="F2526" s="29" t="n"/>
      <c r="G2526" s="28" t="n"/>
      <c r="H2526" s="1" t="n"/>
      <c r="I2526">
        <f>IF(OR(B2526="",C2526=""),"",B2526+MOD(C2526,1))</f>
        <v/>
      </c>
      <c r="J2526">
        <f>IF(I2526="","",IF(B2526=Dashboard!$AA$1,I2526,""))</f>
        <v/>
      </c>
    </row>
    <row r="2527">
      <c r="A2527" s="1" t="n"/>
      <c r="B2527" s="26" t="n"/>
      <c r="C2527" s="27" t="n"/>
      <c r="D2527" s="28" t="n"/>
      <c r="E2527" s="29" t="n"/>
      <c r="F2527" s="29" t="n"/>
      <c r="G2527" s="28" t="n"/>
      <c r="H2527" s="1" t="n"/>
      <c r="I2527">
        <f>IF(OR(B2527="",C2527=""),"",B2527+MOD(C2527,1))</f>
        <v/>
      </c>
      <c r="J2527">
        <f>IF(I2527="","",IF(B2527=Dashboard!$AA$1,I2527,""))</f>
        <v/>
      </c>
    </row>
    <row r="2528">
      <c r="A2528" s="1" t="n"/>
      <c r="B2528" s="26" t="n"/>
      <c r="C2528" s="27" t="n"/>
      <c r="D2528" s="28" t="n"/>
      <c r="E2528" s="29" t="n"/>
      <c r="F2528" s="29" t="n"/>
      <c r="G2528" s="28" t="n"/>
      <c r="H2528" s="1" t="n"/>
      <c r="I2528">
        <f>IF(OR(B2528="",C2528=""),"",B2528+MOD(C2528,1))</f>
        <v/>
      </c>
      <c r="J2528">
        <f>IF(I2528="","",IF(B2528=Dashboard!$AA$1,I2528,""))</f>
        <v/>
      </c>
    </row>
    <row r="2529">
      <c r="A2529" s="1" t="n"/>
      <c r="B2529" s="26" t="n"/>
      <c r="C2529" s="27" t="n"/>
      <c r="D2529" s="28" t="n"/>
      <c r="E2529" s="29" t="n"/>
      <c r="F2529" s="29" t="n"/>
      <c r="G2529" s="28" t="n"/>
      <c r="H2529" s="1" t="n"/>
      <c r="I2529">
        <f>IF(OR(B2529="",C2529=""),"",B2529+MOD(C2529,1))</f>
        <v/>
      </c>
      <c r="J2529">
        <f>IF(I2529="","",IF(B2529=Dashboard!$AA$1,I2529,""))</f>
        <v/>
      </c>
    </row>
    <row r="2530">
      <c r="A2530" s="1" t="n"/>
      <c r="B2530" s="26" t="n"/>
      <c r="C2530" s="27" t="n"/>
      <c r="D2530" s="28" t="n"/>
      <c r="E2530" s="29" t="n"/>
      <c r="F2530" s="29" t="n"/>
      <c r="G2530" s="28" t="n"/>
      <c r="H2530" s="1" t="n"/>
      <c r="I2530">
        <f>IF(OR(B2530="",C2530=""),"",B2530+MOD(C2530,1))</f>
        <v/>
      </c>
      <c r="J2530">
        <f>IF(I2530="","",IF(B2530=Dashboard!$AA$1,I2530,""))</f>
        <v/>
      </c>
    </row>
    <row r="2531">
      <c r="A2531" s="1" t="n"/>
      <c r="B2531" s="26" t="n"/>
      <c r="C2531" s="27" t="n"/>
      <c r="D2531" s="28" t="n"/>
      <c r="E2531" s="29" t="n"/>
      <c r="F2531" s="29" t="n"/>
      <c r="G2531" s="28" t="n"/>
      <c r="H2531" s="1" t="n"/>
      <c r="I2531">
        <f>IF(OR(B2531="",C2531=""),"",B2531+MOD(C2531,1))</f>
        <v/>
      </c>
      <c r="J2531">
        <f>IF(I2531="","",IF(B2531=Dashboard!$AA$1,I2531,""))</f>
        <v/>
      </c>
    </row>
    <row r="2532">
      <c r="A2532" s="1" t="n"/>
      <c r="B2532" s="26" t="n"/>
      <c r="C2532" s="27" t="n"/>
      <c r="D2532" s="28" t="n"/>
      <c r="E2532" s="29" t="n"/>
      <c r="F2532" s="29" t="n"/>
      <c r="G2532" s="28" t="n"/>
      <c r="H2532" s="1" t="n"/>
      <c r="I2532">
        <f>IF(OR(B2532="",C2532=""),"",B2532+MOD(C2532,1))</f>
        <v/>
      </c>
      <c r="J2532">
        <f>IF(I2532="","",IF(B2532=Dashboard!$AA$1,I2532,""))</f>
        <v/>
      </c>
    </row>
    <row r="2533">
      <c r="A2533" s="1" t="n"/>
      <c r="B2533" s="26" t="n"/>
      <c r="C2533" s="27" t="n"/>
      <c r="D2533" s="28" t="n"/>
      <c r="E2533" s="29" t="n"/>
      <c r="F2533" s="29" t="n"/>
      <c r="G2533" s="28" t="n"/>
      <c r="H2533" s="1" t="n"/>
      <c r="I2533">
        <f>IF(OR(B2533="",C2533=""),"",B2533+MOD(C2533,1))</f>
        <v/>
      </c>
      <c r="J2533">
        <f>IF(I2533="","",IF(B2533=Dashboard!$AA$1,I2533,""))</f>
        <v/>
      </c>
    </row>
    <row r="2534">
      <c r="A2534" s="1" t="n"/>
      <c r="B2534" s="26" t="n"/>
      <c r="C2534" s="27" t="n"/>
      <c r="D2534" s="28" t="n"/>
      <c r="E2534" s="29" t="n"/>
      <c r="F2534" s="29" t="n"/>
      <c r="G2534" s="28" t="n"/>
      <c r="H2534" s="1" t="n"/>
      <c r="I2534">
        <f>IF(OR(B2534="",C2534=""),"",B2534+MOD(C2534,1))</f>
        <v/>
      </c>
      <c r="J2534">
        <f>IF(I2534="","",IF(B2534=Dashboard!$AA$1,I2534,""))</f>
        <v/>
      </c>
    </row>
    <row r="2535">
      <c r="A2535" s="1" t="n"/>
      <c r="B2535" s="26" t="n"/>
      <c r="C2535" s="27" t="n"/>
      <c r="D2535" s="28" t="n"/>
      <c r="E2535" s="29" t="n"/>
      <c r="F2535" s="29" t="n"/>
      <c r="G2535" s="28" t="n"/>
      <c r="H2535" s="1" t="n"/>
      <c r="I2535">
        <f>IF(OR(B2535="",C2535=""),"",B2535+MOD(C2535,1))</f>
        <v/>
      </c>
      <c r="J2535">
        <f>IF(I2535="","",IF(B2535=Dashboard!$AA$1,I2535,""))</f>
        <v/>
      </c>
    </row>
    <row r="2536">
      <c r="A2536" s="1" t="n"/>
      <c r="B2536" s="26" t="n"/>
      <c r="C2536" s="27" t="n"/>
      <c r="D2536" s="28" t="n"/>
      <c r="E2536" s="29" t="n"/>
      <c r="F2536" s="29" t="n"/>
      <c r="G2536" s="28" t="n"/>
      <c r="H2536" s="1" t="n"/>
      <c r="I2536">
        <f>IF(OR(B2536="",C2536=""),"",B2536+MOD(C2536,1))</f>
        <v/>
      </c>
      <c r="J2536">
        <f>IF(I2536="","",IF(B2536=Dashboard!$AA$1,I2536,""))</f>
        <v/>
      </c>
    </row>
    <row r="2537">
      <c r="A2537" s="1" t="n"/>
      <c r="B2537" s="26" t="n"/>
      <c r="C2537" s="27" t="n"/>
      <c r="D2537" s="28" t="n"/>
      <c r="E2537" s="29" t="n"/>
      <c r="F2537" s="29" t="n"/>
      <c r="G2537" s="28" t="n"/>
      <c r="H2537" s="1" t="n"/>
      <c r="I2537">
        <f>IF(OR(B2537="",C2537=""),"",B2537+MOD(C2537,1))</f>
        <v/>
      </c>
      <c r="J2537">
        <f>IF(I2537="","",IF(B2537=Dashboard!$AA$1,I2537,""))</f>
        <v/>
      </c>
    </row>
    <row r="2538">
      <c r="A2538" s="1" t="n"/>
      <c r="B2538" s="26" t="n"/>
      <c r="C2538" s="27" t="n"/>
      <c r="D2538" s="28" t="n"/>
      <c r="E2538" s="29" t="n"/>
      <c r="F2538" s="29" t="n"/>
      <c r="G2538" s="28" t="n"/>
      <c r="H2538" s="1" t="n"/>
      <c r="I2538">
        <f>IF(OR(B2538="",C2538=""),"",B2538+MOD(C2538,1))</f>
        <v/>
      </c>
      <c r="J2538">
        <f>IF(I2538="","",IF(B2538=Dashboard!$AA$1,I2538,""))</f>
        <v/>
      </c>
    </row>
    <row r="2539">
      <c r="A2539" s="1" t="n"/>
      <c r="B2539" s="26" t="n"/>
      <c r="C2539" s="27" t="n"/>
      <c r="D2539" s="28" t="n"/>
      <c r="E2539" s="29" t="n"/>
      <c r="F2539" s="29" t="n"/>
      <c r="G2539" s="28" t="n"/>
      <c r="H2539" s="1" t="n"/>
      <c r="I2539">
        <f>IF(OR(B2539="",C2539=""),"",B2539+MOD(C2539,1))</f>
        <v/>
      </c>
      <c r="J2539">
        <f>IF(I2539="","",IF(B2539=Dashboard!$AA$1,I2539,""))</f>
        <v/>
      </c>
    </row>
    <row r="2540">
      <c r="A2540" s="1" t="n"/>
      <c r="B2540" s="26" t="n"/>
      <c r="C2540" s="27" t="n"/>
      <c r="D2540" s="28" t="n"/>
      <c r="E2540" s="29" t="n"/>
      <c r="F2540" s="29" t="n"/>
      <c r="G2540" s="28" t="n"/>
      <c r="H2540" s="1" t="n"/>
      <c r="I2540">
        <f>IF(OR(B2540="",C2540=""),"",B2540+MOD(C2540,1))</f>
        <v/>
      </c>
      <c r="J2540">
        <f>IF(I2540="","",IF(B2540=Dashboard!$AA$1,I2540,""))</f>
        <v/>
      </c>
    </row>
    <row r="2541">
      <c r="A2541" s="1" t="n"/>
      <c r="B2541" s="26" t="n"/>
      <c r="C2541" s="27" t="n"/>
      <c r="D2541" s="28" t="n"/>
      <c r="E2541" s="29" t="n"/>
      <c r="F2541" s="29" t="n"/>
      <c r="G2541" s="28" t="n"/>
      <c r="H2541" s="1" t="n"/>
      <c r="I2541">
        <f>IF(OR(B2541="",C2541=""),"",B2541+MOD(C2541,1))</f>
        <v/>
      </c>
      <c r="J2541">
        <f>IF(I2541="","",IF(B2541=Dashboard!$AA$1,I2541,""))</f>
        <v/>
      </c>
    </row>
    <row r="2542">
      <c r="A2542" s="1" t="n"/>
      <c r="B2542" s="26" t="n"/>
      <c r="C2542" s="27" t="n"/>
      <c r="D2542" s="28" t="n"/>
      <c r="E2542" s="29" t="n"/>
      <c r="F2542" s="29" t="n"/>
      <c r="G2542" s="28" t="n"/>
      <c r="H2542" s="1" t="n"/>
      <c r="I2542">
        <f>IF(OR(B2542="",C2542=""),"",B2542+MOD(C2542,1))</f>
        <v/>
      </c>
      <c r="J2542">
        <f>IF(I2542="","",IF(B2542=Dashboard!$AA$1,I2542,""))</f>
        <v/>
      </c>
    </row>
    <row r="2543">
      <c r="A2543" s="1" t="n"/>
      <c r="B2543" s="26" t="n"/>
      <c r="C2543" s="27" t="n"/>
      <c r="D2543" s="28" t="n"/>
      <c r="E2543" s="29" t="n"/>
      <c r="F2543" s="29" t="n"/>
      <c r="G2543" s="28" t="n"/>
      <c r="H2543" s="1" t="n"/>
      <c r="I2543">
        <f>IF(OR(B2543="",C2543=""),"",B2543+MOD(C2543,1))</f>
        <v/>
      </c>
      <c r="J2543">
        <f>IF(I2543="","",IF(B2543=Dashboard!$AA$1,I2543,""))</f>
        <v/>
      </c>
    </row>
    <row r="2544">
      <c r="A2544" s="1" t="n"/>
      <c r="B2544" s="26" t="n"/>
      <c r="C2544" s="27" t="n"/>
      <c r="D2544" s="28" t="n"/>
      <c r="E2544" s="29" t="n"/>
      <c r="F2544" s="29" t="n"/>
      <c r="G2544" s="28" t="n"/>
      <c r="H2544" s="1" t="n"/>
      <c r="I2544">
        <f>IF(OR(B2544="",C2544=""),"",B2544+MOD(C2544,1))</f>
        <v/>
      </c>
      <c r="J2544">
        <f>IF(I2544="","",IF(B2544=Dashboard!$AA$1,I2544,""))</f>
        <v/>
      </c>
    </row>
    <row r="2545">
      <c r="A2545" s="1" t="n"/>
      <c r="B2545" s="26" t="n"/>
      <c r="C2545" s="27" t="n"/>
      <c r="D2545" s="28" t="n"/>
      <c r="E2545" s="29" t="n"/>
      <c r="F2545" s="29" t="n"/>
      <c r="G2545" s="28" t="n"/>
      <c r="H2545" s="1" t="n"/>
      <c r="I2545">
        <f>IF(OR(B2545="",C2545=""),"",B2545+MOD(C2545,1))</f>
        <v/>
      </c>
      <c r="J2545">
        <f>IF(I2545="","",IF(B2545=Dashboard!$AA$1,I2545,""))</f>
        <v/>
      </c>
    </row>
    <row r="2546">
      <c r="A2546" s="1" t="n"/>
      <c r="B2546" s="26" t="n"/>
      <c r="C2546" s="27" t="n"/>
      <c r="D2546" s="28" t="n"/>
      <c r="E2546" s="29" t="n"/>
      <c r="F2546" s="29" t="n"/>
      <c r="G2546" s="28" t="n"/>
      <c r="H2546" s="1" t="n"/>
      <c r="I2546">
        <f>IF(OR(B2546="",C2546=""),"",B2546+MOD(C2546,1))</f>
        <v/>
      </c>
      <c r="J2546">
        <f>IF(I2546="","",IF(B2546=Dashboard!$AA$1,I2546,""))</f>
        <v/>
      </c>
    </row>
    <row r="2547">
      <c r="A2547" s="1" t="n"/>
      <c r="B2547" s="26" t="n"/>
      <c r="C2547" s="27" t="n"/>
      <c r="D2547" s="28" t="n"/>
      <c r="E2547" s="29" t="n"/>
      <c r="F2547" s="29" t="n"/>
      <c r="G2547" s="28" t="n"/>
      <c r="H2547" s="1" t="n"/>
      <c r="I2547">
        <f>IF(OR(B2547="",C2547=""),"",B2547+MOD(C2547,1))</f>
        <v/>
      </c>
      <c r="J2547">
        <f>IF(I2547="","",IF(B2547=Dashboard!$AA$1,I2547,""))</f>
        <v/>
      </c>
    </row>
    <row r="2548">
      <c r="A2548" s="1" t="n"/>
      <c r="B2548" s="26" t="n"/>
      <c r="C2548" s="27" t="n"/>
      <c r="D2548" s="28" t="n"/>
      <c r="E2548" s="29" t="n"/>
      <c r="F2548" s="29" t="n"/>
      <c r="G2548" s="28" t="n"/>
      <c r="H2548" s="1" t="n"/>
      <c r="I2548">
        <f>IF(OR(B2548="",C2548=""),"",B2548+MOD(C2548,1))</f>
        <v/>
      </c>
      <c r="J2548">
        <f>IF(I2548="","",IF(B2548=Dashboard!$AA$1,I2548,""))</f>
        <v/>
      </c>
    </row>
    <row r="2549">
      <c r="A2549" s="1" t="n"/>
      <c r="B2549" s="26" t="n"/>
      <c r="C2549" s="27" t="n"/>
      <c r="D2549" s="28" t="n"/>
      <c r="E2549" s="29" t="n"/>
      <c r="F2549" s="29" t="n"/>
      <c r="G2549" s="28" t="n"/>
      <c r="H2549" s="1" t="n"/>
      <c r="I2549">
        <f>IF(OR(B2549="",C2549=""),"",B2549+MOD(C2549,1))</f>
        <v/>
      </c>
      <c r="J2549">
        <f>IF(I2549="","",IF(B2549=Dashboard!$AA$1,I2549,""))</f>
        <v/>
      </c>
    </row>
    <row r="2550">
      <c r="A2550" s="1" t="n"/>
      <c r="B2550" s="26" t="n"/>
      <c r="C2550" s="27" t="n"/>
      <c r="D2550" s="28" t="n"/>
      <c r="E2550" s="29" t="n"/>
      <c r="F2550" s="29" t="n"/>
      <c r="G2550" s="28" t="n"/>
      <c r="H2550" s="1" t="n"/>
      <c r="I2550">
        <f>IF(OR(B2550="",C2550=""),"",B2550+MOD(C2550,1))</f>
        <v/>
      </c>
      <c r="J2550">
        <f>IF(I2550="","",IF(B2550=Dashboard!$AA$1,I2550,""))</f>
        <v/>
      </c>
    </row>
    <row r="2551">
      <c r="A2551" s="1" t="n"/>
      <c r="B2551" s="26" t="n"/>
      <c r="C2551" s="27" t="n"/>
      <c r="D2551" s="28" t="n"/>
      <c r="E2551" s="29" t="n"/>
      <c r="F2551" s="29" t="n"/>
      <c r="G2551" s="28" t="n"/>
      <c r="H2551" s="1" t="n"/>
      <c r="I2551">
        <f>IF(OR(B2551="",C2551=""),"",B2551+MOD(C2551,1))</f>
        <v/>
      </c>
      <c r="J2551">
        <f>IF(I2551="","",IF(B2551=Dashboard!$AA$1,I2551,""))</f>
        <v/>
      </c>
    </row>
    <row r="2552">
      <c r="A2552" s="1" t="n"/>
      <c r="B2552" s="26" t="n"/>
      <c r="C2552" s="27" t="n"/>
      <c r="D2552" s="28" t="n"/>
      <c r="E2552" s="29" t="n"/>
      <c r="F2552" s="29" t="n"/>
      <c r="G2552" s="28" t="n"/>
      <c r="H2552" s="1" t="n"/>
      <c r="I2552">
        <f>IF(OR(B2552="",C2552=""),"",B2552+MOD(C2552,1))</f>
        <v/>
      </c>
      <c r="J2552">
        <f>IF(I2552="","",IF(B2552=Dashboard!$AA$1,I2552,""))</f>
        <v/>
      </c>
    </row>
    <row r="2553">
      <c r="A2553" s="1" t="n"/>
      <c r="B2553" s="26" t="n"/>
      <c r="C2553" s="27" t="n"/>
      <c r="D2553" s="28" t="n"/>
      <c r="E2553" s="29" t="n"/>
      <c r="F2553" s="29" t="n"/>
      <c r="G2553" s="28" t="n"/>
      <c r="H2553" s="1" t="n"/>
      <c r="I2553">
        <f>IF(OR(B2553="",C2553=""),"",B2553+MOD(C2553,1))</f>
        <v/>
      </c>
      <c r="J2553">
        <f>IF(I2553="","",IF(B2553=Dashboard!$AA$1,I2553,""))</f>
        <v/>
      </c>
    </row>
    <row r="2554">
      <c r="A2554" s="1" t="n"/>
      <c r="B2554" s="26" t="n"/>
      <c r="C2554" s="27" t="n"/>
      <c r="D2554" s="28" t="n"/>
      <c r="E2554" s="29" t="n"/>
      <c r="F2554" s="29" t="n"/>
      <c r="G2554" s="28" t="n"/>
      <c r="H2554" s="1" t="n"/>
      <c r="I2554">
        <f>IF(OR(B2554="",C2554=""),"",B2554+MOD(C2554,1))</f>
        <v/>
      </c>
      <c r="J2554">
        <f>IF(I2554="","",IF(B2554=Dashboard!$AA$1,I2554,""))</f>
        <v/>
      </c>
    </row>
    <row r="2555">
      <c r="A2555" s="1" t="n"/>
      <c r="B2555" s="26" t="n"/>
      <c r="C2555" s="27" t="n"/>
      <c r="D2555" s="28" t="n"/>
      <c r="E2555" s="29" t="n"/>
      <c r="F2555" s="29" t="n"/>
      <c r="G2555" s="28" t="n"/>
      <c r="H2555" s="1" t="n"/>
      <c r="I2555">
        <f>IF(OR(B2555="",C2555=""),"",B2555+MOD(C2555,1))</f>
        <v/>
      </c>
      <c r="J2555">
        <f>IF(I2555="","",IF(B2555=Dashboard!$AA$1,I2555,""))</f>
        <v/>
      </c>
    </row>
    <row r="2556">
      <c r="A2556" s="1" t="n"/>
      <c r="B2556" s="26" t="n"/>
      <c r="C2556" s="27" t="n"/>
      <c r="D2556" s="28" t="n"/>
      <c r="E2556" s="29" t="n"/>
      <c r="F2556" s="29" t="n"/>
      <c r="G2556" s="28" t="n"/>
      <c r="H2556" s="1" t="n"/>
      <c r="I2556">
        <f>IF(OR(B2556="",C2556=""),"",B2556+MOD(C2556,1))</f>
        <v/>
      </c>
      <c r="J2556">
        <f>IF(I2556="","",IF(B2556=Dashboard!$AA$1,I2556,""))</f>
        <v/>
      </c>
    </row>
    <row r="2557">
      <c r="A2557" s="1" t="n"/>
      <c r="B2557" s="26" t="n"/>
      <c r="C2557" s="27" t="n"/>
      <c r="D2557" s="28" t="n"/>
      <c r="E2557" s="29" t="n"/>
      <c r="F2557" s="29" t="n"/>
      <c r="G2557" s="28" t="n"/>
      <c r="H2557" s="1" t="n"/>
      <c r="I2557">
        <f>IF(OR(B2557="",C2557=""),"",B2557+MOD(C2557,1))</f>
        <v/>
      </c>
      <c r="J2557">
        <f>IF(I2557="","",IF(B2557=Dashboard!$AA$1,I2557,""))</f>
        <v/>
      </c>
    </row>
    <row r="2558">
      <c r="A2558" s="1" t="n"/>
      <c r="B2558" s="26" t="n"/>
      <c r="C2558" s="27" t="n"/>
      <c r="D2558" s="28" t="n"/>
      <c r="E2558" s="29" t="n"/>
      <c r="F2558" s="29" t="n"/>
      <c r="G2558" s="28" t="n"/>
      <c r="H2558" s="1" t="n"/>
      <c r="I2558">
        <f>IF(OR(B2558="",C2558=""),"",B2558+MOD(C2558,1))</f>
        <v/>
      </c>
      <c r="J2558">
        <f>IF(I2558="","",IF(B2558=Dashboard!$AA$1,I2558,""))</f>
        <v/>
      </c>
    </row>
    <row r="2559">
      <c r="A2559" s="1" t="n"/>
      <c r="B2559" s="26" t="n"/>
      <c r="C2559" s="27" t="n"/>
      <c r="D2559" s="28" t="n"/>
      <c r="E2559" s="29" t="n"/>
      <c r="F2559" s="29" t="n"/>
      <c r="G2559" s="28" t="n"/>
      <c r="H2559" s="1" t="n"/>
      <c r="I2559">
        <f>IF(OR(B2559="",C2559=""),"",B2559+MOD(C2559,1))</f>
        <v/>
      </c>
      <c r="J2559">
        <f>IF(I2559="","",IF(B2559=Dashboard!$AA$1,I2559,""))</f>
        <v/>
      </c>
    </row>
    <row r="2560">
      <c r="A2560" s="1" t="n"/>
      <c r="B2560" s="26" t="n"/>
      <c r="C2560" s="27" t="n"/>
      <c r="D2560" s="28" t="n"/>
      <c r="E2560" s="29" t="n"/>
      <c r="F2560" s="29" t="n"/>
      <c r="G2560" s="28" t="n"/>
      <c r="H2560" s="1" t="n"/>
      <c r="I2560">
        <f>IF(OR(B2560="",C2560=""),"",B2560+MOD(C2560,1))</f>
        <v/>
      </c>
      <c r="J2560">
        <f>IF(I2560="","",IF(B2560=Dashboard!$AA$1,I2560,""))</f>
        <v/>
      </c>
    </row>
    <row r="2561">
      <c r="A2561" s="1" t="n"/>
      <c r="B2561" s="26" t="n"/>
      <c r="C2561" s="27" t="n"/>
      <c r="D2561" s="28" t="n"/>
      <c r="E2561" s="29" t="n"/>
      <c r="F2561" s="29" t="n"/>
      <c r="G2561" s="28" t="n"/>
      <c r="H2561" s="1" t="n"/>
      <c r="I2561">
        <f>IF(OR(B2561="",C2561=""),"",B2561+MOD(C2561,1))</f>
        <v/>
      </c>
      <c r="J2561">
        <f>IF(I2561="","",IF(B2561=Dashboard!$AA$1,I2561,""))</f>
        <v/>
      </c>
    </row>
    <row r="2562">
      <c r="A2562" s="1" t="n"/>
      <c r="B2562" s="26" t="n"/>
      <c r="C2562" s="27" t="n"/>
      <c r="D2562" s="28" t="n"/>
      <c r="E2562" s="29" t="n"/>
      <c r="F2562" s="29" t="n"/>
      <c r="G2562" s="28" t="n"/>
      <c r="H2562" s="1" t="n"/>
      <c r="I2562">
        <f>IF(OR(B2562="",C2562=""),"",B2562+MOD(C2562,1))</f>
        <v/>
      </c>
      <c r="J2562">
        <f>IF(I2562="","",IF(B2562=Dashboard!$AA$1,I2562,""))</f>
        <v/>
      </c>
    </row>
    <row r="2563">
      <c r="A2563" s="1" t="n"/>
      <c r="B2563" s="26" t="n"/>
      <c r="C2563" s="27" t="n"/>
      <c r="D2563" s="28" t="n"/>
      <c r="E2563" s="29" t="n"/>
      <c r="F2563" s="29" t="n"/>
      <c r="G2563" s="28" t="n"/>
      <c r="H2563" s="1" t="n"/>
      <c r="I2563">
        <f>IF(OR(B2563="",C2563=""),"",B2563+MOD(C2563,1))</f>
        <v/>
      </c>
      <c r="J2563">
        <f>IF(I2563="","",IF(B2563=Dashboard!$AA$1,I2563,""))</f>
        <v/>
      </c>
    </row>
    <row r="2564">
      <c r="A2564" s="1" t="n"/>
      <c r="B2564" s="26" t="n"/>
      <c r="C2564" s="27" t="n"/>
      <c r="D2564" s="28" t="n"/>
      <c r="E2564" s="29" t="n"/>
      <c r="F2564" s="29" t="n"/>
      <c r="G2564" s="28" t="n"/>
      <c r="H2564" s="1" t="n"/>
      <c r="I2564">
        <f>IF(OR(B2564="",C2564=""),"",B2564+MOD(C2564,1))</f>
        <v/>
      </c>
      <c r="J2564">
        <f>IF(I2564="","",IF(B2564=Dashboard!$AA$1,I2564,""))</f>
        <v/>
      </c>
    </row>
    <row r="2565">
      <c r="A2565" s="1" t="n"/>
      <c r="B2565" s="26" t="n"/>
      <c r="C2565" s="27" t="n"/>
      <c r="D2565" s="28" t="n"/>
      <c r="E2565" s="29" t="n"/>
      <c r="F2565" s="29" t="n"/>
      <c r="G2565" s="28" t="n"/>
      <c r="H2565" s="1" t="n"/>
      <c r="I2565">
        <f>IF(OR(B2565="",C2565=""),"",B2565+MOD(C2565,1))</f>
        <v/>
      </c>
      <c r="J2565">
        <f>IF(I2565="","",IF(B2565=Dashboard!$AA$1,I2565,""))</f>
        <v/>
      </c>
    </row>
    <row r="2566">
      <c r="A2566" s="1" t="n"/>
      <c r="B2566" s="26" t="n"/>
      <c r="C2566" s="27" t="n"/>
      <c r="D2566" s="28" t="n"/>
      <c r="E2566" s="29" t="n"/>
      <c r="F2566" s="29" t="n"/>
      <c r="G2566" s="28" t="n"/>
      <c r="H2566" s="1" t="n"/>
      <c r="I2566">
        <f>IF(OR(B2566="",C2566=""),"",B2566+MOD(C2566,1))</f>
        <v/>
      </c>
      <c r="J2566">
        <f>IF(I2566="","",IF(B2566=Dashboard!$AA$1,I2566,""))</f>
        <v/>
      </c>
    </row>
    <row r="2567">
      <c r="A2567" s="1" t="n"/>
      <c r="B2567" s="26" t="n"/>
      <c r="C2567" s="27" t="n"/>
      <c r="D2567" s="28" t="n"/>
      <c r="E2567" s="29" t="n"/>
      <c r="F2567" s="29" t="n"/>
      <c r="G2567" s="28" t="n"/>
      <c r="H2567" s="1" t="n"/>
      <c r="I2567">
        <f>IF(OR(B2567="",C2567=""),"",B2567+MOD(C2567,1))</f>
        <v/>
      </c>
      <c r="J2567">
        <f>IF(I2567="","",IF(B2567=Dashboard!$AA$1,I2567,""))</f>
        <v/>
      </c>
    </row>
    <row r="2568">
      <c r="A2568" s="1" t="n"/>
      <c r="B2568" s="26" t="n"/>
      <c r="C2568" s="27" t="n"/>
      <c r="D2568" s="28" t="n"/>
      <c r="E2568" s="29" t="n"/>
      <c r="F2568" s="29" t="n"/>
      <c r="G2568" s="28" t="n"/>
      <c r="H2568" s="1" t="n"/>
      <c r="I2568">
        <f>IF(OR(B2568="",C2568=""),"",B2568+MOD(C2568,1))</f>
        <v/>
      </c>
      <c r="J2568">
        <f>IF(I2568="","",IF(B2568=Dashboard!$AA$1,I2568,""))</f>
        <v/>
      </c>
    </row>
    <row r="2569">
      <c r="A2569" s="1" t="n"/>
      <c r="B2569" s="26" t="n"/>
      <c r="C2569" s="27" t="n"/>
      <c r="D2569" s="28" t="n"/>
      <c r="E2569" s="29" t="n"/>
      <c r="F2569" s="29" t="n"/>
      <c r="G2569" s="28" t="n"/>
      <c r="H2569" s="1" t="n"/>
      <c r="I2569">
        <f>IF(OR(B2569="",C2569=""),"",B2569+MOD(C2569,1))</f>
        <v/>
      </c>
      <c r="J2569">
        <f>IF(I2569="","",IF(B2569=Dashboard!$AA$1,I2569,""))</f>
        <v/>
      </c>
    </row>
    <row r="2570">
      <c r="A2570" s="1" t="n"/>
      <c r="B2570" s="26" t="n"/>
      <c r="C2570" s="27" t="n"/>
      <c r="D2570" s="28" t="n"/>
      <c r="E2570" s="29" t="n"/>
      <c r="F2570" s="29" t="n"/>
      <c r="G2570" s="28" t="n"/>
      <c r="H2570" s="1" t="n"/>
      <c r="I2570">
        <f>IF(OR(B2570="",C2570=""),"",B2570+MOD(C2570,1))</f>
        <v/>
      </c>
      <c r="J2570">
        <f>IF(I2570="","",IF(B2570=Dashboard!$AA$1,I2570,""))</f>
        <v/>
      </c>
    </row>
    <row r="2571">
      <c r="A2571" s="1" t="n"/>
      <c r="B2571" s="26" t="n"/>
      <c r="C2571" s="27" t="n"/>
      <c r="D2571" s="28" t="n"/>
      <c r="E2571" s="29" t="n"/>
      <c r="F2571" s="29" t="n"/>
      <c r="G2571" s="28" t="n"/>
      <c r="H2571" s="1" t="n"/>
      <c r="I2571">
        <f>IF(OR(B2571="",C2571=""),"",B2571+MOD(C2571,1))</f>
        <v/>
      </c>
      <c r="J2571">
        <f>IF(I2571="","",IF(B2571=Dashboard!$AA$1,I2571,""))</f>
        <v/>
      </c>
    </row>
    <row r="2572">
      <c r="A2572" s="1" t="n"/>
      <c r="B2572" s="26" t="n"/>
      <c r="C2572" s="27" t="n"/>
      <c r="D2572" s="28" t="n"/>
      <c r="E2572" s="29" t="n"/>
      <c r="F2572" s="29" t="n"/>
      <c r="G2572" s="28" t="n"/>
      <c r="H2572" s="1" t="n"/>
      <c r="I2572">
        <f>IF(OR(B2572="",C2572=""),"",B2572+MOD(C2572,1))</f>
        <v/>
      </c>
      <c r="J2572">
        <f>IF(I2572="","",IF(B2572=Dashboard!$AA$1,I2572,""))</f>
        <v/>
      </c>
    </row>
    <row r="2573">
      <c r="A2573" s="1" t="n"/>
      <c r="B2573" s="26" t="n"/>
      <c r="C2573" s="27" t="n"/>
      <c r="D2573" s="28" t="n"/>
      <c r="E2573" s="29" t="n"/>
      <c r="F2573" s="29" t="n"/>
      <c r="G2573" s="28" t="n"/>
      <c r="H2573" s="1" t="n"/>
      <c r="I2573">
        <f>IF(OR(B2573="",C2573=""),"",B2573+MOD(C2573,1))</f>
        <v/>
      </c>
      <c r="J2573">
        <f>IF(I2573="","",IF(B2573=Dashboard!$AA$1,I2573,""))</f>
        <v/>
      </c>
    </row>
    <row r="2574">
      <c r="A2574" s="1" t="n"/>
      <c r="B2574" s="26" t="n"/>
      <c r="C2574" s="27" t="n"/>
      <c r="D2574" s="28" t="n"/>
      <c r="E2574" s="29" t="n"/>
      <c r="F2574" s="29" t="n"/>
      <c r="G2574" s="28" t="n"/>
      <c r="H2574" s="1" t="n"/>
      <c r="I2574">
        <f>IF(OR(B2574="",C2574=""),"",B2574+MOD(C2574,1))</f>
        <v/>
      </c>
      <c r="J2574">
        <f>IF(I2574="","",IF(B2574=Dashboard!$AA$1,I2574,""))</f>
        <v/>
      </c>
    </row>
    <row r="2575">
      <c r="A2575" s="1" t="n"/>
      <c r="B2575" s="26" t="n"/>
      <c r="C2575" s="27" t="n"/>
      <c r="D2575" s="28" t="n"/>
      <c r="E2575" s="29" t="n"/>
      <c r="F2575" s="29" t="n"/>
      <c r="G2575" s="28" t="n"/>
      <c r="H2575" s="1" t="n"/>
      <c r="I2575">
        <f>IF(OR(B2575="",C2575=""),"",B2575+MOD(C2575,1))</f>
        <v/>
      </c>
      <c r="J2575">
        <f>IF(I2575="","",IF(B2575=Dashboard!$AA$1,I2575,""))</f>
        <v/>
      </c>
    </row>
    <row r="2576">
      <c r="A2576" s="1" t="n"/>
      <c r="B2576" s="26" t="n"/>
      <c r="C2576" s="27" t="n"/>
      <c r="D2576" s="28" t="n"/>
      <c r="E2576" s="29" t="n"/>
      <c r="F2576" s="29" t="n"/>
      <c r="G2576" s="28" t="n"/>
      <c r="H2576" s="1" t="n"/>
      <c r="I2576">
        <f>IF(OR(B2576="",C2576=""),"",B2576+MOD(C2576,1))</f>
        <v/>
      </c>
      <c r="J2576">
        <f>IF(I2576="","",IF(B2576=Dashboard!$AA$1,I2576,""))</f>
        <v/>
      </c>
    </row>
    <row r="2577">
      <c r="A2577" s="1" t="n"/>
      <c r="B2577" s="26" t="n"/>
      <c r="C2577" s="27" t="n"/>
      <c r="D2577" s="28" t="n"/>
      <c r="E2577" s="29" t="n"/>
      <c r="F2577" s="29" t="n"/>
      <c r="G2577" s="28" t="n"/>
      <c r="H2577" s="1" t="n"/>
      <c r="I2577">
        <f>IF(OR(B2577="",C2577=""),"",B2577+MOD(C2577,1))</f>
        <v/>
      </c>
      <c r="J2577">
        <f>IF(I2577="","",IF(B2577=Dashboard!$AA$1,I2577,""))</f>
        <v/>
      </c>
    </row>
    <row r="2578">
      <c r="A2578" s="1" t="n"/>
      <c r="B2578" s="26" t="n"/>
      <c r="C2578" s="27" t="n"/>
      <c r="D2578" s="28" t="n"/>
      <c r="E2578" s="29" t="n"/>
      <c r="F2578" s="29" t="n"/>
      <c r="G2578" s="28" t="n"/>
      <c r="H2578" s="1" t="n"/>
      <c r="I2578">
        <f>IF(OR(B2578="",C2578=""),"",B2578+MOD(C2578,1))</f>
        <v/>
      </c>
      <c r="J2578">
        <f>IF(I2578="","",IF(B2578=Dashboard!$AA$1,I2578,""))</f>
        <v/>
      </c>
    </row>
    <row r="2579">
      <c r="A2579" s="1" t="n"/>
      <c r="B2579" s="26" t="n"/>
      <c r="C2579" s="27" t="n"/>
      <c r="D2579" s="28" t="n"/>
      <c r="E2579" s="29" t="n"/>
      <c r="F2579" s="29" t="n"/>
      <c r="G2579" s="28" t="n"/>
      <c r="H2579" s="1" t="n"/>
      <c r="I2579">
        <f>IF(OR(B2579="",C2579=""),"",B2579+MOD(C2579,1))</f>
        <v/>
      </c>
      <c r="J2579">
        <f>IF(I2579="","",IF(B2579=Dashboard!$AA$1,I2579,""))</f>
        <v/>
      </c>
    </row>
    <row r="2580">
      <c r="A2580" s="1" t="n"/>
      <c r="B2580" s="26" t="n"/>
      <c r="C2580" s="27" t="n"/>
      <c r="D2580" s="28" t="n"/>
      <c r="E2580" s="29" t="n"/>
      <c r="F2580" s="29" t="n"/>
      <c r="G2580" s="28" t="n"/>
      <c r="H2580" s="1" t="n"/>
      <c r="I2580">
        <f>IF(OR(B2580="",C2580=""),"",B2580+MOD(C2580,1))</f>
        <v/>
      </c>
      <c r="J2580">
        <f>IF(I2580="","",IF(B2580=Dashboard!$AA$1,I2580,""))</f>
        <v/>
      </c>
    </row>
    <row r="2581">
      <c r="A2581" s="1" t="n"/>
      <c r="B2581" s="26" t="n"/>
      <c r="C2581" s="27" t="n"/>
      <c r="D2581" s="28" t="n"/>
      <c r="E2581" s="29" t="n"/>
      <c r="F2581" s="29" t="n"/>
      <c r="G2581" s="28" t="n"/>
      <c r="H2581" s="1" t="n"/>
      <c r="I2581">
        <f>IF(OR(B2581="",C2581=""),"",B2581+MOD(C2581,1))</f>
        <v/>
      </c>
      <c r="J2581">
        <f>IF(I2581="","",IF(B2581=Dashboard!$AA$1,I2581,""))</f>
        <v/>
      </c>
    </row>
    <row r="2582">
      <c r="A2582" s="1" t="n"/>
      <c r="B2582" s="26" t="n"/>
      <c r="C2582" s="27" t="n"/>
      <c r="D2582" s="28" t="n"/>
      <c r="E2582" s="29" t="n"/>
      <c r="F2582" s="29" t="n"/>
      <c r="G2582" s="28" t="n"/>
      <c r="H2582" s="1" t="n"/>
      <c r="I2582">
        <f>IF(OR(B2582="",C2582=""),"",B2582+MOD(C2582,1))</f>
        <v/>
      </c>
      <c r="J2582">
        <f>IF(I2582="","",IF(B2582=Dashboard!$AA$1,I2582,""))</f>
        <v/>
      </c>
    </row>
    <row r="2583">
      <c r="A2583" s="1" t="n"/>
      <c r="B2583" s="26" t="n"/>
      <c r="C2583" s="27" t="n"/>
      <c r="D2583" s="28" t="n"/>
      <c r="E2583" s="29" t="n"/>
      <c r="F2583" s="29" t="n"/>
      <c r="G2583" s="28" t="n"/>
      <c r="H2583" s="1" t="n"/>
      <c r="I2583">
        <f>IF(OR(B2583="",C2583=""),"",B2583+MOD(C2583,1))</f>
        <v/>
      </c>
      <c r="J2583">
        <f>IF(I2583="","",IF(B2583=Dashboard!$AA$1,I2583,""))</f>
        <v/>
      </c>
    </row>
    <row r="2584">
      <c r="A2584" s="1" t="n"/>
      <c r="B2584" s="26" t="n"/>
      <c r="C2584" s="27" t="n"/>
      <c r="D2584" s="28" t="n"/>
      <c r="E2584" s="29" t="n"/>
      <c r="F2584" s="29" t="n"/>
      <c r="G2584" s="28" t="n"/>
      <c r="H2584" s="1" t="n"/>
      <c r="I2584">
        <f>IF(OR(B2584="",C2584=""),"",B2584+MOD(C2584,1))</f>
        <v/>
      </c>
      <c r="J2584">
        <f>IF(I2584="","",IF(B2584=Dashboard!$AA$1,I2584,""))</f>
        <v/>
      </c>
    </row>
    <row r="2585">
      <c r="A2585" s="1" t="n"/>
      <c r="B2585" s="26" t="n"/>
      <c r="C2585" s="27" t="n"/>
      <c r="D2585" s="28" t="n"/>
      <c r="E2585" s="29" t="n"/>
      <c r="F2585" s="29" t="n"/>
      <c r="G2585" s="28" t="n"/>
      <c r="H2585" s="1" t="n"/>
      <c r="I2585">
        <f>IF(OR(B2585="",C2585=""),"",B2585+MOD(C2585,1))</f>
        <v/>
      </c>
      <c r="J2585">
        <f>IF(I2585="","",IF(B2585=Dashboard!$AA$1,I2585,""))</f>
        <v/>
      </c>
    </row>
    <row r="2586">
      <c r="A2586" s="1" t="n"/>
      <c r="B2586" s="26" t="n"/>
      <c r="C2586" s="27" t="n"/>
      <c r="D2586" s="28" t="n"/>
      <c r="E2586" s="29" t="n"/>
      <c r="F2586" s="29" t="n"/>
      <c r="G2586" s="28" t="n"/>
      <c r="H2586" s="1" t="n"/>
      <c r="I2586">
        <f>IF(OR(B2586="",C2586=""),"",B2586+MOD(C2586,1))</f>
        <v/>
      </c>
      <c r="J2586">
        <f>IF(I2586="","",IF(B2586=Dashboard!$AA$1,I2586,""))</f>
        <v/>
      </c>
    </row>
    <row r="2587">
      <c r="A2587" s="1" t="n"/>
      <c r="B2587" s="26" t="n"/>
      <c r="C2587" s="27" t="n"/>
      <c r="D2587" s="28" t="n"/>
      <c r="E2587" s="29" t="n"/>
      <c r="F2587" s="29" t="n"/>
      <c r="G2587" s="28" t="n"/>
      <c r="H2587" s="1" t="n"/>
      <c r="I2587">
        <f>IF(OR(B2587="",C2587=""),"",B2587+MOD(C2587,1))</f>
        <v/>
      </c>
      <c r="J2587">
        <f>IF(I2587="","",IF(B2587=Dashboard!$AA$1,I2587,""))</f>
        <v/>
      </c>
    </row>
    <row r="2588">
      <c r="A2588" s="1" t="n"/>
      <c r="B2588" s="26" t="n"/>
      <c r="C2588" s="27" t="n"/>
      <c r="D2588" s="28" t="n"/>
      <c r="E2588" s="29" t="n"/>
      <c r="F2588" s="29" t="n"/>
      <c r="G2588" s="28" t="n"/>
      <c r="H2588" s="1" t="n"/>
      <c r="I2588">
        <f>IF(OR(B2588="",C2588=""),"",B2588+MOD(C2588,1))</f>
        <v/>
      </c>
      <c r="J2588">
        <f>IF(I2588="","",IF(B2588=Dashboard!$AA$1,I2588,""))</f>
        <v/>
      </c>
    </row>
    <row r="2589">
      <c r="A2589" s="1" t="n"/>
      <c r="B2589" s="26" t="n"/>
      <c r="C2589" s="27" t="n"/>
      <c r="D2589" s="28" t="n"/>
      <c r="E2589" s="29" t="n"/>
      <c r="F2589" s="29" t="n"/>
      <c r="G2589" s="28" t="n"/>
      <c r="H2589" s="1" t="n"/>
      <c r="I2589">
        <f>IF(OR(B2589="",C2589=""),"",B2589+MOD(C2589,1))</f>
        <v/>
      </c>
      <c r="J2589">
        <f>IF(I2589="","",IF(B2589=Dashboard!$AA$1,I2589,""))</f>
        <v/>
      </c>
    </row>
    <row r="2590">
      <c r="A2590" s="1" t="n"/>
      <c r="B2590" s="26" t="n"/>
      <c r="C2590" s="27" t="n"/>
      <c r="D2590" s="28" t="n"/>
      <c r="E2590" s="29" t="n"/>
      <c r="F2590" s="29" t="n"/>
      <c r="G2590" s="28" t="n"/>
      <c r="H2590" s="1" t="n"/>
      <c r="I2590">
        <f>IF(OR(B2590="",C2590=""),"",B2590+MOD(C2590,1))</f>
        <v/>
      </c>
      <c r="J2590">
        <f>IF(I2590="","",IF(B2590=Dashboard!$AA$1,I2590,""))</f>
        <v/>
      </c>
    </row>
    <row r="2591">
      <c r="A2591" s="1" t="n"/>
      <c r="B2591" s="26" t="n"/>
      <c r="C2591" s="27" t="n"/>
      <c r="D2591" s="28" t="n"/>
      <c r="E2591" s="29" t="n"/>
      <c r="F2591" s="29" t="n"/>
      <c r="G2591" s="28" t="n"/>
      <c r="H2591" s="1" t="n"/>
      <c r="I2591">
        <f>IF(OR(B2591="",C2591=""),"",B2591+MOD(C2591,1))</f>
        <v/>
      </c>
      <c r="J2591">
        <f>IF(I2591="","",IF(B2591=Dashboard!$AA$1,I2591,""))</f>
        <v/>
      </c>
    </row>
    <row r="2592">
      <c r="A2592" s="1" t="n"/>
      <c r="B2592" s="26" t="n"/>
      <c r="C2592" s="27" t="n"/>
      <c r="D2592" s="28" t="n"/>
      <c r="E2592" s="29" t="n"/>
      <c r="F2592" s="29" t="n"/>
      <c r="G2592" s="28" t="n"/>
      <c r="H2592" s="1" t="n"/>
      <c r="I2592">
        <f>IF(OR(B2592="",C2592=""),"",B2592+MOD(C2592,1))</f>
        <v/>
      </c>
      <c r="J2592">
        <f>IF(I2592="","",IF(B2592=Dashboard!$AA$1,I2592,""))</f>
        <v/>
      </c>
    </row>
    <row r="2593">
      <c r="A2593" s="1" t="n"/>
      <c r="B2593" s="26" t="n"/>
      <c r="C2593" s="27" t="n"/>
      <c r="D2593" s="28" t="n"/>
      <c r="E2593" s="29" t="n"/>
      <c r="F2593" s="29" t="n"/>
      <c r="G2593" s="28" t="n"/>
      <c r="H2593" s="1" t="n"/>
      <c r="I2593">
        <f>IF(OR(B2593="",C2593=""),"",B2593+MOD(C2593,1))</f>
        <v/>
      </c>
      <c r="J2593">
        <f>IF(I2593="","",IF(B2593=Dashboard!$AA$1,I2593,""))</f>
        <v/>
      </c>
    </row>
    <row r="2594">
      <c r="A2594" s="1" t="n"/>
      <c r="B2594" s="26" t="n"/>
      <c r="C2594" s="27" t="n"/>
      <c r="D2594" s="28" t="n"/>
      <c r="E2594" s="29" t="n"/>
      <c r="F2594" s="29" t="n"/>
      <c r="G2594" s="28" t="n"/>
      <c r="H2594" s="1" t="n"/>
      <c r="I2594">
        <f>IF(OR(B2594="",C2594=""),"",B2594+MOD(C2594,1))</f>
        <v/>
      </c>
      <c r="J2594">
        <f>IF(I2594="","",IF(B2594=Dashboard!$AA$1,I2594,""))</f>
        <v/>
      </c>
    </row>
    <row r="2595">
      <c r="A2595" s="1" t="n"/>
      <c r="B2595" s="26" t="n"/>
      <c r="C2595" s="27" t="n"/>
      <c r="D2595" s="28" t="n"/>
      <c r="E2595" s="29" t="n"/>
      <c r="F2595" s="29" t="n"/>
      <c r="G2595" s="28" t="n"/>
      <c r="H2595" s="1" t="n"/>
      <c r="I2595">
        <f>IF(OR(B2595="",C2595=""),"",B2595+MOD(C2595,1))</f>
        <v/>
      </c>
      <c r="J2595">
        <f>IF(I2595="","",IF(B2595=Dashboard!$AA$1,I2595,""))</f>
        <v/>
      </c>
    </row>
    <row r="2596">
      <c r="A2596" s="1" t="n"/>
      <c r="B2596" s="26" t="n"/>
      <c r="C2596" s="27" t="n"/>
      <c r="D2596" s="28" t="n"/>
      <c r="E2596" s="29" t="n"/>
      <c r="F2596" s="29" t="n"/>
      <c r="G2596" s="28" t="n"/>
      <c r="H2596" s="1" t="n"/>
      <c r="I2596">
        <f>IF(OR(B2596="",C2596=""),"",B2596+MOD(C2596,1))</f>
        <v/>
      </c>
      <c r="J2596">
        <f>IF(I2596="","",IF(B2596=Dashboard!$AA$1,I2596,""))</f>
        <v/>
      </c>
    </row>
    <row r="2597">
      <c r="A2597" s="1" t="n"/>
      <c r="B2597" s="26" t="n"/>
      <c r="C2597" s="27" t="n"/>
      <c r="D2597" s="28" t="n"/>
      <c r="E2597" s="29" t="n"/>
      <c r="F2597" s="29" t="n"/>
      <c r="G2597" s="28" t="n"/>
      <c r="H2597" s="1" t="n"/>
      <c r="I2597">
        <f>IF(OR(B2597="",C2597=""),"",B2597+MOD(C2597,1))</f>
        <v/>
      </c>
      <c r="J2597">
        <f>IF(I2597="","",IF(B2597=Dashboard!$AA$1,I2597,""))</f>
        <v/>
      </c>
    </row>
    <row r="2598">
      <c r="A2598" s="1" t="n"/>
      <c r="B2598" s="26" t="n"/>
      <c r="C2598" s="27" t="n"/>
      <c r="D2598" s="28" t="n"/>
      <c r="E2598" s="29" t="n"/>
      <c r="F2598" s="29" t="n"/>
      <c r="G2598" s="28" t="n"/>
      <c r="H2598" s="1" t="n"/>
      <c r="I2598">
        <f>IF(OR(B2598="",C2598=""),"",B2598+MOD(C2598,1))</f>
        <v/>
      </c>
      <c r="J2598">
        <f>IF(I2598="","",IF(B2598=Dashboard!$AA$1,I2598,""))</f>
        <v/>
      </c>
    </row>
    <row r="2599">
      <c r="A2599" s="1" t="n"/>
      <c r="B2599" s="26" t="n"/>
      <c r="C2599" s="27" t="n"/>
      <c r="D2599" s="28" t="n"/>
      <c r="E2599" s="29" t="n"/>
      <c r="F2599" s="29" t="n"/>
      <c r="G2599" s="28" t="n"/>
      <c r="H2599" s="1" t="n"/>
      <c r="I2599">
        <f>IF(OR(B2599="",C2599=""),"",B2599+MOD(C2599,1))</f>
        <v/>
      </c>
      <c r="J2599">
        <f>IF(I2599="","",IF(B2599=Dashboard!$AA$1,I2599,""))</f>
        <v/>
      </c>
    </row>
    <row r="2600">
      <c r="A2600" s="1" t="n"/>
      <c r="B2600" s="26" t="n"/>
      <c r="C2600" s="27" t="n"/>
      <c r="D2600" s="28" t="n"/>
      <c r="E2600" s="29" t="n"/>
      <c r="F2600" s="29" t="n"/>
      <c r="G2600" s="28" t="n"/>
      <c r="H2600" s="1" t="n"/>
      <c r="I2600">
        <f>IF(OR(B2600="",C2600=""),"",B2600+MOD(C2600,1))</f>
        <v/>
      </c>
      <c r="J2600">
        <f>IF(I2600="","",IF(B2600=Dashboard!$AA$1,I2600,""))</f>
        <v/>
      </c>
    </row>
    <row r="2601">
      <c r="A2601" s="1" t="n"/>
      <c r="B2601" s="26" t="n"/>
      <c r="C2601" s="27" t="n"/>
      <c r="D2601" s="28" t="n"/>
      <c r="E2601" s="29" t="n"/>
      <c r="F2601" s="29" t="n"/>
      <c r="G2601" s="28" t="n"/>
      <c r="H2601" s="1" t="n"/>
      <c r="I2601">
        <f>IF(OR(B2601="",C2601=""),"",B2601+MOD(C2601,1))</f>
        <v/>
      </c>
      <c r="J2601">
        <f>IF(I2601="","",IF(B2601=Dashboard!$AA$1,I2601,""))</f>
        <v/>
      </c>
    </row>
    <row r="2602">
      <c r="A2602" s="1" t="n"/>
      <c r="B2602" s="26" t="n"/>
      <c r="C2602" s="27" t="n"/>
      <c r="D2602" s="28" t="n"/>
      <c r="E2602" s="29" t="n"/>
      <c r="F2602" s="29" t="n"/>
      <c r="G2602" s="28" t="n"/>
      <c r="H2602" s="1" t="n"/>
      <c r="I2602">
        <f>IF(OR(B2602="",C2602=""),"",B2602+MOD(C2602,1))</f>
        <v/>
      </c>
      <c r="J2602">
        <f>IF(I2602="","",IF(B2602=Dashboard!$AA$1,I2602,""))</f>
        <v/>
      </c>
    </row>
    <row r="2603">
      <c r="A2603" s="1" t="n"/>
      <c r="B2603" s="26" t="n"/>
      <c r="C2603" s="27" t="n"/>
      <c r="D2603" s="28" t="n"/>
      <c r="E2603" s="29" t="n"/>
      <c r="F2603" s="29" t="n"/>
      <c r="G2603" s="28" t="n"/>
      <c r="H2603" s="1" t="n"/>
      <c r="I2603">
        <f>IF(OR(B2603="",C2603=""),"",B2603+MOD(C2603,1))</f>
        <v/>
      </c>
      <c r="J2603">
        <f>IF(I2603="","",IF(B2603=Dashboard!$AA$1,I2603,""))</f>
        <v/>
      </c>
    </row>
    <row r="2604">
      <c r="A2604" s="1" t="n"/>
      <c r="B2604" s="26" t="n"/>
      <c r="C2604" s="27" t="n"/>
      <c r="D2604" s="28" t="n"/>
      <c r="E2604" s="29" t="n"/>
      <c r="F2604" s="29" t="n"/>
      <c r="G2604" s="28" t="n"/>
      <c r="H2604" s="1" t="n"/>
      <c r="I2604">
        <f>IF(OR(B2604="",C2604=""),"",B2604+MOD(C2604,1))</f>
        <v/>
      </c>
      <c r="J2604">
        <f>IF(I2604="","",IF(B2604=Dashboard!$AA$1,I2604,""))</f>
        <v/>
      </c>
    </row>
    <row r="2605">
      <c r="A2605" s="1" t="n"/>
      <c r="B2605" s="26" t="n"/>
      <c r="C2605" s="27" t="n"/>
      <c r="D2605" s="28" t="n"/>
      <c r="E2605" s="29" t="n"/>
      <c r="F2605" s="29" t="n"/>
      <c r="G2605" s="28" t="n"/>
      <c r="H2605" s="1" t="n"/>
      <c r="I2605">
        <f>IF(OR(B2605="",C2605=""),"",B2605+MOD(C2605,1))</f>
        <v/>
      </c>
      <c r="J2605">
        <f>IF(I2605="","",IF(B2605=Dashboard!$AA$1,I2605,""))</f>
        <v/>
      </c>
    </row>
    <row r="2606">
      <c r="A2606" s="1" t="n"/>
      <c r="B2606" s="26" t="n"/>
      <c r="C2606" s="27" t="n"/>
      <c r="D2606" s="28" t="n"/>
      <c r="E2606" s="29" t="n"/>
      <c r="F2606" s="29" t="n"/>
      <c r="G2606" s="28" t="n"/>
      <c r="H2606" s="1" t="n"/>
      <c r="I2606">
        <f>IF(OR(B2606="",C2606=""),"",B2606+MOD(C2606,1))</f>
        <v/>
      </c>
      <c r="J2606">
        <f>IF(I2606="","",IF(B2606=Dashboard!$AA$1,I2606,""))</f>
        <v/>
      </c>
    </row>
    <row r="2607">
      <c r="A2607" s="1" t="n"/>
      <c r="B2607" s="26" t="n"/>
      <c r="C2607" s="27" t="n"/>
      <c r="D2607" s="28" t="n"/>
      <c r="E2607" s="29" t="n"/>
      <c r="F2607" s="29" t="n"/>
      <c r="G2607" s="28" t="n"/>
      <c r="H2607" s="1" t="n"/>
      <c r="I2607">
        <f>IF(OR(B2607="",C2607=""),"",B2607+MOD(C2607,1))</f>
        <v/>
      </c>
      <c r="J2607">
        <f>IF(I2607="","",IF(B2607=Dashboard!$AA$1,I2607,""))</f>
        <v/>
      </c>
    </row>
    <row r="2608">
      <c r="A2608" s="1" t="n"/>
      <c r="B2608" s="26" t="n"/>
      <c r="C2608" s="27" t="n"/>
      <c r="D2608" s="28" t="n"/>
      <c r="E2608" s="29" t="n"/>
      <c r="F2608" s="29" t="n"/>
      <c r="G2608" s="28" t="n"/>
      <c r="H2608" s="1" t="n"/>
      <c r="I2608">
        <f>IF(OR(B2608="",C2608=""),"",B2608+MOD(C2608,1))</f>
        <v/>
      </c>
      <c r="J2608">
        <f>IF(I2608="","",IF(B2608=Dashboard!$AA$1,I2608,""))</f>
        <v/>
      </c>
    </row>
    <row r="2609">
      <c r="A2609" s="1" t="n"/>
      <c r="B2609" s="26" t="n"/>
      <c r="C2609" s="27" t="n"/>
      <c r="D2609" s="28" t="n"/>
      <c r="E2609" s="29" t="n"/>
      <c r="F2609" s="29" t="n"/>
      <c r="G2609" s="28" t="n"/>
      <c r="H2609" s="1" t="n"/>
      <c r="I2609">
        <f>IF(OR(B2609="",C2609=""),"",B2609+MOD(C2609,1))</f>
        <v/>
      </c>
      <c r="J2609">
        <f>IF(I2609="","",IF(B2609=Dashboard!$AA$1,I2609,""))</f>
        <v/>
      </c>
    </row>
    <row r="2610">
      <c r="A2610" s="1" t="n"/>
      <c r="B2610" s="26" t="n"/>
      <c r="C2610" s="27" t="n"/>
      <c r="D2610" s="28" t="n"/>
      <c r="E2610" s="29" t="n"/>
      <c r="F2610" s="29" t="n"/>
      <c r="G2610" s="28" t="n"/>
      <c r="H2610" s="1" t="n"/>
      <c r="I2610">
        <f>IF(OR(B2610="",C2610=""),"",B2610+MOD(C2610,1))</f>
        <v/>
      </c>
      <c r="J2610">
        <f>IF(I2610="","",IF(B2610=Dashboard!$AA$1,I2610,""))</f>
        <v/>
      </c>
    </row>
    <row r="2611">
      <c r="A2611" s="1" t="n"/>
      <c r="B2611" s="26" t="n"/>
      <c r="C2611" s="27" t="n"/>
      <c r="D2611" s="28" t="n"/>
      <c r="E2611" s="29" t="n"/>
      <c r="F2611" s="29" t="n"/>
      <c r="G2611" s="28" t="n"/>
      <c r="H2611" s="1" t="n"/>
      <c r="I2611">
        <f>IF(OR(B2611="",C2611=""),"",B2611+MOD(C2611,1))</f>
        <v/>
      </c>
      <c r="J2611">
        <f>IF(I2611="","",IF(B2611=Dashboard!$AA$1,I2611,""))</f>
        <v/>
      </c>
    </row>
    <row r="2612">
      <c r="A2612" s="1" t="n"/>
      <c r="B2612" s="26" t="n"/>
      <c r="C2612" s="27" t="n"/>
      <c r="D2612" s="28" t="n"/>
      <c r="E2612" s="29" t="n"/>
      <c r="F2612" s="29" t="n"/>
      <c r="G2612" s="28" t="n"/>
      <c r="H2612" s="1" t="n"/>
      <c r="I2612">
        <f>IF(OR(B2612="",C2612=""),"",B2612+MOD(C2612,1))</f>
        <v/>
      </c>
      <c r="J2612">
        <f>IF(I2612="","",IF(B2612=Dashboard!$AA$1,I2612,""))</f>
        <v/>
      </c>
    </row>
    <row r="2613">
      <c r="A2613" s="1" t="n"/>
      <c r="B2613" s="26" t="n"/>
      <c r="C2613" s="27" t="n"/>
      <c r="D2613" s="28" t="n"/>
      <c r="E2613" s="29" t="n"/>
      <c r="F2613" s="29" t="n"/>
      <c r="G2613" s="28" t="n"/>
      <c r="H2613" s="1" t="n"/>
      <c r="I2613">
        <f>IF(OR(B2613="",C2613=""),"",B2613+MOD(C2613,1))</f>
        <v/>
      </c>
      <c r="J2613">
        <f>IF(I2613="","",IF(B2613=Dashboard!$AA$1,I2613,""))</f>
        <v/>
      </c>
    </row>
    <row r="2614">
      <c r="A2614" s="1" t="n"/>
      <c r="B2614" s="26" t="n"/>
      <c r="C2614" s="27" t="n"/>
      <c r="D2614" s="28" t="n"/>
      <c r="E2614" s="29" t="n"/>
      <c r="F2614" s="29" t="n"/>
      <c r="G2614" s="28" t="n"/>
      <c r="H2614" s="1" t="n"/>
      <c r="I2614">
        <f>IF(OR(B2614="",C2614=""),"",B2614+MOD(C2614,1))</f>
        <v/>
      </c>
      <c r="J2614">
        <f>IF(I2614="","",IF(B2614=Dashboard!$AA$1,I2614,""))</f>
        <v/>
      </c>
    </row>
    <row r="2615">
      <c r="A2615" s="1" t="n"/>
      <c r="B2615" s="26" t="n"/>
      <c r="C2615" s="27" t="n"/>
      <c r="D2615" s="28" t="n"/>
      <c r="E2615" s="29" t="n"/>
      <c r="F2615" s="29" t="n"/>
      <c r="G2615" s="28" t="n"/>
      <c r="H2615" s="1" t="n"/>
      <c r="I2615">
        <f>IF(OR(B2615="",C2615=""),"",B2615+MOD(C2615,1))</f>
        <v/>
      </c>
      <c r="J2615">
        <f>IF(I2615="","",IF(B2615=Dashboard!$AA$1,I2615,""))</f>
        <v/>
      </c>
    </row>
    <row r="2616">
      <c r="A2616" s="1" t="n"/>
      <c r="B2616" s="26" t="n"/>
      <c r="C2616" s="27" t="n"/>
      <c r="D2616" s="28" t="n"/>
      <c r="E2616" s="29" t="n"/>
      <c r="F2616" s="29" t="n"/>
      <c r="G2616" s="28" t="n"/>
      <c r="H2616" s="1" t="n"/>
      <c r="I2616">
        <f>IF(OR(B2616="",C2616=""),"",B2616+MOD(C2616,1))</f>
        <v/>
      </c>
      <c r="J2616">
        <f>IF(I2616="","",IF(B2616=Dashboard!$AA$1,I2616,""))</f>
        <v/>
      </c>
    </row>
    <row r="2617">
      <c r="A2617" s="1" t="n"/>
      <c r="B2617" s="26" t="n"/>
      <c r="C2617" s="27" t="n"/>
      <c r="D2617" s="28" t="n"/>
      <c r="E2617" s="29" t="n"/>
      <c r="F2617" s="29" t="n"/>
      <c r="G2617" s="28" t="n"/>
      <c r="H2617" s="1" t="n"/>
      <c r="I2617">
        <f>IF(OR(B2617="",C2617=""),"",B2617+MOD(C2617,1))</f>
        <v/>
      </c>
      <c r="J2617">
        <f>IF(I2617="","",IF(B2617=Dashboard!$AA$1,I2617,""))</f>
        <v/>
      </c>
    </row>
    <row r="2618">
      <c r="A2618" s="1" t="n"/>
      <c r="B2618" s="26" t="n"/>
      <c r="C2618" s="27" t="n"/>
      <c r="D2618" s="28" t="n"/>
      <c r="E2618" s="29" t="n"/>
      <c r="F2618" s="29" t="n"/>
      <c r="G2618" s="28" t="n"/>
      <c r="H2618" s="1" t="n"/>
      <c r="I2618">
        <f>IF(OR(B2618="",C2618=""),"",B2618+MOD(C2618,1))</f>
        <v/>
      </c>
      <c r="J2618">
        <f>IF(I2618="","",IF(B2618=Dashboard!$AA$1,I2618,""))</f>
        <v/>
      </c>
    </row>
    <row r="2619">
      <c r="A2619" s="1" t="n"/>
      <c r="B2619" s="26" t="n"/>
      <c r="C2619" s="27" t="n"/>
      <c r="D2619" s="28" t="n"/>
      <c r="E2619" s="29" t="n"/>
      <c r="F2619" s="29" t="n"/>
      <c r="G2619" s="28" t="n"/>
      <c r="H2619" s="1" t="n"/>
      <c r="I2619">
        <f>IF(OR(B2619="",C2619=""),"",B2619+MOD(C2619,1))</f>
        <v/>
      </c>
      <c r="J2619">
        <f>IF(I2619="","",IF(B2619=Dashboard!$AA$1,I2619,""))</f>
        <v/>
      </c>
    </row>
    <row r="2620">
      <c r="A2620" s="1" t="n"/>
      <c r="B2620" s="26" t="n"/>
      <c r="C2620" s="27" t="n"/>
      <c r="D2620" s="28" t="n"/>
      <c r="E2620" s="29" t="n"/>
      <c r="F2620" s="29" t="n"/>
      <c r="G2620" s="28" t="n"/>
      <c r="H2620" s="1" t="n"/>
      <c r="I2620">
        <f>IF(OR(B2620="",C2620=""),"",B2620+MOD(C2620,1))</f>
        <v/>
      </c>
      <c r="J2620">
        <f>IF(I2620="","",IF(B2620=Dashboard!$AA$1,I2620,""))</f>
        <v/>
      </c>
    </row>
    <row r="2621">
      <c r="A2621" s="1" t="n"/>
      <c r="B2621" s="26" t="n"/>
      <c r="C2621" s="27" t="n"/>
      <c r="D2621" s="28" t="n"/>
      <c r="E2621" s="29" t="n"/>
      <c r="F2621" s="29" t="n"/>
      <c r="G2621" s="28" t="n"/>
      <c r="H2621" s="1" t="n"/>
      <c r="I2621">
        <f>IF(OR(B2621="",C2621=""),"",B2621+MOD(C2621,1))</f>
        <v/>
      </c>
      <c r="J2621">
        <f>IF(I2621="","",IF(B2621=Dashboard!$AA$1,I2621,""))</f>
        <v/>
      </c>
    </row>
    <row r="2622">
      <c r="A2622" s="1" t="n"/>
      <c r="B2622" s="26" t="n"/>
      <c r="C2622" s="27" t="n"/>
      <c r="D2622" s="28" t="n"/>
      <c r="E2622" s="29" t="n"/>
      <c r="F2622" s="29" t="n"/>
      <c r="G2622" s="28" t="n"/>
      <c r="H2622" s="1" t="n"/>
      <c r="I2622">
        <f>IF(OR(B2622="",C2622=""),"",B2622+MOD(C2622,1))</f>
        <v/>
      </c>
      <c r="J2622">
        <f>IF(I2622="","",IF(B2622=Dashboard!$AA$1,I2622,""))</f>
        <v/>
      </c>
    </row>
    <row r="2623">
      <c r="A2623" s="1" t="n"/>
      <c r="B2623" s="26" t="n"/>
      <c r="C2623" s="27" t="n"/>
      <c r="D2623" s="28" t="n"/>
      <c r="E2623" s="29" t="n"/>
      <c r="F2623" s="29" t="n"/>
      <c r="G2623" s="28" t="n"/>
      <c r="H2623" s="1" t="n"/>
      <c r="I2623">
        <f>IF(OR(B2623="",C2623=""),"",B2623+MOD(C2623,1))</f>
        <v/>
      </c>
      <c r="J2623">
        <f>IF(I2623="","",IF(B2623=Dashboard!$AA$1,I2623,""))</f>
        <v/>
      </c>
    </row>
    <row r="2624">
      <c r="A2624" s="1" t="n"/>
      <c r="B2624" s="26" t="n"/>
      <c r="C2624" s="27" t="n"/>
      <c r="D2624" s="28" t="n"/>
      <c r="E2624" s="29" t="n"/>
      <c r="F2624" s="29" t="n"/>
      <c r="G2624" s="28" t="n"/>
      <c r="H2624" s="1" t="n"/>
      <c r="I2624">
        <f>IF(OR(B2624="",C2624=""),"",B2624+MOD(C2624,1))</f>
        <v/>
      </c>
      <c r="J2624">
        <f>IF(I2624="","",IF(B2624=Dashboard!$AA$1,I2624,""))</f>
        <v/>
      </c>
    </row>
    <row r="2625">
      <c r="A2625" s="1" t="n"/>
      <c r="B2625" s="26" t="n"/>
      <c r="C2625" s="27" t="n"/>
      <c r="D2625" s="28" t="n"/>
      <c r="E2625" s="29" t="n"/>
      <c r="F2625" s="29" t="n"/>
      <c r="G2625" s="28" t="n"/>
      <c r="H2625" s="1" t="n"/>
      <c r="I2625">
        <f>IF(OR(B2625="",C2625=""),"",B2625+MOD(C2625,1))</f>
        <v/>
      </c>
      <c r="J2625">
        <f>IF(I2625="","",IF(B2625=Dashboard!$AA$1,I2625,""))</f>
        <v/>
      </c>
    </row>
    <row r="2626">
      <c r="A2626" s="1" t="n"/>
      <c r="B2626" s="26" t="n"/>
      <c r="C2626" s="27" t="n"/>
      <c r="D2626" s="28" t="n"/>
      <c r="E2626" s="29" t="n"/>
      <c r="F2626" s="29" t="n"/>
      <c r="G2626" s="28" t="n"/>
      <c r="H2626" s="1" t="n"/>
      <c r="I2626">
        <f>IF(OR(B2626="",C2626=""),"",B2626+MOD(C2626,1))</f>
        <v/>
      </c>
      <c r="J2626">
        <f>IF(I2626="","",IF(B2626=Dashboard!$AA$1,I2626,""))</f>
        <v/>
      </c>
    </row>
    <row r="2627">
      <c r="A2627" s="1" t="n"/>
      <c r="B2627" s="26" t="n"/>
      <c r="C2627" s="27" t="n"/>
      <c r="D2627" s="28" t="n"/>
      <c r="E2627" s="29" t="n"/>
      <c r="F2627" s="29" t="n"/>
      <c r="G2627" s="28" t="n"/>
      <c r="H2627" s="1" t="n"/>
      <c r="I2627">
        <f>IF(OR(B2627="",C2627=""),"",B2627+MOD(C2627,1))</f>
        <v/>
      </c>
      <c r="J2627">
        <f>IF(I2627="","",IF(B2627=Dashboard!$AA$1,I2627,""))</f>
        <v/>
      </c>
    </row>
    <row r="2628">
      <c r="A2628" s="1" t="n"/>
      <c r="B2628" s="26" t="n"/>
      <c r="C2628" s="27" t="n"/>
      <c r="D2628" s="28" t="n"/>
      <c r="E2628" s="29" t="n"/>
      <c r="F2628" s="29" t="n"/>
      <c r="G2628" s="28" t="n"/>
      <c r="H2628" s="1" t="n"/>
      <c r="I2628">
        <f>IF(OR(B2628="",C2628=""),"",B2628+MOD(C2628,1))</f>
        <v/>
      </c>
      <c r="J2628">
        <f>IF(I2628="","",IF(B2628=Dashboard!$AA$1,I2628,""))</f>
        <v/>
      </c>
    </row>
    <row r="2629">
      <c r="A2629" s="1" t="n"/>
      <c r="B2629" s="26" t="n"/>
      <c r="C2629" s="27" t="n"/>
      <c r="D2629" s="28" t="n"/>
      <c r="E2629" s="29" t="n"/>
      <c r="F2629" s="29" t="n"/>
      <c r="G2629" s="28" t="n"/>
      <c r="H2629" s="1" t="n"/>
      <c r="I2629">
        <f>IF(OR(B2629="",C2629=""),"",B2629+MOD(C2629,1))</f>
        <v/>
      </c>
      <c r="J2629">
        <f>IF(I2629="","",IF(B2629=Dashboard!$AA$1,I2629,""))</f>
        <v/>
      </c>
    </row>
    <row r="2630">
      <c r="A2630" s="1" t="n"/>
      <c r="B2630" s="26" t="n"/>
      <c r="C2630" s="27" t="n"/>
      <c r="D2630" s="28" t="n"/>
      <c r="E2630" s="29" t="n"/>
      <c r="F2630" s="29" t="n"/>
      <c r="G2630" s="28" t="n"/>
      <c r="H2630" s="1" t="n"/>
      <c r="I2630">
        <f>IF(OR(B2630="",C2630=""),"",B2630+MOD(C2630,1))</f>
        <v/>
      </c>
      <c r="J2630">
        <f>IF(I2630="","",IF(B2630=Dashboard!$AA$1,I2630,""))</f>
        <v/>
      </c>
    </row>
    <row r="2631">
      <c r="A2631" s="1" t="n"/>
      <c r="B2631" s="26" t="n"/>
      <c r="C2631" s="27" t="n"/>
      <c r="D2631" s="28" t="n"/>
      <c r="E2631" s="29" t="n"/>
      <c r="F2631" s="29" t="n"/>
      <c r="G2631" s="28" t="n"/>
      <c r="H2631" s="1" t="n"/>
      <c r="I2631">
        <f>IF(OR(B2631="",C2631=""),"",B2631+MOD(C2631,1))</f>
        <v/>
      </c>
      <c r="J2631">
        <f>IF(I2631="","",IF(B2631=Dashboard!$AA$1,I2631,""))</f>
        <v/>
      </c>
    </row>
    <row r="2632">
      <c r="A2632" s="1" t="n"/>
      <c r="B2632" s="26" t="n"/>
      <c r="C2632" s="27" t="n"/>
      <c r="D2632" s="28" t="n"/>
      <c r="E2632" s="29" t="n"/>
      <c r="F2632" s="29" t="n"/>
      <c r="G2632" s="28" t="n"/>
      <c r="H2632" s="1" t="n"/>
      <c r="I2632">
        <f>IF(OR(B2632="",C2632=""),"",B2632+MOD(C2632,1))</f>
        <v/>
      </c>
      <c r="J2632">
        <f>IF(I2632="","",IF(B2632=Dashboard!$AA$1,I2632,""))</f>
        <v/>
      </c>
    </row>
    <row r="2633">
      <c r="A2633" s="1" t="n"/>
      <c r="B2633" s="26" t="n"/>
      <c r="C2633" s="27" t="n"/>
      <c r="D2633" s="28" t="n"/>
      <c r="E2633" s="29" t="n"/>
      <c r="F2633" s="29" t="n"/>
      <c r="G2633" s="28" t="n"/>
      <c r="H2633" s="1" t="n"/>
      <c r="I2633">
        <f>IF(OR(B2633="",C2633=""),"",B2633+MOD(C2633,1))</f>
        <v/>
      </c>
      <c r="J2633">
        <f>IF(I2633="","",IF(B2633=Dashboard!$AA$1,I2633,""))</f>
        <v/>
      </c>
    </row>
    <row r="2634">
      <c r="A2634" s="1" t="n"/>
      <c r="B2634" s="26" t="n"/>
      <c r="C2634" s="27" t="n"/>
      <c r="D2634" s="28" t="n"/>
      <c r="E2634" s="29" t="n"/>
      <c r="F2634" s="29" t="n"/>
      <c r="G2634" s="28" t="n"/>
      <c r="H2634" s="1" t="n"/>
      <c r="I2634">
        <f>IF(OR(B2634="",C2634=""),"",B2634+MOD(C2634,1))</f>
        <v/>
      </c>
      <c r="J2634">
        <f>IF(I2634="","",IF(B2634=Dashboard!$AA$1,I2634,""))</f>
        <v/>
      </c>
    </row>
    <row r="2635">
      <c r="A2635" s="1" t="n"/>
      <c r="B2635" s="26" t="n"/>
      <c r="C2635" s="27" t="n"/>
      <c r="D2635" s="28" t="n"/>
      <c r="E2635" s="29" t="n"/>
      <c r="F2635" s="29" t="n"/>
      <c r="G2635" s="28" t="n"/>
      <c r="H2635" s="1" t="n"/>
      <c r="I2635">
        <f>IF(OR(B2635="",C2635=""),"",B2635+MOD(C2635,1))</f>
        <v/>
      </c>
      <c r="J2635">
        <f>IF(I2635="","",IF(B2635=Dashboard!$AA$1,I2635,""))</f>
        <v/>
      </c>
    </row>
    <row r="2636">
      <c r="A2636" s="1" t="n"/>
      <c r="B2636" s="26" t="n"/>
      <c r="C2636" s="27" t="n"/>
      <c r="D2636" s="28" t="n"/>
      <c r="E2636" s="29" t="n"/>
      <c r="F2636" s="29" t="n"/>
      <c r="G2636" s="28" t="n"/>
      <c r="H2636" s="1" t="n"/>
      <c r="I2636">
        <f>IF(OR(B2636="",C2636=""),"",B2636+MOD(C2636,1))</f>
        <v/>
      </c>
      <c r="J2636">
        <f>IF(I2636="","",IF(B2636=Dashboard!$AA$1,I2636,""))</f>
        <v/>
      </c>
    </row>
    <row r="2637">
      <c r="A2637" s="1" t="n"/>
      <c r="B2637" s="26" t="n"/>
      <c r="C2637" s="27" t="n"/>
      <c r="D2637" s="28" t="n"/>
      <c r="E2637" s="29" t="n"/>
      <c r="F2637" s="29" t="n"/>
      <c r="G2637" s="28" t="n"/>
      <c r="H2637" s="1" t="n"/>
      <c r="I2637">
        <f>IF(OR(B2637="",C2637=""),"",B2637+MOD(C2637,1))</f>
        <v/>
      </c>
      <c r="J2637">
        <f>IF(I2637="","",IF(B2637=Dashboard!$AA$1,I2637,""))</f>
        <v/>
      </c>
    </row>
    <row r="2638">
      <c r="A2638" s="1" t="n"/>
      <c r="B2638" s="26" t="n"/>
      <c r="C2638" s="27" t="n"/>
      <c r="D2638" s="28" t="n"/>
      <c r="E2638" s="29" t="n"/>
      <c r="F2638" s="29" t="n"/>
      <c r="G2638" s="28" t="n"/>
      <c r="H2638" s="1" t="n"/>
      <c r="I2638">
        <f>IF(OR(B2638="",C2638=""),"",B2638+MOD(C2638,1))</f>
        <v/>
      </c>
      <c r="J2638">
        <f>IF(I2638="","",IF(B2638=Dashboard!$AA$1,I2638,""))</f>
        <v/>
      </c>
    </row>
    <row r="2639">
      <c r="A2639" s="1" t="n"/>
      <c r="B2639" s="26" t="n"/>
      <c r="C2639" s="27" t="n"/>
      <c r="D2639" s="28" t="n"/>
      <c r="E2639" s="29" t="n"/>
      <c r="F2639" s="29" t="n"/>
      <c r="G2639" s="28" t="n"/>
      <c r="H2639" s="1" t="n"/>
      <c r="I2639">
        <f>IF(OR(B2639="",C2639=""),"",B2639+MOD(C2639,1))</f>
        <v/>
      </c>
      <c r="J2639">
        <f>IF(I2639="","",IF(B2639=Dashboard!$AA$1,I2639,""))</f>
        <v/>
      </c>
    </row>
    <row r="2640">
      <c r="A2640" s="1" t="n"/>
      <c r="B2640" s="26" t="n"/>
      <c r="C2640" s="27" t="n"/>
      <c r="D2640" s="28" t="n"/>
      <c r="E2640" s="29" t="n"/>
      <c r="F2640" s="29" t="n"/>
      <c r="G2640" s="28" t="n"/>
      <c r="H2640" s="1" t="n"/>
      <c r="I2640">
        <f>IF(OR(B2640="",C2640=""),"",B2640+MOD(C2640,1))</f>
        <v/>
      </c>
      <c r="J2640">
        <f>IF(I2640="","",IF(B2640=Dashboard!$AA$1,I2640,""))</f>
        <v/>
      </c>
    </row>
    <row r="2641">
      <c r="A2641" s="1" t="n"/>
      <c r="B2641" s="26" t="n"/>
      <c r="C2641" s="27" t="n"/>
      <c r="D2641" s="28" t="n"/>
      <c r="E2641" s="29" t="n"/>
      <c r="F2641" s="29" t="n"/>
      <c r="G2641" s="28" t="n"/>
      <c r="H2641" s="1" t="n"/>
      <c r="I2641">
        <f>IF(OR(B2641="",C2641=""),"",B2641+MOD(C2641,1))</f>
        <v/>
      </c>
      <c r="J2641">
        <f>IF(I2641="","",IF(B2641=Dashboard!$AA$1,I2641,""))</f>
        <v/>
      </c>
    </row>
    <row r="2642">
      <c r="A2642" s="1" t="n"/>
      <c r="B2642" s="26" t="n"/>
      <c r="C2642" s="27" t="n"/>
      <c r="D2642" s="28" t="n"/>
      <c r="E2642" s="29" t="n"/>
      <c r="F2642" s="29" t="n"/>
      <c r="G2642" s="28" t="n"/>
      <c r="H2642" s="1" t="n"/>
      <c r="I2642">
        <f>IF(OR(B2642="",C2642=""),"",B2642+MOD(C2642,1))</f>
        <v/>
      </c>
      <c r="J2642">
        <f>IF(I2642="","",IF(B2642=Dashboard!$AA$1,I2642,""))</f>
        <v/>
      </c>
    </row>
    <row r="2643">
      <c r="A2643" s="1" t="n"/>
      <c r="B2643" s="26" t="n"/>
      <c r="C2643" s="27" t="n"/>
      <c r="D2643" s="28" t="n"/>
      <c r="E2643" s="29" t="n"/>
      <c r="F2643" s="29" t="n"/>
      <c r="G2643" s="28" t="n"/>
      <c r="H2643" s="1" t="n"/>
      <c r="I2643">
        <f>IF(OR(B2643="",C2643=""),"",B2643+MOD(C2643,1))</f>
        <v/>
      </c>
      <c r="J2643">
        <f>IF(I2643="","",IF(B2643=Dashboard!$AA$1,I2643,""))</f>
        <v/>
      </c>
    </row>
    <row r="2644">
      <c r="A2644" s="1" t="n"/>
      <c r="B2644" s="26" t="n"/>
      <c r="C2644" s="27" t="n"/>
      <c r="D2644" s="28" t="n"/>
      <c r="E2644" s="29" t="n"/>
      <c r="F2644" s="29" t="n"/>
      <c r="G2644" s="28" t="n"/>
      <c r="H2644" s="1" t="n"/>
      <c r="I2644">
        <f>IF(OR(B2644="",C2644=""),"",B2644+MOD(C2644,1))</f>
        <v/>
      </c>
      <c r="J2644">
        <f>IF(I2644="","",IF(B2644=Dashboard!$AA$1,I2644,""))</f>
        <v/>
      </c>
    </row>
    <row r="2645">
      <c r="A2645" s="1" t="n"/>
      <c r="B2645" s="26" t="n"/>
      <c r="C2645" s="27" t="n"/>
      <c r="D2645" s="28" t="n"/>
      <c r="E2645" s="29" t="n"/>
      <c r="F2645" s="29" t="n"/>
      <c r="G2645" s="28" t="n"/>
      <c r="H2645" s="1" t="n"/>
      <c r="I2645">
        <f>IF(OR(B2645="",C2645=""),"",B2645+MOD(C2645,1))</f>
        <v/>
      </c>
      <c r="J2645">
        <f>IF(I2645="","",IF(B2645=Dashboard!$AA$1,I2645,""))</f>
        <v/>
      </c>
    </row>
    <row r="2646">
      <c r="A2646" s="1" t="n"/>
      <c r="B2646" s="26" t="n"/>
      <c r="C2646" s="27" t="n"/>
      <c r="D2646" s="28" t="n"/>
      <c r="E2646" s="29" t="n"/>
      <c r="F2646" s="29" t="n"/>
      <c r="G2646" s="28" t="n"/>
      <c r="H2646" s="1" t="n"/>
      <c r="I2646">
        <f>IF(OR(B2646="",C2646=""),"",B2646+MOD(C2646,1))</f>
        <v/>
      </c>
      <c r="J2646">
        <f>IF(I2646="","",IF(B2646=Dashboard!$AA$1,I2646,""))</f>
        <v/>
      </c>
    </row>
    <row r="2647">
      <c r="A2647" s="1" t="n"/>
      <c r="B2647" s="26" t="n"/>
      <c r="C2647" s="27" t="n"/>
      <c r="D2647" s="28" t="n"/>
      <c r="E2647" s="29" t="n"/>
      <c r="F2647" s="29" t="n"/>
      <c r="G2647" s="28" t="n"/>
      <c r="H2647" s="1" t="n"/>
      <c r="I2647">
        <f>IF(OR(B2647="",C2647=""),"",B2647+MOD(C2647,1))</f>
        <v/>
      </c>
      <c r="J2647">
        <f>IF(I2647="","",IF(B2647=Dashboard!$AA$1,I2647,""))</f>
        <v/>
      </c>
    </row>
    <row r="2648">
      <c r="A2648" s="1" t="n"/>
      <c r="B2648" s="26" t="n"/>
      <c r="C2648" s="27" t="n"/>
      <c r="D2648" s="28" t="n"/>
      <c r="E2648" s="29" t="n"/>
      <c r="F2648" s="29" t="n"/>
      <c r="G2648" s="28" t="n"/>
      <c r="H2648" s="1" t="n"/>
      <c r="I2648">
        <f>IF(OR(B2648="",C2648=""),"",B2648+MOD(C2648,1))</f>
        <v/>
      </c>
      <c r="J2648">
        <f>IF(I2648="","",IF(B2648=Dashboard!$AA$1,I2648,""))</f>
        <v/>
      </c>
    </row>
    <row r="2649">
      <c r="A2649" s="1" t="n"/>
      <c r="B2649" s="26" t="n"/>
      <c r="C2649" s="27" t="n"/>
      <c r="D2649" s="28" t="n"/>
      <c r="E2649" s="29" t="n"/>
      <c r="F2649" s="29" t="n"/>
      <c r="G2649" s="28" t="n"/>
      <c r="H2649" s="1" t="n"/>
      <c r="I2649">
        <f>IF(OR(B2649="",C2649=""),"",B2649+MOD(C2649,1))</f>
        <v/>
      </c>
      <c r="J2649">
        <f>IF(I2649="","",IF(B2649=Dashboard!$AA$1,I2649,""))</f>
        <v/>
      </c>
    </row>
    <row r="2650">
      <c r="A2650" s="1" t="n"/>
      <c r="B2650" s="26" t="n"/>
      <c r="C2650" s="27" t="n"/>
      <c r="D2650" s="28" t="n"/>
      <c r="E2650" s="29" t="n"/>
      <c r="F2650" s="29" t="n"/>
      <c r="G2650" s="28" t="n"/>
      <c r="H2650" s="1" t="n"/>
      <c r="I2650">
        <f>IF(OR(B2650="",C2650=""),"",B2650+MOD(C2650,1))</f>
        <v/>
      </c>
      <c r="J2650">
        <f>IF(I2650="","",IF(B2650=Dashboard!$AA$1,I2650,""))</f>
        <v/>
      </c>
    </row>
    <row r="2651">
      <c r="A2651" s="1" t="n"/>
      <c r="B2651" s="26" t="n"/>
      <c r="C2651" s="27" t="n"/>
      <c r="D2651" s="28" t="n"/>
      <c r="E2651" s="29" t="n"/>
      <c r="F2651" s="29" t="n"/>
      <c r="G2651" s="28" t="n"/>
      <c r="H2651" s="1" t="n"/>
      <c r="I2651">
        <f>IF(OR(B2651="",C2651=""),"",B2651+MOD(C2651,1))</f>
        <v/>
      </c>
      <c r="J2651">
        <f>IF(I2651="","",IF(B2651=Dashboard!$AA$1,I2651,""))</f>
        <v/>
      </c>
    </row>
    <row r="2652">
      <c r="A2652" s="1" t="n"/>
      <c r="B2652" s="26" t="n"/>
      <c r="C2652" s="27" t="n"/>
      <c r="D2652" s="28" t="n"/>
      <c r="E2652" s="29" t="n"/>
      <c r="F2652" s="29" t="n"/>
      <c r="G2652" s="28" t="n"/>
      <c r="H2652" s="1" t="n"/>
      <c r="I2652">
        <f>IF(OR(B2652="",C2652=""),"",B2652+MOD(C2652,1))</f>
        <v/>
      </c>
      <c r="J2652">
        <f>IF(I2652="","",IF(B2652=Dashboard!$AA$1,I2652,""))</f>
        <v/>
      </c>
    </row>
    <row r="2653">
      <c r="A2653" s="1" t="n"/>
      <c r="B2653" s="26" t="n"/>
      <c r="C2653" s="27" t="n"/>
      <c r="D2653" s="28" t="n"/>
      <c r="E2653" s="29" t="n"/>
      <c r="F2653" s="29" t="n"/>
      <c r="G2653" s="28" t="n"/>
      <c r="H2653" s="1" t="n"/>
      <c r="I2653">
        <f>IF(OR(B2653="",C2653=""),"",B2653+MOD(C2653,1))</f>
        <v/>
      </c>
      <c r="J2653">
        <f>IF(I2653="","",IF(B2653=Dashboard!$AA$1,I2653,""))</f>
        <v/>
      </c>
    </row>
    <row r="2654">
      <c r="A2654" s="1" t="n"/>
      <c r="B2654" s="26" t="n"/>
      <c r="C2654" s="27" t="n"/>
      <c r="D2654" s="28" t="n"/>
      <c r="E2654" s="29" t="n"/>
      <c r="F2654" s="29" t="n"/>
      <c r="G2654" s="28" t="n"/>
      <c r="H2654" s="1" t="n"/>
      <c r="I2654">
        <f>IF(OR(B2654="",C2654=""),"",B2654+MOD(C2654,1))</f>
        <v/>
      </c>
      <c r="J2654">
        <f>IF(I2654="","",IF(B2654=Dashboard!$AA$1,I2654,""))</f>
        <v/>
      </c>
    </row>
    <row r="2655">
      <c r="A2655" s="1" t="n"/>
      <c r="B2655" s="26" t="n"/>
      <c r="C2655" s="27" t="n"/>
      <c r="D2655" s="28" t="n"/>
      <c r="E2655" s="29" t="n"/>
      <c r="F2655" s="29" t="n"/>
      <c r="G2655" s="28" t="n"/>
      <c r="H2655" s="1" t="n"/>
      <c r="I2655">
        <f>IF(OR(B2655="",C2655=""),"",B2655+MOD(C2655,1))</f>
        <v/>
      </c>
      <c r="J2655">
        <f>IF(I2655="","",IF(B2655=Dashboard!$AA$1,I2655,""))</f>
        <v/>
      </c>
    </row>
    <row r="2656">
      <c r="A2656" s="1" t="n"/>
      <c r="B2656" s="26" t="n"/>
      <c r="C2656" s="27" t="n"/>
      <c r="D2656" s="28" t="n"/>
      <c r="E2656" s="29" t="n"/>
      <c r="F2656" s="29" t="n"/>
      <c r="G2656" s="28" t="n"/>
      <c r="H2656" s="1" t="n"/>
      <c r="I2656">
        <f>IF(OR(B2656="",C2656=""),"",B2656+MOD(C2656,1))</f>
        <v/>
      </c>
      <c r="J2656">
        <f>IF(I2656="","",IF(B2656=Dashboard!$AA$1,I2656,""))</f>
        <v/>
      </c>
    </row>
    <row r="2657">
      <c r="A2657" s="1" t="n"/>
      <c r="B2657" s="26" t="n"/>
      <c r="C2657" s="27" t="n"/>
      <c r="D2657" s="28" t="n"/>
      <c r="E2657" s="29" t="n"/>
      <c r="F2657" s="29" t="n"/>
      <c r="G2657" s="28" t="n"/>
      <c r="H2657" s="1" t="n"/>
      <c r="I2657">
        <f>IF(OR(B2657="",C2657=""),"",B2657+MOD(C2657,1))</f>
        <v/>
      </c>
      <c r="J2657">
        <f>IF(I2657="","",IF(B2657=Dashboard!$AA$1,I2657,""))</f>
        <v/>
      </c>
    </row>
    <row r="2658">
      <c r="A2658" s="1" t="n"/>
      <c r="B2658" s="26" t="n"/>
      <c r="C2658" s="27" t="n"/>
      <c r="D2658" s="28" t="n"/>
      <c r="E2658" s="29" t="n"/>
      <c r="F2658" s="29" t="n"/>
      <c r="G2658" s="28" t="n"/>
      <c r="H2658" s="1" t="n"/>
      <c r="I2658">
        <f>IF(OR(B2658="",C2658=""),"",B2658+MOD(C2658,1))</f>
        <v/>
      </c>
      <c r="J2658">
        <f>IF(I2658="","",IF(B2658=Dashboard!$AA$1,I2658,""))</f>
        <v/>
      </c>
    </row>
    <row r="2659">
      <c r="A2659" s="1" t="n"/>
      <c r="B2659" s="26" t="n"/>
      <c r="C2659" s="27" t="n"/>
      <c r="D2659" s="28" t="n"/>
      <c r="E2659" s="29" t="n"/>
      <c r="F2659" s="29" t="n"/>
      <c r="G2659" s="28" t="n"/>
      <c r="H2659" s="1" t="n"/>
      <c r="I2659">
        <f>IF(OR(B2659="",C2659=""),"",B2659+MOD(C2659,1))</f>
        <v/>
      </c>
      <c r="J2659">
        <f>IF(I2659="","",IF(B2659=Dashboard!$AA$1,I2659,""))</f>
        <v/>
      </c>
    </row>
    <row r="2660">
      <c r="A2660" s="1" t="n"/>
      <c r="B2660" s="26" t="n"/>
      <c r="C2660" s="27" t="n"/>
      <c r="D2660" s="28" t="n"/>
      <c r="E2660" s="29" t="n"/>
      <c r="F2660" s="29" t="n"/>
      <c r="G2660" s="28" t="n"/>
      <c r="H2660" s="1" t="n"/>
      <c r="I2660">
        <f>IF(OR(B2660="",C2660=""),"",B2660+MOD(C2660,1))</f>
        <v/>
      </c>
      <c r="J2660">
        <f>IF(I2660="","",IF(B2660=Dashboard!$AA$1,I2660,""))</f>
        <v/>
      </c>
    </row>
    <row r="2661">
      <c r="A2661" s="1" t="n"/>
      <c r="B2661" s="26" t="n"/>
      <c r="C2661" s="27" t="n"/>
      <c r="D2661" s="28" t="n"/>
      <c r="E2661" s="29" t="n"/>
      <c r="F2661" s="29" t="n"/>
      <c r="G2661" s="28" t="n"/>
      <c r="H2661" s="1" t="n"/>
      <c r="I2661">
        <f>IF(OR(B2661="",C2661=""),"",B2661+MOD(C2661,1))</f>
        <v/>
      </c>
      <c r="J2661">
        <f>IF(I2661="","",IF(B2661=Dashboard!$AA$1,I2661,""))</f>
        <v/>
      </c>
    </row>
    <row r="2662">
      <c r="A2662" s="1" t="n"/>
      <c r="B2662" s="26" t="n"/>
      <c r="C2662" s="27" t="n"/>
      <c r="D2662" s="28" t="n"/>
      <c r="E2662" s="29" t="n"/>
      <c r="F2662" s="29" t="n"/>
      <c r="G2662" s="28" t="n"/>
      <c r="H2662" s="1" t="n"/>
      <c r="I2662">
        <f>IF(OR(B2662="",C2662=""),"",B2662+MOD(C2662,1))</f>
        <v/>
      </c>
      <c r="J2662">
        <f>IF(I2662="","",IF(B2662=Dashboard!$AA$1,I2662,""))</f>
        <v/>
      </c>
    </row>
    <row r="2663">
      <c r="A2663" s="1" t="n"/>
      <c r="B2663" s="26" t="n"/>
      <c r="C2663" s="27" t="n"/>
      <c r="D2663" s="28" t="n"/>
      <c r="E2663" s="29" t="n"/>
      <c r="F2663" s="29" t="n"/>
      <c r="G2663" s="28" t="n"/>
      <c r="H2663" s="1" t="n"/>
      <c r="I2663">
        <f>IF(OR(B2663="",C2663=""),"",B2663+MOD(C2663,1))</f>
        <v/>
      </c>
      <c r="J2663">
        <f>IF(I2663="","",IF(B2663=Dashboard!$AA$1,I2663,""))</f>
        <v/>
      </c>
    </row>
    <row r="2664">
      <c r="A2664" s="1" t="n"/>
      <c r="B2664" s="26" t="n"/>
      <c r="C2664" s="27" t="n"/>
      <c r="D2664" s="28" t="n"/>
      <c r="E2664" s="29" t="n"/>
      <c r="F2664" s="29" t="n"/>
      <c r="G2664" s="28" t="n"/>
      <c r="H2664" s="1" t="n"/>
      <c r="I2664">
        <f>IF(OR(B2664="",C2664=""),"",B2664+MOD(C2664,1))</f>
        <v/>
      </c>
      <c r="J2664">
        <f>IF(I2664="","",IF(B2664=Dashboard!$AA$1,I2664,""))</f>
        <v/>
      </c>
    </row>
    <row r="2665">
      <c r="A2665" s="1" t="n"/>
      <c r="B2665" s="26" t="n"/>
      <c r="C2665" s="27" t="n"/>
      <c r="D2665" s="28" t="n"/>
      <c r="E2665" s="29" t="n"/>
      <c r="F2665" s="29" t="n"/>
      <c r="G2665" s="28" t="n"/>
      <c r="H2665" s="1" t="n"/>
      <c r="I2665">
        <f>IF(OR(B2665="",C2665=""),"",B2665+MOD(C2665,1))</f>
        <v/>
      </c>
      <c r="J2665">
        <f>IF(I2665="","",IF(B2665=Dashboard!$AA$1,I2665,""))</f>
        <v/>
      </c>
    </row>
    <row r="2666">
      <c r="A2666" s="1" t="n"/>
      <c r="B2666" s="26" t="n"/>
      <c r="C2666" s="27" t="n"/>
      <c r="D2666" s="28" t="n"/>
      <c r="E2666" s="29" t="n"/>
      <c r="F2666" s="29" t="n"/>
      <c r="G2666" s="28" t="n"/>
      <c r="H2666" s="1" t="n"/>
      <c r="I2666">
        <f>IF(OR(B2666="",C2666=""),"",B2666+MOD(C2666,1))</f>
        <v/>
      </c>
      <c r="J2666">
        <f>IF(I2666="","",IF(B2666=Dashboard!$AA$1,I2666,""))</f>
        <v/>
      </c>
    </row>
    <row r="2667">
      <c r="A2667" s="1" t="n"/>
      <c r="B2667" s="26" t="n"/>
      <c r="C2667" s="27" t="n"/>
      <c r="D2667" s="28" t="n"/>
      <c r="E2667" s="29" t="n"/>
      <c r="F2667" s="29" t="n"/>
      <c r="G2667" s="28" t="n"/>
      <c r="H2667" s="1" t="n"/>
      <c r="I2667">
        <f>IF(OR(B2667="",C2667=""),"",B2667+MOD(C2667,1))</f>
        <v/>
      </c>
      <c r="J2667">
        <f>IF(I2667="","",IF(B2667=Dashboard!$AA$1,I2667,""))</f>
        <v/>
      </c>
    </row>
    <row r="2668">
      <c r="A2668" s="1" t="n"/>
      <c r="B2668" s="26" t="n"/>
      <c r="C2668" s="27" t="n"/>
      <c r="D2668" s="28" t="n"/>
      <c r="E2668" s="29" t="n"/>
      <c r="F2668" s="29" t="n"/>
      <c r="G2668" s="28" t="n"/>
      <c r="H2668" s="1" t="n"/>
      <c r="I2668">
        <f>IF(OR(B2668="",C2668=""),"",B2668+MOD(C2668,1))</f>
        <v/>
      </c>
      <c r="J2668">
        <f>IF(I2668="","",IF(B2668=Dashboard!$AA$1,I2668,""))</f>
        <v/>
      </c>
    </row>
    <row r="2669">
      <c r="A2669" s="1" t="n"/>
      <c r="B2669" s="26" t="n"/>
      <c r="C2669" s="27" t="n"/>
      <c r="D2669" s="28" t="n"/>
      <c r="E2669" s="29" t="n"/>
      <c r="F2669" s="29" t="n"/>
      <c r="G2669" s="28" t="n"/>
      <c r="H2669" s="1" t="n"/>
      <c r="I2669">
        <f>IF(OR(B2669="",C2669=""),"",B2669+MOD(C2669,1))</f>
        <v/>
      </c>
      <c r="J2669">
        <f>IF(I2669="","",IF(B2669=Dashboard!$AA$1,I2669,""))</f>
        <v/>
      </c>
    </row>
    <row r="2670">
      <c r="A2670" s="1" t="n"/>
      <c r="B2670" s="26" t="n"/>
      <c r="C2670" s="27" t="n"/>
      <c r="D2670" s="28" t="n"/>
      <c r="E2670" s="29" t="n"/>
      <c r="F2670" s="29" t="n"/>
      <c r="G2670" s="28" t="n"/>
      <c r="H2670" s="1" t="n"/>
      <c r="I2670">
        <f>IF(OR(B2670="",C2670=""),"",B2670+MOD(C2670,1))</f>
        <v/>
      </c>
      <c r="J2670">
        <f>IF(I2670="","",IF(B2670=Dashboard!$AA$1,I2670,""))</f>
        <v/>
      </c>
    </row>
    <row r="2671">
      <c r="A2671" s="1" t="n"/>
      <c r="B2671" s="26" t="n"/>
      <c r="C2671" s="27" t="n"/>
      <c r="D2671" s="28" t="n"/>
      <c r="E2671" s="29" t="n"/>
      <c r="F2671" s="29" t="n"/>
      <c r="G2671" s="28" t="n"/>
      <c r="H2671" s="1" t="n"/>
      <c r="I2671">
        <f>IF(OR(B2671="",C2671=""),"",B2671+MOD(C2671,1))</f>
        <v/>
      </c>
      <c r="J2671">
        <f>IF(I2671="","",IF(B2671=Dashboard!$AA$1,I2671,""))</f>
        <v/>
      </c>
    </row>
    <row r="2672">
      <c r="A2672" s="1" t="n"/>
      <c r="B2672" s="26" t="n"/>
      <c r="C2672" s="27" t="n"/>
      <c r="D2672" s="28" t="n"/>
      <c r="E2672" s="29" t="n"/>
      <c r="F2672" s="29" t="n"/>
      <c r="G2672" s="28" t="n"/>
      <c r="H2672" s="1" t="n"/>
      <c r="I2672">
        <f>IF(OR(B2672="",C2672=""),"",B2672+MOD(C2672,1))</f>
        <v/>
      </c>
      <c r="J2672">
        <f>IF(I2672="","",IF(B2672=Dashboard!$AA$1,I2672,""))</f>
        <v/>
      </c>
    </row>
    <row r="2673">
      <c r="A2673" s="1" t="n"/>
      <c r="B2673" s="26" t="n"/>
      <c r="C2673" s="27" t="n"/>
      <c r="D2673" s="28" t="n"/>
      <c r="E2673" s="29" t="n"/>
      <c r="F2673" s="29" t="n"/>
      <c r="G2673" s="28" t="n"/>
      <c r="H2673" s="1" t="n"/>
      <c r="I2673">
        <f>IF(OR(B2673="",C2673=""),"",B2673+MOD(C2673,1))</f>
        <v/>
      </c>
      <c r="J2673">
        <f>IF(I2673="","",IF(B2673=Dashboard!$AA$1,I2673,""))</f>
        <v/>
      </c>
    </row>
    <row r="2674">
      <c r="A2674" s="1" t="n"/>
      <c r="B2674" s="26" t="n"/>
      <c r="C2674" s="27" t="n"/>
      <c r="D2674" s="28" t="n"/>
      <c r="E2674" s="29" t="n"/>
      <c r="F2674" s="29" t="n"/>
      <c r="G2674" s="28" t="n"/>
      <c r="H2674" s="1" t="n"/>
      <c r="I2674">
        <f>IF(OR(B2674="",C2674=""),"",B2674+MOD(C2674,1))</f>
        <v/>
      </c>
      <c r="J2674">
        <f>IF(I2674="","",IF(B2674=Dashboard!$AA$1,I2674,""))</f>
        <v/>
      </c>
    </row>
    <row r="2675">
      <c r="A2675" s="1" t="n"/>
      <c r="B2675" s="26" t="n"/>
      <c r="C2675" s="27" t="n"/>
      <c r="D2675" s="28" t="n"/>
      <c r="E2675" s="29" t="n"/>
      <c r="F2675" s="29" t="n"/>
      <c r="G2675" s="28" t="n"/>
      <c r="H2675" s="1" t="n"/>
      <c r="I2675">
        <f>IF(OR(B2675="",C2675=""),"",B2675+MOD(C2675,1))</f>
        <v/>
      </c>
      <c r="J2675">
        <f>IF(I2675="","",IF(B2675=Dashboard!$AA$1,I2675,""))</f>
        <v/>
      </c>
    </row>
    <row r="2676">
      <c r="A2676" s="1" t="n"/>
      <c r="B2676" s="26" t="n"/>
      <c r="C2676" s="27" t="n"/>
      <c r="D2676" s="28" t="n"/>
      <c r="E2676" s="29" t="n"/>
      <c r="F2676" s="29" t="n"/>
      <c r="G2676" s="28" t="n"/>
      <c r="H2676" s="1" t="n"/>
      <c r="I2676">
        <f>IF(OR(B2676="",C2676=""),"",B2676+MOD(C2676,1))</f>
        <v/>
      </c>
      <c r="J2676">
        <f>IF(I2676="","",IF(B2676=Dashboard!$AA$1,I2676,""))</f>
        <v/>
      </c>
    </row>
    <row r="2677">
      <c r="A2677" s="1" t="n"/>
      <c r="B2677" s="26" t="n"/>
      <c r="C2677" s="27" t="n"/>
      <c r="D2677" s="28" t="n"/>
      <c r="E2677" s="29" t="n"/>
      <c r="F2677" s="29" t="n"/>
      <c r="G2677" s="28" t="n"/>
      <c r="H2677" s="1" t="n"/>
      <c r="I2677">
        <f>IF(OR(B2677="",C2677=""),"",B2677+MOD(C2677,1))</f>
        <v/>
      </c>
      <c r="J2677">
        <f>IF(I2677="","",IF(B2677=Dashboard!$AA$1,I2677,""))</f>
        <v/>
      </c>
    </row>
    <row r="2678">
      <c r="A2678" s="1" t="n"/>
      <c r="B2678" s="26" t="n"/>
      <c r="C2678" s="27" t="n"/>
      <c r="D2678" s="28" t="n"/>
      <c r="E2678" s="29" t="n"/>
      <c r="F2678" s="29" t="n"/>
      <c r="G2678" s="28" t="n"/>
      <c r="H2678" s="1" t="n"/>
      <c r="I2678">
        <f>IF(OR(B2678="",C2678=""),"",B2678+MOD(C2678,1))</f>
        <v/>
      </c>
      <c r="J2678">
        <f>IF(I2678="","",IF(B2678=Dashboard!$AA$1,I2678,""))</f>
        <v/>
      </c>
    </row>
    <row r="2679">
      <c r="A2679" s="1" t="n"/>
      <c r="B2679" s="26" t="n"/>
      <c r="C2679" s="27" t="n"/>
      <c r="D2679" s="28" t="n"/>
      <c r="E2679" s="29" t="n"/>
      <c r="F2679" s="29" t="n"/>
      <c r="G2679" s="28" t="n"/>
      <c r="H2679" s="1" t="n"/>
      <c r="I2679">
        <f>IF(OR(B2679="",C2679=""),"",B2679+MOD(C2679,1))</f>
        <v/>
      </c>
      <c r="J2679">
        <f>IF(I2679="","",IF(B2679=Dashboard!$AA$1,I2679,""))</f>
        <v/>
      </c>
    </row>
    <row r="2680">
      <c r="A2680" s="1" t="n"/>
      <c r="B2680" s="26" t="n"/>
      <c r="C2680" s="27" t="n"/>
      <c r="D2680" s="28" t="n"/>
      <c r="E2680" s="29" t="n"/>
      <c r="F2680" s="29" t="n"/>
      <c r="G2680" s="28" t="n"/>
      <c r="H2680" s="1" t="n"/>
      <c r="I2680">
        <f>IF(OR(B2680="",C2680=""),"",B2680+MOD(C2680,1))</f>
        <v/>
      </c>
      <c r="J2680">
        <f>IF(I2680="","",IF(B2680=Dashboard!$AA$1,I2680,""))</f>
        <v/>
      </c>
    </row>
    <row r="2681">
      <c r="A2681" s="1" t="n"/>
      <c r="B2681" s="26" t="n"/>
      <c r="C2681" s="27" t="n"/>
      <c r="D2681" s="28" t="n"/>
      <c r="E2681" s="29" t="n"/>
      <c r="F2681" s="29" t="n"/>
      <c r="G2681" s="28" t="n"/>
      <c r="H2681" s="1" t="n"/>
      <c r="I2681">
        <f>IF(OR(B2681="",C2681=""),"",B2681+MOD(C2681,1))</f>
        <v/>
      </c>
      <c r="J2681">
        <f>IF(I2681="","",IF(B2681=Dashboard!$AA$1,I2681,""))</f>
        <v/>
      </c>
    </row>
    <row r="2682">
      <c r="A2682" s="1" t="n"/>
      <c r="B2682" s="26" t="n"/>
      <c r="C2682" s="27" t="n"/>
      <c r="D2682" s="28" t="n"/>
      <c r="E2682" s="29" t="n"/>
      <c r="F2682" s="29" t="n"/>
      <c r="G2682" s="28" t="n"/>
      <c r="H2682" s="1" t="n"/>
      <c r="I2682">
        <f>IF(OR(B2682="",C2682=""),"",B2682+MOD(C2682,1))</f>
        <v/>
      </c>
      <c r="J2682">
        <f>IF(I2682="","",IF(B2682=Dashboard!$AA$1,I2682,""))</f>
        <v/>
      </c>
    </row>
    <row r="2683">
      <c r="A2683" s="1" t="n"/>
      <c r="B2683" s="26" t="n"/>
      <c r="C2683" s="27" t="n"/>
      <c r="D2683" s="28" t="n"/>
      <c r="E2683" s="29" t="n"/>
      <c r="F2683" s="29" t="n"/>
      <c r="G2683" s="28" t="n"/>
      <c r="H2683" s="1" t="n"/>
      <c r="I2683">
        <f>IF(OR(B2683="",C2683=""),"",B2683+MOD(C2683,1))</f>
        <v/>
      </c>
      <c r="J2683">
        <f>IF(I2683="","",IF(B2683=Dashboard!$AA$1,I2683,""))</f>
        <v/>
      </c>
    </row>
    <row r="2684">
      <c r="A2684" s="1" t="n"/>
      <c r="B2684" s="26" t="n"/>
      <c r="C2684" s="27" t="n"/>
      <c r="D2684" s="28" t="n"/>
      <c r="E2684" s="29" t="n"/>
      <c r="F2684" s="29" t="n"/>
      <c r="G2684" s="28" t="n"/>
      <c r="H2684" s="1" t="n"/>
      <c r="I2684">
        <f>IF(OR(B2684="",C2684=""),"",B2684+MOD(C2684,1))</f>
        <v/>
      </c>
      <c r="J2684">
        <f>IF(I2684="","",IF(B2684=Dashboard!$AA$1,I2684,""))</f>
        <v/>
      </c>
    </row>
    <row r="2685">
      <c r="A2685" s="1" t="n"/>
      <c r="B2685" s="26" t="n"/>
      <c r="C2685" s="27" t="n"/>
      <c r="D2685" s="28" t="n"/>
      <c r="E2685" s="29" t="n"/>
      <c r="F2685" s="29" t="n"/>
      <c r="G2685" s="28" t="n"/>
      <c r="H2685" s="1" t="n"/>
      <c r="I2685">
        <f>IF(OR(B2685="",C2685=""),"",B2685+MOD(C2685,1))</f>
        <v/>
      </c>
      <c r="J2685">
        <f>IF(I2685="","",IF(B2685=Dashboard!$AA$1,I2685,""))</f>
        <v/>
      </c>
    </row>
    <row r="2686">
      <c r="A2686" s="1" t="n"/>
      <c r="B2686" s="26" t="n"/>
      <c r="C2686" s="27" t="n"/>
      <c r="D2686" s="28" t="n"/>
      <c r="E2686" s="29" t="n"/>
      <c r="F2686" s="29" t="n"/>
      <c r="G2686" s="28" t="n"/>
      <c r="H2686" s="1" t="n"/>
      <c r="I2686">
        <f>IF(OR(B2686="",C2686=""),"",B2686+MOD(C2686,1))</f>
        <v/>
      </c>
      <c r="J2686">
        <f>IF(I2686="","",IF(B2686=Dashboard!$AA$1,I2686,""))</f>
        <v/>
      </c>
    </row>
    <row r="2687">
      <c r="A2687" s="1" t="n"/>
      <c r="B2687" s="26" t="n"/>
      <c r="C2687" s="27" t="n"/>
      <c r="D2687" s="28" t="n"/>
      <c r="E2687" s="29" t="n"/>
      <c r="F2687" s="29" t="n"/>
      <c r="G2687" s="28" t="n"/>
      <c r="H2687" s="1" t="n"/>
      <c r="I2687">
        <f>IF(OR(B2687="",C2687=""),"",B2687+MOD(C2687,1))</f>
        <v/>
      </c>
      <c r="J2687">
        <f>IF(I2687="","",IF(B2687=Dashboard!$AA$1,I2687,""))</f>
        <v/>
      </c>
    </row>
    <row r="2688">
      <c r="A2688" s="1" t="n"/>
      <c r="B2688" s="26" t="n"/>
      <c r="C2688" s="27" t="n"/>
      <c r="D2688" s="28" t="n"/>
      <c r="E2688" s="29" t="n"/>
      <c r="F2688" s="29" t="n"/>
      <c r="G2688" s="28" t="n"/>
      <c r="H2688" s="1" t="n"/>
      <c r="I2688">
        <f>IF(OR(B2688="",C2688=""),"",B2688+MOD(C2688,1))</f>
        <v/>
      </c>
      <c r="J2688">
        <f>IF(I2688="","",IF(B2688=Dashboard!$AA$1,I2688,""))</f>
        <v/>
      </c>
    </row>
    <row r="2689">
      <c r="A2689" s="1" t="n"/>
      <c r="B2689" s="26" t="n"/>
      <c r="C2689" s="27" t="n"/>
      <c r="D2689" s="28" t="n"/>
      <c r="E2689" s="29" t="n"/>
      <c r="F2689" s="29" t="n"/>
      <c r="G2689" s="28" t="n"/>
      <c r="H2689" s="1" t="n"/>
      <c r="I2689">
        <f>IF(OR(B2689="",C2689=""),"",B2689+MOD(C2689,1))</f>
        <v/>
      </c>
      <c r="J2689">
        <f>IF(I2689="","",IF(B2689=Dashboard!$AA$1,I2689,""))</f>
        <v/>
      </c>
    </row>
    <row r="2690">
      <c r="A2690" s="1" t="n"/>
      <c r="B2690" s="26" t="n"/>
      <c r="C2690" s="27" t="n"/>
      <c r="D2690" s="28" t="n"/>
      <c r="E2690" s="29" t="n"/>
      <c r="F2690" s="29" t="n"/>
      <c r="G2690" s="28" t="n"/>
      <c r="H2690" s="1" t="n"/>
      <c r="I2690">
        <f>IF(OR(B2690="",C2690=""),"",B2690+MOD(C2690,1))</f>
        <v/>
      </c>
      <c r="J2690">
        <f>IF(I2690="","",IF(B2690=Dashboard!$AA$1,I2690,""))</f>
        <v/>
      </c>
    </row>
    <row r="2691">
      <c r="A2691" s="1" t="n"/>
      <c r="B2691" s="26" t="n"/>
      <c r="C2691" s="27" t="n"/>
      <c r="D2691" s="28" t="n"/>
      <c r="E2691" s="29" t="n"/>
      <c r="F2691" s="29" t="n"/>
      <c r="G2691" s="28" t="n"/>
      <c r="H2691" s="1" t="n"/>
      <c r="I2691">
        <f>IF(OR(B2691="",C2691=""),"",B2691+MOD(C2691,1))</f>
        <v/>
      </c>
      <c r="J2691">
        <f>IF(I2691="","",IF(B2691=Dashboard!$AA$1,I2691,""))</f>
        <v/>
      </c>
    </row>
    <row r="2692">
      <c r="A2692" s="1" t="n"/>
      <c r="B2692" s="26" t="n"/>
      <c r="C2692" s="27" t="n"/>
      <c r="D2692" s="28" t="n"/>
      <c r="E2692" s="29" t="n"/>
      <c r="F2692" s="29" t="n"/>
      <c r="G2692" s="28" t="n"/>
      <c r="H2692" s="1" t="n"/>
      <c r="I2692">
        <f>IF(OR(B2692="",C2692=""),"",B2692+MOD(C2692,1))</f>
        <v/>
      </c>
      <c r="J2692">
        <f>IF(I2692="","",IF(B2692=Dashboard!$AA$1,I2692,""))</f>
        <v/>
      </c>
    </row>
    <row r="2693">
      <c r="A2693" s="1" t="n"/>
      <c r="B2693" s="26" t="n"/>
      <c r="C2693" s="27" t="n"/>
      <c r="D2693" s="28" t="n"/>
      <c r="E2693" s="29" t="n"/>
      <c r="F2693" s="29" t="n"/>
      <c r="G2693" s="28" t="n"/>
      <c r="H2693" s="1" t="n"/>
      <c r="I2693">
        <f>IF(OR(B2693="",C2693=""),"",B2693+MOD(C2693,1))</f>
        <v/>
      </c>
      <c r="J2693">
        <f>IF(I2693="","",IF(B2693=Dashboard!$AA$1,I2693,""))</f>
        <v/>
      </c>
    </row>
    <row r="2694">
      <c r="A2694" s="1" t="n"/>
      <c r="B2694" s="26" t="n"/>
      <c r="C2694" s="27" t="n"/>
      <c r="D2694" s="28" t="n"/>
      <c r="E2694" s="29" t="n"/>
      <c r="F2694" s="29" t="n"/>
      <c r="G2694" s="28" t="n"/>
      <c r="H2694" s="1" t="n"/>
      <c r="I2694">
        <f>IF(OR(B2694="",C2694=""),"",B2694+MOD(C2694,1))</f>
        <v/>
      </c>
      <c r="J2694">
        <f>IF(I2694="","",IF(B2694=Dashboard!$AA$1,I2694,""))</f>
        <v/>
      </c>
    </row>
    <row r="2695">
      <c r="A2695" s="1" t="n"/>
      <c r="B2695" s="26" t="n"/>
      <c r="C2695" s="27" t="n"/>
      <c r="D2695" s="28" t="n"/>
      <c r="E2695" s="29" t="n"/>
      <c r="F2695" s="29" t="n"/>
      <c r="G2695" s="28" t="n"/>
      <c r="H2695" s="1" t="n"/>
      <c r="I2695">
        <f>IF(OR(B2695="",C2695=""),"",B2695+MOD(C2695,1))</f>
        <v/>
      </c>
      <c r="J2695">
        <f>IF(I2695="","",IF(B2695=Dashboard!$AA$1,I2695,""))</f>
        <v/>
      </c>
    </row>
    <row r="2696">
      <c r="A2696" s="1" t="n"/>
      <c r="B2696" s="26" t="n"/>
      <c r="C2696" s="27" t="n"/>
      <c r="D2696" s="28" t="n"/>
      <c r="E2696" s="29" t="n"/>
      <c r="F2696" s="29" t="n"/>
      <c r="G2696" s="28" t="n"/>
      <c r="H2696" s="1" t="n"/>
      <c r="I2696">
        <f>IF(OR(B2696="",C2696=""),"",B2696+MOD(C2696,1))</f>
        <v/>
      </c>
      <c r="J2696">
        <f>IF(I2696="","",IF(B2696=Dashboard!$AA$1,I2696,""))</f>
        <v/>
      </c>
    </row>
    <row r="2697">
      <c r="A2697" s="1" t="n"/>
      <c r="B2697" s="26" t="n"/>
      <c r="C2697" s="27" t="n"/>
      <c r="D2697" s="28" t="n"/>
      <c r="E2697" s="29" t="n"/>
      <c r="F2697" s="29" t="n"/>
      <c r="G2697" s="28" t="n"/>
      <c r="H2697" s="1" t="n"/>
      <c r="I2697">
        <f>IF(OR(B2697="",C2697=""),"",B2697+MOD(C2697,1))</f>
        <v/>
      </c>
      <c r="J2697">
        <f>IF(I2697="","",IF(B2697=Dashboard!$AA$1,I2697,""))</f>
        <v/>
      </c>
    </row>
    <row r="2698">
      <c r="A2698" s="1" t="n"/>
      <c r="B2698" s="26" t="n"/>
      <c r="C2698" s="27" t="n"/>
      <c r="D2698" s="28" t="n"/>
      <c r="E2698" s="29" t="n"/>
      <c r="F2698" s="29" t="n"/>
      <c r="G2698" s="28" t="n"/>
      <c r="H2698" s="1" t="n"/>
      <c r="I2698">
        <f>IF(OR(B2698="",C2698=""),"",B2698+MOD(C2698,1))</f>
        <v/>
      </c>
      <c r="J2698">
        <f>IF(I2698="","",IF(B2698=Dashboard!$AA$1,I2698,""))</f>
        <v/>
      </c>
    </row>
    <row r="2699">
      <c r="A2699" s="1" t="n"/>
      <c r="B2699" s="26" t="n"/>
      <c r="C2699" s="27" t="n"/>
      <c r="D2699" s="28" t="n"/>
      <c r="E2699" s="29" t="n"/>
      <c r="F2699" s="29" t="n"/>
      <c r="G2699" s="28" t="n"/>
      <c r="H2699" s="1" t="n"/>
      <c r="I2699">
        <f>IF(OR(B2699="",C2699=""),"",B2699+MOD(C2699,1))</f>
        <v/>
      </c>
      <c r="J2699">
        <f>IF(I2699="","",IF(B2699=Dashboard!$AA$1,I2699,""))</f>
        <v/>
      </c>
    </row>
    <row r="2700">
      <c r="A2700" s="1" t="n"/>
      <c r="B2700" s="26" t="n"/>
      <c r="C2700" s="27" t="n"/>
      <c r="D2700" s="28" t="n"/>
      <c r="E2700" s="29" t="n"/>
      <c r="F2700" s="29" t="n"/>
      <c r="G2700" s="28" t="n"/>
      <c r="H2700" s="1" t="n"/>
      <c r="I2700">
        <f>IF(OR(B2700="",C2700=""),"",B2700+MOD(C2700,1))</f>
        <v/>
      </c>
      <c r="J2700">
        <f>IF(I2700="","",IF(B2700=Dashboard!$AA$1,I2700,""))</f>
        <v/>
      </c>
    </row>
    <row r="2701">
      <c r="A2701" s="1" t="n"/>
      <c r="B2701" s="26" t="n"/>
      <c r="C2701" s="27" t="n"/>
      <c r="D2701" s="28" t="n"/>
      <c r="E2701" s="29" t="n"/>
      <c r="F2701" s="29" t="n"/>
      <c r="G2701" s="28" t="n"/>
      <c r="H2701" s="1" t="n"/>
      <c r="I2701">
        <f>IF(OR(B2701="",C2701=""),"",B2701+MOD(C2701,1))</f>
        <v/>
      </c>
      <c r="J2701">
        <f>IF(I2701="","",IF(B2701=Dashboard!$AA$1,I2701,""))</f>
        <v/>
      </c>
    </row>
    <row r="2702">
      <c r="A2702" s="1" t="n"/>
      <c r="B2702" s="26" t="n"/>
      <c r="C2702" s="27" t="n"/>
      <c r="D2702" s="28" t="n"/>
      <c r="E2702" s="29" t="n"/>
      <c r="F2702" s="29" t="n"/>
      <c r="G2702" s="28" t="n"/>
      <c r="H2702" s="1" t="n"/>
      <c r="I2702">
        <f>IF(OR(B2702="",C2702=""),"",B2702+MOD(C2702,1))</f>
        <v/>
      </c>
      <c r="J2702">
        <f>IF(I2702="","",IF(B2702=Dashboard!$AA$1,I2702,""))</f>
        <v/>
      </c>
    </row>
    <row r="2703">
      <c r="A2703" s="1" t="n"/>
      <c r="B2703" s="26" t="n"/>
      <c r="C2703" s="27" t="n"/>
      <c r="D2703" s="28" t="n"/>
      <c r="E2703" s="29" t="n"/>
      <c r="F2703" s="29" t="n"/>
      <c r="G2703" s="28" t="n"/>
      <c r="H2703" s="1" t="n"/>
      <c r="I2703">
        <f>IF(OR(B2703="",C2703=""),"",B2703+MOD(C2703,1))</f>
        <v/>
      </c>
      <c r="J2703">
        <f>IF(I2703="","",IF(B2703=Dashboard!$AA$1,I2703,""))</f>
        <v/>
      </c>
    </row>
    <row r="2704">
      <c r="A2704" s="1" t="n"/>
      <c r="B2704" s="26" t="n"/>
      <c r="C2704" s="27" t="n"/>
      <c r="D2704" s="28" t="n"/>
      <c r="E2704" s="29" t="n"/>
      <c r="F2704" s="29" t="n"/>
      <c r="G2704" s="28" t="n"/>
      <c r="H2704" s="1" t="n"/>
      <c r="I2704">
        <f>IF(OR(B2704="",C2704=""),"",B2704+MOD(C2704,1))</f>
        <v/>
      </c>
      <c r="J2704">
        <f>IF(I2704="","",IF(B2704=Dashboard!$AA$1,I2704,""))</f>
        <v/>
      </c>
    </row>
    <row r="2705">
      <c r="A2705" s="1" t="n"/>
      <c r="B2705" s="26" t="n"/>
      <c r="C2705" s="27" t="n"/>
      <c r="D2705" s="28" t="n"/>
      <c r="E2705" s="29" t="n"/>
      <c r="F2705" s="29" t="n"/>
      <c r="G2705" s="28" t="n"/>
      <c r="H2705" s="1" t="n"/>
      <c r="I2705">
        <f>IF(OR(B2705="",C2705=""),"",B2705+MOD(C2705,1))</f>
        <v/>
      </c>
      <c r="J2705">
        <f>IF(I2705="","",IF(B2705=Dashboard!$AA$1,I2705,""))</f>
        <v/>
      </c>
    </row>
    <row r="2706">
      <c r="A2706" s="1" t="n"/>
      <c r="B2706" s="26" t="n"/>
      <c r="C2706" s="27" t="n"/>
      <c r="D2706" s="28" t="n"/>
      <c r="E2706" s="29" t="n"/>
      <c r="F2706" s="29" t="n"/>
      <c r="G2706" s="28" t="n"/>
      <c r="H2706" s="1" t="n"/>
      <c r="I2706">
        <f>IF(OR(B2706="",C2706=""),"",B2706+MOD(C2706,1))</f>
        <v/>
      </c>
      <c r="J2706">
        <f>IF(I2706="","",IF(B2706=Dashboard!$AA$1,I2706,""))</f>
        <v/>
      </c>
    </row>
    <row r="2707">
      <c r="A2707" s="1" t="n"/>
      <c r="B2707" s="26" t="n"/>
      <c r="C2707" s="27" t="n"/>
      <c r="D2707" s="28" t="n"/>
      <c r="E2707" s="29" t="n"/>
      <c r="F2707" s="29" t="n"/>
      <c r="G2707" s="28" t="n"/>
      <c r="H2707" s="1" t="n"/>
      <c r="I2707">
        <f>IF(OR(B2707="",C2707=""),"",B2707+MOD(C2707,1))</f>
        <v/>
      </c>
      <c r="J2707">
        <f>IF(I2707="","",IF(B2707=Dashboard!$AA$1,I2707,""))</f>
        <v/>
      </c>
    </row>
    <row r="2708">
      <c r="A2708" s="1" t="n"/>
      <c r="B2708" s="26" t="n"/>
      <c r="C2708" s="27" t="n"/>
      <c r="D2708" s="28" t="n"/>
      <c r="E2708" s="29" t="n"/>
      <c r="F2708" s="29" t="n"/>
      <c r="G2708" s="28" t="n"/>
      <c r="H2708" s="1" t="n"/>
      <c r="I2708">
        <f>IF(OR(B2708="",C2708=""),"",B2708+MOD(C2708,1))</f>
        <v/>
      </c>
      <c r="J2708">
        <f>IF(I2708="","",IF(B2708=Dashboard!$AA$1,I2708,""))</f>
        <v/>
      </c>
    </row>
    <row r="2709">
      <c r="A2709" s="1" t="n"/>
      <c r="B2709" s="26" t="n"/>
      <c r="C2709" s="27" t="n"/>
      <c r="D2709" s="28" t="n"/>
      <c r="E2709" s="29" t="n"/>
      <c r="F2709" s="29" t="n"/>
      <c r="G2709" s="28" t="n"/>
      <c r="H2709" s="1" t="n"/>
      <c r="I2709">
        <f>IF(OR(B2709="",C2709=""),"",B2709+MOD(C2709,1))</f>
        <v/>
      </c>
      <c r="J2709">
        <f>IF(I2709="","",IF(B2709=Dashboard!$AA$1,I2709,""))</f>
        <v/>
      </c>
    </row>
    <row r="2710">
      <c r="A2710" s="1" t="n"/>
      <c r="B2710" s="26" t="n"/>
      <c r="C2710" s="27" t="n"/>
      <c r="D2710" s="28" t="n"/>
      <c r="E2710" s="29" t="n"/>
      <c r="F2710" s="29" t="n"/>
      <c r="G2710" s="28" t="n"/>
      <c r="H2710" s="1" t="n"/>
      <c r="I2710">
        <f>IF(OR(B2710="",C2710=""),"",B2710+MOD(C2710,1))</f>
        <v/>
      </c>
      <c r="J2710">
        <f>IF(I2710="","",IF(B2710=Dashboard!$AA$1,I2710,""))</f>
        <v/>
      </c>
    </row>
    <row r="2711">
      <c r="A2711" s="1" t="n"/>
      <c r="B2711" s="26" t="n"/>
      <c r="C2711" s="27" t="n"/>
      <c r="D2711" s="28" t="n"/>
      <c r="E2711" s="29" t="n"/>
      <c r="F2711" s="29" t="n"/>
      <c r="G2711" s="28" t="n"/>
      <c r="H2711" s="1" t="n"/>
      <c r="I2711">
        <f>IF(OR(B2711="",C2711=""),"",B2711+MOD(C2711,1))</f>
        <v/>
      </c>
      <c r="J2711">
        <f>IF(I2711="","",IF(B2711=Dashboard!$AA$1,I2711,""))</f>
        <v/>
      </c>
    </row>
    <row r="2712">
      <c r="A2712" s="1" t="n"/>
      <c r="B2712" s="26" t="n"/>
      <c r="C2712" s="27" t="n"/>
      <c r="D2712" s="28" t="n"/>
      <c r="E2712" s="29" t="n"/>
      <c r="F2712" s="29" t="n"/>
      <c r="G2712" s="28" t="n"/>
      <c r="H2712" s="1" t="n"/>
      <c r="I2712">
        <f>IF(OR(B2712="",C2712=""),"",B2712+MOD(C2712,1))</f>
        <v/>
      </c>
      <c r="J2712">
        <f>IF(I2712="","",IF(B2712=Dashboard!$AA$1,I2712,""))</f>
        <v/>
      </c>
    </row>
    <row r="2713">
      <c r="A2713" s="1" t="n"/>
      <c r="B2713" s="26" t="n"/>
      <c r="C2713" s="27" t="n"/>
      <c r="D2713" s="28" t="n"/>
      <c r="E2713" s="29" t="n"/>
      <c r="F2713" s="29" t="n"/>
      <c r="G2713" s="28" t="n"/>
      <c r="H2713" s="1" t="n"/>
      <c r="I2713">
        <f>IF(OR(B2713="",C2713=""),"",B2713+MOD(C2713,1))</f>
        <v/>
      </c>
      <c r="J2713">
        <f>IF(I2713="","",IF(B2713=Dashboard!$AA$1,I2713,""))</f>
        <v/>
      </c>
    </row>
    <row r="2714">
      <c r="A2714" s="1" t="n"/>
      <c r="B2714" s="26" t="n"/>
      <c r="C2714" s="27" t="n"/>
      <c r="D2714" s="28" t="n"/>
      <c r="E2714" s="29" t="n"/>
      <c r="F2714" s="29" t="n"/>
      <c r="G2714" s="28" t="n"/>
      <c r="H2714" s="1" t="n"/>
      <c r="I2714">
        <f>IF(OR(B2714="",C2714=""),"",B2714+MOD(C2714,1))</f>
        <v/>
      </c>
      <c r="J2714">
        <f>IF(I2714="","",IF(B2714=Dashboard!$AA$1,I2714,""))</f>
        <v/>
      </c>
    </row>
    <row r="2715">
      <c r="A2715" s="1" t="n"/>
      <c r="B2715" s="26" t="n"/>
      <c r="C2715" s="27" t="n"/>
      <c r="D2715" s="28" t="n"/>
      <c r="E2715" s="29" t="n"/>
      <c r="F2715" s="29" t="n"/>
      <c r="G2715" s="28" t="n"/>
      <c r="H2715" s="1" t="n"/>
      <c r="I2715">
        <f>IF(OR(B2715="",C2715=""),"",B2715+MOD(C2715,1))</f>
        <v/>
      </c>
      <c r="J2715">
        <f>IF(I2715="","",IF(B2715=Dashboard!$AA$1,I2715,""))</f>
        <v/>
      </c>
    </row>
    <row r="2716">
      <c r="A2716" s="1" t="n"/>
      <c r="B2716" s="26" t="n"/>
      <c r="C2716" s="27" t="n"/>
      <c r="D2716" s="28" t="n"/>
      <c r="E2716" s="29" t="n"/>
      <c r="F2716" s="29" t="n"/>
      <c r="G2716" s="28" t="n"/>
      <c r="H2716" s="1" t="n"/>
      <c r="I2716">
        <f>IF(OR(B2716="",C2716=""),"",B2716+MOD(C2716,1))</f>
        <v/>
      </c>
      <c r="J2716">
        <f>IF(I2716="","",IF(B2716=Dashboard!$AA$1,I2716,""))</f>
        <v/>
      </c>
    </row>
    <row r="2717">
      <c r="A2717" s="1" t="n"/>
      <c r="B2717" s="26" t="n"/>
      <c r="C2717" s="27" t="n"/>
      <c r="D2717" s="28" t="n"/>
      <c r="E2717" s="29" t="n"/>
      <c r="F2717" s="29" t="n"/>
      <c r="G2717" s="28" t="n"/>
      <c r="H2717" s="1" t="n"/>
      <c r="I2717">
        <f>IF(OR(B2717="",C2717=""),"",B2717+MOD(C2717,1))</f>
        <v/>
      </c>
      <c r="J2717">
        <f>IF(I2717="","",IF(B2717=Dashboard!$AA$1,I2717,""))</f>
        <v/>
      </c>
    </row>
    <row r="2718">
      <c r="A2718" s="1" t="n"/>
      <c r="B2718" s="26" t="n"/>
      <c r="C2718" s="27" t="n"/>
      <c r="D2718" s="28" t="n"/>
      <c r="E2718" s="29" t="n"/>
      <c r="F2718" s="29" t="n"/>
      <c r="G2718" s="28" t="n"/>
      <c r="H2718" s="1" t="n"/>
      <c r="I2718">
        <f>IF(OR(B2718="",C2718=""),"",B2718+MOD(C2718,1))</f>
        <v/>
      </c>
      <c r="J2718">
        <f>IF(I2718="","",IF(B2718=Dashboard!$AA$1,I2718,""))</f>
        <v/>
      </c>
    </row>
    <row r="2719">
      <c r="A2719" s="1" t="n"/>
      <c r="B2719" s="26" t="n"/>
      <c r="C2719" s="27" t="n"/>
      <c r="D2719" s="28" t="n"/>
      <c r="E2719" s="29" t="n"/>
      <c r="F2719" s="29" t="n"/>
      <c r="G2719" s="28" t="n"/>
      <c r="H2719" s="1" t="n"/>
      <c r="I2719">
        <f>IF(OR(B2719="",C2719=""),"",B2719+MOD(C2719,1))</f>
        <v/>
      </c>
      <c r="J2719">
        <f>IF(I2719="","",IF(B2719=Dashboard!$AA$1,I2719,""))</f>
        <v/>
      </c>
    </row>
    <row r="2720">
      <c r="A2720" s="1" t="n"/>
      <c r="B2720" s="26" t="n"/>
      <c r="C2720" s="27" t="n"/>
      <c r="D2720" s="28" t="n"/>
      <c r="E2720" s="29" t="n"/>
      <c r="F2720" s="29" t="n"/>
      <c r="G2720" s="28" t="n"/>
      <c r="H2720" s="1" t="n"/>
      <c r="I2720">
        <f>IF(OR(B2720="",C2720=""),"",B2720+MOD(C2720,1))</f>
        <v/>
      </c>
      <c r="J2720">
        <f>IF(I2720="","",IF(B2720=Dashboard!$AA$1,I2720,""))</f>
        <v/>
      </c>
    </row>
    <row r="2721">
      <c r="A2721" s="1" t="n"/>
      <c r="B2721" s="26" t="n"/>
      <c r="C2721" s="27" t="n"/>
      <c r="D2721" s="28" t="n"/>
      <c r="E2721" s="29" t="n"/>
      <c r="F2721" s="29" t="n"/>
      <c r="G2721" s="28" t="n"/>
      <c r="H2721" s="1" t="n"/>
      <c r="I2721">
        <f>IF(OR(B2721="",C2721=""),"",B2721+MOD(C2721,1))</f>
        <v/>
      </c>
      <c r="J2721">
        <f>IF(I2721="","",IF(B2721=Dashboard!$AA$1,I2721,""))</f>
        <v/>
      </c>
    </row>
    <row r="2722">
      <c r="A2722" s="1" t="n"/>
      <c r="B2722" s="26" t="n"/>
      <c r="C2722" s="27" t="n"/>
      <c r="D2722" s="28" t="n"/>
      <c r="E2722" s="29" t="n"/>
      <c r="F2722" s="29" t="n"/>
      <c r="G2722" s="28" t="n"/>
      <c r="H2722" s="1" t="n"/>
      <c r="I2722">
        <f>IF(OR(B2722="",C2722=""),"",B2722+MOD(C2722,1))</f>
        <v/>
      </c>
      <c r="J2722">
        <f>IF(I2722="","",IF(B2722=Dashboard!$AA$1,I2722,""))</f>
        <v/>
      </c>
    </row>
    <row r="2723">
      <c r="A2723" s="1" t="n"/>
      <c r="B2723" s="26" t="n"/>
      <c r="C2723" s="27" t="n"/>
      <c r="D2723" s="28" t="n"/>
      <c r="E2723" s="29" t="n"/>
      <c r="F2723" s="29" t="n"/>
      <c r="G2723" s="28" t="n"/>
      <c r="H2723" s="1" t="n"/>
      <c r="I2723">
        <f>IF(OR(B2723="",C2723=""),"",B2723+MOD(C2723,1))</f>
        <v/>
      </c>
      <c r="J2723">
        <f>IF(I2723="","",IF(B2723=Dashboard!$AA$1,I2723,""))</f>
        <v/>
      </c>
    </row>
    <row r="2724">
      <c r="A2724" s="1" t="n"/>
      <c r="B2724" s="26" t="n"/>
      <c r="C2724" s="27" t="n"/>
      <c r="D2724" s="28" t="n"/>
      <c r="E2724" s="29" t="n"/>
      <c r="F2724" s="29" t="n"/>
      <c r="G2724" s="28" t="n"/>
      <c r="H2724" s="1" t="n"/>
      <c r="I2724">
        <f>IF(OR(B2724="",C2724=""),"",B2724+MOD(C2724,1))</f>
        <v/>
      </c>
      <c r="J2724">
        <f>IF(I2724="","",IF(B2724=Dashboard!$AA$1,I2724,""))</f>
        <v/>
      </c>
    </row>
    <row r="2725">
      <c r="A2725" s="1" t="n"/>
      <c r="B2725" s="26" t="n"/>
      <c r="C2725" s="27" t="n"/>
      <c r="D2725" s="28" t="n"/>
      <c r="E2725" s="29" t="n"/>
      <c r="F2725" s="29" t="n"/>
      <c r="G2725" s="28" t="n"/>
      <c r="H2725" s="1" t="n"/>
      <c r="I2725">
        <f>IF(OR(B2725="",C2725=""),"",B2725+MOD(C2725,1))</f>
        <v/>
      </c>
      <c r="J2725">
        <f>IF(I2725="","",IF(B2725=Dashboard!$AA$1,I2725,""))</f>
        <v/>
      </c>
    </row>
    <row r="2726">
      <c r="A2726" s="1" t="n"/>
      <c r="B2726" s="26" t="n"/>
      <c r="C2726" s="27" t="n"/>
      <c r="D2726" s="28" t="n"/>
      <c r="E2726" s="29" t="n"/>
      <c r="F2726" s="29" t="n"/>
      <c r="G2726" s="28" t="n"/>
      <c r="H2726" s="1" t="n"/>
      <c r="I2726">
        <f>IF(OR(B2726="",C2726=""),"",B2726+MOD(C2726,1))</f>
        <v/>
      </c>
      <c r="J2726">
        <f>IF(I2726="","",IF(B2726=Dashboard!$AA$1,I2726,""))</f>
        <v/>
      </c>
    </row>
    <row r="2727">
      <c r="A2727" s="1" t="n"/>
      <c r="B2727" s="26" t="n"/>
      <c r="C2727" s="27" t="n"/>
      <c r="D2727" s="28" t="n"/>
      <c r="E2727" s="29" t="n"/>
      <c r="F2727" s="29" t="n"/>
      <c r="G2727" s="28" t="n"/>
      <c r="H2727" s="1" t="n"/>
      <c r="I2727">
        <f>IF(OR(B2727="",C2727=""),"",B2727+MOD(C2727,1))</f>
        <v/>
      </c>
      <c r="J2727">
        <f>IF(I2727="","",IF(B2727=Dashboard!$AA$1,I2727,""))</f>
        <v/>
      </c>
    </row>
    <row r="2728">
      <c r="A2728" s="1" t="n"/>
      <c r="B2728" s="26" t="n"/>
      <c r="C2728" s="27" t="n"/>
      <c r="D2728" s="28" t="n"/>
      <c r="E2728" s="29" t="n"/>
      <c r="F2728" s="29" t="n"/>
      <c r="G2728" s="28" t="n"/>
      <c r="H2728" s="1" t="n"/>
      <c r="I2728">
        <f>IF(OR(B2728="",C2728=""),"",B2728+MOD(C2728,1))</f>
        <v/>
      </c>
      <c r="J2728">
        <f>IF(I2728="","",IF(B2728=Dashboard!$AA$1,I2728,""))</f>
        <v/>
      </c>
    </row>
    <row r="2729">
      <c r="A2729" s="1" t="n"/>
      <c r="B2729" s="26" t="n"/>
      <c r="C2729" s="27" t="n"/>
      <c r="D2729" s="28" t="n"/>
      <c r="E2729" s="29" t="n"/>
      <c r="F2729" s="29" t="n"/>
      <c r="G2729" s="28" t="n"/>
      <c r="H2729" s="1" t="n"/>
      <c r="I2729">
        <f>IF(OR(B2729="",C2729=""),"",B2729+MOD(C2729,1))</f>
        <v/>
      </c>
      <c r="J2729">
        <f>IF(I2729="","",IF(B2729=Dashboard!$AA$1,I2729,""))</f>
        <v/>
      </c>
    </row>
    <row r="2730">
      <c r="A2730" s="1" t="n"/>
      <c r="B2730" s="26" t="n"/>
      <c r="C2730" s="27" t="n"/>
      <c r="D2730" s="28" t="n"/>
      <c r="E2730" s="29" t="n"/>
      <c r="F2730" s="29" t="n"/>
      <c r="G2730" s="28" t="n"/>
      <c r="H2730" s="1" t="n"/>
      <c r="I2730">
        <f>IF(OR(B2730="",C2730=""),"",B2730+MOD(C2730,1))</f>
        <v/>
      </c>
      <c r="J2730">
        <f>IF(I2730="","",IF(B2730=Dashboard!$AA$1,I2730,""))</f>
        <v/>
      </c>
    </row>
    <row r="2731">
      <c r="A2731" s="1" t="n"/>
      <c r="B2731" s="26" t="n"/>
      <c r="C2731" s="27" t="n"/>
      <c r="D2731" s="28" t="n"/>
      <c r="E2731" s="29" t="n"/>
      <c r="F2731" s="29" t="n"/>
      <c r="G2731" s="28" t="n"/>
      <c r="H2731" s="1" t="n"/>
      <c r="I2731">
        <f>IF(OR(B2731="",C2731=""),"",B2731+MOD(C2731,1))</f>
        <v/>
      </c>
      <c r="J2731">
        <f>IF(I2731="","",IF(B2731=Dashboard!$AA$1,I2731,""))</f>
        <v/>
      </c>
    </row>
    <row r="2732">
      <c r="A2732" s="1" t="n"/>
      <c r="B2732" s="26" t="n"/>
      <c r="C2732" s="27" t="n"/>
      <c r="D2732" s="28" t="n"/>
      <c r="E2732" s="29" t="n"/>
      <c r="F2732" s="29" t="n"/>
      <c r="G2732" s="28" t="n"/>
      <c r="H2732" s="1" t="n"/>
      <c r="I2732">
        <f>IF(OR(B2732="",C2732=""),"",B2732+MOD(C2732,1))</f>
        <v/>
      </c>
      <c r="J2732">
        <f>IF(I2732="","",IF(B2732=Dashboard!$AA$1,I2732,""))</f>
        <v/>
      </c>
    </row>
    <row r="2733">
      <c r="A2733" s="1" t="n"/>
      <c r="B2733" s="26" t="n"/>
      <c r="C2733" s="27" t="n"/>
      <c r="D2733" s="28" t="n"/>
      <c r="E2733" s="29" t="n"/>
      <c r="F2733" s="29" t="n"/>
      <c r="G2733" s="28" t="n"/>
      <c r="H2733" s="1" t="n"/>
      <c r="I2733">
        <f>IF(OR(B2733="",C2733=""),"",B2733+MOD(C2733,1))</f>
        <v/>
      </c>
      <c r="J2733">
        <f>IF(I2733="","",IF(B2733=Dashboard!$AA$1,I2733,""))</f>
        <v/>
      </c>
    </row>
    <row r="2734">
      <c r="A2734" s="1" t="n"/>
      <c r="B2734" s="26" t="n"/>
      <c r="C2734" s="27" t="n"/>
      <c r="D2734" s="28" t="n"/>
      <c r="E2734" s="29" t="n"/>
      <c r="F2734" s="29" t="n"/>
      <c r="G2734" s="28" t="n"/>
      <c r="H2734" s="1" t="n"/>
      <c r="I2734">
        <f>IF(OR(B2734="",C2734=""),"",B2734+MOD(C2734,1))</f>
        <v/>
      </c>
      <c r="J2734">
        <f>IF(I2734="","",IF(B2734=Dashboard!$AA$1,I2734,""))</f>
        <v/>
      </c>
    </row>
    <row r="2735">
      <c r="A2735" s="1" t="n"/>
      <c r="B2735" s="26" t="n"/>
      <c r="C2735" s="27" t="n"/>
      <c r="D2735" s="28" t="n"/>
      <c r="E2735" s="29" t="n"/>
      <c r="F2735" s="29" t="n"/>
      <c r="G2735" s="28" t="n"/>
      <c r="H2735" s="1" t="n"/>
      <c r="I2735">
        <f>IF(OR(B2735="",C2735=""),"",B2735+MOD(C2735,1))</f>
        <v/>
      </c>
      <c r="J2735">
        <f>IF(I2735="","",IF(B2735=Dashboard!$AA$1,I2735,""))</f>
        <v/>
      </c>
    </row>
    <row r="2736">
      <c r="A2736" s="1" t="n"/>
      <c r="B2736" s="26" t="n"/>
      <c r="C2736" s="27" t="n"/>
      <c r="D2736" s="28" t="n"/>
      <c r="E2736" s="29" t="n"/>
      <c r="F2736" s="29" t="n"/>
      <c r="G2736" s="28" t="n"/>
      <c r="H2736" s="1" t="n"/>
      <c r="I2736">
        <f>IF(OR(B2736="",C2736=""),"",B2736+MOD(C2736,1))</f>
        <v/>
      </c>
      <c r="J2736">
        <f>IF(I2736="","",IF(B2736=Dashboard!$AA$1,I2736,""))</f>
        <v/>
      </c>
    </row>
    <row r="2737">
      <c r="A2737" s="1" t="n"/>
      <c r="B2737" s="26" t="n"/>
      <c r="C2737" s="27" t="n"/>
      <c r="D2737" s="28" t="n"/>
      <c r="E2737" s="29" t="n"/>
      <c r="F2737" s="29" t="n"/>
      <c r="G2737" s="28" t="n"/>
      <c r="H2737" s="1" t="n"/>
      <c r="I2737">
        <f>IF(OR(B2737="",C2737=""),"",B2737+MOD(C2737,1))</f>
        <v/>
      </c>
      <c r="J2737">
        <f>IF(I2737="","",IF(B2737=Dashboard!$AA$1,I2737,""))</f>
        <v/>
      </c>
    </row>
    <row r="2738">
      <c r="A2738" s="1" t="n"/>
      <c r="B2738" s="26" t="n"/>
      <c r="C2738" s="27" t="n"/>
      <c r="D2738" s="28" t="n"/>
      <c r="E2738" s="29" t="n"/>
      <c r="F2738" s="29" t="n"/>
      <c r="G2738" s="28" t="n"/>
      <c r="H2738" s="1" t="n"/>
      <c r="I2738">
        <f>IF(OR(B2738="",C2738=""),"",B2738+MOD(C2738,1))</f>
        <v/>
      </c>
      <c r="J2738">
        <f>IF(I2738="","",IF(B2738=Dashboard!$AA$1,I2738,""))</f>
        <v/>
      </c>
    </row>
    <row r="2739">
      <c r="A2739" s="1" t="n"/>
      <c r="B2739" s="26" t="n"/>
      <c r="C2739" s="27" t="n"/>
      <c r="D2739" s="28" t="n"/>
      <c r="E2739" s="29" t="n"/>
      <c r="F2739" s="29" t="n"/>
      <c r="G2739" s="28" t="n"/>
      <c r="H2739" s="1" t="n"/>
      <c r="I2739">
        <f>IF(OR(B2739="",C2739=""),"",B2739+MOD(C2739,1))</f>
        <v/>
      </c>
      <c r="J2739">
        <f>IF(I2739="","",IF(B2739=Dashboard!$AA$1,I2739,""))</f>
        <v/>
      </c>
    </row>
    <row r="2740">
      <c r="A2740" s="1" t="n"/>
      <c r="B2740" s="26" t="n"/>
      <c r="C2740" s="27" t="n"/>
      <c r="D2740" s="28" t="n"/>
      <c r="E2740" s="29" t="n"/>
      <c r="F2740" s="29" t="n"/>
      <c r="G2740" s="28" t="n"/>
      <c r="H2740" s="1" t="n"/>
      <c r="I2740">
        <f>IF(OR(B2740="",C2740=""),"",B2740+MOD(C2740,1))</f>
        <v/>
      </c>
      <c r="J2740">
        <f>IF(I2740="","",IF(B2740=Dashboard!$AA$1,I2740,""))</f>
        <v/>
      </c>
    </row>
    <row r="2741">
      <c r="A2741" s="1" t="n"/>
      <c r="B2741" s="26" t="n"/>
      <c r="C2741" s="27" t="n"/>
      <c r="D2741" s="28" t="n"/>
      <c r="E2741" s="29" t="n"/>
      <c r="F2741" s="29" t="n"/>
      <c r="G2741" s="28" t="n"/>
      <c r="H2741" s="1" t="n"/>
      <c r="I2741">
        <f>IF(OR(B2741="",C2741=""),"",B2741+MOD(C2741,1))</f>
        <v/>
      </c>
      <c r="J2741">
        <f>IF(I2741="","",IF(B2741=Dashboard!$AA$1,I2741,""))</f>
        <v/>
      </c>
    </row>
    <row r="2742">
      <c r="A2742" s="1" t="n"/>
      <c r="B2742" s="26" t="n"/>
      <c r="C2742" s="27" t="n"/>
      <c r="D2742" s="28" t="n"/>
      <c r="E2742" s="29" t="n"/>
      <c r="F2742" s="29" t="n"/>
      <c r="G2742" s="28" t="n"/>
      <c r="H2742" s="1" t="n"/>
      <c r="I2742">
        <f>IF(OR(B2742="",C2742=""),"",B2742+MOD(C2742,1))</f>
        <v/>
      </c>
      <c r="J2742">
        <f>IF(I2742="","",IF(B2742=Dashboard!$AA$1,I2742,""))</f>
        <v/>
      </c>
    </row>
    <row r="2743">
      <c r="A2743" s="1" t="n"/>
      <c r="B2743" s="26" t="n"/>
      <c r="C2743" s="27" t="n"/>
      <c r="D2743" s="28" t="n"/>
      <c r="E2743" s="29" t="n"/>
      <c r="F2743" s="29" t="n"/>
      <c r="G2743" s="28" t="n"/>
      <c r="H2743" s="1" t="n"/>
      <c r="I2743">
        <f>IF(OR(B2743="",C2743=""),"",B2743+MOD(C2743,1))</f>
        <v/>
      </c>
      <c r="J2743">
        <f>IF(I2743="","",IF(B2743=Dashboard!$AA$1,I2743,""))</f>
        <v/>
      </c>
    </row>
    <row r="2744">
      <c r="A2744" s="1" t="n"/>
      <c r="B2744" s="26" t="n"/>
      <c r="C2744" s="27" t="n"/>
      <c r="D2744" s="28" t="n"/>
      <c r="E2744" s="29" t="n"/>
      <c r="F2744" s="29" t="n"/>
      <c r="G2744" s="28" t="n"/>
      <c r="H2744" s="1" t="n"/>
      <c r="I2744">
        <f>IF(OR(B2744="",C2744=""),"",B2744+MOD(C2744,1))</f>
        <v/>
      </c>
      <c r="J2744">
        <f>IF(I2744="","",IF(B2744=Dashboard!$AA$1,I2744,""))</f>
        <v/>
      </c>
    </row>
    <row r="2745">
      <c r="A2745" s="1" t="n"/>
      <c r="B2745" s="26" t="n"/>
      <c r="C2745" s="27" t="n"/>
      <c r="D2745" s="28" t="n"/>
      <c r="E2745" s="29" t="n"/>
      <c r="F2745" s="29" t="n"/>
      <c r="G2745" s="28" t="n"/>
      <c r="H2745" s="1" t="n"/>
      <c r="I2745">
        <f>IF(OR(B2745="",C2745=""),"",B2745+MOD(C2745,1))</f>
        <v/>
      </c>
      <c r="J2745">
        <f>IF(I2745="","",IF(B2745=Dashboard!$AA$1,I2745,""))</f>
        <v/>
      </c>
    </row>
    <row r="2746">
      <c r="A2746" s="1" t="n"/>
      <c r="B2746" s="26" t="n"/>
      <c r="C2746" s="27" t="n"/>
      <c r="D2746" s="28" t="n"/>
      <c r="E2746" s="29" t="n"/>
      <c r="F2746" s="29" t="n"/>
      <c r="G2746" s="28" t="n"/>
      <c r="H2746" s="1" t="n"/>
      <c r="I2746">
        <f>IF(OR(B2746="",C2746=""),"",B2746+MOD(C2746,1))</f>
        <v/>
      </c>
      <c r="J2746">
        <f>IF(I2746="","",IF(B2746=Dashboard!$AA$1,I2746,""))</f>
        <v/>
      </c>
    </row>
    <row r="2747">
      <c r="A2747" s="1" t="n"/>
      <c r="B2747" s="26" t="n"/>
      <c r="C2747" s="27" t="n"/>
      <c r="D2747" s="28" t="n"/>
      <c r="E2747" s="29" t="n"/>
      <c r="F2747" s="29" t="n"/>
      <c r="G2747" s="28" t="n"/>
      <c r="H2747" s="1" t="n"/>
      <c r="I2747">
        <f>IF(OR(B2747="",C2747=""),"",B2747+MOD(C2747,1))</f>
        <v/>
      </c>
      <c r="J2747">
        <f>IF(I2747="","",IF(B2747=Dashboard!$AA$1,I2747,""))</f>
        <v/>
      </c>
    </row>
    <row r="2748">
      <c r="A2748" s="1" t="n"/>
      <c r="B2748" s="26" t="n"/>
      <c r="C2748" s="27" t="n"/>
      <c r="D2748" s="28" t="n"/>
      <c r="E2748" s="29" t="n"/>
      <c r="F2748" s="29" t="n"/>
      <c r="G2748" s="28" t="n"/>
      <c r="H2748" s="1" t="n"/>
      <c r="I2748">
        <f>IF(OR(B2748="",C2748=""),"",B2748+MOD(C2748,1))</f>
        <v/>
      </c>
      <c r="J2748">
        <f>IF(I2748="","",IF(B2748=Dashboard!$AA$1,I2748,""))</f>
        <v/>
      </c>
    </row>
    <row r="2749">
      <c r="A2749" s="1" t="n"/>
      <c r="B2749" s="26" t="n"/>
      <c r="C2749" s="27" t="n"/>
      <c r="D2749" s="28" t="n"/>
      <c r="E2749" s="29" t="n"/>
      <c r="F2749" s="29" t="n"/>
      <c r="G2749" s="28" t="n"/>
      <c r="H2749" s="1" t="n"/>
      <c r="I2749">
        <f>IF(OR(B2749="",C2749=""),"",B2749+MOD(C2749,1))</f>
        <v/>
      </c>
      <c r="J2749">
        <f>IF(I2749="","",IF(B2749=Dashboard!$AA$1,I2749,""))</f>
        <v/>
      </c>
    </row>
    <row r="2750">
      <c r="A2750" s="1" t="n"/>
      <c r="B2750" s="26" t="n"/>
      <c r="C2750" s="27" t="n"/>
      <c r="D2750" s="28" t="n"/>
      <c r="E2750" s="29" t="n"/>
      <c r="F2750" s="29" t="n"/>
      <c r="G2750" s="28" t="n"/>
      <c r="H2750" s="1" t="n"/>
      <c r="I2750">
        <f>IF(OR(B2750="",C2750=""),"",B2750+MOD(C2750,1))</f>
        <v/>
      </c>
      <c r="J2750">
        <f>IF(I2750="","",IF(B2750=Dashboard!$AA$1,I2750,""))</f>
        <v/>
      </c>
    </row>
    <row r="2751">
      <c r="A2751" s="1" t="n"/>
      <c r="B2751" s="26" t="n"/>
      <c r="C2751" s="27" t="n"/>
      <c r="D2751" s="28" t="n"/>
      <c r="E2751" s="29" t="n"/>
      <c r="F2751" s="29" t="n"/>
      <c r="G2751" s="28" t="n"/>
      <c r="H2751" s="1" t="n"/>
      <c r="I2751">
        <f>IF(OR(B2751="",C2751=""),"",B2751+MOD(C2751,1))</f>
        <v/>
      </c>
      <c r="J2751">
        <f>IF(I2751="","",IF(B2751=Dashboard!$AA$1,I2751,""))</f>
        <v/>
      </c>
    </row>
    <row r="2752">
      <c r="A2752" s="1" t="n"/>
      <c r="B2752" s="26" t="n"/>
      <c r="C2752" s="27" t="n"/>
      <c r="D2752" s="28" t="n"/>
      <c r="E2752" s="29" t="n"/>
      <c r="F2752" s="29" t="n"/>
      <c r="G2752" s="28" t="n"/>
      <c r="H2752" s="1" t="n"/>
      <c r="I2752">
        <f>IF(OR(B2752="",C2752=""),"",B2752+MOD(C2752,1))</f>
        <v/>
      </c>
      <c r="J2752">
        <f>IF(I2752="","",IF(B2752=Dashboard!$AA$1,I2752,""))</f>
        <v/>
      </c>
    </row>
    <row r="2753">
      <c r="A2753" s="1" t="n"/>
      <c r="B2753" s="26" t="n"/>
      <c r="C2753" s="27" t="n"/>
      <c r="D2753" s="28" t="n"/>
      <c r="E2753" s="29" t="n"/>
      <c r="F2753" s="29" t="n"/>
      <c r="G2753" s="28" t="n"/>
      <c r="H2753" s="1" t="n"/>
      <c r="I2753">
        <f>IF(OR(B2753="",C2753=""),"",B2753+MOD(C2753,1))</f>
        <v/>
      </c>
      <c r="J2753">
        <f>IF(I2753="","",IF(B2753=Dashboard!$AA$1,I2753,""))</f>
        <v/>
      </c>
    </row>
    <row r="2754">
      <c r="A2754" s="1" t="n"/>
      <c r="B2754" s="26" t="n"/>
      <c r="C2754" s="27" t="n"/>
      <c r="D2754" s="28" t="n"/>
      <c r="E2754" s="29" t="n"/>
      <c r="F2754" s="29" t="n"/>
      <c r="G2754" s="28" t="n"/>
      <c r="H2754" s="1" t="n"/>
      <c r="I2754">
        <f>IF(OR(B2754="",C2754=""),"",B2754+MOD(C2754,1))</f>
        <v/>
      </c>
      <c r="J2754">
        <f>IF(I2754="","",IF(B2754=Dashboard!$AA$1,I2754,""))</f>
        <v/>
      </c>
    </row>
    <row r="2755">
      <c r="A2755" s="1" t="n"/>
      <c r="B2755" s="26" t="n"/>
      <c r="C2755" s="27" t="n"/>
      <c r="D2755" s="28" t="n"/>
      <c r="E2755" s="29" t="n"/>
      <c r="F2755" s="29" t="n"/>
      <c r="G2755" s="28" t="n"/>
      <c r="H2755" s="1" t="n"/>
      <c r="I2755">
        <f>IF(OR(B2755="",C2755=""),"",B2755+MOD(C2755,1))</f>
        <v/>
      </c>
      <c r="J2755">
        <f>IF(I2755="","",IF(B2755=Dashboard!$AA$1,I2755,""))</f>
        <v/>
      </c>
    </row>
    <row r="2756">
      <c r="A2756" s="1" t="n"/>
      <c r="B2756" s="26" t="n"/>
      <c r="C2756" s="27" t="n"/>
      <c r="D2756" s="28" t="n"/>
      <c r="E2756" s="29" t="n"/>
      <c r="F2756" s="29" t="n"/>
      <c r="G2756" s="28" t="n"/>
      <c r="H2756" s="1" t="n"/>
      <c r="I2756">
        <f>IF(OR(B2756="",C2756=""),"",B2756+MOD(C2756,1))</f>
        <v/>
      </c>
      <c r="J2756">
        <f>IF(I2756="","",IF(B2756=Dashboard!$AA$1,I2756,""))</f>
        <v/>
      </c>
    </row>
    <row r="2757">
      <c r="A2757" s="1" t="n"/>
      <c r="B2757" s="26" t="n"/>
      <c r="C2757" s="27" t="n"/>
      <c r="D2757" s="28" t="n"/>
      <c r="E2757" s="29" t="n"/>
      <c r="F2757" s="29" t="n"/>
      <c r="G2757" s="28" t="n"/>
      <c r="H2757" s="1" t="n"/>
      <c r="I2757">
        <f>IF(OR(B2757="",C2757=""),"",B2757+MOD(C2757,1))</f>
        <v/>
      </c>
      <c r="J2757">
        <f>IF(I2757="","",IF(B2757=Dashboard!$AA$1,I2757,""))</f>
        <v/>
      </c>
    </row>
    <row r="2758">
      <c r="A2758" s="1" t="n"/>
      <c r="B2758" s="26" t="n"/>
      <c r="C2758" s="27" t="n"/>
      <c r="D2758" s="28" t="n"/>
      <c r="E2758" s="29" t="n"/>
      <c r="F2758" s="29" t="n"/>
      <c r="G2758" s="28" t="n"/>
      <c r="H2758" s="1" t="n"/>
      <c r="I2758">
        <f>IF(OR(B2758="",C2758=""),"",B2758+MOD(C2758,1))</f>
        <v/>
      </c>
      <c r="J2758">
        <f>IF(I2758="","",IF(B2758=Dashboard!$AA$1,I2758,""))</f>
        <v/>
      </c>
    </row>
    <row r="2759">
      <c r="A2759" s="1" t="n"/>
      <c r="B2759" s="26" t="n"/>
      <c r="C2759" s="27" t="n"/>
      <c r="D2759" s="28" t="n"/>
      <c r="E2759" s="29" t="n"/>
      <c r="F2759" s="29" t="n"/>
      <c r="G2759" s="28" t="n"/>
      <c r="H2759" s="1" t="n"/>
      <c r="I2759">
        <f>IF(OR(B2759="",C2759=""),"",B2759+MOD(C2759,1))</f>
        <v/>
      </c>
      <c r="J2759">
        <f>IF(I2759="","",IF(B2759=Dashboard!$AA$1,I2759,""))</f>
        <v/>
      </c>
    </row>
    <row r="2760">
      <c r="A2760" s="1" t="n"/>
      <c r="B2760" s="26" t="n"/>
      <c r="C2760" s="27" t="n"/>
      <c r="D2760" s="28" t="n"/>
      <c r="E2760" s="29" t="n"/>
      <c r="F2760" s="29" t="n"/>
      <c r="G2760" s="28" t="n"/>
      <c r="H2760" s="1" t="n"/>
      <c r="I2760">
        <f>IF(OR(B2760="",C2760=""),"",B2760+MOD(C2760,1))</f>
        <v/>
      </c>
      <c r="J2760">
        <f>IF(I2760="","",IF(B2760=Dashboard!$AA$1,I2760,""))</f>
        <v/>
      </c>
    </row>
    <row r="2761">
      <c r="A2761" s="1" t="n"/>
      <c r="B2761" s="26" t="n"/>
      <c r="C2761" s="27" t="n"/>
      <c r="D2761" s="28" t="n"/>
      <c r="E2761" s="29" t="n"/>
      <c r="F2761" s="29" t="n"/>
      <c r="G2761" s="28" t="n"/>
      <c r="H2761" s="1" t="n"/>
      <c r="I2761">
        <f>IF(OR(B2761="",C2761=""),"",B2761+MOD(C2761,1))</f>
        <v/>
      </c>
      <c r="J2761">
        <f>IF(I2761="","",IF(B2761=Dashboard!$AA$1,I2761,""))</f>
        <v/>
      </c>
    </row>
    <row r="2762">
      <c r="A2762" s="1" t="n"/>
      <c r="B2762" s="26" t="n"/>
      <c r="C2762" s="27" t="n"/>
      <c r="D2762" s="28" t="n"/>
      <c r="E2762" s="29" t="n"/>
      <c r="F2762" s="29" t="n"/>
      <c r="G2762" s="28" t="n"/>
      <c r="H2762" s="1" t="n"/>
      <c r="I2762">
        <f>IF(OR(B2762="",C2762=""),"",B2762+MOD(C2762,1))</f>
        <v/>
      </c>
      <c r="J2762">
        <f>IF(I2762="","",IF(B2762=Dashboard!$AA$1,I2762,""))</f>
        <v/>
      </c>
    </row>
    <row r="2763">
      <c r="A2763" s="1" t="n"/>
      <c r="B2763" s="26" t="n"/>
      <c r="C2763" s="27" t="n"/>
      <c r="D2763" s="28" t="n"/>
      <c r="E2763" s="29" t="n"/>
      <c r="F2763" s="29" t="n"/>
      <c r="G2763" s="28" t="n"/>
      <c r="H2763" s="1" t="n"/>
      <c r="I2763">
        <f>IF(OR(B2763="",C2763=""),"",B2763+MOD(C2763,1))</f>
        <v/>
      </c>
      <c r="J2763">
        <f>IF(I2763="","",IF(B2763=Dashboard!$AA$1,I2763,""))</f>
        <v/>
      </c>
    </row>
    <row r="2764">
      <c r="A2764" s="1" t="n"/>
      <c r="B2764" s="26" t="n"/>
      <c r="C2764" s="27" t="n"/>
      <c r="D2764" s="28" t="n"/>
      <c r="E2764" s="29" t="n"/>
      <c r="F2764" s="29" t="n"/>
      <c r="G2764" s="28" t="n"/>
      <c r="H2764" s="1" t="n"/>
      <c r="I2764">
        <f>IF(OR(B2764="",C2764=""),"",B2764+MOD(C2764,1))</f>
        <v/>
      </c>
      <c r="J2764">
        <f>IF(I2764="","",IF(B2764=Dashboard!$AA$1,I2764,""))</f>
        <v/>
      </c>
    </row>
    <row r="2765">
      <c r="A2765" s="1" t="n"/>
      <c r="B2765" s="26" t="n"/>
      <c r="C2765" s="27" t="n"/>
      <c r="D2765" s="28" t="n"/>
      <c r="E2765" s="29" t="n"/>
      <c r="F2765" s="29" t="n"/>
      <c r="G2765" s="28" t="n"/>
      <c r="H2765" s="1" t="n"/>
      <c r="I2765">
        <f>IF(OR(B2765="",C2765=""),"",B2765+MOD(C2765,1))</f>
        <v/>
      </c>
      <c r="J2765">
        <f>IF(I2765="","",IF(B2765=Dashboard!$AA$1,I2765,""))</f>
        <v/>
      </c>
    </row>
    <row r="2766">
      <c r="A2766" s="1" t="n"/>
      <c r="B2766" s="26" t="n"/>
      <c r="C2766" s="27" t="n"/>
      <c r="D2766" s="28" t="n"/>
      <c r="E2766" s="29" t="n"/>
      <c r="F2766" s="29" t="n"/>
      <c r="G2766" s="28" t="n"/>
      <c r="H2766" s="1" t="n"/>
      <c r="I2766">
        <f>IF(OR(B2766="",C2766=""),"",B2766+MOD(C2766,1))</f>
        <v/>
      </c>
      <c r="J2766">
        <f>IF(I2766="","",IF(B2766=Dashboard!$AA$1,I2766,""))</f>
        <v/>
      </c>
    </row>
    <row r="2767">
      <c r="A2767" s="1" t="n"/>
      <c r="B2767" s="26" t="n"/>
      <c r="C2767" s="27" t="n"/>
      <c r="D2767" s="28" t="n"/>
      <c r="E2767" s="29" t="n"/>
      <c r="F2767" s="29" t="n"/>
      <c r="G2767" s="28" t="n"/>
      <c r="H2767" s="1" t="n"/>
      <c r="I2767">
        <f>IF(OR(B2767="",C2767=""),"",B2767+MOD(C2767,1))</f>
        <v/>
      </c>
      <c r="J2767">
        <f>IF(I2767="","",IF(B2767=Dashboard!$AA$1,I2767,""))</f>
        <v/>
      </c>
    </row>
    <row r="2768">
      <c r="A2768" s="1" t="n"/>
      <c r="B2768" s="26" t="n"/>
      <c r="C2768" s="27" t="n"/>
      <c r="D2768" s="28" t="n"/>
      <c r="E2768" s="29" t="n"/>
      <c r="F2768" s="29" t="n"/>
      <c r="G2768" s="28" t="n"/>
      <c r="H2768" s="1" t="n"/>
      <c r="I2768">
        <f>IF(OR(B2768="",C2768=""),"",B2768+MOD(C2768,1))</f>
        <v/>
      </c>
      <c r="J2768">
        <f>IF(I2768="","",IF(B2768=Dashboard!$AA$1,I2768,""))</f>
        <v/>
      </c>
    </row>
    <row r="2769">
      <c r="A2769" s="1" t="n"/>
      <c r="B2769" s="26" t="n"/>
      <c r="C2769" s="27" t="n"/>
      <c r="D2769" s="28" t="n"/>
      <c r="E2769" s="29" t="n"/>
      <c r="F2769" s="29" t="n"/>
      <c r="G2769" s="28" t="n"/>
      <c r="H2769" s="1" t="n"/>
      <c r="I2769">
        <f>IF(OR(B2769="",C2769=""),"",B2769+MOD(C2769,1))</f>
        <v/>
      </c>
      <c r="J2769">
        <f>IF(I2769="","",IF(B2769=Dashboard!$AA$1,I2769,""))</f>
        <v/>
      </c>
    </row>
    <row r="2770">
      <c r="A2770" s="1" t="n"/>
      <c r="B2770" s="26" t="n"/>
      <c r="C2770" s="27" t="n"/>
      <c r="D2770" s="28" t="n"/>
      <c r="E2770" s="29" t="n"/>
      <c r="F2770" s="29" t="n"/>
      <c r="G2770" s="28" t="n"/>
      <c r="H2770" s="1" t="n"/>
      <c r="I2770">
        <f>IF(OR(B2770="",C2770=""),"",B2770+MOD(C2770,1))</f>
        <v/>
      </c>
      <c r="J2770">
        <f>IF(I2770="","",IF(B2770=Dashboard!$AA$1,I2770,""))</f>
        <v/>
      </c>
    </row>
    <row r="2771">
      <c r="A2771" s="1" t="n"/>
      <c r="B2771" s="26" t="n"/>
      <c r="C2771" s="27" t="n"/>
      <c r="D2771" s="28" t="n"/>
      <c r="E2771" s="29" t="n"/>
      <c r="F2771" s="29" t="n"/>
      <c r="G2771" s="28" t="n"/>
      <c r="H2771" s="1" t="n"/>
      <c r="I2771">
        <f>IF(OR(B2771="",C2771=""),"",B2771+MOD(C2771,1))</f>
        <v/>
      </c>
      <c r="J2771">
        <f>IF(I2771="","",IF(B2771=Dashboard!$AA$1,I2771,""))</f>
        <v/>
      </c>
    </row>
    <row r="2772">
      <c r="A2772" s="1" t="n"/>
      <c r="B2772" s="26" t="n"/>
      <c r="C2772" s="27" t="n"/>
      <c r="D2772" s="28" t="n"/>
      <c r="E2772" s="29" t="n"/>
      <c r="F2772" s="29" t="n"/>
      <c r="G2772" s="28" t="n"/>
      <c r="H2772" s="1" t="n"/>
      <c r="I2772">
        <f>IF(OR(B2772="",C2772=""),"",B2772+MOD(C2772,1))</f>
        <v/>
      </c>
      <c r="J2772">
        <f>IF(I2772="","",IF(B2772=Dashboard!$AA$1,I2772,""))</f>
        <v/>
      </c>
    </row>
    <row r="2773">
      <c r="A2773" s="1" t="n"/>
      <c r="B2773" s="26" t="n"/>
      <c r="C2773" s="27" t="n"/>
      <c r="D2773" s="28" t="n"/>
      <c r="E2773" s="29" t="n"/>
      <c r="F2773" s="29" t="n"/>
      <c r="G2773" s="28" t="n"/>
      <c r="H2773" s="1" t="n"/>
      <c r="I2773">
        <f>IF(OR(B2773="",C2773=""),"",B2773+MOD(C2773,1))</f>
        <v/>
      </c>
      <c r="J2773">
        <f>IF(I2773="","",IF(B2773=Dashboard!$AA$1,I2773,""))</f>
        <v/>
      </c>
    </row>
    <row r="2774">
      <c r="A2774" s="1" t="n"/>
      <c r="B2774" s="26" t="n"/>
      <c r="C2774" s="27" t="n"/>
      <c r="D2774" s="28" t="n"/>
      <c r="E2774" s="29" t="n"/>
      <c r="F2774" s="29" t="n"/>
      <c r="G2774" s="28" t="n"/>
      <c r="H2774" s="1" t="n"/>
      <c r="I2774">
        <f>IF(OR(B2774="",C2774=""),"",B2774+MOD(C2774,1))</f>
        <v/>
      </c>
      <c r="J2774">
        <f>IF(I2774="","",IF(B2774=Dashboard!$AA$1,I2774,""))</f>
        <v/>
      </c>
    </row>
    <row r="2775">
      <c r="A2775" s="1" t="n"/>
      <c r="B2775" s="26" t="n"/>
      <c r="C2775" s="27" t="n"/>
      <c r="D2775" s="28" t="n"/>
      <c r="E2775" s="29" t="n"/>
      <c r="F2775" s="29" t="n"/>
      <c r="G2775" s="28" t="n"/>
      <c r="H2775" s="1" t="n"/>
      <c r="I2775">
        <f>IF(OR(B2775="",C2775=""),"",B2775+MOD(C2775,1))</f>
        <v/>
      </c>
      <c r="J2775">
        <f>IF(I2775="","",IF(B2775=Dashboard!$AA$1,I2775,""))</f>
        <v/>
      </c>
    </row>
    <row r="2776">
      <c r="A2776" s="1" t="n"/>
      <c r="B2776" s="26" t="n"/>
      <c r="C2776" s="27" t="n"/>
      <c r="D2776" s="28" t="n"/>
      <c r="E2776" s="29" t="n"/>
      <c r="F2776" s="29" t="n"/>
      <c r="G2776" s="28" t="n"/>
      <c r="H2776" s="1" t="n"/>
      <c r="I2776">
        <f>IF(OR(B2776="",C2776=""),"",B2776+MOD(C2776,1))</f>
        <v/>
      </c>
      <c r="J2776">
        <f>IF(I2776="","",IF(B2776=Dashboard!$AA$1,I2776,""))</f>
        <v/>
      </c>
    </row>
    <row r="2777">
      <c r="A2777" s="1" t="n"/>
      <c r="B2777" s="26" t="n"/>
      <c r="C2777" s="27" t="n"/>
      <c r="D2777" s="28" t="n"/>
      <c r="E2777" s="29" t="n"/>
      <c r="F2777" s="29" t="n"/>
      <c r="G2777" s="28" t="n"/>
      <c r="H2777" s="1" t="n"/>
      <c r="I2777">
        <f>IF(OR(B2777="",C2777=""),"",B2777+MOD(C2777,1))</f>
        <v/>
      </c>
      <c r="J2777">
        <f>IF(I2777="","",IF(B2777=Dashboard!$AA$1,I2777,""))</f>
        <v/>
      </c>
    </row>
    <row r="2778">
      <c r="A2778" s="1" t="n"/>
      <c r="B2778" s="26" t="n"/>
      <c r="C2778" s="27" t="n"/>
      <c r="D2778" s="28" t="n"/>
      <c r="E2778" s="29" t="n"/>
      <c r="F2778" s="29" t="n"/>
      <c r="G2778" s="28" t="n"/>
      <c r="H2778" s="1" t="n"/>
      <c r="I2778">
        <f>IF(OR(B2778="",C2778=""),"",B2778+MOD(C2778,1))</f>
        <v/>
      </c>
      <c r="J2778">
        <f>IF(I2778="","",IF(B2778=Dashboard!$AA$1,I2778,""))</f>
        <v/>
      </c>
    </row>
    <row r="2779">
      <c r="A2779" s="1" t="n"/>
      <c r="B2779" s="26" t="n"/>
      <c r="C2779" s="27" t="n"/>
      <c r="D2779" s="28" t="n"/>
      <c r="E2779" s="29" t="n"/>
      <c r="F2779" s="29" t="n"/>
      <c r="G2779" s="28" t="n"/>
      <c r="H2779" s="1" t="n"/>
      <c r="I2779">
        <f>IF(OR(B2779="",C2779=""),"",B2779+MOD(C2779,1))</f>
        <v/>
      </c>
      <c r="J2779">
        <f>IF(I2779="","",IF(B2779=Dashboard!$AA$1,I2779,""))</f>
        <v/>
      </c>
    </row>
    <row r="2780">
      <c r="A2780" s="1" t="n"/>
      <c r="B2780" s="26" t="n"/>
      <c r="C2780" s="27" t="n"/>
      <c r="D2780" s="28" t="n"/>
      <c r="E2780" s="29" t="n"/>
      <c r="F2780" s="29" t="n"/>
      <c r="G2780" s="28" t="n"/>
      <c r="H2780" s="1" t="n"/>
      <c r="I2780">
        <f>IF(OR(B2780="",C2780=""),"",B2780+MOD(C2780,1))</f>
        <v/>
      </c>
      <c r="J2780">
        <f>IF(I2780="","",IF(B2780=Dashboard!$AA$1,I2780,""))</f>
        <v/>
      </c>
    </row>
    <row r="2781">
      <c r="A2781" s="1" t="n"/>
      <c r="B2781" s="26" t="n"/>
      <c r="C2781" s="27" t="n"/>
      <c r="D2781" s="28" t="n"/>
      <c r="E2781" s="29" t="n"/>
      <c r="F2781" s="29" t="n"/>
      <c r="G2781" s="28" t="n"/>
      <c r="H2781" s="1" t="n"/>
      <c r="I2781">
        <f>IF(OR(B2781="",C2781=""),"",B2781+MOD(C2781,1))</f>
        <v/>
      </c>
      <c r="J2781">
        <f>IF(I2781="","",IF(B2781=Dashboard!$AA$1,I2781,""))</f>
        <v/>
      </c>
    </row>
    <row r="2782">
      <c r="A2782" s="1" t="n"/>
      <c r="B2782" s="26" t="n"/>
      <c r="C2782" s="27" t="n"/>
      <c r="D2782" s="28" t="n"/>
      <c r="E2782" s="29" t="n"/>
      <c r="F2782" s="29" t="n"/>
      <c r="G2782" s="28" t="n"/>
      <c r="H2782" s="1" t="n"/>
      <c r="I2782">
        <f>IF(OR(B2782="",C2782=""),"",B2782+MOD(C2782,1))</f>
        <v/>
      </c>
      <c r="J2782">
        <f>IF(I2782="","",IF(B2782=Dashboard!$AA$1,I2782,""))</f>
        <v/>
      </c>
    </row>
    <row r="2783">
      <c r="A2783" s="1" t="n"/>
      <c r="B2783" s="26" t="n"/>
      <c r="C2783" s="27" t="n"/>
      <c r="D2783" s="28" t="n"/>
      <c r="E2783" s="29" t="n"/>
      <c r="F2783" s="29" t="n"/>
      <c r="G2783" s="28" t="n"/>
      <c r="H2783" s="1" t="n"/>
      <c r="I2783">
        <f>IF(OR(B2783="",C2783=""),"",B2783+MOD(C2783,1))</f>
        <v/>
      </c>
      <c r="J2783">
        <f>IF(I2783="","",IF(B2783=Dashboard!$AA$1,I2783,""))</f>
        <v/>
      </c>
    </row>
    <row r="2784">
      <c r="A2784" s="1" t="n"/>
      <c r="B2784" s="26" t="n"/>
      <c r="C2784" s="27" t="n"/>
      <c r="D2784" s="28" t="n"/>
      <c r="E2784" s="29" t="n"/>
      <c r="F2784" s="29" t="n"/>
      <c r="G2784" s="28" t="n"/>
      <c r="H2784" s="1" t="n"/>
      <c r="I2784">
        <f>IF(OR(B2784="",C2784=""),"",B2784+MOD(C2784,1))</f>
        <v/>
      </c>
      <c r="J2784">
        <f>IF(I2784="","",IF(B2784=Dashboard!$AA$1,I2784,""))</f>
        <v/>
      </c>
    </row>
    <row r="2785">
      <c r="A2785" s="1" t="n"/>
      <c r="B2785" s="26" t="n"/>
      <c r="C2785" s="27" t="n"/>
      <c r="D2785" s="28" t="n"/>
      <c r="E2785" s="29" t="n"/>
      <c r="F2785" s="29" t="n"/>
      <c r="G2785" s="28" t="n"/>
      <c r="H2785" s="1" t="n"/>
      <c r="I2785">
        <f>IF(OR(B2785="",C2785=""),"",B2785+MOD(C2785,1))</f>
        <v/>
      </c>
      <c r="J2785">
        <f>IF(I2785="","",IF(B2785=Dashboard!$AA$1,I2785,""))</f>
        <v/>
      </c>
    </row>
    <row r="2786">
      <c r="A2786" s="1" t="n"/>
      <c r="B2786" s="26" t="n"/>
      <c r="C2786" s="27" t="n"/>
      <c r="D2786" s="28" t="n"/>
      <c r="E2786" s="29" t="n"/>
      <c r="F2786" s="29" t="n"/>
      <c r="G2786" s="28" t="n"/>
      <c r="H2786" s="1" t="n"/>
      <c r="I2786">
        <f>IF(OR(B2786="",C2786=""),"",B2786+MOD(C2786,1))</f>
        <v/>
      </c>
      <c r="J2786">
        <f>IF(I2786="","",IF(B2786=Dashboard!$AA$1,I2786,""))</f>
        <v/>
      </c>
    </row>
    <row r="2787">
      <c r="A2787" s="1" t="n"/>
      <c r="B2787" s="26" t="n"/>
      <c r="C2787" s="27" t="n"/>
      <c r="D2787" s="28" t="n"/>
      <c r="E2787" s="29" t="n"/>
      <c r="F2787" s="29" t="n"/>
      <c r="G2787" s="28" t="n"/>
      <c r="H2787" s="1" t="n"/>
      <c r="I2787">
        <f>IF(OR(B2787="",C2787=""),"",B2787+MOD(C2787,1))</f>
        <v/>
      </c>
      <c r="J2787">
        <f>IF(I2787="","",IF(B2787=Dashboard!$AA$1,I2787,""))</f>
        <v/>
      </c>
    </row>
    <row r="2788">
      <c r="A2788" s="1" t="n"/>
      <c r="B2788" s="26" t="n"/>
      <c r="C2788" s="27" t="n"/>
      <c r="D2788" s="28" t="n"/>
      <c r="E2788" s="29" t="n"/>
      <c r="F2788" s="29" t="n"/>
      <c r="G2788" s="28" t="n"/>
      <c r="H2788" s="1" t="n"/>
      <c r="I2788">
        <f>IF(OR(B2788="",C2788=""),"",B2788+MOD(C2788,1))</f>
        <v/>
      </c>
      <c r="J2788">
        <f>IF(I2788="","",IF(B2788=Dashboard!$AA$1,I2788,""))</f>
        <v/>
      </c>
    </row>
    <row r="2789">
      <c r="A2789" s="1" t="n"/>
      <c r="B2789" s="26" t="n"/>
      <c r="C2789" s="27" t="n"/>
      <c r="D2789" s="28" t="n"/>
      <c r="E2789" s="29" t="n"/>
      <c r="F2789" s="29" t="n"/>
      <c r="G2789" s="28" t="n"/>
      <c r="H2789" s="1" t="n"/>
      <c r="I2789">
        <f>IF(OR(B2789="",C2789=""),"",B2789+MOD(C2789,1))</f>
        <v/>
      </c>
      <c r="J2789">
        <f>IF(I2789="","",IF(B2789=Dashboard!$AA$1,I2789,""))</f>
        <v/>
      </c>
    </row>
    <row r="2790">
      <c r="A2790" s="1" t="n"/>
      <c r="B2790" s="26" t="n"/>
      <c r="C2790" s="27" t="n"/>
      <c r="D2790" s="28" t="n"/>
      <c r="E2790" s="29" t="n"/>
      <c r="F2790" s="29" t="n"/>
      <c r="G2790" s="28" t="n"/>
      <c r="H2790" s="1" t="n"/>
      <c r="I2790">
        <f>IF(OR(B2790="",C2790=""),"",B2790+MOD(C2790,1))</f>
        <v/>
      </c>
      <c r="J2790">
        <f>IF(I2790="","",IF(B2790=Dashboard!$AA$1,I2790,""))</f>
        <v/>
      </c>
    </row>
    <row r="2791">
      <c r="A2791" s="1" t="n"/>
      <c r="B2791" s="26" t="n"/>
      <c r="C2791" s="27" t="n"/>
      <c r="D2791" s="28" t="n"/>
      <c r="E2791" s="29" t="n"/>
      <c r="F2791" s="29" t="n"/>
      <c r="G2791" s="28" t="n"/>
      <c r="H2791" s="1" t="n"/>
      <c r="I2791">
        <f>IF(OR(B2791="",C2791=""),"",B2791+MOD(C2791,1))</f>
        <v/>
      </c>
      <c r="J2791">
        <f>IF(I2791="","",IF(B2791=Dashboard!$AA$1,I2791,""))</f>
        <v/>
      </c>
    </row>
    <row r="2792">
      <c r="A2792" s="1" t="n"/>
      <c r="B2792" s="26" t="n"/>
      <c r="C2792" s="27" t="n"/>
      <c r="D2792" s="28" t="n"/>
      <c r="E2792" s="29" t="n"/>
      <c r="F2792" s="29" t="n"/>
      <c r="G2792" s="28" t="n"/>
      <c r="H2792" s="1" t="n"/>
      <c r="I2792">
        <f>IF(OR(B2792="",C2792=""),"",B2792+MOD(C2792,1))</f>
        <v/>
      </c>
      <c r="J2792">
        <f>IF(I2792="","",IF(B2792=Dashboard!$AA$1,I2792,""))</f>
        <v/>
      </c>
    </row>
    <row r="2793">
      <c r="A2793" s="1" t="n"/>
      <c r="B2793" s="26" t="n"/>
      <c r="C2793" s="27" t="n"/>
      <c r="D2793" s="28" t="n"/>
      <c r="E2793" s="29" t="n"/>
      <c r="F2793" s="29" t="n"/>
      <c r="G2793" s="28" t="n"/>
      <c r="H2793" s="1" t="n"/>
      <c r="I2793">
        <f>IF(OR(B2793="",C2793=""),"",B2793+MOD(C2793,1))</f>
        <v/>
      </c>
      <c r="J2793">
        <f>IF(I2793="","",IF(B2793=Dashboard!$AA$1,I2793,""))</f>
        <v/>
      </c>
    </row>
    <row r="2794">
      <c r="A2794" s="1" t="n"/>
      <c r="B2794" s="26" t="n"/>
      <c r="C2794" s="27" t="n"/>
      <c r="D2794" s="28" t="n"/>
      <c r="E2794" s="29" t="n"/>
      <c r="F2794" s="29" t="n"/>
      <c r="G2794" s="28" t="n"/>
      <c r="H2794" s="1" t="n"/>
      <c r="I2794">
        <f>IF(OR(B2794="",C2794=""),"",B2794+MOD(C2794,1))</f>
        <v/>
      </c>
      <c r="J2794">
        <f>IF(I2794="","",IF(B2794=Dashboard!$AA$1,I2794,""))</f>
        <v/>
      </c>
    </row>
    <row r="2795">
      <c r="A2795" s="1" t="n"/>
      <c r="B2795" s="26" t="n"/>
      <c r="C2795" s="27" t="n"/>
      <c r="D2795" s="28" t="n"/>
      <c r="E2795" s="29" t="n"/>
      <c r="F2795" s="29" t="n"/>
      <c r="G2795" s="28" t="n"/>
      <c r="H2795" s="1" t="n"/>
      <c r="I2795">
        <f>IF(OR(B2795="",C2795=""),"",B2795+MOD(C2795,1))</f>
        <v/>
      </c>
      <c r="J2795">
        <f>IF(I2795="","",IF(B2795=Dashboard!$AA$1,I2795,""))</f>
        <v/>
      </c>
    </row>
    <row r="2796">
      <c r="A2796" s="1" t="n"/>
      <c r="B2796" s="26" t="n"/>
      <c r="C2796" s="27" t="n"/>
      <c r="D2796" s="28" t="n"/>
      <c r="E2796" s="29" t="n"/>
      <c r="F2796" s="29" t="n"/>
      <c r="G2796" s="28" t="n"/>
      <c r="H2796" s="1" t="n"/>
      <c r="I2796">
        <f>IF(OR(B2796="",C2796=""),"",B2796+MOD(C2796,1))</f>
        <v/>
      </c>
      <c r="J2796">
        <f>IF(I2796="","",IF(B2796=Dashboard!$AA$1,I2796,""))</f>
        <v/>
      </c>
    </row>
    <row r="2797">
      <c r="A2797" s="1" t="n"/>
      <c r="B2797" s="26" t="n"/>
      <c r="C2797" s="27" t="n"/>
      <c r="D2797" s="28" t="n"/>
      <c r="E2797" s="29" t="n"/>
      <c r="F2797" s="29" t="n"/>
      <c r="G2797" s="28" t="n"/>
      <c r="H2797" s="1" t="n"/>
      <c r="I2797">
        <f>IF(OR(B2797="",C2797=""),"",B2797+MOD(C2797,1))</f>
        <v/>
      </c>
      <c r="J2797">
        <f>IF(I2797="","",IF(B2797=Dashboard!$AA$1,I2797,""))</f>
        <v/>
      </c>
    </row>
    <row r="2798">
      <c r="A2798" s="1" t="n"/>
      <c r="B2798" s="26" t="n"/>
      <c r="C2798" s="27" t="n"/>
      <c r="D2798" s="28" t="n"/>
      <c r="E2798" s="29" t="n"/>
      <c r="F2798" s="29" t="n"/>
      <c r="G2798" s="28" t="n"/>
      <c r="H2798" s="1" t="n"/>
      <c r="I2798">
        <f>IF(OR(B2798="",C2798=""),"",B2798+MOD(C2798,1))</f>
        <v/>
      </c>
      <c r="J2798">
        <f>IF(I2798="","",IF(B2798=Dashboard!$AA$1,I2798,""))</f>
        <v/>
      </c>
    </row>
    <row r="2799">
      <c r="A2799" s="1" t="n"/>
      <c r="B2799" s="26" t="n"/>
      <c r="C2799" s="27" t="n"/>
      <c r="D2799" s="28" t="n"/>
      <c r="E2799" s="29" t="n"/>
      <c r="F2799" s="29" t="n"/>
      <c r="G2799" s="28" t="n"/>
      <c r="H2799" s="1" t="n"/>
      <c r="I2799">
        <f>IF(OR(B2799="",C2799=""),"",B2799+MOD(C2799,1))</f>
        <v/>
      </c>
      <c r="J2799">
        <f>IF(I2799="","",IF(B2799=Dashboard!$AA$1,I2799,""))</f>
        <v/>
      </c>
    </row>
    <row r="2800">
      <c r="A2800" s="1" t="n"/>
      <c r="B2800" s="26" t="n"/>
      <c r="C2800" s="27" t="n"/>
      <c r="D2800" s="28" t="n"/>
      <c r="E2800" s="29" t="n"/>
      <c r="F2800" s="29" t="n"/>
      <c r="G2800" s="28" t="n"/>
      <c r="H2800" s="1" t="n"/>
      <c r="I2800">
        <f>IF(OR(B2800="",C2800=""),"",B2800+MOD(C2800,1))</f>
        <v/>
      </c>
      <c r="J2800">
        <f>IF(I2800="","",IF(B2800=Dashboard!$AA$1,I2800,""))</f>
        <v/>
      </c>
    </row>
    <row r="2801">
      <c r="A2801" s="1" t="n"/>
      <c r="B2801" s="26" t="n"/>
      <c r="C2801" s="27" t="n"/>
      <c r="D2801" s="28" t="n"/>
      <c r="E2801" s="29" t="n"/>
      <c r="F2801" s="29" t="n"/>
      <c r="G2801" s="28" t="n"/>
      <c r="H2801" s="1" t="n"/>
      <c r="I2801">
        <f>IF(OR(B2801="",C2801=""),"",B2801+MOD(C2801,1))</f>
        <v/>
      </c>
      <c r="J2801">
        <f>IF(I2801="","",IF(B2801=Dashboard!$AA$1,I2801,""))</f>
        <v/>
      </c>
    </row>
    <row r="2802">
      <c r="A2802" s="1" t="n"/>
      <c r="B2802" s="26" t="n"/>
      <c r="C2802" s="27" t="n"/>
      <c r="D2802" s="28" t="n"/>
      <c r="E2802" s="29" t="n"/>
      <c r="F2802" s="29" t="n"/>
      <c r="G2802" s="28" t="n"/>
      <c r="H2802" s="1" t="n"/>
      <c r="I2802">
        <f>IF(OR(B2802="",C2802=""),"",B2802+MOD(C2802,1))</f>
        <v/>
      </c>
      <c r="J2802">
        <f>IF(I2802="","",IF(B2802=Dashboard!$AA$1,I2802,""))</f>
        <v/>
      </c>
    </row>
    <row r="2803">
      <c r="A2803" s="1" t="n"/>
      <c r="B2803" s="26" t="n"/>
      <c r="C2803" s="27" t="n"/>
      <c r="D2803" s="28" t="n"/>
      <c r="E2803" s="29" t="n"/>
      <c r="F2803" s="29" t="n"/>
      <c r="G2803" s="28" t="n"/>
      <c r="H2803" s="1" t="n"/>
      <c r="I2803">
        <f>IF(OR(B2803="",C2803=""),"",B2803+MOD(C2803,1))</f>
        <v/>
      </c>
      <c r="J2803">
        <f>IF(I2803="","",IF(B2803=Dashboard!$AA$1,I2803,""))</f>
        <v/>
      </c>
    </row>
    <row r="2804">
      <c r="A2804" s="1" t="n"/>
      <c r="B2804" s="26" t="n"/>
      <c r="C2804" s="27" t="n"/>
      <c r="D2804" s="28" t="n"/>
      <c r="E2804" s="29" t="n"/>
      <c r="F2804" s="29" t="n"/>
      <c r="G2804" s="28" t="n"/>
      <c r="H2804" s="1" t="n"/>
      <c r="I2804">
        <f>IF(OR(B2804="",C2804=""),"",B2804+MOD(C2804,1))</f>
        <v/>
      </c>
      <c r="J2804">
        <f>IF(I2804="","",IF(B2804=Dashboard!$AA$1,I2804,""))</f>
        <v/>
      </c>
    </row>
    <row r="2805">
      <c r="A2805" s="1" t="n"/>
      <c r="B2805" s="26" t="n"/>
      <c r="C2805" s="27" t="n"/>
      <c r="D2805" s="28" t="n"/>
      <c r="E2805" s="29" t="n"/>
      <c r="F2805" s="29" t="n"/>
      <c r="G2805" s="28" t="n"/>
      <c r="H2805" s="1" t="n"/>
      <c r="I2805">
        <f>IF(OR(B2805="",C2805=""),"",B2805+MOD(C2805,1))</f>
        <v/>
      </c>
      <c r="J2805">
        <f>IF(I2805="","",IF(B2805=Dashboard!$AA$1,I2805,""))</f>
        <v/>
      </c>
    </row>
    <row r="2806">
      <c r="A2806" s="1" t="n"/>
      <c r="B2806" s="26" t="n"/>
      <c r="C2806" s="27" t="n"/>
      <c r="D2806" s="28" t="n"/>
      <c r="E2806" s="29" t="n"/>
      <c r="F2806" s="29" t="n"/>
      <c r="G2806" s="28" t="n"/>
      <c r="H2806" s="1" t="n"/>
      <c r="I2806">
        <f>IF(OR(B2806="",C2806=""),"",B2806+MOD(C2806,1))</f>
        <v/>
      </c>
      <c r="J2806">
        <f>IF(I2806="","",IF(B2806=Dashboard!$AA$1,I2806,""))</f>
        <v/>
      </c>
    </row>
    <row r="2807">
      <c r="A2807" s="1" t="n"/>
      <c r="B2807" s="26" t="n"/>
      <c r="C2807" s="27" t="n"/>
      <c r="D2807" s="28" t="n"/>
      <c r="E2807" s="29" t="n"/>
      <c r="F2807" s="29" t="n"/>
      <c r="G2807" s="28" t="n"/>
      <c r="H2807" s="1" t="n"/>
      <c r="I2807">
        <f>IF(OR(B2807="",C2807=""),"",B2807+MOD(C2807,1))</f>
        <v/>
      </c>
      <c r="J2807">
        <f>IF(I2807="","",IF(B2807=Dashboard!$AA$1,I2807,""))</f>
        <v/>
      </c>
    </row>
    <row r="2808">
      <c r="A2808" s="1" t="n"/>
      <c r="B2808" s="26" t="n"/>
      <c r="C2808" s="27" t="n"/>
      <c r="D2808" s="28" t="n"/>
      <c r="E2808" s="29" t="n"/>
      <c r="F2808" s="29" t="n"/>
      <c r="G2808" s="28" t="n"/>
      <c r="H2808" s="1" t="n"/>
      <c r="I2808">
        <f>IF(OR(B2808="",C2808=""),"",B2808+MOD(C2808,1))</f>
        <v/>
      </c>
      <c r="J2808">
        <f>IF(I2808="","",IF(B2808=Dashboard!$AA$1,I2808,""))</f>
        <v/>
      </c>
    </row>
    <row r="2809">
      <c r="A2809" s="1" t="n"/>
      <c r="B2809" s="26" t="n"/>
      <c r="C2809" s="27" t="n"/>
      <c r="D2809" s="28" t="n"/>
      <c r="E2809" s="29" t="n"/>
      <c r="F2809" s="29" t="n"/>
      <c r="G2809" s="28" t="n"/>
      <c r="H2809" s="1" t="n"/>
      <c r="I2809">
        <f>IF(OR(B2809="",C2809=""),"",B2809+MOD(C2809,1))</f>
        <v/>
      </c>
      <c r="J2809">
        <f>IF(I2809="","",IF(B2809=Dashboard!$AA$1,I2809,""))</f>
        <v/>
      </c>
    </row>
    <row r="2810">
      <c r="A2810" s="1" t="n"/>
      <c r="B2810" s="26" t="n"/>
      <c r="C2810" s="27" t="n"/>
      <c r="D2810" s="28" t="n"/>
      <c r="E2810" s="29" t="n"/>
      <c r="F2810" s="29" t="n"/>
      <c r="G2810" s="28" t="n"/>
      <c r="H2810" s="1" t="n"/>
      <c r="I2810">
        <f>IF(OR(B2810="",C2810=""),"",B2810+MOD(C2810,1))</f>
        <v/>
      </c>
      <c r="J2810">
        <f>IF(I2810="","",IF(B2810=Dashboard!$AA$1,I2810,""))</f>
        <v/>
      </c>
    </row>
    <row r="2811">
      <c r="A2811" s="1" t="n"/>
      <c r="B2811" s="26" t="n"/>
      <c r="C2811" s="27" t="n"/>
      <c r="D2811" s="28" t="n"/>
      <c r="E2811" s="29" t="n"/>
      <c r="F2811" s="29" t="n"/>
      <c r="G2811" s="28" t="n"/>
      <c r="H2811" s="1" t="n"/>
      <c r="I2811">
        <f>IF(OR(B2811="",C2811=""),"",B2811+MOD(C2811,1))</f>
        <v/>
      </c>
      <c r="J2811">
        <f>IF(I2811="","",IF(B2811=Dashboard!$AA$1,I2811,""))</f>
        <v/>
      </c>
    </row>
    <row r="2812">
      <c r="A2812" s="1" t="n"/>
      <c r="B2812" s="26" t="n"/>
      <c r="C2812" s="27" t="n"/>
      <c r="D2812" s="28" t="n"/>
      <c r="E2812" s="29" t="n"/>
      <c r="F2812" s="29" t="n"/>
      <c r="G2812" s="28" t="n"/>
      <c r="H2812" s="1" t="n"/>
      <c r="I2812">
        <f>IF(OR(B2812="",C2812=""),"",B2812+MOD(C2812,1))</f>
        <v/>
      </c>
      <c r="J2812">
        <f>IF(I2812="","",IF(B2812=Dashboard!$AA$1,I2812,""))</f>
        <v/>
      </c>
    </row>
    <row r="2813">
      <c r="A2813" s="1" t="n"/>
      <c r="B2813" s="26" t="n"/>
      <c r="C2813" s="27" t="n"/>
      <c r="D2813" s="28" t="n"/>
      <c r="E2813" s="29" t="n"/>
      <c r="F2813" s="29" t="n"/>
      <c r="G2813" s="28" t="n"/>
      <c r="H2813" s="1" t="n"/>
      <c r="I2813">
        <f>IF(OR(B2813="",C2813=""),"",B2813+MOD(C2813,1))</f>
        <v/>
      </c>
      <c r="J2813">
        <f>IF(I2813="","",IF(B2813=Dashboard!$AA$1,I2813,""))</f>
        <v/>
      </c>
    </row>
    <row r="2814">
      <c r="A2814" s="1" t="n"/>
      <c r="B2814" s="26" t="n"/>
      <c r="C2814" s="27" t="n"/>
      <c r="D2814" s="28" t="n"/>
      <c r="E2814" s="29" t="n"/>
      <c r="F2814" s="29" t="n"/>
      <c r="G2814" s="28" t="n"/>
      <c r="H2814" s="1" t="n"/>
      <c r="I2814">
        <f>IF(OR(B2814="",C2814=""),"",B2814+MOD(C2814,1))</f>
        <v/>
      </c>
      <c r="J2814">
        <f>IF(I2814="","",IF(B2814=Dashboard!$AA$1,I2814,""))</f>
        <v/>
      </c>
    </row>
    <row r="2815">
      <c r="A2815" s="1" t="n"/>
      <c r="B2815" s="26" t="n"/>
      <c r="C2815" s="27" t="n"/>
      <c r="D2815" s="28" t="n"/>
      <c r="E2815" s="29" t="n"/>
      <c r="F2815" s="29" t="n"/>
      <c r="G2815" s="28" t="n"/>
      <c r="H2815" s="1" t="n"/>
      <c r="I2815">
        <f>IF(OR(B2815="",C2815=""),"",B2815+MOD(C2815,1))</f>
        <v/>
      </c>
      <c r="J2815">
        <f>IF(I2815="","",IF(B2815=Dashboard!$AA$1,I2815,""))</f>
        <v/>
      </c>
    </row>
    <row r="2816">
      <c r="A2816" s="1" t="n"/>
      <c r="B2816" s="26" t="n"/>
      <c r="C2816" s="27" t="n"/>
      <c r="D2816" s="28" t="n"/>
      <c r="E2816" s="29" t="n"/>
      <c r="F2816" s="29" t="n"/>
      <c r="G2816" s="28" t="n"/>
      <c r="H2816" s="1" t="n"/>
      <c r="I2816">
        <f>IF(OR(B2816="",C2816=""),"",B2816+MOD(C2816,1))</f>
        <v/>
      </c>
      <c r="J2816">
        <f>IF(I2816="","",IF(B2816=Dashboard!$AA$1,I2816,""))</f>
        <v/>
      </c>
    </row>
    <row r="2817">
      <c r="A2817" s="1" t="n"/>
      <c r="B2817" s="26" t="n"/>
      <c r="C2817" s="27" t="n"/>
      <c r="D2817" s="28" t="n"/>
      <c r="E2817" s="29" t="n"/>
      <c r="F2817" s="29" t="n"/>
      <c r="G2817" s="28" t="n"/>
      <c r="H2817" s="1" t="n"/>
      <c r="I2817">
        <f>IF(OR(B2817="",C2817=""),"",B2817+MOD(C2817,1))</f>
        <v/>
      </c>
      <c r="J2817">
        <f>IF(I2817="","",IF(B2817=Dashboard!$AA$1,I2817,""))</f>
        <v/>
      </c>
    </row>
    <row r="2818">
      <c r="A2818" s="1" t="n"/>
      <c r="B2818" s="26" t="n"/>
      <c r="C2818" s="27" t="n"/>
      <c r="D2818" s="28" t="n"/>
      <c r="E2818" s="29" t="n"/>
      <c r="F2818" s="29" t="n"/>
      <c r="G2818" s="28" t="n"/>
      <c r="H2818" s="1" t="n"/>
      <c r="I2818">
        <f>IF(OR(B2818="",C2818=""),"",B2818+MOD(C2818,1))</f>
        <v/>
      </c>
      <c r="J2818">
        <f>IF(I2818="","",IF(B2818=Dashboard!$AA$1,I2818,""))</f>
        <v/>
      </c>
    </row>
    <row r="2819">
      <c r="A2819" s="1" t="n"/>
      <c r="B2819" s="26" t="n"/>
      <c r="C2819" s="27" t="n"/>
      <c r="D2819" s="28" t="n"/>
      <c r="E2819" s="29" t="n"/>
      <c r="F2819" s="29" t="n"/>
      <c r="G2819" s="28" t="n"/>
      <c r="H2819" s="1" t="n"/>
      <c r="I2819">
        <f>IF(OR(B2819="",C2819=""),"",B2819+MOD(C2819,1))</f>
        <v/>
      </c>
      <c r="J2819">
        <f>IF(I2819="","",IF(B2819=Dashboard!$AA$1,I2819,""))</f>
        <v/>
      </c>
    </row>
    <row r="2820">
      <c r="A2820" s="1" t="n"/>
      <c r="B2820" s="26" t="n"/>
      <c r="C2820" s="27" t="n"/>
      <c r="D2820" s="28" t="n"/>
      <c r="E2820" s="29" t="n"/>
      <c r="F2820" s="29" t="n"/>
      <c r="G2820" s="28" t="n"/>
      <c r="H2820" s="1" t="n"/>
      <c r="I2820">
        <f>IF(OR(B2820="",C2820=""),"",B2820+MOD(C2820,1))</f>
        <v/>
      </c>
      <c r="J2820">
        <f>IF(I2820="","",IF(B2820=Dashboard!$AA$1,I2820,""))</f>
        <v/>
      </c>
    </row>
    <row r="2821">
      <c r="A2821" s="1" t="n"/>
      <c r="B2821" s="26" t="n"/>
      <c r="C2821" s="27" t="n"/>
      <c r="D2821" s="28" t="n"/>
      <c r="E2821" s="29" t="n"/>
      <c r="F2821" s="29" t="n"/>
      <c r="G2821" s="28" t="n"/>
      <c r="H2821" s="1" t="n"/>
      <c r="I2821">
        <f>IF(OR(B2821="",C2821=""),"",B2821+MOD(C2821,1))</f>
        <v/>
      </c>
      <c r="J2821">
        <f>IF(I2821="","",IF(B2821=Dashboard!$AA$1,I2821,""))</f>
        <v/>
      </c>
    </row>
    <row r="2822">
      <c r="A2822" s="1" t="n"/>
      <c r="B2822" s="26" t="n"/>
      <c r="C2822" s="27" t="n"/>
      <c r="D2822" s="28" t="n"/>
      <c r="E2822" s="29" t="n"/>
      <c r="F2822" s="29" t="n"/>
      <c r="G2822" s="28" t="n"/>
      <c r="H2822" s="1" t="n"/>
      <c r="I2822">
        <f>IF(OR(B2822="",C2822=""),"",B2822+MOD(C2822,1))</f>
        <v/>
      </c>
      <c r="J2822">
        <f>IF(I2822="","",IF(B2822=Dashboard!$AA$1,I2822,""))</f>
        <v/>
      </c>
    </row>
    <row r="2823">
      <c r="A2823" s="1" t="n"/>
      <c r="B2823" s="26" t="n"/>
      <c r="C2823" s="27" t="n"/>
      <c r="D2823" s="28" t="n"/>
      <c r="E2823" s="29" t="n"/>
      <c r="F2823" s="29" t="n"/>
      <c r="G2823" s="28" t="n"/>
      <c r="H2823" s="1" t="n"/>
      <c r="I2823">
        <f>IF(OR(B2823="",C2823=""),"",B2823+MOD(C2823,1))</f>
        <v/>
      </c>
      <c r="J2823">
        <f>IF(I2823="","",IF(B2823=Dashboard!$AA$1,I2823,""))</f>
        <v/>
      </c>
    </row>
    <row r="2824">
      <c r="A2824" s="1" t="n"/>
      <c r="B2824" s="26" t="n"/>
      <c r="C2824" s="27" t="n"/>
      <c r="D2824" s="28" t="n"/>
      <c r="E2824" s="29" t="n"/>
      <c r="F2824" s="29" t="n"/>
      <c r="G2824" s="28" t="n"/>
      <c r="H2824" s="1" t="n"/>
      <c r="I2824">
        <f>IF(OR(B2824="",C2824=""),"",B2824+MOD(C2824,1))</f>
        <v/>
      </c>
      <c r="J2824">
        <f>IF(I2824="","",IF(B2824=Dashboard!$AA$1,I2824,""))</f>
        <v/>
      </c>
    </row>
    <row r="2825">
      <c r="A2825" s="1" t="n"/>
      <c r="B2825" s="26" t="n"/>
      <c r="C2825" s="27" t="n"/>
      <c r="D2825" s="28" t="n"/>
      <c r="E2825" s="29" t="n"/>
      <c r="F2825" s="29" t="n"/>
      <c r="G2825" s="28" t="n"/>
      <c r="H2825" s="1" t="n"/>
      <c r="I2825">
        <f>IF(OR(B2825="",C2825=""),"",B2825+MOD(C2825,1))</f>
        <v/>
      </c>
      <c r="J2825">
        <f>IF(I2825="","",IF(B2825=Dashboard!$AA$1,I2825,""))</f>
        <v/>
      </c>
    </row>
    <row r="2826">
      <c r="A2826" s="1" t="n"/>
      <c r="B2826" s="26" t="n"/>
      <c r="C2826" s="27" t="n"/>
      <c r="D2826" s="28" t="n"/>
      <c r="E2826" s="29" t="n"/>
      <c r="F2826" s="29" t="n"/>
      <c r="G2826" s="28" t="n"/>
      <c r="H2826" s="1" t="n"/>
      <c r="I2826">
        <f>IF(OR(B2826="",C2826=""),"",B2826+MOD(C2826,1))</f>
        <v/>
      </c>
      <c r="J2826">
        <f>IF(I2826="","",IF(B2826=Dashboard!$AA$1,I2826,""))</f>
        <v/>
      </c>
    </row>
    <row r="2827">
      <c r="A2827" s="1" t="n"/>
      <c r="B2827" s="26" t="n"/>
      <c r="C2827" s="27" t="n"/>
      <c r="D2827" s="28" t="n"/>
      <c r="E2827" s="29" t="n"/>
      <c r="F2827" s="29" t="n"/>
      <c r="G2827" s="28" t="n"/>
      <c r="H2827" s="1" t="n"/>
      <c r="I2827">
        <f>IF(OR(B2827="",C2827=""),"",B2827+MOD(C2827,1))</f>
        <v/>
      </c>
      <c r="J2827">
        <f>IF(I2827="","",IF(B2827=Dashboard!$AA$1,I2827,""))</f>
        <v/>
      </c>
    </row>
    <row r="2828">
      <c r="A2828" s="1" t="n"/>
      <c r="B2828" s="26" t="n"/>
      <c r="C2828" s="27" t="n"/>
      <c r="D2828" s="28" t="n"/>
      <c r="E2828" s="29" t="n"/>
      <c r="F2828" s="29" t="n"/>
      <c r="G2828" s="28" t="n"/>
      <c r="H2828" s="1" t="n"/>
      <c r="I2828">
        <f>IF(OR(B2828="",C2828=""),"",B2828+MOD(C2828,1))</f>
        <v/>
      </c>
      <c r="J2828">
        <f>IF(I2828="","",IF(B2828=Dashboard!$AA$1,I2828,""))</f>
        <v/>
      </c>
    </row>
    <row r="2829">
      <c r="A2829" s="1" t="n"/>
      <c r="B2829" s="26" t="n"/>
      <c r="C2829" s="27" t="n"/>
      <c r="D2829" s="28" t="n"/>
      <c r="E2829" s="29" t="n"/>
      <c r="F2829" s="29" t="n"/>
      <c r="G2829" s="28" t="n"/>
      <c r="H2829" s="1" t="n"/>
      <c r="I2829">
        <f>IF(OR(B2829="",C2829=""),"",B2829+MOD(C2829,1))</f>
        <v/>
      </c>
      <c r="J2829">
        <f>IF(I2829="","",IF(B2829=Dashboard!$AA$1,I2829,""))</f>
        <v/>
      </c>
    </row>
    <row r="2830">
      <c r="A2830" s="1" t="n"/>
      <c r="B2830" s="26" t="n"/>
      <c r="C2830" s="27" t="n"/>
      <c r="D2830" s="28" t="n"/>
      <c r="E2830" s="29" t="n"/>
      <c r="F2830" s="29" t="n"/>
      <c r="G2830" s="28" t="n"/>
      <c r="H2830" s="1" t="n"/>
      <c r="I2830">
        <f>IF(OR(B2830="",C2830=""),"",B2830+MOD(C2830,1))</f>
        <v/>
      </c>
      <c r="J2830">
        <f>IF(I2830="","",IF(B2830=Dashboard!$AA$1,I2830,""))</f>
        <v/>
      </c>
    </row>
    <row r="2831">
      <c r="A2831" s="1" t="n"/>
      <c r="B2831" s="26" t="n"/>
      <c r="C2831" s="27" t="n"/>
      <c r="D2831" s="28" t="n"/>
      <c r="E2831" s="29" t="n"/>
      <c r="F2831" s="29" t="n"/>
      <c r="G2831" s="28" t="n"/>
      <c r="H2831" s="1" t="n"/>
      <c r="I2831">
        <f>IF(OR(B2831="",C2831=""),"",B2831+MOD(C2831,1))</f>
        <v/>
      </c>
      <c r="J2831">
        <f>IF(I2831="","",IF(B2831=Dashboard!$AA$1,I2831,""))</f>
        <v/>
      </c>
    </row>
    <row r="2832">
      <c r="A2832" s="1" t="n"/>
      <c r="B2832" s="26" t="n"/>
      <c r="C2832" s="27" t="n"/>
      <c r="D2832" s="28" t="n"/>
      <c r="E2832" s="29" t="n"/>
      <c r="F2832" s="29" t="n"/>
      <c r="G2832" s="28" t="n"/>
      <c r="H2832" s="1" t="n"/>
      <c r="I2832">
        <f>IF(OR(B2832="",C2832=""),"",B2832+MOD(C2832,1))</f>
        <v/>
      </c>
      <c r="J2832">
        <f>IF(I2832="","",IF(B2832=Dashboard!$AA$1,I2832,""))</f>
        <v/>
      </c>
    </row>
    <row r="2833">
      <c r="A2833" s="1" t="n"/>
      <c r="B2833" s="26" t="n"/>
      <c r="C2833" s="27" t="n"/>
      <c r="D2833" s="28" t="n"/>
      <c r="E2833" s="29" t="n"/>
      <c r="F2833" s="29" t="n"/>
      <c r="G2833" s="28" t="n"/>
      <c r="H2833" s="1" t="n"/>
      <c r="I2833">
        <f>IF(OR(B2833="",C2833=""),"",B2833+MOD(C2833,1))</f>
        <v/>
      </c>
      <c r="J2833">
        <f>IF(I2833="","",IF(B2833=Dashboard!$AA$1,I2833,""))</f>
        <v/>
      </c>
    </row>
    <row r="2834">
      <c r="A2834" s="1" t="n"/>
      <c r="B2834" s="26" t="n"/>
      <c r="C2834" s="27" t="n"/>
      <c r="D2834" s="28" t="n"/>
      <c r="E2834" s="29" t="n"/>
      <c r="F2834" s="29" t="n"/>
      <c r="G2834" s="28" t="n"/>
      <c r="H2834" s="1" t="n"/>
      <c r="I2834">
        <f>IF(OR(B2834="",C2834=""),"",B2834+MOD(C2834,1))</f>
        <v/>
      </c>
      <c r="J2834">
        <f>IF(I2834="","",IF(B2834=Dashboard!$AA$1,I2834,""))</f>
        <v/>
      </c>
    </row>
    <row r="2835">
      <c r="A2835" s="1" t="n"/>
      <c r="B2835" s="26" t="n"/>
      <c r="C2835" s="27" t="n"/>
      <c r="D2835" s="28" t="n"/>
      <c r="E2835" s="29" t="n"/>
      <c r="F2835" s="29" t="n"/>
      <c r="G2835" s="28" t="n"/>
      <c r="H2835" s="1" t="n"/>
      <c r="I2835">
        <f>IF(OR(B2835="",C2835=""),"",B2835+MOD(C2835,1))</f>
        <v/>
      </c>
      <c r="J2835">
        <f>IF(I2835="","",IF(B2835=Dashboard!$AA$1,I2835,""))</f>
        <v/>
      </c>
    </row>
    <row r="2836">
      <c r="A2836" s="1" t="n"/>
      <c r="B2836" s="26" t="n"/>
      <c r="C2836" s="27" t="n"/>
      <c r="D2836" s="28" t="n"/>
      <c r="E2836" s="29" t="n"/>
      <c r="F2836" s="29" t="n"/>
      <c r="G2836" s="28" t="n"/>
      <c r="H2836" s="1" t="n"/>
      <c r="I2836">
        <f>IF(OR(B2836="",C2836=""),"",B2836+MOD(C2836,1))</f>
        <v/>
      </c>
      <c r="J2836">
        <f>IF(I2836="","",IF(B2836=Dashboard!$AA$1,I2836,""))</f>
        <v/>
      </c>
    </row>
    <row r="2837">
      <c r="A2837" s="1" t="n"/>
      <c r="B2837" s="26" t="n"/>
      <c r="C2837" s="27" t="n"/>
      <c r="D2837" s="28" t="n"/>
      <c r="E2837" s="29" t="n"/>
      <c r="F2837" s="29" t="n"/>
      <c r="G2837" s="28" t="n"/>
      <c r="H2837" s="1" t="n"/>
      <c r="I2837">
        <f>IF(OR(B2837="",C2837=""),"",B2837+MOD(C2837,1))</f>
        <v/>
      </c>
      <c r="J2837">
        <f>IF(I2837="","",IF(B2837=Dashboard!$AA$1,I2837,""))</f>
        <v/>
      </c>
    </row>
    <row r="2838">
      <c r="A2838" s="1" t="n"/>
      <c r="B2838" s="26" t="n"/>
      <c r="C2838" s="27" t="n"/>
      <c r="D2838" s="28" t="n"/>
      <c r="E2838" s="29" t="n"/>
      <c r="F2838" s="29" t="n"/>
      <c r="G2838" s="28" t="n"/>
      <c r="H2838" s="1" t="n"/>
      <c r="I2838">
        <f>IF(OR(B2838="",C2838=""),"",B2838+MOD(C2838,1))</f>
        <v/>
      </c>
      <c r="J2838">
        <f>IF(I2838="","",IF(B2838=Dashboard!$AA$1,I2838,""))</f>
        <v/>
      </c>
    </row>
    <row r="2839">
      <c r="A2839" s="1" t="n"/>
      <c r="B2839" s="26" t="n"/>
      <c r="C2839" s="27" t="n"/>
      <c r="D2839" s="28" t="n"/>
      <c r="E2839" s="29" t="n"/>
      <c r="F2839" s="29" t="n"/>
      <c r="G2839" s="28" t="n"/>
      <c r="H2839" s="1" t="n"/>
      <c r="I2839">
        <f>IF(OR(B2839="",C2839=""),"",B2839+MOD(C2839,1))</f>
        <v/>
      </c>
      <c r="J2839">
        <f>IF(I2839="","",IF(B2839=Dashboard!$AA$1,I2839,""))</f>
        <v/>
      </c>
    </row>
    <row r="2840">
      <c r="A2840" s="1" t="n"/>
      <c r="B2840" s="26" t="n"/>
      <c r="C2840" s="27" t="n"/>
      <c r="D2840" s="28" t="n"/>
      <c r="E2840" s="29" t="n"/>
      <c r="F2840" s="29" t="n"/>
      <c r="G2840" s="28" t="n"/>
      <c r="H2840" s="1" t="n"/>
      <c r="I2840">
        <f>IF(OR(B2840="",C2840=""),"",B2840+MOD(C2840,1))</f>
        <v/>
      </c>
      <c r="J2840">
        <f>IF(I2840="","",IF(B2840=Dashboard!$AA$1,I2840,""))</f>
        <v/>
      </c>
    </row>
    <row r="2841">
      <c r="A2841" s="1" t="n"/>
      <c r="B2841" s="26" t="n"/>
      <c r="C2841" s="27" t="n"/>
      <c r="D2841" s="28" t="n"/>
      <c r="E2841" s="29" t="n"/>
      <c r="F2841" s="29" t="n"/>
      <c r="G2841" s="28" t="n"/>
      <c r="H2841" s="1" t="n"/>
      <c r="I2841">
        <f>IF(OR(B2841="",C2841=""),"",B2841+MOD(C2841,1))</f>
        <v/>
      </c>
      <c r="J2841">
        <f>IF(I2841="","",IF(B2841=Dashboard!$AA$1,I2841,""))</f>
        <v/>
      </c>
    </row>
    <row r="2842">
      <c r="A2842" s="1" t="n"/>
      <c r="B2842" s="26" t="n"/>
      <c r="C2842" s="27" t="n"/>
      <c r="D2842" s="28" t="n"/>
      <c r="E2842" s="29" t="n"/>
      <c r="F2842" s="29" t="n"/>
      <c r="G2842" s="28" t="n"/>
      <c r="H2842" s="1" t="n"/>
      <c r="I2842">
        <f>IF(OR(B2842="",C2842=""),"",B2842+MOD(C2842,1))</f>
        <v/>
      </c>
      <c r="J2842">
        <f>IF(I2842="","",IF(B2842=Dashboard!$AA$1,I2842,""))</f>
        <v/>
      </c>
    </row>
    <row r="2843">
      <c r="A2843" s="1" t="n"/>
      <c r="B2843" s="26" t="n"/>
      <c r="C2843" s="27" t="n"/>
      <c r="D2843" s="28" t="n"/>
      <c r="E2843" s="29" t="n"/>
      <c r="F2843" s="29" t="n"/>
      <c r="G2843" s="28" t="n"/>
      <c r="H2843" s="1" t="n"/>
      <c r="I2843">
        <f>IF(OR(B2843="",C2843=""),"",B2843+MOD(C2843,1))</f>
        <v/>
      </c>
      <c r="J2843">
        <f>IF(I2843="","",IF(B2843=Dashboard!$AA$1,I2843,""))</f>
        <v/>
      </c>
    </row>
    <row r="2844">
      <c r="A2844" s="1" t="n"/>
      <c r="B2844" s="26" t="n"/>
      <c r="C2844" s="27" t="n"/>
      <c r="D2844" s="28" t="n"/>
      <c r="E2844" s="29" t="n"/>
      <c r="F2844" s="29" t="n"/>
      <c r="G2844" s="28" t="n"/>
      <c r="H2844" s="1" t="n"/>
      <c r="I2844">
        <f>IF(OR(B2844="",C2844=""),"",B2844+MOD(C2844,1))</f>
        <v/>
      </c>
      <c r="J2844">
        <f>IF(I2844="","",IF(B2844=Dashboard!$AA$1,I2844,""))</f>
        <v/>
      </c>
    </row>
    <row r="2845">
      <c r="A2845" s="1" t="n"/>
      <c r="B2845" s="26" t="n"/>
      <c r="C2845" s="27" t="n"/>
      <c r="D2845" s="28" t="n"/>
      <c r="E2845" s="29" t="n"/>
      <c r="F2845" s="29" t="n"/>
      <c r="G2845" s="28" t="n"/>
      <c r="H2845" s="1" t="n"/>
      <c r="I2845">
        <f>IF(OR(B2845="",C2845=""),"",B2845+MOD(C2845,1))</f>
        <v/>
      </c>
      <c r="J2845">
        <f>IF(I2845="","",IF(B2845=Dashboard!$AA$1,I2845,""))</f>
        <v/>
      </c>
    </row>
    <row r="2846">
      <c r="A2846" s="1" t="n"/>
      <c r="B2846" s="26" t="n"/>
      <c r="C2846" s="27" t="n"/>
      <c r="D2846" s="28" t="n"/>
      <c r="E2846" s="29" t="n"/>
      <c r="F2846" s="29" t="n"/>
      <c r="G2846" s="28" t="n"/>
      <c r="H2846" s="1" t="n"/>
      <c r="I2846">
        <f>IF(OR(B2846="",C2846=""),"",B2846+MOD(C2846,1))</f>
        <v/>
      </c>
      <c r="J2846">
        <f>IF(I2846="","",IF(B2846=Dashboard!$AA$1,I2846,""))</f>
        <v/>
      </c>
    </row>
    <row r="2847">
      <c r="A2847" s="1" t="n"/>
      <c r="B2847" s="26" t="n"/>
      <c r="C2847" s="27" t="n"/>
      <c r="D2847" s="28" t="n"/>
      <c r="E2847" s="29" t="n"/>
      <c r="F2847" s="29" t="n"/>
      <c r="G2847" s="28" t="n"/>
      <c r="H2847" s="1" t="n"/>
      <c r="I2847">
        <f>IF(OR(B2847="",C2847=""),"",B2847+MOD(C2847,1))</f>
        <v/>
      </c>
      <c r="J2847">
        <f>IF(I2847="","",IF(B2847=Dashboard!$AA$1,I2847,""))</f>
        <v/>
      </c>
    </row>
    <row r="2848">
      <c r="A2848" s="1" t="n"/>
      <c r="B2848" s="26" t="n"/>
      <c r="C2848" s="27" t="n"/>
      <c r="D2848" s="28" t="n"/>
      <c r="E2848" s="29" t="n"/>
      <c r="F2848" s="29" t="n"/>
      <c r="G2848" s="28" t="n"/>
      <c r="H2848" s="1" t="n"/>
      <c r="I2848">
        <f>IF(OR(B2848="",C2848=""),"",B2848+MOD(C2848,1))</f>
        <v/>
      </c>
      <c r="J2848">
        <f>IF(I2848="","",IF(B2848=Dashboard!$AA$1,I2848,""))</f>
        <v/>
      </c>
    </row>
    <row r="2849">
      <c r="A2849" s="1" t="n"/>
      <c r="B2849" s="26" t="n"/>
      <c r="C2849" s="27" t="n"/>
      <c r="D2849" s="28" t="n"/>
      <c r="E2849" s="29" t="n"/>
      <c r="F2849" s="29" t="n"/>
      <c r="G2849" s="28" t="n"/>
      <c r="H2849" s="1" t="n"/>
      <c r="I2849">
        <f>IF(OR(B2849="",C2849=""),"",B2849+MOD(C2849,1))</f>
        <v/>
      </c>
      <c r="J2849">
        <f>IF(I2849="","",IF(B2849=Dashboard!$AA$1,I2849,""))</f>
        <v/>
      </c>
    </row>
    <row r="2850">
      <c r="A2850" s="1" t="n"/>
      <c r="B2850" s="26" t="n"/>
      <c r="C2850" s="27" t="n"/>
      <c r="D2850" s="28" t="n"/>
      <c r="E2850" s="29" t="n"/>
      <c r="F2850" s="29" t="n"/>
      <c r="G2850" s="28" t="n"/>
      <c r="H2850" s="1" t="n"/>
      <c r="I2850">
        <f>IF(OR(B2850="",C2850=""),"",B2850+MOD(C2850,1))</f>
        <v/>
      </c>
      <c r="J2850">
        <f>IF(I2850="","",IF(B2850=Dashboard!$AA$1,I2850,""))</f>
        <v/>
      </c>
    </row>
    <row r="2851">
      <c r="A2851" s="1" t="n"/>
      <c r="B2851" s="26" t="n"/>
      <c r="C2851" s="27" t="n"/>
      <c r="D2851" s="28" t="n"/>
      <c r="E2851" s="29" t="n"/>
      <c r="F2851" s="29" t="n"/>
      <c r="G2851" s="28" t="n"/>
      <c r="H2851" s="1" t="n"/>
      <c r="I2851">
        <f>IF(OR(B2851="",C2851=""),"",B2851+MOD(C2851,1))</f>
        <v/>
      </c>
      <c r="J2851">
        <f>IF(I2851="","",IF(B2851=Dashboard!$AA$1,I2851,""))</f>
        <v/>
      </c>
    </row>
    <row r="2852">
      <c r="A2852" s="1" t="n"/>
      <c r="B2852" s="26" t="n"/>
      <c r="C2852" s="27" t="n"/>
      <c r="D2852" s="28" t="n"/>
      <c r="E2852" s="29" t="n"/>
      <c r="F2852" s="29" t="n"/>
      <c r="G2852" s="28" t="n"/>
      <c r="H2852" s="1" t="n"/>
      <c r="I2852">
        <f>IF(OR(B2852="",C2852=""),"",B2852+MOD(C2852,1))</f>
        <v/>
      </c>
      <c r="J2852">
        <f>IF(I2852="","",IF(B2852=Dashboard!$AA$1,I2852,""))</f>
        <v/>
      </c>
    </row>
    <row r="2853">
      <c r="A2853" s="1" t="n"/>
      <c r="B2853" s="26" t="n"/>
      <c r="C2853" s="27" t="n"/>
      <c r="D2853" s="28" t="n"/>
      <c r="E2853" s="29" t="n"/>
      <c r="F2853" s="29" t="n"/>
      <c r="G2853" s="28" t="n"/>
      <c r="H2853" s="1" t="n"/>
      <c r="I2853">
        <f>IF(OR(B2853="",C2853=""),"",B2853+MOD(C2853,1))</f>
        <v/>
      </c>
      <c r="J2853">
        <f>IF(I2853="","",IF(B2853=Dashboard!$AA$1,I2853,""))</f>
        <v/>
      </c>
    </row>
    <row r="2854">
      <c r="A2854" s="1" t="n"/>
      <c r="B2854" s="26" t="n"/>
      <c r="C2854" s="27" t="n"/>
      <c r="D2854" s="28" t="n"/>
      <c r="E2854" s="29" t="n"/>
      <c r="F2854" s="29" t="n"/>
      <c r="G2854" s="28" t="n"/>
      <c r="H2854" s="1" t="n"/>
      <c r="I2854">
        <f>IF(OR(B2854="",C2854=""),"",B2854+MOD(C2854,1))</f>
        <v/>
      </c>
      <c r="J2854">
        <f>IF(I2854="","",IF(B2854=Dashboard!$AA$1,I2854,""))</f>
        <v/>
      </c>
    </row>
    <row r="2855">
      <c r="A2855" s="1" t="n"/>
      <c r="B2855" s="26" t="n"/>
      <c r="C2855" s="27" t="n"/>
      <c r="D2855" s="28" t="n"/>
      <c r="E2855" s="29" t="n"/>
      <c r="F2855" s="29" t="n"/>
      <c r="G2855" s="28" t="n"/>
      <c r="H2855" s="1" t="n"/>
      <c r="I2855">
        <f>IF(OR(B2855="",C2855=""),"",B2855+MOD(C2855,1))</f>
        <v/>
      </c>
      <c r="J2855">
        <f>IF(I2855="","",IF(B2855=Dashboard!$AA$1,I2855,""))</f>
        <v/>
      </c>
    </row>
    <row r="2856">
      <c r="A2856" s="1" t="n"/>
      <c r="B2856" s="26" t="n"/>
      <c r="C2856" s="27" t="n"/>
      <c r="D2856" s="28" t="n"/>
      <c r="E2856" s="29" t="n"/>
      <c r="F2856" s="29" t="n"/>
      <c r="G2856" s="28" t="n"/>
      <c r="H2856" s="1" t="n"/>
      <c r="I2856">
        <f>IF(OR(B2856="",C2856=""),"",B2856+MOD(C2856,1))</f>
        <v/>
      </c>
      <c r="J2856">
        <f>IF(I2856="","",IF(B2856=Dashboard!$AA$1,I2856,""))</f>
        <v/>
      </c>
    </row>
    <row r="2857">
      <c r="A2857" s="1" t="n"/>
      <c r="B2857" s="26" t="n"/>
      <c r="C2857" s="27" t="n"/>
      <c r="D2857" s="28" t="n"/>
      <c r="E2857" s="29" t="n"/>
      <c r="F2857" s="29" t="n"/>
      <c r="G2857" s="28" t="n"/>
      <c r="H2857" s="1" t="n"/>
      <c r="I2857">
        <f>IF(OR(B2857="",C2857=""),"",B2857+MOD(C2857,1))</f>
        <v/>
      </c>
      <c r="J2857">
        <f>IF(I2857="","",IF(B2857=Dashboard!$AA$1,I2857,""))</f>
        <v/>
      </c>
    </row>
    <row r="2858">
      <c r="A2858" s="1" t="n"/>
      <c r="B2858" s="26" t="n"/>
      <c r="C2858" s="27" t="n"/>
      <c r="D2858" s="28" t="n"/>
      <c r="E2858" s="29" t="n"/>
      <c r="F2858" s="29" t="n"/>
      <c r="G2858" s="28" t="n"/>
      <c r="H2858" s="1" t="n"/>
      <c r="I2858">
        <f>IF(OR(B2858="",C2858=""),"",B2858+MOD(C2858,1))</f>
        <v/>
      </c>
      <c r="J2858">
        <f>IF(I2858="","",IF(B2858=Dashboard!$AA$1,I2858,""))</f>
        <v/>
      </c>
    </row>
    <row r="2859">
      <c r="A2859" s="1" t="n"/>
      <c r="B2859" s="26" t="n"/>
      <c r="C2859" s="27" t="n"/>
      <c r="D2859" s="28" t="n"/>
      <c r="E2859" s="29" t="n"/>
      <c r="F2859" s="29" t="n"/>
      <c r="G2859" s="28" t="n"/>
      <c r="H2859" s="1" t="n"/>
      <c r="I2859">
        <f>IF(OR(B2859="",C2859=""),"",B2859+MOD(C2859,1))</f>
        <v/>
      </c>
      <c r="J2859">
        <f>IF(I2859="","",IF(B2859=Dashboard!$AA$1,I2859,""))</f>
        <v/>
      </c>
    </row>
    <row r="2860">
      <c r="A2860" s="1" t="n"/>
      <c r="B2860" s="26" t="n"/>
      <c r="C2860" s="27" t="n"/>
      <c r="D2860" s="28" t="n"/>
      <c r="E2860" s="29" t="n"/>
      <c r="F2860" s="29" t="n"/>
      <c r="G2860" s="28" t="n"/>
      <c r="H2860" s="1" t="n"/>
      <c r="I2860">
        <f>IF(OR(B2860="",C2860=""),"",B2860+MOD(C2860,1))</f>
        <v/>
      </c>
      <c r="J2860">
        <f>IF(I2860="","",IF(B2860=Dashboard!$AA$1,I2860,""))</f>
        <v/>
      </c>
    </row>
    <row r="2861">
      <c r="A2861" s="1" t="n"/>
      <c r="B2861" s="26" t="n"/>
      <c r="C2861" s="27" t="n"/>
      <c r="D2861" s="28" t="n"/>
      <c r="E2861" s="29" t="n"/>
      <c r="F2861" s="29" t="n"/>
      <c r="G2861" s="28" t="n"/>
      <c r="H2861" s="1" t="n"/>
      <c r="I2861">
        <f>IF(OR(B2861="",C2861=""),"",B2861+MOD(C2861,1))</f>
        <v/>
      </c>
      <c r="J2861">
        <f>IF(I2861="","",IF(B2861=Dashboard!$AA$1,I2861,""))</f>
        <v/>
      </c>
    </row>
    <row r="2862">
      <c r="A2862" s="1" t="n"/>
      <c r="B2862" s="26" t="n"/>
      <c r="C2862" s="27" t="n"/>
      <c r="D2862" s="28" t="n"/>
      <c r="E2862" s="29" t="n"/>
      <c r="F2862" s="29" t="n"/>
      <c r="G2862" s="28" t="n"/>
      <c r="H2862" s="1" t="n"/>
      <c r="I2862">
        <f>IF(OR(B2862="",C2862=""),"",B2862+MOD(C2862,1))</f>
        <v/>
      </c>
      <c r="J2862">
        <f>IF(I2862="","",IF(B2862=Dashboard!$AA$1,I2862,""))</f>
        <v/>
      </c>
    </row>
    <row r="2863">
      <c r="A2863" s="1" t="n"/>
      <c r="B2863" s="26" t="n"/>
      <c r="C2863" s="27" t="n"/>
      <c r="D2863" s="28" t="n"/>
      <c r="E2863" s="29" t="n"/>
      <c r="F2863" s="29" t="n"/>
      <c r="G2863" s="28" t="n"/>
      <c r="H2863" s="1" t="n"/>
      <c r="I2863">
        <f>IF(OR(B2863="",C2863=""),"",B2863+MOD(C2863,1))</f>
        <v/>
      </c>
      <c r="J2863">
        <f>IF(I2863="","",IF(B2863=Dashboard!$AA$1,I2863,""))</f>
        <v/>
      </c>
    </row>
    <row r="2864">
      <c r="A2864" s="1" t="n"/>
      <c r="B2864" s="26" t="n"/>
      <c r="C2864" s="27" t="n"/>
      <c r="D2864" s="28" t="n"/>
      <c r="E2864" s="29" t="n"/>
      <c r="F2864" s="29" t="n"/>
      <c r="G2864" s="28" t="n"/>
      <c r="H2864" s="1" t="n"/>
      <c r="I2864">
        <f>IF(OR(B2864="",C2864=""),"",B2864+MOD(C2864,1))</f>
        <v/>
      </c>
      <c r="J2864">
        <f>IF(I2864="","",IF(B2864=Dashboard!$AA$1,I2864,""))</f>
        <v/>
      </c>
    </row>
    <row r="2865">
      <c r="A2865" s="1" t="n"/>
      <c r="B2865" s="26" t="n"/>
      <c r="C2865" s="27" t="n"/>
      <c r="D2865" s="28" t="n"/>
      <c r="E2865" s="29" t="n"/>
      <c r="F2865" s="29" t="n"/>
      <c r="G2865" s="28" t="n"/>
      <c r="H2865" s="1" t="n"/>
      <c r="I2865">
        <f>IF(OR(B2865="",C2865=""),"",B2865+MOD(C2865,1))</f>
        <v/>
      </c>
      <c r="J2865">
        <f>IF(I2865="","",IF(B2865=Dashboard!$AA$1,I2865,""))</f>
        <v/>
      </c>
    </row>
    <row r="2866">
      <c r="A2866" s="1" t="n"/>
      <c r="B2866" s="26" t="n"/>
      <c r="C2866" s="27" t="n"/>
      <c r="D2866" s="28" t="n"/>
      <c r="E2866" s="29" t="n"/>
      <c r="F2866" s="29" t="n"/>
      <c r="G2866" s="28" t="n"/>
      <c r="H2866" s="1" t="n"/>
      <c r="I2866">
        <f>IF(OR(B2866="",C2866=""),"",B2866+MOD(C2866,1))</f>
        <v/>
      </c>
      <c r="J2866">
        <f>IF(I2866="","",IF(B2866=Dashboard!$AA$1,I2866,""))</f>
        <v/>
      </c>
    </row>
    <row r="2867">
      <c r="A2867" s="1" t="n"/>
      <c r="B2867" s="26" t="n"/>
      <c r="C2867" s="27" t="n"/>
      <c r="D2867" s="28" t="n"/>
      <c r="E2867" s="29" t="n"/>
      <c r="F2867" s="29" t="n"/>
      <c r="G2867" s="28" t="n"/>
      <c r="H2867" s="1" t="n"/>
      <c r="I2867">
        <f>IF(OR(B2867="",C2867=""),"",B2867+MOD(C2867,1))</f>
        <v/>
      </c>
      <c r="J2867">
        <f>IF(I2867="","",IF(B2867=Dashboard!$AA$1,I2867,""))</f>
        <v/>
      </c>
    </row>
    <row r="2868">
      <c r="A2868" s="1" t="n"/>
      <c r="B2868" s="26" t="n"/>
      <c r="C2868" s="27" t="n"/>
      <c r="D2868" s="28" t="n"/>
      <c r="E2868" s="29" t="n"/>
      <c r="F2868" s="29" t="n"/>
      <c r="G2868" s="28" t="n"/>
      <c r="H2868" s="1" t="n"/>
      <c r="I2868">
        <f>IF(OR(B2868="",C2868=""),"",B2868+MOD(C2868,1))</f>
        <v/>
      </c>
      <c r="J2868">
        <f>IF(I2868="","",IF(B2868=Dashboard!$AA$1,I2868,""))</f>
        <v/>
      </c>
    </row>
    <row r="2869">
      <c r="A2869" s="1" t="n"/>
      <c r="B2869" s="26" t="n"/>
      <c r="C2869" s="27" t="n"/>
      <c r="D2869" s="28" t="n"/>
      <c r="E2869" s="29" t="n"/>
      <c r="F2869" s="29" t="n"/>
      <c r="G2869" s="28" t="n"/>
      <c r="H2869" s="1" t="n"/>
      <c r="I2869">
        <f>IF(OR(B2869="",C2869=""),"",B2869+MOD(C2869,1))</f>
        <v/>
      </c>
      <c r="J2869">
        <f>IF(I2869="","",IF(B2869=Dashboard!$AA$1,I2869,""))</f>
        <v/>
      </c>
    </row>
    <row r="2870">
      <c r="A2870" s="1" t="n"/>
      <c r="B2870" s="26" t="n"/>
      <c r="C2870" s="27" t="n"/>
      <c r="D2870" s="28" t="n"/>
      <c r="E2870" s="29" t="n"/>
      <c r="F2870" s="29" t="n"/>
      <c r="G2870" s="28" t="n"/>
      <c r="H2870" s="1" t="n"/>
      <c r="I2870">
        <f>IF(OR(B2870="",C2870=""),"",B2870+MOD(C2870,1))</f>
        <v/>
      </c>
      <c r="J2870">
        <f>IF(I2870="","",IF(B2870=Dashboard!$AA$1,I2870,""))</f>
        <v/>
      </c>
    </row>
    <row r="2871">
      <c r="A2871" s="1" t="n"/>
      <c r="B2871" s="26" t="n"/>
      <c r="C2871" s="27" t="n"/>
      <c r="D2871" s="28" t="n"/>
      <c r="E2871" s="29" t="n"/>
      <c r="F2871" s="29" t="n"/>
      <c r="G2871" s="28" t="n"/>
      <c r="H2871" s="1" t="n"/>
      <c r="I2871">
        <f>IF(OR(B2871="",C2871=""),"",B2871+MOD(C2871,1))</f>
        <v/>
      </c>
      <c r="J2871">
        <f>IF(I2871="","",IF(B2871=Dashboard!$AA$1,I2871,""))</f>
        <v/>
      </c>
    </row>
    <row r="2872">
      <c r="A2872" s="1" t="n"/>
      <c r="B2872" s="26" t="n"/>
      <c r="C2872" s="27" t="n"/>
      <c r="D2872" s="28" t="n"/>
      <c r="E2872" s="29" t="n"/>
      <c r="F2872" s="29" t="n"/>
      <c r="G2872" s="28" t="n"/>
      <c r="H2872" s="1" t="n"/>
      <c r="I2872">
        <f>IF(OR(B2872="",C2872=""),"",B2872+MOD(C2872,1))</f>
        <v/>
      </c>
      <c r="J2872">
        <f>IF(I2872="","",IF(B2872=Dashboard!$AA$1,I2872,""))</f>
        <v/>
      </c>
    </row>
    <row r="2873">
      <c r="A2873" s="1" t="n"/>
      <c r="B2873" s="26" t="n"/>
      <c r="C2873" s="27" t="n"/>
      <c r="D2873" s="28" t="n"/>
      <c r="E2873" s="29" t="n"/>
      <c r="F2873" s="29" t="n"/>
      <c r="G2873" s="28" t="n"/>
      <c r="H2873" s="1" t="n"/>
      <c r="I2873">
        <f>IF(OR(B2873="",C2873=""),"",B2873+MOD(C2873,1))</f>
        <v/>
      </c>
      <c r="J2873">
        <f>IF(I2873="","",IF(B2873=Dashboard!$AA$1,I2873,""))</f>
        <v/>
      </c>
    </row>
    <row r="2874">
      <c r="A2874" s="1" t="n"/>
      <c r="B2874" s="26" t="n"/>
      <c r="C2874" s="27" t="n"/>
      <c r="D2874" s="28" t="n"/>
      <c r="E2874" s="29" t="n"/>
      <c r="F2874" s="29" t="n"/>
      <c r="G2874" s="28" t="n"/>
      <c r="H2874" s="1" t="n"/>
      <c r="I2874">
        <f>IF(OR(B2874="",C2874=""),"",B2874+MOD(C2874,1))</f>
        <v/>
      </c>
      <c r="J2874">
        <f>IF(I2874="","",IF(B2874=Dashboard!$AA$1,I2874,""))</f>
        <v/>
      </c>
    </row>
    <row r="2875">
      <c r="A2875" s="1" t="n"/>
      <c r="B2875" s="26" t="n"/>
      <c r="C2875" s="27" t="n"/>
      <c r="D2875" s="28" t="n"/>
      <c r="E2875" s="29" t="n"/>
      <c r="F2875" s="29" t="n"/>
      <c r="G2875" s="28" t="n"/>
      <c r="H2875" s="1" t="n"/>
      <c r="I2875">
        <f>IF(OR(B2875="",C2875=""),"",B2875+MOD(C2875,1))</f>
        <v/>
      </c>
      <c r="J2875">
        <f>IF(I2875="","",IF(B2875=Dashboard!$AA$1,I2875,""))</f>
        <v/>
      </c>
    </row>
    <row r="2876">
      <c r="A2876" s="1" t="n"/>
      <c r="B2876" s="26" t="n"/>
      <c r="C2876" s="27" t="n"/>
      <c r="D2876" s="28" t="n"/>
      <c r="E2876" s="29" t="n"/>
      <c r="F2876" s="29" t="n"/>
      <c r="G2876" s="28" t="n"/>
      <c r="H2876" s="1" t="n"/>
      <c r="I2876">
        <f>IF(OR(B2876="",C2876=""),"",B2876+MOD(C2876,1))</f>
        <v/>
      </c>
      <c r="J2876">
        <f>IF(I2876="","",IF(B2876=Dashboard!$AA$1,I2876,""))</f>
        <v/>
      </c>
    </row>
    <row r="2877">
      <c r="A2877" s="1" t="n"/>
      <c r="B2877" s="26" t="n"/>
      <c r="C2877" s="27" t="n"/>
      <c r="D2877" s="28" t="n"/>
      <c r="E2877" s="29" t="n"/>
      <c r="F2877" s="29" t="n"/>
      <c r="G2877" s="28" t="n"/>
      <c r="H2877" s="1" t="n"/>
      <c r="I2877">
        <f>IF(OR(B2877="",C2877=""),"",B2877+MOD(C2877,1))</f>
        <v/>
      </c>
      <c r="J2877">
        <f>IF(I2877="","",IF(B2877=Dashboard!$AA$1,I2877,""))</f>
        <v/>
      </c>
    </row>
    <row r="2878">
      <c r="A2878" s="1" t="n"/>
      <c r="B2878" s="26" t="n"/>
      <c r="C2878" s="27" t="n"/>
      <c r="D2878" s="28" t="n"/>
      <c r="E2878" s="29" t="n"/>
      <c r="F2878" s="29" t="n"/>
      <c r="G2878" s="28" t="n"/>
      <c r="H2878" s="1" t="n"/>
      <c r="I2878">
        <f>IF(OR(B2878="",C2878=""),"",B2878+MOD(C2878,1))</f>
        <v/>
      </c>
      <c r="J2878">
        <f>IF(I2878="","",IF(B2878=Dashboard!$AA$1,I2878,""))</f>
        <v/>
      </c>
    </row>
    <row r="2879">
      <c r="A2879" s="1" t="n"/>
      <c r="B2879" s="26" t="n"/>
      <c r="C2879" s="27" t="n"/>
      <c r="D2879" s="28" t="n"/>
      <c r="E2879" s="29" t="n"/>
      <c r="F2879" s="29" t="n"/>
      <c r="G2879" s="28" t="n"/>
      <c r="H2879" s="1" t="n"/>
      <c r="I2879">
        <f>IF(OR(B2879="",C2879=""),"",B2879+MOD(C2879,1))</f>
        <v/>
      </c>
      <c r="J2879">
        <f>IF(I2879="","",IF(B2879=Dashboard!$AA$1,I2879,""))</f>
        <v/>
      </c>
    </row>
    <row r="2880">
      <c r="A2880" s="1" t="n"/>
      <c r="B2880" s="26" t="n"/>
      <c r="C2880" s="27" t="n"/>
      <c r="D2880" s="28" t="n"/>
      <c r="E2880" s="29" t="n"/>
      <c r="F2880" s="29" t="n"/>
      <c r="G2880" s="28" t="n"/>
      <c r="H2880" s="1" t="n"/>
      <c r="I2880">
        <f>IF(OR(B2880="",C2880=""),"",B2880+MOD(C2880,1))</f>
        <v/>
      </c>
      <c r="J2880">
        <f>IF(I2880="","",IF(B2880=Dashboard!$AA$1,I2880,""))</f>
        <v/>
      </c>
    </row>
    <row r="2881">
      <c r="A2881" s="1" t="n"/>
      <c r="B2881" s="26" t="n"/>
      <c r="C2881" s="27" t="n"/>
      <c r="D2881" s="28" t="n"/>
      <c r="E2881" s="29" t="n"/>
      <c r="F2881" s="29" t="n"/>
      <c r="G2881" s="28" t="n"/>
      <c r="H2881" s="1" t="n"/>
      <c r="I2881">
        <f>IF(OR(B2881="",C2881=""),"",B2881+MOD(C2881,1))</f>
        <v/>
      </c>
      <c r="J2881">
        <f>IF(I2881="","",IF(B2881=Dashboard!$AA$1,I2881,""))</f>
        <v/>
      </c>
    </row>
    <row r="2882">
      <c r="A2882" s="1" t="n"/>
      <c r="B2882" s="26" t="n"/>
      <c r="C2882" s="27" t="n"/>
      <c r="D2882" s="28" t="n"/>
      <c r="E2882" s="29" t="n"/>
      <c r="F2882" s="29" t="n"/>
      <c r="G2882" s="28" t="n"/>
      <c r="H2882" s="1" t="n"/>
      <c r="I2882">
        <f>IF(OR(B2882="",C2882=""),"",B2882+MOD(C2882,1))</f>
        <v/>
      </c>
      <c r="J2882">
        <f>IF(I2882="","",IF(B2882=Dashboard!$AA$1,I2882,""))</f>
        <v/>
      </c>
    </row>
    <row r="2883">
      <c r="A2883" s="1" t="n"/>
      <c r="B2883" s="26" t="n"/>
      <c r="C2883" s="27" t="n"/>
      <c r="D2883" s="28" t="n"/>
      <c r="E2883" s="29" t="n"/>
      <c r="F2883" s="29" t="n"/>
      <c r="G2883" s="28" t="n"/>
      <c r="H2883" s="1" t="n"/>
      <c r="I2883">
        <f>IF(OR(B2883="",C2883=""),"",B2883+MOD(C2883,1))</f>
        <v/>
      </c>
      <c r="J2883">
        <f>IF(I2883="","",IF(B2883=Dashboard!$AA$1,I2883,""))</f>
        <v/>
      </c>
    </row>
    <row r="2884">
      <c r="A2884" s="1" t="n"/>
      <c r="B2884" s="26" t="n"/>
      <c r="C2884" s="27" t="n"/>
      <c r="D2884" s="28" t="n"/>
      <c r="E2884" s="29" t="n"/>
      <c r="F2884" s="29" t="n"/>
      <c r="G2884" s="28" t="n"/>
      <c r="H2884" s="1" t="n"/>
      <c r="I2884">
        <f>IF(OR(B2884="",C2884=""),"",B2884+MOD(C2884,1))</f>
        <v/>
      </c>
      <c r="J2884">
        <f>IF(I2884="","",IF(B2884=Dashboard!$AA$1,I2884,""))</f>
        <v/>
      </c>
    </row>
    <row r="2885">
      <c r="A2885" s="1" t="n"/>
      <c r="B2885" s="26" t="n"/>
      <c r="C2885" s="27" t="n"/>
      <c r="D2885" s="28" t="n"/>
      <c r="E2885" s="29" t="n"/>
      <c r="F2885" s="29" t="n"/>
      <c r="G2885" s="28" t="n"/>
      <c r="H2885" s="1" t="n"/>
      <c r="I2885">
        <f>IF(OR(B2885="",C2885=""),"",B2885+MOD(C2885,1))</f>
        <v/>
      </c>
      <c r="J2885">
        <f>IF(I2885="","",IF(B2885=Dashboard!$AA$1,I2885,""))</f>
        <v/>
      </c>
    </row>
    <row r="2886">
      <c r="A2886" s="1" t="n"/>
      <c r="B2886" s="26" t="n"/>
      <c r="C2886" s="27" t="n"/>
      <c r="D2886" s="28" t="n"/>
      <c r="E2886" s="29" t="n"/>
      <c r="F2886" s="29" t="n"/>
      <c r="G2886" s="28" t="n"/>
      <c r="H2886" s="1" t="n"/>
      <c r="I2886">
        <f>IF(OR(B2886="",C2886=""),"",B2886+MOD(C2886,1))</f>
        <v/>
      </c>
      <c r="J2886">
        <f>IF(I2886="","",IF(B2886=Dashboard!$AA$1,I2886,""))</f>
        <v/>
      </c>
    </row>
    <row r="2887">
      <c r="A2887" s="1" t="n"/>
      <c r="B2887" s="26" t="n"/>
      <c r="C2887" s="27" t="n"/>
      <c r="D2887" s="28" t="n"/>
      <c r="E2887" s="29" t="n"/>
      <c r="F2887" s="29" t="n"/>
      <c r="G2887" s="28" t="n"/>
      <c r="H2887" s="1" t="n"/>
      <c r="I2887">
        <f>IF(OR(B2887="",C2887=""),"",B2887+MOD(C2887,1))</f>
        <v/>
      </c>
      <c r="J2887">
        <f>IF(I2887="","",IF(B2887=Dashboard!$AA$1,I2887,""))</f>
        <v/>
      </c>
    </row>
    <row r="2888">
      <c r="A2888" s="1" t="n"/>
      <c r="B2888" s="26" t="n"/>
      <c r="C2888" s="27" t="n"/>
      <c r="D2888" s="28" t="n"/>
      <c r="E2888" s="29" t="n"/>
      <c r="F2888" s="29" t="n"/>
      <c r="G2888" s="28" t="n"/>
      <c r="H2888" s="1" t="n"/>
      <c r="I2888">
        <f>IF(OR(B2888="",C2888=""),"",B2888+MOD(C2888,1))</f>
        <v/>
      </c>
      <c r="J2888">
        <f>IF(I2888="","",IF(B2888=Dashboard!$AA$1,I2888,""))</f>
        <v/>
      </c>
    </row>
    <row r="2889">
      <c r="A2889" s="1" t="n"/>
      <c r="B2889" s="26" t="n"/>
      <c r="C2889" s="27" t="n"/>
      <c r="D2889" s="28" t="n"/>
      <c r="E2889" s="29" t="n"/>
      <c r="F2889" s="29" t="n"/>
      <c r="G2889" s="28" t="n"/>
      <c r="H2889" s="1" t="n"/>
      <c r="I2889">
        <f>IF(OR(B2889="",C2889=""),"",B2889+MOD(C2889,1))</f>
        <v/>
      </c>
      <c r="J2889">
        <f>IF(I2889="","",IF(B2889=Dashboard!$AA$1,I2889,""))</f>
        <v/>
      </c>
    </row>
    <row r="2890">
      <c r="A2890" s="1" t="n"/>
      <c r="B2890" s="26" t="n"/>
      <c r="C2890" s="27" t="n"/>
      <c r="D2890" s="28" t="n"/>
      <c r="E2890" s="29" t="n"/>
      <c r="F2890" s="29" t="n"/>
      <c r="G2890" s="28" t="n"/>
      <c r="H2890" s="1" t="n"/>
      <c r="I2890">
        <f>IF(OR(B2890="",C2890=""),"",B2890+MOD(C2890,1))</f>
        <v/>
      </c>
      <c r="J2890">
        <f>IF(I2890="","",IF(B2890=Dashboard!$AA$1,I2890,""))</f>
        <v/>
      </c>
    </row>
    <row r="2891">
      <c r="A2891" s="1" t="n"/>
      <c r="B2891" s="26" t="n"/>
      <c r="C2891" s="27" t="n"/>
      <c r="D2891" s="28" t="n"/>
      <c r="E2891" s="29" t="n"/>
      <c r="F2891" s="29" t="n"/>
      <c r="G2891" s="28" t="n"/>
      <c r="H2891" s="1" t="n"/>
      <c r="I2891">
        <f>IF(OR(B2891="",C2891=""),"",B2891+MOD(C2891,1))</f>
        <v/>
      </c>
      <c r="J2891">
        <f>IF(I2891="","",IF(B2891=Dashboard!$AA$1,I2891,""))</f>
        <v/>
      </c>
    </row>
    <row r="2892">
      <c r="A2892" s="1" t="n"/>
      <c r="B2892" s="26" t="n"/>
      <c r="C2892" s="27" t="n"/>
      <c r="D2892" s="28" t="n"/>
      <c r="E2892" s="29" t="n"/>
      <c r="F2892" s="29" t="n"/>
      <c r="G2892" s="28" t="n"/>
      <c r="H2892" s="1" t="n"/>
      <c r="I2892">
        <f>IF(OR(B2892="",C2892=""),"",B2892+MOD(C2892,1))</f>
        <v/>
      </c>
      <c r="J2892">
        <f>IF(I2892="","",IF(B2892=Dashboard!$AA$1,I2892,""))</f>
        <v/>
      </c>
    </row>
    <row r="2893">
      <c r="A2893" s="1" t="n"/>
      <c r="B2893" s="26" t="n"/>
      <c r="C2893" s="27" t="n"/>
      <c r="D2893" s="28" t="n"/>
      <c r="E2893" s="29" t="n"/>
      <c r="F2893" s="29" t="n"/>
      <c r="G2893" s="28" t="n"/>
      <c r="H2893" s="1" t="n"/>
      <c r="I2893">
        <f>IF(OR(B2893="",C2893=""),"",B2893+MOD(C2893,1))</f>
        <v/>
      </c>
      <c r="J2893">
        <f>IF(I2893="","",IF(B2893=Dashboard!$AA$1,I2893,""))</f>
        <v/>
      </c>
    </row>
    <row r="2894">
      <c r="A2894" s="1" t="n"/>
      <c r="B2894" s="26" t="n"/>
      <c r="C2894" s="27" t="n"/>
      <c r="D2894" s="28" t="n"/>
      <c r="E2894" s="29" t="n"/>
      <c r="F2894" s="29" t="n"/>
      <c r="G2894" s="28" t="n"/>
      <c r="H2894" s="1" t="n"/>
      <c r="I2894">
        <f>IF(OR(B2894="",C2894=""),"",B2894+MOD(C2894,1))</f>
        <v/>
      </c>
      <c r="J2894">
        <f>IF(I2894="","",IF(B2894=Dashboard!$AA$1,I2894,""))</f>
        <v/>
      </c>
    </row>
    <row r="2895">
      <c r="A2895" s="1" t="n"/>
      <c r="B2895" s="26" t="n"/>
      <c r="C2895" s="27" t="n"/>
      <c r="D2895" s="28" t="n"/>
      <c r="E2895" s="29" t="n"/>
      <c r="F2895" s="29" t="n"/>
      <c r="G2895" s="28" t="n"/>
      <c r="H2895" s="1" t="n"/>
      <c r="I2895">
        <f>IF(OR(B2895="",C2895=""),"",B2895+MOD(C2895,1))</f>
        <v/>
      </c>
      <c r="J2895">
        <f>IF(I2895="","",IF(B2895=Dashboard!$AA$1,I2895,""))</f>
        <v/>
      </c>
    </row>
    <row r="2896">
      <c r="A2896" s="1" t="n"/>
      <c r="B2896" s="26" t="n"/>
      <c r="C2896" s="27" t="n"/>
      <c r="D2896" s="28" t="n"/>
      <c r="E2896" s="29" t="n"/>
      <c r="F2896" s="29" t="n"/>
      <c r="G2896" s="28" t="n"/>
      <c r="H2896" s="1" t="n"/>
      <c r="I2896">
        <f>IF(OR(B2896="",C2896=""),"",B2896+MOD(C2896,1))</f>
        <v/>
      </c>
      <c r="J2896">
        <f>IF(I2896="","",IF(B2896=Dashboard!$AA$1,I2896,""))</f>
        <v/>
      </c>
    </row>
    <row r="2897">
      <c r="A2897" s="1" t="n"/>
      <c r="B2897" s="26" t="n"/>
      <c r="C2897" s="27" t="n"/>
      <c r="D2897" s="28" t="n"/>
      <c r="E2897" s="29" t="n"/>
      <c r="F2897" s="29" t="n"/>
      <c r="G2897" s="28" t="n"/>
      <c r="H2897" s="1" t="n"/>
      <c r="I2897">
        <f>IF(OR(B2897="",C2897=""),"",B2897+MOD(C2897,1))</f>
        <v/>
      </c>
      <c r="J2897">
        <f>IF(I2897="","",IF(B2897=Dashboard!$AA$1,I2897,""))</f>
        <v/>
      </c>
    </row>
    <row r="2898">
      <c r="A2898" s="1" t="n"/>
      <c r="B2898" s="26" t="n"/>
      <c r="C2898" s="27" t="n"/>
      <c r="D2898" s="28" t="n"/>
      <c r="E2898" s="29" t="n"/>
      <c r="F2898" s="29" t="n"/>
      <c r="G2898" s="28" t="n"/>
      <c r="H2898" s="1" t="n"/>
      <c r="I2898">
        <f>IF(OR(B2898="",C2898=""),"",B2898+MOD(C2898,1))</f>
        <v/>
      </c>
      <c r="J2898">
        <f>IF(I2898="","",IF(B2898=Dashboard!$AA$1,I2898,""))</f>
        <v/>
      </c>
    </row>
    <row r="2899">
      <c r="A2899" s="1" t="n"/>
      <c r="B2899" s="26" t="n"/>
      <c r="C2899" s="27" t="n"/>
      <c r="D2899" s="28" t="n"/>
      <c r="E2899" s="29" t="n"/>
      <c r="F2899" s="29" t="n"/>
      <c r="G2899" s="28" t="n"/>
      <c r="H2899" s="1" t="n"/>
      <c r="I2899">
        <f>IF(OR(B2899="",C2899=""),"",B2899+MOD(C2899,1))</f>
        <v/>
      </c>
      <c r="J2899">
        <f>IF(I2899="","",IF(B2899=Dashboard!$AA$1,I2899,""))</f>
        <v/>
      </c>
    </row>
    <row r="2900">
      <c r="A2900" s="1" t="n"/>
      <c r="B2900" s="26" t="n"/>
      <c r="C2900" s="27" t="n"/>
      <c r="D2900" s="28" t="n"/>
      <c r="E2900" s="29" t="n"/>
      <c r="F2900" s="29" t="n"/>
      <c r="G2900" s="28" t="n"/>
      <c r="H2900" s="1" t="n"/>
      <c r="I2900">
        <f>IF(OR(B2900="",C2900=""),"",B2900+MOD(C2900,1))</f>
        <v/>
      </c>
      <c r="J2900">
        <f>IF(I2900="","",IF(B2900=Dashboard!$AA$1,I2900,""))</f>
        <v/>
      </c>
    </row>
    <row r="2901">
      <c r="A2901" s="1" t="n"/>
      <c r="B2901" s="26" t="n"/>
      <c r="C2901" s="27" t="n"/>
      <c r="D2901" s="28" t="n"/>
      <c r="E2901" s="29" t="n"/>
      <c r="F2901" s="29" t="n"/>
      <c r="G2901" s="28" t="n"/>
      <c r="H2901" s="1" t="n"/>
      <c r="I2901">
        <f>IF(OR(B2901="",C2901=""),"",B2901+MOD(C2901,1))</f>
        <v/>
      </c>
      <c r="J2901">
        <f>IF(I2901="","",IF(B2901=Dashboard!$AA$1,I2901,""))</f>
        <v/>
      </c>
    </row>
    <row r="2902">
      <c r="A2902" s="1" t="n"/>
      <c r="B2902" s="26" t="n"/>
      <c r="C2902" s="27" t="n"/>
      <c r="D2902" s="28" t="n"/>
      <c r="E2902" s="29" t="n"/>
      <c r="F2902" s="29" t="n"/>
      <c r="G2902" s="28" t="n"/>
      <c r="H2902" s="1" t="n"/>
      <c r="I2902">
        <f>IF(OR(B2902="",C2902=""),"",B2902+MOD(C2902,1))</f>
        <v/>
      </c>
      <c r="J2902">
        <f>IF(I2902="","",IF(B2902=Dashboard!$AA$1,I2902,""))</f>
        <v/>
      </c>
    </row>
    <row r="2903">
      <c r="A2903" s="1" t="n"/>
      <c r="B2903" s="26" t="n"/>
      <c r="C2903" s="27" t="n"/>
      <c r="D2903" s="28" t="n"/>
      <c r="E2903" s="29" t="n"/>
      <c r="F2903" s="29" t="n"/>
      <c r="G2903" s="28" t="n"/>
      <c r="H2903" s="1" t="n"/>
      <c r="I2903">
        <f>IF(OR(B2903="",C2903=""),"",B2903+MOD(C2903,1))</f>
        <v/>
      </c>
      <c r="J2903">
        <f>IF(I2903="","",IF(B2903=Dashboard!$AA$1,I2903,""))</f>
        <v/>
      </c>
    </row>
    <row r="2904">
      <c r="A2904" s="1" t="n"/>
      <c r="B2904" s="26" t="n"/>
      <c r="C2904" s="27" t="n"/>
      <c r="D2904" s="28" t="n"/>
      <c r="E2904" s="29" t="n"/>
      <c r="F2904" s="29" t="n"/>
      <c r="G2904" s="28" t="n"/>
      <c r="H2904" s="1" t="n"/>
      <c r="I2904">
        <f>IF(OR(B2904="",C2904=""),"",B2904+MOD(C2904,1))</f>
        <v/>
      </c>
      <c r="J2904">
        <f>IF(I2904="","",IF(B2904=Dashboard!$AA$1,I2904,""))</f>
        <v/>
      </c>
    </row>
    <row r="2905">
      <c r="A2905" s="1" t="n"/>
      <c r="B2905" s="26" t="n"/>
      <c r="C2905" s="27" t="n"/>
      <c r="D2905" s="28" t="n"/>
      <c r="E2905" s="29" t="n"/>
      <c r="F2905" s="29" t="n"/>
      <c r="G2905" s="28" t="n"/>
      <c r="H2905" s="1" t="n"/>
      <c r="I2905">
        <f>IF(OR(B2905="",C2905=""),"",B2905+MOD(C2905,1))</f>
        <v/>
      </c>
      <c r="J2905">
        <f>IF(I2905="","",IF(B2905=Dashboard!$AA$1,I2905,""))</f>
        <v/>
      </c>
    </row>
    <row r="2906">
      <c r="A2906" s="1" t="n"/>
      <c r="B2906" s="26" t="n"/>
      <c r="C2906" s="27" t="n"/>
      <c r="D2906" s="28" t="n"/>
      <c r="E2906" s="29" t="n"/>
      <c r="F2906" s="29" t="n"/>
      <c r="G2906" s="28" t="n"/>
      <c r="H2906" s="1" t="n"/>
      <c r="I2906">
        <f>IF(OR(B2906="",C2906=""),"",B2906+MOD(C2906,1))</f>
        <v/>
      </c>
      <c r="J2906">
        <f>IF(I2906="","",IF(B2906=Dashboard!$AA$1,I2906,""))</f>
        <v/>
      </c>
    </row>
    <row r="2907">
      <c r="A2907" s="1" t="n"/>
      <c r="B2907" s="26" t="n"/>
      <c r="C2907" s="27" t="n"/>
      <c r="D2907" s="28" t="n"/>
      <c r="E2907" s="29" t="n"/>
      <c r="F2907" s="29" t="n"/>
      <c r="G2907" s="28" t="n"/>
      <c r="H2907" s="1" t="n"/>
      <c r="I2907">
        <f>IF(OR(B2907="",C2907=""),"",B2907+MOD(C2907,1))</f>
        <v/>
      </c>
      <c r="J2907">
        <f>IF(I2907="","",IF(B2907=Dashboard!$AA$1,I2907,""))</f>
        <v/>
      </c>
    </row>
    <row r="2908">
      <c r="A2908" s="1" t="n"/>
      <c r="B2908" s="26" t="n"/>
      <c r="C2908" s="27" t="n"/>
      <c r="D2908" s="28" t="n"/>
      <c r="E2908" s="29" t="n"/>
      <c r="F2908" s="29" t="n"/>
      <c r="G2908" s="28" t="n"/>
      <c r="H2908" s="1" t="n"/>
      <c r="I2908">
        <f>IF(OR(B2908="",C2908=""),"",B2908+MOD(C2908,1))</f>
        <v/>
      </c>
      <c r="J2908">
        <f>IF(I2908="","",IF(B2908=Dashboard!$AA$1,I2908,""))</f>
        <v/>
      </c>
    </row>
    <row r="2909">
      <c r="A2909" s="1" t="n"/>
      <c r="B2909" s="26" t="n"/>
      <c r="C2909" s="27" t="n"/>
      <c r="D2909" s="28" t="n"/>
      <c r="E2909" s="29" t="n"/>
      <c r="F2909" s="29" t="n"/>
      <c r="G2909" s="28" t="n"/>
      <c r="H2909" s="1" t="n"/>
      <c r="I2909">
        <f>IF(OR(B2909="",C2909=""),"",B2909+MOD(C2909,1))</f>
        <v/>
      </c>
      <c r="J2909">
        <f>IF(I2909="","",IF(B2909=Dashboard!$AA$1,I2909,""))</f>
        <v/>
      </c>
    </row>
    <row r="2910">
      <c r="A2910" s="1" t="n"/>
      <c r="B2910" s="26" t="n"/>
      <c r="C2910" s="27" t="n"/>
      <c r="D2910" s="28" t="n"/>
      <c r="E2910" s="29" t="n"/>
      <c r="F2910" s="29" t="n"/>
      <c r="G2910" s="28" t="n"/>
      <c r="H2910" s="1" t="n"/>
      <c r="I2910">
        <f>IF(OR(B2910="",C2910=""),"",B2910+MOD(C2910,1))</f>
        <v/>
      </c>
      <c r="J2910">
        <f>IF(I2910="","",IF(B2910=Dashboard!$AA$1,I2910,""))</f>
        <v/>
      </c>
    </row>
    <row r="2911">
      <c r="A2911" s="1" t="n"/>
      <c r="B2911" s="26" t="n"/>
      <c r="C2911" s="27" t="n"/>
      <c r="D2911" s="28" t="n"/>
      <c r="E2911" s="29" t="n"/>
      <c r="F2911" s="29" t="n"/>
      <c r="G2911" s="28" t="n"/>
      <c r="H2911" s="1" t="n"/>
      <c r="I2911">
        <f>IF(OR(B2911="",C2911=""),"",B2911+MOD(C2911,1))</f>
        <v/>
      </c>
      <c r="J2911">
        <f>IF(I2911="","",IF(B2911=Dashboard!$AA$1,I2911,""))</f>
        <v/>
      </c>
    </row>
    <row r="2912">
      <c r="A2912" s="1" t="n"/>
      <c r="B2912" s="26" t="n"/>
      <c r="C2912" s="27" t="n"/>
      <c r="D2912" s="28" t="n"/>
      <c r="E2912" s="29" t="n"/>
      <c r="F2912" s="29" t="n"/>
      <c r="G2912" s="28" t="n"/>
      <c r="H2912" s="1" t="n"/>
      <c r="I2912">
        <f>IF(OR(B2912="",C2912=""),"",B2912+MOD(C2912,1))</f>
        <v/>
      </c>
      <c r="J2912">
        <f>IF(I2912="","",IF(B2912=Dashboard!$AA$1,I2912,""))</f>
        <v/>
      </c>
    </row>
    <row r="2913">
      <c r="A2913" s="1" t="n"/>
      <c r="B2913" s="26" t="n"/>
      <c r="C2913" s="27" t="n"/>
      <c r="D2913" s="28" t="n"/>
      <c r="E2913" s="29" t="n"/>
      <c r="F2913" s="29" t="n"/>
      <c r="G2913" s="28" t="n"/>
      <c r="H2913" s="1" t="n"/>
      <c r="I2913">
        <f>IF(OR(B2913="",C2913=""),"",B2913+MOD(C2913,1))</f>
        <v/>
      </c>
      <c r="J2913">
        <f>IF(I2913="","",IF(B2913=Dashboard!$AA$1,I2913,""))</f>
        <v/>
      </c>
    </row>
    <row r="2914">
      <c r="A2914" s="1" t="n"/>
      <c r="B2914" s="26" t="n"/>
      <c r="C2914" s="27" t="n"/>
      <c r="D2914" s="28" t="n"/>
      <c r="E2914" s="29" t="n"/>
      <c r="F2914" s="29" t="n"/>
      <c r="G2914" s="28" t="n"/>
      <c r="H2914" s="1" t="n"/>
      <c r="I2914">
        <f>IF(OR(B2914="",C2914=""),"",B2914+MOD(C2914,1))</f>
        <v/>
      </c>
      <c r="J2914">
        <f>IF(I2914="","",IF(B2914=Dashboard!$AA$1,I2914,""))</f>
        <v/>
      </c>
    </row>
    <row r="2915">
      <c r="A2915" s="1" t="n"/>
      <c r="B2915" s="26" t="n"/>
      <c r="C2915" s="27" t="n"/>
      <c r="D2915" s="28" t="n"/>
      <c r="E2915" s="29" t="n"/>
      <c r="F2915" s="29" t="n"/>
      <c r="G2915" s="28" t="n"/>
      <c r="H2915" s="1" t="n"/>
      <c r="I2915">
        <f>IF(OR(B2915="",C2915=""),"",B2915+MOD(C2915,1))</f>
        <v/>
      </c>
      <c r="J2915">
        <f>IF(I2915="","",IF(B2915=Dashboard!$AA$1,I2915,""))</f>
        <v/>
      </c>
    </row>
    <row r="2916">
      <c r="A2916" s="1" t="n"/>
      <c r="B2916" s="26" t="n"/>
      <c r="C2916" s="27" t="n"/>
      <c r="D2916" s="28" t="n"/>
      <c r="E2916" s="29" t="n"/>
      <c r="F2916" s="29" t="n"/>
      <c r="G2916" s="28" t="n"/>
      <c r="H2916" s="1" t="n"/>
      <c r="I2916">
        <f>IF(OR(B2916="",C2916=""),"",B2916+MOD(C2916,1))</f>
        <v/>
      </c>
      <c r="J2916">
        <f>IF(I2916="","",IF(B2916=Dashboard!$AA$1,I2916,""))</f>
        <v/>
      </c>
    </row>
    <row r="2917">
      <c r="A2917" s="1" t="n"/>
      <c r="B2917" s="26" t="n"/>
      <c r="C2917" s="27" t="n"/>
      <c r="D2917" s="28" t="n"/>
      <c r="E2917" s="29" t="n"/>
      <c r="F2917" s="29" t="n"/>
      <c r="G2917" s="28" t="n"/>
      <c r="H2917" s="1" t="n"/>
      <c r="I2917">
        <f>IF(OR(B2917="",C2917=""),"",B2917+MOD(C2917,1))</f>
        <v/>
      </c>
      <c r="J2917">
        <f>IF(I2917="","",IF(B2917=Dashboard!$AA$1,I2917,""))</f>
        <v/>
      </c>
    </row>
    <row r="2918">
      <c r="A2918" s="1" t="n"/>
      <c r="B2918" s="26" t="n"/>
      <c r="C2918" s="27" t="n"/>
      <c r="D2918" s="28" t="n"/>
      <c r="E2918" s="29" t="n"/>
      <c r="F2918" s="29" t="n"/>
      <c r="G2918" s="28" t="n"/>
      <c r="H2918" s="1" t="n"/>
      <c r="I2918">
        <f>IF(OR(B2918="",C2918=""),"",B2918+MOD(C2918,1))</f>
        <v/>
      </c>
      <c r="J2918">
        <f>IF(I2918="","",IF(B2918=Dashboard!$AA$1,I2918,""))</f>
        <v/>
      </c>
    </row>
    <row r="2919">
      <c r="A2919" s="1" t="n"/>
      <c r="B2919" s="26" t="n"/>
      <c r="C2919" s="27" t="n"/>
      <c r="D2919" s="28" t="n"/>
      <c r="E2919" s="29" t="n"/>
      <c r="F2919" s="29" t="n"/>
      <c r="G2919" s="28" t="n"/>
      <c r="H2919" s="1" t="n"/>
      <c r="I2919">
        <f>IF(OR(B2919="",C2919=""),"",B2919+MOD(C2919,1))</f>
        <v/>
      </c>
      <c r="J2919">
        <f>IF(I2919="","",IF(B2919=Dashboard!$AA$1,I2919,""))</f>
        <v/>
      </c>
    </row>
    <row r="2920">
      <c r="A2920" s="1" t="n"/>
      <c r="B2920" s="26" t="n"/>
      <c r="C2920" s="27" t="n"/>
      <c r="D2920" s="28" t="n"/>
      <c r="E2920" s="29" t="n"/>
      <c r="F2920" s="29" t="n"/>
      <c r="G2920" s="28" t="n"/>
      <c r="H2920" s="1" t="n"/>
      <c r="I2920">
        <f>IF(OR(B2920="",C2920=""),"",B2920+MOD(C2920,1))</f>
        <v/>
      </c>
      <c r="J2920">
        <f>IF(I2920="","",IF(B2920=Dashboard!$AA$1,I2920,""))</f>
        <v/>
      </c>
    </row>
    <row r="2921">
      <c r="A2921" s="1" t="n"/>
      <c r="B2921" s="26" t="n"/>
      <c r="C2921" s="27" t="n"/>
      <c r="D2921" s="28" t="n"/>
      <c r="E2921" s="29" t="n"/>
      <c r="F2921" s="29" t="n"/>
      <c r="G2921" s="28" t="n"/>
      <c r="H2921" s="1" t="n"/>
      <c r="I2921">
        <f>IF(OR(B2921="",C2921=""),"",B2921+MOD(C2921,1))</f>
        <v/>
      </c>
      <c r="J2921">
        <f>IF(I2921="","",IF(B2921=Dashboard!$AA$1,I2921,""))</f>
        <v/>
      </c>
    </row>
    <row r="2922">
      <c r="A2922" s="1" t="n"/>
      <c r="B2922" s="26" t="n"/>
      <c r="C2922" s="27" t="n"/>
      <c r="D2922" s="28" t="n"/>
      <c r="E2922" s="29" t="n"/>
      <c r="F2922" s="29" t="n"/>
      <c r="G2922" s="28" t="n"/>
      <c r="H2922" s="1" t="n"/>
      <c r="I2922">
        <f>IF(OR(B2922="",C2922=""),"",B2922+MOD(C2922,1))</f>
        <v/>
      </c>
      <c r="J2922">
        <f>IF(I2922="","",IF(B2922=Dashboard!$AA$1,I2922,""))</f>
        <v/>
      </c>
    </row>
    <row r="2923">
      <c r="A2923" s="1" t="n"/>
      <c r="B2923" s="26" t="n"/>
      <c r="C2923" s="27" t="n"/>
      <c r="D2923" s="28" t="n"/>
      <c r="E2923" s="29" t="n"/>
      <c r="F2923" s="29" t="n"/>
      <c r="G2923" s="28" t="n"/>
      <c r="H2923" s="1" t="n"/>
      <c r="I2923">
        <f>IF(OR(B2923="",C2923=""),"",B2923+MOD(C2923,1))</f>
        <v/>
      </c>
      <c r="J2923">
        <f>IF(I2923="","",IF(B2923=Dashboard!$AA$1,I2923,""))</f>
        <v/>
      </c>
    </row>
    <row r="2924">
      <c r="A2924" s="1" t="n"/>
      <c r="B2924" s="26" t="n"/>
      <c r="C2924" s="27" t="n"/>
      <c r="D2924" s="28" t="n"/>
      <c r="E2924" s="29" t="n"/>
      <c r="F2924" s="29" t="n"/>
      <c r="G2924" s="28" t="n"/>
      <c r="H2924" s="1" t="n"/>
      <c r="I2924">
        <f>IF(OR(B2924="",C2924=""),"",B2924+MOD(C2924,1))</f>
        <v/>
      </c>
      <c r="J2924">
        <f>IF(I2924="","",IF(B2924=Dashboard!$AA$1,I2924,""))</f>
        <v/>
      </c>
    </row>
    <row r="2925">
      <c r="A2925" s="1" t="n"/>
      <c r="B2925" s="26" t="n"/>
      <c r="C2925" s="27" t="n"/>
      <c r="D2925" s="28" t="n"/>
      <c r="E2925" s="29" t="n"/>
      <c r="F2925" s="29" t="n"/>
      <c r="G2925" s="28" t="n"/>
      <c r="H2925" s="1" t="n"/>
      <c r="I2925">
        <f>IF(OR(B2925="",C2925=""),"",B2925+MOD(C2925,1))</f>
        <v/>
      </c>
      <c r="J2925">
        <f>IF(I2925="","",IF(B2925=Dashboard!$AA$1,I2925,""))</f>
        <v/>
      </c>
    </row>
    <row r="2926">
      <c r="A2926" s="1" t="n"/>
      <c r="B2926" s="26" t="n"/>
      <c r="C2926" s="27" t="n"/>
      <c r="D2926" s="28" t="n"/>
      <c r="E2926" s="29" t="n"/>
      <c r="F2926" s="29" t="n"/>
      <c r="G2926" s="28" t="n"/>
      <c r="H2926" s="1" t="n"/>
      <c r="I2926">
        <f>IF(OR(B2926="",C2926=""),"",B2926+MOD(C2926,1))</f>
        <v/>
      </c>
      <c r="J2926">
        <f>IF(I2926="","",IF(B2926=Dashboard!$AA$1,I2926,""))</f>
        <v/>
      </c>
    </row>
    <row r="2927">
      <c r="A2927" s="1" t="n"/>
      <c r="B2927" s="26" t="n"/>
      <c r="C2927" s="27" t="n"/>
      <c r="D2927" s="28" t="n"/>
      <c r="E2927" s="29" t="n"/>
      <c r="F2927" s="29" t="n"/>
      <c r="G2927" s="28" t="n"/>
      <c r="H2927" s="1" t="n"/>
      <c r="I2927">
        <f>IF(OR(B2927="",C2927=""),"",B2927+MOD(C2927,1))</f>
        <v/>
      </c>
      <c r="J2927">
        <f>IF(I2927="","",IF(B2927=Dashboard!$AA$1,I2927,""))</f>
        <v/>
      </c>
    </row>
    <row r="2928">
      <c r="A2928" s="1" t="n"/>
      <c r="B2928" s="26" t="n"/>
      <c r="C2928" s="27" t="n"/>
      <c r="D2928" s="28" t="n"/>
      <c r="E2928" s="29" t="n"/>
      <c r="F2928" s="29" t="n"/>
      <c r="G2928" s="28" t="n"/>
      <c r="H2928" s="1" t="n"/>
      <c r="I2928">
        <f>IF(OR(B2928="",C2928=""),"",B2928+MOD(C2928,1))</f>
        <v/>
      </c>
      <c r="J2928">
        <f>IF(I2928="","",IF(B2928=Dashboard!$AA$1,I2928,""))</f>
        <v/>
      </c>
    </row>
    <row r="2929">
      <c r="A2929" s="1" t="n"/>
      <c r="B2929" s="26" t="n"/>
      <c r="C2929" s="27" t="n"/>
      <c r="D2929" s="28" t="n"/>
      <c r="E2929" s="29" t="n"/>
      <c r="F2929" s="29" t="n"/>
      <c r="G2929" s="28" t="n"/>
      <c r="H2929" s="1" t="n"/>
      <c r="I2929">
        <f>IF(OR(B2929="",C2929=""),"",B2929+MOD(C2929,1))</f>
        <v/>
      </c>
      <c r="J2929">
        <f>IF(I2929="","",IF(B2929=Dashboard!$AA$1,I2929,""))</f>
        <v/>
      </c>
    </row>
    <row r="2930">
      <c r="A2930" s="1" t="n"/>
      <c r="B2930" s="26" t="n"/>
      <c r="C2930" s="27" t="n"/>
      <c r="D2930" s="28" t="n"/>
      <c r="E2930" s="29" t="n"/>
      <c r="F2930" s="29" t="n"/>
      <c r="G2930" s="28" t="n"/>
      <c r="H2930" s="1" t="n"/>
      <c r="I2930">
        <f>IF(OR(B2930="",C2930=""),"",B2930+MOD(C2930,1))</f>
        <v/>
      </c>
      <c r="J2930">
        <f>IF(I2930="","",IF(B2930=Dashboard!$AA$1,I2930,""))</f>
        <v/>
      </c>
    </row>
    <row r="2931">
      <c r="A2931" s="1" t="n"/>
      <c r="B2931" s="26" t="n"/>
      <c r="C2931" s="27" t="n"/>
      <c r="D2931" s="28" t="n"/>
      <c r="E2931" s="29" t="n"/>
      <c r="F2931" s="29" t="n"/>
      <c r="G2931" s="28" t="n"/>
      <c r="H2931" s="1" t="n"/>
      <c r="I2931">
        <f>IF(OR(B2931="",C2931=""),"",B2931+MOD(C2931,1))</f>
        <v/>
      </c>
      <c r="J2931">
        <f>IF(I2931="","",IF(B2931=Dashboard!$AA$1,I2931,""))</f>
        <v/>
      </c>
    </row>
    <row r="2932">
      <c r="A2932" s="1" t="n"/>
      <c r="B2932" s="26" t="n"/>
      <c r="C2932" s="27" t="n"/>
      <c r="D2932" s="28" t="n"/>
      <c r="E2932" s="29" t="n"/>
      <c r="F2932" s="29" t="n"/>
      <c r="G2932" s="28" t="n"/>
      <c r="H2932" s="1" t="n"/>
      <c r="I2932">
        <f>IF(OR(B2932="",C2932=""),"",B2932+MOD(C2932,1))</f>
        <v/>
      </c>
      <c r="J2932">
        <f>IF(I2932="","",IF(B2932=Dashboard!$AA$1,I2932,""))</f>
        <v/>
      </c>
    </row>
    <row r="2933">
      <c r="A2933" s="1" t="n"/>
      <c r="B2933" s="26" t="n"/>
      <c r="C2933" s="27" t="n"/>
      <c r="D2933" s="28" t="n"/>
      <c r="E2933" s="29" t="n"/>
      <c r="F2933" s="29" t="n"/>
      <c r="G2933" s="28" t="n"/>
      <c r="H2933" s="1" t="n"/>
      <c r="I2933">
        <f>IF(OR(B2933="",C2933=""),"",B2933+MOD(C2933,1))</f>
        <v/>
      </c>
      <c r="J2933">
        <f>IF(I2933="","",IF(B2933=Dashboard!$AA$1,I2933,""))</f>
        <v/>
      </c>
    </row>
    <row r="2934">
      <c r="A2934" s="1" t="n"/>
      <c r="B2934" s="26" t="n"/>
      <c r="C2934" s="27" t="n"/>
      <c r="D2934" s="28" t="n"/>
      <c r="E2934" s="29" t="n"/>
      <c r="F2934" s="29" t="n"/>
      <c r="G2934" s="28" t="n"/>
      <c r="H2934" s="1" t="n"/>
      <c r="I2934">
        <f>IF(OR(B2934="",C2934=""),"",B2934+MOD(C2934,1))</f>
        <v/>
      </c>
      <c r="J2934">
        <f>IF(I2934="","",IF(B2934=Dashboard!$AA$1,I2934,""))</f>
        <v/>
      </c>
    </row>
    <row r="2935">
      <c r="A2935" s="1" t="n"/>
      <c r="B2935" s="26" t="n"/>
      <c r="C2935" s="27" t="n"/>
      <c r="D2935" s="28" t="n"/>
      <c r="E2935" s="29" t="n"/>
      <c r="F2935" s="29" t="n"/>
      <c r="G2935" s="28" t="n"/>
      <c r="H2935" s="1" t="n"/>
      <c r="I2935">
        <f>IF(OR(B2935="",C2935=""),"",B2935+MOD(C2935,1))</f>
        <v/>
      </c>
      <c r="J2935">
        <f>IF(I2935="","",IF(B2935=Dashboard!$AA$1,I2935,""))</f>
        <v/>
      </c>
    </row>
    <row r="2936">
      <c r="A2936" s="1" t="n"/>
      <c r="B2936" s="26" t="n"/>
      <c r="C2936" s="27" t="n"/>
      <c r="D2936" s="28" t="n"/>
      <c r="E2936" s="29" t="n"/>
      <c r="F2936" s="29" t="n"/>
      <c r="G2936" s="28" t="n"/>
      <c r="H2936" s="1" t="n"/>
      <c r="I2936">
        <f>IF(OR(B2936="",C2936=""),"",B2936+MOD(C2936,1))</f>
        <v/>
      </c>
      <c r="J2936">
        <f>IF(I2936="","",IF(B2936=Dashboard!$AA$1,I2936,""))</f>
        <v/>
      </c>
    </row>
    <row r="2937">
      <c r="A2937" s="1" t="n"/>
      <c r="B2937" s="26" t="n"/>
      <c r="C2937" s="27" t="n"/>
      <c r="D2937" s="28" t="n"/>
      <c r="E2937" s="29" t="n"/>
      <c r="F2937" s="29" t="n"/>
      <c r="G2937" s="28" t="n"/>
      <c r="H2937" s="1" t="n"/>
      <c r="I2937">
        <f>IF(OR(B2937="",C2937=""),"",B2937+MOD(C2937,1))</f>
        <v/>
      </c>
      <c r="J2937">
        <f>IF(I2937="","",IF(B2937=Dashboard!$AA$1,I2937,""))</f>
        <v/>
      </c>
    </row>
    <row r="2938">
      <c r="A2938" s="1" t="n"/>
      <c r="B2938" s="26" t="n"/>
      <c r="C2938" s="27" t="n"/>
      <c r="D2938" s="28" t="n"/>
      <c r="E2938" s="29" t="n"/>
      <c r="F2938" s="29" t="n"/>
      <c r="G2938" s="28" t="n"/>
      <c r="H2938" s="1" t="n"/>
      <c r="I2938">
        <f>IF(OR(B2938="",C2938=""),"",B2938+MOD(C2938,1))</f>
        <v/>
      </c>
      <c r="J2938">
        <f>IF(I2938="","",IF(B2938=Dashboard!$AA$1,I2938,""))</f>
        <v/>
      </c>
    </row>
    <row r="2939">
      <c r="A2939" s="1" t="n"/>
      <c r="B2939" s="26" t="n"/>
      <c r="C2939" s="27" t="n"/>
      <c r="D2939" s="28" t="n"/>
      <c r="E2939" s="29" t="n"/>
      <c r="F2939" s="29" t="n"/>
      <c r="G2939" s="28" t="n"/>
      <c r="H2939" s="1" t="n"/>
      <c r="I2939">
        <f>IF(OR(B2939="",C2939=""),"",B2939+MOD(C2939,1))</f>
        <v/>
      </c>
      <c r="J2939">
        <f>IF(I2939="","",IF(B2939=Dashboard!$AA$1,I2939,""))</f>
        <v/>
      </c>
    </row>
    <row r="2940">
      <c r="A2940" s="1" t="n"/>
      <c r="B2940" s="26" t="n"/>
      <c r="C2940" s="27" t="n"/>
      <c r="D2940" s="28" t="n"/>
      <c r="E2940" s="29" t="n"/>
      <c r="F2940" s="29" t="n"/>
      <c r="G2940" s="28" t="n"/>
      <c r="H2940" s="1" t="n"/>
      <c r="I2940">
        <f>IF(OR(B2940="",C2940=""),"",B2940+MOD(C2940,1))</f>
        <v/>
      </c>
      <c r="J2940">
        <f>IF(I2940="","",IF(B2940=Dashboard!$AA$1,I2940,""))</f>
        <v/>
      </c>
    </row>
    <row r="2941">
      <c r="A2941" s="1" t="n"/>
      <c r="B2941" s="26" t="n"/>
      <c r="C2941" s="27" t="n"/>
      <c r="D2941" s="28" t="n"/>
      <c r="E2941" s="29" t="n"/>
      <c r="F2941" s="29" t="n"/>
      <c r="G2941" s="28" t="n"/>
      <c r="H2941" s="1" t="n"/>
      <c r="I2941">
        <f>IF(OR(B2941="",C2941=""),"",B2941+MOD(C2941,1))</f>
        <v/>
      </c>
      <c r="J2941">
        <f>IF(I2941="","",IF(B2941=Dashboard!$AA$1,I2941,""))</f>
        <v/>
      </c>
    </row>
    <row r="2942">
      <c r="A2942" s="1" t="n"/>
      <c r="B2942" s="26" t="n"/>
      <c r="C2942" s="27" t="n"/>
      <c r="D2942" s="28" t="n"/>
      <c r="E2942" s="29" t="n"/>
      <c r="F2942" s="29" t="n"/>
      <c r="G2942" s="28" t="n"/>
      <c r="H2942" s="1" t="n"/>
      <c r="I2942">
        <f>IF(OR(B2942="",C2942=""),"",B2942+MOD(C2942,1))</f>
        <v/>
      </c>
      <c r="J2942">
        <f>IF(I2942="","",IF(B2942=Dashboard!$AA$1,I2942,""))</f>
        <v/>
      </c>
    </row>
    <row r="2943">
      <c r="A2943" s="1" t="n"/>
      <c r="B2943" s="26" t="n"/>
      <c r="C2943" s="27" t="n"/>
      <c r="D2943" s="28" t="n"/>
      <c r="E2943" s="29" t="n"/>
      <c r="F2943" s="29" t="n"/>
      <c r="G2943" s="28" t="n"/>
      <c r="H2943" s="1" t="n"/>
      <c r="I2943">
        <f>IF(OR(B2943="",C2943=""),"",B2943+MOD(C2943,1))</f>
        <v/>
      </c>
      <c r="J2943">
        <f>IF(I2943="","",IF(B2943=Dashboard!$AA$1,I2943,""))</f>
        <v/>
      </c>
    </row>
    <row r="2944">
      <c r="A2944" s="1" t="n"/>
      <c r="B2944" s="26" t="n"/>
      <c r="C2944" s="27" t="n"/>
      <c r="D2944" s="28" t="n"/>
      <c r="E2944" s="29" t="n"/>
      <c r="F2944" s="29" t="n"/>
      <c r="G2944" s="28" t="n"/>
      <c r="H2944" s="1" t="n"/>
      <c r="I2944">
        <f>IF(OR(B2944="",C2944=""),"",B2944+MOD(C2944,1))</f>
        <v/>
      </c>
      <c r="J2944">
        <f>IF(I2944="","",IF(B2944=Dashboard!$AA$1,I2944,""))</f>
        <v/>
      </c>
    </row>
    <row r="2945">
      <c r="A2945" s="1" t="n"/>
      <c r="B2945" s="26" t="n"/>
      <c r="C2945" s="27" t="n"/>
      <c r="D2945" s="28" t="n"/>
      <c r="E2945" s="29" t="n"/>
      <c r="F2945" s="29" t="n"/>
      <c r="G2945" s="28" t="n"/>
      <c r="H2945" s="1" t="n"/>
      <c r="I2945">
        <f>IF(OR(B2945="",C2945=""),"",B2945+MOD(C2945,1))</f>
        <v/>
      </c>
      <c r="J2945">
        <f>IF(I2945="","",IF(B2945=Dashboard!$AA$1,I2945,""))</f>
        <v/>
      </c>
    </row>
    <row r="2946">
      <c r="A2946" s="1" t="n"/>
      <c r="B2946" s="26" t="n"/>
      <c r="C2946" s="27" t="n"/>
      <c r="D2946" s="28" t="n"/>
      <c r="E2946" s="29" t="n"/>
      <c r="F2946" s="29" t="n"/>
      <c r="G2946" s="28" t="n"/>
      <c r="H2946" s="1" t="n"/>
      <c r="I2946">
        <f>IF(OR(B2946="",C2946=""),"",B2946+MOD(C2946,1))</f>
        <v/>
      </c>
      <c r="J2946">
        <f>IF(I2946="","",IF(B2946=Dashboard!$AA$1,I2946,""))</f>
        <v/>
      </c>
    </row>
    <row r="2947">
      <c r="A2947" s="1" t="n"/>
      <c r="B2947" s="26" t="n"/>
      <c r="C2947" s="27" t="n"/>
      <c r="D2947" s="28" t="n"/>
      <c r="E2947" s="29" t="n"/>
      <c r="F2947" s="29" t="n"/>
      <c r="G2947" s="28" t="n"/>
      <c r="H2947" s="1" t="n"/>
      <c r="I2947">
        <f>IF(OR(B2947="",C2947=""),"",B2947+MOD(C2947,1))</f>
        <v/>
      </c>
      <c r="J2947">
        <f>IF(I2947="","",IF(B2947=Dashboard!$AA$1,I2947,""))</f>
        <v/>
      </c>
    </row>
    <row r="2948">
      <c r="A2948" s="1" t="n"/>
      <c r="B2948" s="26" t="n"/>
      <c r="C2948" s="27" t="n"/>
      <c r="D2948" s="28" t="n"/>
      <c r="E2948" s="29" t="n"/>
      <c r="F2948" s="29" t="n"/>
      <c r="G2948" s="28" t="n"/>
      <c r="H2948" s="1" t="n"/>
      <c r="I2948">
        <f>IF(OR(B2948="",C2948=""),"",B2948+MOD(C2948,1))</f>
        <v/>
      </c>
      <c r="J2948">
        <f>IF(I2948="","",IF(B2948=Dashboard!$AA$1,I2948,""))</f>
        <v/>
      </c>
    </row>
    <row r="2949">
      <c r="A2949" s="1" t="n"/>
      <c r="B2949" s="26" t="n"/>
      <c r="C2949" s="27" t="n"/>
      <c r="D2949" s="28" t="n"/>
      <c r="E2949" s="29" t="n"/>
      <c r="F2949" s="29" t="n"/>
      <c r="G2949" s="28" t="n"/>
      <c r="H2949" s="1" t="n"/>
      <c r="I2949">
        <f>IF(OR(B2949="",C2949=""),"",B2949+MOD(C2949,1))</f>
        <v/>
      </c>
      <c r="J2949">
        <f>IF(I2949="","",IF(B2949=Dashboard!$AA$1,I2949,""))</f>
        <v/>
      </c>
    </row>
    <row r="2950">
      <c r="A2950" s="1" t="n"/>
      <c r="B2950" s="26" t="n"/>
      <c r="C2950" s="27" t="n"/>
      <c r="D2950" s="28" t="n"/>
      <c r="E2950" s="29" t="n"/>
      <c r="F2950" s="29" t="n"/>
      <c r="G2950" s="28" t="n"/>
      <c r="H2950" s="1" t="n"/>
      <c r="I2950">
        <f>IF(OR(B2950="",C2950=""),"",B2950+MOD(C2950,1))</f>
        <v/>
      </c>
      <c r="J2950">
        <f>IF(I2950="","",IF(B2950=Dashboard!$AA$1,I2950,""))</f>
        <v/>
      </c>
    </row>
    <row r="2951">
      <c r="A2951" s="1" t="n"/>
      <c r="B2951" s="26" t="n"/>
      <c r="C2951" s="27" t="n"/>
      <c r="D2951" s="28" t="n"/>
      <c r="E2951" s="29" t="n"/>
      <c r="F2951" s="29" t="n"/>
      <c r="G2951" s="28" t="n"/>
      <c r="H2951" s="1" t="n"/>
      <c r="I2951">
        <f>IF(OR(B2951="",C2951=""),"",B2951+MOD(C2951,1))</f>
        <v/>
      </c>
      <c r="J2951">
        <f>IF(I2951="","",IF(B2951=Dashboard!$AA$1,I2951,""))</f>
        <v/>
      </c>
    </row>
    <row r="2952">
      <c r="A2952" s="1" t="n"/>
      <c r="B2952" s="26" t="n"/>
      <c r="C2952" s="27" t="n"/>
      <c r="D2952" s="28" t="n"/>
      <c r="E2952" s="29" t="n"/>
      <c r="F2952" s="29" t="n"/>
      <c r="G2952" s="28" t="n"/>
      <c r="H2952" s="1" t="n"/>
      <c r="I2952">
        <f>IF(OR(B2952="",C2952=""),"",B2952+MOD(C2952,1))</f>
        <v/>
      </c>
      <c r="J2952">
        <f>IF(I2952="","",IF(B2952=Dashboard!$AA$1,I2952,""))</f>
        <v/>
      </c>
    </row>
    <row r="2953">
      <c r="A2953" s="1" t="n"/>
      <c r="B2953" s="26" t="n"/>
      <c r="C2953" s="27" t="n"/>
      <c r="D2953" s="28" t="n"/>
      <c r="E2953" s="29" t="n"/>
      <c r="F2953" s="29" t="n"/>
      <c r="G2953" s="28" t="n"/>
      <c r="H2953" s="1" t="n"/>
      <c r="I2953">
        <f>IF(OR(B2953="",C2953=""),"",B2953+MOD(C2953,1))</f>
        <v/>
      </c>
      <c r="J2953">
        <f>IF(I2953="","",IF(B2953=Dashboard!$AA$1,I2953,""))</f>
        <v/>
      </c>
    </row>
    <row r="2954">
      <c r="A2954" s="1" t="n"/>
      <c r="B2954" s="26" t="n"/>
      <c r="C2954" s="27" t="n"/>
      <c r="D2954" s="28" t="n"/>
      <c r="E2954" s="29" t="n"/>
      <c r="F2954" s="29" t="n"/>
      <c r="G2954" s="28" t="n"/>
      <c r="H2954" s="1" t="n"/>
      <c r="I2954">
        <f>IF(OR(B2954="",C2954=""),"",B2954+MOD(C2954,1))</f>
        <v/>
      </c>
      <c r="J2954">
        <f>IF(I2954="","",IF(B2954=Dashboard!$AA$1,I2954,""))</f>
        <v/>
      </c>
    </row>
    <row r="2955">
      <c r="A2955" s="1" t="n"/>
      <c r="B2955" s="26" t="n"/>
      <c r="C2955" s="27" t="n"/>
      <c r="D2955" s="28" t="n"/>
      <c r="E2955" s="29" t="n"/>
      <c r="F2955" s="29" t="n"/>
      <c r="G2955" s="28" t="n"/>
      <c r="H2955" s="1" t="n"/>
      <c r="I2955">
        <f>IF(OR(B2955="",C2955=""),"",B2955+MOD(C2955,1))</f>
        <v/>
      </c>
      <c r="J2955">
        <f>IF(I2955="","",IF(B2955=Dashboard!$AA$1,I2955,""))</f>
        <v/>
      </c>
    </row>
    <row r="2956">
      <c r="A2956" s="1" t="n"/>
      <c r="B2956" s="26" t="n"/>
      <c r="C2956" s="27" t="n"/>
      <c r="D2956" s="28" t="n"/>
      <c r="E2956" s="29" t="n"/>
      <c r="F2956" s="29" t="n"/>
      <c r="G2956" s="28" t="n"/>
      <c r="H2956" s="1" t="n"/>
      <c r="I2956">
        <f>IF(OR(B2956="",C2956=""),"",B2956+MOD(C2956,1))</f>
        <v/>
      </c>
      <c r="J2956">
        <f>IF(I2956="","",IF(B2956=Dashboard!$AA$1,I2956,""))</f>
        <v/>
      </c>
    </row>
    <row r="2957">
      <c r="A2957" s="1" t="n"/>
      <c r="B2957" s="26" t="n"/>
      <c r="C2957" s="27" t="n"/>
      <c r="D2957" s="28" t="n"/>
      <c r="E2957" s="29" t="n"/>
      <c r="F2957" s="29" t="n"/>
      <c r="G2957" s="28" t="n"/>
      <c r="H2957" s="1" t="n"/>
      <c r="I2957">
        <f>IF(OR(B2957="",C2957=""),"",B2957+MOD(C2957,1))</f>
        <v/>
      </c>
      <c r="J2957">
        <f>IF(I2957="","",IF(B2957=Dashboard!$AA$1,I2957,""))</f>
        <v/>
      </c>
    </row>
    <row r="2958">
      <c r="A2958" s="1" t="n"/>
      <c r="B2958" s="26" t="n"/>
      <c r="C2958" s="27" t="n"/>
      <c r="D2958" s="28" t="n"/>
      <c r="E2958" s="29" t="n"/>
      <c r="F2958" s="29" t="n"/>
      <c r="G2958" s="28" t="n"/>
      <c r="H2958" s="1" t="n"/>
      <c r="I2958">
        <f>IF(OR(B2958="",C2958=""),"",B2958+MOD(C2958,1))</f>
        <v/>
      </c>
      <c r="J2958">
        <f>IF(I2958="","",IF(B2958=Dashboard!$AA$1,I2958,""))</f>
        <v/>
      </c>
    </row>
    <row r="2959">
      <c r="A2959" s="1" t="n"/>
      <c r="B2959" s="26" t="n"/>
      <c r="C2959" s="27" t="n"/>
      <c r="D2959" s="28" t="n"/>
      <c r="E2959" s="29" t="n"/>
      <c r="F2959" s="29" t="n"/>
      <c r="G2959" s="28" t="n"/>
      <c r="H2959" s="1" t="n"/>
      <c r="I2959">
        <f>IF(OR(B2959="",C2959=""),"",B2959+MOD(C2959,1))</f>
        <v/>
      </c>
      <c r="J2959">
        <f>IF(I2959="","",IF(B2959=Dashboard!$AA$1,I2959,""))</f>
        <v/>
      </c>
    </row>
    <row r="2960">
      <c r="A2960" s="1" t="n"/>
      <c r="B2960" s="26" t="n"/>
      <c r="C2960" s="27" t="n"/>
      <c r="D2960" s="28" t="n"/>
      <c r="E2960" s="29" t="n"/>
      <c r="F2960" s="29" t="n"/>
      <c r="G2960" s="28" t="n"/>
      <c r="H2960" s="1" t="n"/>
      <c r="I2960">
        <f>IF(OR(B2960="",C2960=""),"",B2960+MOD(C2960,1))</f>
        <v/>
      </c>
      <c r="J2960">
        <f>IF(I2960="","",IF(B2960=Dashboard!$AA$1,I2960,""))</f>
        <v/>
      </c>
    </row>
    <row r="2961">
      <c r="A2961" s="1" t="n"/>
      <c r="B2961" s="26" t="n"/>
      <c r="C2961" s="27" t="n"/>
      <c r="D2961" s="28" t="n"/>
      <c r="E2961" s="29" t="n"/>
      <c r="F2961" s="29" t="n"/>
      <c r="G2961" s="28" t="n"/>
      <c r="H2961" s="1" t="n"/>
      <c r="I2961">
        <f>IF(OR(B2961="",C2961=""),"",B2961+MOD(C2961,1))</f>
        <v/>
      </c>
      <c r="J2961">
        <f>IF(I2961="","",IF(B2961=Dashboard!$AA$1,I2961,""))</f>
        <v/>
      </c>
    </row>
    <row r="2962">
      <c r="A2962" s="1" t="n"/>
      <c r="B2962" s="26" t="n"/>
      <c r="C2962" s="27" t="n"/>
      <c r="D2962" s="28" t="n"/>
      <c r="E2962" s="29" t="n"/>
      <c r="F2962" s="29" t="n"/>
      <c r="G2962" s="28" t="n"/>
      <c r="H2962" s="1" t="n"/>
      <c r="I2962">
        <f>IF(OR(B2962="",C2962=""),"",B2962+MOD(C2962,1))</f>
        <v/>
      </c>
      <c r="J2962">
        <f>IF(I2962="","",IF(B2962=Dashboard!$AA$1,I2962,""))</f>
        <v/>
      </c>
    </row>
    <row r="2963">
      <c r="A2963" s="1" t="n"/>
      <c r="B2963" s="26" t="n"/>
      <c r="C2963" s="27" t="n"/>
      <c r="D2963" s="28" t="n"/>
      <c r="E2963" s="29" t="n"/>
      <c r="F2963" s="29" t="n"/>
      <c r="G2963" s="28" t="n"/>
      <c r="H2963" s="1" t="n"/>
      <c r="I2963">
        <f>IF(OR(B2963="",C2963=""),"",B2963+MOD(C2963,1))</f>
        <v/>
      </c>
      <c r="J2963">
        <f>IF(I2963="","",IF(B2963=Dashboard!$AA$1,I2963,""))</f>
        <v/>
      </c>
    </row>
    <row r="2964">
      <c r="A2964" s="1" t="n"/>
      <c r="B2964" s="26" t="n"/>
      <c r="C2964" s="27" t="n"/>
      <c r="D2964" s="28" t="n"/>
      <c r="E2964" s="29" t="n"/>
      <c r="F2964" s="29" t="n"/>
      <c r="G2964" s="28" t="n"/>
      <c r="H2964" s="1" t="n"/>
      <c r="I2964">
        <f>IF(OR(B2964="",C2964=""),"",B2964+MOD(C2964,1))</f>
        <v/>
      </c>
      <c r="J2964">
        <f>IF(I2964="","",IF(B2964=Dashboard!$AA$1,I2964,""))</f>
        <v/>
      </c>
    </row>
    <row r="2965">
      <c r="A2965" s="1" t="n"/>
      <c r="B2965" s="26" t="n"/>
      <c r="C2965" s="27" t="n"/>
      <c r="D2965" s="28" t="n"/>
      <c r="E2965" s="29" t="n"/>
      <c r="F2965" s="29" t="n"/>
      <c r="G2965" s="28" t="n"/>
      <c r="H2965" s="1" t="n"/>
      <c r="I2965">
        <f>IF(OR(B2965="",C2965=""),"",B2965+MOD(C2965,1))</f>
        <v/>
      </c>
      <c r="J2965">
        <f>IF(I2965="","",IF(B2965=Dashboard!$AA$1,I2965,""))</f>
        <v/>
      </c>
    </row>
    <row r="2966">
      <c r="A2966" s="1" t="n"/>
      <c r="B2966" s="26" t="n"/>
      <c r="C2966" s="27" t="n"/>
      <c r="D2966" s="28" t="n"/>
      <c r="E2966" s="29" t="n"/>
      <c r="F2966" s="29" t="n"/>
      <c r="G2966" s="28" t="n"/>
      <c r="H2966" s="1" t="n"/>
      <c r="I2966">
        <f>IF(OR(B2966="",C2966=""),"",B2966+MOD(C2966,1))</f>
        <v/>
      </c>
      <c r="J2966">
        <f>IF(I2966="","",IF(B2966=Dashboard!$AA$1,I2966,""))</f>
        <v/>
      </c>
    </row>
    <row r="2967">
      <c r="A2967" s="1" t="n"/>
      <c r="B2967" s="26" t="n"/>
      <c r="C2967" s="27" t="n"/>
      <c r="D2967" s="28" t="n"/>
      <c r="E2967" s="29" t="n"/>
      <c r="F2967" s="29" t="n"/>
      <c r="G2967" s="28" t="n"/>
      <c r="H2967" s="1" t="n"/>
      <c r="I2967">
        <f>IF(OR(B2967="",C2967=""),"",B2967+MOD(C2967,1))</f>
        <v/>
      </c>
      <c r="J2967">
        <f>IF(I2967="","",IF(B2967=Dashboard!$AA$1,I2967,""))</f>
        <v/>
      </c>
    </row>
    <row r="2968">
      <c r="A2968" s="1" t="n"/>
      <c r="B2968" s="26" t="n"/>
      <c r="C2968" s="27" t="n"/>
      <c r="D2968" s="28" t="n"/>
      <c r="E2968" s="29" t="n"/>
      <c r="F2968" s="29" t="n"/>
      <c r="G2968" s="28" t="n"/>
      <c r="H2968" s="1" t="n"/>
      <c r="I2968">
        <f>IF(OR(B2968="",C2968=""),"",B2968+MOD(C2968,1))</f>
        <v/>
      </c>
      <c r="J2968">
        <f>IF(I2968="","",IF(B2968=Dashboard!$AA$1,I2968,""))</f>
        <v/>
      </c>
    </row>
    <row r="2969">
      <c r="A2969" s="1" t="n"/>
      <c r="B2969" s="26" t="n"/>
      <c r="C2969" s="27" t="n"/>
      <c r="D2969" s="28" t="n"/>
      <c r="E2969" s="29" t="n"/>
      <c r="F2969" s="29" t="n"/>
      <c r="G2969" s="28" t="n"/>
      <c r="H2969" s="1" t="n"/>
      <c r="I2969">
        <f>IF(OR(B2969="",C2969=""),"",B2969+MOD(C2969,1))</f>
        <v/>
      </c>
      <c r="J2969">
        <f>IF(I2969="","",IF(B2969=Dashboard!$AA$1,I2969,""))</f>
        <v/>
      </c>
    </row>
    <row r="2970">
      <c r="A2970" s="1" t="n"/>
      <c r="B2970" s="26" t="n"/>
      <c r="C2970" s="27" t="n"/>
      <c r="D2970" s="28" t="n"/>
      <c r="E2970" s="29" t="n"/>
      <c r="F2970" s="29" t="n"/>
      <c r="G2970" s="28" t="n"/>
      <c r="H2970" s="1" t="n"/>
      <c r="I2970">
        <f>IF(OR(B2970="",C2970=""),"",B2970+MOD(C2970,1))</f>
        <v/>
      </c>
      <c r="J2970">
        <f>IF(I2970="","",IF(B2970=Dashboard!$AA$1,I2970,""))</f>
        <v/>
      </c>
    </row>
    <row r="2971">
      <c r="A2971" s="1" t="n"/>
      <c r="B2971" s="26" t="n"/>
      <c r="C2971" s="27" t="n"/>
      <c r="D2971" s="28" t="n"/>
      <c r="E2971" s="29" t="n"/>
      <c r="F2971" s="29" t="n"/>
      <c r="G2971" s="28" t="n"/>
      <c r="H2971" s="1" t="n"/>
      <c r="I2971">
        <f>IF(OR(B2971="",C2971=""),"",B2971+MOD(C2971,1))</f>
        <v/>
      </c>
      <c r="J2971">
        <f>IF(I2971="","",IF(B2971=Dashboard!$AA$1,I2971,""))</f>
        <v/>
      </c>
    </row>
    <row r="2972">
      <c r="A2972" s="1" t="n"/>
      <c r="B2972" s="26" t="n"/>
      <c r="C2972" s="27" t="n"/>
      <c r="D2972" s="28" t="n"/>
      <c r="E2972" s="29" t="n"/>
      <c r="F2972" s="29" t="n"/>
      <c r="G2972" s="28" t="n"/>
      <c r="H2972" s="1" t="n"/>
      <c r="I2972">
        <f>IF(OR(B2972="",C2972=""),"",B2972+MOD(C2972,1))</f>
        <v/>
      </c>
      <c r="J2972">
        <f>IF(I2972="","",IF(B2972=Dashboard!$AA$1,I2972,""))</f>
        <v/>
      </c>
    </row>
    <row r="2973">
      <c r="A2973" s="1" t="n"/>
      <c r="B2973" s="26" t="n"/>
      <c r="C2973" s="27" t="n"/>
      <c r="D2973" s="28" t="n"/>
      <c r="E2973" s="29" t="n"/>
      <c r="F2973" s="29" t="n"/>
      <c r="G2973" s="28" t="n"/>
      <c r="H2973" s="1" t="n"/>
      <c r="I2973">
        <f>IF(OR(B2973="",C2973=""),"",B2973+MOD(C2973,1))</f>
        <v/>
      </c>
      <c r="J2973">
        <f>IF(I2973="","",IF(B2973=Dashboard!$AA$1,I2973,""))</f>
        <v/>
      </c>
    </row>
    <row r="2974">
      <c r="A2974" s="1" t="n"/>
      <c r="B2974" s="26" t="n"/>
      <c r="C2974" s="27" t="n"/>
      <c r="D2974" s="28" t="n"/>
      <c r="E2974" s="29" t="n"/>
      <c r="F2974" s="29" t="n"/>
      <c r="G2974" s="28" t="n"/>
      <c r="H2974" s="1" t="n"/>
      <c r="I2974">
        <f>IF(OR(B2974="",C2974=""),"",B2974+MOD(C2974,1))</f>
        <v/>
      </c>
      <c r="J2974">
        <f>IF(I2974="","",IF(B2974=Dashboard!$AA$1,I2974,""))</f>
        <v/>
      </c>
    </row>
    <row r="2975">
      <c r="A2975" s="1" t="n"/>
      <c r="B2975" s="26" t="n"/>
      <c r="C2975" s="27" t="n"/>
      <c r="D2975" s="28" t="n"/>
      <c r="E2975" s="29" t="n"/>
      <c r="F2975" s="29" t="n"/>
      <c r="G2975" s="28" t="n"/>
      <c r="H2975" s="1" t="n"/>
      <c r="I2975">
        <f>IF(OR(B2975="",C2975=""),"",B2975+MOD(C2975,1))</f>
        <v/>
      </c>
      <c r="J2975">
        <f>IF(I2975="","",IF(B2975=Dashboard!$AA$1,I2975,""))</f>
        <v/>
      </c>
    </row>
    <row r="2976">
      <c r="A2976" s="1" t="n"/>
      <c r="B2976" s="26" t="n"/>
      <c r="C2976" s="27" t="n"/>
      <c r="D2976" s="28" t="n"/>
      <c r="E2976" s="29" t="n"/>
      <c r="F2976" s="29" t="n"/>
      <c r="G2976" s="28" t="n"/>
      <c r="H2976" s="1" t="n"/>
      <c r="I2976">
        <f>IF(OR(B2976="",C2976=""),"",B2976+MOD(C2976,1))</f>
        <v/>
      </c>
      <c r="J2976">
        <f>IF(I2976="","",IF(B2976=Dashboard!$AA$1,I2976,""))</f>
        <v/>
      </c>
    </row>
    <row r="2977">
      <c r="A2977" s="1" t="n"/>
      <c r="B2977" s="26" t="n"/>
      <c r="C2977" s="27" t="n"/>
      <c r="D2977" s="28" t="n"/>
      <c r="E2977" s="29" t="n"/>
      <c r="F2977" s="29" t="n"/>
      <c r="G2977" s="28" t="n"/>
      <c r="H2977" s="1" t="n"/>
      <c r="I2977">
        <f>IF(OR(B2977="",C2977=""),"",B2977+MOD(C2977,1))</f>
        <v/>
      </c>
      <c r="J2977">
        <f>IF(I2977="","",IF(B2977=Dashboard!$AA$1,I2977,""))</f>
        <v/>
      </c>
    </row>
    <row r="2978">
      <c r="A2978" s="1" t="n"/>
      <c r="B2978" s="26" t="n"/>
      <c r="C2978" s="27" t="n"/>
      <c r="D2978" s="28" t="n"/>
      <c r="E2978" s="29" t="n"/>
      <c r="F2978" s="29" t="n"/>
      <c r="G2978" s="28" t="n"/>
      <c r="H2978" s="1" t="n"/>
      <c r="I2978">
        <f>IF(OR(B2978="",C2978=""),"",B2978+MOD(C2978,1))</f>
        <v/>
      </c>
      <c r="J2978">
        <f>IF(I2978="","",IF(B2978=Dashboard!$AA$1,I2978,""))</f>
        <v/>
      </c>
    </row>
    <row r="2979">
      <c r="A2979" s="1" t="n"/>
      <c r="B2979" s="26" t="n"/>
      <c r="C2979" s="27" t="n"/>
      <c r="D2979" s="28" t="n"/>
      <c r="E2979" s="29" t="n"/>
      <c r="F2979" s="29" t="n"/>
      <c r="G2979" s="28" t="n"/>
      <c r="H2979" s="1" t="n"/>
      <c r="I2979">
        <f>IF(OR(B2979="",C2979=""),"",B2979+MOD(C2979,1))</f>
        <v/>
      </c>
      <c r="J2979">
        <f>IF(I2979="","",IF(B2979=Dashboard!$AA$1,I2979,""))</f>
        <v/>
      </c>
    </row>
    <row r="2980">
      <c r="A2980" s="1" t="n"/>
      <c r="B2980" s="26" t="n"/>
      <c r="C2980" s="27" t="n"/>
      <c r="D2980" s="28" t="n"/>
      <c r="E2980" s="29" t="n"/>
      <c r="F2980" s="29" t="n"/>
      <c r="G2980" s="28" t="n"/>
      <c r="H2980" s="1" t="n"/>
      <c r="I2980">
        <f>IF(OR(B2980="",C2980=""),"",B2980+MOD(C2980,1))</f>
        <v/>
      </c>
      <c r="J2980">
        <f>IF(I2980="","",IF(B2980=Dashboard!$AA$1,I2980,""))</f>
        <v/>
      </c>
    </row>
    <row r="2981">
      <c r="A2981" s="1" t="n"/>
      <c r="B2981" s="26" t="n"/>
      <c r="C2981" s="27" t="n"/>
      <c r="D2981" s="28" t="n"/>
      <c r="E2981" s="29" t="n"/>
      <c r="F2981" s="29" t="n"/>
      <c r="G2981" s="28" t="n"/>
      <c r="H2981" s="1" t="n"/>
      <c r="I2981">
        <f>IF(OR(B2981="",C2981=""),"",B2981+MOD(C2981,1))</f>
        <v/>
      </c>
      <c r="J2981">
        <f>IF(I2981="","",IF(B2981=Dashboard!$AA$1,I2981,""))</f>
        <v/>
      </c>
    </row>
    <row r="2982">
      <c r="A2982" s="1" t="n"/>
      <c r="B2982" s="26" t="n"/>
      <c r="C2982" s="27" t="n"/>
      <c r="D2982" s="28" t="n"/>
      <c r="E2982" s="29" t="n"/>
      <c r="F2982" s="29" t="n"/>
      <c r="G2982" s="28" t="n"/>
      <c r="H2982" s="1" t="n"/>
      <c r="I2982">
        <f>IF(OR(B2982="",C2982=""),"",B2982+MOD(C2982,1))</f>
        <v/>
      </c>
      <c r="J2982">
        <f>IF(I2982="","",IF(B2982=Dashboard!$AA$1,I2982,""))</f>
        <v/>
      </c>
    </row>
    <row r="2983">
      <c r="A2983" s="1" t="n"/>
      <c r="B2983" s="26" t="n"/>
      <c r="C2983" s="27" t="n"/>
      <c r="D2983" s="28" t="n"/>
      <c r="E2983" s="29" t="n"/>
      <c r="F2983" s="29" t="n"/>
      <c r="G2983" s="28" t="n"/>
      <c r="H2983" s="1" t="n"/>
      <c r="I2983">
        <f>IF(OR(B2983="",C2983=""),"",B2983+MOD(C2983,1))</f>
        <v/>
      </c>
      <c r="J2983">
        <f>IF(I2983="","",IF(B2983=Dashboard!$AA$1,I2983,""))</f>
        <v/>
      </c>
    </row>
    <row r="2984">
      <c r="A2984" s="1" t="n"/>
      <c r="B2984" s="26" t="n"/>
      <c r="C2984" s="27" t="n"/>
      <c r="D2984" s="28" t="n"/>
      <c r="E2984" s="29" t="n"/>
      <c r="F2984" s="29" t="n"/>
      <c r="G2984" s="28" t="n"/>
      <c r="H2984" s="1" t="n"/>
      <c r="I2984">
        <f>IF(OR(B2984="",C2984=""),"",B2984+MOD(C2984,1))</f>
        <v/>
      </c>
      <c r="J2984">
        <f>IF(I2984="","",IF(B2984=Dashboard!$AA$1,I2984,""))</f>
        <v/>
      </c>
    </row>
    <row r="2985">
      <c r="A2985" s="1" t="n"/>
      <c r="B2985" s="26" t="n"/>
      <c r="C2985" s="27" t="n"/>
      <c r="D2985" s="28" t="n"/>
      <c r="E2985" s="29" t="n"/>
      <c r="F2985" s="29" t="n"/>
      <c r="G2985" s="28" t="n"/>
      <c r="H2985" s="1" t="n"/>
      <c r="I2985">
        <f>IF(OR(B2985="",C2985=""),"",B2985+MOD(C2985,1))</f>
        <v/>
      </c>
      <c r="J2985">
        <f>IF(I2985="","",IF(B2985=Dashboard!$AA$1,I2985,""))</f>
        <v/>
      </c>
    </row>
    <row r="2986">
      <c r="A2986" s="1" t="n"/>
      <c r="B2986" s="26" t="n"/>
      <c r="C2986" s="27" t="n"/>
      <c r="D2986" s="28" t="n"/>
      <c r="E2986" s="29" t="n"/>
      <c r="F2986" s="29" t="n"/>
      <c r="G2986" s="28" t="n"/>
      <c r="H2986" s="1" t="n"/>
      <c r="I2986">
        <f>IF(OR(B2986="",C2986=""),"",B2986+MOD(C2986,1))</f>
        <v/>
      </c>
      <c r="J2986">
        <f>IF(I2986="","",IF(B2986=Dashboard!$AA$1,I2986,""))</f>
        <v/>
      </c>
    </row>
    <row r="2987">
      <c r="A2987" s="1" t="n"/>
      <c r="B2987" s="26" t="n"/>
      <c r="C2987" s="27" t="n"/>
      <c r="D2987" s="28" t="n"/>
      <c r="E2987" s="29" t="n"/>
      <c r="F2987" s="29" t="n"/>
      <c r="G2987" s="28" t="n"/>
      <c r="H2987" s="1" t="n"/>
      <c r="I2987">
        <f>IF(OR(B2987="",C2987=""),"",B2987+MOD(C2987,1))</f>
        <v/>
      </c>
      <c r="J2987">
        <f>IF(I2987="","",IF(B2987=Dashboard!$AA$1,I2987,""))</f>
        <v/>
      </c>
    </row>
    <row r="2988">
      <c r="A2988" s="1" t="n"/>
      <c r="B2988" s="26" t="n"/>
      <c r="C2988" s="27" t="n"/>
      <c r="D2988" s="28" t="n"/>
      <c r="E2988" s="29" t="n"/>
      <c r="F2988" s="29" t="n"/>
      <c r="G2988" s="28" t="n"/>
      <c r="H2988" s="1" t="n"/>
      <c r="I2988">
        <f>IF(OR(B2988="",C2988=""),"",B2988+MOD(C2988,1))</f>
        <v/>
      </c>
      <c r="J2988">
        <f>IF(I2988="","",IF(B2988=Dashboard!$AA$1,I2988,""))</f>
        <v/>
      </c>
    </row>
    <row r="2989">
      <c r="A2989" s="1" t="n"/>
      <c r="B2989" s="26" t="n"/>
      <c r="C2989" s="27" t="n"/>
      <c r="D2989" s="28" t="n"/>
      <c r="E2989" s="29" t="n"/>
      <c r="F2989" s="29" t="n"/>
      <c r="G2989" s="28" t="n"/>
      <c r="H2989" s="1" t="n"/>
      <c r="I2989">
        <f>IF(OR(B2989="",C2989=""),"",B2989+MOD(C2989,1))</f>
        <v/>
      </c>
      <c r="J2989">
        <f>IF(I2989="","",IF(B2989=Dashboard!$AA$1,I2989,""))</f>
        <v/>
      </c>
    </row>
    <row r="2990">
      <c r="A2990" s="1" t="n"/>
      <c r="B2990" s="26" t="n"/>
      <c r="C2990" s="27" t="n"/>
      <c r="D2990" s="28" t="n"/>
      <c r="E2990" s="29" t="n"/>
      <c r="F2990" s="29" t="n"/>
      <c r="G2990" s="28" t="n"/>
      <c r="H2990" s="1" t="n"/>
      <c r="I2990">
        <f>IF(OR(B2990="",C2990=""),"",B2990+MOD(C2990,1))</f>
        <v/>
      </c>
      <c r="J2990">
        <f>IF(I2990="","",IF(B2990=Dashboard!$AA$1,I2990,""))</f>
        <v/>
      </c>
    </row>
    <row r="2991">
      <c r="A2991" s="1" t="n"/>
      <c r="B2991" s="26" t="n"/>
      <c r="C2991" s="27" t="n"/>
      <c r="D2991" s="28" t="n"/>
      <c r="E2991" s="29" t="n"/>
      <c r="F2991" s="29" t="n"/>
      <c r="G2991" s="28" t="n"/>
      <c r="H2991" s="1" t="n"/>
      <c r="I2991">
        <f>IF(OR(B2991="",C2991=""),"",B2991+MOD(C2991,1))</f>
        <v/>
      </c>
      <c r="J2991">
        <f>IF(I2991="","",IF(B2991=Dashboard!$AA$1,I2991,""))</f>
        <v/>
      </c>
    </row>
    <row r="2992">
      <c r="A2992" s="1" t="n"/>
      <c r="B2992" s="26" t="n"/>
      <c r="C2992" s="27" t="n"/>
      <c r="D2992" s="28" t="n"/>
      <c r="E2992" s="29" t="n"/>
      <c r="F2992" s="29" t="n"/>
      <c r="G2992" s="28" t="n"/>
      <c r="H2992" s="1" t="n"/>
      <c r="I2992">
        <f>IF(OR(B2992="",C2992=""),"",B2992+MOD(C2992,1))</f>
        <v/>
      </c>
      <c r="J2992">
        <f>IF(I2992="","",IF(B2992=Dashboard!$AA$1,I2992,""))</f>
        <v/>
      </c>
    </row>
    <row r="2993">
      <c r="A2993" s="1" t="n"/>
      <c r="B2993" s="26" t="n"/>
      <c r="C2993" s="27" t="n"/>
      <c r="D2993" s="28" t="n"/>
      <c r="E2993" s="29" t="n"/>
      <c r="F2993" s="29" t="n"/>
      <c r="G2993" s="28" t="n"/>
      <c r="H2993" s="1" t="n"/>
      <c r="I2993">
        <f>IF(OR(B2993="",C2993=""),"",B2993+MOD(C2993,1))</f>
        <v/>
      </c>
      <c r="J2993">
        <f>IF(I2993="","",IF(B2993=Dashboard!$AA$1,I2993,""))</f>
        <v/>
      </c>
    </row>
    <row r="2994">
      <c r="A2994" s="1" t="n"/>
      <c r="B2994" s="26" t="n"/>
      <c r="C2994" s="27" t="n"/>
      <c r="D2994" s="28" t="n"/>
      <c r="E2994" s="29" t="n"/>
      <c r="F2994" s="29" t="n"/>
      <c r="G2994" s="28" t="n"/>
      <c r="H2994" s="1" t="n"/>
      <c r="I2994">
        <f>IF(OR(B2994="",C2994=""),"",B2994+MOD(C2994,1))</f>
        <v/>
      </c>
      <c r="J2994">
        <f>IF(I2994="","",IF(B2994=Dashboard!$AA$1,I2994,""))</f>
        <v/>
      </c>
    </row>
    <row r="2995">
      <c r="A2995" s="1" t="n"/>
      <c r="B2995" s="26" t="n"/>
      <c r="C2995" s="27" t="n"/>
      <c r="D2995" s="28" t="n"/>
      <c r="E2995" s="29" t="n"/>
      <c r="F2995" s="29" t="n"/>
      <c r="G2995" s="28" t="n"/>
      <c r="H2995" s="1" t="n"/>
      <c r="I2995">
        <f>IF(OR(B2995="",C2995=""),"",B2995+MOD(C2995,1))</f>
        <v/>
      </c>
      <c r="J2995">
        <f>IF(I2995="","",IF(B2995=Dashboard!$AA$1,I2995,""))</f>
        <v/>
      </c>
    </row>
    <row r="2996">
      <c r="A2996" s="1" t="n"/>
      <c r="B2996" s="26" t="n"/>
      <c r="C2996" s="27" t="n"/>
      <c r="D2996" s="28" t="n"/>
      <c r="E2996" s="29" t="n"/>
      <c r="F2996" s="29" t="n"/>
      <c r="G2996" s="28" t="n"/>
      <c r="H2996" s="1" t="n"/>
      <c r="I2996">
        <f>IF(OR(B2996="",C2996=""),"",B2996+MOD(C2996,1))</f>
        <v/>
      </c>
      <c r="J2996">
        <f>IF(I2996="","",IF(B2996=Dashboard!$AA$1,I2996,""))</f>
        <v/>
      </c>
    </row>
    <row r="2997">
      <c r="A2997" s="1" t="n"/>
      <c r="B2997" s="26" t="n"/>
      <c r="C2997" s="27" t="n"/>
      <c r="D2997" s="28" t="n"/>
      <c r="E2997" s="29" t="n"/>
      <c r="F2997" s="29" t="n"/>
      <c r="G2997" s="28" t="n"/>
      <c r="H2997" s="1" t="n"/>
      <c r="I2997">
        <f>IF(OR(B2997="",C2997=""),"",B2997+MOD(C2997,1))</f>
        <v/>
      </c>
      <c r="J2997">
        <f>IF(I2997="","",IF(B2997=Dashboard!$AA$1,I2997,""))</f>
        <v/>
      </c>
    </row>
    <row r="2998">
      <c r="A2998" s="1" t="n"/>
      <c r="B2998" s="26" t="n"/>
      <c r="C2998" s="27" t="n"/>
      <c r="D2998" s="28" t="n"/>
      <c r="E2998" s="29" t="n"/>
      <c r="F2998" s="29" t="n"/>
      <c r="G2998" s="28" t="n"/>
      <c r="H2998" s="1" t="n"/>
      <c r="I2998">
        <f>IF(OR(B2998="",C2998=""),"",B2998+MOD(C2998,1))</f>
        <v/>
      </c>
      <c r="J2998">
        <f>IF(I2998="","",IF(B2998=Dashboard!$AA$1,I2998,""))</f>
        <v/>
      </c>
    </row>
    <row r="2999">
      <c r="A2999" s="1" t="n"/>
      <c r="B2999" s="26" t="n"/>
      <c r="C2999" s="27" t="n"/>
      <c r="D2999" s="28" t="n"/>
      <c r="E2999" s="29" t="n"/>
      <c r="F2999" s="29" t="n"/>
      <c r="G2999" s="28" t="n"/>
      <c r="H2999" s="1" t="n"/>
      <c r="I2999">
        <f>IF(OR(B2999="",C2999=""),"",B2999+MOD(C2999,1))</f>
        <v/>
      </c>
      <c r="J2999">
        <f>IF(I2999="","",IF(B2999=Dashboard!$AA$1,I2999,""))</f>
        <v/>
      </c>
    </row>
    <row r="3000">
      <c r="A3000" s="1" t="n"/>
      <c r="B3000" s="26" t="n"/>
      <c r="C3000" s="27" t="n"/>
      <c r="D3000" s="28" t="n"/>
      <c r="E3000" s="29" t="n"/>
      <c r="F3000" s="29" t="n"/>
      <c r="G3000" s="28" t="n"/>
      <c r="H3000" s="1" t="n"/>
      <c r="I3000">
        <f>IF(OR(B3000="",C3000=""),"",B3000+MOD(C3000,1))</f>
        <v/>
      </c>
      <c r="J3000">
        <f>IF(I3000="","",IF(B3000=Dashboard!$AA$1,I3000,""))</f>
        <v/>
      </c>
    </row>
    <row r="3001">
      <c r="A3001" s="1" t="n"/>
      <c r="B3001" s="26" t="n"/>
      <c r="C3001" s="27" t="n"/>
      <c r="D3001" s="28" t="n"/>
      <c r="E3001" s="29" t="n"/>
      <c r="F3001" s="29" t="n"/>
      <c r="G3001" s="28" t="n"/>
      <c r="H3001" s="1" t="n"/>
      <c r="I3001">
        <f>IF(OR(B3001="",C3001=""),"",B3001+MOD(C3001,1))</f>
        <v/>
      </c>
      <c r="J3001">
        <f>IF(I3001="","",IF(B3001=Dashboard!$AA$1,I3001,""))</f>
        <v/>
      </c>
    </row>
    <row r="3002">
      <c r="A3002" s="1" t="n"/>
      <c r="B3002" s="26" t="n"/>
      <c r="C3002" s="27" t="n"/>
      <c r="D3002" s="28" t="n"/>
      <c r="E3002" s="29" t="n"/>
      <c r="F3002" s="29" t="n"/>
      <c r="G3002" s="28" t="n"/>
      <c r="H3002" s="1" t="n"/>
      <c r="I3002">
        <f>IF(OR(B3002="",C3002=""),"",B3002+MOD(C3002,1))</f>
        <v/>
      </c>
      <c r="J3002">
        <f>IF(I3002="","",IF(B3002=Dashboard!$AA$1,I3002,""))</f>
        <v/>
      </c>
    </row>
    <row r="3003">
      <c r="A3003" s="1" t="n"/>
      <c r="B3003" s="26" t="n"/>
      <c r="C3003" s="27" t="n"/>
      <c r="D3003" s="28" t="n"/>
      <c r="E3003" s="29" t="n"/>
      <c r="F3003" s="29" t="n"/>
      <c r="G3003" s="28" t="n"/>
      <c r="H3003" s="1" t="n"/>
      <c r="I3003">
        <f>IF(OR(B3003="",C3003=""),"",B3003+MOD(C3003,1))</f>
        <v/>
      </c>
      <c r="J3003">
        <f>IF(I3003="","",IF(B3003=Dashboard!$AA$1,I3003,""))</f>
        <v/>
      </c>
    </row>
    <row r="3004">
      <c r="A3004" s="1" t="n"/>
      <c r="B3004" s="26" t="n"/>
      <c r="C3004" s="27" t="n"/>
      <c r="D3004" s="28" t="n"/>
      <c r="E3004" s="29" t="n"/>
      <c r="F3004" s="29" t="n"/>
      <c r="G3004" s="28" t="n"/>
      <c r="H3004" s="1" t="n"/>
      <c r="I3004">
        <f>IF(OR(B3004="",C3004=""),"",B3004+MOD(C3004,1))</f>
        <v/>
      </c>
      <c r="J3004">
        <f>IF(I3004="","",IF(B3004=Dashboard!$AA$1,I3004,""))</f>
        <v/>
      </c>
    </row>
    <row r="3005">
      <c r="A3005" s="1" t="n"/>
      <c r="B3005" s="26" t="n"/>
      <c r="C3005" s="27" t="n"/>
      <c r="D3005" s="28" t="n"/>
      <c r="E3005" s="29" t="n"/>
      <c r="F3005" s="29" t="n"/>
      <c r="G3005" s="28" t="n"/>
      <c r="H3005" s="1" t="n"/>
      <c r="I3005">
        <f>IF(OR(B3005="",C3005=""),"",B3005+MOD(C3005,1))</f>
        <v/>
      </c>
      <c r="J3005">
        <f>IF(I3005="","",IF(B3005=Dashboard!$AA$1,I3005,""))</f>
        <v/>
      </c>
    </row>
    <row r="3006">
      <c r="A3006" s="1" t="n"/>
      <c r="B3006" s="1" t="n"/>
      <c r="C3006" s="1" t="n"/>
      <c r="D3006" s="1" t="n"/>
      <c r="E3006" s="1" t="n"/>
      <c r="F3006" s="1" t="n"/>
      <c r="G3006" s="1" t="n"/>
      <c r="H3006" s="1" t="n"/>
    </row>
  </sheetData>
  <conditionalFormatting sqref="D6:D3005">
    <cfRule type="expression" priority="1" dxfId="0">
      <formula>D6="Bottle"</formula>
    </cfRule>
  </conditionalFormatting>
  <dataValidations count="1">
    <dataValidation sqref="D6:D3005" showDropDown="0" showInputMessage="0" showErrorMessage="0" allowBlank="1" type="list">
      <formula1>"Breast, left,Breast, right,Breast, both,Bottle,Solids"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50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9" customWidth="1" min="3" max="3"/>
    <col width="9" customWidth="1" min="4" max="4"/>
    <col width="10" customWidth="1" min="5" max="5"/>
    <col width="13" customWidth="1" min="6" max="6"/>
    <col width="30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1" t="n"/>
      <c r="B2" s="2" t="inlineStr">
        <is>
          <t>Sleep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One line per sleep, from the time it started to the time it ended. A sleep past midnight counts on the day it started.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0" customHeight="1">
      <c r="A5" s="1" t="n"/>
      <c r="B5" s="14" t="inlineStr">
        <is>
          <t>Date</t>
        </is>
      </c>
      <c r="C5" s="14" t="inlineStr">
        <is>
          <t>Asleep</t>
        </is>
      </c>
      <c r="D5" s="14" t="inlineStr">
        <is>
          <t>Awake</t>
        </is>
      </c>
      <c r="E5" s="14" t="inlineStr">
        <is>
          <t>Hours</t>
        </is>
      </c>
      <c r="F5" s="14" t="inlineStr">
        <is>
          <t>Where</t>
        </is>
      </c>
      <c r="G5" s="14" t="inlineStr">
        <is>
          <t>Notes</t>
        </is>
      </c>
      <c r="H5" s="1" t="n"/>
    </row>
    <row r="6">
      <c r="A6" s="1" t="n"/>
      <c r="B6" s="26" t="n">
        <v>46284</v>
      </c>
      <c r="C6" s="27" t="n">
        <v>0.03819444444444445</v>
      </c>
      <c r="D6" s="27" t="n">
        <v>0.1319444444444444</v>
      </c>
      <c r="E6" s="21">
        <f>IF(OR(C6="",D6=""),"",ROUND(MOD(D6-C6,1)*24,2))</f>
        <v/>
      </c>
      <c r="F6" s="28" t="inlineStr">
        <is>
          <t>Cot</t>
        </is>
      </c>
      <c r="G6" s="28" t="n"/>
      <c r="H6" s="1" t="n"/>
    </row>
    <row r="7">
      <c r="A7" s="1" t="n"/>
      <c r="B7" s="26" t="n">
        <v>46284</v>
      </c>
      <c r="C7" s="27" t="n">
        <v>0.1701388888888889</v>
      </c>
      <c r="D7" s="27" t="n">
        <v>0.2673611111111111</v>
      </c>
      <c r="E7" s="21">
        <f>IF(OR(C7="",D7=""),"",ROUND(MOD(D7-C7,1)*24,2))</f>
        <v/>
      </c>
      <c r="F7" s="28" t="inlineStr">
        <is>
          <t>Cot</t>
        </is>
      </c>
      <c r="G7" s="28" t="n"/>
      <c r="H7" s="1" t="n"/>
    </row>
    <row r="8">
      <c r="A8" s="1" t="n"/>
      <c r="B8" s="26" t="n">
        <v>46284</v>
      </c>
      <c r="C8" s="27" t="n">
        <v>0.3819444444444444</v>
      </c>
      <c r="D8" s="27" t="n">
        <v>0.4305555555555556</v>
      </c>
      <c r="E8" s="21">
        <f>IF(OR(C8="",D8=""),"",ROUND(MOD(D8-C8,1)*24,2))</f>
        <v/>
      </c>
      <c r="F8" s="28" t="inlineStr">
        <is>
          <t>Pram</t>
        </is>
      </c>
      <c r="G8" s="28" t="n"/>
      <c r="H8" s="1" t="n"/>
    </row>
    <row r="9">
      <c r="A9" s="1" t="n"/>
      <c r="B9" s="26" t="n">
        <v>46284</v>
      </c>
      <c r="C9" s="27" t="n">
        <v>0.5069444444444444</v>
      </c>
      <c r="D9" s="27" t="n">
        <v>0.5763888888888888</v>
      </c>
      <c r="E9" s="21">
        <f>IF(OR(C9="",D9=""),"",ROUND(MOD(D9-C9,1)*24,2))</f>
        <v/>
      </c>
      <c r="F9" s="28" t="inlineStr">
        <is>
          <t>Cot</t>
        </is>
      </c>
      <c r="G9" s="28" t="n"/>
      <c r="H9" s="1" t="n"/>
    </row>
    <row r="10">
      <c r="A10" s="1" t="n"/>
      <c r="B10" s="26" t="n">
        <v>46284</v>
      </c>
      <c r="C10" s="27" t="n">
        <v>0.6770833333333334</v>
      </c>
      <c r="D10" s="27" t="n">
        <v>0.7048611111111112</v>
      </c>
      <c r="E10" s="21">
        <f>IF(OR(C10="",D10=""),"",ROUND(MOD(D10-C10,1)*24,2))</f>
        <v/>
      </c>
      <c r="F10" s="28" t="inlineStr">
        <is>
          <t>Arms</t>
        </is>
      </c>
      <c r="G10" s="28" t="n"/>
      <c r="H10" s="1" t="n"/>
    </row>
    <row r="11">
      <c r="A11" s="1" t="n"/>
      <c r="B11" s="26" t="n">
        <v>46284</v>
      </c>
      <c r="C11" s="27" t="n">
        <v>0.8090277777777778</v>
      </c>
      <c r="D11" s="27" t="n">
        <v>0.006944444444444444</v>
      </c>
      <c r="E11" s="21">
        <f>IF(OR(C11="",D11=""),"",ROUND(MOD(D11-C11,1)*24,2))</f>
        <v/>
      </c>
      <c r="F11" s="28" t="inlineStr">
        <is>
          <t>Cot</t>
        </is>
      </c>
      <c r="G11" s="28" t="n"/>
      <c r="H11" s="1" t="n"/>
    </row>
    <row r="12">
      <c r="A12" s="1" t="n"/>
      <c r="B12" s="26" t="n">
        <v>46285</v>
      </c>
      <c r="C12" s="27" t="n">
        <v>0.04513888888888889</v>
      </c>
      <c r="D12" s="27" t="n">
        <v>0.1319444444444444</v>
      </c>
      <c r="E12" s="21">
        <f>IF(OR(C12="",D12=""),"",ROUND(MOD(D12-C12,1)*24,2))</f>
        <v/>
      </c>
      <c r="F12" s="28" t="inlineStr">
        <is>
          <t>Cot</t>
        </is>
      </c>
      <c r="G12" s="28" t="n"/>
      <c r="H12" s="1" t="n"/>
    </row>
    <row r="13">
      <c r="A13" s="1" t="n"/>
      <c r="B13" s="26" t="n">
        <v>46285</v>
      </c>
      <c r="C13" s="27" t="n">
        <v>0.1805555555555556</v>
      </c>
      <c r="D13" s="27" t="n">
        <v>0.2743055555555556</v>
      </c>
      <c r="E13" s="21">
        <f>IF(OR(C13="",D13=""),"",ROUND(MOD(D13-C13,1)*24,2))</f>
        <v/>
      </c>
      <c r="F13" s="28" t="inlineStr">
        <is>
          <t>Cot</t>
        </is>
      </c>
      <c r="G13" s="28" t="n"/>
      <c r="H13" s="1" t="n"/>
    </row>
    <row r="14">
      <c r="A14" s="1" t="n"/>
      <c r="B14" s="26" t="n">
        <v>46285</v>
      </c>
      <c r="C14" s="27" t="n">
        <v>0.3715277777777778</v>
      </c>
      <c r="D14" s="27" t="n">
        <v>0.4201388888888889</v>
      </c>
      <c r="E14" s="21">
        <f>IF(OR(C14="",D14=""),"",ROUND(MOD(D14-C14,1)*24,2))</f>
        <v/>
      </c>
      <c r="F14" s="28" t="inlineStr">
        <is>
          <t>Pram</t>
        </is>
      </c>
      <c r="G14" s="28" t="n"/>
      <c r="H14" s="1" t="n"/>
    </row>
    <row r="15">
      <c r="A15" s="1" t="n"/>
      <c r="B15" s="26" t="n">
        <v>46285</v>
      </c>
      <c r="C15" s="27" t="n">
        <v>0.5138888888888888</v>
      </c>
      <c r="D15" s="27" t="n">
        <v>0.5729166666666666</v>
      </c>
      <c r="E15" s="21">
        <f>IF(OR(C15="",D15=""),"",ROUND(MOD(D15-C15,1)*24,2))</f>
        <v/>
      </c>
      <c r="F15" s="28" t="inlineStr">
        <is>
          <t>Cot</t>
        </is>
      </c>
      <c r="G15" s="28" t="n"/>
      <c r="H15" s="1" t="n"/>
    </row>
    <row r="16">
      <c r="A16" s="1" t="n"/>
      <c r="B16" s="26" t="n">
        <v>46285</v>
      </c>
      <c r="C16" s="27" t="n">
        <v>0.6701388888888888</v>
      </c>
      <c r="D16" s="27" t="n">
        <v>0.7013888888888888</v>
      </c>
      <c r="E16" s="21">
        <f>IF(OR(C16="",D16=""),"",ROUND(MOD(D16-C16,1)*24,2))</f>
        <v/>
      </c>
      <c r="F16" s="28" t="inlineStr">
        <is>
          <t>Arms</t>
        </is>
      </c>
      <c r="G16" s="28" t="n"/>
      <c r="H16" s="1" t="n"/>
    </row>
    <row r="17">
      <c r="A17" s="1" t="n"/>
      <c r="B17" s="26" t="n">
        <v>46285</v>
      </c>
      <c r="C17" s="27" t="n">
        <v>0.8020833333333334</v>
      </c>
      <c r="D17" s="27" t="n">
        <v>0.9756944444444444</v>
      </c>
      <c r="E17" s="21">
        <f>IF(OR(C17="",D17=""),"",ROUND(MOD(D17-C17,1)*24,2))</f>
        <v/>
      </c>
      <c r="F17" s="28" t="inlineStr">
        <is>
          <t>Cot</t>
        </is>
      </c>
      <c r="G17" s="28" t="n"/>
      <c r="H17" s="1" t="n"/>
    </row>
    <row r="18">
      <c r="A18" s="1" t="n"/>
      <c r="B18" s="26" t="n">
        <v>46286</v>
      </c>
      <c r="C18" s="27" t="n">
        <v>0.04513888888888889</v>
      </c>
      <c r="D18" s="27" t="n">
        <v>0.15625</v>
      </c>
      <c r="E18" s="21">
        <f>IF(OR(C18="",D18=""),"",ROUND(MOD(D18-C18,1)*24,2))</f>
        <v/>
      </c>
      <c r="F18" s="28" t="inlineStr">
        <is>
          <t>Cot</t>
        </is>
      </c>
      <c r="G18" s="28" t="n"/>
      <c r="H18" s="1" t="n"/>
    </row>
    <row r="19">
      <c r="A19" s="1" t="n"/>
      <c r="B19" s="26" t="n">
        <v>46286</v>
      </c>
      <c r="C19" s="27" t="n">
        <v>0.1631944444444444</v>
      </c>
      <c r="D19" s="27" t="n">
        <v>0.2569444444444444</v>
      </c>
      <c r="E19" s="21">
        <f>IF(OR(C19="",D19=""),"",ROUND(MOD(D19-C19,1)*24,2))</f>
        <v/>
      </c>
      <c r="F19" s="28" t="inlineStr">
        <is>
          <t>Cot</t>
        </is>
      </c>
      <c r="G19" s="28" t="n"/>
      <c r="H19" s="1" t="n"/>
    </row>
    <row r="20">
      <c r="A20" s="1" t="n"/>
      <c r="B20" s="26" t="n">
        <v>46286</v>
      </c>
      <c r="C20" s="27" t="n">
        <v>0.3680555555555556</v>
      </c>
      <c r="D20" s="27" t="n">
        <v>0.4236111111111111</v>
      </c>
      <c r="E20" s="21">
        <f>IF(OR(C20="",D20=""),"",ROUND(MOD(D20-C20,1)*24,2))</f>
        <v/>
      </c>
      <c r="F20" s="28" t="inlineStr">
        <is>
          <t>Pram</t>
        </is>
      </c>
      <c r="G20" s="28" t="n"/>
      <c r="H20" s="1" t="n"/>
    </row>
    <row r="21">
      <c r="A21" s="1" t="n"/>
      <c r="B21" s="26" t="n">
        <v>46286</v>
      </c>
      <c r="C21" s="27" t="n">
        <v>0.5104166666666666</v>
      </c>
      <c r="D21" s="27" t="n">
        <v>0.5798611111111112</v>
      </c>
      <c r="E21" s="21">
        <f>IF(OR(C21="",D21=""),"",ROUND(MOD(D21-C21,1)*24,2))</f>
        <v/>
      </c>
      <c r="F21" s="28" t="inlineStr">
        <is>
          <t>Cot</t>
        </is>
      </c>
      <c r="G21" s="28" t="n"/>
      <c r="H21" s="1" t="n"/>
    </row>
    <row r="22">
      <c r="A22" s="1" t="n"/>
      <c r="B22" s="26" t="n">
        <v>46286</v>
      </c>
      <c r="C22" s="27" t="n">
        <v>0.6805555555555556</v>
      </c>
      <c r="D22" s="27" t="n">
        <v>0.7083333333333334</v>
      </c>
      <c r="E22" s="21">
        <f>IF(OR(C22="",D22=""),"",ROUND(MOD(D22-C22,1)*24,2))</f>
        <v/>
      </c>
      <c r="F22" s="28" t="inlineStr">
        <is>
          <t>Arms</t>
        </is>
      </c>
      <c r="G22" s="28" t="n"/>
      <c r="H22" s="1" t="n"/>
    </row>
    <row r="23">
      <c r="A23" s="1" t="n"/>
      <c r="B23" s="26" t="n">
        <v>46286</v>
      </c>
      <c r="C23" s="27" t="n">
        <v>0.8159722222222222</v>
      </c>
      <c r="D23" s="27" t="n">
        <v>0.04166666666666666</v>
      </c>
      <c r="E23" s="21">
        <f>IF(OR(C23="",D23=""),"",ROUND(MOD(D23-C23,1)*24,2))</f>
        <v/>
      </c>
      <c r="F23" s="28" t="inlineStr">
        <is>
          <t>Cot</t>
        </is>
      </c>
      <c r="G23" s="28" t="n"/>
      <c r="H23" s="1" t="n"/>
    </row>
    <row r="24">
      <c r="A24" s="1" t="n"/>
      <c r="B24" s="26" t="n">
        <v>46287</v>
      </c>
      <c r="C24" s="27" t="n">
        <v>0.03125</v>
      </c>
      <c r="D24" s="27" t="n">
        <v>0.1458333333333333</v>
      </c>
      <c r="E24" s="21">
        <f>IF(OR(C24="",D24=""),"",ROUND(MOD(D24-C24,1)*24,2))</f>
        <v/>
      </c>
      <c r="F24" s="28" t="inlineStr">
        <is>
          <t>Cot</t>
        </is>
      </c>
      <c r="G24" s="28" t="n"/>
      <c r="H24" s="1" t="n"/>
    </row>
    <row r="25">
      <c r="A25" s="1" t="n"/>
      <c r="B25" s="26" t="n">
        <v>46287</v>
      </c>
      <c r="C25" s="27" t="n">
        <v>0.1631944444444444</v>
      </c>
      <c r="D25" s="27" t="n">
        <v>0.2534722222222222</v>
      </c>
      <c r="E25" s="21">
        <f>IF(OR(C25="",D25=""),"",ROUND(MOD(D25-C25,1)*24,2))</f>
        <v/>
      </c>
      <c r="F25" s="28" t="inlineStr">
        <is>
          <t>Cot</t>
        </is>
      </c>
      <c r="G25" s="28" t="n"/>
      <c r="H25" s="1" t="n"/>
    </row>
    <row r="26">
      <c r="A26" s="1" t="n"/>
      <c r="B26" s="26" t="n">
        <v>46287</v>
      </c>
      <c r="C26" s="27" t="n">
        <v>0.3819444444444444</v>
      </c>
      <c r="D26" s="27" t="n">
        <v>0.4270833333333333</v>
      </c>
      <c r="E26" s="21">
        <f>IF(OR(C26="",D26=""),"",ROUND(MOD(D26-C26,1)*24,2))</f>
        <v/>
      </c>
      <c r="F26" s="28" t="inlineStr">
        <is>
          <t>Pram</t>
        </is>
      </c>
      <c r="G26" s="28" t="n"/>
      <c r="H26" s="1" t="n"/>
    </row>
    <row r="27">
      <c r="A27" s="1" t="n"/>
      <c r="B27" s="26" t="n">
        <v>46287</v>
      </c>
      <c r="C27" s="27" t="n">
        <v>0.5104166666666666</v>
      </c>
      <c r="D27" s="27" t="n">
        <v>0.5694444444444444</v>
      </c>
      <c r="E27" s="21">
        <f>IF(OR(C27="",D27=""),"",ROUND(MOD(D27-C27,1)*24,2))</f>
        <v/>
      </c>
      <c r="F27" s="28" t="inlineStr">
        <is>
          <t>Cot</t>
        </is>
      </c>
      <c r="G27" s="28" t="n"/>
      <c r="H27" s="1" t="n"/>
    </row>
    <row r="28">
      <c r="A28" s="1" t="n"/>
      <c r="B28" s="26" t="n">
        <v>46287</v>
      </c>
      <c r="C28" s="27" t="n">
        <v>0.6736111111111112</v>
      </c>
      <c r="D28" s="27" t="n">
        <v>0.7048611111111112</v>
      </c>
      <c r="E28" s="21">
        <f>IF(OR(C28="",D28=""),"",ROUND(MOD(D28-C28,1)*24,2))</f>
        <v/>
      </c>
      <c r="F28" s="28" t="inlineStr">
        <is>
          <t>Arms</t>
        </is>
      </c>
      <c r="G28" s="28" t="n"/>
      <c r="H28" s="1" t="n"/>
    </row>
    <row r="29">
      <c r="A29" s="1" t="n"/>
      <c r="B29" s="26" t="n">
        <v>46287</v>
      </c>
      <c r="C29" s="27" t="n">
        <v>0.8125</v>
      </c>
      <c r="D29" s="27" t="n">
        <v>0.04166666666666666</v>
      </c>
      <c r="E29" s="21">
        <f>IF(OR(C29="",D29=""),"",ROUND(MOD(D29-C29,1)*24,2))</f>
        <v/>
      </c>
      <c r="F29" s="28" t="inlineStr">
        <is>
          <t>Cot</t>
        </is>
      </c>
      <c r="G29" s="28" t="n"/>
      <c r="H29" s="1" t="n"/>
    </row>
    <row r="30">
      <c r="A30" s="1" t="n"/>
      <c r="B30" s="26" t="n">
        <v>46288</v>
      </c>
      <c r="C30" s="27" t="n">
        <v>0.04166666666666666</v>
      </c>
      <c r="D30" s="27" t="n">
        <v>0.1458333333333333</v>
      </c>
      <c r="E30" s="21">
        <f>IF(OR(C30="",D30=""),"",ROUND(MOD(D30-C30,1)*24,2))</f>
        <v/>
      </c>
      <c r="F30" s="28" t="inlineStr">
        <is>
          <t>Cot</t>
        </is>
      </c>
      <c r="G30" s="28" t="n"/>
      <c r="H30" s="1" t="n"/>
    </row>
    <row r="31">
      <c r="A31" s="1" t="n"/>
      <c r="B31" s="26" t="n">
        <v>46288</v>
      </c>
      <c r="C31" s="27" t="n">
        <v>0.1631944444444444</v>
      </c>
      <c r="D31" s="27" t="n">
        <v>0.2638888888888889</v>
      </c>
      <c r="E31" s="21">
        <f>IF(OR(C31="",D31=""),"",ROUND(MOD(D31-C31,1)*24,2))</f>
        <v/>
      </c>
      <c r="F31" s="28" t="inlineStr">
        <is>
          <t>Cot</t>
        </is>
      </c>
      <c r="G31" s="28" t="n"/>
      <c r="H31" s="1" t="n"/>
    </row>
    <row r="32">
      <c r="A32" s="1" t="n"/>
      <c r="B32" s="26" t="n">
        <v>46288</v>
      </c>
      <c r="C32" s="27" t="n">
        <v>0.3784722222222222</v>
      </c>
      <c r="D32" s="27" t="n">
        <v>0.4270833333333333</v>
      </c>
      <c r="E32" s="21">
        <f>IF(OR(C32="",D32=""),"",ROUND(MOD(D32-C32,1)*24,2))</f>
        <v/>
      </c>
      <c r="F32" s="28" t="inlineStr">
        <is>
          <t>Pram</t>
        </is>
      </c>
      <c r="G32" s="28" t="n"/>
      <c r="H32" s="1" t="n"/>
    </row>
    <row r="33">
      <c r="A33" s="1" t="n"/>
      <c r="B33" s="26" t="n">
        <v>46288</v>
      </c>
      <c r="C33" s="27" t="n">
        <v>0.5138888888888888</v>
      </c>
      <c r="D33" s="27" t="n">
        <v>0.5763888888888888</v>
      </c>
      <c r="E33" s="21">
        <f>IF(OR(C33="",D33=""),"",ROUND(MOD(D33-C33,1)*24,2))</f>
        <v/>
      </c>
      <c r="F33" s="28" t="inlineStr">
        <is>
          <t>Cot</t>
        </is>
      </c>
      <c r="G33" s="28" t="n"/>
      <c r="H33" s="1" t="n"/>
    </row>
    <row r="34">
      <c r="A34" s="1" t="n"/>
      <c r="B34" s="26" t="n">
        <v>46288</v>
      </c>
      <c r="C34" s="27" t="n">
        <v>0.6736111111111112</v>
      </c>
      <c r="D34" s="27" t="n">
        <v>0.7013888888888888</v>
      </c>
      <c r="E34" s="21">
        <f>IF(OR(C34="",D34=""),"",ROUND(MOD(D34-C34,1)*24,2))</f>
        <v/>
      </c>
      <c r="F34" s="28" t="inlineStr">
        <is>
          <t>Arms</t>
        </is>
      </c>
      <c r="G34" s="28" t="n"/>
      <c r="H34" s="1" t="n"/>
    </row>
    <row r="35">
      <c r="A35" s="1" t="n"/>
      <c r="B35" s="26" t="n">
        <v>46288</v>
      </c>
      <c r="C35" s="27" t="n">
        <v>0.8229166666666666</v>
      </c>
      <c r="D35" s="27" t="n">
        <v>0.05208333333333334</v>
      </c>
      <c r="E35" s="21">
        <f>IF(OR(C35="",D35=""),"",ROUND(MOD(D35-C35,1)*24,2))</f>
        <v/>
      </c>
      <c r="F35" s="28" t="inlineStr">
        <is>
          <t>Cot</t>
        </is>
      </c>
      <c r="G35" s="28" t="n"/>
      <c r="H35" s="1" t="n"/>
    </row>
    <row r="36">
      <c r="A36" s="1" t="n"/>
      <c r="B36" s="26" t="n">
        <v>46289</v>
      </c>
      <c r="C36" s="27" t="n">
        <v>0.02777777777777778</v>
      </c>
      <c r="D36" s="27" t="n">
        <v>0.1180555555555556</v>
      </c>
      <c r="E36" s="21">
        <f>IF(OR(C36="",D36=""),"",ROUND(MOD(D36-C36,1)*24,2))</f>
        <v/>
      </c>
      <c r="F36" s="28" t="inlineStr">
        <is>
          <t>Cot</t>
        </is>
      </c>
      <c r="G36" s="28" t="n"/>
      <c r="H36" s="1" t="n"/>
    </row>
    <row r="37">
      <c r="A37" s="1" t="n"/>
      <c r="B37" s="26" t="n">
        <v>46289</v>
      </c>
      <c r="C37" s="27" t="n">
        <v>0.1805555555555556</v>
      </c>
      <c r="D37" s="27" t="n">
        <v>0.2673611111111111</v>
      </c>
      <c r="E37" s="21">
        <f>IF(OR(C37="",D37=""),"",ROUND(MOD(D37-C37,1)*24,2))</f>
        <v/>
      </c>
      <c r="F37" s="28" t="inlineStr">
        <is>
          <t>Cot</t>
        </is>
      </c>
      <c r="G37" s="28" t="n"/>
      <c r="H37" s="1" t="n"/>
    </row>
    <row r="38">
      <c r="A38" s="1" t="n"/>
      <c r="B38" s="26" t="n">
        <v>46289</v>
      </c>
      <c r="C38" s="27" t="n">
        <v>0.375</v>
      </c>
      <c r="D38" s="27" t="n">
        <v>0.4201388888888889</v>
      </c>
      <c r="E38" s="21">
        <f>IF(OR(C38="",D38=""),"",ROUND(MOD(D38-C38,1)*24,2))</f>
        <v/>
      </c>
      <c r="F38" s="28" t="inlineStr">
        <is>
          <t>Pram</t>
        </is>
      </c>
      <c r="G38" s="28" t="n"/>
      <c r="H38" s="1" t="n"/>
    </row>
    <row r="39">
      <c r="A39" s="1" t="n"/>
      <c r="B39" s="26" t="n">
        <v>46289</v>
      </c>
      <c r="C39" s="27" t="n">
        <v>0.5069444444444444</v>
      </c>
      <c r="D39" s="27" t="n">
        <v>0.5763888888888888</v>
      </c>
      <c r="E39" s="21">
        <f>IF(OR(C39="",D39=""),"",ROUND(MOD(D39-C39,1)*24,2))</f>
        <v/>
      </c>
      <c r="F39" s="28" t="inlineStr">
        <is>
          <t>Cot</t>
        </is>
      </c>
      <c r="G39" s="28" t="n"/>
      <c r="H39" s="1" t="n"/>
    </row>
    <row r="40">
      <c r="A40" s="1" t="n"/>
      <c r="B40" s="26" t="n">
        <v>46289</v>
      </c>
      <c r="C40" s="27" t="n">
        <v>0.6909722222222222</v>
      </c>
      <c r="D40" s="27" t="n">
        <v>0.7152777777777778</v>
      </c>
      <c r="E40" s="21">
        <f>IF(OR(C40="",D40=""),"",ROUND(MOD(D40-C40,1)*24,2))</f>
        <v/>
      </c>
      <c r="F40" s="28" t="inlineStr">
        <is>
          <t>Arms</t>
        </is>
      </c>
      <c r="G40" s="28" t="n"/>
      <c r="H40" s="1" t="n"/>
    </row>
    <row r="41">
      <c r="A41" s="1" t="n"/>
      <c r="B41" s="26" t="n">
        <v>46289</v>
      </c>
      <c r="C41" s="27" t="n">
        <v>0.8055555555555556</v>
      </c>
      <c r="D41" s="27" t="n">
        <v>0.006944444444444444</v>
      </c>
      <c r="E41" s="21">
        <f>IF(OR(C41="",D41=""),"",ROUND(MOD(D41-C41,1)*24,2))</f>
        <v/>
      </c>
      <c r="F41" s="28" t="inlineStr">
        <is>
          <t>Cot</t>
        </is>
      </c>
      <c r="G41" s="28" t="n"/>
      <c r="H41" s="1" t="n"/>
    </row>
    <row r="42">
      <c r="A42" s="1" t="n"/>
      <c r="B42" s="26" t="n">
        <v>46290</v>
      </c>
      <c r="C42" s="27" t="n">
        <v>0.03819444444444445</v>
      </c>
      <c r="D42" s="27" t="n">
        <v>0.1458333333333333</v>
      </c>
      <c r="E42" s="21">
        <f>IF(OR(C42="",D42=""),"",ROUND(MOD(D42-C42,1)*24,2))</f>
        <v/>
      </c>
      <c r="F42" s="28" t="inlineStr">
        <is>
          <t>Cot</t>
        </is>
      </c>
      <c r="G42" s="28" t="n"/>
      <c r="H42" s="1" t="n"/>
    </row>
    <row r="43">
      <c r="A43" s="1" t="n"/>
      <c r="B43" s="26" t="n">
        <v>46290</v>
      </c>
      <c r="C43" s="27" t="n">
        <v>0.1840277777777778</v>
      </c>
      <c r="D43" s="27" t="n">
        <v>0.2951388888888889</v>
      </c>
      <c r="E43" s="21">
        <f>IF(OR(C43="",D43=""),"",ROUND(MOD(D43-C43,1)*24,2))</f>
        <v/>
      </c>
      <c r="F43" s="28" t="inlineStr">
        <is>
          <t>Cot</t>
        </is>
      </c>
      <c r="G43" s="28" t="n"/>
      <c r="H43" s="1" t="n"/>
    </row>
    <row r="44">
      <c r="A44" s="1" t="n"/>
      <c r="B44" s="26" t="n">
        <v>46290</v>
      </c>
      <c r="C44" s="27" t="n">
        <v>0.3784722222222222</v>
      </c>
      <c r="D44" s="27" t="n">
        <v>0.4236111111111111</v>
      </c>
      <c r="E44" s="21">
        <f>IF(OR(C44="",D44=""),"",ROUND(MOD(D44-C44,1)*24,2))</f>
        <v/>
      </c>
      <c r="F44" s="28" t="inlineStr">
        <is>
          <t>Pram</t>
        </is>
      </c>
      <c r="G44" s="28" t="n"/>
      <c r="H44" s="1" t="n"/>
    </row>
    <row r="45">
      <c r="A45" s="1" t="n"/>
      <c r="B45" s="26" t="n">
        <v>46290</v>
      </c>
      <c r="C45" s="27" t="n">
        <v>0.5208333333333334</v>
      </c>
      <c r="D45" s="27" t="n">
        <v>0.5798611111111112</v>
      </c>
      <c r="E45" s="21">
        <f>IF(OR(C45="",D45=""),"",ROUND(MOD(D45-C45,1)*24,2))</f>
        <v/>
      </c>
      <c r="F45" s="28" t="inlineStr">
        <is>
          <t>Cot</t>
        </is>
      </c>
      <c r="G45" s="28" t="n"/>
      <c r="H45" s="1" t="n"/>
    </row>
    <row r="46">
      <c r="A46" s="1" t="n"/>
      <c r="B46" s="26" t="n">
        <v>46290</v>
      </c>
      <c r="C46" s="27" t="n">
        <v>0.6840277777777778</v>
      </c>
      <c r="D46" s="27" t="n">
        <v>0.7152777777777778</v>
      </c>
      <c r="E46" s="21">
        <f>IF(OR(C46="",D46=""),"",ROUND(MOD(D46-C46,1)*24,2))</f>
        <v/>
      </c>
      <c r="F46" s="28" t="inlineStr">
        <is>
          <t>Arms</t>
        </is>
      </c>
      <c r="G46" s="28" t="n"/>
      <c r="H46" s="1" t="n"/>
    </row>
    <row r="47">
      <c r="A47" s="1" t="n"/>
      <c r="B47" s="26" t="n">
        <v>46290</v>
      </c>
      <c r="C47" s="27" t="n">
        <v>0.8020833333333334</v>
      </c>
      <c r="D47" s="27" t="n">
        <v>0.03125</v>
      </c>
      <c r="E47" s="21">
        <f>IF(OR(C47="",D47=""),"",ROUND(MOD(D47-C47,1)*24,2))</f>
        <v/>
      </c>
      <c r="F47" s="28" t="inlineStr">
        <is>
          <t>Cot</t>
        </is>
      </c>
      <c r="G47" s="28" t="n"/>
      <c r="H47" s="1" t="n"/>
    </row>
    <row r="48">
      <c r="A48" s="1" t="n"/>
      <c r="B48" s="26" t="n">
        <v>46291</v>
      </c>
      <c r="C48" s="27" t="n">
        <v>0.02777777777777778</v>
      </c>
      <c r="D48" s="27" t="n">
        <v>0.1423611111111111</v>
      </c>
      <c r="E48" s="21">
        <f>IF(OR(C48="",D48=""),"",ROUND(MOD(D48-C48,1)*24,2))</f>
        <v/>
      </c>
      <c r="F48" s="28" t="inlineStr">
        <is>
          <t>Cot</t>
        </is>
      </c>
      <c r="G48" s="28" t="n"/>
      <c r="H48" s="1" t="n"/>
    </row>
    <row r="49">
      <c r="A49" s="1" t="n"/>
      <c r="B49" s="26" t="n">
        <v>46291</v>
      </c>
      <c r="C49" s="27" t="n">
        <v>0.1770833333333333</v>
      </c>
      <c r="D49" s="27" t="n">
        <v>0.28125</v>
      </c>
      <c r="E49" s="21">
        <f>IF(OR(C49="",D49=""),"",ROUND(MOD(D49-C49,1)*24,2))</f>
        <v/>
      </c>
      <c r="F49" s="28" t="inlineStr">
        <is>
          <t>Cot</t>
        </is>
      </c>
      <c r="G49" s="28" t="n"/>
      <c r="H49" s="1" t="n"/>
    </row>
    <row r="50">
      <c r="A50" s="1" t="n"/>
      <c r="B50" s="26" t="n">
        <v>46291</v>
      </c>
      <c r="C50" s="27" t="n">
        <v>0.3680555555555556</v>
      </c>
      <c r="D50" s="27" t="n">
        <v>0.4166666666666667</v>
      </c>
      <c r="E50" s="21">
        <f>IF(OR(C50="",D50=""),"",ROUND(MOD(D50-C50,1)*24,2))</f>
        <v/>
      </c>
      <c r="F50" s="28" t="inlineStr">
        <is>
          <t>Pram</t>
        </is>
      </c>
      <c r="G50" s="28" t="n"/>
      <c r="H50" s="1" t="n"/>
    </row>
    <row r="51">
      <c r="A51" s="1" t="n"/>
      <c r="B51" s="26" t="n">
        <v>46291</v>
      </c>
      <c r="C51" s="27" t="n">
        <v>0.5069444444444444</v>
      </c>
      <c r="D51" s="27" t="n">
        <v>0.5763888888888888</v>
      </c>
      <c r="E51" s="21">
        <f>IF(OR(C51="",D51=""),"",ROUND(MOD(D51-C51,1)*24,2))</f>
        <v/>
      </c>
      <c r="F51" s="28" t="inlineStr">
        <is>
          <t>Cot</t>
        </is>
      </c>
      <c r="G51" s="28" t="n"/>
      <c r="H51" s="1" t="n"/>
    </row>
    <row r="52">
      <c r="A52" s="1" t="n"/>
      <c r="B52" s="26" t="n">
        <v>46291</v>
      </c>
      <c r="C52" s="27" t="n">
        <v>0.6840277777777778</v>
      </c>
      <c r="D52" s="27" t="n">
        <v>0.7083333333333334</v>
      </c>
      <c r="E52" s="21">
        <f>IF(OR(C52="",D52=""),"",ROUND(MOD(D52-C52,1)*24,2))</f>
        <v/>
      </c>
      <c r="F52" s="28" t="inlineStr">
        <is>
          <t>Arms</t>
        </is>
      </c>
      <c r="G52" s="28" t="n"/>
      <c r="H52" s="1" t="n"/>
    </row>
    <row r="53">
      <c r="A53" s="1" t="n"/>
      <c r="B53" s="26" t="n">
        <v>46291</v>
      </c>
      <c r="C53" s="27" t="n">
        <v>0.8090277777777778</v>
      </c>
      <c r="D53" s="27" t="n">
        <v>0.9826388888888888</v>
      </c>
      <c r="E53" s="21">
        <f>IF(OR(C53="",D53=""),"",ROUND(MOD(D53-C53,1)*24,2))</f>
        <v/>
      </c>
      <c r="F53" s="28" t="inlineStr">
        <is>
          <t>Cot</t>
        </is>
      </c>
      <c r="G53" s="28" t="n"/>
      <c r="H53" s="1" t="n"/>
    </row>
    <row r="54">
      <c r="A54" s="1" t="n"/>
      <c r="B54" s="26" t="n">
        <v>46292</v>
      </c>
      <c r="C54" s="27" t="n">
        <v>0.03819444444444445</v>
      </c>
      <c r="D54" s="27" t="n">
        <v>0.1527777777777778</v>
      </c>
      <c r="E54" s="21">
        <f>IF(OR(C54="",D54=""),"",ROUND(MOD(D54-C54,1)*24,2))</f>
        <v/>
      </c>
      <c r="F54" s="28" t="inlineStr">
        <is>
          <t>Cot</t>
        </is>
      </c>
      <c r="G54" s="28" t="n"/>
      <c r="H54" s="1" t="n"/>
    </row>
    <row r="55">
      <c r="A55" s="1" t="n"/>
      <c r="B55" s="26" t="n">
        <v>46292</v>
      </c>
      <c r="C55" s="27" t="n">
        <v>0.1597222222222222</v>
      </c>
      <c r="D55" s="27" t="n">
        <v>0.2708333333333333</v>
      </c>
      <c r="E55" s="21">
        <f>IF(OR(C55="",D55=""),"",ROUND(MOD(D55-C55,1)*24,2))</f>
        <v/>
      </c>
      <c r="F55" s="28" t="inlineStr">
        <is>
          <t>Cot</t>
        </is>
      </c>
      <c r="G55" s="28" t="n"/>
      <c r="H55" s="1" t="n"/>
    </row>
    <row r="56">
      <c r="A56" s="1" t="n"/>
      <c r="B56" s="26" t="n">
        <v>46292</v>
      </c>
      <c r="C56" s="27" t="n">
        <v>0.3715277777777778</v>
      </c>
      <c r="D56" s="27" t="n">
        <v>0.4166666666666667</v>
      </c>
      <c r="E56" s="21">
        <f>IF(OR(C56="",D56=""),"",ROUND(MOD(D56-C56,1)*24,2))</f>
        <v/>
      </c>
      <c r="F56" s="28" t="inlineStr">
        <is>
          <t>Pram</t>
        </is>
      </c>
      <c r="G56" s="28" t="n"/>
      <c r="H56" s="1" t="n"/>
    </row>
    <row r="57">
      <c r="A57" s="1" t="n"/>
      <c r="B57" s="26" t="n">
        <v>46292</v>
      </c>
      <c r="C57" s="27" t="n">
        <v>0.5034722222222222</v>
      </c>
      <c r="D57" s="27" t="n">
        <v>0.5729166666666666</v>
      </c>
      <c r="E57" s="21">
        <f>IF(OR(C57="",D57=""),"",ROUND(MOD(D57-C57,1)*24,2))</f>
        <v/>
      </c>
      <c r="F57" s="28" t="inlineStr">
        <is>
          <t>Cot</t>
        </is>
      </c>
      <c r="G57" s="28" t="n"/>
      <c r="H57" s="1" t="n"/>
    </row>
    <row r="58">
      <c r="A58" s="1" t="n"/>
      <c r="B58" s="26" t="n">
        <v>46292</v>
      </c>
      <c r="C58" s="27" t="n">
        <v>0.6701388888888888</v>
      </c>
      <c r="D58" s="27" t="n">
        <v>0.7013888888888888</v>
      </c>
      <c r="E58" s="21">
        <f>IF(OR(C58="",D58=""),"",ROUND(MOD(D58-C58,1)*24,2))</f>
        <v/>
      </c>
      <c r="F58" s="28" t="inlineStr">
        <is>
          <t>Arms</t>
        </is>
      </c>
      <c r="G58" s="28" t="n"/>
      <c r="H58" s="1" t="n"/>
    </row>
    <row r="59">
      <c r="A59" s="1" t="n"/>
      <c r="B59" s="26" t="n">
        <v>46292</v>
      </c>
      <c r="C59" s="27" t="n">
        <v>0.8090277777777778</v>
      </c>
      <c r="D59" s="27" t="n">
        <v>0.04166666666666666</v>
      </c>
      <c r="E59" s="21">
        <f>IF(OR(C59="",D59=""),"",ROUND(MOD(D59-C59,1)*24,2))</f>
        <v/>
      </c>
      <c r="F59" s="28" t="inlineStr">
        <is>
          <t>Cot</t>
        </is>
      </c>
      <c r="G59" s="28" t="n"/>
      <c r="H59" s="1" t="n"/>
    </row>
    <row r="60">
      <c r="A60" s="1" t="n"/>
      <c r="B60" s="26" t="n">
        <v>46293</v>
      </c>
      <c r="C60" s="27" t="n">
        <v>0.03472222222222222</v>
      </c>
      <c r="D60" s="27" t="n">
        <v>0.1319444444444444</v>
      </c>
      <c r="E60" s="21">
        <f>IF(OR(C60="",D60=""),"",ROUND(MOD(D60-C60,1)*24,2))</f>
        <v/>
      </c>
      <c r="F60" s="28" t="inlineStr">
        <is>
          <t>Cot</t>
        </is>
      </c>
      <c r="G60" s="28" t="n"/>
      <c r="H60" s="1" t="n"/>
    </row>
    <row r="61">
      <c r="A61" s="1" t="n"/>
      <c r="B61" s="26" t="n">
        <v>46293</v>
      </c>
      <c r="C61" s="27" t="n">
        <v>0.1736111111111111</v>
      </c>
      <c r="D61" s="27" t="n">
        <v>0.2847222222222222</v>
      </c>
      <c r="E61" s="21">
        <f>IF(OR(C61="",D61=""),"",ROUND(MOD(D61-C61,1)*24,2))</f>
        <v/>
      </c>
      <c r="F61" s="28" t="inlineStr">
        <is>
          <t>Cot</t>
        </is>
      </c>
      <c r="G61" s="28" t="n"/>
      <c r="H61" s="1" t="n"/>
    </row>
    <row r="62">
      <c r="A62" s="1" t="n"/>
      <c r="B62" s="26" t="n">
        <v>46293</v>
      </c>
      <c r="C62" s="27" t="n">
        <v>0.3854166666666667</v>
      </c>
      <c r="D62" s="27" t="n">
        <v>0.4340277777777778</v>
      </c>
      <c r="E62" s="21">
        <f>IF(OR(C62="",D62=""),"",ROUND(MOD(D62-C62,1)*24,2))</f>
        <v/>
      </c>
      <c r="F62" s="28" t="inlineStr">
        <is>
          <t>Pram</t>
        </is>
      </c>
      <c r="G62" s="28" t="n"/>
      <c r="H62" s="1" t="n"/>
    </row>
    <row r="63">
      <c r="A63" s="1" t="n"/>
      <c r="B63" s="26" t="n">
        <v>46293</v>
      </c>
      <c r="C63" s="27" t="n">
        <v>0.5069444444444444</v>
      </c>
      <c r="D63" s="27" t="n">
        <v>0.5694444444444444</v>
      </c>
      <c r="E63" s="21">
        <f>IF(OR(C63="",D63=""),"",ROUND(MOD(D63-C63,1)*24,2))</f>
        <v/>
      </c>
      <c r="F63" s="28" t="inlineStr">
        <is>
          <t>Cot</t>
        </is>
      </c>
      <c r="G63" s="28" t="n"/>
      <c r="H63" s="1" t="n"/>
    </row>
    <row r="64">
      <c r="A64" s="1" t="n"/>
      <c r="B64" s="26" t="n"/>
      <c r="C64" s="27" t="n"/>
      <c r="D64" s="27" t="n"/>
      <c r="E64" s="21">
        <f>IF(OR(C64="",D64=""),"",ROUND(MOD(D64-C64,1)*24,2))</f>
        <v/>
      </c>
      <c r="F64" s="28" t="n"/>
      <c r="G64" s="28" t="n"/>
      <c r="H64" s="1" t="n"/>
    </row>
    <row r="65">
      <c r="A65" s="1" t="n"/>
      <c r="B65" s="26" t="n"/>
      <c r="C65" s="27" t="n"/>
      <c r="D65" s="27" t="n"/>
      <c r="E65" s="21">
        <f>IF(OR(C65="",D65=""),"",ROUND(MOD(D65-C65,1)*24,2))</f>
        <v/>
      </c>
      <c r="F65" s="28" t="n"/>
      <c r="G65" s="28" t="n"/>
      <c r="H65" s="1" t="n"/>
    </row>
    <row r="66">
      <c r="A66" s="1" t="n"/>
      <c r="B66" s="26" t="n"/>
      <c r="C66" s="27" t="n"/>
      <c r="D66" s="27" t="n"/>
      <c r="E66" s="21">
        <f>IF(OR(C66="",D66=""),"",ROUND(MOD(D66-C66,1)*24,2))</f>
        <v/>
      </c>
      <c r="F66" s="28" t="n"/>
      <c r="G66" s="28" t="n"/>
      <c r="H66" s="1" t="n"/>
    </row>
    <row r="67">
      <c r="A67" s="1" t="n"/>
      <c r="B67" s="26" t="n"/>
      <c r="C67" s="27" t="n"/>
      <c r="D67" s="27" t="n"/>
      <c r="E67" s="21">
        <f>IF(OR(C67="",D67=""),"",ROUND(MOD(D67-C67,1)*24,2))</f>
        <v/>
      </c>
      <c r="F67" s="28" t="n"/>
      <c r="G67" s="28" t="n"/>
      <c r="H67" s="1" t="n"/>
    </row>
    <row r="68">
      <c r="A68" s="1" t="n"/>
      <c r="B68" s="26" t="n"/>
      <c r="C68" s="27" t="n"/>
      <c r="D68" s="27" t="n"/>
      <c r="E68" s="21">
        <f>IF(OR(C68="",D68=""),"",ROUND(MOD(D68-C68,1)*24,2))</f>
        <v/>
      </c>
      <c r="F68" s="28" t="n"/>
      <c r="G68" s="28" t="n"/>
      <c r="H68" s="1" t="n"/>
    </row>
    <row r="69">
      <c r="A69" s="1" t="n"/>
      <c r="B69" s="26" t="n"/>
      <c r="C69" s="27" t="n"/>
      <c r="D69" s="27" t="n"/>
      <c r="E69" s="21">
        <f>IF(OR(C69="",D69=""),"",ROUND(MOD(D69-C69,1)*24,2))</f>
        <v/>
      </c>
      <c r="F69" s="28" t="n"/>
      <c r="G69" s="28" t="n"/>
      <c r="H69" s="1" t="n"/>
    </row>
    <row r="70">
      <c r="A70" s="1" t="n"/>
      <c r="B70" s="26" t="n"/>
      <c r="C70" s="27" t="n"/>
      <c r="D70" s="27" t="n"/>
      <c r="E70" s="21">
        <f>IF(OR(C70="",D70=""),"",ROUND(MOD(D70-C70,1)*24,2))</f>
        <v/>
      </c>
      <c r="F70" s="28" t="n"/>
      <c r="G70" s="28" t="n"/>
      <c r="H70" s="1" t="n"/>
    </row>
    <row r="71">
      <c r="A71" s="1" t="n"/>
      <c r="B71" s="26" t="n"/>
      <c r="C71" s="27" t="n"/>
      <c r="D71" s="27" t="n"/>
      <c r="E71" s="21">
        <f>IF(OR(C71="",D71=""),"",ROUND(MOD(D71-C71,1)*24,2))</f>
        <v/>
      </c>
      <c r="F71" s="28" t="n"/>
      <c r="G71" s="28" t="n"/>
      <c r="H71" s="1" t="n"/>
    </row>
    <row r="72">
      <c r="A72" s="1" t="n"/>
      <c r="B72" s="26" t="n"/>
      <c r="C72" s="27" t="n"/>
      <c r="D72" s="27" t="n"/>
      <c r="E72" s="21">
        <f>IF(OR(C72="",D72=""),"",ROUND(MOD(D72-C72,1)*24,2))</f>
        <v/>
      </c>
      <c r="F72" s="28" t="n"/>
      <c r="G72" s="28" t="n"/>
      <c r="H72" s="1" t="n"/>
    </row>
    <row r="73">
      <c r="A73" s="1" t="n"/>
      <c r="B73" s="26" t="n"/>
      <c r="C73" s="27" t="n"/>
      <c r="D73" s="27" t="n"/>
      <c r="E73" s="21">
        <f>IF(OR(C73="",D73=""),"",ROUND(MOD(D73-C73,1)*24,2))</f>
        <v/>
      </c>
      <c r="F73" s="28" t="n"/>
      <c r="G73" s="28" t="n"/>
      <c r="H73" s="1" t="n"/>
    </row>
    <row r="74">
      <c r="A74" s="1" t="n"/>
      <c r="B74" s="26" t="n"/>
      <c r="C74" s="27" t="n"/>
      <c r="D74" s="27" t="n"/>
      <c r="E74" s="21">
        <f>IF(OR(C74="",D74=""),"",ROUND(MOD(D74-C74,1)*24,2))</f>
        <v/>
      </c>
      <c r="F74" s="28" t="n"/>
      <c r="G74" s="28" t="n"/>
      <c r="H74" s="1" t="n"/>
    </row>
    <row r="75">
      <c r="A75" s="1" t="n"/>
      <c r="B75" s="26" t="n"/>
      <c r="C75" s="27" t="n"/>
      <c r="D75" s="27" t="n"/>
      <c r="E75" s="21">
        <f>IF(OR(C75="",D75=""),"",ROUND(MOD(D75-C75,1)*24,2))</f>
        <v/>
      </c>
      <c r="F75" s="28" t="n"/>
      <c r="G75" s="28" t="n"/>
      <c r="H75" s="1" t="n"/>
    </row>
    <row r="76">
      <c r="A76" s="1" t="n"/>
      <c r="B76" s="26" t="n"/>
      <c r="C76" s="27" t="n"/>
      <c r="D76" s="27" t="n"/>
      <c r="E76" s="21">
        <f>IF(OR(C76="",D76=""),"",ROUND(MOD(D76-C76,1)*24,2))</f>
        <v/>
      </c>
      <c r="F76" s="28" t="n"/>
      <c r="G76" s="28" t="n"/>
      <c r="H76" s="1" t="n"/>
    </row>
    <row r="77">
      <c r="A77" s="1" t="n"/>
      <c r="B77" s="26" t="n"/>
      <c r="C77" s="27" t="n"/>
      <c r="D77" s="27" t="n"/>
      <c r="E77" s="21">
        <f>IF(OR(C77="",D77=""),"",ROUND(MOD(D77-C77,1)*24,2))</f>
        <v/>
      </c>
      <c r="F77" s="28" t="n"/>
      <c r="G77" s="28" t="n"/>
      <c r="H77" s="1" t="n"/>
    </row>
    <row r="78">
      <c r="A78" s="1" t="n"/>
      <c r="B78" s="26" t="n"/>
      <c r="C78" s="27" t="n"/>
      <c r="D78" s="27" t="n"/>
      <c r="E78" s="21">
        <f>IF(OR(C78="",D78=""),"",ROUND(MOD(D78-C78,1)*24,2))</f>
        <v/>
      </c>
      <c r="F78" s="28" t="n"/>
      <c r="G78" s="28" t="n"/>
      <c r="H78" s="1" t="n"/>
    </row>
    <row r="79">
      <c r="A79" s="1" t="n"/>
      <c r="B79" s="26" t="n"/>
      <c r="C79" s="27" t="n"/>
      <c r="D79" s="27" t="n"/>
      <c r="E79" s="21">
        <f>IF(OR(C79="",D79=""),"",ROUND(MOD(D79-C79,1)*24,2))</f>
        <v/>
      </c>
      <c r="F79" s="28" t="n"/>
      <c r="G79" s="28" t="n"/>
      <c r="H79" s="1" t="n"/>
    </row>
    <row r="80">
      <c r="A80" s="1" t="n"/>
      <c r="B80" s="26" t="n"/>
      <c r="C80" s="27" t="n"/>
      <c r="D80" s="27" t="n"/>
      <c r="E80" s="21">
        <f>IF(OR(C80="",D80=""),"",ROUND(MOD(D80-C80,1)*24,2))</f>
        <v/>
      </c>
      <c r="F80" s="28" t="n"/>
      <c r="G80" s="28" t="n"/>
      <c r="H80" s="1" t="n"/>
    </row>
    <row r="81">
      <c r="A81" s="1" t="n"/>
      <c r="B81" s="26" t="n"/>
      <c r="C81" s="27" t="n"/>
      <c r="D81" s="27" t="n"/>
      <c r="E81" s="21">
        <f>IF(OR(C81="",D81=""),"",ROUND(MOD(D81-C81,1)*24,2))</f>
        <v/>
      </c>
      <c r="F81" s="28" t="n"/>
      <c r="G81" s="28" t="n"/>
      <c r="H81" s="1" t="n"/>
    </row>
    <row r="82">
      <c r="A82" s="1" t="n"/>
      <c r="B82" s="26" t="n"/>
      <c r="C82" s="27" t="n"/>
      <c r="D82" s="27" t="n"/>
      <c r="E82" s="21">
        <f>IF(OR(C82="",D82=""),"",ROUND(MOD(D82-C82,1)*24,2))</f>
        <v/>
      </c>
      <c r="F82" s="28" t="n"/>
      <c r="G82" s="28" t="n"/>
      <c r="H82" s="1" t="n"/>
    </row>
    <row r="83">
      <c r="A83" s="1" t="n"/>
      <c r="B83" s="26" t="n"/>
      <c r="C83" s="27" t="n"/>
      <c r="D83" s="27" t="n"/>
      <c r="E83" s="21">
        <f>IF(OR(C83="",D83=""),"",ROUND(MOD(D83-C83,1)*24,2))</f>
        <v/>
      </c>
      <c r="F83" s="28" t="n"/>
      <c r="G83" s="28" t="n"/>
      <c r="H83" s="1" t="n"/>
    </row>
    <row r="84">
      <c r="A84" s="1" t="n"/>
      <c r="B84" s="26" t="n"/>
      <c r="C84" s="27" t="n"/>
      <c r="D84" s="27" t="n"/>
      <c r="E84" s="21">
        <f>IF(OR(C84="",D84=""),"",ROUND(MOD(D84-C84,1)*24,2))</f>
        <v/>
      </c>
      <c r="F84" s="28" t="n"/>
      <c r="G84" s="28" t="n"/>
      <c r="H84" s="1" t="n"/>
    </row>
    <row r="85">
      <c r="A85" s="1" t="n"/>
      <c r="B85" s="26" t="n"/>
      <c r="C85" s="27" t="n"/>
      <c r="D85" s="27" t="n"/>
      <c r="E85" s="21">
        <f>IF(OR(C85="",D85=""),"",ROUND(MOD(D85-C85,1)*24,2))</f>
        <v/>
      </c>
      <c r="F85" s="28" t="n"/>
      <c r="G85" s="28" t="n"/>
      <c r="H85" s="1" t="n"/>
    </row>
    <row r="86">
      <c r="A86" s="1" t="n"/>
      <c r="B86" s="26" t="n"/>
      <c r="C86" s="27" t="n"/>
      <c r="D86" s="27" t="n"/>
      <c r="E86" s="21">
        <f>IF(OR(C86="",D86=""),"",ROUND(MOD(D86-C86,1)*24,2))</f>
        <v/>
      </c>
      <c r="F86" s="28" t="n"/>
      <c r="G86" s="28" t="n"/>
      <c r="H86" s="1" t="n"/>
    </row>
    <row r="87">
      <c r="A87" s="1" t="n"/>
      <c r="B87" s="26" t="n"/>
      <c r="C87" s="27" t="n"/>
      <c r="D87" s="27" t="n"/>
      <c r="E87" s="21">
        <f>IF(OR(C87="",D87=""),"",ROUND(MOD(D87-C87,1)*24,2))</f>
        <v/>
      </c>
      <c r="F87" s="28" t="n"/>
      <c r="G87" s="28" t="n"/>
      <c r="H87" s="1" t="n"/>
    </row>
    <row r="88">
      <c r="A88" s="1" t="n"/>
      <c r="B88" s="26" t="n"/>
      <c r="C88" s="27" t="n"/>
      <c r="D88" s="27" t="n"/>
      <c r="E88" s="21">
        <f>IF(OR(C88="",D88=""),"",ROUND(MOD(D88-C88,1)*24,2))</f>
        <v/>
      </c>
      <c r="F88" s="28" t="n"/>
      <c r="G88" s="28" t="n"/>
      <c r="H88" s="1" t="n"/>
    </row>
    <row r="89">
      <c r="A89" s="1" t="n"/>
      <c r="B89" s="26" t="n"/>
      <c r="C89" s="27" t="n"/>
      <c r="D89" s="27" t="n"/>
      <c r="E89" s="21">
        <f>IF(OR(C89="",D89=""),"",ROUND(MOD(D89-C89,1)*24,2))</f>
        <v/>
      </c>
      <c r="F89" s="28" t="n"/>
      <c r="G89" s="28" t="n"/>
      <c r="H89" s="1" t="n"/>
    </row>
    <row r="90">
      <c r="A90" s="1" t="n"/>
      <c r="B90" s="26" t="n"/>
      <c r="C90" s="27" t="n"/>
      <c r="D90" s="27" t="n"/>
      <c r="E90" s="21">
        <f>IF(OR(C90="",D90=""),"",ROUND(MOD(D90-C90,1)*24,2))</f>
        <v/>
      </c>
      <c r="F90" s="28" t="n"/>
      <c r="G90" s="28" t="n"/>
      <c r="H90" s="1" t="n"/>
    </row>
    <row r="91">
      <c r="A91" s="1" t="n"/>
      <c r="B91" s="26" t="n"/>
      <c r="C91" s="27" t="n"/>
      <c r="D91" s="27" t="n"/>
      <c r="E91" s="21">
        <f>IF(OR(C91="",D91=""),"",ROUND(MOD(D91-C91,1)*24,2))</f>
        <v/>
      </c>
      <c r="F91" s="28" t="n"/>
      <c r="G91" s="28" t="n"/>
      <c r="H91" s="1" t="n"/>
    </row>
    <row r="92">
      <c r="A92" s="1" t="n"/>
      <c r="B92" s="26" t="n"/>
      <c r="C92" s="27" t="n"/>
      <c r="D92" s="27" t="n"/>
      <c r="E92" s="21">
        <f>IF(OR(C92="",D92=""),"",ROUND(MOD(D92-C92,1)*24,2))</f>
        <v/>
      </c>
      <c r="F92" s="28" t="n"/>
      <c r="G92" s="28" t="n"/>
      <c r="H92" s="1" t="n"/>
    </row>
    <row r="93">
      <c r="A93" s="1" t="n"/>
      <c r="B93" s="26" t="n"/>
      <c r="C93" s="27" t="n"/>
      <c r="D93" s="27" t="n"/>
      <c r="E93" s="21">
        <f>IF(OR(C93="",D93=""),"",ROUND(MOD(D93-C93,1)*24,2))</f>
        <v/>
      </c>
      <c r="F93" s="28" t="n"/>
      <c r="G93" s="28" t="n"/>
      <c r="H93" s="1" t="n"/>
    </row>
    <row r="94">
      <c r="A94" s="1" t="n"/>
      <c r="B94" s="26" t="n"/>
      <c r="C94" s="27" t="n"/>
      <c r="D94" s="27" t="n"/>
      <c r="E94" s="21">
        <f>IF(OR(C94="",D94=""),"",ROUND(MOD(D94-C94,1)*24,2))</f>
        <v/>
      </c>
      <c r="F94" s="28" t="n"/>
      <c r="G94" s="28" t="n"/>
      <c r="H94" s="1" t="n"/>
    </row>
    <row r="95">
      <c r="A95" s="1" t="n"/>
      <c r="B95" s="26" t="n"/>
      <c r="C95" s="27" t="n"/>
      <c r="D95" s="27" t="n"/>
      <c r="E95" s="21">
        <f>IF(OR(C95="",D95=""),"",ROUND(MOD(D95-C95,1)*24,2))</f>
        <v/>
      </c>
      <c r="F95" s="28" t="n"/>
      <c r="G95" s="28" t="n"/>
      <c r="H95" s="1" t="n"/>
    </row>
    <row r="96">
      <c r="A96" s="1" t="n"/>
      <c r="B96" s="26" t="n"/>
      <c r="C96" s="27" t="n"/>
      <c r="D96" s="27" t="n"/>
      <c r="E96" s="21">
        <f>IF(OR(C96="",D96=""),"",ROUND(MOD(D96-C96,1)*24,2))</f>
        <v/>
      </c>
      <c r="F96" s="28" t="n"/>
      <c r="G96" s="28" t="n"/>
      <c r="H96" s="1" t="n"/>
    </row>
    <row r="97">
      <c r="A97" s="1" t="n"/>
      <c r="B97" s="26" t="n"/>
      <c r="C97" s="27" t="n"/>
      <c r="D97" s="27" t="n"/>
      <c r="E97" s="21">
        <f>IF(OR(C97="",D97=""),"",ROUND(MOD(D97-C97,1)*24,2))</f>
        <v/>
      </c>
      <c r="F97" s="28" t="n"/>
      <c r="G97" s="28" t="n"/>
      <c r="H97" s="1" t="n"/>
    </row>
    <row r="98">
      <c r="A98" s="1" t="n"/>
      <c r="B98" s="26" t="n"/>
      <c r="C98" s="27" t="n"/>
      <c r="D98" s="27" t="n"/>
      <c r="E98" s="21">
        <f>IF(OR(C98="",D98=""),"",ROUND(MOD(D98-C98,1)*24,2))</f>
        <v/>
      </c>
      <c r="F98" s="28" t="n"/>
      <c r="G98" s="28" t="n"/>
      <c r="H98" s="1" t="n"/>
    </row>
    <row r="99">
      <c r="A99" s="1" t="n"/>
      <c r="B99" s="26" t="n"/>
      <c r="C99" s="27" t="n"/>
      <c r="D99" s="27" t="n"/>
      <c r="E99" s="21">
        <f>IF(OR(C99="",D99=""),"",ROUND(MOD(D99-C99,1)*24,2))</f>
        <v/>
      </c>
      <c r="F99" s="28" t="n"/>
      <c r="G99" s="28" t="n"/>
      <c r="H99" s="1" t="n"/>
    </row>
    <row r="100">
      <c r="A100" s="1" t="n"/>
      <c r="B100" s="26" t="n"/>
      <c r="C100" s="27" t="n"/>
      <c r="D100" s="27" t="n"/>
      <c r="E100" s="21">
        <f>IF(OR(C100="",D100=""),"",ROUND(MOD(D100-C100,1)*24,2))</f>
        <v/>
      </c>
      <c r="F100" s="28" t="n"/>
      <c r="G100" s="28" t="n"/>
      <c r="H100" s="1" t="n"/>
    </row>
    <row r="101">
      <c r="A101" s="1" t="n"/>
      <c r="B101" s="26" t="n"/>
      <c r="C101" s="27" t="n"/>
      <c r="D101" s="27" t="n"/>
      <c r="E101" s="21">
        <f>IF(OR(C101="",D101=""),"",ROUND(MOD(D101-C101,1)*24,2))</f>
        <v/>
      </c>
      <c r="F101" s="28" t="n"/>
      <c r="G101" s="28" t="n"/>
      <c r="H101" s="1" t="n"/>
    </row>
    <row r="102">
      <c r="A102" s="1" t="n"/>
      <c r="B102" s="26" t="n"/>
      <c r="C102" s="27" t="n"/>
      <c r="D102" s="27" t="n"/>
      <c r="E102" s="21">
        <f>IF(OR(C102="",D102=""),"",ROUND(MOD(D102-C102,1)*24,2))</f>
        <v/>
      </c>
      <c r="F102" s="28" t="n"/>
      <c r="G102" s="28" t="n"/>
      <c r="H102" s="1" t="n"/>
    </row>
    <row r="103">
      <c r="A103" s="1" t="n"/>
      <c r="B103" s="26" t="n"/>
      <c r="C103" s="27" t="n"/>
      <c r="D103" s="27" t="n"/>
      <c r="E103" s="21">
        <f>IF(OR(C103="",D103=""),"",ROUND(MOD(D103-C103,1)*24,2))</f>
        <v/>
      </c>
      <c r="F103" s="28" t="n"/>
      <c r="G103" s="28" t="n"/>
      <c r="H103" s="1" t="n"/>
    </row>
    <row r="104">
      <c r="A104" s="1" t="n"/>
      <c r="B104" s="26" t="n"/>
      <c r="C104" s="27" t="n"/>
      <c r="D104" s="27" t="n"/>
      <c r="E104" s="21">
        <f>IF(OR(C104="",D104=""),"",ROUND(MOD(D104-C104,1)*24,2))</f>
        <v/>
      </c>
      <c r="F104" s="28" t="n"/>
      <c r="G104" s="28" t="n"/>
      <c r="H104" s="1" t="n"/>
    </row>
    <row r="105">
      <c r="A105" s="1" t="n"/>
      <c r="B105" s="26" t="n"/>
      <c r="C105" s="27" t="n"/>
      <c r="D105" s="27" t="n"/>
      <c r="E105" s="21">
        <f>IF(OR(C105="",D105=""),"",ROUND(MOD(D105-C105,1)*24,2))</f>
        <v/>
      </c>
      <c r="F105" s="28" t="n"/>
      <c r="G105" s="28" t="n"/>
      <c r="H105" s="1" t="n"/>
    </row>
    <row r="106">
      <c r="A106" s="1" t="n"/>
      <c r="B106" s="26" t="n"/>
      <c r="C106" s="27" t="n"/>
      <c r="D106" s="27" t="n"/>
      <c r="E106" s="21">
        <f>IF(OR(C106="",D106=""),"",ROUND(MOD(D106-C106,1)*24,2))</f>
        <v/>
      </c>
      <c r="F106" s="28" t="n"/>
      <c r="G106" s="28" t="n"/>
      <c r="H106" s="1" t="n"/>
    </row>
    <row r="107">
      <c r="A107" s="1" t="n"/>
      <c r="B107" s="26" t="n"/>
      <c r="C107" s="27" t="n"/>
      <c r="D107" s="27" t="n"/>
      <c r="E107" s="21">
        <f>IF(OR(C107="",D107=""),"",ROUND(MOD(D107-C107,1)*24,2))</f>
        <v/>
      </c>
      <c r="F107" s="28" t="n"/>
      <c r="G107" s="28" t="n"/>
      <c r="H107" s="1" t="n"/>
    </row>
    <row r="108">
      <c r="A108" s="1" t="n"/>
      <c r="B108" s="26" t="n"/>
      <c r="C108" s="27" t="n"/>
      <c r="D108" s="27" t="n"/>
      <c r="E108" s="21">
        <f>IF(OR(C108="",D108=""),"",ROUND(MOD(D108-C108,1)*24,2))</f>
        <v/>
      </c>
      <c r="F108" s="28" t="n"/>
      <c r="G108" s="28" t="n"/>
      <c r="H108" s="1" t="n"/>
    </row>
    <row r="109">
      <c r="A109" s="1" t="n"/>
      <c r="B109" s="26" t="n"/>
      <c r="C109" s="27" t="n"/>
      <c r="D109" s="27" t="n"/>
      <c r="E109" s="21">
        <f>IF(OR(C109="",D109=""),"",ROUND(MOD(D109-C109,1)*24,2))</f>
        <v/>
      </c>
      <c r="F109" s="28" t="n"/>
      <c r="G109" s="28" t="n"/>
      <c r="H109" s="1" t="n"/>
    </row>
    <row r="110">
      <c r="A110" s="1" t="n"/>
      <c r="B110" s="26" t="n"/>
      <c r="C110" s="27" t="n"/>
      <c r="D110" s="27" t="n"/>
      <c r="E110" s="21">
        <f>IF(OR(C110="",D110=""),"",ROUND(MOD(D110-C110,1)*24,2))</f>
        <v/>
      </c>
      <c r="F110" s="28" t="n"/>
      <c r="G110" s="28" t="n"/>
      <c r="H110" s="1" t="n"/>
    </row>
    <row r="111">
      <c r="A111" s="1" t="n"/>
      <c r="B111" s="26" t="n"/>
      <c r="C111" s="27" t="n"/>
      <c r="D111" s="27" t="n"/>
      <c r="E111" s="21">
        <f>IF(OR(C111="",D111=""),"",ROUND(MOD(D111-C111,1)*24,2))</f>
        <v/>
      </c>
      <c r="F111" s="28" t="n"/>
      <c r="G111" s="28" t="n"/>
      <c r="H111" s="1" t="n"/>
    </row>
    <row r="112">
      <c r="A112" s="1" t="n"/>
      <c r="B112" s="26" t="n"/>
      <c r="C112" s="27" t="n"/>
      <c r="D112" s="27" t="n"/>
      <c r="E112" s="21">
        <f>IF(OR(C112="",D112=""),"",ROUND(MOD(D112-C112,1)*24,2))</f>
        <v/>
      </c>
      <c r="F112" s="28" t="n"/>
      <c r="G112" s="28" t="n"/>
      <c r="H112" s="1" t="n"/>
    </row>
    <row r="113">
      <c r="A113" s="1" t="n"/>
      <c r="B113" s="26" t="n"/>
      <c r="C113" s="27" t="n"/>
      <c r="D113" s="27" t="n"/>
      <c r="E113" s="21">
        <f>IF(OR(C113="",D113=""),"",ROUND(MOD(D113-C113,1)*24,2))</f>
        <v/>
      </c>
      <c r="F113" s="28" t="n"/>
      <c r="G113" s="28" t="n"/>
      <c r="H113" s="1" t="n"/>
    </row>
    <row r="114">
      <c r="A114" s="1" t="n"/>
      <c r="B114" s="26" t="n"/>
      <c r="C114" s="27" t="n"/>
      <c r="D114" s="27" t="n"/>
      <c r="E114" s="21">
        <f>IF(OR(C114="",D114=""),"",ROUND(MOD(D114-C114,1)*24,2))</f>
        <v/>
      </c>
      <c r="F114" s="28" t="n"/>
      <c r="G114" s="28" t="n"/>
      <c r="H114" s="1" t="n"/>
    </row>
    <row r="115">
      <c r="A115" s="1" t="n"/>
      <c r="B115" s="26" t="n"/>
      <c r="C115" s="27" t="n"/>
      <c r="D115" s="27" t="n"/>
      <c r="E115" s="21">
        <f>IF(OR(C115="",D115=""),"",ROUND(MOD(D115-C115,1)*24,2))</f>
        <v/>
      </c>
      <c r="F115" s="28" t="n"/>
      <c r="G115" s="28" t="n"/>
      <c r="H115" s="1" t="n"/>
    </row>
    <row r="116">
      <c r="A116" s="1" t="n"/>
      <c r="B116" s="26" t="n"/>
      <c r="C116" s="27" t="n"/>
      <c r="D116" s="27" t="n"/>
      <c r="E116" s="21">
        <f>IF(OR(C116="",D116=""),"",ROUND(MOD(D116-C116,1)*24,2))</f>
        <v/>
      </c>
      <c r="F116" s="28" t="n"/>
      <c r="G116" s="28" t="n"/>
      <c r="H116" s="1" t="n"/>
    </row>
    <row r="117">
      <c r="A117" s="1" t="n"/>
      <c r="B117" s="26" t="n"/>
      <c r="C117" s="27" t="n"/>
      <c r="D117" s="27" t="n"/>
      <c r="E117" s="21">
        <f>IF(OR(C117="",D117=""),"",ROUND(MOD(D117-C117,1)*24,2))</f>
        <v/>
      </c>
      <c r="F117" s="28" t="n"/>
      <c r="G117" s="28" t="n"/>
      <c r="H117" s="1" t="n"/>
    </row>
    <row r="118">
      <c r="A118" s="1" t="n"/>
      <c r="B118" s="26" t="n"/>
      <c r="C118" s="27" t="n"/>
      <c r="D118" s="27" t="n"/>
      <c r="E118" s="21">
        <f>IF(OR(C118="",D118=""),"",ROUND(MOD(D118-C118,1)*24,2))</f>
        <v/>
      </c>
      <c r="F118" s="28" t="n"/>
      <c r="G118" s="28" t="n"/>
      <c r="H118" s="1" t="n"/>
    </row>
    <row r="119">
      <c r="A119" s="1" t="n"/>
      <c r="B119" s="26" t="n"/>
      <c r="C119" s="27" t="n"/>
      <c r="D119" s="27" t="n"/>
      <c r="E119" s="21">
        <f>IF(OR(C119="",D119=""),"",ROUND(MOD(D119-C119,1)*24,2))</f>
        <v/>
      </c>
      <c r="F119" s="28" t="n"/>
      <c r="G119" s="28" t="n"/>
      <c r="H119" s="1" t="n"/>
    </row>
    <row r="120">
      <c r="A120" s="1" t="n"/>
      <c r="B120" s="26" t="n"/>
      <c r="C120" s="27" t="n"/>
      <c r="D120" s="27" t="n"/>
      <c r="E120" s="21">
        <f>IF(OR(C120="",D120=""),"",ROUND(MOD(D120-C120,1)*24,2))</f>
        <v/>
      </c>
      <c r="F120" s="28" t="n"/>
      <c r="G120" s="28" t="n"/>
      <c r="H120" s="1" t="n"/>
    </row>
    <row r="121">
      <c r="A121" s="1" t="n"/>
      <c r="B121" s="26" t="n"/>
      <c r="C121" s="27" t="n"/>
      <c r="D121" s="27" t="n"/>
      <c r="E121" s="21">
        <f>IF(OR(C121="",D121=""),"",ROUND(MOD(D121-C121,1)*24,2))</f>
        <v/>
      </c>
      <c r="F121" s="28" t="n"/>
      <c r="G121" s="28" t="n"/>
      <c r="H121" s="1" t="n"/>
    </row>
    <row r="122">
      <c r="A122" s="1" t="n"/>
      <c r="B122" s="26" t="n"/>
      <c r="C122" s="27" t="n"/>
      <c r="D122" s="27" t="n"/>
      <c r="E122" s="21">
        <f>IF(OR(C122="",D122=""),"",ROUND(MOD(D122-C122,1)*24,2))</f>
        <v/>
      </c>
      <c r="F122" s="28" t="n"/>
      <c r="G122" s="28" t="n"/>
      <c r="H122" s="1" t="n"/>
    </row>
    <row r="123">
      <c r="A123" s="1" t="n"/>
      <c r="B123" s="26" t="n"/>
      <c r="C123" s="27" t="n"/>
      <c r="D123" s="27" t="n"/>
      <c r="E123" s="21">
        <f>IF(OR(C123="",D123=""),"",ROUND(MOD(D123-C123,1)*24,2))</f>
        <v/>
      </c>
      <c r="F123" s="28" t="n"/>
      <c r="G123" s="28" t="n"/>
      <c r="H123" s="1" t="n"/>
    </row>
    <row r="124">
      <c r="A124" s="1" t="n"/>
      <c r="B124" s="26" t="n"/>
      <c r="C124" s="27" t="n"/>
      <c r="D124" s="27" t="n"/>
      <c r="E124" s="21">
        <f>IF(OR(C124="",D124=""),"",ROUND(MOD(D124-C124,1)*24,2))</f>
        <v/>
      </c>
      <c r="F124" s="28" t="n"/>
      <c r="G124" s="28" t="n"/>
      <c r="H124" s="1" t="n"/>
    </row>
    <row r="125">
      <c r="A125" s="1" t="n"/>
      <c r="B125" s="26" t="n"/>
      <c r="C125" s="27" t="n"/>
      <c r="D125" s="27" t="n"/>
      <c r="E125" s="21">
        <f>IF(OR(C125="",D125=""),"",ROUND(MOD(D125-C125,1)*24,2))</f>
        <v/>
      </c>
      <c r="F125" s="28" t="n"/>
      <c r="G125" s="28" t="n"/>
      <c r="H125" s="1" t="n"/>
    </row>
    <row r="126">
      <c r="A126" s="1" t="n"/>
      <c r="B126" s="26" t="n"/>
      <c r="C126" s="27" t="n"/>
      <c r="D126" s="27" t="n"/>
      <c r="E126" s="21">
        <f>IF(OR(C126="",D126=""),"",ROUND(MOD(D126-C126,1)*24,2))</f>
        <v/>
      </c>
      <c r="F126" s="28" t="n"/>
      <c r="G126" s="28" t="n"/>
      <c r="H126" s="1" t="n"/>
    </row>
    <row r="127">
      <c r="A127" s="1" t="n"/>
      <c r="B127" s="26" t="n"/>
      <c r="C127" s="27" t="n"/>
      <c r="D127" s="27" t="n"/>
      <c r="E127" s="21">
        <f>IF(OR(C127="",D127=""),"",ROUND(MOD(D127-C127,1)*24,2))</f>
        <v/>
      </c>
      <c r="F127" s="28" t="n"/>
      <c r="G127" s="28" t="n"/>
      <c r="H127" s="1" t="n"/>
    </row>
    <row r="128">
      <c r="A128" s="1" t="n"/>
      <c r="B128" s="26" t="n"/>
      <c r="C128" s="27" t="n"/>
      <c r="D128" s="27" t="n"/>
      <c r="E128" s="21">
        <f>IF(OR(C128="",D128=""),"",ROUND(MOD(D128-C128,1)*24,2))</f>
        <v/>
      </c>
      <c r="F128" s="28" t="n"/>
      <c r="G128" s="28" t="n"/>
      <c r="H128" s="1" t="n"/>
    </row>
    <row r="129">
      <c r="A129" s="1" t="n"/>
      <c r="B129" s="26" t="n"/>
      <c r="C129" s="27" t="n"/>
      <c r="D129" s="27" t="n"/>
      <c r="E129" s="21">
        <f>IF(OR(C129="",D129=""),"",ROUND(MOD(D129-C129,1)*24,2))</f>
        <v/>
      </c>
      <c r="F129" s="28" t="n"/>
      <c r="G129" s="28" t="n"/>
      <c r="H129" s="1" t="n"/>
    </row>
    <row r="130">
      <c r="A130" s="1" t="n"/>
      <c r="B130" s="26" t="n"/>
      <c r="C130" s="27" t="n"/>
      <c r="D130" s="27" t="n"/>
      <c r="E130" s="21">
        <f>IF(OR(C130="",D130=""),"",ROUND(MOD(D130-C130,1)*24,2))</f>
        <v/>
      </c>
      <c r="F130" s="28" t="n"/>
      <c r="G130" s="28" t="n"/>
      <c r="H130" s="1" t="n"/>
    </row>
    <row r="131">
      <c r="A131" s="1" t="n"/>
      <c r="B131" s="26" t="n"/>
      <c r="C131" s="27" t="n"/>
      <c r="D131" s="27" t="n"/>
      <c r="E131" s="21">
        <f>IF(OR(C131="",D131=""),"",ROUND(MOD(D131-C131,1)*24,2))</f>
        <v/>
      </c>
      <c r="F131" s="28" t="n"/>
      <c r="G131" s="28" t="n"/>
      <c r="H131" s="1" t="n"/>
    </row>
    <row r="132">
      <c r="A132" s="1" t="n"/>
      <c r="B132" s="26" t="n"/>
      <c r="C132" s="27" t="n"/>
      <c r="D132" s="27" t="n"/>
      <c r="E132" s="21">
        <f>IF(OR(C132="",D132=""),"",ROUND(MOD(D132-C132,1)*24,2))</f>
        <v/>
      </c>
      <c r="F132" s="28" t="n"/>
      <c r="G132" s="28" t="n"/>
      <c r="H132" s="1" t="n"/>
    </row>
    <row r="133">
      <c r="A133" s="1" t="n"/>
      <c r="B133" s="26" t="n"/>
      <c r="C133" s="27" t="n"/>
      <c r="D133" s="27" t="n"/>
      <c r="E133" s="21">
        <f>IF(OR(C133="",D133=""),"",ROUND(MOD(D133-C133,1)*24,2))</f>
        <v/>
      </c>
      <c r="F133" s="28" t="n"/>
      <c r="G133" s="28" t="n"/>
      <c r="H133" s="1" t="n"/>
    </row>
    <row r="134">
      <c r="A134" s="1" t="n"/>
      <c r="B134" s="26" t="n"/>
      <c r="C134" s="27" t="n"/>
      <c r="D134" s="27" t="n"/>
      <c r="E134" s="21">
        <f>IF(OR(C134="",D134=""),"",ROUND(MOD(D134-C134,1)*24,2))</f>
        <v/>
      </c>
      <c r="F134" s="28" t="n"/>
      <c r="G134" s="28" t="n"/>
      <c r="H134" s="1" t="n"/>
    </row>
    <row r="135">
      <c r="A135" s="1" t="n"/>
      <c r="B135" s="26" t="n"/>
      <c r="C135" s="27" t="n"/>
      <c r="D135" s="27" t="n"/>
      <c r="E135" s="21">
        <f>IF(OR(C135="",D135=""),"",ROUND(MOD(D135-C135,1)*24,2))</f>
        <v/>
      </c>
      <c r="F135" s="28" t="n"/>
      <c r="G135" s="28" t="n"/>
      <c r="H135" s="1" t="n"/>
    </row>
    <row r="136">
      <c r="A136" s="1" t="n"/>
      <c r="B136" s="26" t="n"/>
      <c r="C136" s="27" t="n"/>
      <c r="D136" s="27" t="n"/>
      <c r="E136" s="21">
        <f>IF(OR(C136="",D136=""),"",ROUND(MOD(D136-C136,1)*24,2))</f>
        <v/>
      </c>
      <c r="F136" s="28" t="n"/>
      <c r="G136" s="28" t="n"/>
      <c r="H136" s="1" t="n"/>
    </row>
    <row r="137">
      <c r="A137" s="1" t="n"/>
      <c r="B137" s="26" t="n"/>
      <c r="C137" s="27" t="n"/>
      <c r="D137" s="27" t="n"/>
      <c r="E137" s="21">
        <f>IF(OR(C137="",D137=""),"",ROUND(MOD(D137-C137,1)*24,2))</f>
        <v/>
      </c>
      <c r="F137" s="28" t="n"/>
      <c r="G137" s="28" t="n"/>
      <c r="H137" s="1" t="n"/>
    </row>
    <row r="138">
      <c r="A138" s="1" t="n"/>
      <c r="B138" s="26" t="n"/>
      <c r="C138" s="27" t="n"/>
      <c r="D138" s="27" t="n"/>
      <c r="E138" s="21">
        <f>IF(OR(C138="",D138=""),"",ROUND(MOD(D138-C138,1)*24,2))</f>
        <v/>
      </c>
      <c r="F138" s="28" t="n"/>
      <c r="G138" s="28" t="n"/>
      <c r="H138" s="1" t="n"/>
    </row>
    <row r="139">
      <c r="A139" s="1" t="n"/>
      <c r="B139" s="26" t="n"/>
      <c r="C139" s="27" t="n"/>
      <c r="D139" s="27" t="n"/>
      <c r="E139" s="21">
        <f>IF(OR(C139="",D139=""),"",ROUND(MOD(D139-C139,1)*24,2))</f>
        <v/>
      </c>
      <c r="F139" s="28" t="n"/>
      <c r="G139" s="28" t="n"/>
      <c r="H139" s="1" t="n"/>
    </row>
    <row r="140">
      <c r="A140" s="1" t="n"/>
      <c r="B140" s="26" t="n"/>
      <c r="C140" s="27" t="n"/>
      <c r="D140" s="27" t="n"/>
      <c r="E140" s="21">
        <f>IF(OR(C140="",D140=""),"",ROUND(MOD(D140-C140,1)*24,2))</f>
        <v/>
      </c>
      <c r="F140" s="28" t="n"/>
      <c r="G140" s="28" t="n"/>
      <c r="H140" s="1" t="n"/>
    </row>
    <row r="141">
      <c r="A141" s="1" t="n"/>
      <c r="B141" s="26" t="n"/>
      <c r="C141" s="27" t="n"/>
      <c r="D141" s="27" t="n"/>
      <c r="E141" s="21">
        <f>IF(OR(C141="",D141=""),"",ROUND(MOD(D141-C141,1)*24,2))</f>
        <v/>
      </c>
      <c r="F141" s="28" t="n"/>
      <c r="G141" s="28" t="n"/>
      <c r="H141" s="1" t="n"/>
    </row>
    <row r="142">
      <c r="A142" s="1" t="n"/>
      <c r="B142" s="26" t="n"/>
      <c r="C142" s="27" t="n"/>
      <c r="D142" s="27" t="n"/>
      <c r="E142" s="21">
        <f>IF(OR(C142="",D142=""),"",ROUND(MOD(D142-C142,1)*24,2))</f>
        <v/>
      </c>
      <c r="F142" s="28" t="n"/>
      <c r="G142" s="28" t="n"/>
      <c r="H142" s="1" t="n"/>
    </row>
    <row r="143">
      <c r="A143" s="1" t="n"/>
      <c r="B143" s="26" t="n"/>
      <c r="C143" s="27" t="n"/>
      <c r="D143" s="27" t="n"/>
      <c r="E143" s="21">
        <f>IF(OR(C143="",D143=""),"",ROUND(MOD(D143-C143,1)*24,2))</f>
        <v/>
      </c>
      <c r="F143" s="28" t="n"/>
      <c r="G143" s="28" t="n"/>
      <c r="H143" s="1" t="n"/>
    </row>
    <row r="144">
      <c r="A144" s="1" t="n"/>
      <c r="B144" s="26" t="n"/>
      <c r="C144" s="27" t="n"/>
      <c r="D144" s="27" t="n"/>
      <c r="E144" s="21">
        <f>IF(OR(C144="",D144=""),"",ROUND(MOD(D144-C144,1)*24,2))</f>
        <v/>
      </c>
      <c r="F144" s="28" t="n"/>
      <c r="G144" s="28" t="n"/>
      <c r="H144" s="1" t="n"/>
    </row>
    <row r="145">
      <c r="A145" s="1" t="n"/>
      <c r="B145" s="26" t="n"/>
      <c r="C145" s="27" t="n"/>
      <c r="D145" s="27" t="n"/>
      <c r="E145" s="21">
        <f>IF(OR(C145="",D145=""),"",ROUND(MOD(D145-C145,1)*24,2))</f>
        <v/>
      </c>
      <c r="F145" s="28" t="n"/>
      <c r="G145" s="28" t="n"/>
      <c r="H145" s="1" t="n"/>
    </row>
    <row r="146">
      <c r="A146" s="1" t="n"/>
      <c r="B146" s="26" t="n"/>
      <c r="C146" s="27" t="n"/>
      <c r="D146" s="27" t="n"/>
      <c r="E146" s="21">
        <f>IF(OR(C146="",D146=""),"",ROUND(MOD(D146-C146,1)*24,2))</f>
        <v/>
      </c>
      <c r="F146" s="28" t="n"/>
      <c r="G146" s="28" t="n"/>
      <c r="H146" s="1" t="n"/>
    </row>
    <row r="147">
      <c r="A147" s="1" t="n"/>
      <c r="B147" s="26" t="n"/>
      <c r="C147" s="27" t="n"/>
      <c r="D147" s="27" t="n"/>
      <c r="E147" s="21">
        <f>IF(OR(C147="",D147=""),"",ROUND(MOD(D147-C147,1)*24,2))</f>
        <v/>
      </c>
      <c r="F147" s="28" t="n"/>
      <c r="G147" s="28" t="n"/>
      <c r="H147" s="1" t="n"/>
    </row>
    <row r="148">
      <c r="A148" s="1" t="n"/>
      <c r="B148" s="26" t="n"/>
      <c r="C148" s="27" t="n"/>
      <c r="D148" s="27" t="n"/>
      <c r="E148" s="21">
        <f>IF(OR(C148="",D148=""),"",ROUND(MOD(D148-C148,1)*24,2))</f>
        <v/>
      </c>
      <c r="F148" s="28" t="n"/>
      <c r="G148" s="28" t="n"/>
      <c r="H148" s="1" t="n"/>
    </row>
    <row r="149">
      <c r="A149" s="1" t="n"/>
      <c r="B149" s="26" t="n"/>
      <c r="C149" s="27" t="n"/>
      <c r="D149" s="27" t="n"/>
      <c r="E149" s="21">
        <f>IF(OR(C149="",D149=""),"",ROUND(MOD(D149-C149,1)*24,2))</f>
        <v/>
      </c>
      <c r="F149" s="28" t="n"/>
      <c r="G149" s="28" t="n"/>
      <c r="H149" s="1" t="n"/>
    </row>
    <row r="150">
      <c r="A150" s="1" t="n"/>
      <c r="B150" s="26" t="n"/>
      <c r="C150" s="27" t="n"/>
      <c r="D150" s="27" t="n"/>
      <c r="E150" s="21">
        <f>IF(OR(C150="",D150=""),"",ROUND(MOD(D150-C150,1)*24,2))</f>
        <v/>
      </c>
      <c r="F150" s="28" t="n"/>
      <c r="G150" s="28" t="n"/>
      <c r="H150" s="1" t="n"/>
    </row>
    <row r="151">
      <c r="A151" s="1" t="n"/>
      <c r="B151" s="26" t="n"/>
      <c r="C151" s="27" t="n"/>
      <c r="D151" s="27" t="n"/>
      <c r="E151" s="21">
        <f>IF(OR(C151="",D151=""),"",ROUND(MOD(D151-C151,1)*24,2))</f>
        <v/>
      </c>
      <c r="F151" s="28" t="n"/>
      <c r="G151" s="28" t="n"/>
      <c r="H151" s="1" t="n"/>
    </row>
    <row r="152">
      <c r="A152" s="1" t="n"/>
      <c r="B152" s="26" t="n"/>
      <c r="C152" s="27" t="n"/>
      <c r="D152" s="27" t="n"/>
      <c r="E152" s="21">
        <f>IF(OR(C152="",D152=""),"",ROUND(MOD(D152-C152,1)*24,2))</f>
        <v/>
      </c>
      <c r="F152" s="28" t="n"/>
      <c r="G152" s="28" t="n"/>
      <c r="H152" s="1" t="n"/>
    </row>
    <row r="153">
      <c r="A153" s="1" t="n"/>
      <c r="B153" s="26" t="n"/>
      <c r="C153" s="27" t="n"/>
      <c r="D153" s="27" t="n"/>
      <c r="E153" s="21">
        <f>IF(OR(C153="",D153=""),"",ROUND(MOD(D153-C153,1)*24,2))</f>
        <v/>
      </c>
      <c r="F153" s="28" t="n"/>
      <c r="G153" s="28" t="n"/>
      <c r="H153" s="1" t="n"/>
    </row>
    <row r="154">
      <c r="A154" s="1" t="n"/>
      <c r="B154" s="26" t="n"/>
      <c r="C154" s="27" t="n"/>
      <c r="D154" s="27" t="n"/>
      <c r="E154" s="21">
        <f>IF(OR(C154="",D154=""),"",ROUND(MOD(D154-C154,1)*24,2))</f>
        <v/>
      </c>
      <c r="F154" s="28" t="n"/>
      <c r="G154" s="28" t="n"/>
      <c r="H154" s="1" t="n"/>
    </row>
    <row r="155">
      <c r="A155" s="1" t="n"/>
      <c r="B155" s="26" t="n"/>
      <c r="C155" s="27" t="n"/>
      <c r="D155" s="27" t="n"/>
      <c r="E155" s="21">
        <f>IF(OR(C155="",D155=""),"",ROUND(MOD(D155-C155,1)*24,2))</f>
        <v/>
      </c>
      <c r="F155" s="28" t="n"/>
      <c r="G155" s="28" t="n"/>
      <c r="H155" s="1" t="n"/>
    </row>
    <row r="156">
      <c r="A156" s="1" t="n"/>
      <c r="B156" s="26" t="n"/>
      <c r="C156" s="27" t="n"/>
      <c r="D156" s="27" t="n"/>
      <c r="E156" s="21">
        <f>IF(OR(C156="",D156=""),"",ROUND(MOD(D156-C156,1)*24,2))</f>
        <v/>
      </c>
      <c r="F156" s="28" t="n"/>
      <c r="G156" s="28" t="n"/>
      <c r="H156" s="1" t="n"/>
    </row>
    <row r="157">
      <c r="A157" s="1" t="n"/>
      <c r="B157" s="26" t="n"/>
      <c r="C157" s="27" t="n"/>
      <c r="D157" s="27" t="n"/>
      <c r="E157" s="21">
        <f>IF(OR(C157="",D157=""),"",ROUND(MOD(D157-C157,1)*24,2))</f>
        <v/>
      </c>
      <c r="F157" s="28" t="n"/>
      <c r="G157" s="28" t="n"/>
      <c r="H157" s="1" t="n"/>
    </row>
    <row r="158">
      <c r="A158" s="1" t="n"/>
      <c r="B158" s="26" t="n"/>
      <c r="C158" s="27" t="n"/>
      <c r="D158" s="27" t="n"/>
      <c r="E158" s="21">
        <f>IF(OR(C158="",D158=""),"",ROUND(MOD(D158-C158,1)*24,2))</f>
        <v/>
      </c>
      <c r="F158" s="28" t="n"/>
      <c r="G158" s="28" t="n"/>
      <c r="H158" s="1" t="n"/>
    </row>
    <row r="159">
      <c r="A159" s="1" t="n"/>
      <c r="B159" s="26" t="n"/>
      <c r="C159" s="27" t="n"/>
      <c r="D159" s="27" t="n"/>
      <c r="E159" s="21">
        <f>IF(OR(C159="",D159=""),"",ROUND(MOD(D159-C159,1)*24,2))</f>
        <v/>
      </c>
      <c r="F159" s="28" t="n"/>
      <c r="G159" s="28" t="n"/>
      <c r="H159" s="1" t="n"/>
    </row>
    <row r="160">
      <c r="A160" s="1" t="n"/>
      <c r="B160" s="26" t="n"/>
      <c r="C160" s="27" t="n"/>
      <c r="D160" s="27" t="n"/>
      <c r="E160" s="21">
        <f>IF(OR(C160="",D160=""),"",ROUND(MOD(D160-C160,1)*24,2))</f>
        <v/>
      </c>
      <c r="F160" s="28" t="n"/>
      <c r="G160" s="28" t="n"/>
      <c r="H160" s="1" t="n"/>
    </row>
    <row r="161">
      <c r="A161" s="1" t="n"/>
      <c r="B161" s="26" t="n"/>
      <c r="C161" s="27" t="n"/>
      <c r="D161" s="27" t="n"/>
      <c r="E161" s="21">
        <f>IF(OR(C161="",D161=""),"",ROUND(MOD(D161-C161,1)*24,2))</f>
        <v/>
      </c>
      <c r="F161" s="28" t="n"/>
      <c r="G161" s="28" t="n"/>
      <c r="H161" s="1" t="n"/>
    </row>
    <row r="162">
      <c r="A162" s="1" t="n"/>
      <c r="B162" s="26" t="n"/>
      <c r="C162" s="27" t="n"/>
      <c r="D162" s="27" t="n"/>
      <c r="E162" s="21">
        <f>IF(OR(C162="",D162=""),"",ROUND(MOD(D162-C162,1)*24,2))</f>
        <v/>
      </c>
      <c r="F162" s="28" t="n"/>
      <c r="G162" s="28" t="n"/>
      <c r="H162" s="1" t="n"/>
    </row>
    <row r="163">
      <c r="A163" s="1" t="n"/>
      <c r="B163" s="26" t="n"/>
      <c r="C163" s="27" t="n"/>
      <c r="D163" s="27" t="n"/>
      <c r="E163" s="21">
        <f>IF(OR(C163="",D163=""),"",ROUND(MOD(D163-C163,1)*24,2))</f>
        <v/>
      </c>
      <c r="F163" s="28" t="n"/>
      <c r="G163" s="28" t="n"/>
      <c r="H163" s="1" t="n"/>
    </row>
    <row r="164">
      <c r="A164" s="1" t="n"/>
      <c r="B164" s="26" t="n"/>
      <c r="C164" s="27" t="n"/>
      <c r="D164" s="27" t="n"/>
      <c r="E164" s="21">
        <f>IF(OR(C164="",D164=""),"",ROUND(MOD(D164-C164,1)*24,2))</f>
        <v/>
      </c>
      <c r="F164" s="28" t="n"/>
      <c r="G164" s="28" t="n"/>
      <c r="H164" s="1" t="n"/>
    </row>
    <row r="165">
      <c r="A165" s="1" t="n"/>
      <c r="B165" s="26" t="n"/>
      <c r="C165" s="27" t="n"/>
      <c r="D165" s="27" t="n"/>
      <c r="E165" s="21">
        <f>IF(OR(C165="",D165=""),"",ROUND(MOD(D165-C165,1)*24,2))</f>
        <v/>
      </c>
      <c r="F165" s="28" t="n"/>
      <c r="G165" s="28" t="n"/>
      <c r="H165" s="1" t="n"/>
    </row>
    <row r="166">
      <c r="A166" s="1" t="n"/>
      <c r="B166" s="26" t="n"/>
      <c r="C166" s="27" t="n"/>
      <c r="D166" s="27" t="n"/>
      <c r="E166" s="21">
        <f>IF(OR(C166="",D166=""),"",ROUND(MOD(D166-C166,1)*24,2))</f>
        <v/>
      </c>
      <c r="F166" s="28" t="n"/>
      <c r="G166" s="28" t="n"/>
      <c r="H166" s="1" t="n"/>
    </row>
    <row r="167">
      <c r="A167" s="1" t="n"/>
      <c r="B167" s="26" t="n"/>
      <c r="C167" s="27" t="n"/>
      <c r="D167" s="27" t="n"/>
      <c r="E167" s="21">
        <f>IF(OR(C167="",D167=""),"",ROUND(MOD(D167-C167,1)*24,2))</f>
        <v/>
      </c>
      <c r="F167" s="28" t="n"/>
      <c r="G167" s="28" t="n"/>
      <c r="H167" s="1" t="n"/>
    </row>
    <row r="168">
      <c r="A168" s="1" t="n"/>
      <c r="B168" s="26" t="n"/>
      <c r="C168" s="27" t="n"/>
      <c r="D168" s="27" t="n"/>
      <c r="E168" s="21">
        <f>IF(OR(C168="",D168=""),"",ROUND(MOD(D168-C168,1)*24,2))</f>
        <v/>
      </c>
      <c r="F168" s="28" t="n"/>
      <c r="G168" s="28" t="n"/>
      <c r="H168" s="1" t="n"/>
    </row>
    <row r="169">
      <c r="A169" s="1" t="n"/>
      <c r="B169" s="26" t="n"/>
      <c r="C169" s="27" t="n"/>
      <c r="D169" s="27" t="n"/>
      <c r="E169" s="21">
        <f>IF(OR(C169="",D169=""),"",ROUND(MOD(D169-C169,1)*24,2))</f>
        <v/>
      </c>
      <c r="F169" s="28" t="n"/>
      <c r="G169" s="28" t="n"/>
      <c r="H169" s="1" t="n"/>
    </row>
    <row r="170">
      <c r="A170" s="1" t="n"/>
      <c r="B170" s="26" t="n"/>
      <c r="C170" s="27" t="n"/>
      <c r="D170" s="27" t="n"/>
      <c r="E170" s="21">
        <f>IF(OR(C170="",D170=""),"",ROUND(MOD(D170-C170,1)*24,2))</f>
        <v/>
      </c>
      <c r="F170" s="28" t="n"/>
      <c r="G170" s="28" t="n"/>
      <c r="H170" s="1" t="n"/>
    </row>
    <row r="171">
      <c r="A171" s="1" t="n"/>
      <c r="B171" s="26" t="n"/>
      <c r="C171" s="27" t="n"/>
      <c r="D171" s="27" t="n"/>
      <c r="E171" s="21">
        <f>IF(OR(C171="",D171=""),"",ROUND(MOD(D171-C171,1)*24,2))</f>
        <v/>
      </c>
      <c r="F171" s="28" t="n"/>
      <c r="G171" s="28" t="n"/>
      <c r="H171" s="1" t="n"/>
    </row>
    <row r="172">
      <c r="A172" s="1" t="n"/>
      <c r="B172" s="26" t="n"/>
      <c r="C172" s="27" t="n"/>
      <c r="D172" s="27" t="n"/>
      <c r="E172" s="21">
        <f>IF(OR(C172="",D172=""),"",ROUND(MOD(D172-C172,1)*24,2))</f>
        <v/>
      </c>
      <c r="F172" s="28" t="n"/>
      <c r="G172" s="28" t="n"/>
      <c r="H172" s="1" t="n"/>
    </row>
    <row r="173">
      <c r="A173" s="1" t="n"/>
      <c r="B173" s="26" t="n"/>
      <c r="C173" s="27" t="n"/>
      <c r="D173" s="27" t="n"/>
      <c r="E173" s="21">
        <f>IF(OR(C173="",D173=""),"",ROUND(MOD(D173-C173,1)*24,2))</f>
        <v/>
      </c>
      <c r="F173" s="28" t="n"/>
      <c r="G173" s="28" t="n"/>
      <c r="H173" s="1" t="n"/>
    </row>
    <row r="174">
      <c r="A174" s="1" t="n"/>
      <c r="B174" s="26" t="n"/>
      <c r="C174" s="27" t="n"/>
      <c r="D174" s="27" t="n"/>
      <c r="E174" s="21">
        <f>IF(OR(C174="",D174=""),"",ROUND(MOD(D174-C174,1)*24,2))</f>
        <v/>
      </c>
      <c r="F174" s="28" t="n"/>
      <c r="G174" s="28" t="n"/>
      <c r="H174" s="1" t="n"/>
    </row>
    <row r="175">
      <c r="A175" s="1" t="n"/>
      <c r="B175" s="26" t="n"/>
      <c r="C175" s="27" t="n"/>
      <c r="D175" s="27" t="n"/>
      <c r="E175" s="21">
        <f>IF(OR(C175="",D175=""),"",ROUND(MOD(D175-C175,1)*24,2))</f>
        <v/>
      </c>
      <c r="F175" s="28" t="n"/>
      <c r="G175" s="28" t="n"/>
      <c r="H175" s="1" t="n"/>
    </row>
    <row r="176">
      <c r="A176" s="1" t="n"/>
      <c r="B176" s="26" t="n"/>
      <c r="C176" s="27" t="n"/>
      <c r="D176" s="27" t="n"/>
      <c r="E176" s="21">
        <f>IF(OR(C176="",D176=""),"",ROUND(MOD(D176-C176,1)*24,2))</f>
        <v/>
      </c>
      <c r="F176" s="28" t="n"/>
      <c r="G176" s="28" t="n"/>
      <c r="H176" s="1" t="n"/>
    </row>
    <row r="177">
      <c r="A177" s="1" t="n"/>
      <c r="B177" s="26" t="n"/>
      <c r="C177" s="27" t="n"/>
      <c r="D177" s="27" t="n"/>
      <c r="E177" s="21">
        <f>IF(OR(C177="",D177=""),"",ROUND(MOD(D177-C177,1)*24,2))</f>
        <v/>
      </c>
      <c r="F177" s="28" t="n"/>
      <c r="G177" s="28" t="n"/>
      <c r="H177" s="1" t="n"/>
    </row>
    <row r="178">
      <c r="A178" s="1" t="n"/>
      <c r="B178" s="26" t="n"/>
      <c r="C178" s="27" t="n"/>
      <c r="D178" s="27" t="n"/>
      <c r="E178" s="21">
        <f>IF(OR(C178="",D178=""),"",ROUND(MOD(D178-C178,1)*24,2))</f>
        <v/>
      </c>
      <c r="F178" s="28" t="n"/>
      <c r="G178" s="28" t="n"/>
      <c r="H178" s="1" t="n"/>
    </row>
    <row r="179">
      <c r="A179" s="1" t="n"/>
      <c r="B179" s="26" t="n"/>
      <c r="C179" s="27" t="n"/>
      <c r="D179" s="27" t="n"/>
      <c r="E179" s="21">
        <f>IF(OR(C179="",D179=""),"",ROUND(MOD(D179-C179,1)*24,2))</f>
        <v/>
      </c>
      <c r="F179" s="28" t="n"/>
      <c r="G179" s="28" t="n"/>
      <c r="H179" s="1" t="n"/>
    </row>
    <row r="180">
      <c r="A180" s="1" t="n"/>
      <c r="B180" s="26" t="n"/>
      <c r="C180" s="27" t="n"/>
      <c r="D180" s="27" t="n"/>
      <c r="E180" s="21">
        <f>IF(OR(C180="",D180=""),"",ROUND(MOD(D180-C180,1)*24,2))</f>
        <v/>
      </c>
      <c r="F180" s="28" t="n"/>
      <c r="G180" s="28" t="n"/>
      <c r="H180" s="1" t="n"/>
    </row>
    <row r="181">
      <c r="A181" s="1" t="n"/>
      <c r="B181" s="26" t="n"/>
      <c r="C181" s="27" t="n"/>
      <c r="D181" s="27" t="n"/>
      <c r="E181" s="21">
        <f>IF(OR(C181="",D181=""),"",ROUND(MOD(D181-C181,1)*24,2))</f>
        <v/>
      </c>
      <c r="F181" s="28" t="n"/>
      <c r="G181" s="28" t="n"/>
      <c r="H181" s="1" t="n"/>
    </row>
    <row r="182">
      <c r="A182" s="1" t="n"/>
      <c r="B182" s="26" t="n"/>
      <c r="C182" s="27" t="n"/>
      <c r="D182" s="27" t="n"/>
      <c r="E182" s="21">
        <f>IF(OR(C182="",D182=""),"",ROUND(MOD(D182-C182,1)*24,2))</f>
        <v/>
      </c>
      <c r="F182" s="28" t="n"/>
      <c r="G182" s="28" t="n"/>
      <c r="H182" s="1" t="n"/>
    </row>
    <row r="183">
      <c r="A183" s="1" t="n"/>
      <c r="B183" s="26" t="n"/>
      <c r="C183" s="27" t="n"/>
      <c r="D183" s="27" t="n"/>
      <c r="E183" s="21">
        <f>IF(OR(C183="",D183=""),"",ROUND(MOD(D183-C183,1)*24,2))</f>
        <v/>
      </c>
      <c r="F183" s="28" t="n"/>
      <c r="G183" s="28" t="n"/>
      <c r="H183" s="1" t="n"/>
    </row>
    <row r="184">
      <c r="A184" s="1" t="n"/>
      <c r="B184" s="26" t="n"/>
      <c r="C184" s="27" t="n"/>
      <c r="D184" s="27" t="n"/>
      <c r="E184" s="21">
        <f>IF(OR(C184="",D184=""),"",ROUND(MOD(D184-C184,1)*24,2))</f>
        <v/>
      </c>
      <c r="F184" s="28" t="n"/>
      <c r="G184" s="28" t="n"/>
      <c r="H184" s="1" t="n"/>
    </row>
    <row r="185">
      <c r="A185" s="1" t="n"/>
      <c r="B185" s="26" t="n"/>
      <c r="C185" s="27" t="n"/>
      <c r="D185" s="27" t="n"/>
      <c r="E185" s="21">
        <f>IF(OR(C185="",D185=""),"",ROUND(MOD(D185-C185,1)*24,2))</f>
        <v/>
      </c>
      <c r="F185" s="28" t="n"/>
      <c r="G185" s="28" t="n"/>
      <c r="H185" s="1" t="n"/>
    </row>
    <row r="186">
      <c r="A186" s="1" t="n"/>
      <c r="B186" s="26" t="n"/>
      <c r="C186" s="27" t="n"/>
      <c r="D186" s="27" t="n"/>
      <c r="E186" s="21">
        <f>IF(OR(C186="",D186=""),"",ROUND(MOD(D186-C186,1)*24,2))</f>
        <v/>
      </c>
      <c r="F186" s="28" t="n"/>
      <c r="G186" s="28" t="n"/>
      <c r="H186" s="1" t="n"/>
    </row>
    <row r="187">
      <c r="A187" s="1" t="n"/>
      <c r="B187" s="26" t="n"/>
      <c r="C187" s="27" t="n"/>
      <c r="D187" s="27" t="n"/>
      <c r="E187" s="21">
        <f>IF(OR(C187="",D187=""),"",ROUND(MOD(D187-C187,1)*24,2))</f>
        <v/>
      </c>
      <c r="F187" s="28" t="n"/>
      <c r="G187" s="28" t="n"/>
      <c r="H187" s="1" t="n"/>
    </row>
    <row r="188">
      <c r="A188" s="1" t="n"/>
      <c r="B188" s="26" t="n"/>
      <c r="C188" s="27" t="n"/>
      <c r="D188" s="27" t="n"/>
      <c r="E188" s="21">
        <f>IF(OR(C188="",D188=""),"",ROUND(MOD(D188-C188,1)*24,2))</f>
        <v/>
      </c>
      <c r="F188" s="28" t="n"/>
      <c r="G188" s="28" t="n"/>
      <c r="H188" s="1" t="n"/>
    </row>
    <row r="189">
      <c r="A189" s="1" t="n"/>
      <c r="B189" s="26" t="n"/>
      <c r="C189" s="27" t="n"/>
      <c r="D189" s="27" t="n"/>
      <c r="E189" s="21">
        <f>IF(OR(C189="",D189=""),"",ROUND(MOD(D189-C189,1)*24,2))</f>
        <v/>
      </c>
      <c r="F189" s="28" t="n"/>
      <c r="G189" s="28" t="n"/>
      <c r="H189" s="1" t="n"/>
    </row>
    <row r="190">
      <c r="A190" s="1" t="n"/>
      <c r="B190" s="26" t="n"/>
      <c r="C190" s="27" t="n"/>
      <c r="D190" s="27" t="n"/>
      <c r="E190" s="21">
        <f>IF(OR(C190="",D190=""),"",ROUND(MOD(D190-C190,1)*24,2))</f>
        <v/>
      </c>
      <c r="F190" s="28" t="n"/>
      <c r="G190" s="28" t="n"/>
      <c r="H190" s="1" t="n"/>
    </row>
    <row r="191">
      <c r="A191" s="1" t="n"/>
      <c r="B191" s="26" t="n"/>
      <c r="C191" s="27" t="n"/>
      <c r="D191" s="27" t="n"/>
      <c r="E191" s="21">
        <f>IF(OR(C191="",D191=""),"",ROUND(MOD(D191-C191,1)*24,2))</f>
        <v/>
      </c>
      <c r="F191" s="28" t="n"/>
      <c r="G191" s="28" t="n"/>
      <c r="H191" s="1" t="n"/>
    </row>
    <row r="192">
      <c r="A192" s="1" t="n"/>
      <c r="B192" s="26" t="n"/>
      <c r="C192" s="27" t="n"/>
      <c r="D192" s="27" t="n"/>
      <c r="E192" s="21">
        <f>IF(OR(C192="",D192=""),"",ROUND(MOD(D192-C192,1)*24,2))</f>
        <v/>
      </c>
      <c r="F192" s="28" t="n"/>
      <c r="G192" s="28" t="n"/>
      <c r="H192" s="1" t="n"/>
    </row>
    <row r="193">
      <c r="A193" s="1" t="n"/>
      <c r="B193" s="26" t="n"/>
      <c r="C193" s="27" t="n"/>
      <c r="D193" s="27" t="n"/>
      <c r="E193" s="21">
        <f>IF(OR(C193="",D193=""),"",ROUND(MOD(D193-C193,1)*24,2))</f>
        <v/>
      </c>
      <c r="F193" s="28" t="n"/>
      <c r="G193" s="28" t="n"/>
      <c r="H193" s="1" t="n"/>
    </row>
    <row r="194">
      <c r="A194" s="1" t="n"/>
      <c r="B194" s="26" t="n"/>
      <c r="C194" s="27" t="n"/>
      <c r="D194" s="27" t="n"/>
      <c r="E194" s="21">
        <f>IF(OR(C194="",D194=""),"",ROUND(MOD(D194-C194,1)*24,2))</f>
        <v/>
      </c>
      <c r="F194" s="28" t="n"/>
      <c r="G194" s="28" t="n"/>
      <c r="H194" s="1" t="n"/>
    </row>
    <row r="195">
      <c r="A195" s="1" t="n"/>
      <c r="B195" s="26" t="n"/>
      <c r="C195" s="27" t="n"/>
      <c r="D195" s="27" t="n"/>
      <c r="E195" s="21">
        <f>IF(OR(C195="",D195=""),"",ROUND(MOD(D195-C195,1)*24,2))</f>
        <v/>
      </c>
      <c r="F195" s="28" t="n"/>
      <c r="G195" s="28" t="n"/>
      <c r="H195" s="1" t="n"/>
    </row>
    <row r="196">
      <c r="A196" s="1" t="n"/>
      <c r="B196" s="26" t="n"/>
      <c r="C196" s="27" t="n"/>
      <c r="D196" s="27" t="n"/>
      <c r="E196" s="21">
        <f>IF(OR(C196="",D196=""),"",ROUND(MOD(D196-C196,1)*24,2))</f>
        <v/>
      </c>
      <c r="F196" s="28" t="n"/>
      <c r="G196" s="28" t="n"/>
      <c r="H196" s="1" t="n"/>
    </row>
    <row r="197">
      <c r="A197" s="1" t="n"/>
      <c r="B197" s="26" t="n"/>
      <c r="C197" s="27" t="n"/>
      <c r="D197" s="27" t="n"/>
      <c r="E197" s="21">
        <f>IF(OR(C197="",D197=""),"",ROUND(MOD(D197-C197,1)*24,2))</f>
        <v/>
      </c>
      <c r="F197" s="28" t="n"/>
      <c r="G197" s="28" t="n"/>
      <c r="H197" s="1" t="n"/>
    </row>
    <row r="198">
      <c r="A198" s="1" t="n"/>
      <c r="B198" s="26" t="n"/>
      <c r="C198" s="27" t="n"/>
      <c r="D198" s="27" t="n"/>
      <c r="E198" s="21">
        <f>IF(OR(C198="",D198=""),"",ROUND(MOD(D198-C198,1)*24,2))</f>
        <v/>
      </c>
      <c r="F198" s="28" t="n"/>
      <c r="G198" s="28" t="n"/>
      <c r="H198" s="1" t="n"/>
    </row>
    <row r="199">
      <c r="A199" s="1" t="n"/>
      <c r="B199" s="26" t="n"/>
      <c r="C199" s="27" t="n"/>
      <c r="D199" s="27" t="n"/>
      <c r="E199" s="21">
        <f>IF(OR(C199="",D199=""),"",ROUND(MOD(D199-C199,1)*24,2))</f>
        <v/>
      </c>
      <c r="F199" s="28" t="n"/>
      <c r="G199" s="28" t="n"/>
      <c r="H199" s="1" t="n"/>
    </row>
    <row r="200">
      <c r="A200" s="1" t="n"/>
      <c r="B200" s="26" t="n"/>
      <c r="C200" s="27" t="n"/>
      <c r="D200" s="27" t="n"/>
      <c r="E200" s="21">
        <f>IF(OR(C200="",D200=""),"",ROUND(MOD(D200-C200,1)*24,2))</f>
        <v/>
      </c>
      <c r="F200" s="28" t="n"/>
      <c r="G200" s="28" t="n"/>
      <c r="H200" s="1" t="n"/>
    </row>
    <row r="201">
      <c r="A201" s="1" t="n"/>
      <c r="B201" s="26" t="n"/>
      <c r="C201" s="27" t="n"/>
      <c r="D201" s="27" t="n"/>
      <c r="E201" s="21">
        <f>IF(OR(C201="",D201=""),"",ROUND(MOD(D201-C201,1)*24,2))</f>
        <v/>
      </c>
      <c r="F201" s="28" t="n"/>
      <c r="G201" s="28" t="n"/>
      <c r="H201" s="1" t="n"/>
    </row>
    <row r="202">
      <c r="A202" s="1" t="n"/>
      <c r="B202" s="26" t="n"/>
      <c r="C202" s="27" t="n"/>
      <c r="D202" s="27" t="n"/>
      <c r="E202" s="21">
        <f>IF(OR(C202="",D202=""),"",ROUND(MOD(D202-C202,1)*24,2))</f>
        <v/>
      </c>
      <c r="F202" s="28" t="n"/>
      <c r="G202" s="28" t="n"/>
      <c r="H202" s="1" t="n"/>
    </row>
    <row r="203">
      <c r="A203" s="1" t="n"/>
      <c r="B203" s="26" t="n"/>
      <c r="C203" s="27" t="n"/>
      <c r="D203" s="27" t="n"/>
      <c r="E203" s="21">
        <f>IF(OR(C203="",D203=""),"",ROUND(MOD(D203-C203,1)*24,2))</f>
        <v/>
      </c>
      <c r="F203" s="28" t="n"/>
      <c r="G203" s="28" t="n"/>
      <c r="H203" s="1" t="n"/>
    </row>
    <row r="204">
      <c r="A204" s="1" t="n"/>
      <c r="B204" s="26" t="n"/>
      <c r="C204" s="27" t="n"/>
      <c r="D204" s="27" t="n"/>
      <c r="E204" s="21">
        <f>IF(OR(C204="",D204=""),"",ROUND(MOD(D204-C204,1)*24,2))</f>
        <v/>
      </c>
      <c r="F204" s="28" t="n"/>
      <c r="G204" s="28" t="n"/>
      <c r="H204" s="1" t="n"/>
    </row>
    <row r="205">
      <c r="A205" s="1" t="n"/>
      <c r="B205" s="26" t="n"/>
      <c r="C205" s="27" t="n"/>
      <c r="D205" s="27" t="n"/>
      <c r="E205" s="21">
        <f>IF(OR(C205="",D205=""),"",ROUND(MOD(D205-C205,1)*24,2))</f>
        <v/>
      </c>
      <c r="F205" s="28" t="n"/>
      <c r="G205" s="28" t="n"/>
      <c r="H205" s="1" t="n"/>
    </row>
    <row r="206">
      <c r="A206" s="1" t="n"/>
      <c r="B206" s="26" t="n"/>
      <c r="C206" s="27" t="n"/>
      <c r="D206" s="27" t="n"/>
      <c r="E206" s="21">
        <f>IF(OR(C206="",D206=""),"",ROUND(MOD(D206-C206,1)*24,2))</f>
        <v/>
      </c>
      <c r="F206" s="28" t="n"/>
      <c r="G206" s="28" t="n"/>
      <c r="H206" s="1" t="n"/>
    </row>
    <row r="207">
      <c r="A207" s="1" t="n"/>
      <c r="B207" s="26" t="n"/>
      <c r="C207" s="27" t="n"/>
      <c r="D207" s="27" t="n"/>
      <c r="E207" s="21">
        <f>IF(OR(C207="",D207=""),"",ROUND(MOD(D207-C207,1)*24,2))</f>
        <v/>
      </c>
      <c r="F207" s="28" t="n"/>
      <c r="G207" s="28" t="n"/>
      <c r="H207" s="1" t="n"/>
    </row>
    <row r="208">
      <c r="A208" s="1" t="n"/>
      <c r="B208" s="26" t="n"/>
      <c r="C208" s="27" t="n"/>
      <c r="D208" s="27" t="n"/>
      <c r="E208" s="21">
        <f>IF(OR(C208="",D208=""),"",ROUND(MOD(D208-C208,1)*24,2))</f>
        <v/>
      </c>
      <c r="F208" s="28" t="n"/>
      <c r="G208" s="28" t="n"/>
      <c r="H208" s="1" t="n"/>
    </row>
    <row r="209">
      <c r="A209" s="1" t="n"/>
      <c r="B209" s="26" t="n"/>
      <c r="C209" s="27" t="n"/>
      <c r="D209" s="27" t="n"/>
      <c r="E209" s="21">
        <f>IF(OR(C209="",D209=""),"",ROUND(MOD(D209-C209,1)*24,2))</f>
        <v/>
      </c>
      <c r="F209" s="28" t="n"/>
      <c r="G209" s="28" t="n"/>
      <c r="H209" s="1" t="n"/>
    </row>
    <row r="210">
      <c r="A210" s="1" t="n"/>
      <c r="B210" s="26" t="n"/>
      <c r="C210" s="27" t="n"/>
      <c r="D210" s="27" t="n"/>
      <c r="E210" s="21">
        <f>IF(OR(C210="",D210=""),"",ROUND(MOD(D210-C210,1)*24,2))</f>
        <v/>
      </c>
      <c r="F210" s="28" t="n"/>
      <c r="G210" s="28" t="n"/>
      <c r="H210" s="1" t="n"/>
    </row>
    <row r="211">
      <c r="A211" s="1" t="n"/>
      <c r="B211" s="26" t="n"/>
      <c r="C211" s="27" t="n"/>
      <c r="D211" s="27" t="n"/>
      <c r="E211" s="21">
        <f>IF(OR(C211="",D211=""),"",ROUND(MOD(D211-C211,1)*24,2))</f>
        <v/>
      </c>
      <c r="F211" s="28" t="n"/>
      <c r="G211" s="28" t="n"/>
      <c r="H211" s="1" t="n"/>
    </row>
    <row r="212">
      <c r="A212" s="1" t="n"/>
      <c r="B212" s="26" t="n"/>
      <c r="C212" s="27" t="n"/>
      <c r="D212" s="27" t="n"/>
      <c r="E212" s="21">
        <f>IF(OR(C212="",D212=""),"",ROUND(MOD(D212-C212,1)*24,2))</f>
        <v/>
      </c>
      <c r="F212" s="28" t="n"/>
      <c r="G212" s="28" t="n"/>
      <c r="H212" s="1" t="n"/>
    </row>
    <row r="213">
      <c r="A213" s="1" t="n"/>
      <c r="B213" s="26" t="n"/>
      <c r="C213" s="27" t="n"/>
      <c r="D213" s="27" t="n"/>
      <c r="E213" s="21">
        <f>IF(OR(C213="",D213=""),"",ROUND(MOD(D213-C213,1)*24,2))</f>
        <v/>
      </c>
      <c r="F213" s="28" t="n"/>
      <c r="G213" s="28" t="n"/>
      <c r="H213" s="1" t="n"/>
    </row>
    <row r="214">
      <c r="A214" s="1" t="n"/>
      <c r="B214" s="26" t="n"/>
      <c r="C214" s="27" t="n"/>
      <c r="D214" s="27" t="n"/>
      <c r="E214" s="21">
        <f>IF(OR(C214="",D214=""),"",ROUND(MOD(D214-C214,1)*24,2))</f>
        <v/>
      </c>
      <c r="F214" s="28" t="n"/>
      <c r="G214" s="28" t="n"/>
      <c r="H214" s="1" t="n"/>
    </row>
    <row r="215">
      <c r="A215" s="1" t="n"/>
      <c r="B215" s="26" t="n"/>
      <c r="C215" s="27" t="n"/>
      <c r="D215" s="27" t="n"/>
      <c r="E215" s="21">
        <f>IF(OR(C215="",D215=""),"",ROUND(MOD(D215-C215,1)*24,2))</f>
        <v/>
      </c>
      <c r="F215" s="28" t="n"/>
      <c r="G215" s="28" t="n"/>
      <c r="H215" s="1" t="n"/>
    </row>
    <row r="216">
      <c r="A216" s="1" t="n"/>
      <c r="B216" s="26" t="n"/>
      <c r="C216" s="27" t="n"/>
      <c r="D216" s="27" t="n"/>
      <c r="E216" s="21">
        <f>IF(OR(C216="",D216=""),"",ROUND(MOD(D216-C216,1)*24,2))</f>
        <v/>
      </c>
      <c r="F216" s="28" t="n"/>
      <c r="G216" s="28" t="n"/>
      <c r="H216" s="1" t="n"/>
    </row>
    <row r="217">
      <c r="A217" s="1" t="n"/>
      <c r="B217" s="26" t="n"/>
      <c r="C217" s="27" t="n"/>
      <c r="D217" s="27" t="n"/>
      <c r="E217" s="21">
        <f>IF(OR(C217="",D217=""),"",ROUND(MOD(D217-C217,1)*24,2))</f>
        <v/>
      </c>
      <c r="F217" s="28" t="n"/>
      <c r="G217" s="28" t="n"/>
      <c r="H217" s="1" t="n"/>
    </row>
    <row r="218">
      <c r="A218" s="1" t="n"/>
      <c r="B218" s="26" t="n"/>
      <c r="C218" s="27" t="n"/>
      <c r="D218" s="27" t="n"/>
      <c r="E218" s="21">
        <f>IF(OR(C218="",D218=""),"",ROUND(MOD(D218-C218,1)*24,2))</f>
        <v/>
      </c>
      <c r="F218" s="28" t="n"/>
      <c r="G218" s="28" t="n"/>
      <c r="H218" s="1" t="n"/>
    </row>
    <row r="219">
      <c r="A219" s="1" t="n"/>
      <c r="B219" s="26" t="n"/>
      <c r="C219" s="27" t="n"/>
      <c r="D219" s="27" t="n"/>
      <c r="E219" s="21">
        <f>IF(OR(C219="",D219=""),"",ROUND(MOD(D219-C219,1)*24,2))</f>
        <v/>
      </c>
      <c r="F219" s="28" t="n"/>
      <c r="G219" s="28" t="n"/>
      <c r="H219" s="1" t="n"/>
    </row>
    <row r="220">
      <c r="A220" s="1" t="n"/>
      <c r="B220" s="26" t="n"/>
      <c r="C220" s="27" t="n"/>
      <c r="D220" s="27" t="n"/>
      <c r="E220" s="21">
        <f>IF(OR(C220="",D220=""),"",ROUND(MOD(D220-C220,1)*24,2))</f>
        <v/>
      </c>
      <c r="F220" s="28" t="n"/>
      <c r="G220" s="28" t="n"/>
      <c r="H220" s="1" t="n"/>
    </row>
    <row r="221">
      <c r="A221" s="1" t="n"/>
      <c r="B221" s="26" t="n"/>
      <c r="C221" s="27" t="n"/>
      <c r="D221" s="27" t="n"/>
      <c r="E221" s="21">
        <f>IF(OR(C221="",D221=""),"",ROUND(MOD(D221-C221,1)*24,2))</f>
        <v/>
      </c>
      <c r="F221" s="28" t="n"/>
      <c r="G221" s="28" t="n"/>
      <c r="H221" s="1" t="n"/>
    </row>
    <row r="222">
      <c r="A222" s="1" t="n"/>
      <c r="B222" s="26" t="n"/>
      <c r="C222" s="27" t="n"/>
      <c r="D222" s="27" t="n"/>
      <c r="E222" s="21">
        <f>IF(OR(C222="",D222=""),"",ROUND(MOD(D222-C222,1)*24,2))</f>
        <v/>
      </c>
      <c r="F222" s="28" t="n"/>
      <c r="G222" s="28" t="n"/>
      <c r="H222" s="1" t="n"/>
    </row>
    <row r="223">
      <c r="A223" s="1" t="n"/>
      <c r="B223" s="26" t="n"/>
      <c r="C223" s="27" t="n"/>
      <c r="D223" s="27" t="n"/>
      <c r="E223" s="21">
        <f>IF(OR(C223="",D223=""),"",ROUND(MOD(D223-C223,1)*24,2))</f>
        <v/>
      </c>
      <c r="F223" s="28" t="n"/>
      <c r="G223" s="28" t="n"/>
      <c r="H223" s="1" t="n"/>
    </row>
    <row r="224">
      <c r="A224" s="1" t="n"/>
      <c r="B224" s="26" t="n"/>
      <c r="C224" s="27" t="n"/>
      <c r="D224" s="27" t="n"/>
      <c r="E224" s="21">
        <f>IF(OR(C224="",D224=""),"",ROUND(MOD(D224-C224,1)*24,2))</f>
        <v/>
      </c>
      <c r="F224" s="28" t="n"/>
      <c r="G224" s="28" t="n"/>
      <c r="H224" s="1" t="n"/>
    </row>
    <row r="225">
      <c r="A225" s="1" t="n"/>
      <c r="B225" s="26" t="n"/>
      <c r="C225" s="27" t="n"/>
      <c r="D225" s="27" t="n"/>
      <c r="E225" s="21">
        <f>IF(OR(C225="",D225=""),"",ROUND(MOD(D225-C225,1)*24,2))</f>
        <v/>
      </c>
      <c r="F225" s="28" t="n"/>
      <c r="G225" s="28" t="n"/>
      <c r="H225" s="1" t="n"/>
    </row>
    <row r="226">
      <c r="A226" s="1" t="n"/>
      <c r="B226" s="26" t="n"/>
      <c r="C226" s="27" t="n"/>
      <c r="D226" s="27" t="n"/>
      <c r="E226" s="21">
        <f>IF(OR(C226="",D226=""),"",ROUND(MOD(D226-C226,1)*24,2))</f>
        <v/>
      </c>
      <c r="F226" s="28" t="n"/>
      <c r="G226" s="28" t="n"/>
      <c r="H226" s="1" t="n"/>
    </row>
    <row r="227">
      <c r="A227" s="1" t="n"/>
      <c r="B227" s="26" t="n"/>
      <c r="C227" s="27" t="n"/>
      <c r="D227" s="27" t="n"/>
      <c r="E227" s="21">
        <f>IF(OR(C227="",D227=""),"",ROUND(MOD(D227-C227,1)*24,2))</f>
        <v/>
      </c>
      <c r="F227" s="28" t="n"/>
      <c r="G227" s="28" t="n"/>
      <c r="H227" s="1" t="n"/>
    </row>
    <row r="228">
      <c r="A228" s="1" t="n"/>
      <c r="B228" s="26" t="n"/>
      <c r="C228" s="27" t="n"/>
      <c r="D228" s="27" t="n"/>
      <c r="E228" s="21">
        <f>IF(OR(C228="",D228=""),"",ROUND(MOD(D228-C228,1)*24,2))</f>
        <v/>
      </c>
      <c r="F228" s="28" t="n"/>
      <c r="G228" s="28" t="n"/>
      <c r="H228" s="1" t="n"/>
    </row>
    <row r="229">
      <c r="A229" s="1" t="n"/>
      <c r="B229" s="26" t="n"/>
      <c r="C229" s="27" t="n"/>
      <c r="D229" s="27" t="n"/>
      <c r="E229" s="21">
        <f>IF(OR(C229="",D229=""),"",ROUND(MOD(D229-C229,1)*24,2))</f>
        <v/>
      </c>
      <c r="F229" s="28" t="n"/>
      <c r="G229" s="28" t="n"/>
      <c r="H229" s="1" t="n"/>
    </row>
    <row r="230">
      <c r="A230" s="1" t="n"/>
      <c r="B230" s="26" t="n"/>
      <c r="C230" s="27" t="n"/>
      <c r="D230" s="27" t="n"/>
      <c r="E230" s="21">
        <f>IF(OR(C230="",D230=""),"",ROUND(MOD(D230-C230,1)*24,2))</f>
        <v/>
      </c>
      <c r="F230" s="28" t="n"/>
      <c r="G230" s="28" t="n"/>
      <c r="H230" s="1" t="n"/>
    </row>
    <row r="231">
      <c r="A231" s="1" t="n"/>
      <c r="B231" s="26" t="n"/>
      <c r="C231" s="27" t="n"/>
      <c r="D231" s="27" t="n"/>
      <c r="E231" s="21">
        <f>IF(OR(C231="",D231=""),"",ROUND(MOD(D231-C231,1)*24,2))</f>
        <v/>
      </c>
      <c r="F231" s="28" t="n"/>
      <c r="G231" s="28" t="n"/>
      <c r="H231" s="1" t="n"/>
    </row>
    <row r="232">
      <c r="A232" s="1" t="n"/>
      <c r="B232" s="26" t="n"/>
      <c r="C232" s="27" t="n"/>
      <c r="D232" s="27" t="n"/>
      <c r="E232" s="21">
        <f>IF(OR(C232="",D232=""),"",ROUND(MOD(D232-C232,1)*24,2))</f>
        <v/>
      </c>
      <c r="F232" s="28" t="n"/>
      <c r="G232" s="28" t="n"/>
      <c r="H232" s="1" t="n"/>
    </row>
    <row r="233">
      <c r="A233" s="1" t="n"/>
      <c r="B233" s="26" t="n"/>
      <c r="C233" s="27" t="n"/>
      <c r="D233" s="27" t="n"/>
      <c r="E233" s="21">
        <f>IF(OR(C233="",D233=""),"",ROUND(MOD(D233-C233,1)*24,2))</f>
        <v/>
      </c>
      <c r="F233" s="28" t="n"/>
      <c r="G233" s="28" t="n"/>
      <c r="H233" s="1" t="n"/>
    </row>
    <row r="234">
      <c r="A234" s="1" t="n"/>
      <c r="B234" s="26" t="n"/>
      <c r="C234" s="27" t="n"/>
      <c r="D234" s="27" t="n"/>
      <c r="E234" s="21">
        <f>IF(OR(C234="",D234=""),"",ROUND(MOD(D234-C234,1)*24,2))</f>
        <v/>
      </c>
      <c r="F234" s="28" t="n"/>
      <c r="G234" s="28" t="n"/>
      <c r="H234" s="1" t="n"/>
    </row>
    <row r="235">
      <c r="A235" s="1" t="n"/>
      <c r="B235" s="26" t="n"/>
      <c r="C235" s="27" t="n"/>
      <c r="D235" s="27" t="n"/>
      <c r="E235" s="21">
        <f>IF(OR(C235="",D235=""),"",ROUND(MOD(D235-C235,1)*24,2))</f>
        <v/>
      </c>
      <c r="F235" s="28" t="n"/>
      <c r="G235" s="28" t="n"/>
      <c r="H235" s="1" t="n"/>
    </row>
    <row r="236">
      <c r="A236" s="1" t="n"/>
      <c r="B236" s="26" t="n"/>
      <c r="C236" s="27" t="n"/>
      <c r="D236" s="27" t="n"/>
      <c r="E236" s="21">
        <f>IF(OR(C236="",D236=""),"",ROUND(MOD(D236-C236,1)*24,2))</f>
        <v/>
      </c>
      <c r="F236" s="28" t="n"/>
      <c r="G236" s="28" t="n"/>
      <c r="H236" s="1" t="n"/>
    </row>
    <row r="237">
      <c r="A237" s="1" t="n"/>
      <c r="B237" s="26" t="n"/>
      <c r="C237" s="27" t="n"/>
      <c r="D237" s="27" t="n"/>
      <c r="E237" s="21">
        <f>IF(OR(C237="",D237=""),"",ROUND(MOD(D237-C237,1)*24,2))</f>
        <v/>
      </c>
      <c r="F237" s="28" t="n"/>
      <c r="G237" s="28" t="n"/>
      <c r="H237" s="1" t="n"/>
    </row>
    <row r="238">
      <c r="A238" s="1" t="n"/>
      <c r="B238" s="26" t="n"/>
      <c r="C238" s="27" t="n"/>
      <c r="D238" s="27" t="n"/>
      <c r="E238" s="21">
        <f>IF(OR(C238="",D238=""),"",ROUND(MOD(D238-C238,1)*24,2))</f>
        <v/>
      </c>
      <c r="F238" s="28" t="n"/>
      <c r="G238" s="28" t="n"/>
      <c r="H238" s="1" t="n"/>
    </row>
    <row r="239">
      <c r="A239" s="1" t="n"/>
      <c r="B239" s="26" t="n"/>
      <c r="C239" s="27" t="n"/>
      <c r="D239" s="27" t="n"/>
      <c r="E239" s="21">
        <f>IF(OR(C239="",D239=""),"",ROUND(MOD(D239-C239,1)*24,2))</f>
        <v/>
      </c>
      <c r="F239" s="28" t="n"/>
      <c r="G239" s="28" t="n"/>
      <c r="H239" s="1" t="n"/>
    </row>
    <row r="240">
      <c r="A240" s="1" t="n"/>
      <c r="B240" s="26" t="n"/>
      <c r="C240" s="27" t="n"/>
      <c r="D240" s="27" t="n"/>
      <c r="E240" s="21">
        <f>IF(OR(C240="",D240=""),"",ROUND(MOD(D240-C240,1)*24,2))</f>
        <v/>
      </c>
      <c r="F240" s="28" t="n"/>
      <c r="G240" s="28" t="n"/>
      <c r="H240" s="1" t="n"/>
    </row>
    <row r="241">
      <c r="A241" s="1" t="n"/>
      <c r="B241" s="26" t="n"/>
      <c r="C241" s="27" t="n"/>
      <c r="D241" s="27" t="n"/>
      <c r="E241" s="21">
        <f>IF(OR(C241="",D241=""),"",ROUND(MOD(D241-C241,1)*24,2))</f>
        <v/>
      </c>
      <c r="F241" s="28" t="n"/>
      <c r="G241" s="28" t="n"/>
      <c r="H241" s="1" t="n"/>
    </row>
    <row r="242">
      <c r="A242" s="1" t="n"/>
      <c r="B242" s="26" t="n"/>
      <c r="C242" s="27" t="n"/>
      <c r="D242" s="27" t="n"/>
      <c r="E242" s="21">
        <f>IF(OR(C242="",D242=""),"",ROUND(MOD(D242-C242,1)*24,2))</f>
        <v/>
      </c>
      <c r="F242" s="28" t="n"/>
      <c r="G242" s="28" t="n"/>
      <c r="H242" s="1" t="n"/>
    </row>
    <row r="243">
      <c r="A243" s="1" t="n"/>
      <c r="B243" s="26" t="n"/>
      <c r="C243" s="27" t="n"/>
      <c r="D243" s="27" t="n"/>
      <c r="E243" s="21">
        <f>IF(OR(C243="",D243=""),"",ROUND(MOD(D243-C243,1)*24,2))</f>
        <v/>
      </c>
      <c r="F243" s="28" t="n"/>
      <c r="G243" s="28" t="n"/>
      <c r="H243" s="1" t="n"/>
    </row>
    <row r="244">
      <c r="A244" s="1" t="n"/>
      <c r="B244" s="26" t="n"/>
      <c r="C244" s="27" t="n"/>
      <c r="D244" s="27" t="n"/>
      <c r="E244" s="21">
        <f>IF(OR(C244="",D244=""),"",ROUND(MOD(D244-C244,1)*24,2))</f>
        <v/>
      </c>
      <c r="F244" s="28" t="n"/>
      <c r="G244" s="28" t="n"/>
      <c r="H244" s="1" t="n"/>
    </row>
    <row r="245">
      <c r="A245" s="1" t="n"/>
      <c r="B245" s="26" t="n"/>
      <c r="C245" s="27" t="n"/>
      <c r="D245" s="27" t="n"/>
      <c r="E245" s="21">
        <f>IF(OR(C245="",D245=""),"",ROUND(MOD(D245-C245,1)*24,2))</f>
        <v/>
      </c>
      <c r="F245" s="28" t="n"/>
      <c r="G245" s="28" t="n"/>
      <c r="H245" s="1" t="n"/>
    </row>
    <row r="246">
      <c r="A246" s="1" t="n"/>
      <c r="B246" s="26" t="n"/>
      <c r="C246" s="27" t="n"/>
      <c r="D246" s="27" t="n"/>
      <c r="E246" s="21">
        <f>IF(OR(C246="",D246=""),"",ROUND(MOD(D246-C246,1)*24,2))</f>
        <v/>
      </c>
      <c r="F246" s="28" t="n"/>
      <c r="G246" s="28" t="n"/>
      <c r="H246" s="1" t="n"/>
    </row>
    <row r="247">
      <c r="A247" s="1" t="n"/>
      <c r="B247" s="26" t="n"/>
      <c r="C247" s="27" t="n"/>
      <c r="D247" s="27" t="n"/>
      <c r="E247" s="21">
        <f>IF(OR(C247="",D247=""),"",ROUND(MOD(D247-C247,1)*24,2))</f>
        <v/>
      </c>
      <c r="F247" s="28" t="n"/>
      <c r="G247" s="28" t="n"/>
      <c r="H247" s="1" t="n"/>
    </row>
    <row r="248">
      <c r="A248" s="1" t="n"/>
      <c r="B248" s="26" t="n"/>
      <c r="C248" s="27" t="n"/>
      <c r="D248" s="27" t="n"/>
      <c r="E248" s="21">
        <f>IF(OR(C248="",D248=""),"",ROUND(MOD(D248-C248,1)*24,2))</f>
        <v/>
      </c>
      <c r="F248" s="28" t="n"/>
      <c r="G248" s="28" t="n"/>
      <c r="H248" s="1" t="n"/>
    </row>
    <row r="249">
      <c r="A249" s="1" t="n"/>
      <c r="B249" s="26" t="n"/>
      <c r="C249" s="27" t="n"/>
      <c r="D249" s="27" t="n"/>
      <c r="E249" s="21">
        <f>IF(OR(C249="",D249=""),"",ROUND(MOD(D249-C249,1)*24,2))</f>
        <v/>
      </c>
      <c r="F249" s="28" t="n"/>
      <c r="G249" s="28" t="n"/>
      <c r="H249" s="1" t="n"/>
    </row>
    <row r="250">
      <c r="A250" s="1" t="n"/>
      <c r="B250" s="26" t="n"/>
      <c r="C250" s="27" t="n"/>
      <c r="D250" s="27" t="n"/>
      <c r="E250" s="21">
        <f>IF(OR(C250="",D250=""),"",ROUND(MOD(D250-C250,1)*24,2))</f>
        <v/>
      </c>
      <c r="F250" s="28" t="n"/>
      <c r="G250" s="28" t="n"/>
      <c r="H250" s="1" t="n"/>
    </row>
    <row r="251">
      <c r="A251" s="1" t="n"/>
      <c r="B251" s="26" t="n"/>
      <c r="C251" s="27" t="n"/>
      <c r="D251" s="27" t="n"/>
      <c r="E251" s="21">
        <f>IF(OR(C251="",D251=""),"",ROUND(MOD(D251-C251,1)*24,2))</f>
        <v/>
      </c>
      <c r="F251" s="28" t="n"/>
      <c r="G251" s="28" t="n"/>
      <c r="H251" s="1" t="n"/>
    </row>
    <row r="252">
      <c r="A252" s="1" t="n"/>
      <c r="B252" s="26" t="n"/>
      <c r="C252" s="27" t="n"/>
      <c r="D252" s="27" t="n"/>
      <c r="E252" s="21">
        <f>IF(OR(C252="",D252=""),"",ROUND(MOD(D252-C252,1)*24,2))</f>
        <v/>
      </c>
      <c r="F252" s="28" t="n"/>
      <c r="G252" s="28" t="n"/>
      <c r="H252" s="1" t="n"/>
    </row>
    <row r="253">
      <c r="A253" s="1" t="n"/>
      <c r="B253" s="26" t="n"/>
      <c r="C253" s="27" t="n"/>
      <c r="D253" s="27" t="n"/>
      <c r="E253" s="21">
        <f>IF(OR(C253="",D253=""),"",ROUND(MOD(D253-C253,1)*24,2))</f>
        <v/>
      </c>
      <c r="F253" s="28" t="n"/>
      <c r="G253" s="28" t="n"/>
      <c r="H253" s="1" t="n"/>
    </row>
    <row r="254">
      <c r="A254" s="1" t="n"/>
      <c r="B254" s="26" t="n"/>
      <c r="C254" s="27" t="n"/>
      <c r="D254" s="27" t="n"/>
      <c r="E254" s="21">
        <f>IF(OR(C254="",D254=""),"",ROUND(MOD(D254-C254,1)*24,2))</f>
        <v/>
      </c>
      <c r="F254" s="28" t="n"/>
      <c r="G254" s="28" t="n"/>
      <c r="H254" s="1" t="n"/>
    </row>
    <row r="255">
      <c r="A255" s="1" t="n"/>
      <c r="B255" s="26" t="n"/>
      <c r="C255" s="27" t="n"/>
      <c r="D255" s="27" t="n"/>
      <c r="E255" s="21">
        <f>IF(OR(C255="",D255=""),"",ROUND(MOD(D255-C255,1)*24,2))</f>
        <v/>
      </c>
      <c r="F255" s="28" t="n"/>
      <c r="G255" s="28" t="n"/>
      <c r="H255" s="1" t="n"/>
    </row>
    <row r="256">
      <c r="A256" s="1" t="n"/>
      <c r="B256" s="26" t="n"/>
      <c r="C256" s="27" t="n"/>
      <c r="D256" s="27" t="n"/>
      <c r="E256" s="21">
        <f>IF(OR(C256="",D256=""),"",ROUND(MOD(D256-C256,1)*24,2))</f>
        <v/>
      </c>
      <c r="F256" s="28" t="n"/>
      <c r="G256" s="28" t="n"/>
      <c r="H256" s="1" t="n"/>
    </row>
    <row r="257">
      <c r="A257" s="1" t="n"/>
      <c r="B257" s="26" t="n"/>
      <c r="C257" s="27" t="n"/>
      <c r="D257" s="27" t="n"/>
      <c r="E257" s="21">
        <f>IF(OR(C257="",D257=""),"",ROUND(MOD(D257-C257,1)*24,2))</f>
        <v/>
      </c>
      <c r="F257" s="28" t="n"/>
      <c r="G257" s="28" t="n"/>
      <c r="H257" s="1" t="n"/>
    </row>
    <row r="258">
      <c r="A258" s="1" t="n"/>
      <c r="B258" s="26" t="n"/>
      <c r="C258" s="27" t="n"/>
      <c r="D258" s="27" t="n"/>
      <c r="E258" s="21">
        <f>IF(OR(C258="",D258=""),"",ROUND(MOD(D258-C258,1)*24,2))</f>
        <v/>
      </c>
      <c r="F258" s="28" t="n"/>
      <c r="G258" s="28" t="n"/>
      <c r="H258" s="1" t="n"/>
    </row>
    <row r="259">
      <c r="A259" s="1" t="n"/>
      <c r="B259" s="26" t="n"/>
      <c r="C259" s="27" t="n"/>
      <c r="D259" s="27" t="n"/>
      <c r="E259" s="21">
        <f>IF(OR(C259="",D259=""),"",ROUND(MOD(D259-C259,1)*24,2))</f>
        <v/>
      </c>
      <c r="F259" s="28" t="n"/>
      <c r="G259" s="28" t="n"/>
      <c r="H259" s="1" t="n"/>
    </row>
    <row r="260">
      <c r="A260" s="1" t="n"/>
      <c r="B260" s="26" t="n"/>
      <c r="C260" s="27" t="n"/>
      <c r="D260" s="27" t="n"/>
      <c r="E260" s="21">
        <f>IF(OR(C260="",D260=""),"",ROUND(MOD(D260-C260,1)*24,2))</f>
        <v/>
      </c>
      <c r="F260" s="28" t="n"/>
      <c r="G260" s="28" t="n"/>
      <c r="H260" s="1" t="n"/>
    </row>
    <row r="261">
      <c r="A261" s="1" t="n"/>
      <c r="B261" s="26" t="n"/>
      <c r="C261" s="27" t="n"/>
      <c r="D261" s="27" t="n"/>
      <c r="E261" s="21">
        <f>IF(OR(C261="",D261=""),"",ROUND(MOD(D261-C261,1)*24,2))</f>
        <v/>
      </c>
      <c r="F261" s="28" t="n"/>
      <c r="G261" s="28" t="n"/>
      <c r="H261" s="1" t="n"/>
    </row>
    <row r="262">
      <c r="A262" s="1" t="n"/>
      <c r="B262" s="26" t="n"/>
      <c r="C262" s="27" t="n"/>
      <c r="D262" s="27" t="n"/>
      <c r="E262" s="21">
        <f>IF(OR(C262="",D262=""),"",ROUND(MOD(D262-C262,1)*24,2))</f>
        <v/>
      </c>
      <c r="F262" s="28" t="n"/>
      <c r="G262" s="28" t="n"/>
      <c r="H262" s="1" t="n"/>
    </row>
    <row r="263">
      <c r="A263" s="1" t="n"/>
      <c r="B263" s="26" t="n"/>
      <c r="C263" s="27" t="n"/>
      <c r="D263" s="27" t="n"/>
      <c r="E263" s="21">
        <f>IF(OR(C263="",D263=""),"",ROUND(MOD(D263-C263,1)*24,2))</f>
        <v/>
      </c>
      <c r="F263" s="28" t="n"/>
      <c r="G263" s="28" t="n"/>
      <c r="H263" s="1" t="n"/>
    </row>
    <row r="264">
      <c r="A264" s="1" t="n"/>
      <c r="B264" s="26" t="n"/>
      <c r="C264" s="27" t="n"/>
      <c r="D264" s="27" t="n"/>
      <c r="E264" s="21">
        <f>IF(OR(C264="",D264=""),"",ROUND(MOD(D264-C264,1)*24,2))</f>
        <v/>
      </c>
      <c r="F264" s="28" t="n"/>
      <c r="G264" s="28" t="n"/>
      <c r="H264" s="1" t="n"/>
    </row>
    <row r="265">
      <c r="A265" s="1" t="n"/>
      <c r="B265" s="26" t="n"/>
      <c r="C265" s="27" t="n"/>
      <c r="D265" s="27" t="n"/>
      <c r="E265" s="21">
        <f>IF(OR(C265="",D265=""),"",ROUND(MOD(D265-C265,1)*24,2))</f>
        <v/>
      </c>
      <c r="F265" s="28" t="n"/>
      <c r="G265" s="28" t="n"/>
      <c r="H265" s="1" t="n"/>
    </row>
    <row r="266">
      <c r="A266" s="1" t="n"/>
      <c r="B266" s="26" t="n"/>
      <c r="C266" s="27" t="n"/>
      <c r="D266" s="27" t="n"/>
      <c r="E266" s="21">
        <f>IF(OR(C266="",D266=""),"",ROUND(MOD(D266-C266,1)*24,2))</f>
        <v/>
      </c>
      <c r="F266" s="28" t="n"/>
      <c r="G266" s="28" t="n"/>
      <c r="H266" s="1" t="n"/>
    </row>
    <row r="267">
      <c r="A267" s="1" t="n"/>
      <c r="B267" s="26" t="n"/>
      <c r="C267" s="27" t="n"/>
      <c r="D267" s="27" t="n"/>
      <c r="E267" s="21">
        <f>IF(OR(C267="",D267=""),"",ROUND(MOD(D267-C267,1)*24,2))</f>
        <v/>
      </c>
      <c r="F267" s="28" t="n"/>
      <c r="G267" s="28" t="n"/>
      <c r="H267" s="1" t="n"/>
    </row>
    <row r="268">
      <c r="A268" s="1" t="n"/>
      <c r="B268" s="26" t="n"/>
      <c r="C268" s="27" t="n"/>
      <c r="D268" s="27" t="n"/>
      <c r="E268" s="21">
        <f>IF(OR(C268="",D268=""),"",ROUND(MOD(D268-C268,1)*24,2))</f>
        <v/>
      </c>
      <c r="F268" s="28" t="n"/>
      <c r="G268" s="28" t="n"/>
      <c r="H268" s="1" t="n"/>
    </row>
    <row r="269">
      <c r="A269" s="1" t="n"/>
      <c r="B269" s="26" t="n"/>
      <c r="C269" s="27" t="n"/>
      <c r="D269" s="27" t="n"/>
      <c r="E269" s="21">
        <f>IF(OR(C269="",D269=""),"",ROUND(MOD(D269-C269,1)*24,2))</f>
        <v/>
      </c>
      <c r="F269" s="28" t="n"/>
      <c r="G269" s="28" t="n"/>
      <c r="H269" s="1" t="n"/>
    </row>
    <row r="270">
      <c r="A270" s="1" t="n"/>
      <c r="B270" s="26" t="n"/>
      <c r="C270" s="27" t="n"/>
      <c r="D270" s="27" t="n"/>
      <c r="E270" s="21">
        <f>IF(OR(C270="",D270=""),"",ROUND(MOD(D270-C270,1)*24,2))</f>
        <v/>
      </c>
      <c r="F270" s="28" t="n"/>
      <c r="G270" s="28" t="n"/>
      <c r="H270" s="1" t="n"/>
    </row>
    <row r="271">
      <c r="A271" s="1" t="n"/>
      <c r="B271" s="26" t="n"/>
      <c r="C271" s="27" t="n"/>
      <c r="D271" s="27" t="n"/>
      <c r="E271" s="21">
        <f>IF(OR(C271="",D271=""),"",ROUND(MOD(D271-C271,1)*24,2))</f>
        <v/>
      </c>
      <c r="F271" s="28" t="n"/>
      <c r="G271" s="28" t="n"/>
      <c r="H271" s="1" t="n"/>
    </row>
    <row r="272">
      <c r="A272" s="1" t="n"/>
      <c r="B272" s="26" t="n"/>
      <c r="C272" s="27" t="n"/>
      <c r="D272" s="27" t="n"/>
      <c r="E272" s="21">
        <f>IF(OR(C272="",D272=""),"",ROUND(MOD(D272-C272,1)*24,2))</f>
        <v/>
      </c>
      <c r="F272" s="28" t="n"/>
      <c r="G272" s="28" t="n"/>
      <c r="H272" s="1" t="n"/>
    </row>
    <row r="273">
      <c r="A273" s="1" t="n"/>
      <c r="B273" s="26" t="n"/>
      <c r="C273" s="27" t="n"/>
      <c r="D273" s="27" t="n"/>
      <c r="E273" s="21">
        <f>IF(OR(C273="",D273=""),"",ROUND(MOD(D273-C273,1)*24,2))</f>
        <v/>
      </c>
      <c r="F273" s="28" t="n"/>
      <c r="G273" s="28" t="n"/>
      <c r="H273" s="1" t="n"/>
    </row>
    <row r="274">
      <c r="A274" s="1" t="n"/>
      <c r="B274" s="26" t="n"/>
      <c r="C274" s="27" t="n"/>
      <c r="D274" s="27" t="n"/>
      <c r="E274" s="21">
        <f>IF(OR(C274="",D274=""),"",ROUND(MOD(D274-C274,1)*24,2))</f>
        <v/>
      </c>
      <c r="F274" s="28" t="n"/>
      <c r="G274" s="28" t="n"/>
      <c r="H274" s="1" t="n"/>
    </row>
    <row r="275">
      <c r="A275" s="1" t="n"/>
      <c r="B275" s="26" t="n"/>
      <c r="C275" s="27" t="n"/>
      <c r="D275" s="27" t="n"/>
      <c r="E275" s="21">
        <f>IF(OR(C275="",D275=""),"",ROUND(MOD(D275-C275,1)*24,2))</f>
        <v/>
      </c>
      <c r="F275" s="28" t="n"/>
      <c r="G275" s="28" t="n"/>
      <c r="H275" s="1" t="n"/>
    </row>
    <row r="276">
      <c r="A276" s="1" t="n"/>
      <c r="B276" s="26" t="n"/>
      <c r="C276" s="27" t="n"/>
      <c r="D276" s="27" t="n"/>
      <c r="E276" s="21">
        <f>IF(OR(C276="",D276=""),"",ROUND(MOD(D276-C276,1)*24,2))</f>
        <v/>
      </c>
      <c r="F276" s="28" t="n"/>
      <c r="G276" s="28" t="n"/>
      <c r="H276" s="1" t="n"/>
    </row>
    <row r="277">
      <c r="A277" s="1" t="n"/>
      <c r="B277" s="26" t="n"/>
      <c r="C277" s="27" t="n"/>
      <c r="D277" s="27" t="n"/>
      <c r="E277" s="21">
        <f>IF(OR(C277="",D277=""),"",ROUND(MOD(D277-C277,1)*24,2))</f>
        <v/>
      </c>
      <c r="F277" s="28" t="n"/>
      <c r="G277" s="28" t="n"/>
      <c r="H277" s="1" t="n"/>
    </row>
    <row r="278">
      <c r="A278" s="1" t="n"/>
      <c r="B278" s="26" t="n"/>
      <c r="C278" s="27" t="n"/>
      <c r="D278" s="27" t="n"/>
      <c r="E278" s="21">
        <f>IF(OR(C278="",D278=""),"",ROUND(MOD(D278-C278,1)*24,2))</f>
        <v/>
      </c>
      <c r="F278" s="28" t="n"/>
      <c r="G278" s="28" t="n"/>
      <c r="H278" s="1" t="n"/>
    </row>
    <row r="279">
      <c r="A279" s="1" t="n"/>
      <c r="B279" s="26" t="n"/>
      <c r="C279" s="27" t="n"/>
      <c r="D279" s="27" t="n"/>
      <c r="E279" s="21">
        <f>IF(OR(C279="",D279=""),"",ROUND(MOD(D279-C279,1)*24,2))</f>
        <v/>
      </c>
      <c r="F279" s="28" t="n"/>
      <c r="G279" s="28" t="n"/>
      <c r="H279" s="1" t="n"/>
    </row>
    <row r="280">
      <c r="A280" s="1" t="n"/>
      <c r="B280" s="26" t="n"/>
      <c r="C280" s="27" t="n"/>
      <c r="D280" s="27" t="n"/>
      <c r="E280" s="21">
        <f>IF(OR(C280="",D280=""),"",ROUND(MOD(D280-C280,1)*24,2))</f>
        <v/>
      </c>
      <c r="F280" s="28" t="n"/>
      <c r="G280" s="28" t="n"/>
      <c r="H280" s="1" t="n"/>
    </row>
    <row r="281">
      <c r="A281" s="1" t="n"/>
      <c r="B281" s="26" t="n"/>
      <c r="C281" s="27" t="n"/>
      <c r="D281" s="27" t="n"/>
      <c r="E281" s="21">
        <f>IF(OR(C281="",D281=""),"",ROUND(MOD(D281-C281,1)*24,2))</f>
        <v/>
      </c>
      <c r="F281" s="28" t="n"/>
      <c r="G281" s="28" t="n"/>
      <c r="H281" s="1" t="n"/>
    </row>
    <row r="282">
      <c r="A282" s="1" t="n"/>
      <c r="B282" s="26" t="n"/>
      <c r="C282" s="27" t="n"/>
      <c r="D282" s="27" t="n"/>
      <c r="E282" s="21">
        <f>IF(OR(C282="",D282=""),"",ROUND(MOD(D282-C282,1)*24,2))</f>
        <v/>
      </c>
      <c r="F282" s="28" t="n"/>
      <c r="G282" s="28" t="n"/>
      <c r="H282" s="1" t="n"/>
    </row>
    <row r="283">
      <c r="A283" s="1" t="n"/>
      <c r="B283" s="26" t="n"/>
      <c r="C283" s="27" t="n"/>
      <c r="D283" s="27" t="n"/>
      <c r="E283" s="21">
        <f>IF(OR(C283="",D283=""),"",ROUND(MOD(D283-C283,1)*24,2))</f>
        <v/>
      </c>
      <c r="F283" s="28" t="n"/>
      <c r="G283" s="28" t="n"/>
      <c r="H283" s="1" t="n"/>
    </row>
    <row r="284">
      <c r="A284" s="1" t="n"/>
      <c r="B284" s="26" t="n"/>
      <c r="C284" s="27" t="n"/>
      <c r="D284" s="27" t="n"/>
      <c r="E284" s="21">
        <f>IF(OR(C284="",D284=""),"",ROUND(MOD(D284-C284,1)*24,2))</f>
        <v/>
      </c>
      <c r="F284" s="28" t="n"/>
      <c r="G284" s="28" t="n"/>
      <c r="H284" s="1" t="n"/>
    </row>
    <row r="285">
      <c r="A285" s="1" t="n"/>
      <c r="B285" s="26" t="n"/>
      <c r="C285" s="27" t="n"/>
      <c r="D285" s="27" t="n"/>
      <c r="E285" s="21">
        <f>IF(OR(C285="",D285=""),"",ROUND(MOD(D285-C285,1)*24,2))</f>
        <v/>
      </c>
      <c r="F285" s="28" t="n"/>
      <c r="G285" s="28" t="n"/>
      <c r="H285" s="1" t="n"/>
    </row>
    <row r="286">
      <c r="A286" s="1" t="n"/>
      <c r="B286" s="26" t="n"/>
      <c r="C286" s="27" t="n"/>
      <c r="D286" s="27" t="n"/>
      <c r="E286" s="21">
        <f>IF(OR(C286="",D286=""),"",ROUND(MOD(D286-C286,1)*24,2))</f>
        <v/>
      </c>
      <c r="F286" s="28" t="n"/>
      <c r="G286" s="28" t="n"/>
      <c r="H286" s="1" t="n"/>
    </row>
    <row r="287">
      <c r="A287" s="1" t="n"/>
      <c r="B287" s="26" t="n"/>
      <c r="C287" s="27" t="n"/>
      <c r="D287" s="27" t="n"/>
      <c r="E287" s="21">
        <f>IF(OR(C287="",D287=""),"",ROUND(MOD(D287-C287,1)*24,2))</f>
        <v/>
      </c>
      <c r="F287" s="28" t="n"/>
      <c r="G287" s="28" t="n"/>
      <c r="H287" s="1" t="n"/>
    </row>
    <row r="288">
      <c r="A288" s="1" t="n"/>
      <c r="B288" s="26" t="n"/>
      <c r="C288" s="27" t="n"/>
      <c r="D288" s="27" t="n"/>
      <c r="E288" s="21">
        <f>IF(OR(C288="",D288=""),"",ROUND(MOD(D288-C288,1)*24,2))</f>
        <v/>
      </c>
      <c r="F288" s="28" t="n"/>
      <c r="G288" s="28" t="n"/>
      <c r="H288" s="1" t="n"/>
    </row>
    <row r="289">
      <c r="A289" s="1" t="n"/>
      <c r="B289" s="26" t="n"/>
      <c r="C289" s="27" t="n"/>
      <c r="D289" s="27" t="n"/>
      <c r="E289" s="21">
        <f>IF(OR(C289="",D289=""),"",ROUND(MOD(D289-C289,1)*24,2))</f>
        <v/>
      </c>
      <c r="F289" s="28" t="n"/>
      <c r="G289" s="28" t="n"/>
      <c r="H289" s="1" t="n"/>
    </row>
    <row r="290">
      <c r="A290" s="1" t="n"/>
      <c r="B290" s="26" t="n"/>
      <c r="C290" s="27" t="n"/>
      <c r="D290" s="27" t="n"/>
      <c r="E290" s="21">
        <f>IF(OR(C290="",D290=""),"",ROUND(MOD(D290-C290,1)*24,2))</f>
        <v/>
      </c>
      <c r="F290" s="28" t="n"/>
      <c r="G290" s="28" t="n"/>
      <c r="H290" s="1" t="n"/>
    </row>
    <row r="291">
      <c r="A291" s="1" t="n"/>
      <c r="B291" s="26" t="n"/>
      <c r="C291" s="27" t="n"/>
      <c r="D291" s="27" t="n"/>
      <c r="E291" s="21">
        <f>IF(OR(C291="",D291=""),"",ROUND(MOD(D291-C291,1)*24,2))</f>
        <v/>
      </c>
      <c r="F291" s="28" t="n"/>
      <c r="G291" s="28" t="n"/>
      <c r="H291" s="1" t="n"/>
    </row>
    <row r="292">
      <c r="A292" s="1" t="n"/>
      <c r="B292" s="26" t="n"/>
      <c r="C292" s="27" t="n"/>
      <c r="D292" s="27" t="n"/>
      <c r="E292" s="21">
        <f>IF(OR(C292="",D292=""),"",ROUND(MOD(D292-C292,1)*24,2))</f>
        <v/>
      </c>
      <c r="F292" s="28" t="n"/>
      <c r="G292" s="28" t="n"/>
      <c r="H292" s="1" t="n"/>
    </row>
    <row r="293">
      <c r="A293" s="1" t="n"/>
      <c r="B293" s="26" t="n"/>
      <c r="C293" s="27" t="n"/>
      <c r="D293" s="27" t="n"/>
      <c r="E293" s="21">
        <f>IF(OR(C293="",D293=""),"",ROUND(MOD(D293-C293,1)*24,2))</f>
        <v/>
      </c>
      <c r="F293" s="28" t="n"/>
      <c r="G293" s="28" t="n"/>
      <c r="H293" s="1" t="n"/>
    </row>
    <row r="294">
      <c r="A294" s="1" t="n"/>
      <c r="B294" s="26" t="n"/>
      <c r="C294" s="27" t="n"/>
      <c r="D294" s="27" t="n"/>
      <c r="E294" s="21">
        <f>IF(OR(C294="",D294=""),"",ROUND(MOD(D294-C294,1)*24,2))</f>
        <v/>
      </c>
      <c r="F294" s="28" t="n"/>
      <c r="G294" s="28" t="n"/>
      <c r="H294" s="1" t="n"/>
    </row>
    <row r="295">
      <c r="A295" s="1" t="n"/>
      <c r="B295" s="26" t="n"/>
      <c r="C295" s="27" t="n"/>
      <c r="D295" s="27" t="n"/>
      <c r="E295" s="21">
        <f>IF(OR(C295="",D295=""),"",ROUND(MOD(D295-C295,1)*24,2))</f>
        <v/>
      </c>
      <c r="F295" s="28" t="n"/>
      <c r="G295" s="28" t="n"/>
      <c r="H295" s="1" t="n"/>
    </row>
    <row r="296">
      <c r="A296" s="1" t="n"/>
      <c r="B296" s="26" t="n"/>
      <c r="C296" s="27" t="n"/>
      <c r="D296" s="27" t="n"/>
      <c r="E296" s="21">
        <f>IF(OR(C296="",D296=""),"",ROUND(MOD(D296-C296,1)*24,2))</f>
        <v/>
      </c>
      <c r="F296" s="28" t="n"/>
      <c r="G296" s="28" t="n"/>
      <c r="H296" s="1" t="n"/>
    </row>
    <row r="297">
      <c r="A297" s="1" t="n"/>
      <c r="B297" s="26" t="n"/>
      <c r="C297" s="27" t="n"/>
      <c r="D297" s="27" t="n"/>
      <c r="E297" s="21">
        <f>IF(OR(C297="",D297=""),"",ROUND(MOD(D297-C297,1)*24,2))</f>
        <v/>
      </c>
      <c r="F297" s="28" t="n"/>
      <c r="G297" s="28" t="n"/>
      <c r="H297" s="1" t="n"/>
    </row>
    <row r="298">
      <c r="A298" s="1" t="n"/>
      <c r="B298" s="26" t="n"/>
      <c r="C298" s="27" t="n"/>
      <c r="D298" s="27" t="n"/>
      <c r="E298" s="21">
        <f>IF(OR(C298="",D298=""),"",ROUND(MOD(D298-C298,1)*24,2))</f>
        <v/>
      </c>
      <c r="F298" s="28" t="n"/>
      <c r="G298" s="28" t="n"/>
      <c r="H298" s="1" t="n"/>
    </row>
    <row r="299">
      <c r="A299" s="1" t="n"/>
      <c r="B299" s="26" t="n"/>
      <c r="C299" s="27" t="n"/>
      <c r="D299" s="27" t="n"/>
      <c r="E299" s="21">
        <f>IF(OR(C299="",D299=""),"",ROUND(MOD(D299-C299,1)*24,2))</f>
        <v/>
      </c>
      <c r="F299" s="28" t="n"/>
      <c r="G299" s="28" t="n"/>
      <c r="H299" s="1" t="n"/>
    </row>
    <row r="300">
      <c r="A300" s="1" t="n"/>
      <c r="B300" s="26" t="n"/>
      <c r="C300" s="27" t="n"/>
      <c r="D300" s="27" t="n"/>
      <c r="E300" s="21">
        <f>IF(OR(C300="",D300=""),"",ROUND(MOD(D300-C300,1)*24,2))</f>
        <v/>
      </c>
      <c r="F300" s="28" t="n"/>
      <c r="G300" s="28" t="n"/>
      <c r="H300" s="1" t="n"/>
    </row>
    <row r="301">
      <c r="A301" s="1" t="n"/>
      <c r="B301" s="26" t="n"/>
      <c r="C301" s="27" t="n"/>
      <c r="D301" s="27" t="n"/>
      <c r="E301" s="21">
        <f>IF(OR(C301="",D301=""),"",ROUND(MOD(D301-C301,1)*24,2))</f>
        <v/>
      </c>
      <c r="F301" s="28" t="n"/>
      <c r="G301" s="28" t="n"/>
      <c r="H301" s="1" t="n"/>
    </row>
    <row r="302">
      <c r="A302" s="1" t="n"/>
      <c r="B302" s="26" t="n"/>
      <c r="C302" s="27" t="n"/>
      <c r="D302" s="27" t="n"/>
      <c r="E302" s="21">
        <f>IF(OR(C302="",D302=""),"",ROUND(MOD(D302-C302,1)*24,2))</f>
        <v/>
      </c>
      <c r="F302" s="28" t="n"/>
      <c r="G302" s="28" t="n"/>
      <c r="H302" s="1" t="n"/>
    </row>
    <row r="303">
      <c r="A303" s="1" t="n"/>
      <c r="B303" s="26" t="n"/>
      <c r="C303" s="27" t="n"/>
      <c r="D303" s="27" t="n"/>
      <c r="E303" s="21">
        <f>IF(OR(C303="",D303=""),"",ROUND(MOD(D303-C303,1)*24,2))</f>
        <v/>
      </c>
      <c r="F303" s="28" t="n"/>
      <c r="G303" s="28" t="n"/>
      <c r="H303" s="1" t="n"/>
    </row>
    <row r="304">
      <c r="A304" s="1" t="n"/>
      <c r="B304" s="26" t="n"/>
      <c r="C304" s="27" t="n"/>
      <c r="D304" s="27" t="n"/>
      <c r="E304" s="21">
        <f>IF(OR(C304="",D304=""),"",ROUND(MOD(D304-C304,1)*24,2))</f>
        <v/>
      </c>
      <c r="F304" s="28" t="n"/>
      <c r="G304" s="28" t="n"/>
      <c r="H304" s="1" t="n"/>
    </row>
    <row r="305">
      <c r="A305" s="1" t="n"/>
      <c r="B305" s="26" t="n"/>
      <c r="C305" s="27" t="n"/>
      <c r="D305" s="27" t="n"/>
      <c r="E305" s="21">
        <f>IF(OR(C305="",D305=""),"",ROUND(MOD(D305-C305,1)*24,2))</f>
        <v/>
      </c>
      <c r="F305" s="28" t="n"/>
      <c r="G305" s="28" t="n"/>
      <c r="H305" s="1" t="n"/>
    </row>
    <row r="306">
      <c r="A306" s="1" t="n"/>
      <c r="B306" s="26" t="n"/>
      <c r="C306" s="27" t="n"/>
      <c r="D306" s="27" t="n"/>
      <c r="E306" s="21">
        <f>IF(OR(C306="",D306=""),"",ROUND(MOD(D306-C306,1)*24,2))</f>
        <v/>
      </c>
      <c r="F306" s="28" t="n"/>
      <c r="G306" s="28" t="n"/>
      <c r="H306" s="1" t="n"/>
    </row>
    <row r="307">
      <c r="A307" s="1" t="n"/>
      <c r="B307" s="26" t="n"/>
      <c r="C307" s="27" t="n"/>
      <c r="D307" s="27" t="n"/>
      <c r="E307" s="21">
        <f>IF(OR(C307="",D307=""),"",ROUND(MOD(D307-C307,1)*24,2))</f>
        <v/>
      </c>
      <c r="F307" s="28" t="n"/>
      <c r="G307" s="28" t="n"/>
      <c r="H307" s="1" t="n"/>
    </row>
    <row r="308">
      <c r="A308" s="1" t="n"/>
      <c r="B308" s="26" t="n"/>
      <c r="C308" s="27" t="n"/>
      <c r="D308" s="27" t="n"/>
      <c r="E308" s="21">
        <f>IF(OR(C308="",D308=""),"",ROUND(MOD(D308-C308,1)*24,2))</f>
        <v/>
      </c>
      <c r="F308" s="28" t="n"/>
      <c r="G308" s="28" t="n"/>
      <c r="H308" s="1" t="n"/>
    </row>
    <row r="309">
      <c r="A309" s="1" t="n"/>
      <c r="B309" s="26" t="n"/>
      <c r="C309" s="27" t="n"/>
      <c r="D309" s="27" t="n"/>
      <c r="E309" s="21">
        <f>IF(OR(C309="",D309=""),"",ROUND(MOD(D309-C309,1)*24,2))</f>
        <v/>
      </c>
      <c r="F309" s="28" t="n"/>
      <c r="G309" s="28" t="n"/>
      <c r="H309" s="1" t="n"/>
    </row>
    <row r="310">
      <c r="A310" s="1" t="n"/>
      <c r="B310" s="26" t="n"/>
      <c r="C310" s="27" t="n"/>
      <c r="D310" s="27" t="n"/>
      <c r="E310" s="21">
        <f>IF(OR(C310="",D310=""),"",ROUND(MOD(D310-C310,1)*24,2))</f>
        <v/>
      </c>
      <c r="F310" s="28" t="n"/>
      <c r="G310" s="28" t="n"/>
      <c r="H310" s="1" t="n"/>
    </row>
    <row r="311">
      <c r="A311" s="1" t="n"/>
      <c r="B311" s="26" t="n"/>
      <c r="C311" s="27" t="n"/>
      <c r="D311" s="27" t="n"/>
      <c r="E311" s="21">
        <f>IF(OR(C311="",D311=""),"",ROUND(MOD(D311-C311,1)*24,2))</f>
        <v/>
      </c>
      <c r="F311" s="28" t="n"/>
      <c r="G311" s="28" t="n"/>
      <c r="H311" s="1" t="n"/>
    </row>
    <row r="312">
      <c r="A312" s="1" t="n"/>
      <c r="B312" s="26" t="n"/>
      <c r="C312" s="27" t="n"/>
      <c r="D312" s="27" t="n"/>
      <c r="E312" s="21">
        <f>IF(OR(C312="",D312=""),"",ROUND(MOD(D312-C312,1)*24,2))</f>
        <v/>
      </c>
      <c r="F312" s="28" t="n"/>
      <c r="G312" s="28" t="n"/>
      <c r="H312" s="1" t="n"/>
    </row>
    <row r="313">
      <c r="A313" s="1" t="n"/>
      <c r="B313" s="26" t="n"/>
      <c r="C313" s="27" t="n"/>
      <c r="D313" s="27" t="n"/>
      <c r="E313" s="21">
        <f>IF(OR(C313="",D313=""),"",ROUND(MOD(D313-C313,1)*24,2))</f>
        <v/>
      </c>
      <c r="F313" s="28" t="n"/>
      <c r="G313" s="28" t="n"/>
      <c r="H313" s="1" t="n"/>
    </row>
    <row r="314">
      <c r="A314" s="1" t="n"/>
      <c r="B314" s="26" t="n"/>
      <c r="C314" s="27" t="n"/>
      <c r="D314" s="27" t="n"/>
      <c r="E314" s="21">
        <f>IF(OR(C314="",D314=""),"",ROUND(MOD(D314-C314,1)*24,2))</f>
        <v/>
      </c>
      <c r="F314" s="28" t="n"/>
      <c r="G314" s="28" t="n"/>
      <c r="H314" s="1" t="n"/>
    </row>
    <row r="315">
      <c r="A315" s="1" t="n"/>
      <c r="B315" s="26" t="n"/>
      <c r="C315" s="27" t="n"/>
      <c r="D315" s="27" t="n"/>
      <c r="E315" s="21">
        <f>IF(OR(C315="",D315=""),"",ROUND(MOD(D315-C315,1)*24,2))</f>
        <v/>
      </c>
      <c r="F315" s="28" t="n"/>
      <c r="G315" s="28" t="n"/>
      <c r="H315" s="1" t="n"/>
    </row>
    <row r="316">
      <c r="A316" s="1" t="n"/>
      <c r="B316" s="26" t="n"/>
      <c r="C316" s="27" t="n"/>
      <c r="D316" s="27" t="n"/>
      <c r="E316" s="21">
        <f>IF(OR(C316="",D316=""),"",ROUND(MOD(D316-C316,1)*24,2))</f>
        <v/>
      </c>
      <c r="F316" s="28" t="n"/>
      <c r="G316" s="28" t="n"/>
      <c r="H316" s="1" t="n"/>
    </row>
    <row r="317">
      <c r="A317" s="1" t="n"/>
      <c r="B317" s="26" t="n"/>
      <c r="C317" s="27" t="n"/>
      <c r="D317" s="27" t="n"/>
      <c r="E317" s="21">
        <f>IF(OR(C317="",D317=""),"",ROUND(MOD(D317-C317,1)*24,2))</f>
        <v/>
      </c>
      <c r="F317" s="28" t="n"/>
      <c r="G317" s="28" t="n"/>
      <c r="H317" s="1" t="n"/>
    </row>
    <row r="318">
      <c r="A318" s="1" t="n"/>
      <c r="B318" s="26" t="n"/>
      <c r="C318" s="27" t="n"/>
      <c r="D318" s="27" t="n"/>
      <c r="E318" s="21">
        <f>IF(OR(C318="",D318=""),"",ROUND(MOD(D318-C318,1)*24,2))</f>
        <v/>
      </c>
      <c r="F318" s="28" t="n"/>
      <c r="G318" s="28" t="n"/>
      <c r="H318" s="1" t="n"/>
    </row>
    <row r="319">
      <c r="A319" s="1" t="n"/>
      <c r="B319" s="26" t="n"/>
      <c r="C319" s="27" t="n"/>
      <c r="D319" s="27" t="n"/>
      <c r="E319" s="21">
        <f>IF(OR(C319="",D319=""),"",ROUND(MOD(D319-C319,1)*24,2))</f>
        <v/>
      </c>
      <c r="F319" s="28" t="n"/>
      <c r="G319" s="28" t="n"/>
      <c r="H319" s="1" t="n"/>
    </row>
    <row r="320">
      <c r="A320" s="1" t="n"/>
      <c r="B320" s="26" t="n"/>
      <c r="C320" s="27" t="n"/>
      <c r="D320" s="27" t="n"/>
      <c r="E320" s="21">
        <f>IF(OR(C320="",D320=""),"",ROUND(MOD(D320-C320,1)*24,2))</f>
        <v/>
      </c>
      <c r="F320" s="28" t="n"/>
      <c r="G320" s="28" t="n"/>
      <c r="H320" s="1" t="n"/>
    </row>
    <row r="321">
      <c r="A321" s="1" t="n"/>
      <c r="B321" s="26" t="n"/>
      <c r="C321" s="27" t="n"/>
      <c r="D321" s="27" t="n"/>
      <c r="E321" s="21">
        <f>IF(OR(C321="",D321=""),"",ROUND(MOD(D321-C321,1)*24,2))</f>
        <v/>
      </c>
      <c r="F321" s="28" t="n"/>
      <c r="G321" s="28" t="n"/>
      <c r="H321" s="1" t="n"/>
    </row>
    <row r="322">
      <c r="A322" s="1" t="n"/>
      <c r="B322" s="26" t="n"/>
      <c r="C322" s="27" t="n"/>
      <c r="D322" s="27" t="n"/>
      <c r="E322" s="21">
        <f>IF(OR(C322="",D322=""),"",ROUND(MOD(D322-C322,1)*24,2))</f>
        <v/>
      </c>
      <c r="F322" s="28" t="n"/>
      <c r="G322" s="28" t="n"/>
      <c r="H322" s="1" t="n"/>
    </row>
    <row r="323">
      <c r="A323" s="1" t="n"/>
      <c r="B323" s="26" t="n"/>
      <c r="C323" s="27" t="n"/>
      <c r="D323" s="27" t="n"/>
      <c r="E323" s="21">
        <f>IF(OR(C323="",D323=""),"",ROUND(MOD(D323-C323,1)*24,2))</f>
        <v/>
      </c>
      <c r="F323" s="28" t="n"/>
      <c r="G323" s="28" t="n"/>
      <c r="H323" s="1" t="n"/>
    </row>
    <row r="324">
      <c r="A324" s="1" t="n"/>
      <c r="B324" s="26" t="n"/>
      <c r="C324" s="27" t="n"/>
      <c r="D324" s="27" t="n"/>
      <c r="E324" s="21">
        <f>IF(OR(C324="",D324=""),"",ROUND(MOD(D324-C324,1)*24,2))</f>
        <v/>
      </c>
      <c r="F324" s="28" t="n"/>
      <c r="G324" s="28" t="n"/>
      <c r="H324" s="1" t="n"/>
    </row>
    <row r="325">
      <c r="A325" s="1" t="n"/>
      <c r="B325" s="26" t="n"/>
      <c r="C325" s="27" t="n"/>
      <c r="D325" s="27" t="n"/>
      <c r="E325" s="21">
        <f>IF(OR(C325="",D325=""),"",ROUND(MOD(D325-C325,1)*24,2))</f>
        <v/>
      </c>
      <c r="F325" s="28" t="n"/>
      <c r="G325" s="28" t="n"/>
      <c r="H325" s="1" t="n"/>
    </row>
    <row r="326">
      <c r="A326" s="1" t="n"/>
      <c r="B326" s="26" t="n"/>
      <c r="C326" s="27" t="n"/>
      <c r="D326" s="27" t="n"/>
      <c r="E326" s="21">
        <f>IF(OR(C326="",D326=""),"",ROUND(MOD(D326-C326,1)*24,2))</f>
        <v/>
      </c>
      <c r="F326" s="28" t="n"/>
      <c r="G326" s="28" t="n"/>
      <c r="H326" s="1" t="n"/>
    </row>
    <row r="327">
      <c r="A327" s="1" t="n"/>
      <c r="B327" s="26" t="n"/>
      <c r="C327" s="27" t="n"/>
      <c r="D327" s="27" t="n"/>
      <c r="E327" s="21">
        <f>IF(OR(C327="",D327=""),"",ROUND(MOD(D327-C327,1)*24,2))</f>
        <v/>
      </c>
      <c r="F327" s="28" t="n"/>
      <c r="G327" s="28" t="n"/>
      <c r="H327" s="1" t="n"/>
    </row>
    <row r="328">
      <c r="A328" s="1" t="n"/>
      <c r="B328" s="26" t="n"/>
      <c r="C328" s="27" t="n"/>
      <c r="D328" s="27" t="n"/>
      <c r="E328" s="21">
        <f>IF(OR(C328="",D328=""),"",ROUND(MOD(D328-C328,1)*24,2))</f>
        <v/>
      </c>
      <c r="F328" s="28" t="n"/>
      <c r="G328" s="28" t="n"/>
      <c r="H328" s="1" t="n"/>
    </row>
    <row r="329">
      <c r="A329" s="1" t="n"/>
      <c r="B329" s="26" t="n"/>
      <c r="C329" s="27" t="n"/>
      <c r="D329" s="27" t="n"/>
      <c r="E329" s="21">
        <f>IF(OR(C329="",D329=""),"",ROUND(MOD(D329-C329,1)*24,2))</f>
        <v/>
      </c>
      <c r="F329" s="28" t="n"/>
      <c r="G329" s="28" t="n"/>
      <c r="H329" s="1" t="n"/>
    </row>
    <row r="330">
      <c r="A330" s="1" t="n"/>
      <c r="B330" s="26" t="n"/>
      <c r="C330" s="27" t="n"/>
      <c r="D330" s="27" t="n"/>
      <c r="E330" s="21">
        <f>IF(OR(C330="",D330=""),"",ROUND(MOD(D330-C330,1)*24,2))</f>
        <v/>
      </c>
      <c r="F330" s="28" t="n"/>
      <c r="G330" s="28" t="n"/>
      <c r="H330" s="1" t="n"/>
    </row>
    <row r="331">
      <c r="A331" s="1" t="n"/>
      <c r="B331" s="26" t="n"/>
      <c r="C331" s="27" t="n"/>
      <c r="D331" s="27" t="n"/>
      <c r="E331" s="21">
        <f>IF(OR(C331="",D331=""),"",ROUND(MOD(D331-C331,1)*24,2))</f>
        <v/>
      </c>
      <c r="F331" s="28" t="n"/>
      <c r="G331" s="28" t="n"/>
      <c r="H331" s="1" t="n"/>
    </row>
    <row r="332">
      <c r="A332" s="1" t="n"/>
      <c r="B332" s="26" t="n"/>
      <c r="C332" s="27" t="n"/>
      <c r="D332" s="27" t="n"/>
      <c r="E332" s="21">
        <f>IF(OR(C332="",D332=""),"",ROUND(MOD(D332-C332,1)*24,2))</f>
        <v/>
      </c>
      <c r="F332" s="28" t="n"/>
      <c r="G332" s="28" t="n"/>
      <c r="H332" s="1" t="n"/>
    </row>
    <row r="333">
      <c r="A333" s="1" t="n"/>
      <c r="B333" s="26" t="n"/>
      <c r="C333" s="27" t="n"/>
      <c r="D333" s="27" t="n"/>
      <c r="E333" s="21">
        <f>IF(OR(C333="",D333=""),"",ROUND(MOD(D333-C333,1)*24,2))</f>
        <v/>
      </c>
      <c r="F333" s="28" t="n"/>
      <c r="G333" s="28" t="n"/>
      <c r="H333" s="1" t="n"/>
    </row>
    <row r="334">
      <c r="A334" s="1" t="n"/>
      <c r="B334" s="26" t="n"/>
      <c r="C334" s="27" t="n"/>
      <c r="D334" s="27" t="n"/>
      <c r="E334" s="21">
        <f>IF(OR(C334="",D334=""),"",ROUND(MOD(D334-C334,1)*24,2))</f>
        <v/>
      </c>
      <c r="F334" s="28" t="n"/>
      <c r="G334" s="28" t="n"/>
      <c r="H334" s="1" t="n"/>
    </row>
    <row r="335">
      <c r="A335" s="1" t="n"/>
      <c r="B335" s="26" t="n"/>
      <c r="C335" s="27" t="n"/>
      <c r="D335" s="27" t="n"/>
      <c r="E335" s="21">
        <f>IF(OR(C335="",D335=""),"",ROUND(MOD(D335-C335,1)*24,2))</f>
        <v/>
      </c>
      <c r="F335" s="28" t="n"/>
      <c r="G335" s="28" t="n"/>
      <c r="H335" s="1" t="n"/>
    </row>
    <row r="336">
      <c r="A336" s="1" t="n"/>
      <c r="B336" s="26" t="n"/>
      <c r="C336" s="27" t="n"/>
      <c r="D336" s="27" t="n"/>
      <c r="E336" s="21">
        <f>IF(OR(C336="",D336=""),"",ROUND(MOD(D336-C336,1)*24,2))</f>
        <v/>
      </c>
      <c r="F336" s="28" t="n"/>
      <c r="G336" s="28" t="n"/>
      <c r="H336" s="1" t="n"/>
    </row>
    <row r="337">
      <c r="A337" s="1" t="n"/>
      <c r="B337" s="26" t="n"/>
      <c r="C337" s="27" t="n"/>
      <c r="D337" s="27" t="n"/>
      <c r="E337" s="21">
        <f>IF(OR(C337="",D337=""),"",ROUND(MOD(D337-C337,1)*24,2))</f>
        <v/>
      </c>
      <c r="F337" s="28" t="n"/>
      <c r="G337" s="28" t="n"/>
      <c r="H337" s="1" t="n"/>
    </row>
    <row r="338">
      <c r="A338" s="1" t="n"/>
      <c r="B338" s="26" t="n"/>
      <c r="C338" s="27" t="n"/>
      <c r="D338" s="27" t="n"/>
      <c r="E338" s="21">
        <f>IF(OR(C338="",D338=""),"",ROUND(MOD(D338-C338,1)*24,2))</f>
        <v/>
      </c>
      <c r="F338" s="28" t="n"/>
      <c r="G338" s="28" t="n"/>
      <c r="H338" s="1" t="n"/>
    </row>
    <row r="339">
      <c r="A339" s="1" t="n"/>
      <c r="B339" s="26" t="n"/>
      <c r="C339" s="27" t="n"/>
      <c r="D339" s="27" t="n"/>
      <c r="E339" s="21">
        <f>IF(OR(C339="",D339=""),"",ROUND(MOD(D339-C339,1)*24,2))</f>
        <v/>
      </c>
      <c r="F339" s="28" t="n"/>
      <c r="G339" s="28" t="n"/>
      <c r="H339" s="1" t="n"/>
    </row>
    <row r="340">
      <c r="A340" s="1" t="n"/>
      <c r="B340" s="26" t="n"/>
      <c r="C340" s="27" t="n"/>
      <c r="D340" s="27" t="n"/>
      <c r="E340" s="21">
        <f>IF(OR(C340="",D340=""),"",ROUND(MOD(D340-C340,1)*24,2))</f>
        <v/>
      </c>
      <c r="F340" s="28" t="n"/>
      <c r="G340" s="28" t="n"/>
      <c r="H340" s="1" t="n"/>
    </row>
    <row r="341">
      <c r="A341" s="1" t="n"/>
      <c r="B341" s="26" t="n"/>
      <c r="C341" s="27" t="n"/>
      <c r="D341" s="27" t="n"/>
      <c r="E341" s="21">
        <f>IF(OR(C341="",D341=""),"",ROUND(MOD(D341-C341,1)*24,2))</f>
        <v/>
      </c>
      <c r="F341" s="28" t="n"/>
      <c r="G341" s="28" t="n"/>
      <c r="H341" s="1" t="n"/>
    </row>
    <row r="342">
      <c r="A342" s="1" t="n"/>
      <c r="B342" s="26" t="n"/>
      <c r="C342" s="27" t="n"/>
      <c r="D342" s="27" t="n"/>
      <c r="E342" s="21">
        <f>IF(OR(C342="",D342=""),"",ROUND(MOD(D342-C342,1)*24,2))</f>
        <v/>
      </c>
      <c r="F342" s="28" t="n"/>
      <c r="G342" s="28" t="n"/>
      <c r="H342" s="1" t="n"/>
    </row>
    <row r="343">
      <c r="A343" s="1" t="n"/>
      <c r="B343" s="26" t="n"/>
      <c r="C343" s="27" t="n"/>
      <c r="D343" s="27" t="n"/>
      <c r="E343" s="21">
        <f>IF(OR(C343="",D343=""),"",ROUND(MOD(D343-C343,1)*24,2))</f>
        <v/>
      </c>
      <c r="F343" s="28" t="n"/>
      <c r="G343" s="28" t="n"/>
      <c r="H343" s="1" t="n"/>
    </row>
    <row r="344">
      <c r="A344" s="1" t="n"/>
      <c r="B344" s="26" t="n"/>
      <c r="C344" s="27" t="n"/>
      <c r="D344" s="27" t="n"/>
      <c r="E344" s="21">
        <f>IF(OR(C344="",D344=""),"",ROUND(MOD(D344-C344,1)*24,2))</f>
        <v/>
      </c>
      <c r="F344" s="28" t="n"/>
      <c r="G344" s="28" t="n"/>
      <c r="H344" s="1" t="n"/>
    </row>
    <row r="345">
      <c r="A345" s="1" t="n"/>
      <c r="B345" s="26" t="n"/>
      <c r="C345" s="27" t="n"/>
      <c r="D345" s="27" t="n"/>
      <c r="E345" s="21">
        <f>IF(OR(C345="",D345=""),"",ROUND(MOD(D345-C345,1)*24,2))</f>
        <v/>
      </c>
      <c r="F345" s="28" t="n"/>
      <c r="G345" s="28" t="n"/>
      <c r="H345" s="1" t="n"/>
    </row>
    <row r="346">
      <c r="A346" s="1" t="n"/>
      <c r="B346" s="26" t="n"/>
      <c r="C346" s="27" t="n"/>
      <c r="D346" s="27" t="n"/>
      <c r="E346" s="21">
        <f>IF(OR(C346="",D346=""),"",ROUND(MOD(D346-C346,1)*24,2))</f>
        <v/>
      </c>
      <c r="F346" s="28" t="n"/>
      <c r="G346" s="28" t="n"/>
      <c r="H346" s="1" t="n"/>
    </row>
    <row r="347">
      <c r="A347" s="1" t="n"/>
      <c r="B347" s="26" t="n"/>
      <c r="C347" s="27" t="n"/>
      <c r="D347" s="27" t="n"/>
      <c r="E347" s="21">
        <f>IF(OR(C347="",D347=""),"",ROUND(MOD(D347-C347,1)*24,2))</f>
        <v/>
      </c>
      <c r="F347" s="28" t="n"/>
      <c r="G347" s="28" t="n"/>
      <c r="H347" s="1" t="n"/>
    </row>
    <row r="348">
      <c r="A348" s="1" t="n"/>
      <c r="B348" s="26" t="n"/>
      <c r="C348" s="27" t="n"/>
      <c r="D348" s="27" t="n"/>
      <c r="E348" s="21">
        <f>IF(OR(C348="",D348=""),"",ROUND(MOD(D348-C348,1)*24,2))</f>
        <v/>
      </c>
      <c r="F348" s="28" t="n"/>
      <c r="G348" s="28" t="n"/>
      <c r="H348" s="1" t="n"/>
    </row>
    <row r="349">
      <c r="A349" s="1" t="n"/>
      <c r="B349" s="26" t="n"/>
      <c r="C349" s="27" t="n"/>
      <c r="D349" s="27" t="n"/>
      <c r="E349" s="21">
        <f>IF(OR(C349="",D349=""),"",ROUND(MOD(D349-C349,1)*24,2))</f>
        <v/>
      </c>
      <c r="F349" s="28" t="n"/>
      <c r="G349" s="28" t="n"/>
      <c r="H349" s="1" t="n"/>
    </row>
    <row r="350">
      <c r="A350" s="1" t="n"/>
      <c r="B350" s="26" t="n"/>
      <c r="C350" s="27" t="n"/>
      <c r="D350" s="27" t="n"/>
      <c r="E350" s="21">
        <f>IF(OR(C350="",D350=""),"",ROUND(MOD(D350-C350,1)*24,2))</f>
        <v/>
      </c>
      <c r="F350" s="28" t="n"/>
      <c r="G350" s="28" t="n"/>
      <c r="H350" s="1" t="n"/>
    </row>
    <row r="351">
      <c r="A351" s="1" t="n"/>
      <c r="B351" s="26" t="n"/>
      <c r="C351" s="27" t="n"/>
      <c r="D351" s="27" t="n"/>
      <c r="E351" s="21">
        <f>IF(OR(C351="",D351=""),"",ROUND(MOD(D351-C351,1)*24,2))</f>
        <v/>
      </c>
      <c r="F351" s="28" t="n"/>
      <c r="G351" s="28" t="n"/>
      <c r="H351" s="1" t="n"/>
    </row>
    <row r="352">
      <c r="A352" s="1" t="n"/>
      <c r="B352" s="26" t="n"/>
      <c r="C352" s="27" t="n"/>
      <c r="D352" s="27" t="n"/>
      <c r="E352" s="21">
        <f>IF(OR(C352="",D352=""),"",ROUND(MOD(D352-C352,1)*24,2))</f>
        <v/>
      </c>
      <c r="F352" s="28" t="n"/>
      <c r="G352" s="28" t="n"/>
      <c r="H352" s="1" t="n"/>
    </row>
    <row r="353">
      <c r="A353" s="1" t="n"/>
      <c r="B353" s="26" t="n"/>
      <c r="C353" s="27" t="n"/>
      <c r="D353" s="27" t="n"/>
      <c r="E353" s="21">
        <f>IF(OR(C353="",D353=""),"",ROUND(MOD(D353-C353,1)*24,2))</f>
        <v/>
      </c>
      <c r="F353" s="28" t="n"/>
      <c r="G353" s="28" t="n"/>
      <c r="H353" s="1" t="n"/>
    </row>
    <row r="354">
      <c r="A354" s="1" t="n"/>
      <c r="B354" s="26" t="n"/>
      <c r="C354" s="27" t="n"/>
      <c r="D354" s="27" t="n"/>
      <c r="E354" s="21">
        <f>IF(OR(C354="",D354=""),"",ROUND(MOD(D354-C354,1)*24,2))</f>
        <v/>
      </c>
      <c r="F354" s="28" t="n"/>
      <c r="G354" s="28" t="n"/>
      <c r="H354" s="1" t="n"/>
    </row>
    <row r="355">
      <c r="A355" s="1" t="n"/>
      <c r="B355" s="26" t="n"/>
      <c r="C355" s="27" t="n"/>
      <c r="D355" s="27" t="n"/>
      <c r="E355" s="21">
        <f>IF(OR(C355="",D355=""),"",ROUND(MOD(D355-C355,1)*24,2))</f>
        <v/>
      </c>
      <c r="F355" s="28" t="n"/>
      <c r="G355" s="28" t="n"/>
      <c r="H355" s="1" t="n"/>
    </row>
    <row r="356">
      <c r="A356" s="1" t="n"/>
      <c r="B356" s="26" t="n"/>
      <c r="C356" s="27" t="n"/>
      <c r="D356" s="27" t="n"/>
      <c r="E356" s="21">
        <f>IF(OR(C356="",D356=""),"",ROUND(MOD(D356-C356,1)*24,2))</f>
        <v/>
      </c>
      <c r="F356" s="28" t="n"/>
      <c r="G356" s="28" t="n"/>
      <c r="H356" s="1" t="n"/>
    </row>
    <row r="357">
      <c r="A357" s="1" t="n"/>
      <c r="B357" s="26" t="n"/>
      <c r="C357" s="27" t="n"/>
      <c r="D357" s="27" t="n"/>
      <c r="E357" s="21">
        <f>IF(OR(C357="",D357=""),"",ROUND(MOD(D357-C357,1)*24,2))</f>
        <v/>
      </c>
      <c r="F357" s="28" t="n"/>
      <c r="G357" s="28" t="n"/>
      <c r="H357" s="1" t="n"/>
    </row>
    <row r="358">
      <c r="A358" s="1" t="n"/>
      <c r="B358" s="26" t="n"/>
      <c r="C358" s="27" t="n"/>
      <c r="D358" s="27" t="n"/>
      <c r="E358" s="21">
        <f>IF(OR(C358="",D358=""),"",ROUND(MOD(D358-C358,1)*24,2))</f>
        <v/>
      </c>
      <c r="F358" s="28" t="n"/>
      <c r="G358" s="28" t="n"/>
      <c r="H358" s="1" t="n"/>
    </row>
    <row r="359">
      <c r="A359" s="1" t="n"/>
      <c r="B359" s="26" t="n"/>
      <c r="C359" s="27" t="n"/>
      <c r="D359" s="27" t="n"/>
      <c r="E359" s="21">
        <f>IF(OR(C359="",D359=""),"",ROUND(MOD(D359-C359,1)*24,2))</f>
        <v/>
      </c>
      <c r="F359" s="28" t="n"/>
      <c r="G359" s="28" t="n"/>
      <c r="H359" s="1" t="n"/>
    </row>
    <row r="360">
      <c r="A360" s="1" t="n"/>
      <c r="B360" s="26" t="n"/>
      <c r="C360" s="27" t="n"/>
      <c r="D360" s="27" t="n"/>
      <c r="E360" s="21">
        <f>IF(OR(C360="",D360=""),"",ROUND(MOD(D360-C360,1)*24,2))</f>
        <v/>
      </c>
      <c r="F360" s="28" t="n"/>
      <c r="G360" s="28" t="n"/>
      <c r="H360" s="1" t="n"/>
    </row>
    <row r="361">
      <c r="A361" s="1" t="n"/>
      <c r="B361" s="26" t="n"/>
      <c r="C361" s="27" t="n"/>
      <c r="D361" s="27" t="n"/>
      <c r="E361" s="21">
        <f>IF(OR(C361="",D361=""),"",ROUND(MOD(D361-C361,1)*24,2))</f>
        <v/>
      </c>
      <c r="F361" s="28" t="n"/>
      <c r="G361" s="28" t="n"/>
      <c r="H361" s="1" t="n"/>
    </row>
    <row r="362">
      <c r="A362" s="1" t="n"/>
      <c r="B362" s="26" t="n"/>
      <c r="C362" s="27" t="n"/>
      <c r="D362" s="27" t="n"/>
      <c r="E362" s="21">
        <f>IF(OR(C362="",D362=""),"",ROUND(MOD(D362-C362,1)*24,2))</f>
        <v/>
      </c>
      <c r="F362" s="28" t="n"/>
      <c r="G362" s="28" t="n"/>
      <c r="H362" s="1" t="n"/>
    </row>
    <row r="363">
      <c r="A363" s="1" t="n"/>
      <c r="B363" s="26" t="n"/>
      <c r="C363" s="27" t="n"/>
      <c r="D363" s="27" t="n"/>
      <c r="E363" s="21">
        <f>IF(OR(C363="",D363=""),"",ROUND(MOD(D363-C363,1)*24,2))</f>
        <v/>
      </c>
      <c r="F363" s="28" t="n"/>
      <c r="G363" s="28" t="n"/>
      <c r="H363" s="1" t="n"/>
    </row>
    <row r="364">
      <c r="A364" s="1" t="n"/>
      <c r="B364" s="26" t="n"/>
      <c r="C364" s="27" t="n"/>
      <c r="D364" s="27" t="n"/>
      <c r="E364" s="21">
        <f>IF(OR(C364="",D364=""),"",ROUND(MOD(D364-C364,1)*24,2))</f>
        <v/>
      </c>
      <c r="F364" s="28" t="n"/>
      <c r="G364" s="28" t="n"/>
      <c r="H364" s="1" t="n"/>
    </row>
    <row r="365">
      <c r="A365" s="1" t="n"/>
      <c r="B365" s="26" t="n"/>
      <c r="C365" s="27" t="n"/>
      <c r="D365" s="27" t="n"/>
      <c r="E365" s="21">
        <f>IF(OR(C365="",D365=""),"",ROUND(MOD(D365-C365,1)*24,2))</f>
        <v/>
      </c>
      <c r="F365" s="28" t="n"/>
      <c r="G365" s="28" t="n"/>
      <c r="H365" s="1" t="n"/>
    </row>
    <row r="366">
      <c r="A366" s="1" t="n"/>
      <c r="B366" s="26" t="n"/>
      <c r="C366" s="27" t="n"/>
      <c r="D366" s="27" t="n"/>
      <c r="E366" s="21">
        <f>IF(OR(C366="",D366=""),"",ROUND(MOD(D366-C366,1)*24,2))</f>
        <v/>
      </c>
      <c r="F366" s="28" t="n"/>
      <c r="G366" s="28" t="n"/>
      <c r="H366" s="1" t="n"/>
    </row>
    <row r="367">
      <c r="A367" s="1" t="n"/>
      <c r="B367" s="26" t="n"/>
      <c r="C367" s="27" t="n"/>
      <c r="D367" s="27" t="n"/>
      <c r="E367" s="21">
        <f>IF(OR(C367="",D367=""),"",ROUND(MOD(D367-C367,1)*24,2))</f>
        <v/>
      </c>
      <c r="F367" s="28" t="n"/>
      <c r="G367" s="28" t="n"/>
      <c r="H367" s="1" t="n"/>
    </row>
    <row r="368">
      <c r="A368" s="1" t="n"/>
      <c r="B368" s="26" t="n"/>
      <c r="C368" s="27" t="n"/>
      <c r="D368" s="27" t="n"/>
      <c r="E368" s="21">
        <f>IF(OR(C368="",D368=""),"",ROUND(MOD(D368-C368,1)*24,2))</f>
        <v/>
      </c>
      <c r="F368" s="28" t="n"/>
      <c r="G368" s="28" t="n"/>
      <c r="H368" s="1" t="n"/>
    </row>
    <row r="369">
      <c r="A369" s="1" t="n"/>
      <c r="B369" s="26" t="n"/>
      <c r="C369" s="27" t="n"/>
      <c r="D369" s="27" t="n"/>
      <c r="E369" s="21">
        <f>IF(OR(C369="",D369=""),"",ROUND(MOD(D369-C369,1)*24,2))</f>
        <v/>
      </c>
      <c r="F369" s="28" t="n"/>
      <c r="G369" s="28" t="n"/>
      <c r="H369" s="1" t="n"/>
    </row>
    <row r="370">
      <c r="A370" s="1" t="n"/>
      <c r="B370" s="26" t="n"/>
      <c r="C370" s="27" t="n"/>
      <c r="D370" s="27" t="n"/>
      <c r="E370" s="21">
        <f>IF(OR(C370="",D370=""),"",ROUND(MOD(D370-C370,1)*24,2))</f>
        <v/>
      </c>
      <c r="F370" s="28" t="n"/>
      <c r="G370" s="28" t="n"/>
      <c r="H370" s="1" t="n"/>
    </row>
    <row r="371">
      <c r="A371" s="1" t="n"/>
      <c r="B371" s="26" t="n"/>
      <c r="C371" s="27" t="n"/>
      <c r="D371" s="27" t="n"/>
      <c r="E371" s="21">
        <f>IF(OR(C371="",D371=""),"",ROUND(MOD(D371-C371,1)*24,2))</f>
        <v/>
      </c>
      <c r="F371" s="28" t="n"/>
      <c r="G371" s="28" t="n"/>
      <c r="H371" s="1" t="n"/>
    </row>
    <row r="372">
      <c r="A372" s="1" t="n"/>
      <c r="B372" s="26" t="n"/>
      <c r="C372" s="27" t="n"/>
      <c r="D372" s="27" t="n"/>
      <c r="E372" s="21">
        <f>IF(OR(C372="",D372=""),"",ROUND(MOD(D372-C372,1)*24,2))</f>
        <v/>
      </c>
      <c r="F372" s="28" t="n"/>
      <c r="G372" s="28" t="n"/>
      <c r="H372" s="1" t="n"/>
    </row>
    <row r="373">
      <c r="A373" s="1" t="n"/>
      <c r="B373" s="26" t="n"/>
      <c r="C373" s="27" t="n"/>
      <c r="D373" s="27" t="n"/>
      <c r="E373" s="21">
        <f>IF(OR(C373="",D373=""),"",ROUND(MOD(D373-C373,1)*24,2))</f>
        <v/>
      </c>
      <c r="F373" s="28" t="n"/>
      <c r="G373" s="28" t="n"/>
      <c r="H373" s="1" t="n"/>
    </row>
    <row r="374">
      <c r="A374" s="1" t="n"/>
      <c r="B374" s="26" t="n"/>
      <c r="C374" s="27" t="n"/>
      <c r="D374" s="27" t="n"/>
      <c r="E374" s="21">
        <f>IF(OR(C374="",D374=""),"",ROUND(MOD(D374-C374,1)*24,2))</f>
        <v/>
      </c>
      <c r="F374" s="28" t="n"/>
      <c r="G374" s="28" t="n"/>
      <c r="H374" s="1" t="n"/>
    </row>
    <row r="375">
      <c r="A375" s="1" t="n"/>
      <c r="B375" s="26" t="n"/>
      <c r="C375" s="27" t="n"/>
      <c r="D375" s="27" t="n"/>
      <c r="E375" s="21">
        <f>IF(OR(C375="",D375=""),"",ROUND(MOD(D375-C375,1)*24,2))</f>
        <v/>
      </c>
      <c r="F375" s="28" t="n"/>
      <c r="G375" s="28" t="n"/>
      <c r="H375" s="1" t="n"/>
    </row>
    <row r="376">
      <c r="A376" s="1" t="n"/>
      <c r="B376" s="26" t="n"/>
      <c r="C376" s="27" t="n"/>
      <c r="D376" s="27" t="n"/>
      <c r="E376" s="21">
        <f>IF(OR(C376="",D376=""),"",ROUND(MOD(D376-C376,1)*24,2))</f>
        <v/>
      </c>
      <c r="F376" s="28" t="n"/>
      <c r="G376" s="28" t="n"/>
      <c r="H376" s="1" t="n"/>
    </row>
    <row r="377">
      <c r="A377" s="1" t="n"/>
      <c r="B377" s="26" t="n"/>
      <c r="C377" s="27" t="n"/>
      <c r="D377" s="27" t="n"/>
      <c r="E377" s="21">
        <f>IF(OR(C377="",D377=""),"",ROUND(MOD(D377-C377,1)*24,2))</f>
        <v/>
      </c>
      <c r="F377" s="28" t="n"/>
      <c r="G377" s="28" t="n"/>
      <c r="H377" s="1" t="n"/>
    </row>
    <row r="378">
      <c r="A378" s="1" t="n"/>
      <c r="B378" s="26" t="n"/>
      <c r="C378" s="27" t="n"/>
      <c r="D378" s="27" t="n"/>
      <c r="E378" s="21">
        <f>IF(OR(C378="",D378=""),"",ROUND(MOD(D378-C378,1)*24,2))</f>
        <v/>
      </c>
      <c r="F378" s="28" t="n"/>
      <c r="G378" s="28" t="n"/>
      <c r="H378" s="1" t="n"/>
    </row>
    <row r="379">
      <c r="A379" s="1" t="n"/>
      <c r="B379" s="26" t="n"/>
      <c r="C379" s="27" t="n"/>
      <c r="D379" s="27" t="n"/>
      <c r="E379" s="21">
        <f>IF(OR(C379="",D379=""),"",ROUND(MOD(D379-C379,1)*24,2))</f>
        <v/>
      </c>
      <c r="F379" s="28" t="n"/>
      <c r="G379" s="28" t="n"/>
      <c r="H379" s="1" t="n"/>
    </row>
    <row r="380">
      <c r="A380" s="1" t="n"/>
      <c r="B380" s="26" t="n"/>
      <c r="C380" s="27" t="n"/>
      <c r="D380" s="27" t="n"/>
      <c r="E380" s="21">
        <f>IF(OR(C380="",D380=""),"",ROUND(MOD(D380-C380,1)*24,2))</f>
        <v/>
      </c>
      <c r="F380" s="28" t="n"/>
      <c r="G380" s="28" t="n"/>
      <c r="H380" s="1" t="n"/>
    </row>
    <row r="381">
      <c r="A381" s="1" t="n"/>
      <c r="B381" s="26" t="n"/>
      <c r="C381" s="27" t="n"/>
      <c r="D381" s="27" t="n"/>
      <c r="E381" s="21">
        <f>IF(OR(C381="",D381=""),"",ROUND(MOD(D381-C381,1)*24,2))</f>
        <v/>
      </c>
      <c r="F381" s="28" t="n"/>
      <c r="G381" s="28" t="n"/>
      <c r="H381" s="1" t="n"/>
    </row>
    <row r="382">
      <c r="A382" s="1" t="n"/>
      <c r="B382" s="26" t="n"/>
      <c r="C382" s="27" t="n"/>
      <c r="D382" s="27" t="n"/>
      <c r="E382" s="21">
        <f>IF(OR(C382="",D382=""),"",ROUND(MOD(D382-C382,1)*24,2))</f>
        <v/>
      </c>
      <c r="F382" s="28" t="n"/>
      <c r="G382" s="28" t="n"/>
      <c r="H382" s="1" t="n"/>
    </row>
    <row r="383">
      <c r="A383" s="1" t="n"/>
      <c r="B383" s="26" t="n"/>
      <c r="C383" s="27" t="n"/>
      <c r="D383" s="27" t="n"/>
      <c r="E383" s="21">
        <f>IF(OR(C383="",D383=""),"",ROUND(MOD(D383-C383,1)*24,2))</f>
        <v/>
      </c>
      <c r="F383" s="28" t="n"/>
      <c r="G383" s="28" t="n"/>
      <c r="H383" s="1" t="n"/>
    </row>
    <row r="384">
      <c r="A384" s="1" t="n"/>
      <c r="B384" s="26" t="n"/>
      <c r="C384" s="27" t="n"/>
      <c r="D384" s="27" t="n"/>
      <c r="E384" s="21">
        <f>IF(OR(C384="",D384=""),"",ROUND(MOD(D384-C384,1)*24,2))</f>
        <v/>
      </c>
      <c r="F384" s="28" t="n"/>
      <c r="G384" s="28" t="n"/>
      <c r="H384" s="1" t="n"/>
    </row>
    <row r="385">
      <c r="A385" s="1" t="n"/>
      <c r="B385" s="26" t="n"/>
      <c r="C385" s="27" t="n"/>
      <c r="D385" s="27" t="n"/>
      <c r="E385" s="21">
        <f>IF(OR(C385="",D385=""),"",ROUND(MOD(D385-C385,1)*24,2))</f>
        <v/>
      </c>
      <c r="F385" s="28" t="n"/>
      <c r="G385" s="28" t="n"/>
      <c r="H385" s="1" t="n"/>
    </row>
    <row r="386">
      <c r="A386" s="1" t="n"/>
      <c r="B386" s="26" t="n"/>
      <c r="C386" s="27" t="n"/>
      <c r="D386" s="27" t="n"/>
      <c r="E386" s="21">
        <f>IF(OR(C386="",D386=""),"",ROUND(MOD(D386-C386,1)*24,2))</f>
        <v/>
      </c>
      <c r="F386" s="28" t="n"/>
      <c r="G386" s="28" t="n"/>
      <c r="H386" s="1" t="n"/>
    </row>
    <row r="387">
      <c r="A387" s="1" t="n"/>
      <c r="B387" s="26" t="n"/>
      <c r="C387" s="27" t="n"/>
      <c r="D387" s="27" t="n"/>
      <c r="E387" s="21">
        <f>IF(OR(C387="",D387=""),"",ROUND(MOD(D387-C387,1)*24,2))</f>
        <v/>
      </c>
      <c r="F387" s="28" t="n"/>
      <c r="G387" s="28" t="n"/>
      <c r="H387" s="1" t="n"/>
    </row>
    <row r="388">
      <c r="A388" s="1" t="n"/>
      <c r="B388" s="26" t="n"/>
      <c r="C388" s="27" t="n"/>
      <c r="D388" s="27" t="n"/>
      <c r="E388" s="21">
        <f>IF(OR(C388="",D388=""),"",ROUND(MOD(D388-C388,1)*24,2))</f>
        <v/>
      </c>
      <c r="F388" s="28" t="n"/>
      <c r="G388" s="28" t="n"/>
      <c r="H388" s="1" t="n"/>
    </row>
    <row r="389">
      <c r="A389" s="1" t="n"/>
      <c r="B389" s="26" t="n"/>
      <c r="C389" s="27" t="n"/>
      <c r="D389" s="27" t="n"/>
      <c r="E389" s="21">
        <f>IF(OR(C389="",D389=""),"",ROUND(MOD(D389-C389,1)*24,2))</f>
        <v/>
      </c>
      <c r="F389" s="28" t="n"/>
      <c r="G389" s="28" t="n"/>
      <c r="H389" s="1" t="n"/>
    </row>
    <row r="390">
      <c r="A390" s="1" t="n"/>
      <c r="B390" s="26" t="n"/>
      <c r="C390" s="27" t="n"/>
      <c r="D390" s="27" t="n"/>
      <c r="E390" s="21">
        <f>IF(OR(C390="",D390=""),"",ROUND(MOD(D390-C390,1)*24,2))</f>
        <v/>
      </c>
      <c r="F390" s="28" t="n"/>
      <c r="G390" s="28" t="n"/>
      <c r="H390" s="1" t="n"/>
    </row>
    <row r="391">
      <c r="A391" s="1" t="n"/>
      <c r="B391" s="26" t="n"/>
      <c r="C391" s="27" t="n"/>
      <c r="D391" s="27" t="n"/>
      <c r="E391" s="21">
        <f>IF(OR(C391="",D391=""),"",ROUND(MOD(D391-C391,1)*24,2))</f>
        <v/>
      </c>
      <c r="F391" s="28" t="n"/>
      <c r="G391" s="28" t="n"/>
      <c r="H391" s="1" t="n"/>
    </row>
    <row r="392">
      <c r="A392" s="1" t="n"/>
      <c r="B392" s="26" t="n"/>
      <c r="C392" s="27" t="n"/>
      <c r="D392" s="27" t="n"/>
      <c r="E392" s="21">
        <f>IF(OR(C392="",D392=""),"",ROUND(MOD(D392-C392,1)*24,2))</f>
        <v/>
      </c>
      <c r="F392" s="28" t="n"/>
      <c r="G392" s="28" t="n"/>
      <c r="H392" s="1" t="n"/>
    </row>
    <row r="393">
      <c r="A393" s="1" t="n"/>
      <c r="B393" s="26" t="n"/>
      <c r="C393" s="27" t="n"/>
      <c r="D393" s="27" t="n"/>
      <c r="E393" s="21">
        <f>IF(OR(C393="",D393=""),"",ROUND(MOD(D393-C393,1)*24,2))</f>
        <v/>
      </c>
      <c r="F393" s="28" t="n"/>
      <c r="G393" s="28" t="n"/>
      <c r="H393" s="1" t="n"/>
    </row>
    <row r="394">
      <c r="A394" s="1" t="n"/>
      <c r="B394" s="26" t="n"/>
      <c r="C394" s="27" t="n"/>
      <c r="D394" s="27" t="n"/>
      <c r="E394" s="21">
        <f>IF(OR(C394="",D394=""),"",ROUND(MOD(D394-C394,1)*24,2))</f>
        <v/>
      </c>
      <c r="F394" s="28" t="n"/>
      <c r="G394" s="28" t="n"/>
      <c r="H394" s="1" t="n"/>
    </row>
    <row r="395">
      <c r="A395" s="1" t="n"/>
      <c r="B395" s="26" t="n"/>
      <c r="C395" s="27" t="n"/>
      <c r="D395" s="27" t="n"/>
      <c r="E395" s="21">
        <f>IF(OR(C395="",D395=""),"",ROUND(MOD(D395-C395,1)*24,2))</f>
        <v/>
      </c>
      <c r="F395" s="28" t="n"/>
      <c r="G395" s="28" t="n"/>
      <c r="H395" s="1" t="n"/>
    </row>
    <row r="396">
      <c r="A396" s="1" t="n"/>
      <c r="B396" s="26" t="n"/>
      <c r="C396" s="27" t="n"/>
      <c r="D396" s="27" t="n"/>
      <c r="E396" s="21">
        <f>IF(OR(C396="",D396=""),"",ROUND(MOD(D396-C396,1)*24,2))</f>
        <v/>
      </c>
      <c r="F396" s="28" t="n"/>
      <c r="G396" s="28" t="n"/>
      <c r="H396" s="1" t="n"/>
    </row>
    <row r="397">
      <c r="A397" s="1" t="n"/>
      <c r="B397" s="26" t="n"/>
      <c r="C397" s="27" t="n"/>
      <c r="D397" s="27" t="n"/>
      <c r="E397" s="21">
        <f>IF(OR(C397="",D397=""),"",ROUND(MOD(D397-C397,1)*24,2))</f>
        <v/>
      </c>
      <c r="F397" s="28" t="n"/>
      <c r="G397" s="28" t="n"/>
      <c r="H397" s="1" t="n"/>
    </row>
    <row r="398">
      <c r="A398" s="1" t="n"/>
      <c r="B398" s="26" t="n"/>
      <c r="C398" s="27" t="n"/>
      <c r="D398" s="27" t="n"/>
      <c r="E398" s="21">
        <f>IF(OR(C398="",D398=""),"",ROUND(MOD(D398-C398,1)*24,2))</f>
        <v/>
      </c>
      <c r="F398" s="28" t="n"/>
      <c r="G398" s="28" t="n"/>
      <c r="H398" s="1" t="n"/>
    </row>
    <row r="399">
      <c r="A399" s="1" t="n"/>
      <c r="B399" s="26" t="n"/>
      <c r="C399" s="27" t="n"/>
      <c r="D399" s="27" t="n"/>
      <c r="E399" s="21">
        <f>IF(OR(C399="",D399=""),"",ROUND(MOD(D399-C399,1)*24,2))</f>
        <v/>
      </c>
      <c r="F399" s="28" t="n"/>
      <c r="G399" s="28" t="n"/>
      <c r="H399" s="1" t="n"/>
    </row>
    <row r="400">
      <c r="A400" s="1" t="n"/>
      <c r="B400" s="26" t="n"/>
      <c r="C400" s="27" t="n"/>
      <c r="D400" s="27" t="n"/>
      <c r="E400" s="21">
        <f>IF(OR(C400="",D400=""),"",ROUND(MOD(D400-C400,1)*24,2))</f>
        <v/>
      </c>
      <c r="F400" s="28" t="n"/>
      <c r="G400" s="28" t="n"/>
      <c r="H400" s="1" t="n"/>
    </row>
    <row r="401">
      <c r="A401" s="1" t="n"/>
      <c r="B401" s="26" t="n"/>
      <c r="C401" s="27" t="n"/>
      <c r="D401" s="27" t="n"/>
      <c r="E401" s="21">
        <f>IF(OR(C401="",D401=""),"",ROUND(MOD(D401-C401,1)*24,2))</f>
        <v/>
      </c>
      <c r="F401" s="28" t="n"/>
      <c r="G401" s="28" t="n"/>
      <c r="H401" s="1" t="n"/>
    </row>
    <row r="402">
      <c r="A402" s="1" t="n"/>
      <c r="B402" s="26" t="n"/>
      <c r="C402" s="27" t="n"/>
      <c r="D402" s="27" t="n"/>
      <c r="E402" s="21">
        <f>IF(OR(C402="",D402=""),"",ROUND(MOD(D402-C402,1)*24,2))</f>
        <v/>
      </c>
      <c r="F402" s="28" t="n"/>
      <c r="G402" s="28" t="n"/>
      <c r="H402" s="1" t="n"/>
    </row>
    <row r="403">
      <c r="A403" s="1" t="n"/>
      <c r="B403" s="26" t="n"/>
      <c r="C403" s="27" t="n"/>
      <c r="D403" s="27" t="n"/>
      <c r="E403" s="21">
        <f>IF(OR(C403="",D403=""),"",ROUND(MOD(D403-C403,1)*24,2))</f>
        <v/>
      </c>
      <c r="F403" s="28" t="n"/>
      <c r="G403" s="28" t="n"/>
      <c r="H403" s="1" t="n"/>
    </row>
    <row r="404">
      <c r="A404" s="1" t="n"/>
      <c r="B404" s="26" t="n"/>
      <c r="C404" s="27" t="n"/>
      <c r="D404" s="27" t="n"/>
      <c r="E404" s="21">
        <f>IF(OR(C404="",D404=""),"",ROUND(MOD(D404-C404,1)*24,2))</f>
        <v/>
      </c>
      <c r="F404" s="28" t="n"/>
      <c r="G404" s="28" t="n"/>
      <c r="H404" s="1" t="n"/>
    </row>
    <row r="405">
      <c r="A405" s="1" t="n"/>
      <c r="B405" s="26" t="n"/>
      <c r="C405" s="27" t="n"/>
      <c r="D405" s="27" t="n"/>
      <c r="E405" s="21">
        <f>IF(OR(C405="",D405=""),"",ROUND(MOD(D405-C405,1)*24,2))</f>
        <v/>
      </c>
      <c r="F405" s="28" t="n"/>
      <c r="G405" s="28" t="n"/>
      <c r="H405" s="1" t="n"/>
    </row>
    <row r="406">
      <c r="A406" s="1" t="n"/>
      <c r="B406" s="26" t="n"/>
      <c r="C406" s="27" t="n"/>
      <c r="D406" s="27" t="n"/>
      <c r="E406" s="21">
        <f>IF(OR(C406="",D406=""),"",ROUND(MOD(D406-C406,1)*24,2))</f>
        <v/>
      </c>
      <c r="F406" s="28" t="n"/>
      <c r="G406" s="28" t="n"/>
      <c r="H406" s="1" t="n"/>
    </row>
    <row r="407">
      <c r="A407" s="1" t="n"/>
      <c r="B407" s="26" t="n"/>
      <c r="C407" s="27" t="n"/>
      <c r="D407" s="27" t="n"/>
      <c r="E407" s="21">
        <f>IF(OR(C407="",D407=""),"",ROUND(MOD(D407-C407,1)*24,2))</f>
        <v/>
      </c>
      <c r="F407" s="28" t="n"/>
      <c r="G407" s="28" t="n"/>
      <c r="H407" s="1" t="n"/>
    </row>
    <row r="408">
      <c r="A408" s="1" t="n"/>
      <c r="B408" s="26" t="n"/>
      <c r="C408" s="27" t="n"/>
      <c r="D408" s="27" t="n"/>
      <c r="E408" s="21">
        <f>IF(OR(C408="",D408=""),"",ROUND(MOD(D408-C408,1)*24,2))</f>
        <v/>
      </c>
      <c r="F408" s="28" t="n"/>
      <c r="G408" s="28" t="n"/>
      <c r="H408" s="1" t="n"/>
    </row>
    <row r="409">
      <c r="A409" s="1" t="n"/>
      <c r="B409" s="26" t="n"/>
      <c r="C409" s="27" t="n"/>
      <c r="D409" s="27" t="n"/>
      <c r="E409" s="21">
        <f>IF(OR(C409="",D409=""),"",ROUND(MOD(D409-C409,1)*24,2))</f>
        <v/>
      </c>
      <c r="F409" s="28" t="n"/>
      <c r="G409" s="28" t="n"/>
      <c r="H409" s="1" t="n"/>
    </row>
    <row r="410">
      <c r="A410" s="1" t="n"/>
      <c r="B410" s="26" t="n"/>
      <c r="C410" s="27" t="n"/>
      <c r="D410" s="27" t="n"/>
      <c r="E410" s="21">
        <f>IF(OR(C410="",D410=""),"",ROUND(MOD(D410-C410,1)*24,2))</f>
        <v/>
      </c>
      <c r="F410" s="28" t="n"/>
      <c r="G410" s="28" t="n"/>
      <c r="H410" s="1" t="n"/>
    </row>
    <row r="411">
      <c r="A411" s="1" t="n"/>
      <c r="B411" s="26" t="n"/>
      <c r="C411" s="27" t="n"/>
      <c r="D411" s="27" t="n"/>
      <c r="E411" s="21">
        <f>IF(OR(C411="",D411=""),"",ROUND(MOD(D411-C411,1)*24,2))</f>
        <v/>
      </c>
      <c r="F411" s="28" t="n"/>
      <c r="G411" s="28" t="n"/>
      <c r="H411" s="1" t="n"/>
    </row>
    <row r="412">
      <c r="A412" s="1" t="n"/>
      <c r="B412" s="26" t="n"/>
      <c r="C412" s="27" t="n"/>
      <c r="D412" s="27" t="n"/>
      <c r="E412" s="21">
        <f>IF(OR(C412="",D412=""),"",ROUND(MOD(D412-C412,1)*24,2))</f>
        <v/>
      </c>
      <c r="F412" s="28" t="n"/>
      <c r="G412" s="28" t="n"/>
      <c r="H412" s="1" t="n"/>
    </row>
    <row r="413">
      <c r="A413" s="1" t="n"/>
      <c r="B413" s="26" t="n"/>
      <c r="C413" s="27" t="n"/>
      <c r="D413" s="27" t="n"/>
      <c r="E413" s="21">
        <f>IF(OR(C413="",D413=""),"",ROUND(MOD(D413-C413,1)*24,2))</f>
        <v/>
      </c>
      <c r="F413" s="28" t="n"/>
      <c r="G413" s="28" t="n"/>
      <c r="H413" s="1" t="n"/>
    </row>
    <row r="414">
      <c r="A414" s="1" t="n"/>
      <c r="B414" s="26" t="n"/>
      <c r="C414" s="27" t="n"/>
      <c r="D414" s="27" t="n"/>
      <c r="E414" s="21">
        <f>IF(OR(C414="",D414=""),"",ROUND(MOD(D414-C414,1)*24,2))</f>
        <v/>
      </c>
      <c r="F414" s="28" t="n"/>
      <c r="G414" s="28" t="n"/>
      <c r="H414" s="1" t="n"/>
    </row>
    <row r="415">
      <c r="A415" s="1" t="n"/>
      <c r="B415" s="26" t="n"/>
      <c r="C415" s="27" t="n"/>
      <c r="D415" s="27" t="n"/>
      <c r="E415" s="21">
        <f>IF(OR(C415="",D415=""),"",ROUND(MOD(D415-C415,1)*24,2))</f>
        <v/>
      </c>
      <c r="F415" s="28" t="n"/>
      <c r="G415" s="28" t="n"/>
      <c r="H415" s="1" t="n"/>
    </row>
    <row r="416">
      <c r="A416" s="1" t="n"/>
      <c r="B416" s="26" t="n"/>
      <c r="C416" s="27" t="n"/>
      <c r="D416" s="27" t="n"/>
      <c r="E416" s="21">
        <f>IF(OR(C416="",D416=""),"",ROUND(MOD(D416-C416,1)*24,2))</f>
        <v/>
      </c>
      <c r="F416" s="28" t="n"/>
      <c r="G416" s="28" t="n"/>
      <c r="H416" s="1" t="n"/>
    </row>
    <row r="417">
      <c r="A417" s="1" t="n"/>
      <c r="B417" s="26" t="n"/>
      <c r="C417" s="27" t="n"/>
      <c r="D417" s="27" t="n"/>
      <c r="E417" s="21">
        <f>IF(OR(C417="",D417=""),"",ROUND(MOD(D417-C417,1)*24,2))</f>
        <v/>
      </c>
      <c r="F417" s="28" t="n"/>
      <c r="G417" s="28" t="n"/>
      <c r="H417" s="1" t="n"/>
    </row>
    <row r="418">
      <c r="A418" s="1" t="n"/>
      <c r="B418" s="26" t="n"/>
      <c r="C418" s="27" t="n"/>
      <c r="D418" s="27" t="n"/>
      <c r="E418" s="21">
        <f>IF(OR(C418="",D418=""),"",ROUND(MOD(D418-C418,1)*24,2))</f>
        <v/>
      </c>
      <c r="F418" s="28" t="n"/>
      <c r="G418" s="28" t="n"/>
      <c r="H418" s="1" t="n"/>
    </row>
    <row r="419">
      <c r="A419" s="1" t="n"/>
      <c r="B419" s="26" t="n"/>
      <c r="C419" s="27" t="n"/>
      <c r="D419" s="27" t="n"/>
      <c r="E419" s="21">
        <f>IF(OR(C419="",D419=""),"",ROUND(MOD(D419-C419,1)*24,2))</f>
        <v/>
      </c>
      <c r="F419" s="28" t="n"/>
      <c r="G419" s="28" t="n"/>
      <c r="H419" s="1" t="n"/>
    </row>
    <row r="420">
      <c r="A420" s="1" t="n"/>
      <c r="B420" s="26" t="n"/>
      <c r="C420" s="27" t="n"/>
      <c r="D420" s="27" t="n"/>
      <c r="E420" s="21">
        <f>IF(OR(C420="",D420=""),"",ROUND(MOD(D420-C420,1)*24,2))</f>
        <v/>
      </c>
      <c r="F420" s="28" t="n"/>
      <c r="G420" s="28" t="n"/>
      <c r="H420" s="1" t="n"/>
    </row>
    <row r="421">
      <c r="A421" s="1" t="n"/>
      <c r="B421" s="26" t="n"/>
      <c r="C421" s="27" t="n"/>
      <c r="D421" s="27" t="n"/>
      <c r="E421" s="21">
        <f>IF(OR(C421="",D421=""),"",ROUND(MOD(D421-C421,1)*24,2))</f>
        <v/>
      </c>
      <c r="F421" s="28" t="n"/>
      <c r="G421" s="28" t="n"/>
      <c r="H421" s="1" t="n"/>
    </row>
    <row r="422">
      <c r="A422" s="1" t="n"/>
      <c r="B422" s="26" t="n"/>
      <c r="C422" s="27" t="n"/>
      <c r="D422" s="27" t="n"/>
      <c r="E422" s="21">
        <f>IF(OR(C422="",D422=""),"",ROUND(MOD(D422-C422,1)*24,2))</f>
        <v/>
      </c>
      <c r="F422" s="28" t="n"/>
      <c r="G422" s="28" t="n"/>
      <c r="H422" s="1" t="n"/>
    </row>
    <row r="423">
      <c r="A423" s="1" t="n"/>
      <c r="B423" s="26" t="n"/>
      <c r="C423" s="27" t="n"/>
      <c r="D423" s="27" t="n"/>
      <c r="E423" s="21">
        <f>IF(OR(C423="",D423=""),"",ROUND(MOD(D423-C423,1)*24,2))</f>
        <v/>
      </c>
      <c r="F423" s="28" t="n"/>
      <c r="G423" s="28" t="n"/>
      <c r="H423" s="1" t="n"/>
    </row>
    <row r="424">
      <c r="A424" s="1" t="n"/>
      <c r="B424" s="26" t="n"/>
      <c r="C424" s="27" t="n"/>
      <c r="D424" s="27" t="n"/>
      <c r="E424" s="21">
        <f>IF(OR(C424="",D424=""),"",ROUND(MOD(D424-C424,1)*24,2))</f>
        <v/>
      </c>
      <c r="F424" s="28" t="n"/>
      <c r="G424" s="28" t="n"/>
      <c r="H424" s="1" t="n"/>
    </row>
    <row r="425">
      <c r="A425" s="1" t="n"/>
      <c r="B425" s="26" t="n"/>
      <c r="C425" s="27" t="n"/>
      <c r="D425" s="27" t="n"/>
      <c r="E425" s="21">
        <f>IF(OR(C425="",D425=""),"",ROUND(MOD(D425-C425,1)*24,2))</f>
        <v/>
      </c>
      <c r="F425" s="28" t="n"/>
      <c r="G425" s="28" t="n"/>
      <c r="H425" s="1" t="n"/>
    </row>
    <row r="426">
      <c r="A426" s="1" t="n"/>
      <c r="B426" s="26" t="n"/>
      <c r="C426" s="27" t="n"/>
      <c r="D426" s="27" t="n"/>
      <c r="E426" s="21">
        <f>IF(OR(C426="",D426=""),"",ROUND(MOD(D426-C426,1)*24,2))</f>
        <v/>
      </c>
      <c r="F426" s="28" t="n"/>
      <c r="G426" s="28" t="n"/>
      <c r="H426" s="1" t="n"/>
    </row>
    <row r="427">
      <c r="A427" s="1" t="n"/>
      <c r="B427" s="26" t="n"/>
      <c r="C427" s="27" t="n"/>
      <c r="D427" s="27" t="n"/>
      <c r="E427" s="21">
        <f>IF(OR(C427="",D427=""),"",ROUND(MOD(D427-C427,1)*24,2))</f>
        <v/>
      </c>
      <c r="F427" s="28" t="n"/>
      <c r="G427" s="28" t="n"/>
      <c r="H427" s="1" t="n"/>
    </row>
    <row r="428">
      <c r="A428" s="1" t="n"/>
      <c r="B428" s="26" t="n"/>
      <c r="C428" s="27" t="n"/>
      <c r="D428" s="27" t="n"/>
      <c r="E428" s="21">
        <f>IF(OR(C428="",D428=""),"",ROUND(MOD(D428-C428,1)*24,2))</f>
        <v/>
      </c>
      <c r="F428" s="28" t="n"/>
      <c r="G428" s="28" t="n"/>
      <c r="H428" s="1" t="n"/>
    </row>
    <row r="429">
      <c r="A429" s="1" t="n"/>
      <c r="B429" s="26" t="n"/>
      <c r="C429" s="27" t="n"/>
      <c r="D429" s="27" t="n"/>
      <c r="E429" s="21">
        <f>IF(OR(C429="",D429=""),"",ROUND(MOD(D429-C429,1)*24,2))</f>
        <v/>
      </c>
      <c r="F429" s="28" t="n"/>
      <c r="G429" s="28" t="n"/>
      <c r="H429" s="1" t="n"/>
    </row>
    <row r="430">
      <c r="A430" s="1" t="n"/>
      <c r="B430" s="26" t="n"/>
      <c r="C430" s="27" t="n"/>
      <c r="D430" s="27" t="n"/>
      <c r="E430" s="21">
        <f>IF(OR(C430="",D430=""),"",ROUND(MOD(D430-C430,1)*24,2))</f>
        <v/>
      </c>
      <c r="F430" s="28" t="n"/>
      <c r="G430" s="28" t="n"/>
      <c r="H430" s="1" t="n"/>
    </row>
    <row r="431">
      <c r="A431" s="1" t="n"/>
      <c r="B431" s="26" t="n"/>
      <c r="C431" s="27" t="n"/>
      <c r="D431" s="27" t="n"/>
      <c r="E431" s="21">
        <f>IF(OR(C431="",D431=""),"",ROUND(MOD(D431-C431,1)*24,2))</f>
        <v/>
      </c>
      <c r="F431" s="28" t="n"/>
      <c r="G431" s="28" t="n"/>
      <c r="H431" s="1" t="n"/>
    </row>
    <row r="432">
      <c r="A432" s="1" t="n"/>
      <c r="B432" s="26" t="n"/>
      <c r="C432" s="27" t="n"/>
      <c r="D432" s="27" t="n"/>
      <c r="E432" s="21">
        <f>IF(OR(C432="",D432=""),"",ROUND(MOD(D432-C432,1)*24,2))</f>
        <v/>
      </c>
      <c r="F432" s="28" t="n"/>
      <c r="G432" s="28" t="n"/>
      <c r="H432" s="1" t="n"/>
    </row>
    <row r="433">
      <c r="A433" s="1" t="n"/>
      <c r="B433" s="26" t="n"/>
      <c r="C433" s="27" t="n"/>
      <c r="D433" s="27" t="n"/>
      <c r="E433" s="21">
        <f>IF(OR(C433="",D433=""),"",ROUND(MOD(D433-C433,1)*24,2))</f>
        <v/>
      </c>
      <c r="F433" s="28" t="n"/>
      <c r="G433" s="28" t="n"/>
      <c r="H433" s="1" t="n"/>
    </row>
    <row r="434">
      <c r="A434" s="1" t="n"/>
      <c r="B434" s="26" t="n"/>
      <c r="C434" s="27" t="n"/>
      <c r="D434" s="27" t="n"/>
      <c r="E434" s="21">
        <f>IF(OR(C434="",D434=""),"",ROUND(MOD(D434-C434,1)*24,2))</f>
        <v/>
      </c>
      <c r="F434" s="28" t="n"/>
      <c r="G434" s="28" t="n"/>
      <c r="H434" s="1" t="n"/>
    </row>
    <row r="435">
      <c r="A435" s="1" t="n"/>
      <c r="B435" s="26" t="n"/>
      <c r="C435" s="27" t="n"/>
      <c r="D435" s="27" t="n"/>
      <c r="E435" s="21">
        <f>IF(OR(C435="",D435=""),"",ROUND(MOD(D435-C435,1)*24,2))</f>
        <v/>
      </c>
      <c r="F435" s="28" t="n"/>
      <c r="G435" s="28" t="n"/>
      <c r="H435" s="1" t="n"/>
    </row>
    <row r="436">
      <c r="A436" s="1" t="n"/>
      <c r="B436" s="26" t="n"/>
      <c r="C436" s="27" t="n"/>
      <c r="D436" s="27" t="n"/>
      <c r="E436" s="21">
        <f>IF(OR(C436="",D436=""),"",ROUND(MOD(D436-C436,1)*24,2))</f>
        <v/>
      </c>
      <c r="F436" s="28" t="n"/>
      <c r="G436" s="28" t="n"/>
      <c r="H436" s="1" t="n"/>
    </row>
    <row r="437">
      <c r="A437" s="1" t="n"/>
      <c r="B437" s="26" t="n"/>
      <c r="C437" s="27" t="n"/>
      <c r="D437" s="27" t="n"/>
      <c r="E437" s="21">
        <f>IF(OR(C437="",D437=""),"",ROUND(MOD(D437-C437,1)*24,2))</f>
        <v/>
      </c>
      <c r="F437" s="28" t="n"/>
      <c r="G437" s="28" t="n"/>
      <c r="H437" s="1" t="n"/>
    </row>
    <row r="438">
      <c r="A438" s="1" t="n"/>
      <c r="B438" s="26" t="n"/>
      <c r="C438" s="27" t="n"/>
      <c r="D438" s="27" t="n"/>
      <c r="E438" s="21">
        <f>IF(OR(C438="",D438=""),"",ROUND(MOD(D438-C438,1)*24,2))</f>
        <v/>
      </c>
      <c r="F438" s="28" t="n"/>
      <c r="G438" s="28" t="n"/>
      <c r="H438" s="1" t="n"/>
    </row>
    <row r="439">
      <c r="A439" s="1" t="n"/>
      <c r="B439" s="26" t="n"/>
      <c r="C439" s="27" t="n"/>
      <c r="D439" s="27" t="n"/>
      <c r="E439" s="21">
        <f>IF(OR(C439="",D439=""),"",ROUND(MOD(D439-C439,1)*24,2))</f>
        <v/>
      </c>
      <c r="F439" s="28" t="n"/>
      <c r="G439" s="28" t="n"/>
      <c r="H439" s="1" t="n"/>
    </row>
    <row r="440">
      <c r="A440" s="1" t="n"/>
      <c r="B440" s="26" t="n"/>
      <c r="C440" s="27" t="n"/>
      <c r="D440" s="27" t="n"/>
      <c r="E440" s="21">
        <f>IF(OR(C440="",D440=""),"",ROUND(MOD(D440-C440,1)*24,2))</f>
        <v/>
      </c>
      <c r="F440" s="28" t="n"/>
      <c r="G440" s="28" t="n"/>
      <c r="H440" s="1" t="n"/>
    </row>
    <row r="441">
      <c r="A441" s="1" t="n"/>
      <c r="B441" s="26" t="n"/>
      <c r="C441" s="27" t="n"/>
      <c r="D441" s="27" t="n"/>
      <c r="E441" s="21">
        <f>IF(OR(C441="",D441=""),"",ROUND(MOD(D441-C441,1)*24,2))</f>
        <v/>
      </c>
      <c r="F441" s="28" t="n"/>
      <c r="G441" s="28" t="n"/>
      <c r="H441" s="1" t="n"/>
    </row>
    <row r="442">
      <c r="A442" s="1" t="n"/>
      <c r="B442" s="26" t="n"/>
      <c r="C442" s="27" t="n"/>
      <c r="D442" s="27" t="n"/>
      <c r="E442" s="21">
        <f>IF(OR(C442="",D442=""),"",ROUND(MOD(D442-C442,1)*24,2))</f>
        <v/>
      </c>
      <c r="F442" s="28" t="n"/>
      <c r="G442" s="28" t="n"/>
      <c r="H442" s="1" t="n"/>
    </row>
    <row r="443">
      <c r="A443" s="1" t="n"/>
      <c r="B443" s="26" t="n"/>
      <c r="C443" s="27" t="n"/>
      <c r="D443" s="27" t="n"/>
      <c r="E443" s="21">
        <f>IF(OR(C443="",D443=""),"",ROUND(MOD(D443-C443,1)*24,2))</f>
        <v/>
      </c>
      <c r="F443" s="28" t="n"/>
      <c r="G443" s="28" t="n"/>
      <c r="H443" s="1" t="n"/>
    </row>
    <row r="444">
      <c r="A444" s="1" t="n"/>
      <c r="B444" s="26" t="n"/>
      <c r="C444" s="27" t="n"/>
      <c r="D444" s="27" t="n"/>
      <c r="E444" s="21">
        <f>IF(OR(C444="",D444=""),"",ROUND(MOD(D444-C444,1)*24,2))</f>
        <v/>
      </c>
      <c r="F444" s="28" t="n"/>
      <c r="G444" s="28" t="n"/>
      <c r="H444" s="1" t="n"/>
    </row>
    <row r="445">
      <c r="A445" s="1" t="n"/>
      <c r="B445" s="26" t="n"/>
      <c r="C445" s="27" t="n"/>
      <c r="D445" s="27" t="n"/>
      <c r="E445" s="21">
        <f>IF(OR(C445="",D445=""),"",ROUND(MOD(D445-C445,1)*24,2))</f>
        <v/>
      </c>
      <c r="F445" s="28" t="n"/>
      <c r="G445" s="28" t="n"/>
      <c r="H445" s="1" t="n"/>
    </row>
    <row r="446">
      <c r="A446" s="1" t="n"/>
      <c r="B446" s="26" t="n"/>
      <c r="C446" s="27" t="n"/>
      <c r="D446" s="27" t="n"/>
      <c r="E446" s="21">
        <f>IF(OR(C446="",D446=""),"",ROUND(MOD(D446-C446,1)*24,2))</f>
        <v/>
      </c>
      <c r="F446" s="28" t="n"/>
      <c r="G446" s="28" t="n"/>
      <c r="H446" s="1" t="n"/>
    </row>
    <row r="447">
      <c r="A447" s="1" t="n"/>
      <c r="B447" s="26" t="n"/>
      <c r="C447" s="27" t="n"/>
      <c r="D447" s="27" t="n"/>
      <c r="E447" s="21">
        <f>IF(OR(C447="",D447=""),"",ROUND(MOD(D447-C447,1)*24,2))</f>
        <v/>
      </c>
      <c r="F447" s="28" t="n"/>
      <c r="G447" s="28" t="n"/>
      <c r="H447" s="1" t="n"/>
    </row>
    <row r="448">
      <c r="A448" s="1" t="n"/>
      <c r="B448" s="26" t="n"/>
      <c r="C448" s="27" t="n"/>
      <c r="D448" s="27" t="n"/>
      <c r="E448" s="21">
        <f>IF(OR(C448="",D448=""),"",ROUND(MOD(D448-C448,1)*24,2))</f>
        <v/>
      </c>
      <c r="F448" s="28" t="n"/>
      <c r="G448" s="28" t="n"/>
      <c r="H448" s="1" t="n"/>
    </row>
    <row r="449">
      <c r="A449" s="1" t="n"/>
      <c r="B449" s="26" t="n"/>
      <c r="C449" s="27" t="n"/>
      <c r="D449" s="27" t="n"/>
      <c r="E449" s="21">
        <f>IF(OR(C449="",D449=""),"",ROUND(MOD(D449-C449,1)*24,2))</f>
        <v/>
      </c>
      <c r="F449" s="28" t="n"/>
      <c r="G449" s="28" t="n"/>
      <c r="H449" s="1" t="n"/>
    </row>
    <row r="450">
      <c r="A450" s="1" t="n"/>
      <c r="B450" s="26" t="n"/>
      <c r="C450" s="27" t="n"/>
      <c r="D450" s="27" t="n"/>
      <c r="E450" s="21">
        <f>IF(OR(C450="",D450=""),"",ROUND(MOD(D450-C450,1)*24,2))</f>
        <v/>
      </c>
      <c r="F450" s="28" t="n"/>
      <c r="G450" s="28" t="n"/>
      <c r="H450" s="1" t="n"/>
    </row>
    <row r="451">
      <c r="A451" s="1" t="n"/>
      <c r="B451" s="26" t="n"/>
      <c r="C451" s="27" t="n"/>
      <c r="D451" s="27" t="n"/>
      <c r="E451" s="21">
        <f>IF(OR(C451="",D451=""),"",ROUND(MOD(D451-C451,1)*24,2))</f>
        <v/>
      </c>
      <c r="F451" s="28" t="n"/>
      <c r="G451" s="28" t="n"/>
      <c r="H451" s="1" t="n"/>
    </row>
    <row r="452">
      <c r="A452" s="1" t="n"/>
      <c r="B452" s="26" t="n"/>
      <c r="C452" s="27" t="n"/>
      <c r="D452" s="27" t="n"/>
      <c r="E452" s="21">
        <f>IF(OR(C452="",D452=""),"",ROUND(MOD(D452-C452,1)*24,2))</f>
        <v/>
      </c>
      <c r="F452" s="28" t="n"/>
      <c r="G452" s="28" t="n"/>
      <c r="H452" s="1" t="n"/>
    </row>
    <row r="453">
      <c r="A453" s="1" t="n"/>
      <c r="B453" s="26" t="n"/>
      <c r="C453" s="27" t="n"/>
      <c r="D453" s="27" t="n"/>
      <c r="E453" s="21">
        <f>IF(OR(C453="",D453=""),"",ROUND(MOD(D453-C453,1)*24,2))</f>
        <v/>
      </c>
      <c r="F453" s="28" t="n"/>
      <c r="G453" s="28" t="n"/>
      <c r="H453" s="1" t="n"/>
    </row>
    <row r="454">
      <c r="A454" s="1" t="n"/>
      <c r="B454" s="26" t="n"/>
      <c r="C454" s="27" t="n"/>
      <c r="D454" s="27" t="n"/>
      <c r="E454" s="21">
        <f>IF(OR(C454="",D454=""),"",ROUND(MOD(D454-C454,1)*24,2))</f>
        <v/>
      </c>
      <c r="F454" s="28" t="n"/>
      <c r="G454" s="28" t="n"/>
      <c r="H454" s="1" t="n"/>
    </row>
    <row r="455">
      <c r="A455" s="1" t="n"/>
      <c r="B455" s="26" t="n"/>
      <c r="C455" s="27" t="n"/>
      <c r="D455" s="27" t="n"/>
      <c r="E455" s="21">
        <f>IF(OR(C455="",D455=""),"",ROUND(MOD(D455-C455,1)*24,2))</f>
        <v/>
      </c>
      <c r="F455" s="28" t="n"/>
      <c r="G455" s="28" t="n"/>
      <c r="H455" s="1" t="n"/>
    </row>
    <row r="456">
      <c r="A456" s="1" t="n"/>
      <c r="B456" s="26" t="n"/>
      <c r="C456" s="27" t="n"/>
      <c r="D456" s="27" t="n"/>
      <c r="E456" s="21">
        <f>IF(OR(C456="",D456=""),"",ROUND(MOD(D456-C456,1)*24,2))</f>
        <v/>
      </c>
      <c r="F456" s="28" t="n"/>
      <c r="G456" s="28" t="n"/>
      <c r="H456" s="1" t="n"/>
    </row>
    <row r="457">
      <c r="A457" s="1" t="n"/>
      <c r="B457" s="26" t="n"/>
      <c r="C457" s="27" t="n"/>
      <c r="D457" s="27" t="n"/>
      <c r="E457" s="21">
        <f>IF(OR(C457="",D457=""),"",ROUND(MOD(D457-C457,1)*24,2))</f>
        <v/>
      </c>
      <c r="F457" s="28" t="n"/>
      <c r="G457" s="28" t="n"/>
      <c r="H457" s="1" t="n"/>
    </row>
    <row r="458">
      <c r="A458" s="1" t="n"/>
      <c r="B458" s="26" t="n"/>
      <c r="C458" s="27" t="n"/>
      <c r="D458" s="27" t="n"/>
      <c r="E458" s="21">
        <f>IF(OR(C458="",D458=""),"",ROUND(MOD(D458-C458,1)*24,2))</f>
        <v/>
      </c>
      <c r="F458" s="28" t="n"/>
      <c r="G458" s="28" t="n"/>
      <c r="H458" s="1" t="n"/>
    </row>
    <row r="459">
      <c r="A459" s="1" t="n"/>
      <c r="B459" s="26" t="n"/>
      <c r="C459" s="27" t="n"/>
      <c r="D459" s="27" t="n"/>
      <c r="E459" s="21">
        <f>IF(OR(C459="",D459=""),"",ROUND(MOD(D459-C459,1)*24,2))</f>
        <v/>
      </c>
      <c r="F459" s="28" t="n"/>
      <c r="G459" s="28" t="n"/>
      <c r="H459" s="1" t="n"/>
    </row>
    <row r="460">
      <c r="A460" s="1" t="n"/>
      <c r="B460" s="26" t="n"/>
      <c r="C460" s="27" t="n"/>
      <c r="D460" s="27" t="n"/>
      <c r="E460" s="21">
        <f>IF(OR(C460="",D460=""),"",ROUND(MOD(D460-C460,1)*24,2))</f>
        <v/>
      </c>
      <c r="F460" s="28" t="n"/>
      <c r="G460" s="28" t="n"/>
      <c r="H460" s="1" t="n"/>
    </row>
    <row r="461">
      <c r="A461" s="1" t="n"/>
      <c r="B461" s="26" t="n"/>
      <c r="C461" s="27" t="n"/>
      <c r="D461" s="27" t="n"/>
      <c r="E461" s="21">
        <f>IF(OR(C461="",D461=""),"",ROUND(MOD(D461-C461,1)*24,2))</f>
        <v/>
      </c>
      <c r="F461" s="28" t="n"/>
      <c r="G461" s="28" t="n"/>
      <c r="H461" s="1" t="n"/>
    </row>
    <row r="462">
      <c r="A462" s="1" t="n"/>
      <c r="B462" s="26" t="n"/>
      <c r="C462" s="27" t="n"/>
      <c r="D462" s="27" t="n"/>
      <c r="E462" s="21">
        <f>IF(OR(C462="",D462=""),"",ROUND(MOD(D462-C462,1)*24,2))</f>
        <v/>
      </c>
      <c r="F462" s="28" t="n"/>
      <c r="G462" s="28" t="n"/>
      <c r="H462" s="1" t="n"/>
    </row>
    <row r="463">
      <c r="A463" s="1" t="n"/>
      <c r="B463" s="26" t="n"/>
      <c r="C463" s="27" t="n"/>
      <c r="D463" s="27" t="n"/>
      <c r="E463" s="21">
        <f>IF(OR(C463="",D463=""),"",ROUND(MOD(D463-C463,1)*24,2))</f>
        <v/>
      </c>
      <c r="F463" s="28" t="n"/>
      <c r="G463" s="28" t="n"/>
      <c r="H463" s="1" t="n"/>
    </row>
    <row r="464">
      <c r="A464" s="1" t="n"/>
      <c r="B464" s="26" t="n"/>
      <c r="C464" s="27" t="n"/>
      <c r="D464" s="27" t="n"/>
      <c r="E464" s="21">
        <f>IF(OR(C464="",D464=""),"",ROUND(MOD(D464-C464,1)*24,2))</f>
        <v/>
      </c>
      <c r="F464" s="28" t="n"/>
      <c r="G464" s="28" t="n"/>
      <c r="H464" s="1" t="n"/>
    </row>
    <row r="465">
      <c r="A465" s="1" t="n"/>
      <c r="B465" s="26" t="n"/>
      <c r="C465" s="27" t="n"/>
      <c r="D465" s="27" t="n"/>
      <c r="E465" s="21">
        <f>IF(OR(C465="",D465=""),"",ROUND(MOD(D465-C465,1)*24,2))</f>
        <v/>
      </c>
      <c r="F465" s="28" t="n"/>
      <c r="G465" s="28" t="n"/>
      <c r="H465" s="1" t="n"/>
    </row>
    <row r="466">
      <c r="A466" s="1" t="n"/>
      <c r="B466" s="26" t="n"/>
      <c r="C466" s="27" t="n"/>
      <c r="D466" s="27" t="n"/>
      <c r="E466" s="21">
        <f>IF(OR(C466="",D466=""),"",ROUND(MOD(D466-C466,1)*24,2))</f>
        <v/>
      </c>
      <c r="F466" s="28" t="n"/>
      <c r="G466" s="28" t="n"/>
      <c r="H466" s="1" t="n"/>
    </row>
    <row r="467">
      <c r="A467" s="1" t="n"/>
      <c r="B467" s="26" t="n"/>
      <c r="C467" s="27" t="n"/>
      <c r="D467" s="27" t="n"/>
      <c r="E467" s="21">
        <f>IF(OR(C467="",D467=""),"",ROUND(MOD(D467-C467,1)*24,2))</f>
        <v/>
      </c>
      <c r="F467" s="28" t="n"/>
      <c r="G467" s="28" t="n"/>
      <c r="H467" s="1" t="n"/>
    </row>
    <row r="468">
      <c r="A468" s="1" t="n"/>
      <c r="B468" s="26" t="n"/>
      <c r="C468" s="27" t="n"/>
      <c r="D468" s="27" t="n"/>
      <c r="E468" s="21">
        <f>IF(OR(C468="",D468=""),"",ROUND(MOD(D468-C468,1)*24,2))</f>
        <v/>
      </c>
      <c r="F468" s="28" t="n"/>
      <c r="G468" s="28" t="n"/>
      <c r="H468" s="1" t="n"/>
    </row>
    <row r="469">
      <c r="A469" s="1" t="n"/>
      <c r="B469" s="26" t="n"/>
      <c r="C469" s="27" t="n"/>
      <c r="D469" s="27" t="n"/>
      <c r="E469" s="21">
        <f>IF(OR(C469="",D469=""),"",ROUND(MOD(D469-C469,1)*24,2))</f>
        <v/>
      </c>
      <c r="F469" s="28" t="n"/>
      <c r="G469" s="28" t="n"/>
      <c r="H469" s="1" t="n"/>
    </row>
    <row r="470">
      <c r="A470" s="1" t="n"/>
      <c r="B470" s="26" t="n"/>
      <c r="C470" s="27" t="n"/>
      <c r="D470" s="27" t="n"/>
      <c r="E470" s="21">
        <f>IF(OR(C470="",D470=""),"",ROUND(MOD(D470-C470,1)*24,2))</f>
        <v/>
      </c>
      <c r="F470" s="28" t="n"/>
      <c r="G470" s="28" t="n"/>
      <c r="H470" s="1" t="n"/>
    </row>
    <row r="471">
      <c r="A471" s="1" t="n"/>
      <c r="B471" s="26" t="n"/>
      <c r="C471" s="27" t="n"/>
      <c r="D471" s="27" t="n"/>
      <c r="E471" s="21">
        <f>IF(OR(C471="",D471=""),"",ROUND(MOD(D471-C471,1)*24,2))</f>
        <v/>
      </c>
      <c r="F471" s="28" t="n"/>
      <c r="G471" s="28" t="n"/>
      <c r="H471" s="1" t="n"/>
    </row>
    <row r="472">
      <c r="A472" s="1" t="n"/>
      <c r="B472" s="26" t="n"/>
      <c r="C472" s="27" t="n"/>
      <c r="D472" s="27" t="n"/>
      <c r="E472" s="21">
        <f>IF(OR(C472="",D472=""),"",ROUND(MOD(D472-C472,1)*24,2))</f>
        <v/>
      </c>
      <c r="F472" s="28" t="n"/>
      <c r="G472" s="28" t="n"/>
      <c r="H472" s="1" t="n"/>
    </row>
    <row r="473">
      <c r="A473" s="1" t="n"/>
      <c r="B473" s="26" t="n"/>
      <c r="C473" s="27" t="n"/>
      <c r="D473" s="27" t="n"/>
      <c r="E473" s="21">
        <f>IF(OR(C473="",D473=""),"",ROUND(MOD(D473-C473,1)*24,2))</f>
        <v/>
      </c>
      <c r="F473" s="28" t="n"/>
      <c r="G473" s="28" t="n"/>
      <c r="H473" s="1" t="n"/>
    </row>
    <row r="474">
      <c r="A474" s="1" t="n"/>
      <c r="B474" s="26" t="n"/>
      <c r="C474" s="27" t="n"/>
      <c r="D474" s="27" t="n"/>
      <c r="E474" s="21">
        <f>IF(OR(C474="",D474=""),"",ROUND(MOD(D474-C474,1)*24,2))</f>
        <v/>
      </c>
      <c r="F474" s="28" t="n"/>
      <c r="G474" s="28" t="n"/>
      <c r="H474" s="1" t="n"/>
    </row>
    <row r="475">
      <c r="A475" s="1" t="n"/>
      <c r="B475" s="26" t="n"/>
      <c r="C475" s="27" t="n"/>
      <c r="D475" s="27" t="n"/>
      <c r="E475" s="21">
        <f>IF(OR(C475="",D475=""),"",ROUND(MOD(D475-C475,1)*24,2))</f>
        <v/>
      </c>
      <c r="F475" s="28" t="n"/>
      <c r="G475" s="28" t="n"/>
      <c r="H475" s="1" t="n"/>
    </row>
    <row r="476">
      <c r="A476" s="1" t="n"/>
      <c r="B476" s="26" t="n"/>
      <c r="C476" s="27" t="n"/>
      <c r="D476" s="27" t="n"/>
      <c r="E476" s="21">
        <f>IF(OR(C476="",D476=""),"",ROUND(MOD(D476-C476,1)*24,2))</f>
        <v/>
      </c>
      <c r="F476" s="28" t="n"/>
      <c r="G476" s="28" t="n"/>
      <c r="H476" s="1" t="n"/>
    </row>
    <row r="477">
      <c r="A477" s="1" t="n"/>
      <c r="B477" s="26" t="n"/>
      <c r="C477" s="27" t="n"/>
      <c r="D477" s="27" t="n"/>
      <c r="E477" s="21">
        <f>IF(OR(C477="",D477=""),"",ROUND(MOD(D477-C477,1)*24,2))</f>
        <v/>
      </c>
      <c r="F477" s="28" t="n"/>
      <c r="G477" s="28" t="n"/>
      <c r="H477" s="1" t="n"/>
    </row>
    <row r="478">
      <c r="A478" s="1" t="n"/>
      <c r="B478" s="26" t="n"/>
      <c r="C478" s="27" t="n"/>
      <c r="D478" s="27" t="n"/>
      <c r="E478" s="21">
        <f>IF(OR(C478="",D478=""),"",ROUND(MOD(D478-C478,1)*24,2))</f>
        <v/>
      </c>
      <c r="F478" s="28" t="n"/>
      <c r="G478" s="28" t="n"/>
      <c r="H478" s="1" t="n"/>
    </row>
    <row r="479">
      <c r="A479" s="1" t="n"/>
      <c r="B479" s="26" t="n"/>
      <c r="C479" s="27" t="n"/>
      <c r="D479" s="27" t="n"/>
      <c r="E479" s="21">
        <f>IF(OR(C479="",D479=""),"",ROUND(MOD(D479-C479,1)*24,2))</f>
        <v/>
      </c>
      <c r="F479" s="28" t="n"/>
      <c r="G479" s="28" t="n"/>
      <c r="H479" s="1" t="n"/>
    </row>
    <row r="480">
      <c r="A480" s="1" t="n"/>
      <c r="B480" s="26" t="n"/>
      <c r="C480" s="27" t="n"/>
      <c r="D480" s="27" t="n"/>
      <c r="E480" s="21">
        <f>IF(OR(C480="",D480=""),"",ROUND(MOD(D480-C480,1)*24,2))</f>
        <v/>
      </c>
      <c r="F480" s="28" t="n"/>
      <c r="G480" s="28" t="n"/>
      <c r="H480" s="1" t="n"/>
    </row>
    <row r="481">
      <c r="A481" s="1" t="n"/>
      <c r="B481" s="26" t="n"/>
      <c r="C481" s="27" t="n"/>
      <c r="D481" s="27" t="n"/>
      <c r="E481" s="21">
        <f>IF(OR(C481="",D481=""),"",ROUND(MOD(D481-C481,1)*24,2))</f>
        <v/>
      </c>
      <c r="F481" s="28" t="n"/>
      <c r="G481" s="28" t="n"/>
      <c r="H481" s="1" t="n"/>
    </row>
    <row r="482">
      <c r="A482" s="1" t="n"/>
      <c r="B482" s="26" t="n"/>
      <c r="C482" s="27" t="n"/>
      <c r="D482" s="27" t="n"/>
      <c r="E482" s="21">
        <f>IF(OR(C482="",D482=""),"",ROUND(MOD(D482-C482,1)*24,2))</f>
        <v/>
      </c>
      <c r="F482" s="28" t="n"/>
      <c r="G482" s="28" t="n"/>
      <c r="H482" s="1" t="n"/>
    </row>
    <row r="483">
      <c r="A483" s="1" t="n"/>
      <c r="B483" s="26" t="n"/>
      <c r="C483" s="27" t="n"/>
      <c r="D483" s="27" t="n"/>
      <c r="E483" s="21">
        <f>IF(OR(C483="",D483=""),"",ROUND(MOD(D483-C483,1)*24,2))</f>
        <v/>
      </c>
      <c r="F483" s="28" t="n"/>
      <c r="G483" s="28" t="n"/>
      <c r="H483" s="1" t="n"/>
    </row>
    <row r="484">
      <c r="A484" s="1" t="n"/>
      <c r="B484" s="26" t="n"/>
      <c r="C484" s="27" t="n"/>
      <c r="D484" s="27" t="n"/>
      <c r="E484" s="21">
        <f>IF(OR(C484="",D484=""),"",ROUND(MOD(D484-C484,1)*24,2))</f>
        <v/>
      </c>
      <c r="F484" s="28" t="n"/>
      <c r="G484" s="28" t="n"/>
      <c r="H484" s="1" t="n"/>
    </row>
    <row r="485">
      <c r="A485" s="1" t="n"/>
      <c r="B485" s="26" t="n"/>
      <c r="C485" s="27" t="n"/>
      <c r="D485" s="27" t="n"/>
      <c r="E485" s="21">
        <f>IF(OR(C485="",D485=""),"",ROUND(MOD(D485-C485,1)*24,2))</f>
        <v/>
      </c>
      <c r="F485" s="28" t="n"/>
      <c r="G485" s="28" t="n"/>
      <c r="H485" s="1" t="n"/>
    </row>
    <row r="486">
      <c r="A486" s="1" t="n"/>
      <c r="B486" s="26" t="n"/>
      <c r="C486" s="27" t="n"/>
      <c r="D486" s="27" t="n"/>
      <c r="E486" s="21">
        <f>IF(OR(C486="",D486=""),"",ROUND(MOD(D486-C486,1)*24,2))</f>
        <v/>
      </c>
      <c r="F486" s="28" t="n"/>
      <c r="G486" s="28" t="n"/>
      <c r="H486" s="1" t="n"/>
    </row>
    <row r="487">
      <c r="A487" s="1" t="n"/>
      <c r="B487" s="26" t="n"/>
      <c r="C487" s="27" t="n"/>
      <c r="D487" s="27" t="n"/>
      <c r="E487" s="21">
        <f>IF(OR(C487="",D487=""),"",ROUND(MOD(D487-C487,1)*24,2))</f>
        <v/>
      </c>
      <c r="F487" s="28" t="n"/>
      <c r="G487" s="28" t="n"/>
      <c r="H487" s="1" t="n"/>
    </row>
    <row r="488">
      <c r="A488" s="1" t="n"/>
      <c r="B488" s="26" t="n"/>
      <c r="C488" s="27" t="n"/>
      <c r="D488" s="27" t="n"/>
      <c r="E488" s="21">
        <f>IF(OR(C488="",D488=""),"",ROUND(MOD(D488-C488,1)*24,2))</f>
        <v/>
      </c>
      <c r="F488" s="28" t="n"/>
      <c r="G488" s="28" t="n"/>
      <c r="H488" s="1" t="n"/>
    </row>
    <row r="489">
      <c r="A489" s="1" t="n"/>
      <c r="B489" s="26" t="n"/>
      <c r="C489" s="27" t="n"/>
      <c r="D489" s="27" t="n"/>
      <c r="E489" s="21">
        <f>IF(OR(C489="",D489=""),"",ROUND(MOD(D489-C489,1)*24,2))</f>
        <v/>
      </c>
      <c r="F489" s="28" t="n"/>
      <c r="G489" s="28" t="n"/>
      <c r="H489" s="1" t="n"/>
    </row>
    <row r="490">
      <c r="A490" s="1" t="n"/>
      <c r="B490" s="26" t="n"/>
      <c r="C490" s="27" t="n"/>
      <c r="D490" s="27" t="n"/>
      <c r="E490" s="21">
        <f>IF(OR(C490="",D490=""),"",ROUND(MOD(D490-C490,1)*24,2))</f>
        <v/>
      </c>
      <c r="F490" s="28" t="n"/>
      <c r="G490" s="28" t="n"/>
      <c r="H490" s="1" t="n"/>
    </row>
    <row r="491">
      <c r="A491" s="1" t="n"/>
      <c r="B491" s="26" t="n"/>
      <c r="C491" s="27" t="n"/>
      <c r="D491" s="27" t="n"/>
      <c r="E491" s="21">
        <f>IF(OR(C491="",D491=""),"",ROUND(MOD(D491-C491,1)*24,2))</f>
        <v/>
      </c>
      <c r="F491" s="28" t="n"/>
      <c r="G491" s="28" t="n"/>
      <c r="H491" s="1" t="n"/>
    </row>
    <row r="492">
      <c r="A492" s="1" t="n"/>
      <c r="B492" s="26" t="n"/>
      <c r="C492" s="27" t="n"/>
      <c r="D492" s="27" t="n"/>
      <c r="E492" s="21">
        <f>IF(OR(C492="",D492=""),"",ROUND(MOD(D492-C492,1)*24,2))</f>
        <v/>
      </c>
      <c r="F492" s="28" t="n"/>
      <c r="G492" s="28" t="n"/>
      <c r="H492" s="1" t="n"/>
    </row>
    <row r="493">
      <c r="A493" s="1" t="n"/>
      <c r="B493" s="26" t="n"/>
      <c r="C493" s="27" t="n"/>
      <c r="D493" s="27" t="n"/>
      <c r="E493" s="21">
        <f>IF(OR(C493="",D493=""),"",ROUND(MOD(D493-C493,1)*24,2))</f>
        <v/>
      </c>
      <c r="F493" s="28" t="n"/>
      <c r="G493" s="28" t="n"/>
      <c r="H493" s="1" t="n"/>
    </row>
    <row r="494">
      <c r="A494" s="1" t="n"/>
      <c r="B494" s="26" t="n"/>
      <c r="C494" s="27" t="n"/>
      <c r="D494" s="27" t="n"/>
      <c r="E494" s="21">
        <f>IF(OR(C494="",D494=""),"",ROUND(MOD(D494-C494,1)*24,2))</f>
        <v/>
      </c>
      <c r="F494" s="28" t="n"/>
      <c r="G494" s="28" t="n"/>
      <c r="H494" s="1" t="n"/>
    </row>
    <row r="495">
      <c r="A495" s="1" t="n"/>
      <c r="B495" s="26" t="n"/>
      <c r="C495" s="27" t="n"/>
      <c r="D495" s="27" t="n"/>
      <c r="E495" s="21">
        <f>IF(OR(C495="",D495=""),"",ROUND(MOD(D495-C495,1)*24,2))</f>
        <v/>
      </c>
      <c r="F495" s="28" t="n"/>
      <c r="G495" s="28" t="n"/>
      <c r="H495" s="1" t="n"/>
    </row>
    <row r="496">
      <c r="A496" s="1" t="n"/>
      <c r="B496" s="26" t="n"/>
      <c r="C496" s="27" t="n"/>
      <c r="D496" s="27" t="n"/>
      <c r="E496" s="21">
        <f>IF(OR(C496="",D496=""),"",ROUND(MOD(D496-C496,1)*24,2))</f>
        <v/>
      </c>
      <c r="F496" s="28" t="n"/>
      <c r="G496" s="28" t="n"/>
      <c r="H496" s="1" t="n"/>
    </row>
    <row r="497">
      <c r="A497" s="1" t="n"/>
      <c r="B497" s="26" t="n"/>
      <c r="C497" s="27" t="n"/>
      <c r="D497" s="27" t="n"/>
      <c r="E497" s="21">
        <f>IF(OR(C497="",D497=""),"",ROUND(MOD(D497-C497,1)*24,2))</f>
        <v/>
      </c>
      <c r="F497" s="28" t="n"/>
      <c r="G497" s="28" t="n"/>
      <c r="H497" s="1" t="n"/>
    </row>
    <row r="498">
      <c r="A498" s="1" t="n"/>
      <c r="B498" s="26" t="n"/>
      <c r="C498" s="27" t="n"/>
      <c r="D498" s="27" t="n"/>
      <c r="E498" s="21">
        <f>IF(OR(C498="",D498=""),"",ROUND(MOD(D498-C498,1)*24,2))</f>
        <v/>
      </c>
      <c r="F498" s="28" t="n"/>
      <c r="G498" s="28" t="n"/>
      <c r="H498" s="1" t="n"/>
    </row>
    <row r="499">
      <c r="A499" s="1" t="n"/>
      <c r="B499" s="26" t="n"/>
      <c r="C499" s="27" t="n"/>
      <c r="D499" s="27" t="n"/>
      <c r="E499" s="21">
        <f>IF(OR(C499="",D499=""),"",ROUND(MOD(D499-C499,1)*24,2))</f>
        <v/>
      </c>
      <c r="F499" s="28" t="n"/>
      <c r="G499" s="28" t="n"/>
      <c r="H499" s="1" t="n"/>
    </row>
    <row r="500">
      <c r="A500" s="1" t="n"/>
      <c r="B500" s="26" t="n"/>
      <c r="C500" s="27" t="n"/>
      <c r="D500" s="27" t="n"/>
      <c r="E500" s="21">
        <f>IF(OR(C500="",D500=""),"",ROUND(MOD(D500-C500,1)*24,2))</f>
        <v/>
      </c>
      <c r="F500" s="28" t="n"/>
      <c r="G500" s="28" t="n"/>
      <c r="H500" s="1" t="n"/>
    </row>
    <row r="501">
      <c r="A501" s="1" t="n"/>
      <c r="B501" s="26" t="n"/>
      <c r="C501" s="27" t="n"/>
      <c r="D501" s="27" t="n"/>
      <c r="E501" s="21">
        <f>IF(OR(C501="",D501=""),"",ROUND(MOD(D501-C501,1)*24,2))</f>
        <v/>
      </c>
      <c r="F501" s="28" t="n"/>
      <c r="G501" s="28" t="n"/>
      <c r="H501" s="1" t="n"/>
    </row>
    <row r="502">
      <c r="A502" s="1" t="n"/>
      <c r="B502" s="26" t="n"/>
      <c r="C502" s="27" t="n"/>
      <c r="D502" s="27" t="n"/>
      <c r="E502" s="21">
        <f>IF(OR(C502="",D502=""),"",ROUND(MOD(D502-C502,1)*24,2))</f>
        <v/>
      </c>
      <c r="F502" s="28" t="n"/>
      <c r="G502" s="28" t="n"/>
      <c r="H502" s="1" t="n"/>
    </row>
    <row r="503">
      <c r="A503" s="1" t="n"/>
      <c r="B503" s="26" t="n"/>
      <c r="C503" s="27" t="n"/>
      <c r="D503" s="27" t="n"/>
      <c r="E503" s="21">
        <f>IF(OR(C503="",D503=""),"",ROUND(MOD(D503-C503,1)*24,2))</f>
        <v/>
      </c>
      <c r="F503" s="28" t="n"/>
      <c r="G503" s="28" t="n"/>
      <c r="H503" s="1" t="n"/>
    </row>
    <row r="504">
      <c r="A504" s="1" t="n"/>
      <c r="B504" s="26" t="n"/>
      <c r="C504" s="27" t="n"/>
      <c r="D504" s="27" t="n"/>
      <c r="E504" s="21">
        <f>IF(OR(C504="",D504=""),"",ROUND(MOD(D504-C504,1)*24,2))</f>
        <v/>
      </c>
      <c r="F504" s="28" t="n"/>
      <c r="G504" s="28" t="n"/>
      <c r="H504" s="1" t="n"/>
    </row>
    <row r="505">
      <c r="A505" s="1" t="n"/>
      <c r="B505" s="26" t="n"/>
      <c r="C505" s="27" t="n"/>
      <c r="D505" s="27" t="n"/>
      <c r="E505" s="21">
        <f>IF(OR(C505="",D505=""),"",ROUND(MOD(D505-C505,1)*24,2))</f>
        <v/>
      </c>
      <c r="F505" s="28" t="n"/>
      <c r="G505" s="28" t="n"/>
      <c r="H505" s="1" t="n"/>
    </row>
    <row r="506">
      <c r="A506" s="1" t="n"/>
      <c r="B506" s="26" t="n"/>
      <c r="C506" s="27" t="n"/>
      <c r="D506" s="27" t="n"/>
      <c r="E506" s="21">
        <f>IF(OR(C506="",D506=""),"",ROUND(MOD(D506-C506,1)*24,2))</f>
        <v/>
      </c>
      <c r="F506" s="28" t="n"/>
      <c r="G506" s="28" t="n"/>
      <c r="H506" s="1" t="n"/>
    </row>
    <row r="507">
      <c r="A507" s="1" t="n"/>
      <c r="B507" s="26" t="n"/>
      <c r="C507" s="27" t="n"/>
      <c r="D507" s="27" t="n"/>
      <c r="E507" s="21">
        <f>IF(OR(C507="",D507=""),"",ROUND(MOD(D507-C507,1)*24,2))</f>
        <v/>
      </c>
      <c r="F507" s="28" t="n"/>
      <c r="G507" s="28" t="n"/>
      <c r="H507" s="1" t="n"/>
    </row>
    <row r="508">
      <c r="A508" s="1" t="n"/>
      <c r="B508" s="26" t="n"/>
      <c r="C508" s="27" t="n"/>
      <c r="D508" s="27" t="n"/>
      <c r="E508" s="21">
        <f>IF(OR(C508="",D508=""),"",ROUND(MOD(D508-C508,1)*24,2))</f>
        <v/>
      </c>
      <c r="F508" s="28" t="n"/>
      <c r="G508" s="28" t="n"/>
      <c r="H508" s="1" t="n"/>
    </row>
    <row r="509">
      <c r="A509" s="1" t="n"/>
      <c r="B509" s="26" t="n"/>
      <c r="C509" s="27" t="n"/>
      <c r="D509" s="27" t="n"/>
      <c r="E509" s="21">
        <f>IF(OR(C509="",D509=""),"",ROUND(MOD(D509-C509,1)*24,2))</f>
        <v/>
      </c>
      <c r="F509" s="28" t="n"/>
      <c r="G509" s="28" t="n"/>
      <c r="H509" s="1" t="n"/>
    </row>
    <row r="510">
      <c r="A510" s="1" t="n"/>
      <c r="B510" s="26" t="n"/>
      <c r="C510" s="27" t="n"/>
      <c r="D510" s="27" t="n"/>
      <c r="E510" s="21">
        <f>IF(OR(C510="",D510=""),"",ROUND(MOD(D510-C510,1)*24,2))</f>
        <v/>
      </c>
      <c r="F510" s="28" t="n"/>
      <c r="G510" s="28" t="n"/>
      <c r="H510" s="1" t="n"/>
    </row>
    <row r="511">
      <c r="A511" s="1" t="n"/>
      <c r="B511" s="26" t="n"/>
      <c r="C511" s="27" t="n"/>
      <c r="D511" s="27" t="n"/>
      <c r="E511" s="21">
        <f>IF(OR(C511="",D511=""),"",ROUND(MOD(D511-C511,1)*24,2))</f>
        <v/>
      </c>
      <c r="F511" s="28" t="n"/>
      <c r="G511" s="28" t="n"/>
      <c r="H511" s="1" t="n"/>
    </row>
    <row r="512">
      <c r="A512" s="1" t="n"/>
      <c r="B512" s="26" t="n"/>
      <c r="C512" s="27" t="n"/>
      <c r="D512" s="27" t="n"/>
      <c r="E512" s="21">
        <f>IF(OR(C512="",D512=""),"",ROUND(MOD(D512-C512,1)*24,2))</f>
        <v/>
      </c>
      <c r="F512" s="28" t="n"/>
      <c r="G512" s="28" t="n"/>
      <c r="H512" s="1" t="n"/>
    </row>
    <row r="513">
      <c r="A513" s="1" t="n"/>
      <c r="B513" s="26" t="n"/>
      <c r="C513" s="27" t="n"/>
      <c r="D513" s="27" t="n"/>
      <c r="E513" s="21">
        <f>IF(OR(C513="",D513=""),"",ROUND(MOD(D513-C513,1)*24,2))</f>
        <v/>
      </c>
      <c r="F513" s="28" t="n"/>
      <c r="G513" s="28" t="n"/>
      <c r="H513" s="1" t="n"/>
    </row>
    <row r="514">
      <c r="A514" s="1" t="n"/>
      <c r="B514" s="26" t="n"/>
      <c r="C514" s="27" t="n"/>
      <c r="D514" s="27" t="n"/>
      <c r="E514" s="21">
        <f>IF(OR(C514="",D514=""),"",ROUND(MOD(D514-C514,1)*24,2))</f>
        <v/>
      </c>
      <c r="F514" s="28" t="n"/>
      <c r="G514" s="28" t="n"/>
      <c r="H514" s="1" t="n"/>
    </row>
    <row r="515">
      <c r="A515" s="1" t="n"/>
      <c r="B515" s="26" t="n"/>
      <c r="C515" s="27" t="n"/>
      <c r="D515" s="27" t="n"/>
      <c r="E515" s="21">
        <f>IF(OR(C515="",D515=""),"",ROUND(MOD(D515-C515,1)*24,2))</f>
        <v/>
      </c>
      <c r="F515" s="28" t="n"/>
      <c r="G515" s="28" t="n"/>
      <c r="H515" s="1" t="n"/>
    </row>
    <row r="516">
      <c r="A516" s="1" t="n"/>
      <c r="B516" s="26" t="n"/>
      <c r="C516" s="27" t="n"/>
      <c r="D516" s="27" t="n"/>
      <c r="E516" s="21">
        <f>IF(OR(C516="",D516=""),"",ROUND(MOD(D516-C516,1)*24,2))</f>
        <v/>
      </c>
      <c r="F516" s="28" t="n"/>
      <c r="G516" s="28" t="n"/>
      <c r="H516" s="1" t="n"/>
    </row>
    <row r="517">
      <c r="A517" s="1" t="n"/>
      <c r="B517" s="26" t="n"/>
      <c r="C517" s="27" t="n"/>
      <c r="D517" s="27" t="n"/>
      <c r="E517" s="21">
        <f>IF(OR(C517="",D517=""),"",ROUND(MOD(D517-C517,1)*24,2))</f>
        <v/>
      </c>
      <c r="F517" s="28" t="n"/>
      <c r="G517" s="28" t="n"/>
      <c r="H517" s="1" t="n"/>
    </row>
    <row r="518">
      <c r="A518" s="1" t="n"/>
      <c r="B518" s="26" t="n"/>
      <c r="C518" s="27" t="n"/>
      <c r="D518" s="27" t="n"/>
      <c r="E518" s="21">
        <f>IF(OR(C518="",D518=""),"",ROUND(MOD(D518-C518,1)*24,2))</f>
        <v/>
      </c>
      <c r="F518" s="28" t="n"/>
      <c r="G518" s="28" t="n"/>
      <c r="H518" s="1" t="n"/>
    </row>
    <row r="519">
      <c r="A519" s="1" t="n"/>
      <c r="B519" s="26" t="n"/>
      <c r="C519" s="27" t="n"/>
      <c r="D519" s="27" t="n"/>
      <c r="E519" s="21">
        <f>IF(OR(C519="",D519=""),"",ROUND(MOD(D519-C519,1)*24,2))</f>
        <v/>
      </c>
      <c r="F519" s="28" t="n"/>
      <c r="G519" s="28" t="n"/>
      <c r="H519" s="1" t="n"/>
    </row>
    <row r="520">
      <c r="A520" s="1" t="n"/>
      <c r="B520" s="26" t="n"/>
      <c r="C520" s="27" t="n"/>
      <c r="D520" s="27" t="n"/>
      <c r="E520" s="21">
        <f>IF(OR(C520="",D520=""),"",ROUND(MOD(D520-C520,1)*24,2))</f>
        <v/>
      </c>
      <c r="F520" s="28" t="n"/>
      <c r="G520" s="28" t="n"/>
      <c r="H520" s="1" t="n"/>
    </row>
    <row r="521">
      <c r="A521" s="1" t="n"/>
      <c r="B521" s="26" t="n"/>
      <c r="C521" s="27" t="n"/>
      <c r="D521" s="27" t="n"/>
      <c r="E521" s="21">
        <f>IF(OR(C521="",D521=""),"",ROUND(MOD(D521-C521,1)*24,2))</f>
        <v/>
      </c>
      <c r="F521" s="28" t="n"/>
      <c r="G521" s="28" t="n"/>
      <c r="H521" s="1" t="n"/>
    </row>
    <row r="522">
      <c r="A522" s="1" t="n"/>
      <c r="B522" s="26" t="n"/>
      <c r="C522" s="27" t="n"/>
      <c r="D522" s="27" t="n"/>
      <c r="E522" s="21">
        <f>IF(OR(C522="",D522=""),"",ROUND(MOD(D522-C522,1)*24,2))</f>
        <v/>
      </c>
      <c r="F522" s="28" t="n"/>
      <c r="G522" s="28" t="n"/>
      <c r="H522" s="1" t="n"/>
    </row>
    <row r="523">
      <c r="A523" s="1" t="n"/>
      <c r="B523" s="26" t="n"/>
      <c r="C523" s="27" t="n"/>
      <c r="D523" s="27" t="n"/>
      <c r="E523" s="21">
        <f>IF(OR(C523="",D523=""),"",ROUND(MOD(D523-C523,1)*24,2))</f>
        <v/>
      </c>
      <c r="F523" s="28" t="n"/>
      <c r="G523" s="28" t="n"/>
      <c r="H523" s="1" t="n"/>
    </row>
    <row r="524">
      <c r="A524" s="1" t="n"/>
      <c r="B524" s="26" t="n"/>
      <c r="C524" s="27" t="n"/>
      <c r="D524" s="27" t="n"/>
      <c r="E524" s="21">
        <f>IF(OR(C524="",D524=""),"",ROUND(MOD(D524-C524,1)*24,2))</f>
        <v/>
      </c>
      <c r="F524" s="28" t="n"/>
      <c r="G524" s="28" t="n"/>
      <c r="H524" s="1" t="n"/>
    </row>
    <row r="525">
      <c r="A525" s="1" t="n"/>
      <c r="B525" s="26" t="n"/>
      <c r="C525" s="27" t="n"/>
      <c r="D525" s="27" t="n"/>
      <c r="E525" s="21">
        <f>IF(OR(C525="",D525=""),"",ROUND(MOD(D525-C525,1)*24,2))</f>
        <v/>
      </c>
      <c r="F525" s="28" t="n"/>
      <c r="G525" s="28" t="n"/>
      <c r="H525" s="1" t="n"/>
    </row>
    <row r="526">
      <c r="A526" s="1" t="n"/>
      <c r="B526" s="26" t="n"/>
      <c r="C526" s="27" t="n"/>
      <c r="D526" s="27" t="n"/>
      <c r="E526" s="21">
        <f>IF(OR(C526="",D526=""),"",ROUND(MOD(D526-C526,1)*24,2))</f>
        <v/>
      </c>
      <c r="F526" s="28" t="n"/>
      <c r="G526" s="28" t="n"/>
      <c r="H526" s="1" t="n"/>
    </row>
    <row r="527">
      <c r="A527" s="1" t="n"/>
      <c r="B527" s="26" t="n"/>
      <c r="C527" s="27" t="n"/>
      <c r="D527" s="27" t="n"/>
      <c r="E527" s="21">
        <f>IF(OR(C527="",D527=""),"",ROUND(MOD(D527-C527,1)*24,2))</f>
        <v/>
      </c>
      <c r="F527" s="28" t="n"/>
      <c r="G527" s="28" t="n"/>
      <c r="H527" s="1" t="n"/>
    </row>
    <row r="528">
      <c r="A528" s="1" t="n"/>
      <c r="B528" s="26" t="n"/>
      <c r="C528" s="27" t="n"/>
      <c r="D528" s="27" t="n"/>
      <c r="E528" s="21">
        <f>IF(OR(C528="",D528=""),"",ROUND(MOD(D528-C528,1)*24,2))</f>
        <v/>
      </c>
      <c r="F528" s="28" t="n"/>
      <c r="G528" s="28" t="n"/>
      <c r="H528" s="1" t="n"/>
    </row>
    <row r="529">
      <c r="A529" s="1" t="n"/>
      <c r="B529" s="26" t="n"/>
      <c r="C529" s="27" t="n"/>
      <c r="D529" s="27" t="n"/>
      <c r="E529" s="21">
        <f>IF(OR(C529="",D529=""),"",ROUND(MOD(D529-C529,1)*24,2))</f>
        <v/>
      </c>
      <c r="F529" s="28" t="n"/>
      <c r="G529" s="28" t="n"/>
      <c r="H529" s="1" t="n"/>
    </row>
    <row r="530">
      <c r="A530" s="1" t="n"/>
      <c r="B530" s="26" t="n"/>
      <c r="C530" s="27" t="n"/>
      <c r="D530" s="27" t="n"/>
      <c r="E530" s="21">
        <f>IF(OR(C530="",D530=""),"",ROUND(MOD(D530-C530,1)*24,2))</f>
        <v/>
      </c>
      <c r="F530" s="28" t="n"/>
      <c r="G530" s="28" t="n"/>
      <c r="H530" s="1" t="n"/>
    </row>
    <row r="531">
      <c r="A531" s="1" t="n"/>
      <c r="B531" s="26" t="n"/>
      <c r="C531" s="27" t="n"/>
      <c r="D531" s="27" t="n"/>
      <c r="E531" s="21">
        <f>IF(OR(C531="",D531=""),"",ROUND(MOD(D531-C531,1)*24,2))</f>
        <v/>
      </c>
      <c r="F531" s="28" t="n"/>
      <c r="G531" s="28" t="n"/>
      <c r="H531" s="1" t="n"/>
    </row>
    <row r="532">
      <c r="A532" s="1" t="n"/>
      <c r="B532" s="26" t="n"/>
      <c r="C532" s="27" t="n"/>
      <c r="D532" s="27" t="n"/>
      <c r="E532" s="21">
        <f>IF(OR(C532="",D532=""),"",ROUND(MOD(D532-C532,1)*24,2))</f>
        <v/>
      </c>
      <c r="F532" s="28" t="n"/>
      <c r="G532" s="28" t="n"/>
      <c r="H532" s="1" t="n"/>
    </row>
    <row r="533">
      <c r="A533" s="1" t="n"/>
      <c r="B533" s="26" t="n"/>
      <c r="C533" s="27" t="n"/>
      <c r="D533" s="27" t="n"/>
      <c r="E533" s="21">
        <f>IF(OR(C533="",D533=""),"",ROUND(MOD(D533-C533,1)*24,2))</f>
        <v/>
      </c>
      <c r="F533" s="28" t="n"/>
      <c r="G533" s="28" t="n"/>
      <c r="H533" s="1" t="n"/>
    </row>
    <row r="534">
      <c r="A534" s="1" t="n"/>
      <c r="B534" s="26" t="n"/>
      <c r="C534" s="27" t="n"/>
      <c r="D534" s="27" t="n"/>
      <c r="E534" s="21">
        <f>IF(OR(C534="",D534=""),"",ROUND(MOD(D534-C534,1)*24,2))</f>
        <v/>
      </c>
      <c r="F534" s="28" t="n"/>
      <c r="G534" s="28" t="n"/>
      <c r="H534" s="1" t="n"/>
    </row>
    <row r="535">
      <c r="A535" s="1" t="n"/>
      <c r="B535" s="26" t="n"/>
      <c r="C535" s="27" t="n"/>
      <c r="D535" s="27" t="n"/>
      <c r="E535" s="21">
        <f>IF(OR(C535="",D535=""),"",ROUND(MOD(D535-C535,1)*24,2))</f>
        <v/>
      </c>
      <c r="F535" s="28" t="n"/>
      <c r="G535" s="28" t="n"/>
      <c r="H535" s="1" t="n"/>
    </row>
    <row r="536">
      <c r="A536" s="1" t="n"/>
      <c r="B536" s="26" t="n"/>
      <c r="C536" s="27" t="n"/>
      <c r="D536" s="27" t="n"/>
      <c r="E536" s="21">
        <f>IF(OR(C536="",D536=""),"",ROUND(MOD(D536-C536,1)*24,2))</f>
        <v/>
      </c>
      <c r="F536" s="28" t="n"/>
      <c r="G536" s="28" t="n"/>
      <c r="H536" s="1" t="n"/>
    </row>
    <row r="537">
      <c r="A537" s="1" t="n"/>
      <c r="B537" s="26" t="n"/>
      <c r="C537" s="27" t="n"/>
      <c r="D537" s="27" t="n"/>
      <c r="E537" s="21">
        <f>IF(OR(C537="",D537=""),"",ROUND(MOD(D537-C537,1)*24,2))</f>
        <v/>
      </c>
      <c r="F537" s="28" t="n"/>
      <c r="G537" s="28" t="n"/>
      <c r="H537" s="1" t="n"/>
    </row>
    <row r="538">
      <c r="A538" s="1" t="n"/>
      <c r="B538" s="26" t="n"/>
      <c r="C538" s="27" t="n"/>
      <c r="D538" s="27" t="n"/>
      <c r="E538" s="21">
        <f>IF(OR(C538="",D538=""),"",ROUND(MOD(D538-C538,1)*24,2))</f>
        <v/>
      </c>
      <c r="F538" s="28" t="n"/>
      <c r="G538" s="28" t="n"/>
      <c r="H538" s="1" t="n"/>
    </row>
    <row r="539">
      <c r="A539" s="1" t="n"/>
      <c r="B539" s="26" t="n"/>
      <c r="C539" s="27" t="n"/>
      <c r="D539" s="27" t="n"/>
      <c r="E539" s="21">
        <f>IF(OR(C539="",D539=""),"",ROUND(MOD(D539-C539,1)*24,2))</f>
        <v/>
      </c>
      <c r="F539" s="28" t="n"/>
      <c r="G539" s="28" t="n"/>
      <c r="H539" s="1" t="n"/>
    </row>
    <row r="540">
      <c r="A540" s="1" t="n"/>
      <c r="B540" s="26" t="n"/>
      <c r="C540" s="27" t="n"/>
      <c r="D540" s="27" t="n"/>
      <c r="E540" s="21">
        <f>IF(OR(C540="",D540=""),"",ROUND(MOD(D540-C540,1)*24,2))</f>
        <v/>
      </c>
      <c r="F540" s="28" t="n"/>
      <c r="G540" s="28" t="n"/>
      <c r="H540" s="1" t="n"/>
    </row>
    <row r="541">
      <c r="A541" s="1" t="n"/>
      <c r="B541" s="26" t="n"/>
      <c r="C541" s="27" t="n"/>
      <c r="D541" s="27" t="n"/>
      <c r="E541" s="21">
        <f>IF(OR(C541="",D541=""),"",ROUND(MOD(D541-C541,1)*24,2))</f>
        <v/>
      </c>
      <c r="F541" s="28" t="n"/>
      <c r="G541" s="28" t="n"/>
      <c r="H541" s="1" t="n"/>
    </row>
    <row r="542">
      <c r="A542" s="1" t="n"/>
      <c r="B542" s="26" t="n"/>
      <c r="C542" s="27" t="n"/>
      <c r="D542" s="27" t="n"/>
      <c r="E542" s="21">
        <f>IF(OR(C542="",D542=""),"",ROUND(MOD(D542-C542,1)*24,2))</f>
        <v/>
      </c>
      <c r="F542" s="28" t="n"/>
      <c r="G542" s="28" t="n"/>
      <c r="H542" s="1" t="n"/>
    </row>
    <row r="543">
      <c r="A543" s="1" t="n"/>
      <c r="B543" s="26" t="n"/>
      <c r="C543" s="27" t="n"/>
      <c r="D543" s="27" t="n"/>
      <c r="E543" s="21">
        <f>IF(OR(C543="",D543=""),"",ROUND(MOD(D543-C543,1)*24,2))</f>
        <v/>
      </c>
      <c r="F543" s="28" t="n"/>
      <c r="G543" s="28" t="n"/>
      <c r="H543" s="1" t="n"/>
    </row>
    <row r="544">
      <c r="A544" s="1" t="n"/>
      <c r="B544" s="26" t="n"/>
      <c r="C544" s="27" t="n"/>
      <c r="D544" s="27" t="n"/>
      <c r="E544" s="21">
        <f>IF(OR(C544="",D544=""),"",ROUND(MOD(D544-C544,1)*24,2))</f>
        <v/>
      </c>
      <c r="F544" s="28" t="n"/>
      <c r="G544" s="28" t="n"/>
      <c r="H544" s="1" t="n"/>
    </row>
    <row r="545">
      <c r="A545" s="1" t="n"/>
      <c r="B545" s="26" t="n"/>
      <c r="C545" s="27" t="n"/>
      <c r="D545" s="27" t="n"/>
      <c r="E545" s="21">
        <f>IF(OR(C545="",D545=""),"",ROUND(MOD(D545-C545,1)*24,2))</f>
        <v/>
      </c>
      <c r="F545" s="28" t="n"/>
      <c r="G545" s="28" t="n"/>
      <c r="H545" s="1" t="n"/>
    </row>
    <row r="546">
      <c r="A546" s="1" t="n"/>
      <c r="B546" s="26" t="n"/>
      <c r="C546" s="27" t="n"/>
      <c r="D546" s="27" t="n"/>
      <c r="E546" s="21">
        <f>IF(OR(C546="",D546=""),"",ROUND(MOD(D546-C546,1)*24,2))</f>
        <v/>
      </c>
      <c r="F546" s="28" t="n"/>
      <c r="G546" s="28" t="n"/>
      <c r="H546" s="1" t="n"/>
    </row>
    <row r="547">
      <c r="A547" s="1" t="n"/>
      <c r="B547" s="26" t="n"/>
      <c r="C547" s="27" t="n"/>
      <c r="D547" s="27" t="n"/>
      <c r="E547" s="21">
        <f>IF(OR(C547="",D547=""),"",ROUND(MOD(D547-C547,1)*24,2))</f>
        <v/>
      </c>
      <c r="F547" s="28" t="n"/>
      <c r="G547" s="28" t="n"/>
      <c r="H547" s="1" t="n"/>
    </row>
    <row r="548">
      <c r="A548" s="1" t="n"/>
      <c r="B548" s="26" t="n"/>
      <c r="C548" s="27" t="n"/>
      <c r="D548" s="27" t="n"/>
      <c r="E548" s="21">
        <f>IF(OR(C548="",D548=""),"",ROUND(MOD(D548-C548,1)*24,2))</f>
        <v/>
      </c>
      <c r="F548" s="28" t="n"/>
      <c r="G548" s="28" t="n"/>
      <c r="H548" s="1" t="n"/>
    </row>
    <row r="549">
      <c r="A549" s="1" t="n"/>
      <c r="B549" s="26" t="n"/>
      <c r="C549" s="27" t="n"/>
      <c r="D549" s="27" t="n"/>
      <c r="E549" s="21">
        <f>IF(OR(C549="",D549=""),"",ROUND(MOD(D549-C549,1)*24,2))</f>
        <v/>
      </c>
      <c r="F549" s="28" t="n"/>
      <c r="G549" s="28" t="n"/>
      <c r="H549" s="1" t="n"/>
    </row>
    <row r="550">
      <c r="A550" s="1" t="n"/>
      <c r="B550" s="26" t="n"/>
      <c r="C550" s="27" t="n"/>
      <c r="D550" s="27" t="n"/>
      <c r="E550" s="21">
        <f>IF(OR(C550="",D550=""),"",ROUND(MOD(D550-C550,1)*24,2))</f>
        <v/>
      </c>
      <c r="F550" s="28" t="n"/>
      <c r="G550" s="28" t="n"/>
      <c r="H550" s="1" t="n"/>
    </row>
    <row r="551">
      <c r="A551" s="1" t="n"/>
      <c r="B551" s="26" t="n"/>
      <c r="C551" s="27" t="n"/>
      <c r="D551" s="27" t="n"/>
      <c r="E551" s="21">
        <f>IF(OR(C551="",D551=""),"",ROUND(MOD(D551-C551,1)*24,2))</f>
        <v/>
      </c>
      <c r="F551" s="28" t="n"/>
      <c r="G551" s="28" t="n"/>
      <c r="H551" s="1" t="n"/>
    </row>
    <row r="552">
      <c r="A552" s="1" t="n"/>
      <c r="B552" s="26" t="n"/>
      <c r="C552" s="27" t="n"/>
      <c r="D552" s="27" t="n"/>
      <c r="E552" s="21">
        <f>IF(OR(C552="",D552=""),"",ROUND(MOD(D552-C552,1)*24,2))</f>
        <v/>
      </c>
      <c r="F552" s="28" t="n"/>
      <c r="G552" s="28" t="n"/>
      <c r="H552" s="1" t="n"/>
    </row>
    <row r="553">
      <c r="A553" s="1" t="n"/>
      <c r="B553" s="26" t="n"/>
      <c r="C553" s="27" t="n"/>
      <c r="D553" s="27" t="n"/>
      <c r="E553" s="21">
        <f>IF(OR(C553="",D553=""),"",ROUND(MOD(D553-C553,1)*24,2))</f>
        <v/>
      </c>
      <c r="F553" s="28" t="n"/>
      <c r="G553" s="28" t="n"/>
      <c r="H553" s="1" t="n"/>
    </row>
    <row r="554">
      <c r="A554" s="1" t="n"/>
      <c r="B554" s="26" t="n"/>
      <c r="C554" s="27" t="n"/>
      <c r="D554" s="27" t="n"/>
      <c r="E554" s="21">
        <f>IF(OR(C554="",D554=""),"",ROUND(MOD(D554-C554,1)*24,2))</f>
        <v/>
      </c>
      <c r="F554" s="28" t="n"/>
      <c r="G554" s="28" t="n"/>
      <c r="H554" s="1" t="n"/>
    </row>
    <row r="555">
      <c r="A555" s="1" t="n"/>
      <c r="B555" s="26" t="n"/>
      <c r="C555" s="27" t="n"/>
      <c r="D555" s="27" t="n"/>
      <c r="E555" s="21">
        <f>IF(OR(C555="",D555=""),"",ROUND(MOD(D555-C555,1)*24,2))</f>
        <v/>
      </c>
      <c r="F555" s="28" t="n"/>
      <c r="G555" s="28" t="n"/>
      <c r="H555" s="1" t="n"/>
    </row>
    <row r="556">
      <c r="A556" s="1" t="n"/>
      <c r="B556" s="26" t="n"/>
      <c r="C556" s="27" t="n"/>
      <c r="D556" s="27" t="n"/>
      <c r="E556" s="21">
        <f>IF(OR(C556="",D556=""),"",ROUND(MOD(D556-C556,1)*24,2))</f>
        <v/>
      </c>
      <c r="F556" s="28" t="n"/>
      <c r="G556" s="28" t="n"/>
      <c r="H556" s="1" t="n"/>
    </row>
    <row r="557">
      <c r="A557" s="1" t="n"/>
      <c r="B557" s="26" t="n"/>
      <c r="C557" s="27" t="n"/>
      <c r="D557" s="27" t="n"/>
      <c r="E557" s="21">
        <f>IF(OR(C557="",D557=""),"",ROUND(MOD(D557-C557,1)*24,2))</f>
        <v/>
      </c>
      <c r="F557" s="28" t="n"/>
      <c r="G557" s="28" t="n"/>
      <c r="H557" s="1" t="n"/>
    </row>
    <row r="558">
      <c r="A558" s="1" t="n"/>
      <c r="B558" s="26" t="n"/>
      <c r="C558" s="27" t="n"/>
      <c r="D558" s="27" t="n"/>
      <c r="E558" s="21">
        <f>IF(OR(C558="",D558=""),"",ROUND(MOD(D558-C558,1)*24,2))</f>
        <v/>
      </c>
      <c r="F558" s="28" t="n"/>
      <c r="G558" s="28" t="n"/>
      <c r="H558" s="1" t="n"/>
    </row>
    <row r="559">
      <c r="A559" s="1" t="n"/>
      <c r="B559" s="26" t="n"/>
      <c r="C559" s="27" t="n"/>
      <c r="D559" s="27" t="n"/>
      <c r="E559" s="21">
        <f>IF(OR(C559="",D559=""),"",ROUND(MOD(D559-C559,1)*24,2))</f>
        <v/>
      </c>
      <c r="F559" s="28" t="n"/>
      <c r="G559" s="28" t="n"/>
      <c r="H559" s="1" t="n"/>
    </row>
    <row r="560">
      <c r="A560" s="1" t="n"/>
      <c r="B560" s="26" t="n"/>
      <c r="C560" s="27" t="n"/>
      <c r="D560" s="27" t="n"/>
      <c r="E560" s="21">
        <f>IF(OR(C560="",D560=""),"",ROUND(MOD(D560-C560,1)*24,2))</f>
        <v/>
      </c>
      <c r="F560" s="28" t="n"/>
      <c r="G560" s="28" t="n"/>
      <c r="H560" s="1" t="n"/>
    </row>
    <row r="561">
      <c r="A561" s="1" t="n"/>
      <c r="B561" s="26" t="n"/>
      <c r="C561" s="27" t="n"/>
      <c r="D561" s="27" t="n"/>
      <c r="E561" s="21">
        <f>IF(OR(C561="",D561=""),"",ROUND(MOD(D561-C561,1)*24,2))</f>
        <v/>
      </c>
      <c r="F561" s="28" t="n"/>
      <c r="G561" s="28" t="n"/>
      <c r="H561" s="1" t="n"/>
    </row>
    <row r="562">
      <c r="A562" s="1" t="n"/>
      <c r="B562" s="26" t="n"/>
      <c r="C562" s="27" t="n"/>
      <c r="D562" s="27" t="n"/>
      <c r="E562" s="21">
        <f>IF(OR(C562="",D562=""),"",ROUND(MOD(D562-C562,1)*24,2))</f>
        <v/>
      </c>
      <c r="F562" s="28" t="n"/>
      <c r="G562" s="28" t="n"/>
      <c r="H562" s="1" t="n"/>
    </row>
    <row r="563">
      <c r="A563" s="1" t="n"/>
      <c r="B563" s="26" t="n"/>
      <c r="C563" s="27" t="n"/>
      <c r="D563" s="27" t="n"/>
      <c r="E563" s="21">
        <f>IF(OR(C563="",D563=""),"",ROUND(MOD(D563-C563,1)*24,2))</f>
        <v/>
      </c>
      <c r="F563" s="28" t="n"/>
      <c r="G563" s="28" t="n"/>
      <c r="H563" s="1" t="n"/>
    </row>
    <row r="564">
      <c r="A564" s="1" t="n"/>
      <c r="B564" s="26" t="n"/>
      <c r="C564" s="27" t="n"/>
      <c r="D564" s="27" t="n"/>
      <c r="E564" s="21">
        <f>IF(OR(C564="",D564=""),"",ROUND(MOD(D564-C564,1)*24,2))</f>
        <v/>
      </c>
      <c r="F564" s="28" t="n"/>
      <c r="G564" s="28" t="n"/>
      <c r="H564" s="1" t="n"/>
    </row>
    <row r="565">
      <c r="A565" s="1" t="n"/>
      <c r="B565" s="26" t="n"/>
      <c r="C565" s="27" t="n"/>
      <c r="D565" s="27" t="n"/>
      <c r="E565" s="21">
        <f>IF(OR(C565="",D565=""),"",ROUND(MOD(D565-C565,1)*24,2))</f>
        <v/>
      </c>
      <c r="F565" s="28" t="n"/>
      <c r="G565" s="28" t="n"/>
      <c r="H565" s="1" t="n"/>
    </row>
    <row r="566">
      <c r="A566" s="1" t="n"/>
      <c r="B566" s="26" t="n"/>
      <c r="C566" s="27" t="n"/>
      <c r="D566" s="27" t="n"/>
      <c r="E566" s="21">
        <f>IF(OR(C566="",D566=""),"",ROUND(MOD(D566-C566,1)*24,2))</f>
        <v/>
      </c>
      <c r="F566" s="28" t="n"/>
      <c r="G566" s="28" t="n"/>
      <c r="H566" s="1" t="n"/>
    </row>
    <row r="567">
      <c r="A567" s="1" t="n"/>
      <c r="B567" s="26" t="n"/>
      <c r="C567" s="27" t="n"/>
      <c r="D567" s="27" t="n"/>
      <c r="E567" s="21">
        <f>IF(OR(C567="",D567=""),"",ROUND(MOD(D567-C567,1)*24,2))</f>
        <v/>
      </c>
      <c r="F567" s="28" t="n"/>
      <c r="G567" s="28" t="n"/>
      <c r="H567" s="1" t="n"/>
    </row>
    <row r="568">
      <c r="A568" s="1" t="n"/>
      <c r="B568" s="26" t="n"/>
      <c r="C568" s="27" t="n"/>
      <c r="D568" s="27" t="n"/>
      <c r="E568" s="21">
        <f>IF(OR(C568="",D568=""),"",ROUND(MOD(D568-C568,1)*24,2))</f>
        <v/>
      </c>
      <c r="F568" s="28" t="n"/>
      <c r="G568" s="28" t="n"/>
      <c r="H568" s="1" t="n"/>
    </row>
    <row r="569">
      <c r="A569" s="1" t="n"/>
      <c r="B569" s="26" t="n"/>
      <c r="C569" s="27" t="n"/>
      <c r="D569" s="27" t="n"/>
      <c r="E569" s="21">
        <f>IF(OR(C569="",D569=""),"",ROUND(MOD(D569-C569,1)*24,2))</f>
        <v/>
      </c>
      <c r="F569" s="28" t="n"/>
      <c r="G569" s="28" t="n"/>
      <c r="H569" s="1" t="n"/>
    </row>
    <row r="570">
      <c r="A570" s="1" t="n"/>
      <c r="B570" s="26" t="n"/>
      <c r="C570" s="27" t="n"/>
      <c r="D570" s="27" t="n"/>
      <c r="E570" s="21">
        <f>IF(OR(C570="",D570=""),"",ROUND(MOD(D570-C570,1)*24,2))</f>
        <v/>
      </c>
      <c r="F570" s="28" t="n"/>
      <c r="G570" s="28" t="n"/>
      <c r="H570" s="1" t="n"/>
    </row>
    <row r="571">
      <c r="A571" s="1" t="n"/>
      <c r="B571" s="26" t="n"/>
      <c r="C571" s="27" t="n"/>
      <c r="D571" s="27" t="n"/>
      <c r="E571" s="21">
        <f>IF(OR(C571="",D571=""),"",ROUND(MOD(D571-C571,1)*24,2))</f>
        <v/>
      </c>
      <c r="F571" s="28" t="n"/>
      <c r="G571" s="28" t="n"/>
      <c r="H571" s="1" t="n"/>
    </row>
    <row r="572">
      <c r="A572" s="1" t="n"/>
      <c r="B572" s="26" t="n"/>
      <c r="C572" s="27" t="n"/>
      <c r="D572" s="27" t="n"/>
      <c r="E572" s="21">
        <f>IF(OR(C572="",D572=""),"",ROUND(MOD(D572-C572,1)*24,2))</f>
        <v/>
      </c>
      <c r="F572" s="28" t="n"/>
      <c r="G572" s="28" t="n"/>
      <c r="H572" s="1" t="n"/>
    </row>
    <row r="573">
      <c r="A573" s="1" t="n"/>
      <c r="B573" s="26" t="n"/>
      <c r="C573" s="27" t="n"/>
      <c r="D573" s="27" t="n"/>
      <c r="E573" s="21">
        <f>IF(OR(C573="",D573=""),"",ROUND(MOD(D573-C573,1)*24,2))</f>
        <v/>
      </c>
      <c r="F573" s="28" t="n"/>
      <c r="G573" s="28" t="n"/>
      <c r="H573" s="1" t="n"/>
    </row>
    <row r="574">
      <c r="A574" s="1" t="n"/>
      <c r="B574" s="26" t="n"/>
      <c r="C574" s="27" t="n"/>
      <c r="D574" s="27" t="n"/>
      <c r="E574" s="21">
        <f>IF(OR(C574="",D574=""),"",ROUND(MOD(D574-C574,1)*24,2))</f>
        <v/>
      </c>
      <c r="F574" s="28" t="n"/>
      <c r="G574" s="28" t="n"/>
      <c r="H574" s="1" t="n"/>
    </row>
    <row r="575">
      <c r="A575" s="1" t="n"/>
      <c r="B575" s="26" t="n"/>
      <c r="C575" s="27" t="n"/>
      <c r="D575" s="27" t="n"/>
      <c r="E575" s="21">
        <f>IF(OR(C575="",D575=""),"",ROUND(MOD(D575-C575,1)*24,2))</f>
        <v/>
      </c>
      <c r="F575" s="28" t="n"/>
      <c r="G575" s="28" t="n"/>
      <c r="H575" s="1" t="n"/>
    </row>
    <row r="576">
      <c r="A576" s="1" t="n"/>
      <c r="B576" s="26" t="n"/>
      <c r="C576" s="27" t="n"/>
      <c r="D576" s="27" t="n"/>
      <c r="E576" s="21">
        <f>IF(OR(C576="",D576=""),"",ROUND(MOD(D576-C576,1)*24,2))</f>
        <v/>
      </c>
      <c r="F576" s="28" t="n"/>
      <c r="G576" s="28" t="n"/>
      <c r="H576" s="1" t="n"/>
    </row>
    <row r="577">
      <c r="A577" s="1" t="n"/>
      <c r="B577" s="26" t="n"/>
      <c r="C577" s="27" t="n"/>
      <c r="D577" s="27" t="n"/>
      <c r="E577" s="21">
        <f>IF(OR(C577="",D577=""),"",ROUND(MOD(D577-C577,1)*24,2))</f>
        <v/>
      </c>
      <c r="F577" s="28" t="n"/>
      <c r="G577" s="28" t="n"/>
      <c r="H577" s="1" t="n"/>
    </row>
    <row r="578">
      <c r="A578" s="1" t="n"/>
      <c r="B578" s="26" t="n"/>
      <c r="C578" s="27" t="n"/>
      <c r="D578" s="27" t="n"/>
      <c r="E578" s="21">
        <f>IF(OR(C578="",D578=""),"",ROUND(MOD(D578-C578,1)*24,2))</f>
        <v/>
      </c>
      <c r="F578" s="28" t="n"/>
      <c r="G578" s="28" t="n"/>
      <c r="H578" s="1" t="n"/>
    </row>
    <row r="579">
      <c r="A579" s="1" t="n"/>
      <c r="B579" s="26" t="n"/>
      <c r="C579" s="27" t="n"/>
      <c r="D579" s="27" t="n"/>
      <c r="E579" s="21">
        <f>IF(OR(C579="",D579=""),"",ROUND(MOD(D579-C579,1)*24,2))</f>
        <v/>
      </c>
      <c r="F579" s="28" t="n"/>
      <c r="G579" s="28" t="n"/>
      <c r="H579" s="1" t="n"/>
    </row>
    <row r="580">
      <c r="A580" s="1" t="n"/>
      <c r="B580" s="26" t="n"/>
      <c r="C580" s="27" t="n"/>
      <c r="D580" s="27" t="n"/>
      <c r="E580" s="21">
        <f>IF(OR(C580="",D580=""),"",ROUND(MOD(D580-C580,1)*24,2))</f>
        <v/>
      </c>
      <c r="F580" s="28" t="n"/>
      <c r="G580" s="28" t="n"/>
      <c r="H580" s="1" t="n"/>
    </row>
    <row r="581">
      <c r="A581" s="1" t="n"/>
      <c r="B581" s="26" t="n"/>
      <c r="C581" s="27" t="n"/>
      <c r="D581" s="27" t="n"/>
      <c r="E581" s="21">
        <f>IF(OR(C581="",D581=""),"",ROUND(MOD(D581-C581,1)*24,2))</f>
        <v/>
      </c>
      <c r="F581" s="28" t="n"/>
      <c r="G581" s="28" t="n"/>
      <c r="H581" s="1" t="n"/>
    </row>
    <row r="582">
      <c r="A582" s="1" t="n"/>
      <c r="B582" s="26" t="n"/>
      <c r="C582" s="27" t="n"/>
      <c r="D582" s="27" t="n"/>
      <c r="E582" s="21">
        <f>IF(OR(C582="",D582=""),"",ROUND(MOD(D582-C582,1)*24,2))</f>
        <v/>
      </c>
      <c r="F582" s="28" t="n"/>
      <c r="G582" s="28" t="n"/>
      <c r="H582" s="1" t="n"/>
    </row>
    <row r="583">
      <c r="A583" s="1" t="n"/>
      <c r="B583" s="26" t="n"/>
      <c r="C583" s="27" t="n"/>
      <c r="D583" s="27" t="n"/>
      <c r="E583" s="21">
        <f>IF(OR(C583="",D583=""),"",ROUND(MOD(D583-C583,1)*24,2))</f>
        <v/>
      </c>
      <c r="F583" s="28" t="n"/>
      <c r="G583" s="28" t="n"/>
      <c r="H583" s="1" t="n"/>
    </row>
    <row r="584">
      <c r="A584" s="1" t="n"/>
      <c r="B584" s="26" t="n"/>
      <c r="C584" s="27" t="n"/>
      <c r="D584" s="27" t="n"/>
      <c r="E584" s="21">
        <f>IF(OR(C584="",D584=""),"",ROUND(MOD(D584-C584,1)*24,2))</f>
        <v/>
      </c>
      <c r="F584" s="28" t="n"/>
      <c r="G584" s="28" t="n"/>
      <c r="H584" s="1" t="n"/>
    </row>
    <row r="585">
      <c r="A585" s="1" t="n"/>
      <c r="B585" s="26" t="n"/>
      <c r="C585" s="27" t="n"/>
      <c r="D585" s="27" t="n"/>
      <c r="E585" s="21">
        <f>IF(OR(C585="",D585=""),"",ROUND(MOD(D585-C585,1)*24,2))</f>
        <v/>
      </c>
      <c r="F585" s="28" t="n"/>
      <c r="G585" s="28" t="n"/>
      <c r="H585" s="1" t="n"/>
    </row>
    <row r="586">
      <c r="A586" s="1" t="n"/>
      <c r="B586" s="26" t="n"/>
      <c r="C586" s="27" t="n"/>
      <c r="D586" s="27" t="n"/>
      <c r="E586" s="21">
        <f>IF(OR(C586="",D586=""),"",ROUND(MOD(D586-C586,1)*24,2))</f>
        <v/>
      </c>
      <c r="F586" s="28" t="n"/>
      <c r="G586" s="28" t="n"/>
      <c r="H586" s="1" t="n"/>
    </row>
    <row r="587">
      <c r="A587" s="1" t="n"/>
      <c r="B587" s="26" t="n"/>
      <c r="C587" s="27" t="n"/>
      <c r="D587" s="27" t="n"/>
      <c r="E587" s="21">
        <f>IF(OR(C587="",D587=""),"",ROUND(MOD(D587-C587,1)*24,2))</f>
        <v/>
      </c>
      <c r="F587" s="28" t="n"/>
      <c r="G587" s="28" t="n"/>
      <c r="H587" s="1" t="n"/>
    </row>
    <row r="588">
      <c r="A588" s="1" t="n"/>
      <c r="B588" s="26" t="n"/>
      <c r="C588" s="27" t="n"/>
      <c r="D588" s="27" t="n"/>
      <c r="E588" s="21">
        <f>IF(OR(C588="",D588=""),"",ROUND(MOD(D588-C588,1)*24,2))</f>
        <v/>
      </c>
      <c r="F588" s="28" t="n"/>
      <c r="G588" s="28" t="n"/>
      <c r="H588" s="1" t="n"/>
    </row>
    <row r="589">
      <c r="A589" s="1" t="n"/>
      <c r="B589" s="26" t="n"/>
      <c r="C589" s="27" t="n"/>
      <c r="D589" s="27" t="n"/>
      <c r="E589" s="21">
        <f>IF(OR(C589="",D589=""),"",ROUND(MOD(D589-C589,1)*24,2))</f>
        <v/>
      </c>
      <c r="F589" s="28" t="n"/>
      <c r="G589" s="28" t="n"/>
      <c r="H589" s="1" t="n"/>
    </row>
    <row r="590">
      <c r="A590" s="1" t="n"/>
      <c r="B590" s="26" t="n"/>
      <c r="C590" s="27" t="n"/>
      <c r="D590" s="27" t="n"/>
      <c r="E590" s="21">
        <f>IF(OR(C590="",D590=""),"",ROUND(MOD(D590-C590,1)*24,2))</f>
        <v/>
      </c>
      <c r="F590" s="28" t="n"/>
      <c r="G590" s="28" t="n"/>
      <c r="H590" s="1" t="n"/>
    </row>
    <row r="591">
      <c r="A591" s="1" t="n"/>
      <c r="B591" s="26" t="n"/>
      <c r="C591" s="27" t="n"/>
      <c r="D591" s="27" t="n"/>
      <c r="E591" s="21">
        <f>IF(OR(C591="",D591=""),"",ROUND(MOD(D591-C591,1)*24,2))</f>
        <v/>
      </c>
      <c r="F591" s="28" t="n"/>
      <c r="G591" s="28" t="n"/>
      <c r="H591" s="1" t="n"/>
    </row>
    <row r="592">
      <c r="A592" s="1" t="n"/>
      <c r="B592" s="26" t="n"/>
      <c r="C592" s="27" t="n"/>
      <c r="D592" s="27" t="n"/>
      <c r="E592" s="21">
        <f>IF(OR(C592="",D592=""),"",ROUND(MOD(D592-C592,1)*24,2))</f>
        <v/>
      </c>
      <c r="F592" s="28" t="n"/>
      <c r="G592" s="28" t="n"/>
      <c r="H592" s="1" t="n"/>
    </row>
    <row r="593">
      <c r="A593" s="1" t="n"/>
      <c r="B593" s="26" t="n"/>
      <c r="C593" s="27" t="n"/>
      <c r="D593" s="27" t="n"/>
      <c r="E593" s="21">
        <f>IF(OR(C593="",D593=""),"",ROUND(MOD(D593-C593,1)*24,2))</f>
        <v/>
      </c>
      <c r="F593" s="28" t="n"/>
      <c r="G593" s="28" t="n"/>
      <c r="H593" s="1" t="n"/>
    </row>
    <row r="594">
      <c r="A594" s="1" t="n"/>
      <c r="B594" s="26" t="n"/>
      <c r="C594" s="27" t="n"/>
      <c r="D594" s="27" t="n"/>
      <c r="E594" s="21">
        <f>IF(OR(C594="",D594=""),"",ROUND(MOD(D594-C594,1)*24,2))</f>
        <v/>
      </c>
      <c r="F594" s="28" t="n"/>
      <c r="G594" s="28" t="n"/>
      <c r="H594" s="1" t="n"/>
    </row>
    <row r="595">
      <c r="A595" s="1" t="n"/>
      <c r="B595" s="26" t="n"/>
      <c r="C595" s="27" t="n"/>
      <c r="D595" s="27" t="n"/>
      <c r="E595" s="21">
        <f>IF(OR(C595="",D595=""),"",ROUND(MOD(D595-C595,1)*24,2))</f>
        <v/>
      </c>
      <c r="F595" s="28" t="n"/>
      <c r="G595" s="28" t="n"/>
      <c r="H595" s="1" t="n"/>
    </row>
    <row r="596">
      <c r="A596" s="1" t="n"/>
      <c r="B596" s="26" t="n"/>
      <c r="C596" s="27" t="n"/>
      <c r="D596" s="27" t="n"/>
      <c r="E596" s="21">
        <f>IF(OR(C596="",D596=""),"",ROUND(MOD(D596-C596,1)*24,2))</f>
        <v/>
      </c>
      <c r="F596" s="28" t="n"/>
      <c r="G596" s="28" t="n"/>
      <c r="H596" s="1" t="n"/>
    </row>
    <row r="597">
      <c r="A597" s="1" t="n"/>
      <c r="B597" s="26" t="n"/>
      <c r="C597" s="27" t="n"/>
      <c r="D597" s="27" t="n"/>
      <c r="E597" s="21">
        <f>IF(OR(C597="",D597=""),"",ROUND(MOD(D597-C597,1)*24,2))</f>
        <v/>
      </c>
      <c r="F597" s="28" t="n"/>
      <c r="G597" s="28" t="n"/>
      <c r="H597" s="1" t="n"/>
    </row>
    <row r="598">
      <c r="A598" s="1" t="n"/>
      <c r="B598" s="26" t="n"/>
      <c r="C598" s="27" t="n"/>
      <c r="D598" s="27" t="n"/>
      <c r="E598" s="21">
        <f>IF(OR(C598="",D598=""),"",ROUND(MOD(D598-C598,1)*24,2))</f>
        <v/>
      </c>
      <c r="F598" s="28" t="n"/>
      <c r="G598" s="28" t="n"/>
      <c r="H598" s="1" t="n"/>
    </row>
    <row r="599">
      <c r="A599" s="1" t="n"/>
      <c r="B599" s="26" t="n"/>
      <c r="C599" s="27" t="n"/>
      <c r="D599" s="27" t="n"/>
      <c r="E599" s="21">
        <f>IF(OR(C599="",D599=""),"",ROUND(MOD(D599-C599,1)*24,2))</f>
        <v/>
      </c>
      <c r="F599" s="28" t="n"/>
      <c r="G599" s="28" t="n"/>
      <c r="H599" s="1" t="n"/>
    </row>
    <row r="600">
      <c r="A600" s="1" t="n"/>
      <c r="B600" s="26" t="n"/>
      <c r="C600" s="27" t="n"/>
      <c r="D600" s="27" t="n"/>
      <c r="E600" s="21">
        <f>IF(OR(C600="",D600=""),"",ROUND(MOD(D600-C600,1)*24,2))</f>
        <v/>
      </c>
      <c r="F600" s="28" t="n"/>
      <c r="G600" s="28" t="n"/>
      <c r="H600" s="1" t="n"/>
    </row>
    <row r="601">
      <c r="A601" s="1" t="n"/>
      <c r="B601" s="26" t="n"/>
      <c r="C601" s="27" t="n"/>
      <c r="D601" s="27" t="n"/>
      <c r="E601" s="21">
        <f>IF(OR(C601="",D601=""),"",ROUND(MOD(D601-C601,1)*24,2))</f>
        <v/>
      </c>
      <c r="F601" s="28" t="n"/>
      <c r="G601" s="28" t="n"/>
      <c r="H601" s="1" t="n"/>
    </row>
    <row r="602">
      <c r="A602" s="1" t="n"/>
      <c r="B602" s="26" t="n"/>
      <c r="C602" s="27" t="n"/>
      <c r="D602" s="27" t="n"/>
      <c r="E602" s="21">
        <f>IF(OR(C602="",D602=""),"",ROUND(MOD(D602-C602,1)*24,2))</f>
        <v/>
      </c>
      <c r="F602" s="28" t="n"/>
      <c r="G602" s="28" t="n"/>
      <c r="H602" s="1" t="n"/>
    </row>
    <row r="603">
      <c r="A603" s="1" t="n"/>
      <c r="B603" s="26" t="n"/>
      <c r="C603" s="27" t="n"/>
      <c r="D603" s="27" t="n"/>
      <c r="E603" s="21">
        <f>IF(OR(C603="",D603=""),"",ROUND(MOD(D603-C603,1)*24,2))</f>
        <v/>
      </c>
      <c r="F603" s="28" t="n"/>
      <c r="G603" s="28" t="n"/>
      <c r="H603" s="1" t="n"/>
    </row>
    <row r="604">
      <c r="A604" s="1" t="n"/>
      <c r="B604" s="26" t="n"/>
      <c r="C604" s="27" t="n"/>
      <c r="D604" s="27" t="n"/>
      <c r="E604" s="21">
        <f>IF(OR(C604="",D604=""),"",ROUND(MOD(D604-C604,1)*24,2))</f>
        <v/>
      </c>
      <c r="F604" s="28" t="n"/>
      <c r="G604" s="28" t="n"/>
      <c r="H604" s="1" t="n"/>
    </row>
    <row r="605">
      <c r="A605" s="1" t="n"/>
      <c r="B605" s="26" t="n"/>
      <c r="C605" s="27" t="n"/>
      <c r="D605" s="27" t="n"/>
      <c r="E605" s="21">
        <f>IF(OR(C605="",D605=""),"",ROUND(MOD(D605-C605,1)*24,2))</f>
        <v/>
      </c>
      <c r="F605" s="28" t="n"/>
      <c r="G605" s="28" t="n"/>
      <c r="H605" s="1" t="n"/>
    </row>
    <row r="606">
      <c r="A606" s="1" t="n"/>
      <c r="B606" s="26" t="n"/>
      <c r="C606" s="27" t="n"/>
      <c r="D606" s="27" t="n"/>
      <c r="E606" s="21">
        <f>IF(OR(C606="",D606=""),"",ROUND(MOD(D606-C606,1)*24,2))</f>
        <v/>
      </c>
      <c r="F606" s="28" t="n"/>
      <c r="G606" s="28" t="n"/>
      <c r="H606" s="1" t="n"/>
    </row>
    <row r="607">
      <c r="A607" s="1" t="n"/>
      <c r="B607" s="26" t="n"/>
      <c r="C607" s="27" t="n"/>
      <c r="D607" s="27" t="n"/>
      <c r="E607" s="21">
        <f>IF(OR(C607="",D607=""),"",ROUND(MOD(D607-C607,1)*24,2))</f>
        <v/>
      </c>
      <c r="F607" s="28" t="n"/>
      <c r="G607" s="28" t="n"/>
      <c r="H607" s="1" t="n"/>
    </row>
    <row r="608">
      <c r="A608" s="1" t="n"/>
      <c r="B608" s="26" t="n"/>
      <c r="C608" s="27" t="n"/>
      <c r="D608" s="27" t="n"/>
      <c r="E608" s="21">
        <f>IF(OR(C608="",D608=""),"",ROUND(MOD(D608-C608,1)*24,2))</f>
        <v/>
      </c>
      <c r="F608" s="28" t="n"/>
      <c r="G608" s="28" t="n"/>
      <c r="H608" s="1" t="n"/>
    </row>
    <row r="609">
      <c r="A609" s="1" t="n"/>
      <c r="B609" s="26" t="n"/>
      <c r="C609" s="27" t="n"/>
      <c r="D609" s="27" t="n"/>
      <c r="E609" s="21">
        <f>IF(OR(C609="",D609=""),"",ROUND(MOD(D609-C609,1)*24,2))</f>
        <v/>
      </c>
      <c r="F609" s="28" t="n"/>
      <c r="G609" s="28" t="n"/>
      <c r="H609" s="1" t="n"/>
    </row>
    <row r="610">
      <c r="A610" s="1" t="n"/>
      <c r="B610" s="26" t="n"/>
      <c r="C610" s="27" t="n"/>
      <c r="D610" s="27" t="n"/>
      <c r="E610" s="21">
        <f>IF(OR(C610="",D610=""),"",ROUND(MOD(D610-C610,1)*24,2))</f>
        <v/>
      </c>
      <c r="F610" s="28" t="n"/>
      <c r="G610" s="28" t="n"/>
      <c r="H610" s="1" t="n"/>
    </row>
    <row r="611">
      <c r="A611" s="1" t="n"/>
      <c r="B611" s="26" t="n"/>
      <c r="C611" s="27" t="n"/>
      <c r="D611" s="27" t="n"/>
      <c r="E611" s="21">
        <f>IF(OR(C611="",D611=""),"",ROUND(MOD(D611-C611,1)*24,2))</f>
        <v/>
      </c>
      <c r="F611" s="28" t="n"/>
      <c r="G611" s="28" t="n"/>
      <c r="H611" s="1" t="n"/>
    </row>
    <row r="612">
      <c r="A612" s="1" t="n"/>
      <c r="B612" s="26" t="n"/>
      <c r="C612" s="27" t="n"/>
      <c r="D612" s="27" t="n"/>
      <c r="E612" s="21">
        <f>IF(OR(C612="",D612=""),"",ROUND(MOD(D612-C612,1)*24,2))</f>
        <v/>
      </c>
      <c r="F612" s="28" t="n"/>
      <c r="G612" s="28" t="n"/>
      <c r="H612" s="1" t="n"/>
    </row>
    <row r="613">
      <c r="A613" s="1" t="n"/>
      <c r="B613" s="26" t="n"/>
      <c r="C613" s="27" t="n"/>
      <c r="D613" s="27" t="n"/>
      <c r="E613" s="21">
        <f>IF(OR(C613="",D613=""),"",ROUND(MOD(D613-C613,1)*24,2))</f>
        <v/>
      </c>
      <c r="F613" s="28" t="n"/>
      <c r="G613" s="28" t="n"/>
      <c r="H613" s="1" t="n"/>
    </row>
    <row r="614">
      <c r="A614" s="1" t="n"/>
      <c r="B614" s="26" t="n"/>
      <c r="C614" s="27" t="n"/>
      <c r="D614" s="27" t="n"/>
      <c r="E614" s="21">
        <f>IF(OR(C614="",D614=""),"",ROUND(MOD(D614-C614,1)*24,2))</f>
        <v/>
      </c>
      <c r="F614" s="28" t="n"/>
      <c r="G614" s="28" t="n"/>
      <c r="H614" s="1" t="n"/>
    </row>
    <row r="615">
      <c r="A615" s="1" t="n"/>
      <c r="B615" s="26" t="n"/>
      <c r="C615" s="27" t="n"/>
      <c r="D615" s="27" t="n"/>
      <c r="E615" s="21">
        <f>IF(OR(C615="",D615=""),"",ROUND(MOD(D615-C615,1)*24,2))</f>
        <v/>
      </c>
      <c r="F615" s="28" t="n"/>
      <c r="G615" s="28" t="n"/>
      <c r="H615" s="1" t="n"/>
    </row>
    <row r="616">
      <c r="A616" s="1" t="n"/>
      <c r="B616" s="26" t="n"/>
      <c r="C616" s="27" t="n"/>
      <c r="D616" s="27" t="n"/>
      <c r="E616" s="21">
        <f>IF(OR(C616="",D616=""),"",ROUND(MOD(D616-C616,1)*24,2))</f>
        <v/>
      </c>
      <c r="F616" s="28" t="n"/>
      <c r="G616" s="28" t="n"/>
      <c r="H616" s="1" t="n"/>
    </row>
    <row r="617">
      <c r="A617" s="1" t="n"/>
      <c r="B617" s="26" t="n"/>
      <c r="C617" s="27" t="n"/>
      <c r="D617" s="27" t="n"/>
      <c r="E617" s="21">
        <f>IF(OR(C617="",D617=""),"",ROUND(MOD(D617-C617,1)*24,2))</f>
        <v/>
      </c>
      <c r="F617" s="28" t="n"/>
      <c r="G617" s="28" t="n"/>
      <c r="H617" s="1" t="n"/>
    </row>
    <row r="618">
      <c r="A618" s="1" t="n"/>
      <c r="B618" s="26" t="n"/>
      <c r="C618" s="27" t="n"/>
      <c r="D618" s="27" t="n"/>
      <c r="E618" s="21">
        <f>IF(OR(C618="",D618=""),"",ROUND(MOD(D618-C618,1)*24,2))</f>
        <v/>
      </c>
      <c r="F618" s="28" t="n"/>
      <c r="G618" s="28" t="n"/>
      <c r="H618" s="1" t="n"/>
    </row>
    <row r="619">
      <c r="A619" s="1" t="n"/>
      <c r="B619" s="26" t="n"/>
      <c r="C619" s="27" t="n"/>
      <c r="D619" s="27" t="n"/>
      <c r="E619" s="21">
        <f>IF(OR(C619="",D619=""),"",ROUND(MOD(D619-C619,1)*24,2))</f>
        <v/>
      </c>
      <c r="F619" s="28" t="n"/>
      <c r="G619" s="28" t="n"/>
      <c r="H619" s="1" t="n"/>
    </row>
    <row r="620">
      <c r="A620" s="1" t="n"/>
      <c r="B620" s="26" t="n"/>
      <c r="C620" s="27" t="n"/>
      <c r="D620" s="27" t="n"/>
      <c r="E620" s="21">
        <f>IF(OR(C620="",D620=""),"",ROUND(MOD(D620-C620,1)*24,2))</f>
        <v/>
      </c>
      <c r="F620" s="28" t="n"/>
      <c r="G620" s="28" t="n"/>
      <c r="H620" s="1" t="n"/>
    </row>
    <row r="621">
      <c r="A621" s="1" t="n"/>
      <c r="B621" s="26" t="n"/>
      <c r="C621" s="27" t="n"/>
      <c r="D621" s="27" t="n"/>
      <c r="E621" s="21">
        <f>IF(OR(C621="",D621=""),"",ROUND(MOD(D621-C621,1)*24,2))</f>
        <v/>
      </c>
      <c r="F621" s="28" t="n"/>
      <c r="G621" s="28" t="n"/>
      <c r="H621" s="1" t="n"/>
    </row>
    <row r="622">
      <c r="A622" s="1" t="n"/>
      <c r="B622" s="26" t="n"/>
      <c r="C622" s="27" t="n"/>
      <c r="D622" s="27" t="n"/>
      <c r="E622" s="21">
        <f>IF(OR(C622="",D622=""),"",ROUND(MOD(D622-C622,1)*24,2))</f>
        <v/>
      </c>
      <c r="F622" s="28" t="n"/>
      <c r="G622" s="28" t="n"/>
      <c r="H622" s="1" t="n"/>
    </row>
    <row r="623">
      <c r="A623" s="1" t="n"/>
      <c r="B623" s="26" t="n"/>
      <c r="C623" s="27" t="n"/>
      <c r="D623" s="27" t="n"/>
      <c r="E623" s="21">
        <f>IF(OR(C623="",D623=""),"",ROUND(MOD(D623-C623,1)*24,2))</f>
        <v/>
      </c>
      <c r="F623" s="28" t="n"/>
      <c r="G623" s="28" t="n"/>
      <c r="H623" s="1" t="n"/>
    </row>
    <row r="624">
      <c r="A624" s="1" t="n"/>
      <c r="B624" s="26" t="n"/>
      <c r="C624" s="27" t="n"/>
      <c r="D624" s="27" t="n"/>
      <c r="E624" s="21">
        <f>IF(OR(C624="",D624=""),"",ROUND(MOD(D624-C624,1)*24,2))</f>
        <v/>
      </c>
      <c r="F624" s="28" t="n"/>
      <c r="G624" s="28" t="n"/>
      <c r="H624" s="1" t="n"/>
    </row>
    <row r="625">
      <c r="A625" s="1" t="n"/>
      <c r="B625" s="26" t="n"/>
      <c r="C625" s="27" t="n"/>
      <c r="D625" s="27" t="n"/>
      <c r="E625" s="21">
        <f>IF(OR(C625="",D625=""),"",ROUND(MOD(D625-C625,1)*24,2))</f>
        <v/>
      </c>
      <c r="F625" s="28" t="n"/>
      <c r="G625" s="28" t="n"/>
      <c r="H625" s="1" t="n"/>
    </row>
    <row r="626">
      <c r="A626" s="1" t="n"/>
      <c r="B626" s="26" t="n"/>
      <c r="C626" s="27" t="n"/>
      <c r="D626" s="27" t="n"/>
      <c r="E626" s="21">
        <f>IF(OR(C626="",D626=""),"",ROUND(MOD(D626-C626,1)*24,2))</f>
        <v/>
      </c>
      <c r="F626" s="28" t="n"/>
      <c r="G626" s="28" t="n"/>
      <c r="H626" s="1" t="n"/>
    </row>
    <row r="627">
      <c r="A627" s="1" t="n"/>
      <c r="B627" s="26" t="n"/>
      <c r="C627" s="27" t="n"/>
      <c r="D627" s="27" t="n"/>
      <c r="E627" s="21">
        <f>IF(OR(C627="",D627=""),"",ROUND(MOD(D627-C627,1)*24,2))</f>
        <v/>
      </c>
      <c r="F627" s="28" t="n"/>
      <c r="G627" s="28" t="n"/>
      <c r="H627" s="1" t="n"/>
    </row>
    <row r="628">
      <c r="A628" s="1" t="n"/>
      <c r="B628" s="26" t="n"/>
      <c r="C628" s="27" t="n"/>
      <c r="D628" s="27" t="n"/>
      <c r="E628" s="21">
        <f>IF(OR(C628="",D628=""),"",ROUND(MOD(D628-C628,1)*24,2))</f>
        <v/>
      </c>
      <c r="F628" s="28" t="n"/>
      <c r="G628" s="28" t="n"/>
      <c r="H628" s="1" t="n"/>
    </row>
    <row r="629">
      <c r="A629" s="1" t="n"/>
      <c r="B629" s="26" t="n"/>
      <c r="C629" s="27" t="n"/>
      <c r="D629" s="27" t="n"/>
      <c r="E629" s="21">
        <f>IF(OR(C629="",D629=""),"",ROUND(MOD(D629-C629,1)*24,2))</f>
        <v/>
      </c>
      <c r="F629" s="28" t="n"/>
      <c r="G629" s="28" t="n"/>
      <c r="H629" s="1" t="n"/>
    </row>
    <row r="630">
      <c r="A630" s="1" t="n"/>
      <c r="B630" s="26" t="n"/>
      <c r="C630" s="27" t="n"/>
      <c r="D630" s="27" t="n"/>
      <c r="E630" s="21">
        <f>IF(OR(C630="",D630=""),"",ROUND(MOD(D630-C630,1)*24,2))</f>
        <v/>
      </c>
      <c r="F630" s="28" t="n"/>
      <c r="G630" s="28" t="n"/>
      <c r="H630" s="1" t="n"/>
    </row>
    <row r="631">
      <c r="A631" s="1" t="n"/>
      <c r="B631" s="26" t="n"/>
      <c r="C631" s="27" t="n"/>
      <c r="D631" s="27" t="n"/>
      <c r="E631" s="21">
        <f>IF(OR(C631="",D631=""),"",ROUND(MOD(D631-C631,1)*24,2))</f>
        <v/>
      </c>
      <c r="F631" s="28" t="n"/>
      <c r="G631" s="28" t="n"/>
      <c r="H631" s="1" t="n"/>
    </row>
    <row r="632">
      <c r="A632" s="1" t="n"/>
      <c r="B632" s="26" t="n"/>
      <c r="C632" s="27" t="n"/>
      <c r="D632" s="27" t="n"/>
      <c r="E632" s="21">
        <f>IF(OR(C632="",D632=""),"",ROUND(MOD(D632-C632,1)*24,2))</f>
        <v/>
      </c>
      <c r="F632" s="28" t="n"/>
      <c r="G632" s="28" t="n"/>
      <c r="H632" s="1" t="n"/>
    </row>
    <row r="633">
      <c r="A633" s="1" t="n"/>
      <c r="B633" s="26" t="n"/>
      <c r="C633" s="27" t="n"/>
      <c r="D633" s="27" t="n"/>
      <c r="E633" s="21">
        <f>IF(OR(C633="",D633=""),"",ROUND(MOD(D633-C633,1)*24,2))</f>
        <v/>
      </c>
      <c r="F633" s="28" t="n"/>
      <c r="G633" s="28" t="n"/>
      <c r="H633" s="1" t="n"/>
    </row>
    <row r="634">
      <c r="A634" s="1" t="n"/>
      <c r="B634" s="26" t="n"/>
      <c r="C634" s="27" t="n"/>
      <c r="D634" s="27" t="n"/>
      <c r="E634" s="21">
        <f>IF(OR(C634="",D634=""),"",ROUND(MOD(D634-C634,1)*24,2))</f>
        <v/>
      </c>
      <c r="F634" s="28" t="n"/>
      <c r="G634" s="28" t="n"/>
      <c r="H634" s="1" t="n"/>
    </row>
    <row r="635">
      <c r="A635" s="1" t="n"/>
      <c r="B635" s="26" t="n"/>
      <c r="C635" s="27" t="n"/>
      <c r="D635" s="27" t="n"/>
      <c r="E635" s="21">
        <f>IF(OR(C635="",D635=""),"",ROUND(MOD(D635-C635,1)*24,2))</f>
        <v/>
      </c>
      <c r="F635" s="28" t="n"/>
      <c r="G635" s="28" t="n"/>
      <c r="H635" s="1" t="n"/>
    </row>
    <row r="636">
      <c r="A636" s="1" t="n"/>
      <c r="B636" s="26" t="n"/>
      <c r="C636" s="27" t="n"/>
      <c r="D636" s="27" t="n"/>
      <c r="E636" s="21">
        <f>IF(OR(C636="",D636=""),"",ROUND(MOD(D636-C636,1)*24,2))</f>
        <v/>
      </c>
      <c r="F636" s="28" t="n"/>
      <c r="G636" s="28" t="n"/>
      <c r="H636" s="1" t="n"/>
    </row>
    <row r="637">
      <c r="A637" s="1" t="n"/>
      <c r="B637" s="26" t="n"/>
      <c r="C637" s="27" t="n"/>
      <c r="D637" s="27" t="n"/>
      <c r="E637" s="21">
        <f>IF(OR(C637="",D637=""),"",ROUND(MOD(D637-C637,1)*24,2))</f>
        <v/>
      </c>
      <c r="F637" s="28" t="n"/>
      <c r="G637" s="28" t="n"/>
      <c r="H637" s="1" t="n"/>
    </row>
    <row r="638">
      <c r="A638" s="1" t="n"/>
      <c r="B638" s="26" t="n"/>
      <c r="C638" s="27" t="n"/>
      <c r="D638" s="27" t="n"/>
      <c r="E638" s="21">
        <f>IF(OR(C638="",D638=""),"",ROUND(MOD(D638-C638,1)*24,2))</f>
        <v/>
      </c>
      <c r="F638" s="28" t="n"/>
      <c r="G638" s="28" t="n"/>
      <c r="H638" s="1" t="n"/>
    </row>
    <row r="639">
      <c r="A639" s="1" t="n"/>
      <c r="B639" s="26" t="n"/>
      <c r="C639" s="27" t="n"/>
      <c r="D639" s="27" t="n"/>
      <c r="E639" s="21">
        <f>IF(OR(C639="",D639=""),"",ROUND(MOD(D639-C639,1)*24,2))</f>
        <v/>
      </c>
      <c r="F639" s="28" t="n"/>
      <c r="G639" s="28" t="n"/>
      <c r="H639" s="1" t="n"/>
    </row>
    <row r="640">
      <c r="A640" s="1" t="n"/>
      <c r="B640" s="26" t="n"/>
      <c r="C640" s="27" t="n"/>
      <c r="D640" s="27" t="n"/>
      <c r="E640" s="21">
        <f>IF(OR(C640="",D640=""),"",ROUND(MOD(D640-C640,1)*24,2))</f>
        <v/>
      </c>
      <c r="F640" s="28" t="n"/>
      <c r="G640" s="28" t="n"/>
      <c r="H640" s="1" t="n"/>
    </row>
    <row r="641">
      <c r="A641" s="1" t="n"/>
      <c r="B641" s="26" t="n"/>
      <c r="C641" s="27" t="n"/>
      <c r="D641" s="27" t="n"/>
      <c r="E641" s="21">
        <f>IF(OR(C641="",D641=""),"",ROUND(MOD(D641-C641,1)*24,2))</f>
        <v/>
      </c>
      <c r="F641" s="28" t="n"/>
      <c r="G641" s="28" t="n"/>
      <c r="H641" s="1" t="n"/>
    </row>
    <row r="642">
      <c r="A642" s="1" t="n"/>
      <c r="B642" s="26" t="n"/>
      <c r="C642" s="27" t="n"/>
      <c r="D642" s="27" t="n"/>
      <c r="E642" s="21">
        <f>IF(OR(C642="",D642=""),"",ROUND(MOD(D642-C642,1)*24,2))</f>
        <v/>
      </c>
      <c r="F642" s="28" t="n"/>
      <c r="G642" s="28" t="n"/>
      <c r="H642" s="1" t="n"/>
    </row>
    <row r="643">
      <c r="A643" s="1" t="n"/>
      <c r="B643" s="26" t="n"/>
      <c r="C643" s="27" t="n"/>
      <c r="D643" s="27" t="n"/>
      <c r="E643" s="21">
        <f>IF(OR(C643="",D643=""),"",ROUND(MOD(D643-C643,1)*24,2))</f>
        <v/>
      </c>
      <c r="F643" s="28" t="n"/>
      <c r="G643" s="28" t="n"/>
      <c r="H643" s="1" t="n"/>
    </row>
    <row r="644">
      <c r="A644" s="1" t="n"/>
      <c r="B644" s="26" t="n"/>
      <c r="C644" s="27" t="n"/>
      <c r="D644" s="27" t="n"/>
      <c r="E644" s="21">
        <f>IF(OR(C644="",D644=""),"",ROUND(MOD(D644-C644,1)*24,2))</f>
        <v/>
      </c>
      <c r="F644" s="28" t="n"/>
      <c r="G644" s="28" t="n"/>
      <c r="H644" s="1" t="n"/>
    </row>
    <row r="645">
      <c r="A645" s="1" t="n"/>
      <c r="B645" s="26" t="n"/>
      <c r="C645" s="27" t="n"/>
      <c r="D645" s="27" t="n"/>
      <c r="E645" s="21">
        <f>IF(OR(C645="",D645=""),"",ROUND(MOD(D645-C645,1)*24,2))</f>
        <v/>
      </c>
      <c r="F645" s="28" t="n"/>
      <c r="G645" s="28" t="n"/>
      <c r="H645" s="1" t="n"/>
    </row>
    <row r="646">
      <c r="A646" s="1" t="n"/>
      <c r="B646" s="26" t="n"/>
      <c r="C646" s="27" t="n"/>
      <c r="D646" s="27" t="n"/>
      <c r="E646" s="21">
        <f>IF(OR(C646="",D646=""),"",ROUND(MOD(D646-C646,1)*24,2))</f>
        <v/>
      </c>
      <c r="F646" s="28" t="n"/>
      <c r="G646" s="28" t="n"/>
      <c r="H646" s="1" t="n"/>
    </row>
    <row r="647">
      <c r="A647" s="1" t="n"/>
      <c r="B647" s="26" t="n"/>
      <c r="C647" s="27" t="n"/>
      <c r="D647" s="27" t="n"/>
      <c r="E647" s="21">
        <f>IF(OR(C647="",D647=""),"",ROUND(MOD(D647-C647,1)*24,2))</f>
        <v/>
      </c>
      <c r="F647" s="28" t="n"/>
      <c r="G647" s="28" t="n"/>
      <c r="H647" s="1" t="n"/>
    </row>
    <row r="648">
      <c r="A648" s="1" t="n"/>
      <c r="B648" s="26" t="n"/>
      <c r="C648" s="27" t="n"/>
      <c r="D648" s="27" t="n"/>
      <c r="E648" s="21">
        <f>IF(OR(C648="",D648=""),"",ROUND(MOD(D648-C648,1)*24,2))</f>
        <v/>
      </c>
      <c r="F648" s="28" t="n"/>
      <c r="G648" s="28" t="n"/>
      <c r="H648" s="1" t="n"/>
    </row>
    <row r="649">
      <c r="A649" s="1" t="n"/>
      <c r="B649" s="26" t="n"/>
      <c r="C649" s="27" t="n"/>
      <c r="D649" s="27" t="n"/>
      <c r="E649" s="21">
        <f>IF(OR(C649="",D649=""),"",ROUND(MOD(D649-C649,1)*24,2))</f>
        <v/>
      </c>
      <c r="F649" s="28" t="n"/>
      <c r="G649" s="28" t="n"/>
      <c r="H649" s="1" t="n"/>
    </row>
    <row r="650">
      <c r="A650" s="1" t="n"/>
      <c r="B650" s="26" t="n"/>
      <c r="C650" s="27" t="n"/>
      <c r="D650" s="27" t="n"/>
      <c r="E650" s="21">
        <f>IF(OR(C650="",D650=""),"",ROUND(MOD(D650-C650,1)*24,2))</f>
        <v/>
      </c>
      <c r="F650" s="28" t="n"/>
      <c r="G650" s="28" t="n"/>
      <c r="H650" s="1" t="n"/>
    </row>
    <row r="651">
      <c r="A651" s="1" t="n"/>
      <c r="B651" s="26" t="n"/>
      <c r="C651" s="27" t="n"/>
      <c r="D651" s="27" t="n"/>
      <c r="E651" s="21">
        <f>IF(OR(C651="",D651=""),"",ROUND(MOD(D651-C651,1)*24,2))</f>
        <v/>
      </c>
      <c r="F651" s="28" t="n"/>
      <c r="G651" s="28" t="n"/>
      <c r="H651" s="1" t="n"/>
    </row>
    <row r="652">
      <c r="A652" s="1" t="n"/>
      <c r="B652" s="26" t="n"/>
      <c r="C652" s="27" t="n"/>
      <c r="D652" s="27" t="n"/>
      <c r="E652" s="21">
        <f>IF(OR(C652="",D652=""),"",ROUND(MOD(D652-C652,1)*24,2))</f>
        <v/>
      </c>
      <c r="F652" s="28" t="n"/>
      <c r="G652" s="28" t="n"/>
      <c r="H652" s="1" t="n"/>
    </row>
    <row r="653">
      <c r="A653" s="1" t="n"/>
      <c r="B653" s="26" t="n"/>
      <c r="C653" s="27" t="n"/>
      <c r="D653" s="27" t="n"/>
      <c r="E653" s="21">
        <f>IF(OR(C653="",D653=""),"",ROUND(MOD(D653-C653,1)*24,2))</f>
        <v/>
      </c>
      <c r="F653" s="28" t="n"/>
      <c r="G653" s="28" t="n"/>
      <c r="H653" s="1" t="n"/>
    </row>
    <row r="654">
      <c r="A654" s="1" t="n"/>
      <c r="B654" s="26" t="n"/>
      <c r="C654" s="27" t="n"/>
      <c r="D654" s="27" t="n"/>
      <c r="E654" s="21">
        <f>IF(OR(C654="",D654=""),"",ROUND(MOD(D654-C654,1)*24,2))</f>
        <v/>
      </c>
      <c r="F654" s="28" t="n"/>
      <c r="G654" s="28" t="n"/>
      <c r="H654" s="1" t="n"/>
    </row>
    <row r="655">
      <c r="A655" s="1" t="n"/>
      <c r="B655" s="26" t="n"/>
      <c r="C655" s="27" t="n"/>
      <c r="D655" s="27" t="n"/>
      <c r="E655" s="21">
        <f>IF(OR(C655="",D655=""),"",ROUND(MOD(D655-C655,1)*24,2))</f>
        <v/>
      </c>
      <c r="F655" s="28" t="n"/>
      <c r="G655" s="28" t="n"/>
      <c r="H655" s="1" t="n"/>
    </row>
    <row r="656">
      <c r="A656" s="1" t="n"/>
      <c r="B656" s="26" t="n"/>
      <c r="C656" s="27" t="n"/>
      <c r="D656" s="27" t="n"/>
      <c r="E656" s="21">
        <f>IF(OR(C656="",D656=""),"",ROUND(MOD(D656-C656,1)*24,2))</f>
        <v/>
      </c>
      <c r="F656" s="28" t="n"/>
      <c r="G656" s="28" t="n"/>
      <c r="H656" s="1" t="n"/>
    </row>
    <row r="657">
      <c r="A657" s="1" t="n"/>
      <c r="B657" s="26" t="n"/>
      <c r="C657" s="27" t="n"/>
      <c r="D657" s="27" t="n"/>
      <c r="E657" s="21">
        <f>IF(OR(C657="",D657=""),"",ROUND(MOD(D657-C657,1)*24,2))</f>
        <v/>
      </c>
      <c r="F657" s="28" t="n"/>
      <c r="G657" s="28" t="n"/>
      <c r="H657" s="1" t="n"/>
    </row>
    <row r="658">
      <c r="A658" s="1" t="n"/>
      <c r="B658" s="26" t="n"/>
      <c r="C658" s="27" t="n"/>
      <c r="D658" s="27" t="n"/>
      <c r="E658" s="21">
        <f>IF(OR(C658="",D658=""),"",ROUND(MOD(D658-C658,1)*24,2))</f>
        <v/>
      </c>
      <c r="F658" s="28" t="n"/>
      <c r="G658" s="28" t="n"/>
      <c r="H658" s="1" t="n"/>
    </row>
    <row r="659">
      <c r="A659" s="1" t="n"/>
      <c r="B659" s="26" t="n"/>
      <c r="C659" s="27" t="n"/>
      <c r="D659" s="27" t="n"/>
      <c r="E659" s="21">
        <f>IF(OR(C659="",D659=""),"",ROUND(MOD(D659-C659,1)*24,2))</f>
        <v/>
      </c>
      <c r="F659" s="28" t="n"/>
      <c r="G659" s="28" t="n"/>
      <c r="H659" s="1" t="n"/>
    </row>
    <row r="660">
      <c r="A660" s="1" t="n"/>
      <c r="B660" s="26" t="n"/>
      <c r="C660" s="27" t="n"/>
      <c r="D660" s="27" t="n"/>
      <c r="E660" s="21">
        <f>IF(OR(C660="",D660=""),"",ROUND(MOD(D660-C660,1)*24,2))</f>
        <v/>
      </c>
      <c r="F660" s="28" t="n"/>
      <c r="G660" s="28" t="n"/>
      <c r="H660" s="1" t="n"/>
    </row>
    <row r="661">
      <c r="A661" s="1" t="n"/>
      <c r="B661" s="26" t="n"/>
      <c r="C661" s="27" t="n"/>
      <c r="D661" s="27" t="n"/>
      <c r="E661" s="21">
        <f>IF(OR(C661="",D661=""),"",ROUND(MOD(D661-C661,1)*24,2))</f>
        <v/>
      </c>
      <c r="F661" s="28" t="n"/>
      <c r="G661" s="28" t="n"/>
      <c r="H661" s="1" t="n"/>
    </row>
    <row r="662">
      <c r="A662" s="1" t="n"/>
      <c r="B662" s="26" t="n"/>
      <c r="C662" s="27" t="n"/>
      <c r="D662" s="27" t="n"/>
      <c r="E662" s="21">
        <f>IF(OR(C662="",D662=""),"",ROUND(MOD(D662-C662,1)*24,2))</f>
        <v/>
      </c>
      <c r="F662" s="28" t="n"/>
      <c r="G662" s="28" t="n"/>
      <c r="H662" s="1" t="n"/>
    </row>
    <row r="663">
      <c r="A663" s="1" t="n"/>
      <c r="B663" s="26" t="n"/>
      <c r="C663" s="27" t="n"/>
      <c r="D663" s="27" t="n"/>
      <c r="E663" s="21">
        <f>IF(OR(C663="",D663=""),"",ROUND(MOD(D663-C663,1)*24,2))</f>
        <v/>
      </c>
      <c r="F663" s="28" t="n"/>
      <c r="G663" s="28" t="n"/>
      <c r="H663" s="1" t="n"/>
    </row>
    <row r="664">
      <c r="A664" s="1" t="n"/>
      <c r="B664" s="26" t="n"/>
      <c r="C664" s="27" t="n"/>
      <c r="D664" s="27" t="n"/>
      <c r="E664" s="21">
        <f>IF(OR(C664="",D664=""),"",ROUND(MOD(D664-C664,1)*24,2))</f>
        <v/>
      </c>
      <c r="F664" s="28" t="n"/>
      <c r="G664" s="28" t="n"/>
      <c r="H664" s="1" t="n"/>
    </row>
    <row r="665">
      <c r="A665" s="1" t="n"/>
      <c r="B665" s="26" t="n"/>
      <c r="C665" s="27" t="n"/>
      <c r="D665" s="27" t="n"/>
      <c r="E665" s="21">
        <f>IF(OR(C665="",D665=""),"",ROUND(MOD(D665-C665,1)*24,2))</f>
        <v/>
      </c>
      <c r="F665" s="28" t="n"/>
      <c r="G665" s="28" t="n"/>
      <c r="H665" s="1" t="n"/>
    </row>
    <row r="666">
      <c r="A666" s="1" t="n"/>
      <c r="B666" s="26" t="n"/>
      <c r="C666" s="27" t="n"/>
      <c r="D666" s="27" t="n"/>
      <c r="E666" s="21">
        <f>IF(OR(C666="",D666=""),"",ROUND(MOD(D666-C666,1)*24,2))</f>
        <v/>
      </c>
      <c r="F666" s="28" t="n"/>
      <c r="G666" s="28" t="n"/>
      <c r="H666" s="1" t="n"/>
    </row>
    <row r="667">
      <c r="A667" s="1" t="n"/>
      <c r="B667" s="26" t="n"/>
      <c r="C667" s="27" t="n"/>
      <c r="D667" s="27" t="n"/>
      <c r="E667" s="21">
        <f>IF(OR(C667="",D667=""),"",ROUND(MOD(D667-C667,1)*24,2))</f>
        <v/>
      </c>
      <c r="F667" s="28" t="n"/>
      <c r="G667" s="28" t="n"/>
      <c r="H667" s="1" t="n"/>
    </row>
    <row r="668">
      <c r="A668" s="1" t="n"/>
      <c r="B668" s="26" t="n"/>
      <c r="C668" s="27" t="n"/>
      <c r="D668" s="27" t="n"/>
      <c r="E668" s="21">
        <f>IF(OR(C668="",D668=""),"",ROUND(MOD(D668-C668,1)*24,2))</f>
        <v/>
      </c>
      <c r="F668" s="28" t="n"/>
      <c r="G668" s="28" t="n"/>
      <c r="H668" s="1" t="n"/>
    </row>
    <row r="669">
      <c r="A669" s="1" t="n"/>
      <c r="B669" s="26" t="n"/>
      <c r="C669" s="27" t="n"/>
      <c r="D669" s="27" t="n"/>
      <c r="E669" s="21">
        <f>IF(OR(C669="",D669=""),"",ROUND(MOD(D669-C669,1)*24,2))</f>
        <v/>
      </c>
      <c r="F669" s="28" t="n"/>
      <c r="G669" s="28" t="n"/>
      <c r="H669" s="1" t="n"/>
    </row>
    <row r="670">
      <c r="A670" s="1" t="n"/>
      <c r="B670" s="26" t="n"/>
      <c r="C670" s="27" t="n"/>
      <c r="D670" s="27" t="n"/>
      <c r="E670" s="21">
        <f>IF(OR(C670="",D670=""),"",ROUND(MOD(D670-C670,1)*24,2))</f>
        <v/>
      </c>
      <c r="F670" s="28" t="n"/>
      <c r="G670" s="28" t="n"/>
      <c r="H670" s="1" t="n"/>
    </row>
    <row r="671">
      <c r="A671" s="1" t="n"/>
      <c r="B671" s="26" t="n"/>
      <c r="C671" s="27" t="n"/>
      <c r="D671" s="27" t="n"/>
      <c r="E671" s="21">
        <f>IF(OR(C671="",D671=""),"",ROUND(MOD(D671-C671,1)*24,2))</f>
        <v/>
      </c>
      <c r="F671" s="28" t="n"/>
      <c r="G671" s="28" t="n"/>
      <c r="H671" s="1" t="n"/>
    </row>
    <row r="672">
      <c r="A672" s="1" t="n"/>
      <c r="B672" s="26" t="n"/>
      <c r="C672" s="27" t="n"/>
      <c r="D672" s="27" t="n"/>
      <c r="E672" s="21">
        <f>IF(OR(C672="",D672=""),"",ROUND(MOD(D672-C672,1)*24,2))</f>
        <v/>
      </c>
      <c r="F672" s="28" t="n"/>
      <c r="G672" s="28" t="n"/>
      <c r="H672" s="1" t="n"/>
    </row>
    <row r="673">
      <c r="A673" s="1" t="n"/>
      <c r="B673" s="26" t="n"/>
      <c r="C673" s="27" t="n"/>
      <c r="D673" s="27" t="n"/>
      <c r="E673" s="21">
        <f>IF(OR(C673="",D673=""),"",ROUND(MOD(D673-C673,1)*24,2))</f>
        <v/>
      </c>
      <c r="F673" s="28" t="n"/>
      <c r="G673" s="28" t="n"/>
      <c r="H673" s="1" t="n"/>
    </row>
    <row r="674">
      <c r="A674" s="1" t="n"/>
      <c r="B674" s="26" t="n"/>
      <c r="C674" s="27" t="n"/>
      <c r="D674" s="27" t="n"/>
      <c r="E674" s="21">
        <f>IF(OR(C674="",D674=""),"",ROUND(MOD(D674-C674,1)*24,2))</f>
        <v/>
      </c>
      <c r="F674" s="28" t="n"/>
      <c r="G674" s="28" t="n"/>
      <c r="H674" s="1" t="n"/>
    </row>
    <row r="675">
      <c r="A675" s="1" t="n"/>
      <c r="B675" s="26" t="n"/>
      <c r="C675" s="27" t="n"/>
      <c r="D675" s="27" t="n"/>
      <c r="E675" s="21">
        <f>IF(OR(C675="",D675=""),"",ROUND(MOD(D675-C675,1)*24,2))</f>
        <v/>
      </c>
      <c r="F675" s="28" t="n"/>
      <c r="G675" s="28" t="n"/>
      <c r="H675" s="1" t="n"/>
    </row>
    <row r="676">
      <c r="A676" s="1" t="n"/>
      <c r="B676" s="26" t="n"/>
      <c r="C676" s="27" t="n"/>
      <c r="D676" s="27" t="n"/>
      <c r="E676" s="21">
        <f>IF(OR(C676="",D676=""),"",ROUND(MOD(D676-C676,1)*24,2))</f>
        <v/>
      </c>
      <c r="F676" s="28" t="n"/>
      <c r="G676" s="28" t="n"/>
      <c r="H676" s="1" t="n"/>
    </row>
    <row r="677">
      <c r="A677" s="1" t="n"/>
      <c r="B677" s="26" t="n"/>
      <c r="C677" s="27" t="n"/>
      <c r="D677" s="27" t="n"/>
      <c r="E677" s="21">
        <f>IF(OR(C677="",D677=""),"",ROUND(MOD(D677-C677,1)*24,2))</f>
        <v/>
      </c>
      <c r="F677" s="28" t="n"/>
      <c r="G677" s="28" t="n"/>
      <c r="H677" s="1" t="n"/>
    </row>
    <row r="678">
      <c r="A678" s="1" t="n"/>
      <c r="B678" s="26" t="n"/>
      <c r="C678" s="27" t="n"/>
      <c r="D678" s="27" t="n"/>
      <c r="E678" s="21">
        <f>IF(OR(C678="",D678=""),"",ROUND(MOD(D678-C678,1)*24,2))</f>
        <v/>
      </c>
      <c r="F678" s="28" t="n"/>
      <c r="G678" s="28" t="n"/>
      <c r="H678" s="1" t="n"/>
    </row>
    <row r="679">
      <c r="A679" s="1" t="n"/>
      <c r="B679" s="26" t="n"/>
      <c r="C679" s="27" t="n"/>
      <c r="D679" s="27" t="n"/>
      <c r="E679" s="21">
        <f>IF(OR(C679="",D679=""),"",ROUND(MOD(D679-C679,1)*24,2))</f>
        <v/>
      </c>
      <c r="F679" s="28" t="n"/>
      <c r="G679" s="28" t="n"/>
      <c r="H679" s="1" t="n"/>
    </row>
    <row r="680">
      <c r="A680" s="1" t="n"/>
      <c r="B680" s="26" t="n"/>
      <c r="C680" s="27" t="n"/>
      <c r="D680" s="27" t="n"/>
      <c r="E680" s="21">
        <f>IF(OR(C680="",D680=""),"",ROUND(MOD(D680-C680,1)*24,2))</f>
        <v/>
      </c>
      <c r="F680" s="28" t="n"/>
      <c r="G680" s="28" t="n"/>
      <c r="H680" s="1" t="n"/>
    </row>
    <row r="681">
      <c r="A681" s="1" t="n"/>
      <c r="B681" s="26" t="n"/>
      <c r="C681" s="27" t="n"/>
      <c r="D681" s="27" t="n"/>
      <c r="E681" s="21">
        <f>IF(OR(C681="",D681=""),"",ROUND(MOD(D681-C681,1)*24,2))</f>
        <v/>
      </c>
      <c r="F681" s="28" t="n"/>
      <c r="G681" s="28" t="n"/>
      <c r="H681" s="1" t="n"/>
    </row>
    <row r="682">
      <c r="A682" s="1" t="n"/>
      <c r="B682" s="26" t="n"/>
      <c r="C682" s="27" t="n"/>
      <c r="D682" s="27" t="n"/>
      <c r="E682" s="21">
        <f>IF(OR(C682="",D682=""),"",ROUND(MOD(D682-C682,1)*24,2))</f>
        <v/>
      </c>
      <c r="F682" s="28" t="n"/>
      <c r="G682" s="28" t="n"/>
      <c r="H682" s="1" t="n"/>
    </row>
    <row r="683">
      <c r="A683" s="1" t="n"/>
      <c r="B683" s="26" t="n"/>
      <c r="C683" s="27" t="n"/>
      <c r="D683" s="27" t="n"/>
      <c r="E683" s="21">
        <f>IF(OR(C683="",D683=""),"",ROUND(MOD(D683-C683,1)*24,2))</f>
        <v/>
      </c>
      <c r="F683" s="28" t="n"/>
      <c r="G683" s="28" t="n"/>
      <c r="H683" s="1" t="n"/>
    </row>
    <row r="684">
      <c r="A684" s="1" t="n"/>
      <c r="B684" s="26" t="n"/>
      <c r="C684" s="27" t="n"/>
      <c r="D684" s="27" t="n"/>
      <c r="E684" s="21">
        <f>IF(OR(C684="",D684=""),"",ROUND(MOD(D684-C684,1)*24,2))</f>
        <v/>
      </c>
      <c r="F684" s="28" t="n"/>
      <c r="G684" s="28" t="n"/>
      <c r="H684" s="1" t="n"/>
    </row>
    <row r="685">
      <c r="A685" s="1" t="n"/>
      <c r="B685" s="26" t="n"/>
      <c r="C685" s="27" t="n"/>
      <c r="D685" s="27" t="n"/>
      <c r="E685" s="21">
        <f>IF(OR(C685="",D685=""),"",ROUND(MOD(D685-C685,1)*24,2))</f>
        <v/>
      </c>
      <c r="F685" s="28" t="n"/>
      <c r="G685" s="28" t="n"/>
      <c r="H685" s="1" t="n"/>
    </row>
    <row r="686">
      <c r="A686" s="1" t="n"/>
      <c r="B686" s="26" t="n"/>
      <c r="C686" s="27" t="n"/>
      <c r="D686" s="27" t="n"/>
      <c r="E686" s="21">
        <f>IF(OR(C686="",D686=""),"",ROUND(MOD(D686-C686,1)*24,2))</f>
        <v/>
      </c>
      <c r="F686" s="28" t="n"/>
      <c r="G686" s="28" t="n"/>
      <c r="H686" s="1" t="n"/>
    </row>
    <row r="687">
      <c r="A687" s="1" t="n"/>
      <c r="B687" s="26" t="n"/>
      <c r="C687" s="27" t="n"/>
      <c r="D687" s="27" t="n"/>
      <c r="E687" s="21">
        <f>IF(OR(C687="",D687=""),"",ROUND(MOD(D687-C687,1)*24,2))</f>
        <v/>
      </c>
      <c r="F687" s="28" t="n"/>
      <c r="G687" s="28" t="n"/>
      <c r="H687" s="1" t="n"/>
    </row>
    <row r="688">
      <c r="A688" s="1" t="n"/>
      <c r="B688" s="26" t="n"/>
      <c r="C688" s="27" t="n"/>
      <c r="D688" s="27" t="n"/>
      <c r="E688" s="21">
        <f>IF(OR(C688="",D688=""),"",ROUND(MOD(D688-C688,1)*24,2))</f>
        <v/>
      </c>
      <c r="F688" s="28" t="n"/>
      <c r="G688" s="28" t="n"/>
      <c r="H688" s="1" t="n"/>
    </row>
    <row r="689">
      <c r="A689" s="1" t="n"/>
      <c r="B689" s="26" t="n"/>
      <c r="C689" s="27" t="n"/>
      <c r="D689" s="27" t="n"/>
      <c r="E689" s="21">
        <f>IF(OR(C689="",D689=""),"",ROUND(MOD(D689-C689,1)*24,2))</f>
        <v/>
      </c>
      <c r="F689" s="28" t="n"/>
      <c r="G689" s="28" t="n"/>
      <c r="H689" s="1" t="n"/>
    </row>
    <row r="690">
      <c r="A690" s="1" t="n"/>
      <c r="B690" s="26" t="n"/>
      <c r="C690" s="27" t="n"/>
      <c r="D690" s="27" t="n"/>
      <c r="E690" s="21">
        <f>IF(OR(C690="",D690=""),"",ROUND(MOD(D690-C690,1)*24,2))</f>
        <v/>
      </c>
      <c r="F690" s="28" t="n"/>
      <c r="G690" s="28" t="n"/>
      <c r="H690" s="1" t="n"/>
    </row>
    <row r="691">
      <c r="A691" s="1" t="n"/>
      <c r="B691" s="26" t="n"/>
      <c r="C691" s="27" t="n"/>
      <c r="D691" s="27" t="n"/>
      <c r="E691" s="21">
        <f>IF(OR(C691="",D691=""),"",ROUND(MOD(D691-C691,1)*24,2))</f>
        <v/>
      </c>
      <c r="F691" s="28" t="n"/>
      <c r="G691" s="28" t="n"/>
      <c r="H691" s="1" t="n"/>
    </row>
    <row r="692">
      <c r="A692" s="1" t="n"/>
      <c r="B692" s="26" t="n"/>
      <c r="C692" s="27" t="n"/>
      <c r="D692" s="27" t="n"/>
      <c r="E692" s="21">
        <f>IF(OR(C692="",D692=""),"",ROUND(MOD(D692-C692,1)*24,2))</f>
        <v/>
      </c>
      <c r="F692" s="28" t="n"/>
      <c r="G692" s="28" t="n"/>
      <c r="H692" s="1" t="n"/>
    </row>
    <row r="693">
      <c r="A693" s="1" t="n"/>
      <c r="B693" s="26" t="n"/>
      <c r="C693" s="27" t="n"/>
      <c r="D693" s="27" t="n"/>
      <c r="E693" s="21">
        <f>IF(OR(C693="",D693=""),"",ROUND(MOD(D693-C693,1)*24,2))</f>
        <v/>
      </c>
      <c r="F693" s="28" t="n"/>
      <c r="G693" s="28" t="n"/>
      <c r="H693" s="1" t="n"/>
    </row>
    <row r="694">
      <c r="A694" s="1" t="n"/>
      <c r="B694" s="26" t="n"/>
      <c r="C694" s="27" t="n"/>
      <c r="D694" s="27" t="n"/>
      <c r="E694" s="21">
        <f>IF(OR(C694="",D694=""),"",ROUND(MOD(D694-C694,1)*24,2))</f>
        <v/>
      </c>
      <c r="F694" s="28" t="n"/>
      <c r="G694" s="28" t="n"/>
      <c r="H694" s="1" t="n"/>
    </row>
    <row r="695">
      <c r="A695" s="1" t="n"/>
      <c r="B695" s="26" t="n"/>
      <c r="C695" s="27" t="n"/>
      <c r="D695" s="27" t="n"/>
      <c r="E695" s="21">
        <f>IF(OR(C695="",D695=""),"",ROUND(MOD(D695-C695,1)*24,2))</f>
        <v/>
      </c>
      <c r="F695" s="28" t="n"/>
      <c r="G695" s="28" t="n"/>
      <c r="H695" s="1" t="n"/>
    </row>
    <row r="696">
      <c r="A696" s="1" t="n"/>
      <c r="B696" s="26" t="n"/>
      <c r="C696" s="27" t="n"/>
      <c r="D696" s="27" t="n"/>
      <c r="E696" s="21">
        <f>IF(OR(C696="",D696=""),"",ROUND(MOD(D696-C696,1)*24,2))</f>
        <v/>
      </c>
      <c r="F696" s="28" t="n"/>
      <c r="G696" s="28" t="n"/>
      <c r="H696" s="1" t="n"/>
    </row>
    <row r="697">
      <c r="A697" s="1" t="n"/>
      <c r="B697" s="26" t="n"/>
      <c r="C697" s="27" t="n"/>
      <c r="D697" s="27" t="n"/>
      <c r="E697" s="21">
        <f>IF(OR(C697="",D697=""),"",ROUND(MOD(D697-C697,1)*24,2))</f>
        <v/>
      </c>
      <c r="F697" s="28" t="n"/>
      <c r="G697" s="28" t="n"/>
      <c r="H697" s="1" t="n"/>
    </row>
    <row r="698">
      <c r="A698" s="1" t="n"/>
      <c r="B698" s="26" t="n"/>
      <c r="C698" s="27" t="n"/>
      <c r="D698" s="27" t="n"/>
      <c r="E698" s="21">
        <f>IF(OR(C698="",D698=""),"",ROUND(MOD(D698-C698,1)*24,2))</f>
        <v/>
      </c>
      <c r="F698" s="28" t="n"/>
      <c r="G698" s="28" t="n"/>
      <c r="H698" s="1" t="n"/>
    </row>
    <row r="699">
      <c r="A699" s="1" t="n"/>
      <c r="B699" s="26" t="n"/>
      <c r="C699" s="27" t="n"/>
      <c r="D699" s="27" t="n"/>
      <c r="E699" s="21">
        <f>IF(OR(C699="",D699=""),"",ROUND(MOD(D699-C699,1)*24,2))</f>
        <v/>
      </c>
      <c r="F699" s="28" t="n"/>
      <c r="G699" s="28" t="n"/>
      <c r="H699" s="1" t="n"/>
    </row>
    <row r="700">
      <c r="A700" s="1" t="n"/>
      <c r="B700" s="26" t="n"/>
      <c r="C700" s="27" t="n"/>
      <c r="D700" s="27" t="n"/>
      <c r="E700" s="21">
        <f>IF(OR(C700="",D700=""),"",ROUND(MOD(D700-C700,1)*24,2))</f>
        <v/>
      </c>
      <c r="F700" s="28" t="n"/>
      <c r="G700" s="28" t="n"/>
      <c r="H700" s="1" t="n"/>
    </row>
    <row r="701">
      <c r="A701" s="1" t="n"/>
      <c r="B701" s="26" t="n"/>
      <c r="C701" s="27" t="n"/>
      <c r="D701" s="27" t="n"/>
      <c r="E701" s="21">
        <f>IF(OR(C701="",D701=""),"",ROUND(MOD(D701-C701,1)*24,2))</f>
        <v/>
      </c>
      <c r="F701" s="28" t="n"/>
      <c r="G701" s="28" t="n"/>
      <c r="H701" s="1" t="n"/>
    </row>
    <row r="702">
      <c r="A702" s="1" t="n"/>
      <c r="B702" s="26" t="n"/>
      <c r="C702" s="27" t="n"/>
      <c r="D702" s="27" t="n"/>
      <c r="E702" s="21">
        <f>IF(OR(C702="",D702=""),"",ROUND(MOD(D702-C702,1)*24,2))</f>
        <v/>
      </c>
      <c r="F702" s="28" t="n"/>
      <c r="G702" s="28" t="n"/>
      <c r="H702" s="1" t="n"/>
    </row>
    <row r="703">
      <c r="A703" s="1" t="n"/>
      <c r="B703" s="26" t="n"/>
      <c r="C703" s="27" t="n"/>
      <c r="D703" s="27" t="n"/>
      <c r="E703" s="21">
        <f>IF(OR(C703="",D703=""),"",ROUND(MOD(D703-C703,1)*24,2))</f>
        <v/>
      </c>
      <c r="F703" s="28" t="n"/>
      <c r="G703" s="28" t="n"/>
      <c r="H703" s="1" t="n"/>
    </row>
    <row r="704">
      <c r="A704" s="1" t="n"/>
      <c r="B704" s="26" t="n"/>
      <c r="C704" s="27" t="n"/>
      <c r="D704" s="27" t="n"/>
      <c r="E704" s="21">
        <f>IF(OR(C704="",D704=""),"",ROUND(MOD(D704-C704,1)*24,2))</f>
        <v/>
      </c>
      <c r="F704" s="28" t="n"/>
      <c r="G704" s="28" t="n"/>
      <c r="H704" s="1" t="n"/>
    </row>
    <row r="705">
      <c r="A705" s="1" t="n"/>
      <c r="B705" s="26" t="n"/>
      <c r="C705" s="27" t="n"/>
      <c r="D705" s="27" t="n"/>
      <c r="E705" s="21">
        <f>IF(OR(C705="",D705=""),"",ROUND(MOD(D705-C705,1)*24,2))</f>
        <v/>
      </c>
      <c r="F705" s="28" t="n"/>
      <c r="G705" s="28" t="n"/>
      <c r="H705" s="1" t="n"/>
    </row>
    <row r="706">
      <c r="A706" s="1" t="n"/>
      <c r="B706" s="26" t="n"/>
      <c r="C706" s="27" t="n"/>
      <c r="D706" s="27" t="n"/>
      <c r="E706" s="21">
        <f>IF(OR(C706="",D706=""),"",ROUND(MOD(D706-C706,1)*24,2))</f>
        <v/>
      </c>
      <c r="F706" s="28" t="n"/>
      <c r="G706" s="28" t="n"/>
      <c r="H706" s="1" t="n"/>
    </row>
    <row r="707">
      <c r="A707" s="1" t="n"/>
      <c r="B707" s="26" t="n"/>
      <c r="C707" s="27" t="n"/>
      <c r="D707" s="27" t="n"/>
      <c r="E707" s="21">
        <f>IF(OR(C707="",D707=""),"",ROUND(MOD(D707-C707,1)*24,2))</f>
        <v/>
      </c>
      <c r="F707" s="28" t="n"/>
      <c r="G707" s="28" t="n"/>
      <c r="H707" s="1" t="n"/>
    </row>
    <row r="708">
      <c r="A708" s="1" t="n"/>
      <c r="B708" s="26" t="n"/>
      <c r="C708" s="27" t="n"/>
      <c r="D708" s="27" t="n"/>
      <c r="E708" s="21">
        <f>IF(OR(C708="",D708=""),"",ROUND(MOD(D708-C708,1)*24,2))</f>
        <v/>
      </c>
      <c r="F708" s="28" t="n"/>
      <c r="G708" s="28" t="n"/>
      <c r="H708" s="1" t="n"/>
    </row>
    <row r="709">
      <c r="A709" s="1" t="n"/>
      <c r="B709" s="26" t="n"/>
      <c r="C709" s="27" t="n"/>
      <c r="D709" s="27" t="n"/>
      <c r="E709" s="21">
        <f>IF(OR(C709="",D709=""),"",ROUND(MOD(D709-C709,1)*24,2))</f>
        <v/>
      </c>
      <c r="F709" s="28" t="n"/>
      <c r="G709" s="28" t="n"/>
      <c r="H709" s="1" t="n"/>
    </row>
    <row r="710">
      <c r="A710" s="1" t="n"/>
      <c r="B710" s="26" t="n"/>
      <c r="C710" s="27" t="n"/>
      <c r="D710" s="27" t="n"/>
      <c r="E710" s="21">
        <f>IF(OR(C710="",D710=""),"",ROUND(MOD(D710-C710,1)*24,2))</f>
        <v/>
      </c>
      <c r="F710" s="28" t="n"/>
      <c r="G710" s="28" t="n"/>
      <c r="H710" s="1" t="n"/>
    </row>
    <row r="711">
      <c r="A711" s="1" t="n"/>
      <c r="B711" s="26" t="n"/>
      <c r="C711" s="27" t="n"/>
      <c r="D711" s="27" t="n"/>
      <c r="E711" s="21">
        <f>IF(OR(C711="",D711=""),"",ROUND(MOD(D711-C711,1)*24,2))</f>
        <v/>
      </c>
      <c r="F711" s="28" t="n"/>
      <c r="G711" s="28" t="n"/>
      <c r="H711" s="1" t="n"/>
    </row>
    <row r="712">
      <c r="A712" s="1" t="n"/>
      <c r="B712" s="26" t="n"/>
      <c r="C712" s="27" t="n"/>
      <c r="D712" s="27" t="n"/>
      <c r="E712" s="21">
        <f>IF(OR(C712="",D712=""),"",ROUND(MOD(D712-C712,1)*24,2))</f>
        <v/>
      </c>
      <c r="F712" s="28" t="n"/>
      <c r="G712" s="28" t="n"/>
      <c r="H712" s="1" t="n"/>
    </row>
    <row r="713">
      <c r="A713" s="1" t="n"/>
      <c r="B713" s="26" t="n"/>
      <c r="C713" s="27" t="n"/>
      <c r="D713" s="27" t="n"/>
      <c r="E713" s="21">
        <f>IF(OR(C713="",D713=""),"",ROUND(MOD(D713-C713,1)*24,2))</f>
        <v/>
      </c>
      <c r="F713" s="28" t="n"/>
      <c r="G713" s="28" t="n"/>
      <c r="H713" s="1" t="n"/>
    </row>
    <row r="714">
      <c r="A714" s="1" t="n"/>
      <c r="B714" s="26" t="n"/>
      <c r="C714" s="27" t="n"/>
      <c r="D714" s="27" t="n"/>
      <c r="E714" s="21">
        <f>IF(OR(C714="",D714=""),"",ROUND(MOD(D714-C714,1)*24,2))</f>
        <v/>
      </c>
      <c r="F714" s="28" t="n"/>
      <c r="G714" s="28" t="n"/>
      <c r="H714" s="1" t="n"/>
    </row>
    <row r="715">
      <c r="A715" s="1" t="n"/>
      <c r="B715" s="26" t="n"/>
      <c r="C715" s="27" t="n"/>
      <c r="D715" s="27" t="n"/>
      <c r="E715" s="21">
        <f>IF(OR(C715="",D715=""),"",ROUND(MOD(D715-C715,1)*24,2))</f>
        <v/>
      </c>
      <c r="F715" s="28" t="n"/>
      <c r="G715" s="28" t="n"/>
      <c r="H715" s="1" t="n"/>
    </row>
    <row r="716">
      <c r="A716" s="1" t="n"/>
      <c r="B716" s="26" t="n"/>
      <c r="C716" s="27" t="n"/>
      <c r="D716" s="27" t="n"/>
      <c r="E716" s="21">
        <f>IF(OR(C716="",D716=""),"",ROUND(MOD(D716-C716,1)*24,2))</f>
        <v/>
      </c>
      <c r="F716" s="28" t="n"/>
      <c r="G716" s="28" t="n"/>
      <c r="H716" s="1" t="n"/>
    </row>
    <row r="717">
      <c r="A717" s="1" t="n"/>
      <c r="B717" s="26" t="n"/>
      <c r="C717" s="27" t="n"/>
      <c r="D717" s="27" t="n"/>
      <c r="E717" s="21">
        <f>IF(OR(C717="",D717=""),"",ROUND(MOD(D717-C717,1)*24,2))</f>
        <v/>
      </c>
      <c r="F717" s="28" t="n"/>
      <c r="G717" s="28" t="n"/>
      <c r="H717" s="1" t="n"/>
    </row>
    <row r="718">
      <c r="A718" s="1" t="n"/>
      <c r="B718" s="26" t="n"/>
      <c r="C718" s="27" t="n"/>
      <c r="D718" s="27" t="n"/>
      <c r="E718" s="21">
        <f>IF(OR(C718="",D718=""),"",ROUND(MOD(D718-C718,1)*24,2))</f>
        <v/>
      </c>
      <c r="F718" s="28" t="n"/>
      <c r="G718" s="28" t="n"/>
      <c r="H718" s="1" t="n"/>
    </row>
    <row r="719">
      <c r="A719" s="1" t="n"/>
      <c r="B719" s="26" t="n"/>
      <c r="C719" s="27" t="n"/>
      <c r="D719" s="27" t="n"/>
      <c r="E719" s="21">
        <f>IF(OR(C719="",D719=""),"",ROUND(MOD(D719-C719,1)*24,2))</f>
        <v/>
      </c>
      <c r="F719" s="28" t="n"/>
      <c r="G719" s="28" t="n"/>
      <c r="H719" s="1" t="n"/>
    </row>
    <row r="720">
      <c r="A720" s="1" t="n"/>
      <c r="B720" s="26" t="n"/>
      <c r="C720" s="27" t="n"/>
      <c r="D720" s="27" t="n"/>
      <c r="E720" s="21">
        <f>IF(OR(C720="",D720=""),"",ROUND(MOD(D720-C720,1)*24,2))</f>
        <v/>
      </c>
      <c r="F720" s="28" t="n"/>
      <c r="G720" s="28" t="n"/>
      <c r="H720" s="1" t="n"/>
    </row>
    <row r="721">
      <c r="A721" s="1" t="n"/>
      <c r="B721" s="26" t="n"/>
      <c r="C721" s="27" t="n"/>
      <c r="D721" s="27" t="n"/>
      <c r="E721" s="21">
        <f>IF(OR(C721="",D721=""),"",ROUND(MOD(D721-C721,1)*24,2))</f>
        <v/>
      </c>
      <c r="F721" s="28" t="n"/>
      <c r="G721" s="28" t="n"/>
      <c r="H721" s="1" t="n"/>
    </row>
    <row r="722">
      <c r="A722" s="1" t="n"/>
      <c r="B722" s="26" t="n"/>
      <c r="C722" s="27" t="n"/>
      <c r="D722" s="27" t="n"/>
      <c r="E722" s="21">
        <f>IF(OR(C722="",D722=""),"",ROUND(MOD(D722-C722,1)*24,2))</f>
        <v/>
      </c>
      <c r="F722" s="28" t="n"/>
      <c r="G722" s="28" t="n"/>
      <c r="H722" s="1" t="n"/>
    </row>
    <row r="723">
      <c r="A723" s="1" t="n"/>
      <c r="B723" s="26" t="n"/>
      <c r="C723" s="27" t="n"/>
      <c r="D723" s="27" t="n"/>
      <c r="E723" s="21">
        <f>IF(OR(C723="",D723=""),"",ROUND(MOD(D723-C723,1)*24,2))</f>
        <v/>
      </c>
      <c r="F723" s="28" t="n"/>
      <c r="G723" s="28" t="n"/>
      <c r="H723" s="1" t="n"/>
    </row>
    <row r="724">
      <c r="A724" s="1" t="n"/>
      <c r="B724" s="26" t="n"/>
      <c r="C724" s="27" t="n"/>
      <c r="D724" s="27" t="n"/>
      <c r="E724" s="21">
        <f>IF(OR(C724="",D724=""),"",ROUND(MOD(D724-C724,1)*24,2))</f>
        <v/>
      </c>
      <c r="F724" s="28" t="n"/>
      <c r="G724" s="28" t="n"/>
      <c r="H724" s="1" t="n"/>
    </row>
    <row r="725">
      <c r="A725" s="1" t="n"/>
      <c r="B725" s="26" t="n"/>
      <c r="C725" s="27" t="n"/>
      <c r="D725" s="27" t="n"/>
      <c r="E725" s="21">
        <f>IF(OR(C725="",D725=""),"",ROUND(MOD(D725-C725,1)*24,2))</f>
        <v/>
      </c>
      <c r="F725" s="28" t="n"/>
      <c r="G725" s="28" t="n"/>
      <c r="H725" s="1" t="n"/>
    </row>
    <row r="726">
      <c r="A726" s="1" t="n"/>
      <c r="B726" s="26" t="n"/>
      <c r="C726" s="27" t="n"/>
      <c r="D726" s="27" t="n"/>
      <c r="E726" s="21">
        <f>IF(OR(C726="",D726=""),"",ROUND(MOD(D726-C726,1)*24,2))</f>
        <v/>
      </c>
      <c r="F726" s="28" t="n"/>
      <c r="G726" s="28" t="n"/>
      <c r="H726" s="1" t="n"/>
    </row>
    <row r="727">
      <c r="A727" s="1" t="n"/>
      <c r="B727" s="26" t="n"/>
      <c r="C727" s="27" t="n"/>
      <c r="D727" s="27" t="n"/>
      <c r="E727" s="21">
        <f>IF(OR(C727="",D727=""),"",ROUND(MOD(D727-C727,1)*24,2))</f>
        <v/>
      </c>
      <c r="F727" s="28" t="n"/>
      <c r="G727" s="28" t="n"/>
      <c r="H727" s="1" t="n"/>
    </row>
    <row r="728">
      <c r="A728" s="1" t="n"/>
      <c r="B728" s="26" t="n"/>
      <c r="C728" s="27" t="n"/>
      <c r="D728" s="27" t="n"/>
      <c r="E728" s="21">
        <f>IF(OR(C728="",D728=""),"",ROUND(MOD(D728-C728,1)*24,2))</f>
        <v/>
      </c>
      <c r="F728" s="28" t="n"/>
      <c r="G728" s="28" t="n"/>
      <c r="H728" s="1" t="n"/>
    </row>
    <row r="729">
      <c r="A729" s="1" t="n"/>
      <c r="B729" s="26" t="n"/>
      <c r="C729" s="27" t="n"/>
      <c r="D729" s="27" t="n"/>
      <c r="E729" s="21">
        <f>IF(OR(C729="",D729=""),"",ROUND(MOD(D729-C729,1)*24,2))</f>
        <v/>
      </c>
      <c r="F729" s="28" t="n"/>
      <c r="G729" s="28" t="n"/>
      <c r="H729" s="1" t="n"/>
    </row>
    <row r="730">
      <c r="A730" s="1" t="n"/>
      <c r="B730" s="26" t="n"/>
      <c r="C730" s="27" t="n"/>
      <c r="D730" s="27" t="n"/>
      <c r="E730" s="21">
        <f>IF(OR(C730="",D730=""),"",ROUND(MOD(D730-C730,1)*24,2))</f>
        <v/>
      </c>
      <c r="F730" s="28" t="n"/>
      <c r="G730" s="28" t="n"/>
      <c r="H730" s="1" t="n"/>
    </row>
    <row r="731">
      <c r="A731" s="1" t="n"/>
      <c r="B731" s="26" t="n"/>
      <c r="C731" s="27" t="n"/>
      <c r="D731" s="27" t="n"/>
      <c r="E731" s="21">
        <f>IF(OR(C731="",D731=""),"",ROUND(MOD(D731-C731,1)*24,2))</f>
        <v/>
      </c>
      <c r="F731" s="28" t="n"/>
      <c r="G731" s="28" t="n"/>
      <c r="H731" s="1" t="n"/>
    </row>
    <row r="732">
      <c r="A732" s="1" t="n"/>
      <c r="B732" s="26" t="n"/>
      <c r="C732" s="27" t="n"/>
      <c r="D732" s="27" t="n"/>
      <c r="E732" s="21">
        <f>IF(OR(C732="",D732=""),"",ROUND(MOD(D732-C732,1)*24,2))</f>
        <v/>
      </c>
      <c r="F732" s="28" t="n"/>
      <c r="G732" s="28" t="n"/>
      <c r="H732" s="1" t="n"/>
    </row>
    <row r="733">
      <c r="A733" s="1" t="n"/>
      <c r="B733" s="26" t="n"/>
      <c r="C733" s="27" t="n"/>
      <c r="D733" s="27" t="n"/>
      <c r="E733" s="21">
        <f>IF(OR(C733="",D733=""),"",ROUND(MOD(D733-C733,1)*24,2))</f>
        <v/>
      </c>
      <c r="F733" s="28" t="n"/>
      <c r="G733" s="28" t="n"/>
      <c r="H733" s="1" t="n"/>
    </row>
    <row r="734">
      <c r="A734" s="1" t="n"/>
      <c r="B734" s="26" t="n"/>
      <c r="C734" s="27" t="n"/>
      <c r="D734" s="27" t="n"/>
      <c r="E734" s="21">
        <f>IF(OR(C734="",D734=""),"",ROUND(MOD(D734-C734,1)*24,2))</f>
        <v/>
      </c>
      <c r="F734" s="28" t="n"/>
      <c r="G734" s="28" t="n"/>
      <c r="H734" s="1" t="n"/>
    </row>
    <row r="735">
      <c r="A735" s="1" t="n"/>
      <c r="B735" s="26" t="n"/>
      <c r="C735" s="27" t="n"/>
      <c r="D735" s="27" t="n"/>
      <c r="E735" s="21">
        <f>IF(OR(C735="",D735=""),"",ROUND(MOD(D735-C735,1)*24,2))</f>
        <v/>
      </c>
      <c r="F735" s="28" t="n"/>
      <c r="G735" s="28" t="n"/>
      <c r="H735" s="1" t="n"/>
    </row>
    <row r="736">
      <c r="A736" s="1" t="n"/>
      <c r="B736" s="26" t="n"/>
      <c r="C736" s="27" t="n"/>
      <c r="D736" s="27" t="n"/>
      <c r="E736" s="21">
        <f>IF(OR(C736="",D736=""),"",ROUND(MOD(D736-C736,1)*24,2))</f>
        <v/>
      </c>
      <c r="F736" s="28" t="n"/>
      <c r="G736" s="28" t="n"/>
      <c r="H736" s="1" t="n"/>
    </row>
    <row r="737">
      <c r="A737" s="1" t="n"/>
      <c r="B737" s="26" t="n"/>
      <c r="C737" s="27" t="n"/>
      <c r="D737" s="27" t="n"/>
      <c r="E737" s="21">
        <f>IF(OR(C737="",D737=""),"",ROUND(MOD(D737-C737,1)*24,2))</f>
        <v/>
      </c>
      <c r="F737" s="28" t="n"/>
      <c r="G737" s="28" t="n"/>
      <c r="H737" s="1" t="n"/>
    </row>
    <row r="738">
      <c r="A738" s="1" t="n"/>
      <c r="B738" s="26" t="n"/>
      <c r="C738" s="27" t="n"/>
      <c r="D738" s="27" t="n"/>
      <c r="E738" s="21">
        <f>IF(OR(C738="",D738=""),"",ROUND(MOD(D738-C738,1)*24,2))</f>
        <v/>
      </c>
      <c r="F738" s="28" t="n"/>
      <c r="G738" s="28" t="n"/>
      <c r="H738" s="1" t="n"/>
    </row>
    <row r="739">
      <c r="A739" s="1" t="n"/>
      <c r="B739" s="26" t="n"/>
      <c r="C739" s="27" t="n"/>
      <c r="D739" s="27" t="n"/>
      <c r="E739" s="21">
        <f>IF(OR(C739="",D739=""),"",ROUND(MOD(D739-C739,1)*24,2))</f>
        <v/>
      </c>
      <c r="F739" s="28" t="n"/>
      <c r="G739" s="28" t="n"/>
      <c r="H739" s="1" t="n"/>
    </row>
    <row r="740">
      <c r="A740" s="1" t="n"/>
      <c r="B740" s="26" t="n"/>
      <c r="C740" s="27" t="n"/>
      <c r="D740" s="27" t="n"/>
      <c r="E740" s="21">
        <f>IF(OR(C740="",D740=""),"",ROUND(MOD(D740-C740,1)*24,2))</f>
        <v/>
      </c>
      <c r="F740" s="28" t="n"/>
      <c r="G740" s="28" t="n"/>
      <c r="H740" s="1" t="n"/>
    </row>
    <row r="741">
      <c r="A741" s="1" t="n"/>
      <c r="B741" s="26" t="n"/>
      <c r="C741" s="27" t="n"/>
      <c r="D741" s="27" t="n"/>
      <c r="E741" s="21">
        <f>IF(OR(C741="",D741=""),"",ROUND(MOD(D741-C741,1)*24,2))</f>
        <v/>
      </c>
      <c r="F741" s="28" t="n"/>
      <c r="G741" s="28" t="n"/>
      <c r="H741" s="1" t="n"/>
    </row>
    <row r="742">
      <c r="A742" s="1" t="n"/>
      <c r="B742" s="26" t="n"/>
      <c r="C742" s="27" t="n"/>
      <c r="D742" s="27" t="n"/>
      <c r="E742" s="21">
        <f>IF(OR(C742="",D742=""),"",ROUND(MOD(D742-C742,1)*24,2))</f>
        <v/>
      </c>
      <c r="F742" s="28" t="n"/>
      <c r="G742" s="28" t="n"/>
      <c r="H742" s="1" t="n"/>
    </row>
    <row r="743">
      <c r="A743" s="1" t="n"/>
      <c r="B743" s="26" t="n"/>
      <c r="C743" s="27" t="n"/>
      <c r="D743" s="27" t="n"/>
      <c r="E743" s="21">
        <f>IF(OR(C743="",D743=""),"",ROUND(MOD(D743-C743,1)*24,2))</f>
        <v/>
      </c>
      <c r="F743" s="28" t="n"/>
      <c r="G743" s="28" t="n"/>
      <c r="H743" s="1" t="n"/>
    </row>
    <row r="744">
      <c r="A744" s="1" t="n"/>
      <c r="B744" s="26" t="n"/>
      <c r="C744" s="27" t="n"/>
      <c r="D744" s="27" t="n"/>
      <c r="E744" s="21">
        <f>IF(OR(C744="",D744=""),"",ROUND(MOD(D744-C744,1)*24,2))</f>
        <v/>
      </c>
      <c r="F744" s="28" t="n"/>
      <c r="G744" s="28" t="n"/>
      <c r="H744" s="1" t="n"/>
    </row>
    <row r="745">
      <c r="A745" s="1" t="n"/>
      <c r="B745" s="26" t="n"/>
      <c r="C745" s="27" t="n"/>
      <c r="D745" s="27" t="n"/>
      <c r="E745" s="21">
        <f>IF(OR(C745="",D745=""),"",ROUND(MOD(D745-C745,1)*24,2))</f>
        <v/>
      </c>
      <c r="F745" s="28" t="n"/>
      <c r="G745" s="28" t="n"/>
      <c r="H745" s="1" t="n"/>
    </row>
    <row r="746">
      <c r="A746" s="1" t="n"/>
      <c r="B746" s="26" t="n"/>
      <c r="C746" s="27" t="n"/>
      <c r="D746" s="27" t="n"/>
      <c r="E746" s="21">
        <f>IF(OR(C746="",D746=""),"",ROUND(MOD(D746-C746,1)*24,2))</f>
        <v/>
      </c>
      <c r="F746" s="28" t="n"/>
      <c r="G746" s="28" t="n"/>
      <c r="H746" s="1" t="n"/>
    </row>
    <row r="747">
      <c r="A747" s="1" t="n"/>
      <c r="B747" s="26" t="n"/>
      <c r="C747" s="27" t="n"/>
      <c r="D747" s="27" t="n"/>
      <c r="E747" s="21">
        <f>IF(OR(C747="",D747=""),"",ROUND(MOD(D747-C747,1)*24,2))</f>
        <v/>
      </c>
      <c r="F747" s="28" t="n"/>
      <c r="G747" s="28" t="n"/>
      <c r="H747" s="1" t="n"/>
    </row>
    <row r="748">
      <c r="A748" s="1" t="n"/>
      <c r="B748" s="26" t="n"/>
      <c r="C748" s="27" t="n"/>
      <c r="D748" s="27" t="n"/>
      <c r="E748" s="21">
        <f>IF(OR(C748="",D748=""),"",ROUND(MOD(D748-C748,1)*24,2))</f>
        <v/>
      </c>
      <c r="F748" s="28" t="n"/>
      <c r="G748" s="28" t="n"/>
      <c r="H748" s="1" t="n"/>
    </row>
    <row r="749">
      <c r="A749" s="1" t="n"/>
      <c r="B749" s="26" t="n"/>
      <c r="C749" s="27" t="n"/>
      <c r="D749" s="27" t="n"/>
      <c r="E749" s="21">
        <f>IF(OR(C749="",D749=""),"",ROUND(MOD(D749-C749,1)*24,2))</f>
        <v/>
      </c>
      <c r="F749" s="28" t="n"/>
      <c r="G749" s="28" t="n"/>
      <c r="H749" s="1" t="n"/>
    </row>
    <row r="750">
      <c r="A750" s="1" t="n"/>
      <c r="B750" s="26" t="n"/>
      <c r="C750" s="27" t="n"/>
      <c r="D750" s="27" t="n"/>
      <c r="E750" s="21">
        <f>IF(OR(C750="",D750=""),"",ROUND(MOD(D750-C750,1)*24,2))</f>
        <v/>
      </c>
      <c r="F750" s="28" t="n"/>
      <c r="G750" s="28" t="n"/>
      <c r="H750" s="1" t="n"/>
    </row>
    <row r="751">
      <c r="A751" s="1" t="n"/>
      <c r="B751" s="26" t="n"/>
      <c r="C751" s="27" t="n"/>
      <c r="D751" s="27" t="n"/>
      <c r="E751" s="21">
        <f>IF(OR(C751="",D751=""),"",ROUND(MOD(D751-C751,1)*24,2))</f>
        <v/>
      </c>
      <c r="F751" s="28" t="n"/>
      <c r="G751" s="28" t="n"/>
      <c r="H751" s="1" t="n"/>
    </row>
    <row r="752">
      <c r="A752" s="1" t="n"/>
      <c r="B752" s="26" t="n"/>
      <c r="C752" s="27" t="n"/>
      <c r="D752" s="27" t="n"/>
      <c r="E752" s="21">
        <f>IF(OR(C752="",D752=""),"",ROUND(MOD(D752-C752,1)*24,2))</f>
        <v/>
      </c>
      <c r="F752" s="28" t="n"/>
      <c r="G752" s="28" t="n"/>
      <c r="H752" s="1" t="n"/>
    </row>
    <row r="753">
      <c r="A753" s="1" t="n"/>
      <c r="B753" s="26" t="n"/>
      <c r="C753" s="27" t="n"/>
      <c r="D753" s="27" t="n"/>
      <c r="E753" s="21">
        <f>IF(OR(C753="",D753=""),"",ROUND(MOD(D753-C753,1)*24,2))</f>
        <v/>
      </c>
      <c r="F753" s="28" t="n"/>
      <c r="G753" s="28" t="n"/>
      <c r="H753" s="1" t="n"/>
    </row>
    <row r="754">
      <c r="A754" s="1" t="n"/>
      <c r="B754" s="26" t="n"/>
      <c r="C754" s="27" t="n"/>
      <c r="D754" s="27" t="n"/>
      <c r="E754" s="21">
        <f>IF(OR(C754="",D754=""),"",ROUND(MOD(D754-C754,1)*24,2))</f>
        <v/>
      </c>
      <c r="F754" s="28" t="n"/>
      <c r="G754" s="28" t="n"/>
      <c r="H754" s="1" t="n"/>
    </row>
    <row r="755">
      <c r="A755" s="1" t="n"/>
      <c r="B755" s="26" t="n"/>
      <c r="C755" s="27" t="n"/>
      <c r="D755" s="27" t="n"/>
      <c r="E755" s="21">
        <f>IF(OR(C755="",D755=""),"",ROUND(MOD(D755-C755,1)*24,2))</f>
        <v/>
      </c>
      <c r="F755" s="28" t="n"/>
      <c r="G755" s="28" t="n"/>
      <c r="H755" s="1" t="n"/>
    </row>
    <row r="756">
      <c r="A756" s="1" t="n"/>
      <c r="B756" s="26" t="n"/>
      <c r="C756" s="27" t="n"/>
      <c r="D756" s="27" t="n"/>
      <c r="E756" s="21">
        <f>IF(OR(C756="",D756=""),"",ROUND(MOD(D756-C756,1)*24,2))</f>
        <v/>
      </c>
      <c r="F756" s="28" t="n"/>
      <c r="G756" s="28" t="n"/>
      <c r="H756" s="1" t="n"/>
    </row>
    <row r="757">
      <c r="A757" s="1" t="n"/>
      <c r="B757" s="26" t="n"/>
      <c r="C757" s="27" t="n"/>
      <c r="D757" s="27" t="n"/>
      <c r="E757" s="21">
        <f>IF(OR(C757="",D757=""),"",ROUND(MOD(D757-C757,1)*24,2))</f>
        <v/>
      </c>
      <c r="F757" s="28" t="n"/>
      <c r="G757" s="28" t="n"/>
      <c r="H757" s="1" t="n"/>
    </row>
    <row r="758">
      <c r="A758" s="1" t="n"/>
      <c r="B758" s="26" t="n"/>
      <c r="C758" s="27" t="n"/>
      <c r="D758" s="27" t="n"/>
      <c r="E758" s="21">
        <f>IF(OR(C758="",D758=""),"",ROUND(MOD(D758-C758,1)*24,2))</f>
        <v/>
      </c>
      <c r="F758" s="28" t="n"/>
      <c r="G758" s="28" t="n"/>
      <c r="H758" s="1" t="n"/>
    </row>
    <row r="759">
      <c r="A759" s="1" t="n"/>
      <c r="B759" s="26" t="n"/>
      <c r="C759" s="27" t="n"/>
      <c r="D759" s="27" t="n"/>
      <c r="E759" s="21">
        <f>IF(OR(C759="",D759=""),"",ROUND(MOD(D759-C759,1)*24,2))</f>
        <v/>
      </c>
      <c r="F759" s="28" t="n"/>
      <c r="G759" s="28" t="n"/>
      <c r="H759" s="1" t="n"/>
    </row>
    <row r="760">
      <c r="A760" s="1" t="n"/>
      <c r="B760" s="26" t="n"/>
      <c r="C760" s="27" t="n"/>
      <c r="D760" s="27" t="n"/>
      <c r="E760" s="21">
        <f>IF(OR(C760="",D760=""),"",ROUND(MOD(D760-C760,1)*24,2))</f>
        <v/>
      </c>
      <c r="F760" s="28" t="n"/>
      <c r="G760" s="28" t="n"/>
      <c r="H760" s="1" t="n"/>
    </row>
    <row r="761">
      <c r="A761" s="1" t="n"/>
      <c r="B761" s="26" t="n"/>
      <c r="C761" s="27" t="n"/>
      <c r="D761" s="27" t="n"/>
      <c r="E761" s="21">
        <f>IF(OR(C761="",D761=""),"",ROUND(MOD(D761-C761,1)*24,2))</f>
        <v/>
      </c>
      <c r="F761" s="28" t="n"/>
      <c r="G761" s="28" t="n"/>
      <c r="H761" s="1" t="n"/>
    </row>
    <row r="762">
      <c r="A762" s="1" t="n"/>
      <c r="B762" s="26" t="n"/>
      <c r="C762" s="27" t="n"/>
      <c r="D762" s="27" t="n"/>
      <c r="E762" s="21">
        <f>IF(OR(C762="",D762=""),"",ROUND(MOD(D762-C762,1)*24,2))</f>
        <v/>
      </c>
      <c r="F762" s="28" t="n"/>
      <c r="G762" s="28" t="n"/>
      <c r="H762" s="1" t="n"/>
    </row>
    <row r="763">
      <c r="A763" s="1" t="n"/>
      <c r="B763" s="26" t="n"/>
      <c r="C763" s="27" t="n"/>
      <c r="D763" s="27" t="n"/>
      <c r="E763" s="21">
        <f>IF(OR(C763="",D763=""),"",ROUND(MOD(D763-C763,1)*24,2))</f>
        <v/>
      </c>
      <c r="F763" s="28" t="n"/>
      <c r="G763" s="28" t="n"/>
      <c r="H763" s="1" t="n"/>
    </row>
    <row r="764">
      <c r="A764" s="1" t="n"/>
      <c r="B764" s="26" t="n"/>
      <c r="C764" s="27" t="n"/>
      <c r="D764" s="27" t="n"/>
      <c r="E764" s="21">
        <f>IF(OR(C764="",D764=""),"",ROUND(MOD(D764-C764,1)*24,2))</f>
        <v/>
      </c>
      <c r="F764" s="28" t="n"/>
      <c r="G764" s="28" t="n"/>
      <c r="H764" s="1" t="n"/>
    </row>
    <row r="765">
      <c r="A765" s="1" t="n"/>
      <c r="B765" s="26" t="n"/>
      <c r="C765" s="27" t="n"/>
      <c r="D765" s="27" t="n"/>
      <c r="E765" s="21">
        <f>IF(OR(C765="",D765=""),"",ROUND(MOD(D765-C765,1)*24,2))</f>
        <v/>
      </c>
      <c r="F765" s="28" t="n"/>
      <c r="G765" s="28" t="n"/>
      <c r="H765" s="1" t="n"/>
    </row>
    <row r="766">
      <c r="A766" s="1" t="n"/>
      <c r="B766" s="26" t="n"/>
      <c r="C766" s="27" t="n"/>
      <c r="D766" s="27" t="n"/>
      <c r="E766" s="21">
        <f>IF(OR(C766="",D766=""),"",ROUND(MOD(D766-C766,1)*24,2))</f>
        <v/>
      </c>
      <c r="F766" s="28" t="n"/>
      <c r="G766" s="28" t="n"/>
      <c r="H766" s="1" t="n"/>
    </row>
    <row r="767">
      <c r="A767" s="1" t="n"/>
      <c r="B767" s="26" t="n"/>
      <c r="C767" s="27" t="n"/>
      <c r="D767" s="27" t="n"/>
      <c r="E767" s="21">
        <f>IF(OR(C767="",D767=""),"",ROUND(MOD(D767-C767,1)*24,2))</f>
        <v/>
      </c>
      <c r="F767" s="28" t="n"/>
      <c r="G767" s="28" t="n"/>
      <c r="H767" s="1" t="n"/>
    </row>
    <row r="768">
      <c r="A768" s="1" t="n"/>
      <c r="B768" s="26" t="n"/>
      <c r="C768" s="27" t="n"/>
      <c r="D768" s="27" t="n"/>
      <c r="E768" s="21">
        <f>IF(OR(C768="",D768=""),"",ROUND(MOD(D768-C768,1)*24,2))</f>
        <v/>
      </c>
      <c r="F768" s="28" t="n"/>
      <c r="G768" s="28" t="n"/>
      <c r="H768" s="1" t="n"/>
    </row>
    <row r="769">
      <c r="A769" s="1" t="n"/>
      <c r="B769" s="26" t="n"/>
      <c r="C769" s="27" t="n"/>
      <c r="D769" s="27" t="n"/>
      <c r="E769" s="21">
        <f>IF(OR(C769="",D769=""),"",ROUND(MOD(D769-C769,1)*24,2))</f>
        <v/>
      </c>
      <c r="F769" s="28" t="n"/>
      <c r="G769" s="28" t="n"/>
      <c r="H769" s="1" t="n"/>
    </row>
    <row r="770">
      <c r="A770" s="1" t="n"/>
      <c r="B770" s="26" t="n"/>
      <c r="C770" s="27" t="n"/>
      <c r="D770" s="27" t="n"/>
      <c r="E770" s="21">
        <f>IF(OR(C770="",D770=""),"",ROUND(MOD(D770-C770,1)*24,2))</f>
        <v/>
      </c>
      <c r="F770" s="28" t="n"/>
      <c r="G770" s="28" t="n"/>
      <c r="H770" s="1" t="n"/>
    </row>
    <row r="771">
      <c r="A771" s="1" t="n"/>
      <c r="B771" s="26" t="n"/>
      <c r="C771" s="27" t="n"/>
      <c r="D771" s="27" t="n"/>
      <c r="E771" s="21">
        <f>IF(OR(C771="",D771=""),"",ROUND(MOD(D771-C771,1)*24,2))</f>
        <v/>
      </c>
      <c r="F771" s="28" t="n"/>
      <c r="G771" s="28" t="n"/>
      <c r="H771" s="1" t="n"/>
    </row>
    <row r="772">
      <c r="A772" s="1" t="n"/>
      <c r="B772" s="26" t="n"/>
      <c r="C772" s="27" t="n"/>
      <c r="D772" s="27" t="n"/>
      <c r="E772" s="21">
        <f>IF(OR(C772="",D772=""),"",ROUND(MOD(D772-C772,1)*24,2))</f>
        <v/>
      </c>
      <c r="F772" s="28" t="n"/>
      <c r="G772" s="28" t="n"/>
      <c r="H772" s="1" t="n"/>
    </row>
    <row r="773">
      <c r="A773" s="1" t="n"/>
      <c r="B773" s="26" t="n"/>
      <c r="C773" s="27" t="n"/>
      <c r="D773" s="27" t="n"/>
      <c r="E773" s="21">
        <f>IF(OR(C773="",D773=""),"",ROUND(MOD(D773-C773,1)*24,2))</f>
        <v/>
      </c>
      <c r="F773" s="28" t="n"/>
      <c r="G773" s="28" t="n"/>
      <c r="H773" s="1" t="n"/>
    </row>
    <row r="774">
      <c r="A774" s="1" t="n"/>
      <c r="B774" s="26" t="n"/>
      <c r="C774" s="27" t="n"/>
      <c r="D774" s="27" t="n"/>
      <c r="E774" s="21">
        <f>IF(OR(C774="",D774=""),"",ROUND(MOD(D774-C774,1)*24,2))</f>
        <v/>
      </c>
      <c r="F774" s="28" t="n"/>
      <c r="G774" s="28" t="n"/>
      <c r="H774" s="1" t="n"/>
    </row>
    <row r="775">
      <c r="A775" s="1" t="n"/>
      <c r="B775" s="26" t="n"/>
      <c r="C775" s="27" t="n"/>
      <c r="D775" s="27" t="n"/>
      <c r="E775" s="21">
        <f>IF(OR(C775="",D775=""),"",ROUND(MOD(D775-C775,1)*24,2))</f>
        <v/>
      </c>
      <c r="F775" s="28" t="n"/>
      <c r="G775" s="28" t="n"/>
      <c r="H775" s="1" t="n"/>
    </row>
    <row r="776">
      <c r="A776" s="1" t="n"/>
      <c r="B776" s="26" t="n"/>
      <c r="C776" s="27" t="n"/>
      <c r="D776" s="27" t="n"/>
      <c r="E776" s="21">
        <f>IF(OR(C776="",D776=""),"",ROUND(MOD(D776-C776,1)*24,2))</f>
        <v/>
      </c>
      <c r="F776" s="28" t="n"/>
      <c r="G776" s="28" t="n"/>
      <c r="H776" s="1" t="n"/>
    </row>
    <row r="777">
      <c r="A777" s="1" t="n"/>
      <c r="B777" s="26" t="n"/>
      <c r="C777" s="27" t="n"/>
      <c r="D777" s="27" t="n"/>
      <c r="E777" s="21">
        <f>IF(OR(C777="",D777=""),"",ROUND(MOD(D777-C777,1)*24,2))</f>
        <v/>
      </c>
      <c r="F777" s="28" t="n"/>
      <c r="G777" s="28" t="n"/>
      <c r="H777" s="1" t="n"/>
    </row>
    <row r="778">
      <c r="A778" s="1" t="n"/>
      <c r="B778" s="26" t="n"/>
      <c r="C778" s="27" t="n"/>
      <c r="D778" s="27" t="n"/>
      <c r="E778" s="21">
        <f>IF(OR(C778="",D778=""),"",ROUND(MOD(D778-C778,1)*24,2))</f>
        <v/>
      </c>
      <c r="F778" s="28" t="n"/>
      <c r="G778" s="28" t="n"/>
      <c r="H778" s="1" t="n"/>
    </row>
    <row r="779">
      <c r="A779" s="1" t="n"/>
      <c r="B779" s="26" t="n"/>
      <c r="C779" s="27" t="n"/>
      <c r="D779" s="27" t="n"/>
      <c r="E779" s="21">
        <f>IF(OR(C779="",D779=""),"",ROUND(MOD(D779-C779,1)*24,2))</f>
        <v/>
      </c>
      <c r="F779" s="28" t="n"/>
      <c r="G779" s="28" t="n"/>
      <c r="H779" s="1" t="n"/>
    </row>
    <row r="780">
      <c r="A780" s="1" t="n"/>
      <c r="B780" s="26" t="n"/>
      <c r="C780" s="27" t="n"/>
      <c r="D780" s="27" t="n"/>
      <c r="E780" s="21">
        <f>IF(OR(C780="",D780=""),"",ROUND(MOD(D780-C780,1)*24,2))</f>
        <v/>
      </c>
      <c r="F780" s="28" t="n"/>
      <c r="G780" s="28" t="n"/>
      <c r="H780" s="1" t="n"/>
    </row>
    <row r="781">
      <c r="A781" s="1" t="n"/>
      <c r="B781" s="26" t="n"/>
      <c r="C781" s="27" t="n"/>
      <c r="D781" s="27" t="n"/>
      <c r="E781" s="21">
        <f>IF(OR(C781="",D781=""),"",ROUND(MOD(D781-C781,1)*24,2))</f>
        <v/>
      </c>
      <c r="F781" s="28" t="n"/>
      <c r="G781" s="28" t="n"/>
      <c r="H781" s="1" t="n"/>
    </row>
    <row r="782">
      <c r="A782" s="1" t="n"/>
      <c r="B782" s="26" t="n"/>
      <c r="C782" s="27" t="n"/>
      <c r="D782" s="27" t="n"/>
      <c r="E782" s="21">
        <f>IF(OR(C782="",D782=""),"",ROUND(MOD(D782-C782,1)*24,2))</f>
        <v/>
      </c>
      <c r="F782" s="28" t="n"/>
      <c r="G782" s="28" t="n"/>
      <c r="H782" s="1" t="n"/>
    </row>
    <row r="783">
      <c r="A783" s="1" t="n"/>
      <c r="B783" s="26" t="n"/>
      <c r="C783" s="27" t="n"/>
      <c r="D783" s="27" t="n"/>
      <c r="E783" s="21">
        <f>IF(OR(C783="",D783=""),"",ROUND(MOD(D783-C783,1)*24,2))</f>
        <v/>
      </c>
      <c r="F783" s="28" t="n"/>
      <c r="G783" s="28" t="n"/>
      <c r="H783" s="1" t="n"/>
    </row>
    <row r="784">
      <c r="A784" s="1" t="n"/>
      <c r="B784" s="26" t="n"/>
      <c r="C784" s="27" t="n"/>
      <c r="D784" s="27" t="n"/>
      <c r="E784" s="21">
        <f>IF(OR(C784="",D784=""),"",ROUND(MOD(D784-C784,1)*24,2))</f>
        <v/>
      </c>
      <c r="F784" s="28" t="n"/>
      <c r="G784" s="28" t="n"/>
      <c r="H784" s="1" t="n"/>
    </row>
    <row r="785">
      <c r="A785" s="1" t="n"/>
      <c r="B785" s="26" t="n"/>
      <c r="C785" s="27" t="n"/>
      <c r="D785" s="27" t="n"/>
      <c r="E785" s="21">
        <f>IF(OR(C785="",D785=""),"",ROUND(MOD(D785-C785,1)*24,2))</f>
        <v/>
      </c>
      <c r="F785" s="28" t="n"/>
      <c r="G785" s="28" t="n"/>
      <c r="H785" s="1" t="n"/>
    </row>
    <row r="786">
      <c r="A786" s="1" t="n"/>
      <c r="B786" s="26" t="n"/>
      <c r="C786" s="27" t="n"/>
      <c r="D786" s="27" t="n"/>
      <c r="E786" s="21">
        <f>IF(OR(C786="",D786=""),"",ROUND(MOD(D786-C786,1)*24,2))</f>
        <v/>
      </c>
      <c r="F786" s="28" t="n"/>
      <c r="G786" s="28" t="n"/>
      <c r="H786" s="1" t="n"/>
    </row>
    <row r="787">
      <c r="A787" s="1" t="n"/>
      <c r="B787" s="26" t="n"/>
      <c r="C787" s="27" t="n"/>
      <c r="D787" s="27" t="n"/>
      <c r="E787" s="21">
        <f>IF(OR(C787="",D787=""),"",ROUND(MOD(D787-C787,1)*24,2))</f>
        <v/>
      </c>
      <c r="F787" s="28" t="n"/>
      <c r="G787" s="28" t="n"/>
      <c r="H787" s="1" t="n"/>
    </row>
    <row r="788">
      <c r="A788" s="1" t="n"/>
      <c r="B788" s="26" t="n"/>
      <c r="C788" s="27" t="n"/>
      <c r="D788" s="27" t="n"/>
      <c r="E788" s="21">
        <f>IF(OR(C788="",D788=""),"",ROUND(MOD(D788-C788,1)*24,2))</f>
        <v/>
      </c>
      <c r="F788" s="28" t="n"/>
      <c r="G788" s="28" t="n"/>
      <c r="H788" s="1" t="n"/>
    </row>
    <row r="789">
      <c r="A789" s="1" t="n"/>
      <c r="B789" s="26" t="n"/>
      <c r="C789" s="27" t="n"/>
      <c r="D789" s="27" t="n"/>
      <c r="E789" s="21">
        <f>IF(OR(C789="",D789=""),"",ROUND(MOD(D789-C789,1)*24,2))</f>
        <v/>
      </c>
      <c r="F789" s="28" t="n"/>
      <c r="G789" s="28" t="n"/>
      <c r="H789" s="1" t="n"/>
    </row>
    <row r="790">
      <c r="A790" s="1" t="n"/>
      <c r="B790" s="26" t="n"/>
      <c r="C790" s="27" t="n"/>
      <c r="D790" s="27" t="n"/>
      <c r="E790" s="21">
        <f>IF(OR(C790="",D790=""),"",ROUND(MOD(D790-C790,1)*24,2))</f>
        <v/>
      </c>
      <c r="F790" s="28" t="n"/>
      <c r="G790" s="28" t="n"/>
      <c r="H790" s="1" t="n"/>
    </row>
    <row r="791">
      <c r="A791" s="1" t="n"/>
      <c r="B791" s="26" t="n"/>
      <c r="C791" s="27" t="n"/>
      <c r="D791" s="27" t="n"/>
      <c r="E791" s="21">
        <f>IF(OR(C791="",D791=""),"",ROUND(MOD(D791-C791,1)*24,2))</f>
        <v/>
      </c>
      <c r="F791" s="28" t="n"/>
      <c r="G791" s="28" t="n"/>
      <c r="H791" s="1" t="n"/>
    </row>
    <row r="792">
      <c r="A792" s="1" t="n"/>
      <c r="B792" s="26" t="n"/>
      <c r="C792" s="27" t="n"/>
      <c r="D792" s="27" t="n"/>
      <c r="E792" s="21">
        <f>IF(OR(C792="",D792=""),"",ROUND(MOD(D792-C792,1)*24,2))</f>
        <v/>
      </c>
      <c r="F792" s="28" t="n"/>
      <c r="G792" s="28" t="n"/>
      <c r="H792" s="1" t="n"/>
    </row>
    <row r="793">
      <c r="A793" s="1" t="n"/>
      <c r="B793" s="26" t="n"/>
      <c r="C793" s="27" t="n"/>
      <c r="D793" s="27" t="n"/>
      <c r="E793" s="21">
        <f>IF(OR(C793="",D793=""),"",ROUND(MOD(D793-C793,1)*24,2))</f>
        <v/>
      </c>
      <c r="F793" s="28" t="n"/>
      <c r="G793" s="28" t="n"/>
      <c r="H793" s="1" t="n"/>
    </row>
    <row r="794">
      <c r="A794" s="1" t="n"/>
      <c r="B794" s="26" t="n"/>
      <c r="C794" s="27" t="n"/>
      <c r="D794" s="27" t="n"/>
      <c r="E794" s="21">
        <f>IF(OR(C794="",D794=""),"",ROUND(MOD(D794-C794,1)*24,2))</f>
        <v/>
      </c>
      <c r="F794" s="28" t="n"/>
      <c r="G794" s="28" t="n"/>
      <c r="H794" s="1" t="n"/>
    </row>
    <row r="795">
      <c r="A795" s="1" t="n"/>
      <c r="B795" s="26" t="n"/>
      <c r="C795" s="27" t="n"/>
      <c r="D795" s="27" t="n"/>
      <c r="E795" s="21">
        <f>IF(OR(C795="",D795=""),"",ROUND(MOD(D795-C795,1)*24,2))</f>
        <v/>
      </c>
      <c r="F795" s="28" t="n"/>
      <c r="G795" s="28" t="n"/>
      <c r="H795" s="1" t="n"/>
    </row>
    <row r="796">
      <c r="A796" s="1" t="n"/>
      <c r="B796" s="26" t="n"/>
      <c r="C796" s="27" t="n"/>
      <c r="D796" s="27" t="n"/>
      <c r="E796" s="21">
        <f>IF(OR(C796="",D796=""),"",ROUND(MOD(D796-C796,1)*24,2))</f>
        <v/>
      </c>
      <c r="F796" s="28" t="n"/>
      <c r="G796" s="28" t="n"/>
      <c r="H796" s="1" t="n"/>
    </row>
    <row r="797">
      <c r="A797" s="1" t="n"/>
      <c r="B797" s="26" t="n"/>
      <c r="C797" s="27" t="n"/>
      <c r="D797" s="27" t="n"/>
      <c r="E797" s="21">
        <f>IF(OR(C797="",D797=""),"",ROUND(MOD(D797-C797,1)*24,2))</f>
        <v/>
      </c>
      <c r="F797" s="28" t="n"/>
      <c r="G797" s="28" t="n"/>
      <c r="H797" s="1" t="n"/>
    </row>
    <row r="798">
      <c r="A798" s="1" t="n"/>
      <c r="B798" s="26" t="n"/>
      <c r="C798" s="27" t="n"/>
      <c r="D798" s="27" t="n"/>
      <c r="E798" s="21">
        <f>IF(OR(C798="",D798=""),"",ROUND(MOD(D798-C798,1)*24,2))</f>
        <v/>
      </c>
      <c r="F798" s="28" t="n"/>
      <c r="G798" s="28" t="n"/>
      <c r="H798" s="1" t="n"/>
    </row>
    <row r="799">
      <c r="A799" s="1" t="n"/>
      <c r="B799" s="26" t="n"/>
      <c r="C799" s="27" t="n"/>
      <c r="D799" s="27" t="n"/>
      <c r="E799" s="21">
        <f>IF(OR(C799="",D799=""),"",ROUND(MOD(D799-C799,1)*24,2))</f>
        <v/>
      </c>
      <c r="F799" s="28" t="n"/>
      <c r="G799" s="28" t="n"/>
      <c r="H799" s="1" t="n"/>
    </row>
    <row r="800">
      <c r="A800" s="1" t="n"/>
      <c r="B800" s="26" t="n"/>
      <c r="C800" s="27" t="n"/>
      <c r="D800" s="27" t="n"/>
      <c r="E800" s="21">
        <f>IF(OR(C800="",D800=""),"",ROUND(MOD(D800-C800,1)*24,2))</f>
        <v/>
      </c>
      <c r="F800" s="28" t="n"/>
      <c r="G800" s="28" t="n"/>
      <c r="H800" s="1" t="n"/>
    </row>
    <row r="801">
      <c r="A801" s="1" t="n"/>
      <c r="B801" s="26" t="n"/>
      <c r="C801" s="27" t="n"/>
      <c r="D801" s="27" t="n"/>
      <c r="E801" s="21">
        <f>IF(OR(C801="",D801=""),"",ROUND(MOD(D801-C801,1)*24,2))</f>
        <v/>
      </c>
      <c r="F801" s="28" t="n"/>
      <c r="G801" s="28" t="n"/>
      <c r="H801" s="1" t="n"/>
    </row>
    <row r="802">
      <c r="A802" s="1" t="n"/>
      <c r="B802" s="26" t="n"/>
      <c r="C802" s="27" t="n"/>
      <c r="D802" s="27" t="n"/>
      <c r="E802" s="21">
        <f>IF(OR(C802="",D802=""),"",ROUND(MOD(D802-C802,1)*24,2))</f>
        <v/>
      </c>
      <c r="F802" s="28" t="n"/>
      <c r="G802" s="28" t="n"/>
      <c r="H802" s="1" t="n"/>
    </row>
    <row r="803">
      <c r="A803" s="1" t="n"/>
      <c r="B803" s="26" t="n"/>
      <c r="C803" s="27" t="n"/>
      <c r="D803" s="27" t="n"/>
      <c r="E803" s="21">
        <f>IF(OR(C803="",D803=""),"",ROUND(MOD(D803-C803,1)*24,2))</f>
        <v/>
      </c>
      <c r="F803" s="28" t="n"/>
      <c r="G803" s="28" t="n"/>
      <c r="H803" s="1" t="n"/>
    </row>
    <row r="804">
      <c r="A804" s="1" t="n"/>
      <c r="B804" s="26" t="n"/>
      <c r="C804" s="27" t="n"/>
      <c r="D804" s="27" t="n"/>
      <c r="E804" s="21">
        <f>IF(OR(C804="",D804=""),"",ROUND(MOD(D804-C804,1)*24,2))</f>
        <v/>
      </c>
      <c r="F804" s="28" t="n"/>
      <c r="G804" s="28" t="n"/>
      <c r="H804" s="1" t="n"/>
    </row>
    <row r="805">
      <c r="A805" s="1" t="n"/>
      <c r="B805" s="26" t="n"/>
      <c r="C805" s="27" t="n"/>
      <c r="D805" s="27" t="n"/>
      <c r="E805" s="21">
        <f>IF(OR(C805="",D805=""),"",ROUND(MOD(D805-C805,1)*24,2))</f>
        <v/>
      </c>
      <c r="F805" s="28" t="n"/>
      <c r="G805" s="28" t="n"/>
      <c r="H805" s="1" t="n"/>
    </row>
    <row r="806">
      <c r="A806" s="1" t="n"/>
      <c r="B806" s="26" t="n"/>
      <c r="C806" s="27" t="n"/>
      <c r="D806" s="27" t="n"/>
      <c r="E806" s="21">
        <f>IF(OR(C806="",D806=""),"",ROUND(MOD(D806-C806,1)*24,2))</f>
        <v/>
      </c>
      <c r="F806" s="28" t="n"/>
      <c r="G806" s="28" t="n"/>
      <c r="H806" s="1" t="n"/>
    </row>
    <row r="807">
      <c r="A807" s="1" t="n"/>
      <c r="B807" s="26" t="n"/>
      <c r="C807" s="27" t="n"/>
      <c r="D807" s="27" t="n"/>
      <c r="E807" s="21">
        <f>IF(OR(C807="",D807=""),"",ROUND(MOD(D807-C807,1)*24,2))</f>
        <v/>
      </c>
      <c r="F807" s="28" t="n"/>
      <c r="G807" s="28" t="n"/>
      <c r="H807" s="1" t="n"/>
    </row>
    <row r="808">
      <c r="A808" s="1" t="n"/>
      <c r="B808" s="26" t="n"/>
      <c r="C808" s="27" t="n"/>
      <c r="D808" s="27" t="n"/>
      <c r="E808" s="21">
        <f>IF(OR(C808="",D808=""),"",ROUND(MOD(D808-C808,1)*24,2))</f>
        <v/>
      </c>
      <c r="F808" s="28" t="n"/>
      <c r="G808" s="28" t="n"/>
      <c r="H808" s="1" t="n"/>
    </row>
    <row r="809">
      <c r="A809" s="1" t="n"/>
      <c r="B809" s="26" t="n"/>
      <c r="C809" s="27" t="n"/>
      <c r="D809" s="27" t="n"/>
      <c r="E809" s="21">
        <f>IF(OR(C809="",D809=""),"",ROUND(MOD(D809-C809,1)*24,2))</f>
        <v/>
      </c>
      <c r="F809" s="28" t="n"/>
      <c r="G809" s="28" t="n"/>
      <c r="H809" s="1" t="n"/>
    </row>
    <row r="810">
      <c r="A810" s="1" t="n"/>
      <c r="B810" s="26" t="n"/>
      <c r="C810" s="27" t="n"/>
      <c r="D810" s="27" t="n"/>
      <c r="E810" s="21">
        <f>IF(OR(C810="",D810=""),"",ROUND(MOD(D810-C810,1)*24,2))</f>
        <v/>
      </c>
      <c r="F810" s="28" t="n"/>
      <c r="G810" s="28" t="n"/>
      <c r="H810" s="1" t="n"/>
    </row>
    <row r="811">
      <c r="A811" s="1" t="n"/>
      <c r="B811" s="26" t="n"/>
      <c r="C811" s="27" t="n"/>
      <c r="D811" s="27" t="n"/>
      <c r="E811" s="21">
        <f>IF(OR(C811="",D811=""),"",ROUND(MOD(D811-C811,1)*24,2))</f>
        <v/>
      </c>
      <c r="F811" s="28" t="n"/>
      <c r="G811" s="28" t="n"/>
      <c r="H811" s="1" t="n"/>
    </row>
    <row r="812">
      <c r="A812" s="1" t="n"/>
      <c r="B812" s="26" t="n"/>
      <c r="C812" s="27" t="n"/>
      <c r="D812" s="27" t="n"/>
      <c r="E812" s="21">
        <f>IF(OR(C812="",D812=""),"",ROUND(MOD(D812-C812,1)*24,2))</f>
        <v/>
      </c>
      <c r="F812" s="28" t="n"/>
      <c r="G812" s="28" t="n"/>
      <c r="H812" s="1" t="n"/>
    </row>
    <row r="813">
      <c r="A813" s="1" t="n"/>
      <c r="B813" s="26" t="n"/>
      <c r="C813" s="27" t="n"/>
      <c r="D813" s="27" t="n"/>
      <c r="E813" s="21">
        <f>IF(OR(C813="",D813=""),"",ROUND(MOD(D813-C813,1)*24,2))</f>
        <v/>
      </c>
      <c r="F813" s="28" t="n"/>
      <c r="G813" s="28" t="n"/>
      <c r="H813" s="1" t="n"/>
    </row>
    <row r="814">
      <c r="A814" s="1" t="n"/>
      <c r="B814" s="26" t="n"/>
      <c r="C814" s="27" t="n"/>
      <c r="D814" s="27" t="n"/>
      <c r="E814" s="21">
        <f>IF(OR(C814="",D814=""),"",ROUND(MOD(D814-C814,1)*24,2))</f>
        <v/>
      </c>
      <c r="F814" s="28" t="n"/>
      <c r="G814" s="28" t="n"/>
      <c r="H814" s="1" t="n"/>
    </row>
    <row r="815">
      <c r="A815" s="1" t="n"/>
      <c r="B815" s="26" t="n"/>
      <c r="C815" s="27" t="n"/>
      <c r="D815" s="27" t="n"/>
      <c r="E815" s="21">
        <f>IF(OR(C815="",D815=""),"",ROUND(MOD(D815-C815,1)*24,2))</f>
        <v/>
      </c>
      <c r="F815" s="28" t="n"/>
      <c r="G815" s="28" t="n"/>
      <c r="H815" s="1" t="n"/>
    </row>
    <row r="816">
      <c r="A816" s="1" t="n"/>
      <c r="B816" s="26" t="n"/>
      <c r="C816" s="27" t="n"/>
      <c r="D816" s="27" t="n"/>
      <c r="E816" s="21">
        <f>IF(OR(C816="",D816=""),"",ROUND(MOD(D816-C816,1)*24,2))</f>
        <v/>
      </c>
      <c r="F816" s="28" t="n"/>
      <c r="G816" s="28" t="n"/>
      <c r="H816" s="1" t="n"/>
    </row>
    <row r="817">
      <c r="A817" s="1" t="n"/>
      <c r="B817" s="26" t="n"/>
      <c r="C817" s="27" t="n"/>
      <c r="D817" s="27" t="n"/>
      <c r="E817" s="21">
        <f>IF(OR(C817="",D817=""),"",ROUND(MOD(D817-C817,1)*24,2))</f>
        <v/>
      </c>
      <c r="F817" s="28" t="n"/>
      <c r="G817" s="28" t="n"/>
      <c r="H817" s="1" t="n"/>
    </row>
    <row r="818">
      <c r="A818" s="1" t="n"/>
      <c r="B818" s="26" t="n"/>
      <c r="C818" s="27" t="n"/>
      <c r="D818" s="27" t="n"/>
      <c r="E818" s="21">
        <f>IF(OR(C818="",D818=""),"",ROUND(MOD(D818-C818,1)*24,2))</f>
        <v/>
      </c>
      <c r="F818" s="28" t="n"/>
      <c r="G818" s="28" t="n"/>
      <c r="H818" s="1" t="n"/>
    </row>
    <row r="819">
      <c r="A819" s="1" t="n"/>
      <c r="B819" s="26" t="n"/>
      <c r="C819" s="27" t="n"/>
      <c r="D819" s="27" t="n"/>
      <c r="E819" s="21">
        <f>IF(OR(C819="",D819=""),"",ROUND(MOD(D819-C819,1)*24,2))</f>
        <v/>
      </c>
      <c r="F819" s="28" t="n"/>
      <c r="G819" s="28" t="n"/>
      <c r="H819" s="1" t="n"/>
    </row>
    <row r="820">
      <c r="A820" s="1" t="n"/>
      <c r="B820" s="26" t="n"/>
      <c r="C820" s="27" t="n"/>
      <c r="D820" s="27" t="n"/>
      <c r="E820" s="21">
        <f>IF(OR(C820="",D820=""),"",ROUND(MOD(D820-C820,1)*24,2))</f>
        <v/>
      </c>
      <c r="F820" s="28" t="n"/>
      <c r="G820" s="28" t="n"/>
      <c r="H820" s="1" t="n"/>
    </row>
    <row r="821">
      <c r="A821" s="1" t="n"/>
      <c r="B821" s="26" t="n"/>
      <c r="C821" s="27" t="n"/>
      <c r="D821" s="27" t="n"/>
      <c r="E821" s="21">
        <f>IF(OR(C821="",D821=""),"",ROUND(MOD(D821-C821,1)*24,2))</f>
        <v/>
      </c>
      <c r="F821" s="28" t="n"/>
      <c r="G821" s="28" t="n"/>
      <c r="H821" s="1" t="n"/>
    </row>
    <row r="822">
      <c r="A822" s="1" t="n"/>
      <c r="B822" s="26" t="n"/>
      <c r="C822" s="27" t="n"/>
      <c r="D822" s="27" t="n"/>
      <c r="E822" s="21">
        <f>IF(OR(C822="",D822=""),"",ROUND(MOD(D822-C822,1)*24,2))</f>
        <v/>
      </c>
      <c r="F822" s="28" t="n"/>
      <c r="G822" s="28" t="n"/>
      <c r="H822" s="1" t="n"/>
    </row>
    <row r="823">
      <c r="A823" s="1" t="n"/>
      <c r="B823" s="26" t="n"/>
      <c r="C823" s="27" t="n"/>
      <c r="D823" s="27" t="n"/>
      <c r="E823" s="21">
        <f>IF(OR(C823="",D823=""),"",ROUND(MOD(D823-C823,1)*24,2))</f>
        <v/>
      </c>
      <c r="F823" s="28" t="n"/>
      <c r="G823" s="28" t="n"/>
      <c r="H823" s="1" t="n"/>
    </row>
    <row r="824">
      <c r="A824" s="1" t="n"/>
      <c r="B824" s="26" t="n"/>
      <c r="C824" s="27" t="n"/>
      <c r="D824" s="27" t="n"/>
      <c r="E824" s="21">
        <f>IF(OR(C824="",D824=""),"",ROUND(MOD(D824-C824,1)*24,2))</f>
        <v/>
      </c>
      <c r="F824" s="28" t="n"/>
      <c r="G824" s="28" t="n"/>
      <c r="H824" s="1" t="n"/>
    </row>
    <row r="825">
      <c r="A825" s="1" t="n"/>
      <c r="B825" s="26" t="n"/>
      <c r="C825" s="27" t="n"/>
      <c r="D825" s="27" t="n"/>
      <c r="E825" s="21">
        <f>IF(OR(C825="",D825=""),"",ROUND(MOD(D825-C825,1)*24,2))</f>
        <v/>
      </c>
      <c r="F825" s="28" t="n"/>
      <c r="G825" s="28" t="n"/>
      <c r="H825" s="1" t="n"/>
    </row>
    <row r="826">
      <c r="A826" s="1" t="n"/>
      <c r="B826" s="26" t="n"/>
      <c r="C826" s="27" t="n"/>
      <c r="D826" s="27" t="n"/>
      <c r="E826" s="21">
        <f>IF(OR(C826="",D826=""),"",ROUND(MOD(D826-C826,1)*24,2))</f>
        <v/>
      </c>
      <c r="F826" s="28" t="n"/>
      <c r="G826" s="28" t="n"/>
      <c r="H826" s="1" t="n"/>
    </row>
    <row r="827">
      <c r="A827" s="1" t="n"/>
      <c r="B827" s="26" t="n"/>
      <c r="C827" s="27" t="n"/>
      <c r="D827" s="27" t="n"/>
      <c r="E827" s="21">
        <f>IF(OR(C827="",D827=""),"",ROUND(MOD(D827-C827,1)*24,2))</f>
        <v/>
      </c>
      <c r="F827" s="28" t="n"/>
      <c r="G827" s="28" t="n"/>
      <c r="H827" s="1" t="n"/>
    </row>
    <row r="828">
      <c r="A828" s="1" t="n"/>
      <c r="B828" s="26" t="n"/>
      <c r="C828" s="27" t="n"/>
      <c r="D828" s="27" t="n"/>
      <c r="E828" s="21">
        <f>IF(OR(C828="",D828=""),"",ROUND(MOD(D828-C828,1)*24,2))</f>
        <v/>
      </c>
      <c r="F828" s="28" t="n"/>
      <c r="G828" s="28" t="n"/>
      <c r="H828" s="1" t="n"/>
    </row>
    <row r="829">
      <c r="A829" s="1" t="n"/>
      <c r="B829" s="26" t="n"/>
      <c r="C829" s="27" t="n"/>
      <c r="D829" s="27" t="n"/>
      <c r="E829" s="21">
        <f>IF(OR(C829="",D829=""),"",ROUND(MOD(D829-C829,1)*24,2))</f>
        <v/>
      </c>
      <c r="F829" s="28" t="n"/>
      <c r="G829" s="28" t="n"/>
      <c r="H829" s="1" t="n"/>
    </row>
    <row r="830">
      <c r="A830" s="1" t="n"/>
      <c r="B830" s="26" t="n"/>
      <c r="C830" s="27" t="n"/>
      <c r="D830" s="27" t="n"/>
      <c r="E830" s="21">
        <f>IF(OR(C830="",D830=""),"",ROUND(MOD(D830-C830,1)*24,2))</f>
        <v/>
      </c>
      <c r="F830" s="28" t="n"/>
      <c r="G830" s="28" t="n"/>
      <c r="H830" s="1" t="n"/>
    </row>
    <row r="831">
      <c r="A831" s="1" t="n"/>
      <c r="B831" s="26" t="n"/>
      <c r="C831" s="27" t="n"/>
      <c r="D831" s="27" t="n"/>
      <c r="E831" s="21">
        <f>IF(OR(C831="",D831=""),"",ROUND(MOD(D831-C831,1)*24,2))</f>
        <v/>
      </c>
      <c r="F831" s="28" t="n"/>
      <c r="G831" s="28" t="n"/>
      <c r="H831" s="1" t="n"/>
    </row>
    <row r="832">
      <c r="A832" s="1" t="n"/>
      <c r="B832" s="26" t="n"/>
      <c r="C832" s="27" t="n"/>
      <c r="D832" s="27" t="n"/>
      <c r="E832" s="21">
        <f>IF(OR(C832="",D832=""),"",ROUND(MOD(D832-C832,1)*24,2))</f>
        <v/>
      </c>
      <c r="F832" s="28" t="n"/>
      <c r="G832" s="28" t="n"/>
      <c r="H832" s="1" t="n"/>
    </row>
    <row r="833">
      <c r="A833" s="1" t="n"/>
      <c r="B833" s="26" t="n"/>
      <c r="C833" s="27" t="n"/>
      <c r="D833" s="27" t="n"/>
      <c r="E833" s="21">
        <f>IF(OR(C833="",D833=""),"",ROUND(MOD(D833-C833,1)*24,2))</f>
        <v/>
      </c>
      <c r="F833" s="28" t="n"/>
      <c r="G833" s="28" t="n"/>
      <c r="H833" s="1" t="n"/>
    </row>
    <row r="834">
      <c r="A834" s="1" t="n"/>
      <c r="B834" s="26" t="n"/>
      <c r="C834" s="27" t="n"/>
      <c r="D834" s="27" t="n"/>
      <c r="E834" s="21">
        <f>IF(OR(C834="",D834=""),"",ROUND(MOD(D834-C834,1)*24,2))</f>
        <v/>
      </c>
      <c r="F834" s="28" t="n"/>
      <c r="G834" s="28" t="n"/>
      <c r="H834" s="1" t="n"/>
    </row>
    <row r="835">
      <c r="A835" s="1" t="n"/>
      <c r="B835" s="26" t="n"/>
      <c r="C835" s="27" t="n"/>
      <c r="D835" s="27" t="n"/>
      <c r="E835" s="21">
        <f>IF(OR(C835="",D835=""),"",ROUND(MOD(D835-C835,1)*24,2))</f>
        <v/>
      </c>
      <c r="F835" s="28" t="n"/>
      <c r="G835" s="28" t="n"/>
      <c r="H835" s="1" t="n"/>
    </row>
    <row r="836">
      <c r="A836" s="1" t="n"/>
      <c r="B836" s="26" t="n"/>
      <c r="C836" s="27" t="n"/>
      <c r="D836" s="27" t="n"/>
      <c r="E836" s="21">
        <f>IF(OR(C836="",D836=""),"",ROUND(MOD(D836-C836,1)*24,2))</f>
        <v/>
      </c>
      <c r="F836" s="28" t="n"/>
      <c r="G836" s="28" t="n"/>
      <c r="H836" s="1" t="n"/>
    </row>
    <row r="837">
      <c r="A837" s="1" t="n"/>
      <c r="B837" s="26" t="n"/>
      <c r="C837" s="27" t="n"/>
      <c r="D837" s="27" t="n"/>
      <c r="E837" s="21">
        <f>IF(OR(C837="",D837=""),"",ROUND(MOD(D837-C837,1)*24,2))</f>
        <v/>
      </c>
      <c r="F837" s="28" t="n"/>
      <c r="G837" s="28" t="n"/>
      <c r="H837" s="1" t="n"/>
    </row>
    <row r="838">
      <c r="A838" s="1" t="n"/>
      <c r="B838" s="26" t="n"/>
      <c r="C838" s="27" t="n"/>
      <c r="D838" s="27" t="n"/>
      <c r="E838" s="21">
        <f>IF(OR(C838="",D838=""),"",ROUND(MOD(D838-C838,1)*24,2))</f>
        <v/>
      </c>
      <c r="F838" s="28" t="n"/>
      <c r="G838" s="28" t="n"/>
      <c r="H838" s="1" t="n"/>
    </row>
    <row r="839">
      <c r="A839" s="1" t="n"/>
      <c r="B839" s="26" t="n"/>
      <c r="C839" s="27" t="n"/>
      <c r="D839" s="27" t="n"/>
      <c r="E839" s="21">
        <f>IF(OR(C839="",D839=""),"",ROUND(MOD(D839-C839,1)*24,2))</f>
        <v/>
      </c>
      <c r="F839" s="28" t="n"/>
      <c r="G839" s="28" t="n"/>
      <c r="H839" s="1" t="n"/>
    </row>
    <row r="840">
      <c r="A840" s="1" t="n"/>
      <c r="B840" s="26" t="n"/>
      <c r="C840" s="27" t="n"/>
      <c r="D840" s="27" t="n"/>
      <c r="E840" s="21">
        <f>IF(OR(C840="",D840=""),"",ROUND(MOD(D840-C840,1)*24,2))</f>
        <v/>
      </c>
      <c r="F840" s="28" t="n"/>
      <c r="G840" s="28" t="n"/>
      <c r="H840" s="1" t="n"/>
    </row>
    <row r="841">
      <c r="A841" s="1" t="n"/>
      <c r="B841" s="26" t="n"/>
      <c r="C841" s="27" t="n"/>
      <c r="D841" s="27" t="n"/>
      <c r="E841" s="21">
        <f>IF(OR(C841="",D841=""),"",ROUND(MOD(D841-C841,1)*24,2))</f>
        <v/>
      </c>
      <c r="F841" s="28" t="n"/>
      <c r="G841" s="28" t="n"/>
      <c r="H841" s="1" t="n"/>
    </row>
    <row r="842">
      <c r="A842" s="1" t="n"/>
      <c r="B842" s="26" t="n"/>
      <c r="C842" s="27" t="n"/>
      <c r="D842" s="27" t="n"/>
      <c r="E842" s="21">
        <f>IF(OR(C842="",D842=""),"",ROUND(MOD(D842-C842,1)*24,2))</f>
        <v/>
      </c>
      <c r="F842" s="28" t="n"/>
      <c r="G842" s="28" t="n"/>
      <c r="H842" s="1" t="n"/>
    </row>
    <row r="843">
      <c r="A843" s="1" t="n"/>
      <c r="B843" s="26" t="n"/>
      <c r="C843" s="27" t="n"/>
      <c r="D843" s="27" t="n"/>
      <c r="E843" s="21">
        <f>IF(OR(C843="",D843=""),"",ROUND(MOD(D843-C843,1)*24,2))</f>
        <v/>
      </c>
      <c r="F843" s="28" t="n"/>
      <c r="G843" s="28" t="n"/>
      <c r="H843" s="1" t="n"/>
    </row>
    <row r="844">
      <c r="A844" s="1" t="n"/>
      <c r="B844" s="26" t="n"/>
      <c r="C844" s="27" t="n"/>
      <c r="D844" s="27" t="n"/>
      <c r="E844" s="21">
        <f>IF(OR(C844="",D844=""),"",ROUND(MOD(D844-C844,1)*24,2))</f>
        <v/>
      </c>
      <c r="F844" s="28" t="n"/>
      <c r="G844" s="28" t="n"/>
      <c r="H844" s="1" t="n"/>
    </row>
    <row r="845">
      <c r="A845" s="1" t="n"/>
      <c r="B845" s="26" t="n"/>
      <c r="C845" s="27" t="n"/>
      <c r="D845" s="27" t="n"/>
      <c r="E845" s="21">
        <f>IF(OR(C845="",D845=""),"",ROUND(MOD(D845-C845,1)*24,2))</f>
        <v/>
      </c>
      <c r="F845" s="28" t="n"/>
      <c r="G845" s="28" t="n"/>
      <c r="H845" s="1" t="n"/>
    </row>
    <row r="846">
      <c r="A846" s="1" t="n"/>
      <c r="B846" s="26" t="n"/>
      <c r="C846" s="27" t="n"/>
      <c r="D846" s="27" t="n"/>
      <c r="E846" s="21">
        <f>IF(OR(C846="",D846=""),"",ROUND(MOD(D846-C846,1)*24,2))</f>
        <v/>
      </c>
      <c r="F846" s="28" t="n"/>
      <c r="G846" s="28" t="n"/>
      <c r="H846" s="1" t="n"/>
    </row>
    <row r="847">
      <c r="A847" s="1" t="n"/>
      <c r="B847" s="26" t="n"/>
      <c r="C847" s="27" t="n"/>
      <c r="D847" s="27" t="n"/>
      <c r="E847" s="21">
        <f>IF(OR(C847="",D847=""),"",ROUND(MOD(D847-C847,1)*24,2))</f>
        <v/>
      </c>
      <c r="F847" s="28" t="n"/>
      <c r="G847" s="28" t="n"/>
      <c r="H847" s="1" t="n"/>
    </row>
    <row r="848">
      <c r="A848" s="1" t="n"/>
      <c r="B848" s="26" t="n"/>
      <c r="C848" s="27" t="n"/>
      <c r="D848" s="27" t="n"/>
      <c r="E848" s="21">
        <f>IF(OR(C848="",D848=""),"",ROUND(MOD(D848-C848,1)*24,2))</f>
        <v/>
      </c>
      <c r="F848" s="28" t="n"/>
      <c r="G848" s="28" t="n"/>
      <c r="H848" s="1" t="n"/>
    </row>
    <row r="849">
      <c r="A849" s="1" t="n"/>
      <c r="B849" s="26" t="n"/>
      <c r="C849" s="27" t="n"/>
      <c r="D849" s="27" t="n"/>
      <c r="E849" s="21">
        <f>IF(OR(C849="",D849=""),"",ROUND(MOD(D849-C849,1)*24,2))</f>
        <v/>
      </c>
      <c r="F849" s="28" t="n"/>
      <c r="G849" s="28" t="n"/>
      <c r="H849" s="1" t="n"/>
    </row>
    <row r="850">
      <c r="A850" s="1" t="n"/>
      <c r="B850" s="26" t="n"/>
      <c r="C850" s="27" t="n"/>
      <c r="D850" s="27" t="n"/>
      <c r="E850" s="21">
        <f>IF(OR(C850="",D850=""),"",ROUND(MOD(D850-C850,1)*24,2))</f>
        <v/>
      </c>
      <c r="F850" s="28" t="n"/>
      <c r="G850" s="28" t="n"/>
      <c r="H850" s="1" t="n"/>
    </row>
    <row r="851">
      <c r="A851" s="1" t="n"/>
      <c r="B851" s="26" t="n"/>
      <c r="C851" s="27" t="n"/>
      <c r="D851" s="27" t="n"/>
      <c r="E851" s="21">
        <f>IF(OR(C851="",D851=""),"",ROUND(MOD(D851-C851,1)*24,2))</f>
        <v/>
      </c>
      <c r="F851" s="28" t="n"/>
      <c r="G851" s="28" t="n"/>
      <c r="H851" s="1" t="n"/>
    </row>
    <row r="852">
      <c r="A852" s="1" t="n"/>
      <c r="B852" s="26" t="n"/>
      <c r="C852" s="27" t="n"/>
      <c r="D852" s="27" t="n"/>
      <c r="E852" s="21">
        <f>IF(OR(C852="",D852=""),"",ROUND(MOD(D852-C852,1)*24,2))</f>
        <v/>
      </c>
      <c r="F852" s="28" t="n"/>
      <c r="G852" s="28" t="n"/>
      <c r="H852" s="1" t="n"/>
    </row>
    <row r="853">
      <c r="A853" s="1" t="n"/>
      <c r="B853" s="26" t="n"/>
      <c r="C853" s="27" t="n"/>
      <c r="D853" s="27" t="n"/>
      <c r="E853" s="21">
        <f>IF(OR(C853="",D853=""),"",ROUND(MOD(D853-C853,1)*24,2))</f>
        <v/>
      </c>
      <c r="F853" s="28" t="n"/>
      <c r="G853" s="28" t="n"/>
      <c r="H853" s="1" t="n"/>
    </row>
    <row r="854">
      <c r="A854" s="1" t="n"/>
      <c r="B854" s="26" t="n"/>
      <c r="C854" s="27" t="n"/>
      <c r="D854" s="27" t="n"/>
      <c r="E854" s="21">
        <f>IF(OR(C854="",D854=""),"",ROUND(MOD(D854-C854,1)*24,2))</f>
        <v/>
      </c>
      <c r="F854" s="28" t="n"/>
      <c r="G854" s="28" t="n"/>
      <c r="H854" s="1" t="n"/>
    </row>
    <row r="855">
      <c r="A855" s="1" t="n"/>
      <c r="B855" s="26" t="n"/>
      <c r="C855" s="27" t="n"/>
      <c r="D855" s="27" t="n"/>
      <c r="E855" s="21">
        <f>IF(OR(C855="",D855=""),"",ROUND(MOD(D855-C855,1)*24,2))</f>
        <v/>
      </c>
      <c r="F855" s="28" t="n"/>
      <c r="G855" s="28" t="n"/>
      <c r="H855" s="1" t="n"/>
    </row>
    <row r="856">
      <c r="A856" s="1" t="n"/>
      <c r="B856" s="26" t="n"/>
      <c r="C856" s="27" t="n"/>
      <c r="D856" s="27" t="n"/>
      <c r="E856" s="21">
        <f>IF(OR(C856="",D856=""),"",ROUND(MOD(D856-C856,1)*24,2))</f>
        <v/>
      </c>
      <c r="F856" s="28" t="n"/>
      <c r="G856" s="28" t="n"/>
      <c r="H856" s="1" t="n"/>
    </row>
    <row r="857">
      <c r="A857" s="1" t="n"/>
      <c r="B857" s="26" t="n"/>
      <c r="C857" s="27" t="n"/>
      <c r="D857" s="27" t="n"/>
      <c r="E857" s="21">
        <f>IF(OR(C857="",D857=""),"",ROUND(MOD(D857-C857,1)*24,2))</f>
        <v/>
      </c>
      <c r="F857" s="28" t="n"/>
      <c r="G857" s="28" t="n"/>
      <c r="H857" s="1" t="n"/>
    </row>
    <row r="858">
      <c r="A858" s="1" t="n"/>
      <c r="B858" s="26" t="n"/>
      <c r="C858" s="27" t="n"/>
      <c r="D858" s="27" t="n"/>
      <c r="E858" s="21">
        <f>IF(OR(C858="",D858=""),"",ROUND(MOD(D858-C858,1)*24,2))</f>
        <v/>
      </c>
      <c r="F858" s="28" t="n"/>
      <c r="G858" s="28" t="n"/>
      <c r="H858" s="1" t="n"/>
    </row>
    <row r="859">
      <c r="A859" s="1" t="n"/>
      <c r="B859" s="26" t="n"/>
      <c r="C859" s="27" t="n"/>
      <c r="D859" s="27" t="n"/>
      <c r="E859" s="21">
        <f>IF(OR(C859="",D859=""),"",ROUND(MOD(D859-C859,1)*24,2))</f>
        <v/>
      </c>
      <c r="F859" s="28" t="n"/>
      <c r="G859" s="28" t="n"/>
      <c r="H859" s="1" t="n"/>
    </row>
    <row r="860">
      <c r="A860" s="1" t="n"/>
      <c r="B860" s="26" t="n"/>
      <c r="C860" s="27" t="n"/>
      <c r="D860" s="27" t="n"/>
      <c r="E860" s="21">
        <f>IF(OR(C860="",D860=""),"",ROUND(MOD(D860-C860,1)*24,2))</f>
        <v/>
      </c>
      <c r="F860" s="28" t="n"/>
      <c r="G860" s="28" t="n"/>
      <c r="H860" s="1" t="n"/>
    </row>
    <row r="861">
      <c r="A861" s="1" t="n"/>
      <c r="B861" s="26" t="n"/>
      <c r="C861" s="27" t="n"/>
      <c r="D861" s="27" t="n"/>
      <c r="E861" s="21">
        <f>IF(OR(C861="",D861=""),"",ROUND(MOD(D861-C861,1)*24,2))</f>
        <v/>
      </c>
      <c r="F861" s="28" t="n"/>
      <c r="G861" s="28" t="n"/>
      <c r="H861" s="1" t="n"/>
    </row>
    <row r="862">
      <c r="A862" s="1" t="n"/>
      <c r="B862" s="26" t="n"/>
      <c r="C862" s="27" t="n"/>
      <c r="D862" s="27" t="n"/>
      <c r="E862" s="21">
        <f>IF(OR(C862="",D862=""),"",ROUND(MOD(D862-C862,1)*24,2))</f>
        <v/>
      </c>
      <c r="F862" s="28" t="n"/>
      <c r="G862" s="28" t="n"/>
      <c r="H862" s="1" t="n"/>
    </row>
    <row r="863">
      <c r="A863" s="1" t="n"/>
      <c r="B863" s="26" t="n"/>
      <c r="C863" s="27" t="n"/>
      <c r="D863" s="27" t="n"/>
      <c r="E863" s="21">
        <f>IF(OR(C863="",D863=""),"",ROUND(MOD(D863-C863,1)*24,2))</f>
        <v/>
      </c>
      <c r="F863" s="28" t="n"/>
      <c r="G863" s="28" t="n"/>
      <c r="H863" s="1" t="n"/>
    </row>
    <row r="864">
      <c r="A864" s="1" t="n"/>
      <c r="B864" s="26" t="n"/>
      <c r="C864" s="27" t="n"/>
      <c r="D864" s="27" t="n"/>
      <c r="E864" s="21">
        <f>IF(OR(C864="",D864=""),"",ROUND(MOD(D864-C864,1)*24,2))</f>
        <v/>
      </c>
      <c r="F864" s="28" t="n"/>
      <c r="G864" s="28" t="n"/>
      <c r="H864" s="1" t="n"/>
    </row>
    <row r="865">
      <c r="A865" s="1" t="n"/>
      <c r="B865" s="26" t="n"/>
      <c r="C865" s="27" t="n"/>
      <c r="D865" s="27" t="n"/>
      <c r="E865" s="21">
        <f>IF(OR(C865="",D865=""),"",ROUND(MOD(D865-C865,1)*24,2))</f>
        <v/>
      </c>
      <c r="F865" s="28" t="n"/>
      <c r="G865" s="28" t="n"/>
      <c r="H865" s="1" t="n"/>
    </row>
    <row r="866">
      <c r="A866" s="1" t="n"/>
      <c r="B866" s="26" t="n"/>
      <c r="C866" s="27" t="n"/>
      <c r="D866" s="27" t="n"/>
      <c r="E866" s="21">
        <f>IF(OR(C866="",D866=""),"",ROUND(MOD(D866-C866,1)*24,2))</f>
        <v/>
      </c>
      <c r="F866" s="28" t="n"/>
      <c r="G866" s="28" t="n"/>
      <c r="H866" s="1" t="n"/>
    </row>
    <row r="867">
      <c r="A867" s="1" t="n"/>
      <c r="B867" s="26" t="n"/>
      <c r="C867" s="27" t="n"/>
      <c r="D867" s="27" t="n"/>
      <c r="E867" s="21">
        <f>IF(OR(C867="",D867=""),"",ROUND(MOD(D867-C867,1)*24,2))</f>
        <v/>
      </c>
      <c r="F867" s="28" t="n"/>
      <c r="G867" s="28" t="n"/>
      <c r="H867" s="1" t="n"/>
    </row>
    <row r="868">
      <c r="A868" s="1" t="n"/>
      <c r="B868" s="26" t="n"/>
      <c r="C868" s="27" t="n"/>
      <c r="D868" s="27" t="n"/>
      <c r="E868" s="21">
        <f>IF(OR(C868="",D868=""),"",ROUND(MOD(D868-C868,1)*24,2))</f>
        <v/>
      </c>
      <c r="F868" s="28" t="n"/>
      <c r="G868" s="28" t="n"/>
      <c r="H868" s="1" t="n"/>
    </row>
    <row r="869">
      <c r="A869" s="1" t="n"/>
      <c r="B869" s="26" t="n"/>
      <c r="C869" s="27" t="n"/>
      <c r="D869" s="27" t="n"/>
      <c r="E869" s="21">
        <f>IF(OR(C869="",D869=""),"",ROUND(MOD(D869-C869,1)*24,2))</f>
        <v/>
      </c>
      <c r="F869" s="28" t="n"/>
      <c r="G869" s="28" t="n"/>
      <c r="H869" s="1" t="n"/>
    </row>
    <row r="870">
      <c r="A870" s="1" t="n"/>
      <c r="B870" s="26" t="n"/>
      <c r="C870" s="27" t="n"/>
      <c r="D870" s="27" t="n"/>
      <c r="E870" s="21">
        <f>IF(OR(C870="",D870=""),"",ROUND(MOD(D870-C870,1)*24,2))</f>
        <v/>
      </c>
      <c r="F870" s="28" t="n"/>
      <c r="G870" s="28" t="n"/>
      <c r="H870" s="1" t="n"/>
    </row>
    <row r="871">
      <c r="A871" s="1" t="n"/>
      <c r="B871" s="26" t="n"/>
      <c r="C871" s="27" t="n"/>
      <c r="D871" s="27" t="n"/>
      <c r="E871" s="21">
        <f>IF(OR(C871="",D871=""),"",ROUND(MOD(D871-C871,1)*24,2))</f>
        <v/>
      </c>
      <c r="F871" s="28" t="n"/>
      <c r="G871" s="28" t="n"/>
      <c r="H871" s="1" t="n"/>
    </row>
    <row r="872">
      <c r="A872" s="1" t="n"/>
      <c r="B872" s="26" t="n"/>
      <c r="C872" s="27" t="n"/>
      <c r="D872" s="27" t="n"/>
      <c r="E872" s="21">
        <f>IF(OR(C872="",D872=""),"",ROUND(MOD(D872-C872,1)*24,2))</f>
        <v/>
      </c>
      <c r="F872" s="28" t="n"/>
      <c r="G872" s="28" t="n"/>
      <c r="H872" s="1" t="n"/>
    </row>
    <row r="873">
      <c r="A873" s="1" t="n"/>
      <c r="B873" s="26" t="n"/>
      <c r="C873" s="27" t="n"/>
      <c r="D873" s="27" t="n"/>
      <c r="E873" s="21">
        <f>IF(OR(C873="",D873=""),"",ROUND(MOD(D873-C873,1)*24,2))</f>
        <v/>
      </c>
      <c r="F873" s="28" t="n"/>
      <c r="G873" s="28" t="n"/>
      <c r="H873" s="1" t="n"/>
    </row>
    <row r="874">
      <c r="A874" s="1" t="n"/>
      <c r="B874" s="26" t="n"/>
      <c r="C874" s="27" t="n"/>
      <c r="D874" s="27" t="n"/>
      <c r="E874" s="21">
        <f>IF(OR(C874="",D874=""),"",ROUND(MOD(D874-C874,1)*24,2))</f>
        <v/>
      </c>
      <c r="F874" s="28" t="n"/>
      <c r="G874" s="28" t="n"/>
      <c r="H874" s="1" t="n"/>
    </row>
    <row r="875">
      <c r="A875" s="1" t="n"/>
      <c r="B875" s="26" t="n"/>
      <c r="C875" s="27" t="n"/>
      <c r="D875" s="27" t="n"/>
      <c r="E875" s="21">
        <f>IF(OR(C875="",D875=""),"",ROUND(MOD(D875-C875,1)*24,2))</f>
        <v/>
      </c>
      <c r="F875" s="28" t="n"/>
      <c r="G875" s="28" t="n"/>
      <c r="H875" s="1" t="n"/>
    </row>
    <row r="876">
      <c r="A876" s="1" t="n"/>
      <c r="B876" s="26" t="n"/>
      <c r="C876" s="27" t="n"/>
      <c r="D876" s="27" t="n"/>
      <c r="E876" s="21">
        <f>IF(OR(C876="",D876=""),"",ROUND(MOD(D876-C876,1)*24,2))</f>
        <v/>
      </c>
      <c r="F876" s="28" t="n"/>
      <c r="G876" s="28" t="n"/>
      <c r="H876" s="1" t="n"/>
    </row>
    <row r="877">
      <c r="A877" s="1" t="n"/>
      <c r="B877" s="26" t="n"/>
      <c r="C877" s="27" t="n"/>
      <c r="D877" s="27" t="n"/>
      <c r="E877" s="21">
        <f>IF(OR(C877="",D877=""),"",ROUND(MOD(D877-C877,1)*24,2))</f>
        <v/>
      </c>
      <c r="F877" s="28" t="n"/>
      <c r="G877" s="28" t="n"/>
      <c r="H877" s="1" t="n"/>
    </row>
    <row r="878">
      <c r="A878" s="1" t="n"/>
      <c r="B878" s="26" t="n"/>
      <c r="C878" s="27" t="n"/>
      <c r="D878" s="27" t="n"/>
      <c r="E878" s="21">
        <f>IF(OR(C878="",D878=""),"",ROUND(MOD(D878-C878,1)*24,2))</f>
        <v/>
      </c>
      <c r="F878" s="28" t="n"/>
      <c r="G878" s="28" t="n"/>
      <c r="H878" s="1" t="n"/>
    </row>
    <row r="879">
      <c r="A879" s="1" t="n"/>
      <c r="B879" s="26" t="n"/>
      <c r="C879" s="27" t="n"/>
      <c r="D879" s="27" t="n"/>
      <c r="E879" s="21">
        <f>IF(OR(C879="",D879=""),"",ROUND(MOD(D879-C879,1)*24,2))</f>
        <v/>
      </c>
      <c r="F879" s="28" t="n"/>
      <c r="G879" s="28" t="n"/>
      <c r="H879" s="1" t="n"/>
    </row>
    <row r="880">
      <c r="A880" s="1" t="n"/>
      <c r="B880" s="26" t="n"/>
      <c r="C880" s="27" t="n"/>
      <c r="D880" s="27" t="n"/>
      <c r="E880" s="21">
        <f>IF(OR(C880="",D880=""),"",ROUND(MOD(D880-C880,1)*24,2))</f>
        <v/>
      </c>
      <c r="F880" s="28" t="n"/>
      <c r="G880" s="28" t="n"/>
      <c r="H880" s="1" t="n"/>
    </row>
    <row r="881">
      <c r="A881" s="1" t="n"/>
      <c r="B881" s="26" t="n"/>
      <c r="C881" s="27" t="n"/>
      <c r="D881" s="27" t="n"/>
      <c r="E881" s="21">
        <f>IF(OR(C881="",D881=""),"",ROUND(MOD(D881-C881,1)*24,2))</f>
        <v/>
      </c>
      <c r="F881" s="28" t="n"/>
      <c r="G881" s="28" t="n"/>
      <c r="H881" s="1" t="n"/>
    </row>
    <row r="882">
      <c r="A882" s="1" t="n"/>
      <c r="B882" s="26" t="n"/>
      <c r="C882" s="27" t="n"/>
      <c r="D882" s="27" t="n"/>
      <c r="E882" s="21">
        <f>IF(OR(C882="",D882=""),"",ROUND(MOD(D882-C882,1)*24,2))</f>
        <v/>
      </c>
      <c r="F882" s="28" t="n"/>
      <c r="G882" s="28" t="n"/>
      <c r="H882" s="1" t="n"/>
    </row>
    <row r="883">
      <c r="A883" s="1" t="n"/>
      <c r="B883" s="26" t="n"/>
      <c r="C883" s="27" t="n"/>
      <c r="D883" s="27" t="n"/>
      <c r="E883" s="21">
        <f>IF(OR(C883="",D883=""),"",ROUND(MOD(D883-C883,1)*24,2))</f>
        <v/>
      </c>
      <c r="F883" s="28" t="n"/>
      <c r="G883" s="28" t="n"/>
      <c r="H883" s="1" t="n"/>
    </row>
    <row r="884">
      <c r="A884" s="1" t="n"/>
      <c r="B884" s="26" t="n"/>
      <c r="C884" s="27" t="n"/>
      <c r="D884" s="27" t="n"/>
      <c r="E884" s="21">
        <f>IF(OR(C884="",D884=""),"",ROUND(MOD(D884-C884,1)*24,2))</f>
        <v/>
      </c>
      <c r="F884" s="28" t="n"/>
      <c r="G884" s="28" t="n"/>
      <c r="H884" s="1" t="n"/>
    </row>
    <row r="885">
      <c r="A885" s="1" t="n"/>
      <c r="B885" s="26" t="n"/>
      <c r="C885" s="27" t="n"/>
      <c r="D885" s="27" t="n"/>
      <c r="E885" s="21">
        <f>IF(OR(C885="",D885=""),"",ROUND(MOD(D885-C885,1)*24,2))</f>
        <v/>
      </c>
      <c r="F885" s="28" t="n"/>
      <c r="G885" s="28" t="n"/>
      <c r="H885" s="1" t="n"/>
    </row>
    <row r="886">
      <c r="A886" s="1" t="n"/>
      <c r="B886" s="26" t="n"/>
      <c r="C886" s="27" t="n"/>
      <c r="D886" s="27" t="n"/>
      <c r="E886" s="21">
        <f>IF(OR(C886="",D886=""),"",ROUND(MOD(D886-C886,1)*24,2))</f>
        <v/>
      </c>
      <c r="F886" s="28" t="n"/>
      <c r="G886" s="28" t="n"/>
      <c r="H886" s="1" t="n"/>
    </row>
    <row r="887">
      <c r="A887" s="1" t="n"/>
      <c r="B887" s="26" t="n"/>
      <c r="C887" s="27" t="n"/>
      <c r="D887" s="27" t="n"/>
      <c r="E887" s="21">
        <f>IF(OR(C887="",D887=""),"",ROUND(MOD(D887-C887,1)*24,2))</f>
        <v/>
      </c>
      <c r="F887" s="28" t="n"/>
      <c r="G887" s="28" t="n"/>
      <c r="H887" s="1" t="n"/>
    </row>
    <row r="888">
      <c r="A888" s="1" t="n"/>
      <c r="B888" s="26" t="n"/>
      <c r="C888" s="27" t="n"/>
      <c r="D888" s="27" t="n"/>
      <c r="E888" s="21">
        <f>IF(OR(C888="",D888=""),"",ROUND(MOD(D888-C888,1)*24,2))</f>
        <v/>
      </c>
      <c r="F888" s="28" t="n"/>
      <c r="G888" s="28" t="n"/>
      <c r="H888" s="1" t="n"/>
    </row>
    <row r="889">
      <c r="A889" s="1" t="n"/>
      <c r="B889" s="26" t="n"/>
      <c r="C889" s="27" t="n"/>
      <c r="D889" s="27" t="n"/>
      <c r="E889" s="21">
        <f>IF(OR(C889="",D889=""),"",ROUND(MOD(D889-C889,1)*24,2))</f>
        <v/>
      </c>
      <c r="F889" s="28" t="n"/>
      <c r="G889" s="28" t="n"/>
      <c r="H889" s="1" t="n"/>
    </row>
    <row r="890">
      <c r="A890" s="1" t="n"/>
      <c r="B890" s="26" t="n"/>
      <c r="C890" s="27" t="n"/>
      <c r="D890" s="27" t="n"/>
      <c r="E890" s="21">
        <f>IF(OR(C890="",D890=""),"",ROUND(MOD(D890-C890,1)*24,2))</f>
        <v/>
      </c>
      <c r="F890" s="28" t="n"/>
      <c r="G890" s="28" t="n"/>
      <c r="H890" s="1" t="n"/>
    </row>
    <row r="891">
      <c r="A891" s="1" t="n"/>
      <c r="B891" s="26" t="n"/>
      <c r="C891" s="27" t="n"/>
      <c r="D891" s="27" t="n"/>
      <c r="E891" s="21">
        <f>IF(OR(C891="",D891=""),"",ROUND(MOD(D891-C891,1)*24,2))</f>
        <v/>
      </c>
      <c r="F891" s="28" t="n"/>
      <c r="G891" s="28" t="n"/>
      <c r="H891" s="1" t="n"/>
    </row>
    <row r="892">
      <c r="A892" s="1" t="n"/>
      <c r="B892" s="26" t="n"/>
      <c r="C892" s="27" t="n"/>
      <c r="D892" s="27" t="n"/>
      <c r="E892" s="21">
        <f>IF(OR(C892="",D892=""),"",ROUND(MOD(D892-C892,1)*24,2))</f>
        <v/>
      </c>
      <c r="F892" s="28" t="n"/>
      <c r="G892" s="28" t="n"/>
      <c r="H892" s="1" t="n"/>
    </row>
    <row r="893">
      <c r="A893" s="1" t="n"/>
      <c r="B893" s="26" t="n"/>
      <c r="C893" s="27" t="n"/>
      <c r="D893" s="27" t="n"/>
      <c r="E893" s="21">
        <f>IF(OR(C893="",D893=""),"",ROUND(MOD(D893-C893,1)*24,2))</f>
        <v/>
      </c>
      <c r="F893" s="28" t="n"/>
      <c r="G893" s="28" t="n"/>
      <c r="H893" s="1" t="n"/>
    </row>
    <row r="894">
      <c r="A894" s="1" t="n"/>
      <c r="B894" s="26" t="n"/>
      <c r="C894" s="27" t="n"/>
      <c r="D894" s="27" t="n"/>
      <c r="E894" s="21">
        <f>IF(OR(C894="",D894=""),"",ROUND(MOD(D894-C894,1)*24,2))</f>
        <v/>
      </c>
      <c r="F894" s="28" t="n"/>
      <c r="G894" s="28" t="n"/>
      <c r="H894" s="1" t="n"/>
    </row>
    <row r="895">
      <c r="A895" s="1" t="n"/>
      <c r="B895" s="26" t="n"/>
      <c r="C895" s="27" t="n"/>
      <c r="D895" s="27" t="n"/>
      <c r="E895" s="21">
        <f>IF(OR(C895="",D895=""),"",ROUND(MOD(D895-C895,1)*24,2))</f>
        <v/>
      </c>
      <c r="F895" s="28" t="n"/>
      <c r="G895" s="28" t="n"/>
      <c r="H895" s="1" t="n"/>
    </row>
    <row r="896">
      <c r="A896" s="1" t="n"/>
      <c r="B896" s="26" t="n"/>
      <c r="C896" s="27" t="n"/>
      <c r="D896" s="27" t="n"/>
      <c r="E896" s="21">
        <f>IF(OR(C896="",D896=""),"",ROUND(MOD(D896-C896,1)*24,2))</f>
        <v/>
      </c>
      <c r="F896" s="28" t="n"/>
      <c r="G896" s="28" t="n"/>
      <c r="H896" s="1" t="n"/>
    </row>
    <row r="897">
      <c r="A897" s="1" t="n"/>
      <c r="B897" s="26" t="n"/>
      <c r="C897" s="27" t="n"/>
      <c r="D897" s="27" t="n"/>
      <c r="E897" s="21">
        <f>IF(OR(C897="",D897=""),"",ROUND(MOD(D897-C897,1)*24,2))</f>
        <v/>
      </c>
      <c r="F897" s="28" t="n"/>
      <c r="G897" s="28" t="n"/>
      <c r="H897" s="1" t="n"/>
    </row>
    <row r="898">
      <c r="A898" s="1" t="n"/>
      <c r="B898" s="26" t="n"/>
      <c r="C898" s="27" t="n"/>
      <c r="D898" s="27" t="n"/>
      <c r="E898" s="21">
        <f>IF(OR(C898="",D898=""),"",ROUND(MOD(D898-C898,1)*24,2))</f>
        <v/>
      </c>
      <c r="F898" s="28" t="n"/>
      <c r="G898" s="28" t="n"/>
      <c r="H898" s="1" t="n"/>
    </row>
    <row r="899">
      <c r="A899" s="1" t="n"/>
      <c r="B899" s="26" t="n"/>
      <c r="C899" s="27" t="n"/>
      <c r="D899" s="27" t="n"/>
      <c r="E899" s="21">
        <f>IF(OR(C899="",D899=""),"",ROUND(MOD(D899-C899,1)*24,2))</f>
        <v/>
      </c>
      <c r="F899" s="28" t="n"/>
      <c r="G899" s="28" t="n"/>
      <c r="H899" s="1" t="n"/>
    </row>
    <row r="900">
      <c r="A900" s="1" t="n"/>
      <c r="B900" s="26" t="n"/>
      <c r="C900" s="27" t="n"/>
      <c r="D900" s="27" t="n"/>
      <c r="E900" s="21">
        <f>IF(OR(C900="",D900=""),"",ROUND(MOD(D900-C900,1)*24,2))</f>
        <v/>
      </c>
      <c r="F900" s="28" t="n"/>
      <c r="G900" s="28" t="n"/>
      <c r="H900" s="1" t="n"/>
    </row>
    <row r="901">
      <c r="A901" s="1" t="n"/>
      <c r="B901" s="26" t="n"/>
      <c r="C901" s="27" t="n"/>
      <c r="D901" s="27" t="n"/>
      <c r="E901" s="21">
        <f>IF(OR(C901="",D901=""),"",ROUND(MOD(D901-C901,1)*24,2))</f>
        <v/>
      </c>
      <c r="F901" s="28" t="n"/>
      <c r="G901" s="28" t="n"/>
      <c r="H901" s="1" t="n"/>
    </row>
    <row r="902">
      <c r="A902" s="1" t="n"/>
      <c r="B902" s="26" t="n"/>
      <c r="C902" s="27" t="n"/>
      <c r="D902" s="27" t="n"/>
      <c r="E902" s="21">
        <f>IF(OR(C902="",D902=""),"",ROUND(MOD(D902-C902,1)*24,2))</f>
        <v/>
      </c>
      <c r="F902" s="28" t="n"/>
      <c r="G902" s="28" t="n"/>
      <c r="H902" s="1" t="n"/>
    </row>
    <row r="903">
      <c r="A903" s="1" t="n"/>
      <c r="B903" s="26" t="n"/>
      <c r="C903" s="27" t="n"/>
      <c r="D903" s="27" t="n"/>
      <c r="E903" s="21">
        <f>IF(OR(C903="",D903=""),"",ROUND(MOD(D903-C903,1)*24,2))</f>
        <v/>
      </c>
      <c r="F903" s="28" t="n"/>
      <c r="G903" s="28" t="n"/>
      <c r="H903" s="1" t="n"/>
    </row>
    <row r="904">
      <c r="A904" s="1" t="n"/>
      <c r="B904" s="26" t="n"/>
      <c r="C904" s="27" t="n"/>
      <c r="D904" s="27" t="n"/>
      <c r="E904" s="21">
        <f>IF(OR(C904="",D904=""),"",ROUND(MOD(D904-C904,1)*24,2))</f>
        <v/>
      </c>
      <c r="F904" s="28" t="n"/>
      <c r="G904" s="28" t="n"/>
      <c r="H904" s="1" t="n"/>
    </row>
    <row r="905">
      <c r="A905" s="1" t="n"/>
      <c r="B905" s="26" t="n"/>
      <c r="C905" s="27" t="n"/>
      <c r="D905" s="27" t="n"/>
      <c r="E905" s="21">
        <f>IF(OR(C905="",D905=""),"",ROUND(MOD(D905-C905,1)*24,2))</f>
        <v/>
      </c>
      <c r="F905" s="28" t="n"/>
      <c r="G905" s="28" t="n"/>
      <c r="H905" s="1" t="n"/>
    </row>
    <row r="906">
      <c r="A906" s="1" t="n"/>
      <c r="B906" s="26" t="n"/>
      <c r="C906" s="27" t="n"/>
      <c r="D906" s="27" t="n"/>
      <c r="E906" s="21">
        <f>IF(OR(C906="",D906=""),"",ROUND(MOD(D906-C906,1)*24,2))</f>
        <v/>
      </c>
      <c r="F906" s="28" t="n"/>
      <c r="G906" s="28" t="n"/>
      <c r="H906" s="1" t="n"/>
    </row>
    <row r="907">
      <c r="A907" s="1" t="n"/>
      <c r="B907" s="26" t="n"/>
      <c r="C907" s="27" t="n"/>
      <c r="D907" s="27" t="n"/>
      <c r="E907" s="21">
        <f>IF(OR(C907="",D907=""),"",ROUND(MOD(D907-C907,1)*24,2))</f>
        <v/>
      </c>
      <c r="F907" s="28" t="n"/>
      <c r="G907" s="28" t="n"/>
      <c r="H907" s="1" t="n"/>
    </row>
    <row r="908">
      <c r="A908" s="1" t="n"/>
      <c r="B908" s="26" t="n"/>
      <c r="C908" s="27" t="n"/>
      <c r="D908" s="27" t="n"/>
      <c r="E908" s="21">
        <f>IF(OR(C908="",D908=""),"",ROUND(MOD(D908-C908,1)*24,2))</f>
        <v/>
      </c>
      <c r="F908" s="28" t="n"/>
      <c r="G908" s="28" t="n"/>
      <c r="H908" s="1" t="n"/>
    </row>
    <row r="909">
      <c r="A909" s="1" t="n"/>
      <c r="B909" s="26" t="n"/>
      <c r="C909" s="27" t="n"/>
      <c r="D909" s="27" t="n"/>
      <c r="E909" s="21">
        <f>IF(OR(C909="",D909=""),"",ROUND(MOD(D909-C909,1)*24,2))</f>
        <v/>
      </c>
      <c r="F909" s="28" t="n"/>
      <c r="G909" s="28" t="n"/>
      <c r="H909" s="1" t="n"/>
    </row>
    <row r="910">
      <c r="A910" s="1" t="n"/>
      <c r="B910" s="26" t="n"/>
      <c r="C910" s="27" t="n"/>
      <c r="D910" s="27" t="n"/>
      <c r="E910" s="21">
        <f>IF(OR(C910="",D910=""),"",ROUND(MOD(D910-C910,1)*24,2))</f>
        <v/>
      </c>
      <c r="F910" s="28" t="n"/>
      <c r="G910" s="28" t="n"/>
      <c r="H910" s="1" t="n"/>
    </row>
    <row r="911">
      <c r="A911" s="1" t="n"/>
      <c r="B911" s="26" t="n"/>
      <c r="C911" s="27" t="n"/>
      <c r="D911" s="27" t="n"/>
      <c r="E911" s="21">
        <f>IF(OR(C911="",D911=""),"",ROUND(MOD(D911-C911,1)*24,2))</f>
        <v/>
      </c>
      <c r="F911" s="28" t="n"/>
      <c r="G911" s="28" t="n"/>
      <c r="H911" s="1" t="n"/>
    </row>
    <row r="912">
      <c r="A912" s="1" t="n"/>
      <c r="B912" s="26" t="n"/>
      <c r="C912" s="27" t="n"/>
      <c r="D912" s="27" t="n"/>
      <c r="E912" s="21">
        <f>IF(OR(C912="",D912=""),"",ROUND(MOD(D912-C912,1)*24,2))</f>
        <v/>
      </c>
      <c r="F912" s="28" t="n"/>
      <c r="G912" s="28" t="n"/>
      <c r="H912" s="1" t="n"/>
    </row>
    <row r="913">
      <c r="A913" s="1" t="n"/>
      <c r="B913" s="26" t="n"/>
      <c r="C913" s="27" t="n"/>
      <c r="D913" s="27" t="n"/>
      <c r="E913" s="21">
        <f>IF(OR(C913="",D913=""),"",ROUND(MOD(D913-C913,1)*24,2))</f>
        <v/>
      </c>
      <c r="F913" s="28" t="n"/>
      <c r="G913" s="28" t="n"/>
      <c r="H913" s="1" t="n"/>
    </row>
    <row r="914">
      <c r="A914" s="1" t="n"/>
      <c r="B914" s="26" t="n"/>
      <c r="C914" s="27" t="n"/>
      <c r="D914" s="27" t="n"/>
      <c r="E914" s="21">
        <f>IF(OR(C914="",D914=""),"",ROUND(MOD(D914-C914,1)*24,2))</f>
        <v/>
      </c>
      <c r="F914" s="28" t="n"/>
      <c r="G914" s="28" t="n"/>
      <c r="H914" s="1" t="n"/>
    </row>
    <row r="915">
      <c r="A915" s="1" t="n"/>
      <c r="B915" s="26" t="n"/>
      <c r="C915" s="27" t="n"/>
      <c r="D915" s="27" t="n"/>
      <c r="E915" s="21">
        <f>IF(OR(C915="",D915=""),"",ROUND(MOD(D915-C915,1)*24,2))</f>
        <v/>
      </c>
      <c r="F915" s="28" t="n"/>
      <c r="G915" s="28" t="n"/>
      <c r="H915" s="1" t="n"/>
    </row>
    <row r="916">
      <c r="A916" s="1" t="n"/>
      <c r="B916" s="26" t="n"/>
      <c r="C916" s="27" t="n"/>
      <c r="D916" s="27" t="n"/>
      <c r="E916" s="21">
        <f>IF(OR(C916="",D916=""),"",ROUND(MOD(D916-C916,1)*24,2))</f>
        <v/>
      </c>
      <c r="F916" s="28" t="n"/>
      <c r="G916" s="28" t="n"/>
      <c r="H916" s="1" t="n"/>
    </row>
    <row r="917">
      <c r="A917" s="1" t="n"/>
      <c r="B917" s="26" t="n"/>
      <c r="C917" s="27" t="n"/>
      <c r="D917" s="27" t="n"/>
      <c r="E917" s="21">
        <f>IF(OR(C917="",D917=""),"",ROUND(MOD(D917-C917,1)*24,2))</f>
        <v/>
      </c>
      <c r="F917" s="28" t="n"/>
      <c r="G917" s="28" t="n"/>
      <c r="H917" s="1" t="n"/>
    </row>
    <row r="918">
      <c r="A918" s="1" t="n"/>
      <c r="B918" s="26" t="n"/>
      <c r="C918" s="27" t="n"/>
      <c r="D918" s="27" t="n"/>
      <c r="E918" s="21">
        <f>IF(OR(C918="",D918=""),"",ROUND(MOD(D918-C918,1)*24,2))</f>
        <v/>
      </c>
      <c r="F918" s="28" t="n"/>
      <c r="G918" s="28" t="n"/>
      <c r="H918" s="1" t="n"/>
    </row>
    <row r="919">
      <c r="A919" s="1" t="n"/>
      <c r="B919" s="26" t="n"/>
      <c r="C919" s="27" t="n"/>
      <c r="D919" s="27" t="n"/>
      <c r="E919" s="21">
        <f>IF(OR(C919="",D919=""),"",ROUND(MOD(D919-C919,1)*24,2))</f>
        <v/>
      </c>
      <c r="F919" s="28" t="n"/>
      <c r="G919" s="28" t="n"/>
      <c r="H919" s="1" t="n"/>
    </row>
    <row r="920">
      <c r="A920" s="1" t="n"/>
      <c r="B920" s="26" t="n"/>
      <c r="C920" s="27" t="n"/>
      <c r="D920" s="27" t="n"/>
      <c r="E920" s="21">
        <f>IF(OR(C920="",D920=""),"",ROUND(MOD(D920-C920,1)*24,2))</f>
        <v/>
      </c>
      <c r="F920" s="28" t="n"/>
      <c r="G920" s="28" t="n"/>
      <c r="H920" s="1" t="n"/>
    </row>
    <row r="921">
      <c r="A921" s="1" t="n"/>
      <c r="B921" s="26" t="n"/>
      <c r="C921" s="27" t="n"/>
      <c r="D921" s="27" t="n"/>
      <c r="E921" s="21">
        <f>IF(OR(C921="",D921=""),"",ROUND(MOD(D921-C921,1)*24,2))</f>
        <v/>
      </c>
      <c r="F921" s="28" t="n"/>
      <c r="G921" s="28" t="n"/>
      <c r="H921" s="1" t="n"/>
    </row>
    <row r="922">
      <c r="A922" s="1" t="n"/>
      <c r="B922" s="26" t="n"/>
      <c r="C922" s="27" t="n"/>
      <c r="D922" s="27" t="n"/>
      <c r="E922" s="21">
        <f>IF(OR(C922="",D922=""),"",ROUND(MOD(D922-C922,1)*24,2))</f>
        <v/>
      </c>
      <c r="F922" s="28" t="n"/>
      <c r="G922" s="28" t="n"/>
      <c r="H922" s="1" t="n"/>
    </row>
    <row r="923">
      <c r="A923" s="1" t="n"/>
      <c r="B923" s="26" t="n"/>
      <c r="C923" s="27" t="n"/>
      <c r="D923" s="27" t="n"/>
      <c r="E923" s="21">
        <f>IF(OR(C923="",D923=""),"",ROUND(MOD(D923-C923,1)*24,2))</f>
        <v/>
      </c>
      <c r="F923" s="28" t="n"/>
      <c r="G923" s="28" t="n"/>
      <c r="H923" s="1" t="n"/>
    </row>
    <row r="924">
      <c r="A924" s="1" t="n"/>
      <c r="B924" s="26" t="n"/>
      <c r="C924" s="27" t="n"/>
      <c r="D924" s="27" t="n"/>
      <c r="E924" s="21">
        <f>IF(OR(C924="",D924=""),"",ROUND(MOD(D924-C924,1)*24,2))</f>
        <v/>
      </c>
      <c r="F924" s="28" t="n"/>
      <c r="G924" s="28" t="n"/>
      <c r="H924" s="1" t="n"/>
    </row>
    <row r="925">
      <c r="A925" s="1" t="n"/>
      <c r="B925" s="26" t="n"/>
      <c r="C925" s="27" t="n"/>
      <c r="D925" s="27" t="n"/>
      <c r="E925" s="21">
        <f>IF(OR(C925="",D925=""),"",ROUND(MOD(D925-C925,1)*24,2))</f>
        <v/>
      </c>
      <c r="F925" s="28" t="n"/>
      <c r="G925" s="28" t="n"/>
      <c r="H925" s="1" t="n"/>
    </row>
    <row r="926">
      <c r="A926" s="1" t="n"/>
      <c r="B926" s="26" t="n"/>
      <c r="C926" s="27" t="n"/>
      <c r="D926" s="27" t="n"/>
      <c r="E926" s="21">
        <f>IF(OR(C926="",D926=""),"",ROUND(MOD(D926-C926,1)*24,2))</f>
        <v/>
      </c>
      <c r="F926" s="28" t="n"/>
      <c r="G926" s="28" t="n"/>
      <c r="H926" s="1" t="n"/>
    </row>
    <row r="927">
      <c r="A927" s="1" t="n"/>
      <c r="B927" s="26" t="n"/>
      <c r="C927" s="27" t="n"/>
      <c r="D927" s="27" t="n"/>
      <c r="E927" s="21">
        <f>IF(OR(C927="",D927=""),"",ROUND(MOD(D927-C927,1)*24,2))</f>
        <v/>
      </c>
      <c r="F927" s="28" t="n"/>
      <c r="G927" s="28" t="n"/>
      <c r="H927" s="1" t="n"/>
    </row>
    <row r="928">
      <c r="A928" s="1" t="n"/>
      <c r="B928" s="26" t="n"/>
      <c r="C928" s="27" t="n"/>
      <c r="D928" s="27" t="n"/>
      <c r="E928" s="21">
        <f>IF(OR(C928="",D928=""),"",ROUND(MOD(D928-C928,1)*24,2))</f>
        <v/>
      </c>
      <c r="F928" s="28" t="n"/>
      <c r="G928" s="28" t="n"/>
      <c r="H928" s="1" t="n"/>
    </row>
    <row r="929">
      <c r="A929" s="1" t="n"/>
      <c r="B929" s="26" t="n"/>
      <c r="C929" s="27" t="n"/>
      <c r="D929" s="27" t="n"/>
      <c r="E929" s="21">
        <f>IF(OR(C929="",D929=""),"",ROUND(MOD(D929-C929,1)*24,2))</f>
        <v/>
      </c>
      <c r="F929" s="28" t="n"/>
      <c r="G929" s="28" t="n"/>
      <c r="H929" s="1" t="n"/>
    </row>
    <row r="930">
      <c r="A930" s="1" t="n"/>
      <c r="B930" s="26" t="n"/>
      <c r="C930" s="27" t="n"/>
      <c r="D930" s="27" t="n"/>
      <c r="E930" s="21">
        <f>IF(OR(C930="",D930=""),"",ROUND(MOD(D930-C930,1)*24,2))</f>
        <v/>
      </c>
      <c r="F930" s="28" t="n"/>
      <c r="G930" s="28" t="n"/>
      <c r="H930" s="1" t="n"/>
    </row>
    <row r="931">
      <c r="A931" s="1" t="n"/>
      <c r="B931" s="26" t="n"/>
      <c r="C931" s="27" t="n"/>
      <c r="D931" s="27" t="n"/>
      <c r="E931" s="21">
        <f>IF(OR(C931="",D931=""),"",ROUND(MOD(D931-C931,1)*24,2))</f>
        <v/>
      </c>
      <c r="F931" s="28" t="n"/>
      <c r="G931" s="28" t="n"/>
      <c r="H931" s="1" t="n"/>
    </row>
    <row r="932">
      <c r="A932" s="1" t="n"/>
      <c r="B932" s="26" t="n"/>
      <c r="C932" s="27" t="n"/>
      <c r="D932" s="27" t="n"/>
      <c r="E932" s="21">
        <f>IF(OR(C932="",D932=""),"",ROUND(MOD(D932-C932,1)*24,2))</f>
        <v/>
      </c>
      <c r="F932" s="28" t="n"/>
      <c r="G932" s="28" t="n"/>
      <c r="H932" s="1" t="n"/>
    </row>
    <row r="933">
      <c r="A933" s="1" t="n"/>
      <c r="B933" s="26" t="n"/>
      <c r="C933" s="27" t="n"/>
      <c r="D933" s="27" t="n"/>
      <c r="E933" s="21">
        <f>IF(OR(C933="",D933=""),"",ROUND(MOD(D933-C933,1)*24,2))</f>
        <v/>
      </c>
      <c r="F933" s="28" t="n"/>
      <c r="G933" s="28" t="n"/>
      <c r="H933" s="1" t="n"/>
    </row>
    <row r="934">
      <c r="A934" s="1" t="n"/>
      <c r="B934" s="26" t="n"/>
      <c r="C934" s="27" t="n"/>
      <c r="D934" s="27" t="n"/>
      <c r="E934" s="21">
        <f>IF(OR(C934="",D934=""),"",ROUND(MOD(D934-C934,1)*24,2))</f>
        <v/>
      </c>
      <c r="F934" s="28" t="n"/>
      <c r="G934" s="28" t="n"/>
      <c r="H934" s="1" t="n"/>
    </row>
    <row r="935">
      <c r="A935" s="1" t="n"/>
      <c r="B935" s="26" t="n"/>
      <c r="C935" s="27" t="n"/>
      <c r="D935" s="27" t="n"/>
      <c r="E935" s="21">
        <f>IF(OR(C935="",D935=""),"",ROUND(MOD(D935-C935,1)*24,2))</f>
        <v/>
      </c>
      <c r="F935" s="28" t="n"/>
      <c r="G935" s="28" t="n"/>
      <c r="H935" s="1" t="n"/>
    </row>
    <row r="936">
      <c r="A936" s="1" t="n"/>
      <c r="B936" s="26" t="n"/>
      <c r="C936" s="27" t="n"/>
      <c r="D936" s="27" t="n"/>
      <c r="E936" s="21">
        <f>IF(OR(C936="",D936=""),"",ROUND(MOD(D936-C936,1)*24,2))</f>
        <v/>
      </c>
      <c r="F936" s="28" t="n"/>
      <c r="G936" s="28" t="n"/>
      <c r="H936" s="1" t="n"/>
    </row>
    <row r="937">
      <c r="A937" s="1" t="n"/>
      <c r="B937" s="26" t="n"/>
      <c r="C937" s="27" t="n"/>
      <c r="D937" s="27" t="n"/>
      <c r="E937" s="21">
        <f>IF(OR(C937="",D937=""),"",ROUND(MOD(D937-C937,1)*24,2))</f>
        <v/>
      </c>
      <c r="F937" s="28" t="n"/>
      <c r="G937" s="28" t="n"/>
      <c r="H937" s="1" t="n"/>
    </row>
    <row r="938">
      <c r="A938" s="1" t="n"/>
      <c r="B938" s="26" t="n"/>
      <c r="C938" s="27" t="n"/>
      <c r="D938" s="27" t="n"/>
      <c r="E938" s="21">
        <f>IF(OR(C938="",D938=""),"",ROUND(MOD(D938-C938,1)*24,2))</f>
        <v/>
      </c>
      <c r="F938" s="28" t="n"/>
      <c r="G938" s="28" t="n"/>
      <c r="H938" s="1" t="n"/>
    </row>
    <row r="939">
      <c r="A939" s="1" t="n"/>
      <c r="B939" s="26" t="n"/>
      <c r="C939" s="27" t="n"/>
      <c r="D939" s="27" t="n"/>
      <c r="E939" s="21">
        <f>IF(OR(C939="",D939=""),"",ROUND(MOD(D939-C939,1)*24,2))</f>
        <v/>
      </c>
      <c r="F939" s="28" t="n"/>
      <c r="G939" s="28" t="n"/>
      <c r="H939" s="1" t="n"/>
    </row>
    <row r="940">
      <c r="A940" s="1" t="n"/>
      <c r="B940" s="26" t="n"/>
      <c r="C940" s="27" t="n"/>
      <c r="D940" s="27" t="n"/>
      <c r="E940" s="21">
        <f>IF(OR(C940="",D940=""),"",ROUND(MOD(D940-C940,1)*24,2))</f>
        <v/>
      </c>
      <c r="F940" s="28" t="n"/>
      <c r="G940" s="28" t="n"/>
      <c r="H940" s="1" t="n"/>
    </row>
    <row r="941">
      <c r="A941" s="1" t="n"/>
      <c r="B941" s="26" t="n"/>
      <c r="C941" s="27" t="n"/>
      <c r="D941" s="27" t="n"/>
      <c r="E941" s="21">
        <f>IF(OR(C941="",D941=""),"",ROUND(MOD(D941-C941,1)*24,2))</f>
        <v/>
      </c>
      <c r="F941" s="28" t="n"/>
      <c r="G941" s="28" t="n"/>
      <c r="H941" s="1" t="n"/>
    </row>
    <row r="942">
      <c r="A942" s="1" t="n"/>
      <c r="B942" s="26" t="n"/>
      <c r="C942" s="27" t="n"/>
      <c r="D942" s="27" t="n"/>
      <c r="E942" s="21">
        <f>IF(OR(C942="",D942=""),"",ROUND(MOD(D942-C942,1)*24,2))</f>
        <v/>
      </c>
      <c r="F942" s="28" t="n"/>
      <c r="G942" s="28" t="n"/>
      <c r="H942" s="1" t="n"/>
    </row>
    <row r="943">
      <c r="A943" s="1" t="n"/>
      <c r="B943" s="26" t="n"/>
      <c r="C943" s="27" t="n"/>
      <c r="D943" s="27" t="n"/>
      <c r="E943" s="21">
        <f>IF(OR(C943="",D943=""),"",ROUND(MOD(D943-C943,1)*24,2))</f>
        <v/>
      </c>
      <c r="F943" s="28" t="n"/>
      <c r="G943" s="28" t="n"/>
      <c r="H943" s="1" t="n"/>
    </row>
    <row r="944">
      <c r="A944" s="1" t="n"/>
      <c r="B944" s="26" t="n"/>
      <c r="C944" s="27" t="n"/>
      <c r="D944" s="27" t="n"/>
      <c r="E944" s="21">
        <f>IF(OR(C944="",D944=""),"",ROUND(MOD(D944-C944,1)*24,2))</f>
        <v/>
      </c>
      <c r="F944" s="28" t="n"/>
      <c r="G944" s="28" t="n"/>
      <c r="H944" s="1" t="n"/>
    </row>
    <row r="945">
      <c r="A945" s="1" t="n"/>
      <c r="B945" s="26" t="n"/>
      <c r="C945" s="27" t="n"/>
      <c r="D945" s="27" t="n"/>
      <c r="E945" s="21">
        <f>IF(OR(C945="",D945=""),"",ROUND(MOD(D945-C945,1)*24,2))</f>
        <v/>
      </c>
      <c r="F945" s="28" t="n"/>
      <c r="G945" s="28" t="n"/>
      <c r="H945" s="1" t="n"/>
    </row>
    <row r="946">
      <c r="A946" s="1" t="n"/>
      <c r="B946" s="26" t="n"/>
      <c r="C946" s="27" t="n"/>
      <c r="D946" s="27" t="n"/>
      <c r="E946" s="21">
        <f>IF(OR(C946="",D946=""),"",ROUND(MOD(D946-C946,1)*24,2))</f>
        <v/>
      </c>
      <c r="F946" s="28" t="n"/>
      <c r="G946" s="28" t="n"/>
      <c r="H946" s="1" t="n"/>
    </row>
    <row r="947">
      <c r="A947" s="1" t="n"/>
      <c r="B947" s="26" t="n"/>
      <c r="C947" s="27" t="n"/>
      <c r="D947" s="27" t="n"/>
      <c r="E947" s="21">
        <f>IF(OR(C947="",D947=""),"",ROUND(MOD(D947-C947,1)*24,2))</f>
        <v/>
      </c>
      <c r="F947" s="28" t="n"/>
      <c r="G947" s="28" t="n"/>
      <c r="H947" s="1" t="n"/>
    </row>
    <row r="948">
      <c r="A948" s="1" t="n"/>
      <c r="B948" s="26" t="n"/>
      <c r="C948" s="27" t="n"/>
      <c r="D948" s="27" t="n"/>
      <c r="E948" s="21">
        <f>IF(OR(C948="",D948=""),"",ROUND(MOD(D948-C948,1)*24,2))</f>
        <v/>
      </c>
      <c r="F948" s="28" t="n"/>
      <c r="G948" s="28" t="n"/>
      <c r="H948" s="1" t="n"/>
    </row>
    <row r="949">
      <c r="A949" s="1" t="n"/>
      <c r="B949" s="26" t="n"/>
      <c r="C949" s="27" t="n"/>
      <c r="D949" s="27" t="n"/>
      <c r="E949" s="21">
        <f>IF(OR(C949="",D949=""),"",ROUND(MOD(D949-C949,1)*24,2))</f>
        <v/>
      </c>
      <c r="F949" s="28" t="n"/>
      <c r="G949" s="28" t="n"/>
      <c r="H949" s="1" t="n"/>
    </row>
    <row r="950">
      <c r="A950" s="1" t="n"/>
      <c r="B950" s="26" t="n"/>
      <c r="C950" s="27" t="n"/>
      <c r="D950" s="27" t="n"/>
      <c r="E950" s="21">
        <f>IF(OR(C950="",D950=""),"",ROUND(MOD(D950-C950,1)*24,2))</f>
        <v/>
      </c>
      <c r="F950" s="28" t="n"/>
      <c r="G950" s="28" t="n"/>
      <c r="H950" s="1" t="n"/>
    </row>
    <row r="951">
      <c r="A951" s="1" t="n"/>
      <c r="B951" s="26" t="n"/>
      <c r="C951" s="27" t="n"/>
      <c r="D951" s="27" t="n"/>
      <c r="E951" s="21">
        <f>IF(OR(C951="",D951=""),"",ROUND(MOD(D951-C951,1)*24,2))</f>
        <v/>
      </c>
      <c r="F951" s="28" t="n"/>
      <c r="G951" s="28" t="n"/>
      <c r="H951" s="1" t="n"/>
    </row>
    <row r="952">
      <c r="A952" s="1" t="n"/>
      <c r="B952" s="26" t="n"/>
      <c r="C952" s="27" t="n"/>
      <c r="D952" s="27" t="n"/>
      <c r="E952" s="21">
        <f>IF(OR(C952="",D952=""),"",ROUND(MOD(D952-C952,1)*24,2))</f>
        <v/>
      </c>
      <c r="F952" s="28" t="n"/>
      <c r="G952" s="28" t="n"/>
      <c r="H952" s="1" t="n"/>
    </row>
    <row r="953">
      <c r="A953" s="1" t="n"/>
      <c r="B953" s="26" t="n"/>
      <c r="C953" s="27" t="n"/>
      <c r="D953" s="27" t="n"/>
      <c r="E953" s="21">
        <f>IF(OR(C953="",D953=""),"",ROUND(MOD(D953-C953,1)*24,2))</f>
        <v/>
      </c>
      <c r="F953" s="28" t="n"/>
      <c r="G953" s="28" t="n"/>
      <c r="H953" s="1" t="n"/>
    </row>
    <row r="954">
      <c r="A954" s="1" t="n"/>
      <c r="B954" s="26" t="n"/>
      <c r="C954" s="27" t="n"/>
      <c r="D954" s="27" t="n"/>
      <c r="E954" s="21">
        <f>IF(OR(C954="",D954=""),"",ROUND(MOD(D954-C954,1)*24,2))</f>
        <v/>
      </c>
      <c r="F954" s="28" t="n"/>
      <c r="G954" s="28" t="n"/>
      <c r="H954" s="1" t="n"/>
    </row>
    <row r="955">
      <c r="A955" s="1" t="n"/>
      <c r="B955" s="26" t="n"/>
      <c r="C955" s="27" t="n"/>
      <c r="D955" s="27" t="n"/>
      <c r="E955" s="21">
        <f>IF(OR(C955="",D955=""),"",ROUND(MOD(D955-C955,1)*24,2))</f>
        <v/>
      </c>
      <c r="F955" s="28" t="n"/>
      <c r="G955" s="28" t="n"/>
      <c r="H955" s="1" t="n"/>
    </row>
    <row r="956">
      <c r="A956" s="1" t="n"/>
      <c r="B956" s="26" t="n"/>
      <c r="C956" s="27" t="n"/>
      <c r="D956" s="27" t="n"/>
      <c r="E956" s="21">
        <f>IF(OR(C956="",D956=""),"",ROUND(MOD(D956-C956,1)*24,2))</f>
        <v/>
      </c>
      <c r="F956" s="28" t="n"/>
      <c r="G956" s="28" t="n"/>
      <c r="H956" s="1" t="n"/>
    </row>
    <row r="957">
      <c r="A957" s="1" t="n"/>
      <c r="B957" s="26" t="n"/>
      <c r="C957" s="27" t="n"/>
      <c r="D957" s="27" t="n"/>
      <c r="E957" s="21">
        <f>IF(OR(C957="",D957=""),"",ROUND(MOD(D957-C957,1)*24,2))</f>
        <v/>
      </c>
      <c r="F957" s="28" t="n"/>
      <c r="G957" s="28" t="n"/>
      <c r="H957" s="1" t="n"/>
    </row>
    <row r="958">
      <c r="A958" s="1" t="n"/>
      <c r="B958" s="26" t="n"/>
      <c r="C958" s="27" t="n"/>
      <c r="D958" s="27" t="n"/>
      <c r="E958" s="21">
        <f>IF(OR(C958="",D958=""),"",ROUND(MOD(D958-C958,1)*24,2))</f>
        <v/>
      </c>
      <c r="F958" s="28" t="n"/>
      <c r="G958" s="28" t="n"/>
      <c r="H958" s="1" t="n"/>
    </row>
    <row r="959">
      <c r="A959" s="1" t="n"/>
      <c r="B959" s="26" t="n"/>
      <c r="C959" s="27" t="n"/>
      <c r="D959" s="27" t="n"/>
      <c r="E959" s="21">
        <f>IF(OR(C959="",D959=""),"",ROUND(MOD(D959-C959,1)*24,2))</f>
        <v/>
      </c>
      <c r="F959" s="28" t="n"/>
      <c r="G959" s="28" t="n"/>
      <c r="H959" s="1" t="n"/>
    </row>
    <row r="960">
      <c r="A960" s="1" t="n"/>
      <c r="B960" s="26" t="n"/>
      <c r="C960" s="27" t="n"/>
      <c r="D960" s="27" t="n"/>
      <c r="E960" s="21">
        <f>IF(OR(C960="",D960=""),"",ROUND(MOD(D960-C960,1)*24,2))</f>
        <v/>
      </c>
      <c r="F960" s="28" t="n"/>
      <c r="G960" s="28" t="n"/>
      <c r="H960" s="1" t="n"/>
    </row>
    <row r="961">
      <c r="A961" s="1" t="n"/>
      <c r="B961" s="26" t="n"/>
      <c r="C961" s="27" t="n"/>
      <c r="D961" s="27" t="n"/>
      <c r="E961" s="21">
        <f>IF(OR(C961="",D961=""),"",ROUND(MOD(D961-C961,1)*24,2))</f>
        <v/>
      </c>
      <c r="F961" s="28" t="n"/>
      <c r="G961" s="28" t="n"/>
      <c r="H961" s="1" t="n"/>
    </row>
    <row r="962">
      <c r="A962" s="1" t="n"/>
      <c r="B962" s="26" t="n"/>
      <c r="C962" s="27" t="n"/>
      <c r="D962" s="27" t="n"/>
      <c r="E962" s="21">
        <f>IF(OR(C962="",D962=""),"",ROUND(MOD(D962-C962,1)*24,2))</f>
        <v/>
      </c>
      <c r="F962" s="28" t="n"/>
      <c r="G962" s="28" t="n"/>
      <c r="H962" s="1" t="n"/>
    </row>
    <row r="963">
      <c r="A963" s="1" t="n"/>
      <c r="B963" s="26" t="n"/>
      <c r="C963" s="27" t="n"/>
      <c r="D963" s="27" t="n"/>
      <c r="E963" s="21">
        <f>IF(OR(C963="",D963=""),"",ROUND(MOD(D963-C963,1)*24,2))</f>
        <v/>
      </c>
      <c r="F963" s="28" t="n"/>
      <c r="G963" s="28" t="n"/>
      <c r="H963" s="1" t="n"/>
    </row>
    <row r="964">
      <c r="A964" s="1" t="n"/>
      <c r="B964" s="26" t="n"/>
      <c r="C964" s="27" t="n"/>
      <c r="D964" s="27" t="n"/>
      <c r="E964" s="21">
        <f>IF(OR(C964="",D964=""),"",ROUND(MOD(D964-C964,1)*24,2))</f>
        <v/>
      </c>
      <c r="F964" s="28" t="n"/>
      <c r="G964" s="28" t="n"/>
      <c r="H964" s="1" t="n"/>
    </row>
    <row r="965">
      <c r="A965" s="1" t="n"/>
      <c r="B965" s="26" t="n"/>
      <c r="C965" s="27" t="n"/>
      <c r="D965" s="27" t="n"/>
      <c r="E965" s="21">
        <f>IF(OR(C965="",D965=""),"",ROUND(MOD(D965-C965,1)*24,2))</f>
        <v/>
      </c>
      <c r="F965" s="28" t="n"/>
      <c r="G965" s="28" t="n"/>
      <c r="H965" s="1" t="n"/>
    </row>
    <row r="966">
      <c r="A966" s="1" t="n"/>
      <c r="B966" s="26" t="n"/>
      <c r="C966" s="27" t="n"/>
      <c r="D966" s="27" t="n"/>
      <c r="E966" s="21">
        <f>IF(OR(C966="",D966=""),"",ROUND(MOD(D966-C966,1)*24,2))</f>
        <v/>
      </c>
      <c r="F966" s="28" t="n"/>
      <c r="G966" s="28" t="n"/>
      <c r="H966" s="1" t="n"/>
    </row>
    <row r="967">
      <c r="A967" s="1" t="n"/>
      <c r="B967" s="26" t="n"/>
      <c r="C967" s="27" t="n"/>
      <c r="D967" s="27" t="n"/>
      <c r="E967" s="21">
        <f>IF(OR(C967="",D967=""),"",ROUND(MOD(D967-C967,1)*24,2))</f>
        <v/>
      </c>
      <c r="F967" s="28" t="n"/>
      <c r="G967" s="28" t="n"/>
      <c r="H967" s="1" t="n"/>
    </row>
    <row r="968">
      <c r="A968" s="1" t="n"/>
      <c r="B968" s="26" t="n"/>
      <c r="C968" s="27" t="n"/>
      <c r="D968" s="27" t="n"/>
      <c r="E968" s="21">
        <f>IF(OR(C968="",D968=""),"",ROUND(MOD(D968-C968,1)*24,2))</f>
        <v/>
      </c>
      <c r="F968" s="28" t="n"/>
      <c r="G968" s="28" t="n"/>
      <c r="H968" s="1" t="n"/>
    </row>
    <row r="969">
      <c r="A969" s="1" t="n"/>
      <c r="B969" s="26" t="n"/>
      <c r="C969" s="27" t="n"/>
      <c r="D969" s="27" t="n"/>
      <c r="E969" s="21">
        <f>IF(OR(C969="",D969=""),"",ROUND(MOD(D969-C969,1)*24,2))</f>
        <v/>
      </c>
      <c r="F969" s="28" t="n"/>
      <c r="G969" s="28" t="n"/>
      <c r="H969" s="1" t="n"/>
    </row>
    <row r="970">
      <c r="A970" s="1" t="n"/>
      <c r="B970" s="26" t="n"/>
      <c r="C970" s="27" t="n"/>
      <c r="D970" s="27" t="n"/>
      <c r="E970" s="21">
        <f>IF(OR(C970="",D970=""),"",ROUND(MOD(D970-C970,1)*24,2))</f>
        <v/>
      </c>
      <c r="F970" s="28" t="n"/>
      <c r="G970" s="28" t="n"/>
      <c r="H970" s="1" t="n"/>
    </row>
    <row r="971">
      <c r="A971" s="1" t="n"/>
      <c r="B971" s="26" t="n"/>
      <c r="C971" s="27" t="n"/>
      <c r="D971" s="27" t="n"/>
      <c r="E971" s="21">
        <f>IF(OR(C971="",D971=""),"",ROUND(MOD(D971-C971,1)*24,2))</f>
        <v/>
      </c>
      <c r="F971" s="28" t="n"/>
      <c r="G971" s="28" t="n"/>
      <c r="H971" s="1" t="n"/>
    </row>
    <row r="972">
      <c r="A972" s="1" t="n"/>
      <c r="B972" s="26" t="n"/>
      <c r="C972" s="27" t="n"/>
      <c r="D972" s="27" t="n"/>
      <c r="E972" s="21">
        <f>IF(OR(C972="",D972=""),"",ROUND(MOD(D972-C972,1)*24,2))</f>
        <v/>
      </c>
      <c r="F972" s="28" t="n"/>
      <c r="G972" s="28" t="n"/>
      <c r="H972" s="1" t="n"/>
    </row>
    <row r="973">
      <c r="A973" s="1" t="n"/>
      <c r="B973" s="26" t="n"/>
      <c r="C973" s="27" t="n"/>
      <c r="D973" s="27" t="n"/>
      <c r="E973" s="21">
        <f>IF(OR(C973="",D973=""),"",ROUND(MOD(D973-C973,1)*24,2))</f>
        <v/>
      </c>
      <c r="F973" s="28" t="n"/>
      <c r="G973" s="28" t="n"/>
      <c r="H973" s="1" t="n"/>
    </row>
    <row r="974">
      <c r="A974" s="1" t="n"/>
      <c r="B974" s="26" t="n"/>
      <c r="C974" s="27" t="n"/>
      <c r="D974" s="27" t="n"/>
      <c r="E974" s="21">
        <f>IF(OR(C974="",D974=""),"",ROUND(MOD(D974-C974,1)*24,2))</f>
        <v/>
      </c>
      <c r="F974" s="28" t="n"/>
      <c r="G974" s="28" t="n"/>
      <c r="H974" s="1" t="n"/>
    </row>
    <row r="975">
      <c r="A975" s="1" t="n"/>
      <c r="B975" s="26" t="n"/>
      <c r="C975" s="27" t="n"/>
      <c r="D975" s="27" t="n"/>
      <c r="E975" s="21">
        <f>IF(OR(C975="",D975=""),"",ROUND(MOD(D975-C975,1)*24,2))</f>
        <v/>
      </c>
      <c r="F975" s="28" t="n"/>
      <c r="G975" s="28" t="n"/>
      <c r="H975" s="1" t="n"/>
    </row>
    <row r="976">
      <c r="A976" s="1" t="n"/>
      <c r="B976" s="26" t="n"/>
      <c r="C976" s="27" t="n"/>
      <c r="D976" s="27" t="n"/>
      <c r="E976" s="21">
        <f>IF(OR(C976="",D976=""),"",ROUND(MOD(D976-C976,1)*24,2))</f>
        <v/>
      </c>
      <c r="F976" s="28" t="n"/>
      <c r="G976" s="28" t="n"/>
      <c r="H976" s="1" t="n"/>
    </row>
    <row r="977">
      <c r="A977" s="1" t="n"/>
      <c r="B977" s="26" t="n"/>
      <c r="C977" s="27" t="n"/>
      <c r="D977" s="27" t="n"/>
      <c r="E977" s="21">
        <f>IF(OR(C977="",D977=""),"",ROUND(MOD(D977-C977,1)*24,2))</f>
        <v/>
      </c>
      <c r="F977" s="28" t="n"/>
      <c r="G977" s="28" t="n"/>
      <c r="H977" s="1" t="n"/>
    </row>
    <row r="978">
      <c r="A978" s="1" t="n"/>
      <c r="B978" s="26" t="n"/>
      <c r="C978" s="27" t="n"/>
      <c r="D978" s="27" t="n"/>
      <c r="E978" s="21">
        <f>IF(OR(C978="",D978=""),"",ROUND(MOD(D978-C978,1)*24,2))</f>
        <v/>
      </c>
      <c r="F978" s="28" t="n"/>
      <c r="G978" s="28" t="n"/>
      <c r="H978" s="1" t="n"/>
    </row>
    <row r="979">
      <c r="A979" s="1" t="n"/>
      <c r="B979" s="26" t="n"/>
      <c r="C979" s="27" t="n"/>
      <c r="D979" s="27" t="n"/>
      <c r="E979" s="21">
        <f>IF(OR(C979="",D979=""),"",ROUND(MOD(D979-C979,1)*24,2))</f>
        <v/>
      </c>
      <c r="F979" s="28" t="n"/>
      <c r="G979" s="28" t="n"/>
      <c r="H979" s="1" t="n"/>
    </row>
    <row r="980">
      <c r="A980" s="1" t="n"/>
      <c r="B980" s="26" t="n"/>
      <c r="C980" s="27" t="n"/>
      <c r="D980" s="27" t="n"/>
      <c r="E980" s="21">
        <f>IF(OR(C980="",D980=""),"",ROUND(MOD(D980-C980,1)*24,2))</f>
        <v/>
      </c>
      <c r="F980" s="28" t="n"/>
      <c r="G980" s="28" t="n"/>
      <c r="H980" s="1" t="n"/>
    </row>
    <row r="981">
      <c r="A981" s="1" t="n"/>
      <c r="B981" s="26" t="n"/>
      <c r="C981" s="27" t="n"/>
      <c r="D981" s="27" t="n"/>
      <c r="E981" s="21">
        <f>IF(OR(C981="",D981=""),"",ROUND(MOD(D981-C981,1)*24,2))</f>
        <v/>
      </c>
      <c r="F981" s="28" t="n"/>
      <c r="G981" s="28" t="n"/>
      <c r="H981" s="1" t="n"/>
    </row>
    <row r="982">
      <c r="A982" s="1" t="n"/>
      <c r="B982" s="26" t="n"/>
      <c r="C982" s="27" t="n"/>
      <c r="D982" s="27" t="n"/>
      <c r="E982" s="21">
        <f>IF(OR(C982="",D982=""),"",ROUND(MOD(D982-C982,1)*24,2))</f>
        <v/>
      </c>
      <c r="F982" s="28" t="n"/>
      <c r="G982" s="28" t="n"/>
      <c r="H982" s="1" t="n"/>
    </row>
    <row r="983">
      <c r="A983" s="1" t="n"/>
      <c r="B983" s="26" t="n"/>
      <c r="C983" s="27" t="n"/>
      <c r="D983" s="27" t="n"/>
      <c r="E983" s="21">
        <f>IF(OR(C983="",D983=""),"",ROUND(MOD(D983-C983,1)*24,2))</f>
        <v/>
      </c>
      <c r="F983" s="28" t="n"/>
      <c r="G983" s="28" t="n"/>
      <c r="H983" s="1" t="n"/>
    </row>
    <row r="984">
      <c r="A984" s="1" t="n"/>
      <c r="B984" s="26" t="n"/>
      <c r="C984" s="27" t="n"/>
      <c r="D984" s="27" t="n"/>
      <c r="E984" s="21">
        <f>IF(OR(C984="",D984=""),"",ROUND(MOD(D984-C984,1)*24,2))</f>
        <v/>
      </c>
      <c r="F984" s="28" t="n"/>
      <c r="G984" s="28" t="n"/>
      <c r="H984" s="1" t="n"/>
    </row>
    <row r="985">
      <c r="A985" s="1" t="n"/>
      <c r="B985" s="26" t="n"/>
      <c r="C985" s="27" t="n"/>
      <c r="D985" s="27" t="n"/>
      <c r="E985" s="21">
        <f>IF(OR(C985="",D985=""),"",ROUND(MOD(D985-C985,1)*24,2))</f>
        <v/>
      </c>
      <c r="F985" s="28" t="n"/>
      <c r="G985" s="28" t="n"/>
      <c r="H985" s="1" t="n"/>
    </row>
    <row r="986">
      <c r="A986" s="1" t="n"/>
      <c r="B986" s="26" t="n"/>
      <c r="C986" s="27" t="n"/>
      <c r="D986" s="27" t="n"/>
      <c r="E986" s="21">
        <f>IF(OR(C986="",D986=""),"",ROUND(MOD(D986-C986,1)*24,2))</f>
        <v/>
      </c>
      <c r="F986" s="28" t="n"/>
      <c r="G986" s="28" t="n"/>
      <c r="H986" s="1" t="n"/>
    </row>
    <row r="987">
      <c r="A987" s="1" t="n"/>
      <c r="B987" s="26" t="n"/>
      <c r="C987" s="27" t="n"/>
      <c r="D987" s="27" t="n"/>
      <c r="E987" s="21">
        <f>IF(OR(C987="",D987=""),"",ROUND(MOD(D987-C987,1)*24,2))</f>
        <v/>
      </c>
      <c r="F987" s="28" t="n"/>
      <c r="G987" s="28" t="n"/>
      <c r="H987" s="1" t="n"/>
    </row>
    <row r="988">
      <c r="A988" s="1" t="n"/>
      <c r="B988" s="26" t="n"/>
      <c r="C988" s="27" t="n"/>
      <c r="D988" s="27" t="n"/>
      <c r="E988" s="21">
        <f>IF(OR(C988="",D988=""),"",ROUND(MOD(D988-C988,1)*24,2))</f>
        <v/>
      </c>
      <c r="F988" s="28" t="n"/>
      <c r="G988" s="28" t="n"/>
      <c r="H988" s="1" t="n"/>
    </row>
    <row r="989">
      <c r="A989" s="1" t="n"/>
      <c r="B989" s="26" t="n"/>
      <c r="C989" s="27" t="n"/>
      <c r="D989" s="27" t="n"/>
      <c r="E989" s="21">
        <f>IF(OR(C989="",D989=""),"",ROUND(MOD(D989-C989,1)*24,2))</f>
        <v/>
      </c>
      <c r="F989" s="28" t="n"/>
      <c r="G989" s="28" t="n"/>
      <c r="H989" s="1" t="n"/>
    </row>
    <row r="990">
      <c r="A990" s="1" t="n"/>
      <c r="B990" s="26" t="n"/>
      <c r="C990" s="27" t="n"/>
      <c r="D990" s="27" t="n"/>
      <c r="E990" s="21">
        <f>IF(OR(C990="",D990=""),"",ROUND(MOD(D990-C990,1)*24,2))</f>
        <v/>
      </c>
      <c r="F990" s="28" t="n"/>
      <c r="G990" s="28" t="n"/>
      <c r="H990" s="1" t="n"/>
    </row>
    <row r="991">
      <c r="A991" s="1" t="n"/>
      <c r="B991" s="26" t="n"/>
      <c r="C991" s="27" t="n"/>
      <c r="D991" s="27" t="n"/>
      <c r="E991" s="21">
        <f>IF(OR(C991="",D991=""),"",ROUND(MOD(D991-C991,1)*24,2))</f>
        <v/>
      </c>
      <c r="F991" s="28" t="n"/>
      <c r="G991" s="28" t="n"/>
      <c r="H991" s="1" t="n"/>
    </row>
    <row r="992">
      <c r="A992" s="1" t="n"/>
      <c r="B992" s="26" t="n"/>
      <c r="C992" s="27" t="n"/>
      <c r="D992" s="27" t="n"/>
      <c r="E992" s="21">
        <f>IF(OR(C992="",D992=""),"",ROUND(MOD(D992-C992,1)*24,2))</f>
        <v/>
      </c>
      <c r="F992" s="28" t="n"/>
      <c r="G992" s="28" t="n"/>
      <c r="H992" s="1" t="n"/>
    </row>
    <row r="993">
      <c r="A993" s="1" t="n"/>
      <c r="B993" s="26" t="n"/>
      <c r="C993" s="27" t="n"/>
      <c r="D993" s="27" t="n"/>
      <c r="E993" s="21">
        <f>IF(OR(C993="",D993=""),"",ROUND(MOD(D993-C993,1)*24,2))</f>
        <v/>
      </c>
      <c r="F993" s="28" t="n"/>
      <c r="G993" s="28" t="n"/>
      <c r="H993" s="1" t="n"/>
    </row>
    <row r="994">
      <c r="A994" s="1" t="n"/>
      <c r="B994" s="26" t="n"/>
      <c r="C994" s="27" t="n"/>
      <c r="D994" s="27" t="n"/>
      <c r="E994" s="21">
        <f>IF(OR(C994="",D994=""),"",ROUND(MOD(D994-C994,1)*24,2))</f>
        <v/>
      </c>
      <c r="F994" s="28" t="n"/>
      <c r="G994" s="28" t="n"/>
      <c r="H994" s="1" t="n"/>
    </row>
    <row r="995">
      <c r="A995" s="1" t="n"/>
      <c r="B995" s="26" t="n"/>
      <c r="C995" s="27" t="n"/>
      <c r="D995" s="27" t="n"/>
      <c r="E995" s="21">
        <f>IF(OR(C995="",D995=""),"",ROUND(MOD(D995-C995,1)*24,2))</f>
        <v/>
      </c>
      <c r="F995" s="28" t="n"/>
      <c r="G995" s="28" t="n"/>
      <c r="H995" s="1" t="n"/>
    </row>
    <row r="996">
      <c r="A996" s="1" t="n"/>
      <c r="B996" s="26" t="n"/>
      <c r="C996" s="27" t="n"/>
      <c r="D996" s="27" t="n"/>
      <c r="E996" s="21">
        <f>IF(OR(C996="",D996=""),"",ROUND(MOD(D996-C996,1)*24,2))</f>
        <v/>
      </c>
      <c r="F996" s="28" t="n"/>
      <c r="G996" s="28" t="n"/>
      <c r="H996" s="1" t="n"/>
    </row>
    <row r="997">
      <c r="A997" s="1" t="n"/>
      <c r="B997" s="26" t="n"/>
      <c r="C997" s="27" t="n"/>
      <c r="D997" s="27" t="n"/>
      <c r="E997" s="21">
        <f>IF(OR(C997="",D997=""),"",ROUND(MOD(D997-C997,1)*24,2))</f>
        <v/>
      </c>
      <c r="F997" s="28" t="n"/>
      <c r="G997" s="28" t="n"/>
      <c r="H997" s="1" t="n"/>
    </row>
    <row r="998">
      <c r="A998" s="1" t="n"/>
      <c r="B998" s="26" t="n"/>
      <c r="C998" s="27" t="n"/>
      <c r="D998" s="27" t="n"/>
      <c r="E998" s="21">
        <f>IF(OR(C998="",D998=""),"",ROUND(MOD(D998-C998,1)*24,2))</f>
        <v/>
      </c>
      <c r="F998" s="28" t="n"/>
      <c r="G998" s="28" t="n"/>
      <c r="H998" s="1" t="n"/>
    </row>
    <row r="999">
      <c r="A999" s="1" t="n"/>
      <c r="B999" s="26" t="n"/>
      <c r="C999" s="27" t="n"/>
      <c r="D999" s="27" t="n"/>
      <c r="E999" s="21">
        <f>IF(OR(C999="",D999=""),"",ROUND(MOD(D999-C999,1)*24,2))</f>
        <v/>
      </c>
      <c r="F999" s="28" t="n"/>
      <c r="G999" s="28" t="n"/>
      <c r="H999" s="1" t="n"/>
    </row>
    <row r="1000">
      <c r="A1000" s="1" t="n"/>
      <c r="B1000" s="26" t="n"/>
      <c r="C1000" s="27" t="n"/>
      <c r="D1000" s="27" t="n"/>
      <c r="E1000" s="21">
        <f>IF(OR(C1000="",D1000=""),"",ROUND(MOD(D1000-C1000,1)*24,2))</f>
        <v/>
      </c>
      <c r="F1000" s="28" t="n"/>
      <c r="G1000" s="28" t="n"/>
      <c r="H1000" s="1" t="n"/>
    </row>
    <row r="1001">
      <c r="A1001" s="1" t="n"/>
      <c r="B1001" s="26" t="n"/>
      <c r="C1001" s="27" t="n"/>
      <c r="D1001" s="27" t="n"/>
      <c r="E1001" s="21">
        <f>IF(OR(C1001="",D1001=""),"",ROUND(MOD(D1001-C1001,1)*24,2))</f>
        <v/>
      </c>
      <c r="F1001" s="28" t="n"/>
      <c r="G1001" s="28" t="n"/>
      <c r="H1001" s="1" t="n"/>
    </row>
    <row r="1002">
      <c r="A1002" s="1" t="n"/>
      <c r="B1002" s="26" t="n"/>
      <c r="C1002" s="27" t="n"/>
      <c r="D1002" s="27" t="n"/>
      <c r="E1002" s="21">
        <f>IF(OR(C1002="",D1002=""),"",ROUND(MOD(D1002-C1002,1)*24,2))</f>
        <v/>
      </c>
      <c r="F1002" s="28" t="n"/>
      <c r="G1002" s="28" t="n"/>
      <c r="H1002" s="1" t="n"/>
    </row>
    <row r="1003">
      <c r="A1003" s="1" t="n"/>
      <c r="B1003" s="26" t="n"/>
      <c r="C1003" s="27" t="n"/>
      <c r="D1003" s="27" t="n"/>
      <c r="E1003" s="21">
        <f>IF(OR(C1003="",D1003=""),"",ROUND(MOD(D1003-C1003,1)*24,2))</f>
        <v/>
      </c>
      <c r="F1003" s="28" t="n"/>
      <c r="G1003" s="28" t="n"/>
      <c r="H1003" s="1" t="n"/>
    </row>
    <row r="1004">
      <c r="A1004" s="1" t="n"/>
      <c r="B1004" s="26" t="n"/>
      <c r="C1004" s="27" t="n"/>
      <c r="D1004" s="27" t="n"/>
      <c r="E1004" s="21">
        <f>IF(OR(C1004="",D1004=""),"",ROUND(MOD(D1004-C1004,1)*24,2))</f>
        <v/>
      </c>
      <c r="F1004" s="28" t="n"/>
      <c r="G1004" s="28" t="n"/>
      <c r="H1004" s="1" t="n"/>
    </row>
    <row r="1005">
      <c r="A1005" s="1" t="n"/>
      <c r="B1005" s="26" t="n"/>
      <c r="C1005" s="27" t="n"/>
      <c r="D1005" s="27" t="n"/>
      <c r="E1005" s="21">
        <f>IF(OR(C1005="",D1005=""),"",ROUND(MOD(D1005-C1005,1)*24,2))</f>
        <v/>
      </c>
      <c r="F1005" s="28" t="n"/>
      <c r="G1005" s="28" t="n"/>
      <c r="H1005" s="1" t="n"/>
    </row>
    <row r="1006">
      <c r="A1006" s="1" t="n"/>
      <c r="B1006" s="26" t="n"/>
      <c r="C1006" s="27" t="n"/>
      <c r="D1006" s="27" t="n"/>
      <c r="E1006" s="21">
        <f>IF(OR(C1006="",D1006=""),"",ROUND(MOD(D1006-C1006,1)*24,2))</f>
        <v/>
      </c>
      <c r="F1006" s="28" t="n"/>
      <c r="G1006" s="28" t="n"/>
      <c r="H1006" s="1" t="n"/>
    </row>
    <row r="1007">
      <c r="A1007" s="1" t="n"/>
      <c r="B1007" s="26" t="n"/>
      <c r="C1007" s="27" t="n"/>
      <c r="D1007" s="27" t="n"/>
      <c r="E1007" s="21">
        <f>IF(OR(C1007="",D1007=""),"",ROUND(MOD(D1007-C1007,1)*24,2))</f>
        <v/>
      </c>
      <c r="F1007" s="28" t="n"/>
      <c r="G1007" s="28" t="n"/>
      <c r="H1007" s="1" t="n"/>
    </row>
    <row r="1008">
      <c r="A1008" s="1" t="n"/>
      <c r="B1008" s="26" t="n"/>
      <c r="C1008" s="27" t="n"/>
      <c r="D1008" s="27" t="n"/>
      <c r="E1008" s="21">
        <f>IF(OR(C1008="",D1008=""),"",ROUND(MOD(D1008-C1008,1)*24,2))</f>
        <v/>
      </c>
      <c r="F1008" s="28" t="n"/>
      <c r="G1008" s="28" t="n"/>
      <c r="H1008" s="1" t="n"/>
    </row>
    <row r="1009">
      <c r="A1009" s="1" t="n"/>
      <c r="B1009" s="26" t="n"/>
      <c r="C1009" s="27" t="n"/>
      <c r="D1009" s="27" t="n"/>
      <c r="E1009" s="21">
        <f>IF(OR(C1009="",D1009=""),"",ROUND(MOD(D1009-C1009,1)*24,2))</f>
        <v/>
      </c>
      <c r="F1009" s="28" t="n"/>
      <c r="G1009" s="28" t="n"/>
      <c r="H1009" s="1" t="n"/>
    </row>
    <row r="1010">
      <c r="A1010" s="1" t="n"/>
      <c r="B1010" s="26" t="n"/>
      <c r="C1010" s="27" t="n"/>
      <c r="D1010" s="27" t="n"/>
      <c r="E1010" s="21">
        <f>IF(OR(C1010="",D1010=""),"",ROUND(MOD(D1010-C1010,1)*24,2))</f>
        <v/>
      </c>
      <c r="F1010" s="28" t="n"/>
      <c r="G1010" s="28" t="n"/>
      <c r="H1010" s="1" t="n"/>
    </row>
    <row r="1011">
      <c r="A1011" s="1" t="n"/>
      <c r="B1011" s="26" t="n"/>
      <c r="C1011" s="27" t="n"/>
      <c r="D1011" s="27" t="n"/>
      <c r="E1011" s="21">
        <f>IF(OR(C1011="",D1011=""),"",ROUND(MOD(D1011-C1011,1)*24,2))</f>
        <v/>
      </c>
      <c r="F1011" s="28" t="n"/>
      <c r="G1011" s="28" t="n"/>
      <c r="H1011" s="1" t="n"/>
    </row>
    <row r="1012">
      <c r="A1012" s="1" t="n"/>
      <c r="B1012" s="26" t="n"/>
      <c r="C1012" s="27" t="n"/>
      <c r="D1012" s="27" t="n"/>
      <c r="E1012" s="21">
        <f>IF(OR(C1012="",D1012=""),"",ROUND(MOD(D1012-C1012,1)*24,2))</f>
        <v/>
      </c>
      <c r="F1012" s="28" t="n"/>
      <c r="G1012" s="28" t="n"/>
      <c r="H1012" s="1" t="n"/>
    </row>
    <row r="1013">
      <c r="A1013" s="1" t="n"/>
      <c r="B1013" s="26" t="n"/>
      <c r="C1013" s="27" t="n"/>
      <c r="D1013" s="27" t="n"/>
      <c r="E1013" s="21">
        <f>IF(OR(C1013="",D1013=""),"",ROUND(MOD(D1013-C1013,1)*24,2))</f>
        <v/>
      </c>
      <c r="F1013" s="28" t="n"/>
      <c r="G1013" s="28" t="n"/>
      <c r="H1013" s="1" t="n"/>
    </row>
    <row r="1014">
      <c r="A1014" s="1" t="n"/>
      <c r="B1014" s="26" t="n"/>
      <c r="C1014" s="27" t="n"/>
      <c r="D1014" s="27" t="n"/>
      <c r="E1014" s="21">
        <f>IF(OR(C1014="",D1014=""),"",ROUND(MOD(D1014-C1014,1)*24,2))</f>
        <v/>
      </c>
      <c r="F1014" s="28" t="n"/>
      <c r="G1014" s="28" t="n"/>
      <c r="H1014" s="1" t="n"/>
    </row>
    <row r="1015">
      <c r="A1015" s="1" t="n"/>
      <c r="B1015" s="26" t="n"/>
      <c r="C1015" s="27" t="n"/>
      <c r="D1015" s="27" t="n"/>
      <c r="E1015" s="21">
        <f>IF(OR(C1015="",D1015=""),"",ROUND(MOD(D1015-C1015,1)*24,2))</f>
        <v/>
      </c>
      <c r="F1015" s="28" t="n"/>
      <c r="G1015" s="28" t="n"/>
      <c r="H1015" s="1" t="n"/>
    </row>
    <row r="1016">
      <c r="A1016" s="1" t="n"/>
      <c r="B1016" s="26" t="n"/>
      <c r="C1016" s="27" t="n"/>
      <c r="D1016" s="27" t="n"/>
      <c r="E1016" s="21">
        <f>IF(OR(C1016="",D1016=""),"",ROUND(MOD(D1016-C1016,1)*24,2))</f>
        <v/>
      </c>
      <c r="F1016" s="28" t="n"/>
      <c r="G1016" s="28" t="n"/>
      <c r="H1016" s="1" t="n"/>
    </row>
    <row r="1017">
      <c r="A1017" s="1" t="n"/>
      <c r="B1017" s="26" t="n"/>
      <c r="C1017" s="27" t="n"/>
      <c r="D1017" s="27" t="n"/>
      <c r="E1017" s="21">
        <f>IF(OR(C1017="",D1017=""),"",ROUND(MOD(D1017-C1017,1)*24,2))</f>
        <v/>
      </c>
      <c r="F1017" s="28" t="n"/>
      <c r="G1017" s="28" t="n"/>
      <c r="H1017" s="1" t="n"/>
    </row>
    <row r="1018">
      <c r="A1018" s="1" t="n"/>
      <c r="B1018" s="26" t="n"/>
      <c r="C1018" s="27" t="n"/>
      <c r="D1018" s="27" t="n"/>
      <c r="E1018" s="21">
        <f>IF(OR(C1018="",D1018=""),"",ROUND(MOD(D1018-C1018,1)*24,2))</f>
        <v/>
      </c>
      <c r="F1018" s="28" t="n"/>
      <c r="G1018" s="28" t="n"/>
      <c r="H1018" s="1" t="n"/>
    </row>
    <row r="1019">
      <c r="A1019" s="1" t="n"/>
      <c r="B1019" s="26" t="n"/>
      <c r="C1019" s="27" t="n"/>
      <c r="D1019" s="27" t="n"/>
      <c r="E1019" s="21">
        <f>IF(OR(C1019="",D1019=""),"",ROUND(MOD(D1019-C1019,1)*24,2))</f>
        <v/>
      </c>
      <c r="F1019" s="28" t="n"/>
      <c r="G1019" s="28" t="n"/>
      <c r="H1019" s="1" t="n"/>
    </row>
    <row r="1020">
      <c r="A1020" s="1" t="n"/>
      <c r="B1020" s="26" t="n"/>
      <c r="C1020" s="27" t="n"/>
      <c r="D1020" s="27" t="n"/>
      <c r="E1020" s="21">
        <f>IF(OR(C1020="",D1020=""),"",ROUND(MOD(D1020-C1020,1)*24,2))</f>
        <v/>
      </c>
      <c r="F1020" s="28" t="n"/>
      <c r="G1020" s="28" t="n"/>
      <c r="H1020" s="1" t="n"/>
    </row>
    <row r="1021">
      <c r="A1021" s="1" t="n"/>
      <c r="B1021" s="26" t="n"/>
      <c r="C1021" s="27" t="n"/>
      <c r="D1021" s="27" t="n"/>
      <c r="E1021" s="21">
        <f>IF(OR(C1021="",D1021=""),"",ROUND(MOD(D1021-C1021,1)*24,2))</f>
        <v/>
      </c>
      <c r="F1021" s="28" t="n"/>
      <c r="G1021" s="28" t="n"/>
      <c r="H1021" s="1" t="n"/>
    </row>
    <row r="1022">
      <c r="A1022" s="1" t="n"/>
      <c r="B1022" s="26" t="n"/>
      <c r="C1022" s="27" t="n"/>
      <c r="D1022" s="27" t="n"/>
      <c r="E1022" s="21">
        <f>IF(OR(C1022="",D1022=""),"",ROUND(MOD(D1022-C1022,1)*24,2))</f>
        <v/>
      </c>
      <c r="F1022" s="28" t="n"/>
      <c r="G1022" s="28" t="n"/>
      <c r="H1022" s="1" t="n"/>
    </row>
    <row r="1023">
      <c r="A1023" s="1" t="n"/>
      <c r="B1023" s="26" t="n"/>
      <c r="C1023" s="27" t="n"/>
      <c r="D1023" s="27" t="n"/>
      <c r="E1023" s="21">
        <f>IF(OR(C1023="",D1023=""),"",ROUND(MOD(D1023-C1023,1)*24,2))</f>
        <v/>
      </c>
      <c r="F1023" s="28" t="n"/>
      <c r="G1023" s="28" t="n"/>
      <c r="H1023" s="1" t="n"/>
    </row>
    <row r="1024">
      <c r="A1024" s="1" t="n"/>
      <c r="B1024" s="26" t="n"/>
      <c r="C1024" s="27" t="n"/>
      <c r="D1024" s="27" t="n"/>
      <c r="E1024" s="21">
        <f>IF(OR(C1024="",D1024=""),"",ROUND(MOD(D1024-C1024,1)*24,2))</f>
        <v/>
      </c>
      <c r="F1024" s="28" t="n"/>
      <c r="G1024" s="28" t="n"/>
      <c r="H1024" s="1" t="n"/>
    </row>
    <row r="1025">
      <c r="A1025" s="1" t="n"/>
      <c r="B1025" s="26" t="n"/>
      <c r="C1025" s="27" t="n"/>
      <c r="D1025" s="27" t="n"/>
      <c r="E1025" s="21">
        <f>IF(OR(C1025="",D1025=""),"",ROUND(MOD(D1025-C1025,1)*24,2))</f>
        <v/>
      </c>
      <c r="F1025" s="28" t="n"/>
      <c r="G1025" s="28" t="n"/>
      <c r="H1025" s="1" t="n"/>
    </row>
    <row r="1026">
      <c r="A1026" s="1" t="n"/>
      <c r="B1026" s="26" t="n"/>
      <c r="C1026" s="27" t="n"/>
      <c r="D1026" s="27" t="n"/>
      <c r="E1026" s="21">
        <f>IF(OR(C1026="",D1026=""),"",ROUND(MOD(D1026-C1026,1)*24,2))</f>
        <v/>
      </c>
      <c r="F1026" s="28" t="n"/>
      <c r="G1026" s="28" t="n"/>
      <c r="H1026" s="1" t="n"/>
    </row>
    <row r="1027">
      <c r="A1027" s="1" t="n"/>
      <c r="B1027" s="26" t="n"/>
      <c r="C1027" s="27" t="n"/>
      <c r="D1027" s="27" t="n"/>
      <c r="E1027" s="21">
        <f>IF(OR(C1027="",D1027=""),"",ROUND(MOD(D1027-C1027,1)*24,2))</f>
        <v/>
      </c>
      <c r="F1027" s="28" t="n"/>
      <c r="G1027" s="28" t="n"/>
      <c r="H1027" s="1" t="n"/>
    </row>
    <row r="1028">
      <c r="A1028" s="1" t="n"/>
      <c r="B1028" s="26" t="n"/>
      <c r="C1028" s="27" t="n"/>
      <c r="D1028" s="27" t="n"/>
      <c r="E1028" s="21">
        <f>IF(OR(C1028="",D1028=""),"",ROUND(MOD(D1028-C1028,1)*24,2))</f>
        <v/>
      </c>
      <c r="F1028" s="28" t="n"/>
      <c r="G1028" s="28" t="n"/>
      <c r="H1028" s="1" t="n"/>
    </row>
    <row r="1029">
      <c r="A1029" s="1" t="n"/>
      <c r="B1029" s="26" t="n"/>
      <c r="C1029" s="27" t="n"/>
      <c r="D1029" s="27" t="n"/>
      <c r="E1029" s="21">
        <f>IF(OR(C1029="",D1029=""),"",ROUND(MOD(D1029-C1029,1)*24,2))</f>
        <v/>
      </c>
      <c r="F1029" s="28" t="n"/>
      <c r="G1029" s="28" t="n"/>
      <c r="H1029" s="1" t="n"/>
    </row>
    <row r="1030">
      <c r="A1030" s="1" t="n"/>
      <c r="B1030" s="26" t="n"/>
      <c r="C1030" s="27" t="n"/>
      <c r="D1030" s="27" t="n"/>
      <c r="E1030" s="21">
        <f>IF(OR(C1030="",D1030=""),"",ROUND(MOD(D1030-C1030,1)*24,2))</f>
        <v/>
      </c>
      <c r="F1030" s="28" t="n"/>
      <c r="G1030" s="28" t="n"/>
      <c r="H1030" s="1" t="n"/>
    </row>
    <row r="1031">
      <c r="A1031" s="1" t="n"/>
      <c r="B1031" s="26" t="n"/>
      <c r="C1031" s="27" t="n"/>
      <c r="D1031" s="27" t="n"/>
      <c r="E1031" s="21">
        <f>IF(OR(C1031="",D1031=""),"",ROUND(MOD(D1031-C1031,1)*24,2))</f>
        <v/>
      </c>
      <c r="F1031" s="28" t="n"/>
      <c r="G1031" s="28" t="n"/>
      <c r="H1031" s="1" t="n"/>
    </row>
    <row r="1032">
      <c r="A1032" s="1" t="n"/>
      <c r="B1032" s="26" t="n"/>
      <c r="C1032" s="27" t="n"/>
      <c r="D1032" s="27" t="n"/>
      <c r="E1032" s="21">
        <f>IF(OR(C1032="",D1032=""),"",ROUND(MOD(D1032-C1032,1)*24,2))</f>
        <v/>
      </c>
      <c r="F1032" s="28" t="n"/>
      <c r="G1032" s="28" t="n"/>
      <c r="H1032" s="1" t="n"/>
    </row>
    <row r="1033">
      <c r="A1033" s="1" t="n"/>
      <c r="B1033" s="26" t="n"/>
      <c r="C1033" s="27" t="n"/>
      <c r="D1033" s="27" t="n"/>
      <c r="E1033" s="21">
        <f>IF(OR(C1033="",D1033=""),"",ROUND(MOD(D1033-C1033,1)*24,2))</f>
        <v/>
      </c>
      <c r="F1033" s="28" t="n"/>
      <c r="G1033" s="28" t="n"/>
      <c r="H1033" s="1" t="n"/>
    </row>
    <row r="1034">
      <c r="A1034" s="1" t="n"/>
      <c r="B1034" s="26" t="n"/>
      <c r="C1034" s="27" t="n"/>
      <c r="D1034" s="27" t="n"/>
      <c r="E1034" s="21">
        <f>IF(OR(C1034="",D1034=""),"",ROUND(MOD(D1034-C1034,1)*24,2))</f>
        <v/>
      </c>
      <c r="F1034" s="28" t="n"/>
      <c r="G1034" s="28" t="n"/>
      <c r="H1034" s="1" t="n"/>
    </row>
    <row r="1035">
      <c r="A1035" s="1" t="n"/>
      <c r="B1035" s="26" t="n"/>
      <c r="C1035" s="27" t="n"/>
      <c r="D1035" s="27" t="n"/>
      <c r="E1035" s="21">
        <f>IF(OR(C1035="",D1035=""),"",ROUND(MOD(D1035-C1035,1)*24,2))</f>
        <v/>
      </c>
      <c r="F1035" s="28" t="n"/>
      <c r="G1035" s="28" t="n"/>
      <c r="H1035" s="1" t="n"/>
    </row>
    <row r="1036">
      <c r="A1036" s="1" t="n"/>
      <c r="B1036" s="26" t="n"/>
      <c r="C1036" s="27" t="n"/>
      <c r="D1036" s="27" t="n"/>
      <c r="E1036" s="21">
        <f>IF(OR(C1036="",D1036=""),"",ROUND(MOD(D1036-C1036,1)*24,2))</f>
        <v/>
      </c>
      <c r="F1036" s="28" t="n"/>
      <c r="G1036" s="28" t="n"/>
      <c r="H1036" s="1" t="n"/>
    </row>
    <row r="1037">
      <c r="A1037" s="1" t="n"/>
      <c r="B1037" s="26" t="n"/>
      <c r="C1037" s="27" t="n"/>
      <c r="D1037" s="27" t="n"/>
      <c r="E1037" s="21">
        <f>IF(OR(C1037="",D1037=""),"",ROUND(MOD(D1037-C1037,1)*24,2))</f>
        <v/>
      </c>
      <c r="F1037" s="28" t="n"/>
      <c r="G1037" s="28" t="n"/>
      <c r="H1037" s="1" t="n"/>
    </row>
    <row r="1038">
      <c r="A1038" s="1" t="n"/>
      <c r="B1038" s="26" t="n"/>
      <c r="C1038" s="27" t="n"/>
      <c r="D1038" s="27" t="n"/>
      <c r="E1038" s="21">
        <f>IF(OR(C1038="",D1038=""),"",ROUND(MOD(D1038-C1038,1)*24,2))</f>
        <v/>
      </c>
      <c r="F1038" s="28" t="n"/>
      <c r="G1038" s="28" t="n"/>
      <c r="H1038" s="1" t="n"/>
    </row>
    <row r="1039">
      <c r="A1039" s="1" t="n"/>
      <c r="B1039" s="26" t="n"/>
      <c r="C1039" s="27" t="n"/>
      <c r="D1039" s="27" t="n"/>
      <c r="E1039" s="21">
        <f>IF(OR(C1039="",D1039=""),"",ROUND(MOD(D1039-C1039,1)*24,2))</f>
        <v/>
      </c>
      <c r="F1039" s="28" t="n"/>
      <c r="G1039" s="28" t="n"/>
      <c r="H1039" s="1" t="n"/>
    </row>
    <row r="1040">
      <c r="A1040" s="1" t="n"/>
      <c r="B1040" s="26" t="n"/>
      <c r="C1040" s="27" t="n"/>
      <c r="D1040" s="27" t="n"/>
      <c r="E1040" s="21">
        <f>IF(OR(C1040="",D1040=""),"",ROUND(MOD(D1040-C1040,1)*24,2))</f>
        <v/>
      </c>
      <c r="F1040" s="28" t="n"/>
      <c r="G1040" s="28" t="n"/>
      <c r="H1040" s="1" t="n"/>
    </row>
    <row r="1041">
      <c r="A1041" s="1" t="n"/>
      <c r="B1041" s="26" t="n"/>
      <c r="C1041" s="27" t="n"/>
      <c r="D1041" s="27" t="n"/>
      <c r="E1041" s="21">
        <f>IF(OR(C1041="",D1041=""),"",ROUND(MOD(D1041-C1041,1)*24,2))</f>
        <v/>
      </c>
      <c r="F1041" s="28" t="n"/>
      <c r="G1041" s="28" t="n"/>
      <c r="H1041" s="1" t="n"/>
    </row>
    <row r="1042">
      <c r="A1042" s="1" t="n"/>
      <c r="B1042" s="26" t="n"/>
      <c r="C1042" s="27" t="n"/>
      <c r="D1042" s="27" t="n"/>
      <c r="E1042" s="21">
        <f>IF(OR(C1042="",D1042=""),"",ROUND(MOD(D1042-C1042,1)*24,2))</f>
        <v/>
      </c>
      <c r="F1042" s="28" t="n"/>
      <c r="G1042" s="28" t="n"/>
      <c r="H1042" s="1" t="n"/>
    </row>
    <row r="1043">
      <c r="A1043" s="1" t="n"/>
      <c r="B1043" s="26" t="n"/>
      <c r="C1043" s="27" t="n"/>
      <c r="D1043" s="27" t="n"/>
      <c r="E1043" s="21">
        <f>IF(OR(C1043="",D1043=""),"",ROUND(MOD(D1043-C1043,1)*24,2))</f>
        <v/>
      </c>
      <c r="F1043" s="28" t="n"/>
      <c r="G1043" s="28" t="n"/>
      <c r="H1043" s="1" t="n"/>
    </row>
    <row r="1044">
      <c r="A1044" s="1" t="n"/>
      <c r="B1044" s="26" t="n"/>
      <c r="C1044" s="27" t="n"/>
      <c r="D1044" s="27" t="n"/>
      <c r="E1044" s="21">
        <f>IF(OR(C1044="",D1044=""),"",ROUND(MOD(D1044-C1044,1)*24,2))</f>
        <v/>
      </c>
      <c r="F1044" s="28" t="n"/>
      <c r="G1044" s="28" t="n"/>
      <c r="H1044" s="1" t="n"/>
    </row>
    <row r="1045">
      <c r="A1045" s="1" t="n"/>
      <c r="B1045" s="26" t="n"/>
      <c r="C1045" s="27" t="n"/>
      <c r="D1045" s="27" t="n"/>
      <c r="E1045" s="21">
        <f>IF(OR(C1045="",D1045=""),"",ROUND(MOD(D1045-C1045,1)*24,2))</f>
        <v/>
      </c>
      <c r="F1045" s="28" t="n"/>
      <c r="G1045" s="28" t="n"/>
      <c r="H1045" s="1" t="n"/>
    </row>
    <row r="1046">
      <c r="A1046" s="1" t="n"/>
      <c r="B1046" s="26" t="n"/>
      <c r="C1046" s="27" t="n"/>
      <c r="D1046" s="27" t="n"/>
      <c r="E1046" s="21">
        <f>IF(OR(C1046="",D1046=""),"",ROUND(MOD(D1046-C1046,1)*24,2))</f>
        <v/>
      </c>
      <c r="F1046" s="28" t="n"/>
      <c r="G1046" s="28" t="n"/>
      <c r="H1046" s="1" t="n"/>
    </row>
    <row r="1047">
      <c r="A1047" s="1" t="n"/>
      <c r="B1047" s="26" t="n"/>
      <c r="C1047" s="27" t="n"/>
      <c r="D1047" s="27" t="n"/>
      <c r="E1047" s="21">
        <f>IF(OR(C1047="",D1047=""),"",ROUND(MOD(D1047-C1047,1)*24,2))</f>
        <v/>
      </c>
      <c r="F1047" s="28" t="n"/>
      <c r="G1047" s="28" t="n"/>
      <c r="H1047" s="1" t="n"/>
    </row>
    <row r="1048">
      <c r="A1048" s="1" t="n"/>
      <c r="B1048" s="26" t="n"/>
      <c r="C1048" s="27" t="n"/>
      <c r="D1048" s="27" t="n"/>
      <c r="E1048" s="21">
        <f>IF(OR(C1048="",D1048=""),"",ROUND(MOD(D1048-C1048,1)*24,2))</f>
        <v/>
      </c>
      <c r="F1048" s="28" t="n"/>
      <c r="G1048" s="28" t="n"/>
      <c r="H1048" s="1" t="n"/>
    </row>
    <row r="1049">
      <c r="A1049" s="1" t="n"/>
      <c r="B1049" s="26" t="n"/>
      <c r="C1049" s="27" t="n"/>
      <c r="D1049" s="27" t="n"/>
      <c r="E1049" s="21">
        <f>IF(OR(C1049="",D1049=""),"",ROUND(MOD(D1049-C1049,1)*24,2))</f>
        <v/>
      </c>
      <c r="F1049" s="28" t="n"/>
      <c r="G1049" s="28" t="n"/>
      <c r="H1049" s="1" t="n"/>
    </row>
    <row r="1050">
      <c r="A1050" s="1" t="n"/>
      <c r="B1050" s="26" t="n"/>
      <c r="C1050" s="27" t="n"/>
      <c r="D1050" s="27" t="n"/>
      <c r="E1050" s="21">
        <f>IF(OR(C1050="",D1050=""),"",ROUND(MOD(D1050-C1050,1)*24,2))</f>
        <v/>
      </c>
      <c r="F1050" s="28" t="n"/>
      <c r="G1050" s="28" t="n"/>
      <c r="H1050" s="1" t="n"/>
    </row>
    <row r="1051">
      <c r="A1051" s="1" t="n"/>
      <c r="B1051" s="26" t="n"/>
      <c r="C1051" s="27" t="n"/>
      <c r="D1051" s="27" t="n"/>
      <c r="E1051" s="21">
        <f>IF(OR(C1051="",D1051=""),"",ROUND(MOD(D1051-C1051,1)*24,2))</f>
        <v/>
      </c>
      <c r="F1051" s="28" t="n"/>
      <c r="G1051" s="28" t="n"/>
      <c r="H1051" s="1" t="n"/>
    </row>
    <row r="1052">
      <c r="A1052" s="1" t="n"/>
      <c r="B1052" s="26" t="n"/>
      <c r="C1052" s="27" t="n"/>
      <c r="D1052" s="27" t="n"/>
      <c r="E1052" s="21">
        <f>IF(OR(C1052="",D1052=""),"",ROUND(MOD(D1052-C1052,1)*24,2))</f>
        <v/>
      </c>
      <c r="F1052" s="28" t="n"/>
      <c r="G1052" s="28" t="n"/>
      <c r="H1052" s="1" t="n"/>
    </row>
    <row r="1053">
      <c r="A1053" s="1" t="n"/>
      <c r="B1053" s="26" t="n"/>
      <c r="C1053" s="27" t="n"/>
      <c r="D1053" s="27" t="n"/>
      <c r="E1053" s="21">
        <f>IF(OR(C1053="",D1053=""),"",ROUND(MOD(D1053-C1053,1)*24,2))</f>
        <v/>
      </c>
      <c r="F1053" s="28" t="n"/>
      <c r="G1053" s="28" t="n"/>
      <c r="H1053" s="1" t="n"/>
    </row>
    <row r="1054">
      <c r="A1054" s="1" t="n"/>
      <c r="B1054" s="26" t="n"/>
      <c r="C1054" s="27" t="n"/>
      <c r="D1054" s="27" t="n"/>
      <c r="E1054" s="21">
        <f>IF(OR(C1054="",D1054=""),"",ROUND(MOD(D1054-C1054,1)*24,2))</f>
        <v/>
      </c>
      <c r="F1054" s="28" t="n"/>
      <c r="G1054" s="28" t="n"/>
      <c r="H1054" s="1" t="n"/>
    </row>
    <row r="1055">
      <c r="A1055" s="1" t="n"/>
      <c r="B1055" s="26" t="n"/>
      <c r="C1055" s="27" t="n"/>
      <c r="D1055" s="27" t="n"/>
      <c r="E1055" s="21">
        <f>IF(OR(C1055="",D1055=""),"",ROUND(MOD(D1055-C1055,1)*24,2))</f>
        <v/>
      </c>
      <c r="F1055" s="28" t="n"/>
      <c r="G1055" s="28" t="n"/>
      <c r="H1055" s="1" t="n"/>
    </row>
    <row r="1056">
      <c r="A1056" s="1" t="n"/>
      <c r="B1056" s="26" t="n"/>
      <c r="C1056" s="27" t="n"/>
      <c r="D1056" s="27" t="n"/>
      <c r="E1056" s="21">
        <f>IF(OR(C1056="",D1056=""),"",ROUND(MOD(D1056-C1056,1)*24,2))</f>
        <v/>
      </c>
      <c r="F1056" s="28" t="n"/>
      <c r="G1056" s="28" t="n"/>
      <c r="H1056" s="1" t="n"/>
    </row>
    <row r="1057">
      <c r="A1057" s="1" t="n"/>
      <c r="B1057" s="26" t="n"/>
      <c r="C1057" s="27" t="n"/>
      <c r="D1057" s="27" t="n"/>
      <c r="E1057" s="21">
        <f>IF(OR(C1057="",D1057=""),"",ROUND(MOD(D1057-C1057,1)*24,2))</f>
        <v/>
      </c>
      <c r="F1057" s="28" t="n"/>
      <c r="G1057" s="28" t="n"/>
      <c r="H1057" s="1" t="n"/>
    </row>
    <row r="1058">
      <c r="A1058" s="1" t="n"/>
      <c r="B1058" s="26" t="n"/>
      <c r="C1058" s="27" t="n"/>
      <c r="D1058" s="27" t="n"/>
      <c r="E1058" s="21">
        <f>IF(OR(C1058="",D1058=""),"",ROUND(MOD(D1058-C1058,1)*24,2))</f>
        <v/>
      </c>
      <c r="F1058" s="28" t="n"/>
      <c r="G1058" s="28" t="n"/>
      <c r="H1058" s="1" t="n"/>
    </row>
    <row r="1059">
      <c r="A1059" s="1" t="n"/>
      <c r="B1059" s="26" t="n"/>
      <c r="C1059" s="27" t="n"/>
      <c r="D1059" s="27" t="n"/>
      <c r="E1059" s="21">
        <f>IF(OR(C1059="",D1059=""),"",ROUND(MOD(D1059-C1059,1)*24,2))</f>
        <v/>
      </c>
      <c r="F1059" s="28" t="n"/>
      <c r="G1059" s="28" t="n"/>
      <c r="H1059" s="1" t="n"/>
    </row>
    <row r="1060">
      <c r="A1060" s="1" t="n"/>
      <c r="B1060" s="26" t="n"/>
      <c r="C1060" s="27" t="n"/>
      <c r="D1060" s="27" t="n"/>
      <c r="E1060" s="21">
        <f>IF(OR(C1060="",D1060=""),"",ROUND(MOD(D1060-C1060,1)*24,2))</f>
        <v/>
      </c>
      <c r="F1060" s="28" t="n"/>
      <c r="G1060" s="28" t="n"/>
      <c r="H1060" s="1" t="n"/>
    </row>
    <row r="1061">
      <c r="A1061" s="1" t="n"/>
      <c r="B1061" s="26" t="n"/>
      <c r="C1061" s="27" t="n"/>
      <c r="D1061" s="27" t="n"/>
      <c r="E1061" s="21">
        <f>IF(OR(C1061="",D1061=""),"",ROUND(MOD(D1061-C1061,1)*24,2))</f>
        <v/>
      </c>
      <c r="F1061" s="28" t="n"/>
      <c r="G1061" s="28" t="n"/>
      <c r="H1061" s="1" t="n"/>
    </row>
    <row r="1062">
      <c r="A1062" s="1" t="n"/>
      <c r="B1062" s="26" t="n"/>
      <c r="C1062" s="27" t="n"/>
      <c r="D1062" s="27" t="n"/>
      <c r="E1062" s="21">
        <f>IF(OR(C1062="",D1062=""),"",ROUND(MOD(D1062-C1062,1)*24,2))</f>
        <v/>
      </c>
      <c r="F1062" s="28" t="n"/>
      <c r="G1062" s="28" t="n"/>
      <c r="H1062" s="1" t="n"/>
    </row>
    <row r="1063">
      <c r="A1063" s="1" t="n"/>
      <c r="B1063" s="26" t="n"/>
      <c r="C1063" s="27" t="n"/>
      <c r="D1063" s="27" t="n"/>
      <c r="E1063" s="21">
        <f>IF(OR(C1063="",D1063=""),"",ROUND(MOD(D1063-C1063,1)*24,2))</f>
        <v/>
      </c>
      <c r="F1063" s="28" t="n"/>
      <c r="G1063" s="28" t="n"/>
      <c r="H1063" s="1" t="n"/>
    </row>
    <row r="1064">
      <c r="A1064" s="1" t="n"/>
      <c r="B1064" s="26" t="n"/>
      <c r="C1064" s="27" t="n"/>
      <c r="D1064" s="27" t="n"/>
      <c r="E1064" s="21">
        <f>IF(OR(C1064="",D1064=""),"",ROUND(MOD(D1064-C1064,1)*24,2))</f>
        <v/>
      </c>
      <c r="F1064" s="28" t="n"/>
      <c r="G1064" s="28" t="n"/>
      <c r="H1064" s="1" t="n"/>
    </row>
    <row r="1065">
      <c r="A1065" s="1" t="n"/>
      <c r="B1065" s="26" t="n"/>
      <c r="C1065" s="27" t="n"/>
      <c r="D1065" s="27" t="n"/>
      <c r="E1065" s="21">
        <f>IF(OR(C1065="",D1065=""),"",ROUND(MOD(D1065-C1065,1)*24,2))</f>
        <v/>
      </c>
      <c r="F1065" s="28" t="n"/>
      <c r="G1065" s="28" t="n"/>
      <c r="H1065" s="1" t="n"/>
    </row>
    <row r="1066">
      <c r="A1066" s="1" t="n"/>
      <c r="B1066" s="26" t="n"/>
      <c r="C1066" s="27" t="n"/>
      <c r="D1066" s="27" t="n"/>
      <c r="E1066" s="21">
        <f>IF(OR(C1066="",D1066=""),"",ROUND(MOD(D1066-C1066,1)*24,2))</f>
        <v/>
      </c>
      <c r="F1066" s="28" t="n"/>
      <c r="G1066" s="28" t="n"/>
      <c r="H1066" s="1" t="n"/>
    </row>
    <row r="1067">
      <c r="A1067" s="1" t="n"/>
      <c r="B1067" s="26" t="n"/>
      <c r="C1067" s="27" t="n"/>
      <c r="D1067" s="27" t="n"/>
      <c r="E1067" s="21">
        <f>IF(OR(C1067="",D1067=""),"",ROUND(MOD(D1067-C1067,1)*24,2))</f>
        <v/>
      </c>
      <c r="F1067" s="28" t="n"/>
      <c r="G1067" s="28" t="n"/>
      <c r="H1067" s="1" t="n"/>
    </row>
    <row r="1068">
      <c r="A1068" s="1" t="n"/>
      <c r="B1068" s="26" t="n"/>
      <c r="C1068" s="27" t="n"/>
      <c r="D1068" s="27" t="n"/>
      <c r="E1068" s="21">
        <f>IF(OR(C1068="",D1068=""),"",ROUND(MOD(D1068-C1068,1)*24,2))</f>
        <v/>
      </c>
      <c r="F1068" s="28" t="n"/>
      <c r="G1068" s="28" t="n"/>
      <c r="H1068" s="1" t="n"/>
    </row>
    <row r="1069">
      <c r="A1069" s="1" t="n"/>
      <c r="B1069" s="26" t="n"/>
      <c r="C1069" s="27" t="n"/>
      <c r="D1069" s="27" t="n"/>
      <c r="E1069" s="21">
        <f>IF(OR(C1069="",D1069=""),"",ROUND(MOD(D1069-C1069,1)*24,2))</f>
        <v/>
      </c>
      <c r="F1069" s="28" t="n"/>
      <c r="G1069" s="28" t="n"/>
      <c r="H1069" s="1" t="n"/>
    </row>
    <row r="1070">
      <c r="A1070" s="1" t="n"/>
      <c r="B1070" s="26" t="n"/>
      <c r="C1070" s="27" t="n"/>
      <c r="D1070" s="27" t="n"/>
      <c r="E1070" s="21">
        <f>IF(OR(C1070="",D1070=""),"",ROUND(MOD(D1070-C1070,1)*24,2))</f>
        <v/>
      </c>
      <c r="F1070" s="28" t="n"/>
      <c r="G1070" s="28" t="n"/>
      <c r="H1070" s="1" t="n"/>
    </row>
    <row r="1071">
      <c r="A1071" s="1" t="n"/>
      <c r="B1071" s="26" t="n"/>
      <c r="C1071" s="27" t="n"/>
      <c r="D1071" s="27" t="n"/>
      <c r="E1071" s="21">
        <f>IF(OR(C1071="",D1071=""),"",ROUND(MOD(D1071-C1071,1)*24,2))</f>
        <v/>
      </c>
      <c r="F1071" s="28" t="n"/>
      <c r="G1071" s="28" t="n"/>
      <c r="H1071" s="1" t="n"/>
    </row>
    <row r="1072">
      <c r="A1072" s="1" t="n"/>
      <c r="B1072" s="26" t="n"/>
      <c r="C1072" s="27" t="n"/>
      <c r="D1072" s="27" t="n"/>
      <c r="E1072" s="21">
        <f>IF(OR(C1072="",D1072=""),"",ROUND(MOD(D1072-C1072,1)*24,2))</f>
        <v/>
      </c>
      <c r="F1072" s="28" t="n"/>
      <c r="G1072" s="28" t="n"/>
      <c r="H1072" s="1" t="n"/>
    </row>
    <row r="1073">
      <c r="A1073" s="1" t="n"/>
      <c r="B1073" s="26" t="n"/>
      <c r="C1073" s="27" t="n"/>
      <c r="D1073" s="27" t="n"/>
      <c r="E1073" s="21">
        <f>IF(OR(C1073="",D1073=""),"",ROUND(MOD(D1073-C1073,1)*24,2))</f>
        <v/>
      </c>
      <c r="F1073" s="28" t="n"/>
      <c r="G1073" s="28" t="n"/>
      <c r="H1073" s="1" t="n"/>
    </row>
    <row r="1074">
      <c r="A1074" s="1" t="n"/>
      <c r="B1074" s="26" t="n"/>
      <c r="C1074" s="27" t="n"/>
      <c r="D1074" s="27" t="n"/>
      <c r="E1074" s="21">
        <f>IF(OR(C1074="",D1074=""),"",ROUND(MOD(D1074-C1074,1)*24,2))</f>
        <v/>
      </c>
      <c r="F1074" s="28" t="n"/>
      <c r="G1074" s="28" t="n"/>
      <c r="H1074" s="1" t="n"/>
    </row>
    <row r="1075">
      <c r="A1075" s="1" t="n"/>
      <c r="B1075" s="26" t="n"/>
      <c r="C1075" s="27" t="n"/>
      <c r="D1075" s="27" t="n"/>
      <c r="E1075" s="21">
        <f>IF(OR(C1075="",D1075=""),"",ROUND(MOD(D1075-C1075,1)*24,2))</f>
        <v/>
      </c>
      <c r="F1075" s="28" t="n"/>
      <c r="G1075" s="28" t="n"/>
      <c r="H1075" s="1" t="n"/>
    </row>
    <row r="1076">
      <c r="A1076" s="1" t="n"/>
      <c r="B1076" s="26" t="n"/>
      <c r="C1076" s="27" t="n"/>
      <c r="D1076" s="27" t="n"/>
      <c r="E1076" s="21">
        <f>IF(OR(C1076="",D1076=""),"",ROUND(MOD(D1076-C1076,1)*24,2))</f>
        <v/>
      </c>
      <c r="F1076" s="28" t="n"/>
      <c r="G1076" s="28" t="n"/>
      <c r="H1076" s="1" t="n"/>
    </row>
    <row r="1077">
      <c r="A1077" s="1" t="n"/>
      <c r="B1077" s="26" t="n"/>
      <c r="C1077" s="27" t="n"/>
      <c r="D1077" s="27" t="n"/>
      <c r="E1077" s="21">
        <f>IF(OR(C1077="",D1077=""),"",ROUND(MOD(D1077-C1077,1)*24,2))</f>
        <v/>
      </c>
      <c r="F1077" s="28" t="n"/>
      <c r="G1077" s="28" t="n"/>
      <c r="H1077" s="1" t="n"/>
    </row>
    <row r="1078">
      <c r="A1078" s="1" t="n"/>
      <c r="B1078" s="26" t="n"/>
      <c r="C1078" s="27" t="n"/>
      <c r="D1078" s="27" t="n"/>
      <c r="E1078" s="21">
        <f>IF(OR(C1078="",D1078=""),"",ROUND(MOD(D1078-C1078,1)*24,2))</f>
        <v/>
      </c>
      <c r="F1078" s="28" t="n"/>
      <c r="G1078" s="28" t="n"/>
      <c r="H1078" s="1" t="n"/>
    </row>
    <row r="1079">
      <c r="A1079" s="1" t="n"/>
      <c r="B1079" s="26" t="n"/>
      <c r="C1079" s="27" t="n"/>
      <c r="D1079" s="27" t="n"/>
      <c r="E1079" s="21">
        <f>IF(OR(C1079="",D1079=""),"",ROUND(MOD(D1079-C1079,1)*24,2))</f>
        <v/>
      </c>
      <c r="F1079" s="28" t="n"/>
      <c r="G1079" s="28" t="n"/>
      <c r="H1079" s="1" t="n"/>
    </row>
    <row r="1080">
      <c r="A1080" s="1" t="n"/>
      <c r="B1080" s="26" t="n"/>
      <c r="C1080" s="27" t="n"/>
      <c r="D1080" s="27" t="n"/>
      <c r="E1080" s="21">
        <f>IF(OR(C1080="",D1080=""),"",ROUND(MOD(D1080-C1080,1)*24,2))</f>
        <v/>
      </c>
      <c r="F1080" s="28" t="n"/>
      <c r="G1080" s="28" t="n"/>
      <c r="H1080" s="1" t="n"/>
    </row>
    <row r="1081">
      <c r="A1081" s="1" t="n"/>
      <c r="B1081" s="26" t="n"/>
      <c r="C1081" s="27" t="n"/>
      <c r="D1081" s="27" t="n"/>
      <c r="E1081" s="21">
        <f>IF(OR(C1081="",D1081=""),"",ROUND(MOD(D1081-C1081,1)*24,2))</f>
        <v/>
      </c>
      <c r="F1081" s="28" t="n"/>
      <c r="G1081" s="28" t="n"/>
      <c r="H1081" s="1" t="n"/>
    </row>
    <row r="1082">
      <c r="A1082" s="1" t="n"/>
      <c r="B1082" s="26" t="n"/>
      <c r="C1082" s="27" t="n"/>
      <c r="D1082" s="27" t="n"/>
      <c r="E1082" s="21">
        <f>IF(OR(C1082="",D1082=""),"",ROUND(MOD(D1082-C1082,1)*24,2))</f>
        <v/>
      </c>
      <c r="F1082" s="28" t="n"/>
      <c r="G1082" s="28" t="n"/>
      <c r="H1082" s="1" t="n"/>
    </row>
    <row r="1083">
      <c r="A1083" s="1" t="n"/>
      <c r="B1083" s="26" t="n"/>
      <c r="C1083" s="27" t="n"/>
      <c r="D1083" s="27" t="n"/>
      <c r="E1083" s="21">
        <f>IF(OR(C1083="",D1083=""),"",ROUND(MOD(D1083-C1083,1)*24,2))</f>
        <v/>
      </c>
      <c r="F1083" s="28" t="n"/>
      <c r="G1083" s="28" t="n"/>
      <c r="H1083" s="1" t="n"/>
    </row>
    <row r="1084">
      <c r="A1084" s="1" t="n"/>
      <c r="B1084" s="26" t="n"/>
      <c r="C1084" s="27" t="n"/>
      <c r="D1084" s="27" t="n"/>
      <c r="E1084" s="21">
        <f>IF(OR(C1084="",D1084=""),"",ROUND(MOD(D1084-C1084,1)*24,2))</f>
        <v/>
      </c>
      <c r="F1084" s="28" t="n"/>
      <c r="G1084" s="28" t="n"/>
      <c r="H1084" s="1" t="n"/>
    </row>
    <row r="1085">
      <c r="A1085" s="1" t="n"/>
      <c r="B1085" s="26" t="n"/>
      <c r="C1085" s="27" t="n"/>
      <c r="D1085" s="27" t="n"/>
      <c r="E1085" s="21">
        <f>IF(OR(C1085="",D1085=""),"",ROUND(MOD(D1085-C1085,1)*24,2))</f>
        <v/>
      </c>
      <c r="F1085" s="28" t="n"/>
      <c r="G1085" s="28" t="n"/>
      <c r="H1085" s="1" t="n"/>
    </row>
    <row r="1086">
      <c r="A1086" s="1" t="n"/>
      <c r="B1086" s="26" t="n"/>
      <c r="C1086" s="27" t="n"/>
      <c r="D1086" s="27" t="n"/>
      <c r="E1086" s="21">
        <f>IF(OR(C1086="",D1086=""),"",ROUND(MOD(D1086-C1086,1)*24,2))</f>
        <v/>
      </c>
      <c r="F1086" s="28" t="n"/>
      <c r="G1086" s="28" t="n"/>
      <c r="H1086" s="1" t="n"/>
    </row>
    <row r="1087">
      <c r="A1087" s="1" t="n"/>
      <c r="B1087" s="26" t="n"/>
      <c r="C1087" s="27" t="n"/>
      <c r="D1087" s="27" t="n"/>
      <c r="E1087" s="21">
        <f>IF(OR(C1087="",D1087=""),"",ROUND(MOD(D1087-C1087,1)*24,2))</f>
        <v/>
      </c>
      <c r="F1087" s="28" t="n"/>
      <c r="G1087" s="28" t="n"/>
      <c r="H1087" s="1" t="n"/>
    </row>
    <row r="1088">
      <c r="A1088" s="1" t="n"/>
      <c r="B1088" s="26" t="n"/>
      <c r="C1088" s="27" t="n"/>
      <c r="D1088" s="27" t="n"/>
      <c r="E1088" s="21">
        <f>IF(OR(C1088="",D1088=""),"",ROUND(MOD(D1088-C1088,1)*24,2))</f>
        <v/>
      </c>
      <c r="F1088" s="28" t="n"/>
      <c r="G1088" s="28" t="n"/>
      <c r="H1088" s="1" t="n"/>
    </row>
    <row r="1089">
      <c r="A1089" s="1" t="n"/>
      <c r="B1089" s="26" t="n"/>
      <c r="C1089" s="27" t="n"/>
      <c r="D1089" s="27" t="n"/>
      <c r="E1089" s="21">
        <f>IF(OR(C1089="",D1089=""),"",ROUND(MOD(D1089-C1089,1)*24,2))</f>
        <v/>
      </c>
      <c r="F1089" s="28" t="n"/>
      <c r="G1089" s="28" t="n"/>
      <c r="H1089" s="1" t="n"/>
    </row>
    <row r="1090">
      <c r="A1090" s="1" t="n"/>
      <c r="B1090" s="26" t="n"/>
      <c r="C1090" s="27" t="n"/>
      <c r="D1090" s="27" t="n"/>
      <c r="E1090" s="21">
        <f>IF(OR(C1090="",D1090=""),"",ROUND(MOD(D1090-C1090,1)*24,2))</f>
        <v/>
      </c>
      <c r="F1090" s="28" t="n"/>
      <c r="G1090" s="28" t="n"/>
      <c r="H1090" s="1" t="n"/>
    </row>
    <row r="1091">
      <c r="A1091" s="1" t="n"/>
      <c r="B1091" s="26" t="n"/>
      <c r="C1091" s="27" t="n"/>
      <c r="D1091" s="27" t="n"/>
      <c r="E1091" s="21">
        <f>IF(OR(C1091="",D1091=""),"",ROUND(MOD(D1091-C1091,1)*24,2))</f>
        <v/>
      </c>
      <c r="F1091" s="28" t="n"/>
      <c r="G1091" s="28" t="n"/>
      <c r="H1091" s="1" t="n"/>
    </row>
    <row r="1092">
      <c r="A1092" s="1" t="n"/>
      <c r="B1092" s="26" t="n"/>
      <c r="C1092" s="27" t="n"/>
      <c r="D1092" s="27" t="n"/>
      <c r="E1092" s="21">
        <f>IF(OR(C1092="",D1092=""),"",ROUND(MOD(D1092-C1092,1)*24,2))</f>
        <v/>
      </c>
      <c r="F1092" s="28" t="n"/>
      <c r="G1092" s="28" t="n"/>
      <c r="H1092" s="1" t="n"/>
    </row>
    <row r="1093">
      <c r="A1093" s="1" t="n"/>
      <c r="B1093" s="26" t="n"/>
      <c r="C1093" s="27" t="n"/>
      <c r="D1093" s="27" t="n"/>
      <c r="E1093" s="21">
        <f>IF(OR(C1093="",D1093=""),"",ROUND(MOD(D1093-C1093,1)*24,2))</f>
        <v/>
      </c>
      <c r="F1093" s="28" t="n"/>
      <c r="G1093" s="28" t="n"/>
      <c r="H1093" s="1" t="n"/>
    </row>
    <row r="1094">
      <c r="A1094" s="1" t="n"/>
      <c r="B1094" s="26" t="n"/>
      <c r="C1094" s="27" t="n"/>
      <c r="D1094" s="27" t="n"/>
      <c r="E1094" s="21">
        <f>IF(OR(C1094="",D1094=""),"",ROUND(MOD(D1094-C1094,1)*24,2))</f>
        <v/>
      </c>
      <c r="F1094" s="28" t="n"/>
      <c r="G1094" s="28" t="n"/>
      <c r="H1094" s="1" t="n"/>
    </row>
    <row r="1095">
      <c r="A1095" s="1" t="n"/>
      <c r="B1095" s="26" t="n"/>
      <c r="C1095" s="27" t="n"/>
      <c r="D1095" s="27" t="n"/>
      <c r="E1095" s="21">
        <f>IF(OR(C1095="",D1095=""),"",ROUND(MOD(D1095-C1095,1)*24,2))</f>
        <v/>
      </c>
      <c r="F1095" s="28" t="n"/>
      <c r="G1095" s="28" t="n"/>
      <c r="H1095" s="1" t="n"/>
    </row>
    <row r="1096">
      <c r="A1096" s="1" t="n"/>
      <c r="B1096" s="26" t="n"/>
      <c r="C1096" s="27" t="n"/>
      <c r="D1096" s="27" t="n"/>
      <c r="E1096" s="21">
        <f>IF(OR(C1096="",D1096=""),"",ROUND(MOD(D1096-C1096,1)*24,2))</f>
        <v/>
      </c>
      <c r="F1096" s="28" t="n"/>
      <c r="G1096" s="28" t="n"/>
      <c r="H1096" s="1" t="n"/>
    </row>
    <row r="1097">
      <c r="A1097" s="1" t="n"/>
      <c r="B1097" s="26" t="n"/>
      <c r="C1097" s="27" t="n"/>
      <c r="D1097" s="27" t="n"/>
      <c r="E1097" s="21">
        <f>IF(OR(C1097="",D1097=""),"",ROUND(MOD(D1097-C1097,1)*24,2))</f>
        <v/>
      </c>
      <c r="F1097" s="28" t="n"/>
      <c r="G1097" s="28" t="n"/>
      <c r="H1097" s="1" t="n"/>
    </row>
    <row r="1098">
      <c r="A1098" s="1" t="n"/>
      <c r="B1098" s="26" t="n"/>
      <c r="C1098" s="27" t="n"/>
      <c r="D1098" s="27" t="n"/>
      <c r="E1098" s="21">
        <f>IF(OR(C1098="",D1098=""),"",ROUND(MOD(D1098-C1098,1)*24,2))</f>
        <v/>
      </c>
      <c r="F1098" s="28" t="n"/>
      <c r="G1098" s="28" t="n"/>
      <c r="H1098" s="1" t="n"/>
    </row>
    <row r="1099">
      <c r="A1099" s="1" t="n"/>
      <c r="B1099" s="26" t="n"/>
      <c r="C1099" s="27" t="n"/>
      <c r="D1099" s="27" t="n"/>
      <c r="E1099" s="21">
        <f>IF(OR(C1099="",D1099=""),"",ROUND(MOD(D1099-C1099,1)*24,2))</f>
        <v/>
      </c>
      <c r="F1099" s="28" t="n"/>
      <c r="G1099" s="28" t="n"/>
      <c r="H1099" s="1" t="n"/>
    </row>
    <row r="1100">
      <c r="A1100" s="1" t="n"/>
      <c r="B1100" s="26" t="n"/>
      <c r="C1100" s="27" t="n"/>
      <c r="D1100" s="27" t="n"/>
      <c r="E1100" s="21">
        <f>IF(OR(C1100="",D1100=""),"",ROUND(MOD(D1100-C1100,1)*24,2))</f>
        <v/>
      </c>
      <c r="F1100" s="28" t="n"/>
      <c r="G1100" s="28" t="n"/>
      <c r="H1100" s="1" t="n"/>
    </row>
    <row r="1101">
      <c r="A1101" s="1" t="n"/>
      <c r="B1101" s="26" t="n"/>
      <c r="C1101" s="27" t="n"/>
      <c r="D1101" s="27" t="n"/>
      <c r="E1101" s="21">
        <f>IF(OR(C1101="",D1101=""),"",ROUND(MOD(D1101-C1101,1)*24,2))</f>
        <v/>
      </c>
      <c r="F1101" s="28" t="n"/>
      <c r="G1101" s="28" t="n"/>
      <c r="H1101" s="1" t="n"/>
    </row>
    <row r="1102">
      <c r="A1102" s="1" t="n"/>
      <c r="B1102" s="26" t="n"/>
      <c r="C1102" s="27" t="n"/>
      <c r="D1102" s="27" t="n"/>
      <c r="E1102" s="21">
        <f>IF(OR(C1102="",D1102=""),"",ROUND(MOD(D1102-C1102,1)*24,2))</f>
        <v/>
      </c>
      <c r="F1102" s="28" t="n"/>
      <c r="G1102" s="28" t="n"/>
      <c r="H1102" s="1" t="n"/>
    </row>
    <row r="1103">
      <c r="A1103" s="1" t="n"/>
      <c r="B1103" s="26" t="n"/>
      <c r="C1103" s="27" t="n"/>
      <c r="D1103" s="27" t="n"/>
      <c r="E1103" s="21">
        <f>IF(OR(C1103="",D1103=""),"",ROUND(MOD(D1103-C1103,1)*24,2))</f>
        <v/>
      </c>
      <c r="F1103" s="28" t="n"/>
      <c r="G1103" s="28" t="n"/>
      <c r="H1103" s="1" t="n"/>
    </row>
    <row r="1104">
      <c r="A1104" s="1" t="n"/>
      <c r="B1104" s="26" t="n"/>
      <c r="C1104" s="27" t="n"/>
      <c r="D1104" s="27" t="n"/>
      <c r="E1104" s="21">
        <f>IF(OR(C1104="",D1104=""),"",ROUND(MOD(D1104-C1104,1)*24,2))</f>
        <v/>
      </c>
      <c r="F1104" s="28" t="n"/>
      <c r="G1104" s="28" t="n"/>
      <c r="H1104" s="1" t="n"/>
    </row>
    <row r="1105">
      <c r="A1105" s="1" t="n"/>
      <c r="B1105" s="26" t="n"/>
      <c r="C1105" s="27" t="n"/>
      <c r="D1105" s="27" t="n"/>
      <c r="E1105" s="21">
        <f>IF(OR(C1105="",D1105=""),"",ROUND(MOD(D1105-C1105,1)*24,2))</f>
        <v/>
      </c>
      <c r="F1105" s="28" t="n"/>
      <c r="G1105" s="28" t="n"/>
      <c r="H1105" s="1" t="n"/>
    </row>
    <row r="1106">
      <c r="A1106" s="1" t="n"/>
      <c r="B1106" s="26" t="n"/>
      <c r="C1106" s="27" t="n"/>
      <c r="D1106" s="27" t="n"/>
      <c r="E1106" s="21">
        <f>IF(OR(C1106="",D1106=""),"",ROUND(MOD(D1106-C1106,1)*24,2))</f>
        <v/>
      </c>
      <c r="F1106" s="28" t="n"/>
      <c r="G1106" s="28" t="n"/>
      <c r="H1106" s="1" t="n"/>
    </row>
    <row r="1107">
      <c r="A1107" s="1" t="n"/>
      <c r="B1107" s="26" t="n"/>
      <c r="C1107" s="27" t="n"/>
      <c r="D1107" s="27" t="n"/>
      <c r="E1107" s="21">
        <f>IF(OR(C1107="",D1107=""),"",ROUND(MOD(D1107-C1107,1)*24,2))</f>
        <v/>
      </c>
      <c r="F1107" s="28" t="n"/>
      <c r="G1107" s="28" t="n"/>
      <c r="H1107" s="1" t="n"/>
    </row>
    <row r="1108">
      <c r="A1108" s="1" t="n"/>
      <c r="B1108" s="26" t="n"/>
      <c r="C1108" s="27" t="n"/>
      <c r="D1108" s="27" t="n"/>
      <c r="E1108" s="21">
        <f>IF(OR(C1108="",D1108=""),"",ROUND(MOD(D1108-C1108,1)*24,2))</f>
        <v/>
      </c>
      <c r="F1108" s="28" t="n"/>
      <c r="G1108" s="28" t="n"/>
      <c r="H1108" s="1" t="n"/>
    </row>
    <row r="1109">
      <c r="A1109" s="1" t="n"/>
      <c r="B1109" s="26" t="n"/>
      <c r="C1109" s="27" t="n"/>
      <c r="D1109" s="27" t="n"/>
      <c r="E1109" s="21">
        <f>IF(OR(C1109="",D1109=""),"",ROUND(MOD(D1109-C1109,1)*24,2))</f>
        <v/>
      </c>
      <c r="F1109" s="28" t="n"/>
      <c r="G1109" s="28" t="n"/>
      <c r="H1109" s="1" t="n"/>
    </row>
    <row r="1110">
      <c r="A1110" s="1" t="n"/>
      <c r="B1110" s="26" t="n"/>
      <c r="C1110" s="27" t="n"/>
      <c r="D1110" s="27" t="n"/>
      <c r="E1110" s="21">
        <f>IF(OR(C1110="",D1110=""),"",ROUND(MOD(D1110-C1110,1)*24,2))</f>
        <v/>
      </c>
      <c r="F1110" s="28" t="n"/>
      <c r="G1110" s="28" t="n"/>
      <c r="H1110" s="1" t="n"/>
    </row>
    <row r="1111">
      <c r="A1111" s="1" t="n"/>
      <c r="B1111" s="26" t="n"/>
      <c r="C1111" s="27" t="n"/>
      <c r="D1111" s="27" t="n"/>
      <c r="E1111" s="21">
        <f>IF(OR(C1111="",D1111=""),"",ROUND(MOD(D1111-C1111,1)*24,2))</f>
        <v/>
      </c>
      <c r="F1111" s="28" t="n"/>
      <c r="G1111" s="28" t="n"/>
      <c r="H1111" s="1" t="n"/>
    </row>
    <row r="1112">
      <c r="A1112" s="1" t="n"/>
      <c r="B1112" s="26" t="n"/>
      <c r="C1112" s="27" t="n"/>
      <c r="D1112" s="27" t="n"/>
      <c r="E1112" s="21">
        <f>IF(OR(C1112="",D1112=""),"",ROUND(MOD(D1112-C1112,1)*24,2))</f>
        <v/>
      </c>
      <c r="F1112" s="28" t="n"/>
      <c r="G1112" s="28" t="n"/>
      <c r="H1112" s="1" t="n"/>
    </row>
    <row r="1113">
      <c r="A1113" s="1" t="n"/>
      <c r="B1113" s="26" t="n"/>
      <c r="C1113" s="27" t="n"/>
      <c r="D1113" s="27" t="n"/>
      <c r="E1113" s="21">
        <f>IF(OR(C1113="",D1113=""),"",ROUND(MOD(D1113-C1113,1)*24,2))</f>
        <v/>
      </c>
      <c r="F1113" s="28" t="n"/>
      <c r="G1113" s="28" t="n"/>
      <c r="H1113" s="1" t="n"/>
    </row>
    <row r="1114">
      <c r="A1114" s="1" t="n"/>
      <c r="B1114" s="26" t="n"/>
      <c r="C1114" s="27" t="n"/>
      <c r="D1114" s="27" t="n"/>
      <c r="E1114" s="21">
        <f>IF(OR(C1114="",D1114=""),"",ROUND(MOD(D1114-C1114,1)*24,2))</f>
        <v/>
      </c>
      <c r="F1114" s="28" t="n"/>
      <c r="G1114" s="28" t="n"/>
      <c r="H1114" s="1" t="n"/>
    </row>
    <row r="1115">
      <c r="A1115" s="1" t="n"/>
      <c r="B1115" s="26" t="n"/>
      <c r="C1115" s="27" t="n"/>
      <c r="D1115" s="27" t="n"/>
      <c r="E1115" s="21">
        <f>IF(OR(C1115="",D1115=""),"",ROUND(MOD(D1115-C1115,1)*24,2))</f>
        <v/>
      </c>
      <c r="F1115" s="28" t="n"/>
      <c r="G1115" s="28" t="n"/>
      <c r="H1115" s="1" t="n"/>
    </row>
    <row r="1116">
      <c r="A1116" s="1" t="n"/>
      <c r="B1116" s="26" t="n"/>
      <c r="C1116" s="27" t="n"/>
      <c r="D1116" s="27" t="n"/>
      <c r="E1116" s="21">
        <f>IF(OR(C1116="",D1116=""),"",ROUND(MOD(D1116-C1116,1)*24,2))</f>
        <v/>
      </c>
      <c r="F1116" s="28" t="n"/>
      <c r="G1116" s="28" t="n"/>
      <c r="H1116" s="1" t="n"/>
    </row>
    <row r="1117">
      <c r="A1117" s="1" t="n"/>
      <c r="B1117" s="26" t="n"/>
      <c r="C1117" s="27" t="n"/>
      <c r="D1117" s="27" t="n"/>
      <c r="E1117" s="21">
        <f>IF(OR(C1117="",D1117=""),"",ROUND(MOD(D1117-C1117,1)*24,2))</f>
        <v/>
      </c>
      <c r="F1117" s="28" t="n"/>
      <c r="G1117" s="28" t="n"/>
      <c r="H1117" s="1" t="n"/>
    </row>
    <row r="1118">
      <c r="A1118" s="1" t="n"/>
      <c r="B1118" s="26" t="n"/>
      <c r="C1118" s="27" t="n"/>
      <c r="D1118" s="27" t="n"/>
      <c r="E1118" s="21">
        <f>IF(OR(C1118="",D1118=""),"",ROUND(MOD(D1118-C1118,1)*24,2))</f>
        <v/>
      </c>
      <c r="F1118" s="28" t="n"/>
      <c r="G1118" s="28" t="n"/>
      <c r="H1118" s="1" t="n"/>
    </row>
    <row r="1119">
      <c r="A1119" s="1" t="n"/>
      <c r="B1119" s="26" t="n"/>
      <c r="C1119" s="27" t="n"/>
      <c r="D1119" s="27" t="n"/>
      <c r="E1119" s="21">
        <f>IF(OR(C1119="",D1119=""),"",ROUND(MOD(D1119-C1119,1)*24,2))</f>
        <v/>
      </c>
      <c r="F1119" s="28" t="n"/>
      <c r="G1119" s="28" t="n"/>
      <c r="H1119" s="1" t="n"/>
    </row>
    <row r="1120">
      <c r="A1120" s="1" t="n"/>
      <c r="B1120" s="26" t="n"/>
      <c r="C1120" s="27" t="n"/>
      <c r="D1120" s="27" t="n"/>
      <c r="E1120" s="21">
        <f>IF(OR(C1120="",D1120=""),"",ROUND(MOD(D1120-C1120,1)*24,2))</f>
        <v/>
      </c>
      <c r="F1120" s="28" t="n"/>
      <c r="G1120" s="28" t="n"/>
      <c r="H1120" s="1" t="n"/>
    </row>
    <row r="1121">
      <c r="A1121" s="1" t="n"/>
      <c r="B1121" s="26" t="n"/>
      <c r="C1121" s="27" t="n"/>
      <c r="D1121" s="27" t="n"/>
      <c r="E1121" s="21">
        <f>IF(OR(C1121="",D1121=""),"",ROUND(MOD(D1121-C1121,1)*24,2))</f>
        <v/>
      </c>
      <c r="F1121" s="28" t="n"/>
      <c r="G1121" s="28" t="n"/>
      <c r="H1121" s="1" t="n"/>
    </row>
    <row r="1122">
      <c r="A1122" s="1" t="n"/>
      <c r="B1122" s="26" t="n"/>
      <c r="C1122" s="27" t="n"/>
      <c r="D1122" s="27" t="n"/>
      <c r="E1122" s="21">
        <f>IF(OR(C1122="",D1122=""),"",ROUND(MOD(D1122-C1122,1)*24,2))</f>
        <v/>
      </c>
      <c r="F1122" s="28" t="n"/>
      <c r="G1122" s="28" t="n"/>
      <c r="H1122" s="1" t="n"/>
    </row>
    <row r="1123">
      <c r="A1123" s="1" t="n"/>
      <c r="B1123" s="26" t="n"/>
      <c r="C1123" s="27" t="n"/>
      <c r="D1123" s="27" t="n"/>
      <c r="E1123" s="21">
        <f>IF(OR(C1123="",D1123=""),"",ROUND(MOD(D1123-C1123,1)*24,2))</f>
        <v/>
      </c>
      <c r="F1123" s="28" t="n"/>
      <c r="G1123" s="28" t="n"/>
      <c r="H1123" s="1" t="n"/>
    </row>
    <row r="1124">
      <c r="A1124" s="1" t="n"/>
      <c r="B1124" s="26" t="n"/>
      <c r="C1124" s="27" t="n"/>
      <c r="D1124" s="27" t="n"/>
      <c r="E1124" s="21">
        <f>IF(OR(C1124="",D1124=""),"",ROUND(MOD(D1124-C1124,1)*24,2))</f>
        <v/>
      </c>
      <c r="F1124" s="28" t="n"/>
      <c r="G1124" s="28" t="n"/>
      <c r="H1124" s="1" t="n"/>
    </row>
    <row r="1125">
      <c r="A1125" s="1" t="n"/>
      <c r="B1125" s="26" t="n"/>
      <c r="C1125" s="27" t="n"/>
      <c r="D1125" s="27" t="n"/>
      <c r="E1125" s="21">
        <f>IF(OR(C1125="",D1125=""),"",ROUND(MOD(D1125-C1125,1)*24,2))</f>
        <v/>
      </c>
      <c r="F1125" s="28" t="n"/>
      <c r="G1125" s="28" t="n"/>
      <c r="H1125" s="1" t="n"/>
    </row>
    <row r="1126">
      <c r="A1126" s="1" t="n"/>
      <c r="B1126" s="26" t="n"/>
      <c r="C1126" s="27" t="n"/>
      <c r="D1126" s="27" t="n"/>
      <c r="E1126" s="21">
        <f>IF(OR(C1126="",D1126=""),"",ROUND(MOD(D1126-C1126,1)*24,2))</f>
        <v/>
      </c>
      <c r="F1126" s="28" t="n"/>
      <c r="G1126" s="28" t="n"/>
      <c r="H1126" s="1" t="n"/>
    </row>
    <row r="1127">
      <c r="A1127" s="1" t="n"/>
      <c r="B1127" s="26" t="n"/>
      <c r="C1127" s="27" t="n"/>
      <c r="D1127" s="27" t="n"/>
      <c r="E1127" s="21">
        <f>IF(OR(C1127="",D1127=""),"",ROUND(MOD(D1127-C1127,1)*24,2))</f>
        <v/>
      </c>
      <c r="F1127" s="28" t="n"/>
      <c r="G1127" s="28" t="n"/>
      <c r="H1127" s="1" t="n"/>
    </row>
    <row r="1128">
      <c r="A1128" s="1" t="n"/>
      <c r="B1128" s="26" t="n"/>
      <c r="C1128" s="27" t="n"/>
      <c r="D1128" s="27" t="n"/>
      <c r="E1128" s="21">
        <f>IF(OR(C1128="",D1128=""),"",ROUND(MOD(D1128-C1128,1)*24,2))</f>
        <v/>
      </c>
      <c r="F1128" s="28" t="n"/>
      <c r="G1128" s="28" t="n"/>
      <c r="H1128" s="1" t="n"/>
    </row>
    <row r="1129">
      <c r="A1129" s="1" t="n"/>
      <c r="B1129" s="26" t="n"/>
      <c r="C1129" s="27" t="n"/>
      <c r="D1129" s="27" t="n"/>
      <c r="E1129" s="21">
        <f>IF(OR(C1129="",D1129=""),"",ROUND(MOD(D1129-C1129,1)*24,2))</f>
        <v/>
      </c>
      <c r="F1129" s="28" t="n"/>
      <c r="G1129" s="28" t="n"/>
      <c r="H1129" s="1" t="n"/>
    </row>
    <row r="1130">
      <c r="A1130" s="1" t="n"/>
      <c r="B1130" s="26" t="n"/>
      <c r="C1130" s="27" t="n"/>
      <c r="D1130" s="27" t="n"/>
      <c r="E1130" s="21">
        <f>IF(OR(C1130="",D1130=""),"",ROUND(MOD(D1130-C1130,1)*24,2))</f>
        <v/>
      </c>
      <c r="F1130" s="28" t="n"/>
      <c r="G1130" s="28" t="n"/>
      <c r="H1130" s="1" t="n"/>
    </row>
    <row r="1131">
      <c r="A1131" s="1" t="n"/>
      <c r="B1131" s="26" t="n"/>
      <c r="C1131" s="27" t="n"/>
      <c r="D1131" s="27" t="n"/>
      <c r="E1131" s="21">
        <f>IF(OR(C1131="",D1131=""),"",ROUND(MOD(D1131-C1131,1)*24,2))</f>
        <v/>
      </c>
      <c r="F1131" s="28" t="n"/>
      <c r="G1131" s="28" t="n"/>
      <c r="H1131" s="1" t="n"/>
    </row>
    <row r="1132">
      <c r="A1132" s="1" t="n"/>
      <c r="B1132" s="26" t="n"/>
      <c r="C1132" s="27" t="n"/>
      <c r="D1132" s="27" t="n"/>
      <c r="E1132" s="21">
        <f>IF(OR(C1132="",D1132=""),"",ROUND(MOD(D1132-C1132,1)*24,2))</f>
        <v/>
      </c>
      <c r="F1132" s="28" t="n"/>
      <c r="G1132" s="28" t="n"/>
      <c r="H1132" s="1" t="n"/>
    </row>
    <row r="1133">
      <c r="A1133" s="1" t="n"/>
      <c r="B1133" s="26" t="n"/>
      <c r="C1133" s="27" t="n"/>
      <c r="D1133" s="27" t="n"/>
      <c r="E1133" s="21">
        <f>IF(OR(C1133="",D1133=""),"",ROUND(MOD(D1133-C1133,1)*24,2))</f>
        <v/>
      </c>
      <c r="F1133" s="28" t="n"/>
      <c r="G1133" s="28" t="n"/>
      <c r="H1133" s="1" t="n"/>
    </row>
    <row r="1134">
      <c r="A1134" s="1" t="n"/>
      <c r="B1134" s="26" t="n"/>
      <c r="C1134" s="27" t="n"/>
      <c r="D1134" s="27" t="n"/>
      <c r="E1134" s="21">
        <f>IF(OR(C1134="",D1134=""),"",ROUND(MOD(D1134-C1134,1)*24,2))</f>
        <v/>
      </c>
      <c r="F1134" s="28" t="n"/>
      <c r="G1134" s="28" t="n"/>
      <c r="H1134" s="1" t="n"/>
    </row>
    <row r="1135">
      <c r="A1135" s="1" t="n"/>
      <c r="B1135" s="26" t="n"/>
      <c r="C1135" s="27" t="n"/>
      <c r="D1135" s="27" t="n"/>
      <c r="E1135" s="21">
        <f>IF(OR(C1135="",D1135=""),"",ROUND(MOD(D1135-C1135,1)*24,2))</f>
        <v/>
      </c>
      <c r="F1135" s="28" t="n"/>
      <c r="G1135" s="28" t="n"/>
      <c r="H1135" s="1" t="n"/>
    </row>
    <row r="1136">
      <c r="A1136" s="1" t="n"/>
      <c r="B1136" s="26" t="n"/>
      <c r="C1136" s="27" t="n"/>
      <c r="D1136" s="27" t="n"/>
      <c r="E1136" s="21">
        <f>IF(OR(C1136="",D1136=""),"",ROUND(MOD(D1136-C1136,1)*24,2))</f>
        <v/>
      </c>
      <c r="F1136" s="28" t="n"/>
      <c r="G1136" s="28" t="n"/>
      <c r="H1136" s="1" t="n"/>
    </row>
    <row r="1137">
      <c r="A1137" s="1" t="n"/>
      <c r="B1137" s="26" t="n"/>
      <c r="C1137" s="27" t="n"/>
      <c r="D1137" s="27" t="n"/>
      <c r="E1137" s="21">
        <f>IF(OR(C1137="",D1137=""),"",ROUND(MOD(D1137-C1137,1)*24,2))</f>
        <v/>
      </c>
      <c r="F1137" s="28" t="n"/>
      <c r="G1137" s="28" t="n"/>
      <c r="H1137" s="1" t="n"/>
    </row>
    <row r="1138">
      <c r="A1138" s="1" t="n"/>
      <c r="B1138" s="26" t="n"/>
      <c r="C1138" s="27" t="n"/>
      <c r="D1138" s="27" t="n"/>
      <c r="E1138" s="21">
        <f>IF(OR(C1138="",D1138=""),"",ROUND(MOD(D1138-C1138,1)*24,2))</f>
        <v/>
      </c>
      <c r="F1138" s="28" t="n"/>
      <c r="G1138" s="28" t="n"/>
      <c r="H1138" s="1" t="n"/>
    </row>
    <row r="1139">
      <c r="A1139" s="1" t="n"/>
      <c r="B1139" s="26" t="n"/>
      <c r="C1139" s="27" t="n"/>
      <c r="D1139" s="27" t="n"/>
      <c r="E1139" s="21">
        <f>IF(OR(C1139="",D1139=""),"",ROUND(MOD(D1139-C1139,1)*24,2))</f>
        <v/>
      </c>
      <c r="F1139" s="28" t="n"/>
      <c r="G1139" s="28" t="n"/>
      <c r="H1139" s="1" t="n"/>
    </row>
    <row r="1140">
      <c r="A1140" s="1" t="n"/>
      <c r="B1140" s="26" t="n"/>
      <c r="C1140" s="27" t="n"/>
      <c r="D1140" s="27" t="n"/>
      <c r="E1140" s="21">
        <f>IF(OR(C1140="",D1140=""),"",ROUND(MOD(D1140-C1140,1)*24,2))</f>
        <v/>
      </c>
      <c r="F1140" s="28" t="n"/>
      <c r="G1140" s="28" t="n"/>
      <c r="H1140" s="1" t="n"/>
    </row>
    <row r="1141">
      <c r="A1141" s="1" t="n"/>
      <c r="B1141" s="26" t="n"/>
      <c r="C1141" s="27" t="n"/>
      <c r="D1141" s="27" t="n"/>
      <c r="E1141" s="21">
        <f>IF(OR(C1141="",D1141=""),"",ROUND(MOD(D1141-C1141,1)*24,2))</f>
        <v/>
      </c>
      <c r="F1141" s="28" t="n"/>
      <c r="G1141" s="28" t="n"/>
      <c r="H1141" s="1" t="n"/>
    </row>
    <row r="1142">
      <c r="A1142" s="1" t="n"/>
      <c r="B1142" s="26" t="n"/>
      <c r="C1142" s="27" t="n"/>
      <c r="D1142" s="27" t="n"/>
      <c r="E1142" s="21">
        <f>IF(OR(C1142="",D1142=""),"",ROUND(MOD(D1142-C1142,1)*24,2))</f>
        <v/>
      </c>
      <c r="F1142" s="28" t="n"/>
      <c r="G1142" s="28" t="n"/>
      <c r="H1142" s="1" t="n"/>
    </row>
    <row r="1143">
      <c r="A1143" s="1" t="n"/>
      <c r="B1143" s="26" t="n"/>
      <c r="C1143" s="27" t="n"/>
      <c r="D1143" s="27" t="n"/>
      <c r="E1143" s="21">
        <f>IF(OR(C1143="",D1143=""),"",ROUND(MOD(D1143-C1143,1)*24,2))</f>
        <v/>
      </c>
      <c r="F1143" s="28" t="n"/>
      <c r="G1143" s="28" t="n"/>
      <c r="H1143" s="1" t="n"/>
    </row>
    <row r="1144">
      <c r="A1144" s="1" t="n"/>
      <c r="B1144" s="26" t="n"/>
      <c r="C1144" s="27" t="n"/>
      <c r="D1144" s="27" t="n"/>
      <c r="E1144" s="21">
        <f>IF(OR(C1144="",D1144=""),"",ROUND(MOD(D1144-C1144,1)*24,2))</f>
        <v/>
      </c>
      <c r="F1144" s="28" t="n"/>
      <c r="G1144" s="28" t="n"/>
      <c r="H1144" s="1" t="n"/>
    </row>
    <row r="1145">
      <c r="A1145" s="1" t="n"/>
      <c r="B1145" s="26" t="n"/>
      <c r="C1145" s="27" t="n"/>
      <c r="D1145" s="27" t="n"/>
      <c r="E1145" s="21">
        <f>IF(OR(C1145="",D1145=""),"",ROUND(MOD(D1145-C1145,1)*24,2))</f>
        <v/>
      </c>
      <c r="F1145" s="28" t="n"/>
      <c r="G1145" s="28" t="n"/>
      <c r="H1145" s="1" t="n"/>
    </row>
    <row r="1146">
      <c r="A1146" s="1" t="n"/>
      <c r="B1146" s="26" t="n"/>
      <c r="C1146" s="27" t="n"/>
      <c r="D1146" s="27" t="n"/>
      <c r="E1146" s="21">
        <f>IF(OR(C1146="",D1146=""),"",ROUND(MOD(D1146-C1146,1)*24,2))</f>
        <v/>
      </c>
      <c r="F1146" s="28" t="n"/>
      <c r="G1146" s="28" t="n"/>
      <c r="H1146" s="1" t="n"/>
    </row>
    <row r="1147">
      <c r="A1147" s="1" t="n"/>
      <c r="B1147" s="26" t="n"/>
      <c r="C1147" s="27" t="n"/>
      <c r="D1147" s="27" t="n"/>
      <c r="E1147" s="21">
        <f>IF(OR(C1147="",D1147=""),"",ROUND(MOD(D1147-C1147,1)*24,2))</f>
        <v/>
      </c>
      <c r="F1147" s="28" t="n"/>
      <c r="G1147" s="28" t="n"/>
      <c r="H1147" s="1" t="n"/>
    </row>
    <row r="1148">
      <c r="A1148" s="1" t="n"/>
      <c r="B1148" s="26" t="n"/>
      <c r="C1148" s="27" t="n"/>
      <c r="D1148" s="27" t="n"/>
      <c r="E1148" s="21">
        <f>IF(OR(C1148="",D1148=""),"",ROUND(MOD(D1148-C1148,1)*24,2))</f>
        <v/>
      </c>
      <c r="F1148" s="28" t="n"/>
      <c r="G1148" s="28" t="n"/>
      <c r="H1148" s="1" t="n"/>
    </row>
    <row r="1149">
      <c r="A1149" s="1" t="n"/>
      <c r="B1149" s="26" t="n"/>
      <c r="C1149" s="27" t="n"/>
      <c r="D1149" s="27" t="n"/>
      <c r="E1149" s="21">
        <f>IF(OR(C1149="",D1149=""),"",ROUND(MOD(D1149-C1149,1)*24,2))</f>
        <v/>
      </c>
      <c r="F1149" s="28" t="n"/>
      <c r="G1149" s="28" t="n"/>
      <c r="H1149" s="1" t="n"/>
    </row>
    <row r="1150">
      <c r="A1150" s="1" t="n"/>
      <c r="B1150" s="26" t="n"/>
      <c r="C1150" s="27" t="n"/>
      <c r="D1150" s="27" t="n"/>
      <c r="E1150" s="21">
        <f>IF(OR(C1150="",D1150=""),"",ROUND(MOD(D1150-C1150,1)*24,2))</f>
        <v/>
      </c>
      <c r="F1150" s="28" t="n"/>
      <c r="G1150" s="28" t="n"/>
      <c r="H1150" s="1" t="n"/>
    </row>
    <row r="1151">
      <c r="A1151" s="1" t="n"/>
      <c r="B1151" s="26" t="n"/>
      <c r="C1151" s="27" t="n"/>
      <c r="D1151" s="27" t="n"/>
      <c r="E1151" s="21">
        <f>IF(OR(C1151="",D1151=""),"",ROUND(MOD(D1151-C1151,1)*24,2))</f>
        <v/>
      </c>
      <c r="F1151" s="28" t="n"/>
      <c r="G1151" s="28" t="n"/>
      <c r="H1151" s="1" t="n"/>
    </row>
    <row r="1152">
      <c r="A1152" s="1" t="n"/>
      <c r="B1152" s="26" t="n"/>
      <c r="C1152" s="27" t="n"/>
      <c r="D1152" s="27" t="n"/>
      <c r="E1152" s="21">
        <f>IF(OR(C1152="",D1152=""),"",ROUND(MOD(D1152-C1152,1)*24,2))</f>
        <v/>
      </c>
      <c r="F1152" s="28" t="n"/>
      <c r="G1152" s="28" t="n"/>
      <c r="H1152" s="1" t="n"/>
    </row>
    <row r="1153">
      <c r="A1153" s="1" t="n"/>
      <c r="B1153" s="26" t="n"/>
      <c r="C1153" s="27" t="n"/>
      <c r="D1153" s="27" t="n"/>
      <c r="E1153" s="21">
        <f>IF(OR(C1153="",D1153=""),"",ROUND(MOD(D1153-C1153,1)*24,2))</f>
        <v/>
      </c>
      <c r="F1153" s="28" t="n"/>
      <c r="G1153" s="28" t="n"/>
      <c r="H1153" s="1" t="n"/>
    </row>
    <row r="1154">
      <c r="A1154" s="1" t="n"/>
      <c r="B1154" s="26" t="n"/>
      <c r="C1154" s="27" t="n"/>
      <c r="D1154" s="27" t="n"/>
      <c r="E1154" s="21">
        <f>IF(OR(C1154="",D1154=""),"",ROUND(MOD(D1154-C1154,1)*24,2))</f>
        <v/>
      </c>
      <c r="F1154" s="28" t="n"/>
      <c r="G1154" s="28" t="n"/>
      <c r="H1154" s="1" t="n"/>
    </row>
    <row r="1155">
      <c r="A1155" s="1" t="n"/>
      <c r="B1155" s="26" t="n"/>
      <c r="C1155" s="27" t="n"/>
      <c r="D1155" s="27" t="n"/>
      <c r="E1155" s="21">
        <f>IF(OR(C1155="",D1155=""),"",ROUND(MOD(D1155-C1155,1)*24,2))</f>
        <v/>
      </c>
      <c r="F1155" s="28" t="n"/>
      <c r="G1155" s="28" t="n"/>
      <c r="H1155" s="1" t="n"/>
    </row>
    <row r="1156">
      <c r="A1156" s="1" t="n"/>
      <c r="B1156" s="26" t="n"/>
      <c r="C1156" s="27" t="n"/>
      <c r="D1156" s="27" t="n"/>
      <c r="E1156" s="21">
        <f>IF(OR(C1156="",D1156=""),"",ROUND(MOD(D1156-C1156,1)*24,2))</f>
        <v/>
      </c>
      <c r="F1156" s="28" t="n"/>
      <c r="G1156" s="28" t="n"/>
      <c r="H1156" s="1" t="n"/>
    </row>
    <row r="1157">
      <c r="A1157" s="1" t="n"/>
      <c r="B1157" s="26" t="n"/>
      <c r="C1157" s="27" t="n"/>
      <c r="D1157" s="27" t="n"/>
      <c r="E1157" s="21">
        <f>IF(OR(C1157="",D1157=""),"",ROUND(MOD(D1157-C1157,1)*24,2))</f>
        <v/>
      </c>
      <c r="F1157" s="28" t="n"/>
      <c r="G1157" s="28" t="n"/>
      <c r="H1157" s="1" t="n"/>
    </row>
    <row r="1158">
      <c r="A1158" s="1" t="n"/>
      <c r="B1158" s="26" t="n"/>
      <c r="C1158" s="27" t="n"/>
      <c r="D1158" s="27" t="n"/>
      <c r="E1158" s="21">
        <f>IF(OR(C1158="",D1158=""),"",ROUND(MOD(D1158-C1158,1)*24,2))</f>
        <v/>
      </c>
      <c r="F1158" s="28" t="n"/>
      <c r="G1158" s="28" t="n"/>
      <c r="H1158" s="1" t="n"/>
    </row>
    <row r="1159">
      <c r="A1159" s="1" t="n"/>
      <c r="B1159" s="26" t="n"/>
      <c r="C1159" s="27" t="n"/>
      <c r="D1159" s="27" t="n"/>
      <c r="E1159" s="21">
        <f>IF(OR(C1159="",D1159=""),"",ROUND(MOD(D1159-C1159,1)*24,2))</f>
        <v/>
      </c>
      <c r="F1159" s="28" t="n"/>
      <c r="G1159" s="28" t="n"/>
      <c r="H1159" s="1" t="n"/>
    </row>
    <row r="1160">
      <c r="A1160" s="1" t="n"/>
      <c r="B1160" s="26" t="n"/>
      <c r="C1160" s="27" t="n"/>
      <c r="D1160" s="27" t="n"/>
      <c r="E1160" s="21">
        <f>IF(OR(C1160="",D1160=""),"",ROUND(MOD(D1160-C1160,1)*24,2))</f>
        <v/>
      </c>
      <c r="F1160" s="28" t="n"/>
      <c r="G1160" s="28" t="n"/>
      <c r="H1160" s="1" t="n"/>
    </row>
    <row r="1161">
      <c r="A1161" s="1" t="n"/>
      <c r="B1161" s="26" t="n"/>
      <c r="C1161" s="27" t="n"/>
      <c r="D1161" s="27" t="n"/>
      <c r="E1161" s="21">
        <f>IF(OR(C1161="",D1161=""),"",ROUND(MOD(D1161-C1161,1)*24,2))</f>
        <v/>
      </c>
      <c r="F1161" s="28" t="n"/>
      <c r="G1161" s="28" t="n"/>
      <c r="H1161" s="1" t="n"/>
    </row>
    <row r="1162">
      <c r="A1162" s="1" t="n"/>
      <c r="B1162" s="26" t="n"/>
      <c r="C1162" s="27" t="n"/>
      <c r="D1162" s="27" t="n"/>
      <c r="E1162" s="21">
        <f>IF(OR(C1162="",D1162=""),"",ROUND(MOD(D1162-C1162,1)*24,2))</f>
        <v/>
      </c>
      <c r="F1162" s="28" t="n"/>
      <c r="G1162" s="28" t="n"/>
      <c r="H1162" s="1" t="n"/>
    </row>
    <row r="1163">
      <c r="A1163" s="1" t="n"/>
      <c r="B1163" s="26" t="n"/>
      <c r="C1163" s="27" t="n"/>
      <c r="D1163" s="27" t="n"/>
      <c r="E1163" s="21">
        <f>IF(OR(C1163="",D1163=""),"",ROUND(MOD(D1163-C1163,1)*24,2))</f>
        <v/>
      </c>
      <c r="F1163" s="28" t="n"/>
      <c r="G1163" s="28" t="n"/>
      <c r="H1163" s="1" t="n"/>
    </row>
    <row r="1164">
      <c r="A1164" s="1" t="n"/>
      <c r="B1164" s="26" t="n"/>
      <c r="C1164" s="27" t="n"/>
      <c r="D1164" s="27" t="n"/>
      <c r="E1164" s="21">
        <f>IF(OR(C1164="",D1164=""),"",ROUND(MOD(D1164-C1164,1)*24,2))</f>
        <v/>
      </c>
      <c r="F1164" s="28" t="n"/>
      <c r="G1164" s="28" t="n"/>
      <c r="H1164" s="1" t="n"/>
    </row>
    <row r="1165">
      <c r="A1165" s="1" t="n"/>
      <c r="B1165" s="26" t="n"/>
      <c r="C1165" s="27" t="n"/>
      <c r="D1165" s="27" t="n"/>
      <c r="E1165" s="21">
        <f>IF(OR(C1165="",D1165=""),"",ROUND(MOD(D1165-C1165,1)*24,2))</f>
        <v/>
      </c>
      <c r="F1165" s="28" t="n"/>
      <c r="G1165" s="28" t="n"/>
      <c r="H1165" s="1" t="n"/>
    </row>
    <row r="1166">
      <c r="A1166" s="1" t="n"/>
      <c r="B1166" s="26" t="n"/>
      <c r="C1166" s="27" t="n"/>
      <c r="D1166" s="27" t="n"/>
      <c r="E1166" s="21">
        <f>IF(OR(C1166="",D1166=""),"",ROUND(MOD(D1166-C1166,1)*24,2))</f>
        <v/>
      </c>
      <c r="F1166" s="28" t="n"/>
      <c r="G1166" s="28" t="n"/>
      <c r="H1166" s="1" t="n"/>
    </row>
    <row r="1167">
      <c r="A1167" s="1" t="n"/>
      <c r="B1167" s="26" t="n"/>
      <c r="C1167" s="27" t="n"/>
      <c r="D1167" s="27" t="n"/>
      <c r="E1167" s="21">
        <f>IF(OR(C1167="",D1167=""),"",ROUND(MOD(D1167-C1167,1)*24,2))</f>
        <v/>
      </c>
      <c r="F1167" s="28" t="n"/>
      <c r="G1167" s="28" t="n"/>
      <c r="H1167" s="1" t="n"/>
    </row>
    <row r="1168">
      <c r="A1168" s="1" t="n"/>
      <c r="B1168" s="26" t="n"/>
      <c r="C1168" s="27" t="n"/>
      <c r="D1168" s="27" t="n"/>
      <c r="E1168" s="21">
        <f>IF(OR(C1168="",D1168=""),"",ROUND(MOD(D1168-C1168,1)*24,2))</f>
        <v/>
      </c>
      <c r="F1168" s="28" t="n"/>
      <c r="G1168" s="28" t="n"/>
      <c r="H1168" s="1" t="n"/>
    </row>
    <row r="1169">
      <c r="A1169" s="1" t="n"/>
      <c r="B1169" s="26" t="n"/>
      <c r="C1169" s="27" t="n"/>
      <c r="D1169" s="27" t="n"/>
      <c r="E1169" s="21">
        <f>IF(OR(C1169="",D1169=""),"",ROUND(MOD(D1169-C1169,1)*24,2))</f>
        <v/>
      </c>
      <c r="F1169" s="28" t="n"/>
      <c r="G1169" s="28" t="n"/>
      <c r="H1169" s="1" t="n"/>
    </row>
    <row r="1170">
      <c r="A1170" s="1" t="n"/>
      <c r="B1170" s="26" t="n"/>
      <c r="C1170" s="27" t="n"/>
      <c r="D1170" s="27" t="n"/>
      <c r="E1170" s="21">
        <f>IF(OR(C1170="",D1170=""),"",ROUND(MOD(D1170-C1170,1)*24,2))</f>
        <v/>
      </c>
      <c r="F1170" s="28" t="n"/>
      <c r="G1170" s="28" t="n"/>
      <c r="H1170" s="1" t="n"/>
    </row>
    <row r="1171">
      <c r="A1171" s="1" t="n"/>
      <c r="B1171" s="26" t="n"/>
      <c r="C1171" s="27" t="n"/>
      <c r="D1171" s="27" t="n"/>
      <c r="E1171" s="21">
        <f>IF(OR(C1171="",D1171=""),"",ROUND(MOD(D1171-C1171,1)*24,2))</f>
        <v/>
      </c>
      <c r="F1171" s="28" t="n"/>
      <c r="G1171" s="28" t="n"/>
      <c r="H1171" s="1" t="n"/>
    </row>
    <row r="1172">
      <c r="A1172" s="1" t="n"/>
      <c r="B1172" s="26" t="n"/>
      <c r="C1172" s="27" t="n"/>
      <c r="D1172" s="27" t="n"/>
      <c r="E1172" s="21">
        <f>IF(OR(C1172="",D1172=""),"",ROUND(MOD(D1172-C1172,1)*24,2))</f>
        <v/>
      </c>
      <c r="F1172" s="28" t="n"/>
      <c r="G1172" s="28" t="n"/>
      <c r="H1172" s="1" t="n"/>
    </row>
    <row r="1173">
      <c r="A1173" s="1" t="n"/>
      <c r="B1173" s="26" t="n"/>
      <c r="C1173" s="27" t="n"/>
      <c r="D1173" s="27" t="n"/>
      <c r="E1173" s="21">
        <f>IF(OR(C1173="",D1173=""),"",ROUND(MOD(D1173-C1173,1)*24,2))</f>
        <v/>
      </c>
      <c r="F1173" s="28" t="n"/>
      <c r="G1173" s="28" t="n"/>
      <c r="H1173" s="1" t="n"/>
    </row>
    <row r="1174">
      <c r="A1174" s="1" t="n"/>
      <c r="B1174" s="26" t="n"/>
      <c r="C1174" s="27" t="n"/>
      <c r="D1174" s="27" t="n"/>
      <c r="E1174" s="21">
        <f>IF(OR(C1174="",D1174=""),"",ROUND(MOD(D1174-C1174,1)*24,2))</f>
        <v/>
      </c>
      <c r="F1174" s="28" t="n"/>
      <c r="G1174" s="28" t="n"/>
      <c r="H1174" s="1" t="n"/>
    </row>
    <row r="1175">
      <c r="A1175" s="1" t="n"/>
      <c r="B1175" s="26" t="n"/>
      <c r="C1175" s="27" t="n"/>
      <c r="D1175" s="27" t="n"/>
      <c r="E1175" s="21">
        <f>IF(OR(C1175="",D1175=""),"",ROUND(MOD(D1175-C1175,1)*24,2))</f>
        <v/>
      </c>
      <c r="F1175" s="28" t="n"/>
      <c r="G1175" s="28" t="n"/>
      <c r="H1175" s="1" t="n"/>
    </row>
    <row r="1176">
      <c r="A1176" s="1" t="n"/>
      <c r="B1176" s="26" t="n"/>
      <c r="C1176" s="27" t="n"/>
      <c r="D1176" s="27" t="n"/>
      <c r="E1176" s="21">
        <f>IF(OR(C1176="",D1176=""),"",ROUND(MOD(D1176-C1176,1)*24,2))</f>
        <v/>
      </c>
      <c r="F1176" s="28" t="n"/>
      <c r="G1176" s="28" t="n"/>
      <c r="H1176" s="1" t="n"/>
    </row>
    <row r="1177">
      <c r="A1177" s="1" t="n"/>
      <c r="B1177" s="26" t="n"/>
      <c r="C1177" s="27" t="n"/>
      <c r="D1177" s="27" t="n"/>
      <c r="E1177" s="21">
        <f>IF(OR(C1177="",D1177=""),"",ROUND(MOD(D1177-C1177,1)*24,2))</f>
        <v/>
      </c>
      <c r="F1177" s="28" t="n"/>
      <c r="G1177" s="28" t="n"/>
      <c r="H1177" s="1" t="n"/>
    </row>
    <row r="1178">
      <c r="A1178" s="1" t="n"/>
      <c r="B1178" s="26" t="n"/>
      <c r="C1178" s="27" t="n"/>
      <c r="D1178" s="27" t="n"/>
      <c r="E1178" s="21">
        <f>IF(OR(C1178="",D1178=""),"",ROUND(MOD(D1178-C1178,1)*24,2))</f>
        <v/>
      </c>
      <c r="F1178" s="28" t="n"/>
      <c r="G1178" s="28" t="n"/>
      <c r="H1178" s="1" t="n"/>
    </row>
    <row r="1179">
      <c r="A1179" s="1" t="n"/>
      <c r="B1179" s="26" t="n"/>
      <c r="C1179" s="27" t="n"/>
      <c r="D1179" s="27" t="n"/>
      <c r="E1179" s="21">
        <f>IF(OR(C1179="",D1179=""),"",ROUND(MOD(D1179-C1179,1)*24,2))</f>
        <v/>
      </c>
      <c r="F1179" s="28" t="n"/>
      <c r="G1179" s="28" t="n"/>
      <c r="H1179" s="1" t="n"/>
    </row>
    <row r="1180">
      <c r="A1180" s="1" t="n"/>
      <c r="B1180" s="26" t="n"/>
      <c r="C1180" s="27" t="n"/>
      <c r="D1180" s="27" t="n"/>
      <c r="E1180" s="21">
        <f>IF(OR(C1180="",D1180=""),"",ROUND(MOD(D1180-C1180,1)*24,2))</f>
        <v/>
      </c>
      <c r="F1180" s="28" t="n"/>
      <c r="G1180" s="28" t="n"/>
      <c r="H1180" s="1" t="n"/>
    </row>
    <row r="1181">
      <c r="A1181" s="1" t="n"/>
      <c r="B1181" s="26" t="n"/>
      <c r="C1181" s="27" t="n"/>
      <c r="D1181" s="27" t="n"/>
      <c r="E1181" s="21">
        <f>IF(OR(C1181="",D1181=""),"",ROUND(MOD(D1181-C1181,1)*24,2))</f>
        <v/>
      </c>
      <c r="F1181" s="28" t="n"/>
      <c r="G1181" s="28" t="n"/>
      <c r="H1181" s="1" t="n"/>
    </row>
    <row r="1182">
      <c r="A1182" s="1" t="n"/>
      <c r="B1182" s="26" t="n"/>
      <c r="C1182" s="27" t="n"/>
      <c r="D1182" s="27" t="n"/>
      <c r="E1182" s="21">
        <f>IF(OR(C1182="",D1182=""),"",ROUND(MOD(D1182-C1182,1)*24,2))</f>
        <v/>
      </c>
      <c r="F1182" s="28" t="n"/>
      <c r="G1182" s="28" t="n"/>
      <c r="H1182" s="1" t="n"/>
    </row>
    <row r="1183">
      <c r="A1183" s="1" t="n"/>
      <c r="B1183" s="26" t="n"/>
      <c r="C1183" s="27" t="n"/>
      <c r="D1183" s="27" t="n"/>
      <c r="E1183" s="21">
        <f>IF(OR(C1183="",D1183=""),"",ROUND(MOD(D1183-C1183,1)*24,2))</f>
        <v/>
      </c>
      <c r="F1183" s="28" t="n"/>
      <c r="G1183" s="28" t="n"/>
      <c r="H1183" s="1" t="n"/>
    </row>
    <row r="1184">
      <c r="A1184" s="1" t="n"/>
      <c r="B1184" s="26" t="n"/>
      <c r="C1184" s="27" t="n"/>
      <c r="D1184" s="27" t="n"/>
      <c r="E1184" s="21">
        <f>IF(OR(C1184="",D1184=""),"",ROUND(MOD(D1184-C1184,1)*24,2))</f>
        <v/>
      </c>
      <c r="F1184" s="28" t="n"/>
      <c r="G1184" s="28" t="n"/>
      <c r="H1184" s="1" t="n"/>
    </row>
    <row r="1185">
      <c r="A1185" s="1" t="n"/>
      <c r="B1185" s="26" t="n"/>
      <c r="C1185" s="27" t="n"/>
      <c r="D1185" s="27" t="n"/>
      <c r="E1185" s="21">
        <f>IF(OR(C1185="",D1185=""),"",ROUND(MOD(D1185-C1185,1)*24,2))</f>
        <v/>
      </c>
      <c r="F1185" s="28" t="n"/>
      <c r="G1185" s="28" t="n"/>
      <c r="H1185" s="1" t="n"/>
    </row>
    <row r="1186">
      <c r="A1186" s="1" t="n"/>
      <c r="B1186" s="26" t="n"/>
      <c r="C1186" s="27" t="n"/>
      <c r="D1186" s="27" t="n"/>
      <c r="E1186" s="21">
        <f>IF(OR(C1186="",D1186=""),"",ROUND(MOD(D1186-C1186,1)*24,2))</f>
        <v/>
      </c>
      <c r="F1186" s="28" t="n"/>
      <c r="G1186" s="28" t="n"/>
      <c r="H1186" s="1" t="n"/>
    </row>
    <row r="1187">
      <c r="A1187" s="1" t="n"/>
      <c r="B1187" s="26" t="n"/>
      <c r="C1187" s="27" t="n"/>
      <c r="D1187" s="27" t="n"/>
      <c r="E1187" s="21">
        <f>IF(OR(C1187="",D1187=""),"",ROUND(MOD(D1187-C1187,1)*24,2))</f>
        <v/>
      </c>
      <c r="F1187" s="28" t="n"/>
      <c r="G1187" s="28" t="n"/>
      <c r="H1187" s="1" t="n"/>
    </row>
    <row r="1188">
      <c r="A1188" s="1" t="n"/>
      <c r="B1188" s="26" t="n"/>
      <c r="C1188" s="27" t="n"/>
      <c r="D1188" s="27" t="n"/>
      <c r="E1188" s="21">
        <f>IF(OR(C1188="",D1188=""),"",ROUND(MOD(D1188-C1188,1)*24,2))</f>
        <v/>
      </c>
      <c r="F1188" s="28" t="n"/>
      <c r="G1188" s="28" t="n"/>
      <c r="H1188" s="1" t="n"/>
    </row>
    <row r="1189">
      <c r="A1189" s="1" t="n"/>
      <c r="B1189" s="26" t="n"/>
      <c r="C1189" s="27" t="n"/>
      <c r="D1189" s="27" t="n"/>
      <c r="E1189" s="21">
        <f>IF(OR(C1189="",D1189=""),"",ROUND(MOD(D1189-C1189,1)*24,2))</f>
        <v/>
      </c>
      <c r="F1189" s="28" t="n"/>
      <c r="G1189" s="28" t="n"/>
      <c r="H1189" s="1" t="n"/>
    </row>
    <row r="1190">
      <c r="A1190" s="1" t="n"/>
      <c r="B1190" s="26" t="n"/>
      <c r="C1190" s="27" t="n"/>
      <c r="D1190" s="27" t="n"/>
      <c r="E1190" s="21">
        <f>IF(OR(C1190="",D1190=""),"",ROUND(MOD(D1190-C1190,1)*24,2))</f>
        <v/>
      </c>
      <c r="F1190" s="28" t="n"/>
      <c r="G1190" s="28" t="n"/>
      <c r="H1190" s="1" t="n"/>
    </row>
    <row r="1191">
      <c r="A1191" s="1" t="n"/>
      <c r="B1191" s="26" t="n"/>
      <c r="C1191" s="27" t="n"/>
      <c r="D1191" s="27" t="n"/>
      <c r="E1191" s="21">
        <f>IF(OR(C1191="",D1191=""),"",ROUND(MOD(D1191-C1191,1)*24,2))</f>
        <v/>
      </c>
      <c r="F1191" s="28" t="n"/>
      <c r="G1191" s="28" t="n"/>
      <c r="H1191" s="1" t="n"/>
    </row>
    <row r="1192">
      <c r="A1192" s="1" t="n"/>
      <c r="B1192" s="26" t="n"/>
      <c r="C1192" s="27" t="n"/>
      <c r="D1192" s="27" t="n"/>
      <c r="E1192" s="21">
        <f>IF(OR(C1192="",D1192=""),"",ROUND(MOD(D1192-C1192,1)*24,2))</f>
        <v/>
      </c>
      <c r="F1192" s="28" t="n"/>
      <c r="G1192" s="28" t="n"/>
      <c r="H1192" s="1" t="n"/>
    </row>
    <row r="1193">
      <c r="A1193" s="1" t="n"/>
      <c r="B1193" s="26" t="n"/>
      <c r="C1193" s="27" t="n"/>
      <c r="D1193" s="27" t="n"/>
      <c r="E1193" s="21">
        <f>IF(OR(C1193="",D1193=""),"",ROUND(MOD(D1193-C1193,1)*24,2))</f>
        <v/>
      </c>
      <c r="F1193" s="28" t="n"/>
      <c r="G1193" s="28" t="n"/>
      <c r="H1193" s="1" t="n"/>
    </row>
    <row r="1194">
      <c r="A1194" s="1" t="n"/>
      <c r="B1194" s="26" t="n"/>
      <c r="C1194" s="27" t="n"/>
      <c r="D1194" s="27" t="n"/>
      <c r="E1194" s="21">
        <f>IF(OR(C1194="",D1194=""),"",ROUND(MOD(D1194-C1194,1)*24,2))</f>
        <v/>
      </c>
      <c r="F1194" s="28" t="n"/>
      <c r="G1194" s="28" t="n"/>
      <c r="H1194" s="1" t="n"/>
    </row>
    <row r="1195">
      <c r="A1195" s="1" t="n"/>
      <c r="B1195" s="26" t="n"/>
      <c r="C1195" s="27" t="n"/>
      <c r="D1195" s="27" t="n"/>
      <c r="E1195" s="21">
        <f>IF(OR(C1195="",D1195=""),"",ROUND(MOD(D1195-C1195,1)*24,2))</f>
        <v/>
      </c>
      <c r="F1195" s="28" t="n"/>
      <c r="G1195" s="28" t="n"/>
      <c r="H1195" s="1" t="n"/>
    </row>
    <row r="1196">
      <c r="A1196" s="1" t="n"/>
      <c r="B1196" s="26" t="n"/>
      <c r="C1196" s="27" t="n"/>
      <c r="D1196" s="27" t="n"/>
      <c r="E1196" s="21">
        <f>IF(OR(C1196="",D1196=""),"",ROUND(MOD(D1196-C1196,1)*24,2))</f>
        <v/>
      </c>
      <c r="F1196" s="28" t="n"/>
      <c r="G1196" s="28" t="n"/>
      <c r="H1196" s="1" t="n"/>
    </row>
    <row r="1197">
      <c r="A1197" s="1" t="n"/>
      <c r="B1197" s="26" t="n"/>
      <c r="C1197" s="27" t="n"/>
      <c r="D1197" s="27" t="n"/>
      <c r="E1197" s="21">
        <f>IF(OR(C1197="",D1197=""),"",ROUND(MOD(D1197-C1197,1)*24,2))</f>
        <v/>
      </c>
      <c r="F1197" s="28" t="n"/>
      <c r="G1197" s="28" t="n"/>
      <c r="H1197" s="1" t="n"/>
    </row>
    <row r="1198">
      <c r="A1198" s="1" t="n"/>
      <c r="B1198" s="26" t="n"/>
      <c r="C1198" s="27" t="n"/>
      <c r="D1198" s="27" t="n"/>
      <c r="E1198" s="21">
        <f>IF(OR(C1198="",D1198=""),"",ROUND(MOD(D1198-C1198,1)*24,2))</f>
        <v/>
      </c>
      <c r="F1198" s="28" t="n"/>
      <c r="G1198" s="28" t="n"/>
      <c r="H1198" s="1" t="n"/>
    </row>
    <row r="1199">
      <c r="A1199" s="1" t="n"/>
      <c r="B1199" s="26" t="n"/>
      <c r="C1199" s="27" t="n"/>
      <c r="D1199" s="27" t="n"/>
      <c r="E1199" s="21">
        <f>IF(OR(C1199="",D1199=""),"",ROUND(MOD(D1199-C1199,1)*24,2))</f>
        <v/>
      </c>
      <c r="F1199" s="28" t="n"/>
      <c r="G1199" s="28" t="n"/>
      <c r="H1199" s="1" t="n"/>
    </row>
    <row r="1200">
      <c r="A1200" s="1" t="n"/>
      <c r="B1200" s="26" t="n"/>
      <c r="C1200" s="27" t="n"/>
      <c r="D1200" s="27" t="n"/>
      <c r="E1200" s="21">
        <f>IF(OR(C1200="",D1200=""),"",ROUND(MOD(D1200-C1200,1)*24,2))</f>
        <v/>
      </c>
      <c r="F1200" s="28" t="n"/>
      <c r="G1200" s="28" t="n"/>
      <c r="H1200" s="1" t="n"/>
    </row>
    <row r="1201">
      <c r="A1201" s="1" t="n"/>
      <c r="B1201" s="26" t="n"/>
      <c r="C1201" s="27" t="n"/>
      <c r="D1201" s="27" t="n"/>
      <c r="E1201" s="21">
        <f>IF(OR(C1201="",D1201=""),"",ROUND(MOD(D1201-C1201,1)*24,2))</f>
        <v/>
      </c>
      <c r="F1201" s="28" t="n"/>
      <c r="G1201" s="28" t="n"/>
      <c r="H1201" s="1" t="n"/>
    </row>
    <row r="1202">
      <c r="A1202" s="1" t="n"/>
      <c r="B1202" s="26" t="n"/>
      <c r="C1202" s="27" t="n"/>
      <c r="D1202" s="27" t="n"/>
      <c r="E1202" s="21">
        <f>IF(OR(C1202="",D1202=""),"",ROUND(MOD(D1202-C1202,1)*24,2))</f>
        <v/>
      </c>
      <c r="F1202" s="28" t="n"/>
      <c r="G1202" s="28" t="n"/>
      <c r="H1202" s="1" t="n"/>
    </row>
    <row r="1203">
      <c r="A1203" s="1" t="n"/>
      <c r="B1203" s="26" t="n"/>
      <c r="C1203" s="27" t="n"/>
      <c r="D1203" s="27" t="n"/>
      <c r="E1203" s="21">
        <f>IF(OR(C1203="",D1203=""),"",ROUND(MOD(D1203-C1203,1)*24,2))</f>
        <v/>
      </c>
      <c r="F1203" s="28" t="n"/>
      <c r="G1203" s="28" t="n"/>
      <c r="H1203" s="1" t="n"/>
    </row>
    <row r="1204">
      <c r="A1204" s="1" t="n"/>
      <c r="B1204" s="26" t="n"/>
      <c r="C1204" s="27" t="n"/>
      <c r="D1204" s="27" t="n"/>
      <c r="E1204" s="21">
        <f>IF(OR(C1204="",D1204=""),"",ROUND(MOD(D1204-C1204,1)*24,2))</f>
        <v/>
      </c>
      <c r="F1204" s="28" t="n"/>
      <c r="G1204" s="28" t="n"/>
      <c r="H1204" s="1" t="n"/>
    </row>
    <row r="1205">
      <c r="A1205" s="1" t="n"/>
      <c r="B1205" s="26" t="n"/>
      <c r="C1205" s="27" t="n"/>
      <c r="D1205" s="27" t="n"/>
      <c r="E1205" s="21">
        <f>IF(OR(C1205="",D1205=""),"",ROUND(MOD(D1205-C1205,1)*24,2))</f>
        <v/>
      </c>
      <c r="F1205" s="28" t="n"/>
      <c r="G1205" s="28" t="n"/>
      <c r="H1205" s="1" t="n"/>
    </row>
    <row r="1206">
      <c r="A1206" s="1" t="n"/>
      <c r="B1206" s="26" t="n"/>
      <c r="C1206" s="27" t="n"/>
      <c r="D1206" s="27" t="n"/>
      <c r="E1206" s="21">
        <f>IF(OR(C1206="",D1206=""),"",ROUND(MOD(D1206-C1206,1)*24,2))</f>
        <v/>
      </c>
      <c r="F1206" s="28" t="n"/>
      <c r="G1206" s="28" t="n"/>
      <c r="H1206" s="1" t="n"/>
    </row>
    <row r="1207">
      <c r="A1207" s="1" t="n"/>
      <c r="B1207" s="26" t="n"/>
      <c r="C1207" s="27" t="n"/>
      <c r="D1207" s="27" t="n"/>
      <c r="E1207" s="21">
        <f>IF(OR(C1207="",D1207=""),"",ROUND(MOD(D1207-C1207,1)*24,2))</f>
        <v/>
      </c>
      <c r="F1207" s="28" t="n"/>
      <c r="G1207" s="28" t="n"/>
      <c r="H1207" s="1" t="n"/>
    </row>
    <row r="1208">
      <c r="A1208" s="1" t="n"/>
      <c r="B1208" s="26" t="n"/>
      <c r="C1208" s="27" t="n"/>
      <c r="D1208" s="27" t="n"/>
      <c r="E1208" s="21">
        <f>IF(OR(C1208="",D1208=""),"",ROUND(MOD(D1208-C1208,1)*24,2))</f>
        <v/>
      </c>
      <c r="F1208" s="28" t="n"/>
      <c r="G1208" s="28" t="n"/>
      <c r="H1208" s="1" t="n"/>
    </row>
    <row r="1209">
      <c r="A1209" s="1" t="n"/>
      <c r="B1209" s="26" t="n"/>
      <c r="C1209" s="27" t="n"/>
      <c r="D1209" s="27" t="n"/>
      <c r="E1209" s="21">
        <f>IF(OR(C1209="",D1209=""),"",ROUND(MOD(D1209-C1209,1)*24,2))</f>
        <v/>
      </c>
      <c r="F1209" s="28" t="n"/>
      <c r="G1209" s="28" t="n"/>
      <c r="H1209" s="1" t="n"/>
    </row>
    <row r="1210">
      <c r="A1210" s="1" t="n"/>
      <c r="B1210" s="26" t="n"/>
      <c r="C1210" s="27" t="n"/>
      <c r="D1210" s="27" t="n"/>
      <c r="E1210" s="21">
        <f>IF(OR(C1210="",D1210=""),"",ROUND(MOD(D1210-C1210,1)*24,2))</f>
        <v/>
      </c>
      <c r="F1210" s="28" t="n"/>
      <c r="G1210" s="28" t="n"/>
      <c r="H1210" s="1" t="n"/>
    </row>
    <row r="1211">
      <c r="A1211" s="1" t="n"/>
      <c r="B1211" s="26" t="n"/>
      <c r="C1211" s="27" t="n"/>
      <c r="D1211" s="27" t="n"/>
      <c r="E1211" s="21">
        <f>IF(OR(C1211="",D1211=""),"",ROUND(MOD(D1211-C1211,1)*24,2))</f>
        <v/>
      </c>
      <c r="F1211" s="28" t="n"/>
      <c r="G1211" s="28" t="n"/>
      <c r="H1211" s="1" t="n"/>
    </row>
    <row r="1212">
      <c r="A1212" s="1" t="n"/>
      <c r="B1212" s="26" t="n"/>
      <c r="C1212" s="27" t="n"/>
      <c r="D1212" s="27" t="n"/>
      <c r="E1212" s="21">
        <f>IF(OR(C1212="",D1212=""),"",ROUND(MOD(D1212-C1212,1)*24,2))</f>
        <v/>
      </c>
      <c r="F1212" s="28" t="n"/>
      <c r="G1212" s="28" t="n"/>
      <c r="H1212" s="1" t="n"/>
    </row>
    <row r="1213">
      <c r="A1213" s="1" t="n"/>
      <c r="B1213" s="26" t="n"/>
      <c r="C1213" s="27" t="n"/>
      <c r="D1213" s="27" t="n"/>
      <c r="E1213" s="21">
        <f>IF(OR(C1213="",D1213=""),"",ROUND(MOD(D1213-C1213,1)*24,2))</f>
        <v/>
      </c>
      <c r="F1213" s="28" t="n"/>
      <c r="G1213" s="28" t="n"/>
      <c r="H1213" s="1" t="n"/>
    </row>
    <row r="1214">
      <c r="A1214" s="1" t="n"/>
      <c r="B1214" s="26" t="n"/>
      <c r="C1214" s="27" t="n"/>
      <c r="D1214" s="27" t="n"/>
      <c r="E1214" s="21">
        <f>IF(OR(C1214="",D1214=""),"",ROUND(MOD(D1214-C1214,1)*24,2))</f>
        <v/>
      </c>
      <c r="F1214" s="28" t="n"/>
      <c r="G1214" s="28" t="n"/>
      <c r="H1214" s="1" t="n"/>
    </row>
    <row r="1215">
      <c r="A1215" s="1" t="n"/>
      <c r="B1215" s="26" t="n"/>
      <c r="C1215" s="27" t="n"/>
      <c r="D1215" s="27" t="n"/>
      <c r="E1215" s="21">
        <f>IF(OR(C1215="",D1215=""),"",ROUND(MOD(D1215-C1215,1)*24,2))</f>
        <v/>
      </c>
      <c r="F1215" s="28" t="n"/>
      <c r="G1215" s="28" t="n"/>
      <c r="H1215" s="1" t="n"/>
    </row>
    <row r="1216">
      <c r="A1216" s="1" t="n"/>
      <c r="B1216" s="26" t="n"/>
      <c r="C1216" s="27" t="n"/>
      <c r="D1216" s="27" t="n"/>
      <c r="E1216" s="21">
        <f>IF(OR(C1216="",D1216=""),"",ROUND(MOD(D1216-C1216,1)*24,2))</f>
        <v/>
      </c>
      <c r="F1216" s="28" t="n"/>
      <c r="G1216" s="28" t="n"/>
      <c r="H1216" s="1" t="n"/>
    </row>
    <row r="1217">
      <c r="A1217" s="1" t="n"/>
      <c r="B1217" s="26" t="n"/>
      <c r="C1217" s="27" t="n"/>
      <c r="D1217" s="27" t="n"/>
      <c r="E1217" s="21">
        <f>IF(OR(C1217="",D1217=""),"",ROUND(MOD(D1217-C1217,1)*24,2))</f>
        <v/>
      </c>
      <c r="F1217" s="28" t="n"/>
      <c r="G1217" s="28" t="n"/>
      <c r="H1217" s="1" t="n"/>
    </row>
    <row r="1218">
      <c r="A1218" s="1" t="n"/>
      <c r="B1218" s="26" t="n"/>
      <c r="C1218" s="27" t="n"/>
      <c r="D1218" s="27" t="n"/>
      <c r="E1218" s="21">
        <f>IF(OR(C1218="",D1218=""),"",ROUND(MOD(D1218-C1218,1)*24,2))</f>
        <v/>
      </c>
      <c r="F1218" s="28" t="n"/>
      <c r="G1218" s="28" t="n"/>
      <c r="H1218" s="1" t="n"/>
    </row>
    <row r="1219">
      <c r="A1219" s="1" t="n"/>
      <c r="B1219" s="26" t="n"/>
      <c r="C1219" s="27" t="n"/>
      <c r="D1219" s="27" t="n"/>
      <c r="E1219" s="21">
        <f>IF(OR(C1219="",D1219=""),"",ROUND(MOD(D1219-C1219,1)*24,2))</f>
        <v/>
      </c>
      <c r="F1219" s="28" t="n"/>
      <c r="G1219" s="28" t="n"/>
      <c r="H1219" s="1" t="n"/>
    </row>
    <row r="1220">
      <c r="A1220" s="1" t="n"/>
      <c r="B1220" s="26" t="n"/>
      <c r="C1220" s="27" t="n"/>
      <c r="D1220" s="27" t="n"/>
      <c r="E1220" s="21">
        <f>IF(OR(C1220="",D1220=""),"",ROUND(MOD(D1220-C1220,1)*24,2))</f>
        <v/>
      </c>
      <c r="F1220" s="28" t="n"/>
      <c r="G1220" s="28" t="n"/>
      <c r="H1220" s="1" t="n"/>
    </row>
    <row r="1221">
      <c r="A1221" s="1" t="n"/>
      <c r="B1221" s="26" t="n"/>
      <c r="C1221" s="27" t="n"/>
      <c r="D1221" s="27" t="n"/>
      <c r="E1221" s="21">
        <f>IF(OR(C1221="",D1221=""),"",ROUND(MOD(D1221-C1221,1)*24,2))</f>
        <v/>
      </c>
      <c r="F1221" s="28" t="n"/>
      <c r="G1221" s="28" t="n"/>
      <c r="H1221" s="1" t="n"/>
    </row>
    <row r="1222">
      <c r="A1222" s="1" t="n"/>
      <c r="B1222" s="26" t="n"/>
      <c r="C1222" s="27" t="n"/>
      <c r="D1222" s="27" t="n"/>
      <c r="E1222" s="21">
        <f>IF(OR(C1222="",D1222=""),"",ROUND(MOD(D1222-C1222,1)*24,2))</f>
        <v/>
      </c>
      <c r="F1222" s="28" t="n"/>
      <c r="G1222" s="28" t="n"/>
      <c r="H1222" s="1" t="n"/>
    </row>
    <row r="1223">
      <c r="A1223" s="1" t="n"/>
      <c r="B1223" s="26" t="n"/>
      <c r="C1223" s="27" t="n"/>
      <c r="D1223" s="27" t="n"/>
      <c r="E1223" s="21">
        <f>IF(OR(C1223="",D1223=""),"",ROUND(MOD(D1223-C1223,1)*24,2))</f>
        <v/>
      </c>
      <c r="F1223" s="28" t="n"/>
      <c r="G1223" s="28" t="n"/>
      <c r="H1223" s="1" t="n"/>
    </row>
    <row r="1224">
      <c r="A1224" s="1" t="n"/>
      <c r="B1224" s="26" t="n"/>
      <c r="C1224" s="27" t="n"/>
      <c r="D1224" s="27" t="n"/>
      <c r="E1224" s="21">
        <f>IF(OR(C1224="",D1224=""),"",ROUND(MOD(D1224-C1224,1)*24,2))</f>
        <v/>
      </c>
      <c r="F1224" s="28" t="n"/>
      <c r="G1224" s="28" t="n"/>
      <c r="H1224" s="1" t="n"/>
    </row>
    <row r="1225">
      <c r="A1225" s="1" t="n"/>
      <c r="B1225" s="26" t="n"/>
      <c r="C1225" s="27" t="n"/>
      <c r="D1225" s="27" t="n"/>
      <c r="E1225" s="21">
        <f>IF(OR(C1225="",D1225=""),"",ROUND(MOD(D1225-C1225,1)*24,2))</f>
        <v/>
      </c>
      <c r="F1225" s="28" t="n"/>
      <c r="G1225" s="28" t="n"/>
      <c r="H1225" s="1" t="n"/>
    </row>
    <row r="1226">
      <c r="A1226" s="1" t="n"/>
      <c r="B1226" s="26" t="n"/>
      <c r="C1226" s="27" t="n"/>
      <c r="D1226" s="27" t="n"/>
      <c r="E1226" s="21">
        <f>IF(OR(C1226="",D1226=""),"",ROUND(MOD(D1226-C1226,1)*24,2))</f>
        <v/>
      </c>
      <c r="F1226" s="28" t="n"/>
      <c r="G1226" s="28" t="n"/>
      <c r="H1226" s="1" t="n"/>
    </row>
    <row r="1227">
      <c r="A1227" s="1" t="n"/>
      <c r="B1227" s="26" t="n"/>
      <c r="C1227" s="27" t="n"/>
      <c r="D1227" s="27" t="n"/>
      <c r="E1227" s="21">
        <f>IF(OR(C1227="",D1227=""),"",ROUND(MOD(D1227-C1227,1)*24,2))</f>
        <v/>
      </c>
      <c r="F1227" s="28" t="n"/>
      <c r="G1227" s="28" t="n"/>
      <c r="H1227" s="1" t="n"/>
    </row>
    <row r="1228">
      <c r="A1228" s="1" t="n"/>
      <c r="B1228" s="26" t="n"/>
      <c r="C1228" s="27" t="n"/>
      <c r="D1228" s="27" t="n"/>
      <c r="E1228" s="21">
        <f>IF(OR(C1228="",D1228=""),"",ROUND(MOD(D1228-C1228,1)*24,2))</f>
        <v/>
      </c>
      <c r="F1228" s="28" t="n"/>
      <c r="G1228" s="28" t="n"/>
      <c r="H1228" s="1" t="n"/>
    </row>
    <row r="1229">
      <c r="A1229" s="1" t="n"/>
      <c r="B1229" s="26" t="n"/>
      <c r="C1229" s="27" t="n"/>
      <c r="D1229" s="27" t="n"/>
      <c r="E1229" s="21">
        <f>IF(OR(C1229="",D1229=""),"",ROUND(MOD(D1229-C1229,1)*24,2))</f>
        <v/>
      </c>
      <c r="F1229" s="28" t="n"/>
      <c r="G1229" s="28" t="n"/>
      <c r="H1229" s="1" t="n"/>
    </row>
    <row r="1230">
      <c r="A1230" s="1" t="n"/>
      <c r="B1230" s="26" t="n"/>
      <c r="C1230" s="27" t="n"/>
      <c r="D1230" s="27" t="n"/>
      <c r="E1230" s="21">
        <f>IF(OR(C1230="",D1230=""),"",ROUND(MOD(D1230-C1230,1)*24,2))</f>
        <v/>
      </c>
      <c r="F1230" s="28" t="n"/>
      <c r="G1230" s="28" t="n"/>
      <c r="H1230" s="1" t="n"/>
    </row>
    <row r="1231">
      <c r="A1231" s="1" t="n"/>
      <c r="B1231" s="26" t="n"/>
      <c r="C1231" s="27" t="n"/>
      <c r="D1231" s="27" t="n"/>
      <c r="E1231" s="21">
        <f>IF(OR(C1231="",D1231=""),"",ROUND(MOD(D1231-C1231,1)*24,2))</f>
        <v/>
      </c>
      <c r="F1231" s="28" t="n"/>
      <c r="G1231" s="28" t="n"/>
      <c r="H1231" s="1" t="n"/>
    </row>
    <row r="1232">
      <c r="A1232" s="1" t="n"/>
      <c r="B1232" s="26" t="n"/>
      <c r="C1232" s="27" t="n"/>
      <c r="D1232" s="27" t="n"/>
      <c r="E1232" s="21">
        <f>IF(OR(C1232="",D1232=""),"",ROUND(MOD(D1232-C1232,1)*24,2))</f>
        <v/>
      </c>
      <c r="F1232" s="28" t="n"/>
      <c r="G1232" s="28" t="n"/>
      <c r="H1232" s="1" t="n"/>
    </row>
    <row r="1233">
      <c r="A1233" s="1" t="n"/>
      <c r="B1233" s="26" t="n"/>
      <c r="C1233" s="27" t="n"/>
      <c r="D1233" s="27" t="n"/>
      <c r="E1233" s="21">
        <f>IF(OR(C1233="",D1233=""),"",ROUND(MOD(D1233-C1233,1)*24,2))</f>
        <v/>
      </c>
      <c r="F1233" s="28" t="n"/>
      <c r="G1233" s="28" t="n"/>
      <c r="H1233" s="1" t="n"/>
    </row>
    <row r="1234">
      <c r="A1234" s="1" t="n"/>
      <c r="B1234" s="26" t="n"/>
      <c r="C1234" s="27" t="n"/>
      <c r="D1234" s="27" t="n"/>
      <c r="E1234" s="21">
        <f>IF(OR(C1234="",D1234=""),"",ROUND(MOD(D1234-C1234,1)*24,2))</f>
        <v/>
      </c>
      <c r="F1234" s="28" t="n"/>
      <c r="G1234" s="28" t="n"/>
      <c r="H1234" s="1" t="n"/>
    </row>
    <row r="1235">
      <c r="A1235" s="1" t="n"/>
      <c r="B1235" s="26" t="n"/>
      <c r="C1235" s="27" t="n"/>
      <c r="D1235" s="27" t="n"/>
      <c r="E1235" s="21">
        <f>IF(OR(C1235="",D1235=""),"",ROUND(MOD(D1235-C1235,1)*24,2))</f>
        <v/>
      </c>
      <c r="F1235" s="28" t="n"/>
      <c r="G1235" s="28" t="n"/>
      <c r="H1235" s="1" t="n"/>
    </row>
    <row r="1236">
      <c r="A1236" s="1" t="n"/>
      <c r="B1236" s="26" t="n"/>
      <c r="C1236" s="27" t="n"/>
      <c r="D1236" s="27" t="n"/>
      <c r="E1236" s="21">
        <f>IF(OR(C1236="",D1236=""),"",ROUND(MOD(D1236-C1236,1)*24,2))</f>
        <v/>
      </c>
      <c r="F1236" s="28" t="n"/>
      <c r="G1236" s="28" t="n"/>
      <c r="H1236" s="1" t="n"/>
    </row>
    <row r="1237">
      <c r="A1237" s="1" t="n"/>
      <c r="B1237" s="26" t="n"/>
      <c r="C1237" s="27" t="n"/>
      <c r="D1237" s="27" t="n"/>
      <c r="E1237" s="21">
        <f>IF(OR(C1237="",D1237=""),"",ROUND(MOD(D1237-C1237,1)*24,2))</f>
        <v/>
      </c>
      <c r="F1237" s="28" t="n"/>
      <c r="G1237" s="28" t="n"/>
      <c r="H1237" s="1" t="n"/>
    </row>
    <row r="1238">
      <c r="A1238" s="1" t="n"/>
      <c r="B1238" s="26" t="n"/>
      <c r="C1238" s="27" t="n"/>
      <c r="D1238" s="27" t="n"/>
      <c r="E1238" s="21">
        <f>IF(OR(C1238="",D1238=""),"",ROUND(MOD(D1238-C1238,1)*24,2))</f>
        <v/>
      </c>
      <c r="F1238" s="28" t="n"/>
      <c r="G1238" s="28" t="n"/>
      <c r="H1238" s="1" t="n"/>
    </row>
    <row r="1239">
      <c r="A1239" s="1" t="n"/>
      <c r="B1239" s="26" t="n"/>
      <c r="C1239" s="27" t="n"/>
      <c r="D1239" s="27" t="n"/>
      <c r="E1239" s="21">
        <f>IF(OR(C1239="",D1239=""),"",ROUND(MOD(D1239-C1239,1)*24,2))</f>
        <v/>
      </c>
      <c r="F1239" s="28" t="n"/>
      <c r="G1239" s="28" t="n"/>
      <c r="H1239" s="1" t="n"/>
    </row>
    <row r="1240">
      <c r="A1240" s="1" t="n"/>
      <c r="B1240" s="26" t="n"/>
      <c r="C1240" s="27" t="n"/>
      <c r="D1240" s="27" t="n"/>
      <c r="E1240" s="21">
        <f>IF(OR(C1240="",D1240=""),"",ROUND(MOD(D1240-C1240,1)*24,2))</f>
        <v/>
      </c>
      <c r="F1240" s="28" t="n"/>
      <c r="G1240" s="28" t="n"/>
      <c r="H1240" s="1" t="n"/>
    </row>
    <row r="1241">
      <c r="A1241" s="1" t="n"/>
      <c r="B1241" s="26" t="n"/>
      <c r="C1241" s="27" t="n"/>
      <c r="D1241" s="27" t="n"/>
      <c r="E1241" s="21">
        <f>IF(OR(C1241="",D1241=""),"",ROUND(MOD(D1241-C1241,1)*24,2))</f>
        <v/>
      </c>
      <c r="F1241" s="28" t="n"/>
      <c r="G1241" s="28" t="n"/>
      <c r="H1241" s="1" t="n"/>
    </row>
    <row r="1242">
      <c r="A1242" s="1" t="n"/>
      <c r="B1242" s="26" t="n"/>
      <c r="C1242" s="27" t="n"/>
      <c r="D1242" s="27" t="n"/>
      <c r="E1242" s="21">
        <f>IF(OR(C1242="",D1242=""),"",ROUND(MOD(D1242-C1242,1)*24,2))</f>
        <v/>
      </c>
      <c r="F1242" s="28" t="n"/>
      <c r="G1242" s="28" t="n"/>
      <c r="H1242" s="1" t="n"/>
    </row>
    <row r="1243">
      <c r="A1243" s="1" t="n"/>
      <c r="B1243" s="26" t="n"/>
      <c r="C1243" s="27" t="n"/>
      <c r="D1243" s="27" t="n"/>
      <c r="E1243" s="21">
        <f>IF(OR(C1243="",D1243=""),"",ROUND(MOD(D1243-C1243,1)*24,2))</f>
        <v/>
      </c>
      <c r="F1243" s="28" t="n"/>
      <c r="G1243" s="28" t="n"/>
      <c r="H1243" s="1" t="n"/>
    </row>
    <row r="1244">
      <c r="A1244" s="1" t="n"/>
      <c r="B1244" s="26" t="n"/>
      <c r="C1244" s="27" t="n"/>
      <c r="D1244" s="27" t="n"/>
      <c r="E1244" s="21">
        <f>IF(OR(C1244="",D1244=""),"",ROUND(MOD(D1244-C1244,1)*24,2))</f>
        <v/>
      </c>
      <c r="F1244" s="28" t="n"/>
      <c r="G1244" s="28" t="n"/>
      <c r="H1244" s="1" t="n"/>
    </row>
    <row r="1245">
      <c r="A1245" s="1" t="n"/>
      <c r="B1245" s="26" t="n"/>
      <c r="C1245" s="27" t="n"/>
      <c r="D1245" s="27" t="n"/>
      <c r="E1245" s="21">
        <f>IF(OR(C1245="",D1245=""),"",ROUND(MOD(D1245-C1245,1)*24,2))</f>
        <v/>
      </c>
      <c r="F1245" s="28" t="n"/>
      <c r="G1245" s="28" t="n"/>
      <c r="H1245" s="1" t="n"/>
    </row>
    <row r="1246">
      <c r="A1246" s="1" t="n"/>
      <c r="B1246" s="26" t="n"/>
      <c r="C1246" s="27" t="n"/>
      <c r="D1246" s="27" t="n"/>
      <c r="E1246" s="21">
        <f>IF(OR(C1246="",D1246=""),"",ROUND(MOD(D1246-C1246,1)*24,2))</f>
        <v/>
      </c>
      <c r="F1246" s="28" t="n"/>
      <c r="G1246" s="28" t="n"/>
      <c r="H1246" s="1" t="n"/>
    </row>
    <row r="1247">
      <c r="A1247" s="1" t="n"/>
      <c r="B1247" s="26" t="n"/>
      <c r="C1247" s="27" t="n"/>
      <c r="D1247" s="27" t="n"/>
      <c r="E1247" s="21">
        <f>IF(OR(C1247="",D1247=""),"",ROUND(MOD(D1247-C1247,1)*24,2))</f>
        <v/>
      </c>
      <c r="F1247" s="28" t="n"/>
      <c r="G1247" s="28" t="n"/>
      <c r="H1247" s="1" t="n"/>
    </row>
    <row r="1248">
      <c r="A1248" s="1" t="n"/>
      <c r="B1248" s="26" t="n"/>
      <c r="C1248" s="27" t="n"/>
      <c r="D1248" s="27" t="n"/>
      <c r="E1248" s="21">
        <f>IF(OR(C1248="",D1248=""),"",ROUND(MOD(D1248-C1248,1)*24,2))</f>
        <v/>
      </c>
      <c r="F1248" s="28" t="n"/>
      <c r="G1248" s="28" t="n"/>
      <c r="H1248" s="1" t="n"/>
    </row>
    <row r="1249">
      <c r="A1249" s="1" t="n"/>
      <c r="B1249" s="26" t="n"/>
      <c r="C1249" s="27" t="n"/>
      <c r="D1249" s="27" t="n"/>
      <c r="E1249" s="21">
        <f>IF(OR(C1249="",D1249=""),"",ROUND(MOD(D1249-C1249,1)*24,2))</f>
        <v/>
      </c>
      <c r="F1249" s="28" t="n"/>
      <c r="G1249" s="28" t="n"/>
      <c r="H1249" s="1" t="n"/>
    </row>
    <row r="1250">
      <c r="A1250" s="1" t="n"/>
      <c r="B1250" s="26" t="n"/>
      <c r="C1250" s="27" t="n"/>
      <c r="D1250" s="27" t="n"/>
      <c r="E1250" s="21">
        <f>IF(OR(C1250="",D1250=""),"",ROUND(MOD(D1250-C1250,1)*24,2))</f>
        <v/>
      </c>
      <c r="F1250" s="28" t="n"/>
      <c r="G1250" s="28" t="n"/>
      <c r="H1250" s="1" t="n"/>
    </row>
    <row r="1251">
      <c r="A1251" s="1" t="n"/>
      <c r="B1251" s="26" t="n"/>
      <c r="C1251" s="27" t="n"/>
      <c r="D1251" s="27" t="n"/>
      <c r="E1251" s="21">
        <f>IF(OR(C1251="",D1251=""),"",ROUND(MOD(D1251-C1251,1)*24,2))</f>
        <v/>
      </c>
      <c r="F1251" s="28" t="n"/>
      <c r="G1251" s="28" t="n"/>
      <c r="H1251" s="1" t="n"/>
    </row>
    <row r="1252">
      <c r="A1252" s="1" t="n"/>
      <c r="B1252" s="26" t="n"/>
      <c r="C1252" s="27" t="n"/>
      <c r="D1252" s="27" t="n"/>
      <c r="E1252" s="21">
        <f>IF(OR(C1252="",D1252=""),"",ROUND(MOD(D1252-C1252,1)*24,2))</f>
        <v/>
      </c>
      <c r="F1252" s="28" t="n"/>
      <c r="G1252" s="28" t="n"/>
      <c r="H1252" s="1" t="n"/>
    </row>
    <row r="1253">
      <c r="A1253" s="1" t="n"/>
      <c r="B1253" s="26" t="n"/>
      <c r="C1253" s="27" t="n"/>
      <c r="D1253" s="27" t="n"/>
      <c r="E1253" s="21">
        <f>IF(OR(C1253="",D1253=""),"",ROUND(MOD(D1253-C1253,1)*24,2))</f>
        <v/>
      </c>
      <c r="F1253" s="28" t="n"/>
      <c r="G1253" s="28" t="n"/>
      <c r="H1253" s="1" t="n"/>
    </row>
    <row r="1254">
      <c r="A1254" s="1" t="n"/>
      <c r="B1254" s="26" t="n"/>
      <c r="C1254" s="27" t="n"/>
      <c r="D1254" s="27" t="n"/>
      <c r="E1254" s="21">
        <f>IF(OR(C1254="",D1254=""),"",ROUND(MOD(D1254-C1254,1)*24,2))</f>
        <v/>
      </c>
      <c r="F1254" s="28" t="n"/>
      <c r="G1254" s="28" t="n"/>
      <c r="H1254" s="1" t="n"/>
    </row>
    <row r="1255">
      <c r="A1255" s="1" t="n"/>
      <c r="B1255" s="26" t="n"/>
      <c r="C1255" s="27" t="n"/>
      <c r="D1255" s="27" t="n"/>
      <c r="E1255" s="21">
        <f>IF(OR(C1255="",D1255=""),"",ROUND(MOD(D1255-C1255,1)*24,2))</f>
        <v/>
      </c>
      <c r="F1255" s="28" t="n"/>
      <c r="G1255" s="28" t="n"/>
      <c r="H1255" s="1" t="n"/>
    </row>
    <row r="1256">
      <c r="A1256" s="1" t="n"/>
      <c r="B1256" s="26" t="n"/>
      <c r="C1256" s="27" t="n"/>
      <c r="D1256" s="27" t="n"/>
      <c r="E1256" s="21">
        <f>IF(OR(C1256="",D1256=""),"",ROUND(MOD(D1256-C1256,1)*24,2))</f>
        <v/>
      </c>
      <c r="F1256" s="28" t="n"/>
      <c r="G1256" s="28" t="n"/>
      <c r="H1256" s="1" t="n"/>
    </row>
    <row r="1257">
      <c r="A1257" s="1" t="n"/>
      <c r="B1257" s="26" t="n"/>
      <c r="C1257" s="27" t="n"/>
      <c r="D1257" s="27" t="n"/>
      <c r="E1257" s="21">
        <f>IF(OR(C1257="",D1257=""),"",ROUND(MOD(D1257-C1257,1)*24,2))</f>
        <v/>
      </c>
      <c r="F1257" s="28" t="n"/>
      <c r="G1257" s="28" t="n"/>
      <c r="H1257" s="1" t="n"/>
    </row>
    <row r="1258">
      <c r="A1258" s="1" t="n"/>
      <c r="B1258" s="26" t="n"/>
      <c r="C1258" s="27" t="n"/>
      <c r="D1258" s="27" t="n"/>
      <c r="E1258" s="21">
        <f>IF(OR(C1258="",D1258=""),"",ROUND(MOD(D1258-C1258,1)*24,2))</f>
        <v/>
      </c>
      <c r="F1258" s="28" t="n"/>
      <c r="G1258" s="28" t="n"/>
      <c r="H1258" s="1" t="n"/>
    </row>
    <row r="1259">
      <c r="A1259" s="1" t="n"/>
      <c r="B1259" s="26" t="n"/>
      <c r="C1259" s="27" t="n"/>
      <c r="D1259" s="27" t="n"/>
      <c r="E1259" s="21">
        <f>IF(OR(C1259="",D1259=""),"",ROUND(MOD(D1259-C1259,1)*24,2))</f>
        <v/>
      </c>
      <c r="F1259" s="28" t="n"/>
      <c r="G1259" s="28" t="n"/>
      <c r="H1259" s="1" t="n"/>
    </row>
    <row r="1260">
      <c r="A1260" s="1" t="n"/>
      <c r="B1260" s="26" t="n"/>
      <c r="C1260" s="27" t="n"/>
      <c r="D1260" s="27" t="n"/>
      <c r="E1260" s="21">
        <f>IF(OR(C1260="",D1260=""),"",ROUND(MOD(D1260-C1260,1)*24,2))</f>
        <v/>
      </c>
      <c r="F1260" s="28" t="n"/>
      <c r="G1260" s="28" t="n"/>
      <c r="H1260" s="1" t="n"/>
    </row>
    <row r="1261">
      <c r="A1261" s="1" t="n"/>
      <c r="B1261" s="26" t="n"/>
      <c r="C1261" s="27" t="n"/>
      <c r="D1261" s="27" t="n"/>
      <c r="E1261" s="21">
        <f>IF(OR(C1261="",D1261=""),"",ROUND(MOD(D1261-C1261,1)*24,2))</f>
        <v/>
      </c>
      <c r="F1261" s="28" t="n"/>
      <c r="G1261" s="28" t="n"/>
      <c r="H1261" s="1" t="n"/>
    </row>
    <row r="1262">
      <c r="A1262" s="1" t="n"/>
      <c r="B1262" s="26" t="n"/>
      <c r="C1262" s="27" t="n"/>
      <c r="D1262" s="27" t="n"/>
      <c r="E1262" s="21">
        <f>IF(OR(C1262="",D1262=""),"",ROUND(MOD(D1262-C1262,1)*24,2))</f>
        <v/>
      </c>
      <c r="F1262" s="28" t="n"/>
      <c r="G1262" s="28" t="n"/>
      <c r="H1262" s="1" t="n"/>
    </row>
    <row r="1263">
      <c r="A1263" s="1" t="n"/>
      <c r="B1263" s="26" t="n"/>
      <c r="C1263" s="27" t="n"/>
      <c r="D1263" s="27" t="n"/>
      <c r="E1263" s="21">
        <f>IF(OR(C1263="",D1263=""),"",ROUND(MOD(D1263-C1263,1)*24,2))</f>
        <v/>
      </c>
      <c r="F1263" s="28" t="n"/>
      <c r="G1263" s="28" t="n"/>
      <c r="H1263" s="1" t="n"/>
    </row>
    <row r="1264">
      <c r="A1264" s="1" t="n"/>
      <c r="B1264" s="26" t="n"/>
      <c r="C1264" s="27" t="n"/>
      <c r="D1264" s="27" t="n"/>
      <c r="E1264" s="21">
        <f>IF(OR(C1264="",D1264=""),"",ROUND(MOD(D1264-C1264,1)*24,2))</f>
        <v/>
      </c>
      <c r="F1264" s="28" t="n"/>
      <c r="G1264" s="28" t="n"/>
      <c r="H1264" s="1" t="n"/>
    </row>
    <row r="1265">
      <c r="A1265" s="1" t="n"/>
      <c r="B1265" s="26" t="n"/>
      <c r="C1265" s="27" t="n"/>
      <c r="D1265" s="27" t="n"/>
      <c r="E1265" s="21">
        <f>IF(OR(C1265="",D1265=""),"",ROUND(MOD(D1265-C1265,1)*24,2))</f>
        <v/>
      </c>
      <c r="F1265" s="28" t="n"/>
      <c r="G1265" s="28" t="n"/>
      <c r="H1265" s="1" t="n"/>
    </row>
    <row r="1266">
      <c r="A1266" s="1" t="n"/>
      <c r="B1266" s="26" t="n"/>
      <c r="C1266" s="27" t="n"/>
      <c r="D1266" s="27" t="n"/>
      <c r="E1266" s="21">
        <f>IF(OR(C1266="",D1266=""),"",ROUND(MOD(D1266-C1266,1)*24,2))</f>
        <v/>
      </c>
      <c r="F1266" s="28" t="n"/>
      <c r="G1266" s="28" t="n"/>
      <c r="H1266" s="1" t="n"/>
    </row>
    <row r="1267">
      <c r="A1267" s="1" t="n"/>
      <c r="B1267" s="26" t="n"/>
      <c r="C1267" s="27" t="n"/>
      <c r="D1267" s="27" t="n"/>
      <c r="E1267" s="21">
        <f>IF(OR(C1267="",D1267=""),"",ROUND(MOD(D1267-C1267,1)*24,2))</f>
        <v/>
      </c>
      <c r="F1267" s="28" t="n"/>
      <c r="G1267" s="28" t="n"/>
      <c r="H1267" s="1" t="n"/>
    </row>
    <row r="1268">
      <c r="A1268" s="1" t="n"/>
      <c r="B1268" s="26" t="n"/>
      <c r="C1268" s="27" t="n"/>
      <c r="D1268" s="27" t="n"/>
      <c r="E1268" s="21">
        <f>IF(OR(C1268="",D1268=""),"",ROUND(MOD(D1268-C1268,1)*24,2))</f>
        <v/>
      </c>
      <c r="F1268" s="28" t="n"/>
      <c r="G1268" s="28" t="n"/>
      <c r="H1268" s="1" t="n"/>
    </row>
    <row r="1269">
      <c r="A1269" s="1" t="n"/>
      <c r="B1269" s="26" t="n"/>
      <c r="C1269" s="27" t="n"/>
      <c r="D1269" s="27" t="n"/>
      <c r="E1269" s="21">
        <f>IF(OR(C1269="",D1269=""),"",ROUND(MOD(D1269-C1269,1)*24,2))</f>
        <v/>
      </c>
      <c r="F1269" s="28" t="n"/>
      <c r="G1269" s="28" t="n"/>
      <c r="H1269" s="1" t="n"/>
    </row>
    <row r="1270">
      <c r="A1270" s="1" t="n"/>
      <c r="B1270" s="26" t="n"/>
      <c r="C1270" s="27" t="n"/>
      <c r="D1270" s="27" t="n"/>
      <c r="E1270" s="21">
        <f>IF(OR(C1270="",D1270=""),"",ROUND(MOD(D1270-C1270,1)*24,2))</f>
        <v/>
      </c>
      <c r="F1270" s="28" t="n"/>
      <c r="G1270" s="28" t="n"/>
      <c r="H1270" s="1" t="n"/>
    </row>
    <row r="1271">
      <c r="A1271" s="1" t="n"/>
      <c r="B1271" s="26" t="n"/>
      <c r="C1271" s="27" t="n"/>
      <c r="D1271" s="27" t="n"/>
      <c r="E1271" s="21">
        <f>IF(OR(C1271="",D1271=""),"",ROUND(MOD(D1271-C1271,1)*24,2))</f>
        <v/>
      </c>
      <c r="F1271" s="28" t="n"/>
      <c r="G1271" s="28" t="n"/>
      <c r="H1271" s="1" t="n"/>
    </row>
    <row r="1272">
      <c r="A1272" s="1" t="n"/>
      <c r="B1272" s="26" t="n"/>
      <c r="C1272" s="27" t="n"/>
      <c r="D1272" s="27" t="n"/>
      <c r="E1272" s="21">
        <f>IF(OR(C1272="",D1272=""),"",ROUND(MOD(D1272-C1272,1)*24,2))</f>
        <v/>
      </c>
      <c r="F1272" s="28" t="n"/>
      <c r="G1272" s="28" t="n"/>
      <c r="H1272" s="1" t="n"/>
    </row>
    <row r="1273">
      <c r="A1273" s="1" t="n"/>
      <c r="B1273" s="26" t="n"/>
      <c r="C1273" s="27" t="n"/>
      <c r="D1273" s="27" t="n"/>
      <c r="E1273" s="21">
        <f>IF(OR(C1273="",D1273=""),"",ROUND(MOD(D1273-C1273,1)*24,2))</f>
        <v/>
      </c>
      <c r="F1273" s="28" t="n"/>
      <c r="G1273" s="28" t="n"/>
      <c r="H1273" s="1" t="n"/>
    </row>
    <row r="1274">
      <c r="A1274" s="1" t="n"/>
      <c r="B1274" s="26" t="n"/>
      <c r="C1274" s="27" t="n"/>
      <c r="D1274" s="27" t="n"/>
      <c r="E1274" s="21">
        <f>IF(OR(C1274="",D1274=""),"",ROUND(MOD(D1274-C1274,1)*24,2))</f>
        <v/>
      </c>
      <c r="F1274" s="28" t="n"/>
      <c r="G1274" s="28" t="n"/>
      <c r="H1274" s="1" t="n"/>
    </row>
    <row r="1275">
      <c r="A1275" s="1" t="n"/>
      <c r="B1275" s="26" t="n"/>
      <c r="C1275" s="27" t="n"/>
      <c r="D1275" s="27" t="n"/>
      <c r="E1275" s="21">
        <f>IF(OR(C1275="",D1275=""),"",ROUND(MOD(D1275-C1275,1)*24,2))</f>
        <v/>
      </c>
      <c r="F1275" s="28" t="n"/>
      <c r="G1275" s="28" t="n"/>
      <c r="H1275" s="1" t="n"/>
    </row>
    <row r="1276">
      <c r="A1276" s="1" t="n"/>
      <c r="B1276" s="26" t="n"/>
      <c r="C1276" s="27" t="n"/>
      <c r="D1276" s="27" t="n"/>
      <c r="E1276" s="21">
        <f>IF(OR(C1276="",D1276=""),"",ROUND(MOD(D1276-C1276,1)*24,2))</f>
        <v/>
      </c>
      <c r="F1276" s="28" t="n"/>
      <c r="G1276" s="28" t="n"/>
      <c r="H1276" s="1" t="n"/>
    </row>
    <row r="1277">
      <c r="A1277" s="1" t="n"/>
      <c r="B1277" s="26" t="n"/>
      <c r="C1277" s="27" t="n"/>
      <c r="D1277" s="27" t="n"/>
      <c r="E1277" s="21">
        <f>IF(OR(C1277="",D1277=""),"",ROUND(MOD(D1277-C1277,1)*24,2))</f>
        <v/>
      </c>
      <c r="F1277" s="28" t="n"/>
      <c r="G1277" s="28" t="n"/>
      <c r="H1277" s="1" t="n"/>
    </row>
    <row r="1278">
      <c r="A1278" s="1" t="n"/>
      <c r="B1278" s="26" t="n"/>
      <c r="C1278" s="27" t="n"/>
      <c r="D1278" s="27" t="n"/>
      <c r="E1278" s="21">
        <f>IF(OR(C1278="",D1278=""),"",ROUND(MOD(D1278-C1278,1)*24,2))</f>
        <v/>
      </c>
      <c r="F1278" s="28" t="n"/>
      <c r="G1278" s="28" t="n"/>
      <c r="H1278" s="1" t="n"/>
    </row>
    <row r="1279">
      <c r="A1279" s="1" t="n"/>
      <c r="B1279" s="26" t="n"/>
      <c r="C1279" s="27" t="n"/>
      <c r="D1279" s="27" t="n"/>
      <c r="E1279" s="21">
        <f>IF(OR(C1279="",D1279=""),"",ROUND(MOD(D1279-C1279,1)*24,2))</f>
        <v/>
      </c>
      <c r="F1279" s="28" t="n"/>
      <c r="G1279" s="28" t="n"/>
      <c r="H1279" s="1" t="n"/>
    </row>
    <row r="1280">
      <c r="A1280" s="1" t="n"/>
      <c r="B1280" s="26" t="n"/>
      <c r="C1280" s="27" t="n"/>
      <c r="D1280" s="27" t="n"/>
      <c r="E1280" s="21">
        <f>IF(OR(C1280="",D1280=""),"",ROUND(MOD(D1280-C1280,1)*24,2))</f>
        <v/>
      </c>
      <c r="F1280" s="28" t="n"/>
      <c r="G1280" s="28" t="n"/>
      <c r="H1280" s="1" t="n"/>
    </row>
    <row r="1281">
      <c r="A1281" s="1" t="n"/>
      <c r="B1281" s="26" t="n"/>
      <c r="C1281" s="27" t="n"/>
      <c r="D1281" s="27" t="n"/>
      <c r="E1281" s="21">
        <f>IF(OR(C1281="",D1281=""),"",ROUND(MOD(D1281-C1281,1)*24,2))</f>
        <v/>
      </c>
      <c r="F1281" s="28" t="n"/>
      <c r="G1281" s="28" t="n"/>
      <c r="H1281" s="1" t="n"/>
    </row>
    <row r="1282">
      <c r="A1282" s="1" t="n"/>
      <c r="B1282" s="26" t="n"/>
      <c r="C1282" s="27" t="n"/>
      <c r="D1282" s="27" t="n"/>
      <c r="E1282" s="21">
        <f>IF(OR(C1282="",D1282=""),"",ROUND(MOD(D1282-C1282,1)*24,2))</f>
        <v/>
      </c>
      <c r="F1282" s="28" t="n"/>
      <c r="G1282" s="28" t="n"/>
      <c r="H1282" s="1" t="n"/>
    </row>
    <row r="1283">
      <c r="A1283" s="1" t="n"/>
      <c r="B1283" s="26" t="n"/>
      <c r="C1283" s="27" t="n"/>
      <c r="D1283" s="27" t="n"/>
      <c r="E1283" s="21">
        <f>IF(OR(C1283="",D1283=""),"",ROUND(MOD(D1283-C1283,1)*24,2))</f>
        <v/>
      </c>
      <c r="F1283" s="28" t="n"/>
      <c r="G1283" s="28" t="n"/>
      <c r="H1283" s="1" t="n"/>
    </row>
    <row r="1284">
      <c r="A1284" s="1" t="n"/>
      <c r="B1284" s="26" t="n"/>
      <c r="C1284" s="27" t="n"/>
      <c r="D1284" s="27" t="n"/>
      <c r="E1284" s="21">
        <f>IF(OR(C1284="",D1284=""),"",ROUND(MOD(D1284-C1284,1)*24,2))</f>
        <v/>
      </c>
      <c r="F1284" s="28" t="n"/>
      <c r="G1284" s="28" t="n"/>
      <c r="H1284" s="1" t="n"/>
    </row>
    <row r="1285">
      <c r="A1285" s="1" t="n"/>
      <c r="B1285" s="26" t="n"/>
      <c r="C1285" s="27" t="n"/>
      <c r="D1285" s="27" t="n"/>
      <c r="E1285" s="21">
        <f>IF(OR(C1285="",D1285=""),"",ROUND(MOD(D1285-C1285,1)*24,2))</f>
        <v/>
      </c>
      <c r="F1285" s="28" t="n"/>
      <c r="G1285" s="28" t="n"/>
      <c r="H1285" s="1" t="n"/>
    </row>
    <row r="1286">
      <c r="A1286" s="1" t="n"/>
      <c r="B1286" s="26" t="n"/>
      <c r="C1286" s="27" t="n"/>
      <c r="D1286" s="27" t="n"/>
      <c r="E1286" s="21">
        <f>IF(OR(C1286="",D1286=""),"",ROUND(MOD(D1286-C1286,1)*24,2))</f>
        <v/>
      </c>
      <c r="F1286" s="28" t="n"/>
      <c r="G1286" s="28" t="n"/>
      <c r="H1286" s="1" t="n"/>
    </row>
    <row r="1287">
      <c r="A1287" s="1" t="n"/>
      <c r="B1287" s="26" t="n"/>
      <c r="C1287" s="27" t="n"/>
      <c r="D1287" s="27" t="n"/>
      <c r="E1287" s="21">
        <f>IF(OR(C1287="",D1287=""),"",ROUND(MOD(D1287-C1287,1)*24,2))</f>
        <v/>
      </c>
      <c r="F1287" s="28" t="n"/>
      <c r="G1287" s="28" t="n"/>
      <c r="H1287" s="1" t="n"/>
    </row>
    <row r="1288">
      <c r="A1288" s="1" t="n"/>
      <c r="B1288" s="26" t="n"/>
      <c r="C1288" s="27" t="n"/>
      <c r="D1288" s="27" t="n"/>
      <c r="E1288" s="21">
        <f>IF(OR(C1288="",D1288=""),"",ROUND(MOD(D1288-C1288,1)*24,2))</f>
        <v/>
      </c>
      <c r="F1288" s="28" t="n"/>
      <c r="G1288" s="28" t="n"/>
      <c r="H1288" s="1" t="n"/>
    </row>
    <row r="1289">
      <c r="A1289" s="1" t="n"/>
      <c r="B1289" s="26" t="n"/>
      <c r="C1289" s="27" t="n"/>
      <c r="D1289" s="27" t="n"/>
      <c r="E1289" s="21">
        <f>IF(OR(C1289="",D1289=""),"",ROUND(MOD(D1289-C1289,1)*24,2))</f>
        <v/>
      </c>
      <c r="F1289" s="28" t="n"/>
      <c r="G1289" s="28" t="n"/>
      <c r="H1289" s="1" t="n"/>
    </row>
    <row r="1290">
      <c r="A1290" s="1" t="n"/>
      <c r="B1290" s="26" t="n"/>
      <c r="C1290" s="27" t="n"/>
      <c r="D1290" s="27" t="n"/>
      <c r="E1290" s="21">
        <f>IF(OR(C1290="",D1290=""),"",ROUND(MOD(D1290-C1290,1)*24,2))</f>
        <v/>
      </c>
      <c r="F1290" s="28" t="n"/>
      <c r="G1290" s="28" t="n"/>
      <c r="H1290" s="1" t="n"/>
    </row>
    <row r="1291">
      <c r="A1291" s="1" t="n"/>
      <c r="B1291" s="26" t="n"/>
      <c r="C1291" s="27" t="n"/>
      <c r="D1291" s="27" t="n"/>
      <c r="E1291" s="21">
        <f>IF(OR(C1291="",D1291=""),"",ROUND(MOD(D1291-C1291,1)*24,2))</f>
        <v/>
      </c>
      <c r="F1291" s="28" t="n"/>
      <c r="G1291" s="28" t="n"/>
      <c r="H1291" s="1" t="n"/>
    </row>
    <row r="1292">
      <c r="A1292" s="1" t="n"/>
      <c r="B1292" s="26" t="n"/>
      <c r="C1292" s="27" t="n"/>
      <c r="D1292" s="27" t="n"/>
      <c r="E1292" s="21">
        <f>IF(OR(C1292="",D1292=""),"",ROUND(MOD(D1292-C1292,1)*24,2))</f>
        <v/>
      </c>
      <c r="F1292" s="28" t="n"/>
      <c r="G1292" s="28" t="n"/>
      <c r="H1292" s="1" t="n"/>
    </row>
    <row r="1293">
      <c r="A1293" s="1" t="n"/>
      <c r="B1293" s="26" t="n"/>
      <c r="C1293" s="27" t="n"/>
      <c r="D1293" s="27" t="n"/>
      <c r="E1293" s="21">
        <f>IF(OR(C1293="",D1293=""),"",ROUND(MOD(D1293-C1293,1)*24,2))</f>
        <v/>
      </c>
      <c r="F1293" s="28" t="n"/>
      <c r="G1293" s="28" t="n"/>
      <c r="H1293" s="1" t="n"/>
    </row>
    <row r="1294">
      <c r="A1294" s="1" t="n"/>
      <c r="B1294" s="26" t="n"/>
      <c r="C1294" s="27" t="n"/>
      <c r="D1294" s="27" t="n"/>
      <c r="E1294" s="21">
        <f>IF(OR(C1294="",D1294=""),"",ROUND(MOD(D1294-C1294,1)*24,2))</f>
        <v/>
      </c>
      <c r="F1294" s="28" t="n"/>
      <c r="G1294" s="28" t="n"/>
      <c r="H1294" s="1" t="n"/>
    </row>
    <row r="1295">
      <c r="A1295" s="1" t="n"/>
      <c r="B1295" s="26" t="n"/>
      <c r="C1295" s="27" t="n"/>
      <c r="D1295" s="27" t="n"/>
      <c r="E1295" s="21">
        <f>IF(OR(C1295="",D1295=""),"",ROUND(MOD(D1295-C1295,1)*24,2))</f>
        <v/>
      </c>
      <c r="F1295" s="28" t="n"/>
      <c r="G1295" s="28" t="n"/>
      <c r="H1295" s="1" t="n"/>
    </row>
    <row r="1296">
      <c r="A1296" s="1" t="n"/>
      <c r="B1296" s="26" t="n"/>
      <c r="C1296" s="27" t="n"/>
      <c r="D1296" s="27" t="n"/>
      <c r="E1296" s="21">
        <f>IF(OR(C1296="",D1296=""),"",ROUND(MOD(D1296-C1296,1)*24,2))</f>
        <v/>
      </c>
      <c r="F1296" s="28" t="n"/>
      <c r="G1296" s="28" t="n"/>
      <c r="H1296" s="1" t="n"/>
    </row>
    <row r="1297">
      <c r="A1297" s="1" t="n"/>
      <c r="B1297" s="26" t="n"/>
      <c r="C1297" s="27" t="n"/>
      <c r="D1297" s="27" t="n"/>
      <c r="E1297" s="21">
        <f>IF(OR(C1297="",D1297=""),"",ROUND(MOD(D1297-C1297,1)*24,2))</f>
        <v/>
      </c>
      <c r="F1297" s="28" t="n"/>
      <c r="G1297" s="28" t="n"/>
      <c r="H1297" s="1" t="n"/>
    </row>
    <row r="1298">
      <c r="A1298" s="1" t="n"/>
      <c r="B1298" s="26" t="n"/>
      <c r="C1298" s="27" t="n"/>
      <c r="D1298" s="27" t="n"/>
      <c r="E1298" s="21">
        <f>IF(OR(C1298="",D1298=""),"",ROUND(MOD(D1298-C1298,1)*24,2))</f>
        <v/>
      </c>
      <c r="F1298" s="28" t="n"/>
      <c r="G1298" s="28" t="n"/>
      <c r="H1298" s="1" t="n"/>
    </row>
    <row r="1299">
      <c r="A1299" s="1" t="n"/>
      <c r="B1299" s="26" t="n"/>
      <c r="C1299" s="27" t="n"/>
      <c r="D1299" s="27" t="n"/>
      <c r="E1299" s="21">
        <f>IF(OR(C1299="",D1299=""),"",ROUND(MOD(D1299-C1299,1)*24,2))</f>
        <v/>
      </c>
      <c r="F1299" s="28" t="n"/>
      <c r="G1299" s="28" t="n"/>
      <c r="H1299" s="1" t="n"/>
    </row>
    <row r="1300">
      <c r="A1300" s="1" t="n"/>
      <c r="B1300" s="26" t="n"/>
      <c r="C1300" s="27" t="n"/>
      <c r="D1300" s="27" t="n"/>
      <c r="E1300" s="21">
        <f>IF(OR(C1300="",D1300=""),"",ROUND(MOD(D1300-C1300,1)*24,2))</f>
        <v/>
      </c>
      <c r="F1300" s="28" t="n"/>
      <c r="G1300" s="28" t="n"/>
      <c r="H1300" s="1" t="n"/>
    </row>
    <row r="1301">
      <c r="A1301" s="1" t="n"/>
      <c r="B1301" s="26" t="n"/>
      <c r="C1301" s="27" t="n"/>
      <c r="D1301" s="27" t="n"/>
      <c r="E1301" s="21">
        <f>IF(OR(C1301="",D1301=""),"",ROUND(MOD(D1301-C1301,1)*24,2))</f>
        <v/>
      </c>
      <c r="F1301" s="28" t="n"/>
      <c r="G1301" s="28" t="n"/>
      <c r="H1301" s="1" t="n"/>
    </row>
    <row r="1302">
      <c r="A1302" s="1" t="n"/>
      <c r="B1302" s="26" t="n"/>
      <c r="C1302" s="27" t="n"/>
      <c r="D1302" s="27" t="n"/>
      <c r="E1302" s="21">
        <f>IF(OR(C1302="",D1302=""),"",ROUND(MOD(D1302-C1302,1)*24,2))</f>
        <v/>
      </c>
      <c r="F1302" s="28" t="n"/>
      <c r="G1302" s="28" t="n"/>
      <c r="H1302" s="1" t="n"/>
    </row>
    <row r="1303">
      <c r="A1303" s="1" t="n"/>
      <c r="B1303" s="26" t="n"/>
      <c r="C1303" s="27" t="n"/>
      <c r="D1303" s="27" t="n"/>
      <c r="E1303" s="21">
        <f>IF(OR(C1303="",D1303=""),"",ROUND(MOD(D1303-C1303,1)*24,2))</f>
        <v/>
      </c>
      <c r="F1303" s="28" t="n"/>
      <c r="G1303" s="28" t="n"/>
      <c r="H1303" s="1" t="n"/>
    </row>
    <row r="1304">
      <c r="A1304" s="1" t="n"/>
      <c r="B1304" s="26" t="n"/>
      <c r="C1304" s="27" t="n"/>
      <c r="D1304" s="27" t="n"/>
      <c r="E1304" s="21">
        <f>IF(OR(C1304="",D1304=""),"",ROUND(MOD(D1304-C1304,1)*24,2))</f>
        <v/>
      </c>
      <c r="F1304" s="28" t="n"/>
      <c r="G1304" s="28" t="n"/>
      <c r="H1304" s="1" t="n"/>
    </row>
    <row r="1305">
      <c r="A1305" s="1" t="n"/>
      <c r="B1305" s="26" t="n"/>
      <c r="C1305" s="27" t="n"/>
      <c r="D1305" s="27" t="n"/>
      <c r="E1305" s="21">
        <f>IF(OR(C1305="",D1305=""),"",ROUND(MOD(D1305-C1305,1)*24,2))</f>
        <v/>
      </c>
      <c r="F1305" s="28" t="n"/>
      <c r="G1305" s="28" t="n"/>
      <c r="H1305" s="1" t="n"/>
    </row>
    <row r="1306">
      <c r="A1306" s="1" t="n"/>
      <c r="B1306" s="26" t="n"/>
      <c r="C1306" s="27" t="n"/>
      <c r="D1306" s="27" t="n"/>
      <c r="E1306" s="21">
        <f>IF(OR(C1306="",D1306=""),"",ROUND(MOD(D1306-C1306,1)*24,2))</f>
        <v/>
      </c>
      <c r="F1306" s="28" t="n"/>
      <c r="G1306" s="28" t="n"/>
      <c r="H1306" s="1" t="n"/>
    </row>
    <row r="1307">
      <c r="A1307" s="1" t="n"/>
      <c r="B1307" s="26" t="n"/>
      <c r="C1307" s="27" t="n"/>
      <c r="D1307" s="27" t="n"/>
      <c r="E1307" s="21">
        <f>IF(OR(C1307="",D1307=""),"",ROUND(MOD(D1307-C1307,1)*24,2))</f>
        <v/>
      </c>
      <c r="F1307" s="28" t="n"/>
      <c r="G1307" s="28" t="n"/>
      <c r="H1307" s="1" t="n"/>
    </row>
    <row r="1308">
      <c r="A1308" s="1" t="n"/>
      <c r="B1308" s="26" t="n"/>
      <c r="C1308" s="27" t="n"/>
      <c r="D1308" s="27" t="n"/>
      <c r="E1308" s="21">
        <f>IF(OR(C1308="",D1308=""),"",ROUND(MOD(D1308-C1308,1)*24,2))</f>
        <v/>
      </c>
      <c r="F1308" s="28" t="n"/>
      <c r="G1308" s="28" t="n"/>
      <c r="H1308" s="1" t="n"/>
    </row>
    <row r="1309">
      <c r="A1309" s="1" t="n"/>
      <c r="B1309" s="26" t="n"/>
      <c r="C1309" s="27" t="n"/>
      <c r="D1309" s="27" t="n"/>
      <c r="E1309" s="21">
        <f>IF(OR(C1309="",D1309=""),"",ROUND(MOD(D1309-C1309,1)*24,2))</f>
        <v/>
      </c>
      <c r="F1309" s="28" t="n"/>
      <c r="G1309" s="28" t="n"/>
      <c r="H1309" s="1" t="n"/>
    </row>
    <row r="1310">
      <c r="A1310" s="1" t="n"/>
      <c r="B1310" s="26" t="n"/>
      <c r="C1310" s="27" t="n"/>
      <c r="D1310" s="27" t="n"/>
      <c r="E1310" s="21">
        <f>IF(OR(C1310="",D1310=""),"",ROUND(MOD(D1310-C1310,1)*24,2))</f>
        <v/>
      </c>
      <c r="F1310" s="28" t="n"/>
      <c r="G1310" s="28" t="n"/>
      <c r="H1310" s="1" t="n"/>
    </row>
    <row r="1311">
      <c r="A1311" s="1" t="n"/>
      <c r="B1311" s="26" t="n"/>
      <c r="C1311" s="27" t="n"/>
      <c r="D1311" s="27" t="n"/>
      <c r="E1311" s="21">
        <f>IF(OR(C1311="",D1311=""),"",ROUND(MOD(D1311-C1311,1)*24,2))</f>
        <v/>
      </c>
      <c r="F1311" s="28" t="n"/>
      <c r="G1311" s="28" t="n"/>
      <c r="H1311" s="1" t="n"/>
    </row>
    <row r="1312">
      <c r="A1312" s="1" t="n"/>
      <c r="B1312" s="26" t="n"/>
      <c r="C1312" s="27" t="n"/>
      <c r="D1312" s="27" t="n"/>
      <c r="E1312" s="21">
        <f>IF(OR(C1312="",D1312=""),"",ROUND(MOD(D1312-C1312,1)*24,2))</f>
        <v/>
      </c>
      <c r="F1312" s="28" t="n"/>
      <c r="G1312" s="28" t="n"/>
      <c r="H1312" s="1" t="n"/>
    </row>
    <row r="1313">
      <c r="A1313" s="1" t="n"/>
      <c r="B1313" s="26" t="n"/>
      <c r="C1313" s="27" t="n"/>
      <c r="D1313" s="27" t="n"/>
      <c r="E1313" s="21">
        <f>IF(OR(C1313="",D1313=""),"",ROUND(MOD(D1313-C1313,1)*24,2))</f>
        <v/>
      </c>
      <c r="F1313" s="28" t="n"/>
      <c r="G1313" s="28" t="n"/>
      <c r="H1313" s="1" t="n"/>
    </row>
    <row r="1314">
      <c r="A1314" s="1" t="n"/>
      <c r="B1314" s="26" t="n"/>
      <c r="C1314" s="27" t="n"/>
      <c r="D1314" s="27" t="n"/>
      <c r="E1314" s="21">
        <f>IF(OR(C1314="",D1314=""),"",ROUND(MOD(D1314-C1314,1)*24,2))</f>
        <v/>
      </c>
      <c r="F1314" s="28" t="n"/>
      <c r="G1314" s="28" t="n"/>
      <c r="H1314" s="1" t="n"/>
    </row>
    <row r="1315">
      <c r="A1315" s="1" t="n"/>
      <c r="B1315" s="26" t="n"/>
      <c r="C1315" s="27" t="n"/>
      <c r="D1315" s="27" t="n"/>
      <c r="E1315" s="21">
        <f>IF(OR(C1315="",D1315=""),"",ROUND(MOD(D1315-C1315,1)*24,2))</f>
        <v/>
      </c>
      <c r="F1315" s="28" t="n"/>
      <c r="G1315" s="28" t="n"/>
      <c r="H1315" s="1" t="n"/>
    </row>
    <row r="1316">
      <c r="A1316" s="1" t="n"/>
      <c r="B1316" s="26" t="n"/>
      <c r="C1316" s="27" t="n"/>
      <c r="D1316" s="27" t="n"/>
      <c r="E1316" s="21">
        <f>IF(OR(C1316="",D1316=""),"",ROUND(MOD(D1316-C1316,1)*24,2))</f>
        <v/>
      </c>
      <c r="F1316" s="28" t="n"/>
      <c r="G1316" s="28" t="n"/>
      <c r="H1316" s="1" t="n"/>
    </row>
    <row r="1317">
      <c r="A1317" s="1" t="n"/>
      <c r="B1317" s="26" t="n"/>
      <c r="C1317" s="27" t="n"/>
      <c r="D1317" s="27" t="n"/>
      <c r="E1317" s="21">
        <f>IF(OR(C1317="",D1317=""),"",ROUND(MOD(D1317-C1317,1)*24,2))</f>
        <v/>
      </c>
      <c r="F1317" s="28" t="n"/>
      <c r="G1317" s="28" t="n"/>
      <c r="H1317" s="1" t="n"/>
    </row>
    <row r="1318">
      <c r="A1318" s="1" t="n"/>
      <c r="B1318" s="26" t="n"/>
      <c r="C1318" s="27" t="n"/>
      <c r="D1318" s="27" t="n"/>
      <c r="E1318" s="21">
        <f>IF(OR(C1318="",D1318=""),"",ROUND(MOD(D1318-C1318,1)*24,2))</f>
        <v/>
      </c>
      <c r="F1318" s="28" t="n"/>
      <c r="G1318" s="28" t="n"/>
      <c r="H1318" s="1" t="n"/>
    </row>
    <row r="1319">
      <c r="A1319" s="1" t="n"/>
      <c r="B1319" s="26" t="n"/>
      <c r="C1319" s="27" t="n"/>
      <c r="D1319" s="27" t="n"/>
      <c r="E1319" s="21">
        <f>IF(OR(C1319="",D1319=""),"",ROUND(MOD(D1319-C1319,1)*24,2))</f>
        <v/>
      </c>
      <c r="F1319" s="28" t="n"/>
      <c r="G1319" s="28" t="n"/>
      <c r="H1319" s="1" t="n"/>
    </row>
    <row r="1320">
      <c r="A1320" s="1" t="n"/>
      <c r="B1320" s="26" t="n"/>
      <c r="C1320" s="27" t="n"/>
      <c r="D1320" s="27" t="n"/>
      <c r="E1320" s="21">
        <f>IF(OR(C1320="",D1320=""),"",ROUND(MOD(D1320-C1320,1)*24,2))</f>
        <v/>
      </c>
      <c r="F1320" s="28" t="n"/>
      <c r="G1320" s="28" t="n"/>
      <c r="H1320" s="1" t="n"/>
    </row>
    <row r="1321">
      <c r="A1321" s="1" t="n"/>
      <c r="B1321" s="26" t="n"/>
      <c r="C1321" s="27" t="n"/>
      <c r="D1321" s="27" t="n"/>
      <c r="E1321" s="21">
        <f>IF(OR(C1321="",D1321=""),"",ROUND(MOD(D1321-C1321,1)*24,2))</f>
        <v/>
      </c>
      <c r="F1321" s="28" t="n"/>
      <c r="G1321" s="28" t="n"/>
      <c r="H1321" s="1" t="n"/>
    </row>
    <row r="1322">
      <c r="A1322" s="1" t="n"/>
      <c r="B1322" s="26" t="n"/>
      <c r="C1322" s="27" t="n"/>
      <c r="D1322" s="27" t="n"/>
      <c r="E1322" s="21">
        <f>IF(OR(C1322="",D1322=""),"",ROUND(MOD(D1322-C1322,1)*24,2))</f>
        <v/>
      </c>
      <c r="F1322" s="28" t="n"/>
      <c r="G1322" s="28" t="n"/>
      <c r="H1322" s="1" t="n"/>
    </row>
    <row r="1323">
      <c r="A1323" s="1" t="n"/>
      <c r="B1323" s="26" t="n"/>
      <c r="C1323" s="27" t="n"/>
      <c r="D1323" s="27" t="n"/>
      <c r="E1323" s="21">
        <f>IF(OR(C1323="",D1323=""),"",ROUND(MOD(D1323-C1323,1)*24,2))</f>
        <v/>
      </c>
      <c r="F1323" s="28" t="n"/>
      <c r="G1323" s="28" t="n"/>
      <c r="H1323" s="1" t="n"/>
    </row>
    <row r="1324">
      <c r="A1324" s="1" t="n"/>
      <c r="B1324" s="26" t="n"/>
      <c r="C1324" s="27" t="n"/>
      <c r="D1324" s="27" t="n"/>
      <c r="E1324" s="21">
        <f>IF(OR(C1324="",D1324=""),"",ROUND(MOD(D1324-C1324,1)*24,2))</f>
        <v/>
      </c>
      <c r="F1324" s="28" t="n"/>
      <c r="G1324" s="28" t="n"/>
      <c r="H1324" s="1" t="n"/>
    </row>
    <row r="1325">
      <c r="A1325" s="1" t="n"/>
      <c r="B1325" s="26" t="n"/>
      <c r="C1325" s="27" t="n"/>
      <c r="D1325" s="27" t="n"/>
      <c r="E1325" s="21">
        <f>IF(OR(C1325="",D1325=""),"",ROUND(MOD(D1325-C1325,1)*24,2))</f>
        <v/>
      </c>
      <c r="F1325" s="28" t="n"/>
      <c r="G1325" s="28" t="n"/>
      <c r="H1325" s="1" t="n"/>
    </row>
    <row r="1326">
      <c r="A1326" s="1" t="n"/>
      <c r="B1326" s="26" t="n"/>
      <c r="C1326" s="27" t="n"/>
      <c r="D1326" s="27" t="n"/>
      <c r="E1326" s="21">
        <f>IF(OR(C1326="",D1326=""),"",ROUND(MOD(D1326-C1326,1)*24,2))</f>
        <v/>
      </c>
      <c r="F1326" s="28" t="n"/>
      <c r="G1326" s="28" t="n"/>
      <c r="H1326" s="1" t="n"/>
    </row>
    <row r="1327">
      <c r="A1327" s="1" t="n"/>
      <c r="B1327" s="26" t="n"/>
      <c r="C1327" s="27" t="n"/>
      <c r="D1327" s="27" t="n"/>
      <c r="E1327" s="21">
        <f>IF(OR(C1327="",D1327=""),"",ROUND(MOD(D1327-C1327,1)*24,2))</f>
        <v/>
      </c>
      <c r="F1327" s="28" t="n"/>
      <c r="G1327" s="28" t="n"/>
      <c r="H1327" s="1" t="n"/>
    </row>
    <row r="1328">
      <c r="A1328" s="1" t="n"/>
      <c r="B1328" s="26" t="n"/>
      <c r="C1328" s="27" t="n"/>
      <c r="D1328" s="27" t="n"/>
      <c r="E1328" s="21">
        <f>IF(OR(C1328="",D1328=""),"",ROUND(MOD(D1328-C1328,1)*24,2))</f>
        <v/>
      </c>
      <c r="F1328" s="28" t="n"/>
      <c r="G1328" s="28" t="n"/>
      <c r="H1328" s="1" t="n"/>
    </row>
    <row r="1329">
      <c r="A1329" s="1" t="n"/>
      <c r="B1329" s="26" t="n"/>
      <c r="C1329" s="27" t="n"/>
      <c r="D1329" s="27" t="n"/>
      <c r="E1329" s="21">
        <f>IF(OR(C1329="",D1329=""),"",ROUND(MOD(D1329-C1329,1)*24,2))</f>
        <v/>
      </c>
      <c r="F1329" s="28" t="n"/>
      <c r="G1329" s="28" t="n"/>
      <c r="H1329" s="1" t="n"/>
    </row>
    <row r="1330">
      <c r="A1330" s="1" t="n"/>
      <c r="B1330" s="26" t="n"/>
      <c r="C1330" s="27" t="n"/>
      <c r="D1330" s="27" t="n"/>
      <c r="E1330" s="21">
        <f>IF(OR(C1330="",D1330=""),"",ROUND(MOD(D1330-C1330,1)*24,2))</f>
        <v/>
      </c>
      <c r="F1330" s="28" t="n"/>
      <c r="G1330" s="28" t="n"/>
      <c r="H1330" s="1" t="n"/>
    </row>
    <row r="1331">
      <c r="A1331" s="1" t="n"/>
      <c r="B1331" s="26" t="n"/>
      <c r="C1331" s="27" t="n"/>
      <c r="D1331" s="27" t="n"/>
      <c r="E1331" s="21">
        <f>IF(OR(C1331="",D1331=""),"",ROUND(MOD(D1331-C1331,1)*24,2))</f>
        <v/>
      </c>
      <c r="F1331" s="28" t="n"/>
      <c r="G1331" s="28" t="n"/>
      <c r="H1331" s="1" t="n"/>
    </row>
    <row r="1332">
      <c r="A1332" s="1" t="n"/>
      <c r="B1332" s="26" t="n"/>
      <c r="C1332" s="27" t="n"/>
      <c r="D1332" s="27" t="n"/>
      <c r="E1332" s="21">
        <f>IF(OR(C1332="",D1332=""),"",ROUND(MOD(D1332-C1332,1)*24,2))</f>
        <v/>
      </c>
      <c r="F1332" s="28" t="n"/>
      <c r="G1332" s="28" t="n"/>
      <c r="H1332" s="1" t="n"/>
    </row>
    <row r="1333">
      <c r="A1333" s="1" t="n"/>
      <c r="B1333" s="26" t="n"/>
      <c r="C1333" s="27" t="n"/>
      <c r="D1333" s="27" t="n"/>
      <c r="E1333" s="21">
        <f>IF(OR(C1333="",D1333=""),"",ROUND(MOD(D1333-C1333,1)*24,2))</f>
        <v/>
      </c>
      <c r="F1333" s="28" t="n"/>
      <c r="G1333" s="28" t="n"/>
      <c r="H1333" s="1" t="n"/>
    </row>
    <row r="1334">
      <c r="A1334" s="1" t="n"/>
      <c r="B1334" s="26" t="n"/>
      <c r="C1334" s="27" t="n"/>
      <c r="D1334" s="27" t="n"/>
      <c r="E1334" s="21">
        <f>IF(OR(C1334="",D1334=""),"",ROUND(MOD(D1334-C1334,1)*24,2))</f>
        <v/>
      </c>
      <c r="F1334" s="28" t="n"/>
      <c r="G1334" s="28" t="n"/>
      <c r="H1334" s="1" t="n"/>
    </row>
    <row r="1335">
      <c r="A1335" s="1" t="n"/>
      <c r="B1335" s="26" t="n"/>
      <c r="C1335" s="27" t="n"/>
      <c r="D1335" s="27" t="n"/>
      <c r="E1335" s="21">
        <f>IF(OR(C1335="",D1335=""),"",ROUND(MOD(D1335-C1335,1)*24,2))</f>
        <v/>
      </c>
      <c r="F1335" s="28" t="n"/>
      <c r="G1335" s="28" t="n"/>
      <c r="H1335" s="1" t="n"/>
    </row>
    <row r="1336">
      <c r="A1336" s="1" t="n"/>
      <c r="B1336" s="26" t="n"/>
      <c r="C1336" s="27" t="n"/>
      <c r="D1336" s="27" t="n"/>
      <c r="E1336" s="21">
        <f>IF(OR(C1336="",D1336=""),"",ROUND(MOD(D1336-C1336,1)*24,2))</f>
        <v/>
      </c>
      <c r="F1336" s="28" t="n"/>
      <c r="G1336" s="28" t="n"/>
      <c r="H1336" s="1" t="n"/>
    </row>
    <row r="1337">
      <c r="A1337" s="1" t="n"/>
      <c r="B1337" s="26" t="n"/>
      <c r="C1337" s="27" t="n"/>
      <c r="D1337" s="27" t="n"/>
      <c r="E1337" s="21">
        <f>IF(OR(C1337="",D1337=""),"",ROUND(MOD(D1337-C1337,1)*24,2))</f>
        <v/>
      </c>
      <c r="F1337" s="28" t="n"/>
      <c r="G1337" s="28" t="n"/>
      <c r="H1337" s="1" t="n"/>
    </row>
    <row r="1338">
      <c r="A1338" s="1" t="n"/>
      <c r="B1338" s="26" t="n"/>
      <c r="C1338" s="27" t="n"/>
      <c r="D1338" s="27" t="n"/>
      <c r="E1338" s="21">
        <f>IF(OR(C1338="",D1338=""),"",ROUND(MOD(D1338-C1338,1)*24,2))</f>
        <v/>
      </c>
      <c r="F1338" s="28" t="n"/>
      <c r="G1338" s="28" t="n"/>
      <c r="H1338" s="1" t="n"/>
    </row>
    <row r="1339">
      <c r="A1339" s="1" t="n"/>
      <c r="B1339" s="26" t="n"/>
      <c r="C1339" s="27" t="n"/>
      <c r="D1339" s="27" t="n"/>
      <c r="E1339" s="21">
        <f>IF(OR(C1339="",D1339=""),"",ROUND(MOD(D1339-C1339,1)*24,2))</f>
        <v/>
      </c>
      <c r="F1339" s="28" t="n"/>
      <c r="G1339" s="28" t="n"/>
      <c r="H1339" s="1" t="n"/>
    </row>
    <row r="1340">
      <c r="A1340" s="1" t="n"/>
      <c r="B1340" s="26" t="n"/>
      <c r="C1340" s="27" t="n"/>
      <c r="D1340" s="27" t="n"/>
      <c r="E1340" s="21">
        <f>IF(OR(C1340="",D1340=""),"",ROUND(MOD(D1340-C1340,1)*24,2))</f>
        <v/>
      </c>
      <c r="F1340" s="28" t="n"/>
      <c r="G1340" s="28" t="n"/>
      <c r="H1340" s="1" t="n"/>
    </row>
    <row r="1341">
      <c r="A1341" s="1" t="n"/>
      <c r="B1341" s="26" t="n"/>
      <c r="C1341" s="27" t="n"/>
      <c r="D1341" s="27" t="n"/>
      <c r="E1341" s="21">
        <f>IF(OR(C1341="",D1341=""),"",ROUND(MOD(D1341-C1341,1)*24,2))</f>
        <v/>
      </c>
      <c r="F1341" s="28" t="n"/>
      <c r="G1341" s="28" t="n"/>
      <c r="H1341" s="1" t="n"/>
    </row>
    <row r="1342">
      <c r="A1342" s="1" t="n"/>
      <c r="B1342" s="26" t="n"/>
      <c r="C1342" s="27" t="n"/>
      <c r="D1342" s="27" t="n"/>
      <c r="E1342" s="21">
        <f>IF(OR(C1342="",D1342=""),"",ROUND(MOD(D1342-C1342,1)*24,2))</f>
        <v/>
      </c>
      <c r="F1342" s="28" t="n"/>
      <c r="G1342" s="28" t="n"/>
      <c r="H1342" s="1" t="n"/>
    </row>
    <row r="1343">
      <c r="A1343" s="1" t="n"/>
      <c r="B1343" s="26" t="n"/>
      <c r="C1343" s="27" t="n"/>
      <c r="D1343" s="27" t="n"/>
      <c r="E1343" s="21">
        <f>IF(OR(C1343="",D1343=""),"",ROUND(MOD(D1343-C1343,1)*24,2))</f>
        <v/>
      </c>
      <c r="F1343" s="28" t="n"/>
      <c r="G1343" s="28" t="n"/>
      <c r="H1343" s="1" t="n"/>
    </row>
    <row r="1344">
      <c r="A1344" s="1" t="n"/>
      <c r="B1344" s="26" t="n"/>
      <c r="C1344" s="27" t="n"/>
      <c r="D1344" s="27" t="n"/>
      <c r="E1344" s="21">
        <f>IF(OR(C1344="",D1344=""),"",ROUND(MOD(D1344-C1344,1)*24,2))</f>
        <v/>
      </c>
      <c r="F1344" s="28" t="n"/>
      <c r="G1344" s="28" t="n"/>
      <c r="H1344" s="1" t="n"/>
    </row>
    <row r="1345">
      <c r="A1345" s="1" t="n"/>
      <c r="B1345" s="26" t="n"/>
      <c r="C1345" s="27" t="n"/>
      <c r="D1345" s="27" t="n"/>
      <c r="E1345" s="21">
        <f>IF(OR(C1345="",D1345=""),"",ROUND(MOD(D1345-C1345,1)*24,2))</f>
        <v/>
      </c>
      <c r="F1345" s="28" t="n"/>
      <c r="G1345" s="28" t="n"/>
      <c r="H1345" s="1" t="n"/>
    </row>
    <row r="1346">
      <c r="A1346" s="1" t="n"/>
      <c r="B1346" s="26" t="n"/>
      <c r="C1346" s="27" t="n"/>
      <c r="D1346" s="27" t="n"/>
      <c r="E1346" s="21">
        <f>IF(OR(C1346="",D1346=""),"",ROUND(MOD(D1346-C1346,1)*24,2))</f>
        <v/>
      </c>
      <c r="F1346" s="28" t="n"/>
      <c r="G1346" s="28" t="n"/>
      <c r="H1346" s="1" t="n"/>
    </row>
    <row r="1347">
      <c r="A1347" s="1" t="n"/>
      <c r="B1347" s="26" t="n"/>
      <c r="C1347" s="27" t="n"/>
      <c r="D1347" s="27" t="n"/>
      <c r="E1347" s="21">
        <f>IF(OR(C1347="",D1347=""),"",ROUND(MOD(D1347-C1347,1)*24,2))</f>
        <v/>
      </c>
      <c r="F1347" s="28" t="n"/>
      <c r="G1347" s="28" t="n"/>
      <c r="H1347" s="1" t="n"/>
    </row>
    <row r="1348">
      <c r="A1348" s="1" t="n"/>
      <c r="B1348" s="26" t="n"/>
      <c r="C1348" s="27" t="n"/>
      <c r="D1348" s="27" t="n"/>
      <c r="E1348" s="21">
        <f>IF(OR(C1348="",D1348=""),"",ROUND(MOD(D1348-C1348,1)*24,2))</f>
        <v/>
      </c>
      <c r="F1348" s="28" t="n"/>
      <c r="G1348" s="28" t="n"/>
      <c r="H1348" s="1" t="n"/>
    </row>
    <row r="1349">
      <c r="A1349" s="1" t="n"/>
      <c r="B1349" s="26" t="n"/>
      <c r="C1349" s="27" t="n"/>
      <c r="D1349" s="27" t="n"/>
      <c r="E1349" s="21">
        <f>IF(OR(C1349="",D1349=""),"",ROUND(MOD(D1349-C1349,1)*24,2))</f>
        <v/>
      </c>
      <c r="F1349" s="28" t="n"/>
      <c r="G1349" s="28" t="n"/>
      <c r="H1349" s="1" t="n"/>
    </row>
    <row r="1350">
      <c r="A1350" s="1" t="n"/>
      <c r="B1350" s="26" t="n"/>
      <c r="C1350" s="27" t="n"/>
      <c r="D1350" s="27" t="n"/>
      <c r="E1350" s="21">
        <f>IF(OR(C1350="",D1350=""),"",ROUND(MOD(D1350-C1350,1)*24,2))</f>
        <v/>
      </c>
      <c r="F1350" s="28" t="n"/>
      <c r="G1350" s="28" t="n"/>
      <c r="H1350" s="1" t="n"/>
    </row>
    <row r="1351">
      <c r="A1351" s="1" t="n"/>
      <c r="B1351" s="26" t="n"/>
      <c r="C1351" s="27" t="n"/>
      <c r="D1351" s="27" t="n"/>
      <c r="E1351" s="21">
        <f>IF(OR(C1351="",D1351=""),"",ROUND(MOD(D1351-C1351,1)*24,2))</f>
        <v/>
      </c>
      <c r="F1351" s="28" t="n"/>
      <c r="G1351" s="28" t="n"/>
      <c r="H1351" s="1" t="n"/>
    </row>
    <row r="1352">
      <c r="A1352" s="1" t="n"/>
      <c r="B1352" s="26" t="n"/>
      <c r="C1352" s="27" t="n"/>
      <c r="D1352" s="27" t="n"/>
      <c r="E1352" s="21">
        <f>IF(OR(C1352="",D1352=""),"",ROUND(MOD(D1352-C1352,1)*24,2))</f>
        <v/>
      </c>
      <c r="F1352" s="28" t="n"/>
      <c r="G1352" s="28" t="n"/>
      <c r="H1352" s="1" t="n"/>
    </row>
    <row r="1353">
      <c r="A1353" s="1" t="n"/>
      <c r="B1353" s="26" t="n"/>
      <c r="C1353" s="27" t="n"/>
      <c r="D1353" s="27" t="n"/>
      <c r="E1353" s="21">
        <f>IF(OR(C1353="",D1353=""),"",ROUND(MOD(D1353-C1353,1)*24,2))</f>
        <v/>
      </c>
      <c r="F1353" s="28" t="n"/>
      <c r="G1353" s="28" t="n"/>
      <c r="H1353" s="1" t="n"/>
    </row>
    <row r="1354">
      <c r="A1354" s="1" t="n"/>
      <c r="B1354" s="26" t="n"/>
      <c r="C1354" s="27" t="n"/>
      <c r="D1354" s="27" t="n"/>
      <c r="E1354" s="21">
        <f>IF(OR(C1354="",D1354=""),"",ROUND(MOD(D1354-C1354,1)*24,2))</f>
        <v/>
      </c>
      <c r="F1354" s="28" t="n"/>
      <c r="G1354" s="28" t="n"/>
      <c r="H1354" s="1" t="n"/>
    </row>
    <row r="1355">
      <c r="A1355" s="1" t="n"/>
      <c r="B1355" s="26" t="n"/>
      <c r="C1355" s="27" t="n"/>
      <c r="D1355" s="27" t="n"/>
      <c r="E1355" s="21">
        <f>IF(OR(C1355="",D1355=""),"",ROUND(MOD(D1355-C1355,1)*24,2))</f>
        <v/>
      </c>
      <c r="F1355" s="28" t="n"/>
      <c r="G1355" s="28" t="n"/>
      <c r="H1355" s="1" t="n"/>
    </row>
    <row r="1356">
      <c r="A1356" s="1" t="n"/>
      <c r="B1356" s="26" t="n"/>
      <c r="C1356" s="27" t="n"/>
      <c r="D1356" s="27" t="n"/>
      <c r="E1356" s="21">
        <f>IF(OR(C1356="",D1356=""),"",ROUND(MOD(D1356-C1356,1)*24,2))</f>
        <v/>
      </c>
      <c r="F1356" s="28" t="n"/>
      <c r="G1356" s="28" t="n"/>
      <c r="H1356" s="1" t="n"/>
    </row>
    <row r="1357">
      <c r="A1357" s="1" t="n"/>
      <c r="B1357" s="26" t="n"/>
      <c r="C1357" s="27" t="n"/>
      <c r="D1357" s="27" t="n"/>
      <c r="E1357" s="21">
        <f>IF(OR(C1357="",D1357=""),"",ROUND(MOD(D1357-C1357,1)*24,2))</f>
        <v/>
      </c>
      <c r="F1357" s="28" t="n"/>
      <c r="G1357" s="28" t="n"/>
      <c r="H1357" s="1" t="n"/>
    </row>
    <row r="1358">
      <c r="A1358" s="1" t="n"/>
      <c r="B1358" s="26" t="n"/>
      <c r="C1358" s="27" t="n"/>
      <c r="D1358" s="27" t="n"/>
      <c r="E1358" s="21">
        <f>IF(OR(C1358="",D1358=""),"",ROUND(MOD(D1358-C1358,1)*24,2))</f>
        <v/>
      </c>
      <c r="F1358" s="28" t="n"/>
      <c r="G1358" s="28" t="n"/>
      <c r="H1358" s="1" t="n"/>
    </row>
    <row r="1359">
      <c r="A1359" s="1" t="n"/>
      <c r="B1359" s="26" t="n"/>
      <c r="C1359" s="27" t="n"/>
      <c r="D1359" s="27" t="n"/>
      <c r="E1359" s="21">
        <f>IF(OR(C1359="",D1359=""),"",ROUND(MOD(D1359-C1359,1)*24,2))</f>
        <v/>
      </c>
      <c r="F1359" s="28" t="n"/>
      <c r="G1359" s="28" t="n"/>
      <c r="H1359" s="1" t="n"/>
    </row>
    <row r="1360">
      <c r="A1360" s="1" t="n"/>
      <c r="B1360" s="26" t="n"/>
      <c r="C1360" s="27" t="n"/>
      <c r="D1360" s="27" t="n"/>
      <c r="E1360" s="21">
        <f>IF(OR(C1360="",D1360=""),"",ROUND(MOD(D1360-C1360,1)*24,2))</f>
        <v/>
      </c>
      <c r="F1360" s="28" t="n"/>
      <c r="G1360" s="28" t="n"/>
      <c r="H1360" s="1" t="n"/>
    </row>
    <row r="1361">
      <c r="A1361" s="1" t="n"/>
      <c r="B1361" s="26" t="n"/>
      <c r="C1361" s="27" t="n"/>
      <c r="D1361" s="27" t="n"/>
      <c r="E1361" s="21">
        <f>IF(OR(C1361="",D1361=""),"",ROUND(MOD(D1361-C1361,1)*24,2))</f>
        <v/>
      </c>
      <c r="F1361" s="28" t="n"/>
      <c r="G1361" s="28" t="n"/>
      <c r="H1361" s="1" t="n"/>
    </row>
    <row r="1362">
      <c r="A1362" s="1" t="n"/>
      <c r="B1362" s="26" t="n"/>
      <c r="C1362" s="27" t="n"/>
      <c r="D1362" s="27" t="n"/>
      <c r="E1362" s="21">
        <f>IF(OR(C1362="",D1362=""),"",ROUND(MOD(D1362-C1362,1)*24,2))</f>
        <v/>
      </c>
      <c r="F1362" s="28" t="n"/>
      <c r="G1362" s="28" t="n"/>
      <c r="H1362" s="1" t="n"/>
    </row>
    <row r="1363">
      <c r="A1363" s="1" t="n"/>
      <c r="B1363" s="26" t="n"/>
      <c r="C1363" s="27" t="n"/>
      <c r="D1363" s="27" t="n"/>
      <c r="E1363" s="21">
        <f>IF(OR(C1363="",D1363=""),"",ROUND(MOD(D1363-C1363,1)*24,2))</f>
        <v/>
      </c>
      <c r="F1363" s="28" t="n"/>
      <c r="G1363" s="28" t="n"/>
      <c r="H1363" s="1" t="n"/>
    </row>
    <row r="1364">
      <c r="A1364" s="1" t="n"/>
      <c r="B1364" s="26" t="n"/>
      <c r="C1364" s="27" t="n"/>
      <c r="D1364" s="27" t="n"/>
      <c r="E1364" s="21">
        <f>IF(OR(C1364="",D1364=""),"",ROUND(MOD(D1364-C1364,1)*24,2))</f>
        <v/>
      </c>
      <c r="F1364" s="28" t="n"/>
      <c r="G1364" s="28" t="n"/>
      <c r="H1364" s="1" t="n"/>
    </row>
    <row r="1365">
      <c r="A1365" s="1" t="n"/>
      <c r="B1365" s="26" t="n"/>
      <c r="C1365" s="27" t="n"/>
      <c r="D1365" s="27" t="n"/>
      <c r="E1365" s="21">
        <f>IF(OR(C1365="",D1365=""),"",ROUND(MOD(D1365-C1365,1)*24,2))</f>
        <v/>
      </c>
      <c r="F1365" s="28" t="n"/>
      <c r="G1365" s="28" t="n"/>
      <c r="H1365" s="1" t="n"/>
    </row>
    <row r="1366">
      <c r="A1366" s="1" t="n"/>
      <c r="B1366" s="26" t="n"/>
      <c r="C1366" s="27" t="n"/>
      <c r="D1366" s="27" t="n"/>
      <c r="E1366" s="21">
        <f>IF(OR(C1366="",D1366=""),"",ROUND(MOD(D1366-C1366,1)*24,2))</f>
        <v/>
      </c>
      <c r="F1366" s="28" t="n"/>
      <c r="G1366" s="28" t="n"/>
      <c r="H1366" s="1" t="n"/>
    </row>
    <row r="1367">
      <c r="A1367" s="1" t="n"/>
      <c r="B1367" s="26" t="n"/>
      <c r="C1367" s="27" t="n"/>
      <c r="D1367" s="27" t="n"/>
      <c r="E1367" s="21">
        <f>IF(OR(C1367="",D1367=""),"",ROUND(MOD(D1367-C1367,1)*24,2))</f>
        <v/>
      </c>
      <c r="F1367" s="28" t="n"/>
      <c r="G1367" s="28" t="n"/>
      <c r="H1367" s="1" t="n"/>
    </row>
    <row r="1368">
      <c r="A1368" s="1" t="n"/>
      <c r="B1368" s="26" t="n"/>
      <c r="C1368" s="27" t="n"/>
      <c r="D1368" s="27" t="n"/>
      <c r="E1368" s="21">
        <f>IF(OR(C1368="",D1368=""),"",ROUND(MOD(D1368-C1368,1)*24,2))</f>
        <v/>
      </c>
      <c r="F1368" s="28" t="n"/>
      <c r="G1368" s="28" t="n"/>
      <c r="H1368" s="1" t="n"/>
    </row>
    <row r="1369">
      <c r="A1369" s="1" t="n"/>
      <c r="B1369" s="26" t="n"/>
      <c r="C1369" s="27" t="n"/>
      <c r="D1369" s="27" t="n"/>
      <c r="E1369" s="21">
        <f>IF(OR(C1369="",D1369=""),"",ROUND(MOD(D1369-C1369,1)*24,2))</f>
        <v/>
      </c>
      <c r="F1369" s="28" t="n"/>
      <c r="G1369" s="28" t="n"/>
      <c r="H1369" s="1" t="n"/>
    </row>
    <row r="1370">
      <c r="A1370" s="1" t="n"/>
      <c r="B1370" s="26" t="n"/>
      <c r="C1370" s="27" t="n"/>
      <c r="D1370" s="27" t="n"/>
      <c r="E1370" s="21">
        <f>IF(OR(C1370="",D1370=""),"",ROUND(MOD(D1370-C1370,1)*24,2))</f>
        <v/>
      </c>
      <c r="F1370" s="28" t="n"/>
      <c r="G1370" s="28" t="n"/>
      <c r="H1370" s="1" t="n"/>
    </row>
    <row r="1371">
      <c r="A1371" s="1" t="n"/>
      <c r="B1371" s="26" t="n"/>
      <c r="C1371" s="27" t="n"/>
      <c r="D1371" s="27" t="n"/>
      <c r="E1371" s="21">
        <f>IF(OR(C1371="",D1371=""),"",ROUND(MOD(D1371-C1371,1)*24,2))</f>
        <v/>
      </c>
      <c r="F1371" s="28" t="n"/>
      <c r="G1371" s="28" t="n"/>
      <c r="H1371" s="1" t="n"/>
    </row>
    <row r="1372">
      <c r="A1372" s="1" t="n"/>
      <c r="B1372" s="26" t="n"/>
      <c r="C1372" s="27" t="n"/>
      <c r="D1372" s="27" t="n"/>
      <c r="E1372" s="21">
        <f>IF(OR(C1372="",D1372=""),"",ROUND(MOD(D1372-C1372,1)*24,2))</f>
        <v/>
      </c>
      <c r="F1372" s="28" t="n"/>
      <c r="G1372" s="28" t="n"/>
      <c r="H1372" s="1" t="n"/>
    </row>
    <row r="1373">
      <c r="A1373" s="1" t="n"/>
      <c r="B1373" s="26" t="n"/>
      <c r="C1373" s="27" t="n"/>
      <c r="D1373" s="27" t="n"/>
      <c r="E1373" s="21">
        <f>IF(OR(C1373="",D1373=""),"",ROUND(MOD(D1373-C1373,1)*24,2))</f>
        <v/>
      </c>
      <c r="F1373" s="28" t="n"/>
      <c r="G1373" s="28" t="n"/>
      <c r="H1373" s="1" t="n"/>
    </row>
    <row r="1374">
      <c r="A1374" s="1" t="n"/>
      <c r="B1374" s="26" t="n"/>
      <c r="C1374" s="27" t="n"/>
      <c r="D1374" s="27" t="n"/>
      <c r="E1374" s="21">
        <f>IF(OR(C1374="",D1374=""),"",ROUND(MOD(D1374-C1374,1)*24,2))</f>
        <v/>
      </c>
      <c r="F1374" s="28" t="n"/>
      <c r="G1374" s="28" t="n"/>
      <c r="H1374" s="1" t="n"/>
    </row>
    <row r="1375">
      <c r="A1375" s="1" t="n"/>
      <c r="B1375" s="26" t="n"/>
      <c r="C1375" s="27" t="n"/>
      <c r="D1375" s="27" t="n"/>
      <c r="E1375" s="21">
        <f>IF(OR(C1375="",D1375=""),"",ROUND(MOD(D1375-C1375,1)*24,2))</f>
        <v/>
      </c>
      <c r="F1375" s="28" t="n"/>
      <c r="G1375" s="28" t="n"/>
      <c r="H1375" s="1" t="n"/>
    </row>
    <row r="1376">
      <c r="A1376" s="1" t="n"/>
      <c r="B1376" s="26" t="n"/>
      <c r="C1376" s="27" t="n"/>
      <c r="D1376" s="27" t="n"/>
      <c r="E1376" s="21">
        <f>IF(OR(C1376="",D1376=""),"",ROUND(MOD(D1376-C1376,1)*24,2))</f>
        <v/>
      </c>
      <c r="F1376" s="28" t="n"/>
      <c r="G1376" s="28" t="n"/>
      <c r="H1376" s="1" t="n"/>
    </row>
    <row r="1377">
      <c r="A1377" s="1" t="n"/>
      <c r="B1377" s="26" t="n"/>
      <c r="C1377" s="27" t="n"/>
      <c r="D1377" s="27" t="n"/>
      <c r="E1377" s="21">
        <f>IF(OR(C1377="",D1377=""),"",ROUND(MOD(D1377-C1377,1)*24,2))</f>
        <v/>
      </c>
      <c r="F1377" s="28" t="n"/>
      <c r="G1377" s="28" t="n"/>
      <c r="H1377" s="1" t="n"/>
    </row>
    <row r="1378">
      <c r="A1378" s="1" t="n"/>
      <c r="B1378" s="26" t="n"/>
      <c r="C1378" s="27" t="n"/>
      <c r="D1378" s="27" t="n"/>
      <c r="E1378" s="21">
        <f>IF(OR(C1378="",D1378=""),"",ROUND(MOD(D1378-C1378,1)*24,2))</f>
        <v/>
      </c>
      <c r="F1378" s="28" t="n"/>
      <c r="G1378" s="28" t="n"/>
      <c r="H1378" s="1" t="n"/>
    </row>
    <row r="1379">
      <c r="A1379" s="1" t="n"/>
      <c r="B1379" s="26" t="n"/>
      <c r="C1379" s="27" t="n"/>
      <c r="D1379" s="27" t="n"/>
      <c r="E1379" s="21">
        <f>IF(OR(C1379="",D1379=""),"",ROUND(MOD(D1379-C1379,1)*24,2))</f>
        <v/>
      </c>
      <c r="F1379" s="28" t="n"/>
      <c r="G1379" s="28" t="n"/>
      <c r="H1379" s="1" t="n"/>
    </row>
    <row r="1380">
      <c r="A1380" s="1" t="n"/>
      <c r="B1380" s="26" t="n"/>
      <c r="C1380" s="27" t="n"/>
      <c r="D1380" s="27" t="n"/>
      <c r="E1380" s="21">
        <f>IF(OR(C1380="",D1380=""),"",ROUND(MOD(D1380-C1380,1)*24,2))</f>
        <v/>
      </c>
      <c r="F1380" s="28" t="n"/>
      <c r="G1380" s="28" t="n"/>
      <c r="H1380" s="1" t="n"/>
    </row>
    <row r="1381">
      <c r="A1381" s="1" t="n"/>
      <c r="B1381" s="26" t="n"/>
      <c r="C1381" s="27" t="n"/>
      <c r="D1381" s="27" t="n"/>
      <c r="E1381" s="21">
        <f>IF(OR(C1381="",D1381=""),"",ROUND(MOD(D1381-C1381,1)*24,2))</f>
        <v/>
      </c>
      <c r="F1381" s="28" t="n"/>
      <c r="G1381" s="28" t="n"/>
      <c r="H1381" s="1" t="n"/>
    </row>
    <row r="1382">
      <c r="A1382" s="1" t="n"/>
      <c r="B1382" s="26" t="n"/>
      <c r="C1382" s="27" t="n"/>
      <c r="D1382" s="27" t="n"/>
      <c r="E1382" s="21">
        <f>IF(OR(C1382="",D1382=""),"",ROUND(MOD(D1382-C1382,1)*24,2))</f>
        <v/>
      </c>
      <c r="F1382" s="28" t="n"/>
      <c r="G1382" s="28" t="n"/>
      <c r="H1382" s="1" t="n"/>
    </row>
    <row r="1383">
      <c r="A1383" s="1" t="n"/>
      <c r="B1383" s="26" t="n"/>
      <c r="C1383" s="27" t="n"/>
      <c r="D1383" s="27" t="n"/>
      <c r="E1383" s="21">
        <f>IF(OR(C1383="",D1383=""),"",ROUND(MOD(D1383-C1383,1)*24,2))</f>
        <v/>
      </c>
      <c r="F1383" s="28" t="n"/>
      <c r="G1383" s="28" t="n"/>
      <c r="H1383" s="1" t="n"/>
    </row>
    <row r="1384">
      <c r="A1384" s="1" t="n"/>
      <c r="B1384" s="26" t="n"/>
      <c r="C1384" s="27" t="n"/>
      <c r="D1384" s="27" t="n"/>
      <c r="E1384" s="21">
        <f>IF(OR(C1384="",D1384=""),"",ROUND(MOD(D1384-C1384,1)*24,2))</f>
        <v/>
      </c>
      <c r="F1384" s="28" t="n"/>
      <c r="G1384" s="28" t="n"/>
      <c r="H1384" s="1" t="n"/>
    </row>
    <row r="1385">
      <c r="A1385" s="1" t="n"/>
      <c r="B1385" s="26" t="n"/>
      <c r="C1385" s="27" t="n"/>
      <c r="D1385" s="27" t="n"/>
      <c r="E1385" s="21">
        <f>IF(OR(C1385="",D1385=""),"",ROUND(MOD(D1385-C1385,1)*24,2))</f>
        <v/>
      </c>
      <c r="F1385" s="28" t="n"/>
      <c r="G1385" s="28" t="n"/>
      <c r="H1385" s="1" t="n"/>
    </row>
    <row r="1386">
      <c r="A1386" s="1" t="n"/>
      <c r="B1386" s="26" t="n"/>
      <c r="C1386" s="27" t="n"/>
      <c r="D1386" s="27" t="n"/>
      <c r="E1386" s="21">
        <f>IF(OR(C1386="",D1386=""),"",ROUND(MOD(D1386-C1386,1)*24,2))</f>
        <v/>
      </c>
      <c r="F1386" s="28" t="n"/>
      <c r="G1386" s="28" t="n"/>
      <c r="H1386" s="1" t="n"/>
    </row>
    <row r="1387">
      <c r="A1387" s="1" t="n"/>
      <c r="B1387" s="26" t="n"/>
      <c r="C1387" s="27" t="n"/>
      <c r="D1387" s="27" t="n"/>
      <c r="E1387" s="21">
        <f>IF(OR(C1387="",D1387=""),"",ROUND(MOD(D1387-C1387,1)*24,2))</f>
        <v/>
      </c>
      <c r="F1387" s="28" t="n"/>
      <c r="G1387" s="28" t="n"/>
      <c r="H1387" s="1" t="n"/>
    </row>
    <row r="1388">
      <c r="A1388" s="1" t="n"/>
      <c r="B1388" s="26" t="n"/>
      <c r="C1388" s="27" t="n"/>
      <c r="D1388" s="27" t="n"/>
      <c r="E1388" s="21">
        <f>IF(OR(C1388="",D1388=""),"",ROUND(MOD(D1388-C1388,1)*24,2))</f>
        <v/>
      </c>
      <c r="F1388" s="28" t="n"/>
      <c r="G1388" s="28" t="n"/>
      <c r="H1388" s="1" t="n"/>
    </row>
    <row r="1389">
      <c r="A1389" s="1" t="n"/>
      <c r="B1389" s="26" t="n"/>
      <c r="C1389" s="27" t="n"/>
      <c r="D1389" s="27" t="n"/>
      <c r="E1389" s="21">
        <f>IF(OR(C1389="",D1389=""),"",ROUND(MOD(D1389-C1389,1)*24,2))</f>
        <v/>
      </c>
      <c r="F1389" s="28" t="n"/>
      <c r="G1389" s="28" t="n"/>
      <c r="H1389" s="1" t="n"/>
    </row>
    <row r="1390">
      <c r="A1390" s="1" t="n"/>
      <c r="B1390" s="26" t="n"/>
      <c r="C1390" s="27" t="n"/>
      <c r="D1390" s="27" t="n"/>
      <c r="E1390" s="21">
        <f>IF(OR(C1390="",D1390=""),"",ROUND(MOD(D1390-C1390,1)*24,2))</f>
        <v/>
      </c>
      <c r="F1390" s="28" t="n"/>
      <c r="G1390" s="28" t="n"/>
      <c r="H1390" s="1" t="n"/>
    </row>
    <row r="1391">
      <c r="A1391" s="1" t="n"/>
      <c r="B1391" s="26" t="n"/>
      <c r="C1391" s="27" t="n"/>
      <c r="D1391" s="27" t="n"/>
      <c r="E1391" s="21">
        <f>IF(OR(C1391="",D1391=""),"",ROUND(MOD(D1391-C1391,1)*24,2))</f>
        <v/>
      </c>
      <c r="F1391" s="28" t="n"/>
      <c r="G1391" s="28" t="n"/>
      <c r="H1391" s="1" t="n"/>
    </row>
    <row r="1392">
      <c r="A1392" s="1" t="n"/>
      <c r="B1392" s="26" t="n"/>
      <c r="C1392" s="27" t="n"/>
      <c r="D1392" s="27" t="n"/>
      <c r="E1392" s="21">
        <f>IF(OR(C1392="",D1392=""),"",ROUND(MOD(D1392-C1392,1)*24,2))</f>
        <v/>
      </c>
      <c r="F1392" s="28" t="n"/>
      <c r="G1392" s="28" t="n"/>
      <c r="H1392" s="1" t="n"/>
    </row>
    <row r="1393">
      <c r="A1393" s="1" t="n"/>
      <c r="B1393" s="26" t="n"/>
      <c r="C1393" s="27" t="n"/>
      <c r="D1393" s="27" t="n"/>
      <c r="E1393" s="21">
        <f>IF(OR(C1393="",D1393=""),"",ROUND(MOD(D1393-C1393,1)*24,2))</f>
        <v/>
      </c>
      <c r="F1393" s="28" t="n"/>
      <c r="G1393" s="28" t="n"/>
      <c r="H1393" s="1" t="n"/>
    </row>
    <row r="1394">
      <c r="A1394" s="1" t="n"/>
      <c r="B1394" s="26" t="n"/>
      <c r="C1394" s="27" t="n"/>
      <c r="D1394" s="27" t="n"/>
      <c r="E1394" s="21">
        <f>IF(OR(C1394="",D1394=""),"",ROUND(MOD(D1394-C1394,1)*24,2))</f>
        <v/>
      </c>
      <c r="F1394" s="28" t="n"/>
      <c r="G1394" s="28" t="n"/>
      <c r="H1394" s="1" t="n"/>
    </row>
    <row r="1395">
      <c r="A1395" s="1" t="n"/>
      <c r="B1395" s="26" t="n"/>
      <c r="C1395" s="27" t="n"/>
      <c r="D1395" s="27" t="n"/>
      <c r="E1395" s="21">
        <f>IF(OR(C1395="",D1395=""),"",ROUND(MOD(D1395-C1395,1)*24,2))</f>
        <v/>
      </c>
      <c r="F1395" s="28" t="n"/>
      <c r="G1395" s="28" t="n"/>
      <c r="H1395" s="1" t="n"/>
    </row>
    <row r="1396">
      <c r="A1396" s="1" t="n"/>
      <c r="B1396" s="26" t="n"/>
      <c r="C1396" s="27" t="n"/>
      <c r="D1396" s="27" t="n"/>
      <c r="E1396" s="21">
        <f>IF(OR(C1396="",D1396=""),"",ROUND(MOD(D1396-C1396,1)*24,2))</f>
        <v/>
      </c>
      <c r="F1396" s="28" t="n"/>
      <c r="G1396" s="28" t="n"/>
      <c r="H1396" s="1" t="n"/>
    </row>
    <row r="1397">
      <c r="A1397" s="1" t="n"/>
      <c r="B1397" s="26" t="n"/>
      <c r="C1397" s="27" t="n"/>
      <c r="D1397" s="27" t="n"/>
      <c r="E1397" s="21">
        <f>IF(OR(C1397="",D1397=""),"",ROUND(MOD(D1397-C1397,1)*24,2))</f>
        <v/>
      </c>
      <c r="F1397" s="28" t="n"/>
      <c r="G1397" s="28" t="n"/>
      <c r="H1397" s="1" t="n"/>
    </row>
    <row r="1398">
      <c r="A1398" s="1" t="n"/>
      <c r="B1398" s="26" t="n"/>
      <c r="C1398" s="27" t="n"/>
      <c r="D1398" s="27" t="n"/>
      <c r="E1398" s="21">
        <f>IF(OR(C1398="",D1398=""),"",ROUND(MOD(D1398-C1398,1)*24,2))</f>
        <v/>
      </c>
      <c r="F1398" s="28" t="n"/>
      <c r="G1398" s="28" t="n"/>
      <c r="H1398" s="1" t="n"/>
    </row>
    <row r="1399">
      <c r="A1399" s="1" t="n"/>
      <c r="B1399" s="26" t="n"/>
      <c r="C1399" s="27" t="n"/>
      <c r="D1399" s="27" t="n"/>
      <c r="E1399" s="21">
        <f>IF(OR(C1399="",D1399=""),"",ROUND(MOD(D1399-C1399,1)*24,2))</f>
        <v/>
      </c>
      <c r="F1399" s="28" t="n"/>
      <c r="G1399" s="28" t="n"/>
      <c r="H1399" s="1" t="n"/>
    </row>
    <row r="1400">
      <c r="A1400" s="1" t="n"/>
      <c r="B1400" s="26" t="n"/>
      <c r="C1400" s="27" t="n"/>
      <c r="D1400" s="27" t="n"/>
      <c r="E1400" s="21">
        <f>IF(OR(C1400="",D1400=""),"",ROUND(MOD(D1400-C1400,1)*24,2))</f>
        <v/>
      </c>
      <c r="F1400" s="28" t="n"/>
      <c r="G1400" s="28" t="n"/>
      <c r="H1400" s="1" t="n"/>
    </row>
    <row r="1401">
      <c r="A1401" s="1" t="n"/>
      <c r="B1401" s="26" t="n"/>
      <c r="C1401" s="27" t="n"/>
      <c r="D1401" s="27" t="n"/>
      <c r="E1401" s="21">
        <f>IF(OR(C1401="",D1401=""),"",ROUND(MOD(D1401-C1401,1)*24,2))</f>
        <v/>
      </c>
      <c r="F1401" s="28" t="n"/>
      <c r="G1401" s="28" t="n"/>
      <c r="H1401" s="1" t="n"/>
    </row>
    <row r="1402">
      <c r="A1402" s="1" t="n"/>
      <c r="B1402" s="26" t="n"/>
      <c r="C1402" s="27" t="n"/>
      <c r="D1402" s="27" t="n"/>
      <c r="E1402" s="21">
        <f>IF(OR(C1402="",D1402=""),"",ROUND(MOD(D1402-C1402,1)*24,2))</f>
        <v/>
      </c>
      <c r="F1402" s="28" t="n"/>
      <c r="G1402" s="28" t="n"/>
      <c r="H1402" s="1" t="n"/>
    </row>
    <row r="1403">
      <c r="A1403" s="1" t="n"/>
      <c r="B1403" s="26" t="n"/>
      <c r="C1403" s="27" t="n"/>
      <c r="D1403" s="27" t="n"/>
      <c r="E1403" s="21">
        <f>IF(OR(C1403="",D1403=""),"",ROUND(MOD(D1403-C1403,1)*24,2))</f>
        <v/>
      </c>
      <c r="F1403" s="28" t="n"/>
      <c r="G1403" s="28" t="n"/>
      <c r="H1403" s="1" t="n"/>
    </row>
    <row r="1404">
      <c r="A1404" s="1" t="n"/>
      <c r="B1404" s="26" t="n"/>
      <c r="C1404" s="27" t="n"/>
      <c r="D1404" s="27" t="n"/>
      <c r="E1404" s="21">
        <f>IF(OR(C1404="",D1404=""),"",ROUND(MOD(D1404-C1404,1)*24,2))</f>
        <v/>
      </c>
      <c r="F1404" s="28" t="n"/>
      <c r="G1404" s="28" t="n"/>
      <c r="H1404" s="1" t="n"/>
    </row>
    <row r="1405">
      <c r="A1405" s="1" t="n"/>
      <c r="B1405" s="26" t="n"/>
      <c r="C1405" s="27" t="n"/>
      <c r="D1405" s="27" t="n"/>
      <c r="E1405" s="21">
        <f>IF(OR(C1405="",D1405=""),"",ROUND(MOD(D1405-C1405,1)*24,2))</f>
        <v/>
      </c>
      <c r="F1405" s="28" t="n"/>
      <c r="G1405" s="28" t="n"/>
      <c r="H1405" s="1" t="n"/>
    </row>
    <row r="1406">
      <c r="A1406" s="1" t="n"/>
      <c r="B1406" s="26" t="n"/>
      <c r="C1406" s="27" t="n"/>
      <c r="D1406" s="27" t="n"/>
      <c r="E1406" s="21">
        <f>IF(OR(C1406="",D1406=""),"",ROUND(MOD(D1406-C1406,1)*24,2))</f>
        <v/>
      </c>
      <c r="F1406" s="28" t="n"/>
      <c r="G1406" s="28" t="n"/>
      <c r="H1406" s="1" t="n"/>
    </row>
    <row r="1407">
      <c r="A1407" s="1" t="n"/>
      <c r="B1407" s="26" t="n"/>
      <c r="C1407" s="27" t="n"/>
      <c r="D1407" s="27" t="n"/>
      <c r="E1407" s="21">
        <f>IF(OR(C1407="",D1407=""),"",ROUND(MOD(D1407-C1407,1)*24,2))</f>
        <v/>
      </c>
      <c r="F1407" s="28" t="n"/>
      <c r="G1407" s="28" t="n"/>
      <c r="H1407" s="1" t="n"/>
    </row>
    <row r="1408">
      <c r="A1408" s="1" t="n"/>
      <c r="B1408" s="26" t="n"/>
      <c r="C1408" s="27" t="n"/>
      <c r="D1408" s="27" t="n"/>
      <c r="E1408" s="21">
        <f>IF(OR(C1408="",D1408=""),"",ROUND(MOD(D1408-C1408,1)*24,2))</f>
        <v/>
      </c>
      <c r="F1408" s="28" t="n"/>
      <c r="G1408" s="28" t="n"/>
      <c r="H1408" s="1" t="n"/>
    </row>
    <row r="1409">
      <c r="A1409" s="1" t="n"/>
      <c r="B1409" s="26" t="n"/>
      <c r="C1409" s="27" t="n"/>
      <c r="D1409" s="27" t="n"/>
      <c r="E1409" s="21">
        <f>IF(OR(C1409="",D1409=""),"",ROUND(MOD(D1409-C1409,1)*24,2))</f>
        <v/>
      </c>
      <c r="F1409" s="28" t="n"/>
      <c r="G1409" s="28" t="n"/>
      <c r="H1409" s="1" t="n"/>
    </row>
    <row r="1410">
      <c r="A1410" s="1" t="n"/>
      <c r="B1410" s="26" t="n"/>
      <c r="C1410" s="27" t="n"/>
      <c r="D1410" s="27" t="n"/>
      <c r="E1410" s="21">
        <f>IF(OR(C1410="",D1410=""),"",ROUND(MOD(D1410-C1410,1)*24,2))</f>
        <v/>
      </c>
      <c r="F1410" s="28" t="n"/>
      <c r="G1410" s="28" t="n"/>
      <c r="H1410" s="1" t="n"/>
    </row>
    <row r="1411">
      <c r="A1411" s="1" t="n"/>
      <c r="B1411" s="26" t="n"/>
      <c r="C1411" s="27" t="n"/>
      <c r="D1411" s="27" t="n"/>
      <c r="E1411" s="21">
        <f>IF(OR(C1411="",D1411=""),"",ROUND(MOD(D1411-C1411,1)*24,2))</f>
        <v/>
      </c>
      <c r="F1411" s="28" t="n"/>
      <c r="G1411" s="28" t="n"/>
      <c r="H1411" s="1" t="n"/>
    </row>
    <row r="1412">
      <c r="A1412" s="1" t="n"/>
      <c r="B1412" s="26" t="n"/>
      <c r="C1412" s="27" t="n"/>
      <c r="D1412" s="27" t="n"/>
      <c r="E1412" s="21">
        <f>IF(OR(C1412="",D1412=""),"",ROUND(MOD(D1412-C1412,1)*24,2))</f>
        <v/>
      </c>
      <c r="F1412" s="28" t="n"/>
      <c r="G1412" s="28" t="n"/>
      <c r="H1412" s="1" t="n"/>
    </row>
    <row r="1413">
      <c r="A1413" s="1" t="n"/>
      <c r="B1413" s="26" t="n"/>
      <c r="C1413" s="27" t="n"/>
      <c r="D1413" s="27" t="n"/>
      <c r="E1413" s="21">
        <f>IF(OR(C1413="",D1413=""),"",ROUND(MOD(D1413-C1413,1)*24,2))</f>
        <v/>
      </c>
      <c r="F1413" s="28" t="n"/>
      <c r="G1413" s="28" t="n"/>
      <c r="H1413" s="1" t="n"/>
    </row>
    <row r="1414">
      <c r="A1414" s="1" t="n"/>
      <c r="B1414" s="26" t="n"/>
      <c r="C1414" s="27" t="n"/>
      <c r="D1414" s="27" t="n"/>
      <c r="E1414" s="21">
        <f>IF(OR(C1414="",D1414=""),"",ROUND(MOD(D1414-C1414,1)*24,2))</f>
        <v/>
      </c>
      <c r="F1414" s="28" t="n"/>
      <c r="G1414" s="28" t="n"/>
      <c r="H1414" s="1" t="n"/>
    </row>
    <row r="1415">
      <c r="A1415" s="1" t="n"/>
      <c r="B1415" s="26" t="n"/>
      <c r="C1415" s="27" t="n"/>
      <c r="D1415" s="27" t="n"/>
      <c r="E1415" s="21">
        <f>IF(OR(C1415="",D1415=""),"",ROUND(MOD(D1415-C1415,1)*24,2))</f>
        <v/>
      </c>
      <c r="F1415" s="28" t="n"/>
      <c r="G1415" s="28" t="n"/>
      <c r="H1415" s="1" t="n"/>
    </row>
    <row r="1416">
      <c r="A1416" s="1" t="n"/>
      <c r="B1416" s="26" t="n"/>
      <c r="C1416" s="27" t="n"/>
      <c r="D1416" s="27" t="n"/>
      <c r="E1416" s="21">
        <f>IF(OR(C1416="",D1416=""),"",ROUND(MOD(D1416-C1416,1)*24,2))</f>
        <v/>
      </c>
      <c r="F1416" s="28" t="n"/>
      <c r="G1416" s="28" t="n"/>
      <c r="H1416" s="1" t="n"/>
    </row>
    <row r="1417">
      <c r="A1417" s="1" t="n"/>
      <c r="B1417" s="26" t="n"/>
      <c r="C1417" s="27" t="n"/>
      <c r="D1417" s="27" t="n"/>
      <c r="E1417" s="21">
        <f>IF(OR(C1417="",D1417=""),"",ROUND(MOD(D1417-C1417,1)*24,2))</f>
        <v/>
      </c>
      <c r="F1417" s="28" t="n"/>
      <c r="G1417" s="28" t="n"/>
      <c r="H1417" s="1" t="n"/>
    </row>
    <row r="1418">
      <c r="A1418" s="1" t="n"/>
      <c r="B1418" s="26" t="n"/>
      <c r="C1418" s="27" t="n"/>
      <c r="D1418" s="27" t="n"/>
      <c r="E1418" s="21">
        <f>IF(OR(C1418="",D1418=""),"",ROUND(MOD(D1418-C1418,1)*24,2))</f>
        <v/>
      </c>
      <c r="F1418" s="28" t="n"/>
      <c r="G1418" s="28" t="n"/>
      <c r="H1418" s="1" t="n"/>
    </row>
    <row r="1419">
      <c r="A1419" s="1" t="n"/>
      <c r="B1419" s="26" t="n"/>
      <c r="C1419" s="27" t="n"/>
      <c r="D1419" s="27" t="n"/>
      <c r="E1419" s="21">
        <f>IF(OR(C1419="",D1419=""),"",ROUND(MOD(D1419-C1419,1)*24,2))</f>
        <v/>
      </c>
      <c r="F1419" s="28" t="n"/>
      <c r="G1419" s="28" t="n"/>
      <c r="H1419" s="1" t="n"/>
    </row>
    <row r="1420">
      <c r="A1420" s="1" t="n"/>
      <c r="B1420" s="26" t="n"/>
      <c r="C1420" s="27" t="n"/>
      <c r="D1420" s="27" t="n"/>
      <c r="E1420" s="21">
        <f>IF(OR(C1420="",D1420=""),"",ROUND(MOD(D1420-C1420,1)*24,2))</f>
        <v/>
      </c>
      <c r="F1420" s="28" t="n"/>
      <c r="G1420" s="28" t="n"/>
      <c r="H1420" s="1" t="n"/>
    </row>
    <row r="1421">
      <c r="A1421" s="1" t="n"/>
      <c r="B1421" s="26" t="n"/>
      <c r="C1421" s="27" t="n"/>
      <c r="D1421" s="27" t="n"/>
      <c r="E1421" s="21">
        <f>IF(OR(C1421="",D1421=""),"",ROUND(MOD(D1421-C1421,1)*24,2))</f>
        <v/>
      </c>
      <c r="F1421" s="28" t="n"/>
      <c r="G1421" s="28" t="n"/>
      <c r="H1421" s="1" t="n"/>
    </row>
    <row r="1422">
      <c r="A1422" s="1" t="n"/>
      <c r="B1422" s="26" t="n"/>
      <c r="C1422" s="27" t="n"/>
      <c r="D1422" s="27" t="n"/>
      <c r="E1422" s="21">
        <f>IF(OR(C1422="",D1422=""),"",ROUND(MOD(D1422-C1422,1)*24,2))</f>
        <v/>
      </c>
      <c r="F1422" s="28" t="n"/>
      <c r="G1422" s="28" t="n"/>
      <c r="H1422" s="1" t="n"/>
    </row>
    <row r="1423">
      <c r="A1423" s="1" t="n"/>
      <c r="B1423" s="26" t="n"/>
      <c r="C1423" s="27" t="n"/>
      <c r="D1423" s="27" t="n"/>
      <c r="E1423" s="21">
        <f>IF(OR(C1423="",D1423=""),"",ROUND(MOD(D1423-C1423,1)*24,2))</f>
        <v/>
      </c>
      <c r="F1423" s="28" t="n"/>
      <c r="G1423" s="28" t="n"/>
      <c r="H1423" s="1" t="n"/>
    </row>
    <row r="1424">
      <c r="A1424" s="1" t="n"/>
      <c r="B1424" s="26" t="n"/>
      <c r="C1424" s="27" t="n"/>
      <c r="D1424" s="27" t="n"/>
      <c r="E1424" s="21">
        <f>IF(OR(C1424="",D1424=""),"",ROUND(MOD(D1424-C1424,1)*24,2))</f>
        <v/>
      </c>
      <c r="F1424" s="28" t="n"/>
      <c r="G1424" s="28" t="n"/>
      <c r="H1424" s="1" t="n"/>
    </row>
    <row r="1425">
      <c r="A1425" s="1" t="n"/>
      <c r="B1425" s="26" t="n"/>
      <c r="C1425" s="27" t="n"/>
      <c r="D1425" s="27" t="n"/>
      <c r="E1425" s="21">
        <f>IF(OR(C1425="",D1425=""),"",ROUND(MOD(D1425-C1425,1)*24,2))</f>
        <v/>
      </c>
      <c r="F1425" s="28" t="n"/>
      <c r="G1425" s="28" t="n"/>
      <c r="H1425" s="1" t="n"/>
    </row>
    <row r="1426">
      <c r="A1426" s="1" t="n"/>
      <c r="B1426" s="26" t="n"/>
      <c r="C1426" s="27" t="n"/>
      <c r="D1426" s="27" t="n"/>
      <c r="E1426" s="21">
        <f>IF(OR(C1426="",D1426=""),"",ROUND(MOD(D1426-C1426,1)*24,2))</f>
        <v/>
      </c>
      <c r="F1426" s="28" t="n"/>
      <c r="G1426" s="28" t="n"/>
      <c r="H1426" s="1" t="n"/>
    </row>
    <row r="1427">
      <c r="A1427" s="1" t="n"/>
      <c r="B1427" s="26" t="n"/>
      <c r="C1427" s="27" t="n"/>
      <c r="D1427" s="27" t="n"/>
      <c r="E1427" s="21">
        <f>IF(OR(C1427="",D1427=""),"",ROUND(MOD(D1427-C1427,1)*24,2))</f>
        <v/>
      </c>
      <c r="F1427" s="28" t="n"/>
      <c r="G1427" s="28" t="n"/>
      <c r="H1427" s="1" t="n"/>
    </row>
    <row r="1428">
      <c r="A1428" s="1" t="n"/>
      <c r="B1428" s="26" t="n"/>
      <c r="C1428" s="27" t="n"/>
      <c r="D1428" s="27" t="n"/>
      <c r="E1428" s="21">
        <f>IF(OR(C1428="",D1428=""),"",ROUND(MOD(D1428-C1428,1)*24,2))</f>
        <v/>
      </c>
      <c r="F1428" s="28" t="n"/>
      <c r="G1428" s="28" t="n"/>
      <c r="H1428" s="1" t="n"/>
    </row>
    <row r="1429">
      <c r="A1429" s="1" t="n"/>
      <c r="B1429" s="26" t="n"/>
      <c r="C1429" s="27" t="n"/>
      <c r="D1429" s="27" t="n"/>
      <c r="E1429" s="21">
        <f>IF(OR(C1429="",D1429=""),"",ROUND(MOD(D1429-C1429,1)*24,2))</f>
        <v/>
      </c>
      <c r="F1429" s="28" t="n"/>
      <c r="G1429" s="28" t="n"/>
      <c r="H1429" s="1" t="n"/>
    </row>
    <row r="1430">
      <c r="A1430" s="1" t="n"/>
      <c r="B1430" s="26" t="n"/>
      <c r="C1430" s="27" t="n"/>
      <c r="D1430" s="27" t="n"/>
      <c r="E1430" s="21">
        <f>IF(OR(C1430="",D1430=""),"",ROUND(MOD(D1430-C1430,1)*24,2))</f>
        <v/>
      </c>
      <c r="F1430" s="28" t="n"/>
      <c r="G1430" s="28" t="n"/>
      <c r="H1430" s="1" t="n"/>
    </row>
    <row r="1431">
      <c r="A1431" s="1" t="n"/>
      <c r="B1431" s="26" t="n"/>
      <c r="C1431" s="27" t="n"/>
      <c r="D1431" s="27" t="n"/>
      <c r="E1431" s="21">
        <f>IF(OR(C1431="",D1431=""),"",ROUND(MOD(D1431-C1431,1)*24,2))</f>
        <v/>
      </c>
      <c r="F1431" s="28" t="n"/>
      <c r="G1431" s="28" t="n"/>
      <c r="H1431" s="1" t="n"/>
    </row>
    <row r="1432">
      <c r="A1432" s="1" t="n"/>
      <c r="B1432" s="26" t="n"/>
      <c r="C1432" s="27" t="n"/>
      <c r="D1432" s="27" t="n"/>
      <c r="E1432" s="21">
        <f>IF(OR(C1432="",D1432=""),"",ROUND(MOD(D1432-C1432,1)*24,2))</f>
        <v/>
      </c>
      <c r="F1432" s="28" t="n"/>
      <c r="G1432" s="28" t="n"/>
      <c r="H1432" s="1" t="n"/>
    </row>
    <row r="1433">
      <c r="A1433" s="1" t="n"/>
      <c r="B1433" s="26" t="n"/>
      <c r="C1433" s="27" t="n"/>
      <c r="D1433" s="27" t="n"/>
      <c r="E1433" s="21">
        <f>IF(OR(C1433="",D1433=""),"",ROUND(MOD(D1433-C1433,1)*24,2))</f>
        <v/>
      </c>
      <c r="F1433" s="28" t="n"/>
      <c r="G1433" s="28" t="n"/>
      <c r="H1433" s="1" t="n"/>
    </row>
    <row r="1434">
      <c r="A1434" s="1" t="n"/>
      <c r="B1434" s="26" t="n"/>
      <c r="C1434" s="27" t="n"/>
      <c r="D1434" s="27" t="n"/>
      <c r="E1434" s="21">
        <f>IF(OR(C1434="",D1434=""),"",ROUND(MOD(D1434-C1434,1)*24,2))</f>
        <v/>
      </c>
      <c r="F1434" s="28" t="n"/>
      <c r="G1434" s="28" t="n"/>
      <c r="H1434" s="1" t="n"/>
    </row>
    <row r="1435">
      <c r="A1435" s="1" t="n"/>
      <c r="B1435" s="26" t="n"/>
      <c r="C1435" s="27" t="n"/>
      <c r="D1435" s="27" t="n"/>
      <c r="E1435" s="21">
        <f>IF(OR(C1435="",D1435=""),"",ROUND(MOD(D1435-C1435,1)*24,2))</f>
        <v/>
      </c>
      <c r="F1435" s="28" t="n"/>
      <c r="G1435" s="28" t="n"/>
      <c r="H1435" s="1" t="n"/>
    </row>
    <row r="1436">
      <c r="A1436" s="1" t="n"/>
      <c r="B1436" s="26" t="n"/>
      <c r="C1436" s="27" t="n"/>
      <c r="D1436" s="27" t="n"/>
      <c r="E1436" s="21">
        <f>IF(OR(C1436="",D1436=""),"",ROUND(MOD(D1436-C1436,1)*24,2))</f>
        <v/>
      </c>
      <c r="F1436" s="28" t="n"/>
      <c r="G1436" s="28" t="n"/>
      <c r="H1436" s="1" t="n"/>
    </row>
    <row r="1437">
      <c r="A1437" s="1" t="n"/>
      <c r="B1437" s="26" t="n"/>
      <c r="C1437" s="27" t="n"/>
      <c r="D1437" s="27" t="n"/>
      <c r="E1437" s="21">
        <f>IF(OR(C1437="",D1437=""),"",ROUND(MOD(D1437-C1437,1)*24,2))</f>
        <v/>
      </c>
      <c r="F1437" s="28" t="n"/>
      <c r="G1437" s="28" t="n"/>
      <c r="H1437" s="1" t="n"/>
    </row>
    <row r="1438">
      <c r="A1438" s="1" t="n"/>
      <c r="B1438" s="26" t="n"/>
      <c r="C1438" s="27" t="n"/>
      <c r="D1438" s="27" t="n"/>
      <c r="E1438" s="21">
        <f>IF(OR(C1438="",D1438=""),"",ROUND(MOD(D1438-C1438,1)*24,2))</f>
        <v/>
      </c>
      <c r="F1438" s="28" t="n"/>
      <c r="G1438" s="28" t="n"/>
      <c r="H1438" s="1" t="n"/>
    </row>
    <row r="1439">
      <c r="A1439" s="1" t="n"/>
      <c r="B1439" s="26" t="n"/>
      <c r="C1439" s="27" t="n"/>
      <c r="D1439" s="27" t="n"/>
      <c r="E1439" s="21">
        <f>IF(OR(C1439="",D1439=""),"",ROUND(MOD(D1439-C1439,1)*24,2))</f>
        <v/>
      </c>
      <c r="F1439" s="28" t="n"/>
      <c r="G1439" s="28" t="n"/>
      <c r="H1439" s="1" t="n"/>
    </row>
    <row r="1440">
      <c r="A1440" s="1" t="n"/>
      <c r="B1440" s="26" t="n"/>
      <c r="C1440" s="27" t="n"/>
      <c r="D1440" s="27" t="n"/>
      <c r="E1440" s="21">
        <f>IF(OR(C1440="",D1440=""),"",ROUND(MOD(D1440-C1440,1)*24,2))</f>
        <v/>
      </c>
      <c r="F1440" s="28" t="n"/>
      <c r="G1440" s="28" t="n"/>
      <c r="H1440" s="1" t="n"/>
    </row>
    <row r="1441">
      <c r="A1441" s="1" t="n"/>
      <c r="B1441" s="26" t="n"/>
      <c r="C1441" s="27" t="n"/>
      <c r="D1441" s="27" t="n"/>
      <c r="E1441" s="21">
        <f>IF(OR(C1441="",D1441=""),"",ROUND(MOD(D1441-C1441,1)*24,2))</f>
        <v/>
      </c>
      <c r="F1441" s="28" t="n"/>
      <c r="G1441" s="28" t="n"/>
      <c r="H1441" s="1" t="n"/>
    </row>
    <row r="1442">
      <c r="A1442" s="1" t="n"/>
      <c r="B1442" s="26" t="n"/>
      <c r="C1442" s="27" t="n"/>
      <c r="D1442" s="27" t="n"/>
      <c r="E1442" s="21">
        <f>IF(OR(C1442="",D1442=""),"",ROUND(MOD(D1442-C1442,1)*24,2))</f>
        <v/>
      </c>
      <c r="F1442" s="28" t="n"/>
      <c r="G1442" s="28" t="n"/>
      <c r="H1442" s="1" t="n"/>
    </row>
    <row r="1443">
      <c r="A1443" s="1" t="n"/>
      <c r="B1443" s="26" t="n"/>
      <c r="C1443" s="27" t="n"/>
      <c r="D1443" s="27" t="n"/>
      <c r="E1443" s="21">
        <f>IF(OR(C1443="",D1443=""),"",ROUND(MOD(D1443-C1443,1)*24,2))</f>
        <v/>
      </c>
      <c r="F1443" s="28" t="n"/>
      <c r="G1443" s="28" t="n"/>
      <c r="H1443" s="1" t="n"/>
    </row>
    <row r="1444">
      <c r="A1444" s="1" t="n"/>
      <c r="B1444" s="26" t="n"/>
      <c r="C1444" s="27" t="n"/>
      <c r="D1444" s="27" t="n"/>
      <c r="E1444" s="21">
        <f>IF(OR(C1444="",D1444=""),"",ROUND(MOD(D1444-C1444,1)*24,2))</f>
        <v/>
      </c>
      <c r="F1444" s="28" t="n"/>
      <c r="G1444" s="28" t="n"/>
      <c r="H1444" s="1" t="n"/>
    </row>
    <row r="1445">
      <c r="A1445" s="1" t="n"/>
      <c r="B1445" s="26" t="n"/>
      <c r="C1445" s="27" t="n"/>
      <c r="D1445" s="27" t="n"/>
      <c r="E1445" s="21">
        <f>IF(OR(C1445="",D1445=""),"",ROUND(MOD(D1445-C1445,1)*24,2))</f>
        <v/>
      </c>
      <c r="F1445" s="28" t="n"/>
      <c r="G1445" s="28" t="n"/>
      <c r="H1445" s="1" t="n"/>
    </row>
    <row r="1446">
      <c r="A1446" s="1" t="n"/>
      <c r="B1446" s="26" t="n"/>
      <c r="C1446" s="27" t="n"/>
      <c r="D1446" s="27" t="n"/>
      <c r="E1446" s="21">
        <f>IF(OR(C1446="",D1446=""),"",ROUND(MOD(D1446-C1446,1)*24,2))</f>
        <v/>
      </c>
      <c r="F1446" s="28" t="n"/>
      <c r="G1446" s="28" t="n"/>
      <c r="H1446" s="1" t="n"/>
    </row>
    <row r="1447">
      <c r="A1447" s="1" t="n"/>
      <c r="B1447" s="26" t="n"/>
      <c r="C1447" s="27" t="n"/>
      <c r="D1447" s="27" t="n"/>
      <c r="E1447" s="21">
        <f>IF(OR(C1447="",D1447=""),"",ROUND(MOD(D1447-C1447,1)*24,2))</f>
        <v/>
      </c>
      <c r="F1447" s="28" t="n"/>
      <c r="G1447" s="28" t="n"/>
      <c r="H1447" s="1" t="n"/>
    </row>
    <row r="1448">
      <c r="A1448" s="1" t="n"/>
      <c r="B1448" s="26" t="n"/>
      <c r="C1448" s="27" t="n"/>
      <c r="D1448" s="27" t="n"/>
      <c r="E1448" s="21">
        <f>IF(OR(C1448="",D1448=""),"",ROUND(MOD(D1448-C1448,1)*24,2))</f>
        <v/>
      </c>
      <c r="F1448" s="28" t="n"/>
      <c r="G1448" s="28" t="n"/>
      <c r="H1448" s="1" t="n"/>
    </row>
    <row r="1449">
      <c r="A1449" s="1" t="n"/>
      <c r="B1449" s="26" t="n"/>
      <c r="C1449" s="27" t="n"/>
      <c r="D1449" s="27" t="n"/>
      <c r="E1449" s="21">
        <f>IF(OR(C1449="",D1449=""),"",ROUND(MOD(D1449-C1449,1)*24,2))</f>
        <v/>
      </c>
      <c r="F1449" s="28" t="n"/>
      <c r="G1449" s="28" t="n"/>
      <c r="H1449" s="1" t="n"/>
    </row>
    <row r="1450">
      <c r="A1450" s="1" t="n"/>
      <c r="B1450" s="26" t="n"/>
      <c r="C1450" s="27" t="n"/>
      <c r="D1450" s="27" t="n"/>
      <c r="E1450" s="21">
        <f>IF(OR(C1450="",D1450=""),"",ROUND(MOD(D1450-C1450,1)*24,2))</f>
        <v/>
      </c>
      <c r="F1450" s="28" t="n"/>
      <c r="G1450" s="28" t="n"/>
      <c r="H1450" s="1" t="n"/>
    </row>
    <row r="1451">
      <c r="A1451" s="1" t="n"/>
      <c r="B1451" s="26" t="n"/>
      <c r="C1451" s="27" t="n"/>
      <c r="D1451" s="27" t="n"/>
      <c r="E1451" s="21">
        <f>IF(OR(C1451="",D1451=""),"",ROUND(MOD(D1451-C1451,1)*24,2))</f>
        <v/>
      </c>
      <c r="F1451" s="28" t="n"/>
      <c r="G1451" s="28" t="n"/>
      <c r="H1451" s="1" t="n"/>
    </row>
    <row r="1452">
      <c r="A1452" s="1" t="n"/>
      <c r="B1452" s="26" t="n"/>
      <c r="C1452" s="27" t="n"/>
      <c r="D1452" s="27" t="n"/>
      <c r="E1452" s="21">
        <f>IF(OR(C1452="",D1452=""),"",ROUND(MOD(D1452-C1452,1)*24,2))</f>
        <v/>
      </c>
      <c r="F1452" s="28" t="n"/>
      <c r="G1452" s="28" t="n"/>
      <c r="H1452" s="1" t="n"/>
    </row>
    <row r="1453">
      <c r="A1453" s="1" t="n"/>
      <c r="B1453" s="26" t="n"/>
      <c r="C1453" s="27" t="n"/>
      <c r="D1453" s="27" t="n"/>
      <c r="E1453" s="21">
        <f>IF(OR(C1453="",D1453=""),"",ROUND(MOD(D1453-C1453,1)*24,2))</f>
        <v/>
      </c>
      <c r="F1453" s="28" t="n"/>
      <c r="G1453" s="28" t="n"/>
      <c r="H1453" s="1" t="n"/>
    </row>
    <row r="1454">
      <c r="A1454" s="1" t="n"/>
      <c r="B1454" s="26" t="n"/>
      <c r="C1454" s="27" t="n"/>
      <c r="D1454" s="27" t="n"/>
      <c r="E1454" s="21">
        <f>IF(OR(C1454="",D1454=""),"",ROUND(MOD(D1454-C1454,1)*24,2))</f>
        <v/>
      </c>
      <c r="F1454" s="28" t="n"/>
      <c r="G1454" s="28" t="n"/>
      <c r="H1454" s="1" t="n"/>
    </row>
    <row r="1455">
      <c r="A1455" s="1" t="n"/>
      <c r="B1455" s="26" t="n"/>
      <c r="C1455" s="27" t="n"/>
      <c r="D1455" s="27" t="n"/>
      <c r="E1455" s="21">
        <f>IF(OR(C1455="",D1455=""),"",ROUND(MOD(D1455-C1455,1)*24,2))</f>
        <v/>
      </c>
      <c r="F1455" s="28" t="n"/>
      <c r="G1455" s="28" t="n"/>
      <c r="H1455" s="1" t="n"/>
    </row>
    <row r="1456">
      <c r="A1456" s="1" t="n"/>
      <c r="B1456" s="26" t="n"/>
      <c r="C1456" s="27" t="n"/>
      <c r="D1456" s="27" t="n"/>
      <c r="E1456" s="21">
        <f>IF(OR(C1456="",D1456=""),"",ROUND(MOD(D1456-C1456,1)*24,2))</f>
        <v/>
      </c>
      <c r="F1456" s="28" t="n"/>
      <c r="G1456" s="28" t="n"/>
      <c r="H1456" s="1" t="n"/>
    </row>
    <row r="1457">
      <c r="A1457" s="1" t="n"/>
      <c r="B1457" s="26" t="n"/>
      <c r="C1457" s="27" t="n"/>
      <c r="D1457" s="27" t="n"/>
      <c r="E1457" s="21">
        <f>IF(OR(C1457="",D1457=""),"",ROUND(MOD(D1457-C1457,1)*24,2))</f>
        <v/>
      </c>
      <c r="F1457" s="28" t="n"/>
      <c r="G1457" s="28" t="n"/>
      <c r="H1457" s="1" t="n"/>
    </row>
    <row r="1458">
      <c r="A1458" s="1" t="n"/>
      <c r="B1458" s="26" t="n"/>
      <c r="C1458" s="27" t="n"/>
      <c r="D1458" s="27" t="n"/>
      <c r="E1458" s="21">
        <f>IF(OR(C1458="",D1458=""),"",ROUND(MOD(D1458-C1458,1)*24,2))</f>
        <v/>
      </c>
      <c r="F1458" s="28" t="n"/>
      <c r="G1458" s="28" t="n"/>
      <c r="H1458" s="1" t="n"/>
    </row>
    <row r="1459">
      <c r="A1459" s="1" t="n"/>
      <c r="B1459" s="26" t="n"/>
      <c r="C1459" s="27" t="n"/>
      <c r="D1459" s="27" t="n"/>
      <c r="E1459" s="21">
        <f>IF(OR(C1459="",D1459=""),"",ROUND(MOD(D1459-C1459,1)*24,2))</f>
        <v/>
      </c>
      <c r="F1459" s="28" t="n"/>
      <c r="G1459" s="28" t="n"/>
      <c r="H1459" s="1" t="n"/>
    </row>
    <row r="1460">
      <c r="A1460" s="1" t="n"/>
      <c r="B1460" s="26" t="n"/>
      <c r="C1460" s="27" t="n"/>
      <c r="D1460" s="27" t="n"/>
      <c r="E1460" s="21">
        <f>IF(OR(C1460="",D1460=""),"",ROUND(MOD(D1460-C1460,1)*24,2))</f>
        <v/>
      </c>
      <c r="F1460" s="28" t="n"/>
      <c r="G1460" s="28" t="n"/>
      <c r="H1460" s="1" t="n"/>
    </row>
    <row r="1461">
      <c r="A1461" s="1" t="n"/>
      <c r="B1461" s="26" t="n"/>
      <c r="C1461" s="27" t="n"/>
      <c r="D1461" s="27" t="n"/>
      <c r="E1461" s="21">
        <f>IF(OR(C1461="",D1461=""),"",ROUND(MOD(D1461-C1461,1)*24,2))</f>
        <v/>
      </c>
      <c r="F1461" s="28" t="n"/>
      <c r="G1461" s="28" t="n"/>
      <c r="H1461" s="1" t="n"/>
    </row>
    <row r="1462">
      <c r="A1462" s="1" t="n"/>
      <c r="B1462" s="26" t="n"/>
      <c r="C1462" s="27" t="n"/>
      <c r="D1462" s="27" t="n"/>
      <c r="E1462" s="21">
        <f>IF(OR(C1462="",D1462=""),"",ROUND(MOD(D1462-C1462,1)*24,2))</f>
        <v/>
      </c>
      <c r="F1462" s="28" t="n"/>
      <c r="G1462" s="28" t="n"/>
      <c r="H1462" s="1" t="n"/>
    </row>
    <row r="1463">
      <c r="A1463" s="1" t="n"/>
      <c r="B1463" s="26" t="n"/>
      <c r="C1463" s="27" t="n"/>
      <c r="D1463" s="27" t="n"/>
      <c r="E1463" s="21">
        <f>IF(OR(C1463="",D1463=""),"",ROUND(MOD(D1463-C1463,1)*24,2))</f>
        <v/>
      </c>
      <c r="F1463" s="28" t="n"/>
      <c r="G1463" s="28" t="n"/>
      <c r="H1463" s="1" t="n"/>
    </row>
    <row r="1464">
      <c r="A1464" s="1" t="n"/>
      <c r="B1464" s="26" t="n"/>
      <c r="C1464" s="27" t="n"/>
      <c r="D1464" s="27" t="n"/>
      <c r="E1464" s="21">
        <f>IF(OR(C1464="",D1464=""),"",ROUND(MOD(D1464-C1464,1)*24,2))</f>
        <v/>
      </c>
      <c r="F1464" s="28" t="n"/>
      <c r="G1464" s="28" t="n"/>
      <c r="H1464" s="1" t="n"/>
    </row>
    <row r="1465">
      <c r="A1465" s="1" t="n"/>
      <c r="B1465" s="26" t="n"/>
      <c r="C1465" s="27" t="n"/>
      <c r="D1465" s="27" t="n"/>
      <c r="E1465" s="21">
        <f>IF(OR(C1465="",D1465=""),"",ROUND(MOD(D1465-C1465,1)*24,2))</f>
        <v/>
      </c>
      <c r="F1465" s="28" t="n"/>
      <c r="G1465" s="28" t="n"/>
      <c r="H1465" s="1" t="n"/>
    </row>
    <row r="1466">
      <c r="A1466" s="1" t="n"/>
      <c r="B1466" s="26" t="n"/>
      <c r="C1466" s="27" t="n"/>
      <c r="D1466" s="27" t="n"/>
      <c r="E1466" s="21">
        <f>IF(OR(C1466="",D1466=""),"",ROUND(MOD(D1466-C1466,1)*24,2))</f>
        <v/>
      </c>
      <c r="F1466" s="28" t="n"/>
      <c r="G1466" s="28" t="n"/>
      <c r="H1466" s="1" t="n"/>
    </row>
    <row r="1467">
      <c r="A1467" s="1" t="n"/>
      <c r="B1467" s="26" t="n"/>
      <c r="C1467" s="27" t="n"/>
      <c r="D1467" s="27" t="n"/>
      <c r="E1467" s="21">
        <f>IF(OR(C1467="",D1467=""),"",ROUND(MOD(D1467-C1467,1)*24,2))</f>
        <v/>
      </c>
      <c r="F1467" s="28" t="n"/>
      <c r="G1467" s="28" t="n"/>
      <c r="H1467" s="1" t="n"/>
    </row>
    <row r="1468">
      <c r="A1468" s="1" t="n"/>
      <c r="B1468" s="26" t="n"/>
      <c r="C1468" s="27" t="n"/>
      <c r="D1468" s="27" t="n"/>
      <c r="E1468" s="21">
        <f>IF(OR(C1468="",D1468=""),"",ROUND(MOD(D1468-C1468,1)*24,2))</f>
        <v/>
      </c>
      <c r="F1468" s="28" t="n"/>
      <c r="G1468" s="28" t="n"/>
      <c r="H1468" s="1" t="n"/>
    </row>
    <row r="1469">
      <c r="A1469" s="1" t="n"/>
      <c r="B1469" s="26" t="n"/>
      <c r="C1469" s="27" t="n"/>
      <c r="D1469" s="27" t="n"/>
      <c r="E1469" s="21">
        <f>IF(OR(C1469="",D1469=""),"",ROUND(MOD(D1469-C1469,1)*24,2))</f>
        <v/>
      </c>
      <c r="F1469" s="28" t="n"/>
      <c r="G1469" s="28" t="n"/>
      <c r="H1469" s="1" t="n"/>
    </row>
    <row r="1470">
      <c r="A1470" s="1" t="n"/>
      <c r="B1470" s="26" t="n"/>
      <c r="C1470" s="27" t="n"/>
      <c r="D1470" s="27" t="n"/>
      <c r="E1470" s="21">
        <f>IF(OR(C1470="",D1470=""),"",ROUND(MOD(D1470-C1470,1)*24,2))</f>
        <v/>
      </c>
      <c r="F1470" s="28" t="n"/>
      <c r="G1470" s="28" t="n"/>
      <c r="H1470" s="1" t="n"/>
    </row>
    <row r="1471">
      <c r="A1471" s="1" t="n"/>
      <c r="B1471" s="26" t="n"/>
      <c r="C1471" s="27" t="n"/>
      <c r="D1471" s="27" t="n"/>
      <c r="E1471" s="21">
        <f>IF(OR(C1471="",D1471=""),"",ROUND(MOD(D1471-C1471,1)*24,2))</f>
        <v/>
      </c>
      <c r="F1471" s="28" t="n"/>
      <c r="G1471" s="28" t="n"/>
      <c r="H1471" s="1" t="n"/>
    </row>
    <row r="1472">
      <c r="A1472" s="1" t="n"/>
      <c r="B1472" s="26" t="n"/>
      <c r="C1472" s="27" t="n"/>
      <c r="D1472" s="27" t="n"/>
      <c r="E1472" s="21">
        <f>IF(OR(C1472="",D1472=""),"",ROUND(MOD(D1472-C1472,1)*24,2))</f>
        <v/>
      </c>
      <c r="F1472" s="28" t="n"/>
      <c r="G1472" s="28" t="n"/>
      <c r="H1472" s="1" t="n"/>
    </row>
    <row r="1473">
      <c r="A1473" s="1" t="n"/>
      <c r="B1473" s="26" t="n"/>
      <c r="C1473" s="27" t="n"/>
      <c r="D1473" s="27" t="n"/>
      <c r="E1473" s="21">
        <f>IF(OR(C1473="",D1473=""),"",ROUND(MOD(D1473-C1473,1)*24,2))</f>
        <v/>
      </c>
      <c r="F1473" s="28" t="n"/>
      <c r="G1473" s="28" t="n"/>
      <c r="H1473" s="1" t="n"/>
    </row>
    <row r="1474">
      <c r="A1474" s="1" t="n"/>
      <c r="B1474" s="26" t="n"/>
      <c r="C1474" s="27" t="n"/>
      <c r="D1474" s="27" t="n"/>
      <c r="E1474" s="21">
        <f>IF(OR(C1474="",D1474=""),"",ROUND(MOD(D1474-C1474,1)*24,2))</f>
        <v/>
      </c>
      <c r="F1474" s="28" t="n"/>
      <c r="G1474" s="28" t="n"/>
      <c r="H1474" s="1" t="n"/>
    </row>
    <row r="1475">
      <c r="A1475" s="1" t="n"/>
      <c r="B1475" s="26" t="n"/>
      <c r="C1475" s="27" t="n"/>
      <c r="D1475" s="27" t="n"/>
      <c r="E1475" s="21">
        <f>IF(OR(C1475="",D1475=""),"",ROUND(MOD(D1475-C1475,1)*24,2))</f>
        <v/>
      </c>
      <c r="F1475" s="28" t="n"/>
      <c r="G1475" s="28" t="n"/>
      <c r="H1475" s="1" t="n"/>
    </row>
    <row r="1476">
      <c r="A1476" s="1" t="n"/>
      <c r="B1476" s="26" t="n"/>
      <c r="C1476" s="27" t="n"/>
      <c r="D1476" s="27" t="n"/>
      <c r="E1476" s="21">
        <f>IF(OR(C1476="",D1476=""),"",ROUND(MOD(D1476-C1476,1)*24,2))</f>
        <v/>
      </c>
      <c r="F1476" s="28" t="n"/>
      <c r="G1476" s="28" t="n"/>
      <c r="H1476" s="1" t="n"/>
    </row>
    <row r="1477">
      <c r="A1477" s="1" t="n"/>
      <c r="B1477" s="26" t="n"/>
      <c r="C1477" s="27" t="n"/>
      <c r="D1477" s="27" t="n"/>
      <c r="E1477" s="21">
        <f>IF(OR(C1477="",D1477=""),"",ROUND(MOD(D1477-C1477,1)*24,2))</f>
        <v/>
      </c>
      <c r="F1477" s="28" t="n"/>
      <c r="G1477" s="28" t="n"/>
      <c r="H1477" s="1" t="n"/>
    </row>
    <row r="1478">
      <c r="A1478" s="1" t="n"/>
      <c r="B1478" s="26" t="n"/>
      <c r="C1478" s="27" t="n"/>
      <c r="D1478" s="27" t="n"/>
      <c r="E1478" s="21">
        <f>IF(OR(C1478="",D1478=""),"",ROUND(MOD(D1478-C1478,1)*24,2))</f>
        <v/>
      </c>
      <c r="F1478" s="28" t="n"/>
      <c r="G1478" s="28" t="n"/>
      <c r="H1478" s="1" t="n"/>
    </row>
    <row r="1479">
      <c r="A1479" s="1" t="n"/>
      <c r="B1479" s="26" t="n"/>
      <c r="C1479" s="27" t="n"/>
      <c r="D1479" s="27" t="n"/>
      <c r="E1479" s="21">
        <f>IF(OR(C1479="",D1479=""),"",ROUND(MOD(D1479-C1479,1)*24,2))</f>
        <v/>
      </c>
      <c r="F1479" s="28" t="n"/>
      <c r="G1479" s="28" t="n"/>
      <c r="H1479" s="1" t="n"/>
    </row>
    <row r="1480">
      <c r="A1480" s="1" t="n"/>
      <c r="B1480" s="26" t="n"/>
      <c r="C1480" s="27" t="n"/>
      <c r="D1480" s="27" t="n"/>
      <c r="E1480" s="21">
        <f>IF(OR(C1480="",D1480=""),"",ROUND(MOD(D1480-C1480,1)*24,2))</f>
        <v/>
      </c>
      <c r="F1480" s="28" t="n"/>
      <c r="G1480" s="28" t="n"/>
      <c r="H1480" s="1" t="n"/>
    </row>
    <row r="1481">
      <c r="A1481" s="1" t="n"/>
      <c r="B1481" s="26" t="n"/>
      <c r="C1481" s="27" t="n"/>
      <c r="D1481" s="27" t="n"/>
      <c r="E1481" s="21">
        <f>IF(OR(C1481="",D1481=""),"",ROUND(MOD(D1481-C1481,1)*24,2))</f>
        <v/>
      </c>
      <c r="F1481" s="28" t="n"/>
      <c r="G1481" s="28" t="n"/>
      <c r="H1481" s="1" t="n"/>
    </row>
    <row r="1482">
      <c r="A1482" s="1" t="n"/>
      <c r="B1482" s="26" t="n"/>
      <c r="C1482" s="27" t="n"/>
      <c r="D1482" s="27" t="n"/>
      <c r="E1482" s="21">
        <f>IF(OR(C1482="",D1482=""),"",ROUND(MOD(D1482-C1482,1)*24,2))</f>
        <v/>
      </c>
      <c r="F1482" s="28" t="n"/>
      <c r="G1482" s="28" t="n"/>
      <c r="H1482" s="1" t="n"/>
    </row>
    <row r="1483">
      <c r="A1483" s="1" t="n"/>
      <c r="B1483" s="26" t="n"/>
      <c r="C1483" s="27" t="n"/>
      <c r="D1483" s="27" t="n"/>
      <c r="E1483" s="21">
        <f>IF(OR(C1483="",D1483=""),"",ROUND(MOD(D1483-C1483,1)*24,2))</f>
        <v/>
      </c>
      <c r="F1483" s="28" t="n"/>
      <c r="G1483" s="28" t="n"/>
      <c r="H1483" s="1" t="n"/>
    </row>
    <row r="1484">
      <c r="A1484" s="1" t="n"/>
      <c r="B1484" s="26" t="n"/>
      <c r="C1484" s="27" t="n"/>
      <c r="D1484" s="27" t="n"/>
      <c r="E1484" s="21">
        <f>IF(OR(C1484="",D1484=""),"",ROUND(MOD(D1484-C1484,1)*24,2))</f>
        <v/>
      </c>
      <c r="F1484" s="28" t="n"/>
      <c r="G1484" s="28" t="n"/>
      <c r="H1484" s="1" t="n"/>
    </row>
    <row r="1485">
      <c r="A1485" s="1" t="n"/>
      <c r="B1485" s="26" t="n"/>
      <c r="C1485" s="27" t="n"/>
      <c r="D1485" s="27" t="n"/>
      <c r="E1485" s="21">
        <f>IF(OR(C1485="",D1485=""),"",ROUND(MOD(D1485-C1485,1)*24,2))</f>
        <v/>
      </c>
      <c r="F1485" s="28" t="n"/>
      <c r="G1485" s="28" t="n"/>
      <c r="H1485" s="1" t="n"/>
    </row>
    <row r="1486">
      <c r="A1486" s="1" t="n"/>
      <c r="B1486" s="26" t="n"/>
      <c r="C1486" s="27" t="n"/>
      <c r="D1486" s="27" t="n"/>
      <c r="E1486" s="21">
        <f>IF(OR(C1486="",D1486=""),"",ROUND(MOD(D1486-C1486,1)*24,2))</f>
        <v/>
      </c>
      <c r="F1486" s="28" t="n"/>
      <c r="G1486" s="28" t="n"/>
      <c r="H1486" s="1" t="n"/>
    </row>
    <row r="1487">
      <c r="A1487" s="1" t="n"/>
      <c r="B1487" s="26" t="n"/>
      <c r="C1487" s="27" t="n"/>
      <c r="D1487" s="27" t="n"/>
      <c r="E1487" s="21">
        <f>IF(OR(C1487="",D1487=""),"",ROUND(MOD(D1487-C1487,1)*24,2))</f>
        <v/>
      </c>
      <c r="F1487" s="28" t="n"/>
      <c r="G1487" s="28" t="n"/>
      <c r="H1487" s="1" t="n"/>
    </row>
    <row r="1488">
      <c r="A1488" s="1" t="n"/>
      <c r="B1488" s="26" t="n"/>
      <c r="C1488" s="27" t="n"/>
      <c r="D1488" s="27" t="n"/>
      <c r="E1488" s="21">
        <f>IF(OR(C1488="",D1488=""),"",ROUND(MOD(D1488-C1488,1)*24,2))</f>
        <v/>
      </c>
      <c r="F1488" s="28" t="n"/>
      <c r="G1488" s="28" t="n"/>
      <c r="H1488" s="1" t="n"/>
    </row>
    <row r="1489">
      <c r="A1489" s="1" t="n"/>
      <c r="B1489" s="26" t="n"/>
      <c r="C1489" s="27" t="n"/>
      <c r="D1489" s="27" t="n"/>
      <c r="E1489" s="21">
        <f>IF(OR(C1489="",D1489=""),"",ROUND(MOD(D1489-C1489,1)*24,2))</f>
        <v/>
      </c>
      <c r="F1489" s="28" t="n"/>
      <c r="G1489" s="28" t="n"/>
      <c r="H1489" s="1" t="n"/>
    </row>
    <row r="1490">
      <c r="A1490" s="1" t="n"/>
      <c r="B1490" s="26" t="n"/>
      <c r="C1490" s="27" t="n"/>
      <c r="D1490" s="27" t="n"/>
      <c r="E1490" s="21">
        <f>IF(OR(C1490="",D1490=""),"",ROUND(MOD(D1490-C1490,1)*24,2))</f>
        <v/>
      </c>
      <c r="F1490" s="28" t="n"/>
      <c r="G1490" s="28" t="n"/>
      <c r="H1490" s="1" t="n"/>
    </row>
    <row r="1491">
      <c r="A1491" s="1" t="n"/>
      <c r="B1491" s="26" t="n"/>
      <c r="C1491" s="27" t="n"/>
      <c r="D1491" s="27" t="n"/>
      <c r="E1491" s="21">
        <f>IF(OR(C1491="",D1491=""),"",ROUND(MOD(D1491-C1491,1)*24,2))</f>
        <v/>
      </c>
      <c r="F1491" s="28" t="n"/>
      <c r="G1491" s="28" t="n"/>
      <c r="H1491" s="1" t="n"/>
    </row>
    <row r="1492">
      <c r="A1492" s="1" t="n"/>
      <c r="B1492" s="26" t="n"/>
      <c r="C1492" s="27" t="n"/>
      <c r="D1492" s="27" t="n"/>
      <c r="E1492" s="21">
        <f>IF(OR(C1492="",D1492=""),"",ROUND(MOD(D1492-C1492,1)*24,2))</f>
        <v/>
      </c>
      <c r="F1492" s="28" t="n"/>
      <c r="G1492" s="28" t="n"/>
      <c r="H1492" s="1" t="n"/>
    </row>
    <row r="1493">
      <c r="A1493" s="1" t="n"/>
      <c r="B1493" s="26" t="n"/>
      <c r="C1493" s="27" t="n"/>
      <c r="D1493" s="27" t="n"/>
      <c r="E1493" s="21">
        <f>IF(OR(C1493="",D1493=""),"",ROUND(MOD(D1493-C1493,1)*24,2))</f>
        <v/>
      </c>
      <c r="F1493" s="28" t="n"/>
      <c r="G1493" s="28" t="n"/>
      <c r="H1493" s="1" t="n"/>
    </row>
    <row r="1494">
      <c r="A1494" s="1" t="n"/>
      <c r="B1494" s="26" t="n"/>
      <c r="C1494" s="27" t="n"/>
      <c r="D1494" s="27" t="n"/>
      <c r="E1494" s="21">
        <f>IF(OR(C1494="",D1494=""),"",ROUND(MOD(D1494-C1494,1)*24,2))</f>
        <v/>
      </c>
      <c r="F1494" s="28" t="n"/>
      <c r="G1494" s="28" t="n"/>
      <c r="H1494" s="1" t="n"/>
    </row>
    <row r="1495">
      <c r="A1495" s="1" t="n"/>
      <c r="B1495" s="26" t="n"/>
      <c r="C1495" s="27" t="n"/>
      <c r="D1495" s="27" t="n"/>
      <c r="E1495" s="21">
        <f>IF(OR(C1495="",D1495=""),"",ROUND(MOD(D1495-C1495,1)*24,2))</f>
        <v/>
      </c>
      <c r="F1495" s="28" t="n"/>
      <c r="G1495" s="28" t="n"/>
      <c r="H1495" s="1" t="n"/>
    </row>
    <row r="1496">
      <c r="A1496" s="1" t="n"/>
      <c r="B1496" s="26" t="n"/>
      <c r="C1496" s="27" t="n"/>
      <c r="D1496" s="27" t="n"/>
      <c r="E1496" s="21">
        <f>IF(OR(C1496="",D1496=""),"",ROUND(MOD(D1496-C1496,1)*24,2))</f>
        <v/>
      </c>
      <c r="F1496" s="28" t="n"/>
      <c r="G1496" s="28" t="n"/>
      <c r="H1496" s="1" t="n"/>
    </row>
    <row r="1497">
      <c r="A1497" s="1" t="n"/>
      <c r="B1497" s="26" t="n"/>
      <c r="C1497" s="27" t="n"/>
      <c r="D1497" s="27" t="n"/>
      <c r="E1497" s="21">
        <f>IF(OR(C1497="",D1497=""),"",ROUND(MOD(D1497-C1497,1)*24,2))</f>
        <v/>
      </c>
      <c r="F1497" s="28" t="n"/>
      <c r="G1497" s="28" t="n"/>
      <c r="H1497" s="1" t="n"/>
    </row>
    <row r="1498">
      <c r="A1498" s="1" t="n"/>
      <c r="B1498" s="26" t="n"/>
      <c r="C1498" s="27" t="n"/>
      <c r="D1498" s="27" t="n"/>
      <c r="E1498" s="21">
        <f>IF(OR(C1498="",D1498=""),"",ROUND(MOD(D1498-C1498,1)*24,2))</f>
        <v/>
      </c>
      <c r="F1498" s="28" t="n"/>
      <c r="G1498" s="28" t="n"/>
      <c r="H1498" s="1" t="n"/>
    </row>
    <row r="1499">
      <c r="A1499" s="1" t="n"/>
      <c r="B1499" s="26" t="n"/>
      <c r="C1499" s="27" t="n"/>
      <c r="D1499" s="27" t="n"/>
      <c r="E1499" s="21">
        <f>IF(OR(C1499="",D1499=""),"",ROUND(MOD(D1499-C1499,1)*24,2))</f>
        <v/>
      </c>
      <c r="F1499" s="28" t="n"/>
      <c r="G1499" s="28" t="n"/>
      <c r="H1499" s="1" t="n"/>
    </row>
    <row r="1500">
      <c r="A1500" s="1" t="n"/>
      <c r="B1500" s="26" t="n"/>
      <c r="C1500" s="27" t="n"/>
      <c r="D1500" s="27" t="n"/>
      <c r="E1500" s="21">
        <f>IF(OR(C1500="",D1500=""),"",ROUND(MOD(D1500-C1500,1)*24,2))</f>
        <v/>
      </c>
      <c r="F1500" s="28" t="n"/>
      <c r="G1500" s="28" t="n"/>
      <c r="H1500" s="1" t="n"/>
    </row>
    <row r="1501">
      <c r="A1501" s="1" t="n"/>
      <c r="B1501" s="26" t="n"/>
      <c r="C1501" s="27" t="n"/>
      <c r="D1501" s="27" t="n"/>
      <c r="E1501" s="21">
        <f>IF(OR(C1501="",D1501=""),"",ROUND(MOD(D1501-C1501,1)*24,2))</f>
        <v/>
      </c>
      <c r="F1501" s="28" t="n"/>
      <c r="G1501" s="28" t="n"/>
      <c r="H1501" s="1" t="n"/>
    </row>
    <row r="1502">
      <c r="A1502" s="1" t="n"/>
      <c r="B1502" s="26" t="n"/>
      <c r="C1502" s="27" t="n"/>
      <c r="D1502" s="27" t="n"/>
      <c r="E1502" s="21">
        <f>IF(OR(C1502="",D1502=""),"",ROUND(MOD(D1502-C1502,1)*24,2))</f>
        <v/>
      </c>
      <c r="F1502" s="28" t="n"/>
      <c r="G1502" s="28" t="n"/>
      <c r="H1502" s="1" t="n"/>
    </row>
    <row r="1503">
      <c r="A1503" s="1" t="n"/>
      <c r="B1503" s="26" t="n"/>
      <c r="C1503" s="27" t="n"/>
      <c r="D1503" s="27" t="n"/>
      <c r="E1503" s="21">
        <f>IF(OR(C1503="",D1503=""),"",ROUND(MOD(D1503-C1503,1)*24,2))</f>
        <v/>
      </c>
      <c r="F1503" s="28" t="n"/>
      <c r="G1503" s="28" t="n"/>
      <c r="H1503" s="1" t="n"/>
    </row>
    <row r="1504">
      <c r="A1504" s="1" t="n"/>
      <c r="B1504" s="26" t="n"/>
      <c r="C1504" s="27" t="n"/>
      <c r="D1504" s="27" t="n"/>
      <c r="E1504" s="21">
        <f>IF(OR(C1504="",D1504=""),"",ROUND(MOD(D1504-C1504,1)*24,2))</f>
        <v/>
      </c>
      <c r="F1504" s="28" t="n"/>
      <c r="G1504" s="28" t="n"/>
      <c r="H1504" s="1" t="n"/>
    </row>
    <row r="1505">
      <c r="A1505" s="1" t="n"/>
      <c r="B1505" s="26" t="n"/>
      <c r="C1505" s="27" t="n"/>
      <c r="D1505" s="27" t="n"/>
      <c r="E1505" s="21">
        <f>IF(OR(C1505="",D1505=""),"",ROUND(MOD(D1505-C1505,1)*24,2))</f>
        <v/>
      </c>
      <c r="F1505" s="28" t="n"/>
      <c r="G1505" s="28" t="n"/>
      <c r="H1505" s="1" t="n"/>
    </row>
    <row r="1506">
      <c r="A1506" s="1" t="n"/>
      <c r="B1506" s="26" t="n"/>
      <c r="C1506" s="27" t="n"/>
      <c r="D1506" s="27" t="n"/>
      <c r="E1506" s="21">
        <f>IF(OR(C1506="",D1506=""),"",ROUND(MOD(D1506-C1506,1)*24,2))</f>
        <v/>
      </c>
      <c r="F1506" s="28" t="n"/>
      <c r="G1506" s="28" t="n"/>
      <c r="H1506" s="1" t="n"/>
    </row>
    <row r="1507">
      <c r="A1507" s="1" t="n"/>
      <c r="B1507" s="26" t="n"/>
      <c r="C1507" s="27" t="n"/>
      <c r="D1507" s="27" t="n"/>
      <c r="E1507" s="21">
        <f>IF(OR(C1507="",D1507=""),"",ROUND(MOD(D1507-C1507,1)*24,2))</f>
        <v/>
      </c>
      <c r="F1507" s="28" t="n"/>
      <c r="G1507" s="28" t="n"/>
      <c r="H1507" s="1" t="n"/>
    </row>
    <row r="1508">
      <c r="A1508" s="1" t="n"/>
      <c r="B1508" s="26" t="n"/>
      <c r="C1508" s="27" t="n"/>
      <c r="D1508" s="27" t="n"/>
      <c r="E1508" s="21">
        <f>IF(OR(C1508="",D1508=""),"",ROUND(MOD(D1508-C1508,1)*24,2))</f>
        <v/>
      </c>
      <c r="F1508" s="28" t="n"/>
      <c r="G1508" s="28" t="n"/>
      <c r="H1508" s="1" t="n"/>
    </row>
    <row r="1509">
      <c r="A1509" s="1" t="n"/>
      <c r="B1509" s="26" t="n"/>
      <c r="C1509" s="27" t="n"/>
      <c r="D1509" s="27" t="n"/>
      <c r="E1509" s="21">
        <f>IF(OR(C1509="",D1509=""),"",ROUND(MOD(D1509-C1509,1)*24,2))</f>
        <v/>
      </c>
      <c r="F1509" s="28" t="n"/>
      <c r="G1509" s="28" t="n"/>
      <c r="H1509" s="1" t="n"/>
    </row>
    <row r="1510">
      <c r="A1510" s="1" t="n"/>
      <c r="B1510" s="26" t="n"/>
      <c r="C1510" s="27" t="n"/>
      <c r="D1510" s="27" t="n"/>
      <c r="E1510" s="21">
        <f>IF(OR(C1510="",D1510=""),"",ROUND(MOD(D1510-C1510,1)*24,2))</f>
        <v/>
      </c>
      <c r="F1510" s="28" t="n"/>
      <c r="G1510" s="28" t="n"/>
      <c r="H1510" s="1" t="n"/>
    </row>
    <row r="1511">
      <c r="A1511" s="1" t="n"/>
      <c r="B1511" s="26" t="n"/>
      <c r="C1511" s="27" t="n"/>
      <c r="D1511" s="27" t="n"/>
      <c r="E1511" s="21">
        <f>IF(OR(C1511="",D1511=""),"",ROUND(MOD(D1511-C1511,1)*24,2))</f>
        <v/>
      </c>
      <c r="F1511" s="28" t="n"/>
      <c r="G1511" s="28" t="n"/>
      <c r="H1511" s="1" t="n"/>
    </row>
    <row r="1512">
      <c r="A1512" s="1" t="n"/>
      <c r="B1512" s="26" t="n"/>
      <c r="C1512" s="27" t="n"/>
      <c r="D1512" s="27" t="n"/>
      <c r="E1512" s="21">
        <f>IF(OR(C1512="",D1512=""),"",ROUND(MOD(D1512-C1512,1)*24,2))</f>
        <v/>
      </c>
      <c r="F1512" s="28" t="n"/>
      <c r="G1512" s="28" t="n"/>
      <c r="H1512" s="1" t="n"/>
    </row>
    <row r="1513">
      <c r="A1513" s="1" t="n"/>
      <c r="B1513" s="26" t="n"/>
      <c r="C1513" s="27" t="n"/>
      <c r="D1513" s="27" t="n"/>
      <c r="E1513" s="21">
        <f>IF(OR(C1513="",D1513=""),"",ROUND(MOD(D1513-C1513,1)*24,2))</f>
        <v/>
      </c>
      <c r="F1513" s="28" t="n"/>
      <c r="G1513" s="28" t="n"/>
      <c r="H1513" s="1" t="n"/>
    </row>
    <row r="1514">
      <c r="A1514" s="1" t="n"/>
      <c r="B1514" s="26" t="n"/>
      <c r="C1514" s="27" t="n"/>
      <c r="D1514" s="27" t="n"/>
      <c r="E1514" s="21">
        <f>IF(OR(C1514="",D1514=""),"",ROUND(MOD(D1514-C1514,1)*24,2))</f>
        <v/>
      </c>
      <c r="F1514" s="28" t="n"/>
      <c r="G1514" s="28" t="n"/>
      <c r="H1514" s="1" t="n"/>
    </row>
    <row r="1515">
      <c r="A1515" s="1" t="n"/>
      <c r="B1515" s="26" t="n"/>
      <c r="C1515" s="27" t="n"/>
      <c r="D1515" s="27" t="n"/>
      <c r="E1515" s="21">
        <f>IF(OR(C1515="",D1515=""),"",ROUND(MOD(D1515-C1515,1)*24,2))</f>
        <v/>
      </c>
      <c r="F1515" s="28" t="n"/>
      <c r="G1515" s="28" t="n"/>
      <c r="H1515" s="1" t="n"/>
    </row>
    <row r="1516">
      <c r="A1516" s="1" t="n"/>
      <c r="B1516" s="26" t="n"/>
      <c r="C1516" s="27" t="n"/>
      <c r="D1516" s="27" t="n"/>
      <c r="E1516" s="21">
        <f>IF(OR(C1516="",D1516=""),"",ROUND(MOD(D1516-C1516,1)*24,2))</f>
        <v/>
      </c>
      <c r="F1516" s="28" t="n"/>
      <c r="G1516" s="28" t="n"/>
      <c r="H1516" s="1" t="n"/>
    </row>
    <row r="1517">
      <c r="A1517" s="1" t="n"/>
      <c r="B1517" s="26" t="n"/>
      <c r="C1517" s="27" t="n"/>
      <c r="D1517" s="27" t="n"/>
      <c r="E1517" s="21">
        <f>IF(OR(C1517="",D1517=""),"",ROUND(MOD(D1517-C1517,1)*24,2))</f>
        <v/>
      </c>
      <c r="F1517" s="28" t="n"/>
      <c r="G1517" s="28" t="n"/>
      <c r="H1517" s="1" t="n"/>
    </row>
    <row r="1518">
      <c r="A1518" s="1" t="n"/>
      <c r="B1518" s="26" t="n"/>
      <c r="C1518" s="27" t="n"/>
      <c r="D1518" s="27" t="n"/>
      <c r="E1518" s="21">
        <f>IF(OR(C1518="",D1518=""),"",ROUND(MOD(D1518-C1518,1)*24,2))</f>
        <v/>
      </c>
      <c r="F1518" s="28" t="n"/>
      <c r="G1518" s="28" t="n"/>
      <c r="H1518" s="1" t="n"/>
    </row>
    <row r="1519">
      <c r="A1519" s="1" t="n"/>
      <c r="B1519" s="26" t="n"/>
      <c r="C1519" s="27" t="n"/>
      <c r="D1519" s="27" t="n"/>
      <c r="E1519" s="21">
        <f>IF(OR(C1519="",D1519=""),"",ROUND(MOD(D1519-C1519,1)*24,2))</f>
        <v/>
      </c>
      <c r="F1519" s="28" t="n"/>
      <c r="G1519" s="28" t="n"/>
      <c r="H1519" s="1" t="n"/>
    </row>
    <row r="1520">
      <c r="A1520" s="1" t="n"/>
      <c r="B1520" s="26" t="n"/>
      <c r="C1520" s="27" t="n"/>
      <c r="D1520" s="27" t="n"/>
      <c r="E1520" s="21">
        <f>IF(OR(C1520="",D1520=""),"",ROUND(MOD(D1520-C1520,1)*24,2))</f>
        <v/>
      </c>
      <c r="F1520" s="28" t="n"/>
      <c r="G1520" s="28" t="n"/>
      <c r="H1520" s="1" t="n"/>
    </row>
    <row r="1521">
      <c r="A1521" s="1" t="n"/>
      <c r="B1521" s="26" t="n"/>
      <c r="C1521" s="27" t="n"/>
      <c r="D1521" s="27" t="n"/>
      <c r="E1521" s="21">
        <f>IF(OR(C1521="",D1521=""),"",ROUND(MOD(D1521-C1521,1)*24,2))</f>
        <v/>
      </c>
      <c r="F1521" s="28" t="n"/>
      <c r="G1521" s="28" t="n"/>
      <c r="H1521" s="1" t="n"/>
    </row>
    <row r="1522">
      <c r="A1522" s="1" t="n"/>
      <c r="B1522" s="26" t="n"/>
      <c r="C1522" s="27" t="n"/>
      <c r="D1522" s="27" t="n"/>
      <c r="E1522" s="21">
        <f>IF(OR(C1522="",D1522=""),"",ROUND(MOD(D1522-C1522,1)*24,2))</f>
        <v/>
      </c>
      <c r="F1522" s="28" t="n"/>
      <c r="G1522" s="28" t="n"/>
      <c r="H1522" s="1" t="n"/>
    </row>
    <row r="1523">
      <c r="A1523" s="1" t="n"/>
      <c r="B1523" s="26" t="n"/>
      <c r="C1523" s="27" t="n"/>
      <c r="D1523" s="27" t="n"/>
      <c r="E1523" s="21">
        <f>IF(OR(C1523="",D1523=""),"",ROUND(MOD(D1523-C1523,1)*24,2))</f>
        <v/>
      </c>
      <c r="F1523" s="28" t="n"/>
      <c r="G1523" s="28" t="n"/>
      <c r="H1523" s="1" t="n"/>
    </row>
    <row r="1524">
      <c r="A1524" s="1" t="n"/>
      <c r="B1524" s="26" t="n"/>
      <c r="C1524" s="27" t="n"/>
      <c r="D1524" s="27" t="n"/>
      <c r="E1524" s="21">
        <f>IF(OR(C1524="",D1524=""),"",ROUND(MOD(D1524-C1524,1)*24,2))</f>
        <v/>
      </c>
      <c r="F1524" s="28" t="n"/>
      <c r="G1524" s="28" t="n"/>
      <c r="H1524" s="1" t="n"/>
    </row>
    <row r="1525">
      <c r="A1525" s="1" t="n"/>
      <c r="B1525" s="26" t="n"/>
      <c r="C1525" s="27" t="n"/>
      <c r="D1525" s="27" t="n"/>
      <c r="E1525" s="21">
        <f>IF(OR(C1525="",D1525=""),"",ROUND(MOD(D1525-C1525,1)*24,2))</f>
        <v/>
      </c>
      <c r="F1525" s="28" t="n"/>
      <c r="G1525" s="28" t="n"/>
      <c r="H1525" s="1" t="n"/>
    </row>
    <row r="1526">
      <c r="A1526" s="1" t="n"/>
      <c r="B1526" s="26" t="n"/>
      <c r="C1526" s="27" t="n"/>
      <c r="D1526" s="27" t="n"/>
      <c r="E1526" s="21">
        <f>IF(OR(C1526="",D1526=""),"",ROUND(MOD(D1526-C1526,1)*24,2))</f>
        <v/>
      </c>
      <c r="F1526" s="28" t="n"/>
      <c r="G1526" s="28" t="n"/>
      <c r="H1526" s="1" t="n"/>
    </row>
    <row r="1527">
      <c r="A1527" s="1" t="n"/>
      <c r="B1527" s="26" t="n"/>
      <c r="C1527" s="27" t="n"/>
      <c r="D1527" s="27" t="n"/>
      <c r="E1527" s="21">
        <f>IF(OR(C1527="",D1527=""),"",ROUND(MOD(D1527-C1527,1)*24,2))</f>
        <v/>
      </c>
      <c r="F1527" s="28" t="n"/>
      <c r="G1527" s="28" t="n"/>
      <c r="H1527" s="1" t="n"/>
    </row>
    <row r="1528">
      <c r="A1528" s="1" t="n"/>
      <c r="B1528" s="26" t="n"/>
      <c r="C1528" s="27" t="n"/>
      <c r="D1528" s="27" t="n"/>
      <c r="E1528" s="21">
        <f>IF(OR(C1528="",D1528=""),"",ROUND(MOD(D1528-C1528,1)*24,2))</f>
        <v/>
      </c>
      <c r="F1528" s="28" t="n"/>
      <c r="G1528" s="28" t="n"/>
      <c r="H1528" s="1" t="n"/>
    </row>
    <row r="1529">
      <c r="A1529" s="1" t="n"/>
      <c r="B1529" s="26" t="n"/>
      <c r="C1529" s="27" t="n"/>
      <c r="D1529" s="27" t="n"/>
      <c r="E1529" s="21">
        <f>IF(OR(C1529="",D1529=""),"",ROUND(MOD(D1529-C1529,1)*24,2))</f>
        <v/>
      </c>
      <c r="F1529" s="28" t="n"/>
      <c r="G1529" s="28" t="n"/>
      <c r="H1529" s="1" t="n"/>
    </row>
    <row r="1530">
      <c r="A1530" s="1" t="n"/>
      <c r="B1530" s="26" t="n"/>
      <c r="C1530" s="27" t="n"/>
      <c r="D1530" s="27" t="n"/>
      <c r="E1530" s="21">
        <f>IF(OR(C1530="",D1530=""),"",ROUND(MOD(D1530-C1530,1)*24,2))</f>
        <v/>
      </c>
      <c r="F1530" s="28" t="n"/>
      <c r="G1530" s="28" t="n"/>
      <c r="H1530" s="1" t="n"/>
    </row>
    <row r="1531">
      <c r="A1531" s="1" t="n"/>
      <c r="B1531" s="26" t="n"/>
      <c r="C1531" s="27" t="n"/>
      <c r="D1531" s="27" t="n"/>
      <c r="E1531" s="21">
        <f>IF(OR(C1531="",D1531=""),"",ROUND(MOD(D1531-C1531,1)*24,2))</f>
        <v/>
      </c>
      <c r="F1531" s="28" t="n"/>
      <c r="G1531" s="28" t="n"/>
      <c r="H1531" s="1" t="n"/>
    </row>
    <row r="1532">
      <c r="A1532" s="1" t="n"/>
      <c r="B1532" s="26" t="n"/>
      <c r="C1532" s="27" t="n"/>
      <c r="D1532" s="27" t="n"/>
      <c r="E1532" s="21">
        <f>IF(OR(C1532="",D1532=""),"",ROUND(MOD(D1532-C1532,1)*24,2))</f>
        <v/>
      </c>
      <c r="F1532" s="28" t="n"/>
      <c r="G1532" s="28" t="n"/>
      <c r="H1532" s="1" t="n"/>
    </row>
    <row r="1533">
      <c r="A1533" s="1" t="n"/>
      <c r="B1533" s="26" t="n"/>
      <c r="C1533" s="27" t="n"/>
      <c r="D1533" s="27" t="n"/>
      <c r="E1533" s="21">
        <f>IF(OR(C1533="",D1533=""),"",ROUND(MOD(D1533-C1533,1)*24,2))</f>
        <v/>
      </c>
      <c r="F1533" s="28" t="n"/>
      <c r="G1533" s="28" t="n"/>
      <c r="H1533" s="1" t="n"/>
    </row>
    <row r="1534">
      <c r="A1534" s="1" t="n"/>
      <c r="B1534" s="26" t="n"/>
      <c r="C1534" s="27" t="n"/>
      <c r="D1534" s="27" t="n"/>
      <c r="E1534" s="21">
        <f>IF(OR(C1534="",D1534=""),"",ROUND(MOD(D1534-C1534,1)*24,2))</f>
        <v/>
      </c>
      <c r="F1534" s="28" t="n"/>
      <c r="G1534" s="28" t="n"/>
      <c r="H1534" s="1" t="n"/>
    </row>
    <row r="1535">
      <c r="A1535" s="1" t="n"/>
      <c r="B1535" s="26" t="n"/>
      <c r="C1535" s="27" t="n"/>
      <c r="D1535" s="27" t="n"/>
      <c r="E1535" s="21">
        <f>IF(OR(C1535="",D1535=""),"",ROUND(MOD(D1535-C1535,1)*24,2))</f>
        <v/>
      </c>
      <c r="F1535" s="28" t="n"/>
      <c r="G1535" s="28" t="n"/>
      <c r="H1535" s="1" t="n"/>
    </row>
    <row r="1536">
      <c r="A1536" s="1" t="n"/>
      <c r="B1536" s="26" t="n"/>
      <c r="C1536" s="27" t="n"/>
      <c r="D1536" s="27" t="n"/>
      <c r="E1536" s="21">
        <f>IF(OR(C1536="",D1536=""),"",ROUND(MOD(D1536-C1536,1)*24,2))</f>
        <v/>
      </c>
      <c r="F1536" s="28" t="n"/>
      <c r="G1536" s="28" t="n"/>
      <c r="H1536" s="1" t="n"/>
    </row>
    <row r="1537">
      <c r="A1537" s="1" t="n"/>
      <c r="B1537" s="26" t="n"/>
      <c r="C1537" s="27" t="n"/>
      <c r="D1537" s="27" t="n"/>
      <c r="E1537" s="21">
        <f>IF(OR(C1537="",D1537=""),"",ROUND(MOD(D1537-C1537,1)*24,2))</f>
        <v/>
      </c>
      <c r="F1537" s="28" t="n"/>
      <c r="G1537" s="28" t="n"/>
      <c r="H1537" s="1" t="n"/>
    </row>
    <row r="1538">
      <c r="A1538" s="1" t="n"/>
      <c r="B1538" s="26" t="n"/>
      <c r="C1538" s="27" t="n"/>
      <c r="D1538" s="27" t="n"/>
      <c r="E1538" s="21">
        <f>IF(OR(C1538="",D1538=""),"",ROUND(MOD(D1538-C1538,1)*24,2))</f>
        <v/>
      </c>
      <c r="F1538" s="28" t="n"/>
      <c r="G1538" s="28" t="n"/>
      <c r="H1538" s="1" t="n"/>
    </row>
    <row r="1539">
      <c r="A1539" s="1" t="n"/>
      <c r="B1539" s="26" t="n"/>
      <c r="C1539" s="27" t="n"/>
      <c r="D1539" s="27" t="n"/>
      <c r="E1539" s="21">
        <f>IF(OR(C1539="",D1539=""),"",ROUND(MOD(D1539-C1539,1)*24,2))</f>
        <v/>
      </c>
      <c r="F1539" s="28" t="n"/>
      <c r="G1539" s="28" t="n"/>
      <c r="H1539" s="1" t="n"/>
    </row>
    <row r="1540">
      <c r="A1540" s="1" t="n"/>
      <c r="B1540" s="26" t="n"/>
      <c r="C1540" s="27" t="n"/>
      <c r="D1540" s="27" t="n"/>
      <c r="E1540" s="21">
        <f>IF(OR(C1540="",D1540=""),"",ROUND(MOD(D1540-C1540,1)*24,2))</f>
        <v/>
      </c>
      <c r="F1540" s="28" t="n"/>
      <c r="G1540" s="28" t="n"/>
      <c r="H1540" s="1" t="n"/>
    </row>
    <row r="1541">
      <c r="A1541" s="1" t="n"/>
      <c r="B1541" s="26" t="n"/>
      <c r="C1541" s="27" t="n"/>
      <c r="D1541" s="27" t="n"/>
      <c r="E1541" s="21">
        <f>IF(OR(C1541="",D1541=""),"",ROUND(MOD(D1541-C1541,1)*24,2))</f>
        <v/>
      </c>
      <c r="F1541" s="28" t="n"/>
      <c r="G1541" s="28" t="n"/>
      <c r="H1541" s="1" t="n"/>
    </row>
    <row r="1542">
      <c r="A1542" s="1" t="n"/>
      <c r="B1542" s="26" t="n"/>
      <c r="C1542" s="27" t="n"/>
      <c r="D1542" s="27" t="n"/>
      <c r="E1542" s="21">
        <f>IF(OR(C1542="",D1542=""),"",ROUND(MOD(D1542-C1542,1)*24,2))</f>
        <v/>
      </c>
      <c r="F1542" s="28" t="n"/>
      <c r="G1542" s="28" t="n"/>
      <c r="H1542" s="1" t="n"/>
    </row>
    <row r="1543">
      <c r="A1543" s="1" t="n"/>
      <c r="B1543" s="26" t="n"/>
      <c r="C1543" s="27" t="n"/>
      <c r="D1543" s="27" t="n"/>
      <c r="E1543" s="21">
        <f>IF(OR(C1543="",D1543=""),"",ROUND(MOD(D1543-C1543,1)*24,2))</f>
        <v/>
      </c>
      <c r="F1543" s="28" t="n"/>
      <c r="G1543" s="28" t="n"/>
      <c r="H1543" s="1" t="n"/>
    </row>
    <row r="1544">
      <c r="A1544" s="1" t="n"/>
      <c r="B1544" s="26" t="n"/>
      <c r="C1544" s="27" t="n"/>
      <c r="D1544" s="27" t="n"/>
      <c r="E1544" s="21">
        <f>IF(OR(C1544="",D1544=""),"",ROUND(MOD(D1544-C1544,1)*24,2))</f>
        <v/>
      </c>
      <c r="F1544" s="28" t="n"/>
      <c r="G1544" s="28" t="n"/>
      <c r="H1544" s="1" t="n"/>
    </row>
    <row r="1545">
      <c r="A1545" s="1" t="n"/>
      <c r="B1545" s="26" t="n"/>
      <c r="C1545" s="27" t="n"/>
      <c r="D1545" s="27" t="n"/>
      <c r="E1545" s="21">
        <f>IF(OR(C1545="",D1545=""),"",ROUND(MOD(D1545-C1545,1)*24,2))</f>
        <v/>
      </c>
      <c r="F1545" s="28" t="n"/>
      <c r="G1545" s="28" t="n"/>
      <c r="H1545" s="1" t="n"/>
    </row>
    <row r="1546">
      <c r="A1546" s="1" t="n"/>
      <c r="B1546" s="26" t="n"/>
      <c r="C1546" s="27" t="n"/>
      <c r="D1546" s="27" t="n"/>
      <c r="E1546" s="21">
        <f>IF(OR(C1546="",D1546=""),"",ROUND(MOD(D1546-C1546,1)*24,2))</f>
        <v/>
      </c>
      <c r="F1546" s="28" t="n"/>
      <c r="G1546" s="28" t="n"/>
      <c r="H1546" s="1" t="n"/>
    </row>
    <row r="1547">
      <c r="A1547" s="1" t="n"/>
      <c r="B1547" s="26" t="n"/>
      <c r="C1547" s="27" t="n"/>
      <c r="D1547" s="27" t="n"/>
      <c r="E1547" s="21">
        <f>IF(OR(C1547="",D1547=""),"",ROUND(MOD(D1547-C1547,1)*24,2))</f>
        <v/>
      </c>
      <c r="F1547" s="28" t="n"/>
      <c r="G1547" s="28" t="n"/>
      <c r="H1547" s="1" t="n"/>
    </row>
    <row r="1548">
      <c r="A1548" s="1" t="n"/>
      <c r="B1548" s="26" t="n"/>
      <c r="C1548" s="27" t="n"/>
      <c r="D1548" s="27" t="n"/>
      <c r="E1548" s="21">
        <f>IF(OR(C1548="",D1548=""),"",ROUND(MOD(D1548-C1548,1)*24,2))</f>
        <v/>
      </c>
      <c r="F1548" s="28" t="n"/>
      <c r="G1548" s="28" t="n"/>
      <c r="H1548" s="1" t="n"/>
    </row>
    <row r="1549">
      <c r="A1549" s="1" t="n"/>
      <c r="B1549" s="26" t="n"/>
      <c r="C1549" s="27" t="n"/>
      <c r="D1549" s="27" t="n"/>
      <c r="E1549" s="21">
        <f>IF(OR(C1549="",D1549=""),"",ROUND(MOD(D1549-C1549,1)*24,2))</f>
        <v/>
      </c>
      <c r="F1549" s="28" t="n"/>
      <c r="G1549" s="28" t="n"/>
      <c r="H1549" s="1" t="n"/>
    </row>
    <row r="1550">
      <c r="A1550" s="1" t="n"/>
      <c r="B1550" s="26" t="n"/>
      <c r="C1550" s="27" t="n"/>
      <c r="D1550" s="27" t="n"/>
      <c r="E1550" s="21">
        <f>IF(OR(C1550="",D1550=""),"",ROUND(MOD(D1550-C1550,1)*24,2))</f>
        <v/>
      </c>
      <c r="F1550" s="28" t="n"/>
      <c r="G1550" s="28" t="n"/>
      <c r="H1550" s="1" t="n"/>
    </row>
    <row r="1551">
      <c r="A1551" s="1" t="n"/>
      <c r="B1551" s="26" t="n"/>
      <c r="C1551" s="27" t="n"/>
      <c r="D1551" s="27" t="n"/>
      <c r="E1551" s="21">
        <f>IF(OR(C1551="",D1551=""),"",ROUND(MOD(D1551-C1551,1)*24,2))</f>
        <v/>
      </c>
      <c r="F1551" s="28" t="n"/>
      <c r="G1551" s="28" t="n"/>
      <c r="H1551" s="1" t="n"/>
    </row>
    <row r="1552">
      <c r="A1552" s="1" t="n"/>
      <c r="B1552" s="26" t="n"/>
      <c r="C1552" s="27" t="n"/>
      <c r="D1552" s="27" t="n"/>
      <c r="E1552" s="21">
        <f>IF(OR(C1552="",D1552=""),"",ROUND(MOD(D1552-C1552,1)*24,2))</f>
        <v/>
      </c>
      <c r="F1552" s="28" t="n"/>
      <c r="G1552" s="28" t="n"/>
      <c r="H1552" s="1" t="n"/>
    </row>
    <row r="1553">
      <c r="A1553" s="1" t="n"/>
      <c r="B1553" s="26" t="n"/>
      <c r="C1553" s="27" t="n"/>
      <c r="D1553" s="27" t="n"/>
      <c r="E1553" s="21">
        <f>IF(OR(C1553="",D1553=""),"",ROUND(MOD(D1553-C1553,1)*24,2))</f>
        <v/>
      </c>
      <c r="F1553" s="28" t="n"/>
      <c r="G1553" s="28" t="n"/>
      <c r="H1553" s="1" t="n"/>
    </row>
    <row r="1554">
      <c r="A1554" s="1" t="n"/>
      <c r="B1554" s="26" t="n"/>
      <c r="C1554" s="27" t="n"/>
      <c r="D1554" s="27" t="n"/>
      <c r="E1554" s="21">
        <f>IF(OR(C1554="",D1554=""),"",ROUND(MOD(D1554-C1554,1)*24,2))</f>
        <v/>
      </c>
      <c r="F1554" s="28" t="n"/>
      <c r="G1554" s="28" t="n"/>
      <c r="H1554" s="1" t="n"/>
    </row>
    <row r="1555">
      <c r="A1555" s="1" t="n"/>
      <c r="B1555" s="26" t="n"/>
      <c r="C1555" s="27" t="n"/>
      <c r="D1555" s="27" t="n"/>
      <c r="E1555" s="21">
        <f>IF(OR(C1555="",D1555=""),"",ROUND(MOD(D1555-C1555,1)*24,2))</f>
        <v/>
      </c>
      <c r="F1555" s="28" t="n"/>
      <c r="G1555" s="28" t="n"/>
      <c r="H1555" s="1" t="n"/>
    </row>
    <row r="1556">
      <c r="A1556" s="1" t="n"/>
      <c r="B1556" s="26" t="n"/>
      <c r="C1556" s="27" t="n"/>
      <c r="D1556" s="27" t="n"/>
      <c r="E1556" s="21">
        <f>IF(OR(C1556="",D1556=""),"",ROUND(MOD(D1556-C1556,1)*24,2))</f>
        <v/>
      </c>
      <c r="F1556" s="28" t="n"/>
      <c r="G1556" s="28" t="n"/>
      <c r="H1556" s="1" t="n"/>
    </row>
    <row r="1557">
      <c r="A1557" s="1" t="n"/>
      <c r="B1557" s="26" t="n"/>
      <c r="C1557" s="27" t="n"/>
      <c r="D1557" s="27" t="n"/>
      <c r="E1557" s="21">
        <f>IF(OR(C1557="",D1557=""),"",ROUND(MOD(D1557-C1557,1)*24,2))</f>
        <v/>
      </c>
      <c r="F1557" s="28" t="n"/>
      <c r="G1557" s="28" t="n"/>
      <c r="H1557" s="1" t="n"/>
    </row>
    <row r="1558">
      <c r="A1558" s="1" t="n"/>
      <c r="B1558" s="26" t="n"/>
      <c r="C1558" s="27" t="n"/>
      <c r="D1558" s="27" t="n"/>
      <c r="E1558" s="21">
        <f>IF(OR(C1558="",D1558=""),"",ROUND(MOD(D1558-C1558,1)*24,2))</f>
        <v/>
      </c>
      <c r="F1558" s="28" t="n"/>
      <c r="G1558" s="28" t="n"/>
      <c r="H1558" s="1" t="n"/>
    </row>
    <row r="1559">
      <c r="A1559" s="1" t="n"/>
      <c r="B1559" s="26" t="n"/>
      <c r="C1559" s="27" t="n"/>
      <c r="D1559" s="27" t="n"/>
      <c r="E1559" s="21">
        <f>IF(OR(C1559="",D1559=""),"",ROUND(MOD(D1559-C1559,1)*24,2))</f>
        <v/>
      </c>
      <c r="F1559" s="28" t="n"/>
      <c r="G1559" s="28" t="n"/>
      <c r="H1559" s="1" t="n"/>
    </row>
    <row r="1560">
      <c r="A1560" s="1" t="n"/>
      <c r="B1560" s="26" t="n"/>
      <c r="C1560" s="27" t="n"/>
      <c r="D1560" s="27" t="n"/>
      <c r="E1560" s="21">
        <f>IF(OR(C1560="",D1560=""),"",ROUND(MOD(D1560-C1560,1)*24,2))</f>
        <v/>
      </c>
      <c r="F1560" s="28" t="n"/>
      <c r="G1560" s="28" t="n"/>
      <c r="H1560" s="1" t="n"/>
    </row>
    <row r="1561">
      <c r="A1561" s="1" t="n"/>
      <c r="B1561" s="26" t="n"/>
      <c r="C1561" s="27" t="n"/>
      <c r="D1561" s="27" t="n"/>
      <c r="E1561" s="21">
        <f>IF(OR(C1561="",D1561=""),"",ROUND(MOD(D1561-C1561,1)*24,2))</f>
        <v/>
      </c>
      <c r="F1561" s="28" t="n"/>
      <c r="G1561" s="28" t="n"/>
      <c r="H1561" s="1" t="n"/>
    </row>
    <row r="1562">
      <c r="A1562" s="1" t="n"/>
      <c r="B1562" s="26" t="n"/>
      <c r="C1562" s="27" t="n"/>
      <c r="D1562" s="27" t="n"/>
      <c r="E1562" s="21">
        <f>IF(OR(C1562="",D1562=""),"",ROUND(MOD(D1562-C1562,1)*24,2))</f>
        <v/>
      </c>
      <c r="F1562" s="28" t="n"/>
      <c r="G1562" s="28" t="n"/>
      <c r="H1562" s="1" t="n"/>
    </row>
    <row r="1563">
      <c r="A1563" s="1" t="n"/>
      <c r="B1563" s="26" t="n"/>
      <c r="C1563" s="27" t="n"/>
      <c r="D1563" s="27" t="n"/>
      <c r="E1563" s="21">
        <f>IF(OR(C1563="",D1563=""),"",ROUND(MOD(D1563-C1563,1)*24,2))</f>
        <v/>
      </c>
      <c r="F1563" s="28" t="n"/>
      <c r="G1563" s="28" t="n"/>
      <c r="H1563" s="1" t="n"/>
    </row>
    <row r="1564">
      <c r="A1564" s="1" t="n"/>
      <c r="B1564" s="26" t="n"/>
      <c r="C1564" s="27" t="n"/>
      <c r="D1564" s="27" t="n"/>
      <c r="E1564" s="21">
        <f>IF(OR(C1564="",D1564=""),"",ROUND(MOD(D1564-C1564,1)*24,2))</f>
        <v/>
      </c>
      <c r="F1564" s="28" t="n"/>
      <c r="G1564" s="28" t="n"/>
      <c r="H1564" s="1" t="n"/>
    </row>
    <row r="1565">
      <c r="A1565" s="1" t="n"/>
      <c r="B1565" s="26" t="n"/>
      <c r="C1565" s="27" t="n"/>
      <c r="D1565" s="27" t="n"/>
      <c r="E1565" s="21">
        <f>IF(OR(C1565="",D1565=""),"",ROUND(MOD(D1565-C1565,1)*24,2))</f>
        <v/>
      </c>
      <c r="F1565" s="28" t="n"/>
      <c r="G1565" s="28" t="n"/>
      <c r="H1565" s="1" t="n"/>
    </row>
    <row r="1566">
      <c r="A1566" s="1" t="n"/>
      <c r="B1566" s="26" t="n"/>
      <c r="C1566" s="27" t="n"/>
      <c r="D1566" s="27" t="n"/>
      <c r="E1566" s="21">
        <f>IF(OR(C1566="",D1566=""),"",ROUND(MOD(D1566-C1566,1)*24,2))</f>
        <v/>
      </c>
      <c r="F1566" s="28" t="n"/>
      <c r="G1566" s="28" t="n"/>
      <c r="H1566" s="1" t="n"/>
    </row>
    <row r="1567">
      <c r="A1567" s="1" t="n"/>
      <c r="B1567" s="26" t="n"/>
      <c r="C1567" s="27" t="n"/>
      <c r="D1567" s="27" t="n"/>
      <c r="E1567" s="21">
        <f>IF(OR(C1567="",D1567=""),"",ROUND(MOD(D1567-C1567,1)*24,2))</f>
        <v/>
      </c>
      <c r="F1567" s="28" t="n"/>
      <c r="G1567" s="28" t="n"/>
      <c r="H1567" s="1" t="n"/>
    </row>
    <row r="1568">
      <c r="A1568" s="1" t="n"/>
      <c r="B1568" s="26" t="n"/>
      <c r="C1568" s="27" t="n"/>
      <c r="D1568" s="27" t="n"/>
      <c r="E1568" s="21">
        <f>IF(OR(C1568="",D1568=""),"",ROUND(MOD(D1568-C1568,1)*24,2))</f>
        <v/>
      </c>
      <c r="F1568" s="28" t="n"/>
      <c r="G1568" s="28" t="n"/>
      <c r="H1568" s="1" t="n"/>
    </row>
    <row r="1569">
      <c r="A1569" s="1" t="n"/>
      <c r="B1569" s="26" t="n"/>
      <c r="C1569" s="27" t="n"/>
      <c r="D1569" s="27" t="n"/>
      <c r="E1569" s="21">
        <f>IF(OR(C1569="",D1569=""),"",ROUND(MOD(D1569-C1569,1)*24,2))</f>
        <v/>
      </c>
      <c r="F1569" s="28" t="n"/>
      <c r="G1569" s="28" t="n"/>
      <c r="H1569" s="1" t="n"/>
    </row>
    <row r="1570">
      <c r="A1570" s="1" t="n"/>
      <c r="B1570" s="26" t="n"/>
      <c r="C1570" s="27" t="n"/>
      <c r="D1570" s="27" t="n"/>
      <c r="E1570" s="21">
        <f>IF(OR(C1570="",D1570=""),"",ROUND(MOD(D1570-C1570,1)*24,2))</f>
        <v/>
      </c>
      <c r="F1570" s="28" t="n"/>
      <c r="G1570" s="28" t="n"/>
      <c r="H1570" s="1" t="n"/>
    </row>
    <row r="1571">
      <c r="A1571" s="1" t="n"/>
      <c r="B1571" s="26" t="n"/>
      <c r="C1571" s="27" t="n"/>
      <c r="D1571" s="27" t="n"/>
      <c r="E1571" s="21">
        <f>IF(OR(C1571="",D1571=""),"",ROUND(MOD(D1571-C1571,1)*24,2))</f>
        <v/>
      </c>
      <c r="F1571" s="28" t="n"/>
      <c r="G1571" s="28" t="n"/>
      <c r="H1571" s="1" t="n"/>
    </row>
    <row r="1572">
      <c r="A1572" s="1" t="n"/>
      <c r="B1572" s="26" t="n"/>
      <c r="C1572" s="27" t="n"/>
      <c r="D1572" s="27" t="n"/>
      <c r="E1572" s="21">
        <f>IF(OR(C1572="",D1572=""),"",ROUND(MOD(D1572-C1572,1)*24,2))</f>
        <v/>
      </c>
      <c r="F1572" s="28" t="n"/>
      <c r="G1572" s="28" t="n"/>
      <c r="H1572" s="1" t="n"/>
    </row>
    <row r="1573">
      <c r="A1573" s="1" t="n"/>
      <c r="B1573" s="26" t="n"/>
      <c r="C1573" s="27" t="n"/>
      <c r="D1573" s="27" t="n"/>
      <c r="E1573" s="21">
        <f>IF(OR(C1573="",D1573=""),"",ROUND(MOD(D1573-C1573,1)*24,2))</f>
        <v/>
      </c>
      <c r="F1573" s="28" t="n"/>
      <c r="G1573" s="28" t="n"/>
      <c r="H1573" s="1" t="n"/>
    </row>
    <row r="1574">
      <c r="A1574" s="1" t="n"/>
      <c r="B1574" s="26" t="n"/>
      <c r="C1574" s="27" t="n"/>
      <c r="D1574" s="27" t="n"/>
      <c r="E1574" s="21">
        <f>IF(OR(C1574="",D1574=""),"",ROUND(MOD(D1574-C1574,1)*24,2))</f>
        <v/>
      </c>
      <c r="F1574" s="28" t="n"/>
      <c r="G1574" s="28" t="n"/>
      <c r="H1574" s="1" t="n"/>
    </row>
    <row r="1575">
      <c r="A1575" s="1" t="n"/>
      <c r="B1575" s="26" t="n"/>
      <c r="C1575" s="27" t="n"/>
      <c r="D1575" s="27" t="n"/>
      <c r="E1575" s="21">
        <f>IF(OR(C1575="",D1575=""),"",ROUND(MOD(D1575-C1575,1)*24,2))</f>
        <v/>
      </c>
      <c r="F1575" s="28" t="n"/>
      <c r="G1575" s="28" t="n"/>
      <c r="H1575" s="1" t="n"/>
    </row>
    <row r="1576">
      <c r="A1576" s="1" t="n"/>
      <c r="B1576" s="26" t="n"/>
      <c r="C1576" s="27" t="n"/>
      <c r="D1576" s="27" t="n"/>
      <c r="E1576" s="21">
        <f>IF(OR(C1576="",D1576=""),"",ROUND(MOD(D1576-C1576,1)*24,2))</f>
        <v/>
      </c>
      <c r="F1576" s="28" t="n"/>
      <c r="G1576" s="28" t="n"/>
      <c r="H1576" s="1" t="n"/>
    </row>
    <row r="1577">
      <c r="A1577" s="1" t="n"/>
      <c r="B1577" s="26" t="n"/>
      <c r="C1577" s="27" t="n"/>
      <c r="D1577" s="27" t="n"/>
      <c r="E1577" s="21">
        <f>IF(OR(C1577="",D1577=""),"",ROUND(MOD(D1577-C1577,1)*24,2))</f>
        <v/>
      </c>
      <c r="F1577" s="28" t="n"/>
      <c r="G1577" s="28" t="n"/>
      <c r="H1577" s="1" t="n"/>
    </row>
    <row r="1578">
      <c r="A1578" s="1" t="n"/>
      <c r="B1578" s="26" t="n"/>
      <c r="C1578" s="27" t="n"/>
      <c r="D1578" s="27" t="n"/>
      <c r="E1578" s="21">
        <f>IF(OR(C1578="",D1578=""),"",ROUND(MOD(D1578-C1578,1)*24,2))</f>
        <v/>
      </c>
      <c r="F1578" s="28" t="n"/>
      <c r="G1578" s="28" t="n"/>
      <c r="H1578" s="1" t="n"/>
    </row>
    <row r="1579">
      <c r="A1579" s="1" t="n"/>
      <c r="B1579" s="26" t="n"/>
      <c r="C1579" s="27" t="n"/>
      <c r="D1579" s="27" t="n"/>
      <c r="E1579" s="21">
        <f>IF(OR(C1579="",D1579=""),"",ROUND(MOD(D1579-C1579,1)*24,2))</f>
        <v/>
      </c>
      <c r="F1579" s="28" t="n"/>
      <c r="G1579" s="28" t="n"/>
      <c r="H1579" s="1" t="n"/>
    </row>
    <row r="1580">
      <c r="A1580" s="1" t="n"/>
      <c r="B1580" s="26" t="n"/>
      <c r="C1580" s="27" t="n"/>
      <c r="D1580" s="27" t="n"/>
      <c r="E1580" s="21">
        <f>IF(OR(C1580="",D1580=""),"",ROUND(MOD(D1580-C1580,1)*24,2))</f>
        <v/>
      </c>
      <c r="F1580" s="28" t="n"/>
      <c r="G1580" s="28" t="n"/>
      <c r="H1580" s="1" t="n"/>
    </row>
    <row r="1581">
      <c r="A1581" s="1" t="n"/>
      <c r="B1581" s="26" t="n"/>
      <c r="C1581" s="27" t="n"/>
      <c r="D1581" s="27" t="n"/>
      <c r="E1581" s="21">
        <f>IF(OR(C1581="",D1581=""),"",ROUND(MOD(D1581-C1581,1)*24,2))</f>
        <v/>
      </c>
      <c r="F1581" s="28" t="n"/>
      <c r="G1581" s="28" t="n"/>
      <c r="H1581" s="1" t="n"/>
    </row>
    <row r="1582">
      <c r="A1582" s="1" t="n"/>
      <c r="B1582" s="26" t="n"/>
      <c r="C1582" s="27" t="n"/>
      <c r="D1582" s="27" t="n"/>
      <c r="E1582" s="21">
        <f>IF(OR(C1582="",D1582=""),"",ROUND(MOD(D1582-C1582,1)*24,2))</f>
        <v/>
      </c>
      <c r="F1582" s="28" t="n"/>
      <c r="G1582" s="28" t="n"/>
      <c r="H1582" s="1" t="n"/>
    </row>
    <row r="1583">
      <c r="A1583" s="1" t="n"/>
      <c r="B1583" s="26" t="n"/>
      <c r="C1583" s="27" t="n"/>
      <c r="D1583" s="27" t="n"/>
      <c r="E1583" s="21">
        <f>IF(OR(C1583="",D1583=""),"",ROUND(MOD(D1583-C1583,1)*24,2))</f>
        <v/>
      </c>
      <c r="F1583" s="28" t="n"/>
      <c r="G1583" s="28" t="n"/>
      <c r="H1583" s="1" t="n"/>
    </row>
    <row r="1584">
      <c r="A1584" s="1" t="n"/>
      <c r="B1584" s="26" t="n"/>
      <c r="C1584" s="27" t="n"/>
      <c r="D1584" s="27" t="n"/>
      <c r="E1584" s="21">
        <f>IF(OR(C1584="",D1584=""),"",ROUND(MOD(D1584-C1584,1)*24,2))</f>
        <v/>
      </c>
      <c r="F1584" s="28" t="n"/>
      <c r="G1584" s="28" t="n"/>
      <c r="H1584" s="1" t="n"/>
    </row>
    <row r="1585">
      <c r="A1585" s="1" t="n"/>
      <c r="B1585" s="26" t="n"/>
      <c r="C1585" s="27" t="n"/>
      <c r="D1585" s="27" t="n"/>
      <c r="E1585" s="21">
        <f>IF(OR(C1585="",D1585=""),"",ROUND(MOD(D1585-C1585,1)*24,2))</f>
        <v/>
      </c>
      <c r="F1585" s="28" t="n"/>
      <c r="G1585" s="28" t="n"/>
      <c r="H1585" s="1" t="n"/>
    </row>
    <row r="1586">
      <c r="A1586" s="1" t="n"/>
      <c r="B1586" s="26" t="n"/>
      <c r="C1586" s="27" t="n"/>
      <c r="D1586" s="27" t="n"/>
      <c r="E1586" s="21">
        <f>IF(OR(C1586="",D1586=""),"",ROUND(MOD(D1586-C1586,1)*24,2))</f>
        <v/>
      </c>
      <c r="F1586" s="28" t="n"/>
      <c r="G1586" s="28" t="n"/>
      <c r="H1586" s="1" t="n"/>
    </row>
    <row r="1587">
      <c r="A1587" s="1" t="n"/>
      <c r="B1587" s="26" t="n"/>
      <c r="C1587" s="27" t="n"/>
      <c r="D1587" s="27" t="n"/>
      <c r="E1587" s="21">
        <f>IF(OR(C1587="",D1587=""),"",ROUND(MOD(D1587-C1587,1)*24,2))</f>
        <v/>
      </c>
      <c r="F1587" s="28" t="n"/>
      <c r="G1587" s="28" t="n"/>
      <c r="H1587" s="1" t="n"/>
    </row>
    <row r="1588">
      <c r="A1588" s="1" t="n"/>
      <c r="B1588" s="26" t="n"/>
      <c r="C1588" s="27" t="n"/>
      <c r="D1588" s="27" t="n"/>
      <c r="E1588" s="21">
        <f>IF(OR(C1588="",D1588=""),"",ROUND(MOD(D1588-C1588,1)*24,2))</f>
        <v/>
      </c>
      <c r="F1588" s="28" t="n"/>
      <c r="G1588" s="28" t="n"/>
      <c r="H1588" s="1" t="n"/>
    </row>
    <row r="1589">
      <c r="A1589" s="1" t="n"/>
      <c r="B1589" s="26" t="n"/>
      <c r="C1589" s="27" t="n"/>
      <c r="D1589" s="27" t="n"/>
      <c r="E1589" s="21">
        <f>IF(OR(C1589="",D1589=""),"",ROUND(MOD(D1589-C1589,1)*24,2))</f>
        <v/>
      </c>
      <c r="F1589" s="28" t="n"/>
      <c r="G1589" s="28" t="n"/>
      <c r="H1589" s="1" t="n"/>
    </row>
    <row r="1590">
      <c r="A1590" s="1" t="n"/>
      <c r="B1590" s="26" t="n"/>
      <c r="C1590" s="27" t="n"/>
      <c r="D1590" s="27" t="n"/>
      <c r="E1590" s="21">
        <f>IF(OR(C1590="",D1590=""),"",ROUND(MOD(D1590-C1590,1)*24,2))</f>
        <v/>
      </c>
      <c r="F1590" s="28" t="n"/>
      <c r="G1590" s="28" t="n"/>
      <c r="H1590" s="1" t="n"/>
    </row>
    <row r="1591">
      <c r="A1591" s="1" t="n"/>
      <c r="B1591" s="26" t="n"/>
      <c r="C1591" s="27" t="n"/>
      <c r="D1591" s="27" t="n"/>
      <c r="E1591" s="21">
        <f>IF(OR(C1591="",D1591=""),"",ROUND(MOD(D1591-C1591,1)*24,2))</f>
        <v/>
      </c>
      <c r="F1591" s="28" t="n"/>
      <c r="G1591" s="28" t="n"/>
      <c r="H1591" s="1" t="n"/>
    </row>
    <row r="1592">
      <c r="A1592" s="1" t="n"/>
      <c r="B1592" s="26" t="n"/>
      <c r="C1592" s="27" t="n"/>
      <c r="D1592" s="27" t="n"/>
      <c r="E1592" s="21">
        <f>IF(OR(C1592="",D1592=""),"",ROUND(MOD(D1592-C1592,1)*24,2))</f>
        <v/>
      </c>
      <c r="F1592" s="28" t="n"/>
      <c r="G1592" s="28" t="n"/>
      <c r="H1592" s="1" t="n"/>
    </row>
    <row r="1593">
      <c r="A1593" s="1" t="n"/>
      <c r="B1593" s="26" t="n"/>
      <c r="C1593" s="27" t="n"/>
      <c r="D1593" s="27" t="n"/>
      <c r="E1593" s="21">
        <f>IF(OR(C1593="",D1593=""),"",ROUND(MOD(D1593-C1593,1)*24,2))</f>
        <v/>
      </c>
      <c r="F1593" s="28" t="n"/>
      <c r="G1593" s="28" t="n"/>
      <c r="H1593" s="1" t="n"/>
    </row>
    <row r="1594">
      <c r="A1594" s="1" t="n"/>
      <c r="B1594" s="26" t="n"/>
      <c r="C1594" s="27" t="n"/>
      <c r="D1594" s="27" t="n"/>
      <c r="E1594" s="21">
        <f>IF(OR(C1594="",D1594=""),"",ROUND(MOD(D1594-C1594,1)*24,2))</f>
        <v/>
      </c>
      <c r="F1594" s="28" t="n"/>
      <c r="G1594" s="28" t="n"/>
      <c r="H1594" s="1" t="n"/>
    </row>
    <row r="1595">
      <c r="A1595" s="1" t="n"/>
      <c r="B1595" s="26" t="n"/>
      <c r="C1595" s="27" t="n"/>
      <c r="D1595" s="27" t="n"/>
      <c r="E1595" s="21">
        <f>IF(OR(C1595="",D1595=""),"",ROUND(MOD(D1595-C1595,1)*24,2))</f>
        <v/>
      </c>
      <c r="F1595" s="28" t="n"/>
      <c r="G1595" s="28" t="n"/>
      <c r="H1595" s="1" t="n"/>
    </row>
    <row r="1596">
      <c r="A1596" s="1" t="n"/>
      <c r="B1596" s="26" t="n"/>
      <c r="C1596" s="27" t="n"/>
      <c r="D1596" s="27" t="n"/>
      <c r="E1596" s="21">
        <f>IF(OR(C1596="",D1596=""),"",ROUND(MOD(D1596-C1596,1)*24,2))</f>
        <v/>
      </c>
      <c r="F1596" s="28" t="n"/>
      <c r="G1596" s="28" t="n"/>
      <c r="H1596" s="1" t="n"/>
    </row>
    <row r="1597">
      <c r="A1597" s="1" t="n"/>
      <c r="B1597" s="26" t="n"/>
      <c r="C1597" s="27" t="n"/>
      <c r="D1597" s="27" t="n"/>
      <c r="E1597" s="21">
        <f>IF(OR(C1597="",D1597=""),"",ROUND(MOD(D1597-C1597,1)*24,2))</f>
        <v/>
      </c>
      <c r="F1597" s="28" t="n"/>
      <c r="G1597" s="28" t="n"/>
      <c r="H1597" s="1" t="n"/>
    </row>
    <row r="1598">
      <c r="A1598" s="1" t="n"/>
      <c r="B1598" s="26" t="n"/>
      <c r="C1598" s="27" t="n"/>
      <c r="D1598" s="27" t="n"/>
      <c r="E1598" s="21">
        <f>IF(OR(C1598="",D1598=""),"",ROUND(MOD(D1598-C1598,1)*24,2))</f>
        <v/>
      </c>
      <c r="F1598" s="28" t="n"/>
      <c r="G1598" s="28" t="n"/>
      <c r="H1598" s="1" t="n"/>
    </row>
    <row r="1599">
      <c r="A1599" s="1" t="n"/>
      <c r="B1599" s="26" t="n"/>
      <c r="C1599" s="27" t="n"/>
      <c r="D1599" s="27" t="n"/>
      <c r="E1599" s="21">
        <f>IF(OR(C1599="",D1599=""),"",ROUND(MOD(D1599-C1599,1)*24,2))</f>
        <v/>
      </c>
      <c r="F1599" s="28" t="n"/>
      <c r="G1599" s="28" t="n"/>
      <c r="H1599" s="1" t="n"/>
    </row>
    <row r="1600">
      <c r="A1600" s="1" t="n"/>
      <c r="B1600" s="26" t="n"/>
      <c r="C1600" s="27" t="n"/>
      <c r="D1600" s="27" t="n"/>
      <c r="E1600" s="21">
        <f>IF(OR(C1600="",D1600=""),"",ROUND(MOD(D1600-C1600,1)*24,2))</f>
        <v/>
      </c>
      <c r="F1600" s="28" t="n"/>
      <c r="G1600" s="28" t="n"/>
      <c r="H1600" s="1" t="n"/>
    </row>
    <row r="1601">
      <c r="A1601" s="1" t="n"/>
      <c r="B1601" s="26" t="n"/>
      <c r="C1601" s="27" t="n"/>
      <c r="D1601" s="27" t="n"/>
      <c r="E1601" s="21">
        <f>IF(OR(C1601="",D1601=""),"",ROUND(MOD(D1601-C1601,1)*24,2))</f>
        <v/>
      </c>
      <c r="F1601" s="28" t="n"/>
      <c r="G1601" s="28" t="n"/>
      <c r="H1601" s="1" t="n"/>
    </row>
    <row r="1602">
      <c r="A1602" s="1" t="n"/>
      <c r="B1602" s="26" t="n"/>
      <c r="C1602" s="27" t="n"/>
      <c r="D1602" s="27" t="n"/>
      <c r="E1602" s="21">
        <f>IF(OR(C1602="",D1602=""),"",ROUND(MOD(D1602-C1602,1)*24,2))</f>
        <v/>
      </c>
      <c r="F1602" s="28" t="n"/>
      <c r="G1602" s="28" t="n"/>
      <c r="H1602" s="1" t="n"/>
    </row>
    <row r="1603">
      <c r="A1603" s="1" t="n"/>
      <c r="B1603" s="26" t="n"/>
      <c r="C1603" s="27" t="n"/>
      <c r="D1603" s="27" t="n"/>
      <c r="E1603" s="21">
        <f>IF(OR(C1603="",D1603=""),"",ROUND(MOD(D1603-C1603,1)*24,2))</f>
        <v/>
      </c>
      <c r="F1603" s="28" t="n"/>
      <c r="G1603" s="28" t="n"/>
      <c r="H1603" s="1" t="n"/>
    </row>
    <row r="1604">
      <c r="A1604" s="1" t="n"/>
      <c r="B1604" s="26" t="n"/>
      <c r="C1604" s="27" t="n"/>
      <c r="D1604" s="27" t="n"/>
      <c r="E1604" s="21">
        <f>IF(OR(C1604="",D1604=""),"",ROUND(MOD(D1604-C1604,1)*24,2))</f>
        <v/>
      </c>
      <c r="F1604" s="28" t="n"/>
      <c r="G1604" s="28" t="n"/>
      <c r="H1604" s="1" t="n"/>
    </row>
    <row r="1605">
      <c r="A1605" s="1" t="n"/>
      <c r="B1605" s="26" t="n"/>
      <c r="C1605" s="27" t="n"/>
      <c r="D1605" s="27" t="n"/>
      <c r="E1605" s="21">
        <f>IF(OR(C1605="",D1605=""),"",ROUND(MOD(D1605-C1605,1)*24,2))</f>
        <v/>
      </c>
      <c r="F1605" s="28" t="n"/>
      <c r="G1605" s="28" t="n"/>
      <c r="H1605" s="1" t="n"/>
    </row>
    <row r="1606">
      <c r="A1606" s="1" t="n"/>
      <c r="B1606" s="26" t="n"/>
      <c r="C1606" s="27" t="n"/>
      <c r="D1606" s="27" t="n"/>
      <c r="E1606" s="21">
        <f>IF(OR(C1606="",D1606=""),"",ROUND(MOD(D1606-C1606,1)*24,2))</f>
        <v/>
      </c>
      <c r="F1606" s="28" t="n"/>
      <c r="G1606" s="28" t="n"/>
      <c r="H1606" s="1" t="n"/>
    </row>
    <row r="1607">
      <c r="A1607" s="1" t="n"/>
      <c r="B1607" s="26" t="n"/>
      <c r="C1607" s="27" t="n"/>
      <c r="D1607" s="27" t="n"/>
      <c r="E1607" s="21">
        <f>IF(OR(C1607="",D1607=""),"",ROUND(MOD(D1607-C1607,1)*24,2))</f>
        <v/>
      </c>
      <c r="F1607" s="28" t="n"/>
      <c r="G1607" s="28" t="n"/>
      <c r="H1607" s="1" t="n"/>
    </row>
    <row r="1608">
      <c r="A1608" s="1" t="n"/>
      <c r="B1608" s="26" t="n"/>
      <c r="C1608" s="27" t="n"/>
      <c r="D1608" s="27" t="n"/>
      <c r="E1608" s="21">
        <f>IF(OR(C1608="",D1608=""),"",ROUND(MOD(D1608-C1608,1)*24,2))</f>
        <v/>
      </c>
      <c r="F1608" s="28" t="n"/>
      <c r="G1608" s="28" t="n"/>
      <c r="H1608" s="1" t="n"/>
    </row>
    <row r="1609">
      <c r="A1609" s="1" t="n"/>
      <c r="B1609" s="26" t="n"/>
      <c r="C1609" s="27" t="n"/>
      <c r="D1609" s="27" t="n"/>
      <c r="E1609" s="21">
        <f>IF(OR(C1609="",D1609=""),"",ROUND(MOD(D1609-C1609,1)*24,2))</f>
        <v/>
      </c>
      <c r="F1609" s="28" t="n"/>
      <c r="G1609" s="28" t="n"/>
      <c r="H1609" s="1" t="n"/>
    </row>
    <row r="1610">
      <c r="A1610" s="1" t="n"/>
      <c r="B1610" s="26" t="n"/>
      <c r="C1610" s="27" t="n"/>
      <c r="D1610" s="27" t="n"/>
      <c r="E1610" s="21">
        <f>IF(OR(C1610="",D1610=""),"",ROUND(MOD(D1610-C1610,1)*24,2))</f>
        <v/>
      </c>
      <c r="F1610" s="28" t="n"/>
      <c r="G1610" s="28" t="n"/>
      <c r="H1610" s="1" t="n"/>
    </row>
    <row r="1611">
      <c r="A1611" s="1" t="n"/>
      <c r="B1611" s="26" t="n"/>
      <c r="C1611" s="27" t="n"/>
      <c r="D1611" s="27" t="n"/>
      <c r="E1611" s="21">
        <f>IF(OR(C1611="",D1611=""),"",ROUND(MOD(D1611-C1611,1)*24,2))</f>
        <v/>
      </c>
      <c r="F1611" s="28" t="n"/>
      <c r="G1611" s="28" t="n"/>
      <c r="H1611" s="1" t="n"/>
    </row>
    <row r="1612">
      <c r="A1612" s="1" t="n"/>
      <c r="B1612" s="26" t="n"/>
      <c r="C1612" s="27" t="n"/>
      <c r="D1612" s="27" t="n"/>
      <c r="E1612" s="21">
        <f>IF(OR(C1612="",D1612=""),"",ROUND(MOD(D1612-C1612,1)*24,2))</f>
        <v/>
      </c>
      <c r="F1612" s="28" t="n"/>
      <c r="G1612" s="28" t="n"/>
      <c r="H1612" s="1" t="n"/>
    </row>
    <row r="1613">
      <c r="A1613" s="1" t="n"/>
      <c r="B1613" s="26" t="n"/>
      <c r="C1613" s="27" t="n"/>
      <c r="D1613" s="27" t="n"/>
      <c r="E1613" s="21">
        <f>IF(OR(C1613="",D1613=""),"",ROUND(MOD(D1613-C1613,1)*24,2))</f>
        <v/>
      </c>
      <c r="F1613" s="28" t="n"/>
      <c r="G1613" s="28" t="n"/>
      <c r="H1613" s="1" t="n"/>
    </row>
    <row r="1614">
      <c r="A1614" s="1" t="n"/>
      <c r="B1614" s="26" t="n"/>
      <c r="C1614" s="27" t="n"/>
      <c r="D1614" s="27" t="n"/>
      <c r="E1614" s="21">
        <f>IF(OR(C1614="",D1614=""),"",ROUND(MOD(D1614-C1614,1)*24,2))</f>
        <v/>
      </c>
      <c r="F1614" s="28" t="n"/>
      <c r="G1614" s="28" t="n"/>
      <c r="H1614" s="1" t="n"/>
    </row>
    <row r="1615">
      <c r="A1615" s="1" t="n"/>
      <c r="B1615" s="26" t="n"/>
      <c r="C1615" s="27" t="n"/>
      <c r="D1615" s="27" t="n"/>
      <c r="E1615" s="21">
        <f>IF(OR(C1615="",D1615=""),"",ROUND(MOD(D1615-C1615,1)*24,2))</f>
        <v/>
      </c>
      <c r="F1615" s="28" t="n"/>
      <c r="G1615" s="28" t="n"/>
      <c r="H1615" s="1" t="n"/>
    </row>
    <row r="1616">
      <c r="A1616" s="1" t="n"/>
      <c r="B1616" s="26" t="n"/>
      <c r="C1616" s="27" t="n"/>
      <c r="D1616" s="27" t="n"/>
      <c r="E1616" s="21">
        <f>IF(OR(C1616="",D1616=""),"",ROUND(MOD(D1616-C1616,1)*24,2))</f>
        <v/>
      </c>
      <c r="F1616" s="28" t="n"/>
      <c r="G1616" s="28" t="n"/>
      <c r="H1616" s="1" t="n"/>
    </row>
    <row r="1617">
      <c r="A1617" s="1" t="n"/>
      <c r="B1617" s="26" t="n"/>
      <c r="C1617" s="27" t="n"/>
      <c r="D1617" s="27" t="n"/>
      <c r="E1617" s="21">
        <f>IF(OR(C1617="",D1617=""),"",ROUND(MOD(D1617-C1617,1)*24,2))</f>
        <v/>
      </c>
      <c r="F1617" s="28" t="n"/>
      <c r="G1617" s="28" t="n"/>
      <c r="H1617" s="1" t="n"/>
    </row>
    <row r="1618">
      <c r="A1618" s="1" t="n"/>
      <c r="B1618" s="26" t="n"/>
      <c r="C1618" s="27" t="n"/>
      <c r="D1618" s="27" t="n"/>
      <c r="E1618" s="21">
        <f>IF(OR(C1618="",D1618=""),"",ROUND(MOD(D1618-C1618,1)*24,2))</f>
        <v/>
      </c>
      <c r="F1618" s="28" t="n"/>
      <c r="G1618" s="28" t="n"/>
      <c r="H1618" s="1" t="n"/>
    </row>
    <row r="1619">
      <c r="A1619" s="1" t="n"/>
      <c r="B1619" s="26" t="n"/>
      <c r="C1619" s="27" t="n"/>
      <c r="D1619" s="27" t="n"/>
      <c r="E1619" s="21">
        <f>IF(OR(C1619="",D1619=""),"",ROUND(MOD(D1619-C1619,1)*24,2))</f>
        <v/>
      </c>
      <c r="F1619" s="28" t="n"/>
      <c r="G1619" s="28" t="n"/>
      <c r="H1619" s="1" t="n"/>
    </row>
    <row r="1620">
      <c r="A1620" s="1" t="n"/>
      <c r="B1620" s="26" t="n"/>
      <c r="C1620" s="27" t="n"/>
      <c r="D1620" s="27" t="n"/>
      <c r="E1620" s="21">
        <f>IF(OR(C1620="",D1620=""),"",ROUND(MOD(D1620-C1620,1)*24,2))</f>
        <v/>
      </c>
      <c r="F1620" s="28" t="n"/>
      <c r="G1620" s="28" t="n"/>
      <c r="H1620" s="1" t="n"/>
    </row>
    <row r="1621">
      <c r="A1621" s="1" t="n"/>
      <c r="B1621" s="26" t="n"/>
      <c r="C1621" s="27" t="n"/>
      <c r="D1621" s="27" t="n"/>
      <c r="E1621" s="21">
        <f>IF(OR(C1621="",D1621=""),"",ROUND(MOD(D1621-C1621,1)*24,2))</f>
        <v/>
      </c>
      <c r="F1621" s="28" t="n"/>
      <c r="G1621" s="28" t="n"/>
      <c r="H1621" s="1" t="n"/>
    </row>
    <row r="1622">
      <c r="A1622" s="1" t="n"/>
      <c r="B1622" s="26" t="n"/>
      <c r="C1622" s="27" t="n"/>
      <c r="D1622" s="27" t="n"/>
      <c r="E1622" s="21">
        <f>IF(OR(C1622="",D1622=""),"",ROUND(MOD(D1622-C1622,1)*24,2))</f>
        <v/>
      </c>
      <c r="F1622" s="28" t="n"/>
      <c r="G1622" s="28" t="n"/>
      <c r="H1622" s="1" t="n"/>
    </row>
    <row r="1623">
      <c r="A1623" s="1" t="n"/>
      <c r="B1623" s="26" t="n"/>
      <c r="C1623" s="27" t="n"/>
      <c r="D1623" s="27" t="n"/>
      <c r="E1623" s="21">
        <f>IF(OR(C1623="",D1623=""),"",ROUND(MOD(D1623-C1623,1)*24,2))</f>
        <v/>
      </c>
      <c r="F1623" s="28" t="n"/>
      <c r="G1623" s="28" t="n"/>
      <c r="H1623" s="1" t="n"/>
    </row>
    <row r="1624">
      <c r="A1624" s="1" t="n"/>
      <c r="B1624" s="26" t="n"/>
      <c r="C1624" s="27" t="n"/>
      <c r="D1624" s="27" t="n"/>
      <c r="E1624" s="21">
        <f>IF(OR(C1624="",D1624=""),"",ROUND(MOD(D1624-C1624,1)*24,2))</f>
        <v/>
      </c>
      <c r="F1624" s="28" t="n"/>
      <c r="G1624" s="28" t="n"/>
      <c r="H1624" s="1" t="n"/>
    </row>
    <row r="1625">
      <c r="A1625" s="1" t="n"/>
      <c r="B1625" s="26" t="n"/>
      <c r="C1625" s="27" t="n"/>
      <c r="D1625" s="27" t="n"/>
      <c r="E1625" s="21">
        <f>IF(OR(C1625="",D1625=""),"",ROUND(MOD(D1625-C1625,1)*24,2))</f>
        <v/>
      </c>
      <c r="F1625" s="28" t="n"/>
      <c r="G1625" s="28" t="n"/>
      <c r="H1625" s="1" t="n"/>
    </row>
    <row r="1626">
      <c r="A1626" s="1" t="n"/>
      <c r="B1626" s="26" t="n"/>
      <c r="C1626" s="27" t="n"/>
      <c r="D1626" s="27" t="n"/>
      <c r="E1626" s="21">
        <f>IF(OR(C1626="",D1626=""),"",ROUND(MOD(D1626-C1626,1)*24,2))</f>
        <v/>
      </c>
      <c r="F1626" s="28" t="n"/>
      <c r="G1626" s="28" t="n"/>
      <c r="H1626" s="1" t="n"/>
    </row>
    <row r="1627">
      <c r="A1627" s="1" t="n"/>
      <c r="B1627" s="26" t="n"/>
      <c r="C1627" s="27" t="n"/>
      <c r="D1627" s="27" t="n"/>
      <c r="E1627" s="21">
        <f>IF(OR(C1627="",D1627=""),"",ROUND(MOD(D1627-C1627,1)*24,2))</f>
        <v/>
      </c>
      <c r="F1627" s="28" t="n"/>
      <c r="G1627" s="28" t="n"/>
      <c r="H1627" s="1" t="n"/>
    </row>
    <row r="1628">
      <c r="A1628" s="1" t="n"/>
      <c r="B1628" s="26" t="n"/>
      <c r="C1628" s="27" t="n"/>
      <c r="D1628" s="27" t="n"/>
      <c r="E1628" s="21">
        <f>IF(OR(C1628="",D1628=""),"",ROUND(MOD(D1628-C1628,1)*24,2))</f>
        <v/>
      </c>
      <c r="F1628" s="28" t="n"/>
      <c r="G1628" s="28" t="n"/>
      <c r="H1628" s="1" t="n"/>
    </row>
    <row r="1629">
      <c r="A1629" s="1" t="n"/>
      <c r="B1629" s="26" t="n"/>
      <c r="C1629" s="27" t="n"/>
      <c r="D1629" s="27" t="n"/>
      <c r="E1629" s="21">
        <f>IF(OR(C1629="",D1629=""),"",ROUND(MOD(D1629-C1629,1)*24,2))</f>
        <v/>
      </c>
      <c r="F1629" s="28" t="n"/>
      <c r="G1629" s="28" t="n"/>
      <c r="H1629" s="1" t="n"/>
    </row>
    <row r="1630">
      <c r="A1630" s="1" t="n"/>
      <c r="B1630" s="26" t="n"/>
      <c r="C1630" s="27" t="n"/>
      <c r="D1630" s="27" t="n"/>
      <c r="E1630" s="21">
        <f>IF(OR(C1630="",D1630=""),"",ROUND(MOD(D1630-C1630,1)*24,2))</f>
        <v/>
      </c>
      <c r="F1630" s="28" t="n"/>
      <c r="G1630" s="28" t="n"/>
      <c r="H1630" s="1" t="n"/>
    </row>
    <row r="1631">
      <c r="A1631" s="1" t="n"/>
      <c r="B1631" s="26" t="n"/>
      <c r="C1631" s="27" t="n"/>
      <c r="D1631" s="27" t="n"/>
      <c r="E1631" s="21">
        <f>IF(OR(C1631="",D1631=""),"",ROUND(MOD(D1631-C1631,1)*24,2))</f>
        <v/>
      </c>
      <c r="F1631" s="28" t="n"/>
      <c r="G1631" s="28" t="n"/>
      <c r="H1631" s="1" t="n"/>
    </row>
    <row r="1632">
      <c r="A1632" s="1" t="n"/>
      <c r="B1632" s="26" t="n"/>
      <c r="C1632" s="27" t="n"/>
      <c r="D1632" s="27" t="n"/>
      <c r="E1632" s="21">
        <f>IF(OR(C1632="",D1632=""),"",ROUND(MOD(D1632-C1632,1)*24,2))</f>
        <v/>
      </c>
      <c r="F1632" s="28" t="n"/>
      <c r="G1632" s="28" t="n"/>
      <c r="H1632" s="1" t="n"/>
    </row>
    <row r="1633">
      <c r="A1633" s="1" t="n"/>
      <c r="B1633" s="26" t="n"/>
      <c r="C1633" s="27" t="n"/>
      <c r="D1633" s="27" t="n"/>
      <c r="E1633" s="21">
        <f>IF(OR(C1633="",D1633=""),"",ROUND(MOD(D1633-C1633,1)*24,2))</f>
        <v/>
      </c>
      <c r="F1633" s="28" t="n"/>
      <c r="G1633" s="28" t="n"/>
      <c r="H1633" s="1" t="n"/>
    </row>
    <row r="1634">
      <c r="A1634" s="1" t="n"/>
      <c r="B1634" s="26" t="n"/>
      <c r="C1634" s="27" t="n"/>
      <c r="D1634" s="27" t="n"/>
      <c r="E1634" s="21">
        <f>IF(OR(C1634="",D1634=""),"",ROUND(MOD(D1634-C1634,1)*24,2))</f>
        <v/>
      </c>
      <c r="F1634" s="28" t="n"/>
      <c r="G1634" s="28" t="n"/>
      <c r="H1634" s="1" t="n"/>
    </row>
    <row r="1635">
      <c r="A1635" s="1" t="n"/>
      <c r="B1635" s="26" t="n"/>
      <c r="C1635" s="27" t="n"/>
      <c r="D1635" s="27" t="n"/>
      <c r="E1635" s="21">
        <f>IF(OR(C1635="",D1635=""),"",ROUND(MOD(D1635-C1635,1)*24,2))</f>
        <v/>
      </c>
      <c r="F1635" s="28" t="n"/>
      <c r="G1635" s="28" t="n"/>
      <c r="H1635" s="1" t="n"/>
    </row>
    <row r="1636">
      <c r="A1636" s="1" t="n"/>
      <c r="B1636" s="26" t="n"/>
      <c r="C1636" s="27" t="n"/>
      <c r="D1636" s="27" t="n"/>
      <c r="E1636" s="21">
        <f>IF(OR(C1636="",D1636=""),"",ROUND(MOD(D1636-C1636,1)*24,2))</f>
        <v/>
      </c>
      <c r="F1636" s="28" t="n"/>
      <c r="G1636" s="28" t="n"/>
      <c r="H1636" s="1" t="n"/>
    </row>
    <row r="1637">
      <c r="A1637" s="1" t="n"/>
      <c r="B1637" s="26" t="n"/>
      <c r="C1637" s="27" t="n"/>
      <c r="D1637" s="27" t="n"/>
      <c r="E1637" s="21">
        <f>IF(OR(C1637="",D1637=""),"",ROUND(MOD(D1637-C1637,1)*24,2))</f>
        <v/>
      </c>
      <c r="F1637" s="28" t="n"/>
      <c r="G1637" s="28" t="n"/>
      <c r="H1637" s="1" t="n"/>
    </row>
    <row r="1638">
      <c r="A1638" s="1" t="n"/>
      <c r="B1638" s="26" t="n"/>
      <c r="C1638" s="27" t="n"/>
      <c r="D1638" s="27" t="n"/>
      <c r="E1638" s="21">
        <f>IF(OR(C1638="",D1638=""),"",ROUND(MOD(D1638-C1638,1)*24,2))</f>
        <v/>
      </c>
      <c r="F1638" s="28" t="n"/>
      <c r="G1638" s="28" t="n"/>
      <c r="H1638" s="1" t="n"/>
    </row>
    <row r="1639">
      <c r="A1639" s="1" t="n"/>
      <c r="B1639" s="26" t="n"/>
      <c r="C1639" s="27" t="n"/>
      <c r="D1639" s="27" t="n"/>
      <c r="E1639" s="21">
        <f>IF(OR(C1639="",D1639=""),"",ROUND(MOD(D1639-C1639,1)*24,2))</f>
        <v/>
      </c>
      <c r="F1639" s="28" t="n"/>
      <c r="G1639" s="28" t="n"/>
      <c r="H1639" s="1" t="n"/>
    </row>
    <row r="1640">
      <c r="A1640" s="1" t="n"/>
      <c r="B1640" s="26" t="n"/>
      <c r="C1640" s="27" t="n"/>
      <c r="D1640" s="27" t="n"/>
      <c r="E1640" s="21">
        <f>IF(OR(C1640="",D1640=""),"",ROUND(MOD(D1640-C1640,1)*24,2))</f>
        <v/>
      </c>
      <c r="F1640" s="28" t="n"/>
      <c r="G1640" s="28" t="n"/>
      <c r="H1640" s="1" t="n"/>
    </row>
    <row r="1641">
      <c r="A1641" s="1" t="n"/>
      <c r="B1641" s="26" t="n"/>
      <c r="C1641" s="27" t="n"/>
      <c r="D1641" s="27" t="n"/>
      <c r="E1641" s="21">
        <f>IF(OR(C1641="",D1641=""),"",ROUND(MOD(D1641-C1641,1)*24,2))</f>
        <v/>
      </c>
      <c r="F1641" s="28" t="n"/>
      <c r="G1641" s="28" t="n"/>
      <c r="H1641" s="1" t="n"/>
    </row>
    <row r="1642">
      <c r="A1642" s="1" t="n"/>
      <c r="B1642" s="26" t="n"/>
      <c r="C1642" s="27" t="n"/>
      <c r="D1642" s="27" t="n"/>
      <c r="E1642" s="21">
        <f>IF(OR(C1642="",D1642=""),"",ROUND(MOD(D1642-C1642,1)*24,2))</f>
        <v/>
      </c>
      <c r="F1642" s="28" t="n"/>
      <c r="G1642" s="28" t="n"/>
      <c r="H1642" s="1" t="n"/>
    </row>
    <row r="1643">
      <c r="A1643" s="1" t="n"/>
      <c r="B1643" s="26" t="n"/>
      <c r="C1643" s="27" t="n"/>
      <c r="D1643" s="27" t="n"/>
      <c r="E1643" s="21">
        <f>IF(OR(C1643="",D1643=""),"",ROUND(MOD(D1643-C1643,1)*24,2))</f>
        <v/>
      </c>
      <c r="F1643" s="28" t="n"/>
      <c r="G1643" s="28" t="n"/>
      <c r="H1643" s="1" t="n"/>
    </row>
    <row r="1644">
      <c r="A1644" s="1" t="n"/>
      <c r="B1644" s="26" t="n"/>
      <c r="C1644" s="27" t="n"/>
      <c r="D1644" s="27" t="n"/>
      <c r="E1644" s="21">
        <f>IF(OR(C1644="",D1644=""),"",ROUND(MOD(D1644-C1644,1)*24,2))</f>
        <v/>
      </c>
      <c r="F1644" s="28" t="n"/>
      <c r="G1644" s="28" t="n"/>
      <c r="H1644" s="1" t="n"/>
    </row>
    <row r="1645">
      <c r="A1645" s="1" t="n"/>
      <c r="B1645" s="26" t="n"/>
      <c r="C1645" s="27" t="n"/>
      <c r="D1645" s="27" t="n"/>
      <c r="E1645" s="21">
        <f>IF(OR(C1645="",D1645=""),"",ROUND(MOD(D1645-C1645,1)*24,2))</f>
        <v/>
      </c>
      <c r="F1645" s="28" t="n"/>
      <c r="G1645" s="28" t="n"/>
      <c r="H1645" s="1" t="n"/>
    </row>
    <row r="1646">
      <c r="A1646" s="1" t="n"/>
      <c r="B1646" s="26" t="n"/>
      <c r="C1646" s="27" t="n"/>
      <c r="D1646" s="27" t="n"/>
      <c r="E1646" s="21">
        <f>IF(OR(C1646="",D1646=""),"",ROUND(MOD(D1646-C1646,1)*24,2))</f>
        <v/>
      </c>
      <c r="F1646" s="28" t="n"/>
      <c r="G1646" s="28" t="n"/>
      <c r="H1646" s="1" t="n"/>
    </row>
    <row r="1647">
      <c r="A1647" s="1" t="n"/>
      <c r="B1647" s="26" t="n"/>
      <c r="C1647" s="27" t="n"/>
      <c r="D1647" s="27" t="n"/>
      <c r="E1647" s="21">
        <f>IF(OR(C1647="",D1647=""),"",ROUND(MOD(D1647-C1647,1)*24,2))</f>
        <v/>
      </c>
      <c r="F1647" s="28" t="n"/>
      <c r="G1647" s="28" t="n"/>
      <c r="H1647" s="1" t="n"/>
    </row>
    <row r="1648">
      <c r="A1648" s="1" t="n"/>
      <c r="B1648" s="26" t="n"/>
      <c r="C1648" s="27" t="n"/>
      <c r="D1648" s="27" t="n"/>
      <c r="E1648" s="21">
        <f>IF(OR(C1648="",D1648=""),"",ROUND(MOD(D1648-C1648,1)*24,2))</f>
        <v/>
      </c>
      <c r="F1648" s="28" t="n"/>
      <c r="G1648" s="28" t="n"/>
      <c r="H1648" s="1" t="n"/>
    </row>
    <row r="1649">
      <c r="A1649" s="1" t="n"/>
      <c r="B1649" s="26" t="n"/>
      <c r="C1649" s="27" t="n"/>
      <c r="D1649" s="27" t="n"/>
      <c r="E1649" s="21">
        <f>IF(OR(C1649="",D1649=""),"",ROUND(MOD(D1649-C1649,1)*24,2))</f>
        <v/>
      </c>
      <c r="F1649" s="28" t="n"/>
      <c r="G1649" s="28" t="n"/>
      <c r="H1649" s="1" t="n"/>
    </row>
    <row r="1650">
      <c r="A1650" s="1" t="n"/>
      <c r="B1650" s="26" t="n"/>
      <c r="C1650" s="27" t="n"/>
      <c r="D1650" s="27" t="n"/>
      <c r="E1650" s="21">
        <f>IF(OR(C1650="",D1650=""),"",ROUND(MOD(D1650-C1650,1)*24,2))</f>
        <v/>
      </c>
      <c r="F1650" s="28" t="n"/>
      <c r="G1650" s="28" t="n"/>
      <c r="H1650" s="1" t="n"/>
    </row>
    <row r="1651">
      <c r="A1651" s="1" t="n"/>
      <c r="B1651" s="26" t="n"/>
      <c r="C1651" s="27" t="n"/>
      <c r="D1651" s="27" t="n"/>
      <c r="E1651" s="21">
        <f>IF(OR(C1651="",D1651=""),"",ROUND(MOD(D1651-C1651,1)*24,2))</f>
        <v/>
      </c>
      <c r="F1651" s="28" t="n"/>
      <c r="G1651" s="28" t="n"/>
      <c r="H1651" s="1" t="n"/>
    </row>
    <row r="1652">
      <c r="A1652" s="1" t="n"/>
      <c r="B1652" s="26" t="n"/>
      <c r="C1652" s="27" t="n"/>
      <c r="D1652" s="27" t="n"/>
      <c r="E1652" s="21">
        <f>IF(OR(C1652="",D1652=""),"",ROUND(MOD(D1652-C1652,1)*24,2))</f>
        <v/>
      </c>
      <c r="F1652" s="28" t="n"/>
      <c r="G1652" s="28" t="n"/>
      <c r="H1652" s="1" t="n"/>
    </row>
    <row r="1653">
      <c r="A1653" s="1" t="n"/>
      <c r="B1653" s="26" t="n"/>
      <c r="C1653" s="27" t="n"/>
      <c r="D1653" s="27" t="n"/>
      <c r="E1653" s="21">
        <f>IF(OR(C1653="",D1653=""),"",ROUND(MOD(D1653-C1653,1)*24,2))</f>
        <v/>
      </c>
      <c r="F1653" s="28" t="n"/>
      <c r="G1653" s="28" t="n"/>
      <c r="H1653" s="1" t="n"/>
    </row>
    <row r="1654">
      <c r="A1654" s="1" t="n"/>
      <c r="B1654" s="26" t="n"/>
      <c r="C1654" s="27" t="n"/>
      <c r="D1654" s="27" t="n"/>
      <c r="E1654" s="21">
        <f>IF(OR(C1654="",D1654=""),"",ROUND(MOD(D1654-C1654,1)*24,2))</f>
        <v/>
      </c>
      <c r="F1654" s="28" t="n"/>
      <c r="G1654" s="28" t="n"/>
      <c r="H1654" s="1" t="n"/>
    </row>
    <row r="1655">
      <c r="A1655" s="1" t="n"/>
      <c r="B1655" s="26" t="n"/>
      <c r="C1655" s="27" t="n"/>
      <c r="D1655" s="27" t="n"/>
      <c r="E1655" s="21">
        <f>IF(OR(C1655="",D1655=""),"",ROUND(MOD(D1655-C1655,1)*24,2))</f>
        <v/>
      </c>
      <c r="F1655" s="28" t="n"/>
      <c r="G1655" s="28" t="n"/>
      <c r="H1655" s="1" t="n"/>
    </row>
    <row r="1656">
      <c r="A1656" s="1" t="n"/>
      <c r="B1656" s="26" t="n"/>
      <c r="C1656" s="27" t="n"/>
      <c r="D1656" s="27" t="n"/>
      <c r="E1656" s="21">
        <f>IF(OR(C1656="",D1656=""),"",ROUND(MOD(D1656-C1656,1)*24,2))</f>
        <v/>
      </c>
      <c r="F1656" s="28" t="n"/>
      <c r="G1656" s="28" t="n"/>
      <c r="H1656" s="1" t="n"/>
    </row>
    <row r="1657">
      <c r="A1657" s="1" t="n"/>
      <c r="B1657" s="26" t="n"/>
      <c r="C1657" s="27" t="n"/>
      <c r="D1657" s="27" t="n"/>
      <c r="E1657" s="21">
        <f>IF(OR(C1657="",D1657=""),"",ROUND(MOD(D1657-C1657,1)*24,2))</f>
        <v/>
      </c>
      <c r="F1657" s="28" t="n"/>
      <c r="G1657" s="28" t="n"/>
      <c r="H1657" s="1" t="n"/>
    </row>
    <row r="1658">
      <c r="A1658" s="1" t="n"/>
      <c r="B1658" s="26" t="n"/>
      <c r="C1658" s="27" t="n"/>
      <c r="D1658" s="27" t="n"/>
      <c r="E1658" s="21">
        <f>IF(OR(C1658="",D1658=""),"",ROUND(MOD(D1658-C1658,1)*24,2))</f>
        <v/>
      </c>
      <c r="F1658" s="28" t="n"/>
      <c r="G1658" s="28" t="n"/>
      <c r="H1658" s="1" t="n"/>
    </row>
    <row r="1659">
      <c r="A1659" s="1" t="n"/>
      <c r="B1659" s="26" t="n"/>
      <c r="C1659" s="27" t="n"/>
      <c r="D1659" s="27" t="n"/>
      <c r="E1659" s="21">
        <f>IF(OR(C1659="",D1659=""),"",ROUND(MOD(D1659-C1659,1)*24,2))</f>
        <v/>
      </c>
      <c r="F1659" s="28" t="n"/>
      <c r="G1659" s="28" t="n"/>
      <c r="H1659" s="1" t="n"/>
    </row>
    <row r="1660">
      <c r="A1660" s="1" t="n"/>
      <c r="B1660" s="26" t="n"/>
      <c r="C1660" s="27" t="n"/>
      <c r="D1660" s="27" t="n"/>
      <c r="E1660" s="21">
        <f>IF(OR(C1660="",D1660=""),"",ROUND(MOD(D1660-C1660,1)*24,2))</f>
        <v/>
      </c>
      <c r="F1660" s="28" t="n"/>
      <c r="G1660" s="28" t="n"/>
      <c r="H1660" s="1" t="n"/>
    </row>
    <row r="1661">
      <c r="A1661" s="1" t="n"/>
      <c r="B1661" s="26" t="n"/>
      <c r="C1661" s="27" t="n"/>
      <c r="D1661" s="27" t="n"/>
      <c r="E1661" s="21">
        <f>IF(OR(C1661="",D1661=""),"",ROUND(MOD(D1661-C1661,1)*24,2))</f>
        <v/>
      </c>
      <c r="F1661" s="28" t="n"/>
      <c r="G1661" s="28" t="n"/>
      <c r="H1661" s="1" t="n"/>
    </row>
    <row r="1662">
      <c r="A1662" s="1" t="n"/>
      <c r="B1662" s="26" t="n"/>
      <c r="C1662" s="27" t="n"/>
      <c r="D1662" s="27" t="n"/>
      <c r="E1662" s="21">
        <f>IF(OR(C1662="",D1662=""),"",ROUND(MOD(D1662-C1662,1)*24,2))</f>
        <v/>
      </c>
      <c r="F1662" s="28" t="n"/>
      <c r="G1662" s="28" t="n"/>
      <c r="H1662" s="1" t="n"/>
    </row>
    <row r="1663">
      <c r="A1663" s="1" t="n"/>
      <c r="B1663" s="26" t="n"/>
      <c r="C1663" s="27" t="n"/>
      <c r="D1663" s="27" t="n"/>
      <c r="E1663" s="21">
        <f>IF(OR(C1663="",D1663=""),"",ROUND(MOD(D1663-C1663,1)*24,2))</f>
        <v/>
      </c>
      <c r="F1663" s="28" t="n"/>
      <c r="G1663" s="28" t="n"/>
      <c r="H1663" s="1" t="n"/>
    </row>
    <row r="1664">
      <c r="A1664" s="1" t="n"/>
      <c r="B1664" s="26" t="n"/>
      <c r="C1664" s="27" t="n"/>
      <c r="D1664" s="27" t="n"/>
      <c r="E1664" s="21">
        <f>IF(OR(C1664="",D1664=""),"",ROUND(MOD(D1664-C1664,1)*24,2))</f>
        <v/>
      </c>
      <c r="F1664" s="28" t="n"/>
      <c r="G1664" s="28" t="n"/>
      <c r="H1664" s="1" t="n"/>
    </row>
    <row r="1665">
      <c r="A1665" s="1" t="n"/>
      <c r="B1665" s="26" t="n"/>
      <c r="C1665" s="27" t="n"/>
      <c r="D1665" s="27" t="n"/>
      <c r="E1665" s="21">
        <f>IF(OR(C1665="",D1665=""),"",ROUND(MOD(D1665-C1665,1)*24,2))</f>
        <v/>
      </c>
      <c r="F1665" s="28" t="n"/>
      <c r="G1665" s="28" t="n"/>
      <c r="H1665" s="1" t="n"/>
    </row>
    <row r="1666">
      <c r="A1666" s="1" t="n"/>
      <c r="B1666" s="26" t="n"/>
      <c r="C1666" s="27" t="n"/>
      <c r="D1666" s="27" t="n"/>
      <c r="E1666" s="21">
        <f>IF(OR(C1666="",D1666=""),"",ROUND(MOD(D1666-C1666,1)*24,2))</f>
        <v/>
      </c>
      <c r="F1666" s="28" t="n"/>
      <c r="G1666" s="28" t="n"/>
      <c r="H1666" s="1" t="n"/>
    </row>
    <row r="1667">
      <c r="A1667" s="1" t="n"/>
      <c r="B1667" s="26" t="n"/>
      <c r="C1667" s="27" t="n"/>
      <c r="D1667" s="27" t="n"/>
      <c r="E1667" s="21">
        <f>IF(OR(C1667="",D1667=""),"",ROUND(MOD(D1667-C1667,1)*24,2))</f>
        <v/>
      </c>
      <c r="F1667" s="28" t="n"/>
      <c r="G1667" s="28" t="n"/>
      <c r="H1667" s="1" t="n"/>
    </row>
    <row r="1668">
      <c r="A1668" s="1" t="n"/>
      <c r="B1668" s="26" t="n"/>
      <c r="C1668" s="27" t="n"/>
      <c r="D1668" s="27" t="n"/>
      <c r="E1668" s="21">
        <f>IF(OR(C1668="",D1668=""),"",ROUND(MOD(D1668-C1668,1)*24,2))</f>
        <v/>
      </c>
      <c r="F1668" s="28" t="n"/>
      <c r="G1668" s="28" t="n"/>
      <c r="H1668" s="1" t="n"/>
    </row>
    <row r="1669">
      <c r="A1669" s="1" t="n"/>
      <c r="B1669" s="26" t="n"/>
      <c r="C1669" s="27" t="n"/>
      <c r="D1669" s="27" t="n"/>
      <c r="E1669" s="21">
        <f>IF(OR(C1669="",D1669=""),"",ROUND(MOD(D1669-C1669,1)*24,2))</f>
        <v/>
      </c>
      <c r="F1669" s="28" t="n"/>
      <c r="G1669" s="28" t="n"/>
      <c r="H1669" s="1" t="n"/>
    </row>
    <row r="1670">
      <c r="A1670" s="1" t="n"/>
      <c r="B1670" s="26" t="n"/>
      <c r="C1670" s="27" t="n"/>
      <c r="D1670" s="27" t="n"/>
      <c r="E1670" s="21">
        <f>IF(OR(C1670="",D1670=""),"",ROUND(MOD(D1670-C1670,1)*24,2))</f>
        <v/>
      </c>
      <c r="F1670" s="28" t="n"/>
      <c r="G1670" s="28" t="n"/>
      <c r="H1670" s="1" t="n"/>
    </row>
    <row r="1671">
      <c r="A1671" s="1" t="n"/>
      <c r="B1671" s="26" t="n"/>
      <c r="C1671" s="27" t="n"/>
      <c r="D1671" s="27" t="n"/>
      <c r="E1671" s="21">
        <f>IF(OR(C1671="",D1671=""),"",ROUND(MOD(D1671-C1671,1)*24,2))</f>
        <v/>
      </c>
      <c r="F1671" s="28" t="n"/>
      <c r="G1671" s="28" t="n"/>
      <c r="H1671" s="1" t="n"/>
    </row>
    <row r="1672">
      <c r="A1672" s="1" t="n"/>
      <c r="B1672" s="26" t="n"/>
      <c r="C1672" s="27" t="n"/>
      <c r="D1672" s="27" t="n"/>
      <c r="E1672" s="21">
        <f>IF(OR(C1672="",D1672=""),"",ROUND(MOD(D1672-C1672,1)*24,2))</f>
        <v/>
      </c>
      <c r="F1672" s="28" t="n"/>
      <c r="G1672" s="28" t="n"/>
      <c r="H1672" s="1" t="n"/>
    </row>
    <row r="1673">
      <c r="A1673" s="1" t="n"/>
      <c r="B1673" s="26" t="n"/>
      <c r="C1673" s="27" t="n"/>
      <c r="D1673" s="27" t="n"/>
      <c r="E1673" s="21">
        <f>IF(OR(C1673="",D1673=""),"",ROUND(MOD(D1673-C1673,1)*24,2))</f>
        <v/>
      </c>
      <c r="F1673" s="28" t="n"/>
      <c r="G1673" s="28" t="n"/>
      <c r="H1673" s="1" t="n"/>
    </row>
    <row r="1674">
      <c r="A1674" s="1" t="n"/>
      <c r="B1674" s="26" t="n"/>
      <c r="C1674" s="27" t="n"/>
      <c r="D1674" s="27" t="n"/>
      <c r="E1674" s="21">
        <f>IF(OR(C1674="",D1674=""),"",ROUND(MOD(D1674-C1674,1)*24,2))</f>
        <v/>
      </c>
      <c r="F1674" s="28" t="n"/>
      <c r="G1674" s="28" t="n"/>
      <c r="H1674" s="1" t="n"/>
    </row>
    <row r="1675">
      <c r="A1675" s="1" t="n"/>
      <c r="B1675" s="26" t="n"/>
      <c r="C1675" s="27" t="n"/>
      <c r="D1675" s="27" t="n"/>
      <c r="E1675" s="21">
        <f>IF(OR(C1675="",D1675=""),"",ROUND(MOD(D1675-C1675,1)*24,2))</f>
        <v/>
      </c>
      <c r="F1675" s="28" t="n"/>
      <c r="G1675" s="28" t="n"/>
      <c r="H1675" s="1" t="n"/>
    </row>
    <row r="1676">
      <c r="A1676" s="1" t="n"/>
      <c r="B1676" s="26" t="n"/>
      <c r="C1676" s="27" t="n"/>
      <c r="D1676" s="27" t="n"/>
      <c r="E1676" s="21">
        <f>IF(OR(C1676="",D1676=""),"",ROUND(MOD(D1676-C1676,1)*24,2))</f>
        <v/>
      </c>
      <c r="F1676" s="28" t="n"/>
      <c r="G1676" s="28" t="n"/>
      <c r="H1676" s="1" t="n"/>
    </row>
    <row r="1677">
      <c r="A1677" s="1" t="n"/>
      <c r="B1677" s="26" t="n"/>
      <c r="C1677" s="27" t="n"/>
      <c r="D1677" s="27" t="n"/>
      <c r="E1677" s="21">
        <f>IF(OR(C1677="",D1677=""),"",ROUND(MOD(D1677-C1677,1)*24,2))</f>
        <v/>
      </c>
      <c r="F1677" s="28" t="n"/>
      <c r="G1677" s="28" t="n"/>
      <c r="H1677" s="1" t="n"/>
    </row>
    <row r="1678">
      <c r="A1678" s="1" t="n"/>
      <c r="B1678" s="26" t="n"/>
      <c r="C1678" s="27" t="n"/>
      <c r="D1678" s="27" t="n"/>
      <c r="E1678" s="21">
        <f>IF(OR(C1678="",D1678=""),"",ROUND(MOD(D1678-C1678,1)*24,2))</f>
        <v/>
      </c>
      <c r="F1678" s="28" t="n"/>
      <c r="G1678" s="28" t="n"/>
      <c r="H1678" s="1" t="n"/>
    </row>
    <row r="1679">
      <c r="A1679" s="1" t="n"/>
      <c r="B1679" s="26" t="n"/>
      <c r="C1679" s="27" t="n"/>
      <c r="D1679" s="27" t="n"/>
      <c r="E1679" s="21">
        <f>IF(OR(C1679="",D1679=""),"",ROUND(MOD(D1679-C1679,1)*24,2))</f>
        <v/>
      </c>
      <c r="F1679" s="28" t="n"/>
      <c r="G1679" s="28" t="n"/>
      <c r="H1679" s="1" t="n"/>
    </row>
    <row r="1680">
      <c r="A1680" s="1" t="n"/>
      <c r="B1680" s="26" t="n"/>
      <c r="C1680" s="27" t="n"/>
      <c r="D1680" s="27" t="n"/>
      <c r="E1680" s="21">
        <f>IF(OR(C1680="",D1680=""),"",ROUND(MOD(D1680-C1680,1)*24,2))</f>
        <v/>
      </c>
      <c r="F1680" s="28" t="n"/>
      <c r="G1680" s="28" t="n"/>
      <c r="H1680" s="1" t="n"/>
    </row>
    <row r="1681">
      <c r="A1681" s="1" t="n"/>
      <c r="B1681" s="26" t="n"/>
      <c r="C1681" s="27" t="n"/>
      <c r="D1681" s="27" t="n"/>
      <c r="E1681" s="21">
        <f>IF(OR(C1681="",D1681=""),"",ROUND(MOD(D1681-C1681,1)*24,2))</f>
        <v/>
      </c>
      <c r="F1681" s="28" t="n"/>
      <c r="G1681" s="28" t="n"/>
      <c r="H1681" s="1" t="n"/>
    </row>
    <row r="1682">
      <c r="A1682" s="1" t="n"/>
      <c r="B1682" s="26" t="n"/>
      <c r="C1682" s="27" t="n"/>
      <c r="D1682" s="27" t="n"/>
      <c r="E1682" s="21">
        <f>IF(OR(C1682="",D1682=""),"",ROUND(MOD(D1682-C1682,1)*24,2))</f>
        <v/>
      </c>
      <c r="F1682" s="28" t="n"/>
      <c r="G1682" s="28" t="n"/>
      <c r="H1682" s="1" t="n"/>
    </row>
    <row r="1683">
      <c r="A1683" s="1" t="n"/>
      <c r="B1683" s="26" t="n"/>
      <c r="C1683" s="27" t="n"/>
      <c r="D1683" s="27" t="n"/>
      <c r="E1683" s="21">
        <f>IF(OR(C1683="",D1683=""),"",ROUND(MOD(D1683-C1683,1)*24,2))</f>
        <v/>
      </c>
      <c r="F1683" s="28" t="n"/>
      <c r="G1683" s="28" t="n"/>
      <c r="H1683" s="1" t="n"/>
    </row>
    <row r="1684">
      <c r="A1684" s="1" t="n"/>
      <c r="B1684" s="26" t="n"/>
      <c r="C1684" s="27" t="n"/>
      <c r="D1684" s="27" t="n"/>
      <c r="E1684" s="21">
        <f>IF(OR(C1684="",D1684=""),"",ROUND(MOD(D1684-C1684,1)*24,2))</f>
        <v/>
      </c>
      <c r="F1684" s="28" t="n"/>
      <c r="G1684" s="28" t="n"/>
      <c r="H1684" s="1" t="n"/>
    </row>
    <row r="1685">
      <c r="A1685" s="1" t="n"/>
      <c r="B1685" s="26" t="n"/>
      <c r="C1685" s="27" t="n"/>
      <c r="D1685" s="27" t="n"/>
      <c r="E1685" s="21">
        <f>IF(OR(C1685="",D1685=""),"",ROUND(MOD(D1685-C1685,1)*24,2))</f>
        <v/>
      </c>
      <c r="F1685" s="28" t="n"/>
      <c r="G1685" s="28" t="n"/>
      <c r="H1685" s="1" t="n"/>
    </row>
    <row r="1686">
      <c r="A1686" s="1" t="n"/>
      <c r="B1686" s="26" t="n"/>
      <c r="C1686" s="27" t="n"/>
      <c r="D1686" s="27" t="n"/>
      <c r="E1686" s="21">
        <f>IF(OR(C1686="",D1686=""),"",ROUND(MOD(D1686-C1686,1)*24,2))</f>
        <v/>
      </c>
      <c r="F1686" s="28" t="n"/>
      <c r="G1686" s="28" t="n"/>
      <c r="H1686" s="1" t="n"/>
    </row>
    <row r="1687">
      <c r="A1687" s="1" t="n"/>
      <c r="B1687" s="26" t="n"/>
      <c r="C1687" s="27" t="n"/>
      <c r="D1687" s="27" t="n"/>
      <c r="E1687" s="21">
        <f>IF(OR(C1687="",D1687=""),"",ROUND(MOD(D1687-C1687,1)*24,2))</f>
        <v/>
      </c>
      <c r="F1687" s="28" t="n"/>
      <c r="G1687" s="28" t="n"/>
      <c r="H1687" s="1" t="n"/>
    </row>
    <row r="1688">
      <c r="A1688" s="1" t="n"/>
      <c r="B1688" s="26" t="n"/>
      <c r="C1688" s="27" t="n"/>
      <c r="D1688" s="27" t="n"/>
      <c r="E1688" s="21">
        <f>IF(OR(C1688="",D1688=""),"",ROUND(MOD(D1688-C1688,1)*24,2))</f>
        <v/>
      </c>
      <c r="F1688" s="28" t="n"/>
      <c r="G1688" s="28" t="n"/>
      <c r="H1688" s="1" t="n"/>
    </row>
    <row r="1689">
      <c r="A1689" s="1" t="n"/>
      <c r="B1689" s="26" t="n"/>
      <c r="C1689" s="27" t="n"/>
      <c r="D1689" s="27" t="n"/>
      <c r="E1689" s="21">
        <f>IF(OR(C1689="",D1689=""),"",ROUND(MOD(D1689-C1689,1)*24,2))</f>
        <v/>
      </c>
      <c r="F1689" s="28" t="n"/>
      <c r="G1689" s="28" t="n"/>
      <c r="H1689" s="1" t="n"/>
    </row>
    <row r="1690">
      <c r="A1690" s="1" t="n"/>
      <c r="B1690" s="26" t="n"/>
      <c r="C1690" s="27" t="n"/>
      <c r="D1690" s="27" t="n"/>
      <c r="E1690" s="21">
        <f>IF(OR(C1690="",D1690=""),"",ROUND(MOD(D1690-C1690,1)*24,2))</f>
        <v/>
      </c>
      <c r="F1690" s="28" t="n"/>
      <c r="G1690" s="28" t="n"/>
      <c r="H1690" s="1" t="n"/>
    </row>
    <row r="1691">
      <c r="A1691" s="1" t="n"/>
      <c r="B1691" s="26" t="n"/>
      <c r="C1691" s="27" t="n"/>
      <c r="D1691" s="27" t="n"/>
      <c r="E1691" s="21">
        <f>IF(OR(C1691="",D1691=""),"",ROUND(MOD(D1691-C1691,1)*24,2))</f>
        <v/>
      </c>
      <c r="F1691" s="28" t="n"/>
      <c r="G1691" s="28" t="n"/>
      <c r="H1691" s="1" t="n"/>
    </row>
    <row r="1692">
      <c r="A1692" s="1" t="n"/>
      <c r="B1692" s="26" t="n"/>
      <c r="C1692" s="27" t="n"/>
      <c r="D1692" s="27" t="n"/>
      <c r="E1692" s="21">
        <f>IF(OR(C1692="",D1692=""),"",ROUND(MOD(D1692-C1692,1)*24,2))</f>
        <v/>
      </c>
      <c r="F1692" s="28" t="n"/>
      <c r="G1692" s="28" t="n"/>
      <c r="H1692" s="1" t="n"/>
    </row>
    <row r="1693">
      <c r="A1693" s="1" t="n"/>
      <c r="B1693" s="26" t="n"/>
      <c r="C1693" s="27" t="n"/>
      <c r="D1693" s="27" t="n"/>
      <c r="E1693" s="21">
        <f>IF(OR(C1693="",D1693=""),"",ROUND(MOD(D1693-C1693,1)*24,2))</f>
        <v/>
      </c>
      <c r="F1693" s="28" t="n"/>
      <c r="G1693" s="28" t="n"/>
      <c r="H1693" s="1" t="n"/>
    </row>
    <row r="1694">
      <c r="A1694" s="1" t="n"/>
      <c r="B1694" s="26" t="n"/>
      <c r="C1694" s="27" t="n"/>
      <c r="D1694" s="27" t="n"/>
      <c r="E1694" s="21">
        <f>IF(OR(C1694="",D1694=""),"",ROUND(MOD(D1694-C1694,1)*24,2))</f>
        <v/>
      </c>
      <c r="F1694" s="28" t="n"/>
      <c r="G1694" s="28" t="n"/>
      <c r="H1694" s="1" t="n"/>
    </row>
    <row r="1695">
      <c r="A1695" s="1" t="n"/>
      <c r="B1695" s="26" t="n"/>
      <c r="C1695" s="27" t="n"/>
      <c r="D1695" s="27" t="n"/>
      <c r="E1695" s="21">
        <f>IF(OR(C1695="",D1695=""),"",ROUND(MOD(D1695-C1695,1)*24,2))</f>
        <v/>
      </c>
      <c r="F1695" s="28" t="n"/>
      <c r="G1695" s="28" t="n"/>
      <c r="H1695" s="1" t="n"/>
    </row>
    <row r="1696">
      <c r="A1696" s="1" t="n"/>
      <c r="B1696" s="26" t="n"/>
      <c r="C1696" s="27" t="n"/>
      <c r="D1696" s="27" t="n"/>
      <c r="E1696" s="21">
        <f>IF(OR(C1696="",D1696=""),"",ROUND(MOD(D1696-C1696,1)*24,2))</f>
        <v/>
      </c>
      <c r="F1696" s="28" t="n"/>
      <c r="G1696" s="28" t="n"/>
      <c r="H1696" s="1" t="n"/>
    </row>
    <row r="1697">
      <c r="A1697" s="1" t="n"/>
      <c r="B1697" s="26" t="n"/>
      <c r="C1697" s="27" t="n"/>
      <c r="D1697" s="27" t="n"/>
      <c r="E1697" s="21">
        <f>IF(OR(C1697="",D1697=""),"",ROUND(MOD(D1697-C1697,1)*24,2))</f>
        <v/>
      </c>
      <c r="F1697" s="28" t="n"/>
      <c r="G1697" s="28" t="n"/>
      <c r="H1697" s="1" t="n"/>
    </row>
    <row r="1698">
      <c r="A1698" s="1" t="n"/>
      <c r="B1698" s="26" t="n"/>
      <c r="C1698" s="27" t="n"/>
      <c r="D1698" s="27" t="n"/>
      <c r="E1698" s="21">
        <f>IF(OR(C1698="",D1698=""),"",ROUND(MOD(D1698-C1698,1)*24,2))</f>
        <v/>
      </c>
      <c r="F1698" s="28" t="n"/>
      <c r="G1698" s="28" t="n"/>
      <c r="H1698" s="1" t="n"/>
    </row>
    <row r="1699">
      <c r="A1699" s="1" t="n"/>
      <c r="B1699" s="26" t="n"/>
      <c r="C1699" s="27" t="n"/>
      <c r="D1699" s="27" t="n"/>
      <c r="E1699" s="21">
        <f>IF(OR(C1699="",D1699=""),"",ROUND(MOD(D1699-C1699,1)*24,2))</f>
        <v/>
      </c>
      <c r="F1699" s="28" t="n"/>
      <c r="G1699" s="28" t="n"/>
      <c r="H1699" s="1" t="n"/>
    </row>
    <row r="1700">
      <c r="A1700" s="1" t="n"/>
      <c r="B1700" s="26" t="n"/>
      <c r="C1700" s="27" t="n"/>
      <c r="D1700" s="27" t="n"/>
      <c r="E1700" s="21">
        <f>IF(OR(C1700="",D1700=""),"",ROUND(MOD(D1700-C1700,1)*24,2))</f>
        <v/>
      </c>
      <c r="F1700" s="28" t="n"/>
      <c r="G1700" s="28" t="n"/>
      <c r="H1700" s="1" t="n"/>
    </row>
    <row r="1701">
      <c r="A1701" s="1" t="n"/>
      <c r="B1701" s="26" t="n"/>
      <c r="C1701" s="27" t="n"/>
      <c r="D1701" s="27" t="n"/>
      <c r="E1701" s="21">
        <f>IF(OR(C1701="",D1701=""),"",ROUND(MOD(D1701-C1701,1)*24,2))</f>
        <v/>
      </c>
      <c r="F1701" s="28" t="n"/>
      <c r="G1701" s="28" t="n"/>
      <c r="H1701" s="1" t="n"/>
    </row>
    <row r="1702">
      <c r="A1702" s="1" t="n"/>
      <c r="B1702" s="26" t="n"/>
      <c r="C1702" s="27" t="n"/>
      <c r="D1702" s="27" t="n"/>
      <c r="E1702" s="21">
        <f>IF(OR(C1702="",D1702=""),"",ROUND(MOD(D1702-C1702,1)*24,2))</f>
        <v/>
      </c>
      <c r="F1702" s="28" t="n"/>
      <c r="G1702" s="28" t="n"/>
      <c r="H1702" s="1" t="n"/>
    </row>
    <row r="1703">
      <c r="A1703" s="1" t="n"/>
      <c r="B1703" s="26" t="n"/>
      <c r="C1703" s="27" t="n"/>
      <c r="D1703" s="27" t="n"/>
      <c r="E1703" s="21">
        <f>IF(OR(C1703="",D1703=""),"",ROUND(MOD(D1703-C1703,1)*24,2))</f>
        <v/>
      </c>
      <c r="F1703" s="28" t="n"/>
      <c r="G1703" s="28" t="n"/>
      <c r="H1703" s="1" t="n"/>
    </row>
    <row r="1704">
      <c r="A1704" s="1" t="n"/>
      <c r="B1704" s="26" t="n"/>
      <c r="C1704" s="27" t="n"/>
      <c r="D1704" s="27" t="n"/>
      <c r="E1704" s="21">
        <f>IF(OR(C1704="",D1704=""),"",ROUND(MOD(D1704-C1704,1)*24,2))</f>
        <v/>
      </c>
      <c r="F1704" s="28" t="n"/>
      <c r="G1704" s="28" t="n"/>
      <c r="H1704" s="1" t="n"/>
    </row>
    <row r="1705">
      <c r="A1705" s="1" t="n"/>
      <c r="B1705" s="26" t="n"/>
      <c r="C1705" s="27" t="n"/>
      <c r="D1705" s="27" t="n"/>
      <c r="E1705" s="21">
        <f>IF(OR(C1705="",D1705=""),"",ROUND(MOD(D1705-C1705,1)*24,2))</f>
        <v/>
      </c>
      <c r="F1705" s="28" t="n"/>
      <c r="G1705" s="28" t="n"/>
      <c r="H1705" s="1" t="n"/>
    </row>
    <row r="1706">
      <c r="A1706" s="1" t="n"/>
      <c r="B1706" s="26" t="n"/>
      <c r="C1706" s="27" t="n"/>
      <c r="D1706" s="27" t="n"/>
      <c r="E1706" s="21">
        <f>IF(OR(C1706="",D1706=""),"",ROUND(MOD(D1706-C1706,1)*24,2))</f>
        <v/>
      </c>
      <c r="F1706" s="28" t="n"/>
      <c r="G1706" s="28" t="n"/>
      <c r="H1706" s="1" t="n"/>
    </row>
    <row r="1707">
      <c r="A1707" s="1" t="n"/>
      <c r="B1707" s="26" t="n"/>
      <c r="C1707" s="27" t="n"/>
      <c r="D1707" s="27" t="n"/>
      <c r="E1707" s="21">
        <f>IF(OR(C1707="",D1707=""),"",ROUND(MOD(D1707-C1707,1)*24,2))</f>
        <v/>
      </c>
      <c r="F1707" s="28" t="n"/>
      <c r="G1707" s="28" t="n"/>
      <c r="H1707" s="1" t="n"/>
    </row>
    <row r="1708">
      <c r="A1708" s="1" t="n"/>
      <c r="B1708" s="26" t="n"/>
      <c r="C1708" s="27" t="n"/>
      <c r="D1708" s="27" t="n"/>
      <c r="E1708" s="21">
        <f>IF(OR(C1708="",D1708=""),"",ROUND(MOD(D1708-C1708,1)*24,2))</f>
        <v/>
      </c>
      <c r="F1708" s="28" t="n"/>
      <c r="G1708" s="28" t="n"/>
      <c r="H1708" s="1" t="n"/>
    </row>
    <row r="1709">
      <c r="A1709" s="1" t="n"/>
      <c r="B1709" s="26" t="n"/>
      <c r="C1709" s="27" t="n"/>
      <c r="D1709" s="27" t="n"/>
      <c r="E1709" s="21">
        <f>IF(OR(C1709="",D1709=""),"",ROUND(MOD(D1709-C1709,1)*24,2))</f>
        <v/>
      </c>
      <c r="F1709" s="28" t="n"/>
      <c r="G1709" s="28" t="n"/>
      <c r="H1709" s="1" t="n"/>
    </row>
    <row r="1710">
      <c r="A1710" s="1" t="n"/>
      <c r="B1710" s="26" t="n"/>
      <c r="C1710" s="27" t="n"/>
      <c r="D1710" s="27" t="n"/>
      <c r="E1710" s="21">
        <f>IF(OR(C1710="",D1710=""),"",ROUND(MOD(D1710-C1710,1)*24,2))</f>
        <v/>
      </c>
      <c r="F1710" s="28" t="n"/>
      <c r="G1710" s="28" t="n"/>
      <c r="H1710" s="1" t="n"/>
    </row>
    <row r="1711">
      <c r="A1711" s="1" t="n"/>
      <c r="B1711" s="26" t="n"/>
      <c r="C1711" s="27" t="n"/>
      <c r="D1711" s="27" t="n"/>
      <c r="E1711" s="21">
        <f>IF(OR(C1711="",D1711=""),"",ROUND(MOD(D1711-C1711,1)*24,2))</f>
        <v/>
      </c>
      <c r="F1711" s="28" t="n"/>
      <c r="G1711" s="28" t="n"/>
      <c r="H1711" s="1" t="n"/>
    </row>
    <row r="1712">
      <c r="A1712" s="1" t="n"/>
      <c r="B1712" s="26" t="n"/>
      <c r="C1712" s="27" t="n"/>
      <c r="D1712" s="27" t="n"/>
      <c r="E1712" s="21">
        <f>IF(OR(C1712="",D1712=""),"",ROUND(MOD(D1712-C1712,1)*24,2))</f>
        <v/>
      </c>
      <c r="F1712" s="28" t="n"/>
      <c r="G1712" s="28" t="n"/>
      <c r="H1712" s="1" t="n"/>
    </row>
    <row r="1713">
      <c r="A1713" s="1" t="n"/>
      <c r="B1713" s="26" t="n"/>
      <c r="C1713" s="27" t="n"/>
      <c r="D1713" s="27" t="n"/>
      <c r="E1713" s="21">
        <f>IF(OR(C1713="",D1713=""),"",ROUND(MOD(D1713-C1713,1)*24,2))</f>
        <v/>
      </c>
      <c r="F1713" s="28" t="n"/>
      <c r="G1713" s="28" t="n"/>
      <c r="H1713" s="1" t="n"/>
    </row>
    <row r="1714">
      <c r="A1714" s="1" t="n"/>
      <c r="B1714" s="26" t="n"/>
      <c r="C1714" s="27" t="n"/>
      <c r="D1714" s="27" t="n"/>
      <c r="E1714" s="21">
        <f>IF(OR(C1714="",D1714=""),"",ROUND(MOD(D1714-C1714,1)*24,2))</f>
        <v/>
      </c>
      <c r="F1714" s="28" t="n"/>
      <c r="G1714" s="28" t="n"/>
      <c r="H1714" s="1" t="n"/>
    </row>
    <row r="1715">
      <c r="A1715" s="1" t="n"/>
      <c r="B1715" s="26" t="n"/>
      <c r="C1715" s="27" t="n"/>
      <c r="D1715" s="27" t="n"/>
      <c r="E1715" s="21">
        <f>IF(OR(C1715="",D1715=""),"",ROUND(MOD(D1715-C1715,1)*24,2))</f>
        <v/>
      </c>
      <c r="F1715" s="28" t="n"/>
      <c r="G1715" s="28" t="n"/>
      <c r="H1715" s="1" t="n"/>
    </row>
    <row r="1716">
      <c r="A1716" s="1" t="n"/>
      <c r="B1716" s="26" t="n"/>
      <c r="C1716" s="27" t="n"/>
      <c r="D1716" s="27" t="n"/>
      <c r="E1716" s="21">
        <f>IF(OR(C1716="",D1716=""),"",ROUND(MOD(D1716-C1716,1)*24,2))</f>
        <v/>
      </c>
      <c r="F1716" s="28" t="n"/>
      <c r="G1716" s="28" t="n"/>
      <c r="H1716" s="1" t="n"/>
    </row>
    <row r="1717">
      <c r="A1717" s="1" t="n"/>
      <c r="B1717" s="26" t="n"/>
      <c r="C1717" s="27" t="n"/>
      <c r="D1717" s="27" t="n"/>
      <c r="E1717" s="21">
        <f>IF(OR(C1717="",D1717=""),"",ROUND(MOD(D1717-C1717,1)*24,2))</f>
        <v/>
      </c>
      <c r="F1717" s="28" t="n"/>
      <c r="G1717" s="28" t="n"/>
      <c r="H1717" s="1" t="n"/>
    </row>
    <row r="1718">
      <c r="A1718" s="1" t="n"/>
      <c r="B1718" s="26" t="n"/>
      <c r="C1718" s="27" t="n"/>
      <c r="D1718" s="27" t="n"/>
      <c r="E1718" s="21">
        <f>IF(OR(C1718="",D1718=""),"",ROUND(MOD(D1718-C1718,1)*24,2))</f>
        <v/>
      </c>
      <c r="F1718" s="28" t="n"/>
      <c r="G1718" s="28" t="n"/>
      <c r="H1718" s="1" t="n"/>
    </row>
    <row r="1719">
      <c r="A1719" s="1" t="n"/>
      <c r="B1719" s="26" t="n"/>
      <c r="C1719" s="27" t="n"/>
      <c r="D1719" s="27" t="n"/>
      <c r="E1719" s="21">
        <f>IF(OR(C1719="",D1719=""),"",ROUND(MOD(D1719-C1719,1)*24,2))</f>
        <v/>
      </c>
      <c r="F1719" s="28" t="n"/>
      <c r="G1719" s="28" t="n"/>
      <c r="H1719" s="1" t="n"/>
    </row>
    <row r="1720">
      <c r="A1720" s="1" t="n"/>
      <c r="B1720" s="26" t="n"/>
      <c r="C1720" s="27" t="n"/>
      <c r="D1720" s="27" t="n"/>
      <c r="E1720" s="21">
        <f>IF(OR(C1720="",D1720=""),"",ROUND(MOD(D1720-C1720,1)*24,2))</f>
        <v/>
      </c>
      <c r="F1720" s="28" t="n"/>
      <c r="G1720" s="28" t="n"/>
      <c r="H1720" s="1" t="n"/>
    </row>
    <row r="1721">
      <c r="A1721" s="1" t="n"/>
      <c r="B1721" s="26" t="n"/>
      <c r="C1721" s="27" t="n"/>
      <c r="D1721" s="27" t="n"/>
      <c r="E1721" s="21">
        <f>IF(OR(C1721="",D1721=""),"",ROUND(MOD(D1721-C1721,1)*24,2))</f>
        <v/>
      </c>
      <c r="F1721" s="28" t="n"/>
      <c r="G1721" s="28" t="n"/>
      <c r="H1721" s="1" t="n"/>
    </row>
    <row r="1722">
      <c r="A1722" s="1" t="n"/>
      <c r="B1722" s="26" t="n"/>
      <c r="C1722" s="27" t="n"/>
      <c r="D1722" s="27" t="n"/>
      <c r="E1722" s="21">
        <f>IF(OR(C1722="",D1722=""),"",ROUND(MOD(D1722-C1722,1)*24,2))</f>
        <v/>
      </c>
      <c r="F1722" s="28" t="n"/>
      <c r="G1722" s="28" t="n"/>
      <c r="H1722" s="1" t="n"/>
    </row>
    <row r="1723">
      <c r="A1723" s="1" t="n"/>
      <c r="B1723" s="26" t="n"/>
      <c r="C1723" s="27" t="n"/>
      <c r="D1723" s="27" t="n"/>
      <c r="E1723" s="21">
        <f>IF(OR(C1723="",D1723=""),"",ROUND(MOD(D1723-C1723,1)*24,2))</f>
        <v/>
      </c>
      <c r="F1723" s="28" t="n"/>
      <c r="G1723" s="28" t="n"/>
      <c r="H1723" s="1" t="n"/>
    </row>
    <row r="1724">
      <c r="A1724" s="1" t="n"/>
      <c r="B1724" s="26" t="n"/>
      <c r="C1724" s="27" t="n"/>
      <c r="D1724" s="27" t="n"/>
      <c r="E1724" s="21">
        <f>IF(OR(C1724="",D1724=""),"",ROUND(MOD(D1724-C1724,1)*24,2))</f>
        <v/>
      </c>
      <c r="F1724" s="28" t="n"/>
      <c r="G1724" s="28" t="n"/>
      <c r="H1724" s="1" t="n"/>
    </row>
    <row r="1725">
      <c r="A1725" s="1" t="n"/>
      <c r="B1725" s="26" t="n"/>
      <c r="C1725" s="27" t="n"/>
      <c r="D1725" s="27" t="n"/>
      <c r="E1725" s="21">
        <f>IF(OR(C1725="",D1725=""),"",ROUND(MOD(D1725-C1725,1)*24,2))</f>
        <v/>
      </c>
      <c r="F1725" s="28" t="n"/>
      <c r="G1725" s="28" t="n"/>
      <c r="H1725" s="1" t="n"/>
    </row>
    <row r="1726">
      <c r="A1726" s="1" t="n"/>
      <c r="B1726" s="26" t="n"/>
      <c r="C1726" s="27" t="n"/>
      <c r="D1726" s="27" t="n"/>
      <c r="E1726" s="21">
        <f>IF(OR(C1726="",D1726=""),"",ROUND(MOD(D1726-C1726,1)*24,2))</f>
        <v/>
      </c>
      <c r="F1726" s="28" t="n"/>
      <c r="G1726" s="28" t="n"/>
      <c r="H1726" s="1" t="n"/>
    </row>
    <row r="1727">
      <c r="A1727" s="1" t="n"/>
      <c r="B1727" s="26" t="n"/>
      <c r="C1727" s="27" t="n"/>
      <c r="D1727" s="27" t="n"/>
      <c r="E1727" s="21">
        <f>IF(OR(C1727="",D1727=""),"",ROUND(MOD(D1727-C1727,1)*24,2))</f>
        <v/>
      </c>
      <c r="F1727" s="28" t="n"/>
      <c r="G1727" s="28" t="n"/>
      <c r="H1727" s="1" t="n"/>
    </row>
    <row r="1728">
      <c r="A1728" s="1" t="n"/>
      <c r="B1728" s="26" t="n"/>
      <c r="C1728" s="27" t="n"/>
      <c r="D1728" s="27" t="n"/>
      <c r="E1728" s="21">
        <f>IF(OR(C1728="",D1728=""),"",ROUND(MOD(D1728-C1728,1)*24,2))</f>
        <v/>
      </c>
      <c r="F1728" s="28" t="n"/>
      <c r="G1728" s="28" t="n"/>
      <c r="H1728" s="1" t="n"/>
    </row>
    <row r="1729">
      <c r="A1729" s="1" t="n"/>
      <c r="B1729" s="26" t="n"/>
      <c r="C1729" s="27" t="n"/>
      <c r="D1729" s="27" t="n"/>
      <c r="E1729" s="21">
        <f>IF(OR(C1729="",D1729=""),"",ROUND(MOD(D1729-C1729,1)*24,2))</f>
        <v/>
      </c>
      <c r="F1729" s="28" t="n"/>
      <c r="G1729" s="28" t="n"/>
      <c r="H1729" s="1" t="n"/>
    </row>
    <row r="1730">
      <c r="A1730" s="1" t="n"/>
      <c r="B1730" s="26" t="n"/>
      <c r="C1730" s="27" t="n"/>
      <c r="D1730" s="27" t="n"/>
      <c r="E1730" s="21">
        <f>IF(OR(C1730="",D1730=""),"",ROUND(MOD(D1730-C1730,1)*24,2))</f>
        <v/>
      </c>
      <c r="F1730" s="28" t="n"/>
      <c r="G1730" s="28" t="n"/>
      <c r="H1730" s="1" t="n"/>
    </row>
    <row r="1731">
      <c r="A1731" s="1" t="n"/>
      <c r="B1731" s="26" t="n"/>
      <c r="C1731" s="27" t="n"/>
      <c r="D1731" s="27" t="n"/>
      <c r="E1731" s="21">
        <f>IF(OR(C1731="",D1731=""),"",ROUND(MOD(D1731-C1731,1)*24,2))</f>
        <v/>
      </c>
      <c r="F1731" s="28" t="n"/>
      <c r="G1731" s="28" t="n"/>
      <c r="H1731" s="1" t="n"/>
    </row>
    <row r="1732">
      <c r="A1732" s="1" t="n"/>
      <c r="B1732" s="26" t="n"/>
      <c r="C1732" s="27" t="n"/>
      <c r="D1732" s="27" t="n"/>
      <c r="E1732" s="21">
        <f>IF(OR(C1732="",D1732=""),"",ROUND(MOD(D1732-C1732,1)*24,2))</f>
        <v/>
      </c>
      <c r="F1732" s="28" t="n"/>
      <c r="G1732" s="28" t="n"/>
      <c r="H1732" s="1" t="n"/>
    </row>
    <row r="1733">
      <c r="A1733" s="1" t="n"/>
      <c r="B1733" s="26" t="n"/>
      <c r="C1733" s="27" t="n"/>
      <c r="D1733" s="27" t="n"/>
      <c r="E1733" s="21">
        <f>IF(OR(C1733="",D1733=""),"",ROUND(MOD(D1733-C1733,1)*24,2))</f>
        <v/>
      </c>
      <c r="F1733" s="28" t="n"/>
      <c r="G1733" s="28" t="n"/>
      <c r="H1733" s="1" t="n"/>
    </row>
    <row r="1734">
      <c r="A1734" s="1" t="n"/>
      <c r="B1734" s="26" t="n"/>
      <c r="C1734" s="27" t="n"/>
      <c r="D1734" s="27" t="n"/>
      <c r="E1734" s="21">
        <f>IF(OR(C1734="",D1734=""),"",ROUND(MOD(D1734-C1734,1)*24,2))</f>
        <v/>
      </c>
      <c r="F1734" s="28" t="n"/>
      <c r="G1734" s="28" t="n"/>
      <c r="H1734" s="1" t="n"/>
    </row>
    <row r="1735">
      <c r="A1735" s="1" t="n"/>
      <c r="B1735" s="26" t="n"/>
      <c r="C1735" s="27" t="n"/>
      <c r="D1735" s="27" t="n"/>
      <c r="E1735" s="21">
        <f>IF(OR(C1735="",D1735=""),"",ROUND(MOD(D1735-C1735,1)*24,2))</f>
        <v/>
      </c>
      <c r="F1735" s="28" t="n"/>
      <c r="G1735" s="28" t="n"/>
      <c r="H1735" s="1" t="n"/>
    </row>
    <row r="1736">
      <c r="A1736" s="1" t="n"/>
      <c r="B1736" s="26" t="n"/>
      <c r="C1736" s="27" t="n"/>
      <c r="D1736" s="27" t="n"/>
      <c r="E1736" s="21">
        <f>IF(OR(C1736="",D1736=""),"",ROUND(MOD(D1736-C1736,1)*24,2))</f>
        <v/>
      </c>
      <c r="F1736" s="28" t="n"/>
      <c r="G1736" s="28" t="n"/>
      <c r="H1736" s="1" t="n"/>
    </row>
    <row r="1737">
      <c r="A1737" s="1" t="n"/>
      <c r="B1737" s="26" t="n"/>
      <c r="C1737" s="27" t="n"/>
      <c r="D1737" s="27" t="n"/>
      <c r="E1737" s="21">
        <f>IF(OR(C1737="",D1737=""),"",ROUND(MOD(D1737-C1737,1)*24,2))</f>
        <v/>
      </c>
      <c r="F1737" s="28" t="n"/>
      <c r="G1737" s="28" t="n"/>
      <c r="H1737" s="1" t="n"/>
    </row>
    <row r="1738">
      <c r="A1738" s="1" t="n"/>
      <c r="B1738" s="26" t="n"/>
      <c r="C1738" s="27" t="n"/>
      <c r="D1738" s="27" t="n"/>
      <c r="E1738" s="21">
        <f>IF(OR(C1738="",D1738=""),"",ROUND(MOD(D1738-C1738,1)*24,2))</f>
        <v/>
      </c>
      <c r="F1738" s="28" t="n"/>
      <c r="G1738" s="28" t="n"/>
      <c r="H1738" s="1" t="n"/>
    </row>
    <row r="1739">
      <c r="A1739" s="1" t="n"/>
      <c r="B1739" s="26" t="n"/>
      <c r="C1739" s="27" t="n"/>
      <c r="D1739" s="27" t="n"/>
      <c r="E1739" s="21">
        <f>IF(OR(C1739="",D1739=""),"",ROUND(MOD(D1739-C1739,1)*24,2))</f>
        <v/>
      </c>
      <c r="F1739" s="28" t="n"/>
      <c r="G1739" s="28" t="n"/>
      <c r="H1739" s="1" t="n"/>
    </row>
    <row r="1740">
      <c r="A1740" s="1" t="n"/>
      <c r="B1740" s="26" t="n"/>
      <c r="C1740" s="27" t="n"/>
      <c r="D1740" s="27" t="n"/>
      <c r="E1740" s="21">
        <f>IF(OR(C1740="",D1740=""),"",ROUND(MOD(D1740-C1740,1)*24,2))</f>
        <v/>
      </c>
      <c r="F1740" s="28" t="n"/>
      <c r="G1740" s="28" t="n"/>
      <c r="H1740" s="1" t="n"/>
    </row>
    <row r="1741">
      <c r="A1741" s="1" t="n"/>
      <c r="B1741" s="26" t="n"/>
      <c r="C1741" s="27" t="n"/>
      <c r="D1741" s="27" t="n"/>
      <c r="E1741" s="21">
        <f>IF(OR(C1741="",D1741=""),"",ROUND(MOD(D1741-C1741,1)*24,2))</f>
        <v/>
      </c>
      <c r="F1741" s="28" t="n"/>
      <c r="G1741" s="28" t="n"/>
      <c r="H1741" s="1" t="n"/>
    </row>
    <row r="1742">
      <c r="A1742" s="1" t="n"/>
      <c r="B1742" s="26" t="n"/>
      <c r="C1742" s="27" t="n"/>
      <c r="D1742" s="27" t="n"/>
      <c r="E1742" s="21">
        <f>IF(OR(C1742="",D1742=""),"",ROUND(MOD(D1742-C1742,1)*24,2))</f>
        <v/>
      </c>
      <c r="F1742" s="28" t="n"/>
      <c r="G1742" s="28" t="n"/>
      <c r="H1742" s="1" t="n"/>
    </row>
    <row r="1743">
      <c r="A1743" s="1" t="n"/>
      <c r="B1743" s="26" t="n"/>
      <c r="C1743" s="27" t="n"/>
      <c r="D1743" s="27" t="n"/>
      <c r="E1743" s="21">
        <f>IF(OR(C1743="",D1743=""),"",ROUND(MOD(D1743-C1743,1)*24,2))</f>
        <v/>
      </c>
      <c r="F1743" s="28" t="n"/>
      <c r="G1743" s="28" t="n"/>
      <c r="H1743" s="1" t="n"/>
    </row>
    <row r="1744">
      <c r="A1744" s="1" t="n"/>
      <c r="B1744" s="26" t="n"/>
      <c r="C1744" s="27" t="n"/>
      <c r="D1744" s="27" t="n"/>
      <c r="E1744" s="21">
        <f>IF(OR(C1744="",D1744=""),"",ROUND(MOD(D1744-C1744,1)*24,2))</f>
        <v/>
      </c>
      <c r="F1744" s="28" t="n"/>
      <c r="G1744" s="28" t="n"/>
      <c r="H1744" s="1" t="n"/>
    </row>
    <row r="1745">
      <c r="A1745" s="1" t="n"/>
      <c r="B1745" s="26" t="n"/>
      <c r="C1745" s="27" t="n"/>
      <c r="D1745" s="27" t="n"/>
      <c r="E1745" s="21">
        <f>IF(OR(C1745="",D1745=""),"",ROUND(MOD(D1745-C1745,1)*24,2))</f>
        <v/>
      </c>
      <c r="F1745" s="28" t="n"/>
      <c r="G1745" s="28" t="n"/>
      <c r="H1745" s="1" t="n"/>
    </row>
    <row r="1746">
      <c r="A1746" s="1" t="n"/>
      <c r="B1746" s="26" t="n"/>
      <c r="C1746" s="27" t="n"/>
      <c r="D1746" s="27" t="n"/>
      <c r="E1746" s="21">
        <f>IF(OR(C1746="",D1746=""),"",ROUND(MOD(D1746-C1746,1)*24,2))</f>
        <v/>
      </c>
      <c r="F1746" s="28" t="n"/>
      <c r="G1746" s="28" t="n"/>
      <c r="H1746" s="1" t="n"/>
    </row>
    <row r="1747">
      <c r="A1747" s="1" t="n"/>
      <c r="B1747" s="26" t="n"/>
      <c r="C1747" s="27" t="n"/>
      <c r="D1747" s="27" t="n"/>
      <c r="E1747" s="21">
        <f>IF(OR(C1747="",D1747=""),"",ROUND(MOD(D1747-C1747,1)*24,2))</f>
        <v/>
      </c>
      <c r="F1747" s="28" t="n"/>
      <c r="G1747" s="28" t="n"/>
      <c r="H1747" s="1" t="n"/>
    </row>
    <row r="1748">
      <c r="A1748" s="1" t="n"/>
      <c r="B1748" s="26" t="n"/>
      <c r="C1748" s="27" t="n"/>
      <c r="D1748" s="27" t="n"/>
      <c r="E1748" s="21">
        <f>IF(OR(C1748="",D1748=""),"",ROUND(MOD(D1748-C1748,1)*24,2))</f>
        <v/>
      </c>
      <c r="F1748" s="28" t="n"/>
      <c r="G1748" s="28" t="n"/>
      <c r="H1748" s="1" t="n"/>
    </row>
    <row r="1749">
      <c r="A1749" s="1" t="n"/>
      <c r="B1749" s="26" t="n"/>
      <c r="C1749" s="27" t="n"/>
      <c r="D1749" s="27" t="n"/>
      <c r="E1749" s="21">
        <f>IF(OR(C1749="",D1749=""),"",ROUND(MOD(D1749-C1749,1)*24,2))</f>
        <v/>
      </c>
      <c r="F1749" s="28" t="n"/>
      <c r="G1749" s="28" t="n"/>
      <c r="H1749" s="1" t="n"/>
    </row>
    <row r="1750">
      <c r="A1750" s="1" t="n"/>
      <c r="B1750" s="26" t="n"/>
      <c r="C1750" s="27" t="n"/>
      <c r="D1750" s="27" t="n"/>
      <c r="E1750" s="21">
        <f>IF(OR(C1750="",D1750=""),"",ROUND(MOD(D1750-C1750,1)*24,2))</f>
        <v/>
      </c>
      <c r="F1750" s="28" t="n"/>
      <c r="G1750" s="28" t="n"/>
      <c r="H1750" s="1" t="n"/>
    </row>
    <row r="1751">
      <c r="A1751" s="1" t="n"/>
      <c r="B1751" s="26" t="n"/>
      <c r="C1751" s="27" t="n"/>
      <c r="D1751" s="27" t="n"/>
      <c r="E1751" s="21">
        <f>IF(OR(C1751="",D1751=""),"",ROUND(MOD(D1751-C1751,1)*24,2))</f>
        <v/>
      </c>
      <c r="F1751" s="28" t="n"/>
      <c r="G1751" s="28" t="n"/>
      <c r="H1751" s="1" t="n"/>
    </row>
    <row r="1752">
      <c r="A1752" s="1" t="n"/>
      <c r="B1752" s="26" t="n"/>
      <c r="C1752" s="27" t="n"/>
      <c r="D1752" s="27" t="n"/>
      <c r="E1752" s="21">
        <f>IF(OR(C1752="",D1752=""),"",ROUND(MOD(D1752-C1752,1)*24,2))</f>
        <v/>
      </c>
      <c r="F1752" s="28" t="n"/>
      <c r="G1752" s="28" t="n"/>
      <c r="H1752" s="1" t="n"/>
    </row>
    <row r="1753">
      <c r="A1753" s="1" t="n"/>
      <c r="B1753" s="26" t="n"/>
      <c r="C1753" s="27" t="n"/>
      <c r="D1753" s="27" t="n"/>
      <c r="E1753" s="21">
        <f>IF(OR(C1753="",D1753=""),"",ROUND(MOD(D1753-C1753,1)*24,2))</f>
        <v/>
      </c>
      <c r="F1753" s="28" t="n"/>
      <c r="G1753" s="28" t="n"/>
      <c r="H1753" s="1" t="n"/>
    </row>
    <row r="1754">
      <c r="A1754" s="1" t="n"/>
      <c r="B1754" s="26" t="n"/>
      <c r="C1754" s="27" t="n"/>
      <c r="D1754" s="27" t="n"/>
      <c r="E1754" s="21">
        <f>IF(OR(C1754="",D1754=""),"",ROUND(MOD(D1754-C1754,1)*24,2))</f>
        <v/>
      </c>
      <c r="F1754" s="28" t="n"/>
      <c r="G1754" s="28" t="n"/>
      <c r="H1754" s="1" t="n"/>
    </row>
    <row r="1755">
      <c r="A1755" s="1" t="n"/>
      <c r="B1755" s="26" t="n"/>
      <c r="C1755" s="27" t="n"/>
      <c r="D1755" s="27" t="n"/>
      <c r="E1755" s="21">
        <f>IF(OR(C1755="",D1755=""),"",ROUND(MOD(D1755-C1755,1)*24,2))</f>
        <v/>
      </c>
      <c r="F1755" s="28" t="n"/>
      <c r="G1755" s="28" t="n"/>
      <c r="H1755" s="1" t="n"/>
    </row>
    <row r="1756">
      <c r="A1756" s="1" t="n"/>
      <c r="B1756" s="26" t="n"/>
      <c r="C1756" s="27" t="n"/>
      <c r="D1756" s="27" t="n"/>
      <c r="E1756" s="21">
        <f>IF(OR(C1756="",D1756=""),"",ROUND(MOD(D1756-C1756,1)*24,2))</f>
        <v/>
      </c>
      <c r="F1756" s="28" t="n"/>
      <c r="G1756" s="28" t="n"/>
      <c r="H1756" s="1" t="n"/>
    </row>
    <row r="1757">
      <c r="A1757" s="1" t="n"/>
      <c r="B1757" s="26" t="n"/>
      <c r="C1757" s="27" t="n"/>
      <c r="D1757" s="27" t="n"/>
      <c r="E1757" s="21">
        <f>IF(OR(C1757="",D1757=""),"",ROUND(MOD(D1757-C1757,1)*24,2))</f>
        <v/>
      </c>
      <c r="F1757" s="28" t="n"/>
      <c r="G1757" s="28" t="n"/>
      <c r="H1757" s="1" t="n"/>
    </row>
    <row r="1758">
      <c r="A1758" s="1" t="n"/>
      <c r="B1758" s="26" t="n"/>
      <c r="C1758" s="27" t="n"/>
      <c r="D1758" s="27" t="n"/>
      <c r="E1758" s="21">
        <f>IF(OR(C1758="",D1758=""),"",ROUND(MOD(D1758-C1758,1)*24,2))</f>
        <v/>
      </c>
      <c r="F1758" s="28" t="n"/>
      <c r="G1758" s="28" t="n"/>
      <c r="H1758" s="1" t="n"/>
    </row>
    <row r="1759">
      <c r="A1759" s="1" t="n"/>
      <c r="B1759" s="26" t="n"/>
      <c r="C1759" s="27" t="n"/>
      <c r="D1759" s="27" t="n"/>
      <c r="E1759" s="21">
        <f>IF(OR(C1759="",D1759=""),"",ROUND(MOD(D1759-C1759,1)*24,2))</f>
        <v/>
      </c>
      <c r="F1759" s="28" t="n"/>
      <c r="G1759" s="28" t="n"/>
      <c r="H1759" s="1" t="n"/>
    </row>
    <row r="1760">
      <c r="A1760" s="1" t="n"/>
      <c r="B1760" s="26" t="n"/>
      <c r="C1760" s="27" t="n"/>
      <c r="D1760" s="27" t="n"/>
      <c r="E1760" s="21">
        <f>IF(OR(C1760="",D1760=""),"",ROUND(MOD(D1760-C1760,1)*24,2))</f>
        <v/>
      </c>
      <c r="F1760" s="28" t="n"/>
      <c r="G1760" s="28" t="n"/>
      <c r="H1760" s="1" t="n"/>
    </row>
    <row r="1761">
      <c r="A1761" s="1" t="n"/>
      <c r="B1761" s="26" t="n"/>
      <c r="C1761" s="27" t="n"/>
      <c r="D1761" s="27" t="n"/>
      <c r="E1761" s="21">
        <f>IF(OR(C1761="",D1761=""),"",ROUND(MOD(D1761-C1761,1)*24,2))</f>
        <v/>
      </c>
      <c r="F1761" s="28" t="n"/>
      <c r="G1761" s="28" t="n"/>
      <c r="H1761" s="1" t="n"/>
    </row>
    <row r="1762">
      <c r="A1762" s="1" t="n"/>
      <c r="B1762" s="26" t="n"/>
      <c r="C1762" s="27" t="n"/>
      <c r="D1762" s="27" t="n"/>
      <c r="E1762" s="21">
        <f>IF(OR(C1762="",D1762=""),"",ROUND(MOD(D1762-C1762,1)*24,2))</f>
        <v/>
      </c>
      <c r="F1762" s="28" t="n"/>
      <c r="G1762" s="28" t="n"/>
      <c r="H1762" s="1" t="n"/>
    </row>
    <row r="1763">
      <c r="A1763" s="1" t="n"/>
      <c r="B1763" s="26" t="n"/>
      <c r="C1763" s="27" t="n"/>
      <c r="D1763" s="27" t="n"/>
      <c r="E1763" s="21">
        <f>IF(OR(C1763="",D1763=""),"",ROUND(MOD(D1763-C1763,1)*24,2))</f>
        <v/>
      </c>
      <c r="F1763" s="28" t="n"/>
      <c r="G1763" s="28" t="n"/>
      <c r="H1763" s="1" t="n"/>
    </row>
    <row r="1764">
      <c r="A1764" s="1" t="n"/>
      <c r="B1764" s="26" t="n"/>
      <c r="C1764" s="27" t="n"/>
      <c r="D1764" s="27" t="n"/>
      <c r="E1764" s="21">
        <f>IF(OR(C1764="",D1764=""),"",ROUND(MOD(D1764-C1764,1)*24,2))</f>
        <v/>
      </c>
      <c r="F1764" s="28" t="n"/>
      <c r="G1764" s="28" t="n"/>
      <c r="H1764" s="1" t="n"/>
    </row>
    <row r="1765">
      <c r="A1765" s="1" t="n"/>
      <c r="B1765" s="26" t="n"/>
      <c r="C1765" s="27" t="n"/>
      <c r="D1765" s="27" t="n"/>
      <c r="E1765" s="21">
        <f>IF(OR(C1765="",D1765=""),"",ROUND(MOD(D1765-C1765,1)*24,2))</f>
        <v/>
      </c>
      <c r="F1765" s="28" t="n"/>
      <c r="G1765" s="28" t="n"/>
      <c r="H1765" s="1" t="n"/>
    </row>
    <row r="1766">
      <c r="A1766" s="1" t="n"/>
      <c r="B1766" s="26" t="n"/>
      <c r="C1766" s="27" t="n"/>
      <c r="D1766" s="27" t="n"/>
      <c r="E1766" s="21">
        <f>IF(OR(C1766="",D1766=""),"",ROUND(MOD(D1766-C1766,1)*24,2))</f>
        <v/>
      </c>
      <c r="F1766" s="28" t="n"/>
      <c r="G1766" s="28" t="n"/>
      <c r="H1766" s="1" t="n"/>
    </row>
    <row r="1767">
      <c r="A1767" s="1" t="n"/>
      <c r="B1767" s="26" t="n"/>
      <c r="C1767" s="27" t="n"/>
      <c r="D1767" s="27" t="n"/>
      <c r="E1767" s="21">
        <f>IF(OR(C1767="",D1767=""),"",ROUND(MOD(D1767-C1767,1)*24,2))</f>
        <v/>
      </c>
      <c r="F1767" s="28" t="n"/>
      <c r="G1767" s="28" t="n"/>
      <c r="H1767" s="1" t="n"/>
    </row>
    <row r="1768">
      <c r="A1768" s="1" t="n"/>
      <c r="B1768" s="26" t="n"/>
      <c r="C1768" s="27" t="n"/>
      <c r="D1768" s="27" t="n"/>
      <c r="E1768" s="21">
        <f>IF(OR(C1768="",D1768=""),"",ROUND(MOD(D1768-C1768,1)*24,2))</f>
        <v/>
      </c>
      <c r="F1768" s="28" t="n"/>
      <c r="G1768" s="28" t="n"/>
      <c r="H1768" s="1" t="n"/>
    </row>
    <row r="1769">
      <c r="A1769" s="1" t="n"/>
      <c r="B1769" s="26" t="n"/>
      <c r="C1769" s="27" t="n"/>
      <c r="D1769" s="27" t="n"/>
      <c r="E1769" s="21">
        <f>IF(OR(C1769="",D1769=""),"",ROUND(MOD(D1769-C1769,1)*24,2))</f>
        <v/>
      </c>
      <c r="F1769" s="28" t="n"/>
      <c r="G1769" s="28" t="n"/>
      <c r="H1769" s="1" t="n"/>
    </row>
    <row r="1770">
      <c r="A1770" s="1" t="n"/>
      <c r="B1770" s="26" t="n"/>
      <c r="C1770" s="27" t="n"/>
      <c r="D1770" s="27" t="n"/>
      <c r="E1770" s="21">
        <f>IF(OR(C1770="",D1770=""),"",ROUND(MOD(D1770-C1770,1)*24,2))</f>
        <v/>
      </c>
      <c r="F1770" s="28" t="n"/>
      <c r="G1770" s="28" t="n"/>
      <c r="H1770" s="1" t="n"/>
    </row>
    <row r="1771">
      <c r="A1771" s="1" t="n"/>
      <c r="B1771" s="26" t="n"/>
      <c r="C1771" s="27" t="n"/>
      <c r="D1771" s="27" t="n"/>
      <c r="E1771" s="21">
        <f>IF(OR(C1771="",D1771=""),"",ROUND(MOD(D1771-C1771,1)*24,2))</f>
        <v/>
      </c>
      <c r="F1771" s="28" t="n"/>
      <c r="G1771" s="28" t="n"/>
      <c r="H1771" s="1" t="n"/>
    </row>
    <row r="1772">
      <c r="A1772" s="1" t="n"/>
      <c r="B1772" s="26" t="n"/>
      <c r="C1772" s="27" t="n"/>
      <c r="D1772" s="27" t="n"/>
      <c r="E1772" s="21">
        <f>IF(OR(C1772="",D1772=""),"",ROUND(MOD(D1772-C1772,1)*24,2))</f>
        <v/>
      </c>
      <c r="F1772" s="28" t="n"/>
      <c r="G1772" s="28" t="n"/>
      <c r="H1772" s="1" t="n"/>
    </row>
    <row r="1773">
      <c r="A1773" s="1" t="n"/>
      <c r="B1773" s="26" t="n"/>
      <c r="C1773" s="27" t="n"/>
      <c r="D1773" s="27" t="n"/>
      <c r="E1773" s="21">
        <f>IF(OR(C1773="",D1773=""),"",ROUND(MOD(D1773-C1773,1)*24,2))</f>
        <v/>
      </c>
      <c r="F1773" s="28" t="n"/>
      <c r="G1773" s="28" t="n"/>
      <c r="H1773" s="1" t="n"/>
    </row>
    <row r="1774">
      <c r="A1774" s="1" t="n"/>
      <c r="B1774" s="26" t="n"/>
      <c r="C1774" s="27" t="n"/>
      <c r="D1774" s="27" t="n"/>
      <c r="E1774" s="21">
        <f>IF(OR(C1774="",D1774=""),"",ROUND(MOD(D1774-C1774,1)*24,2))</f>
        <v/>
      </c>
      <c r="F1774" s="28" t="n"/>
      <c r="G1774" s="28" t="n"/>
      <c r="H1774" s="1" t="n"/>
    </row>
    <row r="1775">
      <c r="A1775" s="1" t="n"/>
      <c r="B1775" s="26" t="n"/>
      <c r="C1775" s="27" t="n"/>
      <c r="D1775" s="27" t="n"/>
      <c r="E1775" s="21">
        <f>IF(OR(C1775="",D1775=""),"",ROUND(MOD(D1775-C1775,1)*24,2))</f>
        <v/>
      </c>
      <c r="F1775" s="28" t="n"/>
      <c r="G1775" s="28" t="n"/>
      <c r="H1775" s="1" t="n"/>
    </row>
    <row r="1776">
      <c r="A1776" s="1" t="n"/>
      <c r="B1776" s="26" t="n"/>
      <c r="C1776" s="27" t="n"/>
      <c r="D1776" s="27" t="n"/>
      <c r="E1776" s="21">
        <f>IF(OR(C1776="",D1776=""),"",ROUND(MOD(D1776-C1776,1)*24,2))</f>
        <v/>
      </c>
      <c r="F1776" s="28" t="n"/>
      <c r="G1776" s="28" t="n"/>
      <c r="H1776" s="1" t="n"/>
    </row>
    <row r="1777">
      <c r="A1777" s="1" t="n"/>
      <c r="B1777" s="26" t="n"/>
      <c r="C1777" s="27" t="n"/>
      <c r="D1777" s="27" t="n"/>
      <c r="E1777" s="21">
        <f>IF(OR(C1777="",D1777=""),"",ROUND(MOD(D1777-C1777,1)*24,2))</f>
        <v/>
      </c>
      <c r="F1777" s="28" t="n"/>
      <c r="G1777" s="28" t="n"/>
      <c r="H1777" s="1" t="n"/>
    </row>
    <row r="1778">
      <c r="A1778" s="1" t="n"/>
      <c r="B1778" s="26" t="n"/>
      <c r="C1778" s="27" t="n"/>
      <c r="D1778" s="27" t="n"/>
      <c r="E1778" s="21">
        <f>IF(OR(C1778="",D1778=""),"",ROUND(MOD(D1778-C1778,1)*24,2))</f>
        <v/>
      </c>
      <c r="F1778" s="28" t="n"/>
      <c r="G1778" s="28" t="n"/>
      <c r="H1778" s="1" t="n"/>
    </row>
    <row r="1779">
      <c r="A1779" s="1" t="n"/>
      <c r="B1779" s="26" t="n"/>
      <c r="C1779" s="27" t="n"/>
      <c r="D1779" s="27" t="n"/>
      <c r="E1779" s="21">
        <f>IF(OR(C1779="",D1779=""),"",ROUND(MOD(D1779-C1779,1)*24,2))</f>
        <v/>
      </c>
      <c r="F1779" s="28" t="n"/>
      <c r="G1779" s="28" t="n"/>
      <c r="H1779" s="1" t="n"/>
    </row>
    <row r="1780">
      <c r="A1780" s="1" t="n"/>
      <c r="B1780" s="26" t="n"/>
      <c r="C1780" s="27" t="n"/>
      <c r="D1780" s="27" t="n"/>
      <c r="E1780" s="21">
        <f>IF(OR(C1780="",D1780=""),"",ROUND(MOD(D1780-C1780,1)*24,2))</f>
        <v/>
      </c>
      <c r="F1780" s="28" t="n"/>
      <c r="G1780" s="28" t="n"/>
      <c r="H1780" s="1" t="n"/>
    </row>
    <row r="1781">
      <c r="A1781" s="1" t="n"/>
      <c r="B1781" s="26" t="n"/>
      <c r="C1781" s="27" t="n"/>
      <c r="D1781" s="27" t="n"/>
      <c r="E1781" s="21">
        <f>IF(OR(C1781="",D1781=""),"",ROUND(MOD(D1781-C1781,1)*24,2))</f>
        <v/>
      </c>
      <c r="F1781" s="28" t="n"/>
      <c r="G1781" s="28" t="n"/>
      <c r="H1781" s="1" t="n"/>
    </row>
    <row r="1782">
      <c r="A1782" s="1" t="n"/>
      <c r="B1782" s="26" t="n"/>
      <c r="C1782" s="27" t="n"/>
      <c r="D1782" s="27" t="n"/>
      <c r="E1782" s="21">
        <f>IF(OR(C1782="",D1782=""),"",ROUND(MOD(D1782-C1782,1)*24,2))</f>
        <v/>
      </c>
      <c r="F1782" s="28" t="n"/>
      <c r="G1782" s="28" t="n"/>
      <c r="H1782" s="1" t="n"/>
    </row>
    <row r="1783">
      <c r="A1783" s="1" t="n"/>
      <c r="B1783" s="26" t="n"/>
      <c r="C1783" s="27" t="n"/>
      <c r="D1783" s="27" t="n"/>
      <c r="E1783" s="21">
        <f>IF(OR(C1783="",D1783=""),"",ROUND(MOD(D1783-C1783,1)*24,2))</f>
        <v/>
      </c>
      <c r="F1783" s="28" t="n"/>
      <c r="G1783" s="28" t="n"/>
      <c r="H1783" s="1" t="n"/>
    </row>
    <row r="1784">
      <c r="A1784" s="1" t="n"/>
      <c r="B1784" s="26" t="n"/>
      <c r="C1784" s="27" t="n"/>
      <c r="D1784" s="27" t="n"/>
      <c r="E1784" s="21">
        <f>IF(OR(C1784="",D1784=""),"",ROUND(MOD(D1784-C1784,1)*24,2))</f>
        <v/>
      </c>
      <c r="F1784" s="28" t="n"/>
      <c r="G1784" s="28" t="n"/>
      <c r="H1784" s="1" t="n"/>
    </row>
    <row r="1785">
      <c r="A1785" s="1" t="n"/>
      <c r="B1785" s="26" t="n"/>
      <c r="C1785" s="27" t="n"/>
      <c r="D1785" s="27" t="n"/>
      <c r="E1785" s="21">
        <f>IF(OR(C1785="",D1785=""),"",ROUND(MOD(D1785-C1785,1)*24,2))</f>
        <v/>
      </c>
      <c r="F1785" s="28" t="n"/>
      <c r="G1785" s="28" t="n"/>
      <c r="H1785" s="1" t="n"/>
    </row>
    <row r="1786">
      <c r="A1786" s="1" t="n"/>
      <c r="B1786" s="26" t="n"/>
      <c r="C1786" s="27" t="n"/>
      <c r="D1786" s="27" t="n"/>
      <c r="E1786" s="21">
        <f>IF(OR(C1786="",D1786=""),"",ROUND(MOD(D1786-C1786,1)*24,2))</f>
        <v/>
      </c>
      <c r="F1786" s="28" t="n"/>
      <c r="G1786" s="28" t="n"/>
      <c r="H1786" s="1" t="n"/>
    </row>
    <row r="1787">
      <c r="A1787" s="1" t="n"/>
      <c r="B1787" s="26" t="n"/>
      <c r="C1787" s="27" t="n"/>
      <c r="D1787" s="27" t="n"/>
      <c r="E1787" s="21">
        <f>IF(OR(C1787="",D1787=""),"",ROUND(MOD(D1787-C1787,1)*24,2))</f>
        <v/>
      </c>
      <c r="F1787" s="28" t="n"/>
      <c r="G1787" s="28" t="n"/>
      <c r="H1787" s="1" t="n"/>
    </row>
    <row r="1788">
      <c r="A1788" s="1" t="n"/>
      <c r="B1788" s="26" t="n"/>
      <c r="C1788" s="27" t="n"/>
      <c r="D1788" s="27" t="n"/>
      <c r="E1788" s="21">
        <f>IF(OR(C1788="",D1788=""),"",ROUND(MOD(D1788-C1788,1)*24,2))</f>
        <v/>
      </c>
      <c r="F1788" s="28" t="n"/>
      <c r="G1788" s="28" t="n"/>
      <c r="H1788" s="1" t="n"/>
    </row>
    <row r="1789">
      <c r="A1789" s="1" t="n"/>
      <c r="B1789" s="26" t="n"/>
      <c r="C1789" s="27" t="n"/>
      <c r="D1789" s="27" t="n"/>
      <c r="E1789" s="21">
        <f>IF(OR(C1789="",D1789=""),"",ROUND(MOD(D1789-C1789,1)*24,2))</f>
        <v/>
      </c>
      <c r="F1789" s="28" t="n"/>
      <c r="G1789" s="28" t="n"/>
      <c r="H1789" s="1" t="n"/>
    </row>
    <row r="1790">
      <c r="A1790" s="1" t="n"/>
      <c r="B1790" s="26" t="n"/>
      <c r="C1790" s="27" t="n"/>
      <c r="D1790" s="27" t="n"/>
      <c r="E1790" s="21">
        <f>IF(OR(C1790="",D1790=""),"",ROUND(MOD(D1790-C1790,1)*24,2))</f>
        <v/>
      </c>
      <c r="F1790" s="28" t="n"/>
      <c r="G1790" s="28" t="n"/>
      <c r="H1790" s="1" t="n"/>
    </row>
    <row r="1791">
      <c r="A1791" s="1" t="n"/>
      <c r="B1791" s="26" t="n"/>
      <c r="C1791" s="27" t="n"/>
      <c r="D1791" s="27" t="n"/>
      <c r="E1791" s="21">
        <f>IF(OR(C1791="",D1791=""),"",ROUND(MOD(D1791-C1791,1)*24,2))</f>
        <v/>
      </c>
      <c r="F1791" s="28" t="n"/>
      <c r="G1791" s="28" t="n"/>
      <c r="H1791" s="1" t="n"/>
    </row>
    <row r="1792">
      <c r="A1792" s="1" t="n"/>
      <c r="B1792" s="26" t="n"/>
      <c r="C1792" s="27" t="n"/>
      <c r="D1792" s="27" t="n"/>
      <c r="E1792" s="21">
        <f>IF(OR(C1792="",D1792=""),"",ROUND(MOD(D1792-C1792,1)*24,2))</f>
        <v/>
      </c>
      <c r="F1792" s="28" t="n"/>
      <c r="G1792" s="28" t="n"/>
      <c r="H1792" s="1" t="n"/>
    </row>
    <row r="1793">
      <c r="A1793" s="1" t="n"/>
      <c r="B1793" s="26" t="n"/>
      <c r="C1793" s="27" t="n"/>
      <c r="D1793" s="27" t="n"/>
      <c r="E1793" s="21">
        <f>IF(OR(C1793="",D1793=""),"",ROUND(MOD(D1793-C1793,1)*24,2))</f>
        <v/>
      </c>
      <c r="F1793" s="28" t="n"/>
      <c r="G1793" s="28" t="n"/>
      <c r="H1793" s="1" t="n"/>
    </row>
    <row r="1794">
      <c r="A1794" s="1" t="n"/>
      <c r="B1794" s="26" t="n"/>
      <c r="C1794" s="27" t="n"/>
      <c r="D1794" s="27" t="n"/>
      <c r="E1794" s="21">
        <f>IF(OR(C1794="",D1794=""),"",ROUND(MOD(D1794-C1794,1)*24,2))</f>
        <v/>
      </c>
      <c r="F1794" s="28" t="n"/>
      <c r="G1794" s="28" t="n"/>
      <c r="H1794" s="1" t="n"/>
    </row>
    <row r="1795">
      <c r="A1795" s="1" t="n"/>
      <c r="B1795" s="26" t="n"/>
      <c r="C1795" s="27" t="n"/>
      <c r="D1795" s="27" t="n"/>
      <c r="E1795" s="21">
        <f>IF(OR(C1795="",D1795=""),"",ROUND(MOD(D1795-C1795,1)*24,2))</f>
        <v/>
      </c>
      <c r="F1795" s="28" t="n"/>
      <c r="G1795" s="28" t="n"/>
      <c r="H1795" s="1" t="n"/>
    </row>
    <row r="1796">
      <c r="A1796" s="1" t="n"/>
      <c r="B1796" s="26" t="n"/>
      <c r="C1796" s="27" t="n"/>
      <c r="D1796" s="27" t="n"/>
      <c r="E1796" s="21">
        <f>IF(OR(C1796="",D1796=""),"",ROUND(MOD(D1796-C1796,1)*24,2))</f>
        <v/>
      </c>
      <c r="F1796" s="28" t="n"/>
      <c r="G1796" s="28" t="n"/>
      <c r="H1796" s="1" t="n"/>
    </row>
    <row r="1797">
      <c r="A1797" s="1" t="n"/>
      <c r="B1797" s="26" t="n"/>
      <c r="C1797" s="27" t="n"/>
      <c r="D1797" s="27" t="n"/>
      <c r="E1797" s="21">
        <f>IF(OR(C1797="",D1797=""),"",ROUND(MOD(D1797-C1797,1)*24,2))</f>
        <v/>
      </c>
      <c r="F1797" s="28" t="n"/>
      <c r="G1797" s="28" t="n"/>
      <c r="H1797" s="1" t="n"/>
    </row>
    <row r="1798">
      <c r="A1798" s="1" t="n"/>
      <c r="B1798" s="26" t="n"/>
      <c r="C1798" s="27" t="n"/>
      <c r="D1798" s="27" t="n"/>
      <c r="E1798" s="21">
        <f>IF(OR(C1798="",D1798=""),"",ROUND(MOD(D1798-C1798,1)*24,2))</f>
        <v/>
      </c>
      <c r="F1798" s="28" t="n"/>
      <c r="G1798" s="28" t="n"/>
      <c r="H1798" s="1" t="n"/>
    </row>
    <row r="1799">
      <c r="A1799" s="1" t="n"/>
      <c r="B1799" s="26" t="n"/>
      <c r="C1799" s="27" t="n"/>
      <c r="D1799" s="27" t="n"/>
      <c r="E1799" s="21">
        <f>IF(OR(C1799="",D1799=""),"",ROUND(MOD(D1799-C1799,1)*24,2))</f>
        <v/>
      </c>
      <c r="F1799" s="28" t="n"/>
      <c r="G1799" s="28" t="n"/>
      <c r="H1799" s="1" t="n"/>
    </row>
    <row r="1800">
      <c r="A1800" s="1" t="n"/>
      <c r="B1800" s="26" t="n"/>
      <c r="C1800" s="27" t="n"/>
      <c r="D1800" s="27" t="n"/>
      <c r="E1800" s="21">
        <f>IF(OR(C1800="",D1800=""),"",ROUND(MOD(D1800-C1800,1)*24,2))</f>
        <v/>
      </c>
      <c r="F1800" s="28" t="n"/>
      <c r="G1800" s="28" t="n"/>
      <c r="H1800" s="1" t="n"/>
    </row>
    <row r="1801">
      <c r="A1801" s="1" t="n"/>
      <c r="B1801" s="26" t="n"/>
      <c r="C1801" s="27" t="n"/>
      <c r="D1801" s="27" t="n"/>
      <c r="E1801" s="21">
        <f>IF(OR(C1801="",D1801=""),"",ROUND(MOD(D1801-C1801,1)*24,2))</f>
        <v/>
      </c>
      <c r="F1801" s="28" t="n"/>
      <c r="G1801" s="28" t="n"/>
      <c r="H1801" s="1" t="n"/>
    </row>
    <row r="1802">
      <c r="A1802" s="1" t="n"/>
      <c r="B1802" s="26" t="n"/>
      <c r="C1802" s="27" t="n"/>
      <c r="D1802" s="27" t="n"/>
      <c r="E1802" s="21">
        <f>IF(OR(C1802="",D1802=""),"",ROUND(MOD(D1802-C1802,1)*24,2))</f>
        <v/>
      </c>
      <c r="F1802" s="28" t="n"/>
      <c r="G1802" s="28" t="n"/>
      <c r="H1802" s="1" t="n"/>
    </row>
    <row r="1803">
      <c r="A1803" s="1" t="n"/>
      <c r="B1803" s="26" t="n"/>
      <c r="C1803" s="27" t="n"/>
      <c r="D1803" s="27" t="n"/>
      <c r="E1803" s="21">
        <f>IF(OR(C1803="",D1803=""),"",ROUND(MOD(D1803-C1803,1)*24,2))</f>
        <v/>
      </c>
      <c r="F1803" s="28" t="n"/>
      <c r="G1803" s="28" t="n"/>
      <c r="H1803" s="1" t="n"/>
    </row>
    <row r="1804">
      <c r="A1804" s="1" t="n"/>
      <c r="B1804" s="26" t="n"/>
      <c r="C1804" s="27" t="n"/>
      <c r="D1804" s="27" t="n"/>
      <c r="E1804" s="21">
        <f>IF(OR(C1804="",D1804=""),"",ROUND(MOD(D1804-C1804,1)*24,2))</f>
        <v/>
      </c>
      <c r="F1804" s="28" t="n"/>
      <c r="G1804" s="28" t="n"/>
      <c r="H1804" s="1" t="n"/>
    </row>
    <row r="1805">
      <c r="A1805" s="1" t="n"/>
      <c r="B1805" s="26" t="n"/>
      <c r="C1805" s="27" t="n"/>
      <c r="D1805" s="27" t="n"/>
      <c r="E1805" s="21">
        <f>IF(OR(C1805="",D1805=""),"",ROUND(MOD(D1805-C1805,1)*24,2))</f>
        <v/>
      </c>
      <c r="F1805" s="28" t="n"/>
      <c r="G1805" s="28" t="n"/>
      <c r="H1805" s="1" t="n"/>
    </row>
    <row r="1806">
      <c r="A1806" s="1" t="n"/>
      <c r="B1806" s="26" t="n"/>
      <c r="C1806" s="27" t="n"/>
      <c r="D1806" s="27" t="n"/>
      <c r="E1806" s="21">
        <f>IF(OR(C1806="",D1806=""),"",ROUND(MOD(D1806-C1806,1)*24,2))</f>
        <v/>
      </c>
      <c r="F1806" s="28" t="n"/>
      <c r="G1806" s="28" t="n"/>
      <c r="H1806" s="1" t="n"/>
    </row>
    <row r="1807">
      <c r="A1807" s="1" t="n"/>
      <c r="B1807" s="26" t="n"/>
      <c r="C1807" s="27" t="n"/>
      <c r="D1807" s="27" t="n"/>
      <c r="E1807" s="21">
        <f>IF(OR(C1807="",D1807=""),"",ROUND(MOD(D1807-C1807,1)*24,2))</f>
        <v/>
      </c>
      <c r="F1807" s="28" t="n"/>
      <c r="G1807" s="28" t="n"/>
      <c r="H1807" s="1" t="n"/>
    </row>
    <row r="1808">
      <c r="A1808" s="1" t="n"/>
      <c r="B1808" s="26" t="n"/>
      <c r="C1808" s="27" t="n"/>
      <c r="D1808" s="27" t="n"/>
      <c r="E1808" s="21">
        <f>IF(OR(C1808="",D1808=""),"",ROUND(MOD(D1808-C1808,1)*24,2))</f>
        <v/>
      </c>
      <c r="F1808" s="28" t="n"/>
      <c r="G1808" s="28" t="n"/>
      <c r="H1808" s="1" t="n"/>
    </row>
    <row r="1809">
      <c r="A1809" s="1" t="n"/>
      <c r="B1809" s="26" t="n"/>
      <c r="C1809" s="27" t="n"/>
      <c r="D1809" s="27" t="n"/>
      <c r="E1809" s="21">
        <f>IF(OR(C1809="",D1809=""),"",ROUND(MOD(D1809-C1809,1)*24,2))</f>
        <v/>
      </c>
      <c r="F1809" s="28" t="n"/>
      <c r="G1809" s="28" t="n"/>
      <c r="H1809" s="1" t="n"/>
    </row>
    <row r="1810">
      <c r="A1810" s="1" t="n"/>
      <c r="B1810" s="26" t="n"/>
      <c r="C1810" s="27" t="n"/>
      <c r="D1810" s="27" t="n"/>
      <c r="E1810" s="21">
        <f>IF(OR(C1810="",D1810=""),"",ROUND(MOD(D1810-C1810,1)*24,2))</f>
        <v/>
      </c>
      <c r="F1810" s="28" t="n"/>
      <c r="G1810" s="28" t="n"/>
      <c r="H1810" s="1" t="n"/>
    </row>
    <row r="1811">
      <c r="A1811" s="1" t="n"/>
      <c r="B1811" s="26" t="n"/>
      <c r="C1811" s="27" t="n"/>
      <c r="D1811" s="27" t="n"/>
      <c r="E1811" s="21">
        <f>IF(OR(C1811="",D1811=""),"",ROUND(MOD(D1811-C1811,1)*24,2))</f>
        <v/>
      </c>
      <c r="F1811" s="28" t="n"/>
      <c r="G1811" s="28" t="n"/>
      <c r="H1811" s="1" t="n"/>
    </row>
    <row r="1812">
      <c r="A1812" s="1" t="n"/>
      <c r="B1812" s="26" t="n"/>
      <c r="C1812" s="27" t="n"/>
      <c r="D1812" s="27" t="n"/>
      <c r="E1812" s="21">
        <f>IF(OR(C1812="",D1812=""),"",ROUND(MOD(D1812-C1812,1)*24,2))</f>
        <v/>
      </c>
      <c r="F1812" s="28" t="n"/>
      <c r="G1812" s="28" t="n"/>
      <c r="H1812" s="1" t="n"/>
    </row>
    <row r="1813">
      <c r="A1813" s="1" t="n"/>
      <c r="B1813" s="26" t="n"/>
      <c r="C1813" s="27" t="n"/>
      <c r="D1813" s="27" t="n"/>
      <c r="E1813" s="21">
        <f>IF(OR(C1813="",D1813=""),"",ROUND(MOD(D1813-C1813,1)*24,2))</f>
        <v/>
      </c>
      <c r="F1813" s="28" t="n"/>
      <c r="G1813" s="28" t="n"/>
      <c r="H1813" s="1" t="n"/>
    </row>
    <row r="1814">
      <c r="A1814" s="1" t="n"/>
      <c r="B1814" s="26" t="n"/>
      <c r="C1814" s="27" t="n"/>
      <c r="D1814" s="27" t="n"/>
      <c r="E1814" s="21">
        <f>IF(OR(C1814="",D1814=""),"",ROUND(MOD(D1814-C1814,1)*24,2))</f>
        <v/>
      </c>
      <c r="F1814" s="28" t="n"/>
      <c r="G1814" s="28" t="n"/>
      <c r="H1814" s="1" t="n"/>
    </row>
    <row r="1815">
      <c r="A1815" s="1" t="n"/>
      <c r="B1815" s="26" t="n"/>
      <c r="C1815" s="27" t="n"/>
      <c r="D1815" s="27" t="n"/>
      <c r="E1815" s="21">
        <f>IF(OR(C1815="",D1815=""),"",ROUND(MOD(D1815-C1815,1)*24,2))</f>
        <v/>
      </c>
      <c r="F1815" s="28" t="n"/>
      <c r="G1815" s="28" t="n"/>
      <c r="H1815" s="1" t="n"/>
    </row>
    <row r="1816">
      <c r="A1816" s="1" t="n"/>
      <c r="B1816" s="26" t="n"/>
      <c r="C1816" s="27" t="n"/>
      <c r="D1816" s="27" t="n"/>
      <c r="E1816" s="21">
        <f>IF(OR(C1816="",D1816=""),"",ROUND(MOD(D1816-C1816,1)*24,2))</f>
        <v/>
      </c>
      <c r="F1816" s="28" t="n"/>
      <c r="G1816" s="28" t="n"/>
      <c r="H1816" s="1" t="n"/>
    </row>
    <row r="1817">
      <c r="A1817" s="1" t="n"/>
      <c r="B1817" s="26" t="n"/>
      <c r="C1817" s="27" t="n"/>
      <c r="D1817" s="27" t="n"/>
      <c r="E1817" s="21">
        <f>IF(OR(C1817="",D1817=""),"",ROUND(MOD(D1817-C1817,1)*24,2))</f>
        <v/>
      </c>
      <c r="F1817" s="28" t="n"/>
      <c r="G1817" s="28" t="n"/>
      <c r="H1817" s="1" t="n"/>
    </row>
    <row r="1818">
      <c r="A1818" s="1" t="n"/>
      <c r="B1818" s="26" t="n"/>
      <c r="C1818" s="27" t="n"/>
      <c r="D1818" s="27" t="n"/>
      <c r="E1818" s="21">
        <f>IF(OR(C1818="",D1818=""),"",ROUND(MOD(D1818-C1818,1)*24,2))</f>
        <v/>
      </c>
      <c r="F1818" s="28" t="n"/>
      <c r="G1818" s="28" t="n"/>
      <c r="H1818" s="1" t="n"/>
    </row>
    <row r="1819">
      <c r="A1819" s="1" t="n"/>
      <c r="B1819" s="26" t="n"/>
      <c r="C1819" s="27" t="n"/>
      <c r="D1819" s="27" t="n"/>
      <c r="E1819" s="21">
        <f>IF(OR(C1819="",D1819=""),"",ROUND(MOD(D1819-C1819,1)*24,2))</f>
        <v/>
      </c>
      <c r="F1819" s="28" t="n"/>
      <c r="G1819" s="28" t="n"/>
      <c r="H1819" s="1" t="n"/>
    </row>
    <row r="1820">
      <c r="A1820" s="1" t="n"/>
      <c r="B1820" s="26" t="n"/>
      <c r="C1820" s="27" t="n"/>
      <c r="D1820" s="27" t="n"/>
      <c r="E1820" s="21">
        <f>IF(OR(C1820="",D1820=""),"",ROUND(MOD(D1820-C1820,1)*24,2))</f>
        <v/>
      </c>
      <c r="F1820" s="28" t="n"/>
      <c r="G1820" s="28" t="n"/>
      <c r="H1820" s="1" t="n"/>
    </row>
    <row r="1821">
      <c r="A1821" s="1" t="n"/>
      <c r="B1821" s="26" t="n"/>
      <c r="C1821" s="27" t="n"/>
      <c r="D1821" s="27" t="n"/>
      <c r="E1821" s="21">
        <f>IF(OR(C1821="",D1821=""),"",ROUND(MOD(D1821-C1821,1)*24,2))</f>
        <v/>
      </c>
      <c r="F1821" s="28" t="n"/>
      <c r="G1821" s="28" t="n"/>
      <c r="H1821" s="1" t="n"/>
    </row>
    <row r="1822">
      <c r="A1822" s="1" t="n"/>
      <c r="B1822" s="26" t="n"/>
      <c r="C1822" s="27" t="n"/>
      <c r="D1822" s="27" t="n"/>
      <c r="E1822" s="21">
        <f>IF(OR(C1822="",D1822=""),"",ROUND(MOD(D1822-C1822,1)*24,2))</f>
        <v/>
      </c>
      <c r="F1822" s="28" t="n"/>
      <c r="G1822" s="28" t="n"/>
      <c r="H1822" s="1" t="n"/>
    </row>
    <row r="1823">
      <c r="A1823" s="1" t="n"/>
      <c r="B1823" s="26" t="n"/>
      <c r="C1823" s="27" t="n"/>
      <c r="D1823" s="27" t="n"/>
      <c r="E1823" s="21">
        <f>IF(OR(C1823="",D1823=""),"",ROUND(MOD(D1823-C1823,1)*24,2))</f>
        <v/>
      </c>
      <c r="F1823" s="28" t="n"/>
      <c r="G1823" s="28" t="n"/>
      <c r="H1823" s="1" t="n"/>
    </row>
    <row r="1824">
      <c r="A1824" s="1" t="n"/>
      <c r="B1824" s="26" t="n"/>
      <c r="C1824" s="27" t="n"/>
      <c r="D1824" s="27" t="n"/>
      <c r="E1824" s="21">
        <f>IF(OR(C1824="",D1824=""),"",ROUND(MOD(D1824-C1824,1)*24,2))</f>
        <v/>
      </c>
      <c r="F1824" s="28" t="n"/>
      <c r="G1824" s="28" t="n"/>
      <c r="H1824" s="1" t="n"/>
    </row>
    <row r="1825">
      <c r="A1825" s="1" t="n"/>
      <c r="B1825" s="26" t="n"/>
      <c r="C1825" s="27" t="n"/>
      <c r="D1825" s="27" t="n"/>
      <c r="E1825" s="21">
        <f>IF(OR(C1825="",D1825=""),"",ROUND(MOD(D1825-C1825,1)*24,2))</f>
        <v/>
      </c>
      <c r="F1825" s="28" t="n"/>
      <c r="G1825" s="28" t="n"/>
      <c r="H1825" s="1" t="n"/>
    </row>
    <row r="1826">
      <c r="A1826" s="1" t="n"/>
      <c r="B1826" s="26" t="n"/>
      <c r="C1826" s="27" t="n"/>
      <c r="D1826" s="27" t="n"/>
      <c r="E1826" s="21">
        <f>IF(OR(C1826="",D1826=""),"",ROUND(MOD(D1826-C1826,1)*24,2))</f>
        <v/>
      </c>
      <c r="F1826" s="28" t="n"/>
      <c r="G1826" s="28" t="n"/>
      <c r="H1826" s="1" t="n"/>
    </row>
    <row r="1827">
      <c r="A1827" s="1" t="n"/>
      <c r="B1827" s="26" t="n"/>
      <c r="C1827" s="27" t="n"/>
      <c r="D1827" s="27" t="n"/>
      <c r="E1827" s="21">
        <f>IF(OR(C1827="",D1827=""),"",ROUND(MOD(D1827-C1827,1)*24,2))</f>
        <v/>
      </c>
      <c r="F1827" s="28" t="n"/>
      <c r="G1827" s="28" t="n"/>
      <c r="H1827" s="1" t="n"/>
    </row>
    <row r="1828">
      <c r="A1828" s="1" t="n"/>
      <c r="B1828" s="26" t="n"/>
      <c r="C1828" s="27" t="n"/>
      <c r="D1828" s="27" t="n"/>
      <c r="E1828" s="21">
        <f>IF(OR(C1828="",D1828=""),"",ROUND(MOD(D1828-C1828,1)*24,2))</f>
        <v/>
      </c>
      <c r="F1828" s="28" t="n"/>
      <c r="G1828" s="28" t="n"/>
      <c r="H1828" s="1" t="n"/>
    </row>
    <row r="1829">
      <c r="A1829" s="1" t="n"/>
      <c r="B1829" s="26" t="n"/>
      <c r="C1829" s="27" t="n"/>
      <c r="D1829" s="27" t="n"/>
      <c r="E1829" s="21">
        <f>IF(OR(C1829="",D1829=""),"",ROUND(MOD(D1829-C1829,1)*24,2))</f>
        <v/>
      </c>
      <c r="F1829" s="28" t="n"/>
      <c r="G1829" s="28" t="n"/>
      <c r="H1829" s="1" t="n"/>
    </row>
    <row r="1830">
      <c r="A1830" s="1" t="n"/>
      <c r="B1830" s="26" t="n"/>
      <c r="C1830" s="27" t="n"/>
      <c r="D1830" s="27" t="n"/>
      <c r="E1830" s="21">
        <f>IF(OR(C1830="",D1830=""),"",ROUND(MOD(D1830-C1830,1)*24,2))</f>
        <v/>
      </c>
      <c r="F1830" s="28" t="n"/>
      <c r="G1830" s="28" t="n"/>
      <c r="H1830" s="1" t="n"/>
    </row>
    <row r="1831">
      <c r="A1831" s="1" t="n"/>
      <c r="B1831" s="26" t="n"/>
      <c r="C1831" s="27" t="n"/>
      <c r="D1831" s="27" t="n"/>
      <c r="E1831" s="21">
        <f>IF(OR(C1831="",D1831=""),"",ROUND(MOD(D1831-C1831,1)*24,2))</f>
        <v/>
      </c>
      <c r="F1831" s="28" t="n"/>
      <c r="G1831" s="28" t="n"/>
      <c r="H1831" s="1" t="n"/>
    </row>
    <row r="1832">
      <c r="A1832" s="1" t="n"/>
      <c r="B1832" s="26" t="n"/>
      <c r="C1832" s="27" t="n"/>
      <c r="D1832" s="27" t="n"/>
      <c r="E1832" s="21">
        <f>IF(OR(C1832="",D1832=""),"",ROUND(MOD(D1832-C1832,1)*24,2))</f>
        <v/>
      </c>
      <c r="F1832" s="28" t="n"/>
      <c r="G1832" s="28" t="n"/>
      <c r="H1832" s="1" t="n"/>
    </row>
    <row r="1833">
      <c r="A1833" s="1" t="n"/>
      <c r="B1833" s="26" t="n"/>
      <c r="C1833" s="27" t="n"/>
      <c r="D1833" s="27" t="n"/>
      <c r="E1833" s="21">
        <f>IF(OR(C1833="",D1833=""),"",ROUND(MOD(D1833-C1833,1)*24,2))</f>
        <v/>
      </c>
      <c r="F1833" s="28" t="n"/>
      <c r="G1833" s="28" t="n"/>
      <c r="H1833" s="1" t="n"/>
    </row>
    <row r="1834">
      <c r="A1834" s="1" t="n"/>
      <c r="B1834" s="26" t="n"/>
      <c r="C1834" s="27" t="n"/>
      <c r="D1834" s="27" t="n"/>
      <c r="E1834" s="21">
        <f>IF(OR(C1834="",D1834=""),"",ROUND(MOD(D1834-C1834,1)*24,2))</f>
        <v/>
      </c>
      <c r="F1834" s="28" t="n"/>
      <c r="G1834" s="28" t="n"/>
      <c r="H1834" s="1" t="n"/>
    </row>
    <row r="1835">
      <c r="A1835" s="1" t="n"/>
      <c r="B1835" s="26" t="n"/>
      <c r="C1835" s="27" t="n"/>
      <c r="D1835" s="27" t="n"/>
      <c r="E1835" s="21">
        <f>IF(OR(C1835="",D1835=""),"",ROUND(MOD(D1835-C1835,1)*24,2))</f>
        <v/>
      </c>
      <c r="F1835" s="28" t="n"/>
      <c r="G1835" s="28" t="n"/>
      <c r="H1835" s="1" t="n"/>
    </row>
    <row r="1836">
      <c r="A1836" s="1" t="n"/>
      <c r="B1836" s="26" t="n"/>
      <c r="C1836" s="27" t="n"/>
      <c r="D1836" s="27" t="n"/>
      <c r="E1836" s="21">
        <f>IF(OR(C1836="",D1836=""),"",ROUND(MOD(D1836-C1836,1)*24,2))</f>
        <v/>
      </c>
      <c r="F1836" s="28" t="n"/>
      <c r="G1836" s="28" t="n"/>
      <c r="H1836" s="1" t="n"/>
    </row>
    <row r="1837">
      <c r="A1837" s="1" t="n"/>
      <c r="B1837" s="26" t="n"/>
      <c r="C1837" s="27" t="n"/>
      <c r="D1837" s="27" t="n"/>
      <c r="E1837" s="21">
        <f>IF(OR(C1837="",D1837=""),"",ROUND(MOD(D1837-C1837,1)*24,2))</f>
        <v/>
      </c>
      <c r="F1837" s="28" t="n"/>
      <c r="G1837" s="28" t="n"/>
      <c r="H1837" s="1" t="n"/>
    </row>
    <row r="1838">
      <c r="A1838" s="1" t="n"/>
      <c r="B1838" s="26" t="n"/>
      <c r="C1838" s="27" t="n"/>
      <c r="D1838" s="27" t="n"/>
      <c r="E1838" s="21">
        <f>IF(OR(C1838="",D1838=""),"",ROUND(MOD(D1838-C1838,1)*24,2))</f>
        <v/>
      </c>
      <c r="F1838" s="28" t="n"/>
      <c r="G1838" s="28" t="n"/>
      <c r="H1838" s="1" t="n"/>
    </row>
    <row r="1839">
      <c r="A1839" s="1" t="n"/>
      <c r="B1839" s="26" t="n"/>
      <c r="C1839" s="27" t="n"/>
      <c r="D1839" s="27" t="n"/>
      <c r="E1839" s="21">
        <f>IF(OR(C1839="",D1839=""),"",ROUND(MOD(D1839-C1839,1)*24,2))</f>
        <v/>
      </c>
      <c r="F1839" s="28" t="n"/>
      <c r="G1839" s="28" t="n"/>
      <c r="H1839" s="1" t="n"/>
    </row>
    <row r="1840">
      <c r="A1840" s="1" t="n"/>
      <c r="B1840" s="26" t="n"/>
      <c r="C1840" s="27" t="n"/>
      <c r="D1840" s="27" t="n"/>
      <c r="E1840" s="21">
        <f>IF(OR(C1840="",D1840=""),"",ROUND(MOD(D1840-C1840,1)*24,2))</f>
        <v/>
      </c>
      <c r="F1840" s="28" t="n"/>
      <c r="G1840" s="28" t="n"/>
      <c r="H1840" s="1" t="n"/>
    </row>
    <row r="1841">
      <c r="A1841" s="1" t="n"/>
      <c r="B1841" s="26" t="n"/>
      <c r="C1841" s="27" t="n"/>
      <c r="D1841" s="27" t="n"/>
      <c r="E1841" s="21">
        <f>IF(OR(C1841="",D1841=""),"",ROUND(MOD(D1841-C1841,1)*24,2))</f>
        <v/>
      </c>
      <c r="F1841" s="28" t="n"/>
      <c r="G1841" s="28" t="n"/>
      <c r="H1841" s="1" t="n"/>
    </row>
    <row r="1842">
      <c r="A1842" s="1" t="n"/>
      <c r="B1842" s="26" t="n"/>
      <c r="C1842" s="27" t="n"/>
      <c r="D1842" s="27" t="n"/>
      <c r="E1842" s="21">
        <f>IF(OR(C1842="",D1842=""),"",ROUND(MOD(D1842-C1842,1)*24,2))</f>
        <v/>
      </c>
      <c r="F1842" s="28" t="n"/>
      <c r="G1842" s="28" t="n"/>
      <c r="H1842" s="1" t="n"/>
    </row>
    <row r="1843">
      <c r="A1843" s="1" t="n"/>
      <c r="B1843" s="26" t="n"/>
      <c r="C1843" s="27" t="n"/>
      <c r="D1843" s="27" t="n"/>
      <c r="E1843" s="21">
        <f>IF(OR(C1843="",D1843=""),"",ROUND(MOD(D1843-C1843,1)*24,2))</f>
        <v/>
      </c>
      <c r="F1843" s="28" t="n"/>
      <c r="G1843" s="28" t="n"/>
      <c r="H1843" s="1" t="n"/>
    </row>
    <row r="1844">
      <c r="A1844" s="1" t="n"/>
      <c r="B1844" s="26" t="n"/>
      <c r="C1844" s="27" t="n"/>
      <c r="D1844" s="27" t="n"/>
      <c r="E1844" s="21">
        <f>IF(OR(C1844="",D1844=""),"",ROUND(MOD(D1844-C1844,1)*24,2))</f>
        <v/>
      </c>
      <c r="F1844" s="28" t="n"/>
      <c r="G1844" s="28" t="n"/>
      <c r="H1844" s="1" t="n"/>
    </row>
    <row r="1845">
      <c r="A1845" s="1" t="n"/>
      <c r="B1845" s="26" t="n"/>
      <c r="C1845" s="27" t="n"/>
      <c r="D1845" s="27" t="n"/>
      <c r="E1845" s="21">
        <f>IF(OR(C1845="",D1845=""),"",ROUND(MOD(D1845-C1845,1)*24,2))</f>
        <v/>
      </c>
      <c r="F1845" s="28" t="n"/>
      <c r="G1845" s="28" t="n"/>
      <c r="H1845" s="1" t="n"/>
    </row>
    <row r="1846">
      <c r="A1846" s="1" t="n"/>
      <c r="B1846" s="26" t="n"/>
      <c r="C1846" s="27" t="n"/>
      <c r="D1846" s="27" t="n"/>
      <c r="E1846" s="21">
        <f>IF(OR(C1846="",D1846=""),"",ROUND(MOD(D1846-C1846,1)*24,2))</f>
        <v/>
      </c>
      <c r="F1846" s="28" t="n"/>
      <c r="G1846" s="28" t="n"/>
      <c r="H1846" s="1" t="n"/>
    </row>
    <row r="1847">
      <c r="A1847" s="1" t="n"/>
      <c r="B1847" s="26" t="n"/>
      <c r="C1847" s="27" t="n"/>
      <c r="D1847" s="27" t="n"/>
      <c r="E1847" s="21">
        <f>IF(OR(C1847="",D1847=""),"",ROUND(MOD(D1847-C1847,1)*24,2))</f>
        <v/>
      </c>
      <c r="F1847" s="28" t="n"/>
      <c r="G1847" s="28" t="n"/>
      <c r="H1847" s="1" t="n"/>
    </row>
    <row r="1848">
      <c r="A1848" s="1" t="n"/>
      <c r="B1848" s="26" t="n"/>
      <c r="C1848" s="27" t="n"/>
      <c r="D1848" s="27" t="n"/>
      <c r="E1848" s="21">
        <f>IF(OR(C1848="",D1848=""),"",ROUND(MOD(D1848-C1848,1)*24,2))</f>
        <v/>
      </c>
      <c r="F1848" s="28" t="n"/>
      <c r="G1848" s="28" t="n"/>
      <c r="H1848" s="1" t="n"/>
    </row>
    <row r="1849">
      <c r="A1849" s="1" t="n"/>
      <c r="B1849" s="26" t="n"/>
      <c r="C1849" s="27" t="n"/>
      <c r="D1849" s="27" t="n"/>
      <c r="E1849" s="21">
        <f>IF(OR(C1849="",D1849=""),"",ROUND(MOD(D1849-C1849,1)*24,2))</f>
        <v/>
      </c>
      <c r="F1849" s="28" t="n"/>
      <c r="G1849" s="28" t="n"/>
      <c r="H1849" s="1" t="n"/>
    </row>
    <row r="1850">
      <c r="A1850" s="1" t="n"/>
      <c r="B1850" s="26" t="n"/>
      <c r="C1850" s="27" t="n"/>
      <c r="D1850" s="27" t="n"/>
      <c r="E1850" s="21">
        <f>IF(OR(C1850="",D1850=""),"",ROUND(MOD(D1850-C1850,1)*24,2))</f>
        <v/>
      </c>
      <c r="F1850" s="28" t="n"/>
      <c r="G1850" s="28" t="n"/>
      <c r="H1850" s="1" t="n"/>
    </row>
    <row r="1851">
      <c r="A1851" s="1" t="n"/>
      <c r="B1851" s="26" t="n"/>
      <c r="C1851" s="27" t="n"/>
      <c r="D1851" s="27" t="n"/>
      <c r="E1851" s="21">
        <f>IF(OR(C1851="",D1851=""),"",ROUND(MOD(D1851-C1851,1)*24,2))</f>
        <v/>
      </c>
      <c r="F1851" s="28" t="n"/>
      <c r="G1851" s="28" t="n"/>
      <c r="H1851" s="1" t="n"/>
    </row>
    <row r="1852">
      <c r="A1852" s="1" t="n"/>
      <c r="B1852" s="26" t="n"/>
      <c r="C1852" s="27" t="n"/>
      <c r="D1852" s="27" t="n"/>
      <c r="E1852" s="21">
        <f>IF(OR(C1852="",D1852=""),"",ROUND(MOD(D1852-C1852,1)*24,2))</f>
        <v/>
      </c>
      <c r="F1852" s="28" t="n"/>
      <c r="G1852" s="28" t="n"/>
      <c r="H1852" s="1" t="n"/>
    </row>
    <row r="1853">
      <c r="A1853" s="1" t="n"/>
      <c r="B1853" s="26" t="n"/>
      <c r="C1853" s="27" t="n"/>
      <c r="D1853" s="27" t="n"/>
      <c r="E1853" s="21">
        <f>IF(OR(C1853="",D1853=""),"",ROUND(MOD(D1853-C1853,1)*24,2))</f>
        <v/>
      </c>
      <c r="F1853" s="28" t="n"/>
      <c r="G1853" s="28" t="n"/>
      <c r="H1853" s="1" t="n"/>
    </row>
    <row r="1854">
      <c r="A1854" s="1" t="n"/>
      <c r="B1854" s="26" t="n"/>
      <c r="C1854" s="27" t="n"/>
      <c r="D1854" s="27" t="n"/>
      <c r="E1854" s="21">
        <f>IF(OR(C1854="",D1854=""),"",ROUND(MOD(D1854-C1854,1)*24,2))</f>
        <v/>
      </c>
      <c r="F1854" s="28" t="n"/>
      <c r="G1854" s="28" t="n"/>
      <c r="H1854" s="1" t="n"/>
    </row>
    <row r="1855">
      <c r="A1855" s="1" t="n"/>
      <c r="B1855" s="26" t="n"/>
      <c r="C1855" s="27" t="n"/>
      <c r="D1855" s="27" t="n"/>
      <c r="E1855" s="21">
        <f>IF(OR(C1855="",D1855=""),"",ROUND(MOD(D1855-C1855,1)*24,2))</f>
        <v/>
      </c>
      <c r="F1855" s="28" t="n"/>
      <c r="G1855" s="28" t="n"/>
      <c r="H1855" s="1" t="n"/>
    </row>
    <row r="1856">
      <c r="A1856" s="1" t="n"/>
      <c r="B1856" s="26" t="n"/>
      <c r="C1856" s="27" t="n"/>
      <c r="D1856" s="27" t="n"/>
      <c r="E1856" s="21">
        <f>IF(OR(C1856="",D1856=""),"",ROUND(MOD(D1856-C1856,1)*24,2))</f>
        <v/>
      </c>
      <c r="F1856" s="28" t="n"/>
      <c r="G1856" s="28" t="n"/>
      <c r="H1856" s="1" t="n"/>
    </row>
    <row r="1857">
      <c r="A1857" s="1" t="n"/>
      <c r="B1857" s="26" t="n"/>
      <c r="C1857" s="27" t="n"/>
      <c r="D1857" s="27" t="n"/>
      <c r="E1857" s="21">
        <f>IF(OR(C1857="",D1857=""),"",ROUND(MOD(D1857-C1857,1)*24,2))</f>
        <v/>
      </c>
      <c r="F1857" s="28" t="n"/>
      <c r="G1857" s="28" t="n"/>
      <c r="H1857" s="1" t="n"/>
    </row>
    <row r="1858">
      <c r="A1858" s="1" t="n"/>
      <c r="B1858" s="26" t="n"/>
      <c r="C1858" s="27" t="n"/>
      <c r="D1858" s="27" t="n"/>
      <c r="E1858" s="21">
        <f>IF(OR(C1858="",D1858=""),"",ROUND(MOD(D1858-C1858,1)*24,2))</f>
        <v/>
      </c>
      <c r="F1858" s="28" t="n"/>
      <c r="G1858" s="28" t="n"/>
      <c r="H1858" s="1" t="n"/>
    </row>
    <row r="1859">
      <c r="A1859" s="1" t="n"/>
      <c r="B1859" s="26" t="n"/>
      <c r="C1859" s="27" t="n"/>
      <c r="D1859" s="27" t="n"/>
      <c r="E1859" s="21">
        <f>IF(OR(C1859="",D1859=""),"",ROUND(MOD(D1859-C1859,1)*24,2))</f>
        <v/>
      </c>
      <c r="F1859" s="28" t="n"/>
      <c r="G1859" s="28" t="n"/>
      <c r="H1859" s="1" t="n"/>
    </row>
    <row r="1860">
      <c r="A1860" s="1" t="n"/>
      <c r="B1860" s="26" t="n"/>
      <c r="C1860" s="27" t="n"/>
      <c r="D1860" s="27" t="n"/>
      <c r="E1860" s="21">
        <f>IF(OR(C1860="",D1860=""),"",ROUND(MOD(D1860-C1860,1)*24,2))</f>
        <v/>
      </c>
      <c r="F1860" s="28" t="n"/>
      <c r="G1860" s="28" t="n"/>
      <c r="H1860" s="1" t="n"/>
    </row>
    <row r="1861">
      <c r="A1861" s="1" t="n"/>
      <c r="B1861" s="26" t="n"/>
      <c r="C1861" s="27" t="n"/>
      <c r="D1861" s="27" t="n"/>
      <c r="E1861" s="21">
        <f>IF(OR(C1861="",D1861=""),"",ROUND(MOD(D1861-C1861,1)*24,2))</f>
        <v/>
      </c>
      <c r="F1861" s="28" t="n"/>
      <c r="G1861" s="28" t="n"/>
      <c r="H1861" s="1" t="n"/>
    </row>
    <row r="1862">
      <c r="A1862" s="1" t="n"/>
      <c r="B1862" s="26" t="n"/>
      <c r="C1862" s="27" t="n"/>
      <c r="D1862" s="27" t="n"/>
      <c r="E1862" s="21">
        <f>IF(OR(C1862="",D1862=""),"",ROUND(MOD(D1862-C1862,1)*24,2))</f>
        <v/>
      </c>
      <c r="F1862" s="28" t="n"/>
      <c r="G1862" s="28" t="n"/>
      <c r="H1862" s="1" t="n"/>
    </row>
    <row r="1863">
      <c r="A1863" s="1" t="n"/>
      <c r="B1863" s="26" t="n"/>
      <c r="C1863" s="27" t="n"/>
      <c r="D1863" s="27" t="n"/>
      <c r="E1863" s="21">
        <f>IF(OR(C1863="",D1863=""),"",ROUND(MOD(D1863-C1863,1)*24,2))</f>
        <v/>
      </c>
      <c r="F1863" s="28" t="n"/>
      <c r="G1863" s="28" t="n"/>
      <c r="H1863" s="1" t="n"/>
    </row>
    <row r="1864">
      <c r="A1864" s="1" t="n"/>
      <c r="B1864" s="26" t="n"/>
      <c r="C1864" s="27" t="n"/>
      <c r="D1864" s="27" t="n"/>
      <c r="E1864" s="21">
        <f>IF(OR(C1864="",D1864=""),"",ROUND(MOD(D1864-C1864,1)*24,2))</f>
        <v/>
      </c>
      <c r="F1864" s="28" t="n"/>
      <c r="G1864" s="28" t="n"/>
      <c r="H1864" s="1" t="n"/>
    </row>
    <row r="1865">
      <c r="A1865" s="1" t="n"/>
      <c r="B1865" s="26" t="n"/>
      <c r="C1865" s="27" t="n"/>
      <c r="D1865" s="27" t="n"/>
      <c r="E1865" s="21">
        <f>IF(OR(C1865="",D1865=""),"",ROUND(MOD(D1865-C1865,1)*24,2))</f>
        <v/>
      </c>
      <c r="F1865" s="28" t="n"/>
      <c r="G1865" s="28" t="n"/>
      <c r="H1865" s="1" t="n"/>
    </row>
    <row r="1866">
      <c r="A1866" s="1" t="n"/>
      <c r="B1866" s="26" t="n"/>
      <c r="C1866" s="27" t="n"/>
      <c r="D1866" s="27" t="n"/>
      <c r="E1866" s="21">
        <f>IF(OR(C1866="",D1866=""),"",ROUND(MOD(D1866-C1866,1)*24,2))</f>
        <v/>
      </c>
      <c r="F1866" s="28" t="n"/>
      <c r="G1866" s="28" t="n"/>
      <c r="H1866" s="1" t="n"/>
    </row>
    <row r="1867">
      <c r="A1867" s="1" t="n"/>
      <c r="B1867" s="26" t="n"/>
      <c r="C1867" s="27" t="n"/>
      <c r="D1867" s="27" t="n"/>
      <c r="E1867" s="21">
        <f>IF(OR(C1867="",D1867=""),"",ROUND(MOD(D1867-C1867,1)*24,2))</f>
        <v/>
      </c>
      <c r="F1867" s="28" t="n"/>
      <c r="G1867" s="28" t="n"/>
      <c r="H1867" s="1" t="n"/>
    </row>
    <row r="1868">
      <c r="A1868" s="1" t="n"/>
      <c r="B1868" s="26" t="n"/>
      <c r="C1868" s="27" t="n"/>
      <c r="D1868" s="27" t="n"/>
      <c r="E1868" s="21">
        <f>IF(OR(C1868="",D1868=""),"",ROUND(MOD(D1868-C1868,1)*24,2))</f>
        <v/>
      </c>
      <c r="F1868" s="28" t="n"/>
      <c r="G1868" s="28" t="n"/>
      <c r="H1868" s="1" t="n"/>
    </row>
    <row r="1869">
      <c r="A1869" s="1" t="n"/>
      <c r="B1869" s="26" t="n"/>
      <c r="C1869" s="27" t="n"/>
      <c r="D1869" s="27" t="n"/>
      <c r="E1869" s="21">
        <f>IF(OR(C1869="",D1869=""),"",ROUND(MOD(D1869-C1869,1)*24,2))</f>
        <v/>
      </c>
      <c r="F1869" s="28" t="n"/>
      <c r="G1869" s="28" t="n"/>
      <c r="H1869" s="1" t="n"/>
    </row>
    <row r="1870">
      <c r="A1870" s="1" t="n"/>
      <c r="B1870" s="26" t="n"/>
      <c r="C1870" s="27" t="n"/>
      <c r="D1870" s="27" t="n"/>
      <c r="E1870" s="21">
        <f>IF(OR(C1870="",D1870=""),"",ROUND(MOD(D1870-C1870,1)*24,2))</f>
        <v/>
      </c>
      <c r="F1870" s="28" t="n"/>
      <c r="G1870" s="28" t="n"/>
      <c r="H1870" s="1" t="n"/>
    </row>
    <row r="1871">
      <c r="A1871" s="1" t="n"/>
      <c r="B1871" s="26" t="n"/>
      <c r="C1871" s="27" t="n"/>
      <c r="D1871" s="27" t="n"/>
      <c r="E1871" s="21">
        <f>IF(OR(C1871="",D1871=""),"",ROUND(MOD(D1871-C1871,1)*24,2))</f>
        <v/>
      </c>
      <c r="F1871" s="28" t="n"/>
      <c r="G1871" s="28" t="n"/>
      <c r="H1871" s="1" t="n"/>
    </row>
    <row r="1872">
      <c r="A1872" s="1" t="n"/>
      <c r="B1872" s="26" t="n"/>
      <c r="C1872" s="27" t="n"/>
      <c r="D1872" s="27" t="n"/>
      <c r="E1872" s="21">
        <f>IF(OR(C1872="",D1872=""),"",ROUND(MOD(D1872-C1872,1)*24,2))</f>
        <v/>
      </c>
      <c r="F1872" s="28" t="n"/>
      <c r="G1872" s="28" t="n"/>
      <c r="H1872" s="1" t="n"/>
    </row>
    <row r="1873">
      <c r="A1873" s="1" t="n"/>
      <c r="B1873" s="26" t="n"/>
      <c r="C1873" s="27" t="n"/>
      <c r="D1873" s="27" t="n"/>
      <c r="E1873" s="21">
        <f>IF(OR(C1873="",D1873=""),"",ROUND(MOD(D1873-C1873,1)*24,2))</f>
        <v/>
      </c>
      <c r="F1873" s="28" t="n"/>
      <c r="G1873" s="28" t="n"/>
      <c r="H1873" s="1" t="n"/>
    </row>
    <row r="1874">
      <c r="A1874" s="1" t="n"/>
      <c r="B1874" s="26" t="n"/>
      <c r="C1874" s="27" t="n"/>
      <c r="D1874" s="27" t="n"/>
      <c r="E1874" s="21">
        <f>IF(OR(C1874="",D1874=""),"",ROUND(MOD(D1874-C1874,1)*24,2))</f>
        <v/>
      </c>
      <c r="F1874" s="28" t="n"/>
      <c r="G1874" s="28" t="n"/>
      <c r="H1874" s="1" t="n"/>
    </row>
    <row r="1875">
      <c r="A1875" s="1" t="n"/>
      <c r="B1875" s="26" t="n"/>
      <c r="C1875" s="27" t="n"/>
      <c r="D1875" s="27" t="n"/>
      <c r="E1875" s="21">
        <f>IF(OR(C1875="",D1875=""),"",ROUND(MOD(D1875-C1875,1)*24,2))</f>
        <v/>
      </c>
      <c r="F1875" s="28" t="n"/>
      <c r="G1875" s="28" t="n"/>
      <c r="H1875" s="1" t="n"/>
    </row>
    <row r="1876">
      <c r="A1876" s="1" t="n"/>
      <c r="B1876" s="26" t="n"/>
      <c r="C1876" s="27" t="n"/>
      <c r="D1876" s="27" t="n"/>
      <c r="E1876" s="21">
        <f>IF(OR(C1876="",D1876=""),"",ROUND(MOD(D1876-C1876,1)*24,2))</f>
        <v/>
      </c>
      <c r="F1876" s="28" t="n"/>
      <c r="G1876" s="28" t="n"/>
      <c r="H1876" s="1" t="n"/>
    </row>
    <row r="1877">
      <c r="A1877" s="1" t="n"/>
      <c r="B1877" s="26" t="n"/>
      <c r="C1877" s="27" t="n"/>
      <c r="D1877" s="27" t="n"/>
      <c r="E1877" s="21">
        <f>IF(OR(C1877="",D1877=""),"",ROUND(MOD(D1877-C1877,1)*24,2))</f>
        <v/>
      </c>
      <c r="F1877" s="28" t="n"/>
      <c r="G1877" s="28" t="n"/>
      <c r="H1877" s="1" t="n"/>
    </row>
    <row r="1878">
      <c r="A1878" s="1" t="n"/>
      <c r="B1878" s="26" t="n"/>
      <c r="C1878" s="27" t="n"/>
      <c r="D1878" s="27" t="n"/>
      <c r="E1878" s="21">
        <f>IF(OR(C1878="",D1878=""),"",ROUND(MOD(D1878-C1878,1)*24,2))</f>
        <v/>
      </c>
      <c r="F1878" s="28" t="n"/>
      <c r="G1878" s="28" t="n"/>
      <c r="H1878" s="1" t="n"/>
    </row>
    <row r="1879">
      <c r="A1879" s="1" t="n"/>
      <c r="B1879" s="26" t="n"/>
      <c r="C1879" s="27" t="n"/>
      <c r="D1879" s="27" t="n"/>
      <c r="E1879" s="21">
        <f>IF(OR(C1879="",D1879=""),"",ROUND(MOD(D1879-C1879,1)*24,2))</f>
        <v/>
      </c>
      <c r="F1879" s="28" t="n"/>
      <c r="G1879" s="28" t="n"/>
      <c r="H1879" s="1" t="n"/>
    </row>
    <row r="1880">
      <c r="A1880" s="1" t="n"/>
      <c r="B1880" s="26" t="n"/>
      <c r="C1880" s="27" t="n"/>
      <c r="D1880" s="27" t="n"/>
      <c r="E1880" s="21">
        <f>IF(OR(C1880="",D1880=""),"",ROUND(MOD(D1880-C1880,1)*24,2))</f>
        <v/>
      </c>
      <c r="F1880" s="28" t="n"/>
      <c r="G1880" s="28" t="n"/>
      <c r="H1880" s="1" t="n"/>
    </row>
    <row r="1881">
      <c r="A1881" s="1" t="n"/>
      <c r="B1881" s="26" t="n"/>
      <c r="C1881" s="27" t="n"/>
      <c r="D1881" s="27" t="n"/>
      <c r="E1881" s="21">
        <f>IF(OR(C1881="",D1881=""),"",ROUND(MOD(D1881-C1881,1)*24,2))</f>
        <v/>
      </c>
      <c r="F1881" s="28" t="n"/>
      <c r="G1881" s="28" t="n"/>
      <c r="H1881" s="1" t="n"/>
    </row>
    <row r="1882">
      <c r="A1882" s="1" t="n"/>
      <c r="B1882" s="26" t="n"/>
      <c r="C1882" s="27" t="n"/>
      <c r="D1882" s="27" t="n"/>
      <c r="E1882" s="21">
        <f>IF(OR(C1882="",D1882=""),"",ROUND(MOD(D1882-C1882,1)*24,2))</f>
        <v/>
      </c>
      <c r="F1882" s="28" t="n"/>
      <c r="G1882" s="28" t="n"/>
      <c r="H1882" s="1" t="n"/>
    </row>
    <row r="1883">
      <c r="A1883" s="1" t="n"/>
      <c r="B1883" s="26" t="n"/>
      <c r="C1883" s="27" t="n"/>
      <c r="D1883" s="27" t="n"/>
      <c r="E1883" s="21">
        <f>IF(OR(C1883="",D1883=""),"",ROUND(MOD(D1883-C1883,1)*24,2))</f>
        <v/>
      </c>
      <c r="F1883" s="28" t="n"/>
      <c r="G1883" s="28" t="n"/>
      <c r="H1883" s="1" t="n"/>
    </row>
    <row r="1884">
      <c r="A1884" s="1" t="n"/>
      <c r="B1884" s="26" t="n"/>
      <c r="C1884" s="27" t="n"/>
      <c r="D1884" s="27" t="n"/>
      <c r="E1884" s="21">
        <f>IF(OR(C1884="",D1884=""),"",ROUND(MOD(D1884-C1884,1)*24,2))</f>
        <v/>
      </c>
      <c r="F1884" s="28" t="n"/>
      <c r="G1884" s="28" t="n"/>
      <c r="H1884" s="1" t="n"/>
    </row>
    <row r="1885">
      <c r="A1885" s="1" t="n"/>
      <c r="B1885" s="26" t="n"/>
      <c r="C1885" s="27" t="n"/>
      <c r="D1885" s="27" t="n"/>
      <c r="E1885" s="21">
        <f>IF(OR(C1885="",D1885=""),"",ROUND(MOD(D1885-C1885,1)*24,2))</f>
        <v/>
      </c>
      <c r="F1885" s="28" t="n"/>
      <c r="G1885" s="28" t="n"/>
      <c r="H1885" s="1" t="n"/>
    </row>
    <row r="1886">
      <c r="A1886" s="1" t="n"/>
      <c r="B1886" s="26" t="n"/>
      <c r="C1886" s="27" t="n"/>
      <c r="D1886" s="27" t="n"/>
      <c r="E1886" s="21">
        <f>IF(OR(C1886="",D1886=""),"",ROUND(MOD(D1886-C1886,1)*24,2))</f>
        <v/>
      </c>
      <c r="F1886" s="28" t="n"/>
      <c r="G1886" s="28" t="n"/>
      <c r="H1886" s="1" t="n"/>
    </row>
    <row r="1887">
      <c r="A1887" s="1" t="n"/>
      <c r="B1887" s="26" t="n"/>
      <c r="C1887" s="27" t="n"/>
      <c r="D1887" s="27" t="n"/>
      <c r="E1887" s="21">
        <f>IF(OR(C1887="",D1887=""),"",ROUND(MOD(D1887-C1887,1)*24,2))</f>
        <v/>
      </c>
      <c r="F1887" s="28" t="n"/>
      <c r="G1887" s="28" t="n"/>
      <c r="H1887" s="1" t="n"/>
    </row>
    <row r="1888">
      <c r="A1888" s="1" t="n"/>
      <c r="B1888" s="26" t="n"/>
      <c r="C1888" s="27" t="n"/>
      <c r="D1888" s="27" t="n"/>
      <c r="E1888" s="21">
        <f>IF(OR(C1888="",D1888=""),"",ROUND(MOD(D1888-C1888,1)*24,2))</f>
        <v/>
      </c>
      <c r="F1888" s="28" t="n"/>
      <c r="G1888" s="28" t="n"/>
      <c r="H1888" s="1" t="n"/>
    </row>
    <row r="1889">
      <c r="A1889" s="1" t="n"/>
      <c r="B1889" s="26" t="n"/>
      <c r="C1889" s="27" t="n"/>
      <c r="D1889" s="27" t="n"/>
      <c r="E1889" s="21">
        <f>IF(OR(C1889="",D1889=""),"",ROUND(MOD(D1889-C1889,1)*24,2))</f>
        <v/>
      </c>
      <c r="F1889" s="28" t="n"/>
      <c r="G1889" s="28" t="n"/>
      <c r="H1889" s="1" t="n"/>
    </row>
    <row r="1890">
      <c r="A1890" s="1" t="n"/>
      <c r="B1890" s="26" t="n"/>
      <c r="C1890" s="27" t="n"/>
      <c r="D1890" s="27" t="n"/>
      <c r="E1890" s="21">
        <f>IF(OR(C1890="",D1890=""),"",ROUND(MOD(D1890-C1890,1)*24,2))</f>
        <v/>
      </c>
      <c r="F1890" s="28" t="n"/>
      <c r="G1890" s="28" t="n"/>
      <c r="H1890" s="1" t="n"/>
    </row>
    <row r="1891">
      <c r="A1891" s="1" t="n"/>
      <c r="B1891" s="26" t="n"/>
      <c r="C1891" s="27" t="n"/>
      <c r="D1891" s="27" t="n"/>
      <c r="E1891" s="21">
        <f>IF(OR(C1891="",D1891=""),"",ROUND(MOD(D1891-C1891,1)*24,2))</f>
        <v/>
      </c>
      <c r="F1891" s="28" t="n"/>
      <c r="G1891" s="28" t="n"/>
      <c r="H1891" s="1" t="n"/>
    </row>
    <row r="1892">
      <c r="A1892" s="1" t="n"/>
      <c r="B1892" s="26" t="n"/>
      <c r="C1892" s="27" t="n"/>
      <c r="D1892" s="27" t="n"/>
      <c r="E1892" s="21">
        <f>IF(OR(C1892="",D1892=""),"",ROUND(MOD(D1892-C1892,1)*24,2))</f>
        <v/>
      </c>
      <c r="F1892" s="28" t="n"/>
      <c r="G1892" s="28" t="n"/>
      <c r="H1892" s="1" t="n"/>
    </row>
    <row r="1893">
      <c r="A1893" s="1" t="n"/>
      <c r="B1893" s="26" t="n"/>
      <c r="C1893" s="27" t="n"/>
      <c r="D1893" s="27" t="n"/>
      <c r="E1893" s="21">
        <f>IF(OR(C1893="",D1893=""),"",ROUND(MOD(D1893-C1893,1)*24,2))</f>
        <v/>
      </c>
      <c r="F1893" s="28" t="n"/>
      <c r="G1893" s="28" t="n"/>
      <c r="H1893" s="1" t="n"/>
    </row>
    <row r="1894">
      <c r="A1894" s="1" t="n"/>
      <c r="B1894" s="26" t="n"/>
      <c r="C1894" s="27" t="n"/>
      <c r="D1894" s="27" t="n"/>
      <c r="E1894" s="21">
        <f>IF(OR(C1894="",D1894=""),"",ROUND(MOD(D1894-C1894,1)*24,2))</f>
        <v/>
      </c>
      <c r="F1894" s="28" t="n"/>
      <c r="G1894" s="28" t="n"/>
      <c r="H1894" s="1" t="n"/>
    </row>
    <row r="1895">
      <c r="A1895" s="1" t="n"/>
      <c r="B1895" s="26" t="n"/>
      <c r="C1895" s="27" t="n"/>
      <c r="D1895" s="27" t="n"/>
      <c r="E1895" s="21">
        <f>IF(OR(C1895="",D1895=""),"",ROUND(MOD(D1895-C1895,1)*24,2))</f>
        <v/>
      </c>
      <c r="F1895" s="28" t="n"/>
      <c r="G1895" s="28" t="n"/>
      <c r="H1895" s="1" t="n"/>
    </row>
    <row r="1896">
      <c r="A1896" s="1" t="n"/>
      <c r="B1896" s="26" t="n"/>
      <c r="C1896" s="27" t="n"/>
      <c r="D1896" s="27" t="n"/>
      <c r="E1896" s="21">
        <f>IF(OR(C1896="",D1896=""),"",ROUND(MOD(D1896-C1896,1)*24,2))</f>
        <v/>
      </c>
      <c r="F1896" s="28" t="n"/>
      <c r="G1896" s="28" t="n"/>
      <c r="H1896" s="1" t="n"/>
    </row>
    <row r="1897">
      <c r="A1897" s="1" t="n"/>
      <c r="B1897" s="26" t="n"/>
      <c r="C1897" s="27" t="n"/>
      <c r="D1897" s="27" t="n"/>
      <c r="E1897" s="21">
        <f>IF(OR(C1897="",D1897=""),"",ROUND(MOD(D1897-C1897,1)*24,2))</f>
        <v/>
      </c>
      <c r="F1897" s="28" t="n"/>
      <c r="G1897" s="28" t="n"/>
      <c r="H1897" s="1" t="n"/>
    </row>
    <row r="1898">
      <c r="A1898" s="1" t="n"/>
      <c r="B1898" s="26" t="n"/>
      <c r="C1898" s="27" t="n"/>
      <c r="D1898" s="27" t="n"/>
      <c r="E1898" s="21">
        <f>IF(OR(C1898="",D1898=""),"",ROUND(MOD(D1898-C1898,1)*24,2))</f>
        <v/>
      </c>
      <c r="F1898" s="28" t="n"/>
      <c r="G1898" s="28" t="n"/>
      <c r="H1898" s="1" t="n"/>
    </row>
    <row r="1899">
      <c r="A1899" s="1" t="n"/>
      <c r="B1899" s="26" t="n"/>
      <c r="C1899" s="27" t="n"/>
      <c r="D1899" s="27" t="n"/>
      <c r="E1899" s="21">
        <f>IF(OR(C1899="",D1899=""),"",ROUND(MOD(D1899-C1899,1)*24,2))</f>
        <v/>
      </c>
      <c r="F1899" s="28" t="n"/>
      <c r="G1899" s="28" t="n"/>
      <c r="H1899" s="1" t="n"/>
    </row>
    <row r="1900">
      <c r="A1900" s="1" t="n"/>
      <c r="B1900" s="26" t="n"/>
      <c r="C1900" s="27" t="n"/>
      <c r="D1900" s="27" t="n"/>
      <c r="E1900" s="21">
        <f>IF(OR(C1900="",D1900=""),"",ROUND(MOD(D1900-C1900,1)*24,2))</f>
        <v/>
      </c>
      <c r="F1900" s="28" t="n"/>
      <c r="G1900" s="28" t="n"/>
      <c r="H1900" s="1" t="n"/>
    </row>
    <row r="1901">
      <c r="A1901" s="1" t="n"/>
      <c r="B1901" s="26" t="n"/>
      <c r="C1901" s="27" t="n"/>
      <c r="D1901" s="27" t="n"/>
      <c r="E1901" s="21">
        <f>IF(OR(C1901="",D1901=""),"",ROUND(MOD(D1901-C1901,1)*24,2))</f>
        <v/>
      </c>
      <c r="F1901" s="28" t="n"/>
      <c r="G1901" s="28" t="n"/>
      <c r="H1901" s="1" t="n"/>
    </row>
    <row r="1902">
      <c r="A1902" s="1" t="n"/>
      <c r="B1902" s="26" t="n"/>
      <c r="C1902" s="27" t="n"/>
      <c r="D1902" s="27" t="n"/>
      <c r="E1902" s="21">
        <f>IF(OR(C1902="",D1902=""),"",ROUND(MOD(D1902-C1902,1)*24,2))</f>
        <v/>
      </c>
      <c r="F1902" s="28" t="n"/>
      <c r="G1902" s="28" t="n"/>
      <c r="H1902" s="1" t="n"/>
    </row>
    <row r="1903">
      <c r="A1903" s="1" t="n"/>
      <c r="B1903" s="26" t="n"/>
      <c r="C1903" s="27" t="n"/>
      <c r="D1903" s="27" t="n"/>
      <c r="E1903" s="21">
        <f>IF(OR(C1903="",D1903=""),"",ROUND(MOD(D1903-C1903,1)*24,2))</f>
        <v/>
      </c>
      <c r="F1903" s="28" t="n"/>
      <c r="G1903" s="28" t="n"/>
      <c r="H1903" s="1" t="n"/>
    </row>
    <row r="1904">
      <c r="A1904" s="1" t="n"/>
      <c r="B1904" s="26" t="n"/>
      <c r="C1904" s="27" t="n"/>
      <c r="D1904" s="27" t="n"/>
      <c r="E1904" s="21">
        <f>IF(OR(C1904="",D1904=""),"",ROUND(MOD(D1904-C1904,1)*24,2))</f>
        <v/>
      </c>
      <c r="F1904" s="28" t="n"/>
      <c r="G1904" s="28" t="n"/>
      <c r="H1904" s="1" t="n"/>
    </row>
    <row r="1905">
      <c r="A1905" s="1" t="n"/>
      <c r="B1905" s="26" t="n"/>
      <c r="C1905" s="27" t="n"/>
      <c r="D1905" s="27" t="n"/>
      <c r="E1905" s="21">
        <f>IF(OR(C1905="",D1905=""),"",ROUND(MOD(D1905-C1905,1)*24,2))</f>
        <v/>
      </c>
      <c r="F1905" s="28" t="n"/>
      <c r="G1905" s="28" t="n"/>
      <c r="H1905" s="1" t="n"/>
    </row>
    <row r="1906">
      <c r="A1906" s="1" t="n"/>
      <c r="B1906" s="26" t="n"/>
      <c r="C1906" s="27" t="n"/>
      <c r="D1906" s="27" t="n"/>
      <c r="E1906" s="21">
        <f>IF(OR(C1906="",D1906=""),"",ROUND(MOD(D1906-C1906,1)*24,2))</f>
        <v/>
      </c>
      <c r="F1906" s="28" t="n"/>
      <c r="G1906" s="28" t="n"/>
      <c r="H1906" s="1" t="n"/>
    </row>
    <row r="1907">
      <c r="A1907" s="1" t="n"/>
      <c r="B1907" s="26" t="n"/>
      <c r="C1907" s="27" t="n"/>
      <c r="D1907" s="27" t="n"/>
      <c r="E1907" s="21">
        <f>IF(OR(C1907="",D1907=""),"",ROUND(MOD(D1907-C1907,1)*24,2))</f>
        <v/>
      </c>
      <c r="F1907" s="28" t="n"/>
      <c r="G1907" s="28" t="n"/>
      <c r="H1907" s="1" t="n"/>
    </row>
    <row r="1908">
      <c r="A1908" s="1" t="n"/>
      <c r="B1908" s="26" t="n"/>
      <c r="C1908" s="27" t="n"/>
      <c r="D1908" s="27" t="n"/>
      <c r="E1908" s="21">
        <f>IF(OR(C1908="",D1908=""),"",ROUND(MOD(D1908-C1908,1)*24,2))</f>
        <v/>
      </c>
      <c r="F1908" s="28" t="n"/>
      <c r="G1908" s="28" t="n"/>
      <c r="H1908" s="1" t="n"/>
    </row>
    <row r="1909">
      <c r="A1909" s="1" t="n"/>
      <c r="B1909" s="26" t="n"/>
      <c r="C1909" s="27" t="n"/>
      <c r="D1909" s="27" t="n"/>
      <c r="E1909" s="21">
        <f>IF(OR(C1909="",D1909=""),"",ROUND(MOD(D1909-C1909,1)*24,2))</f>
        <v/>
      </c>
      <c r="F1909" s="28" t="n"/>
      <c r="G1909" s="28" t="n"/>
      <c r="H1909" s="1" t="n"/>
    </row>
    <row r="1910">
      <c r="A1910" s="1" t="n"/>
      <c r="B1910" s="26" t="n"/>
      <c r="C1910" s="27" t="n"/>
      <c r="D1910" s="27" t="n"/>
      <c r="E1910" s="21">
        <f>IF(OR(C1910="",D1910=""),"",ROUND(MOD(D1910-C1910,1)*24,2))</f>
        <v/>
      </c>
      <c r="F1910" s="28" t="n"/>
      <c r="G1910" s="28" t="n"/>
      <c r="H1910" s="1" t="n"/>
    </row>
    <row r="1911">
      <c r="A1911" s="1" t="n"/>
      <c r="B1911" s="26" t="n"/>
      <c r="C1911" s="27" t="n"/>
      <c r="D1911" s="27" t="n"/>
      <c r="E1911" s="21">
        <f>IF(OR(C1911="",D1911=""),"",ROUND(MOD(D1911-C1911,1)*24,2))</f>
        <v/>
      </c>
      <c r="F1911" s="28" t="n"/>
      <c r="G1911" s="28" t="n"/>
      <c r="H1911" s="1" t="n"/>
    </row>
    <row r="1912">
      <c r="A1912" s="1" t="n"/>
      <c r="B1912" s="26" t="n"/>
      <c r="C1912" s="27" t="n"/>
      <c r="D1912" s="27" t="n"/>
      <c r="E1912" s="21">
        <f>IF(OR(C1912="",D1912=""),"",ROUND(MOD(D1912-C1912,1)*24,2))</f>
        <v/>
      </c>
      <c r="F1912" s="28" t="n"/>
      <c r="G1912" s="28" t="n"/>
      <c r="H1912" s="1" t="n"/>
    </row>
    <row r="1913">
      <c r="A1913" s="1" t="n"/>
      <c r="B1913" s="26" t="n"/>
      <c r="C1913" s="27" t="n"/>
      <c r="D1913" s="27" t="n"/>
      <c r="E1913" s="21">
        <f>IF(OR(C1913="",D1913=""),"",ROUND(MOD(D1913-C1913,1)*24,2))</f>
        <v/>
      </c>
      <c r="F1913" s="28" t="n"/>
      <c r="G1913" s="28" t="n"/>
      <c r="H1913" s="1" t="n"/>
    </row>
    <row r="1914">
      <c r="A1914" s="1" t="n"/>
      <c r="B1914" s="26" t="n"/>
      <c r="C1914" s="27" t="n"/>
      <c r="D1914" s="27" t="n"/>
      <c r="E1914" s="21">
        <f>IF(OR(C1914="",D1914=""),"",ROUND(MOD(D1914-C1914,1)*24,2))</f>
        <v/>
      </c>
      <c r="F1914" s="28" t="n"/>
      <c r="G1914" s="28" t="n"/>
      <c r="H1914" s="1" t="n"/>
    </row>
    <row r="1915">
      <c r="A1915" s="1" t="n"/>
      <c r="B1915" s="26" t="n"/>
      <c r="C1915" s="27" t="n"/>
      <c r="D1915" s="27" t="n"/>
      <c r="E1915" s="21">
        <f>IF(OR(C1915="",D1915=""),"",ROUND(MOD(D1915-C1915,1)*24,2))</f>
        <v/>
      </c>
      <c r="F1915" s="28" t="n"/>
      <c r="G1915" s="28" t="n"/>
      <c r="H1915" s="1" t="n"/>
    </row>
    <row r="1916">
      <c r="A1916" s="1" t="n"/>
      <c r="B1916" s="26" t="n"/>
      <c r="C1916" s="27" t="n"/>
      <c r="D1916" s="27" t="n"/>
      <c r="E1916" s="21">
        <f>IF(OR(C1916="",D1916=""),"",ROUND(MOD(D1916-C1916,1)*24,2))</f>
        <v/>
      </c>
      <c r="F1916" s="28" t="n"/>
      <c r="G1916" s="28" t="n"/>
      <c r="H1916" s="1" t="n"/>
    </row>
    <row r="1917">
      <c r="A1917" s="1" t="n"/>
      <c r="B1917" s="26" t="n"/>
      <c r="C1917" s="27" t="n"/>
      <c r="D1917" s="27" t="n"/>
      <c r="E1917" s="21">
        <f>IF(OR(C1917="",D1917=""),"",ROUND(MOD(D1917-C1917,1)*24,2))</f>
        <v/>
      </c>
      <c r="F1917" s="28" t="n"/>
      <c r="G1917" s="28" t="n"/>
      <c r="H1917" s="1" t="n"/>
    </row>
    <row r="1918">
      <c r="A1918" s="1" t="n"/>
      <c r="B1918" s="26" t="n"/>
      <c r="C1918" s="27" t="n"/>
      <c r="D1918" s="27" t="n"/>
      <c r="E1918" s="21">
        <f>IF(OR(C1918="",D1918=""),"",ROUND(MOD(D1918-C1918,1)*24,2))</f>
        <v/>
      </c>
      <c r="F1918" s="28" t="n"/>
      <c r="G1918" s="28" t="n"/>
      <c r="H1918" s="1" t="n"/>
    </row>
    <row r="1919">
      <c r="A1919" s="1" t="n"/>
      <c r="B1919" s="26" t="n"/>
      <c r="C1919" s="27" t="n"/>
      <c r="D1919" s="27" t="n"/>
      <c r="E1919" s="21">
        <f>IF(OR(C1919="",D1919=""),"",ROUND(MOD(D1919-C1919,1)*24,2))</f>
        <v/>
      </c>
      <c r="F1919" s="28" t="n"/>
      <c r="G1919" s="28" t="n"/>
      <c r="H1919" s="1" t="n"/>
    </row>
    <row r="1920">
      <c r="A1920" s="1" t="n"/>
      <c r="B1920" s="26" t="n"/>
      <c r="C1920" s="27" t="n"/>
      <c r="D1920" s="27" t="n"/>
      <c r="E1920" s="21">
        <f>IF(OR(C1920="",D1920=""),"",ROUND(MOD(D1920-C1920,1)*24,2))</f>
        <v/>
      </c>
      <c r="F1920" s="28" t="n"/>
      <c r="G1920" s="28" t="n"/>
      <c r="H1920" s="1" t="n"/>
    </row>
    <row r="1921">
      <c r="A1921" s="1" t="n"/>
      <c r="B1921" s="26" t="n"/>
      <c r="C1921" s="27" t="n"/>
      <c r="D1921" s="27" t="n"/>
      <c r="E1921" s="21">
        <f>IF(OR(C1921="",D1921=""),"",ROUND(MOD(D1921-C1921,1)*24,2))</f>
        <v/>
      </c>
      <c r="F1921" s="28" t="n"/>
      <c r="G1921" s="28" t="n"/>
      <c r="H1921" s="1" t="n"/>
    </row>
    <row r="1922">
      <c r="A1922" s="1" t="n"/>
      <c r="B1922" s="26" t="n"/>
      <c r="C1922" s="27" t="n"/>
      <c r="D1922" s="27" t="n"/>
      <c r="E1922" s="21">
        <f>IF(OR(C1922="",D1922=""),"",ROUND(MOD(D1922-C1922,1)*24,2))</f>
        <v/>
      </c>
      <c r="F1922" s="28" t="n"/>
      <c r="G1922" s="28" t="n"/>
      <c r="H1922" s="1" t="n"/>
    </row>
    <row r="1923">
      <c r="A1923" s="1" t="n"/>
      <c r="B1923" s="26" t="n"/>
      <c r="C1923" s="27" t="n"/>
      <c r="D1923" s="27" t="n"/>
      <c r="E1923" s="21">
        <f>IF(OR(C1923="",D1923=""),"",ROUND(MOD(D1923-C1923,1)*24,2))</f>
        <v/>
      </c>
      <c r="F1923" s="28" t="n"/>
      <c r="G1923" s="28" t="n"/>
      <c r="H1923" s="1" t="n"/>
    </row>
    <row r="1924">
      <c r="A1924" s="1" t="n"/>
      <c r="B1924" s="26" t="n"/>
      <c r="C1924" s="27" t="n"/>
      <c r="D1924" s="27" t="n"/>
      <c r="E1924" s="21">
        <f>IF(OR(C1924="",D1924=""),"",ROUND(MOD(D1924-C1924,1)*24,2))</f>
        <v/>
      </c>
      <c r="F1924" s="28" t="n"/>
      <c r="G1924" s="28" t="n"/>
      <c r="H1924" s="1" t="n"/>
    </row>
    <row r="1925">
      <c r="A1925" s="1" t="n"/>
      <c r="B1925" s="26" t="n"/>
      <c r="C1925" s="27" t="n"/>
      <c r="D1925" s="27" t="n"/>
      <c r="E1925" s="21">
        <f>IF(OR(C1925="",D1925=""),"",ROUND(MOD(D1925-C1925,1)*24,2))</f>
        <v/>
      </c>
      <c r="F1925" s="28" t="n"/>
      <c r="G1925" s="28" t="n"/>
      <c r="H1925" s="1" t="n"/>
    </row>
    <row r="1926">
      <c r="A1926" s="1" t="n"/>
      <c r="B1926" s="26" t="n"/>
      <c r="C1926" s="27" t="n"/>
      <c r="D1926" s="27" t="n"/>
      <c r="E1926" s="21">
        <f>IF(OR(C1926="",D1926=""),"",ROUND(MOD(D1926-C1926,1)*24,2))</f>
        <v/>
      </c>
      <c r="F1926" s="28" t="n"/>
      <c r="G1926" s="28" t="n"/>
      <c r="H1926" s="1" t="n"/>
    </row>
    <row r="1927">
      <c r="A1927" s="1" t="n"/>
      <c r="B1927" s="26" t="n"/>
      <c r="C1927" s="27" t="n"/>
      <c r="D1927" s="27" t="n"/>
      <c r="E1927" s="21">
        <f>IF(OR(C1927="",D1927=""),"",ROUND(MOD(D1927-C1927,1)*24,2))</f>
        <v/>
      </c>
      <c r="F1927" s="28" t="n"/>
      <c r="G1927" s="28" t="n"/>
      <c r="H1927" s="1" t="n"/>
    </row>
    <row r="1928">
      <c r="A1928" s="1" t="n"/>
      <c r="B1928" s="26" t="n"/>
      <c r="C1928" s="27" t="n"/>
      <c r="D1928" s="27" t="n"/>
      <c r="E1928" s="21">
        <f>IF(OR(C1928="",D1928=""),"",ROUND(MOD(D1928-C1928,1)*24,2))</f>
        <v/>
      </c>
      <c r="F1928" s="28" t="n"/>
      <c r="G1928" s="28" t="n"/>
      <c r="H1928" s="1" t="n"/>
    </row>
    <row r="1929">
      <c r="A1929" s="1" t="n"/>
      <c r="B1929" s="26" t="n"/>
      <c r="C1929" s="27" t="n"/>
      <c r="D1929" s="27" t="n"/>
      <c r="E1929" s="21">
        <f>IF(OR(C1929="",D1929=""),"",ROUND(MOD(D1929-C1929,1)*24,2))</f>
        <v/>
      </c>
      <c r="F1929" s="28" t="n"/>
      <c r="G1929" s="28" t="n"/>
      <c r="H1929" s="1" t="n"/>
    </row>
    <row r="1930">
      <c r="A1930" s="1" t="n"/>
      <c r="B1930" s="26" t="n"/>
      <c r="C1930" s="27" t="n"/>
      <c r="D1930" s="27" t="n"/>
      <c r="E1930" s="21">
        <f>IF(OR(C1930="",D1930=""),"",ROUND(MOD(D1930-C1930,1)*24,2))</f>
        <v/>
      </c>
      <c r="F1930" s="28" t="n"/>
      <c r="G1930" s="28" t="n"/>
      <c r="H1930" s="1" t="n"/>
    </row>
    <row r="1931">
      <c r="A1931" s="1" t="n"/>
      <c r="B1931" s="26" t="n"/>
      <c r="C1931" s="27" t="n"/>
      <c r="D1931" s="27" t="n"/>
      <c r="E1931" s="21">
        <f>IF(OR(C1931="",D1931=""),"",ROUND(MOD(D1931-C1931,1)*24,2))</f>
        <v/>
      </c>
      <c r="F1931" s="28" t="n"/>
      <c r="G1931" s="28" t="n"/>
      <c r="H1931" s="1" t="n"/>
    </row>
    <row r="1932">
      <c r="A1932" s="1" t="n"/>
      <c r="B1932" s="26" t="n"/>
      <c r="C1932" s="27" t="n"/>
      <c r="D1932" s="27" t="n"/>
      <c r="E1932" s="21">
        <f>IF(OR(C1932="",D1932=""),"",ROUND(MOD(D1932-C1932,1)*24,2))</f>
        <v/>
      </c>
      <c r="F1932" s="28" t="n"/>
      <c r="G1932" s="28" t="n"/>
      <c r="H1932" s="1" t="n"/>
    </row>
    <row r="1933">
      <c r="A1933" s="1" t="n"/>
      <c r="B1933" s="26" t="n"/>
      <c r="C1933" s="27" t="n"/>
      <c r="D1933" s="27" t="n"/>
      <c r="E1933" s="21">
        <f>IF(OR(C1933="",D1933=""),"",ROUND(MOD(D1933-C1933,1)*24,2))</f>
        <v/>
      </c>
      <c r="F1933" s="28" t="n"/>
      <c r="G1933" s="28" t="n"/>
      <c r="H1933" s="1" t="n"/>
    </row>
    <row r="1934">
      <c r="A1934" s="1" t="n"/>
      <c r="B1934" s="26" t="n"/>
      <c r="C1934" s="27" t="n"/>
      <c r="D1934" s="27" t="n"/>
      <c r="E1934" s="21">
        <f>IF(OR(C1934="",D1934=""),"",ROUND(MOD(D1934-C1934,1)*24,2))</f>
        <v/>
      </c>
      <c r="F1934" s="28" t="n"/>
      <c r="G1934" s="28" t="n"/>
      <c r="H1934" s="1" t="n"/>
    </row>
    <row r="1935">
      <c r="A1935" s="1" t="n"/>
      <c r="B1935" s="26" t="n"/>
      <c r="C1935" s="27" t="n"/>
      <c r="D1935" s="27" t="n"/>
      <c r="E1935" s="21">
        <f>IF(OR(C1935="",D1935=""),"",ROUND(MOD(D1935-C1935,1)*24,2))</f>
        <v/>
      </c>
      <c r="F1935" s="28" t="n"/>
      <c r="G1935" s="28" t="n"/>
      <c r="H1935" s="1" t="n"/>
    </row>
    <row r="1936">
      <c r="A1936" s="1" t="n"/>
      <c r="B1936" s="26" t="n"/>
      <c r="C1936" s="27" t="n"/>
      <c r="D1936" s="27" t="n"/>
      <c r="E1936" s="21">
        <f>IF(OR(C1936="",D1936=""),"",ROUND(MOD(D1936-C1936,1)*24,2))</f>
        <v/>
      </c>
      <c r="F1936" s="28" t="n"/>
      <c r="G1936" s="28" t="n"/>
      <c r="H1936" s="1" t="n"/>
    </row>
    <row r="1937">
      <c r="A1937" s="1" t="n"/>
      <c r="B1937" s="26" t="n"/>
      <c r="C1937" s="27" t="n"/>
      <c r="D1937" s="27" t="n"/>
      <c r="E1937" s="21">
        <f>IF(OR(C1937="",D1937=""),"",ROUND(MOD(D1937-C1937,1)*24,2))</f>
        <v/>
      </c>
      <c r="F1937" s="28" t="n"/>
      <c r="G1937" s="28" t="n"/>
      <c r="H1937" s="1" t="n"/>
    </row>
    <row r="1938">
      <c r="A1938" s="1" t="n"/>
      <c r="B1938" s="26" t="n"/>
      <c r="C1938" s="27" t="n"/>
      <c r="D1938" s="27" t="n"/>
      <c r="E1938" s="21">
        <f>IF(OR(C1938="",D1938=""),"",ROUND(MOD(D1938-C1938,1)*24,2))</f>
        <v/>
      </c>
      <c r="F1938" s="28" t="n"/>
      <c r="G1938" s="28" t="n"/>
      <c r="H1938" s="1" t="n"/>
    </row>
    <row r="1939">
      <c r="A1939" s="1" t="n"/>
      <c r="B1939" s="26" t="n"/>
      <c r="C1939" s="27" t="n"/>
      <c r="D1939" s="27" t="n"/>
      <c r="E1939" s="21">
        <f>IF(OR(C1939="",D1939=""),"",ROUND(MOD(D1939-C1939,1)*24,2))</f>
        <v/>
      </c>
      <c r="F1939" s="28" t="n"/>
      <c r="G1939" s="28" t="n"/>
      <c r="H1939" s="1" t="n"/>
    </row>
    <row r="1940">
      <c r="A1940" s="1" t="n"/>
      <c r="B1940" s="26" t="n"/>
      <c r="C1940" s="27" t="n"/>
      <c r="D1940" s="27" t="n"/>
      <c r="E1940" s="21">
        <f>IF(OR(C1940="",D1940=""),"",ROUND(MOD(D1940-C1940,1)*24,2))</f>
        <v/>
      </c>
      <c r="F1940" s="28" t="n"/>
      <c r="G1940" s="28" t="n"/>
      <c r="H1940" s="1" t="n"/>
    </row>
    <row r="1941">
      <c r="A1941" s="1" t="n"/>
      <c r="B1941" s="26" t="n"/>
      <c r="C1941" s="27" t="n"/>
      <c r="D1941" s="27" t="n"/>
      <c r="E1941" s="21">
        <f>IF(OR(C1941="",D1941=""),"",ROUND(MOD(D1941-C1941,1)*24,2))</f>
        <v/>
      </c>
      <c r="F1941" s="28" t="n"/>
      <c r="G1941" s="28" t="n"/>
      <c r="H1941" s="1" t="n"/>
    </row>
    <row r="1942">
      <c r="A1942" s="1" t="n"/>
      <c r="B1942" s="26" t="n"/>
      <c r="C1942" s="27" t="n"/>
      <c r="D1942" s="27" t="n"/>
      <c r="E1942" s="21">
        <f>IF(OR(C1942="",D1942=""),"",ROUND(MOD(D1942-C1942,1)*24,2))</f>
        <v/>
      </c>
      <c r="F1942" s="28" t="n"/>
      <c r="G1942" s="28" t="n"/>
      <c r="H1942" s="1" t="n"/>
    </row>
    <row r="1943">
      <c r="A1943" s="1" t="n"/>
      <c r="B1943" s="26" t="n"/>
      <c r="C1943" s="27" t="n"/>
      <c r="D1943" s="27" t="n"/>
      <c r="E1943" s="21">
        <f>IF(OR(C1943="",D1943=""),"",ROUND(MOD(D1943-C1943,1)*24,2))</f>
        <v/>
      </c>
      <c r="F1943" s="28" t="n"/>
      <c r="G1943" s="28" t="n"/>
      <c r="H1943" s="1" t="n"/>
    </row>
    <row r="1944">
      <c r="A1944" s="1" t="n"/>
      <c r="B1944" s="26" t="n"/>
      <c r="C1944" s="27" t="n"/>
      <c r="D1944" s="27" t="n"/>
      <c r="E1944" s="21">
        <f>IF(OR(C1944="",D1944=""),"",ROUND(MOD(D1944-C1944,1)*24,2))</f>
        <v/>
      </c>
      <c r="F1944" s="28" t="n"/>
      <c r="G1944" s="28" t="n"/>
      <c r="H1944" s="1" t="n"/>
    </row>
    <row r="1945">
      <c r="A1945" s="1" t="n"/>
      <c r="B1945" s="26" t="n"/>
      <c r="C1945" s="27" t="n"/>
      <c r="D1945" s="27" t="n"/>
      <c r="E1945" s="21">
        <f>IF(OR(C1945="",D1945=""),"",ROUND(MOD(D1945-C1945,1)*24,2))</f>
        <v/>
      </c>
      <c r="F1945" s="28" t="n"/>
      <c r="G1945" s="28" t="n"/>
      <c r="H1945" s="1" t="n"/>
    </row>
    <row r="1946">
      <c r="A1946" s="1" t="n"/>
      <c r="B1946" s="26" t="n"/>
      <c r="C1946" s="27" t="n"/>
      <c r="D1946" s="27" t="n"/>
      <c r="E1946" s="21">
        <f>IF(OR(C1946="",D1946=""),"",ROUND(MOD(D1946-C1946,1)*24,2))</f>
        <v/>
      </c>
      <c r="F1946" s="28" t="n"/>
      <c r="G1946" s="28" t="n"/>
      <c r="H1946" s="1" t="n"/>
    </row>
    <row r="1947">
      <c r="A1947" s="1" t="n"/>
      <c r="B1947" s="26" t="n"/>
      <c r="C1947" s="27" t="n"/>
      <c r="D1947" s="27" t="n"/>
      <c r="E1947" s="21">
        <f>IF(OR(C1947="",D1947=""),"",ROUND(MOD(D1947-C1947,1)*24,2))</f>
        <v/>
      </c>
      <c r="F1947" s="28" t="n"/>
      <c r="G1947" s="28" t="n"/>
      <c r="H1947" s="1" t="n"/>
    </row>
    <row r="1948">
      <c r="A1948" s="1" t="n"/>
      <c r="B1948" s="26" t="n"/>
      <c r="C1948" s="27" t="n"/>
      <c r="D1948" s="27" t="n"/>
      <c r="E1948" s="21">
        <f>IF(OR(C1948="",D1948=""),"",ROUND(MOD(D1948-C1948,1)*24,2))</f>
        <v/>
      </c>
      <c r="F1948" s="28" t="n"/>
      <c r="G1948" s="28" t="n"/>
      <c r="H1948" s="1" t="n"/>
    </row>
    <row r="1949">
      <c r="A1949" s="1" t="n"/>
      <c r="B1949" s="26" t="n"/>
      <c r="C1949" s="27" t="n"/>
      <c r="D1949" s="27" t="n"/>
      <c r="E1949" s="21">
        <f>IF(OR(C1949="",D1949=""),"",ROUND(MOD(D1949-C1949,1)*24,2))</f>
        <v/>
      </c>
      <c r="F1949" s="28" t="n"/>
      <c r="G1949" s="28" t="n"/>
      <c r="H1949" s="1" t="n"/>
    </row>
    <row r="1950">
      <c r="A1950" s="1" t="n"/>
      <c r="B1950" s="26" t="n"/>
      <c r="C1950" s="27" t="n"/>
      <c r="D1950" s="27" t="n"/>
      <c r="E1950" s="21">
        <f>IF(OR(C1950="",D1950=""),"",ROUND(MOD(D1950-C1950,1)*24,2))</f>
        <v/>
      </c>
      <c r="F1950" s="28" t="n"/>
      <c r="G1950" s="28" t="n"/>
      <c r="H1950" s="1" t="n"/>
    </row>
    <row r="1951">
      <c r="A1951" s="1" t="n"/>
      <c r="B1951" s="26" t="n"/>
      <c r="C1951" s="27" t="n"/>
      <c r="D1951" s="27" t="n"/>
      <c r="E1951" s="21">
        <f>IF(OR(C1951="",D1951=""),"",ROUND(MOD(D1951-C1951,1)*24,2))</f>
        <v/>
      </c>
      <c r="F1951" s="28" t="n"/>
      <c r="G1951" s="28" t="n"/>
      <c r="H1951" s="1" t="n"/>
    </row>
    <row r="1952">
      <c r="A1952" s="1" t="n"/>
      <c r="B1952" s="26" t="n"/>
      <c r="C1952" s="27" t="n"/>
      <c r="D1952" s="27" t="n"/>
      <c r="E1952" s="21">
        <f>IF(OR(C1952="",D1952=""),"",ROUND(MOD(D1952-C1952,1)*24,2))</f>
        <v/>
      </c>
      <c r="F1952" s="28" t="n"/>
      <c r="G1952" s="28" t="n"/>
      <c r="H1952" s="1" t="n"/>
    </row>
    <row r="1953">
      <c r="A1953" s="1" t="n"/>
      <c r="B1953" s="26" t="n"/>
      <c r="C1953" s="27" t="n"/>
      <c r="D1953" s="27" t="n"/>
      <c r="E1953" s="21">
        <f>IF(OR(C1953="",D1953=""),"",ROUND(MOD(D1953-C1953,1)*24,2))</f>
        <v/>
      </c>
      <c r="F1953" s="28" t="n"/>
      <c r="G1953" s="28" t="n"/>
      <c r="H1953" s="1" t="n"/>
    </row>
    <row r="1954">
      <c r="A1954" s="1" t="n"/>
      <c r="B1954" s="26" t="n"/>
      <c r="C1954" s="27" t="n"/>
      <c r="D1954" s="27" t="n"/>
      <c r="E1954" s="21">
        <f>IF(OR(C1954="",D1954=""),"",ROUND(MOD(D1954-C1954,1)*24,2))</f>
        <v/>
      </c>
      <c r="F1954" s="28" t="n"/>
      <c r="G1954" s="28" t="n"/>
      <c r="H1954" s="1" t="n"/>
    </row>
    <row r="1955">
      <c r="A1955" s="1" t="n"/>
      <c r="B1955" s="26" t="n"/>
      <c r="C1955" s="27" t="n"/>
      <c r="D1955" s="27" t="n"/>
      <c r="E1955" s="21">
        <f>IF(OR(C1955="",D1955=""),"",ROUND(MOD(D1955-C1955,1)*24,2))</f>
        <v/>
      </c>
      <c r="F1955" s="28" t="n"/>
      <c r="G1955" s="28" t="n"/>
      <c r="H1955" s="1" t="n"/>
    </row>
    <row r="1956">
      <c r="A1956" s="1" t="n"/>
      <c r="B1956" s="26" t="n"/>
      <c r="C1956" s="27" t="n"/>
      <c r="D1956" s="27" t="n"/>
      <c r="E1956" s="21">
        <f>IF(OR(C1956="",D1956=""),"",ROUND(MOD(D1956-C1956,1)*24,2))</f>
        <v/>
      </c>
      <c r="F1956" s="28" t="n"/>
      <c r="G1956" s="28" t="n"/>
      <c r="H1956" s="1" t="n"/>
    </row>
    <row r="1957">
      <c r="A1957" s="1" t="n"/>
      <c r="B1957" s="26" t="n"/>
      <c r="C1957" s="27" t="n"/>
      <c r="D1957" s="27" t="n"/>
      <c r="E1957" s="21">
        <f>IF(OR(C1957="",D1957=""),"",ROUND(MOD(D1957-C1957,1)*24,2))</f>
        <v/>
      </c>
      <c r="F1957" s="28" t="n"/>
      <c r="G1957" s="28" t="n"/>
      <c r="H1957" s="1" t="n"/>
    </row>
    <row r="1958">
      <c r="A1958" s="1" t="n"/>
      <c r="B1958" s="26" t="n"/>
      <c r="C1958" s="27" t="n"/>
      <c r="D1958" s="27" t="n"/>
      <c r="E1958" s="21">
        <f>IF(OR(C1958="",D1958=""),"",ROUND(MOD(D1958-C1958,1)*24,2))</f>
        <v/>
      </c>
      <c r="F1958" s="28" t="n"/>
      <c r="G1958" s="28" t="n"/>
      <c r="H1958" s="1" t="n"/>
    </row>
    <row r="1959">
      <c r="A1959" s="1" t="n"/>
      <c r="B1959" s="26" t="n"/>
      <c r="C1959" s="27" t="n"/>
      <c r="D1959" s="27" t="n"/>
      <c r="E1959" s="21">
        <f>IF(OR(C1959="",D1959=""),"",ROUND(MOD(D1959-C1959,1)*24,2))</f>
        <v/>
      </c>
      <c r="F1959" s="28" t="n"/>
      <c r="G1959" s="28" t="n"/>
      <c r="H1959" s="1" t="n"/>
    </row>
    <row r="1960">
      <c r="A1960" s="1" t="n"/>
      <c r="B1960" s="26" t="n"/>
      <c r="C1960" s="27" t="n"/>
      <c r="D1960" s="27" t="n"/>
      <c r="E1960" s="21">
        <f>IF(OR(C1960="",D1960=""),"",ROUND(MOD(D1960-C1960,1)*24,2))</f>
        <v/>
      </c>
      <c r="F1960" s="28" t="n"/>
      <c r="G1960" s="28" t="n"/>
      <c r="H1960" s="1" t="n"/>
    </row>
    <row r="1961">
      <c r="A1961" s="1" t="n"/>
      <c r="B1961" s="26" t="n"/>
      <c r="C1961" s="27" t="n"/>
      <c r="D1961" s="27" t="n"/>
      <c r="E1961" s="21">
        <f>IF(OR(C1961="",D1961=""),"",ROUND(MOD(D1961-C1961,1)*24,2))</f>
        <v/>
      </c>
      <c r="F1961" s="28" t="n"/>
      <c r="G1961" s="28" t="n"/>
      <c r="H1961" s="1" t="n"/>
    </row>
    <row r="1962">
      <c r="A1962" s="1" t="n"/>
      <c r="B1962" s="26" t="n"/>
      <c r="C1962" s="27" t="n"/>
      <c r="D1962" s="27" t="n"/>
      <c r="E1962" s="21">
        <f>IF(OR(C1962="",D1962=""),"",ROUND(MOD(D1962-C1962,1)*24,2))</f>
        <v/>
      </c>
      <c r="F1962" s="28" t="n"/>
      <c r="G1962" s="28" t="n"/>
      <c r="H1962" s="1" t="n"/>
    </row>
    <row r="1963">
      <c r="A1963" s="1" t="n"/>
      <c r="B1963" s="26" t="n"/>
      <c r="C1963" s="27" t="n"/>
      <c r="D1963" s="27" t="n"/>
      <c r="E1963" s="21">
        <f>IF(OR(C1963="",D1963=""),"",ROUND(MOD(D1963-C1963,1)*24,2))</f>
        <v/>
      </c>
      <c r="F1963" s="28" t="n"/>
      <c r="G1963" s="28" t="n"/>
      <c r="H1963" s="1" t="n"/>
    </row>
    <row r="1964">
      <c r="A1964" s="1" t="n"/>
      <c r="B1964" s="26" t="n"/>
      <c r="C1964" s="27" t="n"/>
      <c r="D1964" s="27" t="n"/>
      <c r="E1964" s="21">
        <f>IF(OR(C1964="",D1964=""),"",ROUND(MOD(D1964-C1964,1)*24,2))</f>
        <v/>
      </c>
      <c r="F1964" s="28" t="n"/>
      <c r="G1964" s="28" t="n"/>
      <c r="H1964" s="1" t="n"/>
    </row>
    <row r="1965">
      <c r="A1965" s="1" t="n"/>
      <c r="B1965" s="26" t="n"/>
      <c r="C1965" s="27" t="n"/>
      <c r="D1965" s="27" t="n"/>
      <c r="E1965" s="21">
        <f>IF(OR(C1965="",D1965=""),"",ROUND(MOD(D1965-C1965,1)*24,2))</f>
        <v/>
      </c>
      <c r="F1965" s="28" t="n"/>
      <c r="G1965" s="28" t="n"/>
      <c r="H1965" s="1" t="n"/>
    </row>
    <row r="1966">
      <c r="A1966" s="1" t="n"/>
      <c r="B1966" s="26" t="n"/>
      <c r="C1966" s="27" t="n"/>
      <c r="D1966" s="27" t="n"/>
      <c r="E1966" s="21">
        <f>IF(OR(C1966="",D1966=""),"",ROUND(MOD(D1966-C1966,1)*24,2))</f>
        <v/>
      </c>
      <c r="F1966" s="28" t="n"/>
      <c r="G1966" s="28" t="n"/>
      <c r="H1966" s="1" t="n"/>
    </row>
    <row r="1967">
      <c r="A1967" s="1" t="n"/>
      <c r="B1967" s="26" t="n"/>
      <c r="C1967" s="27" t="n"/>
      <c r="D1967" s="27" t="n"/>
      <c r="E1967" s="21">
        <f>IF(OR(C1967="",D1967=""),"",ROUND(MOD(D1967-C1967,1)*24,2))</f>
        <v/>
      </c>
      <c r="F1967" s="28" t="n"/>
      <c r="G1967" s="28" t="n"/>
      <c r="H1967" s="1" t="n"/>
    </row>
    <row r="1968">
      <c r="A1968" s="1" t="n"/>
      <c r="B1968" s="26" t="n"/>
      <c r="C1968" s="27" t="n"/>
      <c r="D1968" s="27" t="n"/>
      <c r="E1968" s="21">
        <f>IF(OR(C1968="",D1968=""),"",ROUND(MOD(D1968-C1968,1)*24,2))</f>
        <v/>
      </c>
      <c r="F1968" s="28" t="n"/>
      <c r="G1968" s="28" t="n"/>
      <c r="H1968" s="1" t="n"/>
    </row>
    <row r="1969">
      <c r="A1969" s="1" t="n"/>
      <c r="B1969" s="26" t="n"/>
      <c r="C1969" s="27" t="n"/>
      <c r="D1969" s="27" t="n"/>
      <c r="E1969" s="21">
        <f>IF(OR(C1969="",D1969=""),"",ROUND(MOD(D1969-C1969,1)*24,2))</f>
        <v/>
      </c>
      <c r="F1969" s="28" t="n"/>
      <c r="G1969" s="28" t="n"/>
      <c r="H1969" s="1" t="n"/>
    </row>
    <row r="1970">
      <c r="A1970" s="1" t="n"/>
      <c r="B1970" s="26" t="n"/>
      <c r="C1970" s="27" t="n"/>
      <c r="D1970" s="27" t="n"/>
      <c r="E1970" s="21">
        <f>IF(OR(C1970="",D1970=""),"",ROUND(MOD(D1970-C1970,1)*24,2))</f>
        <v/>
      </c>
      <c r="F1970" s="28" t="n"/>
      <c r="G1970" s="28" t="n"/>
      <c r="H1970" s="1" t="n"/>
    </row>
    <row r="1971">
      <c r="A1971" s="1" t="n"/>
      <c r="B1971" s="26" t="n"/>
      <c r="C1971" s="27" t="n"/>
      <c r="D1971" s="27" t="n"/>
      <c r="E1971" s="21">
        <f>IF(OR(C1971="",D1971=""),"",ROUND(MOD(D1971-C1971,1)*24,2))</f>
        <v/>
      </c>
      <c r="F1971" s="28" t="n"/>
      <c r="G1971" s="28" t="n"/>
      <c r="H1971" s="1" t="n"/>
    </row>
    <row r="1972">
      <c r="A1972" s="1" t="n"/>
      <c r="B1972" s="26" t="n"/>
      <c r="C1972" s="27" t="n"/>
      <c r="D1972" s="27" t="n"/>
      <c r="E1972" s="21">
        <f>IF(OR(C1972="",D1972=""),"",ROUND(MOD(D1972-C1972,1)*24,2))</f>
        <v/>
      </c>
      <c r="F1972" s="28" t="n"/>
      <c r="G1972" s="28" t="n"/>
      <c r="H1972" s="1" t="n"/>
    </row>
    <row r="1973">
      <c r="A1973" s="1" t="n"/>
      <c r="B1973" s="26" t="n"/>
      <c r="C1973" s="27" t="n"/>
      <c r="D1973" s="27" t="n"/>
      <c r="E1973" s="21">
        <f>IF(OR(C1973="",D1973=""),"",ROUND(MOD(D1973-C1973,1)*24,2))</f>
        <v/>
      </c>
      <c r="F1973" s="28" t="n"/>
      <c r="G1973" s="28" t="n"/>
      <c r="H1973" s="1" t="n"/>
    </row>
    <row r="1974">
      <c r="A1974" s="1" t="n"/>
      <c r="B1974" s="26" t="n"/>
      <c r="C1974" s="27" t="n"/>
      <c r="D1974" s="27" t="n"/>
      <c r="E1974" s="21">
        <f>IF(OR(C1974="",D1974=""),"",ROUND(MOD(D1974-C1974,1)*24,2))</f>
        <v/>
      </c>
      <c r="F1974" s="28" t="n"/>
      <c r="G1974" s="28" t="n"/>
      <c r="H1974" s="1" t="n"/>
    </row>
    <row r="1975">
      <c r="A1975" s="1" t="n"/>
      <c r="B1975" s="26" t="n"/>
      <c r="C1975" s="27" t="n"/>
      <c r="D1975" s="27" t="n"/>
      <c r="E1975" s="21">
        <f>IF(OR(C1975="",D1975=""),"",ROUND(MOD(D1975-C1975,1)*24,2))</f>
        <v/>
      </c>
      <c r="F1975" s="28" t="n"/>
      <c r="G1975" s="28" t="n"/>
      <c r="H1975" s="1" t="n"/>
    </row>
    <row r="1976">
      <c r="A1976" s="1" t="n"/>
      <c r="B1976" s="26" t="n"/>
      <c r="C1976" s="27" t="n"/>
      <c r="D1976" s="27" t="n"/>
      <c r="E1976" s="21">
        <f>IF(OR(C1976="",D1976=""),"",ROUND(MOD(D1976-C1976,1)*24,2))</f>
        <v/>
      </c>
      <c r="F1976" s="28" t="n"/>
      <c r="G1976" s="28" t="n"/>
      <c r="H1976" s="1" t="n"/>
    </row>
    <row r="1977">
      <c r="A1977" s="1" t="n"/>
      <c r="B1977" s="26" t="n"/>
      <c r="C1977" s="27" t="n"/>
      <c r="D1977" s="27" t="n"/>
      <c r="E1977" s="21">
        <f>IF(OR(C1977="",D1977=""),"",ROUND(MOD(D1977-C1977,1)*24,2))</f>
        <v/>
      </c>
      <c r="F1977" s="28" t="n"/>
      <c r="G1977" s="28" t="n"/>
      <c r="H1977" s="1" t="n"/>
    </row>
    <row r="1978">
      <c r="A1978" s="1" t="n"/>
      <c r="B1978" s="26" t="n"/>
      <c r="C1978" s="27" t="n"/>
      <c r="D1978" s="27" t="n"/>
      <c r="E1978" s="21">
        <f>IF(OR(C1978="",D1978=""),"",ROUND(MOD(D1978-C1978,1)*24,2))</f>
        <v/>
      </c>
      <c r="F1978" s="28" t="n"/>
      <c r="G1978" s="28" t="n"/>
      <c r="H1978" s="1" t="n"/>
    </row>
    <row r="1979">
      <c r="A1979" s="1" t="n"/>
      <c r="B1979" s="26" t="n"/>
      <c r="C1979" s="27" t="n"/>
      <c r="D1979" s="27" t="n"/>
      <c r="E1979" s="21">
        <f>IF(OR(C1979="",D1979=""),"",ROUND(MOD(D1979-C1979,1)*24,2))</f>
        <v/>
      </c>
      <c r="F1979" s="28" t="n"/>
      <c r="G1979" s="28" t="n"/>
      <c r="H1979" s="1" t="n"/>
    </row>
    <row r="1980">
      <c r="A1980" s="1" t="n"/>
      <c r="B1980" s="26" t="n"/>
      <c r="C1980" s="27" t="n"/>
      <c r="D1980" s="27" t="n"/>
      <c r="E1980" s="21">
        <f>IF(OR(C1980="",D1980=""),"",ROUND(MOD(D1980-C1980,1)*24,2))</f>
        <v/>
      </c>
      <c r="F1980" s="28" t="n"/>
      <c r="G1980" s="28" t="n"/>
      <c r="H1980" s="1" t="n"/>
    </row>
    <row r="1981">
      <c r="A1981" s="1" t="n"/>
      <c r="B1981" s="26" t="n"/>
      <c r="C1981" s="27" t="n"/>
      <c r="D1981" s="27" t="n"/>
      <c r="E1981" s="21">
        <f>IF(OR(C1981="",D1981=""),"",ROUND(MOD(D1981-C1981,1)*24,2))</f>
        <v/>
      </c>
      <c r="F1981" s="28" t="n"/>
      <c r="G1981" s="28" t="n"/>
      <c r="H1981" s="1" t="n"/>
    </row>
    <row r="1982">
      <c r="A1982" s="1" t="n"/>
      <c r="B1982" s="26" t="n"/>
      <c r="C1982" s="27" t="n"/>
      <c r="D1982" s="27" t="n"/>
      <c r="E1982" s="21">
        <f>IF(OR(C1982="",D1982=""),"",ROUND(MOD(D1982-C1982,1)*24,2))</f>
        <v/>
      </c>
      <c r="F1982" s="28" t="n"/>
      <c r="G1982" s="28" t="n"/>
      <c r="H1982" s="1" t="n"/>
    </row>
    <row r="1983">
      <c r="A1983" s="1" t="n"/>
      <c r="B1983" s="26" t="n"/>
      <c r="C1983" s="27" t="n"/>
      <c r="D1983" s="27" t="n"/>
      <c r="E1983" s="21">
        <f>IF(OR(C1983="",D1983=""),"",ROUND(MOD(D1983-C1983,1)*24,2))</f>
        <v/>
      </c>
      <c r="F1983" s="28" t="n"/>
      <c r="G1983" s="28" t="n"/>
      <c r="H1983" s="1" t="n"/>
    </row>
    <row r="1984">
      <c r="A1984" s="1" t="n"/>
      <c r="B1984" s="26" t="n"/>
      <c r="C1984" s="27" t="n"/>
      <c r="D1984" s="27" t="n"/>
      <c r="E1984" s="21">
        <f>IF(OR(C1984="",D1984=""),"",ROUND(MOD(D1984-C1984,1)*24,2))</f>
        <v/>
      </c>
      <c r="F1984" s="28" t="n"/>
      <c r="G1984" s="28" t="n"/>
      <c r="H1984" s="1" t="n"/>
    </row>
    <row r="1985">
      <c r="A1985" s="1" t="n"/>
      <c r="B1985" s="26" t="n"/>
      <c r="C1985" s="27" t="n"/>
      <c r="D1985" s="27" t="n"/>
      <c r="E1985" s="21">
        <f>IF(OR(C1985="",D1985=""),"",ROUND(MOD(D1985-C1985,1)*24,2))</f>
        <v/>
      </c>
      <c r="F1985" s="28" t="n"/>
      <c r="G1985" s="28" t="n"/>
      <c r="H1985" s="1" t="n"/>
    </row>
    <row r="1986">
      <c r="A1986" s="1" t="n"/>
      <c r="B1986" s="26" t="n"/>
      <c r="C1986" s="27" t="n"/>
      <c r="D1986" s="27" t="n"/>
      <c r="E1986" s="21">
        <f>IF(OR(C1986="",D1986=""),"",ROUND(MOD(D1986-C1986,1)*24,2))</f>
        <v/>
      </c>
      <c r="F1986" s="28" t="n"/>
      <c r="G1986" s="28" t="n"/>
      <c r="H1986" s="1" t="n"/>
    </row>
    <row r="1987">
      <c r="A1987" s="1" t="n"/>
      <c r="B1987" s="26" t="n"/>
      <c r="C1987" s="27" t="n"/>
      <c r="D1987" s="27" t="n"/>
      <c r="E1987" s="21">
        <f>IF(OR(C1987="",D1987=""),"",ROUND(MOD(D1987-C1987,1)*24,2))</f>
        <v/>
      </c>
      <c r="F1987" s="28" t="n"/>
      <c r="G1987" s="28" t="n"/>
      <c r="H1987" s="1" t="n"/>
    </row>
    <row r="1988">
      <c r="A1988" s="1" t="n"/>
      <c r="B1988" s="26" t="n"/>
      <c r="C1988" s="27" t="n"/>
      <c r="D1988" s="27" t="n"/>
      <c r="E1988" s="21">
        <f>IF(OR(C1988="",D1988=""),"",ROUND(MOD(D1988-C1988,1)*24,2))</f>
        <v/>
      </c>
      <c r="F1988" s="28" t="n"/>
      <c r="G1988" s="28" t="n"/>
      <c r="H1988" s="1" t="n"/>
    </row>
    <row r="1989">
      <c r="A1989" s="1" t="n"/>
      <c r="B1989" s="26" t="n"/>
      <c r="C1989" s="27" t="n"/>
      <c r="D1989" s="27" t="n"/>
      <c r="E1989" s="21">
        <f>IF(OR(C1989="",D1989=""),"",ROUND(MOD(D1989-C1989,1)*24,2))</f>
        <v/>
      </c>
      <c r="F1989" s="28" t="n"/>
      <c r="G1989" s="28" t="n"/>
      <c r="H1989" s="1" t="n"/>
    </row>
    <row r="1990">
      <c r="A1990" s="1" t="n"/>
      <c r="B1990" s="26" t="n"/>
      <c r="C1990" s="27" t="n"/>
      <c r="D1990" s="27" t="n"/>
      <c r="E1990" s="21">
        <f>IF(OR(C1990="",D1990=""),"",ROUND(MOD(D1990-C1990,1)*24,2))</f>
        <v/>
      </c>
      <c r="F1990" s="28" t="n"/>
      <c r="G1990" s="28" t="n"/>
      <c r="H1990" s="1" t="n"/>
    </row>
    <row r="1991">
      <c r="A1991" s="1" t="n"/>
      <c r="B1991" s="26" t="n"/>
      <c r="C1991" s="27" t="n"/>
      <c r="D1991" s="27" t="n"/>
      <c r="E1991" s="21">
        <f>IF(OR(C1991="",D1991=""),"",ROUND(MOD(D1991-C1991,1)*24,2))</f>
        <v/>
      </c>
      <c r="F1991" s="28" t="n"/>
      <c r="G1991" s="28" t="n"/>
      <c r="H1991" s="1" t="n"/>
    </row>
    <row r="1992">
      <c r="A1992" s="1" t="n"/>
      <c r="B1992" s="26" t="n"/>
      <c r="C1992" s="27" t="n"/>
      <c r="D1992" s="27" t="n"/>
      <c r="E1992" s="21">
        <f>IF(OR(C1992="",D1992=""),"",ROUND(MOD(D1992-C1992,1)*24,2))</f>
        <v/>
      </c>
      <c r="F1992" s="28" t="n"/>
      <c r="G1992" s="28" t="n"/>
      <c r="H1992" s="1" t="n"/>
    </row>
    <row r="1993">
      <c r="A1993" s="1" t="n"/>
      <c r="B1993" s="26" t="n"/>
      <c r="C1993" s="27" t="n"/>
      <c r="D1993" s="27" t="n"/>
      <c r="E1993" s="21">
        <f>IF(OR(C1993="",D1993=""),"",ROUND(MOD(D1993-C1993,1)*24,2))</f>
        <v/>
      </c>
      <c r="F1993" s="28" t="n"/>
      <c r="G1993" s="28" t="n"/>
      <c r="H1993" s="1" t="n"/>
    </row>
    <row r="1994">
      <c r="A1994" s="1" t="n"/>
      <c r="B1994" s="26" t="n"/>
      <c r="C1994" s="27" t="n"/>
      <c r="D1994" s="27" t="n"/>
      <c r="E1994" s="21">
        <f>IF(OR(C1994="",D1994=""),"",ROUND(MOD(D1994-C1994,1)*24,2))</f>
        <v/>
      </c>
      <c r="F1994" s="28" t="n"/>
      <c r="G1994" s="28" t="n"/>
      <c r="H1994" s="1" t="n"/>
    </row>
    <row r="1995">
      <c r="A1995" s="1" t="n"/>
      <c r="B1995" s="26" t="n"/>
      <c r="C1995" s="27" t="n"/>
      <c r="D1995" s="27" t="n"/>
      <c r="E1995" s="21">
        <f>IF(OR(C1995="",D1995=""),"",ROUND(MOD(D1995-C1995,1)*24,2))</f>
        <v/>
      </c>
      <c r="F1995" s="28" t="n"/>
      <c r="G1995" s="28" t="n"/>
      <c r="H1995" s="1" t="n"/>
    </row>
    <row r="1996">
      <c r="A1996" s="1" t="n"/>
      <c r="B1996" s="26" t="n"/>
      <c r="C1996" s="27" t="n"/>
      <c r="D1996" s="27" t="n"/>
      <c r="E1996" s="21">
        <f>IF(OR(C1996="",D1996=""),"",ROUND(MOD(D1996-C1996,1)*24,2))</f>
        <v/>
      </c>
      <c r="F1996" s="28" t="n"/>
      <c r="G1996" s="28" t="n"/>
      <c r="H1996" s="1" t="n"/>
    </row>
    <row r="1997">
      <c r="A1997" s="1" t="n"/>
      <c r="B1997" s="26" t="n"/>
      <c r="C1997" s="27" t="n"/>
      <c r="D1997" s="27" t="n"/>
      <c r="E1997" s="21">
        <f>IF(OR(C1997="",D1997=""),"",ROUND(MOD(D1997-C1997,1)*24,2))</f>
        <v/>
      </c>
      <c r="F1997" s="28" t="n"/>
      <c r="G1997" s="28" t="n"/>
      <c r="H1997" s="1" t="n"/>
    </row>
    <row r="1998">
      <c r="A1998" s="1" t="n"/>
      <c r="B1998" s="26" t="n"/>
      <c r="C1998" s="27" t="n"/>
      <c r="D1998" s="27" t="n"/>
      <c r="E1998" s="21">
        <f>IF(OR(C1998="",D1998=""),"",ROUND(MOD(D1998-C1998,1)*24,2))</f>
        <v/>
      </c>
      <c r="F1998" s="28" t="n"/>
      <c r="G1998" s="28" t="n"/>
      <c r="H1998" s="1" t="n"/>
    </row>
    <row r="1999">
      <c r="A1999" s="1" t="n"/>
      <c r="B1999" s="26" t="n"/>
      <c r="C1999" s="27" t="n"/>
      <c r="D1999" s="27" t="n"/>
      <c r="E1999" s="21">
        <f>IF(OR(C1999="",D1999=""),"",ROUND(MOD(D1999-C1999,1)*24,2))</f>
        <v/>
      </c>
      <c r="F1999" s="28" t="n"/>
      <c r="G1999" s="28" t="n"/>
      <c r="H1999" s="1" t="n"/>
    </row>
    <row r="2000">
      <c r="A2000" s="1" t="n"/>
      <c r="B2000" s="26" t="n"/>
      <c r="C2000" s="27" t="n"/>
      <c r="D2000" s="27" t="n"/>
      <c r="E2000" s="21">
        <f>IF(OR(C2000="",D2000=""),"",ROUND(MOD(D2000-C2000,1)*24,2))</f>
        <v/>
      </c>
      <c r="F2000" s="28" t="n"/>
      <c r="G2000" s="28" t="n"/>
      <c r="H2000" s="1" t="n"/>
    </row>
    <row r="2001">
      <c r="A2001" s="1" t="n"/>
      <c r="B2001" s="26" t="n"/>
      <c r="C2001" s="27" t="n"/>
      <c r="D2001" s="27" t="n"/>
      <c r="E2001" s="21">
        <f>IF(OR(C2001="",D2001=""),"",ROUND(MOD(D2001-C2001,1)*24,2))</f>
        <v/>
      </c>
      <c r="F2001" s="28" t="n"/>
      <c r="G2001" s="28" t="n"/>
      <c r="H2001" s="1" t="n"/>
    </row>
    <row r="2002">
      <c r="A2002" s="1" t="n"/>
      <c r="B2002" s="26" t="n"/>
      <c r="C2002" s="27" t="n"/>
      <c r="D2002" s="27" t="n"/>
      <c r="E2002" s="21">
        <f>IF(OR(C2002="",D2002=""),"",ROUND(MOD(D2002-C2002,1)*24,2))</f>
        <v/>
      </c>
      <c r="F2002" s="28" t="n"/>
      <c r="G2002" s="28" t="n"/>
      <c r="H2002" s="1" t="n"/>
    </row>
    <row r="2003">
      <c r="A2003" s="1" t="n"/>
      <c r="B2003" s="26" t="n"/>
      <c r="C2003" s="27" t="n"/>
      <c r="D2003" s="27" t="n"/>
      <c r="E2003" s="21">
        <f>IF(OR(C2003="",D2003=""),"",ROUND(MOD(D2003-C2003,1)*24,2))</f>
        <v/>
      </c>
      <c r="F2003" s="28" t="n"/>
      <c r="G2003" s="28" t="n"/>
      <c r="H2003" s="1" t="n"/>
    </row>
    <row r="2004">
      <c r="A2004" s="1" t="n"/>
      <c r="B2004" s="26" t="n"/>
      <c r="C2004" s="27" t="n"/>
      <c r="D2004" s="27" t="n"/>
      <c r="E2004" s="21">
        <f>IF(OR(C2004="",D2004=""),"",ROUND(MOD(D2004-C2004,1)*24,2))</f>
        <v/>
      </c>
      <c r="F2004" s="28" t="n"/>
      <c r="G2004" s="28" t="n"/>
      <c r="H2004" s="1" t="n"/>
    </row>
    <row r="2005">
      <c r="A2005" s="1" t="n"/>
      <c r="B2005" s="26" t="n"/>
      <c r="C2005" s="27" t="n"/>
      <c r="D2005" s="27" t="n"/>
      <c r="E2005" s="21">
        <f>IF(OR(C2005="",D2005=""),"",ROUND(MOD(D2005-C2005,1)*24,2))</f>
        <v/>
      </c>
      <c r="F2005" s="28" t="n"/>
      <c r="G2005" s="28" t="n"/>
      <c r="H2005" s="1" t="n"/>
    </row>
    <row r="2006">
      <c r="A2006" s="1" t="n"/>
      <c r="B2006" s="26" t="n"/>
      <c r="C2006" s="27" t="n"/>
      <c r="D2006" s="27" t="n"/>
      <c r="E2006" s="21">
        <f>IF(OR(C2006="",D2006=""),"",ROUND(MOD(D2006-C2006,1)*24,2))</f>
        <v/>
      </c>
      <c r="F2006" s="28" t="n"/>
      <c r="G2006" s="28" t="n"/>
      <c r="H2006" s="1" t="n"/>
    </row>
    <row r="2007">
      <c r="A2007" s="1" t="n"/>
      <c r="B2007" s="26" t="n"/>
      <c r="C2007" s="27" t="n"/>
      <c r="D2007" s="27" t="n"/>
      <c r="E2007" s="21">
        <f>IF(OR(C2007="",D2007=""),"",ROUND(MOD(D2007-C2007,1)*24,2))</f>
        <v/>
      </c>
      <c r="F2007" s="28" t="n"/>
      <c r="G2007" s="28" t="n"/>
      <c r="H2007" s="1" t="n"/>
    </row>
    <row r="2008">
      <c r="A2008" s="1" t="n"/>
      <c r="B2008" s="26" t="n"/>
      <c r="C2008" s="27" t="n"/>
      <c r="D2008" s="27" t="n"/>
      <c r="E2008" s="21">
        <f>IF(OR(C2008="",D2008=""),"",ROUND(MOD(D2008-C2008,1)*24,2))</f>
        <v/>
      </c>
      <c r="F2008" s="28" t="n"/>
      <c r="G2008" s="28" t="n"/>
      <c r="H2008" s="1" t="n"/>
    </row>
    <row r="2009">
      <c r="A2009" s="1" t="n"/>
      <c r="B2009" s="26" t="n"/>
      <c r="C2009" s="27" t="n"/>
      <c r="D2009" s="27" t="n"/>
      <c r="E2009" s="21">
        <f>IF(OR(C2009="",D2009=""),"",ROUND(MOD(D2009-C2009,1)*24,2))</f>
        <v/>
      </c>
      <c r="F2009" s="28" t="n"/>
      <c r="G2009" s="28" t="n"/>
      <c r="H2009" s="1" t="n"/>
    </row>
    <row r="2010">
      <c r="A2010" s="1" t="n"/>
      <c r="B2010" s="26" t="n"/>
      <c r="C2010" s="27" t="n"/>
      <c r="D2010" s="27" t="n"/>
      <c r="E2010" s="21">
        <f>IF(OR(C2010="",D2010=""),"",ROUND(MOD(D2010-C2010,1)*24,2))</f>
        <v/>
      </c>
      <c r="F2010" s="28" t="n"/>
      <c r="G2010" s="28" t="n"/>
      <c r="H2010" s="1" t="n"/>
    </row>
    <row r="2011">
      <c r="A2011" s="1" t="n"/>
      <c r="B2011" s="26" t="n"/>
      <c r="C2011" s="27" t="n"/>
      <c r="D2011" s="27" t="n"/>
      <c r="E2011" s="21">
        <f>IF(OR(C2011="",D2011=""),"",ROUND(MOD(D2011-C2011,1)*24,2))</f>
        <v/>
      </c>
      <c r="F2011" s="28" t="n"/>
      <c r="G2011" s="28" t="n"/>
      <c r="H2011" s="1" t="n"/>
    </row>
    <row r="2012">
      <c r="A2012" s="1" t="n"/>
      <c r="B2012" s="26" t="n"/>
      <c r="C2012" s="27" t="n"/>
      <c r="D2012" s="27" t="n"/>
      <c r="E2012" s="21">
        <f>IF(OR(C2012="",D2012=""),"",ROUND(MOD(D2012-C2012,1)*24,2))</f>
        <v/>
      </c>
      <c r="F2012" s="28" t="n"/>
      <c r="G2012" s="28" t="n"/>
      <c r="H2012" s="1" t="n"/>
    </row>
    <row r="2013">
      <c r="A2013" s="1" t="n"/>
      <c r="B2013" s="26" t="n"/>
      <c r="C2013" s="27" t="n"/>
      <c r="D2013" s="27" t="n"/>
      <c r="E2013" s="21">
        <f>IF(OR(C2013="",D2013=""),"",ROUND(MOD(D2013-C2013,1)*24,2))</f>
        <v/>
      </c>
      <c r="F2013" s="28" t="n"/>
      <c r="G2013" s="28" t="n"/>
      <c r="H2013" s="1" t="n"/>
    </row>
    <row r="2014">
      <c r="A2014" s="1" t="n"/>
      <c r="B2014" s="26" t="n"/>
      <c r="C2014" s="27" t="n"/>
      <c r="D2014" s="27" t="n"/>
      <c r="E2014" s="21">
        <f>IF(OR(C2014="",D2014=""),"",ROUND(MOD(D2014-C2014,1)*24,2))</f>
        <v/>
      </c>
      <c r="F2014" s="28" t="n"/>
      <c r="G2014" s="28" t="n"/>
      <c r="H2014" s="1" t="n"/>
    </row>
    <row r="2015">
      <c r="A2015" s="1" t="n"/>
      <c r="B2015" s="26" t="n"/>
      <c r="C2015" s="27" t="n"/>
      <c r="D2015" s="27" t="n"/>
      <c r="E2015" s="21">
        <f>IF(OR(C2015="",D2015=""),"",ROUND(MOD(D2015-C2015,1)*24,2))</f>
        <v/>
      </c>
      <c r="F2015" s="28" t="n"/>
      <c r="G2015" s="28" t="n"/>
      <c r="H2015" s="1" t="n"/>
    </row>
    <row r="2016">
      <c r="A2016" s="1" t="n"/>
      <c r="B2016" s="26" t="n"/>
      <c r="C2016" s="27" t="n"/>
      <c r="D2016" s="27" t="n"/>
      <c r="E2016" s="21">
        <f>IF(OR(C2016="",D2016=""),"",ROUND(MOD(D2016-C2016,1)*24,2))</f>
        <v/>
      </c>
      <c r="F2016" s="28" t="n"/>
      <c r="G2016" s="28" t="n"/>
      <c r="H2016" s="1" t="n"/>
    </row>
    <row r="2017">
      <c r="A2017" s="1" t="n"/>
      <c r="B2017" s="26" t="n"/>
      <c r="C2017" s="27" t="n"/>
      <c r="D2017" s="27" t="n"/>
      <c r="E2017" s="21">
        <f>IF(OR(C2017="",D2017=""),"",ROUND(MOD(D2017-C2017,1)*24,2))</f>
        <v/>
      </c>
      <c r="F2017" s="28" t="n"/>
      <c r="G2017" s="28" t="n"/>
      <c r="H2017" s="1" t="n"/>
    </row>
    <row r="2018">
      <c r="A2018" s="1" t="n"/>
      <c r="B2018" s="26" t="n"/>
      <c r="C2018" s="27" t="n"/>
      <c r="D2018" s="27" t="n"/>
      <c r="E2018" s="21">
        <f>IF(OR(C2018="",D2018=""),"",ROUND(MOD(D2018-C2018,1)*24,2))</f>
        <v/>
      </c>
      <c r="F2018" s="28" t="n"/>
      <c r="G2018" s="28" t="n"/>
      <c r="H2018" s="1" t="n"/>
    </row>
    <row r="2019">
      <c r="A2019" s="1" t="n"/>
      <c r="B2019" s="26" t="n"/>
      <c r="C2019" s="27" t="n"/>
      <c r="D2019" s="27" t="n"/>
      <c r="E2019" s="21">
        <f>IF(OR(C2019="",D2019=""),"",ROUND(MOD(D2019-C2019,1)*24,2))</f>
        <v/>
      </c>
      <c r="F2019" s="28" t="n"/>
      <c r="G2019" s="28" t="n"/>
      <c r="H2019" s="1" t="n"/>
    </row>
    <row r="2020">
      <c r="A2020" s="1" t="n"/>
      <c r="B2020" s="26" t="n"/>
      <c r="C2020" s="27" t="n"/>
      <c r="D2020" s="27" t="n"/>
      <c r="E2020" s="21">
        <f>IF(OR(C2020="",D2020=""),"",ROUND(MOD(D2020-C2020,1)*24,2))</f>
        <v/>
      </c>
      <c r="F2020" s="28" t="n"/>
      <c r="G2020" s="28" t="n"/>
      <c r="H2020" s="1" t="n"/>
    </row>
    <row r="2021">
      <c r="A2021" s="1" t="n"/>
      <c r="B2021" s="26" t="n"/>
      <c r="C2021" s="27" t="n"/>
      <c r="D2021" s="27" t="n"/>
      <c r="E2021" s="21">
        <f>IF(OR(C2021="",D2021=""),"",ROUND(MOD(D2021-C2021,1)*24,2))</f>
        <v/>
      </c>
      <c r="F2021" s="28" t="n"/>
      <c r="G2021" s="28" t="n"/>
      <c r="H2021" s="1" t="n"/>
    </row>
    <row r="2022">
      <c r="A2022" s="1" t="n"/>
      <c r="B2022" s="26" t="n"/>
      <c r="C2022" s="27" t="n"/>
      <c r="D2022" s="27" t="n"/>
      <c r="E2022" s="21">
        <f>IF(OR(C2022="",D2022=""),"",ROUND(MOD(D2022-C2022,1)*24,2))</f>
        <v/>
      </c>
      <c r="F2022" s="28" t="n"/>
      <c r="G2022" s="28" t="n"/>
      <c r="H2022" s="1" t="n"/>
    </row>
    <row r="2023">
      <c r="A2023" s="1" t="n"/>
      <c r="B2023" s="26" t="n"/>
      <c r="C2023" s="27" t="n"/>
      <c r="D2023" s="27" t="n"/>
      <c r="E2023" s="21">
        <f>IF(OR(C2023="",D2023=""),"",ROUND(MOD(D2023-C2023,1)*24,2))</f>
        <v/>
      </c>
      <c r="F2023" s="28" t="n"/>
      <c r="G2023" s="28" t="n"/>
      <c r="H2023" s="1" t="n"/>
    </row>
    <row r="2024">
      <c r="A2024" s="1" t="n"/>
      <c r="B2024" s="26" t="n"/>
      <c r="C2024" s="27" t="n"/>
      <c r="D2024" s="27" t="n"/>
      <c r="E2024" s="21">
        <f>IF(OR(C2024="",D2024=""),"",ROUND(MOD(D2024-C2024,1)*24,2))</f>
        <v/>
      </c>
      <c r="F2024" s="28" t="n"/>
      <c r="G2024" s="28" t="n"/>
      <c r="H2024" s="1" t="n"/>
    </row>
    <row r="2025">
      <c r="A2025" s="1" t="n"/>
      <c r="B2025" s="26" t="n"/>
      <c r="C2025" s="27" t="n"/>
      <c r="D2025" s="27" t="n"/>
      <c r="E2025" s="21">
        <f>IF(OR(C2025="",D2025=""),"",ROUND(MOD(D2025-C2025,1)*24,2))</f>
        <v/>
      </c>
      <c r="F2025" s="28" t="n"/>
      <c r="G2025" s="28" t="n"/>
      <c r="H2025" s="1" t="n"/>
    </row>
    <row r="2026">
      <c r="A2026" s="1" t="n"/>
      <c r="B2026" s="26" t="n"/>
      <c r="C2026" s="27" t="n"/>
      <c r="D2026" s="27" t="n"/>
      <c r="E2026" s="21">
        <f>IF(OR(C2026="",D2026=""),"",ROUND(MOD(D2026-C2026,1)*24,2))</f>
        <v/>
      </c>
      <c r="F2026" s="28" t="n"/>
      <c r="G2026" s="28" t="n"/>
      <c r="H2026" s="1" t="n"/>
    </row>
    <row r="2027">
      <c r="A2027" s="1" t="n"/>
      <c r="B2027" s="26" t="n"/>
      <c r="C2027" s="27" t="n"/>
      <c r="D2027" s="27" t="n"/>
      <c r="E2027" s="21">
        <f>IF(OR(C2027="",D2027=""),"",ROUND(MOD(D2027-C2027,1)*24,2))</f>
        <v/>
      </c>
      <c r="F2027" s="28" t="n"/>
      <c r="G2027" s="28" t="n"/>
      <c r="H2027" s="1" t="n"/>
    </row>
    <row r="2028">
      <c r="A2028" s="1" t="n"/>
      <c r="B2028" s="26" t="n"/>
      <c r="C2028" s="27" t="n"/>
      <c r="D2028" s="27" t="n"/>
      <c r="E2028" s="21">
        <f>IF(OR(C2028="",D2028=""),"",ROUND(MOD(D2028-C2028,1)*24,2))</f>
        <v/>
      </c>
      <c r="F2028" s="28" t="n"/>
      <c r="G2028" s="28" t="n"/>
      <c r="H2028" s="1" t="n"/>
    </row>
    <row r="2029">
      <c r="A2029" s="1" t="n"/>
      <c r="B2029" s="26" t="n"/>
      <c r="C2029" s="27" t="n"/>
      <c r="D2029" s="27" t="n"/>
      <c r="E2029" s="21">
        <f>IF(OR(C2029="",D2029=""),"",ROUND(MOD(D2029-C2029,1)*24,2))</f>
        <v/>
      </c>
      <c r="F2029" s="28" t="n"/>
      <c r="G2029" s="28" t="n"/>
      <c r="H2029" s="1" t="n"/>
    </row>
    <row r="2030">
      <c r="A2030" s="1" t="n"/>
      <c r="B2030" s="26" t="n"/>
      <c r="C2030" s="27" t="n"/>
      <c r="D2030" s="27" t="n"/>
      <c r="E2030" s="21">
        <f>IF(OR(C2030="",D2030=""),"",ROUND(MOD(D2030-C2030,1)*24,2))</f>
        <v/>
      </c>
      <c r="F2030" s="28" t="n"/>
      <c r="G2030" s="28" t="n"/>
      <c r="H2030" s="1" t="n"/>
    </row>
    <row r="2031">
      <c r="A2031" s="1" t="n"/>
      <c r="B2031" s="26" t="n"/>
      <c r="C2031" s="27" t="n"/>
      <c r="D2031" s="27" t="n"/>
      <c r="E2031" s="21">
        <f>IF(OR(C2031="",D2031=""),"",ROUND(MOD(D2031-C2031,1)*24,2))</f>
        <v/>
      </c>
      <c r="F2031" s="28" t="n"/>
      <c r="G2031" s="28" t="n"/>
      <c r="H2031" s="1" t="n"/>
    </row>
    <row r="2032">
      <c r="A2032" s="1" t="n"/>
      <c r="B2032" s="26" t="n"/>
      <c r="C2032" s="27" t="n"/>
      <c r="D2032" s="27" t="n"/>
      <c r="E2032" s="21">
        <f>IF(OR(C2032="",D2032=""),"",ROUND(MOD(D2032-C2032,1)*24,2))</f>
        <v/>
      </c>
      <c r="F2032" s="28" t="n"/>
      <c r="G2032" s="28" t="n"/>
      <c r="H2032" s="1" t="n"/>
    </row>
    <row r="2033">
      <c r="A2033" s="1" t="n"/>
      <c r="B2033" s="26" t="n"/>
      <c r="C2033" s="27" t="n"/>
      <c r="D2033" s="27" t="n"/>
      <c r="E2033" s="21">
        <f>IF(OR(C2033="",D2033=""),"",ROUND(MOD(D2033-C2033,1)*24,2))</f>
        <v/>
      </c>
      <c r="F2033" s="28" t="n"/>
      <c r="G2033" s="28" t="n"/>
      <c r="H2033" s="1" t="n"/>
    </row>
    <row r="2034">
      <c r="A2034" s="1" t="n"/>
      <c r="B2034" s="26" t="n"/>
      <c r="C2034" s="27" t="n"/>
      <c r="D2034" s="27" t="n"/>
      <c r="E2034" s="21">
        <f>IF(OR(C2034="",D2034=""),"",ROUND(MOD(D2034-C2034,1)*24,2))</f>
        <v/>
      </c>
      <c r="F2034" s="28" t="n"/>
      <c r="G2034" s="28" t="n"/>
      <c r="H2034" s="1" t="n"/>
    </row>
    <row r="2035">
      <c r="A2035" s="1" t="n"/>
      <c r="B2035" s="26" t="n"/>
      <c r="C2035" s="27" t="n"/>
      <c r="D2035" s="27" t="n"/>
      <c r="E2035" s="21">
        <f>IF(OR(C2035="",D2035=""),"",ROUND(MOD(D2035-C2035,1)*24,2))</f>
        <v/>
      </c>
      <c r="F2035" s="28" t="n"/>
      <c r="G2035" s="28" t="n"/>
      <c r="H2035" s="1" t="n"/>
    </row>
    <row r="2036">
      <c r="A2036" s="1" t="n"/>
      <c r="B2036" s="26" t="n"/>
      <c r="C2036" s="27" t="n"/>
      <c r="D2036" s="27" t="n"/>
      <c r="E2036" s="21">
        <f>IF(OR(C2036="",D2036=""),"",ROUND(MOD(D2036-C2036,1)*24,2))</f>
        <v/>
      </c>
      <c r="F2036" s="28" t="n"/>
      <c r="G2036" s="28" t="n"/>
      <c r="H2036" s="1" t="n"/>
    </row>
    <row r="2037">
      <c r="A2037" s="1" t="n"/>
      <c r="B2037" s="26" t="n"/>
      <c r="C2037" s="27" t="n"/>
      <c r="D2037" s="27" t="n"/>
      <c r="E2037" s="21">
        <f>IF(OR(C2037="",D2037=""),"",ROUND(MOD(D2037-C2037,1)*24,2))</f>
        <v/>
      </c>
      <c r="F2037" s="28" t="n"/>
      <c r="G2037" s="28" t="n"/>
      <c r="H2037" s="1" t="n"/>
    </row>
    <row r="2038">
      <c r="A2038" s="1" t="n"/>
      <c r="B2038" s="26" t="n"/>
      <c r="C2038" s="27" t="n"/>
      <c r="D2038" s="27" t="n"/>
      <c r="E2038" s="21">
        <f>IF(OR(C2038="",D2038=""),"",ROUND(MOD(D2038-C2038,1)*24,2))</f>
        <v/>
      </c>
      <c r="F2038" s="28" t="n"/>
      <c r="G2038" s="28" t="n"/>
      <c r="H2038" s="1" t="n"/>
    </row>
    <row r="2039">
      <c r="A2039" s="1" t="n"/>
      <c r="B2039" s="26" t="n"/>
      <c r="C2039" s="27" t="n"/>
      <c r="D2039" s="27" t="n"/>
      <c r="E2039" s="21">
        <f>IF(OR(C2039="",D2039=""),"",ROUND(MOD(D2039-C2039,1)*24,2))</f>
        <v/>
      </c>
      <c r="F2039" s="28" t="n"/>
      <c r="G2039" s="28" t="n"/>
      <c r="H2039" s="1" t="n"/>
    </row>
    <row r="2040">
      <c r="A2040" s="1" t="n"/>
      <c r="B2040" s="26" t="n"/>
      <c r="C2040" s="27" t="n"/>
      <c r="D2040" s="27" t="n"/>
      <c r="E2040" s="21">
        <f>IF(OR(C2040="",D2040=""),"",ROUND(MOD(D2040-C2040,1)*24,2))</f>
        <v/>
      </c>
      <c r="F2040" s="28" t="n"/>
      <c r="G2040" s="28" t="n"/>
      <c r="H2040" s="1" t="n"/>
    </row>
    <row r="2041">
      <c r="A2041" s="1" t="n"/>
      <c r="B2041" s="26" t="n"/>
      <c r="C2041" s="27" t="n"/>
      <c r="D2041" s="27" t="n"/>
      <c r="E2041" s="21">
        <f>IF(OR(C2041="",D2041=""),"",ROUND(MOD(D2041-C2041,1)*24,2))</f>
        <v/>
      </c>
      <c r="F2041" s="28" t="n"/>
      <c r="G2041" s="28" t="n"/>
      <c r="H2041" s="1" t="n"/>
    </row>
    <row r="2042">
      <c r="A2042" s="1" t="n"/>
      <c r="B2042" s="26" t="n"/>
      <c r="C2042" s="27" t="n"/>
      <c r="D2042" s="27" t="n"/>
      <c r="E2042" s="21">
        <f>IF(OR(C2042="",D2042=""),"",ROUND(MOD(D2042-C2042,1)*24,2))</f>
        <v/>
      </c>
      <c r="F2042" s="28" t="n"/>
      <c r="G2042" s="28" t="n"/>
      <c r="H2042" s="1" t="n"/>
    </row>
    <row r="2043">
      <c r="A2043" s="1" t="n"/>
      <c r="B2043" s="26" t="n"/>
      <c r="C2043" s="27" t="n"/>
      <c r="D2043" s="27" t="n"/>
      <c r="E2043" s="21">
        <f>IF(OR(C2043="",D2043=""),"",ROUND(MOD(D2043-C2043,1)*24,2))</f>
        <v/>
      </c>
      <c r="F2043" s="28" t="n"/>
      <c r="G2043" s="28" t="n"/>
      <c r="H2043" s="1" t="n"/>
    </row>
    <row r="2044">
      <c r="A2044" s="1" t="n"/>
      <c r="B2044" s="26" t="n"/>
      <c r="C2044" s="27" t="n"/>
      <c r="D2044" s="27" t="n"/>
      <c r="E2044" s="21">
        <f>IF(OR(C2044="",D2044=""),"",ROUND(MOD(D2044-C2044,1)*24,2))</f>
        <v/>
      </c>
      <c r="F2044" s="28" t="n"/>
      <c r="G2044" s="28" t="n"/>
      <c r="H2044" s="1" t="n"/>
    </row>
    <row r="2045">
      <c r="A2045" s="1" t="n"/>
      <c r="B2045" s="26" t="n"/>
      <c r="C2045" s="27" t="n"/>
      <c r="D2045" s="27" t="n"/>
      <c r="E2045" s="21">
        <f>IF(OR(C2045="",D2045=""),"",ROUND(MOD(D2045-C2045,1)*24,2))</f>
        <v/>
      </c>
      <c r="F2045" s="28" t="n"/>
      <c r="G2045" s="28" t="n"/>
      <c r="H2045" s="1" t="n"/>
    </row>
    <row r="2046">
      <c r="A2046" s="1" t="n"/>
      <c r="B2046" s="26" t="n"/>
      <c r="C2046" s="27" t="n"/>
      <c r="D2046" s="27" t="n"/>
      <c r="E2046" s="21">
        <f>IF(OR(C2046="",D2046=""),"",ROUND(MOD(D2046-C2046,1)*24,2))</f>
        <v/>
      </c>
      <c r="F2046" s="28" t="n"/>
      <c r="G2046" s="28" t="n"/>
      <c r="H2046" s="1" t="n"/>
    </row>
    <row r="2047">
      <c r="A2047" s="1" t="n"/>
      <c r="B2047" s="26" t="n"/>
      <c r="C2047" s="27" t="n"/>
      <c r="D2047" s="27" t="n"/>
      <c r="E2047" s="21">
        <f>IF(OR(C2047="",D2047=""),"",ROUND(MOD(D2047-C2047,1)*24,2))</f>
        <v/>
      </c>
      <c r="F2047" s="28" t="n"/>
      <c r="G2047" s="28" t="n"/>
      <c r="H2047" s="1" t="n"/>
    </row>
    <row r="2048">
      <c r="A2048" s="1" t="n"/>
      <c r="B2048" s="26" t="n"/>
      <c r="C2048" s="27" t="n"/>
      <c r="D2048" s="27" t="n"/>
      <c r="E2048" s="21">
        <f>IF(OR(C2048="",D2048=""),"",ROUND(MOD(D2048-C2048,1)*24,2))</f>
        <v/>
      </c>
      <c r="F2048" s="28" t="n"/>
      <c r="G2048" s="28" t="n"/>
      <c r="H2048" s="1" t="n"/>
    </row>
    <row r="2049">
      <c r="A2049" s="1" t="n"/>
      <c r="B2049" s="26" t="n"/>
      <c r="C2049" s="27" t="n"/>
      <c r="D2049" s="27" t="n"/>
      <c r="E2049" s="21">
        <f>IF(OR(C2049="",D2049=""),"",ROUND(MOD(D2049-C2049,1)*24,2))</f>
        <v/>
      </c>
      <c r="F2049" s="28" t="n"/>
      <c r="G2049" s="28" t="n"/>
      <c r="H2049" s="1" t="n"/>
    </row>
    <row r="2050">
      <c r="A2050" s="1" t="n"/>
      <c r="B2050" s="26" t="n"/>
      <c r="C2050" s="27" t="n"/>
      <c r="D2050" s="27" t="n"/>
      <c r="E2050" s="21">
        <f>IF(OR(C2050="",D2050=""),"",ROUND(MOD(D2050-C2050,1)*24,2))</f>
        <v/>
      </c>
      <c r="F2050" s="28" t="n"/>
      <c r="G2050" s="28" t="n"/>
      <c r="H2050" s="1" t="n"/>
    </row>
    <row r="2051">
      <c r="A2051" s="1" t="n"/>
      <c r="B2051" s="26" t="n"/>
      <c r="C2051" s="27" t="n"/>
      <c r="D2051" s="27" t="n"/>
      <c r="E2051" s="21">
        <f>IF(OR(C2051="",D2051=""),"",ROUND(MOD(D2051-C2051,1)*24,2))</f>
        <v/>
      </c>
      <c r="F2051" s="28" t="n"/>
      <c r="G2051" s="28" t="n"/>
      <c r="H2051" s="1" t="n"/>
    </row>
    <row r="2052">
      <c r="A2052" s="1" t="n"/>
      <c r="B2052" s="26" t="n"/>
      <c r="C2052" s="27" t="n"/>
      <c r="D2052" s="27" t="n"/>
      <c r="E2052" s="21">
        <f>IF(OR(C2052="",D2052=""),"",ROUND(MOD(D2052-C2052,1)*24,2))</f>
        <v/>
      </c>
      <c r="F2052" s="28" t="n"/>
      <c r="G2052" s="28" t="n"/>
      <c r="H2052" s="1" t="n"/>
    </row>
    <row r="2053">
      <c r="A2053" s="1" t="n"/>
      <c r="B2053" s="26" t="n"/>
      <c r="C2053" s="27" t="n"/>
      <c r="D2053" s="27" t="n"/>
      <c r="E2053" s="21">
        <f>IF(OR(C2053="",D2053=""),"",ROUND(MOD(D2053-C2053,1)*24,2))</f>
        <v/>
      </c>
      <c r="F2053" s="28" t="n"/>
      <c r="G2053" s="28" t="n"/>
      <c r="H2053" s="1" t="n"/>
    </row>
    <row r="2054">
      <c r="A2054" s="1" t="n"/>
      <c r="B2054" s="26" t="n"/>
      <c r="C2054" s="27" t="n"/>
      <c r="D2054" s="27" t="n"/>
      <c r="E2054" s="21">
        <f>IF(OR(C2054="",D2054=""),"",ROUND(MOD(D2054-C2054,1)*24,2))</f>
        <v/>
      </c>
      <c r="F2054" s="28" t="n"/>
      <c r="G2054" s="28" t="n"/>
      <c r="H2054" s="1" t="n"/>
    </row>
    <row r="2055">
      <c r="A2055" s="1" t="n"/>
      <c r="B2055" s="26" t="n"/>
      <c r="C2055" s="27" t="n"/>
      <c r="D2055" s="27" t="n"/>
      <c r="E2055" s="21">
        <f>IF(OR(C2055="",D2055=""),"",ROUND(MOD(D2055-C2055,1)*24,2))</f>
        <v/>
      </c>
      <c r="F2055" s="28" t="n"/>
      <c r="G2055" s="28" t="n"/>
      <c r="H2055" s="1" t="n"/>
    </row>
    <row r="2056">
      <c r="A2056" s="1" t="n"/>
      <c r="B2056" s="26" t="n"/>
      <c r="C2056" s="27" t="n"/>
      <c r="D2056" s="27" t="n"/>
      <c r="E2056" s="21">
        <f>IF(OR(C2056="",D2056=""),"",ROUND(MOD(D2056-C2056,1)*24,2))</f>
        <v/>
      </c>
      <c r="F2056" s="28" t="n"/>
      <c r="G2056" s="28" t="n"/>
      <c r="H2056" s="1" t="n"/>
    </row>
    <row r="2057">
      <c r="A2057" s="1" t="n"/>
      <c r="B2057" s="26" t="n"/>
      <c r="C2057" s="27" t="n"/>
      <c r="D2057" s="27" t="n"/>
      <c r="E2057" s="21">
        <f>IF(OR(C2057="",D2057=""),"",ROUND(MOD(D2057-C2057,1)*24,2))</f>
        <v/>
      </c>
      <c r="F2057" s="28" t="n"/>
      <c r="G2057" s="28" t="n"/>
      <c r="H2057" s="1" t="n"/>
    </row>
    <row r="2058">
      <c r="A2058" s="1" t="n"/>
      <c r="B2058" s="26" t="n"/>
      <c r="C2058" s="27" t="n"/>
      <c r="D2058" s="27" t="n"/>
      <c r="E2058" s="21">
        <f>IF(OR(C2058="",D2058=""),"",ROUND(MOD(D2058-C2058,1)*24,2))</f>
        <v/>
      </c>
      <c r="F2058" s="28" t="n"/>
      <c r="G2058" s="28" t="n"/>
      <c r="H2058" s="1" t="n"/>
    </row>
    <row r="2059">
      <c r="A2059" s="1" t="n"/>
      <c r="B2059" s="26" t="n"/>
      <c r="C2059" s="27" t="n"/>
      <c r="D2059" s="27" t="n"/>
      <c r="E2059" s="21">
        <f>IF(OR(C2059="",D2059=""),"",ROUND(MOD(D2059-C2059,1)*24,2))</f>
        <v/>
      </c>
      <c r="F2059" s="28" t="n"/>
      <c r="G2059" s="28" t="n"/>
      <c r="H2059" s="1" t="n"/>
    </row>
    <row r="2060">
      <c r="A2060" s="1" t="n"/>
      <c r="B2060" s="26" t="n"/>
      <c r="C2060" s="27" t="n"/>
      <c r="D2060" s="27" t="n"/>
      <c r="E2060" s="21">
        <f>IF(OR(C2060="",D2060=""),"",ROUND(MOD(D2060-C2060,1)*24,2))</f>
        <v/>
      </c>
      <c r="F2060" s="28" t="n"/>
      <c r="G2060" s="28" t="n"/>
      <c r="H2060" s="1" t="n"/>
    </row>
    <row r="2061">
      <c r="A2061" s="1" t="n"/>
      <c r="B2061" s="26" t="n"/>
      <c r="C2061" s="27" t="n"/>
      <c r="D2061" s="27" t="n"/>
      <c r="E2061" s="21">
        <f>IF(OR(C2061="",D2061=""),"",ROUND(MOD(D2061-C2061,1)*24,2))</f>
        <v/>
      </c>
      <c r="F2061" s="28" t="n"/>
      <c r="G2061" s="28" t="n"/>
      <c r="H2061" s="1" t="n"/>
    </row>
    <row r="2062">
      <c r="A2062" s="1" t="n"/>
      <c r="B2062" s="26" t="n"/>
      <c r="C2062" s="27" t="n"/>
      <c r="D2062" s="27" t="n"/>
      <c r="E2062" s="21">
        <f>IF(OR(C2062="",D2062=""),"",ROUND(MOD(D2062-C2062,1)*24,2))</f>
        <v/>
      </c>
      <c r="F2062" s="28" t="n"/>
      <c r="G2062" s="28" t="n"/>
      <c r="H2062" s="1" t="n"/>
    </row>
    <row r="2063">
      <c r="A2063" s="1" t="n"/>
      <c r="B2063" s="26" t="n"/>
      <c r="C2063" s="27" t="n"/>
      <c r="D2063" s="27" t="n"/>
      <c r="E2063" s="21">
        <f>IF(OR(C2063="",D2063=""),"",ROUND(MOD(D2063-C2063,1)*24,2))</f>
        <v/>
      </c>
      <c r="F2063" s="28" t="n"/>
      <c r="G2063" s="28" t="n"/>
      <c r="H2063" s="1" t="n"/>
    </row>
    <row r="2064">
      <c r="A2064" s="1" t="n"/>
      <c r="B2064" s="26" t="n"/>
      <c r="C2064" s="27" t="n"/>
      <c r="D2064" s="27" t="n"/>
      <c r="E2064" s="21">
        <f>IF(OR(C2064="",D2064=""),"",ROUND(MOD(D2064-C2064,1)*24,2))</f>
        <v/>
      </c>
      <c r="F2064" s="28" t="n"/>
      <c r="G2064" s="28" t="n"/>
      <c r="H2064" s="1" t="n"/>
    </row>
    <row r="2065">
      <c r="A2065" s="1" t="n"/>
      <c r="B2065" s="26" t="n"/>
      <c r="C2065" s="27" t="n"/>
      <c r="D2065" s="27" t="n"/>
      <c r="E2065" s="21">
        <f>IF(OR(C2065="",D2065=""),"",ROUND(MOD(D2065-C2065,1)*24,2))</f>
        <v/>
      </c>
      <c r="F2065" s="28" t="n"/>
      <c r="G2065" s="28" t="n"/>
      <c r="H2065" s="1" t="n"/>
    </row>
    <row r="2066">
      <c r="A2066" s="1" t="n"/>
      <c r="B2066" s="26" t="n"/>
      <c r="C2066" s="27" t="n"/>
      <c r="D2066" s="27" t="n"/>
      <c r="E2066" s="21">
        <f>IF(OR(C2066="",D2066=""),"",ROUND(MOD(D2066-C2066,1)*24,2))</f>
        <v/>
      </c>
      <c r="F2066" s="28" t="n"/>
      <c r="G2066" s="28" t="n"/>
      <c r="H2066" s="1" t="n"/>
    </row>
    <row r="2067">
      <c r="A2067" s="1" t="n"/>
      <c r="B2067" s="26" t="n"/>
      <c r="C2067" s="27" t="n"/>
      <c r="D2067" s="27" t="n"/>
      <c r="E2067" s="21">
        <f>IF(OR(C2067="",D2067=""),"",ROUND(MOD(D2067-C2067,1)*24,2))</f>
        <v/>
      </c>
      <c r="F2067" s="28" t="n"/>
      <c r="G2067" s="28" t="n"/>
      <c r="H2067" s="1" t="n"/>
    </row>
    <row r="2068">
      <c r="A2068" s="1" t="n"/>
      <c r="B2068" s="26" t="n"/>
      <c r="C2068" s="27" t="n"/>
      <c r="D2068" s="27" t="n"/>
      <c r="E2068" s="21">
        <f>IF(OR(C2068="",D2068=""),"",ROUND(MOD(D2068-C2068,1)*24,2))</f>
        <v/>
      </c>
      <c r="F2068" s="28" t="n"/>
      <c r="G2068" s="28" t="n"/>
      <c r="H2068" s="1" t="n"/>
    </row>
    <row r="2069">
      <c r="A2069" s="1" t="n"/>
      <c r="B2069" s="26" t="n"/>
      <c r="C2069" s="27" t="n"/>
      <c r="D2069" s="27" t="n"/>
      <c r="E2069" s="21">
        <f>IF(OR(C2069="",D2069=""),"",ROUND(MOD(D2069-C2069,1)*24,2))</f>
        <v/>
      </c>
      <c r="F2069" s="28" t="n"/>
      <c r="G2069" s="28" t="n"/>
      <c r="H2069" s="1" t="n"/>
    </row>
    <row r="2070">
      <c r="A2070" s="1" t="n"/>
      <c r="B2070" s="26" t="n"/>
      <c r="C2070" s="27" t="n"/>
      <c r="D2070" s="27" t="n"/>
      <c r="E2070" s="21">
        <f>IF(OR(C2070="",D2070=""),"",ROUND(MOD(D2070-C2070,1)*24,2))</f>
        <v/>
      </c>
      <c r="F2070" s="28" t="n"/>
      <c r="G2070" s="28" t="n"/>
      <c r="H2070" s="1" t="n"/>
    </row>
    <row r="2071">
      <c r="A2071" s="1" t="n"/>
      <c r="B2071" s="26" t="n"/>
      <c r="C2071" s="27" t="n"/>
      <c r="D2071" s="27" t="n"/>
      <c r="E2071" s="21">
        <f>IF(OR(C2071="",D2071=""),"",ROUND(MOD(D2071-C2071,1)*24,2))</f>
        <v/>
      </c>
      <c r="F2071" s="28" t="n"/>
      <c r="G2071" s="28" t="n"/>
      <c r="H2071" s="1" t="n"/>
    </row>
    <row r="2072">
      <c r="A2072" s="1" t="n"/>
      <c r="B2072" s="26" t="n"/>
      <c r="C2072" s="27" t="n"/>
      <c r="D2072" s="27" t="n"/>
      <c r="E2072" s="21">
        <f>IF(OR(C2072="",D2072=""),"",ROUND(MOD(D2072-C2072,1)*24,2))</f>
        <v/>
      </c>
      <c r="F2072" s="28" t="n"/>
      <c r="G2072" s="28" t="n"/>
      <c r="H2072" s="1" t="n"/>
    </row>
    <row r="2073">
      <c r="A2073" s="1" t="n"/>
      <c r="B2073" s="26" t="n"/>
      <c r="C2073" s="27" t="n"/>
      <c r="D2073" s="27" t="n"/>
      <c r="E2073" s="21">
        <f>IF(OR(C2073="",D2073=""),"",ROUND(MOD(D2073-C2073,1)*24,2))</f>
        <v/>
      </c>
      <c r="F2073" s="28" t="n"/>
      <c r="G2073" s="28" t="n"/>
      <c r="H2073" s="1" t="n"/>
    </row>
    <row r="2074">
      <c r="A2074" s="1" t="n"/>
      <c r="B2074" s="26" t="n"/>
      <c r="C2074" s="27" t="n"/>
      <c r="D2074" s="27" t="n"/>
      <c r="E2074" s="21">
        <f>IF(OR(C2074="",D2074=""),"",ROUND(MOD(D2074-C2074,1)*24,2))</f>
        <v/>
      </c>
      <c r="F2074" s="28" t="n"/>
      <c r="G2074" s="28" t="n"/>
      <c r="H2074" s="1" t="n"/>
    </row>
    <row r="2075">
      <c r="A2075" s="1" t="n"/>
      <c r="B2075" s="26" t="n"/>
      <c r="C2075" s="27" t="n"/>
      <c r="D2075" s="27" t="n"/>
      <c r="E2075" s="21">
        <f>IF(OR(C2075="",D2075=""),"",ROUND(MOD(D2075-C2075,1)*24,2))</f>
        <v/>
      </c>
      <c r="F2075" s="28" t="n"/>
      <c r="G2075" s="28" t="n"/>
      <c r="H2075" s="1" t="n"/>
    </row>
    <row r="2076">
      <c r="A2076" s="1" t="n"/>
      <c r="B2076" s="26" t="n"/>
      <c r="C2076" s="27" t="n"/>
      <c r="D2076" s="27" t="n"/>
      <c r="E2076" s="21">
        <f>IF(OR(C2076="",D2076=""),"",ROUND(MOD(D2076-C2076,1)*24,2))</f>
        <v/>
      </c>
      <c r="F2076" s="28" t="n"/>
      <c r="G2076" s="28" t="n"/>
      <c r="H2076" s="1" t="n"/>
    </row>
    <row r="2077">
      <c r="A2077" s="1" t="n"/>
      <c r="B2077" s="26" t="n"/>
      <c r="C2077" s="27" t="n"/>
      <c r="D2077" s="27" t="n"/>
      <c r="E2077" s="21">
        <f>IF(OR(C2077="",D2077=""),"",ROUND(MOD(D2077-C2077,1)*24,2))</f>
        <v/>
      </c>
      <c r="F2077" s="28" t="n"/>
      <c r="G2077" s="28" t="n"/>
      <c r="H2077" s="1" t="n"/>
    </row>
    <row r="2078">
      <c r="A2078" s="1" t="n"/>
      <c r="B2078" s="26" t="n"/>
      <c r="C2078" s="27" t="n"/>
      <c r="D2078" s="27" t="n"/>
      <c r="E2078" s="21">
        <f>IF(OR(C2078="",D2078=""),"",ROUND(MOD(D2078-C2078,1)*24,2))</f>
        <v/>
      </c>
      <c r="F2078" s="28" t="n"/>
      <c r="G2078" s="28" t="n"/>
      <c r="H2078" s="1" t="n"/>
    </row>
    <row r="2079">
      <c r="A2079" s="1" t="n"/>
      <c r="B2079" s="26" t="n"/>
      <c r="C2079" s="27" t="n"/>
      <c r="D2079" s="27" t="n"/>
      <c r="E2079" s="21">
        <f>IF(OR(C2079="",D2079=""),"",ROUND(MOD(D2079-C2079,1)*24,2))</f>
        <v/>
      </c>
      <c r="F2079" s="28" t="n"/>
      <c r="G2079" s="28" t="n"/>
      <c r="H2079" s="1" t="n"/>
    </row>
    <row r="2080">
      <c r="A2080" s="1" t="n"/>
      <c r="B2080" s="26" t="n"/>
      <c r="C2080" s="27" t="n"/>
      <c r="D2080" s="27" t="n"/>
      <c r="E2080" s="21">
        <f>IF(OR(C2080="",D2080=""),"",ROUND(MOD(D2080-C2080,1)*24,2))</f>
        <v/>
      </c>
      <c r="F2080" s="28" t="n"/>
      <c r="G2080" s="28" t="n"/>
      <c r="H2080" s="1" t="n"/>
    </row>
    <row r="2081">
      <c r="A2081" s="1" t="n"/>
      <c r="B2081" s="26" t="n"/>
      <c r="C2081" s="27" t="n"/>
      <c r="D2081" s="27" t="n"/>
      <c r="E2081" s="21">
        <f>IF(OR(C2081="",D2081=""),"",ROUND(MOD(D2081-C2081,1)*24,2))</f>
        <v/>
      </c>
      <c r="F2081" s="28" t="n"/>
      <c r="G2081" s="28" t="n"/>
      <c r="H2081" s="1" t="n"/>
    </row>
    <row r="2082">
      <c r="A2082" s="1" t="n"/>
      <c r="B2082" s="26" t="n"/>
      <c r="C2082" s="27" t="n"/>
      <c r="D2082" s="27" t="n"/>
      <c r="E2082" s="21">
        <f>IF(OR(C2082="",D2082=""),"",ROUND(MOD(D2082-C2082,1)*24,2))</f>
        <v/>
      </c>
      <c r="F2082" s="28" t="n"/>
      <c r="G2082" s="28" t="n"/>
      <c r="H2082" s="1" t="n"/>
    </row>
    <row r="2083">
      <c r="A2083" s="1" t="n"/>
      <c r="B2083" s="26" t="n"/>
      <c r="C2083" s="27" t="n"/>
      <c r="D2083" s="27" t="n"/>
      <c r="E2083" s="21">
        <f>IF(OR(C2083="",D2083=""),"",ROUND(MOD(D2083-C2083,1)*24,2))</f>
        <v/>
      </c>
      <c r="F2083" s="28" t="n"/>
      <c r="G2083" s="28" t="n"/>
      <c r="H2083" s="1" t="n"/>
    </row>
    <row r="2084">
      <c r="A2084" s="1" t="n"/>
      <c r="B2084" s="26" t="n"/>
      <c r="C2084" s="27" t="n"/>
      <c r="D2084" s="27" t="n"/>
      <c r="E2084" s="21">
        <f>IF(OR(C2084="",D2084=""),"",ROUND(MOD(D2084-C2084,1)*24,2))</f>
        <v/>
      </c>
      <c r="F2084" s="28" t="n"/>
      <c r="G2084" s="28" t="n"/>
      <c r="H2084" s="1" t="n"/>
    </row>
    <row r="2085">
      <c r="A2085" s="1" t="n"/>
      <c r="B2085" s="26" t="n"/>
      <c r="C2085" s="27" t="n"/>
      <c r="D2085" s="27" t="n"/>
      <c r="E2085" s="21">
        <f>IF(OR(C2085="",D2085=""),"",ROUND(MOD(D2085-C2085,1)*24,2))</f>
        <v/>
      </c>
      <c r="F2085" s="28" t="n"/>
      <c r="G2085" s="28" t="n"/>
      <c r="H2085" s="1" t="n"/>
    </row>
    <row r="2086">
      <c r="A2086" s="1" t="n"/>
      <c r="B2086" s="26" t="n"/>
      <c r="C2086" s="27" t="n"/>
      <c r="D2086" s="27" t="n"/>
      <c r="E2086" s="21">
        <f>IF(OR(C2086="",D2086=""),"",ROUND(MOD(D2086-C2086,1)*24,2))</f>
        <v/>
      </c>
      <c r="F2086" s="28" t="n"/>
      <c r="G2086" s="28" t="n"/>
      <c r="H2086" s="1" t="n"/>
    </row>
    <row r="2087">
      <c r="A2087" s="1" t="n"/>
      <c r="B2087" s="26" t="n"/>
      <c r="C2087" s="27" t="n"/>
      <c r="D2087" s="27" t="n"/>
      <c r="E2087" s="21">
        <f>IF(OR(C2087="",D2087=""),"",ROUND(MOD(D2087-C2087,1)*24,2))</f>
        <v/>
      </c>
      <c r="F2087" s="28" t="n"/>
      <c r="G2087" s="28" t="n"/>
      <c r="H2087" s="1" t="n"/>
    </row>
    <row r="2088">
      <c r="A2088" s="1" t="n"/>
      <c r="B2088" s="26" t="n"/>
      <c r="C2088" s="27" t="n"/>
      <c r="D2088" s="27" t="n"/>
      <c r="E2088" s="21">
        <f>IF(OR(C2088="",D2088=""),"",ROUND(MOD(D2088-C2088,1)*24,2))</f>
        <v/>
      </c>
      <c r="F2088" s="28" t="n"/>
      <c r="G2088" s="28" t="n"/>
      <c r="H2088" s="1" t="n"/>
    </row>
    <row r="2089">
      <c r="A2089" s="1" t="n"/>
      <c r="B2089" s="26" t="n"/>
      <c r="C2089" s="27" t="n"/>
      <c r="D2089" s="27" t="n"/>
      <c r="E2089" s="21">
        <f>IF(OR(C2089="",D2089=""),"",ROUND(MOD(D2089-C2089,1)*24,2))</f>
        <v/>
      </c>
      <c r="F2089" s="28" t="n"/>
      <c r="G2089" s="28" t="n"/>
      <c r="H2089" s="1" t="n"/>
    </row>
    <row r="2090">
      <c r="A2090" s="1" t="n"/>
      <c r="B2090" s="26" t="n"/>
      <c r="C2090" s="27" t="n"/>
      <c r="D2090" s="27" t="n"/>
      <c r="E2090" s="21">
        <f>IF(OR(C2090="",D2090=""),"",ROUND(MOD(D2090-C2090,1)*24,2))</f>
        <v/>
      </c>
      <c r="F2090" s="28" t="n"/>
      <c r="G2090" s="28" t="n"/>
      <c r="H2090" s="1" t="n"/>
    </row>
    <row r="2091">
      <c r="A2091" s="1" t="n"/>
      <c r="B2091" s="26" t="n"/>
      <c r="C2091" s="27" t="n"/>
      <c r="D2091" s="27" t="n"/>
      <c r="E2091" s="21">
        <f>IF(OR(C2091="",D2091=""),"",ROUND(MOD(D2091-C2091,1)*24,2))</f>
        <v/>
      </c>
      <c r="F2091" s="28" t="n"/>
      <c r="G2091" s="28" t="n"/>
      <c r="H2091" s="1" t="n"/>
    </row>
    <row r="2092">
      <c r="A2092" s="1" t="n"/>
      <c r="B2092" s="26" t="n"/>
      <c r="C2092" s="27" t="n"/>
      <c r="D2092" s="27" t="n"/>
      <c r="E2092" s="21">
        <f>IF(OR(C2092="",D2092=""),"",ROUND(MOD(D2092-C2092,1)*24,2))</f>
        <v/>
      </c>
      <c r="F2092" s="28" t="n"/>
      <c r="G2092" s="28" t="n"/>
      <c r="H2092" s="1" t="n"/>
    </row>
    <row r="2093">
      <c r="A2093" s="1" t="n"/>
      <c r="B2093" s="26" t="n"/>
      <c r="C2093" s="27" t="n"/>
      <c r="D2093" s="27" t="n"/>
      <c r="E2093" s="21">
        <f>IF(OR(C2093="",D2093=""),"",ROUND(MOD(D2093-C2093,1)*24,2))</f>
        <v/>
      </c>
      <c r="F2093" s="28" t="n"/>
      <c r="G2093" s="28" t="n"/>
      <c r="H2093" s="1" t="n"/>
    </row>
    <row r="2094">
      <c r="A2094" s="1" t="n"/>
      <c r="B2094" s="26" t="n"/>
      <c r="C2094" s="27" t="n"/>
      <c r="D2094" s="27" t="n"/>
      <c r="E2094" s="21">
        <f>IF(OR(C2094="",D2094=""),"",ROUND(MOD(D2094-C2094,1)*24,2))</f>
        <v/>
      </c>
      <c r="F2094" s="28" t="n"/>
      <c r="G2094" s="28" t="n"/>
      <c r="H2094" s="1" t="n"/>
    </row>
    <row r="2095">
      <c r="A2095" s="1" t="n"/>
      <c r="B2095" s="26" t="n"/>
      <c r="C2095" s="27" t="n"/>
      <c r="D2095" s="27" t="n"/>
      <c r="E2095" s="21">
        <f>IF(OR(C2095="",D2095=""),"",ROUND(MOD(D2095-C2095,1)*24,2))</f>
        <v/>
      </c>
      <c r="F2095" s="28" t="n"/>
      <c r="G2095" s="28" t="n"/>
      <c r="H2095" s="1" t="n"/>
    </row>
    <row r="2096">
      <c r="A2096" s="1" t="n"/>
      <c r="B2096" s="26" t="n"/>
      <c r="C2096" s="27" t="n"/>
      <c r="D2096" s="27" t="n"/>
      <c r="E2096" s="21">
        <f>IF(OR(C2096="",D2096=""),"",ROUND(MOD(D2096-C2096,1)*24,2))</f>
        <v/>
      </c>
      <c r="F2096" s="28" t="n"/>
      <c r="G2096" s="28" t="n"/>
      <c r="H2096" s="1" t="n"/>
    </row>
    <row r="2097">
      <c r="A2097" s="1" t="n"/>
      <c r="B2097" s="26" t="n"/>
      <c r="C2097" s="27" t="n"/>
      <c r="D2097" s="27" t="n"/>
      <c r="E2097" s="21">
        <f>IF(OR(C2097="",D2097=""),"",ROUND(MOD(D2097-C2097,1)*24,2))</f>
        <v/>
      </c>
      <c r="F2097" s="28" t="n"/>
      <c r="G2097" s="28" t="n"/>
      <c r="H2097" s="1" t="n"/>
    </row>
    <row r="2098">
      <c r="A2098" s="1" t="n"/>
      <c r="B2098" s="26" t="n"/>
      <c r="C2098" s="27" t="n"/>
      <c r="D2098" s="27" t="n"/>
      <c r="E2098" s="21">
        <f>IF(OR(C2098="",D2098=""),"",ROUND(MOD(D2098-C2098,1)*24,2))</f>
        <v/>
      </c>
      <c r="F2098" s="28" t="n"/>
      <c r="G2098" s="28" t="n"/>
      <c r="H2098" s="1" t="n"/>
    </row>
    <row r="2099">
      <c r="A2099" s="1" t="n"/>
      <c r="B2099" s="26" t="n"/>
      <c r="C2099" s="27" t="n"/>
      <c r="D2099" s="27" t="n"/>
      <c r="E2099" s="21">
        <f>IF(OR(C2099="",D2099=""),"",ROUND(MOD(D2099-C2099,1)*24,2))</f>
        <v/>
      </c>
      <c r="F2099" s="28" t="n"/>
      <c r="G2099" s="28" t="n"/>
      <c r="H2099" s="1" t="n"/>
    </row>
    <row r="2100">
      <c r="A2100" s="1" t="n"/>
      <c r="B2100" s="26" t="n"/>
      <c r="C2100" s="27" t="n"/>
      <c r="D2100" s="27" t="n"/>
      <c r="E2100" s="21">
        <f>IF(OR(C2100="",D2100=""),"",ROUND(MOD(D2100-C2100,1)*24,2))</f>
        <v/>
      </c>
      <c r="F2100" s="28" t="n"/>
      <c r="G2100" s="28" t="n"/>
      <c r="H2100" s="1" t="n"/>
    </row>
    <row r="2101">
      <c r="A2101" s="1" t="n"/>
      <c r="B2101" s="26" t="n"/>
      <c r="C2101" s="27" t="n"/>
      <c r="D2101" s="27" t="n"/>
      <c r="E2101" s="21">
        <f>IF(OR(C2101="",D2101=""),"",ROUND(MOD(D2101-C2101,1)*24,2))</f>
        <v/>
      </c>
      <c r="F2101" s="28" t="n"/>
      <c r="G2101" s="28" t="n"/>
      <c r="H2101" s="1" t="n"/>
    </row>
    <row r="2102">
      <c r="A2102" s="1" t="n"/>
      <c r="B2102" s="26" t="n"/>
      <c r="C2102" s="27" t="n"/>
      <c r="D2102" s="27" t="n"/>
      <c r="E2102" s="21">
        <f>IF(OR(C2102="",D2102=""),"",ROUND(MOD(D2102-C2102,1)*24,2))</f>
        <v/>
      </c>
      <c r="F2102" s="28" t="n"/>
      <c r="G2102" s="28" t="n"/>
      <c r="H2102" s="1" t="n"/>
    </row>
    <row r="2103">
      <c r="A2103" s="1" t="n"/>
      <c r="B2103" s="26" t="n"/>
      <c r="C2103" s="27" t="n"/>
      <c r="D2103" s="27" t="n"/>
      <c r="E2103" s="21">
        <f>IF(OR(C2103="",D2103=""),"",ROUND(MOD(D2103-C2103,1)*24,2))</f>
        <v/>
      </c>
      <c r="F2103" s="28" t="n"/>
      <c r="G2103" s="28" t="n"/>
      <c r="H2103" s="1" t="n"/>
    </row>
    <row r="2104">
      <c r="A2104" s="1" t="n"/>
      <c r="B2104" s="26" t="n"/>
      <c r="C2104" s="27" t="n"/>
      <c r="D2104" s="27" t="n"/>
      <c r="E2104" s="21">
        <f>IF(OR(C2104="",D2104=""),"",ROUND(MOD(D2104-C2104,1)*24,2))</f>
        <v/>
      </c>
      <c r="F2104" s="28" t="n"/>
      <c r="G2104" s="28" t="n"/>
      <c r="H2104" s="1" t="n"/>
    </row>
    <row r="2105">
      <c r="A2105" s="1" t="n"/>
      <c r="B2105" s="26" t="n"/>
      <c r="C2105" s="27" t="n"/>
      <c r="D2105" s="27" t="n"/>
      <c r="E2105" s="21">
        <f>IF(OR(C2105="",D2105=""),"",ROUND(MOD(D2105-C2105,1)*24,2))</f>
        <v/>
      </c>
      <c r="F2105" s="28" t="n"/>
      <c r="G2105" s="28" t="n"/>
      <c r="H2105" s="1" t="n"/>
    </row>
    <row r="2106">
      <c r="A2106" s="1" t="n"/>
      <c r="B2106" s="26" t="n"/>
      <c r="C2106" s="27" t="n"/>
      <c r="D2106" s="27" t="n"/>
      <c r="E2106" s="21">
        <f>IF(OR(C2106="",D2106=""),"",ROUND(MOD(D2106-C2106,1)*24,2))</f>
        <v/>
      </c>
      <c r="F2106" s="28" t="n"/>
      <c r="G2106" s="28" t="n"/>
      <c r="H2106" s="1" t="n"/>
    </row>
    <row r="2107">
      <c r="A2107" s="1" t="n"/>
      <c r="B2107" s="26" t="n"/>
      <c r="C2107" s="27" t="n"/>
      <c r="D2107" s="27" t="n"/>
      <c r="E2107" s="21">
        <f>IF(OR(C2107="",D2107=""),"",ROUND(MOD(D2107-C2107,1)*24,2))</f>
        <v/>
      </c>
      <c r="F2107" s="28" t="n"/>
      <c r="G2107" s="28" t="n"/>
      <c r="H2107" s="1" t="n"/>
    </row>
    <row r="2108">
      <c r="A2108" s="1" t="n"/>
      <c r="B2108" s="26" t="n"/>
      <c r="C2108" s="27" t="n"/>
      <c r="D2108" s="27" t="n"/>
      <c r="E2108" s="21">
        <f>IF(OR(C2108="",D2108=""),"",ROUND(MOD(D2108-C2108,1)*24,2))</f>
        <v/>
      </c>
      <c r="F2108" s="28" t="n"/>
      <c r="G2108" s="28" t="n"/>
      <c r="H2108" s="1" t="n"/>
    </row>
    <row r="2109">
      <c r="A2109" s="1" t="n"/>
      <c r="B2109" s="26" t="n"/>
      <c r="C2109" s="27" t="n"/>
      <c r="D2109" s="27" t="n"/>
      <c r="E2109" s="21">
        <f>IF(OR(C2109="",D2109=""),"",ROUND(MOD(D2109-C2109,1)*24,2))</f>
        <v/>
      </c>
      <c r="F2109" s="28" t="n"/>
      <c r="G2109" s="28" t="n"/>
      <c r="H2109" s="1" t="n"/>
    </row>
    <row r="2110">
      <c r="A2110" s="1" t="n"/>
      <c r="B2110" s="26" t="n"/>
      <c r="C2110" s="27" t="n"/>
      <c r="D2110" s="27" t="n"/>
      <c r="E2110" s="21">
        <f>IF(OR(C2110="",D2110=""),"",ROUND(MOD(D2110-C2110,1)*24,2))</f>
        <v/>
      </c>
      <c r="F2110" s="28" t="n"/>
      <c r="G2110" s="28" t="n"/>
      <c r="H2110" s="1" t="n"/>
    </row>
    <row r="2111">
      <c r="A2111" s="1" t="n"/>
      <c r="B2111" s="26" t="n"/>
      <c r="C2111" s="27" t="n"/>
      <c r="D2111" s="27" t="n"/>
      <c r="E2111" s="21">
        <f>IF(OR(C2111="",D2111=""),"",ROUND(MOD(D2111-C2111,1)*24,2))</f>
        <v/>
      </c>
      <c r="F2111" s="28" t="n"/>
      <c r="G2111" s="28" t="n"/>
      <c r="H2111" s="1" t="n"/>
    </row>
    <row r="2112">
      <c r="A2112" s="1" t="n"/>
      <c r="B2112" s="26" t="n"/>
      <c r="C2112" s="27" t="n"/>
      <c r="D2112" s="27" t="n"/>
      <c r="E2112" s="21">
        <f>IF(OR(C2112="",D2112=""),"",ROUND(MOD(D2112-C2112,1)*24,2))</f>
        <v/>
      </c>
      <c r="F2112" s="28" t="n"/>
      <c r="G2112" s="28" t="n"/>
      <c r="H2112" s="1" t="n"/>
    </row>
    <row r="2113">
      <c r="A2113" s="1" t="n"/>
      <c r="B2113" s="26" t="n"/>
      <c r="C2113" s="27" t="n"/>
      <c r="D2113" s="27" t="n"/>
      <c r="E2113" s="21">
        <f>IF(OR(C2113="",D2113=""),"",ROUND(MOD(D2113-C2113,1)*24,2))</f>
        <v/>
      </c>
      <c r="F2113" s="28" t="n"/>
      <c r="G2113" s="28" t="n"/>
      <c r="H2113" s="1" t="n"/>
    </row>
    <row r="2114">
      <c r="A2114" s="1" t="n"/>
      <c r="B2114" s="26" t="n"/>
      <c r="C2114" s="27" t="n"/>
      <c r="D2114" s="27" t="n"/>
      <c r="E2114" s="21">
        <f>IF(OR(C2114="",D2114=""),"",ROUND(MOD(D2114-C2114,1)*24,2))</f>
        <v/>
      </c>
      <c r="F2114" s="28" t="n"/>
      <c r="G2114" s="28" t="n"/>
      <c r="H2114" s="1" t="n"/>
    </row>
    <row r="2115">
      <c r="A2115" s="1" t="n"/>
      <c r="B2115" s="26" t="n"/>
      <c r="C2115" s="27" t="n"/>
      <c r="D2115" s="27" t="n"/>
      <c r="E2115" s="21">
        <f>IF(OR(C2115="",D2115=""),"",ROUND(MOD(D2115-C2115,1)*24,2))</f>
        <v/>
      </c>
      <c r="F2115" s="28" t="n"/>
      <c r="G2115" s="28" t="n"/>
      <c r="H2115" s="1" t="n"/>
    </row>
    <row r="2116">
      <c r="A2116" s="1" t="n"/>
      <c r="B2116" s="26" t="n"/>
      <c r="C2116" s="27" t="n"/>
      <c r="D2116" s="27" t="n"/>
      <c r="E2116" s="21">
        <f>IF(OR(C2116="",D2116=""),"",ROUND(MOD(D2116-C2116,1)*24,2))</f>
        <v/>
      </c>
      <c r="F2116" s="28" t="n"/>
      <c r="G2116" s="28" t="n"/>
      <c r="H2116" s="1" t="n"/>
    </row>
    <row r="2117">
      <c r="A2117" s="1" t="n"/>
      <c r="B2117" s="26" t="n"/>
      <c r="C2117" s="27" t="n"/>
      <c r="D2117" s="27" t="n"/>
      <c r="E2117" s="21">
        <f>IF(OR(C2117="",D2117=""),"",ROUND(MOD(D2117-C2117,1)*24,2))</f>
        <v/>
      </c>
      <c r="F2117" s="28" t="n"/>
      <c r="G2117" s="28" t="n"/>
      <c r="H2117" s="1" t="n"/>
    </row>
    <row r="2118">
      <c r="A2118" s="1" t="n"/>
      <c r="B2118" s="26" t="n"/>
      <c r="C2118" s="27" t="n"/>
      <c r="D2118" s="27" t="n"/>
      <c r="E2118" s="21">
        <f>IF(OR(C2118="",D2118=""),"",ROUND(MOD(D2118-C2118,1)*24,2))</f>
        <v/>
      </c>
      <c r="F2118" s="28" t="n"/>
      <c r="G2118" s="28" t="n"/>
      <c r="H2118" s="1" t="n"/>
    </row>
    <row r="2119">
      <c r="A2119" s="1" t="n"/>
      <c r="B2119" s="26" t="n"/>
      <c r="C2119" s="27" t="n"/>
      <c r="D2119" s="27" t="n"/>
      <c r="E2119" s="21">
        <f>IF(OR(C2119="",D2119=""),"",ROUND(MOD(D2119-C2119,1)*24,2))</f>
        <v/>
      </c>
      <c r="F2119" s="28" t="n"/>
      <c r="G2119" s="28" t="n"/>
      <c r="H2119" s="1" t="n"/>
    </row>
    <row r="2120">
      <c r="A2120" s="1" t="n"/>
      <c r="B2120" s="26" t="n"/>
      <c r="C2120" s="27" t="n"/>
      <c r="D2120" s="27" t="n"/>
      <c r="E2120" s="21">
        <f>IF(OR(C2120="",D2120=""),"",ROUND(MOD(D2120-C2120,1)*24,2))</f>
        <v/>
      </c>
      <c r="F2120" s="28" t="n"/>
      <c r="G2120" s="28" t="n"/>
      <c r="H2120" s="1" t="n"/>
    </row>
    <row r="2121">
      <c r="A2121" s="1" t="n"/>
      <c r="B2121" s="26" t="n"/>
      <c r="C2121" s="27" t="n"/>
      <c r="D2121" s="27" t="n"/>
      <c r="E2121" s="21">
        <f>IF(OR(C2121="",D2121=""),"",ROUND(MOD(D2121-C2121,1)*24,2))</f>
        <v/>
      </c>
      <c r="F2121" s="28" t="n"/>
      <c r="G2121" s="28" t="n"/>
      <c r="H2121" s="1" t="n"/>
    </row>
    <row r="2122">
      <c r="A2122" s="1" t="n"/>
      <c r="B2122" s="26" t="n"/>
      <c r="C2122" s="27" t="n"/>
      <c r="D2122" s="27" t="n"/>
      <c r="E2122" s="21">
        <f>IF(OR(C2122="",D2122=""),"",ROUND(MOD(D2122-C2122,1)*24,2))</f>
        <v/>
      </c>
      <c r="F2122" s="28" t="n"/>
      <c r="G2122" s="28" t="n"/>
      <c r="H2122" s="1" t="n"/>
    </row>
    <row r="2123">
      <c r="A2123" s="1" t="n"/>
      <c r="B2123" s="26" t="n"/>
      <c r="C2123" s="27" t="n"/>
      <c r="D2123" s="27" t="n"/>
      <c r="E2123" s="21">
        <f>IF(OR(C2123="",D2123=""),"",ROUND(MOD(D2123-C2123,1)*24,2))</f>
        <v/>
      </c>
      <c r="F2123" s="28" t="n"/>
      <c r="G2123" s="28" t="n"/>
      <c r="H2123" s="1" t="n"/>
    </row>
    <row r="2124">
      <c r="A2124" s="1" t="n"/>
      <c r="B2124" s="26" t="n"/>
      <c r="C2124" s="27" t="n"/>
      <c r="D2124" s="27" t="n"/>
      <c r="E2124" s="21">
        <f>IF(OR(C2124="",D2124=""),"",ROUND(MOD(D2124-C2124,1)*24,2))</f>
        <v/>
      </c>
      <c r="F2124" s="28" t="n"/>
      <c r="G2124" s="28" t="n"/>
      <c r="H2124" s="1" t="n"/>
    </row>
    <row r="2125">
      <c r="A2125" s="1" t="n"/>
      <c r="B2125" s="26" t="n"/>
      <c r="C2125" s="27" t="n"/>
      <c r="D2125" s="27" t="n"/>
      <c r="E2125" s="21">
        <f>IF(OR(C2125="",D2125=""),"",ROUND(MOD(D2125-C2125,1)*24,2))</f>
        <v/>
      </c>
      <c r="F2125" s="28" t="n"/>
      <c r="G2125" s="28" t="n"/>
      <c r="H2125" s="1" t="n"/>
    </row>
    <row r="2126">
      <c r="A2126" s="1" t="n"/>
      <c r="B2126" s="26" t="n"/>
      <c r="C2126" s="27" t="n"/>
      <c r="D2126" s="27" t="n"/>
      <c r="E2126" s="21">
        <f>IF(OR(C2126="",D2126=""),"",ROUND(MOD(D2126-C2126,1)*24,2))</f>
        <v/>
      </c>
      <c r="F2126" s="28" t="n"/>
      <c r="G2126" s="28" t="n"/>
      <c r="H2126" s="1" t="n"/>
    </row>
    <row r="2127">
      <c r="A2127" s="1" t="n"/>
      <c r="B2127" s="26" t="n"/>
      <c r="C2127" s="27" t="n"/>
      <c r="D2127" s="27" t="n"/>
      <c r="E2127" s="21">
        <f>IF(OR(C2127="",D2127=""),"",ROUND(MOD(D2127-C2127,1)*24,2))</f>
        <v/>
      </c>
      <c r="F2127" s="28" t="n"/>
      <c r="G2127" s="28" t="n"/>
      <c r="H2127" s="1" t="n"/>
    </row>
    <row r="2128">
      <c r="A2128" s="1" t="n"/>
      <c r="B2128" s="26" t="n"/>
      <c r="C2128" s="27" t="n"/>
      <c r="D2128" s="27" t="n"/>
      <c r="E2128" s="21">
        <f>IF(OR(C2128="",D2128=""),"",ROUND(MOD(D2128-C2128,1)*24,2))</f>
        <v/>
      </c>
      <c r="F2128" s="28" t="n"/>
      <c r="G2128" s="28" t="n"/>
      <c r="H2128" s="1" t="n"/>
    </row>
    <row r="2129">
      <c r="A2129" s="1" t="n"/>
      <c r="B2129" s="26" t="n"/>
      <c r="C2129" s="27" t="n"/>
      <c r="D2129" s="27" t="n"/>
      <c r="E2129" s="21">
        <f>IF(OR(C2129="",D2129=""),"",ROUND(MOD(D2129-C2129,1)*24,2))</f>
        <v/>
      </c>
      <c r="F2129" s="28" t="n"/>
      <c r="G2129" s="28" t="n"/>
      <c r="H2129" s="1" t="n"/>
    </row>
    <row r="2130">
      <c r="A2130" s="1" t="n"/>
      <c r="B2130" s="26" t="n"/>
      <c r="C2130" s="27" t="n"/>
      <c r="D2130" s="27" t="n"/>
      <c r="E2130" s="21">
        <f>IF(OR(C2130="",D2130=""),"",ROUND(MOD(D2130-C2130,1)*24,2))</f>
        <v/>
      </c>
      <c r="F2130" s="28" t="n"/>
      <c r="G2130" s="28" t="n"/>
      <c r="H2130" s="1" t="n"/>
    </row>
    <row r="2131">
      <c r="A2131" s="1" t="n"/>
      <c r="B2131" s="26" t="n"/>
      <c r="C2131" s="27" t="n"/>
      <c r="D2131" s="27" t="n"/>
      <c r="E2131" s="21">
        <f>IF(OR(C2131="",D2131=""),"",ROUND(MOD(D2131-C2131,1)*24,2))</f>
        <v/>
      </c>
      <c r="F2131" s="28" t="n"/>
      <c r="G2131" s="28" t="n"/>
      <c r="H2131" s="1" t="n"/>
    </row>
    <row r="2132">
      <c r="A2132" s="1" t="n"/>
      <c r="B2132" s="26" t="n"/>
      <c r="C2132" s="27" t="n"/>
      <c r="D2132" s="27" t="n"/>
      <c r="E2132" s="21">
        <f>IF(OR(C2132="",D2132=""),"",ROUND(MOD(D2132-C2132,1)*24,2))</f>
        <v/>
      </c>
      <c r="F2132" s="28" t="n"/>
      <c r="G2132" s="28" t="n"/>
      <c r="H2132" s="1" t="n"/>
    </row>
    <row r="2133">
      <c r="A2133" s="1" t="n"/>
      <c r="B2133" s="26" t="n"/>
      <c r="C2133" s="27" t="n"/>
      <c r="D2133" s="27" t="n"/>
      <c r="E2133" s="21">
        <f>IF(OR(C2133="",D2133=""),"",ROUND(MOD(D2133-C2133,1)*24,2))</f>
        <v/>
      </c>
      <c r="F2133" s="28" t="n"/>
      <c r="G2133" s="28" t="n"/>
      <c r="H2133" s="1" t="n"/>
    </row>
    <row r="2134">
      <c r="A2134" s="1" t="n"/>
      <c r="B2134" s="26" t="n"/>
      <c r="C2134" s="27" t="n"/>
      <c r="D2134" s="27" t="n"/>
      <c r="E2134" s="21">
        <f>IF(OR(C2134="",D2134=""),"",ROUND(MOD(D2134-C2134,1)*24,2))</f>
        <v/>
      </c>
      <c r="F2134" s="28" t="n"/>
      <c r="G2134" s="28" t="n"/>
      <c r="H2134" s="1" t="n"/>
    </row>
    <row r="2135">
      <c r="A2135" s="1" t="n"/>
      <c r="B2135" s="26" t="n"/>
      <c r="C2135" s="27" t="n"/>
      <c r="D2135" s="27" t="n"/>
      <c r="E2135" s="21">
        <f>IF(OR(C2135="",D2135=""),"",ROUND(MOD(D2135-C2135,1)*24,2))</f>
        <v/>
      </c>
      <c r="F2135" s="28" t="n"/>
      <c r="G2135" s="28" t="n"/>
      <c r="H2135" s="1" t="n"/>
    </row>
    <row r="2136">
      <c r="A2136" s="1" t="n"/>
      <c r="B2136" s="26" t="n"/>
      <c r="C2136" s="27" t="n"/>
      <c r="D2136" s="27" t="n"/>
      <c r="E2136" s="21">
        <f>IF(OR(C2136="",D2136=""),"",ROUND(MOD(D2136-C2136,1)*24,2))</f>
        <v/>
      </c>
      <c r="F2136" s="28" t="n"/>
      <c r="G2136" s="28" t="n"/>
      <c r="H2136" s="1" t="n"/>
    </row>
    <row r="2137">
      <c r="A2137" s="1" t="n"/>
      <c r="B2137" s="26" t="n"/>
      <c r="C2137" s="27" t="n"/>
      <c r="D2137" s="27" t="n"/>
      <c r="E2137" s="21">
        <f>IF(OR(C2137="",D2137=""),"",ROUND(MOD(D2137-C2137,1)*24,2))</f>
        <v/>
      </c>
      <c r="F2137" s="28" t="n"/>
      <c r="G2137" s="28" t="n"/>
      <c r="H2137" s="1" t="n"/>
    </row>
    <row r="2138">
      <c r="A2138" s="1" t="n"/>
      <c r="B2138" s="26" t="n"/>
      <c r="C2138" s="27" t="n"/>
      <c r="D2138" s="27" t="n"/>
      <c r="E2138" s="21">
        <f>IF(OR(C2138="",D2138=""),"",ROUND(MOD(D2138-C2138,1)*24,2))</f>
        <v/>
      </c>
      <c r="F2138" s="28" t="n"/>
      <c r="G2138" s="28" t="n"/>
      <c r="H2138" s="1" t="n"/>
    </row>
    <row r="2139">
      <c r="A2139" s="1" t="n"/>
      <c r="B2139" s="26" t="n"/>
      <c r="C2139" s="27" t="n"/>
      <c r="D2139" s="27" t="n"/>
      <c r="E2139" s="21">
        <f>IF(OR(C2139="",D2139=""),"",ROUND(MOD(D2139-C2139,1)*24,2))</f>
        <v/>
      </c>
      <c r="F2139" s="28" t="n"/>
      <c r="G2139" s="28" t="n"/>
      <c r="H2139" s="1" t="n"/>
    </row>
    <row r="2140">
      <c r="A2140" s="1" t="n"/>
      <c r="B2140" s="26" t="n"/>
      <c r="C2140" s="27" t="n"/>
      <c r="D2140" s="27" t="n"/>
      <c r="E2140" s="21">
        <f>IF(OR(C2140="",D2140=""),"",ROUND(MOD(D2140-C2140,1)*24,2))</f>
        <v/>
      </c>
      <c r="F2140" s="28" t="n"/>
      <c r="G2140" s="28" t="n"/>
      <c r="H2140" s="1" t="n"/>
    </row>
    <row r="2141">
      <c r="A2141" s="1" t="n"/>
      <c r="B2141" s="26" t="n"/>
      <c r="C2141" s="27" t="n"/>
      <c r="D2141" s="27" t="n"/>
      <c r="E2141" s="21">
        <f>IF(OR(C2141="",D2141=""),"",ROUND(MOD(D2141-C2141,1)*24,2))</f>
        <v/>
      </c>
      <c r="F2141" s="28" t="n"/>
      <c r="G2141" s="28" t="n"/>
      <c r="H2141" s="1" t="n"/>
    </row>
    <row r="2142">
      <c r="A2142" s="1" t="n"/>
      <c r="B2142" s="26" t="n"/>
      <c r="C2142" s="27" t="n"/>
      <c r="D2142" s="27" t="n"/>
      <c r="E2142" s="21">
        <f>IF(OR(C2142="",D2142=""),"",ROUND(MOD(D2142-C2142,1)*24,2))</f>
        <v/>
      </c>
      <c r="F2142" s="28" t="n"/>
      <c r="G2142" s="28" t="n"/>
      <c r="H2142" s="1" t="n"/>
    </row>
    <row r="2143">
      <c r="A2143" s="1" t="n"/>
      <c r="B2143" s="26" t="n"/>
      <c r="C2143" s="27" t="n"/>
      <c r="D2143" s="27" t="n"/>
      <c r="E2143" s="21">
        <f>IF(OR(C2143="",D2143=""),"",ROUND(MOD(D2143-C2143,1)*24,2))</f>
        <v/>
      </c>
      <c r="F2143" s="28" t="n"/>
      <c r="G2143" s="28" t="n"/>
      <c r="H2143" s="1" t="n"/>
    </row>
    <row r="2144">
      <c r="A2144" s="1" t="n"/>
      <c r="B2144" s="26" t="n"/>
      <c r="C2144" s="27" t="n"/>
      <c r="D2144" s="27" t="n"/>
      <c r="E2144" s="21">
        <f>IF(OR(C2144="",D2144=""),"",ROUND(MOD(D2144-C2144,1)*24,2))</f>
        <v/>
      </c>
      <c r="F2144" s="28" t="n"/>
      <c r="G2144" s="28" t="n"/>
      <c r="H2144" s="1" t="n"/>
    </row>
    <row r="2145">
      <c r="A2145" s="1" t="n"/>
      <c r="B2145" s="26" t="n"/>
      <c r="C2145" s="27" t="n"/>
      <c r="D2145" s="27" t="n"/>
      <c r="E2145" s="21">
        <f>IF(OR(C2145="",D2145=""),"",ROUND(MOD(D2145-C2145,1)*24,2))</f>
        <v/>
      </c>
      <c r="F2145" s="28" t="n"/>
      <c r="G2145" s="28" t="n"/>
      <c r="H2145" s="1" t="n"/>
    </row>
    <row r="2146">
      <c r="A2146" s="1" t="n"/>
      <c r="B2146" s="26" t="n"/>
      <c r="C2146" s="27" t="n"/>
      <c r="D2146" s="27" t="n"/>
      <c r="E2146" s="21">
        <f>IF(OR(C2146="",D2146=""),"",ROUND(MOD(D2146-C2146,1)*24,2))</f>
        <v/>
      </c>
      <c r="F2146" s="28" t="n"/>
      <c r="G2146" s="28" t="n"/>
      <c r="H2146" s="1" t="n"/>
    </row>
    <row r="2147">
      <c r="A2147" s="1" t="n"/>
      <c r="B2147" s="26" t="n"/>
      <c r="C2147" s="27" t="n"/>
      <c r="D2147" s="27" t="n"/>
      <c r="E2147" s="21">
        <f>IF(OR(C2147="",D2147=""),"",ROUND(MOD(D2147-C2147,1)*24,2))</f>
        <v/>
      </c>
      <c r="F2147" s="28" t="n"/>
      <c r="G2147" s="28" t="n"/>
      <c r="H2147" s="1" t="n"/>
    </row>
    <row r="2148">
      <c r="A2148" s="1" t="n"/>
      <c r="B2148" s="26" t="n"/>
      <c r="C2148" s="27" t="n"/>
      <c r="D2148" s="27" t="n"/>
      <c r="E2148" s="21">
        <f>IF(OR(C2148="",D2148=""),"",ROUND(MOD(D2148-C2148,1)*24,2))</f>
        <v/>
      </c>
      <c r="F2148" s="28" t="n"/>
      <c r="G2148" s="28" t="n"/>
      <c r="H2148" s="1" t="n"/>
    </row>
    <row r="2149">
      <c r="A2149" s="1" t="n"/>
      <c r="B2149" s="26" t="n"/>
      <c r="C2149" s="27" t="n"/>
      <c r="D2149" s="27" t="n"/>
      <c r="E2149" s="21">
        <f>IF(OR(C2149="",D2149=""),"",ROUND(MOD(D2149-C2149,1)*24,2))</f>
        <v/>
      </c>
      <c r="F2149" s="28" t="n"/>
      <c r="G2149" s="28" t="n"/>
      <c r="H2149" s="1" t="n"/>
    </row>
    <row r="2150">
      <c r="A2150" s="1" t="n"/>
      <c r="B2150" s="26" t="n"/>
      <c r="C2150" s="27" t="n"/>
      <c r="D2150" s="27" t="n"/>
      <c r="E2150" s="21">
        <f>IF(OR(C2150="",D2150=""),"",ROUND(MOD(D2150-C2150,1)*24,2))</f>
        <v/>
      </c>
      <c r="F2150" s="28" t="n"/>
      <c r="G2150" s="28" t="n"/>
      <c r="H2150" s="1" t="n"/>
    </row>
    <row r="2151">
      <c r="A2151" s="1" t="n"/>
      <c r="B2151" s="26" t="n"/>
      <c r="C2151" s="27" t="n"/>
      <c r="D2151" s="27" t="n"/>
      <c r="E2151" s="21">
        <f>IF(OR(C2151="",D2151=""),"",ROUND(MOD(D2151-C2151,1)*24,2))</f>
        <v/>
      </c>
      <c r="F2151" s="28" t="n"/>
      <c r="G2151" s="28" t="n"/>
      <c r="H2151" s="1" t="n"/>
    </row>
    <row r="2152">
      <c r="A2152" s="1" t="n"/>
      <c r="B2152" s="26" t="n"/>
      <c r="C2152" s="27" t="n"/>
      <c r="D2152" s="27" t="n"/>
      <c r="E2152" s="21">
        <f>IF(OR(C2152="",D2152=""),"",ROUND(MOD(D2152-C2152,1)*24,2))</f>
        <v/>
      </c>
      <c r="F2152" s="28" t="n"/>
      <c r="G2152" s="28" t="n"/>
      <c r="H2152" s="1" t="n"/>
    </row>
    <row r="2153">
      <c r="A2153" s="1" t="n"/>
      <c r="B2153" s="26" t="n"/>
      <c r="C2153" s="27" t="n"/>
      <c r="D2153" s="27" t="n"/>
      <c r="E2153" s="21">
        <f>IF(OR(C2153="",D2153=""),"",ROUND(MOD(D2153-C2153,1)*24,2))</f>
        <v/>
      </c>
      <c r="F2153" s="28" t="n"/>
      <c r="G2153" s="28" t="n"/>
      <c r="H2153" s="1" t="n"/>
    </row>
    <row r="2154">
      <c r="A2154" s="1" t="n"/>
      <c r="B2154" s="26" t="n"/>
      <c r="C2154" s="27" t="n"/>
      <c r="D2154" s="27" t="n"/>
      <c r="E2154" s="21">
        <f>IF(OR(C2154="",D2154=""),"",ROUND(MOD(D2154-C2154,1)*24,2))</f>
        <v/>
      </c>
      <c r="F2154" s="28" t="n"/>
      <c r="G2154" s="28" t="n"/>
      <c r="H2154" s="1" t="n"/>
    </row>
    <row r="2155">
      <c r="A2155" s="1" t="n"/>
      <c r="B2155" s="26" t="n"/>
      <c r="C2155" s="27" t="n"/>
      <c r="D2155" s="27" t="n"/>
      <c r="E2155" s="21">
        <f>IF(OR(C2155="",D2155=""),"",ROUND(MOD(D2155-C2155,1)*24,2))</f>
        <v/>
      </c>
      <c r="F2155" s="28" t="n"/>
      <c r="G2155" s="28" t="n"/>
      <c r="H2155" s="1" t="n"/>
    </row>
    <row r="2156">
      <c r="A2156" s="1" t="n"/>
      <c r="B2156" s="26" t="n"/>
      <c r="C2156" s="27" t="n"/>
      <c r="D2156" s="27" t="n"/>
      <c r="E2156" s="21">
        <f>IF(OR(C2156="",D2156=""),"",ROUND(MOD(D2156-C2156,1)*24,2))</f>
        <v/>
      </c>
      <c r="F2156" s="28" t="n"/>
      <c r="G2156" s="28" t="n"/>
      <c r="H2156" s="1" t="n"/>
    </row>
    <row r="2157">
      <c r="A2157" s="1" t="n"/>
      <c r="B2157" s="26" t="n"/>
      <c r="C2157" s="27" t="n"/>
      <c r="D2157" s="27" t="n"/>
      <c r="E2157" s="21">
        <f>IF(OR(C2157="",D2157=""),"",ROUND(MOD(D2157-C2157,1)*24,2))</f>
        <v/>
      </c>
      <c r="F2157" s="28" t="n"/>
      <c r="G2157" s="28" t="n"/>
      <c r="H2157" s="1" t="n"/>
    </row>
    <row r="2158">
      <c r="A2158" s="1" t="n"/>
      <c r="B2158" s="26" t="n"/>
      <c r="C2158" s="27" t="n"/>
      <c r="D2158" s="27" t="n"/>
      <c r="E2158" s="21">
        <f>IF(OR(C2158="",D2158=""),"",ROUND(MOD(D2158-C2158,1)*24,2))</f>
        <v/>
      </c>
      <c r="F2158" s="28" t="n"/>
      <c r="G2158" s="28" t="n"/>
      <c r="H2158" s="1" t="n"/>
    </row>
    <row r="2159">
      <c r="A2159" s="1" t="n"/>
      <c r="B2159" s="26" t="n"/>
      <c r="C2159" s="27" t="n"/>
      <c r="D2159" s="27" t="n"/>
      <c r="E2159" s="21">
        <f>IF(OR(C2159="",D2159=""),"",ROUND(MOD(D2159-C2159,1)*24,2))</f>
        <v/>
      </c>
      <c r="F2159" s="28" t="n"/>
      <c r="G2159" s="28" t="n"/>
      <c r="H2159" s="1" t="n"/>
    </row>
    <row r="2160">
      <c r="A2160" s="1" t="n"/>
      <c r="B2160" s="26" t="n"/>
      <c r="C2160" s="27" t="n"/>
      <c r="D2160" s="27" t="n"/>
      <c r="E2160" s="21">
        <f>IF(OR(C2160="",D2160=""),"",ROUND(MOD(D2160-C2160,1)*24,2))</f>
        <v/>
      </c>
      <c r="F2160" s="28" t="n"/>
      <c r="G2160" s="28" t="n"/>
      <c r="H2160" s="1" t="n"/>
    </row>
    <row r="2161">
      <c r="A2161" s="1" t="n"/>
      <c r="B2161" s="26" t="n"/>
      <c r="C2161" s="27" t="n"/>
      <c r="D2161" s="27" t="n"/>
      <c r="E2161" s="21">
        <f>IF(OR(C2161="",D2161=""),"",ROUND(MOD(D2161-C2161,1)*24,2))</f>
        <v/>
      </c>
      <c r="F2161" s="28" t="n"/>
      <c r="G2161" s="28" t="n"/>
      <c r="H2161" s="1" t="n"/>
    </row>
    <row r="2162">
      <c r="A2162" s="1" t="n"/>
      <c r="B2162" s="26" t="n"/>
      <c r="C2162" s="27" t="n"/>
      <c r="D2162" s="27" t="n"/>
      <c r="E2162" s="21">
        <f>IF(OR(C2162="",D2162=""),"",ROUND(MOD(D2162-C2162,1)*24,2))</f>
        <v/>
      </c>
      <c r="F2162" s="28" t="n"/>
      <c r="G2162" s="28" t="n"/>
      <c r="H2162" s="1" t="n"/>
    </row>
    <row r="2163">
      <c r="A2163" s="1" t="n"/>
      <c r="B2163" s="26" t="n"/>
      <c r="C2163" s="27" t="n"/>
      <c r="D2163" s="27" t="n"/>
      <c r="E2163" s="21">
        <f>IF(OR(C2163="",D2163=""),"",ROUND(MOD(D2163-C2163,1)*24,2))</f>
        <v/>
      </c>
      <c r="F2163" s="28" t="n"/>
      <c r="G2163" s="28" t="n"/>
      <c r="H2163" s="1" t="n"/>
    </row>
    <row r="2164">
      <c r="A2164" s="1" t="n"/>
      <c r="B2164" s="26" t="n"/>
      <c r="C2164" s="27" t="n"/>
      <c r="D2164" s="27" t="n"/>
      <c r="E2164" s="21">
        <f>IF(OR(C2164="",D2164=""),"",ROUND(MOD(D2164-C2164,1)*24,2))</f>
        <v/>
      </c>
      <c r="F2164" s="28" t="n"/>
      <c r="G2164" s="28" t="n"/>
      <c r="H2164" s="1" t="n"/>
    </row>
    <row r="2165">
      <c r="A2165" s="1" t="n"/>
      <c r="B2165" s="26" t="n"/>
      <c r="C2165" s="27" t="n"/>
      <c r="D2165" s="27" t="n"/>
      <c r="E2165" s="21">
        <f>IF(OR(C2165="",D2165=""),"",ROUND(MOD(D2165-C2165,1)*24,2))</f>
        <v/>
      </c>
      <c r="F2165" s="28" t="n"/>
      <c r="G2165" s="28" t="n"/>
      <c r="H2165" s="1" t="n"/>
    </row>
    <row r="2166">
      <c r="A2166" s="1" t="n"/>
      <c r="B2166" s="26" t="n"/>
      <c r="C2166" s="27" t="n"/>
      <c r="D2166" s="27" t="n"/>
      <c r="E2166" s="21">
        <f>IF(OR(C2166="",D2166=""),"",ROUND(MOD(D2166-C2166,1)*24,2))</f>
        <v/>
      </c>
      <c r="F2166" s="28" t="n"/>
      <c r="G2166" s="28" t="n"/>
      <c r="H2166" s="1" t="n"/>
    </row>
    <row r="2167">
      <c r="A2167" s="1" t="n"/>
      <c r="B2167" s="26" t="n"/>
      <c r="C2167" s="27" t="n"/>
      <c r="D2167" s="27" t="n"/>
      <c r="E2167" s="21">
        <f>IF(OR(C2167="",D2167=""),"",ROUND(MOD(D2167-C2167,1)*24,2))</f>
        <v/>
      </c>
      <c r="F2167" s="28" t="n"/>
      <c r="G2167" s="28" t="n"/>
      <c r="H2167" s="1" t="n"/>
    </row>
    <row r="2168">
      <c r="A2168" s="1" t="n"/>
      <c r="B2168" s="26" t="n"/>
      <c r="C2168" s="27" t="n"/>
      <c r="D2168" s="27" t="n"/>
      <c r="E2168" s="21">
        <f>IF(OR(C2168="",D2168=""),"",ROUND(MOD(D2168-C2168,1)*24,2))</f>
        <v/>
      </c>
      <c r="F2168" s="28" t="n"/>
      <c r="G2168" s="28" t="n"/>
      <c r="H2168" s="1" t="n"/>
    </row>
    <row r="2169">
      <c r="A2169" s="1" t="n"/>
      <c r="B2169" s="26" t="n"/>
      <c r="C2169" s="27" t="n"/>
      <c r="D2169" s="27" t="n"/>
      <c r="E2169" s="21">
        <f>IF(OR(C2169="",D2169=""),"",ROUND(MOD(D2169-C2169,1)*24,2))</f>
        <v/>
      </c>
      <c r="F2169" s="28" t="n"/>
      <c r="G2169" s="28" t="n"/>
      <c r="H2169" s="1" t="n"/>
    </row>
    <row r="2170">
      <c r="A2170" s="1" t="n"/>
      <c r="B2170" s="26" t="n"/>
      <c r="C2170" s="27" t="n"/>
      <c r="D2170" s="27" t="n"/>
      <c r="E2170" s="21">
        <f>IF(OR(C2170="",D2170=""),"",ROUND(MOD(D2170-C2170,1)*24,2))</f>
        <v/>
      </c>
      <c r="F2170" s="28" t="n"/>
      <c r="G2170" s="28" t="n"/>
      <c r="H2170" s="1" t="n"/>
    </row>
    <row r="2171">
      <c r="A2171" s="1" t="n"/>
      <c r="B2171" s="26" t="n"/>
      <c r="C2171" s="27" t="n"/>
      <c r="D2171" s="27" t="n"/>
      <c r="E2171" s="21">
        <f>IF(OR(C2171="",D2171=""),"",ROUND(MOD(D2171-C2171,1)*24,2))</f>
        <v/>
      </c>
      <c r="F2171" s="28" t="n"/>
      <c r="G2171" s="28" t="n"/>
      <c r="H2171" s="1" t="n"/>
    </row>
    <row r="2172">
      <c r="A2172" s="1" t="n"/>
      <c r="B2172" s="26" t="n"/>
      <c r="C2172" s="27" t="n"/>
      <c r="D2172" s="27" t="n"/>
      <c r="E2172" s="21">
        <f>IF(OR(C2172="",D2172=""),"",ROUND(MOD(D2172-C2172,1)*24,2))</f>
        <v/>
      </c>
      <c r="F2172" s="28" t="n"/>
      <c r="G2172" s="28" t="n"/>
      <c r="H2172" s="1" t="n"/>
    </row>
    <row r="2173">
      <c r="A2173" s="1" t="n"/>
      <c r="B2173" s="26" t="n"/>
      <c r="C2173" s="27" t="n"/>
      <c r="D2173" s="27" t="n"/>
      <c r="E2173" s="21">
        <f>IF(OR(C2173="",D2173=""),"",ROUND(MOD(D2173-C2173,1)*24,2))</f>
        <v/>
      </c>
      <c r="F2173" s="28" t="n"/>
      <c r="G2173" s="28" t="n"/>
      <c r="H2173" s="1" t="n"/>
    </row>
    <row r="2174">
      <c r="A2174" s="1" t="n"/>
      <c r="B2174" s="26" t="n"/>
      <c r="C2174" s="27" t="n"/>
      <c r="D2174" s="27" t="n"/>
      <c r="E2174" s="21">
        <f>IF(OR(C2174="",D2174=""),"",ROUND(MOD(D2174-C2174,1)*24,2))</f>
        <v/>
      </c>
      <c r="F2174" s="28" t="n"/>
      <c r="G2174" s="28" t="n"/>
      <c r="H2174" s="1" t="n"/>
    </row>
    <row r="2175">
      <c r="A2175" s="1" t="n"/>
      <c r="B2175" s="26" t="n"/>
      <c r="C2175" s="27" t="n"/>
      <c r="D2175" s="27" t="n"/>
      <c r="E2175" s="21">
        <f>IF(OR(C2175="",D2175=""),"",ROUND(MOD(D2175-C2175,1)*24,2))</f>
        <v/>
      </c>
      <c r="F2175" s="28" t="n"/>
      <c r="G2175" s="28" t="n"/>
      <c r="H2175" s="1" t="n"/>
    </row>
    <row r="2176">
      <c r="A2176" s="1" t="n"/>
      <c r="B2176" s="26" t="n"/>
      <c r="C2176" s="27" t="n"/>
      <c r="D2176" s="27" t="n"/>
      <c r="E2176" s="21">
        <f>IF(OR(C2176="",D2176=""),"",ROUND(MOD(D2176-C2176,1)*24,2))</f>
        <v/>
      </c>
      <c r="F2176" s="28" t="n"/>
      <c r="G2176" s="28" t="n"/>
      <c r="H2176" s="1" t="n"/>
    </row>
    <row r="2177">
      <c r="A2177" s="1" t="n"/>
      <c r="B2177" s="26" t="n"/>
      <c r="C2177" s="27" t="n"/>
      <c r="D2177" s="27" t="n"/>
      <c r="E2177" s="21">
        <f>IF(OR(C2177="",D2177=""),"",ROUND(MOD(D2177-C2177,1)*24,2))</f>
        <v/>
      </c>
      <c r="F2177" s="28" t="n"/>
      <c r="G2177" s="28" t="n"/>
      <c r="H2177" s="1" t="n"/>
    </row>
    <row r="2178">
      <c r="A2178" s="1" t="n"/>
      <c r="B2178" s="26" t="n"/>
      <c r="C2178" s="27" t="n"/>
      <c r="D2178" s="27" t="n"/>
      <c r="E2178" s="21">
        <f>IF(OR(C2178="",D2178=""),"",ROUND(MOD(D2178-C2178,1)*24,2))</f>
        <v/>
      </c>
      <c r="F2178" s="28" t="n"/>
      <c r="G2178" s="28" t="n"/>
      <c r="H2178" s="1" t="n"/>
    </row>
    <row r="2179">
      <c r="A2179" s="1" t="n"/>
      <c r="B2179" s="26" t="n"/>
      <c r="C2179" s="27" t="n"/>
      <c r="D2179" s="27" t="n"/>
      <c r="E2179" s="21">
        <f>IF(OR(C2179="",D2179=""),"",ROUND(MOD(D2179-C2179,1)*24,2))</f>
        <v/>
      </c>
      <c r="F2179" s="28" t="n"/>
      <c r="G2179" s="28" t="n"/>
      <c r="H2179" s="1" t="n"/>
    </row>
    <row r="2180">
      <c r="A2180" s="1" t="n"/>
      <c r="B2180" s="26" t="n"/>
      <c r="C2180" s="27" t="n"/>
      <c r="D2180" s="27" t="n"/>
      <c r="E2180" s="21">
        <f>IF(OR(C2180="",D2180=""),"",ROUND(MOD(D2180-C2180,1)*24,2))</f>
        <v/>
      </c>
      <c r="F2180" s="28" t="n"/>
      <c r="G2180" s="28" t="n"/>
      <c r="H2180" s="1" t="n"/>
    </row>
    <row r="2181">
      <c r="A2181" s="1" t="n"/>
      <c r="B2181" s="26" t="n"/>
      <c r="C2181" s="27" t="n"/>
      <c r="D2181" s="27" t="n"/>
      <c r="E2181" s="21">
        <f>IF(OR(C2181="",D2181=""),"",ROUND(MOD(D2181-C2181,1)*24,2))</f>
        <v/>
      </c>
      <c r="F2181" s="28" t="n"/>
      <c r="G2181" s="28" t="n"/>
      <c r="H2181" s="1" t="n"/>
    </row>
    <row r="2182">
      <c r="A2182" s="1" t="n"/>
      <c r="B2182" s="26" t="n"/>
      <c r="C2182" s="27" t="n"/>
      <c r="D2182" s="27" t="n"/>
      <c r="E2182" s="21">
        <f>IF(OR(C2182="",D2182=""),"",ROUND(MOD(D2182-C2182,1)*24,2))</f>
        <v/>
      </c>
      <c r="F2182" s="28" t="n"/>
      <c r="G2182" s="28" t="n"/>
      <c r="H2182" s="1" t="n"/>
    </row>
    <row r="2183">
      <c r="A2183" s="1" t="n"/>
      <c r="B2183" s="26" t="n"/>
      <c r="C2183" s="27" t="n"/>
      <c r="D2183" s="27" t="n"/>
      <c r="E2183" s="21">
        <f>IF(OR(C2183="",D2183=""),"",ROUND(MOD(D2183-C2183,1)*24,2))</f>
        <v/>
      </c>
      <c r="F2183" s="28" t="n"/>
      <c r="G2183" s="28" t="n"/>
      <c r="H2183" s="1" t="n"/>
    </row>
    <row r="2184">
      <c r="A2184" s="1" t="n"/>
      <c r="B2184" s="26" t="n"/>
      <c r="C2184" s="27" t="n"/>
      <c r="D2184" s="27" t="n"/>
      <c r="E2184" s="21">
        <f>IF(OR(C2184="",D2184=""),"",ROUND(MOD(D2184-C2184,1)*24,2))</f>
        <v/>
      </c>
      <c r="F2184" s="28" t="n"/>
      <c r="G2184" s="28" t="n"/>
      <c r="H2184" s="1" t="n"/>
    </row>
    <row r="2185">
      <c r="A2185" s="1" t="n"/>
      <c r="B2185" s="26" t="n"/>
      <c r="C2185" s="27" t="n"/>
      <c r="D2185" s="27" t="n"/>
      <c r="E2185" s="21">
        <f>IF(OR(C2185="",D2185=""),"",ROUND(MOD(D2185-C2185,1)*24,2))</f>
        <v/>
      </c>
      <c r="F2185" s="28" t="n"/>
      <c r="G2185" s="28" t="n"/>
      <c r="H2185" s="1" t="n"/>
    </row>
    <row r="2186">
      <c r="A2186" s="1" t="n"/>
      <c r="B2186" s="26" t="n"/>
      <c r="C2186" s="27" t="n"/>
      <c r="D2186" s="27" t="n"/>
      <c r="E2186" s="21">
        <f>IF(OR(C2186="",D2186=""),"",ROUND(MOD(D2186-C2186,1)*24,2))</f>
        <v/>
      </c>
      <c r="F2186" s="28" t="n"/>
      <c r="G2186" s="28" t="n"/>
      <c r="H2186" s="1" t="n"/>
    </row>
    <row r="2187">
      <c r="A2187" s="1" t="n"/>
      <c r="B2187" s="26" t="n"/>
      <c r="C2187" s="27" t="n"/>
      <c r="D2187" s="27" t="n"/>
      <c r="E2187" s="21">
        <f>IF(OR(C2187="",D2187=""),"",ROUND(MOD(D2187-C2187,1)*24,2))</f>
        <v/>
      </c>
      <c r="F2187" s="28" t="n"/>
      <c r="G2187" s="28" t="n"/>
      <c r="H2187" s="1" t="n"/>
    </row>
    <row r="2188">
      <c r="A2188" s="1" t="n"/>
      <c r="B2188" s="26" t="n"/>
      <c r="C2188" s="27" t="n"/>
      <c r="D2188" s="27" t="n"/>
      <c r="E2188" s="21">
        <f>IF(OR(C2188="",D2188=""),"",ROUND(MOD(D2188-C2188,1)*24,2))</f>
        <v/>
      </c>
      <c r="F2188" s="28" t="n"/>
      <c r="G2188" s="28" t="n"/>
      <c r="H2188" s="1" t="n"/>
    </row>
    <row r="2189">
      <c r="A2189" s="1" t="n"/>
      <c r="B2189" s="26" t="n"/>
      <c r="C2189" s="27" t="n"/>
      <c r="D2189" s="27" t="n"/>
      <c r="E2189" s="21">
        <f>IF(OR(C2189="",D2189=""),"",ROUND(MOD(D2189-C2189,1)*24,2))</f>
        <v/>
      </c>
      <c r="F2189" s="28" t="n"/>
      <c r="G2189" s="28" t="n"/>
      <c r="H2189" s="1" t="n"/>
    </row>
    <row r="2190">
      <c r="A2190" s="1" t="n"/>
      <c r="B2190" s="26" t="n"/>
      <c r="C2190" s="27" t="n"/>
      <c r="D2190" s="27" t="n"/>
      <c r="E2190" s="21">
        <f>IF(OR(C2190="",D2190=""),"",ROUND(MOD(D2190-C2190,1)*24,2))</f>
        <v/>
      </c>
      <c r="F2190" s="28" t="n"/>
      <c r="G2190" s="28" t="n"/>
      <c r="H2190" s="1" t="n"/>
    </row>
    <row r="2191">
      <c r="A2191" s="1" t="n"/>
      <c r="B2191" s="26" t="n"/>
      <c r="C2191" s="27" t="n"/>
      <c r="D2191" s="27" t="n"/>
      <c r="E2191" s="21">
        <f>IF(OR(C2191="",D2191=""),"",ROUND(MOD(D2191-C2191,1)*24,2))</f>
        <v/>
      </c>
      <c r="F2191" s="28" t="n"/>
      <c r="G2191" s="28" t="n"/>
      <c r="H2191" s="1" t="n"/>
    </row>
    <row r="2192">
      <c r="A2192" s="1" t="n"/>
      <c r="B2192" s="26" t="n"/>
      <c r="C2192" s="27" t="n"/>
      <c r="D2192" s="27" t="n"/>
      <c r="E2192" s="21">
        <f>IF(OR(C2192="",D2192=""),"",ROUND(MOD(D2192-C2192,1)*24,2))</f>
        <v/>
      </c>
      <c r="F2192" s="28" t="n"/>
      <c r="G2192" s="28" t="n"/>
      <c r="H2192" s="1" t="n"/>
    </row>
    <row r="2193">
      <c r="A2193" s="1" t="n"/>
      <c r="B2193" s="26" t="n"/>
      <c r="C2193" s="27" t="n"/>
      <c r="D2193" s="27" t="n"/>
      <c r="E2193" s="21">
        <f>IF(OR(C2193="",D2193=""),"",ROUND(MOD(D2193-C2193,1)*24,2))</f>
        <v/>
      </c>
      <c r="F2193" s="28" t="n"/>
      <c r="G2193" s="28" t="n"/>
      <c r="H2193" s="1" t="n"/>
    </row>
    <row r="2194">
      <c r="A2194" s="1" t="n"/>
      <c r="B2194" s="26" t="n"/>
      <c r="C2194" s="27" t="n"/>
      <c r="D2194" s="27" t="n"/>
      <c r="E2194" s="21">
        <f>IF(OR(C2194="",D2194=""),"",ROUND(MOD(D2194-C2194,1)*24,2))</f>
        <v/>
      </c>
      <c r="F2194" s="28" t="n"/>
      <c r="G2194" s="28" t="n"/>
      <c r="H2194" s="1" t="n"/>
    </row>
    <row r="2195">
      <c r="A2195" s="1" t="n"/>
      <c r="B2195" s="26" t="n"/>
      <c r="C2195" s="27" t="n"/>
      <c r="D2195" s="27" t="n"/>
      <c r="E2195" s="21">
        <f>IF(OR(C2195="",D2195=""),"",ROUND(MOD(D2195-C2195,1)*24,2))</f>
        <v/>
      </c>
      <c r="F2195" s="28" t="n"/>
      <c r="G2195" s="28" t="n"/>
      <c r="H2195" s="1" t="n"/>
    </row>
    <row r="2196">
      <c r="A2196" s="1" t="n"/>
      <c r="B2196" s="26" t="n"/>
      <c r="C2196" s="27" t="n"/>
      <c r="D2196" s="27" t="n"/>
      <c r="E2196" s="21">
        <f>IF(OR(C2196="",D2196=""),"",ROUND(MOD(D2196-C2196,1)*24,2))</f>
        <v/>
      </c>
      <c r="F2196" s="28" t="n"/>
      <c r="G2196" s="28" t="n"/>
      <c r="H2196" s="1" t="n"/>
    </row>
    <row r="2197">
      <c r="A2197" s="1" t="n"/>
      <c r="B2197" s="26" t="n"/>
      <c r="C2197" s="27" t="n"/>
      <c r="D2197" s="27" t="n"/>
      <c r="E2197" s="21">
        <f>IF(OR(C2197="",D2197=""),"",ROUND(MOD(D2197-C2197,1)*24,2))</f>
        <v/>
      </c>
      <c r="F2197" s="28" t="n"/>
      <c r="G2197" s="28" t="n"/>
      <c r="H2197" s="1" t="n"/>
    </row>
    <row r="2198">
      <c r="A2198" s="1" t="n"/>
      <c r="B2198" s="26" t="n"/>
      <c r="C2198" s="27" t="n"/>
      <c r="D2198" s="27" t="n"/>
      <c r="E2198" s="21">
        <f>IF(OR(C2198="",D2198=""),"",ROUND(MOD(D2198-C2198,1)*24,2))</f>
        <v/>
      </c>
      <c r="F2198" s="28" t="n"/>
      <c r="G2198" s="28" t="n"/>
      <c r="H2198" s="1" t="n"/>
    </row>
    <row r="2199">
      <c r="A2199" s="1" t="n"/>
      <c r="B2199" s="26" t="n"/>
      <c r="C2199" s="27" t="n"/>
      <c r="D2199" s="27" t="n"/>
      <c r="E2199" s="21">
        <f>IF(OR(C2199="",D2199=""),"",ROUND(MOD(D2199-C2199,1)*24,2))</f>
        <v/>
      </c>
      <c r="F2199" s="28" t="n"/>
      <c r="G2199" s="28" t="n"/>
      <c r="H2199" s="1" t="n"/>
    </row>
    <row r="2200">
      <c r="A2200" s="1" t="n"/>
      <c r="B2200" s="26" t="n"/>
      <c r="C2200" s="27" t="n"/>
      <c r="D2200" s="27" t="n"/>
      <c r="E2200" s="21">
        <f>IF(OR(C2200="",D2200=""),"",ROUND(MOD(D2200-C2200,1)*24,2))</f>
        <v/>
      </c>
      <c r="F2200" s="28" t="n"/>
      <c r="G2200" s="28" t="n"/>
      <c r="H2200" s="1" t="n"/>
    </row>
    <row r="2201">
      <c r="A2201" s="1" t="n"/>
      <c r="B2201" s="26" t="n"/>
      <c r="C2201" s="27" t="n"/>
      <c r="D2201" s="27" t="n"/>
      <c r="E2201" s="21">
        <f>IF(OR(C2201="",D2201=""),"",ROUND(MOD(D2201-C2201,1)*24,2))</f>
        <v/>
      </c>
      <c r="F2201" s="28" t="n"/>
      <c r="G2201" s="28" t="n"/>
      <c r="H2201" s="1" t="n"/>
    </row>
    <row r="2202">
      <c r="A2202" s="1" t="n"/>
      <c r="B2202" s="26" t="n"/>
      <c r="C2202" s="27" t="n"/>
      <c r="D2202" s="27" t="n"/>
      <c r="E2202" s="21">
        <f>IF(OR(C2202="",D2202=""),"",ROUND(MOD(D2202-C2202,1)*24,2))</f>
        <v/>
      </c>
      <c r="F2202" s="28" t="n"/>
      <c r="G2202" s="28" t="n"/>
      <c r="H2202" s="1" t="n"/>
    </row>
    <row r="2203">
      <c r="A2203" s="1" t="n"/>
      <c r="B2203" s="26" t="n"/>
      <c r="C2203" s="27" t="n"/>
      <c r="D2203" s="27" t="n"/>
      <c r="E2203" s="21">
        <f>IF(OR(C2203="",D2203=""),"",ROUND(MOD(D2203-C2203,1)*24,2))</f>
        <v/>
      </c>
      <c r="F2203" s="28" t="n"/>
      <c r="G2203" s="28" t="n"/>
      <c r="H2203" s="1" t="n"/>
    </row>
    <row r="2204">
      <c r="A2204" s="1" t="n"/>
      <c r="B2204" s="26" t="n"/>
      <c r="C2204" s="27" t="n"/>
      <c r="D2204" s="27" t="n"/>
      <c r="E2204" s="21">
        <f>IF(OR(C2204="",D2204=""),"",ROUND(MOD(D2204-C2204,1)*24,2))</f>
        <v/>
      </c>
      <c r="F2204" s="28" t="n"/>
      <c r="G2204" s="28" t="n"/>
      <c r="H2204" s="1" t="n"/>
    </row>
    <row r="2205">
      <c r="A2205" s="1" t="n"/>
      <c r="B2205" s="26" t="n"/>
      <c r="C2205" s="27" t="n"/>
      <c r="D2205" s="27" t="n"/>
      <c r="E2205" s="21">
        <f>IF(OR(C2205="",D2205=""),"",ROUND(MOD(D2205-C2205,1)*24,2))</f>
        <v/>
      </c>
      <c r="F2205" s="28" t="n"/>
      <c r="G2205" s="28" t="n"/>
      <c r="H2205" s="1" t="n"/>
    </row>
    <row r="2206">
      <c r="A2206" s="1" t="n"/>
      <c r="B2206" s="26" t="n"/>
      <c r="C2206" s="27" t="n"/>
      <c r="D2206" s="27" t="n"/>
      <c r="E2206" s="21">
        <f>IF(OR(C2206="",D2206=""),"",ROUND(MOD(D2206-C2206,1)*24,2))</f>
        <v/>
      </c>
      <c r="F2206" s="28" t="n"/>
      <c r="G2206" s="28" t="n"/>
      <c r="H2206" s="1" t="n"/>
    </row>
    <row r="2207">
      <c r="A2207" s="1" t="n"/>
      <c r="B2207" s="26" t="n"/>
      <c r="C2207" s="27" t="n"/>
      <c r="D2207" s="27" t="n"/>
      <c r="E2207" s="21">
        <f>IF(OR(C2207="",D2207=""),"",ROUND(MOD(D2207-C2207,1)*24,2))</f>
        <v/>
      </c>
      <c r="F2207" s="28" t="n"/>
      <c r="G2207" s="28" t="n"/>
      <c r="H2207" s="1" t="n"/>
    </row>
    <row r="2208">
      <c r="A2208" s="1" t="n"/>
      <c r="B2208" s="26" t="n"/>
      <c r="C2208" s="27" t="n"/>
      <c r="D2208" s="27" t="n"/>
      <c r="E2208" s="21">
        <f>IF(OR(C2208="",D2208=""),"",ROUND(MOD(D2208-C2208,1)*24,2))</f>
        <v/>
      </c>
      <c r="F2208" s="28" t="n"/>
      <c r="G2208" s="28" t="n"/>
      <c r="H2208" s="1" t="n"/>
    </row>
    <row r="2209">
      <c r="A2209" s="1" t="n"/>
      <c r="B2209" s="26" t="n"/>
      <c r="C2209" s="27" t="n"/>
      <c r="D2209" s="27" t="n"/>
      <c r="E2209" s="21">
        <f>IF(OR(C2209="",D2209=""),"",ROUND(MOD(D2209-C2209,1)*24,2))</f>
        <v/>
      </c>
      <c r="F2209" s="28" t="n"/>
      <c r="G2209" s="28" t="n"/>
      <c r="H2209" s="1" t="n"/>
    </row>
    <row r="2210">
      <c r="A2210" s="1" t="n"/>
      <c r="B2210" s="26" t="n"/>
      <c r="C2210" s="27" t="n"/>
      <c r="D2210" s="27" t="n"/>
      <c r="E2210" s="21">
        <f>IF(OR(C2210="",D2210=""),"",ROUND(MOD(D2210-C2210,1)*24,2))</f>
        <v/>
      </c>
      <c r="F2210" s="28" t="n"/>
      <c r="G2210" s="28" t="n"/>
      <c r="H2210" s="1" t="n"/>
    </row>
    <row r="2211">
      <c r="A2211" s="1" t="n"/>
      <c r="B2211" s="26" t="n"/>
      <c r="C2211" s="27" t="n"/>
      <c r="D2211" s="27" t="n"/>
      <c r="E2211" s="21">
        <f>IF(OR(C2211="",D2211=""),"",ROUND(MOD(D2211-C2211,1)*24,2))</f>
        <v/>
      </c>
      <c r="F2211" s="28" t="n"/>
      <c r="G2211" s="28" t="n"/>
      <c r="H2211" s="1" t="n"/>
    </row>
    <row r="2212">
      <c r="A2212" s="1" t="n"/>
      <c r="B2212" s="26" t="n"/>
      <c r="C2212" s="27" t="n"/>
      <c r="D2212" s="27" t="n"/>
      <c r="E2212" s="21">
        <f>IF(OR(C2212="",D2212=""),"",ROUND(MOD(D2212-C2212,1)*24,2))</f>
        <v/>
      </c>
      <c r="F2212" s="28" t="n"/>
      <c r="G2212" s="28" t="n"/>
      <c r="H2212" s="1" t="n"/>
    </row>
    <row r="2213">
      <c r="A2213" s="1" t="n"/>
      <c r="B2213" s="26" t="n"/>
      <c r="C2213" s="27" t="n"/>
      <c r="D2213" s="27" t="n"/>
      <c r="E2213" s="21">
        <f>IF(OR(C2213="",D2213=""),"",ROUND(MOD(D2213-C2213,1)*24,2))</f>
        <v/>
      </c>
      <c r="F2213" s="28" t="n"/>
      <c r="G2213" s="28" t="n"/>
      <c r="H2213" s="1" t="n"/>
    </row>
    <row r="2214">
      <c r="A2214" s="1" t="n"/>
      <c r="B2214" s="26" t="n"/>
      <c r="C2214" s="27" t="n"/>
      <c r="D2214" s="27" t="n"/>
      <c r="E2214" s="21">
        <f>IF(OR(C2214="",D2214=""),"",ROUND(MOD(D2214-C2214,1)*24,2))</f>
        <v/>
      </c>
      <c r="F2214" s="28" t="n"/>
      <c r="G2214" s="28" t="n"/>
      <c r="H2214" s="1" t="n"/>
    </row>
    <row r="2215">
      <c r="A2215" s="1" t="n"/>
      <c r="B2215" s="26" t="n"/>
      <c r="C2215" s="27" t="n"/>
      <c r="D2215" s="27" t="n"/>
      <c r="E2215" s="21">
        <f>IF(OR(C2215="",D2215=""),"",ROUND(MOD(D2215-C2215,1)*24,2))</f>
        <v/>
      </c>
      <c r="F2215" s="28" t="n"/>
      <c r="G2215" s="28" t="n"/>
      <c r="H2215" s="1" t="n"/>
    </row>
    <row r="2216">
      <c r="A2216" s="1" t="n"/>
      <c r="B2216" s="26" t="n"/>
      <c r="C2216" s="27" t="n"/>
      <c r="D2216" s="27" t="n"/>
      <c r="E2216" s="21">
        <f>IF(OR(C2216="",D2216=""),"",ROUND(MOD(D2216-C2216,1)*24,2))</f>
        <v/>
      </c>
      <c r="F2216" s="28" t="n"/>
      <c r="G2216" s="28" t="n"/>
      <c r="H2216" s="1" t="n"/>
    </row>
    <row r="2217">
      <c r="A2217" s="1" t="n"/>
      <c r="B2217" s="26" t="n"/>
      <c r="C2217" s="27" t="n"/>
      <c r="D2217" s="27" t="n"/>
      <c r="E2217" s="21">
        <f>IF(OR(C2217="",D2217=""),"",ROUND(MOD(D2217-C2217,1)*24,2))</f>
        <v/>
      </c>
      <c r="F2217" s="28" t="n"/>
      <c r="G2217" s="28" t="n"/>
      <c r="H2217" s="1" t="n"/>
    </row>
    <row r="2218">
      <c r="A2218" s="1" t="n"/>
      <c r="B2218" s="26" t="n"/>
      <c r="C2218" s="27" t="n"/>
      <c r="D2218" s="27" t="n"/>
      <c r="E2218" s="21">
        <f>IF(OR(C2218="",D2218=""),"",ROUND(MOD(D2218-C2218,1)*24,2))</f>
        <v/>
      </c>
      <c r="F2218" s="28" t="n"/>
      <c r="G2218" s="28" t="n"/>
      <c r="H2218" s="1" t="n"/>
    </row>
    <row r="2219">
      <c r="A2219" s="1" t="n"/>
      <c r="B2219" s="26" t="n"/>
      <c r="C2219" s="27" t="n"/>
      <c r="D2219" s="27" t="n"/>
      <c r="E2219" s="21">
        <f>IF(OR(C2219="",D2219=""),"",ROUND(MOD(D2219-C2219,1)*24,2))</f>
        <v/>
      </c>
      <c r="F2219" s="28" t="n"/>
      <c r="G2219" s="28" t="n"/>
      <c r="H2219" s="1" t="n"/>
    </row>
    <row r="2220">
      <c r="A2220" s="1" t="n"/>
      <c r="B2220" s="26" t="n"/>
      <c r="C2220" s="27" t="n"/>
      <c r="D2220" s="27" t="n"/>
      <c r="E2220" s="21">
        <f>IF(OR(C2220="",D2220=""),"",ROUND(MOD(D2220-C2220,1)*24,2))</f>
        <v/>
      </c>
      <c r="F2220" s="28" t="n"/>
      <c r="G2220" s="28" t="n"/>
      <c r="H2220" s="1" t="n"/>
    </row>
    <row r="2221">
      <c r="A2221" s="1" t="n"/>
      <c r="B2221" s="26" t="n"/>
      <c r="C2221" s="27" t="n"/>
      <c r="D2221" s="27" t="n"/>
      <c r="E2221" s="21">
        <f>IF(OR(C2221="",D2221=""),"",ROUND(MOD(D2221-C2221,1)*24,2))</f>
        <v/>
      </c>
      <c r="F2221" s="28" t="n"/>
      <c r="G2221" s="28" t="n"/>
      <c r="H2221" s="1" t="n"/>
    </row>
    <row r="2222">
      <c r="A2222" s="1" t="n"/>
      <c r="B2222" s="26" t="n"/>
      <c r="C2222" s="27" t="n"/>
      <c r="D2222" s="27" t="n"/>
      <c r="E2222" s="21">
        <f>IF(OR(C2222="",D2222=""),"",ROUND(MOD(D2222-C2222,1)*24,2))</f>
        <v/>
      </c>
      <c r="F2222" s="28" t="n"/>
      <c r="G2222" s="28" t="n"/>
      <c r="H2222" s="1" t="n"/>
    </row>
    <row r="2223">
      <c r="A2223" s="1" t="n"/>
      <c r="B2223" s="26" t="n"/>
      <c r="C2223" s="27" t="n"/>
      <c r="D2223" s="27" t="n"/>
      <c r="E2223" s="21">
        <f>IF(OR(C2223="",D2223=""),"",ROUND(MOD(D2223-C2223,1)*24,2))</f>
        <v/>
      </c>
      <c r="F2223" s="28" t="n"/>
      <c r="G2223" s="28" t="n"/>
      <c r="H2223" s="1" t="n"/>
    </row>
    <row r="2224">
      <c r="A2224" s="1" t="n"/>
      <c r="B2224" s="26" t="n"/>
      <c r="C2224" s="27" t="n"/>
      <c r="D2224" s="27" t="n"/>
      <c r="E2224" s="21">
        <f>IF(OR(C2224="",D2224=""),"",ROUND(MOD(D2224-C2224,1)*24,2))</f>
        <v/>
      </c>
      <c r="F2224" s="28" t="n"/>
      <c r="G2224" s="28" t="n"/>
      <c r="H2224" s="1" t="n"/>
    </row>
    <row r="2225">
      <c r="A2225" s="1" t="n"/>
      <c r="B2225" s="26" t="n"/>
      <c r="C2225" s="27" t="n"/>
      <c r="D2225" s="27" t="n"/>
      <c r="E2225" s="21">
        <f>IF(OR(C2225="",D2225=""),"",ROUND(MOD(D2225-C2225,1)*24,2))</f>
        <v/>
      </c>
      <c r="F2225" s="28" t="n"/>
      <c r="G2225" s="28" t="n"/>
      <c r="H2225" s="1" t="n"/>
    </row>
    <row r="2226">
      <c r="A2226" s="1" t="n"/>
      <c r="B2226" s="26" t="n"/>
      <c r="C2226" s="27" t="n"/>
      <c r="D2226" s="27" t="n"/>
      <c r="E2226" s="21">
        <f>IF(OR(C2226="",D2226=""),"",ROUND(MOD(D2226-C2226,1)*24,2))</f>
        <v/>
      </c>
      <c r="F2226" s="28" t="n"/>
      <c r="G2226" s="28" t="n"/>
      <c r="H2226" s="1" t="n"/>
    </row>
    <row r="2227">
      <c r="A2227" s="1" t="n"/>
      <c r="B2227" s="26" t="n"/>
      <c r="C2227" s="27" t="n"/>
      <c r="D2227" s="27" t="n"/>
      <c r="E2227" s="21">
        <f>IF(OR(C2227="",D2227=""),"",ROUND(MOD(D2227-C2227,1)*24,2))</f>
        <v/>
      </c>
      <c r="F2227" s="28" t="n"/>
      <c r="G2227" s="28" t="n"/>
      <c r="H2227" s="1" t="n"/>
    </row>
    <row r="2228">
      <c r="A2228" s="1" t="n"/>
      <c r="B2228" s="26" t="n"/>
      <c r="C2228" s="27" t="n"/>
      <c r="D2228" s="27" t="n"/>
      <c r="E2228" s="21">
        <f>IF(OR(C2228="",D2228=""),"",ROUND(MOD(D2228-C2228,1)*24,2))</f>
        <v/>
      </c>
      <c r="F2228" s="28" t="n"/>
      <c r="G2228" s="28" t="n"/>
      <c r="H2228" s="1" t="n"/>
    </row>
    <row r="2229">
      <c r="A2229" s="1" t="n"/>
      <c r="B2229" s="26" t="n"/>
      <c r="C2229" s="27" t="n"/>
      <c r="D2229" s="27" t="n"/>
      <c r="E2229" s="21">
        <f>IF(OR(C2229="",D2229=""),"",ROUND(MOD(D2229-C2229,1)*24,2))</f>
        <v/>
      </c>
      <c r="F2229" s="28" t="n"/>
      <c r="G2229" s="28" t="n"/>
      <c r="H2229" s="1" t="n"/>
    </row>
    <row r="2230">
      <c r="A2230" s="1" t="n"/>
      <c r="B2230" s="26" t="n"/>
      <c r="C2230" s="27" t="n"/>
      <c r="D2230" s="27" t="n"/>
      <c r="E2230" s="21">
        <f>IF(OR(C2230="",D2230=""),"",ROUND(MOD(D2230-C2230,1)*24,2))</f>
        <v/>
      </c>
      <c r="F2230" s="28" t="n"/>
      <c r="G2230" s="28" t="n"/>
      <c r="H2230" s="1" t="n"/>
    </row>
    <row r="2231">
      <c r="A2231" s="1" t="n"/>
      <c r="B2231" s="26" t="n"/>
      <c r="C2231" s="27" t="n"/>
      <c r="D2231" s="27" t="n"/>
      <c r="E2231" s="21">
        <f>IF(OR(C2231="",D2231=""),"",ROUND(MOD(D2231-C2231,1)*24,2))</f>
        <v/>
      </c>
      <c r="F2231" s="28" t="n"/>
      <c r="G2231" s="28" t="n"/>
      <c r="H2231" s="1" t="n"/>
    </row>
    <row r="2232">
      <c r="A2232" s="1" t="n"/>
      <c r="B2232" s="26" t="n"/>
      <c r="C2232" s="27" t="n"/>
      <c r="D2232" s="27" t="n"/>
      <c r="E2232" s="21">
        <f>IF(OR(C2232="",D2232=""),"",ROUND(MOD(D2232-C2232,1)*24,2))</f>
        <v/>
      </c>
      <c r="F2232" s="28" t="n"/>
      <c r="G2232" s="28" t="n"/>
      <c r="H2232" s="1" t="n"/>
    </row>
    <row r="2233">
      <c r="A2233" s="1" t="n"/>
      <c r="B2233" s="26" t="n"/>
      <c r="C2233" s="27" t="n"/>
      <c r="D2233" s="27" t="n"/>
      <c r="E2233" s="21">
        <f>IF(OR(C2233="",D2233=""),"",ROUND(MOD(D2233-C2233,1)*24,2))</f>
        <v/>
      </c>
      <c r="F2233" s="28" t="n"/>
      <c r="G2233" s="28" t="n"/>
      <c r="H2233" s="1" t="n"/>
    </row>
    <row r="2234">
      <c r="A2234" s="1" t="n"/>
      <c r="B2234" s="26" t="n"/>
      <c r="C2234" s="27" t="n"/>
      <c r="D2234" s="27" t="n"/>
      <c r="E2234" s="21">
        <f>IF(OR(C2234="",D2234=""),"",ROUND(MOD(D2234-C2234,1)*24,2))</f>
        <v/>
      </c>
      <c r="F2234" s="28" t="n"/>
      <c r="G2234" s="28" t="n"/>
      <c r="H2234" s="1" t="n"/>
    </row>
    <row r="2235">
      <c r="A2235" s="1" t="n"/>
      <c r="B2235" s="26" t="n"/>
      <c r="C2235" s="27" t="n"/>
      <c r="D2235" s="27" t="n"/>
      <c r="E2235" s="21">
        <f>IF(OR(C2235="",D2235=""),"",ROUND(MOD(D2235-C2235,1)*24,2))</f>
        <v/>
      </c>
      <c r="F2235" s="28" t="n"/>
      <c r="G2235" s="28" t="n"/>
      <c r="H2235" s="1" t="n"/>
    </row>
    <row r="2236">
      <c r="A2236" s="1" t="n"/>
      <c r="B2236" s="26" t="n"/>
      <c r="C2236" s="27" t="n"/>
      <c r="D2236" s="27" t="n"/>
      <c r="E2236" s="21">
        <f>IF(OR(C2236="",D2236=""),"",ROUND(MOD(D2236-C2236,1)*24,2))</f>
        <v/>
      </c>
      <c r="F2236" s="28" t="n"/>
      <c r="G2236" s="28" t="n"/>
      <c r="H2236" s="1" t="n"/>
    </row>
    <row r="2237">
      <c r="A2237" s="1" t="n"/>
      <c r="B2237" s="26" t="n"/>
      <c r="C2237" s="27" t="n"/>
      <c r="D2237" s="27" t="n"/>
      <c r="E2237" s="21">
        <f>IF(OR(C2237="",D2237=""),"",ROUND(MOD(D2237-C2237,1)*24,2))</f>
        <v/>
      </c>
      <c r="F2237" s="28" t="n"/>
      <c r="G2237" s="28" t="n"/>
      <c r="H2237" s="1" t="n"/>
    </row>
    <row r="2238">
      <c r="A2238" s="1" t="n"/>
      <c r="B2238" s="26" t="n"/>
      <c r="C2238" s="27" t="n"/>
      <c r="D2238" s="27" t="n"/>
      <c r="E2238" s="21">
        <f>IF(OR(C2238="",D2238=""),"",ROUND(MOD(D2238-C2238,1)*24,2))</f>
        <v/>
      </c>
      <c r="F2238" s="28" t="n"/>
      <c r="G2238" s="28" t="n"/>
      <c r="H2238" s="1" t="n"/>
    </row>
    <row r="2239">
      <c r="A2239" s="1" t="n"/>
      <c r="B2239" s="26" t="n"/>
      <c r="C2239" s="27" t="n"/>
      <c r="D2239" s="27" t="n"/>
      <c r="E2239" s="21">
        <f>IF(OR(C2239="",D2239=""),"",ROUND(MOD(D2239-C2239,1)*24,2))</f>
        <v/>
      </c>
      <c r="F2239" s="28" t="n"/>
      <c r="G2239" s="28" t="n"/>
      <c r="H2239" s="1" t="n"/>
    </row>
    <row r="2240">
      <c r="A2240" s="1" t="n"/>
      <c r="B2240" s="26" t="n"/>
      <c r="C2240" s="27" t="n"/>
      <c r="D2240" s="27" t="n"/>
      <c r="E2240" s="21">
        <f>IF(OR(C2240="",D2240=""),"",ROUND(MOD(D2240-C2240,1)*24,2))</f>
        <v/>
      </c>
      <c r="F2240" s="28" t="n"/>
      <c r="G2240" s="28" t="n"/>
      <c r="H2240" s="1" t="n"/>
    </row>
    <row r="2241">
      <c r="A2241" s="1" t="n"/>
      <c r="B2241" s="26" t="n"/>
      <c r="C2241" s="27" t="n"/>
      <c r="D2241" s="27" t="n"/>
      <c r="E2241" s="21">
        <f>IF(OR(C2241="",D2241=""),"",ROUND(MOD(D2241-C2241,1)*24,2))</f>
        <v/>
      </c>
      <c r="F2241" s="28" t="n"/>
      <c r="G2241" s="28" t="n"/>
      <c r="H2241" s="1" t="n"/>
    </row>
    <row r="2242">
      <c r="A2242" s="1" t="n"/>
      <c r="B2242" s="26" t="n"/>
      <c r="C2242" s="27" t="n"/>
      <c r="D2242" s="27" t="n"/>
      <c r="E2242" s="21">
        <f>IF(OR(C2242="",D2242=""),"",ROUND(MOD(D2242-C2242,1)*24,2))</f>
        <v/>
      </c>
      <c r="F2242" s="28" t="n"/>
      <c r="G2242" s="28" t="n"/>
      <c r="H2242" s="1" t="n"/>
    </row>
    <row r="2243">
      <c r="A2243" s="1" t="n"/>
      <c r="B2243" s="26" t="n"/>
      <c r="C2243" s="27" t="n"/>
      <c r="D2243" s="27" t="n"/>
      <c r="E2243" s="21">
        <f>IF(OR(C2243="",D2243=""),"",ROUND(MOD(D2243-C2243,1)*24,2))</f>
        <v/>
      </c>
      <c r="F2243" s="28" t="n"/>
      <c r="G2243" s="28" t="n"/>
      <c r="H2243" s="1" t="n"/>
    </row>
    <row r="2244">
      <c r="A2244" s="1" t="n"/>
      <c r="B2244" s="26" t="n"/>
      <c r="C2244" s="27" t="n"/>
      <c r="D2244" s="27" t="n"/>
      <c r="E2244" s="21">
        <f>IF(OR(C2244="",D2244=""),"",ROUND(MOD(D2244-C2244,1)*24,2))</f>
        <v/>
      </c>
      <c r="F2244" s="28" t="n"/>
      <c r="G2244" s="28" t="n"/>
      <c r="H2244" s="1" t="n"/>
    </row>
    <row r="2245">
      <c r="A2245" s="1" t="n"/>
      <c r="B2245" s="26" t="n"/>
      <c r="C2245" s="27" t="n"/>
      <c r="D2245" s="27" t="n"/>
      <c r="E2245" s="21">
        <f>IF(OR(C2245="",D2245=""),"",ROUND(MOD(D2245-C2245,1)*24,2))</f>
        <v/>
      </c>
      <c r="F2245" s="28" t="n"/>
      <c r="G2245" s="28" t="n"/>
      <c r="H2245" s="1" t="n"/>
    </row>
    <row r="2246">
      <c r="A2246" s="1" t="n"/>
      <c r="B2246" s="26" t="n"/>
      <c r="C2246" s="27" t="n"/>
      <c r="D2246" s="27" t="n"/>
      <c r="E2246" s="21">
        <f>IF(OR(C2246="",D2246=""),"",ROUND(MOD(D2246-C2246,1)*24,2))</f>
        <v/>
      </c>
      <c r="F2246" s="28" t="n"/>
      <c r="G2246" s="28" t="n"/>
      <c r="H2246" s="1" t="n"/>
    </row>
    <row r="2247">
      <c r="A2247" s="1" t="n"/>
      <c r="B2247" s="26" t="n"/>
      <c r="C2247" s="27" t="n"/>
      <c r="D2247" s="27" t="n"/>
      <c r="E2247" s="21">
        <f>IF(OR(C2247="",D2247=""),"",ROUND(MOD(D2247-C2247,1)*24,2))</f>
        <v/>
      </c>
      <c r="F2247" s="28" t="n"/>
      <c r="G2247" s="28" t="n"/>
      <c r="H2247" s="1" t="n"/>
    </row>
    <row r="2248">
      <c r="A2248" s="1" t="n"/>
      <c r="B2248" s="26" t="n"/>
      <c r="C2248" s="27" t="n"/>
      <c r="D2248" s="27" t="n"/>
      <c r="E2248" s="21">
        <f>IF(OR(C2248="",D2248=""),"",ROUND(MOD(D2248-C2248,1)*24,2))</f>
        <v/>
      </c>
      <c r="F2248" s="28" t="n"/>
      <c r="G2248" s="28" t="n"/>
      <c r="H2248" s="1" t="n"/>
    </row>
    <row r="2249">
      <c r="A2249" s="1" t="n"/>
      <c r="B2249" s="26" t="n"/>
      <c r="C2249" s="27" t="n"/>
      <c r="D2249" s="27" t="n"/>
      <c r="E2249" s="21">
        <f>IF(OR(C2249="",D2249=""),"",ROUND(MOD(D2249-C2249,1)*24,2))</f>
        <v/>
      </c>
      <c r="F2249" s="28" t="n"/>
      <c r="G2249" s="28" t="n"/>
      <c r="H2249" s="1" t="n"/>
    </row>
    <row r="2250">
      <c r="A2250" s="1" t="n"/>
      <c r="B2250" s="26" t="n"/>
      <c r="C2250" s="27" t="n"/>
      <c r="D2250" s="27" t="n"/>
      <c r="E2250" s="21">
        <f>IF(OR(C2250="",D2250=""),"",ROUND(MOD(D2250-C2250,1)*24,2))</f>
        <v/>
      </c>
      <c r="F2250" s="28" t="n"/>
      <c r="G2250" s="28" t="n"/>
      <c r="H2250" s="1" t="n"/>
    </row>
    <row r="2251">
      <c r="A2251" s="1" t="n"/>
      <c r="B2251" s="26" t="n"/>
      <c r="C2251" s="27" t="n"/>
      <c r="D2251" s="27" t="n"/>
      <c r="E2251" s="21">
        <f>IF(OR(C2251="",D2251=""),"",ROUND(MOD(D2251-C2251,1)*24,2))</f>
        <v/>
      </c>
      <c r="F2251" s="28" t="n"/>
      <c r="G2251" s="28" t="n"/>
      <c r="H2251" s="1" t="n"/>
    </row>
    <row r="2252">
      <c r="A2252" s="1" t="n"/>
      <c r="B2252" s="26" t="n"/>
      <c r="C2252" s="27" t="n"/>
      <c r="D2252" s="27" t="n"/>
      <c r="E2252" s="21">
        <f>IF(OR(C2252="",D2252=""),"",ROUND(MOD(D2252-C2252,1)*24,2))</f>
        <v/>
      </c>
      <c r="F2252" s="28" t="n"/>
      <c r="G2252" s="28" t="n"/>
      <c r="H2252" s="1" t="n"/>
    </row>
    <row r="2253">
      <c r="A2253" s="1" t="n"/>
      <c r="B2253" s="26" t="n"/>
      <c r="C2253" s="27" t="n"/>
      <c r="D2253" s="27" t="n"/>
      <c r="E2253" s="21">
        <f>IF(OR(C2253="",D2253=""),"",ROUND(MOD(D2253-C2253,1)*24,2))</f>
        <v/>
      </c>
      <c r="F2253" s="28" t="n"/>
      <c r="G2253" s="28" t="n"/>
      <c r="H2253" s="1" t="n"/>
    </row>
    <row r="2254">
      <c r="A2254" s="1" t="n"/>
      <c r="B2254" s="26" t="n"/>
      <c r="C2254" s="27" t="n"/>
      <c r="D2254" s="27" t="n"/>
      <c r="E2254" s="21">
        <f>IF(OR(C2254="",D2254=""),"",ROUND(MOD(D2254-C2254,1)*24,2))</f>
        <v/>
      </c>
      <c r="F2254" s="28" t="n"/>
      <c r="G2254" s="28" t="n"/>
      <c r="H2254" s="1" t="n"/>
    </row>
    <row r="2255">
      <c r="A2255" s="1" t="n"/>
      <c r="B2255" s="26" t="n"/>
      <c r="C2255" s="27" t="n"/>
      <c r="D2255" s="27" t="n"/>
      <c r="E2255" s="21">
        <f>IF(OR(C2255="",D2255=""),"",ROUND(MOD(D2255-C2255,1)*24,2))</f>
        <v/>
      </c>
      <c r="F2255" s="28" t="n"/>
      <c r="G2255" s="28" t="n"/>
      <c r="H2255" s="1" t="n"/>
    </row>
    <row r="2256">
      <c r="A2256" s="1" t="n"/>
      <c r="B2256" s="26" t="n"/>
      <c r="C2256" s="27" t="n"/>
      <c r="D2256" s="27" t="n"/>
      <c r="E2256" s="21">
        <f>IF(OR(C2256="",D2256=""),"",ROUND(MOD(D2256-C2256,1)*24,2))</f>
        <v/>
      </c>
      <c r="F2256" s="28" t="n"/>
      <c r="G2256" s="28" t="n"/>
      <c r="H2256" s="1" t="n"/>
    </row>
    <row r="2257">
      <c r="A2257" s="1" t="n"/>
      <c r="B2257" s="26" t="n"/>
      <c r="C2257" s="27" t="n"/>
      <c r="D2257" s="27" t="n"/>
      <c r="E2257" s="21">
        <f>IF(OR(C2257="",D2257=""),"",ROUND(MOD(D2257-C2257,1)*24,2))</f>
        <v/>
      </c>
      <c r="F2257" s="28" t="n"/>
      <c r="G2257" s="28" t="n"/>
      <c r="H2257" s="1" t="n"/>
    </row>
    <row r="2258">
      <c r="A2258" s="1" t="n"/>
      <c r="B2258" s="26" t="n"/>
      <c r="C2258" s="27" t="n"/>
      <c r="D2258" s="27" t="n"/>
      <c r="E2258" s="21">
        <f>IF(OR(C2258="",D2258=""),"",ROUND(MOD(D2258-C2258,1)*24,2))</f>
        <v/>
      </c>
      <c r="F2258" s="28" t="n"/>
      <c r="G2258" s="28" t="n"/>
      <c r="H2258" s="1" t="n"/>
    </row>
    <row r="2259">
      <c r="A2259" s="1" t="n"/>
      <c r="B2259" s="26" t="n"/>
      <c r="C2259" s="27" t="n"/>
      <c r="D2259" s="27" t="n"/>
      <c r="E2259" s="21">
        <f>IF(OR(C2259="",D2259=""),"",ROUND(MOD(D2259-C2259,1)*24,2))</f>
        <v/>
      </c>
      <c r="F2259" s="28" t="n"/>
      <c r="G2259" s="28" t="n"/>
      <c r="H2259" s="1" t="n"/>
    </row>
    <row r="2260">
      <c r="A2260" s="1" t="n"/>
      <c r="B2260" s="26" t="n"/>
      <c r="C2260" s="27" t="n"/>
      <c r="D2260" s="27" t="n"/>
      <c r="E2260" s="21">
        <f>IF(OR(C2260="",D2260=""),"",ROUND(MOD(D2260-C2260,1)*24,2))</f>
        <v/>
      </c>
      <c r="F2260" s="28" t="n"/>
      <c r="G2260" s="28" t="n"/>
      <c r="H2260" s="1" t="n"/>
    </row>
    <row r="2261">
      <c r="A2261" s="1" t="n"/>
      <c r="B2261" s="26" t="n"/>
      <c r="C2261" s="27" t="n"/>
      <c r="D2261" s="27" t="n"/>
      <c r="E2261" s="21">
        <f>IF(OR(C2261="",D2261=""),"",ROUND(MOD(D2261-C2261,1)*24,2))</f>
        <v/>
      </c>
      <c r="F2261" s="28" t="n"/>
      <c r="G2261" s="28" t="n"/>
      <c r="H2261" s="1" t="n"/>
    </row>
    <row r="2262">
      <c r="A2262" s="1" t="n"/>
      <c r="B2262" s="26" t="n"/>
      <c r="C2262" s="27" t="n"/>
      <c r="D2262" s="27" t="n"/>
      <c r="E2262" s="21">
        <f>IF(OR(C2262="",D2262=""),"",ROUND(MOD(D2262-C2262,1)*24,2))</f>
        <v/>
      </c>
      <c r="F2262" s="28" t="n"/>
      <c r="G2262" s="28" t="n"/>
      <c r="H2262" s="1" t="n"/>
    </row>
    <row r="2263">
      <c r="A2263" s="1" t="n"/>
      <c r="B2263" s="26" t="n"/>
      <c r="C2263" s="27" t="n"/>
      <c r="D2263" s="27" t="n"/>
      <c r="E2263" s="21">
        <f>IF(OR(C2263="",D2263=""),"",ROUND(MOD(D2263-C2263,1)*24,2))</f>
        <v/>
      </c>
      <c r="F2263" s="28" t="n"/>
      <c r="G2263" s="28" t="n"/>
      <c r="H2263" s="1" t="n"/>
    </row>
    <row r="2264">
      <c r="A2264" s="1" t="n"/>
      <c r="B2264" s="26" t="n"/>
      <c r="C2264" s="27" t="n"/>
      <c r="D2264" s="27" t="n"/>
      <c r="E2264" s="21">
        <f>IF(OR(C2264="",D2264=""),"",ROUND(MOD(D2264-C2264,1)*24,2))</f>
        <v/>
      </c>
      <c r="F2264" s="28" t="n"/>
      <c r="G2264" s="28" t="n"/>
      <c r="H2264" s="1" t="n"/>
    </row>
    <row r="2265">
      <c r="A2265" s="1" t="n"/>
      <c r="B2265" s="26" t="n"/>
      <c r="C2265" s="27" t="n"/>
      <c r="D2265" s="27" t="n"/>
      <c r="E2265" s="21">
        <f>IF(OR(C2265="",D2265=""),"",ROUND(MOD(D2265-C2265,1)*24,2))</f>
        <v/>
      </c>
      <c r="F2265" s="28" t="n"/>
      <c r="G2265" s="28" t="n"/>
      <c r="H2265" s="1" t="n"/>
    </row>
    <row r="2266">
      <c r="A2266" s="1" t="n"/>
      <c r="B2266" s="26" t="n"/>
      <c r="C2266" s="27" t="n"/>
      <c r="D2266" s="27" t="n"/>
      <c r="E2266" s="21">
        <f>IF(OR(C2266="",D2266=""),"",ROUND(MOD(D2266-C2266,1)*24,2))</f>
        <v/>
      </c>
      <c r="F2266" s="28" t="n"/>
      <c r="G2266" s="28" t="n"/>
      <c r="H2266" s="1" t="n"/>
    </row>
    <row r="2267">
      <c r="A2267" s="1" t="n"/>
      <c r="B2267" s="26" t="n"/>
      <c r="C2267" s="27" t="n"/>
      <c r="D2267" s="27" t="n"/>
      <c r="E2267" s="21">
        <f>IF(OR(C2267="",D2267=""),"",ROUND(MOD(D2267-C2267,1)*24,2))</f>
        <v/>
      </c>
      <c r="F2267" s="28" t="n"/>
      <c r="G2267" s="28" t="n"/>
      <c r="H2267" s="1" t="n"/>
    </row>
    <row r="2268">
      <c r="A2268" s="1" t="n"/>
      <c r="B2268" s="26" t="n"/>
      <c r="C2268" s="27" t="n"/>
      <c r="D2268" s="27" t="n"/>
      <c r="E2268" s="21">
        <f>IF(OR(C2268="",D2268=""),"",ROUND(MOD(D2268-C2268,1)*24,2))</f>
        <v/>
      </c>
      <c r="F2268" s="28" t="n"/>
      <c r="G2268" s="28" t="n"/>
      <c r="H2268" s="1" t="n"/>
    </row>
    <row r="2269">
      <c r="A2269" s="1" t="n"/>
      <c r="B2269" s="26" t="n"/>
      <c r="C2269" s="27" t="n"/>
      <c r="D2269" s="27" t="n"/>
      <c r="E2269" s="21">
        <f>IF(OR(C2269="",D2269=""),"",ROUND(MOD(D2269-C2269,1)*24,2))</f>
        <v/>
      </c>
      <c r="F2269" s="28" t="n"/>
      <c r="G2269" s="28" t="n"/>
      <c r="H2269" s="1" t="n"/>
    </row>
    <row r="2270">
      <c r="A2270" s="1" t="n"/>
      <c r="B2270" s="26" t="n"/>
      <c r="C2270" s="27" t="n"/>
      <c r="D2270" s="27" t="n"/>
      <c r="E2270" s="21">
        <f>IF(OR(C2270="",D2270=""),"",ROUND(MOD(D2270-C2270,1)*24,2))</f>
        <v/>
      </c>
      <c r="F2270" s="28" t="n"/>
      <c r="G2270" s="28" t="n"/>
      <c r="H2270" s="1" t="n"/>
    </row>
    <row r="2271">
      <c r="A2271" s="1" t="n"/>
      <c r="B2271" s="26" t="n"/>
      <c r="C2271" s="27" t="n"/>
      <c r="D2271" s="27" t="n"/>
      <c r="E2271" s="21">
        <f>IF(OR(C2271="",D2271=""),"",ROUND(MOD(D2271-C2271,1)*24,2))</f>
        <v/>
      </c>
      <c r="F2271" s="28" t="n"/>
      <c r="G2271" s="28" t="n"/>
      <c r="H2271" s="1" t="n"/>
    </row>
    <row r="2272">
      <c r="A2272" s="1" t="n"/>
      <c r="B2272" s="26" t="n"/>
      <c r="C2272" s="27" t="n"/>
      <c r="D2272" s="27" t="n"/>
      <c r="E2272" s="21">
        <f>IF(OR(C2272="",D2272=""),"",ROUND(MOD(D2272-C2272,1)*24,2))</f>
        <v/>
      </c>
      <c r="F2272" s="28" t="n"/>
      <c r="G2272" s="28" t="n"/>
      <c r="H2272" s="1" t="n"/>
    </row>
    <row r="2273">
      <c r="A2273" s="1" t="n"/>
      <c r="B2273" s="26" t="n"/>
      <c r="C2273" s="27" t="n"/>
      <c r="D2273" s="27" t="n"/>
      <c r="E2273" s="21">
        <f>IF(OR(C2273="",D2273=""),"",ROUND(MOD(D2273-C2273,1)*24,2))</f>
        <v/>
      </c>
      <c r="F2273" s="28" t="n"/>
      <c r="G2273" s="28" t="n"/>
      <c r="H2273" s="1" t="n"/>
    </row>
    <row r="2274">
      <c r="A2274" s="1" t="n"/>
      <c r="B2274" s="26" t="n"/>
      <c r="C2274" s="27" t="n"/>
      <c r="D2274" s="27" t="n"/>
      <c r="E2274" s="21">
        <f>IF(OR(C2274="",D2274=""),"",ROUND(MOD(D2274-C2274,1)*24,2))</f>
        <v/>
      </c>
      <c r="F2274" s="28" t="n"/>
      <c r="G2274" s="28" t="n"/>
      <c r="H2274" s="1" t="n"/>
    </row>
    <row r="2275">
      <c r="A2275" s="1" t="n"/>
      <c r="B2275" s="26" t="n"/>
      <c r="C2275" s="27" t="n"/>
      <c r="D2275" s="27" t="n"/>
      <c r="E2275" s="21">
        <f>IF(OR(C2275="",D2275=""),"",ROUND(MOD(D2275-C2275,1)*24,2))</f>
        <v/>
      </c>
      <c r="F2275" s="28" t="n"/>
      <c r="G2275" s="28" t="n"/>
      <c r="H2275" s="1" t="n"/>
    </row>
    <row r="2276">
      <c r="A2276" s="1" t="n"/>
      <c r="B2276" s="26" t="n"/>
      <c r="C2276" s="27" t="n"/>
      <c r="D2276" s="27" t="n"/>
      <c r="E2276" s="21">
        <f>IF(OR(C2276="",D2276=""),"",ROUND(MOD(D2276-C2276,1)*24,2))</f>
        <v/>
      </c>
      <c r="F2276" s="28" t="n"/>
      <c r="G2276" s="28" t="n"/>
      <c r="H2276" s="1" t="n"/>
    </row>
    <row r="2277">
      <c r="A2277" s="1" t="n"/>
      <c r="B2277" s="26" t="n"/>
      <c r="C2277" s="27" t="n"/>
      <c r="D2277" s="27" t="n"/>
      <c r="E2277" s="21">
        <f>IF(OR(C2277="",D2277=""),"",ROUND(MOD(D2277-C2277,1)*24,2))</f>
        <v/>
      </c>
      <c r="F2277" s="28" t="n"/>
      <c r="G2277" s="28" t="n"/>
      <c r="H2277" s="1" t="n"/>
    </row>
    <row r="2278">
      <c r="A2278" s="1" t="n"/>
      <c r="B2278" s="26" t="n"/>
      <c r="C2278" s="27" t="n"/>
      <c r="D2278" s="27" t="n"/>
      <c r="E2278" s="21">
        <f>IF(OR(C2278="",D2278=""),"",ROUND(MOD(D2278-C2278,1)*24,2))</f>
        <v/>
      </c>
      <c r="F2278" s="28" t="n"/>
      <c r="G2278" s="28" t="n"/>
      <c r="H2278" s="1" t="n"/>
    </row>
    <row r="2279">
      <c r="A2279" s="1" t="n"/>
      <c r="B2279" s="26" t="n"/>
      <c r="C2279" s="27" t="n"/>
      <c r="D2279" s="27" t="n"/>
      <c r="E2279" s="21">
        <f>IF(OR(C2279="",D2279=""),"",ROUND(MOD(D2279-C2279,1)*24,2))</f>
        <v/>
      </c>
      <c r="F2279" s="28" t="n"/>
      <c r="G2279" s="28" t="n"/>
      <c r="H2279" s="1" t="n"/>
    </row>
    <row r="2280">
      <c r="A2280" s="1" t="n"/>
      <c r="B2280" s="26" t="n"/>
      <c r="C2280" s="27" t="n"/>
      <c r="D2280" s="27" t="n"/>
      <c r="E2280" s="21">
        <f>IF(OR(C2280="",D2280=""),"",ROUND(MOD(D2280-C2280,1)*24,2))</f>
        <v/>
      </c>
      <c r="F2280" s="28" t="n"/>
      <c r="G2280" s="28" t="n"/>
      <c r="H2280" s="1" t="n"/>
    </row>
    <row r="2281">
      <c r="A2281" s="1" t="n"/>
      <c r="B2281" s="26" t="n"/>
      <c r="C2281" s="27" t="n"/>
      <c r="D2281" s="27" t="n"/>
      <c r="E2281" s="21">
        <f>IF(OR(C2281="",D2281=""),"",ROUND(MOD(D2281-C2281,1)*24,2))</f>
        <v/>
      </c>
      <c r="F2281" s="28" t="n"/>
      <c r="G2281" s="28" t="n"/>
      <c r="H2281" s="1" t="n"/>
    </row>
    <row r="2282">
      <c r="A2282" s="1" t="n"/>
      <c r="B2282" s="26" t="n"/>
      <c r="C2282" s="27" t="n"/>
      <c r="D2282" s="27" t="n"/>
      <c r="E2282" s="21">
        <f>IF(OR(C2282="",D2282=""),"",ROUND(MOD(D2282-C2282,1)*24,2))</f>
        <v/>
      </c>
      <c r="F2282" s="28" t="n"/>
      <c r="G2282" s="28" t="n"/>
      <c r="H2282" s="1" t="n"/>
    </row>
    <row r="2283">
      <c r="A2283" s="1" t="n"/>
      <c r="B2283" s="26" t="n"/>
      <c r="C2283" s="27" t="n"/>
      <c r="D2283" s="27" t="n"/>
      <c r="E2283" s="21">
        <f>IF(OR(C2283="",D2283=""),"",ROUND(MOD(D2283-C2283,1)*24,2))</f>
        <v/>
      </c>
      <c r="F2283" s="28" t="n"/>
      <c r="G2283" s="28" t="n"/>
      <c r="H2283" s="1" t="n"/>
    </row>
    <row r="2284">
      <c r="A2284" s="1" t="n"/>
      <c r="B2284" s="26" t="n"/>
      <c r="C2284" s="27" t="n"/>
      <c r="D2284" s="27" t="n"/>
      <c r="E2284" s="21">
        <f>IF(OR(C2284="",D2284=""),"",ROUND(MOD(D2284-C2284,1)*24,2))</f>
        <v/>
      </c>
      <c r="F2284" s="28" t="n"/>
      <c r="G2284" s="28" t="n"/>
      <c r="H2284" s="1" t="n"/>
    </row>
    <row r="2285">
      <c r="A2285" s="1" t="n"/>
      <c r="B2285" s="26" t="n"/>
      <c r="C2285" s="27" t="n"/>
      <c r="D2285" s="27" t="n"/>
      <c r="E2285" s="21">
        <f>IF(OR(C2285="",D2285=""),"",ROUND(MOD(D2285-C2285,1)*24,2))</f>
        <v/>
      </c>
      <c r="F2285" s="28" t="n"/>
      <c r="G2285" s="28" t="n"/>
      <c r="H2285" s="1" t="n"/>
    </row>
    <row r="2286">
      <c r="A2286" s="1" t="n"/>
      <c r="B2286" s="26" t="n"/>
      <c r="C2286" s="27" t="n"/>
      <c r="D2286" s="27" t="n"/>
      <c r="E2286" s="21">
        <f>IF(OR(C2286="",D2286=""),"",ROUND(MOD(D2286-C2286,1)*24,2))</f>
        <v/>
      </c>
      <c r="F2286" s="28" t="n"/>
      <c r="G2286" s="28" t="n"/>
      <c r="H2286" s="1" t="n"/>
    </row>
    <row r="2287">
      <c r="A2287" s="1" t="n"/>
      <c r="B2287" s="26" t="n"/>
      <c r="C2287" s="27" t="n"/>
      <c r="D2287" s="27" t="n"/>
      <c r="E2287" s="21">
        <f>IF(OR(C2287="",D2287=""),"",ROUND(MOD(D2287-C2287,1)*24,2))</f>
        <v/>
      </c>
      <c r="F2287" s="28" t="n"/>
      <c r="G2287" s="28" t="n"/>
      <c r="H2287" s="1" t="n"/>
    </row>
    <row r="2288">
      <c r="A2288" s="1" t="n"/>
      <c r="B2288" s="26" t="n"/>
      <c r="C2288" s="27" t="n"/>
      <c r="D2288" s="27" t="n"/>
      <c r="E2288" s="21">
        <f>IF(OR(C2288="",D2288=""),"",ROUND(MOD(D2288-C2288,1)*24,2))</f>
        <v/>
      </c>
      <c r="F2288" s="28" t="n"/>
      <c r="G2288" s="28" t="n"/>
      <c r="H2288" s="1" t="n"/>
    </row>
    <row r="2289">
      <c r="A2289" s="1" t="n"/>
      <c r="B2289" s="26" t="n"/>
      <c r="C2289" s="27" t="n"/>
      <c r="D2289" s="27" t="n"/>
      <c r="E2289" s="21">
        <f>IF(OR(C2289="",D2289=""),"",ROUND(MOD(D2289-C2289,1)*24,2))</f>
        <v/>
      </c>
      <c r="F2289" s="28" t="n"/>
      <c r="G2289" s="28" t="n"/>
      <c r="H2289" s="1" t="n"/>
    </row>
    <row r="2290">
      <c r="A2290" s="1" t="n"/>
      <c r="B2290" s="26" t="n"/>
      <c r="C2290" s="27" t="n"/>
      <c r="D2290" s="27" t="n"/>
      <c r="E2290" s="21">
        <f>IF(OR(C2290="",D2290=""),"",ROUND(MOD(D2290-C2290,1)*24,2))</f>
        <v/>
      </c>
      <c r="F2290" s="28" t="n"/>
      <c r="G2290" s="28" t="n"/>
      <c r="H2290" s="1" t="n"/>
    </row>
    <row r="2291">
      <c r="A2291" s="1" t="n"/>
      <c r="B2291" s="26" t="n"/>
      <c r="C2291" s="27" t="n"/>
      <c r="D2291" s="27" t="n"/>
      <c r="E2291" s="21">
        <f>IF(OR(C2291="",D2291=""),"",ROUND(MOD(D2291-C2291,1)*24,2))</f>
        <v/>
      </c>
      <c r="F2291" s="28" t="n"/>
      <c r="G2291" s="28" t="n"/>
      <c r="H2291" s="1" t="n"/>
    </row>
    <row r="2292">
      <c r="A2292" s="1" t="n"/>
      <c r="B2292" s="26" t="n"/>
      <c r="C2292" s="27" t="n"/>
      <c r="D2292" s="27" t="n"/>
      <c r="E2292" s="21">
        <f>IF(OR(C2292="",D2292=""),"",ROUND(MOD(D2292-C2292,1)*24,2))</f>
        <v/>
      </c>
      <c r="F2292" s="28" t="n"/>
      <c r="G2292" s="28" t="n"/>
      <c r="H2292" s="1" t="n"/>
    </row>
    <row r="2293">
      <c r="A2293" s="1" t="n"/>
      <c r="B2293" s="26" t="n"/>
      <c r="C2293" s="27" t="n"/>
      <c r="D2293" s="27" t="n"/>
      <c r="E2293" s="21">
        <f>IF(OR(C2293="",D2293=""),"",ROUND(MOD(D2293-C2293,1)*24,2))</f>
        <v/>
      </c>
      <c r="F2293" s="28" t="n"/>
      <c r="G2293" s="28" t="n"/>
      <c r="H2293" s="1" t="n"/>
    </row>
    <row r="2294">
      <c r="A2294" s="1" t="n"/>
      <c r="B2294" s="26" t="n"/>
      <c r="C2294" s="27" t="n"/>
      <c r="D2294" s="27" t="n"/>
      <c r="E2294" s="21">
        <f>IF(OR(C2294="",D2294=""),"",ROUND(MOD(D2294-C2294,1)*24,2))</f>
        <v/>
      </c>
      <c r="F2294" s="28" t="n"/>
      <c r="G2294" s="28" t="n"/>
      <c r="H2294" s="1" t="n"/>
    </row>
    <row r="2295">
      <c r="A2295" s="1" t="n"/>
      <c r="B2295" s="26" t="n"/>
      <c r="C2295" s="27" t="n"/>
      <c r="D2295" s="27" t="n"/>
      <c r="E2295" s="21">
        <f>IF(OR(C2295="",D2295=""),"",ROUND(MOD(D2295-C2295,1)*24,2))</f>
        <v/>
      </c>
      <c r="F2295" s="28" t="n"/>
      <c r="G2295" s="28" t="n"/>
      <c r="H2295" s="1" t="n"/>
    </row>
    <row r="2296">
      <c r="A2296" s="1" t="n"/>
      <c r="B2296" s="26" t="n"/>
      <c r="C2296" s="27" t="n"/>
      <c r="D2296" s="27" t="n"/>
      <c r="E2296" s="21">
        <f>IF(OR(C2296="",D2296=""),"",ROUND(MOD(D2296-C2296,1)*24,2))</f>
        <v/>
      </c>
      <c r="F2296" s="28" t="n"/>
      <c r="G2296" s="28" t="n"/>
      <c r="H2296" s="1" t="n"/>
    </row>
    <row r="2297">
      <c r="A2297" s="1" t="n"/>
      <c r="B2297" s="26" t="n"/>
      <c r="C2297" s="27" t="n"/>
      <c r="D2297" s="27" t="n"/>
      <c r="E2297" s="21">
        <f>IF(OR(C2297="",D2297=""),"",ROUND(MOD(D2297-C2297,1)*24,2))</f>
        <v/>
      </c>
      <c r="F2297" s="28" t="n"/>
      <c r="G2297" s="28" t="n"/>
      <c r="H2297" s="1" t="n"/>
    </row>
    <row r="2298">
      <c r="A2298" s="1" t="n"/>
      <c r="B2298" s="26" t="n"/>
      <c r="C2298" s="27" t="n"/>
      <c r="D2298" s="27" t="n"/>
      <c r="E2298" s="21">
        <f>IF(OR(C2298="",D2298=""),"",ROUND(MOD(D2298-C2298,1)*24,2))</f>
        <v/>
      </c>
      <c r="F2298" s="28" t="n"/>
      <c r="G2298" s="28" t="n"/>
      <c r="H2298" s="1" t="n"/>
    </row>
    <row r="2299">
      <c r="A2299" s="1" t="n"/>
      <c r="B2299" s="26" t="n"/>
      <c r="C2299" s="27" t="n"/>
      <c r="D2299" s="27" t="n"/>
      <c r="E2299" s="21">
        <f>IF(OR(C2299="",D2299=""),"",ROUND(MOD(D2299-C2299,1)*24,2))</f>
        <v/>
      </c>
      <c r="F2299" s="28" t="n"/>
      <c r="G2299" s="28" t="n"/>
      <c r="H2299" s="1" t="n"/>
    </row>
    <row r="2300">
      <c r="A2300" s="1" t="n"/>
      <c r="B2300" s="26" t="n"/>
      <c r="C2300" s="27" t="n"/>
      <c r="D2300" s="27" t="n"/>
      <c r="E2300" s="21">
        <f>IF(OR(C2300="",D2300=""),"",ROUND(MOD(D2300-C2300,1)*24,2))</f>
        <v/>
      </c>
      <c r="F2300" s="28" t="n"/>
      <c r="G2300" s="28" t="n"/>
      <c r="H2300" s="1" t="n"/>
    </row>
    <row r="2301">
      <c r="A2301" s="1" t="n"/>
      <c r="B2301" s="26" t="n"/>
      <c r="C2301" s="27" t="n"/>
      <c r="D2301" s="27" t="n"/>
      <c r="E2301" s="21">
        <f>IF(OR(C2301="",D2301=""),"",ROUND(MOD(D2301-C2301,1)*24,2))</f>
        <v/>
      </c>
      <c r="F2301" s="28" t="n"/>
      <c r="G2301" s="28" t="n"/>
      <c r="H2301" s="1" t="n"/>
    </row>
    <row r="2302">
      <c r="A2302" s="1" t="n"/>
      <c r="B2302" s="26" t="n"/>
      <c r="C2302" s="27" t="n"/>
      <c r="D2302" s="27" t="n"/>
      <c r="E2302" s="21">
        <f>IF(OR(C2302="",D2302=""),"",ROUND(MOD(D2302-C2302,1)*24,2))</f>
        <v/>
      </c>
      <c r="F2302" s="28" t="n"/>
      <c r="G2302" s="28" t="n"/>
      <c r="H2302" s="1" t="n"/>
    </row>
    <row r="2303">
      <c r="A2303" s="1" t="n"/>
      <c r="B2303" s="26" t="n"/>
      <c r="C2303" s="27" t="n"/>
      <c r="D2303" s="27" t="n"/>
      <c r="E2303" s="21">
        <f>IF(OR(C2303="",D2303=""),"",ROUND(MOD(D2303-C2303,1)*24,2))</f>
        <v/>
      </c>
      <c r="F2303" s="28" t="n"/>
      <c r="G2303" s="28" t="n"/>
      <c r="H2303" s="1" t="n"/>
    </row>
    <row r="2304">
      <c r="A2304" s="1" t="n"/>
      <c r="B2304" s="26" t="n"/>
      <c r="C2304" s="27" t="n"/>
      <c r="D2304" s="27" t="n"/>
      <c r="E2304" s="21">
        <f>IF(OR(C2304="",D2304=""),"",ROUND(MOD(D2304-C2304,1)*24,2))</f>
        <v/>
      </c>
      <c r="F2304" s="28" t="n"/>
      <c r="G2304" s="28" t="n"/>
      <c r="H2304" s="1" t="n"/>
    </row>
    <row r="2305">
      <c r="A2305" s="1" t="n"/>
      <c r="B2305" s="26" t="n"/>
      <c r="C2305" s="27" t="n"/>
      <c r="D2305" s="27" t="n"/>
      <c r="E2305" s="21">
        <f>IF(OR(C2305="",D2305=""),"",ROUND(MOD(D2305-C2305,1)*24,2))</f>
        <v/>
      </c>
      <c r="F2305" s="28" t="n"/>
      <c r="G2305" s="28" t="n"/>
      <c r="H2305" s="1" t="n"/>
    </row>
    <row r="2306">
      <c r="A2306" s="1" t="n"/>
      <c r="B2306" s="26" t="n"/>
      <c r="C2306" s="27" t="n"/>
      <c r="D2306" s="27" t="n"/>
      <c r="E2306" s="21">
        <f>IF(OR(C2306="",D2306=""),"",ROUND(MOD(D2306-C2306,1)*24,2))</f>
        <v/>
      </c>
      <c r="F2306" s="28" t="n"/>
      <c r="G2306" s="28" t="n"/>
      <c r="H2306" s="1" t="n"/>
    </row>
    <row r="2307">
      <c r="A2307" s="1" t="n"/>
      <c r="B2307" s="26" t="n"/>
      <c r="C2307" s="27" t="n"/>
      <c r="D2307" s="27" t="n"/>
      <c r="E2307" s="21">
        <f>IF(OR(C2307="",D2307=""),"",ROUND(MOD(D2307-C2307,1)*24,2))</f>
        <v/>
      </c>
      <c r="F2307" s="28" t="n"/>
      <c r="G2307" s="28" t="n"/>
      <c r="H2307" s="1" t="n"/>
    </row>
    <row r="2308">
      <c r="A2308" s="1" t="n"/>
      <c r="B2308" s="26" t="n"/>
      <c r="C2308" s="27" t="n"/>
      <c r="D2308" s="27" t="n"/>
      <c r="E2308" s="21">
        <f>IF(OR(C2308="",D2308=""),"",ROUND(MOD(D2308-C2308,1)*24,2))</f>
        <v/>
      </c>
      <c r="F2308" s="28" t="n"/>
      <c r="G2308" s="28" t="n"/>
      <c r="H2308" s="1" t="n"/>
    </row>
    <row r="2309">
      <c r="A2309" s="1" t="n"/>
      <c r="B2309" s="26" t="n"/>
      <c r="C2309" s="27" t="n"/>
      <c r="D2309" s="27" t="n"/>
      <c r="E2309" s="21">
        <f>IF(OR(C2309="",D2309=""),"",ROUND(MOD(D2309-C2309,1)*24,2))</f>
        <v/>
      </c>
      <c r="F2309" s="28" t="n"/>
      <c r="G2309" s="28" t="n"/>
      <c r="H2309" s="1" t="n"/>
    </row>
    <row r="2310">
      <c r="A2310" s="1" t="n"/>
      <c r="B2310" s="26" t="n"/>
      <c r="C2310" s="27" t="n"/>
      <c r="D2310" s="27" t="n"/>
      <c r="E2310" s="21">
        <f>IF(OR(C2310="",D2310=""),"",ROUND(MOD(D2310-C2310,1)*24,2))</f>
        <v/>
      </c>
      <c r="F2310" s="28" t="n"/>
      <c r="G2310" s="28" t="n"/>
      <c r="H2310" s="1" t="n"/>
    </row>
    <row r="2311">
      <c r="A2311" s="1" t="n"/>
      <c r="B2311" s="26" t="n"/>
      <c r="C2311" s="27" t="n"/>
      <c r="D2311" s="27" t="n"/>
      <c r="E2311" s="21">
        <f>IF(OR(C2311="",D2311=""),"",ROUND(MOD(D2311-C2311,1)*24,2))</f>
        <v/>
      </c>
      <c r="F2311" s="28" t="n"/>
      <c r="G2311" s="28" t="n"/>
      <c r="H2311" s="1" t="n"/>
    </row>
    <row r="2312">
      <c r="A2312" s="1" t="n"/>
      <c r="B2312" s="26" t="n"/>
      <c r="C2312" s="27" t="n"/>
      <c r="D2312" s="27" t="n"/>
      <c r="E2312" s="21">
        <f>IF(OR(C2312="",D2312=""),"",ROUND(MOD(D2312-C2312,1)*24,2))</f>
        <v/>
      </c>
      <c r="F2312" s="28" t="n"/>
      <c r="G2312" s="28" t="n"/>
      <c r="H2312" s="1" t="n"/>
    </row>
    <row r="2313">
      <c r="A2313" s="1" t="n"/>
      <c r="B2313" s="26" t="n"/>
      <c r="C2313" s="27" t="n"/>
      <c r="D2313" s="27" t="n"/>
      <c r="E2313" s="21">
        <f>IF(OR(C2313="",D2313=""),"",ROUND(MOD(D2313-C2313,1)*24,2))</f>
        <v/>
      </c>
      <c r="F2313" s="28" t="n"/>
      <c r="G2313" s="28" t="n"/>
      <c r="H2313" s="1" t="n"/>
    </row>
    <row r="2314">
      <c r="A2314" s="1" t="n"/>
      <c r="B2314" s="26" t="n"/>
      <c r="C2314" s="27" t="n"/>
      <c r="D2314" s="27" t="n"/>
      <c r="E2314" s="21">
        <f>IF(OR(C2314="",D2314=""),"",ROUND(MOD(D2314-C2314,1)*24,2))</f>
        <v/>
      </c>
      <c r="F2314" s="28" t="n"/>
      <c r="G2314" s="28" t="n"/>
      <c r="H2314" s="1" t="n"/>
    </row>
    <row r="2315">
      <c r="A2315" s="1" t="n"/>
      <c r="B2315" s="26" t="n"/>
      <c r="C2315" s="27" t="n"/>
      <c r="D2315" s="27" t="n"/>
      <c r="E2315" s="21">
        <f>IF(OR(C2315="",D2315=""),"",ROUND(MOD(D2315-C2315,1)*24,2))</f>
        <v/>
      </c>
      <c r="F2315" s="28" t="n"/>
      <c r="G2315" s="28" t="n"/>
      <c r="H2315" s="1" t="n"/>
    </row>
    <row r="2316">
      <c r="A2316" s="1" t="n"/>
      <c r="B2316" s="26" t="n"/>
      <c r="C2316" s="27" t="n"/>
      <c r="D2316" s="27" t="n"/>
      <c r="E2316" s="21">
        <f>IF(OR(C2316="",D2316=""),"",ROUND(MOD(D2316-C2316,1)*24,2))</f>
        <v/>
      </c>
      <c r="F2316" s="28" t="n"/>
      <c r="G2316" s="28" t="n"/>
      <c r="H2316" s="1" t="n"/>
    </row>
    <row r="2317">
      <c r="A2317" s="1" t="n"/>
      <c r="B2317" s="26" t="n"/>
      <c r="C2317" s="27" t="n"/>
      <c r="D2317" s="27" t="n"/>
      <c r="E2317" s="21">
        <f>IF(OR(C2317="",D2317=""),"",ROUND(MOD(D2317-C2317,1)*24,2))</f>
        <v/>
      </c>
      <c r="F2317" s="28" t="n"/>
      <c r="G2317" s="28" t="n"/>
      <c r="H2317" s="1" t="n"/>
    </row>
    <row r="2318">
      <c r="A2318" s="1" t="n"/>
      <c r="B2318" s="26" t="n"/>
      <c r="C2318" s="27" t="n"/>
      <c r="D2318" s="27" t="n"/>
      <c r="E2318" s="21">
        <f>IF(OR(C2318="",D2318=""),"",ROUND(MOD(D2318-C2318,1)*24,2))</f>
        <v/>
      </c>
      <c r="F2318" s="28" t="n"/>
      <c r="G2318" s="28" t="n"/>
      <c r="H2318" s="1" t="n"/>
    </row>
    <row r="2319">
      <c r="A2319" s="1" t="n"/>
      <c r="B2319" s="26" t="n"/>
      <c r="C2319" s="27" t="n"/>
      <c r="D2319" s="27" t="n"/>
      <c r="E2319" s="21">
        <f>IF(OR(C2319="",D2319=""),"",ROUND(MOD(D2319-C2319,1)*24,2))</f>
        <v/>
      </c>
      <c r="F2319" s="28" t="n"/>
      <c r="G2319" s="28" t="n"/>
      <c r="H2319" s="1" t="n"/>
    </row>
    <row r="2320">
      <c r="A2320" s="1" t="n"/>
      <c r="B2320" s="26" t="n"/>
      <c r="C2320" s="27" t="n"/>
      <c r="D2320" s="27" t="n"/>
      <c r="E2320" s="21">
        <f>IF(OR(C2320="",D2320=""),"",ROUND(MOD(D2320-C2320,1)*24,2))</f>
        <v/>
      </c>
      <c r="F2320" s="28" t="n"/>
      <c r="G2320" s="28" t="n"/>
      <c r="H2320" s="1" t="n"/>
    </row>
    <row r="2321">
      <c r="A2321" s="1" t="n"/>
      <c r="B2321" s="26" t="n"/>
      <c r="C2321" s="27" t="n"/>
      <c r="D2321" s="27" t="n"/>
      <c r="E2321" s="21">
        <f>IF(OR(C2321="",D2321=""),"",ROUND(MOD(D2321-C2321,1)*24,2))</f>
        <v/>
      </c>
      <c r="F2321" s="28" t="n"/>
      <c r="G2321" s="28" t="n"/>
      <c r="H2321" s="1" t="n"/>
    </row>
    <row r="2322">
      <c r="A2322" s="1" t="n"/>
      <c r="B2322" s="26" t="n"/>
      <c r="C2322" s="27" t="n"/>
      <c r="D2322" s="27" t="n"/>
      <c r="E2322" s="21">
        <f>IF(OR(C2322="",D2322=""),"",ROUND(MOD(D2322-C2322,1)*24,2))</f>
        <v/>
      </c>
      <c r="F2322" s="28" t="n"/>
      <c r="G2322" s="28" t="n"/>
      <c r="H2322" s="1" t="n"/>
    </row>
    <row r="2323">
      <c r="A2323" s="1" t="n"/>
      <c r="B2323" s="26" t="n"/>
      <c r="C2323" s="27" t="n"/>
      <c r="D2323" s="27" t="n"/>
      <c r="E2323" s="21">
        <f>IF(OR(C2323="",D2323=""),"",ROUND(MOD(D2323-C2323,1)*24,2))</f>
        <v/>
      </c>
      <c r="F2323" s="28" t="n"/>
      <c r="G2323" s="28" t="n"/>
      <c r="H2323" s="1" t="n"/>
    </row>
    <row r="2324">
      <c r="A2324" s="1" t="n"/>
      <c r="B2324" s="26" t="n"/>
      <c r="C2324" s="27" t="n"/>
      <c r="D2324" s="27" t="n"/>
      <c r="E2324" s="21">
        <f>IF(OR(C2324="",D2324=""),"",ROUND(MOD(D2324-C2324,1)*24,2))</f>
        <v/>
      </c>
      <c r="F2324" s="28" t="n"/>
      <c r="G2324" s="28" t="n"/>
      <c r="H2324" s="1" t="n"/>
    </row>
    <row r="2325">
      <c r="A2325" s="1" t="n"/>
      <c r="B2325" s="26" t="n"/>
      <c r="C2325" s="27" t="n"/>
      <c r="D2325" s="27" t="n"/>
      <c r="E2325" s="21">
        <f>IF(OR(C2325="",D2325=""),"",ROUND(MOD(D2325-C2325,1)*24,2))</f>
        <v/>
      </c>
      <c r="F2325" s="28" t="n"/>
      <c r="G2325" s="28" t="n"/>
      <c r="H2325" s="1" t="n"/>
    </row>
    <row r="2326">
      <c r="A2326" s="1" t="n"/>
      <c r="B2326" s="26" t="n"/>
      <c r="C2326" s="27" t="n"/>
      <c r="D2326" s="27" t="n"/>
      <c r="E2326" s="21">
        <f>IF(OR(C2326="",D2326=""),"",ROUND(MOD(D2326-C2326,1)*24,2))</f>
        <v/>
      </c>
      <c r="F2326" s="28" t="n"/>
      <c r="G2326" s="28" t="n"/>
      <c r="H2326" s="1" t="n"/>
    </row>
    <row r="2327">
      <c r="A2327" s="1" t="n"/>
      <c r="B2327" s="26" t="n"/>
      <c r="C2327" s="27" t="n"/>
      <c r="D2327" s="27" t="n"/>
      <c r="E2327" s="21">
        <f>IF(OR(C2327="",D2327=""),"",ROUND(MOD(D2327-C2327,1)*24,2))</f>
        <v/>
      </c>
      <c r="F2327" s="28" t="n"/>
      <c r="G2327" s="28" t="n"/>
      <c r="H2327" s="1" t="n"/>
    </row>
    <row r="2328">
      <c r="A2328" s="1" t="n"/>
      <c r="B2328" s="26" t="n"/>
      <c r="C2328" s="27" t="n"/>
      <c r="D2328" s="27" t="n"/>
      <c r="E2328" s="21">
        <f>IF(OR(C2328="",D2328=""),"",ROUND(MOD(D2328-C2328,1)*24,2))</f>
        <v/>
      </c>
      <c r="F2328" s="28" t="n"/>
      <c r="G2328" s="28" t="n"/>
      <c r="H2328" s="1" t="n"/>
    </row>
    <row r="2329">
      <c r="A2329" s="1" t="n"/>
      <c r="B2329" s="26" t="n"/>
      <c r="C2329" s="27" t="n"/>
      <c r="D2329" s="27" t="n"/>
      <c r="E2329" s="21">
        <f>IF(OR(C2329="",D2329=""),"",ROUND(MOD(D2329-C2329,1)*24,2))</f>
        <v/>
      </c>
      <c r="F2329" s="28" t="n"/>
      <c r="G2329" s="28" t="n"/>
      <c r="H2329" s="1" t="n"/>
    </row>
    <row r="2330">
      <c r="A2330" s="1" t="n"/>
      <c r="B2330" s="26" t="n"/>
      <c r="C2330" s="27" t="n"/>
      <c r="D2330" s="27" t="n"/>
      <c r="E2330" s="21">
        <f>IF(OR(C2330="",D2330=""),"",ROUND(MOD(D2330-C2330,1)*24,2))</f>
        <v/>
      </c>
      <c r="F2330" s="28" t="n"/>
      <c r="G2330" s="28" t="n"/>
      <c r="H2330" s="1" t="n"/>
    </row>
    <row r="2331">
      <c r="A2331" s="1" t="n"/>
      <c r="B2331" s="26" t="n"/>
      <c r="C2331" s="27" t="n"/>
      <c r="D2331" s="27" t="n"/>
      <c r="E2331" s="21">
        <f>IF(OR(C2331="",D2331=""),"",ROUND(MOD(D2331-C2331,1)*24,2))</f>
        <v/>
      </c>
      <c r="F2331" s="28" t="n"/>
      <c r="G2331" s="28" t="n"/>
      <c r="H2331" s="1" t="n"/>
    </row>
    <row r="2332">
      <c r="A2332" s="1" t="n"/>
      <c r="B2332" s="26" t="n"/>
      <c r="C2332" s="27" t="n"/>
      <c r="D2332" s="27" t="n"/>
      <c r="E2332" s="21">
        <f>IF(OR(C2332="",D2332=""),"",ROUND(MOD(D2332-C2332,1)*24,2))</f>
        <v/>
      </c>
      <c r="F2332" s="28" t="n"/>
      <c r="G2332" s="28" t="n"/>
      <c r="H2332" s="1" t="n"/>
    </row>
    <row r="2333">
      <c r="A2333" s="1" t="n"/>
      <c r="B2333" s="26" t="n"/>
      <c r="C2333" s="27" t="n"/>
      <c r="D2333" s="27" t="n"/>
      <c r="E2333" s="21">
        <f>IF(OR(C2333="",D2333=""),"",ROUND(MOD(D2333-C2333,1)*24,2))</f>
        <v/>
      </c>
      <c r="F2333" s="28" t="n"/>
      <c r="G2333" s="28" t="n"/>
      <c r="H2333" s="1" t="n"/>
    </row>
    <row r="2334">
      <c r="A2334" s="1" t="n"/>
      <c r="B2334" s="26" t="n"/>
      <c r="C2334" s="27" t="n"/>
      <c r="D2334" s="27" t="n"/>
      <c r="E2334" s="21">
        <f>IF(OR(C2334="",D2334=""),"",ROUND(MOD(D2334-C2334,1)*24,2))</f>
        <v/>
      </c>
      <c r="F2334" s="28" t="n"/>
      <c r="G2334" s="28" t="n"/>
      <c r="H2334" s="1" t="n"/>
    </row>
    <row r="2335">
      <c r="A2335" s="1" t="n"/>
      <c r="B2335" s="26" t="n"/>
      <c r="C2335" s="27" t="n"/>
      <c r="D2335" s="27" t="n"/>
      <c r="E2335" s="21">
        <f>IF(OR(C2335="",D2335=""),"",ROUND(MOD(D2335-C2335,1)*24,2))</f>
        <v/>
      </c>
      <c r="F2335" s="28" t="n"/>
      <c r="G2335" s="28" t="n"/>
      <c r="H2335" s="1" t="n"/>
    </row>
    <row r="2336">
      <c r="A2336" s="1" t="n"/>
      <c r="B2336" s="26" t="n"/>
      <c r="C2336" s="27" t="n"/>
      <c r="D2336" s="27" t="n"/>
      <c r="E2336" s="21">
        <f>IF(OR(C2336="",D2336=""),"",ROUND(MOD(D2336-C2336,1)*24,2))</f>
        <v/>
      </c>
      <c r="F2336" s="28" t="n"/>
      <c r="G2336" s="28" t="n"/>
      <c r="H2336" s="1" t="n"/>
    </row>
    <row r="2337">
      <c r="A2337" s="1" t="n"/>
      <c r="B2337" s="26" t="n"/>
      <c r="C2337" s="27" t="n"/>
      <c r="D2337" s="27" t="n"/>
      <c r="E2337" s="21">
        <f>IF(OR(C2337="",D2337=""),"",ROUND(MOD(D2337-C2337,1)*24,2))</f>
        <v/>
      </c>
      <c r="F2337" s="28" t="n"/>
      <c r="G2337" s="28" t="n"/>
      <c r="H2337" s="1" t="n"/>
    </row>
    <row r="2338">
      <c r="A2338" s="1" t="n"/>
      <c r="B2338" s="26" t="n"/>
      <c r="C2338" s="27" t="n"/>
      <c r="D2338" s="27" t="n"/>
      <c r="E2338" s="21">
        <f>IF(OR(C2338="",D2338=""),"",ROUND(MOD(D2338-C2338,1)*24,2))</f>
        <v/>
      </c>
      <c r="F2338" s="28" t="n"/>
      <c r="G2338" s="28" t="n"/>
      <c r="H2338" s="1" t="n"/>
    </row>
    <row r="2339">
      <c r="A2339" s="1" t="n"/>
      <c r="B2339" s="26" t="n"/>
      <c r="C2339" s="27" t="n"/>
      <c r="D2339" s="27" t="n"/>
      <c r="E2339" s="21">
        <f>IF(OR(C2339="",D2339=""),"",ROUND(MOD(D2339-C2339,1)*24,2))</f>
        <v/>
      </c>
      <c r="F2339" s="28" t="n"/>
      <c r="G2339" s="28" t="n"/>
      <c r="H2339" s="1" t="n"/>
    </row>
    <row r="2340">
      <c r="A2340" s="1" t="n"/>
      <c r="B2340" s="26" t="n"/>
      <c r="C2340" s="27" t="n"/>
      <c r="D2340" s="27" t="n"/>
      <c r="E2340" s="21">
        <f>IF(OR(C2340="",D2340=""),"",ROUND(MOD(D2340-C2340,1)*24,2))</f>
        <v/>
      </c>
      <c r="F2340" s="28" t="n"/>
      <c r="G2340" s="28" t="n"/>
      <c r="H2340" s="1" t="n"/>
    </row>
    <row r="2341">
      <c r="A2341" s="1" t="n"/>
      <c r="B2341" s="26" t="n"/>
      <c r="C2341" s="27" t="n"/>
      <c r="D2341" s="27" t="n"/>
      <c r="E2341" s="21">
        <f>IF(OR(C2341="",D2341=""),"",ROUND(MOD(D2341-C2341,1)*24,2))</f>
        <v/>
      </c>
      <c r="F2341" s="28" t="n"/>
      <c r="G2341" s="28" t="n"/>
      <c r="H2341" s="1" t="n"/>
    </row>
    <row r="2342">
      <c r="A2342" s="1" t="n"/>
      <c r="B2342" s="26" t="n"/>
      <c r="C2342" s="27" t="n"/>
      <c r="D2342" s="27" t="n"/>
      <c r="E2342" s="21">
        <f>IF(OR(C2342="",D2342=""),"",ROUND(MOD(D2342-C2342,1)*24,2))</f>
        <v/>
      </c>
      <c r="F2342" s="28" t="n"/>
      <c r="G2342" s="28" t="n"/>
      <c r="H2342" s="1" t="n"/>
    </row>
    <row r="2343">
      <c r="A2343" s="1" t="n"/>
      <c r="B2343" s="26" t="n"/>
      <c r="C2343" s="27" t="n"/>
      <c r="D2343" s="27" t="n"/>
      <c r="E2343" s="21">
        <f>IF(OR(C2343="",D2343=""),"",ROUND(MOD(D2343-C2343,1)*24,2))</f>
        <v/>
      </c>
      <c r="F2343" s="28" t="n"/>
      <c r="G2343" s="28" t="n"/>
      <c r="H2343" s="1" t="n"/>
    </row>
    <row r="2344">
      <c r="A2344" s="1" t="n"/>
      <c r="B2344" s="26" t="n"/>
      <c r="C2344" s="27" t="n"/>
      <c r="D2344" s="27" t="n"/>
      <c r="E2344" s="21">
        <f>IF(OR(C2344="",D2344=""),"",ROUND(MOD(D2344-C2344,1)*24,2))</f>
        <v/>
      </c>
      <c r="F2344" s="28" t="n"/>
      <c r="G2344" s="28" t="n"/>
      <c r="H2344" s="1" t="n"/>
    </row>
    <row r="2345">
      <c r="A2345" s="1" t="n"/>
      <c r="B2345" s="26" t="n"/>
      <c r="C2345" s="27" t="n"/>
      <c r="D2345" s="27" t="n"/>
      <c r="E2345" s="21">
        <f>IF(OR(C2345="",D2345=""),"",ROUND(MOD(D2345-C2345,1)*24,2))</f>
        <v/>
      </c>
      <c r="F2345" s="28" t="n"/>
      <c r="G2345" s="28" t="n"/>
      <c r="H2345" s="1" t="n"/>
    </row>
    <row r="2346">
      <c r="A2346" s="1" t="n"/>
      <c r="B2346" s="26" t="n"/>
      <c r="C2346" s="27" t="n"/>
      <c r="D2346" s="27" t="n"/>
      <c r="E2346" s="21">
        <f>IF(OR(C2346="",D2346=""),"",ROUND(MOD(D2346-C2346,1)*24,2))</f>
        <v/>
      </c>
      <c r="F2346" s="28" t="n"/>
      <c r="G2346" s="28" t="n"/>
      <c r="H2346" s="1" t="n"/>
    </row>
    <row r="2347">
      <c r="A2347" s="1" t="n"/>
      <c r="B2347" s="26" t="n"/>
      <c r="C2347" s="27" t="n"/>
      <c r="D2347" s="27" t="n"/>
      <c r="E2347" s="21">
        <f>IF(OR(C2347="",D2347=""),"",ROUND(MOD(D2347-C2347,1)*24,2))</f>
        <v/>
      </c>
      <c r="F2347" s="28" t="n"/>
      <c r="G2347" s="28" t="n"/>
      <c r="H2347" s="1" t="n"/>
    </row>
    <row r="2348">
      <c r="A2348" s="1" t="n"/>
      <c r="B2348" s="26" t="n"/>
      <c r="C2348" s="27" t="n"/>
      <c r="D2348" s="27" t="n"/>
      <c r="E2348" s="21">
        <f>IF(OR(C2348="",D2348=""),"",ROUND(MOD(D2348-C2348,1)*24,2))</f>
        <v/>
      </c>
      <c r="F2348" s="28" t="n"/>
      <c r="G2348" s="28" t="n"/>
      <c r="H2348" s="1" t="n"/>
    </row>
    <row r="2349">
      <c r="A2349" s="1" t="n"/>
      <c r="B2349" s="26" t="n"/>
      <c r="C2349" s="27" t="n"/>
      <c r="D2349" s="27" t="n"/>
      <c r="E2349" s="21">
        <f>IF(OR(C2349="",D2349=""),"",ROUND(MOD(D2349-C2349,1)*24,2))</f>
        <v/>
      </c>
      <c r="F2349" s="28" t="n"/>
      <c r="G2349" s="28" t="n"/>
      <c r="H2349" s="1" t="n"/>
    </row>
    <row r="2350">
      <c r="A2350" s="1" t="n"/>
      <c r="B2350" s="26" t="n"/>
      <c r="C2350" s="27" t="n"/>
      <c r="D2350" s="27" t="n"/>
      <c r="E2350" s="21">
        <f>IF(OR(C2350="",D2350=""),"",ROUND(MOD(D2350-C2350,1)*24,2))</f>
        <v/>
      </c>
      <c r="F2350" s="28" t="n"/>
      <c r="G2350" s="28" t="n"/>
      <c r="H2350" s="1" t="n"/>
    </row>
    <row r="2351">
      <c r="A2351" s="1" t="n"/>
      <c r="B2351" s="26" t="n"/>
      <c r="C2351" s="27" t="n"/>
      <c r="D2351" s="27" t="n"/>
      <c r="E2351" s="21">
        <f>IF(OR(C2351="",D2351=""),"",ROUND(MOD(D2351-C2351,1)*24,2))</f>
        <v/>
      </c>
      <c r="F2351" s="28" t="n"/>
      <c r="G2351" s="28" t="n"/>
      <c r="H2351" s="1" t="n"/>
    </row>
    <row r="2352">
      <c r="A2352" s="1" t="n"/>
      <c r="B2352" s="26" t="n"/>
      <c r="C2352" s="27" t="n"/>
      <c r="D2352" s="27" t="n"/>
      <c r="E2352" s="21">
        <f>IF(OR(C2352="",D2352=""),"",ROUND(MOD(D2352-C2352,1)*24,2))</f>
        <v/>
      </c>
      <c r="F2352" s="28" t="n"/>
      <c r="G2352" s="28" t="n"/>
      <c r="H2352" s="1" t="n"/>
    </row>
    <row r="2353">
      <c r="A2353" s="1" t="n"/>
      <c r="B2353" s="26" t="n"/>
      <c r="C2353" s="27" t="n"/>
      <c r="D2353" s="27" t="n"/>
      <c r="E2353" s="21">
        <f>IF(OR(C2353="",D2353=""),"",ROUND(MOD(D2353-C2353,1)*24,2))</f>
        <v/>
      </c>
      <c r="F2353" s="28" t="n"/>
      <c r="G2353" s="28" t="n"/>
      <c r="H2353" s="1" t="n"/>
    </row>
    <row r="2354">
      <c r="A2354" s="1" t="n"/>
      <c r="B2354" s="26" t="n"/>
      <c r="C2354" s="27" t="n"/>
      <c r="D2354" s="27" t="n"/>
      <c r="E2354" s="21">
        <f>IF(OR(C2354="",D2354=""),"",ROUND(MOD(D2354-C2354,1)*24,2))</f>
        <v/>
      </c>
      <c r="F2354" s="28" t="n"/>
      <c r="G2354" s="28" t="n"/>
      <c r="H2354" s="1" t="n"/>
    </row>
    <row r="2355">
      <c r="A2355" s="1" t="n"/>
      <c r="B2355" s="26" t="n"/>
      <c r="C2355" s="27" t="n"/>
      <c r="D2355" s="27" t="n"/>
      <c r="E2355" s="21">
        <f>IF(OR(C2355="",D2355=""),"",ROUND(MOD(D2355-C2355,1)*24,2))</f>
        <v/>
      </c>
      <c r="F2355" s="28" t="n"/>
      <c r="G2355" s="28" t="n"/>
      <c r="H2355" s="1" t="n"/>
    </row>
    <row r="2356">
      <c r="A2356" s="1" t="n"/>
      <c r="B2356" s="26" t="n"/>
      <c r="C2356" s="27" t="n"/>
      <c r="D2356" s="27" t="n"/>
      <c r="E2356" s="21">
        <f>IF(OR(C2356="",D2356=""),"",ROUND(MOD(D2356-C2356,1)*24,2))</f>
        <v/>
      </c>
      <c r="F2356" s="28" t="n"/>
      <c r="G2356" s="28" t="n"/>
      <c r="H2356" s="1" t="n"/>
    </row>
    <row r="2357">
      <c r="A2357" s="1" t="n"/>
      <c r="B2357" s="26" t="n"/>
      <c r="C2357" s="27" t="n"/>
      <c r="D2357" s="27" t="n"/>
      <c r="E2357" s="21">
        <f>IF(OR(C2357="",D2357=""),"",ROUND(MOD(D2357-C2357,1)*24,2))</f>
        <v/>
      </c>
      <c r="F2357" s="28" t="n"/>
      <c r="G2357" s="28" t="n"/>
      <c r="H2357" s="1" t="n"/>
    </row>
    <row r="2358">
      <c r="A2358" s="1" t="n"/>
      <c r="B2358" s="26" t="n"/>
      <c r="C2358" s="27" t="n"/>
      <c r="D2358" s="27" t="n"/>
      <c r="E2358" s="21">
        <f>IF(OR(C2358="",D2358=""),"",ROUND(MOD(D2358-C2358,1)*24,2))</f>
        <v/>
      </c>
      <c r="F2358" s="28" t="n"/>
      <c r="G2358" s="28" t="n"/>
      <c r="H2358" s="1" t="n"/>
    </row>
    <row r="2359">
      <c r="A2359" s="1" t="n"/>
      <c r="B2359" s="26" t="n"/>
      <c r="C2359" s="27" t="n"/>
      <c r="D2359" s="27" t="n"/>
      <c r="E2359" s="21">
        <f>IF(OR(C2359="",D2359=""),"",ROUND(MOD(D2359-C2359,1)*24,2))</f>
        <v/>
      </c>
      <c r="F2359" s="28" t="n"/>
      <c r="G2359" s="28" t="n"/>
      <c r="H2359" s="1" t="n"/>
    </row>
    <row r="2360">
      <c r="A2360" s="1" t="n"/>
      <c r="B2360" s="26" t="n"/>
      <c r="C2360" s="27" t="n"/>
      <c r="D2360" s="27" t="n"/>
      <c r="E2360" s="21">
        <f>IF(OR(C2360="",D2360=""),"",ROUND(MOD(D2360-C2360,1)*24,2))</f>
        <v/>
      </c>
      <c r="F2360" s="28" t="n"/>
      <c r="G2360" s="28" t="n"/>
      <c r="H2360" s="1" t="n"/>
    </row>
    <row r="2361">
      <c r="A2361" s="1" t="n"/>
      <c r="B2361" s="26" t="n"/>
      <c r="C2361" s="27" t="n"/>
      <c r="D2361" s="27" t="n"/>
      <c r="E2361" s="21">
        <f>IF(OR(C2361="",D2361=""),"",ROUND(MOD(D2361-C2361,1)*24,2))</f>
        <v/>
      </c>
      <c r="F2361" s="28" t="n"/>
      <c r="G2361" s="28" t="n"/>
      <c r="H2361" s="1" t="n"/>
    </row>
    <row r="2362">
      <c r="A2362" s="1" t="n"/>
      <c r="B2362" s="26" t="n"/>
      <c r="C2362" s="27" t="n"/>
      <c r="D2362" s="27" t="n"/>
      <c r="E2362" s="21">
        <f>IF(OR(C2362="",D2362=""),"",ROUND(MOD(D2362-C2362,1)*24,2))</f>
        <v/>
      </c>
      <c r="F2362" s="28" t="n"/>
      <c r="G2362" s="28" t="n"/>
      <c r="H2362" s="1" t="n"/>
    </row>
    <row r="2363">
      <c r="A2363" s="1" t="n"/>
      <c r="B2363" s="26" t="n"/>
      <c r="C2363" s="27" t="n"/>
      <c r="D2363" s="27" t="n"/>
      <c r="E2363" s="21">
        <f>IF(OR(C2363="",D2363=""),"",ROUND(MOD(D2363-C2363,1)*24,2))</f>
        <v/>
      </c>
      <c r="F2363" s="28" t="n"/>
      <c r="G2363" s="28" t="n"/>
      <c r="H2363" s="1" t="n"/>
    </row>
    <row r="2364">
      <c r="A2364" s="1" t="n"/>
      <c r="B2364" s="26" t="n"/>
      <c r="C2364" s="27" t="n"/>
      <c r="D2364" s="27" t="n"/>
      <c r="E2364" s="21">
        <f>IF(OR(C2364="",D2364=""),"",ROUND(MOD(D2364-C2364,1)*24,2))</f>
        <v/>
      </c>
      <c r="F2364" s="28" t="n"/>
      <c r="G2364" s="28" t="n"/>
      <c r="H2364" s="1" t="n"/>
    </row>
    <row r="2365">
      <c r="A2365" s="1" t="n"/>
      <c r="B2365" s="26" t="n"/>
      <c r="C2365" s="27" t="n"/>
      <c r="D2365" s="27" t="n"/>
      <c r="E2365" s="21">
        <f>IF(OR(C2365="",D2365=""),"",ROUND(MOD(D2365-C2365,1)*24,2))</f>
        <v/>
      </c>
      <c r="F2365" s="28" t="n"/>
      <c r="G2365" s="28" t="n"/>
      <c r="H2365" s="1" t="n"/>
    </row>
    <row r="2366">
      <c r="A2366" s="1" t="n"/>
      <c r="B2366" s="26" t="n"/>
      <c r="C2366" s="27" t="n"/>
      <c r="D2366" s="27" t="n"/>
      <c r="E2366" s="21">
        <f>IF(OR(C2366="",D2366=""),"",ROUND(MOD(D2366-C2366,1)*24,2))</f>
        <v/>
      </c>
      <c r="F2366" s="28" t="n"/>
      <c r="G2366" s="28" t="n"/>
      <c r="H2366" s="1" t="n"/>
    </row>
    <row r="2367">
      <c r="A2367" s="1" t="n"/>
      <c r="B2367" s="26" t="n"/>
      <c r="C2367" s="27" t="n"/>
      <c r="D2367" s="27" t="n"/>
      <c r="E2367" s="21">
        <f>IF(OR(C2367="",D2367=""),"",ROUND(MOD(D2367-C2367,1)*24,2))</f>
        <v/>
      </c>
      <c r="F2367" s="28" t="n"/>
      <c r="G2367" s="28" t="n"/>
      <c r="H2367" s="1" t="n"/>
    </row>
    <row r="2368">
      <c r="A2368" s="1" t="n"/>
      <c r="B2368" s="26" t="n"/>
      <c r="C2368" s="27" t="n"/>
      <c r="D2368" s="27" t="n"/>
      <c r="E2368" s="21">
        <f>IF(OR(C2368="",D2368=""),"",ROUND(MOD(D2368-C2368,1)*24,2))</f>
        <v/>
      </c>
      <c r="F2368" s="28" t="n"/>
      <c r="G2368" s="28" t="n"/>
      <c r="H2368" s="1" t="n"/>
    </row>
    <row r="2369">
      <c r="A2369" s="1" t="n"/>
      <c r="B2369" s="26" t="n"/>
      <c r="C2369" s="27" t="n"/>
      <c r="D2369" s="27" t="n"/>
      <c r="E2369" s="21">
        <f>IF(OR(C2369="",D2369=""),"",ROUND(MOD(D2369-C2369,1)*24,2))</f>
        <v/>
      </c>
      <c r="F2369" s="28" t="n"/>
      <c r="G2369" s="28" t="n"/>
      <c r="H2369" s="1" t="n"/>
    </row>
    <row r="2370">
      <c r="A2370" s="1" t="n"/>
      <c r="B2370" s="26" t="n"/>
      <c r="C2370" s="27" t="n"/>
      <c r="D2370" s="27" t="n"/>
      <c r="E2370" s="21">
        <f>IF(OR(C2370="",D2370=""),"",ROUND(MOD(D2370-C2370,1)*24,2))</f>
        <v/>
      </c>
      <c r="F2370" s="28" t="n"/>
      <c r="G2370" s="28" t="n"/>
      <c r="H2370" s="1" t="n"/>
    </row>
    <row r="2371">
      <c r="A2371" s="1" t="n"/>
      <c r="B2371" s="26" t="n"/>
      <c r="C2371" s="27" t="n"/>
      <c r="D2371" s="27" t="n"/>
      <c r="E2371" s="21">
        <f>IF(OR(C2371="",D2371=""),"",ROUND(MOD(D2371-C2371,1)*24,2))</f>
        <v/>
      </c>
      <c r="F2371" s="28" t="n"/>
      <c r="G2371" s="28" t="n"/>
      <c r="H2371" s="1" t="n"/>
    </row>
    <row r="2372">
      <c r="A2372" s="1" t="n"/>
      <c r="B2372" s="26" t="n"/>
      <c r="C2372" s="27" t="n"/>
      <c r="D2372" s="27" t="n"/>
      <c r="E2372" s="21">
        <f>IF(OR(C2372="",D2372=""),"",ROUND(MOD(D2372-C2372,1)*24,2))</f>
        <v/>
      </c>
      <c r="F2372" s="28" t="n"/>
      <c r="G2372" s="28" t="n"/>
      <c r="H2372" s="1" t="n"/>
    </row>
    <row r="2373">
      <c r="A2373" s="1" t="n"/>
      <c r="B2373" s="26" t="n"/>
      <c r="C2373" s="27" t="n"/>
      <c r="D2373" s="27" t="n"/>
      <c r="E2373" s="21">
        <f>IF(OR(C2373="",D2373=""),"",ROUND(MOD(D2373-C2373,1)*24,2))</f>
        <v/>
      </c>
      <c r="F2373" s="28" t="n"/>
      <c r="G2373" s="28" t="n"/>
      <c r="H2373" s="1" t="n"/>
    </row>
    <row r="2374">
      <c r="A2374" s="1" t="n"/>
      <c r="B2374" s="26" t="n"/>
      <c r="C2374" s="27" t="n"/>
      <c r="D2374" s="27" t="n"/>
      <c r="E2374" s="21">
        <f>IF(OR(C2374="",D2374=""),"",ROUND(MOD(D2374-C2374,1)*24,2))</f>
        <v/>
      </c>
      <c r="F2374" s="28" t="n"/>
      <c r="G2374" s="28" t="n"/>
      <c r="H2374" s="1" t="n"/>
    </row>
    <row r="2375">
      <c r="A2375" s="1" t="n"/>
      <c r="B2375" s="26" t="n"/>
      <c r="C2375" s="27" t="n"/>
      <c r="D2375" s="27" t="n"/>
      <c r="E2375" s="21">
        <f>IF(OR(C2375="",D2375=""),"",ROUND(MOD(D2375-C2375,1)*24,2))</f>
        <v/>
      </c>
      <c r="F2375" s="28" t="n"/>
      <c r="G2375" s="28" t="n"/>
      <c r="H2375" s="1" t="n"/>
    </row>
    <row r="2376">
      <c r="A2376" s="1" t="n"/>
      <c r="B2376" s="26" t="n"/>
      <c r="C2376" s="27" t="n"/>
      <c r="D2376" s="27" t="n"/>
      <c r="E2376" s="21">
        <f>IF(OR(C2376="",D2376=""),"",ROUND(MOD(D2376-C2376,1)*24,2))</f>
        <v/>
      </c>
      <c r="F2376" s="28" t="n"/>
      <c r="G2376" s="28" t="n"/>
      <c r="H2376" s="1" t="n"/>
    </row>
    <row r="2377">
      <c r="A2377" s="1" t="n"/>
      <c r="B2377" s="26" t="n"/>
      <c r="C2377" s="27" t="n"/>
      <c r="D2377" s="27" t="n"/>
      <c r="E2377" s="21">
        <f>IF(OR(C2377="",D2377=""),"",ROUND(MOD(D2377-C2377,1)*24,2))</f>
        <v/>
      </c>
      <c r="F2377" s="28" t="n"/>
      <c r="G2377" s="28" t="n"/>
      <c r="H2377" s="1" t="n"/>
    </row>
    <row r="2378">
      <c r="A2378" s="1" t="n"/>
      <c r="B2378" s="26" t="n"/>
      <c r="C2378" s="27" t="n"/>
      <c r="D2378" s="27" t="n"/>
      <c r="E2378" s="21">
        <f>IF(OR(C2378="",D2378=""),"",ROUND(MOD(D2378-C2378,1)*24,2))</f>
        <v/>
      </c>
      <c r="F2378" s="28" t="n"/>
      <c r="G2378" s="28" t="n"/>
      <c r="H2378" s="1" t="n"/>
    </row>
    <row r="2379">
      <c r="A2379" s="1" t="n"/>
      <c r="B2379" s="26" t="n"/>
      <c r="C2379" s="27" t="n"/>
      <c r="D2379" s="27" t="n"/>
      <c r="E2379" s="21">
        <f>IF(OR(C2379="",D2379=""),"",ROUND(MOD(D2379-C2379,1)*24,2))</f>
        <v/>
      </c>
      <c r="F2379" s="28" t="n"/>
      <c r="G2379" s="28" t="n"/>
      <c r="H2379" s="1" t="n"/>
    </row>
    <row r="2380">
      <c r="A2380" s="1" t="n"/>
      <c r="B2380" s="26" t="n"/>
      <c r="C2380" s="27" t="n"/>
      <c r="D2380" s="27" t="n"/>
      <c r="E2380" s="21">
        <f>IF(OR(C2380="",D2380=""),"",ROUND(MOD(D2380-C2380,1)*24,2))</f>
        <v/>
      </c>
      <c r="F2380" s="28" t="n"/>
      <c r="G2380" s="28" t="n"/>
      <c r="H2380" s="1" t="n"/>
    </row>
    <row r="2381">
      <c r="A2381" s="1" t="n"/>
      <c r="B2381" s="26" t="n"/>
      <c r="C2381" s="27" t="n"/>
      <c r="D2381" s="27" t="n"/>
      <c r="E2381" s="21">
        <f>IF(OR(C2381="",D2381=""),"",ROUND(MOD(D2381-C2381,1)*24,2))</f>
        <v/>
      </c>
      <c r="F2381" s="28" t="n"/>
      <c r="G2381" s="28" t="n"/>
      <c r="H2381" s="1" t="n"/>
    </row>
    <row r="2382">
      <c r="A2382" s="1" t="n"/>
      <c r="B2382" s="26" t="n"/>
      <c r="C2382" s="27" t="n"/>
      <c r="D2382" s="27" t="n"/>
      <c r="E2382" s="21">
        <f>IF(OR(C2382="",D2382=""),"",ROUND(MOD(D2382-C2382,1)*24,2))</f>
        <v/>
      </c>
      <c r="F2382" s="28" t="n"/>
      <c r="G2382" s="28" t="n"/>
      <c r="H2382" s="1" t="n"/>
    </row>
    <row r="2383">
      <c r="A2383" s="1" t="n"/>
      <c r="B2383" s="26" t="n"/>
      <c r="C2383" s="27" t="n"/>
      <c r="D2383" s="27" t="n"/>
      <c r="E2383" s="21">
        <f>IF(OR(C2383="",D2383=""),"",ROUND(MOD(D2383-C2383,1)*24,2))</f>
        <v/>
      </c>
      <c r="F2383" s="28" t="n"/>
      <c r="G2383" s="28" t="n"/>
      <c r="H2383" s="1" t="n"/>
    </row>
    <row r="2384">
      <c r="A2384" s="1" t="n"/>
      <c r="B2384" s="26" t="n"/>
      <c r="C2384" s="27" t="n"/>
      <c r="D2384" s="27" t="n"/>
      <c r="E2384" s="21">
        <f>IF(OR(C2384="",D2384=""),"",ROUND(MOD(D2384-C2384,1)*24,2))</f>
        <v/>
      </c>
      <c r="F2384" s="28" t="n"/>
      <c r="G2384" s="28" t="n"/>
      <c r="H2384" s="1" t="n"/>
    </row>
    <row r="2385">
      <c r="A2385" s="1" t="n"/>
      <c r="B2385" s="26" t="n"/>
      <c r="C2385" s="27" t="n"/>
      <c r="D2385" s="27" t="n"/>
      <c r="E2385" s="21">
        <f>IF(OR(C2385="",D2385=""),"",ROUND(MOD(D2385-C2385,1)*24,2))</f>
        <v/>
      </c>
      <c r="F2385" s="28" t="n"/>
      <c r="G2385" s="28" t="n"/>
      <c r="H2385" s="1" t="n"/>
    </row>
    <row r="2386">
      <c r="A2386" s="1" t="n"/>
      <c r="B2386" s="26" t="n"/>
      <c r="C2386" s="27" t="n"/>
      <c r="D2386" s="27" t="n"/>
      <c r="E2386" s="21">
        <f>IF(OR(C2386="",D2386=""),"",ROUND(MOD(D2386-C2386,1)*24,2))</f>
        <v/>
      </c>
      <c r="F2386" s="28" t="n"/>
      <c r="G2386" s="28" t="n"/>
      <c r="H2386" s="1" t="n"/>
    </row>
    <row r="2387">
      <c r="A2387" s="1" t="n"/>
      <c r="B2387" s="26" t="n"/>
      <c r="C2387" s="27" t="n"/>
      <c r="D2387" s="27" t="n"/>
      <c r="E2387" s="21">
        <f>IF(OR(C2387="",D2387=""),"",ROUND(MOD(D2387-C2387,1)*24,2))</f>
        <v/>
      </c>
      <c r="F2387" s="28" t="n"/>
      <c r="G2387" s="28" t="n"/>
      <c r="H2387" s="1" t="n"/>
    </row>
    <row r="2388">
      <c r="A2388" s="1" t="n"/>
      <c r="B2388" s="26" t="n"/>
      <c r="C2388" s="27" t="n"/>
      <c r="D2388" s="27" t="n"/>
      <c r="E2388" s="21">
        <f>IF(OR(C2388="",D2388=""),"",ROUND(MOD(D2388-C2388,1)*24,2))</f>
        <v/>
      </c>
      <c r="F2388" s="28" t="n"/>
      <c r="G2388" s="28" t="n"/>
      <c r="H2388" s="1" t="n"/>
    </row>
    <row r="2389">
      <c r="A2389" s="1" t="n"/>
      <c r="B2389" s="26" t="n"/>
      <c r="C2389" s="27" t="n"/>
      <c r="D2389" s="27" t="n"/>
      <c r="E2389" s="21">
        <f>IF(OR(C2389="",D2389=""),"",ROUND(MOD(D2389-C2389,1)*24,2))</f>
        <v/>
      </c>
      <c r="F2389" s="28" t="n"/>
      <c r="G2389" s="28" t="n"/>
      <c r="H2389" s="1" t="n"/>
    </row>
    <row r="2390">
      <c r="A2390" s="1" t="n"/>
      <c r="B2390" s="26" t="n"/>
      <c r="C2390" s="27" t="n"/>
      <c r="D2390" s="27" t="n"/>
      <c r="E2390" s="21">
        <f>IF(OR(C2390="",D2390=""),"",ROUND(MOD(D2390-C2390,1)*24,2))</f>
        <v/>
      </c>
      <c r="F2390" s="28" t="n"/>
      <c r="G2390" s="28" t="n"/>
      <c r="H2390" s="1" t="n"/>
    </row>
    <row r="2391">
      <c r="A2391" s="1" t="n"/>
      <c r="B2391" s="26" t="n"/>
      <c r="C2391" s="27" t="n"/>
      <c r="D2391" s="27" t="n"/>
      <c r="E2391" s="21">
        <f>IF(OR(C2391="",D2391=""),"",ROUND(MOD(D2391-C2391,1)*24,2))</f>
        <v/>
      </c>
      <c r="F2391" s="28" t="n"/>
      <c r="G2391" s="28" t="n"/>
      <c r="H2391" s="1" t="n"/>
    </row>
    <row r="2392">
      <c r="A2392" s="1" t="n"/>
      <c r="B2392" s="26" t="n"/>
      <c r="C2392" s="27" t="n"/>
      <c r="D2392" s="27" t="n"/>
      <c r="E2392" s="21">
        <f>IF(OR(C2392="",D2392=""),"",ROUND(MOD(D2392-C2392,1)*24,2))</f>
        <v/>
      </c>
      <c r="F2392" s="28" t="n"/>
      <c r="G2392" s="28" t="n"/>
      <c r="H2392" s="1" t="n"/>
    </row>
    <row r="2393">
      <c r="A2393" s="1" t="n"/>
      <c r="B2393" s="26" t="n"/>
      <c r="C2393" s="27" t="n"/>
      <c r="D2393" s="27" t="n"/>
      <c r="E2393" s="21">
        <f>IF(OR(C2393="",D2393=""),"",ROUND(MOD(D2393-C2393,1)*24,2))</f>
        <v/>
      </c>
      <c r="F2393" s="28" t="n"/>
      <c r="G2393" s="28" t="n"/>
      <c r="H2393" s="1" t="n"/>
    </row>
    <row r="2394">
      <c r="A2394" s="1" t="n"/>
      <c r="B2394" s="26" t="n"/>
      <c r="C2394" s="27" t="n"/>
      <c r="D2394" s="27" t="n"/>
      <c r="E2394" s="21">
        <f>IF(OR(C2394="",D2394=""),"",ROUND(MOD(D2394-C2394,1)*24,2))</f>
        <v/>
      </c>
      <c r="F2394" s="28" t="n"/>
      <c r="G2394" s="28" t="n"/>
      <c r="H2394" s="1" t="n"/>
    </row>
    <row r="2395">
      <c r="A2395" s="1" t="n"/>
      <c r="B2395" s="26" t="n"/>
      <c r="C2395" s="27" t="n"/>
      <c r="D2395" s="27" t="n"/>
      <c r="E2395" s="21">
        <f>IF(OR(C2395="",D2395=""),"",ROUND(MOD(D2395-C2395,1)*24,2))</f>
        <v/>
      </c>
      <c r="F2395" s="28" t="n"/>
      <c r="G2395" s="28" t="n"/>
      <c r="H2395" s="1" t="n"/>
    </row>
    <row r="2396">
      <c r="A2396" s="1" t="n"/>
      <c r="B2396" s="26" t="n"/>
      <c r="C2396" s="27" t="n"/>
      <c r="D2396" s="27" t="n"/>
      <c r="E2396" s="21">
        <f>IF(OR(C2396="",D2396=""),"",ROUND(MOD(D2396-C2396,1)*24,2))</f>
        <v/>
      </c>
      <c r="F2396" s="28" t="n"/>
      <c r="G2396" s="28" t="n"/>
      <c r="H2396" s="1" t="n"/>
    </row>
    <row r="2397">
      <c r="A2397" s="1" t="n"/>
      <c r="B2397" s="26" t="n"/>
      <c r="C2397" s="27" t="n"/>
      <c r="D2397" s="27" t="n"/>
      <c r="E2397" s="21">
        <f>IF(OR(C2397="",D2397=""),"",ROUND(MOD(D2397-C2397,1)*24,2))</f>
        <v/>
      </c>
      <c r="F2397" s="28" t="n"/>
      <c r="G2397" s="28" t="n"/>
      <c r="H2397" s="1" t="n"/>
    </row>
    <row r="2398">
      <c r="A2398" s="1" t="n"/>
      <c r="B2398" s="26" t="n"/>
      <c r="C2398" s="27" t="n"/>
      <c r="D2398" s="27" t="n"/>
      <c r="E2398" s="21">
        <f>IF(OR(C2398="",D2398=""),"",ROUND(MOD(D2398-C2398,1)*24,2))</f>
        <v/>
      </c>
      <c r="F2398" s="28" t="n"/>
      <c r="G2398" s="28" t="n"/>
      <c r="H2398" s="1" t="n"/>
    </row>
    <row r="2399">
      <c r="A2399" s="1" t="n"/>
      <c r="B2399" s="26" t="n"/>
      <c r="C2399" s="27" t="n"/>
      <c r="D2399" s="27" t="n"/>
      <c r="E2399" s="21">
        <f>IF(OR(C2399="",D2399=""),"",ROUND(MOD(D2399-C2399,1)*24,2))</f>
        <v/>
      </c>
      <c r="F2399" s="28" t="n"/>
      <c r="G2399" s="28" t="n"/>
      <c r="H2399" s="1" t="n"/>
    </row>
    <row r="2400">
      <c r="A2400" s="1" t="n"/>
      <c r="B2400" s="26" t="n"/>
      <c r="C2400" s="27" t="n"/>
      <c r="D2400" s="27" t="n"/>
      <c r="E2400" s="21">
        <f>IF(OR(C2400="",D2400=""),"",ROUND(MOD(D2400-C2400,1)*24,2))</f>
        <v/>
      </c>
      <c r="F2400" s="28" t="n"/>
      <c r="G2400" s="28" t="n"/>
      <c r="H2400" s="1" t="n"/>
    </row>
    <row r="2401">
      <c r="A2401" s="1" t="n"/>
      <c r="B2401" s="26" t="n"/>
      <c r="C2401" s="27" t="n"/>
      <c r="D2401" s="27" t="n"/>
      <c r="E2401" s="21">
        <f>IF(OR(C2401="",D2401=""),"",ROUND(MOD(D2401-C2401,1)*24,2))</f>
        <v/>
      </c>
      <c r="F2401" s="28" t="n"/>
      <c r="G2401" s="28" t="n"/>
      <c r="H2401" s="1" t="n"/>
    </row>
    <row r="2402">
      <c r="A2402" s="1" t="n"/>
      <c r="B2402" s="26" t="n"/>
      <c r="C2402" s="27" t="n"/>
      <c r="D2402" s="27" t="n"/>
      <c r="E2402" s="21">
        <f>IF(OR(C2402="",D2402=""),"",ROUND(MOD(D2402-C2402,1)*24,2))</f>
        <v/>
      </c>
      <c r="F2402" s="28" t="n"/>
      <c r="G2402" s="28" t="n"/>
      <c r="H2402" s="1" t="n"/>
    </row>
    <row r="2403">
      <c r="A2403" s="1" t="n"/>
      <c r="B2403" s="26" t="n"/>
      <c r="C2403" s="27" t="n"/>
      <c r="D2403" s="27" t="n"/>
      <c r="E2403" s="21">
        <f>IF(OR(C2403="",D2403=""),"",ROUND(MOD(D2403-C2403,1)*24,2))</f>
        <v/>
      </c>
      <c r="F2403" s="28" t="n"/>
      <c r="G2403" s="28" t="n"/>
      <c r="H2403" s="1" t="n"/>
    </row>
    <row r="2404">
      <c r="A2404" s="1" t="n"/>
      <c r="B2404" s="26" t="n"/>
      <c r="C2404" s="27" t="n"/>
      <c r="D2404" s="27" t="n"/>
      <c r="E2404" s="21">
        <f>IF(OR(C2404="",D2404=""),"",ROUND(MOD(D2404-C2404,1)*24,2))</f>
        <v/>
      </c>
      <c r="F2404" s="28" t="n"/>
      <c r="G2404" s="28" t="n"/>
      <c r="H2404" s="1" t="n"/>
    </row>
    <row r="2405">
      <c r="A2405" s="1" t="n"/>
      <c r="B2405" s="26" t="n"/>
      <c r="C2405" s="27" t="n"/>
      <c r="D2405" s="27" t="n"/>
      <c r="E2405" s="21">
        <f>IF(OR(C2405="",D2405=""),"",ROUND(MOD(D2405-C2405,1)*24,2))</f>
        <v/>
      </c>
      <c r="F2405" s="28" t="n"/>
      <c r="G2405" s="28" t="n"/>
      <c r="H2405" s="1" t="n"/>
    </row>
    <row r="2406">
      <c r="A2406" s="1" t="n"/>
      <c r="B2406" s="26" t="n"/>
      <c r="C2406" s="27" t="n"/>
      <c r="D2406" s="27" t="n"/>
      <c r="E2406" s="21">
        <f>IF(OR(C2406="",D2406=""),"",ROUND(MOD(D2406-C2406,1)*24,2))</f>
        <v/>
      </c>
      <c r="F2406" s="28" t="n"/>
      <c r="G2406" s="28" t="n"/>
      <c r="H2406" s="1" t="n"/>
    </row>
    <row r="2407">
      <c r="A2407" s="1" t="n"/>
      <c r="B2407" s="26" t="n"/>
      <c r="C2407" s="27" t="n"/>
      <c r="D2407" s="27" t="n"/>
      <c r="E2407" s="21">
        <f>IF(OR(C2407="",D2407=""),"",ROUND(MOD(D2407-C2407,1)*24,2))</f>
        <v/>
      </c>
      <c r="F2407" s="28" t="n"/>
      <c r="G2407" s="28" t="n"/>
      <c r="H2407" s="1" t="n"/>
    </row>
    <row r="2408">
      <c r="A2408" s="1" t="n"/>
      <c r="B2408" s="26" t="n"/>
      <c r="C2408" s="27" t="n"/>
      <c r="D2408" s="27" t="n"/>
      <c r="E2408" s="21">
        <f>IF(OR(C2408="",D2408=""),"",ROUND(MOD(D2408-C2408,1)*24,2))</f>
        <v/>
      </c>
      <c r="F2408" s="28" t="n"/>
      <c r="G2408" s="28" t="n"/>
      <c r="H2408" s="1" t="n"/>
    </row>
    <row r="2409">
      <c r="A2409" s="1" t="n"/>
      <c r="B2409" s="26" t="n"/>
      <c r="C2409" s="27" t="n"/>
      <c r="D2409" s="27" t="n"/>
      <c r="E2409" s="21">
        <f>IF(OR(C2409="",D2409=""),"",ROUND(MOD(D2409-C2409,1)*24,2))</f>
        <v/>
      </c>
      <c r="F2409" s="28" t="n"/>
      <c r="G2409" s="28" t="n"/>
      <c r="H2409" s="1" t="n"/>
    </row>
    <row r="2410">
      <c r="A2410" s="1" t="n"/>
      <c r="B2410" s="26" t="n"/>
      <c r="C2410" s="27" t="n"/>
      <c r="D2410" s="27" t="n"/>
      <c r="E2410" s="21">
        <f>IF(OR(C2410="",D2410=""),"",ROUND(MOD(D2410-C2410,1)*24,2))</f>
        <v/>
      </c>
      <c r="F2410" s="28" t="n"/>
      <c r="G2410" s="28" t="n"/>
      <c r="H2410" s="1" t="n"/>
    </row>
    <row r="2411">
      <c r="A2411" s="1" t="n"/>
      <c r="B2411" s="26" t="n"/>
      <c r="C2411" s="27" t="n"/>
      <c r="D2411" s="27" t="n"/>
      <c r="E2411" s="21">
        <f>IF(OR(C2411="",D2411=""),"",ROUND(MOD(D2411-C2411,1)*24,2))</f>
        <v/>
      </c>
      <c r="F2411" s="28" t="n"/>
      <c r="G2411" s="28" t="n"/>
      <c r="H2411" s="1" t="n"/>
    </row>
    <row r="2412">
      <c r="A2412" s="1" t="n"/>
      <c r="B2412" s="26" t="n"/>
      <c r="C2412" s="27" t="n"/>
      <c r="D2412" s="27" t="n"/>
      <c r="E2412" s="21">
        <f>IF(OR(C2412="",D2412=""),"",ROUND(MOD(D2412-C2412,1)*24,2))</f>
        <v/>
      </c>
      <c r="F2412" s="28" t="n"/>
      <c r="G2412" s="28" t="n"/>
      <c r="H2412" s="1" t="n"/>
    </row>
    <row r="2413">
      <c r="A2413" s="1" t="n"/>
      <c r="B2413" s="26" t="n"/>
      <c r="C2413" s="27" t="n"/>
      <c r="D2413" s="27" t="n"/>
      <c r="E2413" s="21">
        <f>IF(OR(C2413="",D2413=""),"",ROUND(MOD(D2413-C2413,1)*24,2))</f>
        <v/>
      </c>
      <c r="F2413" s="28" t="n"/>
      <c r="G2413" s="28" t="n"/>
      <c r="H2413" s="1" t="n"/>
    </row>
    <row r="2414">
      <c r="A2414" s="1" t="n"/>
      <c r="B2414" s="26" t="n"/>
      <c r="C2414" s="27" t="n"/>
      <c r="D2414" s="27" t="n"/>
      <c r="E2414" s="21">
        <f>IF(OR(C2414="",D2414=""),"",ROUND(MOD(D2414-C2414,1)*24,2))</f>
        <v/>
      </c>
      <c r="F2414" s="28" t="n"/>
      <c r="G2414" s="28" t="n"/>
      <c r="H2414" s="1" t="n"/>
    </row>
    <row r="2415">
      <c r="A2415" s="1" t="n"/>
      <c r="B2415" s="26" t="n"/>
      <c r="C2415" s="27" t="n"/>
      <c r="D2415" s="27" t="n"/>
      <c r="E2415" s="21">
        <f>IF(OR(C2415="",D2415=""),"",ROUND(MOD(D2415-C2415,1)*24,2))</f>
        <v/>
      </c>
      <c r="F2415" s="28" t="n"/>
      <c r="G2415" s="28" t="n"/>
      <c r="H2415" s="1" t="n"/>
    </row>
    <row r="2416">
      <c r="A2416" s="1" t="n"/>
      <c r="B2416" s="26" t="n"/>
      <c r="C2416" s="27" t="n"/>
      <c r="D2416" s="27" t="n"/>
      <c r="E2416" s="21">
        <f>IF(OR(C2416="",D2416=""),"",ROUND(MOD(D2416-C2416,1)*24,2))</f>
        <v/>
      </c>
      <c r="F2416" s="28" t="n"/>
      <c r="G2416" s="28" t="n"/>
      <c r="H2416" s="1" t="n"/>
    </row>
    <row r="2417">
      <c r="A2417" s="1" t="n"/>
      <c r="B2417" s="26" t="n"/>
      <c r="C2417" s="27" t="n"/>
      <c r="D2417" s="27" t="n"/>
      <c r="E2417" s="21">
        <f>IF(OR(C2417="",D2417=""),"",ROUND(MOD(D2417-C2417,1)*24,2))</f>
        <v/>
      </c>
      <c r="F2417" s="28" t="n"/>
      <c r="G2417" s="28" t="n"/>
      <c r="H2417" s="1" t="n"/>
    </row>
    <row r="2418">
      <c r="A2418" s="1" t="n"/>
      <c r="B2418" s="26" t="n"/>
      <c r="C2418" s="27" t="n"/>
      <c r="D2418" s="27" t="n"/>
      <c r="E2418" s="21">
        <f>IF(OR(C2418="",D2418=""),"",ROUND(MOD(D2418-C2418,1)*24,2))</f>
        <v/>
      </c>
      <c r="F2418" s="28" t="n"/>
      <c r="G2418" s="28" t="n"/>
      <c r="H2418" s="1" t="n"/>
    </row>
    <row r="2419">
      <c r="A2419" s="1" t="n"/>
      <c r="B2419" s="26" t="n"/>
      <c r="C2419" s="27" t="n"/>
      <c r="D2419" s="27" t="n"/>
      <c r="E2419" s="21">
        <f>IF(OR(C2419="",D2419=""),"",ROUND(MOD(D2419-C2419,1)*24,2))</f>
        <v/>
      </c>
      <c r="F2419" s="28" t="n"/>
      <c r="G2419" s="28" t="n"/>
      <c r="H2419" s="1" t="n"/>
    </row>
    <row r="2420">
      <c r="A2420" s="1" t="n"/>
      <c r="B2420" s="26" t="n"/>
      <c r="C2420" s="27" t="n"/>
      <c r="D2420" s="27" t="n"/>
      <c r="E2420" s="21">
        <f>IF(OR(C2420="",D2420=""),"",ROUND(MOD(D2420-C2420,1)*24,2))</f>
        <v/>
      </c>
      <c r="F2420" s="28" t="n"/>
      <c r="G2420" s="28" t="n"/>
      <c r="H2420" s="1" t="n"/>
    </row>
    <row r="2421">
      <c r="A2421" s="1" t="n"/>
      <c r="B2421" s="26" t="n"/>
      <c r="C2421" s="27" t="n"/>
      <c r="D2421" s="27" t="n"/>
      <c r="E2421" s="21">
        <f>IF(OR(C2421="",D2421=""),"",ROUND(MOD(D2421-C2421,1)*24,2))</f>
        <v/>
      </c>
      <c r="F2421" s="28" t="n"/>
      <c r="G2421" s="28" t="n"/>
      <c r="H2421" s="1" t="n"/>
    </row>
    <row r="2422">
      <c r="A2422" s="1" t="n"/>
      <c r="B2422" s="26" t="n"/>
      <c r="C2422" s="27" t="n"/>
      <c r="D2422" s="27" t="n"/>
      <c r="E2422" s="21">
        <f>IF(OR(C2422="",D2422=""),"",ROUND(MOD(D2422-C2422,1)*24,2))</f>
        <v/>
      </c>
      <c r="F2422" s="28" t="n"/>
      <c r="G2422" s="28" t="n"/>
      <c r="H2422" s="1" t="n"/>
    </row>
    <row r="2423">
      <c r="A2423" s="1" t="n"/>
      <c r="B2423" s="26" t="n"/>
      <c r="C2423" s="27" t="n"/>
      <c r="D2423" s="27" t="n"/>
      <c r="E2423" s="21">
        <f>IF(OR(C2423="",D2423=""),"",ROUND(MOD(D2423-C2423,1)*24,2))</f>
        <v/>
      </c>
      <c r="F2423" s="28" t="n"/>
      <c r="G2423" s="28" t="n"/>
      <c r="H2423" s="1" t="n"/>
    </row>
    <row r="2424">
      <c r="A2424" s="1" t="n"/>
      <c r="B2424" s="26" t="n"/>
      <c r="C2424" s="27" t="n"/>
      <c r="D2424" s="27" t="n"/>
      <c r="E2424" s="21">
        <f>IF(OR(C2424="",D2424=""),"",ROUND(MOD(D2424-C2424,1)*24,2))</f>
        <v/>
      </c>
      <c r="F2424" s="28" t="n"/>
      <c r="G2424" s="28" t="n"/>
      <c r="H2424" s="1" t="n"/>
    </row>
    <row r="2425">
      <c r="A2425" s="1" t="n"/>
      <c r="B2425" s="26" t="n"/>
      <c r="C2425" s="27" t="n"/>
      <c r="D2425" s="27" t="n"/>
      <c r="E2425" s="21">
        <f>IF(OR(C2425="",D2425=""),"",ROUND(MOD(D2425-C2425,1)*24,2))</f>
        <v/>
      </c>
      <c r="F2425" s="28" t="n"/>
      <c r="G2425" s="28" t="n"/>
      <c r="H2425" s="1" t="n"/>
    </row>
    <row r="2426">
      <c r="A2426" s="1" t="n"/>
      <c r="B2426" s="26" t="n"/>
      <c r="C2426" s="27" t="n"/>
      <c r="D2426" s="27" t="n"/>
      <c r="E2426" s="21">
        <f>IF(OR(C2426="",D2426=""),"",ROUND(MOD(D2426-C2426,1)*24,2))</f>
        <v/>
      </c>
      <c r="F2426" s="28" t="n"/>
      <c r="G2426" s="28" t="n"/>
      <c r="H2426" s="1" t="n"/>
    </row>
    <row r="2427">
      <c r="A2427" s="1" t="n"/>
      <c r="B2427" s="26" t="n"/>
      <c r="C2427" s="27" t="n"/>
      <c r="D2427" s="27" t="n"/>
      <c r="E2427" s="21">
        <f>IF(OR(C2427="",D2427=""),"",ROUND(MOD(D2427-C2427,1)*24,2))</f>
        <v/>
      </c>
      <c r="F2427" s="28" t="n"/>
      <c r="G2427" s="28" t="n"/>
      <c r="H2427" s="1" t="n"/>
    </row>
    <row r="2428">
      <c r="A2428" s="1" t="n"/>
      <c r="B2428" s="26" t="n"/>
      <c r="C2428" s="27" t="n"/>
      <c r="D2428" s="27" t="n"/>
      <c r="E2428" s="21">
        <f>IF(OR(C2428="",D2428=""),"",ROUND(MOD(D2428-C2428,1)*24,2))</f>
        <v/>
      </c>
      <c r="F2428" s="28" t="n"/>
      <c r="G2428" s="28" t="n"/>
      <c r="H2428" s="1" t="n"/>
    </row>
    <row r="2429">
      <c r="A2429" s="1" t="n"/>
      <c r="B2429" s="26" t="n"/>
      <c r="C2429" s="27" t="n"/>
      <c r="D2429" s="27" t="n"/>
      <c r="E2429" s="21">
        <f>IF(OR(C2429="",D2429=""),"",ROUND(MOD(D2429-C2429,1)*24,2))</f>
        <v/>
      </c>
      <c r="F2429" s="28" t="n"/>
      <c r="G2429" s="28" t="n"/>
      <c r="H2429" s="1" t="n"/>
    </row>
    <row r="2430">
      <c r="A2430" s="1" t="n"/>
      <c r="B2430" s="26" t="n"/>
      <c r="C2430" s="27" t="n"/>
      <c r="D2430" s="27" t="n"/>
      <c r="E2430" s="21">
        <f>IF(OR(C2430="",D2430=""),"",ROUND(MOD(D2430-C2430,1)*24,2))</f>
        <v/>
      </c>
      <c r="F2430" s="28" t="n"/>
      <c r="G2430" s="28" t="n"/>
      <c r="H2430" s="1" t="n"/>
    </row>
    <row r="2431">
      <c r="A2431" s="1" t="n"/>
      <c r="B2431" s="26" t="n"/>
      <c r="C2431" s="27" t="n"/>
      <c r="D2431" s="27" t="n"/>
      <c r="E2431" s="21">
        <f>IF(OR(C2431="",D2431=""),"",ROUND(MOD(D2431-C2431,1)*24,2))</f>
        <v/>
      </c>
      <c r="F2431" s="28" t="n"/>
      <c r="G2431" s="28" t="n"/>
      <c r="H2431" s="1" t="n"/>
    </row>
    <row r="2432">
      <c r="A2432" s="1" t="n"/>
      <c r="B2432" s="26" t="n"/>
      <c r="C2432" s="27" t="n"/>
      <c r="D2432" s="27" t="n"/>
      <c r="E2432" s="21">
        <f>IF(OR(C2432="",D2432=""),"",ROUND(MOD(D2432-C2432,1)*24,2))</f>
        <v/>
      </c>
      <c r="F2432" s="28" t="n"/>
      <c r="G2432" s="28" t="n"/>
      <c r="H2432" s="1" t="n"/>
    </row>
    <row r="2433">
      <c r="A2433" s="1" t="n"/>
      <c r="B2433" s="26" t="n"/>
      <c r="C2433" s="27" t="n"/>
      <c r="D2433" s="27" t="n"/>
      <c r="E2433" s="21">
        <f>IF(OR(C2433="",D2433=""),"",ROUND(MOD(D2433-C2433,1)*24,2))</f>
        <v/>
      </c>
      <c r="F2433" s="28" t="n"/>
      <c r="G2433" s="28" t="n"/>
      <c r="H2433" s="1" t="n"/>
    </row>
    <row r="2434">
      <c r="A2434" s="1" t="n"/>
      <c r="B2434" s="26" t="n"/>
      <c r="C2434" s="27" t="n"/>
      <c r="D2434" s="27" t="n"/>
      <c r="E2434" s="21">
        <f>IF(OR(C2434="",D2434=""),"",ROUND(MOD(D2434-C2434,1)*24,2))</f>
        <v/>
      </c>
      <c r="F2434" s="28" t="n"/>
      <c r="G2434" s="28" t="n"/>
      <c r="H2434" s="1" t="n"/>
    </row>
    <row r="2435">
      <c r="A2435" s="1" t="n"/>
      <c r="B2435" s="26" t="n"/>
      <c r="C2435" s="27" t="n"/>
      <c r="D2435" s="27" t="n"/>
      <c r="E2435" s="21">
        <f>IF(OR(C2435="",D2435=""),"",ROUND(MOD(D2435-C2435,1)*24,2))</f>
        <v/>
      </c>
      <c r="F2435" s="28" t="n"/>
      <c r="G2435" s="28" t="n"/>
      <c r="H2435" s="1" t="n"/>
    </row>
    <row r="2436">
      <c r="A2436" s="1" t="n"/>
      <c r="B2436" s="26" t="n"/>
      <c r="C2436" s="27" t="n"/>
      <c r="D2436" s="27" t="n"/>
      <c r="E2436" s="21">
        <f>IF(OR(C2436="",D2436=""),"",ROUND(MOD(D2436-C2436,1)*24,2))</f>
        <v/>
      </c>
      <c r="F2436" s="28" t="n"/>
      <c r="G2436" s="28" t="n"/>
      <c r="H2436" s="1" t="n"/>
    </row>
    <row r="2437">
      <c r="A2437" s="1" t="n"/>
      <c r="B2437" s="26" t="n"/>
      <c r="C2437" s="27" t="n"/>
      <c r="D2437" s="27" t="n"/>
      <c r="E2437" s="21">
        <f>IF(OR(C2437="",D2437=""),"",ROUND(MOD(D2437-C2437,1)*24,2))</f>
        <v/>
      </c>
      <c r="F2437" s="28" t="n"/>
      <c r="G2437" s="28" t="n"/>
      <c r="H2437" s="1" t="n"/>
    </row>
    <row r="2438">
      <c r="A2438" s="1" t="n"/>
      <c r="B2438" s="26" t="n"/>
      <c r="C2438" s="27" t="n"/>
      <c r="D2438" s="27" t="n"/>
      <c r="E2438" s="21">
        <f>IF(OR(C2438="",D2438=""),"",ROUND(MOD(D2438-C2438,1)*24,2))</f>
        <v/>
      </c>
      <c r="F2438" s="28" t="n"/>
      <c r="G2438" s="28" t="n"/>
      <c r="H2438" s="1" t="n"/>
    </row>
    <row r="2439">
      <c r="A2439" s="1" t="n"/>
      <c r="B2439" s="26" t="n"/>
      <c r="C2439" s="27" t="n"/>
      <c r="D2439" s="27" t="n"/>
      <c r="E2439" s="21">
        <f>IF(OR(C2439="",D2439=""),"",ROUND(MOD(D2439-C2439,1)*24,2))</f>
        <v/>
      </c>
      <c r="F2439" s="28" t="n"/>
      <c r="G2439" s="28" t="n"/>
      <c r="H2439" s="1" t="n"/>
    </row>
    <row r="2440">
      <c r="A2440" s="1" t="n"/>
      <c r="B2440" s="26" t="n"/>
      <c r="C2440" s="27" t="n"/>
      <c r="D2440" s="27" t="n"/>
      <c r="E2440" s="21">
        <f>IF(OR(C2440="",D2440=""),"",ROUND(MOD(D2440-C2440,1)*24,2))</f>
        <v/>
      </c>
      <c r="F2440" s="28" t="n"/>
      <c r="G2440" s="28" t="n"/>
      <c r="H2440" s="1" t="n"/>
    </row>
    <row r="2441">
      <c r="A2441" s="1" t="n"/>
      <c r="B2441" s="26" t="n"/>
      <c r="C2441" s="27" t="n"/>
      <c r="D2441" s="27" t="n"/>
      <c r="E2441" s="21">
        <f>IF(OR(C2441="",D2441=""),"",ROUND(MOD(D2441-C2441,1)*24,2))</f>
        <v/>
      </c>
      <c r="F2441" s="28" t="n"/>
      <c r="G2441" s="28" t="n"/>
      <c r="H2441" s="1" t="n"/>
    </row>
    <row r="2442">
      <c r="A2442" s="1" t="n"/>
      <c r="B2442" s="26" t="n"/>
      <c r="C2442" s="27" t="n"/>
      <c r="D2442" s="27" t="n"/>
      <c r="E2442" s="21">
        <f>IF(OR(C2442="",D2442=""),"",ROUND(MOD(D2442-C2442,1)*24,2))</f>
        <v/>
      </c>
      <c r="F2442" s="28" t="n"/>
      <c r="G2442" s="28" t="n"/>
      <c r="H2442" s="1" t="n"/>
    </row>
    <row r="2443">
      <c r="A2443" s="1" t="n"/>
      <c r="B2443" s="26" t="n"/>
      <c r="C2443" s="27" t="n"/>
      <c r="D2443" s="27" t="n"/>
      <c r="E2443" s="21">
        <f>IF(OR(C2443="",D2443=""),"",ROUND(MOD(D2443-C2443,1)*24,2))</f>
        <v/>
      </c>
      <c r="F2443" s="28" t="n"/>
      <c r="G2443" s="28" t="n"/>
      <c r="H2443" s="1" t="n"/>
    </row>
    <row r="2444">
      <c r="A2444" s="1" t="n"/>
      <c r="B2444" s="26" t="n"/>
      <c r="C2444" s="27" t="n"/>
      <c r="D2444" s="27" t="n"/>
      <c r="E2444" s="21">
        <f>IF(OR(C2444="",D2444=""),"",ROUND(MOD(D2444-C2444,1)*24,2))</f>
        <v/>
      </c>
      <c r="F2444" s="28" t="n"/>
      <c r="G2444" s="28" t="n"/>
      <c r="H2444" s="1" t="n"/>
    </row>
    <row r="2445">
      <c r="A2445" s="1" t="n"/>
      <c r="B2445" s="26" t="n"/>
      <c r="C2445" s="27" t="n"/>
      <c r="D2445" s="27" t="n"/>
      <c r="E2445" s="21">
        <f>IF(OR(C2445="",D2445=""),"",ROUND(MOD(D2445-C2445,1)*24,2))</f>
        <v/>
      </c>
      <c r="F2445" s="28" t="n"/>
      <c r="G2445" s="28" t="n"/>
      <c r="H2445" s="1" t="n"/>
    </row>
    <row r="2446">
      <c r="A2446" s="1" t="n"/>
      <c r="B2446" s="26" t="n"/>
      <c r="C2446" s="27" t="n"/>
      <c r="D2446" s="27" t="n"/>
      <c r="E2446" s="21">
        <f>IF(OR(C2446="",D2446=""),"",ROUND(MOD(D2446-C2446,1)*24,2))</f>
        <v/>
      </c>
      <c r="F2446" s="28" t="n"/>
      <c r="G2446" s="28" t="n"/>
      <c r="H2446" s="1" t="n"/>
    </row>
    <row r="2447">
      <c r="A2447" s="1" t="n"/>
      <c r="B2447" s="26" t="n"/>
      <c r="C2447" s="27" t="n"/>
      <c r="D2447" s="27" t="n"/>
      <c r="E2447" s="21">
        <f>IF(OR(C2447="",D2447=""),"",ROUND(MOD(D2447-C2447,1)*24,2))</f>
        <v/>
      </c>
      <c r="F2447" s="28" t="n"/>
      <c r="G2447" s="28" t="n"/>
      <c r="H2447" s="1" t="n"/>
    </row>
    <row r="2448">
      <c r="A2448" s="1" t="n"/>
      <c r="B2448" s="26" t="n"/>
      <c r="C2448" s="27" t="n"/>
      <c r="D2448" s="27" t="n"/>
      <c r="E2448" s="21">
        <f>IF(OR(C2448="",D2448=""),"",ROUND(MOD(D2448-C2448,1)*24,2))</f>
        <v/>
      </c>
      <c r="F2448" s="28" t="n"/>
      <c r="G2448" s="28" t="n"/>
      <c r="H2448" s="1" t="n"/>
    </row>
    <row r="2449">
      <c r="A2449" s="1" t="n"/>
      <c r="B2449" s="26" t="n"/>
      <c r="C2449" s="27" t="n"/>
      <c r="D2449" s="27" t="n"/>
      <c r="E2449" s="21">
        <f>IF(OR(C2449="",D2449=""),"",ROUND(MOD(D2449-C2449,1)*24,2))</f>
        <v/>
      </c>
      <c r="F2449" s="28" t="n"/>
      <c r="G2449" s="28" t="n"/>
      <c r="H2449" s="1" t="n"/>
    </row>
    <row r="2450">
      <c r="A2450" s="1" t="n"/>
      <c r="B2450" s="26" t="n"/>
      <c r="C2450" s="27" t="n"/>
      <c r="D2450" s="27" t="n"/>
      <c r="E2450" s="21">
        <f>IF(OR(C2450="",D2450=""),"",ROUND(MOD(D2450-C2450,1)*24,2))</f>
        <v/>
      </c>
      <c r="F2450" s="28" t="n"/>
      <c r="G2450" s="28" t="n"/>
      <c r="H2450" s="1" t="n"/>
    </row>
    <row r="2451">
      <c r="A2451" s="1" t="n"/>
      <c r="B2451" s="26" t="n"/>
      <c r="C2451" s="27" t="n"/>
      <c r="D2451" s="27" t="n"/>
      <c r="E2451" s="21">
        <f>IF(OR(C2451="",D2451=""),"",ROUND(MOD(D2451-C2451,1)*24,2))</f>
        <v/>
      </c>
      <c r="F2451" s="28" t="n"/>
      <c r="G2451" s="28" t="n"/>
      <c r="H2451" s="1" t="n"/>
    </row>
    <row r="2452">
      <c r="A2452" s="1" t="n"/>
      <c r="B2452" s="26" t="n"/>
      <c r="C2452" s="27" t="n"/>
      <c r="D2452" s="27" t="n"/>
      <c r="E2452" s="21">
        <f>IF(OR(C2452="",D2452=""),"",ROUND(MOD(D2452-C2452,1)*24,2))</f>
        <v/>
      </c>
      <c r="F2452" s="28" t="n"/>
      <c r="G2452" s="28" t="n"/>
      <c r="H2452" s="1" t="n"/>
    </row>
    <row r="2453">
      <c r="A2453" s="1" t="n"/>
      <c r="B2453" s="26" t="n"/>
      <c r="C2453" s="27" t="n"/>
      <c r="D2453" s="27" t="n"/>
      <c r="E2453" s="21">
        <f>IF(OR(C2453="",D2453=""),"",ROUND(MOD(D2453-C2453,1)*24,2))</f>
        <v/>
      </c>
      <c r="F2453" s="28" t="n"/>
      <c r="G2453" s="28" t="n"/>
      <c r="H2453" s="1" t="n"/>
    </row>
    <row r="2454">
      <c r="A2454" s="1" t="n"/>
      <c r="B2454" s="26" t="n"/>
      <c r="C2454" s="27" t="n"/>
      <c r="D2454" s="27" t="n"/>
      <c r="E2454" s="21">
        <f>IF(OR(C2454="",D2454=""),"",ROUND(MOD(D2454-C2454,1)*24,2))</f>
        <v/>
      </c>
      <c r="F2454" s="28" t="n"/>
      <c r="G2454" s="28" t="n"/>
      <c r="H2454" s="1" t="n"/>
    </row>
    <row r="2455">
      <c r="A2455" s="1" t="n"/>
      <c r="B2455" s="26" t="n"/>
      <c r="C2455" s="27" t="n"/>
      <c r="D2455" s="27" t="n"/>
      <c r="E2455" s="21">
        <f>IF(OR(C2455="",D2455=""),"",ROUND(MOD(D2455-C2455,1)*24,2))</f>
        <v/>
      </c>
      <c r="F2455" s="28" t="n"/>
      <c r="G2455" s="28" t="n"/>
      <c r="H2455" s="1" t="n"/>
    </row>
    <row r="2456">
      <c r="A2456" s="1" t="n"/>
      <c r="B2456" s="26" t="n"/>
      <c r="C2456" s="27" t="n"/>
      <c r="D2456" s="27" t="n"/>
      <c r="E2456" s="21">
        <f>IF(OR(C2456="",D2456=""),"",ROUND(MOD(D2456-C2456,1)*24,2))</f>
        <v/>
      </c>
      <c r="F2456" s="28" t="n"/>
      <c r="G2456" s="28" t="n"/>
      <c r="H2456" s="1" t="n"/>
    </row>
    <row r="2457">
      <c r="A2457" s="1" t="n"/>
      <c r="B2457" s="26" t="n"/>
      <c r="C2457" s="27" t="n"/>
      <c r="D2457" s="27" t="n"/>
      <c r="E2457" s="21">
        <f>IF(OR(C2457="",D2457=""),"",ROUND(MOD(D2457-C2457,1)*24,2))</f>
        <v/>
      </c>
      <c r="F2457" s="28" t="n"/>
      <c r="G2457" s="28" t="n"/>
      <c r="H2457" s="1" t="n"/>
    </row>
    <row r="2458">
      <c r="A2458" s="1" t="n"/>
      <c r="B2458" s="26" t="n"/>
      <c r="C2458" s="27" t="n"/>
      <c r="D2458" s="27" t="n"/>
      <c r="E2458" s="21">
        <f>IF(OR(C2458="",D2458=""),"",ROUND(MOD(D2458-C2458,1)*24,2))</f>
        <v/>
      </c>
      <c r="F2458" s="28" t="n"/>
      <c r="G2458" s="28" t="n"/>
      <c r="H2458" s="1" t="n"/>
    </row>
    <row r="2459">
      <c r="A2459" s="1" t="n"/>
      <c r="B2459" s="26" t="n"/>
      <c r="C2459" s="27" t="n"/>
      <c r="D2459" s="27" t="n"/>
      <c r="E2459" s="21">
        <f>IF(OR(C2459="",D2459=""),"",ROUND(MOD(D2459-C2459,1)*24,2))</f>
        <v/>
      </c>
      <c r="F2459" s="28" t="n"/>
      <c r="G2459" s="28" t="n"/>
      <c r="H2459" s="1" t="n"/>
    </row>
    <row r="2460">
      <c r="A2460" s="1" t="n"/>
      <c r="B2460" s="26" t="n"/>
      <c r="C2460" s="27" t="n"/>
      <c r="D2460" s="27" t="n"/>
      <c r="E2460" s="21">
        <f>IF(OR(C2460="",D2460=""),"",ROUND(MOD(D2460-C2460,1)*24,2))</f>
        <v/>
      </c>
      <c r="F2460" s="28" t="n"/>
      <c r="G2460" s="28" t="n"/>
      <c r="H2460" s="1" t="n"/>
    </row>
    <row r="2461">
      <c r="A2461" s="1" t="n"/>
      <c r="B2461" s="26" t="n"/>
      <c r="C2461" s="27" t="n"/>
      <c r="D2461" s="27" t="n"/>
      <c r="E2461" s="21">
        <f>IF(OR(C2461="",D2461=""),"",ROUND(MOD(D2461-C2461,1)*24,2))</f>
        <v/>
      </c>
      <c r="F2461" s="28" t="n"/>
      <c r="G2461" s="28" t="n"/>
      <c r="H2461" s="1" t="n"/>
    </row>
    <row r="2462">
      <c r="A2462" s="1" t="n"/>
      <c r="B2462" s="26" t="n"/>
      <c r="C2462" s="27" t="n"/>
      <c r="D2462" s="27" t="n"/>
      <c r="E2462" s="21">
        <f>IF(OR(C2462="",D2462=""),"",ROUND(MOD(D2462-C2462,1)*24,2))</f>
        <v/>
      </c>
      <c r="F2462" s="28" t="n"/>
      <c r="G2462" s="28" t="n"/>
      <c r="H2462" s="1" t="n"/>
    </row>
    <row r="2463">
      <c r="A2463" s="1" t="n"/>
      <c r="B2463" s="26" t="n"/>
      <c r="C2463" s="27" t="n"/>
      <c r="D2463" s="27" t="n"/>
      <c r="E2463" s="21">
        <f>IF(OR(C2463="",D2463=""),"",ROUND(MOD(D2463-C2463,1)*24,2))</f>
        <v/>
      </c>
      <c r="F2463" s="28" t="n"/>
      <c r="G2463" s="28" t="n"/>
      <c r="H2463" s="1" t="n"/>
    </row>
    <row r="2464">
      <c r="A2464" s="1" t="n"/>
      <c r="B2464" s="26" t="n"/>
      <c r="C2464" s="27" t="n"/>
      <c r="D2464" s="27" t="n"/>
      <c r="E2464" s="21">
        <f>IF(OR(C2464="",D2464=""),"",ROUND(MOD(D2464-C2464,1)*24,2))</f>
        <v/>
      </c>
      <c r="F2464" s="28" t="n"/>
      <c r="G2464" s="28" t="n"/>
      <c r="H2464" s="1" t="n"/>
    </row>
    <row r="2465">
      <c r="A2465" s="1" t="n"/>
      <c r="B2465" s="26" t="n"/>
      <c r="C2465" s="27" t="n"/>
      <c r="D2465" s="27" t="n"/>
      <c r="E2465" s="21">
        <f>IF(OR(C2465="",D2465=""),"",ROUND(MOD(D2465-C2465,1)*24,2))</f>
        <v/>
      </c>
      <c r="F2465" s="28" t="n"/>
      <c r="G2465" s="28" t="n"/>
      <c r="H2465" s="1" t="n"/>
    </row>
    <row r="2466">
      <c r="A2466" s="1" t="n"/>
      <c r="B2466" s="26" t="n"/>
      <c r="C2466" s="27" t="n"/>
      <c r="D2466" s="27" t="n"/>
      <c r="E2466" s="21">
        <f>IF(OR(C2466="",D2466=""),"",ROUND(MOD(D2466-C2466,1)*24,2))</f>
        <v/>
      </c>
      <c r="F2466" s="28" t="n"/>
      <c r="G2466" s="28" t="n"/>
      <c r="H2466" s="1" t="n"/>
    </row>
    <row r="2467">
      <c r="A2467" s="1" t="n"/>
      <c r="B2467" s="26" t="n"/>
      <c r="C2467" s="27" t="n"/>
      <c r="D2467" s="27" t="n"/>
      <c r="E2467" s="21">
        <f>IF(OR(C2467="",D2467=""),"",ROUND(MOD(D2467-C2467,1)*24,2))</f>
        <v/>
      </c>
      <c r="F2467" s="28" t="n"/>
      <c r="G2467" s="28" t="n"/>
      <c r="H2467" s="1" t="n"/>
    </row>
    <row r="2468">
      <c r="A2468" s="1" t="n"/>
      <c r="B2468" s="26" t="n"/>
      <c r="C2468" s="27" t="n"/>
      <c r="D2468" s="27" t="n"/>
      <c r="E2468" s="21">
        <f>IF(OR(C2468="",D2468=""),"",ROUND(MOD(D2468-C2468,1)*24,2))</f>
        <v/>
      </c>
      <c r="F2468" s="28" t="n"/>
      <c r="G2468" s="28" t="n"/>
      <c r="H2468" s="1" t="n"/>
    </row>
    <row r="2469">
      <c r="A2469" s="1" t="n"/>
      <c r="B2469" s="26" t="n"/>
      <c r="C2469" s="27" t="n"/>
      <c r="D2469" s="27" t="n"/>
      <c r="E2469" s="21">
        <f>IF(OR(C2469="",D2469=""),"",ROUND(MOD(D2469-C2469,1)*24,2))</f>
        <v/>
      </c>
      <c r="F2469" s="28" t="n"/>
      <c r="G2469" s="28" t="n"/>
      <c r="H2469" s="1" t="n"/>
    </row>
    <row r="2470">
      <c r="A2470" s="1" t="n"/>
      <c r="B2470" s="26" t="n"/>
      <c r="C2470" s="27" t="n"/>
      <c r="D2470" s="27" t="n"/>
      <c r="E2470" s="21">
        <f>IF(OR(C2470="",D2470=""),"",ROUND(MOD(D2470-C2470,1)*24,2))</f>
        <v/>
      </c>
      <c r="F2470" s="28" t="n"/>
      <c r="G2470" s="28" t="n"/>
      <c r="H2470" s="1" t="n"/>
    </row>
    <row r="2471">
      <c r="A2471" s="1" t="n"/>
      <c r="B2471" s="26" t="n"/>
      <c r="C2471" s="27" t="n"/>
      <c r="D2471" s="27" t="n"/>
      <c r="E2471" s="21">
        <f>IF(OR(C2471="",D2471=""),"",ROUND(MOD(D2471-C2471,1)*24,2))</f>
        <v/>
      </c>
      <c r="F2471" s="28" t="n"/>
      <c r="G2471" s="28" t="n"/>
      <c r="H2471" s="1" t="n"/>
    </row>
    <row r="2472">
      <c r="A2472" s="1" t="n"/>
      <c r="B2472" s="26" t="n"/>
      <c r="C2472" s="27" t="n"/>
      <c r="D2472" s="27" t="n"/>
      <c r="E2472" s="21">
        <f>IF(OR(C2472="",D2472=""),"",ROUND(MOD(D2472-C2472,1)*24,2))</f>
        <v/>
      </c>
      <c r="F2472" s="28" t="n"/>
      <c r="G2472" s="28" t="n"/>
      <c r="H2472" s="1" t="n"/>
    </row>
    <row r="2473">
      <c r="A2473" s="1" t="n"/>
      <c r="B2473" s="26" t="n"/>
      <c r="C2473" s="27" t="n"/>
      <c r="D2473" s="27" t="n"/>
      <c r="E2473" s="21">
        <f>IF(OR(C2473="",D2473=""),"",ROUND(MOD(D2473-C2473,1)*24,2))</f>
        <v/>
      </c>
      <c r="F2473" s="28" t="n"/>
      <c r="G2473" s="28" t="n"/>
      <c r="H2473" s="1" t="n"/>
    </row>
    <row r="2474">
      <c r="A2474" s="1" t="n"/>
      <c r="B2474" s="26" t="n"/>
      <c r="C2474" s="27" t="n"/>
      <c r="D2474" s="27" t="n"/>
      <c r="E2474" s="21">
        <f>IF(OR(C2474="",D2474=""),"",ROUND(MOD(D2474-C2474,1)*24,2))</f>
        <v/>
      </c>
      <c r="F2474" s="28" t="n"/>
      <c r="G2474" s="28" t="n"/>
      <c r="H2474" s="1" t="n"/>
    </row>
    <row r="2475">
      <c r="A2475" s="1" t="n"/>
      <c r="B2475" s="26" t="n"/>
      <c r="C2475" s="27" t="n"/>
      <c r="D2475" s="27" t="n"/>
      <c r="E2475" s="21">
        <f>IF(OR(C2475="",D2475=""),"",ROUND(MOD(D2475-C2475,1)*24,2))</f>
        <v/>
      </c>
      <c r="F2475" s="28" t="n"/>
      <c r="G2475" s="28" t="n"/>
      <c r="H2475" s="1" t="n"/>
    </row>
    <row r="2476">
      <c r="A2476" s="1" t="n"/>
      <c r="B2476" s="26" t="n"/>
      <c r="C2476" s="27" t="n"/>
      <c r="D2476" s="27" t="n"/>
      <c r="E2476" s="21">
        <f>IF(OR(C2476="",D2476=""),"",ROUND(MOD(D2476-C2476,1)*24,2))</f>
        <v/>
      </c>
      <c r="F2476" s="28" t="n"/>
      <c r="G2476" s="28" t="n"/>
      <c r="H2476" s="1" t="n"/>
    </row>
    <row r="2477">
      <c r="A2477" s="1" t="n"/>
      <c r="B2477" s="26" t="n"/>
      <c r="C2477" s="27" t="n"/>
      <c r="D2477" s="27" t="n"/>
      <c r="E2477" s="21">
        <f>IF(OR(C2477="",D2477=""),"",ROUND(MOD(D2477-C2477,1)*24,2))</f>
        <v/>
      </c>
      <c r="F2477" s="28" t="n"/>
      <c r="G2477" s="28" t="n"/>
      <c r="H2477" s="1" t="n"/>
    </row>
    <row r="2478">
      <c r="A2478" s="1" t="n"/>
      <c r="B2478" s="26" t="n"/>
      <c r="C2478" s="27" t="n"/>
      <c r="D2478" s="27" t="n"/>
      <c r="E2478" s="21">
        <f>IF(OR(C2478="",D2478=""),"",ROUND(MOD(D2478-C2478,1)*24,2))</f>
        <v/>
      </c>
      <c r="F2478" s="28" t="n"/>
      <c r="G2478" s="28" t="n"/>
      <c r="H2478" s="1" t="n"/>
    </row>
    <row r="2479">
      <c r="A2479" s="1" t="n"/>
      <c r="B2479" s="26" t="n"/>
      <c r="C2479" s="27" t="n"/>
      <c r="D2479" s="27" t="n"/>
      <c r="E2479" s="21">
        <f>IF(OR(C2479="",D2479=""),"",ROUND(MOD(D2479-C2479,1)*24,2))</f>
        <v/>
      </c>
      <c r="F2479" s="28" t="n"/>
      <c r="G2479" s="28" t="n"/>
      <c r="H2479" s="1" t="n"/>
    </row>
    <row r="2480">
      <c r="A2480" s="1" t="n"/>
      <c r="B2480" s="26" t="n"/>
      <c r="C2480" s="27" t="n"/>
      <c r="D2480" s="27" t="n"/>
      <c r="E2480" s="21">
        <f>IF(OR(C2480="",D2480=""),"",ROUND(MOD(D2480-C2480,1)*24,2))</f>
        <v/>
      </c>
      <c r="F2480" s="28" t="n"/>
      <c r="G2480" s="28" t="n"/>
      <c r="H2480" s="1" t="n"/>
    </row>
    <row r="2481">
      <c r="A2481" s="1" t="n"/>
      <c r="B2481" s="26" t="n"/>
      <c r="C2481" s="27" t="n"/>
      <c r="D2481" s="27" t="n"/>
      <c r="E2481" s="21">
        <f>IF(OR(C2481="",D2481=""),"",ROUND(MOD(D2481-C2481,1)*24,2))</f>
        <v/>
      </c>
      <c r="F2481" s="28" t="n"/>
      <c r="G2481" s="28" t="n"/>
      <c r="H2481" s="1" t="n"/>
    </row>
    <row r="2482">
      <c r="A2482" s="1" t="n"/>
      <c r="B2482" s="26" t="n"/>
      <c r="C2482" s="27" t="n"/>
      <c r="D2482" s="27" t="n"/>
      <c r="E2482" s="21">
        <f>IF(OR(C2482="",D2482=""),"",ROUND(MOD(D2482-C2482,1)*24,2))</f>
        <v/>
      </c>
      <c r="F2482" s="28" t="n"/>
      <c r="G2482" s="28" t="n"/>
      <c r="H2482" s="1" t="n"/>
    </row>
    <row r="2483">
      <c r="A2483" s="1" t="n"/>
      <c r="B2483" s="26" t="n"/>
      <c r="C2483" s="27" t="n"/>
      <c r="D2483" s="27" t="n"/>
      <c r="E2483" s="21">
        <f>IF(OR(C2483="",D2483=""),"",ROUND(MOD(D2483-C2483,1)*24,2))</f>
        <v/>
      </c>
      <c r="F2483" s="28" t="n"/>
      <c r="G2483" s="28" t="n"/>
      <c r="H2483" s="1" t="n"/>
    </row>
    <row r="2484">
      <c r="A2484" s="1" t="n"/>
      <c r="B2484" s="26" t="n"/>
      <c r="C2484" s="27" t="n"/>
      <c r="D2484" s="27" t="n"/>
      <c r="E2484" s="21">
        <f>IF(OR(C2484="",D2484=""),"",ROUND(MOD(D2484-C2484,1)*24,2))</f>
        <v/>
      </c>
      <c r="F2484" s="28" t="n"/>
      <c r="G2484" s="28" t="n"/>
      <c r="H2484" s="1" t="n"/>
    </row>
    <row r="2485">
      <c r="A2485" s="1" t="n"/>
      <c r="B2485" s="26" t="n"/>
      <c r="C2485" s="27" t="n"/>
      <c r="D2485" s="27" t="n"/>
      <c r="E2485" s="21">
        <f>IF(OR(C2485="",D2485=""),"",ROUND(MOD(D2485-C2485,1)*24,2))</f>
        <v/>
      </c>
      <c r="F2485" s="28" t="n"/>
      <c r="G2485" s="28" t="n"/>
      <c r="H2485" s="1" t="n"/>
    </row>
    <row r="2486">
      <c r="A2486" s="1" t="n"/>
      <c r="B2486" s="26" t="n"/>
      <c r="C2486" s="27" t="n"/>
      <c r="D2486" s="27" t="n"/>
      <c r="E2486" s="21">
        <f>IF(OR(C2486="",D2486=""),"",ROUND(MOD(D2486-C2486,1)*24,2))</f>
        <v/>
      </c>
      <c r="F2486" s="28" t="n"/>
      <c r="G2486" s="28" t="n"/>
      <c r="H2486" s="1" t="n"/>
    </row>
    <row r="2487">
      <c r="A2487" s="1" t="n"/>
      <c r="B2487" s="26" t="n"/>
      <c r="C2487" s="27" t="n"/>
      <c r="D2487" s="27" t="n"/>
      <c r="E2487" s="21">
        <f>IF(OR(C2487="",D2487=""),"",ROUND(MOD(D2487-C2487,1)*24,2))</f>
        <v/>
      </c>
      <c r="F2487" s="28" t="n"/>
      <c r="G2487" s="28" t="n"/>
      <c r="H2487" s="1" t="n"/>
    </row>
    <row r="2488">
      <c r="A2488" s="1" t="n"/>
      <c r="B2488" s="26" t="n"/>
      <c r="C2488" s="27" t="n"/>
      <c r="D2488" s="27" t="n"/>
      <c r="E2488" s="21">
        <f>IF(OR(C2488="",D2488=""),"",ROUND(MOD(D2488-C2488,1)*24,2))</f>
        <v/>
      </c>
      <c r="F2488" s="28" t="n"/>
      <c r="G2488" s="28" t="n"/>
      <c r="H2488" s="1" t="n"/>
    </row>
    <row r="2489">
      <c r="A2489" s="1" t="n"/>
      <c r="B2489" s="26" t="n"/>
      <c r="C2489" s="27" t="n"/>
      <c r="D2489" s="27" t="n"/>
      <c r="E2489" s="21">
        <f>IF(OR(C2489="",D2489=""),"",ROUND(MOD(D2489-C2489,1)*24,2))</f>
        <v/>
      </c>
      <c r="F2489" s="28" t="n"/>
      <c r="G2489" s="28" t="n"/>
      <c r="H2489" s="1" t="n"/>
    </row>
    <row r="2490">
      <c r="A2490" s="1" t="n"/>
      <c r="B2490" s="26" t="n"/>
      <c r="C2490" s="27" t="n"/>
      <c r="D2490" s="27" t="n"/>
      <c r="E2490" s="21">
        <f>IF(OR(C2490="",D2490=""),"",ROUND(MOD(D2490-C2490,1)*24,2))</f>
        <v/>
      </c>
      <c r="F2490" s="28" t="n"/>
      <c r="G2490" s="28" t="n"/>
      <c r="H2490" s="1" t="n"/>
    </row>
    <row r="2491">
      <c r="A2491" s="1" t="n"/>
      <c r="B2491" s="26" t="n"/>
      <c r="C2491" s="27" t="n"/>
      <c r="D2491" s="27" t="n"/>
      <c r="E2491" s="21">
        <f>IF(OR(C2491="",D2491=""),"",ROUND(MOD(D2491-C2491,1)*24,2))</f>
        <v/>
      </c>
      <c r="F2491" s="28" t="n"/>
      <c r="G2491" s="28" t="n"/>
      <c r="H2491" s="1" t="n"/>
    </row>
    <row r="2492">
      <c r="A2492" s="1" t="n"/>
      <c r="B2492" s="26" t="n"/>
      <c r="C2492" s="27" t="n"/>
      <c r="D2492" s="27" t="n"/>
      <c r="E2492" s="21">
        <f>IF(OR(C2492="",D2492=""),"",ROUND(MOD(D2492-C2492,1)*24,2))</f>
        <v/>
      </c>
      <c r="F2492" s="28" t="n"/>
      <c r="G2492" s="28" t="n"/>
      <c r="H2492" s="1" t="n"/>
    </row>
    <row r="2493">
      <c r="A2493" s="1" t="n"/>
      <c r="B2493" s="26" t="n"/>
      <c r="C2493" s="27" t="n"/>
      <c r="D2493" s="27" t="n"/>
      <c r="E2493" s="21">
        <f>IF(OR(C2493="",D2493=""),"",ROUND(MOD(D2493-C2493,1)*24,2))</f>
        <v/>
      </c>
      <c r="F2493" s="28" t="n"/>
      <c r="G2493" s="28" t="n"/>
      <c r="H2493" s="1" t="n"/>
    </row>
    <row r="2494">
      <c r="A2494" s="1" t="n"/>
      <c r="B2494" s="26" t="n"/>
      <c r="C2494" s="27" t="n"/>
      <c r="D2494" s="27" t="n"/>
      <c r="E2494" s="21">
        <f>IF(OR(C2494="",D2494=""),"",ROUND(MOD(D2494-C2494,1)*24,2))</f>
        <v/>
      </c>
      <c r="F2494" s="28" t="n"/>
      <c r="G2494" s="28" t="n"/>
      <c r="H2494" s="1" t="n"/>
    </row>
    <row r="2495">
      <c r="A2495" s="1" t="n"/>
      <c r="B2495" s="26" t="n"/>
      <c r="C2495" s="27" t="n"/>
      <c r="D2495" s="27" t="n"/>
      <c r="E2495" s="21">
        <f>IF(OR(C2495="",D2495=""),"",ROUND(MOD(D2495-C2495,1)*24,2))</f>
        <v/>
      </c>
      <c r="F2495" s="28" t="n"/>
      <c r="G2495" s="28" t="n"/>
      <c r="H2495" s="1" t="n"/>
    </row>
    <row r="2496">
      <c r="A2496" s="1" t="n"/>
      <c r="B2496" s="26" t="n"/>
      <c r="C2496" s="27" t="n"/>
      <c r="D2496" s="27" t="n"/>
      <c r="E2496" s="21">
        <f>IF(OR(C2496="",D2496=""),"",ROUND(MOD(D2496-C2496,1)*24,2))</f>
        <v/>
      </c>
      <c r="F2496" s="28" t="n"/>
      <c r="G2496" s="28" t="n"/>
      <c r="H2496" s="1" t="n"/>
    </row>
    <row r="2497">
      <c r="A2497" s="1" t="n"/>
      <c r="B2497" s="26" t="n"/>
      <c r="C2497" s="27" t="n"/>
      <c r="D2497" s="27" t="n"/>
      <c r="E2497" s="21">
        <f>IF(OR(C2497="",D2497=""),"",ROUND(MOD(D2497-C2497,1)*24,2))</f>
        <v/>
      </c>
      <c r="F2497" s="28" t="n"/>
      <c r="G2497" s="28" t="n"/>
      <c r="H2497" s="1" t="n"/>
    </row>
    <row r="2498">
      <c r="A2498" s="1" t="n"/>
      <c r="B2498" s="26" t="n"/>
      <c r="C2498" s="27" t="n"/>
      <c r="D2498" s="27" t="n"/>
      <c r="E2498" s="21">
        <f>IF(OR(C2498="",D2498=""),"",ROUND(MOD(D2498-C2498,1)*24,2))</f>
        <v/>
      </c>
      <c r="F2498" s="28" t="n"/>
      <c r="G2498" s="28" t="n"/>
      <c r="H2498" s="1" t="n"/>
    </row>
    <row r="2499">
      <c r="A2499" s="1" t="n"/>
      <c r="B2499" s="26" t="n"/>
      <c r="C2499" s="27" t="n"/>
      <c r="D2499" s="27" t="n"/>
      <c r="E2499" s="21">
        <f>IF(OR(C2499="",D2499=""),"",ROUND(MOD(D2499-C2499,1)*24,2))</f>
        <v/>
      </c>
      <c r="F2499" s="28" t="n"/>
      <c r="G2499" s="28" t="n"/>
      <c r="H2499" s="1" t="n"/>
    </row>
    <row r="2500">
      <c r="A2500" s="1" t="n"/>
      <c r="B2500" s="26" t="n"/>
      <c r="C2500" s="27" t="n"/>
      <c r="D2500" s="27" t="n"/>
      <c r="E2500" s="21">
        <f>IF(OR(C2500="",D2500=""),"",ROUND(MOD(D2500-C2500,1)*24,2))</f>
        <v/>
      </c>
      <c r="F2500" s="28" t="n"/>
      <c r="G2500" s="28" t="n"/>
      <c r="H2500" s="1" t="n"/>
    </row>
    <row r="2501">
      <c r="A2501" s="1" t="n"/>
      <c r="B2501" s="26" t="n"/>
      <c r="C2501" s="27" t="n"/>
      <c r="D2501" s="27" t="n"/>
      <c r="E2501" s="21">
        <f>IF(OR(C2501="",D2501=""),"",ROUND(MOD(D2501-C2501,1)*24,2))</f>
        <v/>
      </c>
      <c r="F2501" s="28" t="n"/>
      <c r="G2501" s="28" t="n"/>
      <c r="H2501" s="1" t="n"/>
    </row>
    <row r="2502">
      <c r="A2502" s="1" t="n"/>
      <c r="B2502" s="26" t="n"/>
      <c r="C2502" s="27" t="n"/>
      <c r="D2502" s="27" t="n"/>
      <c r="E2502" s="21">
        <f>IF(OR(C2502="",D2502=""),"",ROUND(MOD(D2502-C2502,1)*24,2))</f>
        <v/>
      </c>
      <c r="F2502" s="28" t="n"/>
      <c r="G2502" s="28" t="n"/>
      <c r="H2502" s="1" t="n"/>
    </row>
    <row r="2503">
      <c r="A2503" s="1" t="n"/>
      <c r="B2503" s="26" t="n"/>
      <c r="C2503" s="27" t="n"/>
      <c r="D2503" s="27" t="n"/>
      <c r="E2503" s="21">
        <f>IF(OR(C2503="",D2503=""),"",ROUND(MOD(D2503-C2503,1)*24,2))</f>
        <v/>
      </c>
      <c r="F2503" s="28" t="n"/>
      <c r="G2503" s="28" t="n"/>
      <c r="H2503" s="1" t="n"/>
    </row>
    <row r="2504">
      <c r="A2504" s="1" t="n"/>
      <c r="B2504" s="26" t="n"/>
      <c r="C2504" s="27" t="n"/>
      <c r="D2504" s="27" t="n"/>
      <c r="E2504" s="21">
        <f>IF(OR(C2504="",D2504=""),"",ROUND(MOD(D2504-C2504,1)*24,2))</f>
        <v/>
      </c>
      <c r="F2504" s="28" t="n"/>
      <c r="G2504" s="28" t="n"/>
      <c r="H2504" s="1" t="n"/>
    </row>
    <row r="2505">
      <c r="A2505" s="1" t="n"/>
      <c r="B2505" s="26" t="n"/>
      <c r="C2505" s="27" t="n"/>
      <c r="D2505" s="27" t="n"/>
      <c r="E2505" s="21">
        <f>IF(OR(C2505="",D2505=""),"",ROUND(MOD(D2505-C2505,1)*24,2))</f>
        <v/>
      </c>
      <c r="F2505" s="28" t="n"/>
      <c r="G2505" s="28" t="n"/>
      <c r="H2505" s="1" t="n"/>
    </row>
    <row r="2506">
      <c r="A2506" s="1" t="n"/>
      <c r="B2506" s="1" t="n"/>
      <c r="C2506" s="1" t="n"/>
      <c r="D2506" s="1" t="n"/>
      <c r="E2506" s="1" t="n"/>
      <c r="F2506" s="1" t="n"/>
      <c r="G2506" s="1" t="n"/>
      <c r="H2506" s="1" t="n"/>
    </row>
  </sheetData>
  <dataValidations count="1">
    <dataValidation sqref="F6:F2505" showDropDown="0" showInputMessage="0" showErrorMessage="0" allowBlank="1" type="list">
      <formula1>"Cot,Pram,Car seat,Arms,Our bed,Other"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00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9" customWidth="1" min="3" max="3"/>
    <col width="8" customWidth="1" min="4" max="4"/>
    <col width="8" customWidth="1" min="5" max="5"/>
    <col width="30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2" customHeight="1">
      <c r="A2" s="1" t="n"/>
      <c r="B2" s="2" t="inlineStr">
        <is>
          <t>Nappies</t>
        </is>
      </c>
      <c r="C2" s="1" t="n"/>
      <c r="D2" s="1" t="n"/>
      <c r="E2" s="1" t="n"/>
      <c r="F2" s="1" t="n"/>
      <c r="G2" s="1" t="n"/>
    </row>
    <row r="3">
      <c r="A3" s="1" t="n"/>
      <c r="B3" s="3" t="inlineStr">
        <is>
          <t>One line per change. Put an x under Wet, Dirty or both.</t>
        </is>
      </c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 ht="30" customHeight="1">
      <c r="A5" s="1" t="n"/>
      <c r="B5" s="14" t="inlineStr">
        <is>
          <t>Date</t>
        </is>
      </c>
      <c r="C5" s="14" t="inlineStr">
        <is>
          <t>Time</t>
        </is>
      </c>
      <c r="D5" s="14" t="inlineStr">
        <is>
          <t>Wet</t>
        </is>
      </c>
      <c r="E5" s="14" t="inlineStr">
        <is>
          <t>Dirty</t>
        </is>
      </c>
      <c r="F5" s="14" t="inlineStr">
        <is>
          <t>Notes</t>
        </is>
      </c>
      <c r="G5" s="1" t="n"/>
    </row>
    <row r="6">
      <c r="A6" s="1" t="n"/>
      <c r="B6" s="26" t="n">
        <v>46284</v>
      </c>
      <c r="C6" s="27" t="n">
        <v>0.05555555555555555</v>
      </c>
      <c r="D6" s="30" t="inlineStr">
        <is>
          <t>x</t>
        </is>
      </c>
      <c r="E6" s="30" t="n"/>
      <c r="F6" s="28" t="n"/>
      <c r="G6" s="1" t="n"/>
    </row>
    <row r="7">
      <c r="A7" s="1" t="n"/>
      <c r="B7" s="26" t="n">
        <v>46284</v>
      </c>
      <c r="C7" s="27" t="n">
        <v>0.1875</v>
      </c>
      <c r="D7" s="30" t="inlineStr">
        <is>
          <t>x</t>
        </is>
      </c>
      <c r="E7" s="30" t="n"/>
      <c r="F7" s="28" t="n"/>
      <c r="G7" s="1" t="n"/>
    </row>
    <row r="8">
      <c r="A8" s="1" t="n"/>
      <c r="B8" s="26" t="n">
        <v>46284</v>
      </c>
      <c r="C8" s="27" t="n">
        <v>0.3125</v>
      </c>
      <c r="D8" s="30" t="inlineStr">
        <is>
          <t>x</t>
        </is>
      </c>
      <c r="E8" s="30" t="inlineStr">
        <is>
          <t>x</t>
        </is>
      </c>
      <c r="F8" s="28" t="n"/>
      <c r="G8" s="1" t="n"/>
    </row>
    <row r="9">
      <c r="A9" s="1" t="n"/>
      <c r="B9" s="26" t="n">
        <v>46284</v>
      </c>
      <c r="C9" s="27" t="n">
        <v>0.4444444444444444</v>
      </c>
      <c r="D9" s="30" t="inlineStr">
        <is>
          <t>x</t>
        </is>
      </c>
      <c r="E9" s="30" t="n"/>
      <c r="F9" s="28" t="n"/>
      <c r="G9" s="1" t="n"/>
    </row>
    <row r="10">
      <c r="A10" s="1" t="n"/>
      <c r="B10" s="26" t="n">
        <v>46284</v>
      </c>
      <c r="C10" s="27" t="n">
        <v>0.5763888888888888</v>
      </c>
      <c r="D10" s="30" t="inlineStr">
        <is>
          <t>x</t>
        </is>
      </c>
      <c r="E10" s="30" t="n"/>
      <c r="F10" s="28" t="n"/>
      <c r="G10" s="1" t="n"/>
    </row>
    <row r="11">
      <c r="A11" s="1" t="n"/>
      <c r="B11" s="26" t="n">
        <v>46284</v>
      </c>
      <c r="C11" s="27" t="n">
        <v>0.6979166666666666</v>
      </c>
      <c r="D11" s="30" t="inlineStr">
        <is>
          <t>x</t>
        </is>
      </c>
      <c r="E11" s="30" t="inlineStr">
        <is>
          <t>x</t>
        </is>
      </c>
      <c r="F11" s="28" t="n"/>
      <c r="G11" s="1" t="n"/>
    </row>
    <row r="12">
      <c r="A12" s="1" t="n"/>
      <c r="B12" s="26" t="n">
        <v>46284</v>
      </c>
      <c r="C12" s="27" t="n">
        <v>0.8472222222222222</v>
      </c>
      <c r="D12" s="30" t="inlineStr">
        <is>
          <t>x</t>
        </is>
      </c>
      <c r="E12" s="30" t="n"/>
      <c r="F12" s="28" t="n"/>
      <c r="G12" s="1" t="n"/>
    </row>
    <row r="13">
      <c r="A13" s="1" t="n"/>
      <c r="B13" s="26" t="n">
        <v>46285</v>
      </c>
      <c r="C13" s="27" t="n">
        <v>0.05208333333333334</v>
      </c>
      <c r="D13" s="30" t="inlineStr">
        <is>
          <t>x</t>
        </is>
      </c>
      <c r="E13" s="30" t="inlineStr">
        <is>
          <t>x</t>
        </is>
      </c>
      <c r="F13" s="28" t="n"/>
      <c r="G13" s="1" t="n"/>
    </row>
    <row r="14">
      <c r="A14" s="1" t="n"/>
      <c r="B14" s="26" t="n">
        <v>46285</v>
      </c>
      <c r="C14" s="27" t="n">
        <v>0.1909722222222222</v>
      </c>
      <c r="D14" s="30" t="inlineStr">
        <is>
          <t>x</t>
        </is>
      </c>
      <c r="E14" s="30" t="n"/>
      <c r="F14" s="28" t="n"/>
      <c r="G14" s="1" t="n"/>
    </row>
    <row r="15">
      <c r="A15" s="1" t="n"/>
      <c r="B15" s="26" t="n">
        <v>46285</v>
      </c>
      <c r="C15" s="27" t="n">
        <v>0.2986111111111111</v>
      </c>
      <c r="D15" s="30" t="inlineStr">
        <is>
          <t>x</t>
        </is>
      </c>
      <c r="E15" s="30" t="inlineStr">
        <is>
          <t>x</t>
        </is>
      </c>
      <c r="F15" s="28" t="n"/>
      <c r="G15" s="1" t="n"/>
    </row>
    <row r="16">
      <c r="A16" s="1" t="n"/>
      <c r="B16" s="26" t="n">
        <v>46285</v>
      </c>
      <c r="C16" s="27" t="n">
        <v>0.4270833333333333</v>
      </c>
      <c r="D16" s="30" t="inlineStr">
        <is>
          <t>x</t>
        </is>
      </c>
      <c r="E16" s="30" t="n"/>
      <c r="F16" s="28" t="n"/>
      <c r="G16" s="1" t="n"/>
    </row>
    <row r="17">
      <c r="A17" s="1" t="n"/>
      <c r="B17" s="26" t="n">
        <v>46285</v>
      </c>
      <c r="C17" s="27" t="n">
        <v>0.5659722222222222</v>
      </c>
      <c r="D17" s="30" t="inlineStr">
        <is>
          <t>x</t>
        </is>
      </c>
      <c r="E17" s="30" t="n"/>
      <c r="F17" s="28" t="n"/>
      <c r="G17" s="1" t="n"/>
    </row>
    <row r="18">
      <c r="A18" s="1" t="n"/>
      <c r="B18" s="26" t="n">
        <v>46285</v>
      </c>
      <c r="C18" s="27" t="n">
        <v>0.7048611111111112</v>
      </c>
      <c r="D18" s="30" t="inlineStr">
        <is>
          <t>x</t>
        </is>
      </c>
      <c r="E18" s="30" t="inlineStr">
        <is>
          <t>x</t>
        </is>
      </c>
      <c r="F18" s="28" t="n"/>
      <c r="G18" s="1" t="n"/>
    </row>
    <row r="19">
      <c r="A19" s="1" t="n"/>
      <c r="B19" s="26" t="n">
        <v>46285</v>
      </c>
      <c r="C19" s="27" t="n">
        <v>0.8263888888888888</v>
      </c>
      <c r="D19" s="30" t="inlineStr">
        <is>
          <t>x</t>
        </is>
      </c>
      <c r="E19" s="30" t="n"/>
      <c r="F19" s="28" t="n"/>
      <c r="G19" s="1" t="n"/>
    </row>
    <row r="20">
      <c r="A20" s="1" t="n"/>
      <c r="B20" s="26" t="n">
        <v>46286</v>
      </c>
      <c r="C20" s="27" t="n">
        <v>0.05208333333333334</v>
      </c>
      <c r="D20" s="30" t="inlineStr">
        <is>
          <t>x</t>
        </is>
      </c>
      <c r="E20" s="30" t="n"/>
      <c r="F20" s="28" t="n"/>
      <c r="G20" s="1" t="n"/>
    </row>
    <row r="21">
      <c r="A21" s="1" t="n"/>
      <c r="B21" s="26" t="n">
        <v>46286</v>
      </c>
      <c r="C21" s="27" t="n">
        <v>0.1736111111111111</v>
      </c>
      <c r="D21" s="30" t="inlineStr">
        <is>
          <t>x</t>
        </is>
      </c>
      <c r="E21" s="30" t="n"/>
      <c r="F21" s="28" t="n"/>
      <c r="G21" s="1" t="n"/>
    </row>
    <row r="22">
      <c r="A22" s="1" t="n"/>
      <c r="B22" s="26" t="n">
        <v>46286</v>
      </c>
      <c r="C22" s="27" t="n">
        <v>0.3090277777777778</v>
      </c>
      <c r="D22" s="30" t="inlineStr">
        <is>
          <t>x</t>
        </is>
      </c>
      <c r="E22" s="30" t="inlineStr">
        <is>
          <t>x</t>
        </is>
      </c>
      <c r="F22" s="28" t="n"/>
      <c r="G22" s="1" t="n"/>
    </row>
    <row r="23">
      <c r="A23" s="1" t="n"/>
      <c r="B23" s="26" t="n">
        <v>46286</v>
      </c>
      <c r="C23" s="27" t="n">
        <v>0.4444444444444444</v>
      </c>
      <c r="D23" s="30" t="inlineStr">
        <is>
          <t>x</t>
        </is>
      </c>
      <c r="E23" s="30" t="n"/>
      <c r="F23" s="28" t="n"/>
      <c r="G23" s="1" t="n"/>
    </row>
    <row r="24">
      <c r="A24" s="1" t="n"/>
      <c r="B24" s="26" t="n">
        <v>46286</v>
      </c>
      <c r="C24" s="27" t="n">
        <v>0.5694444444444444</v>
      </c>
      <c r="D24" s="30" t="inlineStr">
        <is>
          <t>x</t>
        </is>
      </c>
      <c r="E24" s="30" t="n"/>
      <c r="F24" s="28" t="n"/>
      <c r="G24" s="1" t="n"/>
    </row>
    <row r="25">
      <c r="A25" s="1" t="n"/>
      <c r="B25" s="26" t="n">
        <v>46286</v>
      </c>
      <c r="C25" s="27" t="n">
        <v>0.7152777777777778</v>
      </c>
      <c r="D25" s="30" t="inlineStr">
        <is>
          <t>x</t>
        </is>
      </c>
      <c r="E25" s="30" t="inlineStr">
        <is>
          <t>x</t>
        </is>
      </c>
      <c r="F25" s="28" t="n"/>
      <c r="G25" s="1" t="n"/>
    </row>
    <row r="26">
      <c r="A26" s="1" t="n"/>
      <c r="B26" s="26" t="n">
        <v>46286</v>
      </c>
      <c r="C26" s="27" t="n">
        <v>0.8333333333333334</v>
      </c>
      <c r="D26" s="30" t="inlineStr">
        <is>
          <t>x</t>
        </is>
      </c>
      <c r="E26" s="30" t="n"/>
      <c r="F26" s="28" t="n"/>
      <c r="G26" s="1" t="n"/>
    </row>
    <row r="27">
      <c r="A27" s="1" t="n"/>
      <c r="B27" s="26" t="n">
        <v>46287</v>
      </c>
      <c r="C27" s="27" t="n">
        <v>0.04166666666666666</v>
      </c>
      <c r="D27" s="30" t="inlineStr">
        <is>
          <t>x</t>
        </is>
      </c>
      <c r="E27" s="30" t="n"/>
      <c r="F27" s="28" t="n"/>
      <c r="G27" s="1" t="n"/>
    </row>
    <row r="28">
      <c r="A28" s="1" t="n"/>
      <c r="B28" s="26" t="n">
        <v>46287</v>
      </c>
      <c r="C28" s="27" t="n">
        <v>0.1770833333333333</v>
      </c>
      <c r="D28" s="30" t="inlineStr">
        <is>
          <t>x</t>
        </is>
      </c>
      <c r="E28" s="30" t="n"/>
      <c r="F28" s="28" t="n"/>
      <c r="G28" s="1" t="n"/>
    </row>
    <row r="29">
      <c r="A29" s="1" t="n"/>
      <c r="B29" s="26" t="n">
        <v>46287</v>
      </c>
      <c r="C29" s="27" t="n">
        <v>0.3020833333333333</v>
      </c>
      <c r="D29" s="30" t="inlineStr">
        <is>
          <t>x</t>
        </is>
      </c>
      <c r="E29" s="30" t="inlineStr">
        <is>
          <t>x</t>
        </is>
      </c>
      <c r="F29" s="28" t="n"/>
      <c r="G29" s="1" t="n"/>
    </row>
    <row r="30">
      <c r="A30" s="1" t="n"/>
      <c r="B30" s="26" t="n">
        <v>46287</v>
      </c>
      <c r="C30" s="27" t="n">
        <v>0.4305555555555556</v>
      </c>
      <c r="D30" s="30" t="inlineStr">
        <is>
          <t>x</t>
        </is>
      </c>
      <c r="E30" s="30" t="n"/>
      <c r="F30" s="28" t="n"/>
      <c r="G30" s="1" t="n"/>
    </row>
    <row r="31">
      <c r="A31" s="1" t="n"/>
      <c r="B31" s="26" t="n">
        <v>46287</v>
      </c>
      <c r="C31" s="27" t="n">
        <v>0.5763888888888888</v>
      </c>
      <c r="D31" s="30" t="inlineStr">
        <is>
          <t>x</t>
        </is>
      </c>
      <c r="E31" s="30" t="n"/>
      <c r="F31" s="28" t="n"/>
      <c r="G31" s="1" t="n"/>
    </row>
    <row r="32">
      <c r="A32" s="1" t="n"/>
      <c r="B32" s="26" t="n">
        <v>46287</v>
      </c>
      <c r="C32" s="27" t="n">
        <v>0.7118055555555556</v>
      </c>
      <c r="D32" s="30" t="inlineStr">
        <is>
          <t>x</t>
        </is>
      </c>
      <c r="E32" s="30" t="inlineStr">
        <is>
          <t>x</t>
        </is>
      </c>
      <c r="F32" s="28" t="n"/>
      <c r="G32" s="1" t="n"/>
    </row>
    <row r="33">
      <c r="A33" s="1" t="n"/>
      <c r="B33" s="26" t="n">
        <v>46287</v>
      </c>
      <c r="C33" s="27" t="n">
        <v>0.8263888888888888</v>
      </c>
      <c r="D33" s="30" t="inlineStr">
        <is>
          <t>x</t>
        </is>
      </c>
      <c r="E33" s="30" t="n"/>
      <c r="F33" s="28" t="n"/>
      <c r="G33" s="1" t="n"/>
    </row>
    <row r="34">
      <c r="A34" s="1" t="n"/>
      <c r="B34" s="26" t="n">
        <v>46288</v>
      </c>
      <c r="C34" s="27" t="n">
        <v>0.04513888888888889</v>
      </c>
      <c r="D34" s="30" t="inlineStr">
        <is>
          <t>x</t>
        </is>
      </c>
      <c r="E34" s="30" t="n"/>
      <c r="F34" s="28" t="n"/>
      <c r="G34" s="1" t="n"/>
    </row>
    <row r="35">
      <c r="A35" s="1" t="n"/>
      <c r="B35" s="26" t="n">
        <v>46288</v>
      </c>
      <c r="C35" s="27" t="n">
        <v>0.1805555555555556</v>
      </c>
      <c r="D35" s="30" t="inlineStr">
        <is>
          <t>x</t>
        </is>
      </c>
      <c r="E35" s="30" t="n"/>
      <c r="F35" s="28" t="n"/>
      <c r="G35" s="1" t="n"/>
    </row>
    <row r="36">
      <c r="A36" s="1" t="n"/>
      <c r="B36" s="26" t="n">
        <v>46288</v>
      </c>
      <c r="C36" s="27" t="n">
        <v>0.3020833333333333</v>
      </c>
      <c r="D36" s="30" t="inlineStr">
        <is>
          <t>x</t>
        </is>
      </c>
      <c r="E36" s="30" t="inlineStr">
        <is>
          <t>x</t>
        </is>
      </c>
      <c r="F36" s="28" t="n"/>
      <c r="G36" s="1" t="n"/>
    </row>
    <row r="37">
      <c r="A37" s="1" t="n"/>
      <c r="B37" s="26" t="n">
        <v>46288</v>
      </c>
      <c r="C37" s="27" t="n">
        <v>0.4513888888888889</v>
      </c>
      <c r="D37" s="30" t="inlineStr">
        <is>
          <t>x</t>
        </is>
      </c>
      <c r="E37" s="30" t="n"/>
      <c r="F37" s="28" t="n"/>
      <c r="G37" s="1" t="n"/>
    </row>
    <row r="38">
      <c r="A38" s="1" t="n"/>
      <c r="B38" s="26" t="n">
        <v>46288</v>
      </c>
      <c r="C38" s="27" t="n">
        <v>0.5694444444444444</v>
      </c>
      <c r="D38" s="30" t="inlineStr">
        <is>
          <t>x</t>
        </is>
      </c>
      <c r="E38" s="30" t="n"/>
      <c r="F38" s="28" t="n"/>
      <c r="G38" s="1" t="n"/>
    </row>
    <row r="39">
      <c r="A39" s="1" t="n"/>
      <c r="B39" s="26" t="n">
        <v>46288</v>
      </c>
      <c r="C39" s="27" t="n">
        <v>0.7083333333333334</v>
      </c>
      <c r="D39" s="30" t="inlineStr">
        <is>
          <t>x</t>
        </is>
      </c>
      <c r="E39" s="30" t="inlineStr">
        <is>
          <t>x</t>
        </is>
      </c>
      <c r="F39" s="28" t="n"/>
      <c r="G39" s="1" t="n"/>
    </row>
    <row r="40">
      <c r="A40" s="1" t="n"/>
      <c r="B40" s="26" t="n">
        <v>46288</v>
      </c>
      <c r="C40" s="27" t="n">
        <v>0.8368055555555556</v>
      </c>
      <c r="D40" s="30" t="inlineStr">
        <is>
          <t>x</t>
        </is>
      </c>
      <c r="E40" s="30" t="n"/>
      <c r="F40" s="28" t="n"/>
      <c r="G40" s="1" t="n"/>
    </row>
    <row r="41">
      <c r="A41" s="1" t="n"/>
      <c r="B41" s="26" t="n">
        <v>46289</v>
      </c>
      <c r="C41" s="27" t="n">
        <v>0.03819444444444445</v>
      </c>
      <c r="D41" s="30" t="inlineStr">
        <is>
          <t>x</t>
        </is>
      </c>
      <c r="E41" s="30" t="n"/>
      <c r="F41" s="28" t="n"/>
      <c r="G41" s="1" t="n"/>
    </row>
    <row r="42">
      <c r="A42" s="1" t="n"/>
      <c r="B42" s="26" t="n">
        <v>46289</v>
      </c>
      <c r="C42" s="27" t="n">
        <v>0.1701388888888889</v>
      </c>
      <c r="D42" s="30" t="inlineStr">
        <is>
          <t>x</t>
        </is>
      </c>
      <c r="E42" s="30" t="n"/>
      <c r="F42" s="28" t="n"/>
      <c r="G42" s="1" t="n"/>
    </row>
    <row r="43">
      <c r="A43" s="1" t="n"/>
      <c r="B43" s="26" t="n">
        <v>46289</v>
      </c>
      <c r="C43" s="27" t="n">
        <v>0.3020833333333333</v>
      </c>
      <c r="D43" s="30" t="inlineStr">
        <is>
          <t>x</t>
        </is>
      </c>
      <c r="E43" s="30" t="inlineStr">
        <is>
          <t>x</t>
        </is>
      </c>
      <c r="F43" s="28" t="n"/>
      <c r="G43" s="1" t="n"/>
    </row>
    <row r="44">
      <c r="A44" s="1" t="n"/>
      <c r="B44" s="26" t="n">
        <v>46289</v>
      </c>
      <c r="C44" s="27" t="n">
        <v>0.4270833333333333</v>
      </c>
      <c r="D44" s="30" t="inlineStr">
        <is>
          <t>x</t>
        </is>
      </c>
      <c r="E44" s="30" t="n"/>
      <c r="F44" s="28" t="n"/>
      <c r="G44" s="1" t="n"/>
    </row>
    <row r="45">
      <c r="A45" s="1" t="n"/>
      <c r="B45" s="26" t="n">
        <v>46289</v>
      </c>
      <c r="C45" s="27" t="n">
        <v>0.5763888888888888</v>
      </c>
      <c r="D45" s="30" t="inlineStr">
        <is>
          <t>x</t>
        </is>
      </c>
      <c r="E45" s="30" t="n"/>
      <c r="F45" s="28" t="n"/>
      <c r="G45" s="1" t="n"/>
    </row>
    <row r="46">
      <c r="A46" s="1" t="n"/>
      <c r="B46" s="26" t="n">
        <v>46289</v>
      </c>
      <c r="C46" s="27" t="n">
        <v>0.7118055555555556</v>
      </c>
      <c r="D46" s="30" t="inlineStr">
        <is>
          <t>x</t>
        </is>
      </c>
      <c r="E46" s="30" t="inlineStr">
        <is>
          <t>x</t>
        </is>
      </c>
      <c r="F46" s="28" t="n"/>
      <c r="G46" s="1" t="n"/>
    </row>
    <row r="47">
      <c r="A47" s="1" t="n"/>
      <c r="B47" s="26" t="n">
        <v>46289</v>
      </c>
      <c r="C47" s="27" t="n">
        <v>0.84375</v>
      </c>
      <c r="D47" s="30" t="inlineStr">
        <is>
          <t>x</t>
        </is>
      </c>
      <c r="E47" s="30" t="n"/>
      <c r="F47" s="28" t="n"/>
      <c r="G47" s="1" t="n"/>
    </row>
    <row r="48">
      <c r="A48" s="1" t="n"/>
      <c r="B48" s="26" t="n">
        <v>46290</v>
      </c>
      <c r="C48" s="27" t="n">
        <v>0.04513888888888889</v>
      </c>
      <c r="D48" s="30" t="inlineStr">
        <is>
          <t>x</t>
        </is>
      </c>
      <c r="E48" s="30" t="n"/>
      <c r="F48" s="28" t="n"/>
      <c r="G48" s="1" t="n"/>
    </row>
    <row r="49">
      <c r="A49" s="1" t="n"/>
      <c r="B49" s="26" t="n">
        <v>46290</v>
      </c>
      <c r="C49" s="27" t="n">
        <v>0.1770833333333333</v>
      </c>
      <c r="D49" s="30" t="inlineStr">
        <is>
          <t>x</t>
        </is>
      </c>
      <c r="E49" s="30" t="n"/>
      <c r="F49" s="28" t="n"/>
      <c r="G49" s="1" t="n"/>
    </row>
    <row r="50">
      <c r="A50" s="1" t="n"/>
      <c r="B50" s="26" t="n">
        <v>46290</v>
      </c>
      <c r="C50" s="27" t="n">
        <v>0.2986111111111111</v>
      </c>
      <c r="D50" s="30" t="inlineStr">
        <is>
          <t>x</t>
        </is>
      </c>
      <c r="E50" s="30" t="inlineStr">
        <is>
          <t>x</t>
        </is>
      </c>
      <c r="F50" s="28" t="n"/>
      <c r="G50" s="1" t="n"/>
    </row>
    <row r="51">
      <c r="A51" s="1" t="n"/>
      <c r="B51" s="26" t="n">
        <v>46290</v>
      </c>
      <c r="C51" s="27" t="n">
        <v>0.4479166666666667</v>
      </c>
      <c r="D51" s="30" t="inlineStr">
        <is>
          <t>x</t>
        </is>
      </c>
      <c r="E51" s="30" t="n"/>
      <c r="F51" s="28" t="n"/>
      <c r="G51" s="1" t="n"/>
    </row>
    <row r="52">
      <c r="A52" s="1" t="n"/>
      <c r="B52" s="26" t="n">
        <v>46290</v>
      </c>
      <c r="C52" s="27" t="n">
        <v>0.5763888888888888</v>
      </c>
      <c r="D52" s="30" t="inlineStr">
        <is>
          <t>x</t>
        </is>
      </c>
      <c r="E52" s="30" t="n"/>
      <c r="F52" s="28" t="n"/>
      <c r="G52" s="1" t="n"/>
    </row>
    <row r="53">
      <c r="A53" s="1" t="n"/>
      <c r="B53" s="26" t="n">
        <v>46290</v>
      </c>
      <c r="C53" s="27" t="n">
        <v>0.7152777777777778</v>
      </c>
      <c r="D53" s="30" t="inlineStr">
        <is>
          <t>x</t>
        </is>
      </c>
      <c r="E53" s="30" t="inlineStr">
        <is>
          <t>x</t>
        </is>
      </c>
      <c r="F53" s="28" t="n"/>
      <c r="G53" s="1" t="n"/>
    </row>
    <row r="54">
      <c r="A54" s="1" t="n"/>
      <c r="B54" s="26" t="n">
        <v>46290</v>
      </c>
      <c r="C54" s="27" t="n">
        <v>0.8402777777777778</v>
      </c>
      <c r="D54" s="30" t="inlineStr">
        <is>
          <t>x</t>
        </is>
      </c>
      <c r="E54" s="30" t="n"/>
      <c r="F54" s="28" t="n"/>
      <c r="G54" s="1" t="n"/>
    </row>
    <row r="55">
      <c r="A55" s="1" t="n"/>
      <c r="B55" s="26" t="n">
        <v>46291</v>
      </c>
      <c r="C55" s="27" t="n">
        <v>0.03819444444444445</v>
      </c>
      <c r="D55" s="30" t="inlineStr">
        <is>
          <t>x</t>
        </is>
      </c>
      <c r="E55" s="30" t="n"/>
      <c r="F55" s="28" t="n"/>
      <c r="G55" s="1" t="n"/>
    </row>
    <row r="56">
      <c r="A56" s="1" t="n"/>
      <c r="B56" s="26" t="n">
        <v>46291</v>
      </c>
      <c r="C56" s="27" t="n">
        <v>0.1944444444444444</v>
      </c>
      <c r="D56" s="30" t="inlineStr">
        <is>
          <t>x</t>
        </is>
      </c>
      <c r="E56" s="30" t="n"/>
      <c r="F56" s="28" t="n"/>
      <c r="G56" s="1" t="n"/>
    </row>
    <row r="57">
      <c r="A57" s="1" t="n"/>
      <c r="B57" s="26" t="n">
        <v>46291</v>
      </c>
      <c r="C57" s="27" t="n">
        <v>0.3055555555555556</v>
      </c>
      <c r="D57" s="30" t="inlineStr">
        <is>
          <t>x</t>
        </is>
      </c>
      <c r="E57" s="30" t="inlineStr">
        <is>
          <t>x</t>
        </is>
      </c>
      <c r="F57" s="28" t="n"/>
      <c r="G57" s="1" t="n"/>
    </row>
    <row r="58">
      <c r="A58" s="1" t="n"/>
      <c r="B58" s="26" t="n">
        <v>46291</v>
      </c>
      <c r="C58" s="27" t="n">
        <v>0.4375</v>
      </c>
      <c r="D58" s="30" t="inlineStr">
        <is>
          <t>x</t>
        </is>
      </c>
      <c r="E58" s="30" t="n"/>
      <c r="F58" s="28" t="n"/>
      <c r="G58" s="1" t="n"/>
    </row>
    <row r="59">
      <c r="A59" s="1" t="n"/>
      <c r="B59" s="26" t="n">
        <v>46291</v>
      </c>
      <c r="C59" s="27" t="n">
        <v>0.5729166666666666</v>
      </c>
      <c r="D59" s="30" t="inlineStr">
        <is>
          <t>x</t>
        </is>
      </c>
      <c r="E59" s="30" t="n"/>
      <c r="F59" s="28" t="n"/>
      <c r="G59" s="1" t="n"/>
    </row>
    <row r="60">
      <c r="A60" s="1" t="n"/>
      <c r="B60" s="26" t="n">
        <v>46291</v>
      </c>
      <c r="C60" s="27" t="n">
        <v>0.6979166666666666</v>
      </c>
      <c r="D60" s="30" t="inlineStr">
        <is>
          <t>x</t>
        </is>
      </c>
      <c r="E60" s="30" t="inlineStr">
        <is>
          <t>x</t>
        </is>
      </c>
      <c r="F60" s="28" t="n"/>
      <c r="G60" s="1" t="n"/>
    </row>
    <row r="61">
      <c r="A61" s="1" t="n"/>
      <c r="B61" s="26" t="n">
        <v>46291</v>
      </c>
      <c r="C61" s="27" t="n">
        <v>0.8333333333333334</v>
      </c>
      <c r="D61" s="30" t="inlineStr">
        <is>
          <t>x</t>
        </is>
      </c>
      <c r="E61" s="30" t="n"/>
      <c r="F61" s="28" t="n"/>
      <c r="G61" s="1" t="n"/>
    </row>
    <row r="62">
      <c r="A62" s="1" t="n"/>
      <c r="B62" s="26" t="n">
        <v>46292</v>
      </c>
      <c r="C62" s="27" t="n">
        <v>0.05208333333333334</v>
      </c>
      <c r="D62" s="30" t="inlineStr">
        <is>
          <t>x</t>
        </is>
      </c>
      <c r="E62" s="30" t="n"/>
      <c r="F62" s="28" t="n"/>
      <c r="G62" s="1" t="n"/>
    </row>
    <row r="63">
      <c r="A63" s="1" t="n"/>
      <c r="B63" s="26" t="n">
        <v>46292</v>
      </c>
      <c r="C63" s="27" t="n">
        <v>0.1701388888888889</v>
      </c>
      <c r="D63" s="30" t="inlineStr">
        <is>
          <t>x</t>
        </is>
      </c>
      <c r="E63" s="30" t="n"/>
      <c r="F63" s="28" t="n"/>
      <c r="G63" s="1" t="n"/>
    </row>
    <row r="64">
      <c r="A64" s="1" t="n"/>
      <c r="B64" s="26" t="n">
        <v>46292</v>
      </c>
      <c r="C64" s="27" t="n">
        <v>0.3229166666666667</v>
      </c>
      <c r="D64" s="30" t="inlineStr">
        <is>
          <t>x</t>
        </is>
      </c>
      <c r="E64" s="30" t="inlineStr">
        <is>
          <t>x</t>
        </is>
      </c>
      <c r="F64" s="28" t="n"/>
      <c r="G64" s="1" t="n"/>
    </row>
    <row r="65">
      <c r="A65" s="1" t="n"/>
      <c r="B65" s="26" t="n">
        <v>46292</v>
      </c>
      <c r="C65" s="27" t="n">
        <v>0.4270833333333333</v>
      </c>
      <c r="D65" s="30" t="inlineStr">
        <is>
          <t>x</t>
        </is>
      </c>
      <c r="E65" s="30" t="n"/>
      <c r="F65" s="28" t="n"/>
      <c r="G65" s="1" t="n"/>
    </row>
    <row r="66">
      <c r="A66" s="1" t="n"/>
      <c r="B66" s="26" t="n">
        <v>46292</v>
      </c>
      <c r="C66" s="27" t="n">
        <v>0.5694444444444444</v>
      </c>
      <c r="D66" s="30" t="inlineStr">
        <is>
          <t>x</t>
        </is>
      </c>
      <c r="E66" s="30" t="n"/>
      <c r="F66" s="28" t="n"/>
      <c r="G66" s="1" t="n"/>
    </row>
    <row r="67">
      <c r="A67" s="1" t="n"/>
      <c r="B67" s="26" t="n">
        <v>46292</v>
      </c>
      <c r="C67" s="27" t="n">
        <v>0.7118055555555556</v>
      </c>
      <c r="D67" s="30" t="inlineStr">
        <is>
          <t>x</t>
        </is>
      </c>
      <c r="E67" s="30" t="inlineStr">
        <is>
          <t>x</t>
        </is>
      </c>
      <c r="F67" s="28" t="n"/>
      <c r="G67" s="1" t="n"/>
    </row>
    <row r="68">
      <c r="A68" s="1" t="n"/>
      <c r="B68" s="26" t="n">
        <v>46292</v>
      </c>
      <c r="C68" s="27" t="n">
        <v>0.8333333333333334</v>
      </c>
      <c r="D68" s="30" t="inlineStr">
        <is>
          <t>x</t>
        </is>
      </c>
      <c r="E68" s="30" t="n"/>
      <c r="F68" s="28" t="n"/>
      <c r="G68" s="1" t="n"/>
    </row>
    <row r="69">
      <c r="A69" s="1" t="n"/>
      <c r="B69" s="26" t="n">
        <v>46293</v>
      </c>
      <c r="C69" s="27" t="n">
        <v>0.03819444444444445</v>
      </c>
      <c r="D69" s="30" t="inlineStr">
        <is>
          <t>x</t>
        </is>
      </c>
      <c r="E69" s="30" t="n"/>
      <c r="F69" s="28" t="n"/>
      <c r="G69" s="1" t="n"/>
    </row>
    <row r="70">
      <c r="A70" s="1" t="n"/>
      <c r="B70" s="26" t="n">
        <v>46293</v>
      </c>
      <c r="C70" s="27" t="n">
        <v>0.1736111111111111</v>
      </c>
      <c r="D70" s="30" t="inlineStr">
        <is>
          <t>x</t>
        </is>
      </c>
      <c r="E70" s="30" t="n"/>
      <c r="F70" s="28" t="n"/>
      <c r="G70" s="1" t="n"/>
    </row>
    <row r="71">
      <c r="A71" s="1" t="n"/>
      <c r="B71" s="26" t="n">
        <v>46293</v>
      </c>
      <c r="C71" s="27" t="n">
        <v>0.3159722222222222</v>
      </c>
      <c r="D71" s="30" t="inlineStr">
        <is>
          <t>x</t>
        </is>
      </c>
      <c r="E71" s="30" t="inlineStr">
        <is>
          <t>x</t>
        </is>
      </c>
      <c r="F71" s="28" t="n"/>
      <c r="G71" s="1" t="n"/>
    </row>
    <row r="72">
      <c r="A72" s="1" t="n"/>
      <c r="B72" s="26" t="n">
        <v>46293</v>
      </c>
      <c r="C72" s="27" t="n">
        <v>0.4513888888888889</v>
      </c>
      <c r="D72" s="30" t="inlineStr">
        <is>
          <t>x</t>
        </is>
      </c>
      <c r="E72" s="30" t="n"/>
      <c r="F72" s="28" t="n"/>
      <c r="G72" s="1" t="n"/>
    </row>
    <row r="73">
      <c r="A73" s="1" t="n"/>
      <c r="B73" s="26" t="n">
        <v>46293</v>
      </c>
      <c r="C73" s="27" t="n">
        <v>0.5625</v>
      </c>
      <c r="D73" s="30" t="inlineStr">
        <is>
          <t>x</t>
        </is>
      </c>
      <c r="E73" s="30" t="n"/>
      <c r="F73" s="28" t="n"/>
      <c r="G73" s="1" t="n"/>
    </row>
    <row r="74">
      <c r="A74" s="1" t="n"/>
      <c r="B74" s="26" t="n">
        <v>46293</v>
      </c>
      <c r="C74" s="27" t="n">
        <v>0.6979166666666666</v>
      </c>
      <c r="D74" s="30" t="inlineStr">
        <is>
          <t>x</t>
        </is>
      </c>
      <c r="E74" s="30" t="inlineStr">
        <is>
          <t>x</t>
        </is>
      </c>
      <c r="F74" s="28" t="n"/>
      <c r="G74" s="1" t="n"/>
    </row>
    <row r="75">
      <c r="A75" s="1" t="n"/>
      <c r="B75" s="26" t="n"/>
      <c r="C75" s="27" t="n"/>
      <c r="D75" s="30" t="n"/>
      <c r="E75" s="30" t="n"/>
      <c r="F75" s="28" t="n"/>
      <c r="G75" s="1" t="n"/>
    </row>
    <row r="76">
      <c r="A76" s="1" t="n"/>
      <c r="B76" s="26" t="n"/>
      <c r="C76" s="27" t="n"/>
      <c r="D76" s="30" t="n"/>
      <c r="E76" s="30" t="n"/>
      <c r="F76" s="28" t="n"/>
      <c r="G76" s="1" t="n"/>
    </row>
    <row r="77">
      <c r="A77" s="1" t="n"/>
      <c r="B77" s="26" t="n"/>
      <c r="C77" s="27" t="n"/>
      <c r="D77" s="30" t="n"/>
      <c r="E77" s="30" t="n"/>
      <c r="F77" s="28" t="n"/>
      <c r="G77" s="1" t="n"/>
    </row>
    <row r="78">
      <c r="A78" s="1" t="n"/>
      <c r="B78" s="26" t="n"/>
      <c r="C78" s="27" t="n"/>
      <c r="D78" s="30" t="n"/>
      <c r="E78" s="30" t="n"/>
      <c r="F78" s="28" t="n"/>
      <c r="G78" s="1" t="n"/>
    </row>
    <row r="79">
      <c r="A79" s="1" t="n"/>
      <c r="B79" s="26" t="n"/>
      <c r="C79" s="27" t="n"/>
      <c r="D79" s="30" t="n"/>
      <c r="E79" s="30" t="n"/>
      <c r="F79" s="28" t="n"/>
      <c r="G79" s="1" t="n"/>
    </row>
    <row r="80">
      <c r="A80" s="1" t="n"/>
      <c r="B80" s="26" t="n"/>
      <c r="C80" s="27" t="n"/>
      <c r="D80" s="30" t="n"/>
      <c r="E80" s="30" t="n"/>
      <c r="F80" s="28" t="n"/>
      <c r="G80" s="1" t="n"/>
    </row>
    <row r="81">
      <c r="A81" s="1" t="n"/>
      <c r="B81" s="26" t="n"/>
      <c r="C81" s="27" t="n"/>
      <c r="D81" s="30" t="n"/>
      <c r="E81" s="30" t="n"/>
      <c r="F81" s="28" t="n"/>
      <c r="G81" s="1" t="n"/>
    </row>
    <row r="82">
      <c r="A82" s="1" t="n"/>
      <c r="B82" s="26" t="n"/>
      <c r="C82" s="27" t="n"/>
      <c r="D82" s="30" t="n"/>
      <c r="E82" s="30" t="n"/>
      <c r="F82" s="28" t="n"/>
      <c r="G82" s="1" t="n"/>
    </row>
    <row r="83">
      <c r="A83" s="1" t="n"/>
      <c r="B83" s="26" t="n"/>
      <c r="C83" s="27" t="n"/>
      <c r="D83" s="30" t="n"/>
      <c r="E83" s="30" t="n"/>
      <c r="F83" s="28" t="n"/>
      <c r="G83" s="1" t="n"/>
    </row>
    <row r="84">
      <c r="A84" s="1" t="n"/>
      <c r="B84" s="26" t="n"/>
      <c r="C84" s="27" t="n"/>
      <c r="D84" s="30" t="n"/>
      <c r="E84" s="30" t="n"/>
      <c r="F84" s="28" t="n"/>
      <c r="G84" s="1" t="n"/>
    </row>
    <row r="85">
      <c r="A85" s="1" t="n"/>
      <c r="B85" s="26" t="n"/>
      <c r="C85" s="27" t="n"/>
      <c r="D85" s="30" t="n"/>
      <c r="E85" s="30" t="n"/>
      <c r="F85" s="28" t="n"/>
      <c r="G85" s="1" t="n"/>
    </row>
    <row r="86">
      <c r="A86" s="1" t="n"/>
      <c r="B86" s="26" t="n"/>
      <c r="C86" s="27" t="n"/>
      <c r="D86" s="30" t="n"/>
      <c r="E86" s="30" t="n"/>
      <c r="F86" s="28" t="n"/>
      <c r="G86" s="1" t="n"/>
    </row>
    <row r="87">
      <c r="A87" s="1" t="n"/>
      <c r="B87" s="26" t="n"/>
      <c r="C87" s="27" t="n"/>
      <c r="D87" s="30" t="n"/>
      <c r="E87" s="30" t="n"/>
      <c r="F87" s="28" t="n"/>
      <c r="G87" s="1" t="n"/>
    </row>
    <row r="88">
      <c r="A88" s="1" t="n"/>
      <c r="B88" s="26" t="n"/>
      <c r="C88" s="27" t="n"/>
      <c r="D88" s="30" t="n"/>
      <c r="E88" s="30" t="n"/>
      <c r="F88" s="28" t="n"/>
      <c r="G88" s="1" t="n"/>
    </row>
    <row r="89">
      <c r="A89" s="1" t="n"/>
      <c r="B89" s="26" t="n"/>
      <c r="C89" s="27" t="n"/>
      <c r="D89" s="30" t="n"/>
      <c r="E89" s="30" t="n"/>
      <c r="F89" s="28" t="n"/>
      <c r="G89" s="1" t="n"/>
    </row>
    <row r="90">
      <c r="A90" s="1" t="n"/>
      <c r="B90" s="26" t="n"/>
      <c r="C90" s="27" t="n"/>
      <c r="D90" s="30" t="n"/>
      <c r="E90" s="30" t="n"/>
      <c r="F90" s="28" t="n"/>
      <c r="G90" s="1" t="n"/>
    </row>
    <row r="91">
      <c r="A91" s="1" t="n"/>
      <c r="B91" s="26" t="n"/>
      <c r="C91" s="27" t="n"/>
      <c r="D91" s="30" t="n"/>
      <c r="E91" s="30" t="n"/>
      <c r="F91" s="28" t="n"/>
      <c r="G91" s="1" t="n"/>
    </row>
    <row r="92">
      <c r="A92" s="1" t="n"/>
      <c r="B92" s="26" t="n"/>
      <c r="C92" s="27" t="n"/>
      <c r="D92" s="30" t="n"/>
      <c r="E92" s="30" t="n"/>
      <c r="F92" s="28" t="n"/>
      <c r="G92" s="1" t="n"/>
    </row>
    <row r="93">
      <c r="A93" s="1" t="n"/>
      <c r="B93" s="26" t="n"/>
      <c r="C93" s="27" t="n"/>
      <c r="D93" s="30" t="n"/>
      <c r="E93" s="30" t="n"/>
      <c r="F93" s="28" t="n"/>
      <c r="G93" s="1" t="n"/>
    </row>
    <row r="94">
      <c r="A94" s="1" t="n"/>
      <c r="B94" s="26" t="n"/>
      <c r="C94" s="27" t="n"/>
      <c r="D94" s="30" t="n"/>
      <c r="E94" s="30" t="n"/>
      <c r="F94" s="28" t="n"/>
      <c r="G94" s="1" t="n"/>
    </row>
    <row r="95">
      <c r="A95" s="1" t="n"/>
      <c r="B95" s="26" t="n"/>
      <c r="C95" s="27" t="n"/>
      <c r="D95" s="30" t="n"/>
      <c r="E95" s="30" t="n"/>
      <c r="F95" s="28" t="n"/>
      <c r="G95" s="1" t="n"/>
    </row>
    <row r="96">
      <c r="A96" s="1" t="n"/>
      <c r="B96" s="26" t="n"/>
      <c r="C96" s="27" t="n"/>
      <c r="D96" s="30" t="n"/>
      <c r="E96" s="30" t="n"/>
      <c r="F96" s="28" t="n"/>
      <c r="G96" s="1" t="n"/>
    </row>
    <row r="97">
      <c r="A97" s="1" t="n"/>
      <c r="B97" s="26" t="n"/>
      <c r="C97" s="27" t="n"/>
      <c r="D97" s="30" t="n"/>
      <c r="E97" s="30" t="n"/>
      <c r="F97" s="28" t="n"/>
      <c r="G97" s="1" t="n"/>
    </row>
    <row r="98">
      <c r="A98" s="1" t="n"/>
      <c r="B98" s="26" t="n"/>
      <c r="C98" s="27" t="n"/>
      <c r="D98" s="30" t="n"/>
      <c r="E98" s="30" t="n"/>
      <c r="F98" s="28" t="n"/>
      <c r="G98" s="1" t="n"/>
    </row>
    <row r="99">
      <c r="A99" s="1" t="n"/>
      <c r="B99" s="26" t="n"/>
      <c r="C99" s="27" t="n"/>
      <c r="D99" s="30" t="n"/>
      <c r="E99" s="30" t="n"/>
      <c r="F99" s="28" t="n"/>
      <c r="G99" s="1" t="n"/>
    </row>
    <row r="100">
      <c r="A100" s="1" t="n"/>
      <c r="B100" s="26" t="n"/>
      <c r="C100" s="27" t="n"/>
      <c r="D100" s="30" t="n"/>
      <c r="E100" s="30" t="n"/>
      <c r="F100" s="28" t="n"/>
      <c r="G100" s="1" t="n"/>
    </row>
    <row r="101">
      <c r="A101" s="1" t="n"/>
      <c r="B101" s="26" t="n"/>
      <c r="C101" s="27" t="n"/>
      <c r="D101" s="30" t="n"/>
      <c r="E101" s="30" t="n"/>
      <c r="F101" s="28" t="n"/>
      <c r="G101" s="1" t="n"/>
    </row>
    <row r="102">
      <c r="A102" s="1" t="n"/>
      <c r="B102" s="26" t="n"/>
      <c r="C102" s="27" t="n"/>
      <c r="D102" s="30" t="n"/>
      <c r="E102" s="30" t="n"/>
      <c r="F102" s="28" t="n"/>
      <c r="G102" s="1" t="n"/>
    </row>
    <row r="103">
      <c r="A103" s="1" t="n"/>
      <c r="B103" s="26" t="n"/>
      <c r="C103" s="27" t="n"/>
      <c r="D103" s="30" t="n"/>
      <c r="E103" s="30" t="n"/>
      <c r="F103" s="28" t="n"/>
      <c r="G103" s="1" t="n"/>
    </row>
    <row r="104">
      <c r="A104" s="1" t="n"/>
      <c r="B104" s="26" t="n"/>
      <c r="C104" s="27" t="n"/>
      <c r="D104" s="30" t="n"/>
      <c r="E104" s="30" t="n"/>
      <c r="F104" s="28" t="n"/>
      <c r="G104" s="1" t="n"/>
    </row>
    <row r="105">
      <c r="A105" s="1" t="n"/>
      <c r="B105" s="26" t="n"/>
      <c r="C105" s="27" t="n"/>
      <c r="D105" s="30" t="n"/>
      <c r="E105" s="30" t="n"/>
      <c r="F105" s="28" t="n"/>
      <c r="G105" s="1" t="n"/>
    </row>
    <row r="106">
      <c r="A106" s="1" t="n"/>
      <c r="B106" s="26" t="n"/>
      <c r="C106" s="27" t="n"/>
      <c r="D106" s="30" t="n"/>
      <c r="E106" s="30" t="n"/>
      <c r="F106" s="28" t="n"/>
      <c r="G106" s="1" t="n"/>
    </row>
    <row r="107">
      <c r="A107" s="1" t="n"/>
      <c r="B107" s="26" t="n"/>
      <c r="C107" s="27" t="n"/>
      <c r="D107" s="30" t="n"/>
      <c r="E107" s="30" t="n"/>
      <c r="F107" s="28" t="n"/>
      <c r="G107" s="1" t="n"/>
    </row>
    <row r="108">
      <c r="A108" s="1" t="n"/>
      <c r="B108" s="26" t="n"/>
      <c r="C108" s="27" t="n"/>
      <c r="D108" s="30" t="n"/>
      <c r="E108" s="30" t="n"/>
      <c r="F108" s="28" t="n"/>
      <c r="G108" s="1" t="n"/>
    </row>
    <row r="109">
      <c r="A109" s="1" t="n"/>
      <c r="B109" s="26" t="n"/>
      <c r="C109" s="27" t="n"/>
      <c r="D109" s="30" t="n"/>
      <c r="E109" s="30" t="n"/>
      <c r="F109" s="28" t="n"/>
      <c r="G109" s="1" t="n"/>
    </row>
    <row r="110">
      <c r="A110" s="1" t="n"/>
      <c r="B110" s="26" t="n"/>
      <c r="C110" s="27" t="n"/>
      <c r="D110" s="30" t="n"/>
      <c r="E110" s="30" t="n"/>
      <c r="F110" s="28" t="n"/>
      <c r="G110" s="1" t="n"/>
    </row>
    <row r="111">
      <c r="A111" s="1" t="n"/>
      <c r="B111" s="26" t="n"/>
      <c r="C111" s="27" t="n"/>
      <c r="D111" s="30" t="n"/>
      <c r="E111" s="30" t="n"/>
      <c r="F111" s="28" t="n"/>
      <c r="G111" s="1" t="n"/>
    </row>
    <row r="112">
      <c r="A112" s="1" t="n"/>
      <c r="B112" s="26" t="n"/>
      <c r="C112" s="27" t="n"/>
      <c r="D112" s="30" t="n"/>
      <c r="E112" s="30" t="n"/>
      <c r="F112" s="28" t="n"/>
      <c r="G112" s="1" t="n"/>
    </row>
    <row r="113">
      <c r="A113" s="1" t="n"/>
      <c r="B113" s="26" t="n"/>
      <c r="C113" s="27" t="n"/>
      <c r="D113" s="30" t="n"/>
      <c r="E113" s="30" t="n"/>
      <c r="F113" s="28" t="n"/>
      <c r="G113" s="1" t="n"/>
    </row>
    <row r="114">
      <c r="A114" s="1" t="n"/>
      <c r="B114" s="26" t="n"/>
      <c r="C114" s="27" t="n"/>
      <c r="D114" s="30" t="n"/>
      <c r="E114" s="30" t="n"/>
      <c r="F114" s="28" t="n"/>
      <c r="G114" s="1" t="n"/>
    </row>
    <row r="115">
      <c r="A115" s="1" t="n"/>
      <c r="B115" s="26" t="n"/>
      <c r="C115" s="27" t="n"/>
      <c r="D115" s="30" t="n"/>
      <c r="E115" s="30" t="n"/>
      <c r="F115" s="28" t="n"/>
      <c r="G115" s="1" t="n"/>
    </row>
    <row r="116">
      <c r="A116" s="1" t="n"/>
      <c r="B116" s="26" t="n"/>
      <c r="C116" s="27" t="n"/>
      <c r="D116" s="30" t="n"/>
      <c r="E116" s="30" t="n"/>
      <c r="F116" s="28" t="n"/>
      <c r="G116" s="1" t="n"/>
    </row>
    <row r="117">
      <c r="A117" s="1" t="n"/>
      <c r="B117" s="26" t="n"/>
      <c r="C117" s="27" t="n"/>
      <c r="D117" s="30" t="n"/>
      <c r="E117" s="30" t="n"/>
      <c r="F117" s="28" t="n"/>
      <c r="G117" s="1" t="n"/>
    </row>
    <row r="118">
      <c r="A118" s="1" t="n"/>
      <c r="B118" s="26" t="n"/>
      <c r="C118" s="27" t="n"/>
      <c r="D118" s="30" t="n"/>
      <c r="E118" s="30" t="n"/>
      <c r="F118" s="28" t="n"/>
      <c r="G118" s="1" t="n"/>
    </row>
    <row r="119">
      <c r="A119" s="1" t="n"/>
      <c r="B119" s="26" t="n"/>
      <c r="C119" s="27" t="n"/>
      <c r="D119" s="30" t="n"/>
      <c r="E119" s="30" t="n"/>
      <c r="F119" s="28" t="n"/>
      <c r="G119" s="1" t="n"/>
    </row>
    <row r="120">
      <c r="A120" s="1" t="n"/>
      <c r="B120" s="26" t="n"/>
      <c r="C120" s="27" t="n"/>
      <c r="D120" s="30" t="n"/>
      <c r="E120" s="30" t="n"/>
      <c r="F120" s="28" t="n"/>
      <c r="G120" s="1" t="n"/>
    </row>
    <row r="121">
      <c r="A121" s="1" t="n"/>
      <c r="B121" s="26" t="n"/>
      <c r="C121" s="27" t="n"/>
      <c r="D121" s="30" t="n"/>
      <c r="E121" s="30" t="n"/>
      <c r="F121" s="28" t="n"/>
      <c r="G121" s="1" t="n"/>
    </row>
    <row r="122">
      <c r="A122" s="1" t="n"/>
      <c r="B122" s="26" t="n"/>
      <c r="C122" s="27" t="n"/>
      <c r="D122" s="30" t="n"/>
      <c r="E122" s="30" t="n"/>
      <c r="F122" s="28" t="n"/>
      <c r="G122" s="1" t="n"/>
    </row>
    <row r="123">
      <c r="A123" s="1" t="n"/>
      <c r="B123" s="26" t="n"/>
      <c r="C123" s="27" t="n"/>
      <c r="D123" s="30" t="n"/>
      <c r="E123" s="30" t="n"/>
      <c r="F123" s="28" t="n"/>
      <c r="G123" s="1" t="n"/>
    </row>
    <row r="124">
      <c r="A124" s="1" t="n"/>
      <c r="B124" s="26" t="n"/>
      <c r="C124" s="27" t="n"/>
      <c r="D124" s="30" t="n"/>
      <c r="E124" s="30" t="n"/>
      <c r="F124" s="28" t="n"/>
      <c r="G124" s="1" t="n"/>
    </row>
    <row r="125">
      <c r="A125" s="1" t="n"/>
      <c r="B125" s="26" t="n"/>
      <c r="C125" s="27" t="n"/>
      <c r="D125" s="30" t="n"/>
      <c r="E125" s="30" t="n"/>
      <c r="F125" s="28" t="n"/>
      <c r="G125" s="1" t="n"/>
    </row>
    <row r="126">
      <c r="A126" s="1" t="n"/>
      <c r="B126" s="26" t="n"/>
      <c r="C126" s="27" t="n"/>
      <c r="D126" s="30" t="n"/>
      <c r="E126" s="30" t="n"/>
      <c r="F126" s="28" t="n"/>
      <c r="G126" s="1" t="n"/>
    </row>
    <row r="127">
      <c r="A127" s="1" t="n"/>
      <c r="B127" s="26" t="n"/>
      <c r="C127" s="27" t="n"/>
      <c r="D127" s="30" t="n"/>
      <c r="E127" s="30" t="n"/>
      <c r="F127" s="28" t="n"/>
      <c r="G127" s="1" t="n"/>
    </row>
    <row r="128">
      <c r="A128" s="1" t="n"/>
      <c r="B128" s="26" t="n"/>
      <c r="C128" s="27" t="n"/>
      <c r="D128" s="30" t="n"/>
      <c r="E128" s="30" t="n"/>
      <c r="F128" s="28" t="n"/>
      <c r="G128" s="1" t="n"/>
    </row>
    <row r="129">
      <c r="A129" s="1" t="n"/>
      <c r="B129" s="26" t="n"/>
      <c r="C129" s="27" t="n"/>
      <c r="D129" s="30" t="n"/>
      <c r="E129" s="30" t="n"/>
      <c r="F129" s="28" t="n"/>
      <c r="G129" s="1" t="n"/>
    </row>
    <row r="130">
      <c r="A130" s="1" t="n"/>
      <c r="B130" s="26" t="n"/>
      <c r="C130" s="27" t="n"/>
      <c r="D130" s="30" t="n"/>
      <c r="E130" s="30" t="n"/>
      <c r="F130" s="28" t="n"/>
      <c r="G130" s="1" t="n"/>
    </row>
    <row r="131">
      <c r="A131" s="1" t="n"/>
      <c r="B131" s="26" t="n"/>
      <c r="C131" s="27" t="n"/>
      <c r="D131" s="30" t="n"/>
      <c r="E131" s="30" t="n"/>
      <c r="F131" s="28" t="n"/>
      <c r="G131" s="1" t="n"/>
    </row>
    <row r="132">
      <c r="A132" s="1" t="n"/>
      <c r="B132" s="26" t="n"/>
      <c r="C132" s="27" t="n"/>
      <c r="D132" s="30" t="n"/>
      <c r="E132" s="30" t="n"/>
      <c r="F132" s="28" t="n"/>
      <c r="G132" s="1" t="n"/>
    </row>
    <row r="133">
      <c r="A133" s="1" t="n"/>
      <c r="B133" s="26" t="n"/>
      <c r="C133" s="27" t="n"/>
      <c r="D133" s="30" t="n"/>
      <c r="E133" s="30" t="n"/>
      <c r="F133" s="28" t="n"/>
      <c r="G133" s="1" t="n"/>
    </row>
    <row r="134">
      <c r="A134" s="1" t="n"/>
      <c r="B134" s="26" t="n"/>
      <c r="C134" s="27" t="n"/>
      <c r="D134" s="30" t="n"/>
      <c r="E134" s="30" t="n"/>
      <c r="F134" s="28" t="n"/>
      <c r="G134" s="1" t="n"/>
    </row>
    <row r="135">
      <c r="A135" s="1" t="n"/>
      <c r="B135" s="26" t="n"/>
      <c r="C135" s="27" t="n"/>
      <c r="D135" s="30" t="n"/>
      <c r="E135" s="30" t="n"/>
      <c r="F135" s="28" t="n"/>
      <c r="G135" s="1" t="n"/>
    </row>
    <row r="136">
      <c r="A136" s="1" t="n"/>
      <c r="B136" s="26" t="n"/>
      <c r="C136" s="27" t="n"/>
      <c r="D136" s="30" t="n"/>
      <c r="E136" s="30" t="n"/>
      <c r="F136" s="28" t="n"/>
      <c r="G136" s="1" t="n"/>
    </row>
    <row r="137">
      <c r="A137" s="1" t="n"/>
      <c r="B137" s="26" t="n"/>
      <c r="C137" s="27" t="n"/>
      <c r="D137" s="30" t="n"/>
      <c r="E137" s="30" t="n"/>
      <c r="F137" s="28" t="n"/>
      <c r="G137" s="1" t="n"/>
    </row>
    <row r="138">
      <c r="A138" s="1" t="n"/>
      <c r="B138" s="26" t="n"/>
      <c r="C138" s="27" t="n"/>
      <c r="D138" s="30" t="n"/>
      <c r="E138" s="30" t="n"/>
      <c r="F138" s="28" t="n"/>
      <c r="G138" s="1" t="n"/>
    </row>
    <row r="139">
      <c r="A139" s="1" t="n"/>
      <c r="B139" s="26" t="n"/>
      <c r="C139" s="27" t="n"/>
      <c r="D139" s="30" t="n"/>
      <c r="E139" s="30" t="n"/>
      <c r="F139" s="28" t="n"/>
      <c r="G139" s="1" t="n"/>
    </row>
    <row r="140">
      <c r="A140" s="1" t="n"/>
      <c r="B140" s="26" t="n"/>
      <c r="C140" s="27" t="n"/>
      <c r="D140" s="30" t="n"/>
      <c r="E140" s="30" t="n"/>
      <c r="F140" s="28" t="n"/>
      <c r="G140" s="1" t="n"/>
    </row>
    <row r="141">
      <c r="A141" s="1" t="n"/>
      <c r="B141" s="26" t="n"/>
      <c r="C141" s="27" t="n"/>
      <c r="D141" s="30" t="n"/>
      <c r="E141" s="30" t="n"/>
      <c r="F141" s="28" t="n"/>
      <c r="G141" s="1" t="n"/>
    </row>
    <row r="142">
      <c r="A142" s="1" t="n"/>
      <c r="B142" s="26" t="n"/>
      <c r="C142" s="27" t="n"/>
      <c r="D142" s="30" t="n"/>
      <c r="E142" s="30" t="n"/>
      <c r="F142" s="28" t="n"/>
      <c r="G142" s="1" t="n"/>
    </row>
    <row r="143">
      <c r="A143" s="1" t="n"/>
      <c r="B143" s="26" t="n"/>
      <c r="C143" s="27" t="n"/>
      <c r="D143" s="30" t="n"/>
      <c r="E143" s="30" t="n"/>
      <c r="F143" s="28" t="n"/>
      <c r="G143" s="1" t="n"/>
    </row>
    <row r="144">
      <c r="A144" s="1" t="n"/>
      <c r="B144" s="26" t="n"/>
      <c r="C144" s="27" t="n"/>
      <c r="D144" s="30" t="n"/>
      <c r="E144" s="30" t="n"/>
      <c r="F144" s="28" t="n"/>
      <c r="G144" s="1" t="n"/>
    </row>
    <row r="145">
      <c r="A145" s="1" t="n"/>
      <c r="B145" s="26" t="n"/>
      <c r="C145" s="27" t="n"/>
      <c r="D145" s="30" t="n"/>
      <c r="E145" s="30" t="n"/>
      <c r="F145" s="28" t="n"/>
      <c r="G145" s="1" t="n"/>
    </row>
    <row r="146">
      <c r="A146" s="1" t="n"/>
      <c r="B146" s="26" t="n"/>
      <c r="C146" s="27" t="n"/>
      <c r="D146" s="30" t="n"/>
      <c r="E146" s="30" t="n"/>
      <c r="F146" s="28" t="n"/>
      <c r="G146" s="1" t="n"/>
    </row>
    <row r="147">
      <c r="A147" s="1" t="n"/>
      <c r="B147" s="26" t="n"/>
      <c r="C147" s="27" t="n"/>
      <c r="D147" s="30" t="n"/>
      <c r="E147" s="30" t="n"/>
      <c r="F147" s="28" t="n"/>
      <c r="G147" s="1" t="n"/>
    </row>
    <row r="148">
      <c r="A148" s="1" t="n"/>
      <c r="B148" s="26" t="n"/>
      <c r="C148" s="27" t="n"/>
      <c r="D148" s="30" t="n"/>
      <c r="E148" s="30" t="n"/>
      <c r="F148" s="28" t="n"/>
      <c r="G148" s="1" t="n"/>
    </row>
    <row r="149">
      <c r="A149" s="1" t="n"/>
      <c r="B149" s="26" t="n"/>
      <c r="C149" s="27" t="n"/>
      <c r="D149" s="30" t="n"/>
      <c r="E149" s="30" t="n"/>
      <c r="F149" s="28" t="n"/>
      <c r="G149" s="1" t="n"/>
    </row>
    <row r="150">
      <c r="A150" s="1" t="n"/>
      <c r="B150" s="26" t="n"/>
      <c r="C150" s="27" t="n"/>
      <c r="D150" s="30" t="n"/>
      <c r="E150" s="30" t="n"/>
      <c r="F150" s="28" t="n"/>
      <c r="G150" s="1" t="n"/>
    </row>
    <row r="151">
      <c r="A151" s="1" t="n"/>
      <c r="B151" s="26" t="n"/>
      <c r="C151" s="27" t="n"/>
      <c r="D151" s="30" t="n"/>
      <c r="E151" s="30" t="n"/>
      <c r="F151" s="28" t="n"/>
      <c r="G151" s="1" t="n"/>
    </row>
    <row r="152">
      <c r="A152" s="1" t="n"/>
      <c r="B152" s="26" t="n"/>
      <c r="C152" s="27" t="n"/>
      <c r="D152" s="30" t="n"/>
      <c r="E152" s="30" t="n"/>
      <c r="F152" s="28" t="n"/>
      <c r="G152" s="1" t="n"/>
    </row>
    <row r="153">
      <c r="A153" s="1" t="n"/>
      <c r="B153" s="26" t="n"/>
      <c r="C153" s="27" t="n"/>
      <c r="D153" s="30" t="n"/>
      <c r="E153" s="30" t="n"/>
      <c r="F153" s="28" t="n"/>
      <c r="G153" s="1" t="n"/>
    </row>
    <row r="154">
      <c r="A154" s="1" t="n"/>
      <c r="B154" s="26" t="n"/>
      <c r="C154" s="27" t="n"/>
      <c r="D154" s="30" t="n"/>
      <c r="E154" s="30" t="n"/>
      <c r="F154" s="28" t="n"/>
      <c r="G154" s="1" t="n"/>
    </row>
    <row r="155">
      <c r="A155" s="1" t="n"/>
      <c r="B155" s="26" t="n"/>
      <c r="C155" s="27" t="n"/>
      <c r="D155" s="30" t="n"/>
      <c r="E155" s="30" t="n"/>
      <c r="F155" s="28" t="n"/>
      <c r="G155" s="1" t="n"/>
    </row>
    <row r="156">
      <c r="A156" s="1" t="n"/>
      <c r="B156" s="26" t="n"/>
      <c r="C156" s="27" t="n"/>
      <c r="D156" s="30" t="n"/>
      <c r="E156" s="30" t="n"/>
      <c r="F156" s="28" t="n"/>
      <c r="G156" s="1" t="n"/>
    </row>
    <row r="157">
      <c r="A157" s="1" t="n"/>
      <c r="B157" s="26" t="n"/>
      <c r="C157" s="27" t="n"/>
      <c r="D157" s="30" t="n"/>
      <c r="E157" s="30" t="n"/>
      <c r="F157" s="28" t="n"/>
      <c r="G157" s="1" t="n"/>
    </row>
    <row r="158">
      <c r="A158" s="1" t="n"/>
      <c r="B158" s="26" t="n"/>
      <c r="C158" s="27" t="n"/>
      <c r="D158" s="30" t="n"/>
      <c r="E158" s="30" t="n"/>
      <c r="F158" s="28" t="n"/>
      <c r="G158" s="1" t="n"/>
    </row>
    <row r="159">
      <c r="A159" s="1" t="n"/>
      <c r="B159" s="26" t="n"/>
      <c r="C159" s="27" t="n"/>
      <c r="D159" s="30" t="n"/>
      <c r="E159" s="30" t="n"/>
      <c r="F159" s="28" t="n"/>
      <c r="G159" s="1" t="n"/>
    </row>
    <row r="160">
      <c r="A160" s="1" t="n"/>
      <c r="B160" s="26" t="n"/>
      <c r="C160" s="27" t="n"/>
      <c r="D160" s="30" t="n"/>
      <c r="E160" s="30" t="n"/>
      <c r="F160" s="28" t="n"/>
      <c r="G160" s="1" t="n"/>
    </row>
    <row r="161">
      <c r="A161" s="1" t="n"/>
      <c r="B161" s="26" t="n"/>
      <c r="C161" s="27" t="n"/>
      <c r="D161" s="30" t="n"/>
      <c r="E161" s="30" t="n"/>
      <c r="F161" s="28" t="n"/>
      <c r="G161" s="1" t="n"/>
    </row>
    <row r="162">
      <c r="A162" s="1" t="n"/>
      <c r="B162" s="26" t="n"/>
      <c r="C162" s="27" t="n"/>
      <c r="D162" s="30" t="n"/>
      <c r="E162" s="30" t="n"/>
      <c r="F162" s="28" t="n"/>
      <c r="G162" s="1" t="n"/>
    </row>
    <row r="163">
      <c r="A163" s="1" t="n"/>
      <c r="B163" s="26" t="n"/>
      <c r="C163" s="27" t="n"/>
      <c r="D163" s="30" t="n"/>
      <c r="E163" s="30" t="n"/>
      <c r="F163" s="28" t="n"/>
      <c r="G163" s="1" t="n"/>
    </row>
    <row r="164">
      <c r="A164" s="1" t="n"/>
      <c r="B164" s="26" t="n"/>
      <c r="C164" s="27" t="n"/>
      <c r="D164" s="30" t="n"/>
      <c r="E164" s="30" t="n"/>
      <c r="F164" s="28" t="n"/>
      <c r="G164" s="1" t="n"/>
    </row>
    <row r="165">
      <c r="A165" s="1" t="n"/>
      <c r="B165" s="26" t="n"/>
      <c r="C165" s="27" t="n"/>
      <c r="D165" s="30" t="n"/>
      <c r="E165" s="30" t="n"/>
      <c r="F165" s="28" t="n"/>
      <c r="G165" s="1" t="n"/>
    </row>
    <row r="166">
      <c r="A166" s="1" t="n"/>
      <c r="B166" s="26" t="n"/>
      <c r="C166" s="27" t="n"/>
      <c r="D166" s="30" t="n"/>
      <c r="E166" s="30" t="n"/>
      <c r="F166" s="28" t="n"/>
      <c r="G166" s="1" t="n"/>
    </row>
    <row r="167">
      <c r="A167" s="1" t="n"/>
      <c r="B167" s="26" t="n"/>
      <c r="C167" s="27" t="n"/>
      <c r="D167" s="30" t="n"/>
      <c r="E167" s="30" t="n"/>
      <c r="F167" s="28" t="n"/>
      <c r="G167" s="1" t="n"/>
    </row>
    <row r="168">
      <c r="A168" s="1" t="n"/>
      <c r="B168" s="26" t="n"/>
      <c r="C168" s="27" t="n"/>
      <c r="D168" s="30" t="n"/>
      <c r="E168" s="30" t="n"/>
      <c r="F168" s="28" t="n"/>
      <c r="G168" s="1" t="n"/>
    </row>
    <row r="169">
      <c r="A169" s="1" t="n"/>
      <c r="B169" s="26" t="n"/>
      <c r="C169" s="27" t="n"/>
      <c r="D169" s="30" t="n"/>
      <c r="E169" s="30" t="n"/>
      <c r="F169" s="28" t="n"/>
      <c r="G169" s="1" t="n"/>
    </row>
    <row r="170">
      <c r="A170" s="1" t="n"/>
      <c r="B170" s="26" t="n"/>
      <c r="C170" s="27" t="n"/>
      <c r="D170" s="30" t="n"/>
      <c r="E170" s="30" t="n"/>
      <c r="F170" s="28" t="n"/>
      <c r="G170" s="1" t="n"/>
    </row>
    <row r="171">
      <c r="A171" s="1" t="n"/>
      <c r="B171" s="26" t="n"/>
      <c r="C171" s="27" t="n"/>
      <c r="D171" s="30" t="n"/>
      <c r="E171" s="30" t="n"/>
      <c r="F171" s="28" t="n"/>
      <c r="G171" s="1" t="n"/>
    </row>
    <row r="172">
      <c r="A172" s="1" t="n"/>
      <c r="B172" s="26" t="n"/>
      <c r="C172" s="27" t="n"/>
      <c r="D172" s="30" t="n"/>
      <c r="E172" s="30" t="n"/>
      <c r="F172" s="28" t="n"/>
      <c r="G172" s="1" t="n"/>
    </row>
    <row r="173">
      <c r="A173" s="1" t="n"/>
      <c r="B173" s="26" t="n"/>
      <c r="C173" s="27" t="n"/>
      <c r="D173" s="30" t="n"/>
      <c r="E173" s="30" t="n"/>
      <c r="F173" s="28" t="n"/>
      <c r="G173" s="1" t="n"/>
    </row>
    <row r="174">
      <c r="A174" s="1" t="n"/>
      <c r="B174" s="26" t="n"/>
      <c r="C174" s="27" t="n"/>
      <c r="D174" s="30" t="n"/>
      <c r="E174" s="30" t="n"/>
      <c r="F174" s="28" t="n"/>
      <c r="G174" s="1" t="n"/>
    </row>
    <row r="175">
      <c r="A175" s="1" t="n"/>
      <c r="B175" s="26" t="n"/>
      <c r="C175" s="27" t="n"/>
      <c r="D175" s="30" t="n"/>
      <c r="E175" s="30" t="n"/>
      <c r="F175" s="28" t="n"/>
      <c r="G175" s="1" t="n"/>
    </row>
    <row r="176">
      <c r="A176" s="1" t="n"/>
      <c r="B176" s="26" t="n"/>
      <c r="C176" s="27" t="n"/>
      <c r="D176" s="30" t="n"/>
      <c r="E176" s="30" t="n"/>
      <c r="F176" s="28" t="n"/>
      <c r="G176" s="1" t="n"/>
    </row>
    <row r="177">
      <c r="A177" s="1" t="n"/>
      <c r="B177" s="26" t="n"/>
      <c r="C177" s="27" t="n"/>
      <c r="D177" s="30" t="n"/>
      <c r="E177" s="30" t="n"/>
      <c r="F177" s="28" t="n"/>
      <c r="G177" s="1" t="n"/>
    </row>
    <row r="178">
      <c r="A178" s="1" t="n"/>
      <c r="B178" s="26" t="n"/>
      <c r="C178" s="27" t="n"/>
      <c r="D178" s="30" t="n"/>
      <c r="E178" s="30" t="n"/>
      <c r="F178" s="28" t="n"/>
      <c r="G178" s="1" t="n"/>
    </row>
    <row r="179">
      <c r="A179" s="1" t="n"/>
      <c r="B179" s="26" t="n"/>
      <c r="C179" s="27" t="n"/>
      <c r="D179" s="30" t="n"/>
      <c r="E179" s="30" t="n"/>
      <c r="F179" s="28" t="n"/>
      <c r="G179" s="1" t="n"/>
    </row>
    <row r="180">
      <c r="A180" s="1" t="n"/>
      <c r="B180" s="26" t="n"/>
      <c r="C180" s="27" t="n"/>
      <c r="D180" s="30" t="n"/>
      <c r="E180" s="30" t="n"/>
      <c r="F180" s="28" t="n"/>
      <c r="G180" s="1" t="n"/>
    </row>
    <row r="181">
      <c r="A181" s="1" t="n"/>
      <c r="B181" s="26" t="n"/>
      <c r="C181" s="27" t="n"/>
      <c r="D181" s="30" t="n"/>
      <c r="E181" s="30" t="n"/>
      <c r="F181" s="28" t="n"/>
      <c r="G181" s="1" t="n"/>
    </row>
    <row r="182">
      <c r="A182" s="1" t="n"/>
      <c r="B182" s="26" t="n"/>
      <c r="C182" s="27" t="n"/>
      <c r="D182" s="30" t="n"/>
      <c r="E182" s="30" t="n"/>
      <c r="F182" s="28" t="n"/>
      <c r="G182" s="1" t="n"/>
    </row>
    <row r="183">
      <c r="A183" s="1" t="n"/>
      <c r="B183" s="26" t="n"/>
      <c r="C183" s="27" t="n"/>
      <c r="D183" s="30" t="n"/>
      <c r="E183" s="30" t="n"/>
      <c r="F183" s="28" t="n"/>
      <c r="G183" s="1" t="n"/>
    </row>
    <row r="184">
      <c r="A184" s="1" t="n"/>
      <c r="B184" s="26" t="n"/>
      <c r="C184" s="27" t="n"/>
      <c r="D184" s="30" t="n"/>
      <c r="E184" s="30" t="n"/>
      <c r="F184" s="28" t="n"/>
      <c r="G184" s="1" t="n"/>
    </row>
    <row r="185">
      <c r="A185" s="1" t="n"/>
      <c r="B185" s="26" t="n"/>
      <c r="C185" s="27" t="n"/>
      <c r="D185" s="30" t="n"/>
      <c r="E185" s="30" t="n"/>
      <c r="F185" s="28" t="n"/>
      <c r="G185" s="1" t="n"/>
    </row>
    <row r="186">
      <c r="A186" s="1" t="n"/>
      <c r="B186" s="26" t="n"/>
      <c r="C186" s="27" t="n"/>
      <c r="D186" s="30" t="n"/>
      <c r="E186" s="30" t="n"/>
      <c r="F186" s="28" t="n"/>
      <c r="G186" s="1" t="n"/>
    </row>
    <row r="187">
      <c r="A187" s="1" t="n"/>
      <c r="B187" s="26" t="n"/>
      <c r="C187" s="27" t="n"/>
      <c r="D187" s="30" t="n"/>
      <c r="E187" s="30" t="n"/>
      <c r="F187" s="28" t="n"/>
      <c r="G187" s="1" t="n"/>
    </row>
    <row r="188">
      <c r="A188" s="1" t="n"/>
      <c r="B188" s="26" t="n"/>
      <c r="C188" s="27" t="n"/>
      <c r="D188" s="30" t="n"/>
      <c r="E188" s="30" t="n"/>
      <c r="F188" s="28" t="n"/>
      <c r="G188" s="1" t="n"/>
    </row>
    <row r="189">
      <c r="A189" s="1" t="n"/>
      <c r="B189" s="26" t="n"/>
      <c r="C189" s="27" t="n"/>
      <c r="D189" s="30" t="n"/>
      <c r="E189" s="30" t="n"/>
      <c r="F189" s="28" t="n"/>
      <c r="G189" s="1" t="n"/>
    </row>
    <row r="190">
      <c r="A190" s="1" t="n"/>
      <c r="B190" s="26" t="n"/>
      <c r="C190" s="27" t="n"/>
      <c r="D190" s="30" t="n"/>
      <c r="E190" s="30" t="n"/>
      <c r="F190" s="28" t="n"/>
      <c r="G190" s="1" t="n"/>
    </row>
    <row r="191">
      <c r="A191" s="1" t="n"/>
      <c r="B191" s="26" t="n"/>
      <c r="C191" s="27" t="n"/>
      <c r="D191" s="30" t="n"/>
      <c r="E191" s="30" t="n"/>
      <c r="F191" s="28" t="n"/>
      <c r="G191" s="1" t="n"/>
    </row>
    <row r="192">
      <c r="A192" s="1" t="n"/>
      <c r="B192" s="26" t="n"/>
      <c r="C192" s="27" t="n"/>
      <c r="D192" s="30" t="n"/>
      <c r="E192" s="30" t="n"/>
      <c r="F192" s="28" t="n"/>
      <c r="G192" s="1" t="n"/>
    </row>
    <row r="193">
      <c r="A193" s="1" t="n"/>
      <c r="B193" s="26" t="n"/>
      <c r="C193" s="27" t="n"/>
      <c r="D193" s="30" t="n"/>
      <c r="E193" s="30" t="n"/>
      <c r="F193" s="28" t="n"/>
      <c r="G193" s="1" t="n"/>
    </row>
    <row r="194">
      <c r="A194" s="1" t="n"/>
      <c r="B194" s="26" t="n"/>
      <c r="C194" s="27" t="n"/>
      <c r="D194" s="30" t="n"/>
      <c r="E194" s="30" t="n"/>
      <c r="F194" s="28" t="n"/>
      <c r="G194" s="1" t="n"/>
    </row>
    <row r="195">
      <c r="A195" s="1" t="n"/>
      <c r="B195" s="26" t="n"/>
      <c r="C195" s="27" t="n"/>
      <c r="D195" s="30" t="n"/>
      <c r="E195" s="30" t="n"/>
      <c r="F195" s="28" t="n"/>
      <c r="G195" s="1" t="n"/>
    </row>
    <row r="196">
      <c r="A196" s="1" t="n"/>
      <c r="B196" s="26" t="n"/>
      <c r="C196" s="27" t="n"/>
      <c r="D196" s="30" t="n"/>
      <c r="E196" s="30" t="n"/>
      <c r="F196" s="28" t="n"/>
      <c r="G196" s="1" t="n"/>
    </row>
    <row r="197">
      <c r="A197" s="1" t="n"/>
      <c r="B197" s="26" t="n"/>
      <c r="C197" s="27" t="n"/>
      <c r="D197" s="30" t="n"/>
      <c r="E197" s="30" t="n"/>
      <c r="F197" s="28" t="n"/>
      <c r="G197" s="1" t="n"/>
    </row>
    <row r="198">
      <c r="A198" s="1" t="n"/>
      <c r="B198" s="26" t="n"/>
      <c r="C198" s="27" t="n"/>
      <c r="D198" s="30" t="n"/>
      <c r="E198" s="30" t="n"/>
      <c r="F198" s="28" t="n"/>
      <c r="G198" s="1" t="n"/>
    </row>
    <row r="199">
      <c r="A199" s="1" t="n"/>
      <c r="B199" s="26" t="n"/>
      <c r="C199" s="27" t="n"/>
      <c r="D199" s="30" t="n"/>
      <c r="E199" s="30" t="n"/>
      <c r="F199" s="28" t="n"/>
      <c r="G199" s="1" t="n"/>
    </row>
    <row r="200">
      <c r="A200" s="1" t="n"/>
      <c r="B200" s="26" t="n"/>
      <c r="C200" s="27" t="n"/>
      <c r="D200" s="30" t="n"/>
      <c r="E200" s="30" t="n"/>
      <c r="F200" s="28" t="n"/>
      <c r="G200" s="1" t="n"/>
    </row>
    <row r="201">
      <c r="A201" s="1" t="n"/>
      <c r="B201" s="26" t="n"/>
      <c r="C201" s="27" t="n"/>
      <c r="D201" s="30" t="n"/>
      <c r="E201" s="30" t="n"/>
      <c r="F201" s="28" t="n"/>
      <c r="G201" s="1" t="n"/>
    </row>
    <row r="202">
      <c r="A202" s="1" t="n"/>
      <c r="B202" s="26" t="n"/>
      <c r="C202" s="27" t="n"/>
      <c r="D202" s="30" t="n"/>
      <c r="E202" s="30" t="n"/>
      <c r="F202" s="28" t="n"/>
      <c r="G202" s="1" t="n"/>
    </row>
    <row r="203">
      <c r="A203" s="1" t="n"/>
      <c r="B203" s="26" t="n"/>
      <c r="C203" s="27" t="n"/>
      <c r="D203" s="30" t="n"/>
      <c r="E203" s="30" t="n"/>
      <c r="F203" s="28" t="n"/>
      <c r="G203" s="1" t="n"/>
    </row>
    <row r="204">
      <c r="A204" s="1" t="n"/>
      <c r="B204" s="26" t="n"/>
      <c r="C204" s="27" t="n"/>
      <c r="D204" s="30" t="n"/>
      <c r="E204" s="30" t="n"/>
      <c r="F204" s="28" t="n"/>
      <c r="G204" s="1" t="n"/>
    </row>
    <row r="205">
      <c r="A205" s="1" t="n"/>
      <c r="B205" s="26" t="n"/>
      <c r="C205" s="27" t="n"/>
      <c r="D205" s="30" t="n"/>
      <c r="E205" s="30" t="n"/>
      <c r="F205" s="28" t="n"/>
      <c r="G205" s="1" t="n"/>
    </row>
    <row r="206">
      <c r="A206" s="1" t="n"/>
      <c r="B206" s="26" t="n"/>
      <c r="C206" s="27" t="n"/>
      <c r="D206" s="30" t="n"/>
      <c r="E206" s="30" t="n"/>
      <c r="F206" s="28" t="n"/>
      <c r="G206" s="1" t="n"/>
    </row>
    <row r="207">
      <c r="A207" s="1" t="n"/>
      <c r="B207" s="26" t="n"/>
      <c r="C207" s="27" t="n"/>
      <c r="D207" s="30" t="n"/>
      <c r="E207" s="30" t="n"/>
      <c r="F207" s="28" t="n"/>
      <c r="G207" s="1" t="n"/>
    </row>
    <row r="208">
      <c r="A208" s="1" t="n"/>
      <c r="B208" s="26" t="n"/>
      <c r="C208" s="27" t="n"/>
      <c r="D208" s="30" t="n"/>
      <c r="E208" s="30" t="n"/>
      <c r="F208" s="28" t="n"/>
      <c r="G208" s="1" t="n"/>
    </row>
    <row r="209">
      <c r="A209" s="1" t="n"/>
      <c r="B209" s="26" t="n"/>
      <c r="C209" s="27" t="n"/>
      <c r="D209" s="30" t="n"/>
      <c r="E209" s="30" t="n"/>
      <c r="F209" s="28" t="n"/>
      <c r="G209" s="1" t="n"/>
    </row>
    <row r="210">
      <c r="A210" s="1" t="n"/>
      <c r="B210" s="26" t="n"/>
      <c r="C210" s="27" t="n"/>
      <c r="D210" s="30" t="n"/>
      <c r="E210" s="30" t="n"/>
      <c r="F210" s="28" t="n"/>
      <c r="G210" s="1" t="n"/>
    </row>
    <row r="211">
      <c r="A211" s="1" t="n"/>
      <c r="B211" s="26" t="n"/>
      <c r="C211" s="27" t="n"/>
      <c r="D211" s="30" t="n"/>
      <c r="E211" s="30" t="n"/>
      <c r="F211" s="28" t="n"/>
      <c r="G211" s="1" t="n"/>
    </row>
    <row r="212">
      <c r="A212" s="1" t="n"/>
      <c r="B212" s="26" t="n"/>
      <c r="C212" s="27" t="n"/>
      <c r="D212" s="30" t="n"/>
      <c r="E212" s="30" t="n"/>
      <c r="F212" s="28" t="n"/>
      <c r="G212" s="1" t="n"/>
    </row>
    <row r="213">
      <c r="A213" s="1" t="n"/>
      <c r="B213" s="26" t="n"/>
      <c r="C213" s="27" t="n"/>
      <c r="D213" s="30" t="n"/>
      <c r="E213" s="30" t="n"/>
      <c r="F213" s="28" t="n"/>
      <c r="G213" s="1" t="n"/>
    </row>
    <row r="214">
      <c r="A214" s="1" t="n"/>
      <c r="B214" s="26" t="n"/>
      <c r="C214" s="27" t="n"/>
      <c r="D214" s="30" t="n"/>
      <c r="E214" s="30" t="n"/>
      <c r="F214" s="28" t="n"/>
      <c r="G214" s="1" t="n"/>
    </row>
    <row r="215">
      <c r="A215" s="1" t="n"/>
      <c r="B215" s="26" t="n"/>
      <c r="C215" s="27" t="n"/>
      <c r="D215" s="30" t="n"/>
      <c r="E215" s="30" t="n"/>
      <c r="F215" s="28" t="n"/>
      <c r="G215" s="1" t="n"/>
    </row>
    <row r="216">
      <c r="A216" s="1" t="n"/>
      <c r="B216" s="26" t="n"/>
      <c r="C216" s="27" t="n"/>
      <c r="D216" s="30" t="n"/>
      <c r="E216" s="30" t="n"/>
      <c r="F216" s="28" t="n"/>
      <c r="G216" s="1" t="n"/>
    </row>
    <row r="217">
      <c r="A217" s="1" t="n"/>
      <c r="B217" s="26" t="n"/>
      <c r="C217" s="27" t="n"/>
      <c r="D217" s="30" t="n"/>
      <c r="E217" s="30" t="n"/>
      <c r="F217" s="28" t="n"/>
      <c r="G217" s="1" t="n"/>
    </row>
    <row r="218">
      <c r="A218" s="1" t="n"/>
      <c r="B218" s="26" t="n"/>
      <c r="C218" s="27" t="n"/>
      <c r="D218" s="30" t="n"/>
      <c r="E218" s="30" t="n"/>
      <c r="F218" s="28" t="n"/>
      <c r="G218" s="1" t="n"/>
    </row>
    <row r="219">
      <c r="A219" s="1" t="n"/>
      <c r="B219" s="26" t="n"/>
      <c r="C219" s="27" t="n"/>
      <c r="D219" s="30" t="n"/>
      <c r="E219" s="30" t="n"/>
      <c r="F219" s="28" t="n"/>
      <c r="G219" s="1" t="n"/>
    </row>
    <row r="220">
      <c r="A220" s="1" t="n"/>
      <c r="B220" s="26" t="n"/>
      <c r="C220" s="27" t="n"/>
      <c r="D220" s="30" t="n"/>
      <c r="E220" s="30" t="n"/>
      <c r="F220" s="28" t="n"/>
      <c r="G220" s="1" t="n"/>
    </row>
    <row r="221">
      <c r="A221" s="1" t="n"/>
      <c r="B221" s="26" t="n"/>
      <c r="C221" s="27" t="n"/>
      <c r="D221" s="30" t="n"/>
      <c r="E221" s="30" t="n"/>
      <c r="F221" s="28" t="n"/>
      <c r="G221" s="1" t="n"/>
    </row>
    <row r="222">
      <c r="A222" s="1" t="n"/>
      <c r="B222" s="26" t="n"/>
      <c r="C222" s="27" t="n"/>
      <c r="D222" s="30" t="n"/>
      <c r="E222" s="30" t="n"/>
      <c r="F222" s="28" t="n"/>
      <c r="G222" s="1" t="n"/>
    </row>
    <row r="223">
      <c r="A223" s="1" t="n"/>
      <c r="B223" s="26" t="n"/>
      <c r="C223" s="27" t="n"/>
      <c r="D223" s="30" t="n"/>
      <c r="E223" s="30" t="n"/>
      <c r="F223" s="28" t="n"/>
      <c r="G223" s="1" t="n"/>
    </row>
    <row r="224">
      <c r="A224" s="1" t="n"/>
      <c r="B224" s="26" t="n"/>
      <c r="C224" s="27" t="n"/>
      <c r="D224" s="30" t="n"/>
      <c r="E224" s="30" t="n"/>
      <c r="F224" s="28" t="n"/>
      <c r="G224" s="1" t="n"/>
    </row>
    <row r="225">
      <c r="A225" s="1" t="n"/>
      <c r="B225" s="26" t="n"/>
      <c r="C225" s="27" t="n"/>
      <c r="D225" s="30" t="n"/>
      <c r="E225" s="30" t="n"/>
      <c r="F225" s="28" t="n"/>
      <c r="G225" s="1" t="n"/>
    </row>
    <row r="226">
      <c r="A226" s="1" t="n"/>
      <c r="B226" s="26" t="n"/>
      <c r="C226" s="27" t="n"/>
      <c r="D226" s="30" t="n"/>
      <c r="E226" s="30" t="n"/>
      <c r="F226" s="28" t="n"/>
      <c r="G226" s="1" t="n"/>
    </row>
    <row r="227">
      <c r="A227" s="1" t="n"/>
      <c r="B227" s="26" t="n"/>
      <c r="C227" s="27" t="n"/>
      <c r="D227" s="30" t="n"/>
      <c r="E227" s="30" t="n"/>
      <c r="F227" s="28" t="n"/>
      <c r="G227" s="1" t="n"/>
    </row>
    <row r="228">
      <c r="A228" s="1" t="n"/>
      <c r="B228" s="26" t="n"/>
      <c r="C228" s="27" t="n"/>
      <c r="D228" s="30" t="n"/>
      <c r="E228" s="30" t="n"/>
      <c r="F228" s="28" t="n"/>
      <c r="G228" s="1" t="n"/>
    </row>
    <row r="229">
      <c r="A229" s="1" t="n"/>
      <c r="B229" s="26" t="n"/>
      <c r="C229" s="27" t="n"/>
      <c r="D229" s="30" t="n"/>
      <c r="E229" s="30" t="n"/>
      <c r="F229" s="28" t="n"/>
      <c r="G229" s="1" t="n"/>
    </row>
    <row r="230">
      <c r="A230" s="1" t="n"/>
      <c r="B230" s="26" t="n"/>
      <c r="C230" s="27" t="n"/>
      <c r="D230" s="30" t="n"/>
      <c r="E230" s="30" t="n"/>
      <c r="F230" s="28" t="n"/>
      <c r="G230" s="1" t="n"/>
    </row>
    <row r="231">
      <c r="A231" s="1" t="n"/>
      <c r="B231" s="26" t="n"/>
      <c r="C231" s="27" t="n"/>
      <c r="D231" s="30" t="n"/>
      <c r="E231" s="30" t="n"/>
      <c r="F231" s="28" t="n"/>
      <c r="G231" s="1" t="n"/>
    </row>
    <row r="232">
      <c r="A232" s="1" t="n"/>
      <c r="B232" s="26" t="n"/>
      <c r="C232" s="27" t="n"/>
      <c r="D232" s="30" t="n"/>
      <c r="E232" s="30" t="n"/>
      <c r="F232" s="28" t="n"/>
      <c r="G232" s="1" t="n"/>
    </row>
    <row r="233">
      <c r="A233" s="1" t="n"/>
      <c r="B233" s="26" t="n"/>
      <c r="C233" s="27" t="n"/>
      <c r="D233" s="30" t="n"/>
      <c r="E233" s="30" t="n"/>
      <c r="F233" s="28" t="n"/>
      <c r="G233" s="1" t="n"/>
    </row>
    <row r="234">
      <c r="A234" s="1" t="n"/>
      <c r="B234" s="26" t="n"/>
      <c r="C234" s="27" t="n"/>
      <c r="D234" s="30" t="n"/>
      <c r="E234" s="30" t="n"/>
      <c r="F234" s="28" t="n"/>
      <c r="G234" s="1" t="n"/>
    </row>
    <row r="235">
      <c r="A235" s="1" t="n"/>
      <c r="B235" s="26" t="n"/>
      <c r="C235" s="27" t="n"/>
      <c r="D235" s="30" t="n"/>
      <c r="E235" s="30" t="n"/>
      <c r="F235" s="28" t="n"/>
      <c r="G235" s="1" t="n"/>
    </row>
    <row r="236">
      <c r="A236" s="1" t="n"/>
      <c r="B236" s="26" t="n"/>
      <c r="C236" s="27" t="n"/>
      <c r="D236" s="30" t="n"/>
      <c r="E236" s="30" t="n"/>
      <c r="F236" s="28" t="n"/>
      <c r="G236" s="1" t="n"/>
    </row>
    <row r="237">
      <c r="A237" s="1" t="n"/>
      <c r="B237" s="26" t="n"/>
      <c r="C237" s="27" t="n"/>
      <c r="D237" s="30" t="n"/>
      <c r="E237" s="30" t="n"/>
      <c r="F237" s="28" t="n"/>
      <c r="G237" s="1" t="n"/>
    </row>
    <row r="238">
      <c r="A238" s="1" t="n"/>
      <c r="B238" s="26" t="n"/>
      <c r="C238" s="27" t="n"/>
      <c r="D238" s="30" t="n"/>
      <c r="E238" s="30" t="n"/>
      <c r="F238" s="28" t="n"/>
      <c r="G238" s="1" t="n"/>
    </row>
    <row r="239">
      <c r="A239" s="1" t="n"/>
      <c r="B239" s="26" t="n"/>
      <c r="C239" s="27" t="n"/>
      <c r="D239" s="30" t="n"/>
      <c r="E239" s="30" t="n"/>
      <c r="F239" s="28" t="n"/>
      <c r="G239" s="1" t="n"/>
    </row>
    <row r="240">
      <c r="A240" s="1" t="n"/>
      <c r="B240" s="26" t="n"/>
      <c r="C240" s="27" t="n"/>
      <c r="D240" s="30" t="n"/>
      <c r="E240" s="30" t="n"/>
      <c r="F240" s="28" t="n"/>
      <c r="G240" s="1" t="n"/>
    </row>
    <row r="241">
      <c r="A241" s="1" t="n"/>
      <c r="B241" s="26" t="n"/>
      <c r="C241" s="27" t="n"/>
      <c r="D241" s="30" t="n"/>
      <c r="E241" s="30" t="n"/>
      <c r="F241" s="28" t="n"/>
      <c r="G241" s="1" t="n"/>
    </row>
    <row r="242">
      <c r="A242" s="1" t="n"/>
      <c r="B242" s="26" t="n"/>
      <c r="C242" s="27" t="n"/>
      <c r="D242" s="30" t="n"/>
      <c r="E242" s="30" t="n"/>
      <c r="F242" s="28" t="n"/>
      <c r="G242" s="1" t="n"/>
    </row>
    <row r="243">
      <c r="A243" s="1" t="n"/>
      <c r="B243" s="26" t="n"/>
      <c r="C243" s="27" t="n"/>
      <c r="D243" s="30" t="n"/>
      <c r="E243" s="30" t="n"/>
      <c r="F243" s="28" t="n"/>
      <c r="G243" s="1" t="n"/>
    </row>
    <row r="244">
      <c r="A244" s="1" t="n"/>
      <c r="B244" s="26" t="n"/>
      <c r="C244" s="27" t="n"/>
      <c r="D244" s="30" t="n"/>
      <c r="E244" s="30" t="n"/>
      <c r="F244" s="28" t="n"/>
      <c r="G244" s="1" t="n"/>
    </row>
    <row r="245">
      <c r="A245" s="1" t="n"/>
      <c r="B245" s="26" t="n"/>
      <c r="C245" s="27" t="n"/>
      <c r="D245" s="30" t="n"/>
      <c r="E245" s="30" t="n"/>
      <c r="F245" s="28" t="n"/>
      <c r="G245" s="1" t="n"/>
    </row>
    <row r="246">
      <c r="A246" s="1" t="n"/>
      <c r="B246" s="26" t="n"/>
      <c r="C246" s="27" t="n"/>
      <c r="D246" s="30" t="n"/>
      <c r="E246" s="30" t="n"/>
      <c r="F246" s="28" t="n"/>
      <c r="G246" s="1" t="n"/>
    </row>
    <row r="247">
      <c r="A247" s="1" t="n"/>
      <c r="B247" s="26" t="n"/>
      <c r="C247" s="27" t="n"/>
      <c r="D247" s="30" t="n"/>
      <c r="E247" s="30" t="n"/>
      <c r="F247" s="28" t="n"/>
      <c r="G247" s="1" t="n"/>
    </row>
    <row r="248">
      <c r="A248" s="1" t="n"/>
      <c r="B248" s="26" t="n"/>
      <c r="C248" s="27" t="n"/>
      <c r="D248" s="30" t="n"/>
      <c r="E248" s="30" t="n"/>
      <c r="F248" s="28" t="n"/>
      <c r="G248" s="1" t="n"/>
    </row>
    <row r="249">
      <c r="A249" s="1" t="n"/>
      <c r="B249" s="26" t="n"/>
      <c r="C249" s="27" t="n"/>
      <c r="D249" s="30" t="n"/>
      <c r="E249" s="30" t="n"/>
      <c r="F249" s="28" t="n"/>
      <c r="G249" s="1" t="n"/>
    </row>
    <row r="250">
      <c r="A250" s="1" t="n"/>
      <c r="B250" s="26" t="n"/>
      <c r="C250" s="27" t="n"/>
      <c r="D250" s="30" t="n"/>
      <c r="E250" s="30" t="n"/>
      <c r="F250" s="28" t="n"/>
      <c r="G250" s="1" t="n"/>
    </row>
    <row r="251">
      <c r="A251" s="1" t="n"/>
      <c r="B251" s="26" t="n"/>
      <c r="C251" s="27" t="n"/>
      <c r="D251" s="30" t="n"/>
      <c r="E251" s="30" t="n"/>
      <c r="F251" s="28" t="n"/>
      <c r="G251" s="1" t="n"/>
    </row>
    <row r="252">
      <c r="A252" s="1" t="n"/>
      <c r="B252" s="26" t="n"/>
      <c r="C252" s="27" t="n"/>
      <c r="D252" s="30" t="n"/>
      <c r="E252" s="30" t="n"/>
      <c r="F252" s="28" t="n"/>
      <c r="G252" s="1" t="n"/>
    </row>
    <row r="253">
      <c r="A253" s="1" t="n"/>
      <c r="B253" s="26" t="n"/>
      <c r="C253" s="27" t="n"/>
      <c r="D253" s="30" t="n"/>
      <c r="E253" s="30" t="n"/>
      <c r="F253" s="28" t="n"/>
      <c r="G253" s="1" t="n"/>
    </row>
    <row r="254">
      <c r="A254" s="1" t="n"/>
      <c r="B254" s="26" t="n"/>
      <c r="C254" s="27" t="n"/>
      <c r="D254" s="30" t="n"/>
      <c r="E254" s="30" t="n"/>
      <c r="F254" s="28" t="n"/>
      <c r="G254" s="1" t="n"/>
    </row>
    <row r="255">
      <c r="A255" s="1" t="n"/>
      <c r="B255" s="26" t="n"/>
      <c r="C255" s="27" t="n"/>
      <c r="D255" s="30" t="n"/>
      <c r="E255" s="30" t="n"/>
      <c r="F255" s="28" t="n"/>
      <c r="G255" s="1" t="n"/>
    </row>
    <row r="256">
      <c r="A256" s="1" t="n"/>
      <c r="B256" s="26" t="n"/>
      <c r="C256" s="27" t="n"/>
      <c r="D256" s="30" t="n"/>
      <c r="E256" s="30" t="n"/>
      <c r="F256" s="28" t="n"/>
      <c r="G256" s="1" t="n"/>
    </row>
    <row r="257">
      <c r="A257" s="1" t="n"/>
      <c r="B257" s="26" t="n"/>
      <c r="C257" s="27" t="n"/>
      <c r="D257" s="30" t="n"/>
      <c r="E257" s="30" t="n"/>
      <c r="F257" s="28" t="n"/>
      <c r="G257" s="1" t="n"/>
    </row>
    <row r="258">
      <c r="A258" s="1" t="n"/>
      <c r="B258" s="26" t="n"/>
      <c r="C258" s="27" t="n"/>
      <c r="D258" s="30" t="n"/>
      <c r="E258" s="30" t="n"/>
      <c r="F258" s="28" t="n"/>
      <c r="G258" s="1" t="n"/>
    </row>
    <row r="259">
      <c r="A259" s="1" t="n"/>
      <c r="B259" s="26" t="n"/>
      <c r="C259" s="27" t="n"/>
      <c r="D259" s="30" t="n"/>
      <c r="E259" s="30" t="n"/>
      <c r="F259" s="28" t="n"/>
      <c r="G259" s="1" t="n"/>
    </row>
    <row r="260">
      <c r="A260" s="1" t="n"/>
      <c r="B260" s="26" t="n"/>
      <c r="C260" s="27" t="n"/>
      <c r="D260" s="30" t="n"/>
      <c r="E260" s="30" t="n"/>
      <c r="F260" s="28" t="n"/>
      <c r="G260" s="1" t="n"/>
    </row>
    <row r="261">
      <c r="A261" s="1" t="n"/>
      <c r="B261" s="26" t="n"/>
      <c r="C261" s="27" t="n"/>
      <c r="D261" s="30" t="n"/>
      <c r="E261" s="30" t="n"/>
      <c r="F261" s="28" t="n"/>
      <c r="G261" s="1" t="n"/>
    </row>
    <row r="262">
      <c r="A262" s="1" t="n"/>
      <c r="B262" s="26" t="n"/>
      <c r="C262" s="27" t="n"/>
      <c r="D262" s="30" t="n"/>
      <c r="E262" s="30" t="n"/>
      <c r="F262" s="28" t="n"/>
      <c r="G262" s="1" t="n"/>
    </row>
    <row r="263">
      <c r="A263" s="1" t="n"/>
      <c r="B263" s="26" t="n"/>
      <c r="C263" s="27" t="n"/>
      <c r="D263" s="30" t="n"/>
      <c r="E263" s="30" t="n"/>
      <c r="F263" s="28" t="n"/>
      <c r="G263" s="1" t="n"/>
    </row>
    <row r="264">
      <c r="A264" s="1" t="n"/>
      <c r="B264" s="26" t="n"/>
      <c r="C264" s="27" t="n"/>
      <c r="D264" s="30" t="n"/>
      <c r="E264" s="30" t="n"/>
      <c r="F264" s="28" t="n"/>
      <c r="G264" s="1" t="n"/>
    </row>
    <row r="265">
      <c r="A265" s="1" t="n"/>
      <c r="B265" s="26" t="n"/>
      <c r="C265" s="27" t="n"/>
      <c r="D265" s="30" t="n"/>
      <c r="E265" s="30" t="n"/>
      <c r="F265" s="28" t="n"/>
      <c r="G265" s="1" t="n"/>
    </row>
    <row r="266">
      <c r="A266" s="1" t="n"/>
      <c r="B266" s="26" t="n"/>
      <c r="C266" s="27" t="n"/>
      <c r="D266" s="30" t="n"/>
      <c r="E266" s="30" t="n"/>
      <c r="F266" s="28" t="n"/>
      <c r="G266" s="1" t="n"/>
    </row>
    <row r="267">
      <c r="A267" s="1" t="n"/>
      <c r="B267" s="26" t="n"/>
      <c r="C267" s="27" t="n"/>
      <c r="D267" s="30" t="n"/>
      <c r="E267" s="30" t="n"/>
      <c r="F267" s="28" t="n"/>
      <c r="G267" s="1" t="n"/>
    </row>
    <row r="268">
      <c r="A268" s="1" t="n"/>
      <c r="B268" s="26" t="n"/>
      <c r="C268" s="27" t="n"/>
      <c r="D268" s="30" t="n"/>
      <c r="E268" s="30" t="n"/>
      <c r="F268" s="28" t="n"/>
      <c r="G268" s="1" t="n"/>
    </row>
    <row r="269">
      <c r="A269" s="1" t="n"/>
      <c r="B269" s="26" t="n"/>
      <c r="C269" s="27" t="n"/>
      <c r="D269" s="30" t="n"/>
      <c r="E269" s="30" t="n"/>
      <c r="F269" s="28" t="n"/>
      <c r="G269" s="1" t="n"/>
    </row>
    <row r="270">
      <c r="A270" s="1" t="n"/>
      <c r="B270" s="26" t="n"/>
      <c r="C270" s="27" t="n"/>
      <c r="D270" s="30" t="n"/>
      <c r="E270" s="30" t="n"/>
      <c r="F270" s="28" t="n"/>
      <c r="G270" s="1" t="n"/>
    </row>
    <row r="271">
      <c r="A271" s="1" t="n"/>
      <c r="B271" s="26" t="n"/>
      <c r="C271" s="27" t="n"/>
      <c r="D271" s="30" t="n"/>
      <c r="E271" s="30" t="n"/>
      <c r="F271" s="28" t="n"/>
      <c r="G271" s="1" t="n"/>
    </row>
    <row r="272">
      <c r="A272" s="1" t="n"/>
      <c r="B272" s="26" t="n"/>
      <c r="C272" s="27" t="n"/>
      <c r="D272" s="30" t="n"/>
      <c r="E272" s="30" t="n"/>
      <c r="F272" s="28" t="n"/>
      <c r="G272" s="1" t="n"/>
    </row>
    <row r="273">
      <c r="A273" s="1" t="n"/>
      <c r="B273" s="26" t="n"/>
      <c r="C273" s="27" t="n"/>
      <c r="D273" s="30" t="n"/>
      <c r="E273" s="30" t="n"/>
      <c r="F273" s="28" t="n"/>
      <c r="G273" s="1" t="n"/>
    </row>
    <row r="274">
      <c r="A274" s="1" t="n"/>
      <c r="B274" s="26" t="n"/>
      <c r="C274" s="27" t="n"/>
      <c r="D274" s="30" t="n"/>
      <c r="E274" s="30" t="n"/>
      <c r="F274" s="28" t="n"/>
      <c r="G274" s="1" t="n"/>
    </row>
    <row r="275">
      <c r="A275" s="1" t="n"/>
      <c r="B275" s="26" t="n"/>
      <c r="C275" s="27" t="n"/>
      <c r="D275" s="30" t="n"/>
      <c r="E275" s="30" t="n"/>
      <c r="F275" s="28" t="n"/>
      <c r="G275" s="1" t="n"/>
    </row>
    <row r="276">
      <c r="A276" s="1" t="n"/>
      <c r="B276" s="26" t="n"/>
      <c r="C276" s="27" t="n"/>
      <c r="D276" s="30" t="n"/>
      <c r="E276" s="30" t="n"/>
      <c r="F276" s="28" t="n"/>
      <c r="G276" s="1" t="n"/>
    </row>
    <row r="277">
      <c r="A277" s="1" t="n"/>
      <c r="B277" s="26" t="n"/>
      <c r="C277" s="27" t="n"/>
      <c r="D277" s="30" t="n"/>
      <c r="E277" s="30" t="n"/>
      <c r="F277" s="28" t="n"/>
      <c r="G277" s="1" t="n"/>
    </row>
    <row r="278">
      <c r="A278" s="1" t="n"/>
      <c r="B278" s="26" t="n"/>
      <c r="C278" s="27" t="n"/>
      <c r="D278" s="30" t="n"/>
      <c r="E278" s="30" t="n"/>
      <c r="F278" s="28" t="n"/>
      <c r="G278" s="1" t="n"/>
    </row>
    <row r="279">
      <c r="A279" s="1" t="n"/>
      <c r="B279" s="26" t="n"/>
      <c r="C279" s="27" t="n"/>
      <c r="D279" s="30" t="n"/>
      <c r="E279" s="30" t="n"/>
      <c r="F279" s="28" t="n"/>
      <c r="G279" s="1" t="n"/>
    </row>
    <row r="280">
      <c r="A280" s="1" t="n"/>
      <c r="B280" s="26" t="n"/>
      <c r="C280" s="27" t="n"/>
      <c r="D280" s="30" t="n"/>
      <c r="E280" s="30" t="n"/>
      <c r="F280" s="28" t="n"/>
      <c r="G280" s="1" t="n"/>
    </row>
    <row r="281">
      <c r="A281" s="1" t="n"/>
      <c r="B281" s="26" t="n"/>
      <c r="C281" s="27" t="n"/>
      <c r="D281" s="30" t="n"/>
      <c r="E281" s="30" t="n"/>
      <c r="F281" s="28" t="n"/>
      <c r="G281" s="1" t="n"/>
    </row>
    <row r="282">
      <c r="A282" s="1" t="n"/>
      <c r="B282" s="26" t="n"/>
      <c r="C282" s="27" t="n"/>
      <c r="D282" s="30" t="n"/>
      <c r="E282" s="30" t="n"/>
      <c r="F282" s="28" t="n"/>
      <c r="G282" s="1" t="n"/>
    </row>
    <row r="283">
      <c r="A283" s="1" t="n"/>
      <c r="B283" s="26" t="n"/>
      <c r="C283" s="27" t="n"/>
      <c r="D283" s="30" t="n"/>
      <c r="E283" s="30" t="n"/>
      <c r="F283" s="28" t="n"/>
      <c r="G283" s="1" t="n"/>
    </row>
    <row r="284">
      <c r="A284" s="1" t="n"/>
      <c r="B284" s="26" t="n"/>
      <c r="C284" s="27" t="n"/>
      <c r="D284" s="30" t="n"/>
      <c r="E284" s="30" t="n"/>
      <c r="F284" s="28" t="n"/>
      <c r="G284" s="1" t="n"/>
    </row>
    <row r="285">
      <c r="A285" s="1" t="n"/>
      <c r="B285" s="26" t="n"/>
      <c r="C285" s="27" t="n"/>
      <c r="D285" s="30" t="n"/>
      <c r="E285" s="30" t="n"/>
      <c r="F285" s="28" t="n"/>
      <c r="G285" s="1" t="n"/>
    </row>
    <row r="286">
      <c r="A286" s="1" t="n"/>
      <c r="B286" s="26" t="n"/>
      <c r="C286" s="27" t="n"/>
      <c r="D286" s="30" t="n"/>
      <c r="E286" s="30" t="n"/>
      <c r="F286" s="28" t="n"/>
      <c r="G286" s="1" t="n"/>
    </row>
    <row r="287">
      <c r="A287" s="1" t="n"/>
      <c r="B287" s="26" t="n"/>
      <c r="C287" s="27" t="n"/>
      <c r="D287" s="30" t="n"/>
      <c r="E287" s="30" t="n"/>
      <c r="F287" s="28" t="n"/>
      <c r="G287" s="1" t="n"/>
    </row>
    <row r="288">
      <c r="A288" s="1" t="n"/>
      <c r="B288" s="26" t="n"/>
      <c r="C288" s="27" t="n"/>
      <c r="D288" s="30" t="n"/>
      <c r="E288" s="30" t="n"/>
      <c r="F288" s="28" t="n"/>
      <c r="G288" s="1" t="n"/>
    </row>
    <row r="289">
      <c r="A289" s="1" t="n"/>
      <c r="B289" s="26" t="n"/>
      <c r="C289" s="27" t="n"/>
      <c r="D289" s="30" t="n"/>
      <c r="E289" s="30" t="n"/>
      <c r="F289" s="28" t="n"/>
      <c r="G289" s="1" t="n"/>
    </row>
    <row r="290">
      <c r="A290" s="1" t="n"/>
      <c r="B290" s="26" t="n"/>
      <c r="C290" s="27" t="n"/>
      <c r="D290" s="30" t="n"/>
      <c r="E290" s="30" t="n"/>
      <c r="F290" s="28" t="n"/>
      <c r="G290" s="1" t="n"/>
    </row>
    <row r="291">
      <c r="A291" s="1" t="n"/>
      <c r="B291" s="26" t="n"/>
      <c r="C291" s="27" t="n"/>
      <c r="D291" s="30" t="n"/>
      <c r="E291" s="30" t="n"/>
      <c r="F291" s="28" t="n"/>
      <c r="G291" s="1" t="n"/>
    </row>
    <row r="292">
      <c r="A292" s="1" t="n"/>
      <c r="B292" s="26" t="n"/>
      <c r="C292" s="27" t="n"/>
      <c r="D292" s="30" t="n"/>
      <c r="E292" s="30" t="n"/>
      <c r="F292" s="28" t="n"/>
      <c r="G292" s="1" t="n"/>
    </row>
    <row r="293">
      <c r="A293" s="1" t="n"/>
      <c r="B293" s="26" t="n"/>
      <c r="C293" s="27" t="n"/>
      <c r="D293" s="30" t="n"/>
      <c r="E293" s="30" t="n"/>
      <c r="F293" s="28" t="n"/>
      <c r="G293" s="1" t="n"/>
    </row>
    <row r="294">
      <c r="A294" s="1" t="n"/>
      <c r="B294" s="26" t="n"/>
      <c r="C294" s="27" t="n"/>
      <c r="D294" s="30" t="n"/>
      <c r="E294" s="30" t="n"/>
      <c r="F294" s="28" t="n"/>
      <c r="G294" s="1" t="n"/>
    </row>
    <row r="295">
      <c r="A295" s="1" t="n"/>
      <c r="B295" s="26" t="n"/>
      <c r="C295" s="27" t="n"/>
      <c r="D295" s="30" t="n"/>
      <c r="E295" s="30" t="n"/>
      <c r="F295" s="28" t="n"/>
      <c r="G295" s="1" t="n"/>
    </row>
    <row r="296">
      <c r="A296" s="1" t="n"/>
      <c r="B296" s="26" t="n"/>
      <c r="C296" s="27" t="n"/>
      <c r="D296" s="30" t="n"/>
      <c r="E296" s="30" t="n"/>
      <c r="F296" s="28" t="n"/>
      <c r="G296" s="1" t="n"/>
    </row>
    <row r="297">
      <c r="A297" s="1" t="n"/>
      <c r="B297" s="26" t="n"/>
      <c r="C297" s="27" t="n"/>
      <c r="D297" s="30" t="n"/>
      <c r="E297" s="30" t="n"/>
      <c r="F297" s="28" t="n"/>
      <c r="G297" s="1" t="n"/>
    </row>
    <row r="298">
      <c r="A298" s="1" t="n"/>
      <c r="B298" s="26" t="n"/>
      <c r="C298" s="27" t="n"/>
      <c r="D298" s="30" t="n"/>
      <c r="E298" s="30" t="n"/>
      <c r="F298" s="28" t="n"/>
      <c r="G298" s="1" t="n"/>
    </row>
    <row r="299">
      <c r="A299" s="1" t="n"/>
      <c r="B299" s="26" t="n"/>
      <c r="C299" s="27" t="n"/>
      <c r="D299" s="30" t="n"/>
      <c r="E299" s="30" t="n"/>
      <c r="F299" s="28" t="n"/>
      <c r="G299" s="1" t="n"/>
    </row>
    <row r="300">
      <c r="A300" s="1" t="n"/>
      <c r="B300" s="26" t="n"/>
      <c r="C300" s="27" t="n"/>
      <c r="D300" s="30" t="n"/>
      <c r="E300" s="30" t="n"/>
      <c r="F300" s="28" t="n"/>
      <c r="G300" s="1" t="n"/>
    </row>
    <row r="301">
      <c r="A301" s="1" t="n"/>
      <c r="B301" s="26" t="n"/>
      <c r="C301" s="27" t="n"/>
      <c r="D301" s="30" t="n"/>
      <c r="E301" s="30" t="n"/>
      <c r="F301" s="28" t="n"/>
      <c r="G301" s="1" t="n"/>
    </row>
    <row r="302">
      <c r="A302" s="1" t="n"/>
      <c r="B302" s="26" t="n"/>
      <c r="C302" s="27" t="n"/>
      <c r="D302" s="30" t="n"/>
      <c r="E302" s="30" t="n"/>
      <c r="F302" s="28" t="n"/>
      <c r="G302" s="1" t="n"/>
    </row>
    <row r="303">
      <c r="A303" s="1" t="n"/>
      <c r="B303" s="26" t="n"/>
      <c r="C303" s="27" t="n"/>
      <c r="D303" s="30" t="n"/>
      <c r="E303" s="30" t="n"/>
      <c r="F303" s="28" t="n"/>
      <c r="G303" s="1" t="n"/>
    </row>
    <row r="304">
      <c r="A304" s="1" t="n"/>
      <c r="B304" s="26" t="n"/>
      <c r="C304" s="27" t="n"/>
      <c r="D304" s="30" t="n"/>
      <c r="E304" s="30" t="n"/>
      <c r="F304" s="28" t="n"/>
      <c r="G304" s="1" t="n"/>
    </row>
    <row r="305">
      <c r="A305" s="1" t="n"/>
      <c r="B305" s="26" t="n"/>
      <c r="C305" s="27" t="n"/>
      <c r="D305" s="30" t="n"/>
      <c r="E305" s="30" t="n"/>
      <c r="F305" s="28" t="n"/>
      <c r="G305" s="1" t="n"/>
    </row>
    <row r="306">
      <c r="A306" s="1" t="n"/>
      <c r="B306" s="26" t="n"/>
      <c r="C306" s="27" t="n"/>
      <c r="D306" s="30" t="n"/>
      <c r="E306" s="30" t="n"/>
      <c r="F306" s="28" t="n"/>
      <c r="G306" s="1" t="n"/>
    </row>
    <row r="307">
      <c r="A307" s="1" t="n"/>
      <c r="B307" s="26" t="n"/>
      <c r="C307" s="27" t="n"/>
      <c r="D307" s="30" t="n"/>
      <c r="E307" s="30" t="n"/>
      <c r="F307" s="28" t="n"/>
      <c r="G307" s="1" t="n"/>
    </row>
    <row r="308">
      <c r="A308" s="1" t="n"/>
      <c r="B308" s="26" t="n"/>
      <c r="C308" s="27" t="n"/>
      <c r="D308" s="30" t="n"/>
      <c r="E308" s="30" t="n"/>
      <c r="F308" s="28" t="n"/>
      <c r="G308" s="1" t="n"/>
    </row>
    <row r="309">
      <c r="A309" s="1" t="n"/>
      <c r="B309" s="26" t="n"/>
      <c r="C309" s="27" t="n"/>
      <c r="D309" s="30" t="n"/>
      <c r="E309" s="30" t="n"/>
      <c r="F309" s="28" t="n"/>
      <c r="G309" s="1" t="n"/>
    </row>
    <row r="310">
      <c r="A310" s="1" t="n"/>
      <c r="B310" s="26" t="n"/>
      <c r="C310" s="27" t="n"/>
      <c r="D310" s="30" t="n"/>
      <c r="E310" s="30" t="n"/>
      <c r="F310" s="28" t="n"/>
      <c r="G310" s="1" t="n"/>
    </row>
    <row r="311">
      <c r="A311" s="1" t="n"/>
      <c r="B311" s="26" t="n"/>
      <c r="C311" s="27" t="n"/>
      <c r="D311" s="30" t="n"/>
      <c r="E311" s="30" t="n"/>
      <c r="F311" s="28" t="n"/>
      <c r="G311" s="1" t="n"/>
    </row>
    <row r="312">
      <c r="A312" s="1" t="n"/>
      <c r="B312" s="26" t="n"/>
      <c r="C312" s="27" t="n"/>
      <c r="D312" s="30" t="n"/>
      <c r="E312" s="30" t="n"/>
      <c r="F312" s="28" t="n"/>
      <c r="G312" s="1" t="n"/>
    </row>
    <row r="313">
      <c r="A313" s="1" t="n"/>
      <c r="B313" s="26" t="n"/>
      <c r="C313" s="27" t="n"/>
      <c r="D313" s="30" t="n"/>
      <c r="E313" s="30" t="n"/>
      <c r="F313" s="28" t="n"/>
      <c r="G313" s="1" t="n"/>
    </row>
    <row r="314">
      <c r="A314" s="1" t="n"/>
      <c r="B314" s="26" t="n"/>
      <c r="C314" s="27" t="n"/>
      <c r="D314" s="30" t="n"/>
      <c r="E314" s="30" t="n"/>
      <c r="F314" s="28" t="n"/>
      <c r="G314" s="1" t="n"/>
    </row>
    <row r="315">
      <c r="A315" s="1" t="n"/>
      <c r="B315" s="26" t="n"/>
      <c r="C315" s="27" t="n"/>
      <c r="D315" s="30" t="n"/>
      <c r="E315" s="30" t="n"/>
      <c r="F315" s="28" t="n"/>
      <c r="G315" s="1" t="n"/>
    </row>
    <row r="316">
      <c r="A316" s="1" t="n"/>
      <c r="B316" s="26" t="n"/>
      <c r="C316" s="27" t="n"/>
      <c r="D316" s="30" t="n"/>
      <c r="E316" s="30" t="n"/>
      <c r="F316" s="28" t="n"/>
      <c r="G316" s="1" t="n"/>
    </row>
    <row r="317">
      <c r="A317" s="1" t="n"/>
      <c r="B317" s="26" t="n"/>
      <c r="C317" s="27" t="n"/>
      <c r="D317" s="30" t="n"/>
      <c r="E317" s="30" t="n"/>
      <c r="F317" s="28" t="n"/>
      <c r="G317" s="1" t="n"/>
    </row>
    <row r="318">
      <c r="A318" s="1" t="n"/>
      <c r="B318" s="26" t="n"/>
      <c r="C318" s="27" t="n"/>
      <c r="D318" s="30" t="n"/>
      <c r="E318" s="30" t="n"/>
      <c r="F318" s="28" t="n"/>
      <c r="G318" s="1" t="n"/>
    </row>
    <row r="319">
      <c r="A319" s="1" t="n"/>
      <c r="B319" s="26" t="n"/>
      <c r="C319" s="27" t="n"/>
      <c r="D319" s="30" t="n"/>
      <c r="E319" s="30" t="n"/>
      <c r="F319" s="28" t="n"/>
      <c r="G319" s="1" t="n"/>
    </row>
    <row r="320">
      <c r="A320" s="1" t="n"/>
      <c r="B320" s="26" t="n"/>
      <c r="C320" s="27" t="n"/>
      <c r="D320" s="30" t="n"/>
      <c r="E320" s="30" t="n"/>
      <c r="F320" s="28" t="n"/>
      <c r="G320" s="1" t="n"/>
    </row>
    <row r="321">
      <c r="A321" s="1" t="n"/>
      <c r="B321" s="26" t="n"/>
      <c r="C321" s="27" t="n"/>
      <c r="D321" s="30" t="n"/>
      <c r="E321" s="30" t="n"/>
      <c r="F321" s="28" t="n"/>
      <c r="G321" s="1" t="n"/>
    </row>
    <row r="322">
      <c r="A322" s="1" t="n"/>
      <c r="B322" s="26" t="n"/>
      <c r="C322" s="27" t="n"/>
      <c r="D322" s="30" t="n"/>
      <c r="E322" s="30" t="n"/>
      <c r="F322" s="28" t="n"/>
      <c r="G322" s="1" t="n"/>
    </row>
    <row r="323">
      <c r="A323" s="1" t="n"/>
      <c r="B323" s="26" t="n"/>
      <c r="C323" s="27" t="n"/>
      <c r="D323" s="30" t="n"/>
      <c r="E323" s="30" t="n"/>
      <c r="F323" s="28" t="n"/>
      <c r="G323" s="1" t="n"/>
    </row>
    <row r="324">
      <c r="A324" s="1" t="n"/>
      <c r="B324" s="26" t="n"/>
      <c r="C324" s="27" t="n"/>
      <c r="D324" s="30" t="n"/>
      <c r="E324" s="30" t="n"/>
      <c r="F324" s="28" t="n"/>
      <c r="G324" s="1" t="n"/>
    </row>
    <row r="325">
      <c r="A325" s="1" t="n"/>
      <c r="B325" s="26" t="n"/>
      <c r="C325" s="27" t="n"/>
      <c r="D325" s="30" t="n"/>
      <c r="E325" s="30" t="n"/>
      <c r="F325" s="28" t="n"/>
      <c r="G325" s="1" t="n"/>
    </row>
    <row r="326">
      <c r="A326" s="1" t="n"/>
      <c r="B326" s="26" t="n"/>
      <c r="C326" s="27" t="n"/>
      <c r="D326" s="30" t="n"/>
      <c r="E326" s="30" t="n"/>
      <c r="F326" s="28" t="n"/>
      <c r="G326" s="1" t="n"/>
    </row>
    <row r="327">
      <c r="A327" s="1" t="n"/>
      <c r="B327" s="26" t="n"/>
      <c r="C327" s="27" t="n"/>
      <c r="D327" s="30" t="n"/>
      <c r="E327" s="30" t="n"/>
      <c r="F327" s="28" t="n"/>
      <c r="G327" s="1" t="n"/>
    </row>
    <row r="328">
      <c r="A328" s="1" t="n"/>
      <c r="B328" s="26" t="n"/>
      <c r="C328" s="27" t="n"/>
      <c r="D328" s="30" t="n"/>
      <c r="E328" s="30" t="n"/>
      <c r="F328" s="28" t="n"/>
      <c r="G328" s="1" t="n"/>
    </row>
    <row r="329">
      <c r="A329" s="1" t="n"/>
      <c r="B329" s="26" t="n"/>
      <c r="C329" s="27" t="n"/>
      <c r="D329" s="30" t="n"/>
      <c r="E329" s="30" t="n"/>
      <c r="F329" s="28" t="n"/>
      <c r="G329" s="1" t="n"/>
    </row>
    <row r="330">
      <c r="A330" s="1" t="n"/>
      <c r="B330" s="26" t="n"/>
      <c r="C330" s="27" t="n"/>
      <c r="D330" s="30" t="n"/>
      <c r="E330" s="30" t="n"/>
      <c r="F330" s="28" t="n"/>
      <c r="G330" s="1" t="n"/>
    </row>
    <row r="331">
      <c r="A331" s="1" t="n"/>
      <c r="B331" s="26" t="n"/>
      <c r="C331" s="27" t="n"/>
      <c r="D331" s="30" t="n"/>
      <c r="E331" s="30" t="n"/>
      <c r="F331" s="28" t="n"/>
      <c r="G331" s="1" t="n"/>
    </row>
    <row r="332">
      <c r="A332" s="1" t="n"/>
      <c r="B332" s="26" t="n"/>
      <c r="C332" s="27" t="n"/>
      <c r="D332" s="30" t="n"/>
      <c r="E332" s="30" t="n"/>
      <c r="F332" s="28" t="n"/>
      <c r="G332" s="1" t="n"/>
    </row>
    <row r="333">
      <c r="A333" s="1" t="n"/>
      <c r="B333" s="26" t="n"/>
      <c r="C333" s="27" t="n"/>
      <c r="D333" s="30" t="n"/>
      <c r="E333" s="30" t="n"/>
      <c r="F333" s="28" t="n"/>
      <c r="G333" s="1" t="n"/>
    </row>
    <row r="334">
      <c r="A334" s="1" t="n"/>
      <c r="B334" s="26" t="n"/>
      <c r="C334" s="27" t="n"/>
      <c r="D334" s="30" t="n"/>
      <c r="E334" s="30" t="n"/>
      <c r="F334" s="28" t="n"/>
      <c r="G334" s="1" t="n"/>
    </row>
    <row r="335">
      <c r="A335" s="1" t="n"/>
      <c r="B335" s="26" t="n"/>
      <c r="C335" s="27" t="n"/>
      <c r="D335" s="30" t="n"/>
      <c r="E335" s="30" t="n"/>
      <c r="F335" s="28" t="n"/>
      <c r="G335" s="1" t="n"/>
    </row>
    <row r="336">
      <c r="A336" s="1" t="n"/>
      <c r="B336" s="26" t="n"/>
      <c r="C336" s="27" t="n"/>
      <c r="D336" s="30" t="n"/>
      <c r="E336" s="30" t="n"/>
      <c r="F336" s="28" t="n"/>
      <c r="G336" s="1" t="n"/>
    </row>
    <row r="337">
      <c r="A337" s="1" t="n"/>
      <c r="B337" s="26" t="n"/>
      <c r="C337" s="27" t="n"/>
      <c r="D337" s="30" t="n"/>
      <c r="E337" s="30" t="n"/>
      <c r="F337" s="28" t="n"/>
      <c r="G337" s="1" t="n"/>
    </row>
    <row r="338">
      <c r="A338" s="1" t="n"/>
      <c r="B338" s="26" t="n"/>
      <c r="C338" s="27" t="n"/>
      <c r="D338" s="30" t="n"/>
      <c r="E338" s="30" t="n"/>
      <c r="F338" s="28" t="n"/>
      <c r="G338" s="1" t="n"/>
    </row>
    <row r="339">
      <c r="A339" s="1" t="n"/>
      <c r="B339" s="26" t="n"/>
      <c r="C339" s="27" t="n"/>
      <c r="D339" s="30" t="n"/>
      <c r="E339" s="30" t="n"/>
      <c r="F339" s="28" t="n"/>
      <c r="G339" s="1" t="n"/>
    </row>
    <row r="340">
      <c r="A340" s="1" t="n"/>
      <c r="B340" s="26" t="n"/>
      <c r="C340" s="27" t="n"/>
      <c r="D340" s="30" t="n"/>
      <c r="E340" s="30" t="n"/>
      <c r="F340" s="28" t="n"/>
      <c r="G340" s="1" t="n"/>
    </row>
    <row r="341">
      <c r="A341" s="1" t="n"/>
      <c r="B341" s="26" t="n"/>
      <c r="C341" s="27" t="n"/>
      <c r="D341" s="30" t="n"/>
      <c r="E341" s="30" t="n"/>
      <c r="F341" s="28" t="n"/>
      <c r="G341" s="1" t="n"/>
    </row>
    <row r="342">
      <c r="A342" s="1" t="n"/>
      <c r="B342" s="26" t="n"/>
      <c r="C342" s="27" t="n"/>
      <c r="D342" s="30" t="n"/>
      <c r="E342" s="30" t="n"/>
      <c r="F342" s="28" t="n"/>
      <c r="G342" s="1" t="n"/>
    </row>
    <row r="343">
      <c r="A343" s="1" t="n"/>
      <c r="B343" s="26" t="n"/>
      <c r="C343" s="27" t="n"/>
      <c r="D343" s="30" t="n"/>
      <c r="E343" s="30" t="n"/>
      <c r="F343" s="28" t="n"/>
      <c r="G343" s="1" t="n"/>
    </row>
    <row r="344">
      <c r="A344" s="1" t="n"/>
      <c r="B344" s="26" t="n"/>
      <c r="C344" s="27" t="n"/>
      <c r="D344" s="30" t="n"/>
      <c r="E344" s="30" t="n"/>
      <c r="F344" s="28" t="n"/>
      <c r="G344" s="1" t="n"/>
    </row>
    <row r="345">
      <c r="A345" s="1" t="n"/>
      <c r="B345" s="26" t="n"/>
      <c r="C345" s="27" t="n"/>
      <c r="D345" s="30" t="n"/>
      <c r="E345" s="30" t="n"/>
      <c r="F345" s="28" t="n"/>
      <c r="G345" s="1" t="n"/>
    </row>
    <row r="346">
      <c r="A346" s="1" t="n"/>
      <c r="B346" s="26" t="n"/>
      <c r="C346" s="27" t="n"/>
      <c r="D346" s="30" t="n"/>
      <c r="E346" s="30" t="n"/>
      <c r="F346" s="28" t="n"/>
      <c r="G346" s="1" t="n"/>
    </row>
    <row r="347">
      <c r="A347" s="1" t="n"/>
      <c r="B347" s="26" t="n"/>
      <c r="C347" s="27" t="n"/>
      <c r="D347" s="30" t="n"/>
      <c r="E347" s="30" t="n"/>
      <c r="F347" s="28" t="n"/>
      <c r="G347" s="1" t="n"/>
    </row>
    <row r="348">
      <c r="A348" s="1" t="n"/>
      <c r="B348" s="26" t="n"/>
      <c r="C348" s="27" t="n"/>
      <c r="D348" s="30" t="n"/>
      <c r="E348" s="30" t="n"/>
      <c r="F348" s="28" t="n"/>
      <c r="G348" s="1" t="n"/>
    </row>
    <row r="349">
      <c r="A349" s="1" t="n"/>
      <c r="B349" s="26" t="n"/>
      <c r="C349" s="27" t="n"/>
      <c r="D349" s="30" t="n"/>
      <c r="E349" s="30" t="n"/>
      <c r="F349" s="28" t="n"/>
      <c r="G349" s="1" t="n"/>
    </row>
    <row r="350">
      <c r="A350" s="1" t="n"/>
      <c r="B350" s="26" t="n"/>
      <c r="C350" s="27" t="n"/>
      <c r="D350" s="30" t="n"/>
      <c r="E350" s="30" t="n"/>
      <c r="F350" s="28" t="n"/>
      <c r="G350" s="1" t="n"/>
    </row>
    <row r="351">
      <c r="A351" s="1" t="n"/>
      <c r="B351" s="26" t="n"/>
      <c r="C351" s="27" t="n"/>
      <c r="D351" s="30" t="n"/>
      <c r="E351" s="30" t="n"/>
      <c r="F351" s="28" t="n"/>
      <c r="G351" s="1" t="n"/>
    </row>
    <row r="352">
      <c r="A352" s="1" t="n"/>
      <c r="B352" s="26" t="n"/>
      <c r="C352" s="27" t="n"/>
      <c r="D352" s="30" t="n"/>
      <c r="E352" s="30" t="n"/>
      <c r="F352" s="28" t="n"/>
      <c r="G352" s="1" t="n"/>
    </row>
    <row r="353">
      <c r="A353" s="1" t="n"/>
      <c r="B353" s="26" t="n"/>
      <c r="C353" s="27" t="n"/>
      <c r="D353" s="30" t="n"/>
      <c r="E353" s="30" t="n"/>
      <c r="F353" s="28" t="n"/>
      <c r="G353" s="1" t="n"/>
    </row>
    <row r="354">
      <c r="A354" s="1" t="n"/>
      <c r="B354" s="26" t="n"/>
      <c r="C354" s="27" t="n"/>
      <c r="D354" s="30" t="n"/>
      <c r="E354" s="30" t="n"/>
      <c r="F354" s="28" t="n"/>
      <c r="G354" s="1" t="n"/>
    </row>
    <row r="355">
      <c r="A355" s="1" t="n"/>
      <c r="B355" s="26" t="n"/>
      <c r="C355" s="27" t="n"/>
      <c r="D355" s="30" t="n"/>
      <c r="E355" s="30" t="n"/>
      <c r="F355" s="28" t="n"/>
      <c r="G355" s="1" t="n"/>
    </row>
    <row r="356">
      <c r="A356" s="1" t="n"/>
      <c r="B356" s="26" t="n"/>
      <c r="C356" s="27" t="n"/>
      <c r="D356" s="30" t="n"/>
      <c r="E356" s="30" t="n"/>
      <c r="F356" s="28" t="n"/>
      <c r="G356" s="1" t="n"/>
    </row>
    <row r="357">
      <c r="A357" s="1" t="n"/>
      <c r="B357" s="26" t="n"/>
      <c r="C357" s="27" t="n"/>
      <c r="D357" s="30" t="n"/>
      <c r="E357" s="30" t="n"/>
      <c r="F357" s="28" t="n"/>
      <c r="G357" s="1" t="n"/>
    </row>
    <row r="358">
      <c r="A358" s="1" t="n"/>
      <c r="B358" s="26" t="n"/>
      <c r="C358" s="27" t="n"/>
      <c r="D358" s="30" t="n"/>
      <c r="E358" s="30" t="n"/>
      <c r="F358" s="28" t="n"/>
      <c r="G358" s="1" t="n"/>
    </row>
    <row r="359">
      <c r="A359" s="1" t="n"/>
      <c r="B359" s="26" t="n"/>
      <c r="C359" s="27" t="n"/>
      <c r="D359" s="30" t="n"/>
      <c r="E359" s="30" t="n"/>
      <c r="F359" s="28" t="n"/>
      <c r="G359" s="1" t="n"/>
    </row>
    <row r="360">
      <c r="A360" s="1" t="n"/>
      <c r="B360" s="26" t="n"/>
      <c r="C360" s="27" t="n"/>
      <c r="D360" s="30" t="n"/>
      <c r="E360" s="30" t="n"/>
      <c r="F360" s="28" t="n"/>
      <c r="G360" s="1" t="n"/>
    </row>
    <row r="361">
      <c r="A361" s="1" t="n"/>
      <c r="B361" s="26" t="n"/>
      <c r="C361" s="27" t="n"/>
      <c r="D361" s="30" t="n"/>
      <c r="E361" s="30" t="n"/>
      <c r="F361" s="28" t="n"/>
      <c r="G361" s="1" t="n"/>
    </row>
    <row r="362">
      <c r="A362" s="1" t="n"/>
      <c r="B362" s="26" t="n"/>
      <c r="C362" s="27" t="n"/>
      <c r="D362" s="30" t="n"/>
      <c r="E362" s="30" t="n"/>
      <c r="F362" s="28" t="n"/>
      <c r="G362" s="1" t="n"/>
    </row>
    <row r="363">
      <c r="A363" s="1" t="n"/>
      <c r="B363" s="26" t="n"/>
      <c r="C363" s="27" t="n"/>
      <c r="D363" s="30" t="n"/>
      <c r="E363" s="30" t="n"/>
      <c r="F363" s="28" t="n"/>
      <c r="G363" s="1" t="n"/>
    </row>
    <row r="364">
      <c r="A364" s="1" t="n"/>
      <c r="B364" s="26" t="n"/>
      <c r="C364" s="27" t="n"/>
      <c r="D364" s="30" t="n"/>
      <c r="E364" s="30" t="n"/>
      <c r="F364" s="28" t="n"/>
      <c r="G364" s="1" t="n"/>
    </row>
    <row r="365">
      <c r="A365" s="1" t="n"/>
      <c r="B365" s="26" t="n"/>
      <c r="C365" s="27" t="n"/>
      <c r="D365" s="30" t="n"/>
      <c r="E365" s="30" t="n"/>
      <c r="F365" s="28" t="n"/>
      <c r="G365" s="1" t="n"/>
    </row>
    <row r="366">
      <c r="A366" s="1" t="n"/>
      <c r="B366" s="26" t="n"/>
      <c r="C366" s="27" t="n"/>
      <c r="D366" s="30" t="n"/>
      <c r="E366" s="30" t="n"/>
      <c r="F366" s="28" t="n"/>
      <c r="G366" s="1" t="n"/>
    </row>
    <row r="367">
      <c r="A367" s="1" t="n"/>
      <c r="B367" s="26" t="n"/>
      <c r="C367" s="27" t="n"/>
      <c r="D367" s="30" t="n"/>
      <c r="E367" s="30" t="n"/>
      <c r="F367" s="28" t="n"/>
      <c r="G367" s="1" t="n"/>
    </row>
    <row r="368">
      <c r="A368" s="1" t="n"/>
      <c r="B368" s="26" t="n"/>
      <c r="C368" s="27" t="n"/>
      <c r="D368" s="30" t="n"/>
      <c r="E368" s="30" t="n"/>
      <c r="F368" s="28" t="n"/>
      <c r="G368" s="1" t="n"/>
    </row>
    <row r="369">
      <c r="A369" s="1" t="n"/>
      <c r="B369" s="26" t="n"/>
      <c r="C369" s="27" t="n"/>
      <c r="D369" s="30" t="n"/>
      <c r="E369" s="30" t="n"/>
      <c r="F369" s="28" t="n"/>
      <c r="G369" s="1" t="n"/>
    </row>
    <row r="370">
      <c r="A370" s="1" t="n"/>
      <c r="B370" s="26" t="n"/>
      <c r="C370" s="27" t="n"/>
      <c r="D370" s="30" t="n"/>
      <c r="E370" s="30" t="n"/>
      <c r="F370" s="28" t="n"/>
      <c r="G370" s="1" t="n"/>
    </row>
    <row r="371">
      <c r="A371" s="1" t="n"/>
      <c r="B371" s="26" t="n"/>
      <c r="C371" s="27" t="n"/>
      <c r="D371" s="30" t="n"/>
      <c r="E371" s="30" t="n"/>
      <c r="F371" s="28" t="n"/>
      <c r="G371" s="1" t="n"/>
    </row>
    <row r="372">
      <c r="A372" s="1" t="n"/>
      <c r="B372" s="26" t="n"/>
      <c r="C372" s="27" t="n"/>
      <c r="D372" s="30" t="n"/>
      <c r="E372" s="30" t="n"/>
      <c r="F372" s="28" t="n"/>
      <c r="G372" s="1" t="n"/>
    </row>
    <row r="373">
      <c r="A373" s="1" t="n"/>
      <c r="B373" s="26" t="n"/>
      <c r="C373" s="27" t="n"/>
      <c r="D373" s="30" t="n"/>
      <c r="E373" s="30" t="n"/>
      <c r="F373" s="28" t="n"/>
      <c r="G373" s="1" t="n"/>
    </row>
    <row r="374">
      <c r="A374" s="1" t="n"/>
      <c r="B374" s="26" t="n"/>
      <c r="C374" s="27" t="n"/>
      <c r="D374" s="30" t="n"/>
      <c r="E374" s="30" t="n"/>
      <c r="F374" s="28" t="n"/>
      <c r="G374" s="1" t="n"/>
    </row>
    <row r="375">
      <c r="A375" s="1" t="n"/>
      <c r="B375" s="26" t="n"/>
      <c r="C375" s="27" t="n"/>
      <c r="D375" s="30" t="n"/>
      <c r="E375" s="30" t="n"/>
      <c r="F375" s="28" t="n"/>
      <c r="G375" s="1" t="n"/>
    </row>
    <row r="376">
      <c r="A376" s="1" t="n"/>
      <c r="B376" s="26" t="n"/>
      <c r="C376" s="27" t="n"/>
      <c r="D376" s="30" t="n"/>
      <c r="E376" s="30" t="n"/>
      <c r="F376" s="28" t="n"/>
      <c r="G376" s="1" t="n"/>
    </row>
    <row r="377">
      <c r="A377" s="1" t="n"/>
      <c r="B377" s="26" t="n"/>
      <c r="C377" s="27" t="n"/>
      <c r="D377" s="30" t="n"/>
      <c r="E377" s="30" t="n"/>
      <c r="F377" s="28" t="n"/>
      <c r="G377" s="1" t="n"/>
    </row>
    <row r="378">
      <c r="A378" s="1" t="n"/>
      <c r="B378" s="26" t="n"/>
      <c r="C378" s="27" t="n"/>
      <c r="D378" s="30" t="n"/>
      <c r="E378" s="30" t="n"/>
      <c r="F378" s="28" t="n"/>
      <c r="G378" s="1" t="n"/>
    </row>
    <row r="379">
      <c r="A379" s="1" t="n"/>
      <c r="B379" s="26" t="n"/>
      <c r="C379" s="27" t="n"/>
      <c r="D379" s="30" t="n"/>
      <c r="E379" s="30" t="n"/>
      <c r="F379" s="28" t="n"/>
      <c r="G379" s="1" t="n"/>
    </row>
    <row r="380">
      <c r="A380" s="1" t="n"/>
      <c r="B380" s="26" t="n"/>
      <c r="C380" s="27" t="n"/>
      <c r="D380" s="30" t="n"/>
      <c r="E380" s="30" t="n"/>
      <c r="F380" s="28" t="n"/>
      <c r="G380" s="1" t="n"/>
    </row>
    <row r="381">
      <c r="A381" s="1" t="n"/>
      <c r="B381" s="26" t="n"/>
      <c r="C381" s="27" t="n"/>
      <c r="D381" s="30" t="n"/>
      <c r="E381" s="30" t="n"/>
      <c r="F381" s="28" t="n"/>
      <c r="G381" s="1" t="n"/>
    </row>
    <row r="382">
      <c r="A382" s="1" t="n"/>
      <c r="B382" s="26" t="n"/>
      <c r="C382" s="27" t="n"/>
      <c r="D382" s="30" t="n"/>
      <c r="E382" s="30" t="n"/>
      <c r="F382" s="28" t="n"/>
      <c r="G382" s="1" t="n"/>
    </row>
    <row r="383">
      <c r="A383" s="1" t="n"/>
      <c r="B383" s="26" t="n"/>
      <c r="C383" s="27" t="n"/>
      <c r="D383" s="30" t="n"/>
      <c r="E383" s="30" t="n"/>
      <c r="F383" s="28" t="n"/>
      <c r="G383" s="1" t="n"/>
    </row>
    <row r="384">
      <c r="A384" s="1" t="n"/>
      <c r="B384" s="26" t="n"/>
      <c r="C384" s="27" t="n"/>
      <c r="D384" s="30" t="n"/>
      <c r="E384" s="30" t="n"/>
      <c r="F384" s="28" t="n"/>
      <c r="G384" s="1" t="n"/>
    </row>
    <row r="385">
      <c r="A385" s="1" t="n"/>
      <c r="B385" s="26" t="n"/>
      <c r="C385" s="27" t="n"/>
      <c r="D385" s="30" t="n"/>
      <c r="E385" s="30" t="n"/>
      <c r="F385" s="28" t="n"/>
      <c r="G385" s="1" t="n"/>
    </row>
    <row r="386">
      <c r="A386" s="1" t="n"/>
      <c r="B386" s="26" t="n"/>
      <c r="C386" s="27" t="n"/>
      <c r="D386" s="30" t="n"/>
      <c r="E386" s="30" t="n"/>
      <c r="F386" s="28" t="n"/>
      <c r="G386" s="1" t="n"/>
    </row>
    <row r="387">
      <c r="A387" s="1" t="n"/>
      <c r="B387" s="26" t="n"/>
      <c r="C387" s="27" t="n"/>
      <c r="D387" s="30" t="n"/>
      <c r="E387" s="30" t="n"/>
      <c r="F387" s="28" t="n"/>
      <c r="G387" s="1" t="n"/>
    </row>
    <row r="388">
      <c r="A388" s="1" t="n"/>
      <c r="B388" s="26" t="n"/>
      <c r="C388" s="27" t="n"/>
      <c r="D388" s="30" t="n"/>
      <c r="E388" s="30" t="n"/>
      <c r="F388" s="28" t="n"/>
      <c r="G388" s="1" t="n"/>
    </row>
    <row r="389">
      <c r="A389" s="1" t="n"/>
      <c r="B389" s="26" t="n"/>
      <c r="C389" s="27" t="n"/>
      <c r="D389" s="30" t="n"/>
      <c r="E389" s="30" t="n"/>
      <c r="F389" s="28" t="n"/>
      <c r="G389" s="1" t="n"/>
    </row>
    <row r="390">
      <c r="A390" s="1" t="n"/>
      <c r="B390" s="26" t="n"/>
      <c r="C390" s="27" t="n"/>
      <c r="D390" s="30" t="n"/>
      <c r="E390" s="30" t="n"/>
      <c r="F390" s="28" t="n"/>
      <c r="G390" s="1" t="n"/>
    </row>
    <row r="391">
      <c r="A391" s="1" t="n"/>
      <c r="B391" s="26" t="n"/>
      <c r="C391" s="27" t="n"/>
      <c r="D391" s="30" t="n"/>
      <c r="E391" s="30" t="n"/>
      <c r="F391" s="28" t="n"/>
      <c r="G391" s="1" t="n"/>
    </row>
    <row r="392">
      <c r="A392" s="1" t="n"/>
      <c r="B392" s="26" t="n"/>
      <c r="C392" s="27" t="n"/>
      <c r="D392" s="30" t="n"/>
      <c r="E392" s="30" t="n"/>
      <c r="F392" s="28" t="n"/>
      <c r="G392" s="1" t="n"/>
    </row>
    <row r="393">
      <c r="A393" s="1" t="n"/>
      <c r="B393" s="26" t="n"/>
      <c r="C393" s="27" t="n"/>
      <c r="D393" s="30" t="n"/>
      <c r="E393" s="30" t="n"/>
      <c r="F393" s="28" t="n"/>
      <c r="G393" s="1" t="n"/>
    </row>
    <row r="394">
      <c r="A394" s="1" t="n"/>
      <c r="B394" s="26" t="n"/>
      <c r="C394" s="27" t="n"/>
      <c r="D394" s="30" t="n"/>
      <c r="E394" s="30" t="n"/>
      <c r="F394" s="28" t="n"/>
      <c r="G394" s="1" t="n"/>
    </row>
    <row r="395">
      <c r="A395" s="1" t="n"/>
      <c r="B395" s="26" t="n"/>
      <c r="C395" s="27" t="n"/>
      <c r="D395" s="30" t="n"/>
      <c r="E395" s="30" t="n"/>
      <c r="F395" s="28" t="n"/>
      <c r="G395" s="1" t="n"/>
    </row>
    <row r="396">
      <c r="A396" s="1" t="n"/>
      <c r="B396" s="26" t="n"/>
      <c r="C396" s="27" t="n"/>
      <c r="D396" s="30" t="n"/>
      <c r="E396" s="30" t="n"/>
      <c r="F396" s="28" t="n"/>
      <c r="G396" s="1" t="n"/>
    </row>
    <row r="397">
      <c r="A397" s="1" t="n"/>
      <c r="B397" s="26" t="n"/>
      <c r="C397" s="27" t="n"/>
      <c r="D397" s="30" t="n"/>
      <c r="E397" s="30" t="n"/>
      <c r="F397" s="28" t="n"/>
      <c r="G397" s="1" t="n"/>
    </row>
    <row r="398">
      <c r="A398" s="1" t="n"/>
      <c r="B398" s="26" t="n"/>
      <c r="C398" s="27" t="n"/>
      <c r="D398" s="30" t="n"/>
      <c r="E398" s="30" t="n"/>
      <c r="F398" s="28" t="n"/>
      <c r="G398" s="1" t="n"/>
    </row>
    <row r="399">
      <c r="A399" s="1" t="n"/>
      <c r="B399" s="26" t="n"/>
      <c r="C399" s="27" t="n"/>
      <c r="D399" s="30" t="n"/>
      <c r="E399" s="30" t="n"/>
      <c r="F399" s="28" t="n"/>
      <c r="G399" s="1" t="n"/>
    </row>
    <row r="400">
      <c r="A400" s="1" t="n"/>
      <c r="B400" s="26" t="n"/>
      <c r="C400" s="27" t="n"/>
      <c r="D400" s="30" t="n"/>
      <c r="E400" s="30" t="n"/>
      <c r="F400" s="28" t="n"/>
      <c r="G400" s="1" t="n"/>
    </row>
    <row r="401">
      <c r="A401" s="1" t="n"/>
      <c r="B401" s="26" t="n"/>
      <c r="C401" s="27" t="n"/>
      <c r="D401" s="30" t="n"/>
      <c r="E401" s="30" t="n"/>
      <c r="F401" s="28" t="n"/>
      <c r="G401" s="1" t="n"/>
    </row>
    <row r="402">
      <c r="A402" s="1" t="n"/>
      <c r="B402" s="26" t="n"/>
      <c r="C402" s="27" t="n"/>
      <c r="D402" s="30" t="n"/>
      <c r="E402" s="30" t="n"/>
      <c r="F402" s="28" t="n"/>
      <c r="G402" s="1" t="n"/>
    </row>
    <row r="403">
      <c r="A403" s="1" t="n"/>
      <c r="B403" s="26" t="n"/>
      <c r="C403" s="27" t="n"/>
      <c r="D403" s="30" t="n"/>
      <c r="E403" s="30" t="n"/>
      <c r="F403" s="28" t="n"/>
      <c r="G403" s="1" t="n"/>
    </row>
    <row r="404">
      <c r="A404" s="1" t="n"/>
      <c r="B404" s="26" t="n"/>
      <c r="C404" s="27" t="n"/>
      <c r="D404" s="30" t="n"/>
      <c r="E404" s="30" t="n"/>
      <c r="F404" s="28" t="n"/>
      <c r="G404" s="1" t="n"/>
    </row>
    <row r="405">
      <c r="A405" s="1" t="n"/>
      <c r="B405" s="26" t="n"/>
      <c r="C405" s="27" t="n"/>
      <c r="D405" s="30" t="n"/>
      <c r="E405" s="30" t="n"/>
      <c r="F405" s="28" t="n"/>
      <c r="G405" s="1" t="n"/>
    </row>
    <row r="406">
      <c r="A406" s="1" t="n"/>
      <c r="B406" s="26" t="n"/>
      <c r="C406" s="27" t="n"/>
      <c r="D406" s="30" t="n"/>
      <c r="E406" s="30" t="n"/>
      <c r="F406" s="28" t="n"/>
      <c r="G406" s="1" t="n"/>
    </row>
    <row r="407">
      <c r="A407" s="1" t="n"/>
      <c r="B407" s="26" t="n"/>
      <c r="C407" s="27" t="n"/>
      <c r="D407" s="30" t="n"/>
      <c r="E407" s="30" t="n"/>
      <c r="F407" s="28" t="n"/>
      <c r="G407" s="1" t="n"/>
    </row>
    <row r="408">
      <c r="A408" s="1" t="n"/>
      <c r="B408" s="26" t="n"/>
      <c r="C408" s="27" t="n"/>
      <c r="D408" s="30" t="n"/>
      <c r="E408" s="30" t="n"/>
      <c r="F408" s="28" t="n"/>
      <c r="G408" s="1" t="n"/>
    </row>
    <row r="409">
      <c r="A409" s="1" t="n"/>
      <c r="B409" s="26" t="n"/>
      <c r="C409" s="27" t="n"/>
      <c r="D409" s="30" t="n"/>
      <c r="E409" s="30" t="n"/>
      <c r="F409" s="28" t="n"/>
      <c r="G409" s="1" t="n"/>
    </row>
    <row r="410">
      <c r="A410" s="1" t="n"/>
      <c r="B410" s="26" t="n"/>
      <c r="C410" s="27" t="n"/>
      <c r="D410" s="30" t="n"/>
      <c r="E410" s="30" t="n"/>
      <c r="F410" s="28" t="n"/>
      <c r="G410" s="1" t="n"/>
    </row>
    <row r="411">
      <c r="A411" s="1" t="n"/>
      <c r="B411" s="26" t="n"/>
      <c r="C411" s="27" t="n"/>
      <c r="D411" s="30" t="n"/>
      <c r="E411" s="30" t="n"/>
      <c r="F411" s="28" t="n"/>
      <c r="G411" s="1" t="n"/>
    </row>
    <row r="412">
      <c r="A412" s="1" t="n"/>
      <c r="B412" s="26" t="n"/>
      <c r="C412" s="27" t="n"/>
      <c r="D412" s="30" t="n"/>
      <c r="E412" s="30" t="n"/>
      <c r="F412" s="28" t="n"/>
      <c r="G412" s="1" t="n"/>
    </row>
    <row r="413">
      <c r="A413" s="1" t="n"/>
      <c r="B413" s="26" t="n"/>
      <c r="C413" s="27" t="n"/>
      <c r="D413" s="30" t="n"/>
      <c r="E413" s="30" t="n"/>
      <c r="F413" s="28" t="n"/>
      <c r="G413" s="1" t="n"/>
    </row>
    <row r="414">
      <c r="A414" s="1" t="n"/>
      <c r="B414" s="26" t="n"/>
      <c r="C414" s="27" t="n"/>
      <c r="D414" s="30" t="n"/>
      <c r="E414" s="30" t="n"/>
      <c r="F414" s="28" t="n"/>
      <c r="G414" s="1" t="n"/>
    </row>
    <row r="415">
      <c r="A415" s="1" t="n"/>
      <c r="B415" s="26" t="n"/>
      <c r="C415" s="27" t="n"/>
      <c r="D415" s="30" t="n"/>
      <c r="E415" s="30" t="n"/>
      <c r="F415" s="28" t="n"/>
      <c r="G415" s="1" t="n"/>
    </row>
    <row r="416">
      <c r="A416" s="1" t="n"/>
      <c r="B416" s="26" t="n"/>
      <c r="C416" s="27" t="n"/>
      <c r="D416" s="30" t="n"/>
      <c r="E416" s="30" t="n"/>
      <c r="F416" s="28" t="n"/>
      <c r="G416" s="1" t="n"/>
    </row>
    <row r="417">
      <c r="A417" s="1" t="n"/>
      <c r="B417" s="26" t="n"/>
      <c r="C417" s="27" t="n"/>
      <c r="D417" s="30" t="n"/>
      <c r="E417" s="30" t="n"/>
      <c r="F417" s="28" t="n"/>
      <c r="G417" s="1" t="n"/>
    </row>
    <row r="418">
      <c r="A418" s="1" t="n"/>
      <c r="B418" s="26" t="n"/>
      <c r="C418" s="27" t="n"/>
      <c r="D418" s="30" t="n"/>
      <c r="E418" s="30" t="n"/>
      <c r="F418" s="28" t="n"/>
      <c r="G418" s="1" t="n"/>
    </row>
    <row r="419">
      <c r="A419" s="1" t="n"/>
      <c r="B419" s="26" t="n"/>
      <c r="C419" s="27" t="n"/>
      <c r="D419" s="30" t="n"/>
      <c r="E419" s="30" t="n"/>
      <c r="F419" s="28" t="n"/>
      <c r="G419" s="1" t="n"/>
    </row>
    <row r="420">
      <c r="A420" s="1" t="n"/>
      <c r="B420" s="26" t="n"/>
      <c r="C420" s="27" t="n"/>
      <c r="D420" s="30" t="n"/>
      <c r="E420" s="30" t="n"/>
      <c r="F420" s="28" t="n"/>
      <c r="G420" s="1" t="n"/>
    </row>
    <row r="421">
      <c r="A421" s="1" t="n"/>
      <c r="B421" s="26" t="n"/>
      <c r="C421" s="27" t="n"/>
      <c r="D421" s="30" t="n"/>
      <c r="E421" s="30" t="n"/>
      <c r="F421" s="28" t="n"/>
      <c r="G421" s="1" t="n"/>
    </row>
    <row r="422">
      <c r="A422" s="1" t="n"/>
      <c r="B422" s="26" t="n"/>
      <c r="C422" s="27" t="n"/>
      <c r="D422" s="30" t="n"/>
      <c r="E422" s="30" t="n"/>
      <c r="F422" s="28" t="n"/>
      <c r="G422" s="1" t="n"/>
    </row>
    <row r="423">
      <c r="A423" s="1" t="n"/>
      <c r="B423" s="26" t="n"/>
      <c r="C423" s="27" t="n"/>
      <c r="D423" s="30" t="n"/>
      <c r="E423" s="30" t="n"/>
      <c r="F423" s="28" t="n"/>
      <c r="G423" s="1" t="n"/>
    </row>
    <row r="424">
      <c r="A424" s="1" t="n"/>
      <c r="B424" s="26" t="n"/>
      <c r="C424" s="27" t="n"/>
      <c r="D424" s="30" t="n"/>
      <c r="E424" s="30" t="n"/>
      <c r="F424" s="28" t="n"/>
      <c r="G424" s="1" t="n"/>
    </row>
    <row r="425">
      <c r="A425" s="1" t="n"/>
      <c r="B425" s="26" t="n"/>
      <c r="C425" s="27" t="n"/>
      <c r="D425" s="30" t="n"/>
      <c r="E425" s="30" t="n"/>
      <c r="F425" s="28" t="n"/>
      <c r="G425" s="1" t="n"/>
    </row>
    <row r="426">
      <c r="A426" s="1" t="n"/>
      <c r="B426" s="26" t="n"/>
      <c r="C426" s="27" t="n"/>
      <c r="D426" s="30" t="n"/>
      <c r="E426" s="30" t="n"/>
      <c r="F426" s="28" t="n"/>
      <c r="G426" s="1" t="n"/>
    </row>
    <row r="427">
      <c r="A427" s="1" t="n"/>
      <c r="B427" s="26" t="n"/>
      <c r="C427" s="27" t="n"/>
      <c r="D427" s="30" t="n"/>
      <c r="E427" s="30" t="n"/>
      <c r="F427" s="28" t="n"/>
      <c r="G427" s="1" t="n"/>
    </row>
    <row r="428">
      <c r="A428" s="1" t="n"/>
      <c r="B428" s="26" t="n"/>
      <c r="C428" s="27" t="n"/>
      <c r="D428" s="30" t="n"/>
      <c r="E428" s="30" t="n"/>
      <c r="F428" s="28" t="n"/>
      <c r="G428" s="1" t="n"/>
    </row>
    <row r="429">
      <c r="A429" s="1" t="n"/>
      <c r="B429" s="26" t="n"/>
      <c r="C429" s="27" t="n"/>
      <c r="D429" s="30" t="n"/>
      <c r="E429" s="30" t="n"/>
      <c r="F429" s="28" t="n"/>
      <c r="G429" s="1" t="n"/>
    </row>
    <row r="430">
      <c r="A430" s="1" t="n"/>
      <c r="B430" s="26" t="n"/>
      <c r="C430" s="27" t="n"/>
      <c r="D430" s="30" t="n"/>
      <c r="E430" s="30" t="n"/>
      <c r="F430" s="28" t="n"/>
      <c r="G430" s="1" t="n"/>
    </row>
    <row r="431">
      <c r="A431" s="1" t="n"/>
      <c r="B431" s="26" t="n"/>
      <c r="C431" s="27" t="n"/>
      <c r="D431" s="30" t="n"/>
      <c r="E431" s="30" t="n"/>
      <c r="F431" s="28" t="n"/>
      <c r="G431" s="1" t="n"/>
    </row>
    <row r="432">
      <c r="A432" s="1" t="n"/>
      <c r="B432" s="26" t="n"/>
      <c r="C432" s="27" t="n"/>
      <c r="D432" s="30" t="n"/>
      <c r="E432" s="30" t="n"/>
      <c r="F432" s="28" t="n"/>
      <c r="G432" s="1" t="n"/>
    </row>
    <row r="433">
      <c r="A433" s="1" t="n"/>
      <c r="B433" s="26" t="n"/>
      <c r="C433" s="27" t="n"/>
      <c r="D433" s="30" t="n"/>
      <c r="E433" s="30" t="n"/>
      <c r="F433" s="28" t="n"/>
      <c r="G433" s="1" t="n"/>
    </row>
    <row r="434">
      <c r="A434" s="1" t="n"/>
      <c r="B434" s="26" t="n"/>
      <c r="C434" s="27" t="n"/>
      <c r="D434" s="30" t="n"/>
      <c r="E434" s="30" t="n"/>
      <c r="F434" s="28" t="n"/>
      <c r="G434" s="1" t="n"/>
    </row>
    <row r="435">
      <c r="A435" s="1" t="n"/>
      <c r="B435" s="26" t="n"/>
      <c r="C435" s="27" t="n"/>
      <c r="D435" s="30" t="n"/>
      <c r="E435" s="30" t="n"/>
      <c r="F435" s="28" t="n"/>
      <c r="G435" s="1" t="n"/>
    </row>
    <row r="436">
      <c r="A436" s="1" t="n"/>
      <c r="B436" s="26" t="n"/>
      <c r="C436" s="27" t="n"/>
      <c r="D436" s="30" t="n"/>
      <c r="E436" s="30" t="n"/>
      <c r="F436" s="28" t="n"/>
      <c r="G436" s="1" t="n"/>
    </row>
    <row r="437">
      <c r="A437" s="1" t="n"/>
      <c r="B437" s="26" t="n"/>
      <c r="C437" s="27" t="n"/>
      <c r="D437" s="30" t="n"/>
      <c r="E437" s="30" t="n"/>
      <c r="F437" s="28" t="n"/>
      <c r="G437" s="1" t="n"/>
    </row>
    <row r="438">
      <c r="A438" s="1" t="n"/>
      <c r="B438" s="26" t="n"/>
      <c r="C438" s="27" t="n"/>
      <c r="D438" s="30" t="n"/>
      <c r="E438" s="30" t="n"/>
      <c r="F438" s="28" t="n"/>
      <c r="G438" s="1" t="n"/>
    </row>
    <row r="439">
      <c r="A439" s="1" t="n"/>
      <c r="B439" s="26" t="n"/>
      <c r="C439" s="27" t="n"/>
      <c r="D439" s="30" t="n"/>
      <c r="E439" s="30" t="n"/>
      <c r="F439" s="28" t="n"/>
      <c r="G439" s="1" t="n"/>
    </row>
    <row r="440">
      <c r="A440" s="1" t="n"/>
      <c r="B440" s="26" t="n"/>
      <c r="C440" s="27" t="n"/>
      <c r="D440" s="30" t="n"/>
      <c r="E440" s="30" t="n"/>
      <c r="F440" s="28" t="n"/>
      <c r="G440" s="1" t="n"/>
    </row>
    <row r="441">
      <c r="A441" s="1" t="n"/>
      <c r="B441" s="26" t="n"/>
      <c r="C441" s="27" t="n"/>
      <c r="D441" s="30" t="n"/>
      <c r="E441" s="30" t="n"/>
      <c r="F441" s="28" t="n"/>
      <c r="G441" s="1" t="n"/>
    </row>
    <row r="442">
      <c r="A442" s="1" t="n"/>
      <c r="B442" s="26" t="n"/>
      <c r="C442" s="27" t="n"/>
      <c r="D442" s="30" t="n"/>
      <c r="E442" s="30" t="n"/>
      <c r="F442" s="28" t="n"/>
      <c r="G442" s="1" t="n"/>
    </row>
    <row r="443">
      <c r="A443" s="1" t="n"/>
      <c r="B443" s="26" t="n"/>
      <c r="C443" s="27" t="n"/>
      <c r="D443" s="30" t="n"/>
      <c r="E443" s="30" t="n"/>
      <c r="F443" s="28" t="n"/>
      <c r="G443" s="1" t="n"/>
    </row>
    <row r="444">
      <c r="A444" s="1" t="n"/>
      <c r="B444" s="26" t="n"/>
      <c r="C444" s="27" t="n"/>
      <c r="D444" s="30" t="n"/>
      <c r="E444" s="30" t="n"/>
      <c r="F444" s="28" t="n"/>
      <c r="G444" s="1" t="n"/>
    </row>
    <row r="445">
      <c r="A445" s="1" t="n"/>
      <c r="B445" s="26" t="n"/>
      <c r="C445" s="27" t="n"/>
      <c r="D445" s="30" t="n"/>
      <c r="E445" s="30" t="n"/>
      <c r="F445" s="28" t="n"/>
      <c r="G445" s="1" t="n"/>
    </row>
    <row r="446">
      <c r="A446" s="1" t="n"/>
      <c r="B446" s="26" t="n"/>
      <c r="C446" s="27" t="n"/>
      <c r="D446" s="30" t="n"/>
      <c r="E446" s="30" t="n"/>
      <c r="F446" s="28" t="n"/>
      <c r="G446" s="1" t="n"/>
    </row>
    <row r="447">
      <c r="A447" s="1" t="n"/>
      <c r="B447" s="26" t="n"/>
      <c r="C447" s="27" t="n"/>
      <c r="D447" s="30" t="n"/>
      <c r="E447" s="30" t="n"/>
      <c r="F447" s="28" t="n"/>
      <c r="G447" s="1" t="n"/>
    </row>
    <row r="448">
      <c r="A448" s="1" t="n"/>
      <c r="B448" s="26" t="n"/>
      <c r="C448" s="27" t="n"/>
      <c r="D448" s="30" t="n"/>
      <c r="E448" s="30" t="n"/>
      <c r="F448" s="28" t="n"/>
      <c r="G448" s="1" t="n"/>
    </row>
    <row r="449">
      <c r="A449" s="1" t="n"/>
      <c r="B449" s="26" t="n"/>
      <c r="C449" s="27" t="n"/>
      <c r="D449" s="30" t="n"/>
      <c r="E449" s="30" t="n"/>
      <c r="F449" s="28" t="n"/>
      <c r="G449" s="1" t="n"/>
    </row>
    <row r="450">
      <c r="A450" s="1" t="n"/>
      <c r="B450" s="26" t="n"/>
      <c r="C450" s="27" t="n"/>
      <c r="D450" s="30" t="n"/>
      <c r="E450" s="30" t="n"/>
      <c r="F450" s="28" t="n"/>
      <c r="G450" s="1" t="n"/>
    </row>
    <row r="451">
      <c r="A451" s="1" t="n"/>
      <c r="B451" s="26" t="n"/>
      <c r="C451" s="27" t="n"/>
      <c r="D451" s="30" t="n"/>
      <c r="E451" s="30" t="n"/>
      <c r="F451" s="28" t="n"/>
      <c r="G451" s="1" t="n"/>
    </row>
    <row r="452">
      <c r="A452" s="1" t="n"/>
      <c r="B452" s="26" t="n"/>
      <c r="C452" s="27" t="n"/>
      <c r="D452" s="30" t="n"/>
      <c r="E452" s="30" t="n"/>
      <c r="F452" s="28" t="n"/>
      <c r="G452" s="1" t="n"/>
    </row>
    <row r="453">
      <c r="A453" s="1" t="n"/>
      <c r="B453" s="26" t="n"/>
      <c r="C453" s="27" t="n"/>
      <c r="D453" s="30" t="n"/>
      <c r="E453" s="30" t="n"/>
      <c r="F453" s="28" t="n"/>
      <c r="G453" s="1" t="n"/>
    </row>
    <row r="454">
      <c r="A454" s="1" t="n"/>
      <c r="B454" s="26" t="n"/>
      <c r="C454" s="27" t="n"/>
      <c r="D454" s="30" t="n"/>
      <c r="E454" s="30" t="n"/>
      <c r="F454" s="28" t="n"/>
      <c r="G454" s="1" t="n"/>
    </row>
    <row r="455">
      <c r="A455" s="1" t="n"/>
      <c r="B455" s="26" t="n"/>
      <c r="C455" s="27" t="n"/>
      <c r="D455" s="30" t="n"/>
      <c r="E455" s="30" t="n"/>
      <c r="F455" s="28" t="n"/>
      <c r="G455" s="1" t="n"/>
    </row>
    <row r="456">
      <c r="A456" s="1" t="n"/>
      <c r="B456" s="26" t="n"/>
      <c r="C456" s="27" t="n"/>
      <c r="D456" s="30" t="n"/>
      <c r="E456" s="30" t="n"/>
      <c r="F456" s="28" t="n"/>
      <c r="G456" s="1" t="n"/>
    </row>
    <row r="457">
      <c r="A457" s="1" t="n"/>
      <c r="B457" s="26" t="n"/>
      <c r="C457" s="27" t="n"/>
      <c r="D457" s="30" t="n"/>
      <c r="E457" s="30" t="n"/>
      <c r="F457" s="28" t="n"/>
      <c r="G457" s="1" t="n"/>
    </row>
    <row r="458">
      <c r="A458" s="1" t="n"/>
      <c r="B458" s="26" t="n"/>
      <c r="C458" s="27" t="n"/>
      <c r="D458" s="30" t="n"/>
      <c r="E458" s="30" t="n"/>
      <c r="F458" s="28" t="n"/>
      <c r="G458" s="1" t="n"/>
    </row>
    <row r="459">
      <c r="A459" s="1" t="n"/>
      <c r="B459" s="26" t="n"/>
      <c r="C459" s="27" t="n"/>
      <c r="D459" s="30" t="n"/>
      <c r="E459" s="30" t="n"/>
      <c r="F459" s="28" t="n"/>
      <c r="G459" s="1" t="n"/>
    </row>
    <row r="460">
      <c r="A460" s="1" t="n"/>
      <c r="B460" s="26" t="n"/>
      <c r="C460" s="27" t="n"/>
      <c r="D460" s="30" t="n"/>
      <c r="E460" s="30" t="n"/>
      <c r="F460" s="28" t="n"/>
      <c r="G460" s="1" t="n"/>
    </row>
    <row r="461">
      <c r="A461" s="1" t="n"/>
      <c r="B461" s="26" t="n"/>
      <c r="C461" s="27" t="n"/>
      <c r="D461" s="30" t="n"/>
      <c r="E461" s="30" t="n"/>
      <c r="F461" s="28" t="n"/>
      <c r="G461" s="1" t="n"/>
    </row>
    <row r="462">
      <c r="A462" s="1" t="n"/>
      <c r="B462" s="26" t="n"/>
      <c r="C462" s="27" t="n"/>
      <c r="D462" s="30" t="n"/>
      <c r="E462" s="30" t="n"/>
      <c r="F462" s="28" t="n"/>
      <c r="G462" s="1" t="n"/>
    </row>
    <row r="463">
      <c r="A463" s="1" t="n"/>
      <c r="B463" s="26" t="n"/>
      <c r="C463" s="27" t="n"/>
      <c r="D463" s="30" t="n"/>
      <c r="E463" s="30" t="n"/>
      <c r="F463" s="28" t="n"/>
      <c r="G463" s="1" t="n"/>
    </row>
    <row r="464">
      <c r="A464" s="1" t="n"/>
      <c r="B464" s="26" t="n"/>
      <c r="C464" s="27" t="n"/>
      <c r="D464" s="30" t="n"/>
      <c r="E464" s="30" t="n"/>
      <c r="F464" s="28" t="n"/>
      <c r="G464" s="1" t="n"/>
    </row>
    <row r="465">
      <c r="A465" s="1" t="n"/>
      <c r="B465" s="26" t="n"/>
      <c r="C465" s="27" t="n"/>
      <c r="D465" s="30" t="n"/>
      <c r="E465" s="30" t="n"/>
      <c r="F465" s="28" t="n"/>
      <c r="G465" s="1" t="n"/>
    </row>
    <row r="466">
      <c r="A466" s="1" t="n"/>
      <c r="B466" s="26" t="n"/>
      <c r="C466" s="27" t="n"/>
      <c r="D466" s="30" t="n"/>
      <c r="E466" s="30" t="n"/>
      <c r="F466" s="28" t="n"/>
      <c r="G466" s="1" t="n"/>
    </row>
    <row r="467">
      <c r="A467" s="1" t="n"/>
      <c r="B467" s="26" t="n"/>
      <c r="C467" s="27" t="n"/>
      <c r="D467" s="30" t="n"/>
      <c r="E467" s="30" t="n"/>
      <c r="F467" s="28" t="n"/>
      <c r="G467" s="1" t="n"/>
    </row>
    <row r="468">
      <c r="A468" s="1" t="n"/>
      <c r="B468" s="26" t="n"/>
      <c r="C468" s="27" t="n"/>
      <c r="D468" s="30" t="n"/>
      <c r="E468" s="30" t="n"/>
      <c r="F468" s="28" t="n"/>
      <c r="G468" s="1" t="n"/>
    </row>
    <row r="469">
      <c r="A469" s="1" t="n"/>
      <c r="B469" s="26" t="n"/>
      <c r="C469" s="27" t="n"/>
      <c r="D469" s="30" t="n"/>
      <c r="E469" s="30" t="n"/>
      <c r="F469" s="28" t="n"/>
      <c r="G469" s="1" t="n"/>
    </row>
    <row r="470">
      <c r="A470" s="1" t="n"/>
      <c r="B470" s="26" t="n"/>
      <c r="C470" s="27" t="n"/>
      <c r="D470" s="30" t="n"/>
      <c r="E470" s="30" t="n"/>
      <c r="F470" s="28" t="n"/>
      <c r="G470" s="1" t="n"/>
    </row>
    <row r="471">
      <c r="A471" s="1" t="n"/>
      <c r="B471" s="26" t="n"/>
      <c r="C471" s="27" t="n"/>
      <c r="D471" s="30" t="n"/>
      <c r="E471" s="30" t="n"/>
      <c r="F471" s="28" t="n"/>
      <c r="G471" s="1" t="n"/>
    </row>
    <row r="472">
      <c r="A472" s="1" t="n"/>
      <c r="B472" s="26" t="n"/>
      <c r="C472" s="27" t="n"/>
      <c r="D472" s="30" t="n"/>
      <c r="E472" s="30" t="n"/>
      <c r="F472" s="28" t="n"/>
      <c r="G472" s="1" t="n"/>
    </row>
    <row r="473">
      <c r="A473" s="1" t="n"/>
      <c r="B473" s="26" t="n"/>
      <c r="C473" s="27" t="n"/>
      <c r="D473" s="30" t="n"/>
      <c r="E473" s="30" t="n"/>
      <c r="F473" s="28" t="n"/>
      <c r="G473" s="1" t="n"/>
    </row>
    <row r="474">
      <c r="A474" s="1" t="n"/>
      <c r="B474" s="26" t="n"/>
      <c r="C474" s="27" t="n"/>
      <c r="D474" s="30" t="n"/>
      <c r="E474" s="30" t="n"/>
      <c r="F474" s="28" t="n"/>
      <c r="G474" s="1" t="n"/>
    </row>
    <row r="475">
      <c r="A475" s="1" t="n"/>
      <c r="B475" s="26" t="n"/>
      <c r="C475" s="27" t="n"/>
      <c r="D475" s="30" t="n"/>
      <c r="E475" s="30" t="n"/>
      <c r="F475" s="28" t="n"/>
      <c r="G475" s="1" t="n"/>
    </row>
    <row r="476">
      <c r="A476" s="1" t="n"/>
      <c r="B476" s="26" t="n"/>
      <c r="C476" s="27" t="n"/>
      <c r="D476" s="30" t="n"/>
      <c r="E476" s="30" t="n"/>
      <c r="F476" s="28" t="n"/>
      <c r="G476" s="1" t="n"/>
    </row>
    <row r="477">
      <c r="A477" s="1" t="n"/>
      <c r="B477" s="26" t="n"/>
      <c r="C477" s="27" t="n"/>
      <c r="D477" s="30" t="n"/>
      <c r="E477" s="30" t="n"/>
      <c r="F477" s="28" t="n"/>
      <c r="G477" s="1" t="n"/>
    </row>
    <row r="478">
      <c r="A478" s="1" t="n"/>
      <c r="B478" s="26" t="n"/>
      <c r="C478" s="27" t="n"/>
      <c r="D478" s="30" t="n"/>
      <c r="E478" s="30" t="n"/>
      <c r="F478" s="28" t="n"/>
      <c r="G478" s="1" t="n"/>
    </row>
    <row r="479">
      <c r="A479" s="1" t="n"/>
      <c r="B479" s="26" t="n"/>
      <c r="C479" s="27" t="n"/>
      <c r="D479" s="30" t="n"/>
      <c r="E479" s="30" t="n"/>
      <c r="F479" s="28" t="n"/>
      <c r="G479" s="1" t="n"/>
    </row>
    <row r="480">
      <c r="A480" s="1" t="n"/>
      <c r="B480" s="26" t="n"/>
      <c r="C480" s="27" t="n"/>
      <c r="D480" s="30" t="n"/>
      <c r="E480" s="30" t="n"/>
      <c r="F480" s="28" t="n"/>
      <c r="G480" s="1" t="n"/>
    </row>
    <row r="481">
      <c r="A481" s="1" t="n"/>
      <c r="B481" s="26" t="n"/>
      <c r="C481" s="27" t="n"/>
      <c r="D481" s="30" t="n"/>
      <c r="E481" s="30" t="n"/>
      <c r="F481" s="28" t="n"/>
      <c r="G481" s="1" t="n"/>
    </row>
    <row r="482">
      <c r="A482" s="1" t="n"/>
      <c r="B482" s="26" t="n"/>
      <c r="C482" s="27" t="n"/>
      <c r="D482" s="30" t="n"/>
      <c r="E482" s="30" t="n"/>
      <c r="F482" s="28" t="n"/>
      <c r="G482" s="1" t="n"/>
    </row>
    <row r="483">
      <c r="A483" s="1" t="n"/>
      <c r="B483" s="26" t="n"/>
      <c r="C483" s="27" t="n"/>
      <c r="D483" s="30" t="n"/>
      <c r="E483" s="30" t="n"/>
      <c r="F483" s="28" t="n"/>
      <c r="G483" s="1" t="n"/>
    </row>
    <row r="484">
      <c r="A484" s="1" t="n"/>
      <c r="B484" s="26" t="n"/>
      <c r="C484" s="27" t="n"/>
      <c r="D484" s="30" t="n"/>
      <c r="E484" s="30" t="n"/>
      <c r="F484" s="28" t="n"/>
      <c r="G484" s="1" t="n"/>
    </row>
    <row r="485">
      <c r="A485" s="1" t="n"/>
      <c r="B485" s="26" t="n"/>
      <c r="C485" s="27" t="n"/>
      <c r="D485" s="30" t="n"/>
      <c r="E485" s="30" t="n"/>
      <c r="F485" s="28" t="n"/>
      <c r="G485" s="1" t="n"/>
    </row>
    <row r="486">
      <c r="A486" s="1" t="n"/>
      <c r="B486" s="26" t="n"/>
      <c r="C486" s="27" t="n"/>
      <c r="D486" s="30" t="n"/>
      <c r="E486" s="30" t="n"/>
      <c r="F486" s="28" t="n"/>
      <c r="G486" s="1" t="n"/>
    </row>
    <row r="487">
      <c r="A487" s="1" t="n"/>
      <c r="B487" s="26" t="n"/>
      <c r="C487" s="27" t="n"/>
      <c r="D487" s="30" t="n"/>
      <c r="E487" s="30" t="n"/>
      <c r="F487" s="28" t="n"/>
      <c r="G487" s="1" t="n"/>
    </row>
    <row r="488">
      <c r="A488" s="1" t="n"/>
      <c r="B488" s="26" t="n"/>
      <c r="C488" s="27" t="n"/>
      <c r="D488" s="30" t="n"/>
      <c r="E488" s="30" t="n"/>
      <c r="F488" s="28" t="n"/>
      <c r="G488" s="1" t="n"/>
    </row>
    <row r="489">
      <c r="A489" s="1" t="n"/>
      <c r="B489" s="26" t="n"/>
      <c r="C489" s="27" t="n"/>
      <c r="D489" s="30" t="n"/>
      <c r="E489" s="30" t="n"/>
      <c r="F489" s="28" t="n"/>
      <c r="G489" s="1" t="n"/>
    </row>
    <row r="490">
      <c r="A490" s="1" t="n"/>
      <c r="B490" s="26" t="n"/>
      <c r="C490" s="27" t="n"/>
      <c r="D490" s="30" t="n"/>
      <c r="E490" s="30" t="n"/>
      <c r="F490" s="28" t="n"/>
      <c r="G490" s="1" t="n"/>
    </row>
    <row r="491">
      <c r="A491" s="1" t="n"/>
      <c r="B491" s="26" t="n"/>
      <c r="C491" s="27" t="n"/>
      <c r="D491" s="30" t="n"/>
      <c r="E491" s="30" t="n"/>
      <c r="F491" s="28" t="n"/>
      <c r="G491" s="1" t="n"/>
    </row>
    <row r="492">
      <c r="A492" s="1" t="n"/>
      <c r="B492" s="26" t="n"/>
      <c r="C492" s="27" t="n"/>
      <c r="D492" s="30" t="n"/>
      <c r="E492" s="30" t="n"/>
      <c r="F492" s="28" t="n"/>
      <c r="G492" s="1" t="n"/>
    </row>
    <row r="493">
      <c r="A493" s="1" t="n"/>
      <c r="B493" s="26" t="n"/>
      <c r="C493" s="27" t="n"/>
      <c r="D493" s="30" t="n"/>
      <c r="E493" s="30" t="n"/>
      <c r="F493" s="28" t="n"/>
      <c r="G493" s="1" t="n"/>
    </row>
    <row r="494">
      <c r="A494" s="1" t="n"/>
      <c r="B494" s="26" t="n"/>
      <c r="C494" s="27" t="n"/>
      <c r="D494" s="30" t="n"/>
      <c r="E494" s="30" t="n"/>
      <c r="F494" s="28" t="n"/>
      <c r="G494" s="1" t="n"/>
    </row>
    <row r="495">
      <c r="A495" s="1" t="n"/>
      <c r="B495" s="26" t="n"/>
      <c r="C495" s="27" t="n"/>
      <c r="D495" s="30" t="n"/>
      <c r="E495" s="30" t="n"/>
      <c r="F495" s="28" t="n"/>
      <c r="G495" s="1" t="n"/>
    </row>
    <row r="496">
      <c r="A496" s="1" t="n"/>
      <c r="B496" s="26" t="n"/>
      <c r="C496" s="27" t="n"/>
      <c r="D496" s="30" t="n"/>
      <c r="E496" s="30" t="n"/>
      <c r="F496" s="28" t="n"/>
      <c r="G496" s="1" t="n"/>
    </row>
    <row r="497">
      <c r="A497" s="1" t="n"/>
      <c r="B497" s="26" t="n"/>
      <c r="C497" s="27" t="n"/>
      <c r="D497" s="30" t="n"/>
      <c r="E497" s="30" t="n"/>
      <c r="F497" s="28" t="n"/>
      <c r="G497" s="1" t="n"/>
    </row>
    <row r="498">
      <c r="A498" s="1" t="n"/>
      <c r="B498" s="26" t="n"/>
      <c r="C498" s="27" t="n"/>
      <c r="D498" s="30" t="n"/>
      <c r="E498" s="30" t="n"/>
      <c r="F498" s="28" t="n"/>
      <c r="G498" s="1" t="n"/>
    </row>
    <row r="499">
      <c r="A499" s="1" t="n"/>
      <c r="B499" s="26" t="n"/>
      <c r="C499" s="27" t="n"/>
      <c r="D499" s="30" t="n"/>
      <c r="E499" s="30" t="n"/>
      <c r="F499" s="28" t="n"/>
      <c r="G499" s="1" t="n"/>
    </row>
    <row r="500">
      <c r="A500" s="1" t="n"/>
      <c r="B500" s="26" t="n"/>
      <c r="C500" s="27" t="n"/>
      <c r="D500" s="30" t="n"/>
      <c r="E500" s="30" t="n"/>
      <c r="F500" s="28" t="n"/>
      <c r="G500" s="1" t="n"/>
    </row>
    <row r="501">
      <c r="A501" s="1" t="n"/>
      <c r="B501" s="26" t="n"/>
      <c r="C501" s="27" t="n"/>
      <c r="D501" s="30" t="n"/>
      <c r="E501" s="30" t="n"/>
      <c r="F501" s="28" t="n"/>
      <c r="G501" s="1" t="n"/>
    </row>
    <row r="502">
      <c r="A502" s="1" t="n"/>
      <c r="B502" s="26" t="n"/>
      <c r="C502" s="27" t="n"/>
      <c r="D502" s="30" t="n"/>
      <c r="E502" s="30" t="n"/>
      <c r="F502" s="28" t="n"/>
      <c r="G502" s="1" t="n"/>
    </row>
    <row r="503">
      <c r="A503" s="1" t="n"/>
      <c r="B503" s="26" t="n"/>
      <c r="C503" s="27" t="n"/>
      <c r="D503" s="30" t="n"/>
      <c r="E503" s="30" t="n"/>
      <c r="F503" s="28" t="n"/>
      <c r="G503" s="1" t="n"/>
    </row>
    <row r="504">
      <c r="A504" s="1" t="n"/>
      <c r="B504" s="26" t="n"/>
      <c r="C504" s="27" t="n"/>
      <c r="D504" s="30" t="n"/>
      <c r="E504" s="30" t="n"/>
      <c r="F504" s="28" t="n"/>
      <c r="G504" s="1" t="n"/>
    </row>
    <row r="505">
      <c r="A505" s="1" t="n"/>
      <c r="B505" s="26" t="n"/>
      <c r="C505" s="27" t="n"/>
      <c r="D505" s="30" t="n"/>
      <c r="E505" s="30" t="n"/>
      <c r="F505" s="28" t="n"/>
      <c r="G505" s="1" t="n"/>
    </row>
    <row r="506">
      <c r="A506" s="1" t="n"/>
      <c r="B506" s="26" t="n"/>
      <c r="C506" s="27" t="n"/>
      <c r="D506" s="30" t="n"/>
      <c r="E506" s="30" t="n"/>
      <c r="F506" s="28" t="n"/>
      <c r="G506" s="1" t="n"/>
    </row>
    <row r="507">
      <c r="A507" s="1" t="n"/>
      <c r="B507" s="26" t="n"/>
      <c r="C507" s="27" t="n"/>
      <c r="D507" s="30" t="n"/>
      <c r="E507" s="30" t="n"/>
      <c r="F507" s="28" t="n"/>
      <c r="G507" s="1" t="n"/>
    </row>
    <row r="508">
      <c r="A508" s="1" t="n"/>
      <c r="B508" s="26" t="n"/>
      <c r="C508" s="27" t="n"/>
      <c r="D508" s="30" t="n"/>
      <c r="E508" s="30" t="n"/>
      <c r="F508" s="28" t="n"/>
      <c r="G508" s="1" t="n"/>
    </row>
    <row r="509">
      <c r="A509" s="1" t="n"/>
      <c r="B509" s="26" t="n"/>
      <c r="C509" s="27" t="n"/>
      <c r="D509" s="30" t="n"/>
      <c r="E509" s="30" t="n"/>
      <c r="F509" s="28" t="n"/>
      <c r="G509" s="1" t="n"/>
    </row>
    <row r="510">
      <c r="A510" s="1" t="n"/>
      <c r="B510" s="26" t="n"/>
      <c r="C510" s="27" t="n"/>
      <c r="D510" s="30" t="n"/>
      <c r="E510" s="30" t="n"/>
      <c r="F510" s="28" t="n"/>
      <c r="G510" s="1" t="n"/>
    </row>
    <row r="511">
      <c r="A511" s="1" t="n"/>
      <c r="B511" s="26" t="n"/>
      <c r="C511" s="27" t="n"/>
      <c r="D511" s="30" t="n"/>
      <c r="E511" s="30" t="n"/>
      <c r="F511" s="28" t="n"/>
      <c r="G511" s="1" t="n"/>
    </row>
    <row r="512">
      <c r="A512" s="1" t="n"/>
      <c r="B512" s="26" t="n"/>
      <c r="C512" s="27" t="n"/>
      <c r="D512" s="30" t="n"/>
      <c r="E512" s="30" t="n"/>
      <c r="F512" s="28" t="n"/>
      <c r="G512" s="1" t="n"/>
    </row>
    <row r="513">
      <c r="A513" s="1" t="n"/>
      <c r="B513" s="26" t="n"/>
      <c r="C513" s="27" t="n"/>
      <c r="D513" s="30" t="n"/>
      <c r="E513" s="30" t="n"/>
      <c r="F513" s="28" t="n"/>
      <c r="G513" s="1" t="n"/>
    </row>
    <row r="514">
      <c r="A514" s="1" t="n"/>
      <c r="B514" s="26" t="n"/>
      <c r="C514" s="27" t="n"/>
      <c r="D514" s="30" t="n"/>
      <c r="E514" s="30" t="n"/>
      <c r="F514" s="28" t="n"/>
      <c r="G514" s="1" t="n"/>
    </row>
    <row r="515">
      <c r="A515" s="1" t="n"/>
      <c r="B515" s="26" t="n"/>
      <c r="C515" s="27" t="n"/>
      <c r="D515" s="30" t="n"/>
      <c r="E515" s="30" t="n"/>
      <c r="F515" s="28" t="n"/>
      <c r="G515" s="1" t="n"/>
    </row>
    <row r="516">
      <c r="A516" s="1" t="n"/>
      <c r="B516" s="26" t="n"/>
      <c r="C516" s="27" t="n"/>
      <c r="D516" s="30" t="n"/>
      <c r="E516" s="30" t="n"/>
      <c r="F516" s="28" t="n"/>
      <c r="G516" s="1" t="n"/>
    </row>
    <row r="517">
      <c r="A517" s="1" t="n"/>
      <c r="B517" s="26" t="n"/>
      <c r="C517" s="27" t="n"/>
      <c r="D517" s="30" t="n"/>
      <c r="E517" s="30" t="n"/>
      <c r="F517" s="28" t="n"/>
      <c r="G517" s="1" t="n"/>
    </row>
    <row r="518">
      <c r="A518" s="1" t="n"/>
      <c r="B518" s="26" t="n"/>
      <c r="C518" s="27" t="n"/>
      <c r="D518" s="30" t="n"/>
      <c r="E518" s="30" t="n"/>
      <c r="F518" s="28" t="n"/>
      <c r="G518" s="1" t="n"/>
    </row>
    <row r="519">
      <c r="A519" s="1" t="n"/>
      <c r="B519" s="26" t="n"/>
      <c r="C519" s="27" t="n"/>
      <c r="D519" s="30" t="n"/>
      <c r="E519" s="30" t="n"/>
      <c r="F519" s="28" t="n"/>
      <c r="G519" s="1" t="n"/>
    </row>
    <row r="520">
      <c r="A520" s="1" t="n"/>
      <c r="B520" s="26" t="n"/>
      <c r="C520" s="27" t="n"/>
      <c r="D520" s="30" t="n"/>
      <c r="E520" s="30" t="n"/>
      <c r="F520" s="28" t="n"/>
      <c r="G520" s="1" t="n"/>
    </row>
    <row r="521">
      <c r="A521" s="1" t="n"/>
      <c r="B521" s="26" t="n"/>
      <c r="C521" s="27" t="n"/>
      <c r="D521" s="30" t="n"/>
      <c r="E521" s="30" t="n"/>
      <c r="F521" s="28" t="n"/>
      <c r="G521" s="1" t="n"/>
    </row>
    <row r="522">
      <c r="A522" s="1" t="n"/>
      <c r="B522" s="26" t="n"/>
      <c r="C522" s="27" t="n"/>
      <c r="D522" s="30" t="n"/>
      <c r="E522" s="30" t="n"/>
      <c r="F522" s="28" t="n"/>
      <c r="G522" s="1" t="n"/>
    </row>
    <row r="523">
      <c r="A523" s="1" t="n"/>
      <c r="B523" s="26" t="n"/>
      <c r="C523" s="27" t="n"/>
      <c r="D523" s="30" t="n"/>
      <c r="E523" s="30" t="n"/>
      <c r="F523" s="28" t="n"/>
      <c r="G523" s="1" t="n"/>
    </row>
    <row r="524">
      <c r="A524" s="1" t="n"/>
      <c r="B524" s="26" t="n"/>
      <c r="C524" s="27" t="n"/>
      <c r="D524" s="30" t="n"/>
      <c r="E524" s="30" t="n"/>
      <c r="F524" s="28" t="n"/>
      <c r="G524" s="1" t="n"/>
    </row>
    <row r="525">
      <c r="A525" s="1" t="n"/>
      <c r="B525" s="26" t="n"/>
      <c r="C525" s="27" t="n"/>
      <c r="D525" s="30" t="n"/>
      <c r="E525" s="30" t="n"/>
      <c r="F525" s="28" t="n"/>
      <c r="G525" s="1" t="n"/>
    </row>
    <row r="526">
      <c r="A526" s="1" t="n"/>
      <c r="B526" s="26" t="n"/>
      <c r="C526" s="27" t="n"/>
      <c r="D526" s="30" t="n"/>
      <c r="E526" s="30" t="n"/>
      <c r="F526" s="28" t="n"/>
      <c r="G526" s="1" t="n"/>
    </row>
    <row r="527">
      <c r="A527" s="1" t="n"/>
      <c r="B527" s="26" t="n"/>
      <c r="C527" s="27" t="n"/>
      <c r="D527" s="30" t="n"/>
      <c r="E527" s="30" t="n"/>
      <c r="F527" s="28" t="n"/>
      <c r="G527" s="1" t="n"/>
    </row>
    <row r="528">
      <c r="A528" s="1" t="n"/>
      <c r="B528" s="26" t="n"/>
      <c r="C528" s="27" t="n"/>
      <c r="D528" s="30" t="n"/>
      <c r="E528" s="30" t="n"/>
      <c r="F528" s="28" t="n"/>
      <c r="G528" s="1" t="n"/>
    </row>
    <row r="529">
      <c r="A529" s="1" t="n"/>
      <c r="B529" s="26" t="n"/>
      <c r="C529" s="27" t="n"/>
      <c r="D529" s="30" t="n"/>
      <c r="E529" s="30" t="n"/>
      <c r="F529" s="28" t="n"/>
      <c r="G529" s="1" t="n"/>
    </row>
    <row r="530">
      <c r="A530" s="1" t="n"/>
      <c r="B530" s="26" t="n"/>
      <c r="C530" s="27" t="n"/>
      <c r="D530" s="30" t="n"/>
      <c r="E530" s="30" t="n"/>
      <c r="F530" s="28" t="n"/>
      <c r="G530" s="1" t="n"/>
    </row>
    <row r="531">
      <c r="A531" s="1" t="n"/>
      <c r="B531" s="26" t="n"/>
      <c r="C531" s="27" t="n"/>
      <c r="D531" s="30" t="n"/>
      <c r="E531" s="30" t="n"/>
      <c r="F531" s="28" t="n"/>
      <c r="G531" s="1" t="n"/>
    </row>
    <row r="532">
      <c r="A532" s="1" t="n"/>
      <c r="B532" s="26" t="n"/>
      <c r="C532" s="27" t="n"/>
      <c r="D532" s="30" t="n"/>
      <c r="E532" s="30" t="n"/>
      <c r="F532" s="28" t="n"/>
      <c r="G532" s="1" t="n"/>
    </row>
    <row r="533">
      <c r="A533" s="1" t="n"/>
      <c r="B533" s="26" t="n"/>
      <c r="C533" s="27" t="n"/>
      <c r="D533" s="30" t="n"/>
      <c r="E533" s="30" t="n"/>
      <c r="F533" s="28" t="n"/>
      <c r="G533" s="1" t="n"/>
    </row>
    <row r="534">
      <c r="A534" s="1" t="n"/>
      <c r="B534" s="26" t="n"/>
      <c r="C534" s="27" t="n"/>
      <c r="D534" s="30" t="n"/>
      <c r="E534" s="30" t="n"/>
      <c r="F534" s="28" t="n"/>
      <c r="G534" s="1" t="n"/>
    </row>
    <row r="535">
      <c r="A535" s="1" t="n"/>
      <c r="B535" s="26" t="n"/>
      <c r="C535" s="27" t="n"/>
      <c r="D535" s="30" t="n"/>
      <c r="E535" s="30" t="n"/>
      <c r="F535" s="28" t="n"/>
      <c r="G535" s="1" t="n"/>
    </row>
    <row r="536">
      <c r="A536" s="1" t="n"/>
      <c r="B536" s="26" t="n"/>
      <c r="C536" s="27" t="n"/>
      <c r="D536" s="30" t="n"/>
      <c r="E536" s="30" t="n"/>
      <c r="F536" s="28" t="n"/>
      <c r="G536" s="1" t="n"/>
    </row>
    <row r="537">
      <c r="A537" s="1" t="n"/>
      <c r="B537" s="26" t="n"/>
      <c r="C537" s="27" t="n"/>
      <c r="D537" s="30" t="n"/>
      <c r="E537" s="30" t="n"/>
      <c r="F537" s="28" t="n"/>
      <c r="G537" s="1" t="n"/>
    </row>
    <row r="538">
      <c r="A538" s="1" t="n"/>
      <c r="B538" s="26" t="n"/>
      <c r="C538" s="27" t="n"/>
      <c r="D538" s="30" t="n"/>
      <c r="E538" s="30" t="n"/>
      <c r="F538" s="28" t="n"/>
      <c r="G538" s="1" t="n"/>
    </row>
    <row r="539">
      <c r="A539" s="1" t="n"/>
      <c r="B539" s="26" t="n"/>
      <c r="C539" s="27" t="n"/>
      <c r="D539" s="30" t="n"/>
      <c r="E539" s="30" t="n"/>
      <c r="F539" s="28" t="n"/>
      <c r="G539" s="1" t="n"/>
    </row>
    <row r="540">
      <c r="A540" s="1" t="n"/>
      <c r="B540" s="26" t="n"/>
      <c r="C540" s="27" t="n"/>
      <c r="D540" s="30" t="n"/>
      <c r="E540" s="30" t="n"/>
      <c r="F540" s="28" t="n"/>
      <c r="G540" s="1" t="n"/>
    </row>
    <row r="541">
      <c r="A541" s="1" t="n"/>
      <c r="B541" s="26" t="n"/>
      <c r="C541" s="27" t="n"/>
      <c r="D541" s="30" t="n"/>
      <c r="E541" s="30" t="n"/>
      <c r="F541" s="28" t="n"/>
      <c r="G541" s="1" t="n"/>
    </row>
    <row r="542">
      <c r="A542" s="1" t="n"/>
      <c r="B542" s="26" t="n"/>
      <c r="C542" s="27" t="n"/>
      <c r="D542" s="30" t="n"/>
      <c r="E542" s="30" t="n"/>
      <c r="F542" s="28" t="n"/>
      <c r="G542" s="1" t="n"/>
    </row>
    <row r="543">
      <c r="A543" s="1" t="n"/>
      <c r="B543" s="26" t="n"/>
      <c r="C543" s="27" t="n"/>
      <c r="D543" s="30" t="n"/>
      <c r="E543" s="30" t="n"/>
      <c r="F543" s="28" t="n"/>
      <c r="G543" s="1" t="n"/>
    </row>
    <row r="544">
      <c r="A544" s="1" t="n"/>
      <c r="B544" s="26" t="n"/>
      <c r="C544" s="27" t="n"/>
      <c r="D544" s="30" t="n"/>
      <c r="E544" s="30" t="n"/>
      <c r="F544" s="28" t="n"/>
      <c r="G544" s="1" t="n"/>
    </row>
    <row r="545">
      <c r="A545" s="1" t="n"/>
      <c r="B545" s="26" t="n"/>
      <c r="C545" s="27" t="n"/>
      <c r="D545" s="30" t="n"/>
      <c r="E545" s="30" t="n"/>
      <c r="F545" s="28" t="n"/>
      <c r="G545" s="1" t="n"/>
    </row>
    <row r="546">
      <c r="A546" s="1" t="n"/>
      <c r="B546" s="26" t="n"/>
      <c r="C546" s="27" t="n"/>
      <c r="D546" s="30" t="n"/>
      <c r="E546" s="30" t="n"/>
      <c r="F546" s="28" t="n"/>
      <c r="G546" s="1" t="n"/>
    </row>
    <row r="547">
      <c r="A547" s="1" t="n"/>
      <c r="B547" s="26" t="n"/>
      <c r="C547" s="27" t="n"/>
      <c r="D547" s="30" t="n"/>
      <c r="E547" s="30" t="n"/>
      <c r="F547" s="28" t="n"/>
      <c r="G547" s="1" t="n"/>
    </row>
    <row r="548">
      <c r="A548" s="1" t="n"/>
      <c r="B548" s="26" t="n"/>
      <c r="C548" s="27" t="n"/>
      <c r="D548" s="30" t="n"/>
      <c r="E548" s="30" t="n"/>
      <c r="F548" s="28" t="n"/>
      <c r="G548" s="1" t="n"/>
    </row>
    <row r="549">
      <c r="A549" s="1" t="n"/>
      <c r="B549" s="26" t="n"/>
      <c r="C549" s="27" t="n"/>
      <c r="D549" s="30" t="n"/>
      <c r="E549" s="30" t="n"/>
      <c r="F549" s="28" t="n"/>
      <c r="G549" s="1" t="n"/>
    </row>
    <row r="550">
      <c r="A550" s="1" t="n"/>
      <c r="B550" s="26" t="n"/>
      <c r="C550" s="27" t="n"/>
      <c r="D550" s="30" t="n"/>
      <c r="E550" s="30" t="n"/>
      <c r="F550" s="28" t="n"/>
      <c r="G550" s="1" t="n"/>
    </row>
    <row r="551">
      <c r="A551" s="1" t="n"/>
      <c r="B551" s="26" t="n"/>
      <c r="C551" s="27" t="n"/>
      <c r="D551" s="30" t="n"/>
      <c r="E551" s="30" t="n"/>
      <c r="F551" s="28" t="n"/>
      <c r="G551" s="1" t="n"/>
    </row>
    <row r="552">
      <c r="A552" s="1" t="n"/>
      <c r="B552" s="26" t="n"/>
      <c r="C552" s="27" t="n"/>
      <c r="D552" s="30" t="n"/>
      <c r="E552" s="30" t="n"/>
      <c r="F552" s="28" t="n"/>
      <c r="G552" s="1" t="n"/>
    </row>
    <row r="553">
      <c r="A553" s="1" t="n"/>
      <c r="B553" s="26" t="n"/>
      <c r="C553" s="27" t="n"/>
      <c r="D553" s="30" t="n"/>
      <c r="E553" s="30" t="n"/>
      <c r="F553" s="28" t="n"/>
      <c r="G553" s="1" t="n"/>
    </row>
    <row r="554">
      <c r="A554" s="1" t="n"/>
      <c r="B554" s="26" t="n"/>
      <c r="C554" s="27" t="n"/>
      <c r="D554" s="30" t="n"/>
      <c r="E554" s="30" t="n"/>
      <c r="F554" s="28" t="n"/>
      <c r="G554" s="1" t="n"/>
    </row>
    <row r="555">
      <c r="A555" s="1" t="n"/>
      <c r="B555" s="26" t="n"/>
      <c r="C555" s="27" t="n"/>
      <c r="D555" s="30" t="n"/>
      <c r="E555" s="30" t="n"/>
      <c r="F555" s="28" t="n"/>
      <c r="G555" s="1" t="n"/>
    </row>
    <row r="556">
      <c r="A556" s="1" t="n"/>
      <c r="B556" s="26" t="n"/>
      <c r="C556" s="27" t="n"/>
      <c r="D556" s="30" t="n"/>
      <c r="E556" s="30" t="n"/>
      <c r="F556" s="28" t="n"/>
      <c r="G556" s="1" t="n"/>
    </row>
    <row r="557">
      <c r="A557" s="1" t="n"/>
      <c r="B557" s="26" t="n"/>
      <c r="C557" s="27" t="n"/>
      <c r="D557" s="30" t="n"/>
      <c r="E557" s="30" t="n"/>
      <c r="F557" s="28" t="n"/>
      <c r="G557" s="1" t="n"/>
    </row>
    <row r="558">
      <c r="A558" s="1" t="n"/>
      <c r="B558" s="26" t="n"/>
      <c r="C558" s="27" t="n"/>
      <c r="D558" s="30" t="n"/>
      <c r="E558" s="30" t="n"/>
      <c r="F558" s="28" t="n"/>
      <c r="G558" s="1" t="n"/>
    </row>
    <row r="559">
      <c r="A559" s="1" t="n"/>
      <c r="B559" s="26" t="n"/>
      <c r="C559" s="27" t="n"/>
      <c r="D559" s="30" t="n"/>
      <c r="E559" s="30" t="n"/>
      <c r="F559" s="28" t="n"/>
      <c r="G559" s="1" t="n"/>
    </row>
    <row r="560">
      <c r="A560" s="1" t="n"/>
      <c r="B560" s="26" t="n"/>
      <c r="C560" s="27" t="n"/>
      <c r="D560" s="30" t="n"/>
      <c r="E560" s="30" t="n"/>
      <c r="F560" s="28" t="n"/>
      <c r="G560" s="1" t="n"/>
    </row>
    <row r="561">
      <c r="A561" s="1" t="n"/>
      <c r="B561" s="26" t="n"/>
      <c r="C561" s="27" t="n"/>
      <c r="D561" s="30" t="n"/>
      <c r="E561" s="30" t="n"/>
      <c r="F561" s="28" t="n"/>
      <c r="G561" s="1" t="n"/>
    </row>
    <row r="562">
      <c r="A562" s="1" t="n"/>
      <c r="B562" s="26" t="n"/>
      <c r="C562" s="27" t="n"/>
      <c r="D562" s="30" t="n"/>
      <c r="E562" s="30" t="n"/>
      <c r="F562" s="28" t="n"/>
      <c r="G562" s="1" t="n"/>
    </row>
    <row r="563">
      <c r="A563" s="1" t="n"/>
      <c r="B563" s="26" t="n"/>
      <c r="C563" s="27" t="n"/>
      <c r="D563" s="30" t="n"/>
      <c r="E563" s="30" t="n"/>
      <c r="F563" s="28" t="n"/>
      <c r="G563" s="1" t="n"/>
    </row>
    <row r="564">
      <c r="A564" s="1" t="n"/>
      <c r="B564" s="26" t="n"/>
      <c r="C564" s="27" t="n"/>
      <c r="D564" s="30" t="n"/>
      <c r="E564" s="30" t="n"/>
      <c r="F564" s="28" t="n"/>
      <c r="G564" s="1" t="n"/>
    </row>
    <row r="565">
      <c r="A565" s="1" t="n"/>
      <c r="B565" s="26" t="n"/>
      <c r="C565" s="27" t="n"/>
      <c r="D565" s="30" t="n"/>
      <c r="E565" s="30" t="n"/>
      <c r="F565" s="28" t="n"/>
      <c r="G565" s="1" t="n"/>
    </row>
    <row r="566">
      <c r="A566" s="1" t="n"/>
      <c r="B566" s="26" t="n"/>
      <c r="C566" s="27" t="n"/>
      <c r="D566" s="30" t="n"/>
      <c r="E566" s="30" t="n"/>
      <c r="F566" s="28" t="n"/>
      <c r="G566" s="1" t="n"/>
    </row>
    <row r="567">
      <c r="A567" s="1" t="n"/>
      <c r="B567" s="26" t="n"/>
      <c r="C567" s="27" t="n"/>
      <c r="D567" s="30" t="n"/>
      <c r="E567" s="30" t="n"/>
      <c r="F567" s="28" t="n"/>
      <c r="G567" s="1" t="n"/>
    </row>
    <row r="568">
      <c r="A568" s="1" t="n"/>
      <c r="B568" s="26" t="n"/>
      <c r="C568" s="27" t="n"/>
      <c r="D568" s="30" t="n"/>
      <c r="E568" s="30" t="n"/>
      <c r="F568" s="28" t="n"/>
      <c r="G568" s="1" t="n"/>
    </row>
    <row r="569">
      <c r="A569" s="1" t="n"/>
      <c r="B569" s="26" t="n"/>
      <c r="C569" s="27" t="n"/>
      <c r="D569" s="30" t="n"/>
      <c r="E569" s="30" t="n"/>
      <c r="F569" s="28" t="n"/>
      <c r="G569" s="1" t="n"/>
    </row>
    <row r="570">
      <c r="A570" s="1" t="n"/>
      <c r="B570" s="26" t="n"/>
      <c r="C570" s="27" t="n"/>
      <c r="D570" s="30" t="n"/>
      <c r="E570" s="30" t="n"/>
      <c r="F570" s="28" t="n"/>
      <c r="G570" s="1" t="n"/>
    </row>
    <row r="571">
      <c r="A571" s="1" t="n"/>
      <c r="B571" s="26" t="n"/>
      <c r="C571" s="27" t="n"/>
      <c r="D571" s="30" t="n"/>
      <c r="E571" s="30" t="n"/>
      <c r="F571" s="28" t="n"/>
      <c r="G571" s="1" t="n"/>
    </row>
    <row r="572">
      <c r="A572" s="1" t="n"/>
      <c r="B572" s="26" t="n"/>
      <c r="C572" s="27" t="n"/>
      <c r="D572" s="30" t="n"/>
      <c r="E572" s="30" t="n"/>
      <c r="F572" s="28" t="n"/>
      <c r="G572" s="1" t="n"/>
    </row>
    <row r="573">
      <c r="A573" s="1" t="n"/>
      <c r="B573" s="26" t="n"/>
      <c r="C573" s="27" t="n"/>
      <c r="D573" s="30" t="n"/>
      <c r="E573" s="30" t="n"/>
      <c r="F573" s="28" t="n"/>
      <c r="G573" s="1" t="n"/>
    </row>
    <row r="574">
      <c r="A574" s="1" t="n"/>
      <c r="B574" s="26" t="n"/>
      <c r="C574" s="27" t="n"/>
      <c r="D574" s="30" t="n"/>
      <c r="E574" s="30" t="n"/>
      <c r="F574" s="28" t="n"/>
      <c r="G574" s="1" t="n"/>
    </row>
    <row r="575">
      <c r="A575" s="1" t="n"/>
      <c r="B575" s="26" t="n"/>
      <c r="C575" s="27" t="n"/>
      <c r="D575" s="30" t="n"/>
      <c r="E575" s="30" t="n"/>
      <c r="F575" s="28" t="n"/>
      <c r="G575" s="1" t="n"/>
    </row>
    <row r="576">
      <c r="A576" s="1" t="n"/>
      <c r="B576" s="26" t="n"/>
      <c r="C576" s="27" t="n"/>
      <c r="D576" s="30" t="n"/>
      <c r="E576" s="30" t="n"/>
      <c r="F576" s="28" t="n"/>
      <c r="G576" s="1" t="n"/>
    </row>
    <row r="577">
      <c r="A577" s="1" t="n"/>
      <c r="B577" s="26" t="n"/>
      <c r="C577" s="27" t="n"/>
      <c r="D577" s="30" t="n"/>
      <c r="E577" s="30" t="n"/>
      <c r="F577" s="28" t="n"/>
      <c r="G577" s="1" t="n"/>
    </row>
    <row r="578">
      <c r="A578" s="1" t="n"/>
      <c r="B578" s="26" t="n"/>
      <c r="C578" s="27" t="n"/>
      <c r="D578" s="30" t="n"/>
      <c r="E578" s="30" t="n"/>
      <c r="F578" s="28" t="n"/>
      <c r="G578" s="1" t="n"/>
    </row>
    <row r="579">
      <c r="A579" s="1" t="n"/>
      <c r="B579" s="26" t="n"/>
      <c r="C579" s="27" t="n"/>
      <c r="D579" s="30" t="n"/>
      <c r="E579" s="30" t="n"/>
      <c r="F579" s="28" t="n"/>
      <c r="G579" s="1" t="n"/>
    </row>
    <row r="580">
      <c r="A580" s="1" t="n"/>
      <c r="B580" s="26" t="n"/>
      <c r="C580" s="27" t="n"/>
      <c r="D580" s="30" t="n"/>
      <c r="E580" s="30" t="n"/>
      <c r="F580" s="28" t="n"/>
      <c r="G580" s="1" t="n"/>
    </row>
    <row r="581">
      <c r="A581" s="1" t="n"/>
      <c r="B581" s="26" t="n"/>
      <c r="C581" s="27" t="n"/>
      <c r="D581" s="30" t="n"/>
      <c r="E581" s="30" t="n"/>
      <c r="F581" s="28" t="n"/>
      <c r="G581" s="1" t="n"/>
    </row>
    <row r="582">
      <c r="A582" s="1" t="n"/>
      <c r="B582" s="26" t="n"/>
      <c r="C582" s="27" t="n"/>
      <c r="D582" s="30" t="n"/>
      <c r="E582" s="30" t="n"/>
      <c r="F582" s="28" t="n"/>
      <c r="G582" s="1" t="n"/>
    </row>
    <row r="583">
      <c r="A583" s="1" t="n"/>
      <c r="B583" s="26" t="n"/>
      <c r="C583" s="27" t="n"/>
      <c r="D583" s="30" t="n"/>
      <c r="E583" s="30" t="n"/>
      <c r="F583" s="28" t="n"/>
      <c r="G583" s="1" t="n"/>
    </row>
    <row r="584">
      <c r="A584" s="1" t="n"/>
      <c r="B584" s="26" t="n"/>
      <c r="C584" s="27" t="n"/>
      <c r="D584" s="30" t="n"/>
      <c r="E584" s="30" t="n"/>
      <c r="F584" s="28" t="n"/>
      <c r="G584" s="1" t="n"/>
    </row>
    <row r="585">
      <c r="A585" s="1" t="n"/>
      <c r="B585" s="26" t="n"/>
      <c r="C585" s="27" t="n"/>
      <c r="D585" s="30" t="n"/>
      <c r="E585" s="30" t="n"/>
      <c r="F585" s="28" t="n"/>
      <c r="G585" s="1" t="n"/>
    </row>
    <row r="586">
      <c r="A586" s="1" t="n"/>
      <c r="B586" s="26" t="n"/>
      <c r="C586" s="27" t="n"/>
      <c r="D586" s="30" t="n"/>
      <c r="E586" s="30" t="n"/>
      <c r="F586" s="28" t="n"/>
      <c r="G586" s="1" t="n"/>
    </row>
    <row r="587">
      <c r="A587" s="1" t="n"/>
      <c r="B587" s="26" t="n"/>
      <c r="C587" s="27" t="n"/>
      <c r="D587" s="30" t="n"/>
      <c r="E587" s="30" t="n"/>
      <c r="F587" s="28" t="n"/>
      <c r="G587" s="1" t="n"/>
    </row>
    <row r="588">
      <c r="A588" s="1" t="n"/>
      <c r="B588" s="26" t="n"/>
      <c r="C588" s="27" t="n"/>
      <c r="D588" s="30" t="n"/>
      <c r="E588" s="30" t="n"/>
      <c r="F588" s="28" t="n"/>
      <c r="G588" s="1" t="n"/>
    </row>
    <row r="589">
      <c r="A589" s="1" t="n"/>
      <c r="B589" s="26" t="n"/>
      <c r="C589" s="27" t="n"/>
      <c r="D589" s="30" t="n"/>
      <c r="E589" s="30" t="n"/>
      <c r="F589" s="28" t="n"/>
      <c r="G589" s="1" t="n"/>
    </row>
    <row r="590">
      <c r="A590" s="1" t="n"/>
      <c r="B590" s="26" t="n"/>
      <c r="C590" s="27" t="n"/>
      <c r="D590" s="30" t="n"/>
      <c r="E590" s="30" t="n"/>
      <c r="F590" s="28" t="n"/>
      <c r="G590" s="1" t="n"/>
    </row>
    <row r="591">
      <c r="A591" s="1" t="n"/>
      <c r="B591" s="26" t="n"/>
      <c r="C591" s="27" t="n"/>
      <c r="D591" s="30" t="n"/>
      <c r="E591" s="30" t="n"/>
      <c r="F591" s="28" t="n"/>
      <c r="G591" s="1" t="n"/>
    </row>
    <row r="592">
      <c r="A592" s="1" t="n"/>
      <c r="B592" s="26" t="n"/>
      <c r="C592" s="27" t="n"/>
      <c r="D592" s="30" t="n"/>
      <c r="E592" s="30" t="n"/>
      <c r="F592" s="28" t="n"/>
      <c r="G592" s="1" t="n"/>
    </row>
    <row r="593">
      <c r="A593" s="1" t="n"/>
      <c r="B593" s="26" t="n"/>
      <c r="C593" s="27" t="n"/>
      <c r="D593" s="30" t="n"/>
      <c r="E593" s="30" t="n"/>
      <c r="F593" s="28" t="n"/>
      <c r="G593" s="1" t="n"/>
    </row>
    <row r="594">
      <c r="A594" s="1" t="n"/>
      <c r="B594" s="26" t="n"/>
      <c r="C594" s="27" t="n"/>
      <c r="D594" s="30" t="n"/>
      <c r="E594" s="30" t="n"/>
      <c r="F594" s="28" t="n"/>
      <c r="G594" s="1" t="n"/>
    </row>
    <row r="595">
      <c r="A595" s="1" t="n"/>
      <c r="B595" s="26" t="n"/>
      <c r="C595" s="27" t="n"/>
      <c r="D595" s="30" t="n"/>
      <c r="E595" s="30" t="n"/>
      <c r="F595" s="28" t="n"/>
      <c r="G595" s="1" t="n"/>
    </row>
    <row r="596">
      <c r="A596" s="1" t="n"/>
      <c r="B596" s="26" t="n"/>
      <c r="C596" s="27" t="n"/>
      <c r="D596" s="30" t="n"/>
      <c r="E596" s="30" t="n"/>
      <c r="F596" s="28" t="n"/>
      <c r="G596" s="1" t="n"/>
    </row>
    <row r="597">
      <c r="A597" s="1" t="n"/>
      <c r="B597" s="26" t="n"/>
      <c r="C597" s="27" t="n"/>
      <c r="D597" s="30" t="n"/>
      <c r="E597" s="30" t="n"/>
      <c r="F597" s="28" t="n"/>
      <c r="G597" s="1" t="n"/>
    </row>
    <row r="598">
      <c r="A598" s="1" t="n"/>
      <c r="B598" s="26" t="n"/>
      <c r="C598" s="27" t="n"/>
      <c r="D598" s="30" t="n"/>
      <c r="E598" s="30" t="n"/>
      <c r="F598" s="28" t="n"/>
      <c r="G598" s="1" t="n"/>
    </row>
    <row r="599">
      <c r="A599" s="1" t="n"/>
      <c r="B599" s="26" t="n"/>
      <c r="C599" s="27" t="n"/>
      <c r="D599" s="30" t="n"/>
      <c r="E599" s="30" t="n"/>
      <c r="F599" s="28" t="n"/>
      <c r="G599" s="1" t="n"/>
    </row>
    <row r="600">
      <c r="A600" s="1" t="n"/>
      <c r="B600" s="26" t="n"/>
      <c r="C600" s="27" t="n"/>
      <c r="D600" s="30" t="n"/>
      <c r="E600" s="30" t="n"/>
      <c r="F600" s="28" t="n"/>
      <c r="G600" s="1" t="n"/>
    </row>
    <row r="601">
      <c r="A601" s="1" t="n"/>
      <c r="B601" s="26" t="n"/>
      <c r="C601" s="27" t="n"/>
      <c r="D601" s="30" t="n"/>
      <c r="E601" s="30" t="n"/>
      <c r="F601" s="28" t="n"/>
      <c r="G601" s="1" t="n"/>
    </row>
    <row r="602">
      <c r="A602" s="1" t="n"/>
      <c r="B602" s="26" t="n"/>
      <c r="C602" s="27" t="n"/>
      <c r="D602" s="30" t="n"/>
      <c r="E602" s="30" t="n"/>
      <c r="F602" s="28" t="n"/>
      <c r="G602" s="1" t="n"/>
    </row>
    <row r="603">
      <c r="A603" s="1" t="n"/>
      <c r="B603" s="26" t="n"/>
      <c r="C603" s="27" t="n"/>
      <c r="D603" s="30" t="n"/>
      <c r="E603" s="30" t="n"/>
      <c r="F603" s="28" t="n"/>
      <c r="G603" s="1" t="n"/>
    </row>
    <row r="604">
      <c r="A604" s="1" t="n"/>
      <c r="B604" s="26" t="n"/>
      <c r="C604" s="27" t="n"/>
      <c r="D604" s="30" t="n"/>
      <c r="E604" s="30" t="n"/>
      <c r="F604" s="28" t="n"/>
      <c r="G604" s="1" t="n"/>
    </row>
    <row r="605">
      <c r="A605" s="1" t="n"/>
      <c r="B605" s="26" t="n"/>
      <c r="C605" s="27" t="n"/>
      <c r="D605" s="30" t="n"/>
      <c r="E605" s="30" t="n"/>
      <c r="F605" s="28" t="n"/>
      <c r="G605" s="1" t="n"/>
    </row>
    <row r="606">
      <c r="A606" s="1" t="n"/>
      <c r="B606" s="26" t="n"/>
      <c r="C606" s="27" t="n"/>
      <c r="D606" s="30" t="n"/>
      <c r="E606" s="30" t="n"/>
      <c r="F606" s="28" t="n"/>
      <c r="G606" s="1" t="n"/>
    </row>
    <row r="607">
      <c r="A607" s="1" t="n"/>
      <c r="B607" s="26" t="n"/>
      <c r="C607" s="27" t="n"/>
      <c r="D607" s="30" t="n"/>
      <c r="E607" s="30" t="n"/>
      <c r="F607" s="28" t="n"/>
      <c r="G607" s="1" t="n"/>
    </row>
    <row r="608">
      <c r="A608" s="1" t="n"/>
      <c r="B608" s="26" t="n"/>
      <c r="C608" s="27" t="n"/>
      <c r="D608" s="30" t="n"/>
      <c r="E608" s="30" t="n"/>
      <c r="F608" s="28" t="n"/>
      <c r="G608" s="1" t="n"/>
    </row>
    <row r="609">
      <c r="A609" s="1" t="n"/>
      <c r="B609" s="26" t="n"/>
      <c r="C609" s="27" t="n"/>
      <c r="D609" s="30" t="n"/>
      <c r="E609" s="30" t="n"/>
      <c r="F609" s="28" t="n"/>
      <c r="G609" s="1" t="n"/>
    </row>
    <row r="610">
      <c r="A610" s="1" t="n"/>
      <c r="B610" s="26" t="n"/>
      <c r="C610" s="27" t="n"/>
      <c r="D610" s="30" t="n"/>
      <c r="E610" s="30" t="n"/>
      <c r="F610" s="28" t="n"/>
      <c r="G610" s="1" t="n"/>
    </row>
    <row r="611">
      <c r="A611" s="1" t="n"/>
      <c r="B611" s="26" t="n"/>
      <c r="C611" s="27" t="n"/>
      <c r="D611" s="30" t="n"/>
      <c r="E611" s="30" t="n"/>
      <c r="F611" s="28" t="n"/>
      <c r="G611" s="1" t="n"/>
    </row>
    <row r="612">
      <c r="A612" s="1" t="n"/>
      <c r="B612" s="26" t="n"/>
      <c r="C612" s="27" t="n"/>
      <c r="D612" s="30" t="n"/>
      <c r="E612" s="30" t="n"/>
      <c r="F612" s="28" t="n"/>
      <c r="G612" s="1" t="n"/>
    </row>
    <row r="613">
      <c r="A613" s="1" t="n"/>
      <c r="B613" s="26" t="n"/>
      <c r="C613" s="27" t="n"/>
      <c r="D613" s="30" t="n"/>
      <c r="E613" s="30" t="n"/>
      <c r="F613" s="28" t="n"/>
      <c r="G613" s="1" t="n"/>
    </row>
    <row r="614">
      <c r="A614" s="1" t="n"/>
      <c r="B614" s="26" t="n"/>
      <c r="C614" s="27" t="n"/>
      <c r="D614" s="30" t="n"/>
      <c r="E614" s="30" t="n"/>
      <c r="F614" s="28" t="n"/>
      <c r="G614" s="1" t="n"/>
    </row>
    <row r="615">
      <c r="A615" s="1" t="n"/>
      <c r="B615" s="26" t="n"/>
      <c r="C615" s="27" t="n"/>
      <c r="D615" s="30" t="n"/>
      <c r="E615" s="30" t="n"/>
      <c r="F615" s="28" t="n"/>
      <c r="G615" s="1" t="n"/>
    </row>
    <row r="616">
      <c r="A616" s="1" t="n"/>
      <c r="B616" s="26" t="n"/>
      <c r="C616" s="27" t="n"/>
      <c r="D616" s="30" t="n"/>
      <c r="E616" s="30" t="n"/>
      <c r="F616" s="28" t="n"/>
      <c r="G616" s="1" t="n"/>
    </row>
    <row r="617">
      <c r="A617" s="1" t="n"/>
      <c r="B617" s="26" t="n"/>
      <c r="C617" s="27" t="n"/>
      <c r="D617" s="30" t="n"/>
      <c r="E617" s="30" t="n"/>
      <c r="F617" s="28" t="n"/>
      <c r="G617" s="1" t="n"/>
    </row>
    <row r="618">
      <c r="A618" s="1" t="n"/>
      <c r="B618" s="26" t="n"/>
      <c r="C618" s="27" t="n"/>
      <c r="D618" s="30" t="n"/>
      <c r="E618" s="30" t="n"/>
      <c r="F618" s="28" t="n"/>
      <c r="G618" s="1" t="n"/>
    </row>
    <row r="619">
      <c r="A619" s="1" t="n"/>
      <c r="B619" s="26" t="n"/>
      <c r="C619" s="27" t="n"/>
      <c r="D619" s="30" t="n"/>
      <c r="E619" s="30" t="n"/>
      <c r="F619" s="28" t="n"/>
      <c r="G619" s="1" t="n"/>
    </row>
    <row r="620">
      <c r="A620" s="1" t="n"/>
      <c r="B620" s="26" t="n"/>
      <c r="C620" s="27" t="n"/>
      <c r="D620" s="30" t="n"/>
      <c r="E620" s="30" t="n"/>
      <c r="F620" s="28" t="n"/>
      <c r="G620" s="1" t="n"/>
    </row>
    <row r="621">
      <c r="A621" s="1" t="n"/>
      <c r="B621" s="26" t="n"/>
      <c r="C621" s="27" t="n"/>
      <c r="D621" s="30" t="n"/>
      <c r="E621" s="30" t="n"/>
      <c r="F621" s="28" t="n"/>
      <c r="G621" s="1" t="n"/>
    </row>
    <row r="622">
      <c r="A622" s="1" t="n"/>
      <c r="B622" s="26" t="n"/>
      <c r="C622" s="27" t="n"/>
      <c r="D622" s="30" t="n"/>
      <c r="E622" s="30" t="n"/>
      <c r="F622" s="28" t="n"/>
      <c r="G622" s="1" t="n"/>
    </row>
    <row r="623">
      <c r="A623" s="1" t="n"/>
      <c r="B623" s="26" t="n"/>
      <c r="C623" s="27" t="n"/>
      <c r="D623" s="30" t="n"/>
      <c r="E623" s="30" t="n"/>
      <c r="F623" s="28" t="n"/>
      <c r="G623" s="1" t="n"/>
    </row>
    <row r="624">
      <c r="A624" s="1" t="n"/>
      <c r="B624" s="26" t="n"/>
      <c r="C624" s="27" t="n"/>
      <c r="D624" s="30" t="n"/>
      <c r="E624" s="30" t="n"/>
      <c r="F624" s="28" t="n"/>
      <c r="G624" s="1" t="n"/>
    </row>
    <row r="625">
      <c r="A625" s="1" t="n"/>
      <c r="B625" s="26" t="n"/>
      <c r="C625" s="27" t="n"/>
      <c r="D625" s="30" t="n"/>
      <c r="E625" s="30" t="n"/>
      <c r="F625" s="28" t="n"/>
      <c r="G625" s="1" t="n"/>
    </row>
    <row r="626">
      <c r="A626" s="1" t="n"/>
      <c r="B626" s="26" t="n"/>
      <c r="C626" s="27" t="n"/>
      <c r="D626" s="30" t="n"/>
      <c r="E626" s="30" t="n"/>
      <c r="F626" s="28" t="n"/>
      <c r="G626" s="1" t="n"/>
    </row>
    <row r="627">
      <c r="A627" s="1" t="n"/>
      <c r="B627" s="26" t="n"/>
      <c r="C627" s="27" t="n"/>
      <c r="D627" s="30" t="n"/>
      <c r="E627" s="30" t="n"/>
      <c r="F627" s="28" t="n"/>
      <c r="G627" s="1" t="n"/>
    </row>
    <row r="628">
      <c r="A628" s="1" t="n"/>
      <c r="B628" s="26" t="n"/>
      <c r="C628" s="27" t="n"/>
      <c r="D628" s="30" t="n"/>
      <c r="E628" s="30" t="n"/>
      <c r="F628" s="28" t="n"/>
      <c r="G628" s="1" t="n"/>
    </row>
    <row r="629">
      <c r="A629" s="1" t="n"/>
      <c r="B629" s="26" t="n"/>
      <c r="C629" s="27" t="n"/>
      <c r="D629" s="30" t="n"/>
      <c r="E629" s="30" t="n"/>
      <c r="F629" s="28" t="n"/>
      <c r="G629" s="1" t="n"/>
    </row>
    <row r="630">
      <c r="A630" s="1" t="n"/>
      <c r="B630" s="26" t="n"/>
      <c r="C630" s="27" t="n"/>
      <c r="D630" s="30" t="n"/>
      <c r="E630" s="30" t="n"/>
      <c r="F630" s="28" t="n"/>
      <c r="G630" s="1" t="n"/>
    </row>
    <row r="631">
      <c r="A631" s="1" t="n"/>
      <c r="B631" s="26" t="n"/>
      <c r="C631" s="27" t="n"/>
      <c r="D631" s="30" t="n"/>
      <c r="E631" s="30" t="n"/>
      <c r="F631" s="28" t="n"/>
      <c r="G631" s="1" t="n"/>
    </row>
    <row r="632">
      <c r="A632" s="1" t="n"/>
      <c r="B632" s="26" t="n"/>
      <c r="C632" s="27" t="n"/>
      <c r="D632" s="30" t="n"/>
      <c r="E632" s="30" t="n"/>
      <c r="F632" s="28" t="n"/>
      <c r="G632" s="1" t="n"/>
    </row>
    <row r="633">
      <c r="A633" s="1" t="n"/>
      <c r="B633" s="26" t="n"/>
      <c r="C633" s="27" t="n"/>
      <c r="D633" s="30" t="n"/>
      <c r="E633" s="30" t="n"/>
      <c r="F633" s="28" t="n"/>
      <c r="G633" s="1" t="n"/>
    </row>
    <row r="634">
      <c r="A634" s="1" t="n"/>
      <c r="B634" s="26" t="n"/>
      <c r="C634" s="27" t="n"/>
      <c r="D634" s="30" t="n"/>
      <c r="E634" s="30" t="n"/>
      <c r="F634" s="28" t="n"/>
      <c r="G634" s="1" t="n"/>
    </row>
    <row r="635">
      <c r="A635" s="1" t="n"/>
      <c r="B635" s="26" t="n"/>
      <c r="C635" s="27" t="n"/>
      <c r="D635" s="30" t="n"/>
      <c r="E635" s="30" t="n"/>
      <c r="F635" s="28" t="n"/>
      <c r="G635" s="1" t="n"/>
    </row>
    <row r="636">
      <c r="A636" s="1" t="n"/>
      <c r="B636" s="26" t="n"/>
      <c r="C636" s="27" t="n"/>
      <c r="D636" s="30" t="n"/>
      <c r="E636" s="30" t="n"/>
      <c r="F636" s="28" t="n"/>
      <c r="G636" s="1" t="n"/>
    </row>
    <row r="637">
      <c r="A637" s="1" t="n"/>
      <c r="B637" s="26" t="n"/>
      <c r="C637" s="27" t="n"/>
      <c r="D637" s="30" t="n"/>
      <c r="E637" s="30" t="n"/>
      <c r="F637" s="28" t="n"/>
      <c r="G637" s="1" t="n"/>
    </row>
    <row r="638">
      <c r="A638" s="1" t="n"/>
      <c r="B638" s="26" t="n"/>
      <c r="C638" s="27" t="n"/>
      <c r="D638" s="30" t="n"/>
      <c r="E638" s="30" t="n"/>
      <c r="F638" s="28" t="n"/>
      <c r="G638" s="1" t="n"/>
    </row>
    <row r="639">
      <c r="A639" s="1" t="n"/>
      <c r="B639" s="26" t="n"/>
      <c r="C639" s="27" t="n"/>
      <c r="D639" s="30" t="n"/>
      <c r="E639" s="30" t="n"/>
      <c r="F639" s="28" t="n"/>
      <c r="G639" s="1" t="n"/>
    </row>
    <row r="640">
      <c r="A640" s="1" t="n"/>
      <c r="B640" s="26" t="n"/>
      <c r="C640" s="27" t="n"/>
      <c r="D640" s="30" t="n"/>
      <c r="E640" s="30" t="n"/>
      <c r="F640" s="28" t="n"/>
      <c r="G640" s="1" t="n"/>
    </row>
    <row r="641">
      <c r="A641" s="1" t="n"/>
      <c r="B641" s="26" t="n"/>
      <c r="C641" s="27" t="n"/>
      <c r="D641" s="30" t="n"/>
      <c r="E641" s="30" t="n"/>
      <c r="F641" s="28" t="n"/>
      <c r="G641" s="1" t="n"/>
    </row>
    <row r="642">
      <c r="A642" s="1" t="n"/>
      <c r="B642" s="26" t="n"/>
      <c r="C642" s="27" t="n"/>
      <c r="D642" s="30" t="n"/>
      <c r="E642" s="30" t="n"/>
      <c r="F642" s="28" t="n"/>
      <c r="G642" s="1" t="n"/>
    </row>
    <row r="643">
      <c r="A643" s="1" t="n"/>
      <c r="B643" s="26" t="n"/>
      <c r="C643" s="27" t="n"/>
      <c r="D643" s="30" t="n"/>
      <c r="E643" s="30" t="n"/>
      <c r="F643" s="28" t="n"/>
      <c r="G643" s="1" t="n"/>
    </row>
    <row r="644">
      <c r="A644" s="1" t="n"/>
      <c r="B644" s="26" t="n"/>
      <c r="C644" s="27" t="n"/>
      <c r="D644" s="30" t="n"/>
      <c r="E644" s="30" t="n"/>
      <c r="F644" s="28" t="n"/>
      <c r="G644" s="1" t="n"/>
    </row>
    <row r="645">
      <c r="A645" s="1" t="n"/>
      <c r="B645" s="26" t="n"/>
      <c r="C645" s="27" t="n"/>
      <c r="D645" s="30" t="n"/>
      <c r="E645" s="30" t="n"/>
      <c r="F645" s="28" t="n"/>
      <c r="G645" s="1" t="n"/>
    </row>
    <row r="646">
      <c r="A646" s="1" t="n"/>
      <c r="B646" s="26" t="n"/>
      <c r="C646" s="27" t="n"/>
      <c r="D646" s="30" t="n"/>
      <c r="E646" s="30" t="n"/>
      <c r="F646" s="28" t="n"/>
      <c r="G646" s="1" t="n"/>
    </row>
    <row r="647">
      <c r="A647" s="1" t="n"/>
      <c r="B647" s="26" t="n"/>
      <c r="C647" s="27" t="n"/>
      <c r="D647" s="30" t="n"/>
      <c r="E647" s="30" t="n"/>
      <c r="F647" s="28" t="n"/>
      <c r="G647" s="1" t="n"/>
    </row>
    <row r="648">
      <c r="A648" s="1" t="n"/>
      <c r="B648" s="26" t="n"/>
      <c r="C648" s="27" t="n"/>
      <c r="D648" s="30" t="n"/>
      <c r="E648" s="30" t="n"/>
      <c r="F648" s="28" t="n"/>
      <c r="G648" s="1" t="n"/>
    </row>
    <row r="649">
      <c r="A649" s="1" t="n"/>
      <c r="B649" s="26" t="n"/>
      <c r="C649" s="27" t="n"/>
      <c r="D649" s="30" t="n"/>
      <c r="E649" s="30" t="n"/>
      <c r="F649" s="28" t="n"/>
      <c r="G649" s="1" t="n"/>
    </row>
    <row r="650">
      <c r="A650" s="1" t="n"/>
      <c r="B650" s="26" t="n"/>
      <c r="C650" s="27" t="n"/>
      <c r="D650" s="30" t="n"/>
      <c r="E650" s="30" t="n"/>
      <c r="F650" s="28" t="n"/>
      <c r="G650" s="1" t="n"/>
    </row>
    <row r="651">
      <c r="A651" s="1" t="n"/>
      <c r="B651" s="26" t="n"/>
      <c r="C651" s="27" t="n"/>
      <c r="D651" s="30" t="n"/>
      <c r="E651" s="30" t="n"/>
      <c r="F651" s="28" t="n"/>
      <c r="G651" s="1" t="n"/>
    </row>
    <row r="652">
      <c r="A652" s="1" t="n"/>
      <c r="B652" s="26" t="n"/>
      <c r="C652" s="27" t="n"/>
      <c r="D652" s="30" t="n"/>
      <c r="E652" s="30" t="n"/>
      <c r="F652" s="28" t="n"/>
      <c r="G652" s="1" t="n"/>
    </row>
    <row r="653">
      <c r="A653" s="1" t="n"/>
      <c r="B653" s="26" t="n"/>
      <c r="C653" s="27" t="n"/>
      <c r="D653" s="30" t="n"/>
      <c r="E653" s="30" t="n"/>
      <c r="F653" s="28" t="n"/>
      <c r="G653" s="1" t="n"/>
    </row>
    <row r="654">
      <c r="A654" s="1" t="n"/>
      <c r="B654" s="26" t="n"/>
      <c r="C654" s="27" t="n"/>
      <c r="D654" s="30" t="n"/>
      <c r="E654" s="30" t="n"/>
      <c r="F654" s="28" t="n"/>
      <c r="G654" s="1" t="n"/>
    </row>
    <row r="655">
      <c r="A655" s="1" t="n"/>
      <c r="B655" s="26" t="n"/>
      <c r="C655" s="27" t="n"/>
      <c r="D655" s="30" t="n"/>
      <c r="E655" s="30" t="n"/>
      <c r="F655" s="28" t="n"/>
      <c r="G655" s="1" t="n"/>
    </row>
    <row r="656">
      <c r="A656" s="1" t="n"/>
      <c r="B656" s="26" t="n"/>
      <c r="C656" s="27" t="n"/>
      <c r="D656" s="30" t="n"/>
      <c r="E656" s="30" t="n"/>
      <c r="F656" s="28" t="n"/>
      <c r="G656" s="1" t="n"/>
    </row>
    <row r="657">
      <c r="A657" s="1" t="n"/>
      <c r="B657" s="26" t="n"/>
      <c r="C657" s="27" t="n"/>
      <c r="D657" s="30" t="n"/>
      <c r="E657" s="30" t="n"/>
      <c r="F657" s="28" t="n"/>
      <c r="G657" s="1" t="n"/>
    </row>
    <row r="658">
      <c r="A658" s="1" t="n"/>
      <c r="B658" s="26" t="n"/>
      <c r="C658" s="27" t="n"/>
      <c r="D658" s="30" t="n"/>
      <c r="E658" s="30" t="n"/>
      <c r="F658" s="28" t="n"/>
      <c r="G658" s="1" t="n"/>
    </row>
    <row r="659">
      <c r="A659" s="1" t="n"/>
      <c r="B659" s="26" t="n"/>
      <c r="C659" s="27" t="n"/>
      <c r="D659" s="30" t="n"/>
      <c r="E659" s="30" t="n"/>
      <c r="F659" s="28" t="n"/>
      <c r="G659" s="1" t="n"/>
    </row>
    <row r="660">
      <c r="A660" s="1" t="n"/>
      <c r="B660" s="26" t="n"/>
      <c r="C660" s="27" t="n"/>
      <c r="D660" s="30" t="n"/>
      <c r="E660" s="30" t="n"/>
      <c r="F660" s="28" t="n"/>
      <c r="G660" s="1" t="n"/>
    </row>
    <row r="661">
      <c r="A661" s="1" t="n"/>
      <c r="B661" s="26" t="n"/>
      <c r="C661" s="27" t="n"/>
      <c r="D661" s="30" t="n"/>
      <c r="E661" s="30" t="n"/>
      <c r="F661" s="28" t="n"/>
      <c r="G661" s="1" t="n"/>
    </row>
    <row r="662">
      <c r="A662" s="1" t="n"/>
      <c r="B662" s="26" t="n"/>
      <c r="C662" s="27" t="n"/>
      <c r="D662" s="30" t="n"/>
      <c r="E662" s="30" t="n"/>
      <c r="F662" s="28" t="n"/>
      <c r="G662" s="1" t="n"/>
    </row>
    <row r="663">
      <c r="A663" s="1" t="n"/>
      <c r="B663" s="26" t="n"/>
      <c r="C663" s="27" t="n"/>
      <c r="D663" s="30" t="n"/>
      <c r="E663" s="30" t="n"/>
      <c r="F663" s="28" t="n"/>
      <c r="G663" s="1" t="n"/>
    </row>
    <row r="664">
      <c r="A664" s="1" t="n"/>
      <c r="B664" s="26" t="n"/>
      <c r="C664" s="27" t="n"/>
      <c r="D664" s="30" t="n"/>
      <c r="E664" s="30" t="n"/>
      <c r="F664" s="28" t="n"/>
      <c r="G664" s="1" t="n"/>
    </row>
    <row r="665">
      <c r="A665" s="1" t="n"/>
      <c r="B665" s="26" t="n"/>
      <c r="C665" s="27" t="n"/>
      <c r="D665" s="30" t="n"/>
      <c r="E665" s="30" t="n"/>
      <c r="F665" s="28" t="n"/>
      <c r="G665" s="1" t="n"/>
    </row>
    <row r="666">
      <c r="A666" s="1" t="n"/>
      <c r="B666" s="26" t="n"/>
      <c r="C666" s="27" t="n"/>
      <c r="D666" s="30" t="n"/>
      <c r="E666" s="30" t="n"/>
      <c r="F666" s="28" t="n"/>
      <c r="G666" s="1" t="n"/>
    </row>
    <row r="667">
      <c r="A667" s="1" t="n"/>
      <c r="B667" s="26" t="n"/>
      <c r="C667" s="27" t="n"/>
      <c r="D667" s="30" t="n"/>
      <c r="E667" s="30" t="n"/>
      <c r="F667" s="28" t="n"/>
      <c r="G667" s="1" t="n"/>
    </row>
    <row r="668">
      <c r="A668" s="1" t="n"/>
      <c r="B668" s="26" t="n"/>
      <c r="C668" s="27" t="n"/>
      <c r="D668" s="30" t="n"/>
      <c r="E668" s="30" t="n"/>
      <c r="F668" s="28" t="n"/>
      <c r="G668" s="1" t="n"/>
    </row>
    <row r="669">
      <c r="A669" s="1" t="n"/>
      <c r="B669" s="26" t="n"/>
      <c r="C669" s="27" t="n"/>
      <c r="D669" s="30" t="n"/>
      <c r="E669" s="30" t="n"/>
      <c r="F669" s="28" t="n"/>
      <c r="G669" s="1" t="n"/>
    </row>
    <row r="670">
      <c r="A670" s="1" t="n"/>
      <c r="B670" s="26" t="n"/>
      <c r="C670" s="27" t="n"/>
      <c r="D670" s="30" t="n"/>
      <c r="E670" s="30" t="n"/>
      <c r="F670" s="28" t="n"/>
      <c r="G670" s="1" t="n"/>
    </row>
    <row r="671">
      <c r="A671" s="1" t="n"/>
      <c r="B671" s="26" t="n"/>
      <c r="C671" s="27" t="n"/>
      <c r="D671" s="30" t="n"/>
      <c r="E671" s="30" t="n"/>
      <c r="F671" s="28" t="n"/>
      <c r="G671" s="1" t="n"/>
    </row>
    <row r="672">
      <c r="A672" s="1" t="n"/>
      <c r="B672" s="26" t="n"/>
      <c r="C672" s="27" t="n"/>
      <c r="D672" s="30" t="n"/>
      <c r="E672" s="30" t="n"/>
      <c r="F672" s="28" t="n"/>
      <c r="G672" s="1" t="n"/>
    </row>
    <row r="673">
      <c r="A673" s="1" t="n"/>
      <c r="B673" s="26" t="n"/>
      <c r="C673" s="27" t="n"/>
      <c r="D673" s="30" t="n"/>
      <c r="E673" s="30" t="n"/>
      <c r="F673" s="28" t="n"/>
      <c r="G673" s="1" t="n"/>
    </row>
    <row r="674">
      <c r="A674" s="1" t="n"/>
      <c r="B674" s="26" t="n"/>
      <c r="C674" s="27" t="n"/>
      <c r="D674" s="30" t="n"/>
      <c r="E674" s="30" t="n"/>
      <c r="F674" s="28" t="n"/>
      <c r="G674" s="1" t="n"/>
    </row>
    <row r="675">
      <c r="A675" s="1" t="n"/>
      <c r="B675" s="26" t="n"/>
      <c r="C675" s="27" t="n"/>
      <c r="D675" s="30" t="n"/>
      <c r="E675" s="30" t="n"/>
      <c r="F675" s="28" t="n"/>
      <c r="G675" s="1" t="n"/>
    </row>
    <row r="676">
      <c r="A676" s="1" t="n"/>
      <c r="B676" s="26" t="n"/>
      <c r="C676" s="27" t="n"/>
      <c r="D676" s="30" t="n"/>
      <c r="E676" s="30" t="n"/>
      <c r="F676" s="28" t="n"/>
      <c r="G676" s="1" t="n"/>
    </row>
    <row r="677">
      <c r="A677" s="1" t="n"/>
      <c r="B677" s="26" t="n"/>
      <c r="C677" s="27" t="n"/>
      <c r="D677" s="30" t="n"/>
      <c r="E677" s="30" t="n"/>
      <c r="F677" s="28" t="n"/>
      <c r="G677" s="1" t="n"/>
    </row>
    <row r="678">
      <c r="A678" s="1" t="n"/>
      <c r="B678" s="26" t="n"/>
      <c r="C678" s="27" t="n"/>
      <c r="D678" s="30" t="n"/>
      <c r="E678" s="30" t="n"/>
      <c r="F678" s="28" t="n"/>
      <c r="G678" s="1" t="n"/>
    </row>
    <row r="679">
      <c r="A679" s="1" t="n"/>
      <c r="B679" s="26" t="n"/>
      <c r="C679" s="27" t="n"/>
      <c r="D679" s="30" t="n"/>
      <c r="E679" s="30" t="n"/>
      <c r="F679" s="28" t="n"/>
      <c r="G679" s="1" t="n"/>
    </row>
    <row r="680">
      <c r="A680" s="1" t="n"/>
      <c r="B680" s="26" t="n"/>
      <c r="C680" s="27" t="n"/>
      <c r="D680" s="30" t="n"/>
      <c r="E680" s="30" t="n"/>
      <c r="F680" s="28" t="n"/>
      <c r="G680" s="1" t="n"/>
    </row>
    <row r="681">
      <c r="A681" s="1" t="n"/>
      <c r="B681" s="26" t="n"/>
      <c r="C681" s="27" t="n"/>
      <c r="D681" s="30" t="n"/>
      <c r="E681" s="30" t="n"/>
      <c r="F681" s="28" t="n"/>
      <c r="G681" s="1" t="n"/>
    </row>
    <row r="682">
      <c r="A682" s="1" t="n"/>
      <c r="B682" s="26" t="n"/>
      <c r="C682" s="27" t="n"/>
      <c r="D682" s="30" t="n"/>
      <c r="E682" s="30" t="n"/>
      <c r="F682" s="28" t="n"/>
      <c r="G682" s="1" t="n"/>
    </row>
    <row r="683">
      <c r="A683" s="1" t="n"/>
      <c r="B683" s="26" t="n"/>
      <c r="C683" s="27" t="n"/>
      <c r="D683" s="30" t="n"/>
      <c r="E683" s="30" t="n"/>
      <c r="F683" s="28" t="n"/>
      <c r="G683" s="1" t="n"/>
    </row>
    <row r="684">
      <c r="A684" s="1" t="n"/>
      <c r="B684" s="26" t="n"/>
      <c r="C684" s="27" t="n"/>
      <c r="D684" s="30" t="n"/>
      <c r="E684" s="30" t="n"/>
      <c r="F684" s="28" t="n"/>
      <c r="G684" s="1" t="n"/>
    </row>
    <row r="685">
      <c r="A685" s="1" t="n"/>
      <c r="B685" s="26" t="n"/>
      <c r="C685" s="27" t="n"/>
      <c r="D685" s="30" t="n"/>
      <c r="E685" s="30" t="n"/>
      <c r="F685" s="28" t="n"/>
      <c r="G685" s="1" t="n"/>
    </row>
    <row r="686">
      <c r="A686" s="1" t="n"/>
      <c r="B686" s="26" t="n"/>
      <c r="C686" s="27" t="n"/>
      <c r="D686" s="30" t="n"/>
      <c r="E686" s="30" t="n"/>
      <c r="F686" s="28" t="n"/>
      <c r="G686" s="1" t="n"/>
    </row>
    <row r="687">
      <c r="A687" s="1" t="n"/>
      <c r="B687" s="26" t="n"/>
      <c r="C687" s="27" t="n"/>
      <c r="D687" s="30" t="n"/>
      <c r="E687" s="30" t="n"/>
      <c r="F687" s="28" t="n"/>
      <c r="G687" s="1" t="n"/>
    </row>
    <row r="688">
      <c r="A688" s="1" t="n"/>
      <c r="B688" s="26" t="n"/>
      <c r="C688" s="27" t="n"/>
      <c r="D688" s="30" t="n"/>
      <c r="E688" s="30" t="n"/>
      <c r="F688" s="28" t="n"/>
      <c r="G688" s="1" t="n"/>
    </row>
    <row r="689">
      <c r="A689" s="1" t="n"/>
      <c r="B689" s="26" t="n"/>
      <c r="C689" s="27" t="n"/>
      <c r="D689" s="30" t="n"/>
      <c r="E689" s="30" t="n"/>
      <c r="F689" s="28" t="n"/>
      <c r="G689" s="1" t="n"/>
    </row>
    <row r="690">
      <c r="A690" s="1" t="n"/>
      <c r="B690" s="26" t="n"/>
      <c r="C690" s="27" t="n"/>
      <c r="D690" s="30" t="n"/>
      <c r="E690" s="30" t="n"/>
      <c r="F690" s="28" t="n"/>
      <c r="G690" s="1" t="n"/>
    </row>
    <row r="691">
      <c r="A691" s="1" t="n"/>
      <c r="B691" s="26" t="n"/>
      <c r="C691" s="27" t="n"/>
      <c r="D691" s="30" t="n"/>
      <c r="E691" s="30" t="n"/>
      <c r="F691" s="28" t="n"/>
      <c r="G691" s="1" t="n"/>
    </row>
    <row r="692">
      <c r="A692" s="1" t="n"/>
      <c r="B692" s="26" t="n"/>
      <c r="C692" s="27" t="n"/>
      <c r="D692" s="30" t="n"/>
      <c r="E692" s="30" t="n"/>
      <c r="F692" s="28" t="n"/>
      <c r="G692" s="1" t="n"/>
    </row>
    <row r="693">
      <c r="A693" s="1" t="n"/>
      <c r="B693" s="26" t="n"/>
      <c r="C693" s="27" t="n"/>
      <c r="D693" s="30" t="n"/>
      <c r="E693" s="30" t="n"/>
      <c r="F693" s="28" t="n"/>
      <c r="G693" s="1" t="n"/>
    </row>
    <row r="694">
      <c r="A694" s="1" t="n"/>
      <c r="B694" s="26" t="n"/>
      <c r="C694" s="27" t="n"/>
      <c r="D694" s="30" t="n"/>
      <c r="E694" s="30" t="n"/>
      <c r="F694" s="28" t="n"/>
      <c r="G694" s="1" t="n"/>
    </row>
    <row r="695">
      <c r="A695" s="1" t="n"/>
      <c r="B695" s="26" t="n"/>
      <c r="C695" s="27" t="n"/>
      <c r="D695" s="30" t="n"/>
      <c r="E695" s="30" t="n"/>
      <c r="F695" s="28" t="n"/>
      <c r="G695" s="1" t="n"/>
    </row>
    <row r="696">
      <c r="A696" s="1" t="n"/>
      <c r="B696" s="26" t="n"/>
      <c r="C696" s="27" t="n"/>
      <c r="D696" s="30" t="n"/>
      <c r="E696" s="30" t="n"/>
      <c r="F696" s="28" t="n"/>
      <c r="G696" s="1" t="n"/>
    </row>
    <row r="697">
      <c r="A697" s="1" t="n"/>
      <c r="B697" s="26" t="n"/>
      <c r="C697" s="27" t="n"/>
      <c r="D697" s="30" t="n"/>
      <c r="E697" s="30" t="n"/>
      <c r="F697" s="28" t="n"/>
      <c r="G697" s="1" t="n"/>
    </row>
    <row r="698">
      <c r="A698" s="1" t="n"/>
      <c r="B698" s="26" t="n"/>
      <c r="C698" s="27" t="n"/>
      <c r="D698" s="30" t="n"/>
      <c r="E698" s="30" t="n"/>
      <c r="F698" s="28" t="n"/>
      <c r="G698" s="1" t="n"/>
    </row>
    <row r="699">
      <c r="A699" s="1" t="n"/>
      <c r="B699" s="26" t="n"/>
      <c r="C699" s="27" t="n"/>
      <c r="D699" s="30" t="n"/>
      <c r="E699" s="30" t="n"/>
      <c r="F699" s="28" t="n"/>
      <c r="G699" s="1" t="n"/>
    </row>
    <row r="700">
      <c r="A700" s="1" t="n"/>
      <c r="B700" s="26" t="n"/>
      <c r="C700" s="27" t="n"/>
      <c r="D700" s="30" t="n"/>
      <c r="E700" s="30" t="n"/>
      <c r="F700" s="28" t="n"/>
      <c r="G700" s="1" t="n"/>
    </row>
    <row r="701">
      <c r="A701" s="1" t="n"/>
      <c r="B701" s="26" t="n"/>
      <c r="C701" s="27" t="n"/>
      <c r="D701" s="30" t="n"/>
      <c r="E701" s="30" t="n"/>
      <c r="F701" s="28" t="n"/>
      <c r="G701" s="1" t="n"/>
    </row>
    <row r="702">
      <c r="A702" s="1" t="n"/>
      <c r="B702" s="26" t="n"/>
      <c r="C702" s="27" t="n"/>
      <c r="D702" s="30" t="n"/>
      <c r="E702" s="30" t="n"/>
      <c r="F702" s="28" t="n"/>
      <c r="G702" s="1" t="n"/>
    </row>
    <row r="703">
      <c r="A703" s="1" t="n"/>
      <c r="B703" s="26" t="n"/>
      <c r="C703" s="27" t="n"/>
      <c r="D703" s="30" t="n"/>
      <c r="E703" s="30" t="n"/>
      <c r="F703" s="28" t="n"/>
      <c r="G703" s="1" t="n"/>
    </row>
    <row r="704">
      <c r="A704" s="1" t="n"/>
      <c r="B704" s="26" t="n"/>
      <c r="C704" s="27" t="n"/>
      <c r="D704" s="30" t="n"/>
      <c r="E704" s="30" t="n"/>
      <c r="F704" s="28" t="n"/>
      <c r="G704" s="1" t="n"/>
    </row>
    <row r="705">
      <c r="A705" s="1" t="n"/>
      <c r="B705" s="26" t="n"/>
      <c r="C705" s="27" t="n"/>
      <c r="D705" s="30" t="n"/>
      <c r="E705" s="30" t="n"/>
      <c r="F705" s="28" t="n"/>
      <c r="G705" s="1" t="n"/>
    </row>
    <row r="706">
      <c r="A706" s="1" t="n"/>
      <c r="B706" s="26" t="n"/>
      <c r="C706" s="27" t="n"/>
      <c r="D706" s="30" t="n"/>
      <c r="E706" s="30" t="n"/>
      <c r="F706" s="28" t="n"/>
      <c r="G706" s="1" t="n"/>
    </row>
    <row r="707">
      <c r="A707" s="1" t="n"/>
      <c r="B707" s="26" t="n"/>
      <c r="C707" s="27" t="n"/>
      <c r="D707" s="30" t="n"/>
      <c r="E707" s="30" t="n"/>
      <c r="F707" s="28" t="n"/>
      <c r="G707" s="1" t="n"/>
    </row>
    <row r="708">
      <c r="A708" s="1" t="n"/>
      <c r="B708" s="26" t="n"/>
      <c r="C708" s="27" t="n"/>
      <c r="D708" s="30" t="n"/>
      <c r="E708" s="30" t="n"/>
      <c r="F708" s="28" t="n"/>
      <c r="G708" s="1" t="n"/>
    </row>
    <row r="709">
      <c r="A709" s="1" t="n"/>
      <c r="B709" s="26" t="n"/>
      <c r="C709" s="27" t="n"/>
      <c r="D709" s="30" t="n"/>
      <c r="E709" s="30" t="n"/>
      <c r="F709" s="28" t="n"/>
      <c r="G709" s="1" t="n"/>
    </row>
    <row r="710">
      <c r="A710" s="1" t="n"/>
      <c r="B710" s="26" t="n"/>
      <c r="C710" s="27" t="n"/>
      <c r="D710" s="30" t="n"/>
      <c r="E710" s="30" t="n"/>
      <c r="F710" s="28" t="n"/>
      <c r="G710" s="1" t="n"/>
    </row>
    <row r="711">
      <c r="A711" s="1" t="n"/>
      <c r="B711" s="26" t="n"/>
      <c r="C711" s="27" t="n"/>
      <c r="D711" s="30" t="n"/>
      <c r="E711" s="30" t="n"/>
      <c r="F711" s="28" t="n"/>
      <c r="G711" s="1" t="n"/>
    </row>
    <row r="712">
      <c r="A712" s="1" t="n"/>
      <c r="B712" s="26" t="n"/>
      <c r="C712" s="27" t="n"/>
      <c r="D712" s="30" t="n"/>
      <c r="E712" s="30" t="n"/>
      <c r="F712" s="28" t="n"/>
      <c r="G712" s="1" t="n"/>
    </row>
    <row r="713">
      <c r="A713" s="1" t="n"/>
      <c r="B713" s="26" t="n"/>
      <c r="C713" s="27" t="n"/>
      <c r="D713" s="30" t="n"/>
      <c r="E713" s="30" t="n"/>
      <c r="F713" s="28" t="n"/>
      <c r="G713" s="1" t="n"/>
    </row>
    <row r="714">
      <c r="A714" s="1" t="n"/>
      <c r="B714" s="26" t="n"/>
      <c r="C714" s="27" t="n"/>
      <c r="D714" s="30" t="n"/>
      <c r="E714" s="30" t="n"/>
      <c r="F714" s="28" t="n"/>
      <c r="G714" s="1" t="n"/>
    </row>
    <row r="715">
      <c r="A715" s="1" t="n"/>
      <c r="B715" s="26" t="n"/>
      <c r="C715" s="27" t="n"/>
      <c r="D715" s="30" t="n"/>
      <c r="E715" s="30" t="n"/>
      <c r="F715" s="28" t="n"/>
      <c r="G715" s="1" t="n"/>
    </row>
    <row r="716">
      <c r="A716" s="1" t="n"/>
      <c r="B716" s="26" t="n"/>
      <c r="C716" s="27" t="n"/>
      <c r="D716" s="30" t="n"/>
      <c r="E716" s="30" t="n"/>
      <c r="F716" s="28" t="n"/>
      <c r="G716" s="1" t="n"/>
    </row>
    <row r="717">
      <c r="A717" s="1" t="n"/>
      <c r="B717" s="26" t="n"/>
      <c r="C717" s="27" t="n"/>
      <c r="D717" s="30" t="n"/>
      <c r="E717" s="30" t="n"/>
      <c r="F717" s="28" t="n"/>
      <c r="G717" s="1" t="n"/>
    </row>
    <row r="718">
      <c r="A718" s="1" t="n"/>
      <c r="B718" s="26" t="n"/>
      <c r="C718" s="27" t="n"/>
      <c r="D718" s="30" t="n"/>
      <c r="E718" s="30" t="n"/>
      <c r="F718" s="28" t="n"/>
      <c r="G718" s="1" t="n"/>
    </row>
    <row r="719">
      <c r="A719" s="1" t="n"/>
      <c r="B719" s="26" t="n"/>
      <c r="C719" s="27" t="n"/>
      <c r="D719" s="30" t="n"/>
      <c r="E719" s="30" t="n"/>
      <c r="F719" s="28" t="n"/>
      <c r="G719" s="1" t="n"/>
    </row>
    <row r="720">
      <c r="A720" s="1" t="n"/>
      <c r="B720" s="26" t="n"/>
      <c r="C720" s="27" t="n"/>
      <c r="D720" s="30" t="n"/>
      <c r="E720" s="30" t="n"/>
      <c r="F720" s="28" t="n"/>
      <c r="G720" s="1" t="n"/>
    </row>
    <row r="721">
      <c r="A721" s="1" t="n"/>
      <c r="B721" s="26" t="n"/>
      <c r="C721" s="27" t="n"/>
      <c r="D721" s="30" t="n"/>
      <c r="E721" s="30" t="n"/>
      <c r="F721" s="28" t="n"/>
      <c r="G721" s="1" t="n"/>
    </row>
    <row r="722">
      <c r="A722" s="1" t="n"/>
      <c r="B722" s="26" t="n"/>
      <c r="C722" s="27" t="n"/>
      <c r="D722" s="30" t="n"/>
      <c r="E722" s="30" t="n"/>
      <c r="F722" s="28" t="n"/>
      <c r="G722" s="1" t="n"/>
    </row>
    <row r="723">
      <c r="A723" s="1" t="n"/>
      <c r="B723" s="26" t="n"/>
      <c r="C723" s="27" t="n"/>
      <c r="D723" s="30" t="n"/>
      <c r="E723" s="30" t="n"/>
      <c r="F723" s="28" t="n"/>
      <c r="G723" s="1" t="n"/>
    </row>
    <row r="724">
      <c r="A724" s="1" t="n"/>
      <c r="B724" s="26" t="n"/>
      <c r="C724" s="27" t="n"/>
      <c r="D724" s="30" t="n"/>
      <c r="E724" s="30" t="n"/>
      <c r="F724" s="28" t="n"/>
      <c r="G724" s="1" t="n"/>
    </row>
    <row r="725">
      <c r="A725" s="1" t="n"/>
      <c r="B725" s="26" t="n"/>
      <c r="C725" s="27" t="n"/>
      <c r="D725" s="30" t="n"/>
      <c r="E725" s="30" t="n"/>
      <c r="F725" s="28" t="n"/>
      <c r="G725" s="1" t="n"/>
    </row>
    <row r="726">
      <c r="A726" s="1" t="n"/>
      <c r="B726" s="26" t="n"/>
      <c r="C726" s="27" t="n"/>
      <c r="D726" s="30" t="n"/>
      <c r="E726" s="30" t="n"/>
      <c r="F726" s="28" t="n"/>
      <c r="G726" s="1" t="n"/>
    </row>
    <row r="727">
      <c r="A727" s="1" t="n"/>
      <c r="B727" s="26" t="n"/>
      <c r="C727" s="27" t="n"/>
      <c r="D727" s="30" t="n"/>
      <c r="E727" s="30" t="n"/>
      <c r="F727" s="28" t="n"/>
      <c r="G727" s="1" t="n"/>
    </row>
    <row r="728">
      <c r="A728" s="1" t="n"/>
      <c r="B728" s="26" t="n"/>
      <c r="C728" s="27" t="n"/>
      <c r="D728" s="30" t="n"/>
      <c r="E728" s="30" t="n"/>
      <c r="F728" s="28" t="n"/>
      <c r="G728" s="1" t="n"/>
    </row>
    <row r="729">
      <c r="A729" s="1" t="n"/>
      <c r="B729" s="26" t="n"/>
      <c r="C729" s="27" t="n"/>
      <c r="D729" s="30" t="n"/>
      <c r="E729" s="30" t="n"/>
      <c r="F729" s="28" t="n"/>
      <c r="G729" s="1" t="n"/>
    </row>
    <row r="730">
      <c r="A730" s="1" t="n"/>
      <c r="B730" s="26" t="n"/>
      <c r="C730" s="27" t="n"/>
      <c r="D730" s="30" t="n"/>
      <c r="E730" s="30" t="n"/>
      <c r="F730" s="28" t="n"/>
      <c r="G730" s="1" t="n"/>
    </row>
    <row r="731">
      <c r="A731" s="1" t="n"/>
      <c r="B731" s="26" t="n"/>
      <c r="C731" s="27" t="n"/>
      <c r="D731" s="30" t="n"/>
      <c r="E731" s="30" t="n"/>
      <c r="F731" s="28" t="n"/>
      <c r="G731" s="1" t="n"/>
    </row>
    <row r="732">
      <c r="A732" s="1" t="n"/>
      <c r="B732" s="26" t="n"/>
      <c r="C732" s="27" t="n"/>
      <c r="D732" s="30" t="n"/>
      <c r="E732" s="30" t="n"/>
      <c r="F732" s="28" t="n"/>
      <c r="G732" s="1" t="n"/>
    </row>
    <row r="733">
      <c r="A733" s="1" t="n"/>
      <c r="B733" s="26" t="n"/>
      <c r="C733" s="27" t="n"/>
      <c r="D733" s="30" t="n"/>
      <c r="E733" s="30" t="n"/>
      <c r="F733" s="28" t="n"/>
      <c r="G733" s="1" t="n"/>
    </row>
    <row r="734">
      <c r="A734" s="1" t="n"/>
      <c r="B734" s="26" t="n"/>
      <c r="C734" s="27" t="n"/>
      <c r="D734" s="30" t="n"/>
      <c r="E734" s="30" t="n"/>
      <c r="F734" s="28" t="n"/>
      <c r="G734" s="1" t="n"/>
    </row>
    <row r="735">
      <c r="A735" s="1" t="n"/>
      <c r="B735" s="26" t="n"/>
      <c r="C735" s="27" t="n"/>
      <c r="D735" s="30" t="n"/>
      <c r="E735" s="30" t="n"/>
      <c r="F735" s="28" t="n"/>
      <c r="G735" s="1" t="n"/>
    </row>
    <row r="736">
      <c r="A736" s="1" t="n"/>
      <c r="B736" s="26" t="n"/>
      <c r="C736" s="27" t="n"/>
      <c r="D736" s="30" t="n"/>
      <c r="E736" s="30" t="n"/>
      <c r="F736" s="28" t="n"/>
      <c r="G736" s="1" t="n"/>
    </row>
    <row r="737">
      <c r="A737" s="1" t="n"/>
      <c r="B737" s="26" t="n"/>
      <c r="C737" s="27" t="n"/>
      <c r="D737" s="30" t="n"/>
      <c r="E737" s="30" t="n"/>
      <c r="F737" s="28" t="n"/>
      <c r="G737" s="1" t="n"/>
    </row>
    <row r="738">
      <c r="A738" s="1" t="n"/>
      <c r="B738" s="26" t="n"/>
      <c r="C738" s="27" t="n"/>
      <c r="D738" s="30" t="n"/>
      <c r="E738" s="30" t="n"/>
      <c r="F738" s="28" t="n"/>
      <c r="G738" s="1" t="n"/>
    </row>
    <row r="739">
      <c r="A739" s="1" t="n"/>
      <c r="B739" s="26" t="n"/>
      <c r="C739" s="27" t="n"/>
      <c r="D739" s="30" t="n"/>
      <c r="E739" s="30" t="n"/>
      <c r="F739" s="28" t="n"/>
      <c r="G739" s="1" t="n"/>
    </row>
    <row r="740">
      <c r="A740" s="1" t="n"/>
      <c r="B740" s="26" t="n"/>
      <c r="C740" s="27" t="n"/>
      <c r="D740" s="30" t="n"/>
      <c r="E740" s="30" t="n"/>
      <c r="F740" s="28" t="n"/>
      <c r="G740" s="1" t="n"/>
    </row>
    <row r="741">
      <c r="A741" s="1" t="n"/>
      <c r="B741" s="26" t="n"/>
      <c r="C741" s="27" t="n"/>
      <c r="D741" s="30" t="n"/>
      <c r="E741" s="30" t="n"/>
      <c r="F741" s="28" t="n"/>
      <c r="G741" s="1" t="n"/>
    </row>
    <row r="742">
      <c r="A742" s="1" t="n"/>
      <c r="B742" s="26" t="n"/>
      <c r="C742" s="27" t="n"/>
      <c r="D742" s="30" t="n"/>
      <c r="E742" s="30" t="n"/>
      <c r="F742" s="28" t="n"/>
      <c r="G742" s="1" t="n"/>
    </row>
    <row r="743">
      <c r="A743" s="1" t="n"/>
      <c r="B743" s="26" t="n"/>
      <c r="C743" s="27" t="n"/>
      <c r="D743" s="30" t="n"/>
      <c r="E743" s="30" t="n"/>
      <c r="F743" s="28" t="n"/>
      <c r="G743" s="1" t="n"/>
    </row>
    <row r="744">
      <c r="A744" s="1" t="n"/>
      <c r="B744" s="26" t="n"/>
      <c r="C744" s="27" t="n"/>
      <c r="D744" s="30" t="n"/>
      <c r="E744" s="30" t="n"/>
      <c r="F744" s="28" t="n"/>
      <c r="G744" s="1" t="n"/>
    </row>
    <row r="745">
      <c r="A745" s="1" t="n"/>
      <c r="B745" s="26" t="n"/>
      <c r="C745" s="27" t="n"/>
      <c r="D745" s="30" t="n"/>
      <c r="E745" s="30" t="n"/>
      <c r="F745" s="28" t="n"/>
      <c r="G745" s="1" t="n"/>
    </row>
    <row r="746">
      <c r="A746" s="1" t="n"/>
      <c r="B746" s="26" t="n"/>
      <c r="C746" s="27" t="n"/>
      <c r="D746" s="30" t="n"/>
      <c r="E746" s="30" t="n"/>
      <c r="F746" s="28" t="n"/>
      <c r="G746" s="1" t="n"/>
    </row>
    <row r="747">
      <c r="A747" s="1" t="n"/>
      <c r="B747" s="26" t="n"/>
      <c r="C747" s="27" t="n"/>
      <c r="D747" s="30" t="n"/>
      <c r="E747" s="30" t="n"/>
      <c r="F747" s="28" t="n"/>
      <c r="G747" s="1" t="n"/>
    </row>
    <row r="748">
      <c r="A748" s="1" t="n"/>
      <c r="B748" s="26" t="n"/>
      <c r="C748" s="27" t="n"/>
      <c r="D748" s="30" t="n"/>
      <c r="E748" s="30" t="n"/>
      <c r="F748" s="28" t="n"/>
      <c r="G748" s="1" t="n"/>
    </row>
    <row r="749">
      <c r="A749" s="1" t="n"/>
      <c r="B749" s="26" t="n"/>
      <c r="C749" s="27" t="n"/>
      <c r="D749" s="30" t="n"/>
      <c r="E749" s="30" t="n"/>
      <c r="F749" s="28" t="n"/>
      <c r="G749" s="1" t="n"/>
    </row>
    <row r="750">
      <c r="A750" s="1" t="n"/>
      <c r="B750" s="26" t="n"/>
      <c r="C750" s="27" t="n"/>
      <c r="D750" s="30" t="n"/>
      <c r="E750" s="30" t="n"/>
      <c r="F750" s="28" t="n"/>
      <c r="G750" s="1" t="n"/>
    </row>
    <row r="751">
      <c r="A751" s="1" t="n"/>
      <c r="B751" s="26" t="n"/>
      <c r="C751" s="27" t="n"/>
      <c r="D751" s="30" t="n"/>
      <c r="E751" s="30" t="n"/>
      <c r="F751" s="28" t="n"/>
      <c r="G751" s="1" t="n"/>
    </row>
    <row r="752">
      <c r="A752" s="1" t="n"/>
      <c r="B752" s="26" t="n"/>
      <c r="C752" s="27" t="n"/>
      <c r="D752" s="30" t="n"/>
      <c r="E752" s="30" t="n"/>
      <c r="F752" s="28" t="n"/>
      <c r="G752" s="1" t="n"/>
    </row>
    <row r="753">
      <c r="A753" s="1" t="n"/>
      <c r="B753" s="26" t="n"/>
      <c r="C753" s="27" t="n"/>
      <c r="D753" s="30" t="n"/>
      <c r="E753" s="30" t="n"/>
      <c r="F753" s="28" t="n"/>
      <c r="G753" s="1" t="n"/>
    </row>
    <row r="754">
      <c r="A754" s="1" t="n"/>
      <c r="B754" s="26" t="n"/>
      <c r="C754" s="27" t="n"/>
      <c r="D754" s="30" t="n"/>
      <c r="E754" s="30" t="n"/>
      <c r="F754" s="28" t="n"/>
      <c r="G754" s="1" t="n"/>
    </row>
    <row r="755">
      <c r="A755" s="1" t="n"/>
      <c r="B755" s="26" t="n"/>
      <c r="C755" s="27" t="n"/>
      <c r="D755" s="30" t="n"/>
      <c r="E755" s="30" t="n"/>
      <c r="F755" s="28" t="n"/>
      <c r="G755" s="1" t="n"/>
    </row>
    <row r="756">
      <c r="A756" s="1" t="n"/>
      <c r="B756" s="26" t="n"/>
      <c r="C756" s="27" t="n"/>
      <c r="D756" s="30" t="n"/>
      <c r="E756" s="30" t="n"/>
      <c r="F756" s="28" t="n"/>
      <c r="G756" s="1" t="n"/>
    </row>
    <row r="757">
      <c r="A757" s="1" t="n"/>
      <c r="B757" s="26" t="n"/>
      <c r="C757" s="27" t="n"/>
      <c r="D757" s="30" t="n"/>
      <c r="E757" s="30" t="n"/>
      <c r="F757" s="28" t="n"/>
      <c r="G757" s="1" t="n"/>
    </row>
    <row r="758">
      <c r="A758" s="1" t="n"/>
      <c r="B758" s="26" t="n"/>
      <c r="C758" s="27" t="n"/>
      <c r="D758" s="30" t="n"/>
      <c r="E758" s="30" t="n"/>
      <c r="F758" s="28" t="n"/>
      <c r="G758" s="1" t="n"/>
    </row>
    <row r="759">
      <c r="A759" s="1" t="n"/>
      <c r="B759" s="26" t="n"/>
      <c r="C759" s="27" t="n"/>
      <c r="D759" s="30" t="n"/>
      <c r="E759" s="30" t="n"/>
      <c r="F759" s="28" t="n"/>
      <c r="G759" s="1" t="n"/>
    </row>
    <row r="760">
      <c r="A760" s="1" t="n"/>
      <c r="B760" s="26" t="n"/>
      <c r="C760" s="27" t="n"/>
      <c r="D760" s="30" t="n"/>
      <c r="E760" s="30" t="n"/>
      <c r="F760" s="28" t="n"/>
      <c r="G760" s="1" t="n"/>
    </row>
    <row r="761">
      <c r="A761" s="1" t="n"/>
      <c r="B761" s="26" t="n"/>
      <c r="C761" s="27" t="n"/>
      <c r="D761" s="30" t="n"/>
      <c r="E761" s="30" t="n"/>
      <c r="F761" s="28" t="n"/>
      <c r="G761" s="1" t="n"/>
    </row>
    <row r="762">
      <c r="A762" s="1" t="n"/>
      <c r="B762" s="26" t="n"/>
      <c r="C762" s="27" t="n"/>
      <c r="D762" s="30" t="n"/>
      <c r="E762" s="30" t="n"/>
      <c r="F762" s="28" t="n"/>
      <c r="G762" s="1" t="n"/>
    </row>
    <row r="763">
      <c r="A763" s="1" t="n"/>
      <c r="B763" s="26" t="n"/>
      <c r="C763" s="27" t="n"/>
      <c r="D763" s="30" t="n"/>
      <c r="E763" s="30" t="n"/>
      <c r="F763" s="28" t="n"/>
      <c r="G763" s="1" t="n"/>
    </row>
    <row r="764">
      <c r="A764" s="1" t="n"/>
      <c r="B764" s="26" t="n"/>
      <c r="C764" s="27" t="n"/>
      <c r="D764" s="30" t="n"/>
      <c r="E764" s="30" t="n"/>
      <c r="F764" s="28" t="n"/>
      <c r="G764" s="1" t="n"/>
    </row>
    <row r="765">
      <c r="A765" s="1" t="n"/>
      <c r="B765" s="26" t="n"/>
      <c r="C765" s="27" t="n"/>
      <c r="D765" s="30" t="n"/>
      <c r="E765" s="30" t="n"/>
      <c r="F765" s="28" t="n"/>
      <c r="G765" s="1" t="n"/>
    </row>
    <row r="766">
      <c r="A766" s="1" t="n"/>
      <c r="B766" s="26" t="n"/>
      <c r="C766" s="27" t="n"/>
      <c r="D766" s="30" t="n"/>
      <c r="E766" s="30" t="n"/>
      <c r="F766" s="28" t="n"/>
      <c r="G766" s="1" t="n"/>
    </row>
    <row r="767">
      <c r="A767" s="1" t="n"/>
      <c r="B767" s="26" t="n"/>
      <c r="C767" s="27" t="n"/>
      <c r="D767" s="30" t="n"/>
      <c r="E767" s="30" t="n"/>
      <c r="F767" s="28" t="n"/>
      <c r="G767" s="1" t="n"/>
    </row>
    <row r="768">
      <c r="A768" s="1" t="n"/>
      <c r="B768" s="26" t="n"/>
      <c r="C768" s="27" t="n"/>
      <c r="D768" s="30" t="n"/>
      <c r="E768" s="30" t="n"/>
      <c r="F768" s="28" t="n"/>
      <c r="G768" s="1" t="n"/>
    </row>
    <row r="769">
      <c r="A769" s="1" t="n"/>
      <c r="B769" s="26" t="n"/>
      <c r="C769" s="27" t="n"/>
      <c r="D769" s="30" t="n"/>
      <c r="E769" s="30" t="n"/>
      <c r="F769" s="28" t="n"/>
      <c r="G769" s="1" t="n"/>
    </row>
    <row r="770">
      <c r="A770" s="1" t="n"/>
      <c r="B770" s="26" t="n"/>
      <c r="C770" s="27" t="n"/>
      <c r="D770" s="30" t="n"/>
      <c r="E770" s="30" t="n"/>
      <c r="F770" s="28" t="n"/>
      <c r="G770" s="1" t="n"/>
    </row>
    <row r="771">
      <c r="A771" s="1" t="n"/>
      <c r="B771" s="26" t="n"/>
      <c r="C771" s="27" t="n"/>
      <c r="D771" s="30" t="n"/>
      <c r="E771" s="30" t="n"/>
      <c r="F771" s="28" t="n"/>
      <c r="G771" s="1" t="n"/>
    </row>
    <row r="772">
      <c r="A772" s="1" t="n"/>
      <c r="B772" s="26" t="n"/>
      <c r="C772" s="27" t="n"/>
      <c r="D772" s="30" t="n"/>
      <c r="E772" s="30" t="n"/>
      <c r="F772" s="28" t="n"/>
      <c r="G772" s="1" t="n"/>
    </row>
    <row r="773">
      <c r="A773" s="1" t="n"/>
      <c r="B773" s="26" t="n"/>
      <c r="C773" s="27" t="n"/>
      <c r="D773" s="30" t="n"/>
      <c r="E773" s="30" t="n"/>
      <c r="F773" s="28" t="n"/>
      <c r="G773" s="1" t="n"/>
    </row>
    <row r="774">
      <c r="A774" s="1" t="n"/>
      <c r="B774" s="26" t="n"/>
      <c r="C774" s="27" t="n"/>
      <c r="D774" s="30" t="n"/>
      <c r="E774" s="30" t="n"/>
      <c r="F774" s="28" t="n"/>
      <c r="G774" s="1" t="n"/>
    </row>
    <row r="775">
      <c r="A775" s="1" t="n"/>
      <c r="B775" s="26" t="n"/>
      <c r="C775" s="27" t="n"/>
      <c r="D775" s="30" t="n"/>
      <c r="E775" s="30" t="n"/>
      <c r="F775" s="28" t="n"/>
      <c r="G775" s="1" t="n"/>
    </row>
    <row r="776">
      <c r="A776" s="1" t="n"/>
      <c r="B776" s="26" t="n"/>
      <c r="C776" s="27" t="n"/>
      <c r="D776" s="30" t="n"/>
      <c r="E776" s="30" t="n"/>
      <c r="F776" s="28" t="n"/>
      <c r="G776" s="1" t="n"/>
    </row>
    <row r="777">
      <c r="A777" s="1" t="n"/>
      <c r="B777" s="26" t="n"/>
      <c r="C777" s="27" t="n"/>
      <c r="D777" s="30" t="n"/>
      <c r="E777" s="30" t="n"/>
      <c r="F777" s="28" t="n"/>
      <c r="G777" s="1" t="n"/>
    </row>
    <row r="778">
      <c r="A778" s="1" t="n"/>
      <c r="B778" s="26" t="n"/>
      <c r="C778" s="27" t="n"/>
      <c r="D778" s="30" t="n"/>
      <c r="E778" s="30" t="n"/>
      <c r="F778" s="28" t="n"/>
      <c r="G778" s="1" t="n"/>
    </row>
    <row r="779">
      <c r="A779" s="1" t="n"/>
      <c r="B779" s="26" t="n"/>
      <c r="C779" s="27" t="n"/>
      <c r="D779" s="30" t="n"/>
      <c r="E779" s="30" t="n"/>
      <c r="F779" s="28" t="n"/>
      <c r="G779" s="1" t="n"/>
    </row>
    <row r="780">
      <c r="A780" s="1" t="n"/>
      <c r="B780" s="26" t="n"/>
      <c r="C780" s="27" t="n"/>
      <c r="D780" s="30" t="n"/>
      <c r="E780" s="30" t="n"/>
      <c r="F780" s="28" t="n"/>
      <c r="G780" s="1" t="n"/>
    </row>
    <row r="781">
      <c r="A781" s="1" t="n"/>
      <c r="B781" s="26" t="n"/>
      <c r="C781" s="27" t="n"/>
      <c r="D781" s="30" t="n"/>
      <c r="E781" s="30" t="n"/>
      <c r="F781" s="28" t="n"/>
      <c r="G781" s="1" t="n"/>
    </row>
    <row r="782">
      <c r="A782" s="1" t="n"/>
      <c r="B782" s="26" t="n"/>
      <c r="C782" s="27" t="n"/>
      <c r="D782" s="30" t="n"/>
      <c r="E782" s="30" t="n"/>
      <c r="F782" s="28" t="n"/>
      <c r="G782" s="1" t="n"/>
    </row>
    <row r="783">
      <c r="A783" s="1" t="n"/>
      <c r="B783" s="26" t="n"/>
      <c r="C783" s="27" t="n"/>
      <c r="D783" s="30" t="n"/>
      <c r="E783" s="30" t="n"/>
      <c r="F783" s="28" t="n"/>
      <c r="G783" s="1" t="n"/>
    </row>
    <row r="784">
      <c r="A784" s="1" t="n"/>
      <c r="B784" s="26" t="n"/>
      <c r="C784" s="27" t="n"/>
      <c r="D784" s="30" t="n"/>
      <c r="E784" s="30" t="n"/>
      <c r="F784" s="28" t="n"/>
      <c r="G784" s="1" t="n"/>
    </row>
    <row r="785">
      <c r="A785" s="1" t="n"/>
      <c r="B785" s="26" t="n"/>
      <c r="C785" s="27" t="n"/>
      <c r="D785" s="30" t="n"/>
      <c r="E785" s="30" t="n"/>
      <c r="F785" s="28" t="n"/>
      <c r="G785" s="1" t="n"/>
    </row>
    <row r="786">
      <c r="A786" s="1" t="n"/>
      <c r="B786" s="26" t="n"/>
      <c r="C786" s="27" t="n"/>
      <c r="D786" s="30" t="n"/>
      <c r="E786" s="30" t="n"/>
      <c r="F786" s="28" t="n"/>
      <c r="G786" s="1" t="n"/>
    </row>
    <row r="787">
      <c r="A787" s="1" t="n"/>
      <c r="B787" s="26" t="n"/>
      <c r="C787" s="27" t="n"/>
      <c r="D787" s="30" t="n"/>
      <c r="E787" s="30" t="n"/>
      <c r="F787" s="28" t="n"/>
      <c r="G787" s="1" t="n"/>
    </row>
    <row r="788">
      <c r="A788" s="1" t="n"/>
      <c r="B788" s="26" t="n"/>
      <c r="C788" s="27" t="n"/>
      <c r="D788" s="30" t="n"/>
      <c r="E788" s="30" t="n"/>
      <c r="F788" s="28" t="n"/>
      <c r="G788" s="1" t="n"/>
    </row>
    <row r="789">
      <c r="A789" s="1" t="n"/>
      <c r="B789" s="26" t="n"/>
      <c r="C789" s="27" t="n"/>
      <c r="D789" s="30" t="n"/>
      <c r="E789" s="30" t="n"/>
      <c r="F789" s="28" t="n"/>
      <c r="G789" s="1" t="n"/>
    </row>
    <row r="790">
      <c r="A790" s="1" t="n"/>
      <c r="B790" s="26" t="n"/>
      <c r="C790" s="27" t="n"/>
      <c r="D790" s="30" t="n"/>
      <c r="E790" s="30" t="n"/>
      <c r="F790" s="28" t="n"/>
      <c r="G790" s="1" t="n"/>
    </row>
    <row r="791">
      <c r="A791" s="1" t="n"/>
      <c r="B791" s="26" t="n"/>
      <c r="C791" s="27" t="n"/>
      <c r="D791" s="30" t="n"/>
      <c r="E791" s="30" t="n"/>
      <c r="F791" s="28" t="n"/>
      <c r="G791" s="1" t="n"/>
    </row>
    <row r="792">
      <c r="A792" s="1" t="n"/>
      <c r="B792" s="26" t="n"/>
      <c r="C792" s="27" t="n"/>
      <c r="D792" s="30" t="n"/>
      <c r="E792" s="30" t="n"/>
      <c r="F792" s="28" t="n"/>
      <c r="G792" s="1" t="n"/>
    </row>
    <row r="793">
      <c r="A793" s="1" t="n"/>
      <c r="B793" s="26" t="n"/>
      <c r="C793" s="27" t="n"/>
      <c r="D793" s="30" t="n"/>
      <c r="E793" s="30" t="n"/>
      <c r="F793" s="28" t="n"/>
      <c r="G793" s="1" t="n"/>
    </row>
    <row r="794">
      <c r="A794" s="1" t="n"/>
      <c r="B794" s="26" t="n"/>
      <c r="C794" s="27" t="n"/>
      <c r="D794" s="30" t="n"/>
      <c r="E794" s="30" t="n"/>
      <c r="F794" s="28" t="n"/>
      <c r="G794" s="1" t="n"/>
    </row>
    <row r="795">
      <c r="A795" s="1" t="n"/>
      <c r="B795" s="26" t="n"/>
      <c r="C795" s="27" t="n"/>
      <c r="D795" s="30" t="n"/>
      <c r="E795" s="30" t="n"/>
      <c r="F795" s="28" t="n"/>
      <c r="G795" s="1" t="n"/>
    </row>
    <row r="796">
      <c r="A796" s="1" t="n"/>
      <c r="B796" s="26" t="n"/>
      <c r="C796" s="27" t="n"/>
      <c r="D796" s="30" t="n"/>
      <c r="E796" s="30" t="n"/>
      <c r="F796" s="28" t="n"/>
      <c r="G796" s="1" t="n"/>
    </row>
    <row r="797">
      <c r="A797" s="1" t="n"/>
      <c r="B797" s="26" t="n"/>
      <c r="C797" s="27" t="n"/>
      <c r="D797" s="30" t="n"/>
      <c r="E797" s="30" t="n"/>
      <c r="F797" s="28" t="n"/>
      <c r="G797" s="1" t="n"/>
    </row>
    <row r="798">
      <c r="A798" s="1" t="n"/>
      <c r="B798" s="26" t="n"/>
      <c r="C798" s="27" t="n"/>
      <c r="D798" s="30" t="n"/>
      <c r="E798" s="30" t="n"/>
      <c r="F798" s="28" t="n"/>
      <c r="G798" s="1" t="n"/>
    </row>
    <row r="799">
      <c r="A799" s="1" t="n"/>
      <c r="B799" s="26" t="n"/>
      <c r="C799" s="27" t="n"/>
      <c r="D799" s="30" t="n"/>
      <c r="E799" s="30" t="n"/>
      <c r="F799" s="28" t="n"/>
      <c r="G799" s="1" t="n"/>
    </row>
    <row r="800">
      <c r="A800" s="1" t="n"/>
      <c r="B800" s="26" t="n"/>
      <c r="C800" s="27" t="n"/>
      <c r="D800" s="30" t="n"/>
      <c r="E800" s="30" t="n"/>
      <c r="F800" s="28" t="n"/>
      <c r="G800" s="1" t="n"/>
    </row>
    <row r="801">
      <c r="A801" s="1" t="n"/>
      <c r="B801" s="26" t="n"/>
      <c r="C801" s="27" t="n"/>
      <c r="D801" s="30" t="n"/>
      <c r="E801" s="30" t="n"/>
      <c r="F801" s="28" t="n"/>
      <c r="G801" s="1" t="n"/>
    </row>
    <row r="802">
      <c r="A802" s="1" t="n"/>
      <c r="B802" s="26" t="n"/>
      <c r="C802" s="27" t="n"/>
      <c r="D802" s="30" t="n"/>
      <c r="E802" s="30" t="n"/>
      <c r="F802" s="28" t="n"/>
      <c r="G802" s="1" t="n"/>
    </row>
    <row r="803">
      <c r="A803" s="1" t="n"/>
      <c r="B803" s="26" t="n"/>
      <c r="C803" s="27" t="n"/>
      <c r="D803" s="30" t="n"/>
      <c r="E803" s="30" t="n"/>
      <c r="F803" s="28" t="n"/>
      <c r="G803" s="1" t="n"/>
    </row>
    <row r="804">
      <c r="A804" s="1" t="n"/>
      <c r="B804" s="26" t="n"/>
      <c r="C804" s="27" t="n"/>
      <c r="D804" s="30" t="n"/>
      <c r="E804" s="30" t="n"/>
      <c r="F804" s="28" t="n"/>
      <c r="G804" s="1" t="n"/>
    </row>
    <row r="805">
      <c r="A805" s="1" t="n"/>
      <c r="B805" s="26" t="n"/>
      <c r="C805" s="27" t="n"/>
      <c r="D805" s="30" t="n"/>
      <c r="E805" s="30" t="n"/>
      <c r="F805" s="28" t="n"/>
      <c r="G805" s="1" t="n"/>
    </row>
    <row r="806">
      <c r="A806" s="1" t="n"/>
      <c r="B806" s="26" t="n"/>
      <c r="C806" s="27" t="n"/>
      <c r="D806" s="30" t="n"/>
      <c r="E806" s="30" t="n"/>
      <c r="F806" s="28" t="n"/>
      <c r="G806" s="1" t="n"/>
    </row>
    <row r="807">
      <c r="A807" s="1" t="n"/>
      <c r="B807" s="26" t="n"/>
      <c r="C807" s="27" t="n"/>
      <c r="D807" s="30" t="n"/>
      <c r="E807" s="30" t="n"/>
      <c r="F807" s="28" t="n"/>
      <c r="G807" s="1" t="n"/>
    </row>
    <row r="808">
      <c r="A808" s="1" t="n"/>
      <c r="B808" s="26" t="n"/>
      <c r="C808" s="27" t="n"/>
      <c r="D808" s="30" t="n"/>
      <c r="E808" s="30" t="n"/>
      <c r="F808" s="28" t="n"/>
      <c r="G808" s="1" t="n"/>
    </row>
    <row r="809">
      <c r="A809" s="1" t="n"/>
      <c r="B809" s="26" t="n"/>
      <c r="C809" s="27" t="n"/>
      <c r="D809" s="30" t="n"/>
      <c r="E809" s="30" t="n"/>
      <c r="F809" s="28" t="n"/>
      <c r="G809" s="1" t="n"/>
    </row>
    <row r="810">
      <c r="A810" s="1" t="n"/>
      <c r="B810" s="26" t="n"/>
      <c r="C810" s="27" t="n"/>
      <c r="D810" s="30" t="n"/>
      <c r="E810" s="30" t="n"/>
      <c r="F810" s="28" t="n"/>
      <c r="G810" s="1" t="n"/>
    </row>
    <row r="811">
      <c r="A811" s="1" t="n"/>
      <c r="B811" s="26" t="n"/>
      <c r="C811" s="27" t="n"/>
      <c r="D811" s="30" t="n"/>
      <c r="E811" s="30" t="n"/>
      <c r="F811" s="28" t="n"/>
      <c r="G811" s="1" t="n"/>
    </row>
    <row r="812">
      <c r="A812" s="1" t="n"/>
      <c r="B812" s="26" t="n"/>
      <c r="C812" s="27" t="n"/>
      <c r="D812" s="30" t="n"/>
      <c r="E812" s="30" t="n"/>
      <c r="F812" s="28" t="n"/>
      <c r="G812" s="1" t="n"/>
    </row>
    <row r="813">
      <c r="A813" s="1" t="n"/>
      <c r="B813" s="26" t="n"/>
      <c r="C813" s="27" t="n"/>
      <c r="D813" s="30" t="n"/>
      <c r="E813" s="30" t="n"/>
      <c r="F813" s="28" t="n"/>
      <c r="G813" s="1" t="n"/>
    </row>
    <row r="814">
      <c r="A814" s="1" t="n"/>
      <c r="B814" s="26" t="n"/>
      <c r="C814" s="27" t="n"/>
      <c r="D814" s="30" t="n"/>
      <c r="E814" s="30" t="n"/>
      <c r="F814" s="28" t="n"/>
      <c r="G814" s="1" t="n"/>
    </row>
    <row r="815">
      <c r="A815" s="1" t="n"/>
      <c r="B815" s="26" t="n"/>
      <c r="C815" s="27" t="n"/>
      <c r="D815" s="30" t="n"/>
      <c r="E815" s="30" t="n"/>
      <c r="F815" s="28" t="n"/>
      <c r="G815" s="1" t="n"/>
    </row>
    <row r="816">
      <c r="A816" s="1" t="n"/>
      <c r="B816" s="26" t="n"/>
      <c r="C816" s="27" t="n"/>
      <c r="D816" s="30" t="n"/>
      <c r="E816" s="30" t="n"/>
      <c r="F816" s="28" t="n"/>
      <c r="G816" s="1" t="n"/>
    </row>
    <row r="817">
      <c r="A817" s="1" t="n"/>
      <c r="B817" s="26" t="n"/>
      <c r="C817" s="27" t="n"/>
      <c r="D817" s="30" t="n"/>
      <c r="E817" s="30" t="n"/>
      <c r="F817" s="28" t="n"/>
      <c r="G817" s="1" t="n"/>
    </row>
    <row r="818">
      <c r="A818" s="1" t="n"/>
      <c r="B818" s="26" t="n"/>
      <c r="C818" s="27" t="n"/>
      <c r="D818" s="30" t="n"/>
      <c r="E818" s="30" t="n"/>
      <c r="F818" s="28" t="n"/>
      <c r="G818" s="1" t="n"/>
    </row>
    <row r="819">
      <c r="A819" s="1" t="n"/>
      <c r="B819" s="26" t="n"/>
      <c r="C819" s="27" t="n"/>
      <c r="D819" s="30" t="n"/>
      <c r="E819" s="30" t="n"/>
      <c r="F819" s="28" t="n"/>
      <c r="G819" s="1" t="n"/>
    </row>
    <row r="820">
      <c r="A820" s="1" t="n"/>
      <c r="B820" s="26" t="n"/>
      <c r="C820" s="27" t="n"/>
      <c r="D820" s="30" t="n"/>
      <c r="E820" s="30" t="n"/>
      <c r="F820" s="28" t="n"/>
      <c r="G820" s="1" t="n"/>
    </row>
    <row r="821">
      <c r="A821" s="1" t="n"/>
      <c r="B821" s="26" t="n"/>
      <c r="C821" s="27" t="n"/>
      <c r="D821" s="30" t="n"/>
      <c r="E821" s="30" t="n"/>
      <c r="F821" s="28" t="n"/>
      <c r="G821" s="1" t="n"/>
    </row>
    <row r="822">
      <c r="A822" s="1" t="n"/>
      <c r="B822" s="26" t="n"/>
      <c r="C822" s="27" t="n"/>
      <c r="D822" s="30" t="n"/>
      <c r="E822" s="30" t="n"/>
      <c r="F822" s="28" t="n"/>
      <c r="G822" s="1" t="n"/>
    </row>
    <row r="823">
      <c r="A823" s="1" t="n"/>
      <c r="B823" s="26" t="n"/>
      <c r="C823" s="27" t="n"/>
      <c r="D823" s="30" t="n"/>
      <c r="E823" s="30" t="n"/>
      <c r="F823" s="28" t="n"/>
      <c r="G823" s="1" t="n"/>
    </row>
    <row r="824">
      <c r="A824" s="1" t="n"/>
      <c r="B824" s="26" t="n"/>
      <c r="C824" s="27" t="n"/>
      <c r="D824" s="30" t="n"/>
      <c r="E824" s="30" t="n"/>
      <c r="F824" s="28" t="n"/>
      <c r="G824" s="1" t="n"/>
    </row>
    <row r="825">
      <c r="A825" s="1" t="n"/>
      <c r="B825" s="26" t="n"/>
      <c r="C825" s="27" t="n"/>
      <c r="D825" s="30" t="n"/>
      <c r="E825" s="30" t="n"/>
      <c r="F825" s="28" t="n"/>
      <c r="G825" s="1" t="n"/>
    </row>
    <row r="826">
      <c r="A826" s="1" t="n"/>
      <c r="B826" s="26" t="n"/>
      <c r="C826" s="27" t="n"/>
      <c r="D826" s="30" t="n"/>
      <c r="E826" s="30" t="n"/>
      <c r="F826" s="28" t="n"/>
      <c r="G826" s="1" t="n"/>
    </row>
    <row r="827">
      <c r="A827" s="1" t="n"/>
      <c r="B827" s="26" t="n"/>
      <c r="C827" s="27" t="n"/>
      <c r="D827" s="30" t="n"/>
      <c r="E827" s="30" t="n"/>
      <c r="F827" s="28" t="n"/>
      <c r="G827" s="1" t="n"/>
    </row>
    <row r="828">
      <c r="A828" s="1" t="n"/>
      <c r="B828" s="26" t="n"/>
      <c r="C828" s="27" t="n"/>
      <c r="D828" s="30" t="n"/>
      <c r="E828" s="30" t="n"/>
      <c r="F828" s="28" t="n"/>
      <c r="G828" s="1" t="n"/>
    </row>
    <row r="829">
      <c r="A829" s="1" t="n"/>
      <c r="B829" s="26" t="n"/>
      <c r="C829" s="27" t="n"/>
      <c r="D829" s="30" t="n"/>
      <c r="E829" s="30" t="n"/>
      <c r="F829" s="28" t="n"/>
      <c r="G829" s="1" t="n"/>
    </row>
    <row r="830">
      <c r="A830" s="1" t="n"/>
      <c r="B830" s="26" t="n"/>
      <c r="C830" s="27" t="n"/>
      <c r="D830" s="30" t="n"/>
      <c r="E830" s="30" t="n"/>
      <c r="F830" s="28" t="n"/>
      <c r="G830" s="1" t="n"/>
    </row>
    <row r="831">
      <c r="A831" s="1" t="n"/>
      <c r="B831" s="26" t="n"/>
      <c r="C831" s="27" t="n"/>
      <c r="D831" s="30" t="n"/>
      <c r="E831" s="30" t="n"/>
      <c r="F831" s="28" t="n"/>
      <c r="G831" s="1" t="n"/>
    </row>
    <row r="832">
      <c r="A832" s="1" t="n"/>
      <c r="B832" s="26" t="n"/>
      <c r="C832" s="27" t="n"/>
      <c r="D832" s="30" t="n"/>
      <c r="E832" s="30" t="n"/>
      <c r="F832" s="28" t="n"/>
      <c r="G832" s="1" t="n"/>
    </row>
    <row r="833">
      <c r="A833" s="1" t="n"/>
      <c r="B833" s="26" t="n"/>
      <c r="C833" s="27" t="n"/>
      <c r="D833" s="30" t="n"/>
      <c r="E833" s="30" t="n"/>
      <c r="F833" s="28" t="n"/>
      <c r="G833" s="1" t="n"/>
    </row>
    <row r="834">
      <c r="A834" s="1" t="n"/>
      <c r="B834" s="26" t="n"/>
      <c r="C834" s="27" t="n"/>
      <c r="D834" s="30" t="n"/>
      <c r="E834" s="30" t="n"/>
      <c r="F834" s="28" t="n"/>
      <c r="G834" s="1" t="n"/>
    </row>
    <row r="835">
      <c r="A835" s="1" t="n"/>
      <c r="B835" s="26" t="n"/>
      <c r="C835" s="27" t="n"/>
      <c r="D835" s="30" t="n"/>
      <c r="E835" s="30" t="n"/>
      <c r="F835" s="28" t="n"/>
      <c r="G835" s="1" t="n"/>
    </row>
    <row r="836">
      <c r="A836" s="1" t="n"/>
      <c r="B836" s="26" t="n"/>
      <c r="C836" s="27" t="n"/>
      <c r="D836" s="30" t="n"/>
      <c r="E836" s="30" t="n"/>
      <c r="F836" s="28" t="n"/>
      <c r="G836" s="1" t="n"/>
    </row>
    <row r="837">
      <c r="A837" s="1" t="n"/>
      <c r="B837" s="26" t="n"/>
      <c r="C837" s="27" t="n"/>
      <c r="D837" s="30" t="n"/>
      <c r="E837" s="30" t="n"/>
      <c r="F837" s="28" t="n"/>
      <c r="G837" s="1" t="n"/>
    </row>
    <row r="838">
      <c r="A838" s="1" t="n"/>
      <c r="B838" s="26" t="n"/>
      <c r="C838" s="27" t="n"/>
      <c r="D838" s="30" t="n"/>
      <c r="E838" s="30" t="n"/>
      <c r="F838" s="28" t="n"/>
      <c r="G838" s="1" t="n"/>
    </row>
    <row r="839">
      <c r="A839" s="1" t="n"/>
      <c r="B839" s="26" t="n"/>
      <c r="C839" s="27" t="n"/>
      <c r="D839" s="30" t="n"/>
      <c r="E839" s="30" t="n"/>
      <c r="F839" s="28" t="n"/>
      <c r="G839" s="1" t="n"/>
    </row>
    <row r="840">
      <c r="A840" s="1" t="n"/>
      <c r="B840" s="26" t="n"/>
      <c r="C840" s="27" t="n"/>
      <c r="D840" s="30" t="n"/>
      <c r="E840" s="30" t="n"/>
      <c r="F840" s="28" t="n"/>
      <c r="G840" s="1" t="n"/>
    </row>
    <row r="841">
      <c r="A841" s="1" t="n"/>
      <c r="B841" s="26" t="n"/>
      <c r="C841" s="27" t="n"/>
      <c r="D841" s="30" t="n"/>
      <c r="E841" s="30" t="n"/>
      <c r="F841" s="28" t="n"/>
      <c r="G841" s="1" t="n"/>
    </row>
    <row r="842">
      <c r="A842" s="1" t="n"/>
      <c r="B842" s="26" t="n"/>
      <c r="C842" s="27" t="n"/>
      <c r="D842" s="30" t="n"/>
      <c r="E842" s="30" t="n"/>
      <c r="F842" s="28" t="n"/>
      <c r="G842" s="1" t="n"/>
    </row>
    <row r="843">
      <c r="A843" s="1" t="n"/>
      <c r="B843" s="26" t="n"/>
      <c r="C843" s="27" t="n"/>
      <c r="D843" s="30" t="n"/>
      <c r="E843" s="30" t="n"/>
      <c r="F843" s="28" t="n"/>
      <c r="G843" s="1" t="n"/>
    </row>
    <row r="844">
      <c r="A844" s="1" t="n"/>
      <c r="B844" s="26" t="n"/>
      <c r="C844" s="27" t="n"/>
      <c r="D844" s="30" t="n"/>
      <c r="E844" s="30" t="n"/>
      <c r="F844" s="28" t="n"/>
      <c r="G844" s="1" t="n"/>
    </row>
    <row r="845">
      <c r="A845" s="1" t="n"/>
      <c r="B845" s="26" t="n"/>
      <c r="C845" s="27" t="n"/>
      <c r="D845" s="30" t="n"/>
      <c r="E845" s="30" t="n"/>
      <c r="F845" s="28" t="n"/>
      <c r="G845" s="1" t="n"/>
    </row>
    <row r="846">
      <c r="A846" s="1" t="n"/>
      <c r="B846" s="26" t="n"/>
      <c r="C846" s="27" t="n"/>
      <c r="D846" s="30" t="n"/>
      <c r="E846" s="30" t="n"/>
      <c r="F846" s="28" t="n"/>
      <c r="G846" s="1" t="n"/>
    </row>
    <row r="847">
      <c r="A847" s="1" t="n"/>
      <c r="B847" s="26" t="n"/>
      <c r="C847" s="27" t="n"/>
      <c r="D847" s="30" t="n"/>
      <c r="E847" s="30" t="n"/>
      <c r="F847" s="28" t="n"/>
      <c r="G847" s="1" t="n"/>
    </row>
    <row r="848">
      <c r="A848" s="1" t="n"/>
      <c r="B848" s="26" t="n"/>
      <c r="C848" s="27" t="n"/>
      <c r="D848" s="30" t="n"/>
      <c r="E848" s="30" t="n"/>
      <c r="F848" s="28" t="n"/>
      <c r="G848" s="1" t="n"/>
    </row>
    <row r="849">
      <c r="A849" s="1" t="n"/>
      <c r="B849" s="26" t="n"/>
      <c r="C849" s="27" t="n"/>
      <c r="D849" s="30" t="n"/>
      <c r="E849" s="30" t="n"/>
      <c r="F849" s="28" t="n"/>
      <c r="G849" s="1" t="n"/>
    </row>
    <row r="850">
      <c r="A850" s="1" t="n"/>
      <c r="B850" s="26" t="n"/>
      <c r="C850" s="27" t="n"/>
      <c r="D850" s="30" t="n"/>
      <c r="E850" s="30" t="n"/>
      <c r="F850" s="28" t="n"/>
      <c r="G850" s="1" t="n"/>
    </row>
    <row r="851">
      <c r="A851" s="1" t="n"/>
      <c r="B851" s="26" t="n"/>
      <c r="C851" s="27" t="n"/>
      <c r="D851" s="30" t="n"/>
      <c r="E851" s="30" t="n"/>
      <c r="F851" s="28" t="n"/>
      <c r="G851" s="1" t="n"/>
    </row>
    <row r="852">
      <c r="A852" s="1" t="n"/>
      <c r="B852" s="26" t="n"/>
      <c r="C852" s="27" t="n"/>
      <c r="D852" s="30" t="n"/>
      <c r="E852" s="30" t="n"/>
      <c r="F852" s="28" t="n"/>
      <c r="G852" s="1" t="n"/>
    </row>
    <row r="853">
      <c r="A853" s="1" t="n"/>
      <c r="B853" s="26" t="n"/>
      <c r="C853" s="27" t="n"/>
      <c r="D853" s="30" t="n"/>
      <c r="E853" s="30" t="n"/>
      <c r="F853" s="28" t="n"/>
      <c r="G853" s="1" t="n"/>
    </row>
    <row r="854">
      <c r="A854" s="1" t="n"/>
      <c r="B854" s="26" t="n"/>
      <c r="C854" s="27" t="n"/>
      <c r="D854" s="30" t="n"/>
      <c r="E854" s="30" t="n"/>
      <c r="F854" s="28" t="n"/>
      <c r="G854" s="1" t="n"/>
    </row>
    <row r="855">
      <c r="A855" s="1" t="n"/>
      <c r="B855" s="26" t="n"/>
      <c r="C855" s="27" t="n"/>
      <c r="D855" s="30" t="n"/>
      <c r="E855" s="30" t="n"/>
      <c r="F855" s="28" t="n"/>
      <c r="G855" s="1" t="n"/>
    </row>
    <row r="856">
      <c r="A856" s="1" t="n"/>
      <c r="B856" s="26" t="n"/>
      <c r="C856" s="27" t="n"/>
      <c r="D856" s="30" t="n"/>
      <c r="E856" s="30" t="n"/>
      <c r="F856" s="28" t="n"/>
      <c r="G856" s="1" t="n"/>
    </row>
    <row r="857">
      <c r="A857" s="1" t="n"/>
      <c r="B857" s="26" t="n"/>
      <c r="C857" s="27" t="n"/>
      <c r="D857" s="30" t="n"/>
      <c r="E857" s="30" t="n"/>
      <c r="F857" s="28" t="n"/>
      <c r="G857" s="1" t="n"/>
    </row>
    <row r="858">
      <c r="A858" s="1" t="n"/>
      <c r="B858" s="26" t="n"/>
      <c r="C858" s="27" t="n"/>
      <c r="D858" s="30" t="n"/>
      <c r="E858" s="30" t="n"/>
      <c r="F858" s="28" t="n"/>
      <c r="G858" s="1" t="n"/>
    </row>
    <row r="859">
      <c r="A859" s="1" t="n"/>
      <c r="B859" s="26" t="n"/>
      <c r="C859" s="27" t="n"/>
      <c r="D859" s="30" t="n"/>
      <c r="E859" s="30" t="n"/>
      <c r="F859" s="28" t="n"/>
      <c r="G859" s="1" t="n"/>
    </row>
    <row r="860">
      <c r="A860" s="1" t="n"/>
      <c r="B860" s="26" t="n"/>
      <c r="C860" s="27" t="n"/>
      <c r="D860" s="30" t="n"/>
      <c r="E860" s="30" t="n"/>
      <c r="F860" s="28" t="n"/>
      <c r="G860" s="1" t="n"/>
    </row>
    <row r="861">
      <c r="A861" s="1" t="n"/>
      <c r="B861" s="26" t="n"/>
      <c r="C861" s="27" t="n"/>
      <c r="D861" s="30" t="n"/>
      <c r="E861" s="30" t="n"/>
      <c r="F861" s="28" t="n"/>
      <c r="G861" s="1" t="n"/>
    </row>
    <row r="862">
      <c r="A862" s="1" t="n"/>
      <c r="B862" s="26" t="n"/>
      <c r="C862" s="27" t="n"/>
      <c r="D862" s="30" t="n"/>
      <c r="E862" s="30" t="n"/>
      <c r="F862" s="28" t="n"/>
      <c r="G862" s="1" t="n"/>
    </row>
    <row r="863">
      <c r="A863" s="1" t="n"/>
      <c r="B863" s="26" t="n"/>
      <c r="C863" s="27" t="n"/>
      <c r="D863" s="30" t="n"/>
      <c r="E863" s="30" t="n"/>
      <c r="F863" s="28" t="n"/>
      <c r="G863" s="1" t="n"/>
    </row>
    <row r="864">
      <c r="A864" s="1" t="n"/>
      <c r="B864" s="26" t="n"/>
      <c r="C864" s="27" t="n"/>
      <c r="D864" s="30" t="n"/>
      <c r="E864" s="30" t="n"/>
      <c r="F864" s="28" t="n"/>
      <c r="G864" s="1" t="n"/>
    </row>
    <row r="865">
      <c r="A865" s="1" t="n"/>
      <c r="B865" s="26" t="n"/>
      <c r="C865" s="27" t="n"/>
      <c r="D865" s="30" t="n"/>
      <c r="E865" s="30" t="n"/>
      <c r="F865" s="28" t="n"/>
      <c r="G865" s="1" t="n"/>
    </row>
    <row r="866">
      <c r="A866" s="1" t="n"/>
      <c r="B866" s="26" t="n"/>
      <c r="C866" s="27" t="n"/>
      <c r="D866" s="30" t="n"/>
      <c r="E866" s="30" t="n"/>
      <c r="F866" s="28" t="n"/>
      <c r="G866" s="1" t="n"/>
    </row>
    <row r="867">
      <c r="A867" s="1" t="n"/>
      <c r="B867" s="26" t="n"/>
      <c r="C867" s="27" t="n"/>
      <c r="D867" s="30" t="n"/>
      <c r="E867" s="30" t="n"/>
      <c r="F867" s="28" t="n"/>
      <c r="G867" s="1" t="n"/>
    </row>
    <row r="868">
      <c r="A868" s="1" t="n"/>
      <c r="B868" s="26" t="n"/>
      <c r="C868" s="27" t="n"/>
      <c r="D868" s="30" t="n"/>
      <c r="E868" s="30" t="n"/>
      <c r="F868" s="28" t="n"/>
      <c r="G868" s="1" t="n"/>
    </row>
    <row r="869">
      <c r="A869" s="1" t="n"/>
      <c r="B869" s="26" t="n"/>
      <c r="C869" s="27" t="n"/>
      <c r="D869" s="30" t="n"/>
      <c r="E869" s="30" t="n"/>
      <c r="F869" s="28" t="n"/>
      <c r="G869" s="1" t="n"/>
    </row>
    <row r="870">
      <c r="A870" s="1" t="n"/>
      <c r="B870" s="26" t="n"/>
      <c r="C870" s="27" t="n"/>
      <c r="D870" s="30" t="n"/>
      <c r="E870" s="30" t="n"/>
      <c r="F870" s="28" t="n"/>
      <c r="G870" s="1" t="n"/>
    </row>
    <row r="871">
      <c r="A871" s="1" t="n"/>
      <c r="B871" s="26" t="n"/>
      <c r="C871" s="27" t="n"/>
      <c r="D871" s="30" t="n"/>
      <c r="E871" s="30" t="n"/>
      <c r="F871" s="28" t="n"/>
      <c r="G871" s="1" t="n"/>
    </row>
    <row r="872">
      <c r="A872" s="1" t="n"/>
      <c r="B872" s="26" t="n"/>
      <c r="C872" s="27" t="n"/>
      <c r="D872" s="30" t="n"/>
      <c r="E872" s="30" t="n"/>
      <c r="F872" s="28" t="n"/>
      <c r="G872" s="1" t="n"/>
    </row>
    <row r="873">
      <c r="A873" s="1" t="n"/>
      <c r="B873" s="26" t="n"/>
      <c r="C873" s="27" t="n"/>
      <c r="D873" s="30" t="n"/>
      <c r="E873" s="30" t="n"/>
      <c r="F873" s="28" t="n"/>
      <c r="G873" s="1" t="n"/>
    </row>
    <row r="874">
      <c r="A874" s="1" t="n"/>
      <c r="B874" s="26" t="n"/>
      <c r="C874" s="27" t="n"/>
      <c r="D874" s="30" t="n"/>
      <c r="E874" s="30" t="n"/>
      <c r="F874" s="28" t="n"/>
      <c r="G874" s="1" t="n"/>
    </row>
    <row r="875">
      <c r="A875" s="1" t="n"/>
      <c r="B875" s="26" t="n"/>
      <c r="C875" s="27" t="n"/>
      <c r="D875" s="30" t="n"/>
      <c r="E875" s="30" t="n"/>
      <c r="F875" s="28" t="n"/>
      <c r="G875" s="1" t="n"/>
    </row>
    <row r="876">
      <c r="A876" s="1" t="n"/>
      <c r="B876" s="26" t="n"/>
      <c r="C876" s="27" t="n"/>
      <c r="D876" s="30" t="n"/>
      <c r="E876" s="30" t="n"/>
      <c r="F876" s="28" t="n"/>
      <c r="G876" s="1" t="n"/>
    </row>
    <row r="877">
      <c r="A877" s="1" t="n"/>
      <c r="B877" s="26" t="n"/>
      <c r="C877" s="27" t="n"/>
      <c r="D877" s="30" t="n"/>
      <c r="E877" s="30" t="n"/>
      <c r="F877" s="28" t="n"/>
      <c r="G877" s="1" t="n"/>
    </row>
    <row r="878">
      <c r="A878" s="1" t="n"/>
      <c r="B878" s="26" t="n"/>
      <c r="C878" s="27" t="n"/>
      <c r="D878" s="30" t="n"/>
      <c r="E878" s="30" t="n"/>
      <c r="F878" s="28" t="n"/>
      <c r="G878" s="1" t="n"/>
    </row>
    <row r="879">
      <c r="A879" s="1" t="n"/>
      <c r="B879" s="26" t="n"/>
      <c r="C879" s="27" t="n"/>
      <c r="D879" s="30" t="n"/>
      <c r="E879" s="30" t="n"/>
      <c r="F879" s="28" t="n"/>
      <c r="G879" s="1" t="n"/>
    </row>
    <row r="880">
      <c r="A880" s="1" t="n"/>
      <c r="B880" s="26" t="n"/>
      <c r="C880" s="27" t="n"/>
      <c r="D880" s="30" t="n"/>
      <c r="E880" s="30" t="n"/>
      <c r="F880" s="28" t="n"/>
      <c r="G880" s="1" t="n"/>
    </row>
    <row r="881">
      <c r="A881" s="1" t="n"/>
      <c r="B881" s="26" t="n"/>
      <c r="C881" s="27" t="n"/>
      <c r="D881" s="30" t="n"/>
      <c r="E881" s="30" t="n"/>
      <c r="F881" s="28" t="n"/>
      <c r="G881" s="1" t="n"/>
    </row>
    <row r="882">
      <c r="A882" s="1" t="n"/>
      <c r="B882" s="26" t="n"/>
      <c r="C882" s="27" t="n"/>
      <c r="D882" s="30" t="n"/>
      <c r="E882" s="30" t="n"/>
      <c r="F882" s="28" t="n"/>
      <c r="G882" s="1" t="n"/>
    </row>
    <row r="883">
      <c r="A883" s="1" t="n"/>
      <c r="B883" s="26" t="n"/>
      <c r="C883" s="27" t="n"/>
      <c r="D883" s="30" t="n"/>
      <c r="E883" s="30" t="n"/>
      <c r="F883" s="28" t="n"/>
      <c r="G883" s="1" t="n"/>
    </row>
    <row r="884">
      <c r="A884" s="1" t="n"/>
      <c r="B884" s="26" t="n"/>
      <c r="C884" s="27" t="n"/>
      <c r="D884" s="30" t="n"/>
      <c r="E884" s="30" t="n"/>
      <c r="F884" s="28" t="n"/>
      <c r="G884" s="1" t="n"/>
    </row>
    <row r="885">
      <c r="A885" s="1" t="n"/>
      <c r="B885" s="26" t="n"/>
      <c r="C885" s="27" t="n"/>
      <c r="D885" s="30" t="n"/>
      <c r="E885" s="30" t="n"/>
      <c r="F885" s="28" t="n"/>
      <c r="G885" s="1" t="n"/>
    </row>
    <row r="886">
      <c r="A886" s="1" t="n"/>
      <c r="B886" s="26" t="n"/>
      <c r="C886" s="27" t="n"/>
      <c r="D886" s="30" t="n"/>
      <c r="E886" s="30" t="n"/>
      <c r="F886" s="28" t="n"/>
      <c r="G886" s="1" t="n"/>
    </row>
    <row r="887">
      <c r="A887" s="1" t="n"/>
      <c r="B887" s="26" t="n"/>
      <c r="C887" s="27" t="n"/>
      <c r="D887" s="30" t="n"/>
      <c r="E887" s="30" t="n"/>
      <c r="F887" s="28" t="n"/>
      <c r="G887" s="1" t="n"/>
    </row>
    <row r="888">
      <c r="A888" s="1" t="n"/>
      <c r="B888" s="26" t="n"/>
      <c r="C888" s="27" t="n"/>
      <c r="D888" s="30" t="n"/>
      <c r="E888" s="30" t="n"/>
      <c r="F888" s="28" t="n"/>
      <c r="G888" s="1" t="n"/>
    </row>
    <row r="889">
      <c r="A889" s="1" t="n"/>
      <c r="B889" s="26" t="n"/>
      <c r="C889" s="27" t="n"/>
      <c r="D889" s="30" t="n"/>
      <c r="E889" s="30" t="n"/>
      <c r="F889" s="28" t="n"/>
      <c r="G889" s="1" t="n"/>
    </row>
    <row r="890">
      <c r="A890" s="1" t="n"/>
      <c r="B890" s="26" t="n"/>
      <c r="C890" s="27" t="n"/>
      <c r="D890" s="30" t="n"/>
      <c r="E890" s="30" t="n"/>
      <c r="F890" s="28" t="n"/>
      <c r="G890" s="1" t="n"/>
    </row>
    <row r="891">
      <c r="A891" s="1" t="n"/>
      <c r="B891" s="26" t="n"/>
      <c r="C891" s="27" t="n"/>
      <c r="D891" s="30" t="n"/>
      <c r="E891" s="30" t="n"/>
      <c r="F891" s="28" t="n"/>
      <c r="G891" s="1" t="n"/>
    </row>
    <row r="892">
      <c r="A892" s="1" t="n"/>
      <c r="B892" s="26" t="n"/>
      <c r="C892" s="27" t="n"/>
      <c r="D892" s="30" t="n"/>
      <c r="E892" s="30" t="n"/>
      <c r="F892" s="28" t="n"/>
      <c r="G892" s="1" t="n"/>
    </row>
    <row r="893">
      <c r="A893" s="1" t="n"/>
      <c r="B893" s="26" t="n"/>
      <c r="C893" s="27" t="n"/>
      <c r="D893" s="30" t="n"/>
      <c r="E893" s="30" t="n"/>
      <c r="F893" s="28" t="n"/>
      <c r="G893" s="1" t="n"/>
    </row>
    <row r="894">
      <c r="A894" s="1" t="n"/>
      <c r="B894" s="26" t="n"/>
      <c r="C894" s="27" t="n"/>
      <c r="D894" s="30" t="n"/>
      <c r="E894" s="30" t="n"/>
      <c r="F894" s="28" t="n"/>
      <c r="G894" s="1" t="n"/>
    </row>
    <row r="895">
      <c r="A895" s="1" t="n"/>
      <c r="B895" s="26" t="n"/>
      <c r="C895" s="27" t="n"/>
      <c r="D895" s="30" t="n"/>
      <c r="E895" s="30" t="n"/>
      <c r="F895" s="28" t="n"/>
      <c r="G895" s="1" t="n"/>
    </row>
    <row r="896">
      <c r="A896" s="1" t="n"/>
      <c r="B896" s="26" t="n"/>
      <c r="C896" s="27" t="n"/>
      <c r="D896" s="30" t="n"/>
      <c r="E896" s="30" t="n"/>
      <c r="F896" s="28" t="n"/>
      <c r="G896" s="1" t="n"/>
    </row>
    <row r="897">
      <c r="A897" s="1" t="n"/>
      <c r="B897" s="26" t="n"/>
      <c r="C897" s="27" t="n"/>
      <c r="D897" s="30" t="n"/>
      <c r="E897" s="30" t="n"/>
      <c r="F897" s="28" t="n"/>
      <c r="G897" s="1" t="n"/>
    </row>
    <row r="898">
      <c r="A898" s="1" t="n"/>
      <c r="B898" s="26" t="n"/>
      <c r="C898" s="27" t="n"/>
      <c r="D898" s="30" t="n"/>
      <c r="E898" s="30" t="n"/>
      <c r="F898" s="28" t="n"/>
      <c r="G898" s="1" t="n"/>
    </row>
    <row r="899">
      <c r="A899" s="1" t="n"/>
      <c r="B899" s="26" t="n"/>
      <c r="C899" s="27" t="n"/>
      <c r="D899" s="30" t="n"/>
      <c r="E899" s="30" t="n"/>
      <c r="F899" s="28" t="n"/>
      <c r="G899" s="1" t="n"/>
    </row>
    <row r="900">
      <c r="A900" s="1" t="n"/>
      <c r="B900" s="26" t="n"/>
      <c r="C900" s="27" t="n"/>
      <c r="D900" s="30" t="n"/>
      <c r="E900" s="30" t="n"/>
      <c r="F900" s="28" t="n"/>
      <c r="G900" s="1" t="n"/>
    </row>
    <row r="901">
      <c r="A901" s="1" t="n"/>
      <c r="B901" s="26" t="n"/>
      <c r="C901" s="27" t="n"/>
      <c r="D901" s="30" t="n"/>
      <c r="E901" s="30" t="n"/>
      <c r="F901" s="28" t="n"/>
      <c r="G901" s="1" t="n"/>
    </row>
    <row r="902">
      <c r="A902" s="1" t="n"/>
      <c r="B902" s="26" t="n"/>
      <c r="C902" s="27" t="n"/>
      <c r="D902" s="30" t="n"/>
      <c r="E902" s="30" t="n"/>
      <c r="F902" s="28" t="n"/>
      <c r="G902" s="1" t="n"/>
    </row>
    <row r="903">
      <c r="A903" s="1" t="n"/>
      <c r="B903" s="26" t="n"/>
      <c r="C903" s="27" t="n"/>
      <c r="D903" s="30" t="n"/>
      <c r="E903" s="30" t="n"/>
      <c r="F903" s="28" t="n"/>
      <c r="G903" s="1" t="n"/>
    </row>
    <row r="904">
      <c r="A904" s="1" t="n"/>
      <c r="B904" s="26" t="n"/>
      <c r="C904" s="27" t="n"/>
      <c r="D904" s="30" t="n"/>
      <c r="E904" s="30" t="n"/>
      <c r="F904" s="28" t="n"/>
      <c r="G904" s="1" t="n"/>
    </row>
    <row r="905">
      <c r="A905" s="1" t="n"/>
      <c r="B905" s="26" t="n"/>
      <c r="C905" s="27" t="n"/>
      <c r="D905" s="30" t="n"/>
      <c r="E905" s="30" t="n"/>
      <c r="F905" s="28" t="n"/>
      <c r="G905" s="1" t="n"/>
    </row>
    <row r="906">
      <c r="A906" s="1" t="n"/>
      <c r="B906" s="26" t="n"/>
      <c r="C906" s="27" t="n"/>
      <c r="D906" s="30" t="n"/>
      <c r="E906" s="30" t="n"/>
      <c r="F906" s="28" t="n"/>
      <c r="G906" s="1" t="n"/>
    </row>
    <row r="907">
      <c r="A907" s="1" t="n"/>
      <c r="B907" s="26" t="n"/>
      <c r="C907" s="27" t="n"/>
      <c r="D907" s="30" t="n"/>
      <c r="E907" s="30" t="n"/>
      <c r="F907" s="28" t="n"/>
      <c r="G907" s="1" t="n"/>
    </row>
    <row r="908">
      <c r="A908" s="1" t="n"/>
      <c r="B908" s="26" t="n"/>
      <c r="C908" s="27" t="n"/>
      <c r="D908" s="30" t="n"/>
      <c r="E908" s="30" t="n"/>
      <c r="F908" s="28" t="n"/>
      <c r="G908" s="1" t="n"/>
    </row>
    <row r="909">
      <c r="A909" s="1" t="n"/>
      <c r="B909" s="26" t="n"/>
      <c r="C909" s="27" t="n"/>
      <c r="D909" s="30" t="n"/>
      <c r="E909" s="30" t="n"/>
      <c r="F909" s="28" t="n"/>
      <c r="G909" s="1" t="n"/>
    </row>
    <row r="910">
      <c r="A910" s="1" t="n"/>
      <c r="B910" s="26" t="n"/>
      <c r="C910" s="27" t="n"/>
      <c r="D910" s="30" t="n"/>
      <c r="E910" s="30" t="n"/>
      <c r="F910" s="28" t="n"/>
      <c r="G910" s="1" t="n"/>
    </row>
    <row r="911">
      <c r="A911" s="1" t="n"/>
      <c r="B911" s="26" t="n"/>
      <c r="C911" s="27" t="n"/>
      <c r="D911" s="30" t="n"/>
      <c r="E911" s="30" t="n"/>
      <c r="F911" s="28" t="n"/>
      <c r="G911" s="1" t="n"/>
    </row>
    <row r="912">
      <c r="A912" s="1" t="n"/>
      <c r="B912" s="26" t="n"/>
      <c r="C912" s="27" t="n"/>
      <c r="D912" s="30" t="n"/>
      <c r="E912" s="30" t="n"/>
      <c r="F912" s="28" t="n"/>
      <c r="G912" s="1" t="n"/>
    </row>
    <row r="913">
      <c r="A913" s="1" t="n"/>
      <c r="B913" s="26" t="n"/>
      <c r="C913" s="27" t="n"/>
      <c r="D913" s="30" t="n"/>
      <c r="E913" s="30" t="n"/>
      <c r="F913" s="28" t="n"/>
      <c r="G913" s="1" t="n"/>
    </row>
    <row r="914">
      <c r="A914" s="1" t="n"/>
      <c r="B914" s="26" t="n"/>
      <c r="C914" s="27" t="n"/>
      <c r="D914" s="30" t="n"/>
      <c r="E914" s="30" t="n"/>
      <c r="F914" s="28" t="n"/>
      <c r="G914" s="1" t="n"/>
    </row>
    <row r="915">
      <c r="A915" s="1" t="n"/>
      <c r="B915" s="26" t="n"/>
      <c r="C915" s="27" t="n"/>
      <c r="D915" s="30" t="n"/>
      <c r="E915" s="30" t="n"/>
      <c r="F915" s="28" t="n"/>
      <c r="G915" s="1" t="n"/>
    </row>
    <row r="916">
      <c r="A916" s="1" t="n"/>
      <c r="B916" s="26" t="n"/>
      <c r="C916" s="27" t="n"/>
      <c r="D916" s="30" t="n"/>
      <c r="E916" s="30" t="n"/>
      <c r="F916" s="28" t="n"/>
      <c r="G916" s="1" t="n"/>
    </row>
    <row r="917">
      <c r="A917" s="1" t="n"/>
      <c r="B917" s="26" t="n"/>
      <c r="C917" s="27" t="n"/>
      <c r="D917" s="30" t="n"/>
      <c r="E917" s="30" t="n"/>
      <c r="F917" s="28" t="n"/>
      <c r="G917" s="1" t="n"/>
    </row>
    <row r="918">
      <c r="A918" s="1" t="n"/>
      <c r="B918" s="26" t="n"/>
      <c r="C918" s="27" t="n"/>
      <c r="D918" s="30" t="n"/>
      <c r="E918" s="30" t="n"/>
      <c r="F918" s="28" t="n"/>
      <c r="G918" s="1" t="n"/>
    </row>
    <row r="919">
      <c r="A919" s="1" t="n"/>
      <c r="B919" s="26" t="n"/>
      <c r="C919" s="27" t="n"/>
      <c r="D919" s="30" t="n"/>
      <c r="E919" s="30" t="n"/>
      <c r="F919" s="28" t="n"/>
      <c r="G919" s="1" t="n"/>
    </row>
    <row r="920">
      <c r="A920" s="1" t="n"/>
      <c r="B920" s="26" t="n"/>
      <c r="C920" s="27" t="n"/>
      <c r="D920" s="30" t="n"/>
      <c r="E920" s="30" t="n"/>
      <c r="F920" s="28" t="n"/>
      <c r="G920" s="1" t="n"/>
    </row>
    <row r="921">
      <c r="A921" s="1" t="n"/>
      <c r="B921" s="26" t="n"/>
      <c r="C921" s="27" t="n"/>
      <c r="D921" s="30" t="n"/>
      <c r="E921" s="30" t="n"/>
      <c r="F921" s="28" t="n"/>
      <c r="G921" s="1" t="n"/>
    </row>
    <row r="922">
      <c r="A922" s="1" t="n"/>
      <c r="B922" s="26" t="n"/>
      <c r="C922" s="27" t="n"/>
      <c r="D922" s="30" t="n"/>
      <c r="E922" s="30" t="n"/>
      <c r="F922" s="28" t="n"/>
      <c r="G922" s="1" t="n"/>
    </row>
    <row r="923">
      <c r="A923" s="1" t="n"/>
      <c r="B923" s="26" t="n"/>
      <c r="C923" s="27" t="n"/>
      <c r="D923" s="30" t="n"/>
      <c r="E923" s="30" t="n"/>
      <c r="F923" s="28" t="n"/>
      <c r="G923" s="1" t="n"/>
    </row>
    <row r="924">
      <c r="A924" s="1" t="n"/>
      <c r="B924" s="26" t="n"/>
      <c r="C924" s="27" t="n"/>
      <c r="D924" s="30" t="n"/>
      <c r="E924" s="30" t="n"/>
      <c r="F924" s="28" t="n"/>
      <c r="G924" s="1" t="n"/>
    </row>
    <row r="925">
      <c r="A925" s="1" t="n"/>
      <c r="B925" s="26" t="n"/>
      <c r="C925" s="27" t="n"/>
      <c r="D925" s="30" t="n"/>
      <c r="E925" s="30" t="n"/>
      <c r="F925" s="28" t="n"/>
      <c r="G925" s="1" t="n"/>
    </row>
    <row r="926">
      <c r="A926" s="1" t="n"/>
      <c r="B926" s="26" t="n"/>
      <c r="C926" s="27" t="n"/>
      <c r="D926" s="30" t="n"/>
      <c r="E926" s="30" t="n"/>
      <c r="F926" s="28" t="n"/>
      <c r="G926" s="1" t="n"/>
    </row>
    <row r="927">
      <c r="A927" s="1" t="n"/>
      <c r="B927" s="26" t="n"/>
      <c r="C927" s="27" t="n"/>
      <c r="D927" s="30" t="n"/>
      <c r="E927" s="30" t="n"/>
      <c r="F927" s="28" t="n"/>
      <c r="G927" s="1" t="n"/>
    </row>
    <row r="928">
      <c r="A928" s="1" t="n"/>
      <c r="B928" s="26" t="n"/>
      <c r="C928" s="27" t="n"/>
      <c r="D928" s="30" t="n"/>
      <c r="E928" s="30" t="n"/>
      <c r="F928" s="28" t="n"/>
      <c r="G928" s="1" t="n"/>
    </row>
    <row r="929">
      <c r="A929" s="1" t="n"/>
      <c r="B929" s="26" t="n"/>
      <c r="C929" s="27" t="n"/>
      <c r="D929" s="30" t="n"/>
      <c r="E929" s="30" t="n"/>
      <c r="F929" s="28" t="n"/>
      <c r="G929" s="1" t="n"/>
    </row>
    <row r="930">
      <c r="A930" s="1" t="n"/>
      <c r="B930" s="26" t="n"/>
      <c r="C930" s="27" t="n"/>
      <c r="D930" s="30" t="n"/>
      <c r="E930" s="30" t="n"/>
      <c r="F930" s="28" t="n"/>
      <c r="G930" s="1" t="n"/>
    </row>
    <row r="931">
      <c r="A931" s="1" t="n"/>
      <c r="B931" s="26" t="n"/>
      <c r="C931" s="27" t="n"/>
      <c r="D931" s="30" t="n"/>
      <c r="E931" s="30" t="n"/>
      <c r="F931" s="28" t="n"/>
      <c r="G931" s="1" t="n"/>
    </row>
    <row r="932">
      <c r="A932" s="1" t="n"/>
      <c r="B932" s="26" t="n"/>
      <c r="C932" s="27" t="n"/>
      <c r="D932" s="30" t="n"/>
      <c r="E932" s="30" t="n"/>
      <c r="F932" s="28" t="n"/>
      <c r="G932" s="1" t="n"/>
    </row>
    <row r="933">
      <c r="A933" s="1" t="n"/>
      <c r="B933" s="26" t="n"/>
      <c r="C933" s="27" t="n"/>
      <c r="D933" s="30" t="n"/>
      <c r="E933" s="30" t="n"/>
      <c r="F933" s="28" t="n"/>
      <c r="G933" s="1" t="n"/>
    </row>
    <row r="934">
      <c r="A934" s="1" t="n"/>
      <c r="B934" s="26" t="n"/>
      <c r="C934" s="27" t="n"/>
      <c r="D934" s="30" t="n"/>
      <c r="E934" s="30" t="n"/>
      <c r="F934" s="28" t="n"/>
      <c r="G934" s="1" t="n"/>
    </row>
    <row r="935">
      <c r="A935" s="1" t="n"/>
      <c r="B935" s="26" t="n"/>
      <c r="C935" s="27" t="n"/>
      <c r="D935" s="30" t="n"/>
      <c r="E935" s="30" t="n"/>
      <c r="F935" s="28" t="n"/>
      <c r="G935" s="1" t="n"/>
    </row>
    <row r="936">
      <c r="A936" s="1" t="n"/>
      <c r="B936" s="26" t="n"/>
      <c r="C936" s="27" t="n"/>
      <c r="D936" s="30" t="n"/>
      <c r="E936" s="30" t="n"/>
      <c r="F936" s="28" t="n"/>
      <c r="G936" s="1" t="n"/>
    </row>
    <row r="937">
      <c r="A937" s="1" t="n"/>
      <c r="B937" s="26" t="n"/>
      <c r="C937" s="27" t="n"/>
      <c r="D937" s="30" t="n"/>
      <c r="E937" s="30" t="n"/>
      <c r="F937" s="28" t="n"/>
      <c r="G937" s="1" t="n"/>
    </row>
    <row r="938">
      <c r="A938" s="1" t="n"/>
      <c r="B938" s="26" t="n"/>
      <c r="C938" s="27" t="n"/>
      <c r="D938" s="30" t="n"/>
      <c r="E938" s="30" t="n"/>
      <c r="F938" s="28" t="n"/>
      <c r="G938" s="1" t="n"/>
    </row>
    <row r="939">
      <c r="A939" s="1" t="n"/>
      <c r="B939" s="26" t="n"/>
      <c r="C939" s="27" t="n"/>
      <c r="D939" s="30" t="n"/>
      <c r="E939" s="30" t="n"/>
      <c r="F939" s="28" t="n"/>
      <c r="G939" s="1" t="n"/>
    </row>
    <row r="940">
      <c r="A940" s="1" t="n"/>
      <c r="B940" s="26" t="n"/>
      <c r="C940" s="27" t="n"/>
      <c r="D940" s="30" t="n"/>
      <c r="E940" s="30" t="n"/>
      <c r="F940" s="28" t="n"/>
      <c r="G940" s="1" t="n"/>
    </row>
    <row r="941">
      <c r="A941" s="1" t="n"/>
      <c r="B941" s="26" t="n"/>
      <c r="C941" s="27" t="n"/>
      <c r="D941" s="30" t="n"/>
      <c r="E941" s="30" t="n"/>
      <c r="F941" s="28" t="n"/>
      <c r="G941" s="1" t="n"/>
    </row>
    <row r="942">
      <c r="A942" s="1" t="n"/>
      <c r="B942" s="26" t="n"/>
      <c r="C942" s="27" t="n"/>
      <c r="D942" s="30" t="n"/>
      <c r="E942" s="30" t="n"/>
      <c r="F942" s="28" t="n"/>
      <c r="G942" s="1" t="n"/>
    </row>
    <row r="943">
      <c r="A943" s="1" t="n"/>
      <c r="B943" s="26" t="n"/>
      <c r="C943" s="27" t="n"/>
      <c r="D943" s="30" t="n"/>
      <c r="E943" s="30" t="n"/>
      <c r="F943" s="28" t="n"/>
      <c r="G943" s="1" t="n"/>
    </row>
    <row r="944">
      <c r="A944" s="1" t="n"/>
      <c r="B944" s="26" t="n"/>
      <c r="C944" s="27" t="n"/>
      <c r="D944" s="30" t="n"/>
      <c r="E944" s="30" t="n"/>
      <c r="F944" s="28" t="n"/>
      <c r="G944" s="1" t="n"/>
    </row>
    <row r="945">
      <c r="A945" s="1" t="n"/>
      <c r="B945" s="26" t="n"/>
      <c r="C945" s="27" t="n"/>
      <c r="D945" s="30" t="n"/>
      <c r="E945" s="30" t="n"/>
      <c r="F945" s="28" t="n"/>
      <c r="G945" s="1" t="n"/>
    </row>
    <row r="946">
      <c r="A946" s="1" t="n"/>
      <c r="B946" s="26" t="n"/>
      <c r="C946" s="27" t="n"/>
      <c r="D946" s="30" t="n"/>
      <c r="E946" s="30" t="n"/>
      <c r="F946" s="28" t="n"/>
      <c r="G946" s="1" t="n"/>
    </row>
    <row r="947">
      <c r="A947" s="1" t="n"/>
      <c r="B947" s="26" t="n"/>
      <c r="C947" s="27" t="n"/>
      <c r="D947" s="30" t="n"/>
      <c r="E947" s="30" t="n"/>
      <c r="F947" s="28" t="n"/>
      <c r="G947" s="1" t="n"/>
    </row>
    <row r="948">
      <c r="A948" s="1" t="n"/>
      <c r="B948" s="26" t="n"/>
      <c r="C948" s="27" t="n"/>
      <c r="D948" s="30" t="n"/>
      <c r="E948" s="30" t="n"/>
      <c r="F948" s="28" t="n"/>
      <c r="G948" s="1" t="n"/>
    </row>
    <row r="949">
      <c r="A949" s="1" t="n"/>
      <c r="B949" s="26" t="n"/>
      <c r="C949" s="27" t="n"/>
      <c r="D949" s="30" t="n"/>
      <c r="E949" s="30" t="n"/>
      <c r="F949" s="28" t="n"/>
      <c r="G949" s="1" t="n"/>
    </row>
    <row r="950">
      <c r="A950" s="1" t="n"/>
      <c r="B950" s="26" t="n"/>
      <c r="C950" s="27" t="n"/>
      <c r="D950" s="30" t="n"/>
      <c r="E950" s="30" t="n"/>
      <c r="F950" s="28" t="n"/>
      <c r="G950" s="1" t="n"/>
    </row>
    <row r="951">
      <c r="A951" s="1" t="n"/>
      <c r="B951" s="26" t="n"/>
      <c r="C951" s="27" t="n"/>
      <c r="D951" s="30" t="n"/>
      <c r="E951" s="30" t="n"/>
      <c r="F951" s="28" t="n"/>
      <c r="G951" s="1" t="n"/>
    </row>
    <row r="952">
      <c r="A952" s="1" t="n"/>
      <c r="B952" s="26" t="n"/>
      <c r="C952" s="27" t="n"/>
      <c r="D952" s="30" t="n"/>
      <c r="E952" s="30" t="n"/>
      <c r="F952" s="28" t="n"/>
      <c r="G952" s="1" t="n"/>
    </row>
    <row r="953">
      <c r="A953" s="1" t="n"/>
      <c r="B953" s="26" t="n"/>
      <c r="C953" s="27" t="n"/>
      <c r="D953" s="30" t="n"/>
      <c r="E953" s="30" t="n"/>
      <c r="F953" s="28" t="n"/>
      <c r="G953" s="1" t="n"/>
    </row>
    <row r="954">
      <c r="A954" s="1" t="n"/>
      <c r="B954" s="26" t="n"/>
      <c r="C954" s="27" t="n"/>
      <c r="D954" s="30" t="n"/>
      <c r="E954" s="30" t="n"/>
      <c r="F954" s="28" t="n"/>
      <c r="G954" s="1" t="n"/>
    </row>
    <row r="955">
      <c r="A955" s="1" t="n"/>
      <c r="B955" s="26" t="n"/>
      <c r="C955" s="27" t="n"/>
      <c r="D955" s="30" t="n"/>
      <c r="E955" s="30" t="n"/>
      <c r="F955" s="28" t="n"/>
      <c r="G955" s="1" t="n"/>
    </row>
    <row r="956">
      <c r="A956" s="1" t="n"/>
      <c r="B956" s="26" t="n"/>
      <c r="C956" s="27" t="n"/>
      <c r="D956" s="30" t="n"/>
      <c r="E956" s="30" t="n"/>
      <c r="F956" s="28" t="n"/>
      <c r="G956" s="1" t="n"/>
    </row>
    <row r="957">
      <c r="A957" s="1" t="n"/>
      <c r="B957" s="26" t="n"/>
      <c r="C957" s="27" t="n"/>
      <c r="D957" s="30" t="n"/>
      <c r="E957" s="30" t="n"/>
      <c r="F957" s="28" t="n"/>
      <c r="G957" s="1" t="n"/>
    </row>
    <row r="958">
      <c r="A958" s="1" t="n"/>
      <c r="B958" s="26" t="n"/>
      <c r="C958" s="27" t="n"/>
      <c r="D958" s="30" t="n"/>
      <c r="E958" s="30" t="n"/>
      <c r="F958" s="28" t="n"/>
      <c r="G958" s="1" t="n"/>
    </row>
    <row r="959">
      <c r="A959" s="1" t="n"/>
      <c r="B959" s="26" t="n"/>
      <c r="C959" s="27" t="n"/>
      <c r="D959" s="30" t="n"/>
      <c r="E959" s="30" t="n"/>
      <c r="F959" s="28" t="n"/>
      <c r="G959" s="1" t="n"/>
    </row>
    <row r="960">
      <c r="A960" s="1" t="n"/>
      <c r="B960" s="26" t="n"/>
      <c r="C960" s="27" t="n"/>
      <c r="D960" s="30" t="n"/>
      <c r="E960" s="30" t="n"/>
      <c r="F960" s="28" t="n"/>
      <c r="G960" s="1" t="n"/>
    </row>
    <row r="961">
      <c r="A961" s="1" t="n"/>
      <c r="B961" s="26" t="n"/>
      <c r="C961" s="27" t="n"/>
      <c r="D961" s="30" t="n"/>
      <c r="E961" s="30" t="n"/>
      <c r="F961" s="28" t="n"/>
      <c r="G961" s="1" t="n"/>
    </row>
    <row r="962">
      <c r="A962" s="1" t="n"/>
      <c r="B962" s="26" t="n"/>
      <c r="C962" s="27" t="n"/>
      <c r="D962" s="30" t="n"/>
      <c r="E962" s="30" t="n"/>
      <c r="F962" s="28" t="n"/>
      <c r="G962" s="1" t="n"/>
    </row>
    <row r="963">
      <c r="A963" s="1" t="n"/>
      <c r="B963" s="26" t="n"/>
      <c r="C963" s="27" t="n"/>
      <c r="D963" s="30" t="n"/>
      <c r="E963" s="30" t="n"/>
      <c r="F963" s="28" t="n"/>
      <c r="G963" s="1" t="n"/>
    </row>
    <row r="964">
      <c r="A964" s="1" t="n"/>
      <c r="B964" s="26" t="n"/>
      <c r="C964" s="27" t="n"/>
      <c r="D964" s="30" t="n"/>
      <c r="E964" s="30" t="n"/>
      <c r="F964" s="28" t="n"/>
      <c r="G964" s="1" t="n"/>
    </row>
    <row r="965">
      <c r="A965" s="1" t="n"/>
      <c r="B965" s="26" t="n"/>
      <c r="C965" s="27" t="n"/>
      <c r="D965" s="30" t="n"/>
      <c r="E965" s="30" t="n"/>
      <c r="F965" s="28" t="n"/>
      <c r="G965" s="1" t="n"/>
    </row>
    <row r="966">
      <c r="A966" s="1" t="n"/>
      <c r="B966" s="26" t="n"/>
      <c r="C966" s="27" t="n"/>
      <c r="D966" s="30" t="n"/>
      <c r="E966" s="30" t="n"/>
      <c r="F966" s="28" t="n"/>
      <c r="G966" s="1" t="n"/>
    </row>
    <row r="967">
      <c r="A967" s="1" t="n"/>
      <c r="B967" s="26" t="n"/>
      <c r="C967" s="27" t="n"/>
      <c r="D967" s="30" t="n"/>
      <c r="E967" s="30" t="n"/>
      <c r="F967" s="28" t="n"/>
      <c r="G967" s="1" t="n"/>
    </row>
    <row r="968">
      <c r="A968" s="1" t="n"/>
      <c r="B968" s="26" t="n"/>
      <c r="C968" s="27" t="n"/>
      <c r="D968" s="30" t="n"/>
      <c r="E968" s="30" t="n"/>
      <c r="F968" s="28" t="n"/>
      <c r="G968" s="1" t="n"/>
    </row>
    <row r="969">
      <c r="A969" s="1" t="n"/>
      <c r="B969" s="26" t="n"/>
      <c r="C969" s="27" t="n"/>
      <c r="D969" s="30" t="n"/>
      <c r="E969" s="30" t="n"/>
      <c r="F969" s="28" t="n"/>
      <c r="G969" s="1" t="n"/>
    </row>
    <row r="970">
      <c r="A970" s="1" t="n"/>
      <c r="B970" s="26" t="n"/>
      <c r="C970" s="27" t="n"/>
      <c r="D970" s="30" t="n"/>
      <c r="E970" s="30" t="n"/>
      <c r="F970" s="28" t="n"/>
      <c r="G970" s="1" t="n"/>
    </row>
    <row r="971">
      <c r="A971" s="1" t="n"/>
      <c r="B971" s="26" t="n"/>
      <c r="C971" s="27" t="n"/>
      <c r="D971" s="30" t="n"/>
      <c r="E971" s="30" t="n"/>
      <c r="F971" s="28" t="n"/>
      <c r="G971" s="1" t="n"/>
    </row>
    <row r="972">
      <c r="A972" s="1" t="n"/>
      <c r="B972" s="26" t="n"/>
      <c r="C972" s="27" t="n"/>
      <c r="D972" s="30" t="n"/>
      <c r="E972" s="30" t="n"/>
      <c r="F972" s="28" t="n"/>
      <c r="G972" s="1" t="n"/>
    </row>
    <row r="973">
      <c r="A973" s="1" t="n"/>
      <c r="B973" s="26" t="n"/>
      <c r="C973" s="27" t="n"/>
      <c r="D973" s="30" t="n"/>
      <c r="E973" s="30" t="n"/>
      <c r="F973" s="28" t="n"/>
      <c r="G973" s="1" t="n"/>
    </row>
    <row r="974">
      <c r="A974" s="1" t="n"/>
      <c r="B974" s="26" t="n"/>
      <c r="C974" s="27" t="n"/>
      <c r="D974" s="30" t="n"/>
      <c r="E974" s="30" t="n"/>
      <c r="F974" s="28" t="n"/>
      <c r="G974" s="1" t="n"/>
    </row>
    <row r="975">
      <c r="A975" s="1" t="n"/>
      <c r="B975" s="26" t="n"/>
      <c r="C975" s="27" t="n"/>
      <c r="D975" s="30" t="n"/>
      <c r="E975" s="30" t="n"/>
      <c r="F975" s="28" t="n"/>
      <c r="G975" s="1" t="n"/>
    </row>
    <row r="976">
      <c r="A976" s="1" t="n"/>
      <c r="B976" s="26" t="n"/>
      <c r="C976" s="27" t="n"/>
      <c r="D976" s="30" t="n"/>
      <c r="E976" s="30" t="n"/>
      <c r="F976" s="28" t="n"/>
      <c r="G976" s="1" t="n"/>
    </row>
    <row r="977">
      <c r="A977" s="1" t="n"/>
      <c r="B977" s="26" t="n"/>
      <c r="C977" s="27" t="n"/>
      <c r="D977" s="30" t="n"/>
      <c r="E977" s="30" t="n"/>
      <c r="F977" s="28" t="n"/>
      <c r="G977" s="1" t="n"/>
    </row>
    <row r="978">
      <c r="A978" s="1" t="n"/>
      <c r="B978" s="26" t="n"/>
      <c r="C978" s="27" t="n"/>
      <c r="D978" s="30" t="n"/>
      <c r="E978" s="30" t="n"/>
      <c r="F978" s="28" t="n"/>
      <c r="G978" s="1" t="n"/>
    </row>
    <row r="979">
      <c r="A979" s="1" t="n"/>
      <c r="B979" s="26" t="n"/>
      <c r="C979" s="27" t="n"/>
      <c r="D979" s="30" t="n"/>
      <c r="E979" s="30" t="n"/>
      <c r="F979" s="28" t="n"/>
      <c r="G979" s="1" t="n"/>
    </row>
    <row r="980">
      <c r="A980" s="1" t="n"/>
      <c r="B980" s="26" t="n"/>
      <c r="C980" s="27" t="n"/>
      <c r="D980" s="30" t="n"/>
      <c r="E980" s="30" t="n"/>
      <c r="F980" s="28" t="n"/>
      <c r="G980" s="1" t="n"/>
    </row>
    <row r="981">
      <c r="A981" s="1" t="n"/>
      <c r="B981" s="26" t="n"/>
      <c r="C981" s="27" t="n"/>
      <c r="D981" s="30" t="n"/>
      <c r="E981" s="30" t="n"/>
      <c r="F981" s="28" t="n"/>
      <c r="G981" s="1" t="n"/>
    </row>
    <row r="982">
      <c r="A982" s="1" t="n"/>
      <c r="B982" s="26" t="n"/>
      <c r="C982" s="27" t="n"/>
      <c r="D982" s="30" t="n"/>
      <c r="E982" s="30" t="n"/>
      <c r="F982" s="28" t="n"/>
      <c r="G982" s="1" t="n"/>
    </row>
    <row r="983">
      <c r="A983" s="1" t="n"/>
      <c r="B983" s="26" t="n"/>
      <c r="C983" s="27" t="n"/>
      <c r="D983" s="30" t="n"/>
      <c r="E983" s="30" t="n"/>
      <c r="F983" s="28" t="n"/>
      <c r="G983" s="1" t="n"/>
    </row>
    <row r="984">
      <c r="A984" s="1" t="n"/>
      <c r="B984" s="26" t="n"/>
      <c r="C984" s="27" t="n"/>
      <c r="D984" s="30" t="n"/>
      <c r="E984" s="30" t="n"/>
      <c r="F984" s="28" t="n"/>
      <c r="G984" s="1" t="n"/>
    </row>
    <row r="985">
      <c r="A985" s="1" t="n"/>
      <c r="B985" s="26" t="n"/>
      <c r="C985" s="27" t="n"/>
      <c r="D985" s="30" t="n"/>
      <c r="E985" s="30" t="n"/>
      <c r="F985" s="28" t="n"/>
      <c r="G985" s="1" t="n"/>
    </row>
    <row r="986">
      <c r="A986" s="1" t="n"/>
      <c r="B986" s="26" t="n"/>
      <c r="C986" s="27" t="n"/>
      <c r="D986" s="30" t="n"/>
      <c r="E986" s="30" t="n"/>
      <c r="F986" s="28" t="n"/>
      <c r="G986" s="1" t="n"/>
    </row>
    <row r="987">
      <c r="A987" s="1" t="n"/>
      <c r="B987" s="26" t="n"/>
      <c r="C987" s="27" t="n"/>
      <c r="D987" s="30" t="n"/>
      <c r="E987" s="30" t="n"/>
      <c r="F987" s="28" t="n"/>
      <c r="G987" s="1" t="n"/>
    </row>
    <row r="988">
      <c r="A988" s="1" t="n"/>
      <c r="B988" s="26" t="n"/>
      <c r="C988" s="27" t="n"/>
      <c r="D988" s="30" t="n"/>
      <c r="E988" s="30" t="n"/>
      <c r="F988" s="28" t="n"/>
      <c r="G988" s="1" t="n"/>
    </row>
    <row r="989">
      <c r="A989" s="1" t="n"/>
      <c r="B989" s="26" t="n"/>
      <c r="C989" s="27" t="n"/>
      <c r="D989" s="30" t="n"/>
      <c r="E989" s="30" t="n"/>
      <c r="F989" s="28" t="n"/>
      <c r="G989" s="1" t="n"/>
    </row>
    <row r="990">
      <c r="A990" s="1" t="n"/>
      <c r="B990" s="26" t="n"/>
      <c r="C990" s="27" t="n"/>
      <c r="D990" s="30" t="n"/>
      <c r="E990" s="30" t="n"/>
      <c r="F990" s="28" t="n"/>
      <c r="G990" s="1" t="n"/>
    </row>
    <row r="991">
      <c r="A991" s="1" t="n"/>
      <c r="B991" s="26" t="n"/>
      <c r="C991" s="27" t="n"/>
      <c r="D991" s="30" t="n"/>
      <c r="E991" s="30" t="n"/>
      <c r="F991" s="28" t="n"/>
      <c r="G991" s="1" t="n"/>
    </row>
    <row r="992">
      <c r="A992" s="1" t="n"/>
      <c r="B992" s="26" t="n"/>
      <c r="C992" s="27" t="n"/>
      <c r="D992" s="30" t="n"/>
      <c r="E992" s="30" t="n"/>
      <c r="F992" s="28" t="n"/>
      <c r="G992" s="1" t="n"/>
    </row>
    <row r="993">
      <c r="A993" s="1" t="n"/>
      <c r="B993" s="26" t="n"/>
      <c r="C993" s="27" t="n"/>
      <c r="D993" s="30" t="n"/>
      <c r="E993" s="30" t="n"/>
      <c r="F993" s="28" t="n"/>
      <c r="G993" s="1" t="n"/>
    </row>
    <row r="994">
      <c r="A994" s="1" t="n"/>
      <c r="B994" s="26" t="n"/>
      <c r="C994" s="27" t="n"/>
      <c r="D994" s="30" t="n"/>
      <c r="E994" s="30" t="n"/>
      <c r="F994" s="28" t="n"/>
      <c r="G994" s="1" t="n"/>
    </row>
    <row r="995">
      <c r="A995" s="1" t="n"/>
      <c r="B995" s="26" t="n"/>
      <c r="C995" s="27" t="n"/>
      <c r="D995" s="30" t="n"/>
      <c r="E995" s="30" t="n"/>
      <c r="F995" s="28" t="n"/>
      <c r="G995" s="1" t="n"/>
    </row>
    <row r="996">
      <c r="A996" s="1" t="n"/>
      <c r="B996" s="26" t="n"/>
      <c r="C996" s="27" t="n"/>
      <c r="D996" s="30" t="n"/>
      <c r="E996" s="30" t="n"/>
      <c r="F996" s="28" t="n"/>
      <c r="G996" s="1" t="n"/>
    </row>
    <row r="997">
      <c r="A997" s="1" t="n"/>
      <c r="B997" s="26" t="n"/>
      <c r="C997" s="27" t="n"/>
      <c r="D997" s="30" t="n"/>
      <c r="E997" s="30" t="n"/>
      <c r="F997" s="28" t="n"/>
      <c r="G997" s="1" t="n"/>
    </row>
    <row r="998">
      <c r="A998" s="1" t="n"/>
      <c r="B998" s="26" t="n"/>
      <c r="C998" s="27" t="n"/>
      <c r="D998" s="30" t="n"/>
      <c r="E998" s="30" t="n"/>
      <c r="F998" s="28" t="n"/>
      <c r="G998" s="1" t="n"/>
    </row>
    <row r="999">
      <c r="A999" s="1" t="n"/>
      <c r="B999" s="26" t="n"/>
      <c r="C999" s="27" t="n"/>
      <c r="D999" s="30" t="n"/>
      <c r="E999" s="30" t="n"/>
      <c r="F999" s="28" t="n"/>
      <c r="G999" s="1" t="n"/>
    </row>
    <row r="1000">
      <c r="A1000" s="1" t="n"/>
      <c r="B1000" s="26" t="n"/>
      <c r="C1000" s="27" t="n"/>
      <c r="D1000" s="30" t="n"/>
      <c r="E1000" s="30" t="n"/>
      <c r="F1000" s="28" t="n"/>
      <c r="G1000" s="1" t="n"/>
    </row>
    <row r="1001">
      <c r="A1001" s="1" t="n"/>
      <c r="B1001" s="26" t="n"/>
      <c r="C1001" s="27" t="n"/>
      <c r="D1001" s="30" t="n"/>
      <c r="E1001" s="30" t="n"/>
      <c r="F1001" s="28" t="n"/>
      <c r="G1001" s="1" t="n"/>
    </row>
    <row r="1002">
      <c r="A1002" s="1" t="n"/>
      <c r="B1002" s="26" t="n"/>
      <c r="C1002" s="27" t="n"/>
      <c r="D1002" s="30" t="n"/>
      <c r="E1002" s="30" t="n"/>
      <c r="F1002" s="28" t="n"/>
      <c r="G1002" s="1" t="n"/>
    </row>
    <row r="1003">
      <c r="A1003" s="1" t="n"/>
      <c r="B1003" s="26" t="n"/>
      <c r="C1003" s="27" t="n"/>
      <c r="D1003" s="30" t="n"/>
      <c r="E1003" s="30" t="n"/>
      <c r="F1003" s="28" t="n"/>
      <c r="G1003" s="1" t="n"/>
    </row>
    <row r="1004">
      <c r="A1004" s="1" t="n"/>
      <c r="B1004" s="26" t="n"/>
      <c r="C1004" s="27" t="n"/>
      <c r="D1004" s="30" t="n"/>
      <c r="E1004" s="30" t="n"/>
      <c r="F1004" s="28" t="n"/>
      <c r="G1004" s="1" t="n"/>
    </row>
    <row r="1005">
      <c r="A1005" s="1" t="n"/>
      <c r="B1005" s="26" t="n"/>
      <c r="C1005" s="27" t="n"/>
      <c r="D1005" s="30" t="n"/>
      <c r="E1005" s="30" t="n"/>
      <c r="F1005" s="28" t="n"/>
      <c r="G1005" s="1" t="n"/>
    </row>
    <row r="1006">
      <c r="A1006" s="1" t="n"/>
      <c r="B1006" s="26" t="n"/>
      <c r="C1006" s="27" t="n"/>
      <c r="D1006" s="30" t="n"/>
      <c r="E1006" s="30" t="n"/>
      <c r="F1006" s="28" t="n"/>
      <c r="G1006" s="1" t="n"/>
    </row>
    <row r="1007">
      <c r="A1007" s="1" t="n"/>
      <c r="B1007" s="26" t="n"/>
      <c r="C1007" s="27" t="n"/>
      <c r="D1007" s="30" t="n"/>
      <c r="E1007" s="30" t="n"/>
      <c r="F1007" s="28" t="n"/>
      <c r="G1007" s="1" t="n"/>
    </row>
    <row r="1008">
      <c r="A1008" s="1" t="n"/>
      <c r="B1008" s="26" t="n"/>
      <c r="C1008" s="27" t="n"/>
      <c r="D1008" s="30" t="n"/>
      <c r="E1008" s="30" t="n"/>
      <c r="F1008" s="28" t="n"/>
      <c r="G1008" s="1" t="n"/>
    </row>
    <row r="1009">
      <c r="A1009" s="1" t="n"/>
      <c r="B1009" s="26" t="n"/>
      <c r="C1009" s="27" t="n"/>
      <c r="D1009" s="30" t="n"/>
      <c r="E1009" s="30" t="n"/>
      <c r="F1009" s="28" t="n"/>
      <c r="G1009" s="1" t="n"/>
    </row>
    <row r="1010">
      <c r="A1010" s="1" t="n"/>
      <c r="B1010" s="26" t="n"/>
      <c r="C1010" s="27" t="n"/>
      <c r="D1010" s="30" t="n"/>
      <c r="E1010" s="30" t="n"/>
      <c r="F1010" s="28" t="n"/>
      <c r="G1010" s="1" t="n"/>
    </row>
    <row r="1011">
      <c r="A1011" s="1" t="n"/>
      <c r="B1011" s="26" t="n"/>
      <c r="C1011" s="27" t="n"/>
      <c r="D1011" s="30" t="n"/>
      <c r="E1011" s="30" t="n"/>
      <c r="F1011" s="28" t="n"/>
      <c r="G1011" s="1" t="n"/>
    </row>
    <row r="1012">
      <c r="A1012" s="1" t="n"/>
      <c r="B1012" s="26" t="n"/>
      <c r="C1012" s="27" t="n"/>
      <c r="D1012" s="30" t="n"/>
      <c r="E1012" s="30" t="n"/>
      <c r="F1012" s="28" t="n"/>
      <c r="G1012" s="1" t="n"/>
    </row>
    <row r="1013">
      <c r="A1013" s="1" t="n"/>
      <c r="B1013" s="26" t="n"/>
      <c r="C1013" s="27" t="n"/>
      <c r="D1013" s="30" t="n"/>
      <c r="E1013" s="30" t="n"/>
      <c r="F1013" s="28" t="n"/>
      <c r="G1013" s="1" t="n"/>
    </row>
    <row r="1014">
      <c r="A1014" s="1" t="n"/>
      <c r="B1014" s="26" t="n"/>
      <c r="C1014" s="27" t="n"/>
      <c r="D1014" s="30" t="n"/>
      <c r="E1014" s="30" t="n"/>
      <c r="F1014" s="28" t="n"/>
      <c r="G1014" s="1" t="n"/>
    </row>
    <row r="1015">
      <c r="A1015" s="1" t="n"/>
      <c r="B1015" s="26" t="n"/>
      <c r="C1015" s="27" t="n"/>
      <c r="D1015" s="30" t="n"/>
      <c r="E1015" s="30" t="n"/>
      <c r="F1015" s="28" t="n"/>
      <c r="G1015" s="1" t="n"/>
    </row>
    <row r="1016">
      <c r="A1016" s="1" t="n"/>
      <c r="B1016" s="26" t="n"/>
      <c r="C1016" s="27" t="n"/>
      <c r="D1016" s="30" t="n"/>
      <c r="E1016" s="30" t="n"/>
      <c r="F1016" s="28" t="n"/>
      <c r="G1016" s="1" t="n"/>
    </row>
    <row r="1017">
      <c r="A1017" s="1" t="n"/>
      <c r="B1017" s="26" t="n"/>
      <c r="C1017" s="27" t="n"/>
      <c r="D1017" s="30" t="n"/>
      <c r="E1017" s="30" t="n"/>
      <c r="F1017" s="28" t="n"/>
      <c r="G1017" s="1" t="n"/>
    </row>
    <row r="1018">
      <c r="A1018" s="1" t="n"/>
      <c r="B1018" s="26" t="n"/>
      <c r="C1018" s="27" t="n"/>
      <c r="D1018" s="30" t="n"/>
      <c r="E1018" s="30" t="n"/>
      <c r="F1018" s="28" t="n"/>
      <c r="G1018" s="1" t="n"/>
    </row>
    <row r="1019">
      <c r="A1019" s="1" t="n"/>
      <c r="B1019" s="26" t="n"/>
      <c r="C1019" s="27" t="n"/>
      <c r="D1019" s="30" t="n"/>
      <c r="E1019" s="30" t="n"/>
      <c r="F1019" s="28" t="n"/>
      <c r="G1019" s="1" t="n"/>
    </row>
    <row r="1020">
      <c r="A1020" s="1" t="n"/>
      <c r="B1020" s="26" t="n"/>
      <c r="C1020" s="27" t="n"/>
      <c r="D1020" s="30" t="n"/>
      <c r="E1020" s="30" t="n"/>
      <c r="F1020" s="28" t="n"/>
      <c r="G1020" s="1" t="n"/>
    </row>
    <row r="1021">
      <c r="A1021" s="1" t="n"/>
      <c r="B1021" s="26" t="n"/>
      <c r="C1021" s="27" t="n"/>
      <c r="D1021" s="30" t="n"/>
      <c r="E1021" s="30" t="n"/>
      <c r="F1021" s="28" t="n"/>
      <c r="G1021" s="1" t="n"/>
    </row>
    <row r="1022">
      <c r="A1022" s="1" t="n"/>
      <c r="B1022" s="26" t="n"/>
      <c r="C1022" s="27" t="n"/>
      <c r="D1022" s="30" t="n"/>
      <c r="E1022" s="30" t="n"/>
      <c r="F1022" s="28" t="n"/>
      <c r="G1022" s="1" t="n"/>
    </row>
    <row r="1023">
      <c r="A1023" s="1" t="n"/>
      <c r="B1023" s="26" t="n"/>
      <c r="C1023" s="27" t="n"/>
      <c r="D1023" s="30" t="n"/>
      <c r="E1023" s="30" t="n"/>
      <c r="F1023" s="28" t="n"/>
      <c r="G1023" s="1" t="n"/>
    </row>
    <row r="1024">
      <c r="A1024" s="1" t="n"/>
      <c r="B1024" s="26" t="n"/>
      <c r="C1024" s="27" t="n"/>
      <c r="D1024" s="30" t="n"/>
      <c r="E1024" s="30" t="n"/>
      <c r="F1024" s="28" t="n"/>
      <c r="G1024" s="1" t="n"/>
    </row>
    <row r="1025">
      <c r="A1025" s="1" t="n"/>
      <c r="B1025" s="26" t="n"/>
      <c r="C1025" s="27" t="n"/>
      <c r="D1025" s="30" t="n"/>
      <c r="E1025" s="30" t="n"/>
      <c r="F1025" s="28" t="n"/>
      <c r="G1025" s="1" t="n"/>
    </row>
    <row r="1026">
      <c r="A1026" s="1" t="n"/>
      <c r="B1026" s="26" t="n"/>
      <c r="C1026" s="27" t="n"/>
      <c r="D1026" s="30" t="n"/>
      <c r="E1026" s="30" t="n"/>
      <c r="F1026" s="28" t="n"/>
      <c r="G1026" s="1" t="n"/>
    </row>
    <row r="1027">
      <c r="A1027" s="1" t="n"/>
      <c r="B1027" s="26" t="n"/>
      <c r="C1027" s="27" t="n"/>
      <c r="D1027" s="30" t="n"/>
      <c r="E1027" s="30" t="n"/>
      <c r="F1027" s="28" t="n"/>
      <c r="G1027" s="1" t="n"/>
    </row>
    <row r="1028">
      <c r="A1028" s="1" t="n"/>
      <c r="B1028" s="26" t="n"/>
      <c r="C1028" s="27" t="n"/>
      <c r="D1028" s="30" t="n"/>
      <c r="E1028" s="30" t="n"/>
      <c r="F1028" s="28" t="n"/>
      <c r="G1028" s="1" t="n"/>
    </row>
    <row r="1029">
      <c r="A1029" s="1" t="n"/>
      <c r="B1029" s="26" t="n"/>
      <c r="C1029" s="27" t="n"/>
      <c r="D1029" s="30" t="n"/>
      <c r="E1029" s="30" t="n"/>
      <c r="F1029" s="28" t="n"/>
      <c r="G1029" s="1" t="n"/>
    </row>
    <row r="1030">
      <c r="A1030" s="1" t="n"/>
      <c r="B1030" s="26" t="n"/>
      <c r="C1030" s="27" t="n"/>
      <c r="D1030" s="30" t="n"/>
      <c r="E1030" s="30" t="n"/>
      <c r="F1030" s="28" t="n"/>
      <c r="G1030" s="1" t="n"/>
    </row>
    <row r="1031">
      <c r="A1031" s="1" t="n"/>
      <c r="B1031" s="26" t="n"/>
      <c r="C1031" s="27" t="n"/>
      <c r="D1031" s="30" t="n"/>
      <c r="E1031" s="30" t="n"/>
      <c r="F1031" s="28" t="n"/>
      <c r="G1031" s="1" t="n"/>
    </row>
    <row r="1032">
      <c r="A1032" s="1" t="n"/>
      <c r="B1032" s="26" t="n"/>
      <c r="C1032" s="27" t="n"/>
      <c r="D1032" s="30" t="n"/>
      <c r="E1032" s="30" t="n"/>
      <c r="F1032" s="28" t="n"/>
      <c r="G1032" s="1" t="n"/>
    </row>
    <row r="1033">
      <c r="A1033" s="1" t="n"/>
      <c r="B1033" s="26" t="n"/>
      <c r="C1033" s="27" t="n"/>
      <c r="D1033" s="30" t="n"/>
      <c r="E1033" s="30" t="n"/>
      <c r="F1033" s="28" t="n"/>
      <c r="G1033" s="1" t="n"/>
    </row>
    <row r="1034">
      <c r="A1034" s="1" t="n"/>
      <c r="B1034" s="26" t="n"/>
      <c r="C1034" s="27" t="n"/>
      <c r="D1034" s="30" t="n"/>
      <c r="E1034" s="30" t="n"/>
      <c r="F1034" s="28" t="n"/>
      <c r="G1034" s="1" t="n"/>
    </row>
    <row r="1035">
      <c r="A1035" s="1" t="n"/>
      <c r="B1035" s="26" t="n"/>
      <c r="C1035" s="27" t="n"/>
      <c r="D1035" s="30" t="n"/>
      <c r="E1035" s="30" t="n"/>
      <c r="F1035" s="28" t="n"/>
      <c r="G1035" s="1" t="n"/>
    </row>
    <row r="1036">
      <c r="A1036" s="1" t="n"/>
      <c r="B1036" s="26" t="n"/>
      <c r="C1036" s="27" t="n"/>
      <c r="D1036" s="30" t="n"/>
      <c r="E1036" s="30" t="n"/>
      <c r="F1036" s="28" t="n"/>
      <c r="G1036" s="1" t="n"/>
    </row>
    <row r="1037">
      <c r="A1037" s="1" t="n"/>
      <c r="B1037" s="26" t="n"/>
      <c r="C1037" s="27" t="n"/>
      <c r="D1037" s="30" t="n"/>
      <c r="E1037" s="30" t="n"/>
      <c r="F1037" s="28" t="n"/>
      <c r="G1037" s="1" t="n"/>
    </row>
    <row r="1038">
      <c r="A1038" s="1" t="n"/>
      <c r="B1038" s="26" t="n"/>
      <c r="C1038" s="27" t="n"/>
      <c r="D1038" s="30" t="n"/>
      <c r="E1038" s="30" t="n"/>
      <c r="F1038" s="28" t="n"/>
      <c r="G1038" s="1" t="n"/>
    </row>
    <row r="1039">
      <c r="A1039" s="1" t="n"/>
      <c r="B1039" s="26" t="n"/>
      <c r="C1039" s="27" t="n"/>
      <c r="D1039" s="30" t="n"/>
      <c r="E1039" s="30" t="n"/>
      <c r="F1039" s="28" t="n"/>
      <c r="G1039" s="1" t="n"/>
    </row>
    <row r="1040">
      <c r="A1040" s="1" t="n"/>
      <c r="B1040" s="26" t="n"/>
      <c r="C1040" s="27" t="n"/>
      <c r="D1040" s="30" t="n"/>
      <c r="E1040" s="30" t="n"/>
      <c r="F1040" s="28" t="n"/>
      <c r="G1040" s="1" t="n"/>
    </row>
    <row r="1041">
      <c r="A1041" s="1" t="n"/>
      <c r="B1041" s="26" t="n"/>
      <c r="C1041" s="27" t="n"/>
      <c r="D1041" s="30" t="n"/>
      <c r="E1041" s="30" t="n"/>
      <c r="F1041" s="28" t="n"/>
      <c r="G1041" s="1" t="n"/>
    </row>
    <row r="1042">
      <c r="A1042" s="1" t="n"/>
      <c r="B1042" s="26" t="n"/>
      <c r="C1042" s="27" t="n"/>
      <c r="D1042" s="30" t="n"/>
      <c r="E1042" s="30" t="n"/>
      <c r="F1042" s="28" t="n"/>
      <c r="G1042" s="1" t="n"/>
    </row>
    <row r="1043">
      <c r="A1043" s="1" t="n"/>
      <c r="B1043" s="26" t="n"/>
      <c r="C1043" s="27" t="n"/>
      <c r="D1043" s="30" t="n"/>
      <c r="E1043" s="30" t="n"/>
      <c r="F1043" s="28" t="n"/>
      <c r="G1043" s="1" t="n"/>
    </row>
    <row r="1044">
      <c r="A1044" s="1" t="n"/>
      <c r="B1044" s="26" t="n"/>
      <c r="C1044" s="27" t="n"/>
      <c r="D1044" s="30" t="n"/>
      <c r="E1044" s="30" t="n"/>
      <c r="F1044" s="28" t="n"/>
      <c r="G1044" s="1" t="n"/>
    </row>
    <row r="1045">
      <c r="A1045" s="1" t="n"/>
      <c r="B1045" s="26" t="n"/>
      <c r="C1045" s="27" t="n"/>
      <c r="D1045" s="30" t="n"/>
      <c r="E1045" s="30" t="n"/>
      <c r="F1045" s="28" t="n"/>
      <c r="G1045" s="1" t="n"/>
    </row>
    <row r="1046">
      <c r="A1046" s="1" t="n"/>
      <c r="B1046" s="26" t="n"/>
      <c r="C1046" s="27" t="n"/>
      <c r="D1046" s="30" t="n"/>
      <c r="E1046" s="30" t="n"/>
      <c r="F1046" s="28" t="n"/>
      <c r="G1046" s="1" t="n"/>
    </row>
    <row r="1047">
      <c r="A1047" s="1" t="n"/>
      <c r="B1047" s="26" t="n"/>
      <c r="C1047" s="27" t="n"/>
      <c r="D1047" s="30" t="n"/>
      <c r="E1047" s="30" t="n"/>
      <c r="F1047" s="28" t="n"/>
      <c r="G1047" s="1" t="n"/>
    </row>
    <row r="1048">
      <c r="A1048" s="1" t="n"/>
      <c r="B1048" s="26" t="n"/>
      <c r="C1048" s="27" t="n"/>
      <c r="D1048" s="30" t="n"/>
      <c r="E1048" s="30" t="n"/>
      <c r="F1048" s="28" t="n"/>
      <c r="G1048" s="1" t="n"/>
    </row>
    <row r="1049">
      <c r="A1049" s="1" t="n"/>
      <c r="B1049" s="26" t="n"/>
      <c r="C1049" s="27" t="n"/>
      <c r="D1049" s="30" t="n"/>
      <c r="E1049" s="30" t="n"/>
      <c r="F1049" s="28" t="n"/>
      <c r="G1049" s="1" t="n"/>
    </row>
    <row r="1050">
      <c r="A1050" s="1" t="n"/>
      <c r="B1050" s="26" t="n"/>
      <c r="C1050" s="27" t="n"/>
      <c r="D1050" s="30" t="n"/>
      <c r="E1050" s="30" t="n"/>
      <c r="F1050" s="28" t="n"/>
      <c r="G1050" s="1" t="n"/>
    </row>
    <row r="1051">
      <c r="A1051" s="1" t="n"/>
      <c r="B1051" s="26" t="n"/>
      <c r="C1051" s="27" t="n"/>
      <c r="D1051" s="30" t="n"/>
      <c r="E1051" s="30" t="n"/>
      <c r="F1051" s="28" t="n"/>
      <c r="G1051" s="1" t="n"/>
    </row>
    <row r="1052">
      <c r="A1052" s="1" t="n"/>
      <c r="B1052" s="26" t="n"/>
      <c r="C1052" s="27" t="n"/>
      <c r="D1052" s="30" t="n"/>
      <c r="E1052" s="30" t="n"/>
      <c r="F1052" s="28" t="n"/>
      <c r="G1052" s="1" t="n"/>
    </row>
    <row r="1053">
      <c r="A1053" s="1" t="n"/>
      <c r="B1053" s="26" t="n"/>
      <c r="C1053" s="27" t="n"/>
      <c r="D1053" s="30" t="n"/>
      <c r="E1053" s="30" t="n"/>
      <c r="F1053" s="28" t="n"/>
      <c r="G1053" s="1" t="n"/>
    </row>
    <row r="1054">
      <c r="A1054" s="1" t="n"/>
      <c r="B1054" s="26" t="n"/>
      <c r="C1054" s="27" t="n"/>
      <c r="D1054" s="30" t="n"/>
      <c r="E1054" s="30" t="n"/>
      <c r="F1054" s="28" t="n"/>
      <c r="G1054" s="1" t="n"/>
    </row>
    <row r="1055">
      <c r="A1055" s="1" t="n"/>
      <c r="B1055" s="26" t="n"/>
      <c r="C1055" s="27" t="n"/>
      <c r="D1055" s="30" t="n"/>
      <c r="E1055" s="30" t="n"/>
      <c r="F1055" s="28" t="n"/>
      <c r="G1055" s="1" t="n"/>
    </row>
    <row r="1056">
      <c r="A1056" s="1" t="n"/>
      <c r="B1056" s="26" t="n"/>
      <c r="C1056" s="27" t="n"/>
      <c r="D1056" s="30" t="n"/>
      <c r="E1056" s="30" t="n"/>
      <c r="F1056" s="28" t="n"/>
      <c r="G1056" s="1" t="n"/>
    </row>
    <row r="1057">
      <c r="A1057" s="1" t="n"/>
      <c r="B1057" s="26" t="n"/>
      <c r="C1057" s="27" t="n"/>
      <c r="D1057" s="30" t="n"/>
      <c r="E1057" s="30" t="n"/>
      <c r="F1057" s="28" t="n"/>
      <c r="G1057" s="1" t="n"/>
    </row>
    <row r="1058">
      <c r="A1058" s="1" t="n"/>
      <c r="B1058" s="26" t="n"/>
      <c r="C1058" s="27" t="n"/>
      <c r="D1058" s="30" t="n"/>
      <c r="E1058" s="30" t="n"/>
      <c r="F1058" s="28" t="n"/>
      <c r="G1058" s="1" t="n"/>
    </row>
    <row r="1059">
      <c r="A1059" s="1" t="n"/>
      <c r="B1059" s="26" t="n"/>
      <c r="C1059" s="27" t="n"/>
      <c r="D1059" s="30" t="n"/>
      <c r="E1059" s="30" t="n"/>
      <c r="F1059" s="28" t="n"/>
      <c r="G1059" s="1" t="n"/>
    </row>
    <row r="1060">
      <c r="A1060" s="1" t="n"/>
      <c r="B1060" s="26" t="n"/>
      <c r="C1060" s="27" t="n"/>
      <c r="D1060" s="30" t="n"/>
      <c r="E1060" s="30" t="n"/>
      <c r="F1060" s="28" t="n"/>
      <c r="G1060" s="1" t="n"/>
    </row>
    <row r="1061">
      <c r="A1061" s="1" t="n"/>
      <c r="B1061" s="26" t="n"/>
      <c r="C1061" s="27" t="n"/>
      <c r="D1061" s="30" t="n"/>
      <c r="E1061" s="30" t="n"/>
      <c r="F1061" s="28" t="n"/>
      <c r="G1061" s="1" t="n"/>
    </row>
    <row r="1062">
      <c r="A1062" s="1" t="n"/>
      <c r="B1062" s="26" t="n"/>
      <c r="C1062" s="27" t="n"/>
      <c r="D1062" s="30" t="n"/>
      <c r="E1062" s="30" t="n"/>
      <c r="F1062" s="28" t="n"/>
      <c r="G1062" s="1" t="n"/>
    </row>
    <row r="1063">
      <c r="A1063" s="1" t="n"/>
      <c r="B1063" s="26" t="n"/>
      <c r="C1063" s="27" t="n"/>
      <c r="D1063" s="30" t="n"/>
      <c r="E1063" s="30" t="n"/>
      <c r="F1063" s="28" t="n"/>
      <c r="G1063" s="1" t="n"/>
    </row>
    <row r="1064">
      <c r="A1064" s="1" t="n"/>
      <c r="B1064" s="26" t="n"/>
      <c r="C1064" s="27" t="n"/>
      <c r="D1064" s="30" t="n"/>
      <c r="E1064" s="30" t="n"/>
      <c r="F1064" s="28" t="n"/>
      <c r="G1064" s="1" t="n"/>
    </row>
    <row r="1065">
      <c r="A1065" s="1" t="n"/>
      <c r="B1065" s="26" t="n"/>
      <c r="C1065" s="27" t="n"/>
      <c r="D1065" s="30" t="n"/>
      <c r="E1065" s="30" t="n"/>
      <c r="F1065" s="28" t="n"/>
      <c r="G1065" s="1" t="n"/>
    </row>
    <row r="1066">
      <c r="A1066" s="1" t="n"/>
      <c r="B1066" s="26" t="n"/>
      <c r="C1066" s="27" t="n"/>
      <c r="D1066" s="30" t="n"/>
      <c r="E1066" s="30" t="n"/>
      <c r="F1066" s="28" t="n"/>
      <c r="G1066" s="1" t="n"/>
    </row>
    <row r="1067">
      <c r="A1067" s="1" t="n"/>
      <c r="B1067" s="26" t="n"/>
      <c r="C1067" s="27" t="n"/>
      <c r="D1067" s="30" t="n"/>
      <c r="E1067" s="30" t="n"/>
      <c r="F1067" s="28" t="n"/>
      <c r="G1067" s="1" t="n"/>
    </row>
    <row r="1068">
      <c r="A1068" s="1" t="n"/>
      <c r="B1068" s="26" t="n"/>
      <c r="C1068" s="27" t="n"/>
      <c r="D1068" s="30" t="n"/>
      <c r="E1068" s="30" t="n"/>
      <c r="F1068" s="28" t="n"/>
      <c r="G1068" s="1" t="n"/>
    </row>
    <row r="1069">
      <c r="A1069" s="1" t="n"/>
      <c r="B1069" s="26" t="n"/>
      <c r="C1069" s="27" t="n"/>
      <c r="D1069" s="30" t="n"/>
      <c r="E1069" s="30" t="n"/>
      <c r="F1069" s="28" t="n"/>
      <c r="G1069" s="1" t="n"/>
    </row>
    <row r="1070">
      <c r="A1070" s="1" t="n"/>
      <c r="B1070" s="26" t="n"/>
      <c r="C1070" s="27" t="n"/>
      <c r="D1070" s="30" t="n"/>
      <c r="E1070" s="30" t="n"/>
      <c r="F1070" s="28" t="n"/>
      <c r="G1070" s="1" t="n"/>
    </row>
    <row r="1071">
      <c r="A1071" s="1" t="n"/>
      <c r="B1071" s="26" t="n"/>
      <c r="C1071" s="27" t="n"/>
      <c r="D1071" s="30" t="n"/>
      <c r="E1071" s="30" t="n"/>
      <c r="F1071" s="28" t="n"/>
      <c r="G1071" s="1" t="n"/>
    </row>
    <row r="1072">
      <c r="A1072" s="1" t="n"/>
      <c r="B1072" s="26" t="n"/>
      <c r="C1072" s="27" t="n"/>
      <c r="D1072" s="30" t="n"/>
      <c r="E1072" s="30" t="n"/>
      <c r="F1072" s="28" t="n"/>
      <c r="G1072" s="1" t="n"/>
    </row>
    <row r="1073">
      <c r="A1073" s="1" t="n"/>
      <c r="B1073" s="26" t="n"/>
      <c r="C1073" s="27" t="n"/>
      <c r="D1073" s="30" t="n"/>
      <c r="E1073" s="30" t="n"/>
      <c r="F1073" s="28" t="n"/>
      <c r="G1073" s="1" t="n"/>
    </row>
    <row r="1074">
      <c r="A1074" s="1" t="n"/>
      <c r="B1074" s="26" t="n"/>
      <c r="C1074" s="27" t="n"/>
      <c r="D1074" s="30" t="n"/>
      <c r="E1074" s="30" t="n"/>
      <c r="F1074" s="28" t="n"/>
      <c r="G1074" s="1" t="n"/>
    </row>
    <row r="1075">
      <c r="A1075" s="1" t="n"/>
      <c r="B1075" s="26" t="n"/>
      <c r="C1075" s="27" t="n"/>
      <c r="D1075" s="30" t="n"/>
      <c r="E1075" s="30" t="n"/>
      <c r="F1075" s="28" t="n"/>
      <c r="G1075" s="1" t="n"/>
    </row>
    <row r="1076">
      <c r="A1076" s="1" t="n"/>
      <c r="B1076" s="26" t="n"/>
      <c r="C1076" s="27" t="n"/>
      <c r="D1076" s="30" t="n"/>
      <c r="E1076" s="30" t="n"/>
      <c r="F1076" s="28" t="n"/>
      <c r="G1076" s="1" t="n"/>
    </row>
    <row r="1077">
      <c r="A1077" s="1" t="n"/>
      <c r="B1077" s="26" t="n"/>
      <c r="C1077" s="27" t="n"/>
      <c r="D1077" s="30" t="n"/>
      <c r="E1077" s="30" t="n"/>
      <c r="F1077" s="28" t="n"/>
      <c r="G1077" s="1" t="n"/>
    </row>
    <row r="1078">
      <c r="A1078" s="1" t="n"/>
      <c r="B1078" s="26" t="n"/>
      <c r="C1078" s="27" t="n"/>
      <c r="D1078" s="30" t="n"/>
      <c r="E1078" s="30" t="n"/>
      <c r="F1078" s="28" t="n"/>
      <c r="G1078" s="1" t="n"/>
    </row>
    <row r="1079">
      <c r="A1079" s="1" t="n"/>
      <c r="B1079" s="26" t="n"/>
      <c r="C1079" s="27" t="n"/>
      <c r="D1079" s="30" t="n"/>
      <c r="E1079" s="30" t="n"/>
      <c r="F1079" s="28" t="n"/>
      <c r="G1079" s="1" t="n"/>
    </row>
    <row r="1080">
      <c r="A1080" s="1" t="n"/>
      <c r="B1080" s="26" t="n"/>
      <c r="C1080" s="27" t="n"/>
      <c r="D1080" s="30" t="n"/>
      <c r="E1080" s="30" t="n"/>
      <c r="F1080" s="28" t="n"/>
      <c r="G1080" s="1" t="n"/>
    </row>
    <row r="1081">
      <c r="A1081" s="1" t="n"/>
      <c r="B1081" s="26" t="n"/>
      <c r="C1081" s="27" t="n"/>
      <c r="D1081" s="30" t="n"/>
      <c r="E1081" s="30" t="n"/>
      <c r="F1081" s="28" t="n"/>
      <c r="G1081" s="1" t="n"/>
    </row>
    <row r="1082">
      <c r="A1082" s="1" t="n"/>
      <c r="B1082" s="26" t="n"/>
      <c r="C1082" s="27" t="n"/>
      <c r="D1082" s="30" t="n"/>
      <c r="E1082" s="30" t="n"/>
      <c r="F1082" s="28" t="n"/>
      <c r="G1082" s="1" t="n"/>
    </row>
    <row r="1083">
      <c r="A1083" s="1" t="n"/>
      <c r="B1083" s="26" t="n"/>
      <c r="C1083" s="27" t="n"/>
      <c r="D1083" s="30" t="n"/>
      <c r="E1083" s="30" t="n"/>
      <c r="F1083" s="28" t="n"/>
      <c r="G1083" s="1" t="n"/>
    </row>
    <row r="1084">
      <c r="A1084" s="1" t="n"/>
      <c r="B1084" s="26" t="n"/>
      <c r="C1084" s="27" t="n"/>
      <c r="D1084" s="30" t="n"/>
      <c r="E1084" s="30" t="n"/>
      <c r="F1084" s="28" t="n"/>
      <c r="G1084" s="1" t="n"/>
    </row>
    <row r="1085">
      <c r="A1085" s="1" t="n"/>
      <c r="B1085" s="26" t="n"/>
      <c r="C1085" s="27" t="n"/>
      <c r="D1085" s="30" t="n"/>
      <c r="E1085" s="30" t="n"/>
      <c r="F1085" s="28" t="n"/>
      <c r="G1085" s="1" t="n"/>
    </row>
    <row r="1086">
      <c r="A1086" s="1" t="n"/>
      <c r="B1086" s="26" t="n"/>
      <c r="C1086" s="27" t="n"/>
      <c r="D1086" s="30" t="n"/>
      <c r="E1086" s="30" t="n"/>
      <c r="F1086" s="28" t="n"/>
      <c r="G1086" s="1" t="n"/>
    </row>
    <row r="1087">
      <c r="A1087" s="1" t="n"/>
      <c r="B1087" s="26" t="n"/>
      <c r="C1087" s="27" t="n"/>
      <c r="D1087" s="30" t="n"/>
      <c r="E1087" s="30" t="n"/>
      <c r="F1087" s="28" t="n"/>
      <c r="G1087" s="1" t="n"/>
    </row>
    <row r="1088">
      <c r="A1088" s="1" t="n"/>
      <c r="B1088" s="26" t="n"/>
      <c r="C1088" s="27" t="n"/>
      <c r="D1088" s="30" t="n"/>
      <c r="E1088" s="30" t="n"/>
      <c r="F1088" s="28" t="n"/>
      <c r="G1088" s="1" t="n"/>
    </row>
    <row r="1089">
      <c r="A1089" s="1" t="n"/>
      <c r="B1089" s="26" t="n"/>
      <c r="C1089" s="27" t="n"/>
      <c r="D1089" s="30" t="n"/>
      <c r="E1089" s="30" t="n"/>
      <c r="F1089" s="28" t="n"/>
      <c r="G1089" s="1" t="n"/>
    </row>
    <row r="1090">
      <c r="A1090" s="1" t="n"/>
      <c r="B1090" s="26" t="n"/>
      <c r="C1090" s="27" t="n"/>
      <c r="D1090" s="30" t="n"/>
      <c r="E1090" s="30" t="n"/>
      <c r="F1090" s="28" t="n"/>
      <c r="G1090" s="1" t="n"/>
    </row>
    <row r="1091">
      <c r="A1091" s="1" t="n"/>
      <c r="B1091" s="26" t="n"/>
      <c r="C1091" s="27" t="n"/>
      <c r="D1091" s="30" t="n"/>
      <c r="E1091" s="30" t="n"/>
      <c r="F1091" s="28" t="n"/>
      <c r="G1091" s="1" t="n"/>
    </row>
    <row r="1092">
      <c r="A1092" s="1" t="n"/>
      <c r="B1092" s="26" t="n"/>
      <c r="C1092" s="27" t="n"/>
      <c r="D1092" s="30" t="n"/>
      <c r="E1092" s="30" t="n"/>
      <c r="F1092" s="28" t="n"/>
      <c r="G1092" s="1" t="n"/>
    </row>
    <row r="1093">
      <c r="A1093" s="1" t="n"/>
      <c r="B1093" s="26" t="n"/>
      <c r="C1093" s="27" t="n"/>
      <c r="D1093" s="30" t="n"/>
      <c r="E1093" s="30" t="n"/>
      <c r="F1093" s="28" t="n"/>
      <c r="G1093" s="1" t="n"/>
    </row>
    <row r="1094">
      <c r="A1094" s="1" t="n"/>
      <c r="B1094" s="26" t="n"/>
      <c r="C1094" s="27" t="n"/>
      <c r="D1094" s="30" t="n"/>
      <c r="E1094" s="30" t="n"/>
      <c r="F1094" s="28" t="n"/>
      <c r="G1094" s="1" t="n"/>
    </row>
    <row r="1095">
      <c r="A1095" s="1" t="n"/>
      <c r="B1095" s="26" t="n"/>
      <c r="C1095" s="27" t="n"/>
      <c r="D1095" s="30" t="n"/>
      <c r="E1095" s="30" t="n"/>
      <c r="F1095" s="28" t="n"/>
      <c r="G1095" s="1" t="n"/>
    </row>
    <row r="1096">
      <c r="A1096" s="1" t="n"/>
      <c r="B1096" s="26" t="n"/>
      <c r="C1096" s="27" t="n"/>
      <c r="D1096" s="30" t="n"/>
      <c r="E1096" s="30" t="n"/>
      <c r="F1096" s="28" t="n"/>
      <c r="G1096" s="1" t="n"/>
    </row>
    <row r="1097">
      <c r="A1097" s="1" t="n"/>
      <c r="B1097" s="26" t="n"/>
      <c r="C1097" s="27" t="n"/>
      <c r="D1097" s="30" t="n"/>
      <c r="E1097" s="30" t="n"/>
      <c r="F1097" s="28" t="n"/>
      <c r="G1097" s="1" t="n"/>
    </row>
    <row r="1098">
      <c r="A1098" s="1" t="n"/>
      <c r="B1098" s="26" t="n"/>
      <c r="C1098" s="27" t="n"/>
      <c r="D1098" s="30" t="n"/>
      <c r="E1098" s="30" t="n"/>
      <c r="F1098" s="28" t="n"/>
      <c r="G1098" s="1" t="n"/>
    </row>
    <row r="1099">
      <c r="A1099" s="1" t="n"/>
      <c r="B1099" s="26" t="n"/>
      <c r="C1099" s="27" t="n"/>
      <c r="D1099" s="30" t="n"/>
      <c r="E1099" s="30" t="n"/>
      <c r="F1099" s="28" t="n"/>
      <c r="G1099" s="1" t="n"/>
    </row>
    <row r="1100">
      <c r="A1100" s="1" t="n"/>
      <c r="B1100" s="26" t="n"/>
      <c r="C1100" s="27" t="n"/>
      <c r="D1100" s="30" t="n"/>
      <c r="E1100" s="30" t="n"/>
      <c r="F1100" s="28" t="n"/>
      <c r="G1100" s="1" t="n"/>
    </row>
    <row r="1101">
      <c r="A1101" s="1" t="n"/>
      <c r="B1101" s="26" t="n"/>
      <c r="C1101" s="27" t="n"/>
      <c r="D1101" s="30" t="n"/>
      <c r="E1101" s="30" t="n"/>
      <c r="F1101" s="28" t="n"/>
      <c r="G1101" s="1" t="n"/>
    </row>
    <row r="1102">
      <c r="A1102" s="1" t="n"/>
      <c r="B1102" s="26" t="n"/>
      <c r="C1102" s="27" t="n"/>
      <c r="D1102" s="30" t="n"/>
      <c r="E1102" s="30" t="n"/>
      <c r="F1102" s="28" t="n"/>
      <c r="G1102" s="1" t="n"/>
    </row>
    <row r="1103">
      <c r="A1103" s="1" t="n"/>
      <c r="B1103" s="26" t="n"/>
      <c r="C1103" s="27" t="n"/>
      <c r="D1103" s="30" t="n"/>
      <c r="E1103" s="30" t="n"/>
      <c r="F1103" s="28" t="n"/>
      <c r="G1103" s="1" t="n"/>
    </row>
    <row r="1104">
      <c r="A1104" s="1" t="n"/>
      <c r="B1104" s="26" t="n"/>
      <c r="C1104" s="27" t="n"/>
      <c r="D1104" s="30" t="n"/>
      <c r="E1104" s="30" t="n"/>
      <c r="F1104" s="28" t="n"/>
      <c r="G1104" s="1" t="n"/>
    </row>
    <row r="1105">
      <c r="A1105" s="1" t="n"/>
      <c r="B1105" s="26" t="n"/>
      <c r="C1105" s="27" t="n"/>
      <c r="D1105" s="30" t="n"/>
      <c r="E1105" s="30" t="n"/>
      <c r="F1105" s="28" t="n"/>
      <c r="G1105" s="1" t="n"/>
    </row>
    <row r="1106">
      <c r="A1106" s="1" t="n"/>
      <c r="B1106" s="26" t="n"/>
      <c r="C1106" s="27" t="n"/>
      <c r="D1106" s="30" t="n"/>
      <c r="E1106" s="30" t="n"/>
      <c r="F1106" s="28" t="n"/>
      <c r="G1106" s="1" t="n"/>
    </row>
    <row r="1107">
      <c r="A1107" s="1" t="n"/>
      <c r="B1107" s="26" t="n"/>
      <c r="C1107" s="27" t="n"/>
      <c r="D1107" s="30" t="n"/>
      <c r="E1107" s="30" t="n"/>
      <c r="F1107" s="28" t="n"/>
      <c r="G1107" s="1" t="n"/>
    </row>
    <row r="1108">
      <c r="A1108" s="1" t="n"/>
      <c r="B1108" s="26" t="n"/>
      <c r="C1108" s="27" t="n"/>
      <c r="D1108" s="30" t="n"/>
      <c r="E1108" s="30" t="n"/>
      <c r="F1108" s="28" t="n"/>
      <c r="G1108" s="1" t="n"/>
    </row>
    <row r="1109">
      <c r="A1109" s="1" t="n"/>
      <c r="B1109" s="26" t="n"/>
      <c r="C1109" s="27" t="n"/>
      <c r="D1109" s="30" t="n"/>
      <c r="E1109" s="30" t="n"/>
      <c r="F1109" s="28" t="n"/>
      <c r="G1109" s="1" t="n"/>
    </row>
    <row r="1110">
      <c r="A1110" s="1" t="n"/>
      <c r="B1110" s="26" t="n"/>
      <c r="C1110" s="27" t="n"/>
      <c r="D1110" s="30" t="n"/>
      <c r="E1110" s="30" t="n"/>
      <c r="F1110" s="28" t="n"/>
      <c r="G1110" s="1" t="n"/>
    </row>
    <row r="1111">
      <c r="A1111" s="1" t="n"/>
      <c r="B1111" s="26" t="n"/>
      <c r="C1111" s="27" t="n"/>
      <c r="D1111" s="30" t="n"/>
      <c r="E1111" s="30" t="n"/>
      <c r="F1111" s="28" t="n"/>
      <c r="G1111" s="1" t="n"/>
    </row>
    <row r="1112">
      <c r="A1112" s="1" t="n"/>
      <c r="B1112" s="26" t="n"/>
      <c r="C1112" s="27" t="n"/>
      <c r="D1112" s="30" t="n"/>
      <c r="E1112" s="30" t="n"/>
      <c r="F1112" s="28" t="n"/>
      <c r="G1112" s="1" t="n"/>
    </row>
    <row r="1113">
      <c r="A1113" s="1" t="n"/>
      <c r="B1113" s="26" t="n"/>
      <c r="C1113" s="27" t="n"/>
      <c r="D1113" s="30" t="n"/>
      <c r="E1113" s="30" t="n"/>
      <c r="F1113" s="28" t="n"/>
      <c r="G1113" s="1" t="n"/>
    </row>
    <row r="1114">
      <c r="A1114" s="1" t="n"/>
      <c r="B1114" s="26" t="n"/>
      <c r="C1114" s="27" t="n"/>
      <c r="D1114" s="30" t="n"/>
      <c r="E1114" s="30" t="n"/>
      <c r="F1114" s="28" t="n"/>
      <c r="G1114" s="1" t="n"/>
    </row>
    <row r="1115">
      <c r="A1115" s="1" t="n"/>
      <c r="B1115" s="26" t="n"/>
      <c r="C1115" s="27" t="n"/>
      <c r="D1115" s="30" t="n"/>
      <c r="E1115" s="30" t="n"/>
      <c r="F1115" s="28" t="n"/>
      <c r="G1115" s="1" t="n"/>
    </row>
    <row r="1116">
      <c r="A1116" s="1" t="n"/>
      <c r="B1116" s="26" t="n"/>
      <c r="C1116" s="27" t="n"/>
      <c r="D1116" s="30" t="n"/>
      <c r="E1116" s="30" t="n"/>
      <c r="F1116" s="28" t="n"/>
      <c r="G1116" s="1" t="n"/>
    </row>
    <row r="1117">
      <c r="A1117" s="1" t="n"/>
      <c r="B1117" s="26" t="n"/>
      <c r="C1117" s="27" t="n"/>
      <c r="D1117" s="30" t="n"/>
      <c r="E1117" s="30" t="n"/>
      <c r="F1117" s="28" t="n"/>
      <c r="G1117" s="1" t="n"/>
    </row>
    <row r="1118">
      <c r="A1118" s="1" t="n"/>
      <c r="B1118" s="26" t="n"/>
      <c r="C1118" s="27" t="n"/>
      <c r="D1118" s="30" t="n"/>
      <c r="E1118" s="30" t="n"/>
      <c r="F1118" s="28" t="n"/>
      <c r="G1118" s="1" t="n"/>
    </row>
    <row r="1119">
      <c r="A1119" s="1" t="n"/>
      <c r="B1119" s="26" t="n"/>
      <c r="C1119" s="27" t="n"/>
      <c r="D1119" s="30" t="n"/>
      <c r="E1119" s="30" t="n"/>
      <c r="F1119" s="28" t="n"/>
      <c r="G1119" s="1" t="n"/>
    </row>
    <row r="1120">
      <c r="A1120" s="1" t="n"/>
      <c r="B1120" s="26" t="n"/>
      <c r="C1120" s="27" t="n"/>
      <c r="D1120" s="30" t="n"/>
      <c r="E1120" s="30" t="n"/>
      <c r="F1120" s="28" t="n"/>
      <c r="G1120" s="1" t="n"/>
    </row>
    <row r="1121">
      <c r="A1121" s="1" t="n"/>
      <c r="B1121" s="26" t="n"/>
      <c r="C1121" s="27" t="n"/>
      <c r="D1121" s="30" t="n"/>
      <c r="E1121" s="30" t="n"/>
      <c r="F1121" s="28" t="n"/>
      <c r="G1121" s="1" t="n"/>
    </row>
    <row r="1122">
      <c r="A1122" s="1" t="n"/>
      <c r="B1122" s="26" t="n"/>
      <c r="C1122" s="27" t="n"/>
      <c r="D1122" s="30" t="n"/>
      <c r="E1122" s="30" t="n"/>
      <c r="F1122" s="28" t="n"/>
      <c r="G1122" s="1" t="n"/>
    </row>
    <row r="1123">
      <c r="A1123" s="1" t="n"/>
      <c r="B1123" s="26" t="n"/>
      <c r="C1123" s="27" t="n"/>
      <c r="D1123" s="30" t="n"/>
      <c r="E1123" s="30" t="n"/>
      <c r="F1123" s="28" t="n"/>
      <c r="G1123" s="1" t="n"/>
    </row>
    <row r="1124">
      <c r="A1124" s="1" t="n"/>
      <c r="B1124" s="26" t="n"/>
      <c r="C1124" s="27" t="n"/>
      <c r="D1124" s="30" t="n"/>
      <c r="E1124" s="30" t="n"/>
      <c r="F1124" s="28" t="n"/>
      <c r="G1124" s="1" t="n"/>
    </row>
    <row r="1125">
      <c r="A1125" s="1" t="n"/>
      <c r="B1125" s="26" t="n"/>
      <c r="C1125" s="27" t="n"/>
      <c r="D1125" s="30" t="n"/>
      <c r="E1125" s="30" t="n"/>
      <c r="F1125" s="28" t="n"/>
      <c r="G1125" s="1" t="n"/>
    </row>
    <row r="1126">
      <c r="A1126" s="1" t="n"/>
      <c r="B1126" s="26" t="n"/>
      <c r="C1126" s="27" t="n"/>
      <c r="D1126" s="30" t="n"/>
      <c r="E1126" s="30" t="n"/>
      <c r="F1126" s="28" t="n"/>
      <c r="G1126" s="1" t="n"/>
    </row>
    <row r="1127">
      <c r="A1127" s="1" t="n"/>
      <c r="B1127" s="26" t="n"/>
      <c r="C1127" s="27" t="n"/>
      <c r="D1127" s="30" t="n"/>
      <c r="E1127" s="30" t="n"/>
      <c r="F1127" s="28" t="n"/>
      <c r="G1127" s="1" t="n"/>
    </row>
    <row r="1128">
      <c r="A1128" s="1" t="n"/>
      <c r="B1128" s="26" t="n"/>
      <c r="C1128" s="27" t="n"/>
      <c r="D1128" s="30" t="n"/>
      <c r="E1128" s="30" t="n"/>
      <c r="F1128" s="28" t="n"/>
      <c r="G1128" s="1" t="n"/>
    </row>
    <row r="1129">
      <c r="A1129" s="1" t="n"/>
      <c r="B1129" s="26" t="n"/>
      <c r="C1129" s="27" t="n"/>
      <c r="D1129" s="30" t="n"/>
      <c r="E1129" s="30" t="n"/>
      <c r="F1129" s="28" t="n"/>
      <c r="G1129" s="1" t="n"/>
    </row>
    <row r="1130">
      <c r="A1130" s="1" t="n"/>
      <c r="B1130" s="26" t="n"/>
      <c r="C1130" s="27" t="n"/>
      <c r="D1130" s="30" t="n"/>
      <c r="E1130" s="30" t="n"/>
      <c r="F1130" s="28" t="n"/>
      <c r="G1130" s="1" t="n"/>
    </row>
    <row r="1131">
      <c r="A1131" s="1" t="n"/>
      <c r="B1131" s="26" t="n"/>
      <c r="C1131" s="27" t="n"/>
      <c r="D1131" s="30" t="n"/>
      <c r="E1131" s="30" t="n"/>
      <c r="F1131" s="28" t="n"/>
      <c r="G1131" s="1" t="n"/>
    </row>
    <row r="1132">
      <c r="A1132" s="1" t="n"/>
      <c r="B1132" s="26" t="n"/>
      <c r="C1132" s="27" t="n"/>
      <c r="D1132" s="30" t="n"/>
      <c r="E1132" s="30" t="n"/>
      <c r="F1132" s="28" t="n"/>
      <c r="G1132" s="1" t="n"/>
    </row>
    <row r="1133">
      <c r="A1133" s="1" t="n"/>
      <c r="B1133" s="26" t="n"/>
      <c r="C1133" s="27" t="n"/>
      <c r="D1133" s="30" t="n"/>
      <c r="E1133" s="30" t="n"/>
      <c r="F1133" s="28" t="n"/>
      <c r="G1133" s="1" t="n"/>
    </row>
    <row r="1134">
      <c r="A1134" s="1" t="n"/>
      <c r="B1134" s="26" t="n"/>
      <c r="C1134" s="27" t="n"/>
      <c r="D1134" s="30" t="n"/>
      <c r="E1134" s="30" t="n"/>
      <c r="F1134" s="28" t="n"/>
      <c r="G1134" s="1" t="n"/>
    </row>
    <row r="1135">
      <c r="A1135" s="1" t="n"/>
      <c r="B1135" s="26" t="n"/>
      <c r="C1135" s="27" t="n"/>
      <c r="D1135" s="30" t="n"/>
      <c r="E1135" s="30" t="n"/>
      <c r="F1135" s="28" t="n"/>
      <c r="G1135" s="1" t="n"/>
    </row>
    <row r="1136">
      <c r="A1136" s="1" t="n"/>
      <c r="B1136" s="26" t="n"/>
      <c r="C1136" s="27" t="n"/>
      <c r="D1136" s="30" t="n"/>
      <c r="E1136" s="30" t="n"/>
      <c r="F1136" s="28" t="n"/>
      <c r="G1136" s="1" t="n"/>
    </row>
    <row r="1137">
      <c r="A1137" s="1" t="n"/>
      <c r="B1137" s="26" t="n"/>
      <c r="C1137" s="27" t="n"/>
      <c r="D1137" s="30" t="n"/>
      <c r="E1137" s="30" t="n"/>
      <c r="F1137" s="28" t="n"/>
      <c r="G1137" s="1" t="n"/>
    </row>
    <row r="1138">
      <c r="A1138" s="1" t="n"/>
      <c r="B1138" s="26" t="n"/>
      <c r="C1138" s="27" t="n"/>
      <c r="D1138" s="30" t="n"/>
      <c r="E1138" s="30" t="n"/>
      <c r="F1138" s="28" t="n"/>
      <c r="G1138" s="1" t="n"/>
    </row>
    <row r="1139">
      <c r="A1139" s="1" t="n"/>
      <c r="B1139" s="26" t="n"/>
      <c r="C1139" s="27" t="n"/>
      <c r="D1139" s="30" t="n"/>
      <c r="E1139" s="30" t="n"/>
      <c r="F1139" s="28" t="n"/>
      <c r="G1139" s="1" t="n"/>
    </row>
    <row r="1140">
      <c r="A1140" s="1" t="n"/>
      <c r="B1140" s="26" t="n"/>
      <c r="C1140" s="27" t="n"/>
      <c r="D1140" s="30" t="n"/>
      <c r="E1140" s="30" t="n"/>
      <c r="F1140" s="28" t="n"/>
      <c r="G1140" s="1" t="n"/>
    </row>
    <row r="1141">
      <c r="A1141" s="1" t="n"/>
      <c r="B1141" s="26" t="n"/>
      <c r="C1141" s="27" t="n"/>
      <c r="D1141" s="30" t="n"/>
      <c r="E1141" s="30" t="n"/>
      <c r="F1141" s="28" t="n"/>
      <c r="G1141" s="1" t="n"/>
    </row>
    <row r="1142">
      <c r="A1142" s="1" t="n"/>
      <c r="B1142" s="26" t="n"/>
      <c r="C1142" s="27" t="n"/>
      <c r="D1142" s="30" t="n"/>
      <c r="E1142" s="30" t="n"/>
      <c r="F1142" s="28" t="n"/>
      <c r="G1142" s="1" t="n"/>
    </row>
    <row r="1143">
      <c r="A1143" s="1" t="n"/>
      <c r="B1143" s="26" t="n"/>
      <c r="C1143" s="27" t="n"/>
      <c r="D1143" s="30" t="n"/>
      <c r="E1143" s="30" t="n"/>
      <c r="F1143" s="28" t="n"/>
      <c r="G1143" s="1" t="n"/>
    </row>
    <row r="1144">
      <c r="A1144" s="1" t="n"/>
      <c r="B1144" s="26" t="n"/>
      <c r="C1144" s="27" t="n"/>
      <c r="D1144" s="30" t="n"/>
      <c r="E1144" s="30" t="n"/>
      <c r="F1144" s="28" t="n"/>
      <c r="G1144" s="1" t="n"/>
    </row>
    <row r="1145">
      <c r="A1145" s="1" t="n"/>
      <c r="B1145" s="26" t="n"/>
      <c r="C1145" s="27" t="n"/>
      <c r="D1145" s="30" t="n"/>
      <c r="E1145" s="30" t="n"/>
      <c r="F1145" s="28" t="n"/>
      <c r="G1145" s="1" t="n"/>
    </row>
    <row r="1146">
      <c r="A1146" s="1" t="n"/>
      <c r="B1146" s="26" t="n"/>
      <c r="C1146" s="27" t="n"/>
      <c r="D1146" s="30" t="n"/>
      <c r="E1146" s="30" t="n"/>
      <c r="F1146" s="28" t="n"/>
      <c r="G1146" s="1" t="n"/>
    </row>
    <row r="1147">
      <c r="A1147" s="1" t="n"/>
      <c r="B1147" s="26" t="n"/>
      <c r="C1147" s="27" t="n"/>
      <c r="D1147" s="30" t="n"/>
      <c r="E1147" s="30" t="n"/>
      <c r="F1147" s="28" t="n"/>
      <c r="G1147" s="1" t="n"/>
    </row>
    <row r="1148">
      <c r="A1148" s="1" t="n"/>
      <c r="B1148" s="26" t="n"/>
      <c r="C1148" s="27" t="n"/>
      <c r="D1148" s="30" t="n"/>
      <c r="E1148" s="30" t="n"/>
      <c r="F1148" s="28" t="n"/>
      <c r="G1148" s="1" t="n"/>
    </row>
    <row r="1149">
      <c r="A1149" s="1" t="n"/>
      <c r="B1149" s="26" t="n"/>
      <c r="C1149" s="27" t="n"/>
      <c r="D1149" s="30" t="n"/>
      <c r="E1149" s="30" t="n"/>
      <c r="F1149" s="28" t="n"/>
      <c r="G1149" s="1" t="n"/>
    </row>
    <row r="1150">
      <c r="A1150" s="1" t="n"/>
      <c r="B1150" s="26" t="n"/>
      <c r="C1150" s="27" t="n"/>
      <c r="D1150" s="30" t="n"/>
      <c r="E1150" s="30" t="n"/>
      <c r="F1150" s="28" t="n"/>
      <c r="G1150" s="1" t="n"/>
    </row>
    <row r="1151">
      <c r="A1151" s="1" t="n"/>
      <c r="B1151" s="26" t="n"/>
      <c r="C1151" s="27" t="n"/>
      <c r="D1151" s="30" t="n"/>
      <c r="E1151" s="30" t="n"/>
      <c r="F1151" s="28" t="n"/>
      <c r="G1151" s="1" t="n"/>
    </row>
    <row r="1152">
      <c r="A1152" s="1" t="n"/>
      <c r="B1152" s="26" t="n"/>
      <c r="C1152" s="27" t="n"/>
      <c r="D1152" s="30" t="n"/>
      <c r="E1152" s="30" t="n"/>
      <c r="F1152" s="28" t="n"/>
      <c r="G1152" s="1" t="n"/>
    </row>
    <row r="1153">
      <c r="A1153" s="1" t="n"/>
      <c r="B1153" s="26" t="n"/>
      <c r="C1153" s="27" t="n"/>
      <c r="D1153" s="30" t="n"/>
      <c r="E1153" s="30" t="n"/>
      <c r="F1153" s="28" t="n"/>
      <c r="G1153" s="1" t="n"/>
    </row>
    <row r="1154">
      <c r="A1154" s="1" t="n"/>
      <c r="B1154" s="26" t="n"/>
      <c r="C1154" s="27" t="n"/>
      <c r="D1154" s="30" t="n"/>
      <c r="E1154" s="30" t="n"/>
      <c r="F1154" s="28" t="n"/>
      <c r="G1154" s="1" t="n"/>
    </row>
    <row r="1155">
      <c r="A1155" s="1" t="n"/>
      <c r="B1155" s="26" t="n"/>
      <c r="C1155" s="27" t="n"/>
      <c r="D1155" s="30" t="n"/>
      <c r="E1155" s="30" t="n"/>
      <c r="F1155" s="28" t="n"/>
      <c r="G1155" s="1" t="n"/>
    </row>
    <row r="1156">
      <c r="A1156" s="1" t="n"/>
      <c r="B1156" s="26" t="n"/>
      <c r="C1156" s="27" t="n"/>
      <c r="D1156" s="30" t="n"/>
      <c r="E1156" s="30" t="n"/>
      <c r="F1156" s="28" t="n"/>
      <c r="G1156" s="1" t="n"/>
    </row>
    <row r="1157">
      <c r="A1157" s="1" t="n"/>
      <c r="B1157" s="26" t="n"/>
      <c r="C1157" s="27" t="n"/>
      <c r="D1157" s="30" t="n"/>
      <c r="E1157" s="30" t="n"/>
      <c r="F1157" s="28" t="n"/>
      <c r="G1157" s="1" t="n"/>
    </row>
    <row r="1158">
      <c r="A1158" s="1" t="n"/>
      <c r="B1158" s="26" t="n"/>
      <c r="C1158" s="27" t="n"/>
      <c r="D1158" s="30" t="n"/>
      <c r="E1158" s="30" t="n"/>
      <c r="F1158" s="28" t="n"/>
      <c r="G1158" s="1" t="n"/>
    </row>
    <row r="1159">
      <c r="A1159" s="1" t="n"/>
      <c r="B1159" s="26" t="n"/>
      <c r="C1159" s="27" t="n"/>
      <c r="D1159" s="30" t="n"/>
      <c r="E1159" s="30" t="n"/>
      <c r="F1159" s="28" t="n"/>
      <c r="G1159" s="1" t="n"/>
    </row>
    <row r="1160">
      <c r="A1160" s="1" t="n"/>
      <c r="B1160" s="26" t="n"/>
      <c r="C1160" s="27" t="n"/>
      <c r="D1160" s="30" t="n"/>
      <c r="E1160" s="30" t="n"/>
      <c r="F1160" s="28" t="n"/>
      <c r="G1160" s="1" t="n"/>
    </row>
    <row r="1161">
      <c r="A1161" s="1" t="n"/>
      <c r="B1161" s="26" t="n"/>
      <c r="C1161" s="27" t="n"/>
      <c r="D1161" s="30" t="n"/>
      <c r="E1161" s="30" t="n"/>
      <c r="F1161" s="28" t="n"/>
      <c r="G1161" s="1" t="n"/>
    </row>
    <row r="1162">
      <c r="A1162" s="1" t="n"/>
      <c r="B1162" s="26" t="n"/>
      <c r="C1162" s="27" t="n"/>
      <c r="D1162" s="30" t="n"/>
      <c r="E1162" s="30" t="n"/>
      <c r="F1162" s="28" t="n"/>
      <c r="G1162" s="1" t="n"/>
    </row>
    <row r="1163">
      <c r="A1163" s="1" t="n"/>
      <c r="B1163" s="26" t="n"/>
      <c r="C1163" s="27" t="n"/>
      <c r="D1163" s="30" t="n"/>
      <c r="E1163" s="30" t="n"/>
      <c r="F1163" s="28" t="n"/>
      <c r="G1163" s="1" t="n"/>
    </row>
    <row r="1164">
      <c r="A1164" s="1" t="n"/>
      <c r="B1164" s="26" t="n"/>
      <c r="C1164" s="27" t="n"/>
      <c r="D1164" s="30" t="n"/>
      <c r="E1164" s="30" t="n"/>
      <c r="F1164" s="28" t="n"/>
      <c r="G1164" s="1" t="n"/>
    </row>
    <row r="1165">
      <c r="A1165" s="1" t="n"/>
      <c r="B1165" s="26" t="n"/>
      <c r="C1165" s="27" t="n"/>
      <c r="D1165" s="30" t="n"/>
      <c r="E1165" s="30" t="n"/>
      <c r="F1165" s="28" t="n"/>
      <c r="G1165" s="1" t="n"/>
    </row>
    <row r="1166">
      <c r="A1166" s="1" t="n"/>
      <c r="B1166" s="26" t="n"/>
      <c r="C1166" s="27" t="n"/>
      <c r="D1166" s="30" t="n"/>
      <c r="E1166" s="30" t="n"/>
      <c r="F1166" s="28" t="n"/>
      <c r="G1166" s="1" t="n"/>
    </row>
    <row r="1167">
      <c r="A1167" s="1" t="n"/>
      <c r="B1167" s="26" t="n"/>
      <c r="C1167" s="27" t="n"/>
      <c r="D1167" s="30" t="n"/>
      <c r="E1167" s="30" t="n"/>
      <c r="F1167" s="28" t="n"/>
      <c r="G1167" s="1" t="n"/>
    </row>
    <row r="1168">
      <c r="A1168" s="1" t="n"/>
      <c r="B1168" s="26" t="n"/>
      <c r="C1168" s="27" t="n"/>
      <c r="D1168" s="30" t="n"/>
      <c r="E1168" s="30" t="n"/>
      <c r="F1168" s="28" t="n"/>
      <c r="G1168" s="1" t="n"/>
    </row>
    <row r="1169">
      <c r="A1169" s="1" t="n"/>
      <c r="B1169" s="26" t="n"/>
      <c r="C1169" s="27" t="n"/>
      <c r="D1169" s="30" t="n"/>
      <c r="E1169" s="30" t="n"/>
      <c r="F1169" s="28" t="n"/>
      <c r="G1169" s="1" t="n"/>
    </row>
    <row r="1170">
      <c r="A1170" s="1" t="n"/>
      <c r="B1170" s="26" t="n"/>
      <c r="C1170" s="27" t="n"/>
      <c r="D1170" s="30" t="n"/>
      <c r="E1170" s="30" t="n"/>
      <c r="F1170" s="28" t="n"/>
      <c r="G1170" s="1" t="n"/>
    </row>
    <row r="1171">
      <c r="A1171" s="1" t="n"/>
      <c r="B1171" s="26" t="n"/>
      <c r="C1171" s="27" t="n"/>
      <c r="D1171" s="30" t="n"/>
      <c r="E1171" s="30" t="n"/>
      <c r="F1171" s="28" t="n"/>
      <c r="G1171" s="1" t="n"/>
    </row>
    <row r="1172">
      <c r="A1172" s="1" t="n"/>
      <c r="B1172" s="26" t="n"/>
      <c r="C1172" s="27" t="n"/>
      <c r="D1172" s="30" t="n"/>
      <c r="E1172" s="30" t="n"/>
      <c r="F1172" s="28" t="n"/>
      <c r="G1172" s="1" t="n"/>
    </row>
    <row r="1173">
      <c r="A1173" s="1" t="n"/>
      <c r="B1173" s="26" t="n"/>
      <c r="C1173" s="27" t="n"/>
      <c r="D1173" s="30" t="n"/>
      <c r="E1173" s="30" t="n"/>
      <c r="F1173" s="28" t="n"/>
      <c r="G1173" s="1" t="n"/>
    </row>
    <row r="1174">
      <c r="A1174" s="1" t="n"/>
      <c r="B1174" s="26" t="n"/>
      <c r="C1174" s="27" t="n"/>
      <c r="D1174" s="30" t="n"/>
      <c r="E1174" s="30" t="n"/>
      <c r="F1174" s="28" t="n"/>
      <c r="G1174" s="1" t="n"/>
    </row>
    <row r="1175">
      <c r="A1175" s="1" t="n"/>
      <c r="B1175" s="26" t="n"/>
      <c r="C1175" s="27" t="n"/>
      <c r="D1175" s="30" t="n"/>
      <c r="E1175" s="30" t="n"/>
      <c r="F1175" s="28" t="n"/>
      <c r="G1175" s="1" t="n"/>
    </row>
    <row r="1176">
      <c r="A1176" s="1" t="n"/>
      <c r="B1176" s="26" t="n"/>
      <c r="C1176" s="27" t="n"/>
      <c r="D1176" s="30" t="n"/>
      <c r="E1176" s="30" t="n"/>
      <c r="F1176" s="28" t="n"/>
      <c r="G1176" s="1" t="n"/>
    </row>
    <row r="1177">
      <c r="A1177" s="1" t="n"/>
      <c r="B1177" s="26" t="n"/>
      <c r="C1177" s="27" t="n"/>
      <c r="D1177" s="30" t="n"/>
      <c r="E1177" s="30" t="n"/>
      <c r="F1177" s="28" t="n"/>
      <c r="G1177" s="1" t="n"/>
    </row>
    <row r="1178">
      <c r="A1178" s="1" t="n"/>
      <c r="B1178" s="26" t="n"/>
      <c r="C1178" s="27" t="n"/>
      <c r="D1178" s="30" t="n"/>
      <c r="E1178" s="30" t="n"/>
      <c r="F1178" s="28" t="n"/>
      <c r="G1178" s="1" t="n"/>
    </row>
    <row r="1179">
      <c r="A1179" s="1" t="n"/>
      <c r="B1179" s="26" t="n"/>
      <c r="C1179" s="27" t="n"/>
      <c r="D1179" s="30" t="n"/>
      <c r="E1179" s="30" t="n"/>
      <c r="F1179" s="28" t="n"/>
      <c r="G1179" s="1" t="n"/>
    </row>
    <row r="1180">
      <c r="A1180" s="1" t="n"/>
      <c r="B1180" s="26" t="n"/>
      <c r="C1180" s="27" t="n"/>
      <c r="D1180" s="30" t="n"/>
      <c r="E1180" s="30" t="n"/>
      <c r="F1180" s="28" t="n"/>
      <c r="G1180" s="1" t="n"/>
    </row>
    <row r="1181">
      <c r="A1181" s="1" t="n"/>
      <c r="B1181" s="26" t="n"/>
      <c r="C1181" s="27" t="n"/>
      <c r="D1181" s="30" t="n"/>
      <c r="E1181" s="30" t="n"/>
      <c r="F1181" s="28" t="n"/>
      <c r="G1181" s="1" t="n"/>
    </row>
    <row r="1182">
      <c r="A1182" s="1" t="n"/>
      <c r="B1182" s="26" t="n"/>
      <c r="C1182" s="27" t="n"/>
      <c r="D1182" s="30" t="n"/>
      <c r="E1182" s="30" t="n"/>
      <c r="F1182" s="28" t="n"/>
      <c r="G1182" s="1" t="n"/>
    </row>
    <row r="1183">
      <c r="A1183" s="1" t="n"/>
      <c r="B1183" s="26" t="n"/>
      <c r="C1183" s="27" t="n"/>
      <c r="D1183" s="30" t="n"/>
      <c r="E1183" s="30" t="n"/>
      <c r="F1183" s="28" t="n"/>
      <c r="G1183" s="1" t="n"/>
    </row>
    <row r="1184">
      <c r="A1184" s="1" t="n"/>
      <c r="B1184" s="26" t="n"/>
      <c r="C1184" s="27" t="n"/>
      <c r="D1184" s="30" t="n"/>
      <c r="E1184" s="30" t="n"/>
      <c r="F1184" s="28" t="n"/>
      <c r="G1184" s="1" t="n"/>
    </row>
    <row r="1185">
      <c r="A1185" s="1" t="n"/>
      <c r="B1185" s="26" t="n"/>
      <c r="C1185" s="27" t="n"/>
      <c r="D1185" s="30" t="n"/>
      <c r="E1185" s="30" t="n"/>
      <c r="F1185" s="28" t="n"/>
      <c r="G1185" s="1" t="n"/>
    </row>
    <row r="1186">
      <c r="A1186" s="1" t="n"/>
      <c r="B1186" s="26" t="n"/>
      <c r="C1186" s="27" t="n"/>
      <c r="D1186" s="30" t="n"/>
      <c r="E1186" s="30" t="n"/>
      <c r="F1186" s="28" t="n"/>
      <c r="G1186" s="1" t="n"/>
    </row>
    <row r="1187">
      <c r="A1187" s="1" t="n"/>
      <c r="B1187" s="26" t="n"/>
      <c r="C1187" s="27" t="n"/>
      <c r="D1187" s="30" t="n"/>
      <c r="E1187" s="30" t="n"/>
      <c r="F1187" s="28" t="n"/>
      <c r="G1187" s="1" t="n"/>
    </row>
    <row r="1188">
      <c r="A1188" s="1" t="n"/>
      <c r="B1188" s="26" t="n"/>
      <c r="C1188" s="27" t="n"/>
      <c r="D1188" s="30" t="n"/>
      <c r="E1188" s="30" t="n"/>
      <c r="F1188" s="28" t="n"/>
      <c r="G1188" s="1" t="n"/>
    </row>
    <row r="1189">
      <c r="A1189" s="1" t="n"/>
      <c r="B1189" s="26" t="n"/>
      <c r="C1189" s="27" t="n"/>
      <c r="D1189" s="30" t="n"/>
      <c r="E1189" s="30" t="n"/>
      <c r="F1189" s="28" t="n"/>
      <c r="G1189" s="1" t="n"/>
    </row>
    <row r="1190">
      <c r="A1190" s="1" t="n"/>
      <c r="B1190" s="26" t="n"/>
      <c r="C1190" s="27" t="n"/>
      <c r="D1190" s="30" t="n"/>
      <c r="E1190" s="30" t="n"/>
      <c r="F1190" s="28" t="n"/>
      <c r="G1190" s="1" t="n"/>
    </row>
    <row r="1191">
      <c r="A1191" s="1" t="n"/>
      <c r="B1191" s="26" t="n"/>
      <c r="C1191" s="27" t="n"/>
      <c r="D1191" s="30" t="n"/>
      <c r="E1191" s="30" t="n"/>
      <c r="F1191" s="28" t="n"/>
      <c r="G1191" s="1" t="n"/>
    </row>
    <row r="1192">
      <c r="A1192" s="1" t="n"/>
      <c r="B1192" s="26" t="n"/>
      <c r="C1192" s="27" t="n"/>
      <c r="D1192" s="30" t="n"/>
      <c r="E1192" s="30" t="n"/>
      <c r="F1192" s="28" t="n"/>
      <c r="G1192" s="1" t="n"/>
    </row>
    <row r="1193">
      <c r="A1193" s="1" t="n"/>
      <c r="B1193" s="26" t="n"/>
      <c r="C1193" s="27" t="n"/>
      <c r="D1193" s="30" t="n"/>
      <c r="E1193" s="30" t="n"/>
      <c r="F1193" s="28" t="n"/>
      <c r="G1193" s="1" t="n"/>
    </row>
    <row r="1194">
      <c r="A1194" s="1" t="n"/>
      <c r="B1194" s="26" t="n"/>
      <c r="C1194" s="27" t="n"/>
      <c r="D1194" s="30" t="n"/>
      <c r="E1194" s="30" t="n"/>
      <c r="F1194" s="28" t="n"/>
      <c r="G1194" s="1" t="n"/>
    </row>
    <row r="1195">
      <c r="A1195" s="1" t="n"/>
      <c r="B1195" s="26" t="n"/>
      <c r="C1195" s="27" t="n"/>
      <c r="D1195" s="30" t="n"/>
      <c r="E1195" s="30" t="n"/>
      <c r="F1195" s="28" t="n"/>
      <c r="G1195" s="1" t="n"/>
    </row>
    <row r="1196">
      <c r="A1196" s="1" t="n"/>
      <c r="B1196" s="26" t="n"/>
      <c r="C1196" s="27" t="n"/>
      <c r="D1196" s="30" t="n"/>
      <c r="E1196" s="30" t="n"/>
      <c r="F1196" s="28" t="n"/>
      <c r="G1196" s="1" t="n"/>
    </row>
    <row r="1197">
      <c r="A1197" s="1" t="n"/>
      <c r="B1197" s="26" t="n"/>
      <c r="C1197" s="27" t="n"/>
      <c r="D1197" s="30" t="n"/>
      <c r="E1197" s="30" t="n"/>
      <c r="F1197" s="28" t="n"/>
      <c r="G1197" s="1" t="n"/>
    </row>
    <row r="1198">
      <c r="A1198" s="1" t="n"/>
      <c r="B1198" s="26" t="n"/>
      <c r="C1198" s="27" t="n"/>
      <c r="D1198" s="30" t="n"/>
      <c r="E1198" s="30" t="n"/>
      <c r="F1198" s="28" t="n"/>
      <c r="G1198" s="1" t="n"/>
    </row>
    <row r="1199">
      <c r="A1199" s="1" t="n"/>
      <c r="B1199" s="26" t="n"/>
      <c r="C1199" s="27" t="n"/>
      <c r="D1199" s="30" t="n"/>
      <c r="E1199" s="30" t="n"/>
      <c r="F1199" s="28" t="n"/>
      <c r="G1199" s="1" t="n"/>
    </row>
    <row r="1200">
      <c r="A1200" s="1" t="n"/>
      <c r="B1200" s="26" t="n"/>
      <c r="C1200" s="27" t="n"/>
      <c r="D1200" s="30" t="n"/>
      <c r="E1200" s="30" t="n"/>
      <c r="F1200" s="28" t="n"/>
      <c r="G1200" s="1" t="n"/>
    </row>
    <row r="1201">
      <c r="A1201" s="1" t="n"/>
      <c r="B1201" s="26" t="n"/>
      <c r="C1201" s="27" t="n"/>
      <c r="D1201" s="30" t="n"/>
      <c r="E1201" s="30" t="n"/>
      <c r="F1201" s="28" t="n"/>
      <c r="G1201" s="1" t="n"/>
    </row>
    <row r="1202">
      <c r="A1202" s="1" t="n"/>
      <c r="B1202" s="26" t="n"/>
      <c r="C1202" s="27" t="n"/>
      <c r="D1202" s="30" t="n"/>
      <c r="E1202" s="30" t="n"/>
      <c r="F1202" s="28" t="n"/>
      <c r="G1202" s="1" t="n"/>
    </row>
    <row r="1203">
      <c r="A1203" s="1" t="n"/>
      <c r="B1203" s="26" t="n"/>
      <c r="C1203" s="27" t="n"/>
      <c r="D1203" s="30" t="n"/>
      <c r="E1203" s="30" t="n"/>
      <c r="F1203" s="28" t="n"/>
      <c r="G1203" s="1" t="n"/>
    </row>
    <row r="1204">
      <c r="A1204" s="1" t="n"/>
      <c r="B1204" s="26" t="n"/>
      <c r="C1204" s="27" t="n"/>
      <c r="D1204" s="30" t="n"/>
      <c r="E1204" s="30" t="n"/>
      <c r="F1204" s="28" t="n"/>
      <c r="G1204" s="1" t="n"/>
    </row>
    <row r="1205">
      <c r="A1205" s="1" t="n"/>
      <c r="B1205" s="26" t="n"/>
      <c r="C1205" s="27" t="n"/>
      <c r="D1205" s="30" t="n"/>
      <c r="E1205" s="30" t="n"/>
      <c r="F1205" s="28" t="n"/>
      <c r="G1205" s="1" t="n"/>
    </row>
    <row r="1206">
      <c r="A1206" s="1" t="n"/>
      <c r="B1206" s="26" t="n"/>
      <c r="C1206" s="27" t="n"/>
      <c r="D1206" s="30" t="n"/>
      <c r="E1206" s="30" t="n"/>
      <c r="F1206" s="28" t="n"/>
      <c r="G1206" s="1" t="n"/>
    </row>
    <row r="1207">
      <c r="A1207" s="1" t="n"/>
      <c r="B1207" s="26" t="n"/>
      <c r="C1207" s="27" t="n"/>
      <c r="D1207" s="30" t="n"/>
      <c r="E1207" s="30" t="n"/>
      <c r="F1207" s="28" t="n"/>
      <c r="G1207" s="1" t="n"/>
    </row>
    <row r="1208">
      <c r="A1208" s="1" t="n"/>
      <c r="B1208" s="26" t="n"/>
      <c r="C1208" s="27" t="n"/>
      <c r="D1208" s="30" t="n"/>
      <c r="E1208" s="30" t="n"/>
      <c r="F1208" s="28" t="n"/>
      <c r="G1208" s="1" t="n"/>
    </row>
    <row r="1209">
      <c r="A1209" s="1" t="n"/>
      <c r="B1209" s="26" t="n"/>
      <c r="C1209" s="27" t="n"/>
      <c r="D1209" s="30" t="n"/>
      <c r="E1209" s="30" t="n"/>
      <c r="F1209" s="28" t="n"/>
      <c r="G1209" s="1" t="n"/>
    </row>
    <row r="1210">
      <c r="A1210" s="1" t="n"/>
      <c r="B1210" s="26" t="n"/>
      <c r="C1210" s="27" t="n"/>
      <c r="D1210" s="30" t="n"/>
      <c r="E1210" s="30" t="n"/>
      <c r="F1210" s="28" t="n"/>
      <c r="G1210" s="1" t="n"/>
    </row>
    <row r="1211">
      <c r="A1211" s="1" t="n"/>
      <c r="B1211" s="26" t="n"/>
      <c r="C1211" s="27" t="n"/>
      <c r="D1211" s="30" t="n"/>
      <c r="E1211" s="30" t="n"/>
      <c r="F1211" s="28" t="n"/>
      <c r="G1211" s="1" t="n"/>
    </row>
    <row r="1212">
      <c r="A1212" s="1" t="n"/>
      <c r="B1212" s="26" t="n"/>
      <c r="C1212" s="27" t="n"/>
      <c r="D1212" s="30" t="n"/>
      <c r="E1212" s="30" t="n"/>
      <c r="F1212" s="28" t="n"/>
      <c r="G1212" s="1" t="n"/>
    </row>
    <row r="1213">
      <c r="A1213" s="1" t="n"/>
      <c r="B1213" s="26" t="n"/>
      <c r="C1213" s="27" t="n"/>
      <c r="D1213" s="30" t="n"/>
      <c r="E1213" s="30" t="n"/>
      <c r="F1213" s="28" t="n"/>
      <c r="G1213" s="1" t="n"/>
    </row>
    <row r="1214">
      <c r="A1214" s="1" t="n"/>
      <c r="B1214" s="26" t="n"/>
      <c r="C1214" s="27" t="n"/>
      <c r="D1214" s="30" t="n"/>
      <c r="E1214" s="30" t="n"/>
      <c r="F1214" s="28" t="n"/>
      <c r="G1214" s="1" t="n"/>
    </row>
    <row r="1215">
      <c r="A1215" s="1" t="n"/>
      <c r="B1215" s="26" t="n"/>
      <c r="C1215" s="27" t="n"/>
      <c r="D1215" s="30" t="n"/>
      <c r="E1215" s="30" t="n"/>
      <c r="F1215" s="28" t="n"/>
      <c r="G1215" s="1" t="n"/>
    </row>
    <row r="1216">
      <c r="A1216" s="1" t="n"/>
      <c r="B1216" s="26" t="n"/>
      <c r="C1216" s="27" t="n"/>
      <c r="D1216" s="30" t="n"/>
      <c r="E1216" s="30" t="n"/>
      <c r="F1216" s="28" t="n"/>
      <c r="G1216" s="1" t="n"/>
    </row>
    <row r="1217">
      <c r="A1217" s="1" t="n"/>
      <c r="B1217" s="26" t="n"/>
      <c r="C1217" s="27" t="n"/>
      <c r="D1217" s="30" t="n"/>
      <c r="E1217" s="30" t="n"/>
      <c r="F1217" s="28" t="n"/>
      <c r="G1217" s="1" t="n"/>
    </row>
    <row r="1218">
      <c r="A1218" s="1" t="n"/>
      <c r="B1218" s="26" t="n"/>
      <c r="C1218" s="27" t="n"/>
      <c r="D1218" s="30" t="n"/>
      <c r="E1218" s="30" t="n"/>
      <c r="F1218" s="28" t="n"/>
      <c r="G1218" s="1" t="n"/>
    </row>
    <row r="1219">
      <c r="A1219" s="1" t="n"/>
      <c r="B1219" s="26" t="n"/>
      <c r="C1219" s="27" t="n"/>
      <c r="D1219" s="30" t="n"/>
      <c r="E1219" s="30" t="n"/>
      <c r="F1219" s="28" t="n"/>
      <c r="G1219" s="1" t="n"/>
    </row>
    <row r="1220">
      <c r="A1220" s="1" t="n"/>
      <c r="B1220" s="26" t="n"/>
      <c r="C1220" s="27" t="n"/>
      <c r="D1220" s="30" t="n"/>
      <c r="E1220" s="30" t="n"/>
      <c r="F1220" s="28" t="n"/>
      <c r="G1220" s="1" t="n"/>
    </row>
    <row r="1221">
      <c r="A1221" s="1" t="n"/>
      <c r="B1221" s="26" t="n"/>
      <c r="C1221" s="27" t="n"/>
      <c r="D1221" s="30" t="n"/>
      <c r="E1221" s="30" t="n"/>
      <c r="F1221" s="28" t="n"/>
      <c r="G1221" s="1" t="n"/>
    </row>
    <row r="1222">
      <c r="A1222" s="1" t="n"/>
      <c r="B1222" s="26" t="n"/>
      <c r="C1222" s="27" t="n"/>
      <c r="D1222" s="30" t="n"/>
      <c r="E1222" s="30" t="n"/>
      <c r="F1222" s="28" t="n"/>
      <c r="G1222" s="1" t="n"/>
    </row>
    <row r="1223">
      <c r="A1223" s="1" t="n"/>
      <c r="B1223" s="26" t="n"/>
      <c r="C1223" s="27" t="n"/>
      <c r="D1223" s="30" t="n"/>
      <c r="E1223" s="30" t="n"/>
      <c r="F1223" s="28" t="n"/>
      <c r="G1223" s="1" t="n"/>
    </row>
    <row r="1224">
      <c r="A1224" s="1" t="n"/>
      <c r="B1224" s="26" t="n"/>
      <c r="C1224" s="27" t="n"/>
      <c r="D1224" s="30" t="n"/>
      <c r="E1224" s="30" t="n"/>
      <c r="F1224" s="28" t="n"/>
      <c r="G1224" s="1" t="n"/>
    </row>
    <row r="1225">
      <c r="A1225" s="1" t="n"/>
      <c r="B1225" s="26" t="n"/>
      <c r="C1225" s="27" t="n"/>
      <c r="D1225" s="30" t="n"/>
      <c r="E1225" s="30" t="n"/>
      <c r="F1225" s="28" t="n"/>
      <c r="G1225" s="1" t="n"/>
    </row>
    <row r="1226">
      <c r="A1226" s="1" t="n"/>
      <c r="B1226" s="26" t="n"/>
      <c r="C1226" s="27" t="n"/>
      <c r="D1226" s="30" t="n"/>
      <c r="E1226" s="30" t="n"/>
      <c r="F1226" s="28" t="n"/>
      <c r="G1226" s="1" t="n"/>
    </row>
    <row r="1227">
      <c r="A1227" s="1" t="n"/>
      <c r="B1227" s="26" t="n"/>
      <c r="C1227" s="27" t="n"/>
      <c r="D1227" s="30" t="n"/>
      <c r="E1227" s="30" t="n"/>
      <c r="F1227" s="28" t="n"/>
      <c r="G1227" s="1" t="n"/>
    </row>
    <row r="1228">
      <c r="A1228" s="1" t="n"/>
      <c r="B1228" s="26" t="n"/>
      <c r="C1228" s="27" t="n"/>
      <c r="D1228" s="30" t="n"/>
      <c r="E1228" s="30" t="n"/>
      <c r="F1228" s="28" t="n"/>
      <c r="G1228" s="1" t="n"/>
    </row>
    <row r="1229">
      <c r="A1229" s="1" t="n"/>
      <c r="B1229" s="26" t="n"/>
      <c r="C1229" s="27" t="n"/>
      <c r="D1229" s="30" t="n"/>
      <c r="E1229" s="30" t="n"/>
      <c r="F1229" s="28" t="n"/>
      <c r="G1229" s="1" t="n"/>
    </row>
    <row r="1230">
      <c r="A1230" s="1" t="n"/>
      <c r="B1230" s="26" t="n"/>
      <c r="C1230" s="27" t="n"/>
      <c r="D1230" s="30" t="n"/>
      <c r="E1230" s="30" t="n"/>
      <c r="F1230" s="28" t="n"/>
      <c r="G1230" s="1" t="n"/>
    </row>
    <row r="1231">
      <c r="A1231" s="1" t="n"/>
      <c r="B1231" s="26" t="n"/>
      <c r="C1231" s="27" t="n"/>
      <c r="D1231" s="30" t="n"/>
      <c r="E1231" s="30" t="n"/>
      <c r="F1231" s="28" t="n"/>
      <c r="G1231" s="1" t="n"/>
    </row>
    <row r="1232">
      <c r="A1232" s="1" t="n"/>
      <c r="B1232" s="26" t="n"/>
      <c r="C1232" s="27" t="n"/>
      <c r="D1232" s="30" t="n"/>
      <c r="E1232" s="30" t="n"/>
      <c r="F1232" s="28" t="n"/>
      <c r="G1232" s="1" t="n"/>
    </row>
    <row r="1233">
      <c r="A1233" s="1" t="n"/>
      <c r="B1233" s="26" t="n"/>
      <c r="C1233" s="27" t="n"/>
      <c r="D1233" s="30" t="n"/>
      <c r="E1233" s="30" t="n"/>
      <c r="F1233" s="28" t="n"/>
      <c r="G1233" s="1" t="n"/>
    </row>
    <row r="1234">
      <c r="A1234" s="1" t="n"/>
      <c r="B1234" s="26" t="n"/>
      <c r="C1234" s="27" t="n"/>
      <c r="D1234" s="30" t="n"/>
      <c r="E1234" s="30" t="n"/>
      <c r="F1234" s="28" t="n"/>
      <c r="G1234" s="1" t="n"/>
    </row>
    <row r="1235">
      <c r="A1235" s="1" t="n"/>
      <c r="B1235" s="26" t="n"/>
      <c r="C1235" s="27" t="n"/>
      <c r="D1235" s="30" t="n"/>
      <c r="E1235" s="30" t="n"/>
      <c r="F1235" s="28" t="n"/>
      <c r="G1235" s="1" t="n"/>
    </row>
    <row r="1236">
      <c r="A1236" s="1" t="n"/>
      <c r="B1236" s="26" t="n"/>
      <c r="C1236" s="27" t="n"/>
      <c r="D1236" s="30" t="n"/>
      <c r="E1236" s="30" t="n"/>
      <c r="F1236" s="28" t="n"/>
      <c r="G1236" s="1" t="n"/>
    </row>
    <row r="1237">
      <c r="A1237" s="1" t="n"/>
      <c r="B1237" s="26" t="n"/>
      <c r="C1237" s="27" t="n"/>
      <c r="D1237" s="30" t="n"/>
      <c r="E1237" s="30" t="n"/>
      <c r="F1237" s="28" t="n"/>
      <c r="G1237" s="1" t="n"/>
    </row>
    <row r="1238">
      <c r="A1238" s="1" t="n"/>
      <c r="B1238" s="26" t="n"/>
      <c r="C1238" s="27" t="n"/>
      <c r="D1238" s="30" t="n"/>
      <c r="E1238" s="30" t="n"/>
      <c r="F1238" s="28" t="n"/>
      <c r="G1238" s="1" t="n"/>
    </row>
    <row r="1239">
      <c r="A1239" s="1" t="n"/>
      <c r="B1239" s="26" t="n"/>
      <c r="C1239" s="27" t="n"/>
      <c r="D1239" s="30" t="n"/>
      <c r="E1239" s="30" t="n"/>
      <c r="F1239" s="28" t="n"/>
      <c r="G1239" s="1" t="n"/>
    </row>
    <row r="1240">
      <c r="A1240" s="1" t="n"/>
      <c r="B1240" s="26" t="n"/>
      <c r="C1240" s="27" t="n"/>
      <c r="D1240" s="30" t="n"/>
      <c r="E1240" s="30" t="n"/>
      <c r="F1240" s="28" t="n"/>
      <c r="G1240" s="1" t="n"/>
    </row>
    <row r="1241">
      <c r="A1241" s="1" t="n"/>
      <c r="B1241" s="26" t="n"/>
      <c r="C1241" s="27" t="n"/>
      <c r="D1241" s="30" t="n"/>
      <c r="E1241" s="30" t="n"/>
      <c r="F1241" s="28" t="n"/>
      <c r="G1241" s="1" t="n"/>
    </row>
    <row r="1242">
      <c r="A1242" s="1" t="n"/>
      <c r="B1242" s="26" t="n"/>
      <c r="C1242" s="27" t="n"/>
      <c r="D1242" s="30" t="n"/>
      <c r="E1242" s="30" t="n"/>
      <c r="F1242" s="28" t="n"/>
      <c r="G1242" s="1" t="n"/>
    </row>
    <row r="1243">
      <c r="A1243" s="1" t="n"/>
      <c r="B1243" s="26" t="n"/>
      <c r="C1243" s="27" t="n"/>
      <c r="D1243" s="30" t="n"/>
      <c r="E1243" s="30" t="n"/>
      <c r="F1243" s="28" t="n"/>
      <c r="G1243" s="1" t="n"/>
    </row>
    <row r="1244">
      <c r="A1244" s="1" t="n"/>
      <c r="B1244" s="26" t="n"/>
      <c r="C1244" s="27" t="n"/>
      <c r="D1244" s="30" t="n"/>
      <c r="E1244" s="30" t="n"/>
      <c r="F1244" s="28" t="n"/>
      <c r="G1244" s="1" t="n"/>
    </row>
    <row r="1245">
      <c r="A1245" s="1" t="n"/>
      <c r="B1245" s="26" t="n"/>
      <c r="C1245" s="27" t="n"/>
      <c r="D1245" s="30" t="n"/>
      <c r="E1245" s="30" t="n"/>
      <c r="F1245" s="28" t="n"/>
      <c r="G1245" s="1" t="n"/>
    </row>
    <row r="1246">
      <c r="A1246" s="1" t="n"/>
      <c r="B1246" s="26" t="n"/>
      <c r="C1246" s="27" t="n"/>
      <c r="D1246" s="30" t="n"/>
      <c r="E1246" s="30" t="n"/>
      <c r="F1246" s="28" t="n"/>
      <c r="G1246" s="1" t="n"/>
    </row>
    <row r="1247">
      <c r="A1247" s="1" t="n"/>
      <c r="B1247" s="26" t="n"/>
      <c r="C1247" s="27" t="n"/>
      <c r="D1247" s="30" t="n"/>
      <c r="E1247" s="30" t="n"/>
      <c r="F1247" s="28" t="n"/>
      <c r="G1247" s="1" t="n"/>
    </row>
    <row r="1248">
      <c r="A1248" s="1" t="n"/>
      <c r="B1248" s="26" t="n"/>
      <c r="C1248" s="27" t="n"/>
      <c r="D1248" s="30" t="n"/>
      <c r="E1248" s="30" t="n"/>
      <c r="F1248" s="28" t="n"/>
      <c r="G1248" s="1" t="n"/>
    </row>
    <row r="1249">
      <c r="A1249" s="1" t="n"/>
      <c r="B1249" s="26" t="n"/>
      <c r="C1249" s="27" t="n"/>
      <c r="D1249" s="30" t="n"/>
      <c r="E1249" s="30" t="n"/>
      <c r="F1249" s="28" t="n"/>
      <c r="G1249" s="1" t="n"/>
    </row>
    <row r="1250">
      <c r="A1250" s="1" t="n"/>
      <c r="B1250" s="26" t="n"/>
      <c r="C1250" s="27" t="n"/>
      <c r="D1250" s="30" t="n"/>
      <c r="E1250" s="30" t="n"/>
      <c r="F1250" s="28" t="n"/>
      <c r="G1250" s="1" t="n"/>
    </row>
    <row r="1251">
      <c r="A1251" s="1" t="n"/>
      <c r="B1251" s="26" t="n"/>
      <c r="C1251" s="27" t="n"/>
      <c r="D1251" s="30" t="n"/>
      <c r="E1251" s="30" t="n"/>
      <c r="F1251" s="28" t="n"/>
      <c r="G1251" s="1" t="n"/>
    </row>
    <row r="1252">
      <c r="A1252" s="1" t="n"/>
      <c r="B1252" s="26" t="n"/>
      <c r="C1252" s="27" t="n"/>
      <c r="D1252" s="30" t="n"/>
      <c r="E1252" s="30" t="n"/>
      <c r="F1252" s="28" t="n"/>
      <c r="G1252" s="1" t="n"/>
    </row>
    <row r="1253">
      <c r="A1253" s="1" t="n"/>
      <c r="B1253" s="26" t="n"/>
      <c r="C1253" s="27" t="n"/>
      <c r="D1253" s="30" t="n"/>
      <c r="E1253" s="30" t="n"/>
      <c r="F1253" s="28" t="n"/>
      <c r="G1253" s="1" t="n"/>
    </row>
    <row r="1254">
      <c r="A1254" s="1" t="n"/>
      <c r="B1254" s="26" t="n"/>
      <c r="C1254" s="27" t="n"/>
      <c r="D1254" s="30" t="n"/>
      <c r="E1254" s="30" t="n"/>
      <c r="F1254" s="28" t="n"/>
      <c r="G1254" s="1" t="n"/>
    </row>
    <row r="1255">
      <c r="A1255" s="1" t="n"/>
      <c r="B1255" s="26" t="n"/>
      <c r="C1255" s="27" t="n"/>
      <c r="D1255" s="30" t="n"/>
      <c r="E1255" s="30" t="n"/>
      <c r="F1255" s="28" t="n"/>
      <c r="G1255" s="1" t="n"/>
    </row>
    <row r="1256">
      <c r="A1256" s="1" t="n"/>
      <c r="B1256" s="26" t="n"/>
      <c r="C1256" s="27" t="n"/>
      <c r="D1256" s="30" t="n"/>
      <c r="E1256" s="30" t="n"/>
      <c r="F1256" s="28" t="n"/>
      <c r="G1256" s="1" t="n"/>
    </row>
    <row r="1257">
      <c r="A1257" s="1" t="n"/>
      <c r="B1257" s="26" t="n"/>
      <c r="C1257" s="27" t="n"/>
      <c r="D1257" s="30" t="n"/>
      <c r="E1257" s="30" t="n"/>
      <c r="F1257" s="28" t="n"/>
      <c r="G1257" s="1" t="n"/>
    </row>
    <row r="1258">
      <c r="A1258" s="1" t="n"/>
      <c r="B1258" s="26" t="n"/>
      <c r="C1258" s="27" t="n"/>
      <c r="D1258" s="30" t="n"/>
      <c r="E1258" s="30" t="n"/>
      <c r="F1258" s="28" t="n"/>
      <c r="G1258" s="1" t="n"/>
    </row>
    <row r="1259">
      <c r="A1259" s="1" t="n"/>
      <c r="B1259" s="26" t="n"/>
      <c r="C1259" s="27" t="n"/>
      <c r="D1259" s="30" t="n"/>
      <c r="E1259" s="30" t="n"/>
      <c r="F1259" s="28" t="n"/>
      <c r="G1259" s="1" t="n"/>
    </row>
    <row r="1260">
      <c r="A1260" s="1" t="n"/>
      <c r="B1260" s="26" t="n"/>
      <c r="C1260" s="27" t="n"/>
      <c r="D1260" s="30" t="n"/>
      <c r="E1260" s="30" t="n"/>
      <c r="F1260" s="28" t="n"/>
      <c r="G1260" s="1" t="n"/>
    </row>
    <row r="1261">
      <c r="A1261" s="1" t="n"/>
      <c r="B1261" s="26" t="n"/>
      <c r="C1261" s="27" t="n"/>
      <c r="D1261" s="30" t="n"/>
      <c r="E1261" s="30" t="n"/>
      <c r="F1261" s="28" t="n"/>
      <c r="G1261" s="1" t="n"/>
    </row>
    <row r="1262">
      <c r="A1262" s="1" t="n"/>
      <c r="B1262" s="26" t="n"/>
      <c r="C1262" s="27" t="n"/>
      <c r="D1262" s="30" t="n"/>
      <c r="E1262" s="30" t="n"/>
      <c r="F1262" s="28" t="n"/>
      <c r="G1262" s="1" t="n"/>
    </row>
    <row r="1263">
      <c r="A1263" s="1" t="n"/>
      <c r="B1263" s="26" t="n"/>
      <c r="C1263" s="27" t="n"/>
      <c r="D1263" s="30" t="n"/>
      <c r="E1263" s="30" t="n"/>
      <c r="F1263" s="28" t="n"/>
      <c r="G1263" s="1" t="n"/>
    </row>
    <row r="1264">
      <c r="A1264" s="1" t="n"/>
      <c r="B1264" s="26" t="n"/>
      <c r="C1264" s="27" t="n"/>
      <c r="D1264" s="30" t="n"/>
      <c r="E1264" s="30" t="n"/>
      <c r="F1264" s="28" t="n"/>
      <c r="G1264" s="1" t="n"/>
    </row>
    <row r="1265">
      <c r="A1265" s="1" t="n"/>
      <c r="B1265" s="26" t="n"/>
      <c r="C1265" s="27" t="n"/>
      <c r="D1265" s="30" t="n"/>
      <c r="E1265" s="30" t="n"/>
      <c r="F1265" s="28" t="n"/>
      <c r="G1265" s="1" t="n"/>
    </row>
    <row r="1266">
      <c r="A1266" s="1" t="n"/>
      <c r="B1266" s="26" t="n"/>
      <c r="C1266" s="27" t="n"/>
      <c r="D1266" s="30" t="n"/>
      <c r="E1266" s="30" t="n"/>
      <c r="F1266" s="28" t="n"/>
      <c r="G1266" s="1" t="n"/>
    </row>
    <row r="1267">
      <c r="A1267" s="1" t="n"/>
      <c r="B1267" s="26" t="n"/>
      <c r="C1267" s="27" t="n"/>
      <c r="D1267" s="30" t="n"/>
      <c r="E1267" s="30" t="n"/>
      <c r="F1267" s="28" t="n"/>
      <c r="G1267" s="1" t="n"/>
    </row>
    <row r="1268">
      <c r="A1268" s="1" t="n"/>
      <c r="B1268" s="26" t="n"/>
      <c r="C1268" s="27" t="n"/>
      <c r="D1268" s="30" t="n"/>
      <c r="E1268" s="30" t="n"/>
      <c r="F1268" s="28" t="n"/>
      <c r="G1268" s="1" t="n"/>
    </row>
    <row r="1269">
      <c r="A1269" s="1" t="n"/>
      <c r="B1269" s="26" t="n"/>
      <c r="C1269" s="27" t="n"/>
      <c r="D1269" s="30" t="n"/>
      <c r="E1269" s="30" t="n"/>
      <c r="F1269" s="28" t="n"/>
      <c r="G1269" s="1" t="n"/>
    </row>
    <row r="1270">
      <c r="A1270" s="1" t="n"/>
      <c r="B1270" s="26" t="n"/>
      <c r="C1270" s="27" t="n"/>
      <c r="D1270" s="30" t="n"/>
      <c r="E1270" s="30" t="n"/>
      <c r="F1270" s="28" t="n"/>
      <c r="G1270" s="1" t="n"/>
    </row>
    <row r="1271">
      <c r="A1271" s="1" t="n"/>
      <c r="B1271" s="26" t="n"/>
      <c r="C1271" s="27" t="n"/>
      <c r="D1271" s="30" t="n"/>
      <c r="E1271" s="30" t="n"/>
      <c r="F1271" s="28" t="n"/>
      <c r="G1271" s="1" t="n"/>
    </row>
    <row r="1272">
      <c r="A1272" s="1" t="n"/>
      <c r="B1272" s="26" t="n"/>
      <c r="C1272" s="27" t="n"/>
      <c r="D1272" s="30" t="n"/>
      <c r="E1272" s="30" t="n"/>
      <c r="F1272" s="28" t="n"/>
      <c r="G1272" s="1" t="n"/>
    </row>
    <row r="1273">
      <c r="A1273" s="1" t="n"/>
      <c r="B1273" s="26" t="n"/>
      <c r="C1273" s="27" t="n"/>
      <c r="D1273" s="30" t="n"/>
      <c r="E1273" s="30" t="n"/>
      <c r="F1273" s="28" t="n"/>
      <c r="G1273" s="1" t="n"/>
    </row>
    <row r="1274">
      <c r="A1274" s="1" t="n"/>
      <c r="B1274" s="26" t="n"/>
      <c r="C1274" s="27" t="n"/>
      <c r="D1274" s="30" t="n"/>
      <c r="E1274" s="30" t="n"/>
      <c r="F1274" s="28" t="n"/>
      <c r="G1274" s="1" t="n"/>
    </row>
    <row r="1275">
      <c r="A1275" s="1" t="n"/>
      <c r="B1275" s="26" t="n"/>
      <c r="C1275" s="27" t="n"/>
      <c r="D1275" s="30" t="n"/>
      <c r="E1275" s="30" t="n"/>
      <c r="F1275" s="28" t="n"/>
      <c r="G1275" s="1" t="n"/>
    </row>
    <row r="1276">
      <c r="A1276" s="1" t="n"/>
      <c r="B1276" s="26" t="n"/>
      <c r="C1276" s="27" t="n"/>
      <c r="D1276" s="30" t="n"/>
      <c r="E1276" s="30" t="n"/>
      <c r="F1276" s="28" t="n"/>
      <c r="G1276" s="1" t="n"/>
    </row>
    <row r="1277">
      <c r="A1277" s="1" t="n"/>
      <c r="B1277" s="26" t="n"/>
      <c r="C1277" s="27" t="n"/>
      <c r="D1277" s="30" t="n"/>
      <c r="E1277" s="30" t="n"/>
      <c r="F1277" s="28" t="n"/>
      <c r="G1277" s="1" t="n"/>
    </row>
    <row r="1278">
      <c r="A1278" s="1" t="n"/>
      <c r="B1278" s="26" t="n"/>
      <c r="C1278" s="27" t="n"/>
      <c r="D1278" s="30" t="n"/>
      <c r="E1278" s="30" t="n"/>
      <c r="F1278" s="28" t="n"/>
      <c r="G1278" s="1" t="n"/>
    </row>
    <row r="1279">
      <c r="A1279" s="1" t="n"/>
      <c r="B1279" s="26" t="n"/>
      <c r="C1279" s="27" t="n"/>
      <c r="D1279" s="30" t="n"/>
      <c r="E1279" s="30" t="n"/>
      <c r="F1279" s="28" t="n"/>
      <c r="G1279" s="1" t="n"/>
    </row>
    <row r="1280">
      <c r="A1280" s="1" t="n"/>
      <c r="B1280" s="26" t="n"/>
      <c r="C1280" s="27" t="n"/>
      <c r="D1280" s="30" t="n"/>
      <c r="E1280" s="30" t="n"/>
      <c r="F1280" s="28" t="n"/>
      <c r="G1280" s="1" t="n"/>
    </row>
    <row r="1281">
      <c r="A1281" s="1" t="n"/>
      <c r="B1281" s="26" t="n"/>
      <c r="C1281" s="27" t="n"/>
      <c r="D1281" s="30" t="n"/>
      <c r="E1281" s="30" t="n"/>
      <c r="F1281" s="28" t="n"/>
      <c r="G1281" s="1" t="n"/>
    </row>
    <row r="1282">
      <c r="A1282" s="1" t="n"/>
      <c r="B1282" s="26" t="n"/>
      <c r="C1282" s="27" t="n"/>
      <c r="D1282" s="30" t="n"/>
      <c r="E1282" s="30" t="n"/>
      <c r="F1282" s="28" t="n"/>
      <c r="G1282" s="1" t="n"/>
    </row>
    <row r="1283">
      <c r="A1283" s="1" t="n"/>
      <c r="B1283" s="26" t="n"/>
      <c r="C1283" s="27" t="n"/>
      <c r="D1283" s="30" t="n"/>
      <c r="E1283" s="30" t="n"/>
      <c r="F1283" s="28" t="n"/>
      <c r="G1283" s="1" t="n"/>
    </row>
    <row r="1284">
      <c r="A1284" s="1" t="n"/>
      <c r="B1284" s="26" t="n"/>
      <c r="C1284" s="27" t="n"/>
      <c r="D1284" s="30" t="n"/>
      <c r="E1284" s="30" t="n"/>
      <c r="F1284" s="28" t="n"/>
      <c r="G1284" s="1" t="n"/>
    </row>
    <row r="1285">
      <c r="A1285" s="1" t="n"/>
      <c r="B1285" s="26" t="n"/>
      <c r="C1285" s="27" t="n"/>
      <c r="D1285" s="30" t="n"/>
      <c r="E1285" s="30" t="n"/>
      <c r="F1285" s="28" t="n"/>
      <c r="G1285" s="1" t="n"/>
    </row>
    <row r="1286">
      <c r="A1286" s="1" t="n"/>
      <c r="B1286" s="26" t="n"/>
      <c r="C1286" s="27" t="n"/>
      <c r="D1286" s="30" t="n"/>
      <c r="E1286" s="30" t="n"/>
      <c r="F1286" s="28" t="n"/>
      <c r="G1286" s="1" t="n"/>
    </row>
    <row r="1287">
      <c r="A1287" s="1" t="n"/>
      <c r="B1287" s="26" t="n"/>
      <c r="C1287" s="27" t="n"/>
      <c r="D1287" s="30" t="n"/>
      <c r="E1287" s="30" t="n"/>
      <c r="F1287" s="28" t="n"/>
      <c r="G1287" s="1" t="n"/>
    </row>
    <row r="1288">
      <c r="A1288" s="1" t="n"/>
      <c r="B1288" s="26" t="n"/>
      <c r="C1288" s="27" t="n"/>
      <c r="D1288" s="30" t="n"/>
      <c r="E1288" s="30" t="n"/>
      <c r="F1288" s="28" t="n"/>
      <c r="G1288" s="1" t="n"/>
    </row>
    <row r="1289">
      <c r="A1289" s="1" t="n"/>
      <c r="B1289" s="26" t="n"/>
      <c r="C1289" s="27" t="n"/>
      <c r="D1289" s="30" t="n"/>
      <c r="E1289" s="30" t="n"/>
      <c r="F1289" s="28" t="n"/>
      <c r="G1289" s="1" t="n"/>
    </row>
    <row r="1290">
      <c r="A1290" s="1" t="n"/>
      <c r="B1290" s="26" t="n"/>
      <c r="C1290" s="27" t="n"/>
      <c r="D1290" s="30" t="n"/>
      <c r="E1290" s="30" t="n"/>
      <c r="F1290" s="28" t="n"/>
      <c r="G1290" s="1" t="n"/>
    </row>
    <row r="1291">
      <c r="A1291" s="1" t="n"/>
      <c r="B1291" s="26" t="n"/>
      <c r="C1291" s="27" t="n"/>
      <c r="D1291" s="30" t="n"/>
      <c r="E1291" s="30" t="n"/>
      <c r="F1291" s="28" t="n"/>
      <c r="G1291" s="1" t="n"/>
    </row>
    <row r="1292">
      <c r="A1292" s="1" t="n"/>
      <c r="B1292" s="26" t="n"/>
      <c r="C1292" s="27" t="n"/>
      <c r="D1292" s="30" t="n"/>
      <c r="E1292" s="30" t="n"/>
      <c r="F1292" s="28" t="n"/>
      <c r="G1292" s="1" t="n"/>
    </row>
    <row r="1293">
      <c r="A1293" s="1" t="n"/>
      <c r="B1293" s="26" t="n"/>
      <c r="C1293" s="27" t="n"/>
      <c r="D1293" s="30" t="n"/>
      <c r="E1293" s="30" t="n"/>
      <c r="F1293" s="28" t="n"/>
      <c r="G1293" s="1" t="n"/>
    </row>
    <row r="1294">
      <c r="A1294" s="1" t="n"/>
      <c r="B1294" s="26" t="n"/>
      <c r="C1294" s="27" t="n"/>
      <c r="D1294" s="30" t="n"/>
      <c r="E1294" s="30" t="n"/>
      <c r="F1294" s="28" t="n"/>
      <c r="G1294" s="1" t="n"/>
    </row>
    <row r="1295">
      <c r="A1295" s="1" t="n"/>
      <c r="B1295" s="26" t="n"/>
      <c r="C1295" s="27" t="n"/>
      <c r="D1295" s="30" t="n"/>
      <c r="E1295" s="30" t="n"/>
      <c r="F1295" s="28" t="n"/>
      <c r="G1295" s="1" t="n"/>
    </row>
    <row r="1296">
      <c r="A1296" s="1" t="n"/>
      <c r="B1296" s="26" t="n"/>
      <c r="C1296" s="27" t="n"/>
      <c r="D1296" s="30" t="n"/>
      <c r="E1296" s="30" t="n"/>
      <c r="F1296" s="28" t="n"/>
      <c r="G1296" s="1" t="n"/>
    </row>
    <row r="1297">
      <c r="A1297" s="1" t="n"/>
      <c r="B1297" s="26" t="n"/>
      <c r="C1297" s="27" t="n"/>
      <c r="D1297" s="30" t="n"/>
      <c r="E1297" s="30" t="n"/>
      <c r="F1297" s="28" t="n"/>
      <c r="G1297" s="1" t="n"/>
    </row>
    <row r="1298">
      <c r="A1298" s="1" t="n"/>
      <c r="B1298" s="26" t="n"/>
      <c r="C1298" s="27" t="n"/>
      <c r="D1298" s="30" t="n"/>
      <c r="E1298" s="30" t="n"/>
      <c r="F1298" s="28" t="n"/>
      <c r="G1298" s="1" t="n"/>
    </row>
    <row r="1299">
      <c r="A1299" s="1" t="n"/>
      <c r="B1299" s="26" t="n"/>
      <c r="C1299" s="27" t="n"/>
      <c r="D1299" s="30" t="n"/>
      <c r="E1299" s="30" t="n"/>
      <c r="F1299" s="28" t="n"/>
      <c r="G1299" s="1" t="n"/>
    </row>
    <row r="1300">
      <c r="A1300" s="1" t="n"/>
      <c r="B1300" s="26" t="n"/>
      <c r="C1300" s="27" t="n"/>
      <c r="D1300" s="30" t="n"/>
      <c r="E1300" s="30" t="n"/>
      <c r="F1300" s="28" t="n"/>
      <c r="G1300" s="1" t="n"/>
    </row>
    <row r="1301">
      <c r="A1301" s="1" t="n"/>
      <c r="B1301" s="26" t="n"/>
      <c r="C1301" s="27" t="n"/>
      <c r="D1301" s="30" t="n"/>
      <c r="E1301" s="30" t="n"/>
      <c r="F1301" s="28" t="n"/>
      <c r="G1301" s="1" t="n"/>
    </row>
    <row r="1302">
      <c r="A1302" s="1" t="n"/>
      <c r="B1302" s="26" t="n"/>
      <c r="C1302" s="27" t="n"/>
      <c r="D1302" s="30" t="n"/>
      <c r="E1302" s="30" t="n"/>
      <c r="F1302" s="28" t="n"/>
      <c r="G1302" s="1" t="n"/>
    </row>
    <row r="1303">
      <c r="A1303" s="1" t="n"/>
      <c r="B1303" s="26" t="n"/>
      <c r="C1303" s="27" t="n"/>
      <c r="D1303" s="30" t="n"/>
      <c r="E1303" s="30" t="n"/>
      <c r="F1303" s="28" t="n"/>
      <c r="G1303" s="1" t="n"/>
    </row>
    <row r="1304">
      <c r="A1304" s="1" t="n"/>
      <c r="B1304" s="26" t="n"/>
      <c r="C1304" s="27" t="n"/>
      <c r="D1304" s="30" t="n"/>
      <c r="E1304" s="30" t="n"/>
      <c r="F1304" s="28" t="n"/>
      <c r="G1304" s="1" t="n"/>
    </row>
    <row r="1305">
      <c r="A1305" s="1" t="n"/>
      <c r="B1305" s="26" t="n"/>
      <c r="C1305" s="27" t="n"/>
      <c r="D1305" s="30" t="n"/>
      <c r="E1305" s="30" t="n"/>
      <c r="F1305" s="28" t="n"/>
      <c r="G1305" s="1" t="n"/>
    </row>
    <row r="1306">
      <c r="A1306" s="1" t="n"/>
      <c r="B1306" s="26" t="n"/>
      <c r="C1306" s="27" t="n"/>
      <c r="D1306" s="30" t="n"/>
      <c r="E1306" s="30" t="n"/>
      <c r="F1306" s="28" t="n"/>
      <c r="G1306" s="1" t="n"/>
    </row>
    <row r="1307">
      <c r="A1307" s="1" t="n"/>
      <c r="B1307" s="26" t="n"/>
      <c r="C1307" s="27" t="n"/>
      <c r="D1307" s="30" t="n"/>
      <c r="E1307" s="30" t="n"/>
      <c r="F1307" s="28" t="n"/>
      <c r="G1307" s="1" t="n"/>
    </row>
    <row r="1308">
      <c r="A1308" s="1" t="n"/>
      <c r="B1308" s="26" t="n"/>
      <c r="C1308" s="27" t="n"/>
      <c r="D1308" s="30" t="n"/>
      <c r="E1308" s="30" t="n"/>
      <c r="F1308" s="28" t="n"/>
      <c r="G1308" s="1" t="n"/>
    </row>
    <row r="1309">
      <c r="A1309" s="1" t="n"/>
      <c r="B1309" s="26" t="n"/>
      <c r="C1309" s="27" t="n"/>
      <c r="D1309" s="30" t="n"/>
      <c r="E1309" s="30" t="n"/>
      <c r="F1309" s="28" t="n"/>
      <c r="G1309" s="1" t="n"/>
    </row>
    <row r="1310">
      <c r="A1310" s="1" t="n"/>
      <c r="B1310" s="26" t="n"/>
      <c r="C1310" s="27" t="n"/>
      <c r="D1310" s="30" t="n"/>
      <c r="E1310" s="30" t="n"/>
      <c r="F1310" s="28" t="n"/>
      <c r="G1310" s="1" t="n"/>
    </row>
    <row r="1311">
      <c r="A1311" s="1" t="n"/>
      <c r="B1311" s="26" t="n"/>
      <c r="C1311" s="27" t="n"/>
      <c r="D1311" s="30" t="n"/>
      <c r="E1311" s="30" t="n"/>
      <c r="F1311" s="28" t="n"/>
      <c r="G1311" s="1" t="n"/>
    </row>
    <row r="1312">
      <c r="A1312" s="1" t="n"/>
      <c r="B1312" s="26" t="n"/>
      <c r="C1312" s="27" t="n"/>
      <c r="D1312" s="30" t="n"/>
      <c r="E1312" s="30" t="n"/>
      <c r="F1312" s="28" t="n"/>
      <c r="G1312" s="1" t="n"/>
    </row>
    <row r="1313">
      <c r="A1313" s="1" t="n"/>
      <c r="B1313" s="26" t="n"/>
      <c r="C1313" s="27" t="n"/>
      <c r="D1313" s="30" t="n"/>
      <c r="E1313" s="30" t="n"/>
      <c r="F1313" s="28" t="n"/>
      <c r="G1313" s="1" t="n"/>
    </row>
    <row r="1314">
      <c r="A1314" s="1" t="n"/>
      <c r="B1314" s="26" t="n"/>
      <c r="C1314" s="27" t="n"/>
      <c r="D1314" s="30" t="n"/>
      <c r="E1314" s="30" t="n"/>
      <c r="F1314" s="28" t="n"/>
      <c r="G1314" s="1" t="n"/>
    </row>
    <row r="1315">
      <c r="A1315" s="1" t="n"/>
      <c r="B1315" s="26" t="n"/>
      <c r="C1315" s="27" t="n"/>
      <c r="D1315" s="30" t="n"/>
      <c r="E1315" s="30" t="n"/>
      <c r="F1315" s="28" t="n"/>
      <c r="G1315" s="1" t="n"/>
    </row>
    <row r="1316">
      <c r="A1316" s="1" t="n"/>
      <c r="B1316" s="26" t="n"/>
      <c r="C1316" s="27" t="n"/>
      <c r="D1316" s="30" t="n"/>
      <c r="E1316" s="30" t="n"/>
      <c r="F1316" s="28" t="n"/>
      <c r="G1316" s="1" t="n"/>
    </row>
    <row r="1317">
      <c r="A1317" s="1" t="n"/>
      <c r="B1317" s="26" t="n"/>
      <c r="C1317" s="27" t="n"/>
      <c r="D1317" s="30" t="n"/>
      <c r="E1317" s="30" t="n"/>
      <c r="F1317" s="28" t="n"/>
      <c r="G1317" s="1" t="n"/>
    </row>
    <row r="1318">
      <c r="A1318" s="1" t="n"/>
      <c r="B1318" s="26" t="n"/>
      <c r="C1318" s="27" t="n"/>
      <c r="D1318" s="30" t="n"/>
      <c r="E1318" s="30" t="n"/>
      <c r="F1318" s="28" t="n"/>
      <c r="G1318" s="1" t="n"/>
    </row>
    <row r="1319">
      <c r="A1319" s="1" t="n"/>
      <c r="B1319" s="26" t="n"/>
      <c r="C1319" s="27" t="n"/>
      <c r="D1319" s="30" t="n"/>
      <c r="E1319" s="30" t="n"/>
      <c r="F1319" s="28" t="n"/>
      <c r="G1319" s="1" t="n"/>
    </row>
    <row r="1320">
      <c r="A1320" s="1" t="n"/>
      <c r="B1320" s="26" t="n"/>
      <c r="C1320" s="27" t="n"/>
      <c r="D1320" s="30" t="n"/>
      <c r="E1320" s="30" t="n"/>
      <c r="F1320" s="28" t="n"/>
      <c r="G1320" s="1" t="n"/>
    </row>
    <row r="1321">
      <c r="A1321" s="1" t="n"/>
      <c r="B1321" s="26" t="n"/>
      <c r="C1321" s="27" t="n"/>
      <c r="D1321" s="30" t="n"/>
      <c r="E1321" s="30" t="n"/>
      <c r="F1321" s="28" t="n"/>
      <c r="G1321" s="1" t="n"/>
    </row>
    <row r="1322">
      <c r="A1322" s="1" t="n"/>
      <c r="B1322" s="26" t="n"/>
      <c r="C1322" s="27" t="n"/>
      <c r="D1322" s="30" t="n"/>
      <c r="E1322" s="30" t="n"/>
      <c r="F1322" s="28" t="n"/>
      <c r="G1322" s="1" t="n"/>
    </row>
    <row r="1323">
      <c r="A1323" s="1" t="n"/>
      <c r="B1323" s="26" t="n"/>
      <c r="C1323" s="27" t="n"/>
      <c r="D1323" s="30" t="n"/>
      <c r="E1323" s="30" t="n"/>
      <c r="F1323" s="28" t="n"/>
      <c r="G1323" s="1" t="n"/>
    </row>
    <row r="1324">
      <c r="A1324" s="1" t="n"/>
      <c r="B1324" s="26" t="n"/>
      <c r="C1324" s="27" t="n"/>
      <c r="D1324" s="30" t="n"/>
      <c r="E1324" s="30" t="n"/>
      <c r="F1324" s="28" t="n"/>
      <c r="G1324" s="1" t="n"/>
    </row>
    <row r="1325">
      <c r="A1325" s="1" t="n"/>
      <c r="B1325" s="26" t="n"/>
      <c r="C1325" s="27" t="n"/>
      <c r="D1325" s="30" t="n"/>
      <c r="E1325" s="30" t="n"/>
      <c r="F1325" s="28" t="n"/>
      <c r="G1325" s="1" t="n"/>
    </row>
    <row r="1326">
      <c r="A1326" s="1" t="n"/>
      <c r="B1326" s="26" t="n"/>
      <c r="C1326" s="27" t="n"/>
      <c r="D1326" s="30" t="n"/>
      <c r="E1326" s="30" t="n"/>
      <c r="F1326" s="28" t="n"/>
      <c r="G1326" s="1" t="n"/>
    </row>
    <row r="1327">
      <c r="A1327" s="1" t="n"/>
      <c r="B1327" s="26" t="n"/>
      <c r="C1327" s="27" t="n"/>
      <c r="D1327" s="30" t="n"/>
      <c r="E1327" s="30" t="n"/>
      <c r="F1327" s="28" t="n"/>
      <c r="G1327" s="1" t="n"/>
    </row>
    <row r="1328">
      <c r="A1328" s="1" t="n"/>
      <c r="B1328" s="26" t="n"/>
      <c r="C1328" s="27" t="n"/>
      <c r="D1328" s="30" t="n"/>
      <c r="E1328" s="30" t="n"/>
      <c r="F1328" s="28" t="n"/>
      <c r="G1328" s="1" t="n"/>
    </row>
    <row r="1329">
      <c r="A1329" s="1" t="n"/>
      <c r="B1329" s="26" t="n"/>
      <c r="C1329" s="27" t="n"/>
      <c r="D1329" s="30" t="n"/>
      <c r="E1329" s="30" t="n"/>
      <c r="F1329" s="28" t="n"/>
      <c r="G1329" s="1" t="n"/>
    </row>
    <row r="1330">
      <c r="A1330" s="1" t="n"/>
      <c r="B1330" s="26" t="n"/>
      <c r="C1330" s="27" t="n"/>
      <c r="D1330" s="30" t="n"/>
      <c r="E1330" s="30" t="n"/>
      <c r="F1330" s="28" t="n"/>
      <c r="G1330" s="1" t="n"/>
    </row>
    <row r="1331">
      <c r="A1331" s="1" t="n"/>
      <c r="B1331" s="26" t="n"/>
      <c r="C1331" s="27" t="n"/>
      <c r="D1331" s="30" t="n"/>
      <c r="E1331" s="30" t="n"/>
      <c r="F1331" s="28" t="n"/>
      <c r="G1331" s="1" t="n"/>
    </row>
    <row r="1332">
      <c r="A1332" s="1" t="n"/>
      <c r="B1332" s="26" t="n"/>
      <c r="C1332" s="27" t="n"/>
      <c r="D1332" s="30" t="n"/>
      <c r="E1332" s="30" t="n"/>
      <c r="F1332" s="28" t="n"/>
      <c r="G1332" s="1" t="n"/>
    </row>
    <row r="1333">
      <c r="A1333" s="1" t="n"/>
      <c r="B1333" s="26" t="n"/>
      <c r="C1333" s="27" t="n"/>
      <c r="D1333" s="30" t="n"/>
      <c r="E1333" s="30" t="n"/>
      <c r="F1333" s="28" t="n"/>
      <c r="G1333" s="1" t="n"/>
    </row>
    <row r="1334">
      <c r="A1334" s="1" t="n"/>
      <c r="B1334" s="26" t="n"/>
      <c r="C1334" s="27" t="n"/>
      <c r="D1334" s="30" t="n"/>
      <c r="E1334" s="30" t="n"/>
      <c r="F1334" s="28" t="n"/>
      <c r="G1334" s="1" t="n"/>
    </row>
    <row r="1335">
      <c r="A1335" s="1" t="n"/>
      <c r="B1335" s="26" t="n"/>
      <c r="C1335" s="27" t="n"/>
      <c r="D1335" s="30" t="n"/>
      <c r="E1335" s="30" t="n"/>
      <c r="F1335" s="28" t="n"/>
      <c r="G1335" s="1" t="n"/>
    </row>
    <row r="1336">
      <c r="A1336" s="1" t="n"/>
      <c r="B1336" s="26" t="n"/>
      <c r="C1336" s="27" t="n"/>
      <c r="D1336" s="30" t="n"/>
      <c r="E1336" s="30" t="n"/>
      <c r="F1336" s="28" t="n"/>
      <c r="G1336" s="1" t="n"/>
    </row>
    <row r="1337">
      <c r="A1337" s="1" t="n"/>
      <c r="B1337" s="26" t="n"/>
      <c r="C1337" s="27" t="n"/>
      <c r="D1337" s="30" t="n"/>
      <c r="E1337" s="30" t="n"/>
      <c r="F1337" s="28" t="n"/>
      <c r="G1337" s="1" t="n"/>
    </row>
    <row r="1338">
      <c r="A1338" s="1" t="n"/>
      <c r="B1338" s="26" t="n"/>
      <c r="C1338" s="27" t="n"/>
      <c r="D1338" s="30" t="n"/>
      <c r="E1338" s="30" t="n"/>
      <c r="F1338" s="28" t="n"/>
      <c r="G1338" s="1" t="n"/>
    </row>
    <row r="1339">
      <c r="A1339" s="1" t="n"/>
      <c r="B1339" s="26" t="n"/>
      <c r="C1339" s="27" t="n"/>
      <c r="D1339" s="30" t="n"/>
      <c r="E1339" s="30" t="n"/>
      <c r="F1339" s="28" t="n"/>
      <c r="G1339" s="1" t="n"/>
    </row>
    <row r="1340">
      <c r="A1340" s="1" t="n"/>
      <c r="B1340" s="26" t="n"/>
      <c r="C1340" s="27" t="n"/>
      <c r="D1340" s="30" t="n"/>
      <c r="E1340" s="30" t="n"/>
      <c r="F1340" s="28" t="n"/>
      <c r="G1340" s="1" t="n"/>
    </row>
    <row r="1341">
      <c r="A1341" s="1" t="n"/>
      <c r="B1341" s="26" t="n"/>
      <c r="C1341" s="27" t="n"/>
      <c r="D1341" s="30" t="n"/>
      <c r="E1341" s="30" t="n"/>
      <c r="F1341" s="28" t="n"/>
      <c r="G1341" s="1" t="n"/>
    </row>
    <row r="1342">
      <c r="A1342" s="1" t="n"/>
      <c r="B1342" s="26" t="n"/>
      <c r="C1342" s="27" t="n"/>
      <c r="D1342" s="30" t="n"/>
      <c r="E1342" s="30" t="n"/>
      <c r="F1342" s="28" t="n"/>
      <c r="G1342" s="1" t="n"/>
    </row>
    <row r="1343">
      <c r="A1343" s="1" t="n"/>
      <c r="B1343" s="26" t="n"/>
      <c r="C1343" s="27" t="n"/>
      <c r="D1343" s="30" t="n"/>
      <c r="E1343" s="30" t="n"/>
      <c r="F1343" s="28" t="n"/>
      <c r="G1343" s="1" t="n"/>
    </row>
    <row r="1344">
      <c r="A1344" s="1" t="n"/>
      <c r="B1344" s="26" t="n"/>
      <c r="C1344" s="27" t="n"/>
      <c r="D1344" s="30" t="n"/>
      <c r="E1344" s="30" t="n"/>
      <c r="F1344" s="28" t="n"/>
      <c r="G1344" s="1" t="n"/>
    </row>
    <row r="1345">
      <c r="A1345" s="1" t="n"/>
      <c r="B1345" s="26" t="n"/>
      <c r="C1345" s="27" t="n"/>
      <c r="D1345" s="30" t="n"/>
      <c r="E1345" s="30" t="n"/>
      <c r="F1345" s="28" t="n"/>
      <c r="G1345" s="1" t="n"/>
    </row>
    <row r="1346">
      <c r="A1346" s="1" t="n"/>
      <c r="B1346" s="26" t="n"/>
      <c r="C1346" s="27" t="n"/>
      <c r="D1346" s="30" t="n"/>
      <c r="E1346" s="30" t="n"/>
      <c r="F1346" s="28" t="n"/>
      <c r="G1346" s="1" t="n"/>
    </row>
    <row r="1347">
      <c r="A1347" s="1" t="n"/>
      <c r="B1347" s="26" t="n"/>
      <c r="C1347" s="27" t="n"/>
      <c r="D1347" s="30" t="n"/>
      <c r="E1347" s="30" t="n"/>
      <c r="F1347" s="28" t="n"/>
      <c r="G1347" s="1" t="n"/>
    </row>
    <row r="1348">
      <c r="A1348" s="1" t="n"/>
      <c r="B1348" s="26" t="n"/>
      <c r="C1348" s="27" t="n"/>
      <c r="D1348" s="30" t="n"/>
      <c r="E1348" s="30" t="n"/>
      <c r="F1348" s="28" t="n"/>
      <c r="G1348" s="1" t="n"/>
    </row>
    <row r="1349">
      <c r="A1349" s="1" t="n"/>
      <c r="B1349" s="26" t="n"/>
      <c r="C1349" s="27" t="n"/>
      <c r="D1349" s="30" t="n"/>
      <c r="E1349" s="30" t="n"/>
      <c r="F1349" s="28" t="n"/>
      <c r="G1349" s="1" t="n"/>
    </row>
    <row r="1350">
      <c r="A1350" s="1" t="n"/>
      <c r="B1350" s="26" t="n"/>
      <c r="C1350" s="27" t="n"/>
      <c r="D1350" s="30" t="n"/>
      <c r="E1350" s="30" t="n"/>
      <c r="F1350" s="28" t="n"/>
      <c r="G1350" s="1" t="n"/>
    </row>
    <row r="1351">
      <c r="A1351" s="1" t="n"/>
      <c r="B1351" s="26" t="n"/>
      <c r="C1351" s="27" t="n"/>
      <c r="D1351" s="30" t="n"/>
      <c r="E1351" s="30" t="n"/>
      <c r="F1351" s="28" t="n"/>
      <c r="G1351" s="1" t="n"/>
    </row>
    <row r="1352">
      <c r="A1352" s="1" t="n"/>
      <c r="B1352" s="26" t="n"/>
      <c r="C1352" s="27" t="n"/>
      <c r="D1352" s="30" t="n"/>
      <c r="E1352" s="30" t="n"/>
      <c r="F1352" s="28" t="n"/>
      <c r="G1352" s="1" t="n"/>
    </row>
    <row r="1353">
      <c r="A1353" s="1" t="n"/>
      <c r="B1353" s="26" t="n"/>
      <c r="C1353" s="27" t="n"/>
      <c r="D1353" s="30" t="n"/>
      <c r="E1353" s="30" t="n"/>
      <c r="F1353" s="28" t="n"/>
      <c r="G1353" s="1" t="n"/>
    </row>
    <row r="1354">
      <c r="A1354" s="1" t="n"/>
      <c r="B1354" s="26" t="n"/>
      <c r="C1354" s="27" t="n"/>
      <c r="D1354" s="30" t="n"/>
      <c r="E1354" s="30" t="n"/>
      <c r="F1354" s="28" t="n"/>
      <c r="G1354" s="1" t="n"/>
    </row>
    <row r="1355">
      <c r="A1355" s="1" t="n"/>
      <c r="B1355" s="26" t="n"/>
      <c r="C1355" s="27" t="n"/>
      <c r="D1355" s="30" t="n"/>
      <c r="E1355" s="30" t="n"/>
      <c r="F1355" s="28" t="n"/>
      <c r="G1355" s="1" t="n"/>
    </row>
    <row r="1356">
      <c r="A1356" s="1" t="n"/>
      <c r="B1356" s="26" t="n"/>
      <c r="C1356" s="27" t="n"/>
      <c r="D1356" s="30" t="n"/>
      <c r="E1356" s="30" t="n"/>
      <c r="F1356" s="28" t="n"/>
      <c r="G1356" s="1" t="n"/>
    </row>
    <row r="1357">
      <c r="A1357" s="1" t="n"/>
      <c r="B1357" s="26" t="n"/>
      <c r="C1357" s="27" t="n"/>
      <c r="D1357" s="30" t="n"/>
      <c r="E1357" s="30" t="n"/>
      <c r="F1357" s="28" t="n"/>
      <c r="G1357" s="1" t="n"/>
    </row>
    <row r="1358">
      <c r="A1358" s="1" t="n"/>
      <c r="B1358" s="26" t="n"/>
      <c r="C1358" s="27" t="n"/>
      <c r="D1358" s="30" t="n"/>
      <c r="E1358" s="30" t="n"/>
      <c r="F1358" s="28" t="n"/>
      <c r="G1358" s="1" t="n"/>
    </row>
    <row r="1359">
      <c r="A1359" s="1" t="n"/>
      <c r="B1359" s="26" t="n"/>
      <c r="C1359" s="27" t="n"/>
      <c r="D1359" s="30" t="n"/>
      <c r="E1359" s="30" t="n"/>
      <c r="F1359" s="28" t="n"/>
      <c r="G1359" s="1" t="n"/>
    </row>
    <row r="1360">
      <c r="A1360" s="1" t="n"/>
      <c r="B1360" s="26" t="n"/>
      <c r="C1360" s="27" t="n"/>
      <c r="D1360" s="30" t="n"/>
      <c r="E1360" s="30" t="n"/>
      <c r="F1360" s="28" t="n"/>
      <c r="G1360" s="1" t="n"/>
    </row>
    <row r="1361">
      <c r="A1361" s="1" t="n"/>
      <c r="B1361" s="26" t="n"/>
      <c r="C1361" s="27" t="n"/>
      <c r="D1361" s="30" t="n"/>
      <c r="E1361" s="30" t="n"/>
      <c r="F1361" s="28" t="n"/>
      <c r="G1361" s="1" t="n"/>
    </row>
    <row r="1362">
      <c r="A1362" s="1" t="n"/>
      <c r="B1362" s="26" t="n"/>
      <c r="C1362" s="27" t="n"/>
      <c r="D1362" s="30" t="n"/>
      <c r="E1362" s="30" t="n"/>
      <c r="F1362" s="28" t="n"/>
      <c r="G1362" s="1" t="n"/>
    </row>
    <row r="1363">
      <c r="A1363" s="1" t="n"/>
      <c r="B1363" s="26" t="n"/>
      <c r="C1363" s="27" t="n"/>
      <c r="D1363" s="30" t="n"/>
      <c r="E1363" s="30" t="n"/>
      <c r="F1363" s="28" t="n"/>
      <c r="G1363" s="1" t="n"/>
    </row>
    <row r="1364">
      <c r="A1364" s="1" t="n"/>
      <c r="B1364" s="26" t="n"/>
      <c r="C1364" s="27" t="n"/>
      <c r="D1364" s="30" t="n"/>
      <c r="E1364" s="30" t="n"/>
      <c r="F1364" s="28" t="n"/>
      <c r="G1364" s="1" t="n"/>
    </row>
    <row r="1365">
      <c r="A1365" s="1" t="n"/>
      <c r="B1365" s="26" t="n"/>
      <c r="C1365" s="27" t="n"/>
      <c r="D1365" s="30" t="n"/>
      <c r="E1365" s="30" t="n"/>
      <c r="F1365" s="28" t="n"/>
      <c r="G1365" s="1" t="n"/>
    </row>
    <row r="1366">
      <c r="A1366" s="1" t="n"/>
      <c r="B1366" s="26" t="n"/>
      <c r="C1366" s="27" t="n"/>
      <c r="D1366" s="30" t="n"/>
      <c r="E1366" s="30" t="n"/>
      <c r="F1366" s="28" t="n"/>
      <c r="G1366" s="1" t="n"/>
    </row>
    <row r="1367">
      <c r="A1367" s="1" t="n"/>
      <c r="B1367" s="26" t="n"/>
      <c r="C1367" s="27" t="n"/>
      <c r="D1367" s="30" t="n"/>
      <c r="E1367" s="30" t="n"/>
      <c r="F1367" s="28" t="n"/>
      <c r="G1367" s="1" t="n"/>
    </row>
    <row r="1368">
      <c r="A1368" s="1" t="n"/>
      <c r="B1368" s="26" t="n"/>
      <c r="C1368" s="27" t="n"/>
      <c r="D1368" s="30" t="n"/>
      <c r="E1368" s="30" t="n"/>
      <c r="F1368" s="28" t="n"/>
      <c r="G1368" s="1" t="n"/>
    </row>
    <row r="1369">
      <c r="A1369" s="1" t="n"/>
      <c r="B1369" s="26" t="n"/>
      <c r="C1369" s="27" t="n"/>
      <c r="D1369" s="30" t="n"/>
      <c r="E1369" s="30" t="n"/>
      <c r="F1369" s="28" t="n"/>
      <c r="G1369" s="1" t="n"/>
    </row>
    <row r="1370">
      <c r="A1370" s="1" t="n"/>
      <c r="B1370" s="26" t="n"/>
      <c r="C1370" s="27" t="n"/>
      <c r="D1370" s="30" t="n"/>
      <c r="E1370" s="30" t="n"/>
      <c r="F1370" s="28" t="n"/>
      <c r="G1370" s="1" t="n"/>
    </row>
    <row r="1371">
      <c r="A1371" s="1" t="n"/>
      <c r="B1371" s="26" t="n"/>
      <c r="C1371" s="27" t="n"/>
      <c r="D1371" s="30" t="n"/>
      <c r="E1371" s="30" t="n"/>
      <c r="F1371" s="28" t="n"/>
      <c r="G1371" s="1" t="n"/>
    </row>
    <row r="1372">
      <c r="A1372" s="1" t="n"/>
      <c r="B1372" s="26" t="n"/>
      <c r="C1372" s="27" t="n"/>
      <c r="D1372" s="30" t="n"/>
      <c r="E1372" s="30" t="n"/>
      <c r="F1372" s="28" t="n"/>
      <c r="G1372" s="1" t="n"/>
    </row>
    <row r="1373">
      <c r="A1373" s="1" t="n"/>
      <c r="B1373" s="26" t="n"/>
      <c r="C1373" s="27" t="n"/>
      <c r="D1373" s="30" t="n"/>
      <c r="E1373" s="30" t="n"/>
      <c r="F1373" s="28" t="n"/>
      <c r="G1373" s="1" t="n"/>
    </row>
    <row r="1374">
      <c r="A1374" s="1" t="n"/>
      <c r="B1374" s="26" t="n"/>
      <c r="C1374" s="27" t="n"/>
      <c r="D1374" s="30" t="n"/>
      <c r="E1374" s="30" t="n"/>
      <c r="F1374" s="28" t="n"/>
      <c r="G1374" s="1" t="n"/>
    </row>
    <row r="1375">
      <c r="A1375" s="1" t="n"/>
      <c r="B1375" s="26" t="n"/>
      <c r="C1375" s="27" t="n"/>
      <c r="D1375" s="30" t="n"/>
      <c r="E1375" s="30" t="n"/>
      <c r="F1375" s="28" t="n"/>
      <c r="G1375" s="1" t="n"/>
    </row>
    <row r="1376">
      <c r="A1376" s="1" t="n"/>
      <c r="B1376" s="26" t="n"/>
      <c r="C1376" s="27" t="n"/>
      <c r="D1376" s="30" t="n"/>
      <c r="E1376" s="30" t="n"/>
      <c r="F1376" s="28" t="n"/>
      <c r="G1376" s="1" t="n"/>
    </row>
    <row r="1377">
      <c r="A1377" s="1" t="n"/>
      <c r="B1377" s="26" t="n"/>
      <c r="C1377" s="27" t="n"/>
      <c r="D1377" s="30" t="n"/>
      <c r="E1377" s="30" t="n"/>
      <c r="F1377" s="28" t="n"/>
      <c r="G1377" s="1" t="n"/>
    </row>
    <row r="1378">
      <c r="A1378" s="1" t="n"/>
      <c r="B1378" s="26" t="n"/>
      <c r="C1378" s="27" t="n"/>
      <c r="D1378" s="30" t="n"/>
      <c r="E1378" s="30" t="n"/>
      <c r="F1378" s="28" t="n"/>
      <c r="G1378" s="1" t="n"/>
    </row>
    <row r="1379">
      <c r="A1379" s="1" t="n"/>
      <c r="B1379" s="26" t="n"/>
      <c r="C1379" s="27" t="n"/>
      <c r="D1379" s="30" t="n"/>
      <c r="E1379" s="30" t="n"/>
      <c r="F1379" s="28" t="n"/>
      <c r="G1379" s="1" t="n"/>
    </row>
    <row r="1380">
      <c r="A1380" s="1" t="n"/>
      <c r="B1380" s="26" t="n"/>
      <c r="C1380" s="27" t="n"/>
      <c r="D1380" s="30" t="n"/>
      <c r="E1380" s="30" t="n"/>
      <c r="F1380" s="28" t="n"/>
      <c r="G1380" s="1" t="n"/>
    </row>
    <row r="1381">
      <c r="A1381" s="1" t="n"/>
      <c r="B1381" s="26" t="n"/>
      <c r="C1381" s="27" t="n"/>
      <c r="D1381" s="30" t="n"/>
      <c r="E1381" s="30" t="n"/>
      <c r="F1381" s="28" t="n"/>
      <c r="G1381" s="1" t="n"/>
    </row>
    <row r="1382">
      <c r="A1382" s="1" t="n"/>
      <c r="B1382" s="26" t="n"/>
      <c r="C1382" s="27" t="n"/>
      <c r="D1382" s="30" t="n"/>
      <c r="E1382" s="30" t="n"/>
      <c r="F1382" s="28" t="n"/>
      <c r="G1382" s="1" t="n"/>
    </row>
    <row r="1383">
      <c r="A1383" s="1" t="n"/>
      <c r="B1383" s="26" t="n"/>
      <c r="C1383" s="27" t="n"/>
      <c r="D1383" s="30" t="n"/>
      <c r="E1383" s="30" t="n"/>
      <c r="F1383" s="28" t="n"/>
      <c r="G1383" s="1" t="n"/>
    </row>
    <row r="1384">
      <c r="A1384" s="1" t="n"/>
      <c r="B1384" s="26" t="n"/>
      <c r="C1384" s="27" t="n"/>
      <c r="D1384" s="30" t="n"/>
      <c r="E1384" s="30" t="n"/>
      <c r="F1384" s="28" t="n"/>
      <c r="G1384" s="1" t="n"/>
    </row>
    <row r="1385">
      <c r="A1385" s="1" t="n"/>
      <c r="B1385" s="26" t="n"/>
      <c r="C1385" s="27" t="n"/>
      <c r="D1385" s="30" t="n"/>
      <c r="E1385" s="30" t="n"/>
      <c r="F1385" s="28" t="n"/>
      <c r="G1385" s="1" t="n"/>
    </row>
    <row r="1386">
      <c r="A1386" s="1" t="n"/>
      <c r="B1386" s="26" t="n"/>
      <c r="C1386" s="27" t="n"/>
      <c r="D1386" s="30" t="n"/>
      <c r="E1386" s="30" t="n"/>
      <c r="F1386" s="28" t="n"/>
      <c r="G1386" s="1" t="n"/>
    </row>
    <row r="1387">
      <c r="A1387" s="1" t="n"/>
      <c r="B1387" s="26" t="n"/>
      <c r="C1387" s="27" t="n"/>
      <c r="D1387" s="30" t="n"/>
      <c r="E1387" s="30" t="n"/>
      <c r="F1387" s="28" t="n"/>
      <c r="G1387" s="1" t="n"/>
    </row>
    <row r="1388">
      <c r="A1388" s="1" t="n"/>
      <c r="B1388" s="26" t="n"/>
      <c r="C1388" s="27" t="n"/>
      <c r="D1388" s="30" t="n"/>
      <c r="E1388" s="30" t="n"/>
      <c r="F1388" s="28" t="n"/>
      <c r="G1388" s="1" t="n"/>
    </row>
    <row r="1389">
      <c r="A1389" s="1" t="n"/>
      <c r="B1389" s="26" t="n"/>
      <c r="C1389" s="27" t="n"/>
      <c r="D1389" s="30" t="n"/>
      <c r="E1389" s="30" t="n"/>
      <c r="F1389" s="28" t="n"/>
      <c r="G1389" s="1" t="n"/>
    </row>
    <row r="1390">
      <c r="A1390" s="1" t="n"/>
      <c r="B1390" s="26" t="n"/>
      <c r="C1390" s="27" t="n"/>
      <c r="D1390" s="30" t="n"/>
      <c r="E1390" s="30" t="n"/>
      <c r="F1390" s="28" t="n"/>
      <c r="G1390" s="1" t="n"/>
    </row>
    <row r="1391">
      <c r="A1391" s="1" t="n"/>
      <c r="B1391" s="26" t="n"/>
      <c r="C1391" s="27" t="n"/>
      <c r="D1391" s="30" t="n"/>
      <c r="E1391" s="30" t="n"/>
      <c r="F1391" s="28" t="n"/>
      <c r="G1391" s="1" t="n"/>
    </row>
    <row r="1392">
      <c r="A1392" s="1" t="n"/>
      <c r="B1392" s="26" t="n"/>
      <c r="C1392" s="27" t="n"/>
      <c r="D1392" s="30" t="n"/>
      <c r="E1392" s="30" t="n"/>
      <c r="F1392" s="28" t="n"/>
      <c r="G1392" s="1" t="n"/>
    </row>
    <row r="1393">
      <c r="A1393" s="1" t="n"/>
      <c r="B1393" s="26" t="n"/>
      <c r="C1393" s="27" t="n"/>
      <c r="D1393" s="30" t="n"/>
      <c r="E1393" s="30" t="n"/>
      <c r="F1393" s="28" t="n"/>
      <c r="G1393" s="1" t="n"/>
    </row>
    <row r="1394">
      <c r="A1394" s="1" t="n"/>
      <c r="B1394" s="26" t="n"/>
      <c r="C1394" s="27" t="n"/>
      <c r="D1394" s="30" t="n"/>
      <c r="E1394" s="30" t="n"/>
      <c r="F1394" s="28" t="n"/>
      <c r="G1394" s="1" t="n"/>
    </row>
    <row r="1395">
      <c r="A1395" s="1" t="n"/>
      <c r="B1395" s="26" t="n"/>
      <c r="C1395" s="27" t="n"/>
      <c r="D1395" s="30" t="n"/>
      <c r="E1395" s="30" t="n"/>
      <c r="F1395" s="28" t="n"/>
      <c r="G1395" s="1" t="n"/>
    </row>
    <row r="1396">
      <c r="A1396" s="1" t="n"/>
      <c r="B1396" s="26" t="n"/>
      <c r="C1396" s="27" t="n"/>
      <c r="D1396" s="30" t="n"/>
      <c r="E1396" s="30" t="n"/>
      <c r="F1396" s="28" t="n"/>
      <c r="G1396" s="1" t="n"/>
    </row>
    <row r="1397">
      <c r="A1397" s="1" t="n"/>
      <c r="B1397" s="26" t="n"/>
      <c r="C1397" s="27" t="n"/>
      <c r="D1397" s="30" t="n"/>
      <c r="E1397" s="30" t="n"/>
      <c r="F1397" s="28" t="n"/>
      <c r="G1397" s="1" t="n"/>
    </row>
    <row r="1398">
      <c r="A1398" s="1" t="n"/>
      <c r="B1398" s="26" t="n"/>
      <c r="C1398" s="27" t="n"/>
      <c r="D1398" s="30" t="n"/>
      <c r="E1398" s="30" t="n"/>
      <c r="F1398" s="28" t="n"/>
      <c r="G1398" s="1" t="n"/>
    </row>
    <row r="1399">
      <c r="A1399" s="1" t="n"/>
      <c r="B1399" s="26" t="n"/>
      <c r="C1399" s="27" t="n"/>
      <c r="D1399" s="30" t="n"/>
      <c r="E1399" s="30" t="n"/>
      <c r="F1399" s="28" t="n"/>
      <c r="G1399" s="1" t="n"/>
    </row>
    <row r="1400">
      <c r="A1400" s="1" t="n"/>
      <c r="B1400" s="26" t="n"/>
      <c r="C1400" s="27" t="n"/>
      <c r="D1400" s="30" t="n"/>
      <c r="E1400" s="30" t="n"/>
      <c r="F1400" s="28" t="n"/>
      <c r="G1400" s="1" t="n"/>
    </row>
    <row r="1401">
      <c r="A1401" s="1" t="n"/>
      <c r="B1401" s="26" t="n"/>
      <c r="C1401" s="27" t="n"/>
      <c r="D1401" s="30" t="n"/>
      <c r="E1401" s="30" t="n"/>
      <c r="F1401" s="28" t="n"/>
      <c r="G1401" s="1" t="n"/>
    </row>
    <row r="1402">
      <c r="A1402" s="1" t="n"/>
      <c r="B1402" s="26" t="n"/>
      <c r="C1402" s="27" t="n"/>
      <c r="D1402" s="30" t="n"/>
      <c r="E1402" s="30" t="n"/>
      <c r="F1402" s="28" t="n"/>
      <c r="G1402" s="1" t="n"/>
    </row>
    <row r="1403">
      <c r="A1403" s="1" t="n"/>
      <c r="B1403" s="26" t="n"/>
      <c r="C1403" s="27" t="n"/>
      <c r="D1403" s="30" t="n"/>
      <c r="E1403" s="30" t="n"/>
      <c r="F1403" s="28" t="n"/>
      <c r="G1403" s="1" t="n"/>
    </row>
    <row r="1404">
      <c r="A1404" s="1" t="n"/>
      <c r="B1404" s="26" t="n"/>
      <c r="C1404" s="27" t="n"/>
      <c r="D1404" s="30" t="n"/>
      <c r="E1404" s="30" t="n"/>
      <c r="F1404" s="28" t="n"/>
      <c r="G1404" s="1" t="n"/>
    </row>
    <row r="1405">
      <c r="A1405" s="1" t="n"/>
      <c r="B1405" s="26" t="n"/>
      <c r="C1405" s="27" t="n"/>
      <c r="D1405" s="30" t="n"/>
      <c r="E1405" s="30" t="n"/>
      <c r="F1405" s="28" t="n"/>
      <c r="G1405" s="1" t="n"/>
    </row>
    <row r="1406">
      <c r="A1406" s="1" t="n"/>
      <c r="B1406" s="26" t="n"/>
      <c r="C1406" s="27" t="n"/>
      <c r="D1406" s="30" t="n"/>
      <c r="E1406" s="30" t="n"/>
      <c r="F1406" s="28" t="n"/>
      <c r="G1406" s="1" t="n"/>
    </row>
    <row r="1407">
      <c r="A1407" s="1" t="n"/>
      <c r="B1407" s="26" t="n"/>
      <c r="C1407" s="27" t="n"/>
      <c r="D1407" s="30" t="n"/>
      <c r="E1407" s="30" t="n"/>
      <c r="F1407" s="28" t="n"/>
      <c r="G1407" s="1" t="n"/>
    </row>
    <row r="1408">
      <c r="A1408" s="1" t="n"/>
      <c r="B1408" s="26" t="n"/>
      <c r="C1408" s="27" t="n"/>
      <c r="D1408" s="30" t="n"/>
      <c r="E1408" s="30" t="n"/>
      <c r="F1408" s="28" t="n"/>
      <c r="G1408" s="1" t="n"/>
    </row>
    <row r="1409">
      <c r="A1409" s="1" t="n"/>
      <c r="B1409" s="26" t="n"/>
      <c r="C1409" s="27" t="n"/>
      <c r="D1409" s="30" t="n"/>
      <c r="E1409" s="30" t="n"/>
      <c r="F1409" s="28" t="n"/>
      <c r="G1409" s="1" t="n"/>
    </row>
    <row r="1410">
      <c r="A1410" s="1" t="n"/>
      <c r="B1410" s="26" t="n"/>
      <c r="C1410" s="27" t="n"/>
      <c r="D1410" s="30" t="n"/>
      <c r="E1410" s="30" t="n"/>
      <c r="F1410" s="28" t="n"/>
      <c r="G1410" s="1" t="n"/>
    </row>
    <row r="1411">
      <c r="A1411" s="1" t="n"/>
      <c r="B1411" s="26" t="n"/>
      <c r="C1411" s="27" t="n"/>
      <c r="D1411" s="30" t="n"/>
      <c r="E1411" s="30" t="n"/>
      <c r="F1411" s="28" t="n"/>
      <c r="G1411" s="1" t="n"/>
    </row>
    <row r="1412">
      <c r="A1412" s="1" t="n"/>
      <c r="B1412" s="26" t="n"/>
      <c r="C1412" s="27" t="n"/>
      <c r="D1412" s="30" t="n"/>
      <c r="E1412" s="30" t="n"/>
      <c r="F1412" s="28" t="n"/>
      <c r="G1412" s="1" t="n"/>
    </row>
    <row r="1413">
      <c r="A1413" s="1" t="n"/>
      <c r="B1413" s="26" t="n"/>
      <c r="C1413" s="27" t="n"/>
      <c r="D1413" s="30" t="n"/>
      <c r="E1413" s="30" t="n"/>
      <c r="F1413" s="28" t="n"/>
      <c r="G1413" s="1" t="n"/>
    </row>
    <row r="1414">
      <c r="A1414" s="1" t="n"/>
      <c r="B1414" s="26" t="n"/>
      <c r="C1414" s="27" t="n"/>
      <c r="D1414" s="30" t="n"/>
      <c r="E1414" s="30" t="n"/>
      <c r="F1414" s="28" t="n"/>
      <c r="G1414" s="1" t="n"/>
    </row>
    <row r="1415">
      <c r="A1415" s="1" t="n"/>
      <c r="B1415" s="26" t="n"/>
      <c r="C1415" s="27" t="n"/>
      <c r="D1415" s="30" t="n"/>
      <c r="E1415" s="30" t="n"/>
      <c r="F1415" s="28" t="n"/>
      <c r="G1415" s="1" t="n"/>
    </row>
    <row r="1416">
      <c r="A1416" s="1" t="n"/>
      <c r="B1416" s="26" t="n"/>
      <c r="C1416" s="27" t="n"/>
      <c r="D1416" s="30" t="n"/>
      <c r="E1416" s="30" t="n"/>
      <c r="F1416" s="28" t="n"/>
      <c r="G1416" s="1" t="n"/>
    </row>
    <row r="1417">
      <c r="A1417" s="1" t="n"/>
      <c r="B1417" s="26" t="n"/>
      <c r="C1417" s="27" t="n"/>
      <c r="D1417" s="30" t="n"/>
      <c r="E1417" s="30" t="n"/>
      <c r="F1417" s="28" t="n"/>
      <c r="G1417" s="1" t="n"/>
    </row>
    <row r="1418">
      <c r="A1418" s="1" t="n"/>
      <c r="B1418" s="26" t="n"/>
      <c r="C1418" s="27" t="n"/>
      <c r="D1418" s="30" t="n"/>
      <c r="E1418" s="30" t="n"/>
      <c r="F1418" s="28" t="n"/>
      <c r="G1418" s="1" t="n"/>
    </row>
    <row r="1419">
      <c r="A1419" s="1" t="n"/>
      <c r="B1419" s="26" t="n"/>
      <c r="C1419" s="27" t="n"/>
      <c r="D1419" s="30" t="n"/>
      <c r="E1419" s="30" t="n"/>
      <c r="F1419" s="28" t="n"/>
      <c r="G1419" s="1" t="n"/>
    </row>
    <row r="1420">
      <c r="A1420" s="1" t="n"/>
      <c r="B1420" s="26" t="n"/>
      <c r="C1420" s="27" t="n"/>
      <c r="D1420" s="30" t="n"/>
      <c r="E1420" s="30" t="n"/>
      <c r="F1420" s="28" t="n"/>
      <c r="G1420" s="1" t="n"/>
    </row>
    <row r="1421">
      <c r="A1421" s="1" t="n"/>
      <c r="B1421" s="26" t="n"/>
      <c r="C1421" s="27" t="n"/>
      <c r="D1421" s="30" t="n"/>
      <c r="E1421" s="30" t="n"/>
      <c r="F1421" s="28" t="n"/>
      <c r="G1421" s="1" t="n"/>
    </row>
    <row r="1422">
      <c r="A1422" s="1" t="n"/>
      <c r="B1422" s="26" t="n"/>
      <c r="C1422" s="27" t="n"/>
      <c r="D1422" s="30" t="n"/>
      <c r="E1422" s="30" t="n"/>
      <c r="F1422" s="28" t="n"/>
      <c r="G1422" s="1" t="n"/>
    </row>
    <row r="1423">
      <c r="A1423" s="1" t="n"/>
      <c r="B1423" s="26" t="n"/>
      <c r="C1423" s="27" t="n"/>
      <c r="D1423" s="30" t="n"/>
      <c r="E1423" s="30" t="n"/>
      <c r="F1423" s="28" t="n"/>
      <c r="G1423" s="1" t="n"/>
    </row>
    <row r="1424">
      <c r="A1424" s="1" t="n"/>
      <c r="B1424" s="26" t="n"/>
      <c r="C1424" s="27" t="n"/>
      <c r="D1424" s="30" t="n"/>
      <c r="E1424" s="30" t="n"/>
      <c r="F1424" s="28" t="n"/>
      <c r="G1424" s="1" t="n"/>
    </row>
    <row r="1425">
      <c r="A1425" s="1" t="n"/>
      <c r="B1425" s="26" t="n"/>
      <c r="C1425" s="27" t="n"/>
      <c r="D1425" s="30" t="n"/>
      <c r="E1425" s="30" t="n"/>
      <c r="F1425" s="28" t="n"/>
      <c r="G1425" s="1" t="n"/>
    </row>
    <row r="1426">
      <c r="A1426" s="1" t="n"/>
      <c r="B1426" s="26" t="n"/>
      <c r="C1426" s="27" t="n"/>
      <c r="D1426" s="30" t="n"/>
      <c r="E1426" s="30" t="n"/>
      <c r="F1426" s="28" t="n"/>
      <c r="G1426" s="1" t="n"/>
    </row>
    <row r="1427">
      <c r="A1427" s="1" t="n"/>
      <c r="B1427" s="26" t="n"/>
      <c r="C1427" s="27" t="n"/>
      <c r="D1427" s="30" t="n"/>
      <c r="E1427" s="30" t="n"/>
      <c r="F1427" s="28" t="n"/>
      <c r="G1427" s="1" t="n"/>
    </row>
    <row r="1428">
      <c r="A1428" s="1" t="n"/>
      <c r="B1428" s="26" t="n"/>
      <c r="C1428" s="27" t="n"/>
      <c r="D1428" s="30" t="n"/>
      <c r="E1428" s="30" t="n"/>
      <c r="F1428" s="28" t="n"/>
      <c r="G1428" s="1" t="n"/>
    </row>
    <row r="1429">
      <c r="A1429" s="1" t="n"/>
      <c r="B1429" s="26" t="n"/>
      <c r="C1429" s="27" t="n"/>
      <c r="D1429" s="30" t="n"/>
      <c r="E1429" s="30" t="n"/>
      <c r="F1429" s="28" t="n"/>
      <c r="G1429" s="1" t="n"/>
    </row>
    <row r="1430">
      <c r="A1430" s="1" t="n"/>
      <c r="B1430" s="26" t="n"/>
      <c r="C1430" s="27" t="n"/>
      <c r="D1430" s="30" t="n"/>
      <c r="E1430" s="30" t="n"/>
      <c r="F1430" s="28" t="n"/>
      <c r="G1430" s="1" t="n"/>
    </row>
    <row r="1431">
      <c r="A1431" s="1" t="n"/>
      <c r="B1431" s="26" t="n"/>
      <c r="C1431" s="27" t="n"/>
      <c r="D1431" s="30" t="n"/>
      <c r="E1431" s="30" t="n"/>
      <c r="F1431" s="28" t="n"/>
      <c r="G1431" s="1" t="n"/>
    </row>
    <row r="1432">
      <c r="A1432" s="1" t="n"/>
      <c r="B1432" s="26" t="n"/>
      <c r="C1432" s="27" t="n"/>
      <c r="D1432" s="30" t="n"/>
      <c r="E1432" s="30" t="n"/>
      <c r="F1432" s="28" t="n"/>
      <c r="G1432" s="1" t="n"/>
    </row>
    <row r="1433">
      <c r="A1433" s="1" t="n"/>
      <c r="B1433" s="26" t="n"/>
      <c r="C1433" s="27" t="n"/>
      <c r="D1433" s="30" t="n"/>
      <c r="E1433" s="30" t="n"/>
      <c r="F1433" s="28" t="n"/>
      <c r="G1433" s="1" t="n"/>
    </row>
    <row r="1434">
      <c r="A1434" s="1" t="n"/>
      <c r="B1434" s="26" t="n"/>
      <c r="C1434" s="27" t="n"/>
      <c r="D1434" s="30" t="n"/>
      <c r="E1434" s="30" t="n"/>
      <c r="F1434" s="28" t="n"/>
      <c r="G1434" s="1" t="n"/>
    </row>
    <row r="1435">
      <c r="A1435" s="1" t="n"/>
      <c r="B1435" s="26" t="n"/>
      <c r="C1435" s="27" t="n"/>
      <c r="D1435" s="30" t="n"/>
      <c r="E1435" s="30" t="n"/>
      <c r="F1435" s="28" t="n"/>
      <c r="G1435" s="1" t="n"/>
    </row>
    <row r="1436">
      <c r="A1436" s="1" t="n"/>
      <c r="B1436" s="26" t="n"/>
      <c r="C1436" s="27" t="n"/>
      <c r="D1436" s="30" t="n"/>
      <c r="E1436" s="30" t="n"/>
      <c r="F1436" s="28" t="n"/>
      <c r="G1436" s="1" t="n"/>
    </row>
    <row r="1437">
      <c r="A1437" s="1" t="n"/>
      <c r="B1437" s="26" t="n"/>
      <c r="C1437" s="27" t="n"/>
      <c r="D1437" s="30" t="n"/>
      <c r="E1437" s="30" t="n"/>
      <c r="F1437" s="28" t="n"/>
      <c r="G1437" s="1" t="n"/>
    </row>
    <row r="1438">
      <c r="A1438" s="1" t="n"/>
      <c r="B1438" s="26" t="n"/>
      <c r="C1438" s="27" t="n"/>
      <c r="D1438" s="30" t="n"/>
      <c r="E1438" s="30" t="n"/>
      <c r="F1438" s="28" t="n"/>
      <c r="G1438" s="1" t="n"/>
    </row>
    <row r="1439">
      <c r="A1439" s="1" t="n"/>
      <c r="B1439" s="26" t="n"/>
      <c r="C1439" s="27" t="n"/>
      <c r="D1439" s="30" t="n"/>
      <c r="E1439" s="30" t="n"/>
      <c r="F1439" s="28" t="n"/>
      <c r="G1439" s="1" t="n"/>
    </row>
    <row r="1440">
      <c r="A1440" s="1" t="n"/>
      <c r="B1440" s="26" t="n"/>
      <c r="C1440" s="27" t="n"/>
      <c r="D1440" s="30" t="n"/>
      <c r="E1440" s="30" t="n"/>
      <c r="F1440" s="28" t="n"/>
      <c r="G1440" s="1" t="n"/>
    </row>
    <row r="1441">
      <c r="A1441" s="1" t="n"/>
      <c r="B1441" s="26" t="n"/>
      <c r="C1441" s="27" t="n"/>
      <c r="D1441" s="30" t="n"/>
      <c r="E1441" s="30" t="n"/>
      <c r="F1441" s="28" t="n"/>
      <c r="G1441" s="1" t="n"/>
    </row>
    <row r="1442">
      <c r="A1442" s="1" t="n"/>
      <c r="B1442" s="26" t="n"/>
      <c r="C1442" s="27" t="n"/>
      <c r="D1442" s="30" t="n"/>
      <c r="E1442" s="30" t="n"/>
      <c r="F1442" s="28" t="n"/>
      <c r="G1442" s="1" t="n"/>
    </row>
    <row r="1443">
      <c r="A1443" s="1" t="n"/>
      <c r="B1443" s="26" t="n"/>
      <c r="C1443" s="27" t="n"/>
      <c r="D1443" s="30" t="n"/>
      <c r="E1443" s="30" t="n"/>
      <c r="F1443" s="28" t="n"/>
      <c r="G1443" s="1" t="n"/>
    </row>
    <row r="1444">
      <c r="A1444" s="1" t="n"/>
      <c r="B1444" s="26" t="n"/>
      <c r="C1444" s="27" t="n"/>
      <c r="D1444" s="30" t="n"/>
      <c r="E1444" s="30" t="n"/>
      <c r="F1444" s="28" t="n"/>
      <c r="G1444" s="1" t="n"/>
    </row>
    <row r="1445">
      <c r="A1445" s="1" t="n"/>
      <c r="B1445" s="26" t="n"/>
      <c r="C1445" s="27" t="n"/>
      <c r="D1445" s="30" t="n"/>
      <c r="E1445" s="30" t="n"/>
      <c r="F1445" s="28" t="n"/>
      <c r="G1445" s="1" t="n"/>
    </row>
    <row r="1446">
      <c r="A1446" s="1" t="n"/>
      <c r="B1446" s="26" t="n"/>
      <c r="C1446" s="27" t="n"/>
      <c r="D1446" s="30" t="n"/>
      <c r="E1446" s="30" t="n"/>
      <c r="F1446" s="28" t="n"/>
      <c r="G1446" s="1" t="n"/>
    </row>
    <row r="1447">
      <c r="A1447" s="1" t="n"/>
      <c r="B1447" s="26" t="n"/>
      <c r="C1447" s="27" t="n"/>
      <c r="D1447" s="30" t="n"/>
      <c r="E1447" s="30" t="n"/>
      <c r="F1447" s="28" t="n"/>
      <c r="G1447" s="1" t="n"/>
    </row>
    <row r="1448">
      <c r="A1448" s="1" t="n"/>
      <c r="B1448" s="26" t="n"/>
      <c r="C1448" s="27" t="n"/>
      <c r="D1448" s="30" t="n"/>
      <c r="E1448" s="30" t="n"/>
      <c r="F1448" s="28" t="n"/>
      <c r="G1448" s="1" t="n"/>
    </row>
    <row r="1449">
      <c r="A1449" s="1" t="n"/>
      <c r="B1449" s="26" t="n"/>
      <c r="C1449" s="27" t="n"/>
      <c r="D1449" s="30" t="n"/>
      <c r="E1449" s="30" t="n"/>
      <c r="F1449" s="28" t="n"/>
      <c r="G1449" s="1" t="n"/>
    </row>
    <row r="1450">
      <c r="A1450" s="1" t="n"/>
      <c r="B1450" s="26" t="n"/>
      <c r="C1450" s="27" t="n"/>
      <c r="D1450" s="30" t="n"/>
      <c r="E1450" s="30" t="n"/>
      <c r="F1450" s="28" t="n"/>
      <c r="G1450" s="1" t="n"/>
    </row>
    <row r="1451">
      <c r="A1451" s="1" t="n"/>
      <c r="B1451" s="26" t="n"/>
      <c r="C1451" s="27" t="n"/>
      <c r="D1451" s="30" t="n"/>
      <c r="E1451" s="30" t="n"/>
      <c r="F1451" s="28" t="n"/>
      <c r="G1451" s="1" t="n"/>
    </row>
    <row r="1452">
      <c r="A1452" s="1" t="n"/>
      <c r="B1452" s="26" t="n"/>
      <c r="C1452" s="27" t="n"/>
      <c r="D1452" s="30" t="n"/>
      <c r="E1452" s="30" t="n"/>
      <c r="F1452" s="28" t="n"/>
      <c r="G1452" s="1" t="n"/>
    </row>
    <row r="1453">
      <c r="A1453" s="1" t="n"/>
      <c r="B1453" s="26" t="n"/>
      <c r="C1453" s="27" t="n"/>
      <c r="D1453" s="30" t="n"/>
      <c r="E1453" s="30" t="n"/>
      <c r="F1453" s="28" t="n"/>
      <c r="G1453" s="1" t="n"/>
    </row>
    <row r="1454">
      <c r="A1454" s="1" t="n"/>
      <c r="B1454" s="26" t="n"/>
      <c r="C1454" s="27" t="n"/>
      <c r="D1454" s="30" t="n"/>
      <c r="E1454" s="30" t="n"/>
      <c r="F1454" s="28" t="n"/>
      <c r="G1454" s="1" t="n"/>
    </row>
    <row r="1455">
      <c r="A1455" s="1" t="n"/>
      <c r="B1455" s="26" t="n"/>
      <c r="C1455" s="27" t="n"/>
      <c r="D1455" s="30" t="n"/>
      <c r="E1455" s="30" t="n"/>
      <c r="F1455" s="28" t="n"/>
      <c r="G1455" s="1" t="n"/>
    </row>
    <row r="1456">
      <c r="A1456" s="1" t="n"/>
      <c r="B1456" s="26" t="n"/>
      <c r="C1456" s="27" t="n"/>
      <c r="D1456" s="30" t="n"/>
      <c r="E1456" s="30" t="n"/>
      <c r="F1456" s="28" t="n"/>
      <c r="G1456" s="1" t="n"/>
    </row>
    <row r="1457">
      <c r="A1457" s="1" t="n"/>
      <c r="B1457" s="26" t="n"/>
      <c r="C1457" s="27" t="n"/>
      <c r="D1457" s="30" t="n"/>
      <c r="E1457" s="30" t="n"/>
      <c r="F1457" s="28" t="n"/>
      <c r="G1457" s="1" t="n"/>
    </row>
    <row r="1458">
      <c r="A1458" s="1" t="n"/>
      <c r="B1458" s="26" t="n"/>
      <c r="C1458" s="27" t="n"/>
      <c r="D1458" s="30" t="n"/>
      <c r="E1458" s="30" t="n"/>
      <c r="F1458" s="28" t="n"/>
      <c r="G1458" s="1" t="n"/>
    </row>
    <row r="1459">
      <c r="A1459" s="1" t="n"/>
      <c r="B1459" s="26" t="n"/>
      <c r="C1459" s="27" t="n"/>
      <c r="D1459" s="30" t="n"/>
      <c r="E1459" s="30" t="n"/>
      <c r="F1459" s="28" t="n"/>
      <c r="G1459" s="1" t="n"/>
    </row>
    <row r="1460">
      <c r="A1460" s="1" t="n"/>
      <c r="B1460" s="26" t="n"/>
      <c r="C1460" s="27" t="n"/>
      <c r="D1460" s="30" t="n"/>
      <c r="E1460" s="30" t="n"/>
      <c r="F1460" s="28" t="n"/>
      <c r="G1460" s="1" t="n"/>
    </row>
    <row r="1461">
      <c r="A1461" s="1" t="n"/>
      <c r="B1461" s="26" t="n"/>
      <c r="C1461" s="27" t="n"/>
      <c r="D1461" s="30" t="n"/>
      <c r="E1461" s="30" t="n"/>
      <c r="F1461" s="28" t="n"/>
      <c r="G1461" s="1" t="n"/>
    </row>
    <row r="1462">
      <c r="A1462" s="1" t="n"/>
      <c r="B1462" s="26" t="n"/>
      <c r="C1462" s="27" t="n"/>
      <c r="D1462" s="30" t="n"/>
      <c r="E1462" s="30" t="n"/>
      <c r="F1462" s="28" t="n"/>
      <c r="G1462" s="1" t="n"/>
    </row>
    <row r="1463">
      <c r="A1463" s="1" t="n"/>
      <c r="B1463" s="26" t="n"/>
      <c r="C1463" s="27" t="n"/>
      <c r="D1463" s="30" t="n"/>
      <c r="E1463" s="30" t="n"/>
      <c r="F1463" s="28" t="n"/>
      <c r="G1463" s="1" t="n"/>
    </row>
    <row r="1464">
      <c r="A1464" s="1" t="n"/>
      <c r="B1464" s="26" t="n"/>
      <c r="C1464" s="27" t="n"/>
      <c r="D1464" s="30" t="n"/>
      <c r="E1464" s="30" t="n"/>
      <c r="F1464" s="28" t="n"/>
      <c r="G1464" s="1" t="n"/>
    </row>
    <row r="1465">
      <c r="A1465" s="1" t="n"/>
      <c r="B1465" s="26" t="n"/>
      <c r="C1465" s="27" t="n"/>
      <c r="D1465" s="30" t="n"/>
      <c r="E1465" s="30" t="n"/>
      <c r="F1465" s="28" t="n"/>
      <c r="G1465" s="1" t="n"/>
    </row>
    <row r="1466">
      <c r="A1466" s="1" t="n"/>
      <c r="B1466" s="26" t="n"/>
      <c r="C1466" s="27" t="n"/>
      <c r="D1466" s="30" t="n"/>
      <c r="E1466" s="30" t="n"/>
      <c r="F1466" s="28" t="n"/>
      <c r="G1466" s="1" t="n"/>
    </row>
    <row r="1467">
      <c r="A1467" s="1" t="n"/>
      <c r="B1467" s="26" t="n"/>
      <c r="C1467" s="27" t="n"/>
      <c r="D1467" s="30" t="n"/>
      <c r="E1467" s="30" t="n"/>
      <c r="F1467" s="28" t="n"/>
      <c r="G1467" s="1" t="n"/>
    </row>
    <row r="1468">
      <c r="A1468" s="1" t="n"/>
      <c r="B1468" s="26" t="n"/>
      <c r="C1468" s="27" t="n"/>
      <c r="D1468" s="30" t="n"/>
      <c r="E1468" s="30" t="n"/>
      <c r="F1468" s="28" t="n"/>
      <c r="G1468" s="1" t="n"/>
    </row>
    <row r="1469">
      <c r="A1469" s="1" t="n"/>
      <c r="B1469" s="26" t="n"/>
      <c r="C1469" s="27" t="n"/>
      <c r="D1469" s="30" t="n"/>
      <c r="E1469" s="30" t="n"/>
      <c r="F1469" s="28" t="n"/>
      <c r="G1469" s="1" t="n"/>
    </row>
    <row r="1470">
      <c r="A1470" s="1" t="n"/>
      <c r="B1470" s="26" t="n"/>
      <c r="C1470" s="27" t="n"/>
      <c r="D1470" s="30" t="n"/>
      <c r="E1470" s="30" t="n"/>
      <c r="F1470" s="28" t="n"/>
      <c r="G1470" s="1" t="n"/>
    </row>
    <row r="1471">
      <c r="A1471" s="1" t="n"/>
      <c r="B1471" s="26" t="n"/>
      <c r="C1471" s="27" t="n"/>
      <c r="D1471" s="30" t="n"/>
      <c r="E1471" s="30" t="n"/>
      <c r="F1471" s="28" t="n"/>
      <c r="G1471" s="1" t="n"/>
    </row>
    <row r="1472">
      <c r="A1472" s="1" t="n"/>
      <c r="B1472" s="26" t="n"/>
      <c r="C1472" s="27" t="n"/>
      <c r="D1472" s="30" t="n"/>
      <c r="E1472" s="30" t="n"/>
      <c r="F1472" s="28" t="n"/>
      <c r="G1472" s="1" t="n"/>
    </row>
    <row r="1473">
      <c r="A1473" s="1" t="n"/>
      <c r="B1473" s="26" t="n"/>
      <c r="C1473" s="27" t="n"/>
      <c r="D1473" s="30" t="n"/>
      <c r="E1473" s="30" t="n"/>
      <c r="F1473" s="28" t="n"/>
      <c r="G1473" s="1" t="n"/>
    </row>
    <row r="1474">
      <c r="A1474" s="1" t="n"/>
      <c r="B1474" s="26" t="n"/>
      <c r="C1474" s="27" t="n"/>
      <c r="D1474" s="30" t="n"/>
      <c r="E1474" s="30" t="n"/>
      <c r="F1474" s="28" t="n"/>
      <c r="G1474" s="1" t="n"/>
    </row>
    <row r="1475">
      <c r="A1475" s="1" t="n"/>
      <c r="B1475" s="26" t="n"/>
      <c r="C1475" s="27" t="n"/>
      <c r="D1475" s="30" t="n"/>
      <c r="E1475" s="30" t="n"/>
      <c r="F1475" s="28" t="n"/>
      <c r="G1475" s="1" t="n"/>
    </row>
    <row r="1476">
      <c r="A1476" s="1" t="n"/>
      <c r="B1476" s="26" t="n"/>
      <c r="C1476" s="27" t="n"/>
      <c r="D1476" s="30" t="n"/>
      <c r="E1476" s="30" t="n"/>
      <c r="F1476" s="28" t="n"/>
      <c r="G1476" s="1" t="n"/>
    </row>
    <row r="1477">
      <c r="A1477" s="1" t="n"/>
      <c r="B1477" s="26" t="n"/>
      <c r="C1477" s="27" t="n"/>
      <c r="D1477" s="30" t="n"/>
      <c r="E1477" s="30" t="n"/>
      <c r="F1477" s="28" t="n"/>
      <c r="G1477" s="1" t="n"/>
    </row>
    <row r="1478">
      <c r="A1478" s="1" t="n"/>
      <c r="B1478" s="26" t="n"/>
      <c r="C1478" s="27" t="n"/>
      <c r="D1478" s="30" t="n"/>
      <c r="E1478" s="30" t="n"/>
      <c r="F1478" s="28" t="n"/>
      <c r="G1478" s="1" t="n"/>
    </row>
    <row r="1479">
      <c r="A1479" s="1" t="n"/>
      <c r="B1479" s="26" t="n"/>
      <c r="C1479" s="27" t="n"/>
      <c r="D1479" s="30" t="n"/>
      <c r="E1479" s="30" t="n"/>
      <c r="F1479" s="28" t="n"/>
      <c r="G1479" s="1" t="n"/>
    </row>
    <row r="1480">
      <c r="A1480" s="1" t="n"/>
      <c r="B1480" s="26" t="n"/>
      <c r="C1480" s="27" t="n"/>
      <c r="D1480" s="30" t="n"/>
      <c r="E1480" s="30" t="n"/>
      <c r="F1480" s="28" t="n"/>
      <c r="G1480" s="1" t="n"/>
    </row>
    <row r="1481">
      <c r="A1481" s="1" t="n"/>
      <c r="B1481" s="26" t="n"/>
      <c r="C1481" s="27" t="n"/>
      <c r="D1481" s="30" t="n"/>
      <c r="E1481" s="30" t="n"/>
      <c r="F1481" s="28" t="n"/>
      <c r="G1481" s="1" t="n"/>
    </row>
    <row r="1482">
      <c r="A1482" s="1" t="n"/>
      <c r="B1482" s="26" t="n"/>
      <c r="C1482" s="27" t="n"/>
      <c r="D1482" s="30" t="n"/>
      <c r="E1482" s="30" t="n"/>
      <c r="F1482" s="28" t="n"/>
      <c r="G1482" s="1" t="n"/>
    </row>
    <row r="1483">
      <c r="A1483" s="1" t="n"/>
      <c r="B1483" s="26" t="n"/>
      <c r="C1483" s="27" t="n"/>
      <c r="D1483" s="30" t="n"/>
      <c r="E1483" s="30" t="n"/>
      <c r="F1483" s="28" t="n"/>
      <c r="G1483" s="1" t="n"/>
    </row>
    <row r="1484">
      <c r="A1484" s="1" t="n"/>
      <c r="B1484" s="26" t="n"/>
      <c r="C1484" s="27" t="n"/>
      <c r="D1484" s="30" t="n"/>
      <c r="E1484" s="30" t="n"/>
      <c r="F1484" s="28" t="n"/>
      <c r="G1484" s="1" t="n"/>
    </row>
    <row r="1485">
      <c r="A1485" s="1" t="n"/>
      <c r="B1485" s="26" t="n"/>
      <c r="C1485" s="27" t="n"/>
      <c r="D1485" s="30" t="n"/>
      <c r="E1485" s="30" t="n"/>
      <c r="F1485" s="28" t="n"/>
      <c r="G1485" s="1" t="n"/>
    </row>
    <row r="1486">
      <c r="A1486" s="1" t="n"/>
      <c r="B1486" s="26" t="n"/>
      <c r="C1486" s="27" t="n"/>
      <c r="D1486" s="30" t="n"/>
      <c r="E1486" s="30" t="n"/>
      <c r="F1486" s="28" t="n"/>
      <c r="G1486" s="1" t="n"/>
    </row>
    <row r="1487">
      <c r="A1487" s="1" t="n"/>
      <c r="B1487" s="26" t="n"/>
      <c r="C1487" s="27" t="n"/>
      <c r="D1487" s="30" t="n"/>
      <c r="E1487" s="30" t="n"/>
      <c r="F1487" s="28" t="n"/>
      <c r="G1487" s="1" t="n"/>
    </row>
    <row r="1488">
      <c r="A1488" s="1" t="n"/>
      <c r="B1488" s="26" t="n"/>
      <c r="C1488" s="27" t="n"/>
      <c r="D1488" s="30" t="n"/>
      <c r="E1488" s="30" t="n"/>
      <c r="F1488" s="28" t="n"/>
      <c r="G1488" s="1" t="n"/>
    </row>
    <row r="1489">
      <c r="A1489" s="1" t="n"/>
      <c r="B1489" s="26" t="n"/>
      <c r="C1489" s="27" t="n"/>
      <c r="D1489" s="30" t="n"/>
      <c r="E1489" s="30" t="n"/>
      <c r="F1489" s="28" t="n"/>
      <c r="G1489" s="1" t="n"/>
    </row>
    <row r="1490">
      <c r="A1490" s="1" t="n"/>
      <c r="B1490" s="26" t="n"/>
      <c r="C1490" s="27" t="n"/>
      <c r="D1490" s="30" t="n"/>
      <c r="E1490" s="30" t="n"/>
      <c r="F1490" s="28" t="n"/>
      <c r="G1490" s="1" t="n"/>
    </row>
    <row r="1491">
      <c r="A1491" s="1" t="n"/>
      <c r="B1491" s="26" t="n"/>
      <c r="C1491" s="27" t="n"/>
      <c r="D1491" s="30" t="n"/>
      <c r="E1491" s="30" t="n"/>
      <c r="F1491" s="28" t="n"/>
      <c r="G1491" s="1" t="n"/>
    </row>
    <row r="1492">
      <c r="A1492" s="1" t="n"/>
      <c r="B1492" s="26" t="n"/>
      <c r="C1492" s="27" t="n"/>
      <c r="D1492" s="30" t="n"/>
      <c r="E1492" s="30" t="n"/>
      <c r="F1492" s="28" t="n"/>
      <c r="G1492" s="1" t="n"/>
    </row>
    <row r="1493">
      <c r="A1493" s="1" t="n"/>
      <c r="B1493" s="26" t="n"/>
      <c r="C1493" s="27" t="n"/>
      <c r="D1493" s="30" t="n"/>
      <c r="E1493" s="30" t="n"/>
      <c r="F1493" s="28" t="n"/>
      <c r="G1493" s="1" t="n"/>
    </row>
    <row r="1494">
      <c r="A1494" s="1" t="n"/>
      <c r="B1494" s="26" t="n"/>
      <c r="C1494" s="27" t="n"/>
      <c r="D1494" s="30" t="n"/>
      <c r="E1494" s="30" t="n"/>
      <c r="F1494" s="28" t="n"/>
      <c r="G1494" s="1" t="n"/>
    </row>
    <row r="1495">
      <c r="A1495" s="1" t="n"/>
      <c r="B1495" s="26" t="n"/>
      <c r="C1495" s="27" t="n"/>
      <c r="D1495" s="30" t="n"/>
      <c r="E1495" s="30" t="n"/>
      <c r="F1495" s="28" t="n"/>
      <c r="G1495" s="1" t="n"/>
    </row>
    <row r="1496">
      <c r="A1496" s="1" t="n"/>
      <c r="B1496" s="26" t="n"/>
      <c r="C1496" s="27" t="n"/>
      <c r="D1496" s="30" t="n"/>
      <c r="E1496" s="30" t="n"/>
      <c r="F1496" s="28" t="n"/>
      <c r="G1496" s="1" t="n"/>
    </row>
    <row r="1497">
      <c r="A1497" s="1" t="n"/>
      <c r="B1497" s="26" t="n"/>
      <c r="C1497" s="27" t="n"/>
      <c r="D1497" s="30" t="n"/>
      <c r="E1497" s="30" t="n"/>
      <c r="F1497" s="28" t="n"/>
      <c r="G1497" s="1" t="n"/>
    </row>
    <row r="1498">
      <c r="A1498" s="1" t="n"/>
      <c r="B1498" s="26" t="n"/>
      <c r="C1498" s="27" t="n"/>
      <c r="D1498" s="30" t="n"/>
      <c r="E1498" s="30" t="n"/>
      <c r="F1498" s="28" t="n"/>
      <c r="G1498" s="1" t="n"/>
    </row>
    <row r="1499">
      <c r="A1499" s="1" t="n"/>
      <c r="B1499" s="26" t="n"/>
      <c r="C1499" s="27" t="n"/>
      <c r="D1499" s="30" t="n"/>
      <c r="E1499" s="30" t="n"/>
      <c r="F1499" s="28" t="n"/>
      <c r="G1499" s="1" t="n"/>
    </row>
    <row r="1500">
      <c r="A1500" s="1" t="n"/>
      <c r="B1500" s="26" t="n"/>
      <c r="C1500" s="27" t="n"/>
      <c r="D1500" s="30" t="n"/>
      <c r="E1500" s="30" t="n"/>
      <c r="F1500" s="28" t="n"/>
      <c r="G1500" s="1" t="n"/>
    </row>
    <row r="1501">
      <c r="A1501" s="1" t="n"/>
      <c r="B1501" s="26" t="n"/>
      <c r="C1501" s="27" t="n"/>
      <c r="D1501" s="30" t="n"/>
      <c r="E1501" s="30" t="n"/>
      <c r="F1501" s="28" t="n"/>
      <c r="G1501" s="1" t="n"/>
    </row>
    <row r="1502">
      <c r="A1502" s="1" t="n"/>
      <c r="B1502" s="26" t="n"/>
      <c r="C1502" s="27" t="n"/>
      <c r="D1502" s="30" t="n"/>
      <c r="E1502" s="30" t="n"/>
      <c r="F1502" s="28" t="n"/>
      <c r="G1502" s="1" t="n"/>
    </row>
    <row r="1503">
      <c r="A1503" s="1" t="n"/>
      <c r="B1503" s="26" t="n"/>
      <c r="C1503" s="27" t="n"/>
      <c r="D1503" s="30" t="n"/>
      <c r="E1503" s="30" t="n"/>
      <c r="F1503" s="28" t="n"/>
      <c r="G1503" s="1" t="n"/>
    </row>
    <row r="1504">
      <c r="A1504" s="1" t="n"/>
      <c r="B1504" s="26" t="n"/>
      <c r="C1504" s="27" t="n"/>
      <c r="D1504" s="30" t="n"/>
      <c r="E1504" s="30" t="n"/>
      <c r="F1504" s="28" t="n"/>
      <c r="G1504" s="1" t="n"/>
    </row>
    <row r="1505">
      <c r="A1505" s="1" t="n"/>
      <c r="B1505" s="26" t="n"/>
      <c r="C1505" s="27" t="n"/>
      <c r="D1505" s="30" t="n"/>
      <c r="E1505" s="30" t="n"/>
      <c r="F1505" s="28" t="n"/>
      <c r="G1505" s="1" t="n"/>
    </row>
    <row r="1506">
      <c r="A1506" s="1" t="n"/>
      <c r="B1506" s="26" t="n"/>
      <c r="C1506" s="27" t="n"/>
      <c r="D1506" s="30" t="n"/>
      <c r="E1506" s="30" t="n"/>
      <c r="F1506" s="28" t="n"/>
      <c r="G1506" s="1" t="n"/>
    </row>
    <row r="1507">
      <c r="A1507" s="1" t="n"/>
      <c r="B1507" s="26" t="n"/>
      <c r="C1507" s="27" t="n"/>
      <c r="D1507" s="30" t="n"/>
      <c r="E1507" s="30" t="n"/>
      <c r="F1507" s="28" t="n"/>
      <c r="G1507" s="1" t="n"/>
    </row>
    <row r="1508">
      <c r="A1508" s="1" t="n"/>
      <c r="B1508" s="26" t="n"/>
      <c r="C1508" s="27" t="n"/>
      <c r="D1508" s="30" t="n"/>
      <c r="E1508" s="30" t="n"/>
      <c r="F1508" s="28" t="n"/>
      <c r="G1508" s="1" t="n"/>
    </row>
    <row r="1509">
      <c r="A1509" s="1" t="n"/>
      <c r="B1509" s="26" t="n"/>
      <c r="C1509" s="27" t="n"/>
      <c r="D1509" s="30" t="n"/>
      <c r="E1509" s="30" t="n"/>
      <c r="F1509" s="28" t="n"/>
      <c r="G1509" s="1" t="n"/>
    </row>
    <row r="1510">
      <c r="A1510" s="1" t="n"/>
      <c r="B1510" s="26" t="n"/>
      <c r="C1510" s="27" t="n"/>
      <c r="D1510" s="30" t="n"/>
      <c r="E1510" s="30" t="n"/>
      <c r="F1510" s="28" t="n"/>
      <c r="G1510" s="1" t="n"/>
    </row>
    <row r="1511">
      <c r="A1511" s="1" t="n"/>
      <c r="B1511" s="26" t="n"/>
      <c r="C1511" s="27" t="n"/>
      <c r="D1511" s="30" t="n"/>
      <c r="E1511" s="30" t="n"/>
      <c r="F1511" s="28" t="n"/>
      <c r="G1511" s="1" t="n"/>
    </row>
    <row r="1512">
      <c r="A1512" s="1" t="n"/>
      <c r="B1512" s="26" t="n"/>
      <c r="C1512" s="27" t="n"/>
      <c r="D1512" s="30" t="n"/>
      <c r="E1512" s="30" t="n"/>
      <c r="F1512" s="28" t="n"/>
      <c r="G1512" s="1" t="n"/>
    </row>
    <row r="1513">
      <c r="A1513" s="1" t="n"/>
      <c r="B1513" s="26" t="n"/>
      <c r="C1513" s="27" t="n"/>
      <c r="D1513" s="30" t="n"/>
      <c r="E1513" s="30" t="n"/>
      <c r="F1513" s="28" t="n"/>
      <c r="G1513" s="1" t="n"/>
    </row>
    <row r="1514">
      <c r="A1514" s="1" t="n"/>
      <c r="B1514" s="26" t="n"/>
      <c r="C1514" s="27" t="n"/>
      <c r="D1514" s="30" t="n"/>
      <c r="E1514" s="30" t="n"/>
      <c r="F1514" s="28" t="n"/>
      <c r="G1514" s="1" t="n"/>
    </row>
    <row r="1515">
      <c r="A1515" s="1" t="n"/>
      <c r="B1515" s="26" t="n"/>
      <c r="C1515" s="27" t="n"/>
      <c r="D1515" s="30" t="n"/>
      <c r="E1515" s="30" t="n"/>
      <c r="F1515" s="28" t="n"/>
      <c r="G1515" s="1" t="n"/>
    </row>
    <row r="1516">
      <c r="A1516" s="1" t="n"/>
      <c r="B1516" s="26" t="n"/>
      <c r="C1516" s="27" t="n"/>
      <c r="D1516" s="30" t="n"/>
      <c r="E1516" s="30" t="n"/>
      <c r="F1516" s="28" t="n"/>
      <c r="G1516" s="1" t="n"/>
    </row>
    <row r="1517">
      <c r="A1517" s="1" t="n"/>
      <c r="B1517" s="26" t="n"/>
      <c r="C1517" s="27" t="n"/>
      <c r="D1517" s="30" t="n"/>
      <c r="E1517" s="30" t="n"/>
      <c r="F1517" s="28" t="n"/>
      <c r="G1517" s="1" t="n"/>
    </row>
    <row r="1518">
      <c r="A1518" s="1" t="n"/>
      <c r="B1518" s="26" t="n"/>
      <c r="C1518" s="27" t="n"/>
      <c r="D1518" s="30" t="n"/>
      <c r="E1518" s="30" t="n"/>
      <c r="F1518" s="28" t="n"/>
      <c r="G1518" s="1" t="n"/>
    </row>
    <row r="1519">
      <c r="A1519" s="1" t="n"/>
      <c r="B1519" s="26" t="n"/>
      <c r="C1519" s="27" t="n"/>
      <c r="D1519" s="30" t="n"/>
      <c r="E1519" s="30" t="n"/>
      <c r="F1519" s="28" t="n"/>
      <c r="G1519" s="1" t="n"/>
    </row>
    <row r="1520">
      <c r="A1520" s="1" t="n"/>
      <c r="B1520" s="26" t="n"/>
      <c r="C1520" s="27" t="n"/>
      <c r="D1520" s="30" t="n"/>
      <c r="E1520" s="30" t="n"/>
      <c r="F1520" s="28" t="n"/>
      <c r="G1520" s="1" t="n"/>
    </row>
    <row r="1521">
      <c r="A1521" s="1" t="n"/>
      <c r="B1521" s="26" t="n"/>
      <c r="C1521" s="27" t="n"/>
      <c r="D1521" s="30" t="n"/>
      <c r="E1521" s="30" t="n"/>
      <c r="F1521" s="28" t="n"/>
      <c r="G1521" s="1" t="n"/>
    </row>
    <row r="1522">
      <c r="A1522" s="1" t="n"/>
      <c r="B1522" s="26" t="n"/>
      <c r="C1522" s="27" t="n"/>
      <c r="D1522" s="30" t="n"/>
      <c r="E1522" s="30" t="n"/>
      <c r="F1522" s="28" t="n"/>
      <c r="G1522" s="1" t="n"/>
    </row>
    <row r="1523">
      <c r="A1523" s="1" t="n"/>
      <c r="B1523" s="26" t="n"/>
      <c r="C1523" s="27" t="n"/>
      <c r="D1523" s="30" t="n"/>
      <c r="E1523" s="30" t="n"/>
      <c r="F1523" s="28" t="n"/>
      <c r="G1523" s="1" t="n"/>
    </row>
    <row r="1524">
      <c r="A1524" s="1" t="n"/>
      <c r="B1524" s="26" t="n"/>
      <c r="C1524" s="27" t="n"/>
      <c r="D1524" s="30" t="n"/>
      <c r="E1524" s="30" t="n"/>
      <c r="F1524" s="28" t="n"/>
      <c r="G1524" s="1" t="n"/>
    </row>
    <row r="1525">
      <c r="A1525" s="1" t="n"/>
      <c r="B1525" s="26" t="n"/>
      <c r="C1525" s="27" t="n"/>
      <c r="D1525" s="30" t="n"/>
      <c r="E1525" s="30" t="n"/>
      <c r="F1525" s="28" t="n"/>
      <c r="G1525" s="1" t="n"/>
    </row>
    <row r="1526">
      <c r="A1526" s="1" t="n"/>
      <c r="B1526" s="26" t="n"/>
      <c r="C1526" s="27" t="n"/>
      <c r="D1526" s="30" t="n"/>
      <c r="E1526" s="30" t="n"/>
      <c r="F1526" s="28" t="n"/>
      <c r="G1526" s="1" t="n"/>
    </row>
    <row r="1527">
      <c r="A1527" s="1" t="n"/>
      <c r="B1527" s="26" t="n"/>
      <c r="C1527" s="27" t="n"/>
      <c r="D1527" s="30" t="n"/>
      <c r="E1527" s="30" t="n"/>
      <c r="F1527" s="28" t="n"/>
      <c r="G1527" s="1" t="n"/>
    </row>
    <row r="1528">
      <c r="A1528" s="1" t="n"/>
      <c r="B1528" s="26" t="n"/>
      <c r="C1528" s="27" t="n"/>
      <c r="D1528" s="30" t="n"/>
      <c r="E1528" s="30" t="n"/>
      <c r="F1528" s="28" t="n"/>
      <c r="G1528" s="1" t="n"/>
    </row>
    <row r="1529">
      <c r="A1529" s="1" t="n"/>
      <c r="B1529" s="26" t="n"/>
      <c r="C1529" s="27" t="n"/>
      <c r="D1529" s="30" t="n"/>
      <c r="E1529" s="30" t="n"/>
      <c r="F1529" s="28" t="n"/>
      <c r="G1529" s="1" t="n"/>
    </row>
    <row r="1530">
      <c r="A1530" s="1" t="n"/>
      <c r="B1530" s="26" t="n"/>
      <c r="C1530" s="27" t="n"/>
      <c r="D1530" s="30" t="n"/>
      <c r="E1530" s="30" t="n"/>
      <c r="F1530" s="28" t="n"/>
      <c r="G1530" s="1" t="n"/>
    </row>
    <row r="1531">
      <c r="A1531" s="1" t="n"/>
      <c r="B1531" s="26" t="n"/>
      <c r="C1531" s="27" t="n"/>
      <c r="D1531" s="30" t="n"/>
      <c r="E1531" s="30" t="n"/>
      <c r="F1531" s="28" t="n"/>
      <c r="G1531" s="1" t="n"/>
    </row>
    <row r="1532">
      <c r="A1532" s="1" t="n"/>
      <c r="B1532" s="26" t="n"/>
      <c r="C1532" s="27" t="n"/>
      <c r="D1532" s="30" t="n"/>
      <c r="E1532" s="30" t="n"/>
      <c r="F1532" s="28" t="n"/>
      <c r="G1532" s="1" t="n"/>
    </row>
    <row r="1533">
      <c r="A1533" s="1" t="n"/>
      <c r="B1533" s="26" t="n"/>
      <c r="C1533" s="27" t="n"/>
      <c r="D1533" s="30" t="n"/>
      <c r="E1533" s="30" t="n"/>
      <c r="F1533" s="28" t="n"/>
      <c r="G1533" s="1" t="n"/>
    </row>
    <row r="1534">
      <c r="A1534" s="1" t="n"/>
      <c r="B1534" s="26" t="n"/>
      <c r="C1534" s="27" t="n"/>
      <c r="D1534" s="30" t="n"/>
      <c r="E1534" s="30" t="n"/>
      <c r="F1534" s="28" t="n"/>
      <c r="G1534" s="1" t="n"/>
    </row>
    <row r="1535">
      <c r="A1535" s="1" t="n"/>
      <c r="B1535" s="26" t="n"/>
      <c r="C1535" s="27" t="n"/>
      <c r="D1535" s="30" t="n"/>
      <c r="E1535" s="30" t="n"/>
      <c r="F1535" s="28" t="n"/>
      <c r="G1535" s="1" t="n"/>
    </row>
    <row r="1536">
      <c r="A1536" s="1" t="n"/>
      <c r="B1536" s="26" t="n"/>
      <c r="C1536" s="27" t="n"/>
      <c r="D1536" s="30" t="n"/>
      <c r="E1536" s="30" t="n"/>
      <c r="F1536" s="28" t="n"/>
      <c r="G1536" s="1" t="n"/>
    </row>
    <row r="1537">
      <c r="A1537" s="1" t="n"/>
      <c r="B1537" s="26" t="n"/>
      <c r="C1537" s="27" t="n"/>
      <c r="D1537" s="30" t="n"/>
      <c r="E1537" s="30" t="n"/>
      <c r="F1537" s="28" t="n"/>
      <c r="G1537" s="1" t="n"/>
    </row>
    <row r="1538">
      <c r="A1538" s="1" t="n"/>
      <c r="B1538" s="26" t="n"/>
      <c r="C1538" s="27" t="n"/>
      <c r="D1538" s="30" t="n"/>
      <c r="E1538" s="30" t="n"/>
      <c r="F1538" s="28" t="n"/>
      <c r="G1538" s="1" t="n"/>
    </row>
    <row r="1539">
      <c r="A1539" s="1" t="n"/>
      <c r="B1539" s="26" t="n"/>
      <c r="C1539" s="27" t="n"/>
      <c r="D1539" s="30" t="n"/>
      <c r="E1539" s="30" t="n"/>
      <c r="F1539" s="28" t="n"/>
      <c r="G1539" s="1" t="n"/>
    </row>
    <row r="1540">
      <c r="A1540" s="1" t="n"/>
      <c r="B1540" s="26" t="n"/>
      <c r="C1540" s="27" t="n"/>
      <c r="D1540" s="30" t="n"/>
      <c r="E1540" s="30" t="n"/>
      <c r="F1540" s="28" t="n"/>
      <c r="G1540" s="1" t="n"/>
    </row>
    <row r="1541">
      <c r="A1541" s="1" t="n"/>
      <c r="B1541" s="26" t="n"/>
      <c r="C1541" s="27" t="n"/>
      <c r="D1541" s="30" t="n"/>
      <c r="E1541" s="30" t="n"/>
      <c r="F1541" s="28" t="n"/>
      <c r="G1541" s="1" t="n"/>
    </row>
    <row r="1542">
      <c r="A1542" s="1" t="n"/>
      <c r="B1542" s="26" t="n"/>
      <c r="C1542" s="27" t="n"/>
      <c r="D1542" s="30" t="n"/>
      <c r="E1542" s="30" t="n"/>
      <c r="F1542" s="28" t="n"/>
      <c r="G1542" s="1" t="n"/>
    </row>
    <row r="1543">
      <c r="A1543" s="1" t="n"/>
      <c r="B1543" s="26" t="n"/>
      <c r="C1543" s="27" t="n"/>
      <c r="D1543" s="30" t="n"/>
      <c r="E1543" s="30" t="n"/>
      <c r="F1543" s="28" t="n"/>
      <c r="G1543" s="1" t="n"/>
    </row>
    <row r="1544">
      <c r="A1544" s="1" t="n"/>
      <c r="B1544" s="26" t="n"/>
      <c r="C1544" s="27" t="n"/>
      <c r="D1544" s="30" t="n"/>
      <c r="E1544" s="30" t="n"/>
      <c r="F1544" s="28" t="n"/>
      <c r="G1544" s="1" t="n"/>
    </row>
    <row r="1545">
      <c r="A1545" s="1" t="n"/>
      <c r="B1545" s="26" t="n"/>
      <c r="C1545" s="27" t="n"/>
      <c r="D1545" s="30" t="n"/>
      <c r="E1545" s="30" t="n"/>
      <c r="F1545" s="28" t="n"/>
      <c r="G1545" s="1" t="n"/>
    </row>
    <row r="1546">
      <c r="A1546" s="1" t="n"/>
      <c r="B1546" s="26" t="n"/>
      <c r="C1546" s="27" t="n"/>
      <c r="D1546" s="30" t="n"/>
      <c r="E1546" s="30" t="n"/>
      <c r="F1546" s="28" t="n"/>
      <c r="G1546" s="1" t="n"/>
    </row>
    <row r="1547">
      <c r="A1547" s="1" t="n"/>
      <c r="B1547" s="26" t="n"/>
      <c r="C1547" s="27" t="n"/>
      <c r="D1547" s="30" t="n"/>
      <c r="E1547" s="30" t="n"/>
      <c r="F1547" s="28" t="n"/>
      <c r="G1547" s="1" t="n"/>
    </row>
    <row r="1548">
      <c r="A1548" s="1" t="n"/>
      <c r="B1548" s="26" t="n"/>
      <c r="C1548" s="27" t="n"/>
      <c r="D1548" s="30" t="n"/>
      <c r="E1548" s="30" t="n"/>
      <c r="F1548" s="28" t="n"/>
      <c r="G1548" s="1" t="n"/>
    </row>
    <row r="1549">
      <c r="A1549" s="1" t="n"/>
      <c r="B1549" s="26" t="n"/>
      <c r="C1549" s="27" t="n"/>
      <c r="D1549" s="30" t="n"/>
      <c r="E1549" s="30" t="n"/>
      <c r="F1549" s="28" t="n"/>
      <c r="G1549" s="1" t="n"/>
    </row>
    <row r="1550">
      <c r="A1550" s="1" t="n"/>
      <c r="B1550" s="26" t="n"/>
      <c r="C1550" s="27" t="n"/>
      <c r="D1550" s="30" t="n"/>
      <c r="E1550" s="30" t="n"/>
      <c r="F1550" s="28" t="n"/>
      <c r="G1550" s="1" t="n"/>
    </row>
    <row r="1551">
      <c r="A1551" s="1" t="n"/>
      <c r="B1551" s="26" t="n"/>
      <c r="C1551" s="27" t="n"/>
      <c r="D1551" s="30" t="n"/>
      <c r="E1551" s="30" t="n"/>
      <c r="F1551" s="28" t="n"/>
      <c r="G1551" s="1" t="n"/>
    </row>
    <row r="1552">
      <c r="A1552" s="1" t="n"/>
      <c r="B1552" s="26" t="n"/>
      <c r="C1552" s="27" t="n"/>
      <c r="D1552" s="30" t="n"/>
      <c r="E1552" s="30" t="n"/>
      <c r="F1552" s="28" t="n"/>
      <c r="G1552" s="1" t="n"/>
    </row>
    <row r="1553">
      <c r="A1553" s="1" t="n"/>
      <c r="B1553" s="26" t="n"/>
      <c r="C1553" s="27" t="n"/>
      <c r="D1553" s="30" t="n"/>
      <c r="E1553" s="30" t="n"/>
      <c r="F1553" s="28" t="n"/>
      <c r="G1553" s="1" t="n"/>
    </row>
    <row r="1554">
      <c r="A1554" s="1" t="n"/>
      <c r="B1554" s="26" t="n"/>
      <c r="C1554" s="27" t="n"/>
      <c r="D1554" s="30" t="n"/>
      <c r="E1554" s="30" t="n"/>
      <c r="F1554" s="28" t="n"/>
      <c r="G1554" s="1" t="n"/>
    </row>
    <row r="1555">
      <c r="A1555" s="1" t="n"/>
      <c r="B1555" s="26" t="n"/>
      <c r="C1555" s="27" t="n"/>
      <c r="D1555" s="30" t="n"/>
      <c r="E1555" s="30" t="n"/>
      <c r="F1555" s="28" t="n"/>
      <c r="G1555" s="1" t="n"/>
    </row>
    <row r="1556">
      <c r="A1556" s="1" t="n"/>
      <c r="B1556" s="26" t="n"/>
      <c r="C1556" s="27" t="n"/>
      <c r="D1556" s="30" t="n"/>
      <c r="E1556" s="30" t="n"/>
      <c r="F1556" s="28" t="n"/>
      <c r="G1556" s="1" t="n"/>
    </row>
    <row r="1557">
      <c r="A1557" s="1" t="n"/>
      <c r="B1557" s="26" t="n"/>
      <c r="C1557" s="27" t="n"/>
      <c r="D1557" s="30" t="n"/>
      <c r="E1557" s="30" t="n"/>
      <c r="F1557" s="28" t="n"/>
      <c r="G1557" s="1" t="n"/>
    </row>
    <row r="1558">
      <c r="A1558" s="1" t="n"/>
      <c r="B1558" s="26" t="n"/>
      <c r="C1558" s="27" t="n"/>
      <c r="D1558" s="30" t="n"/>
      <c r="E1558" s="30" t="n"/>
      <c r="F1558" s="28" t="n"/>
      <c r="G1558" s="1" t="n"/>
    </row>
    <row r="1559">
      <c r="A1559" s="1" t="n"/>
      <c r="B1559" s="26" t="n"/>
      <c r="C1559" s="27" t="n"/>
      <c r="D1559" s="30" t="n"/>
      <c r="E1559" s="30" t="n"/>
      <c r="F1559" s="28" t="n"/>
      <c r="G1559" s="1" t="n"/>
    </row>
    <row r="1560">
      <c r="A1560" s="1" t="n"/>
      <c r="B1560" s="26" t="n"/>
      <c r="C1560" s="27" t="n"/>
      <c r="D1560" s="30" t="n"/>
      <c r="E1560" s="30" t="n"/>
      <c r="F1560" s="28" t="n"/>
      <c r="G1560" s="1" t="n"/>
    </row>
    <row r="1561">
      <c r="A1561" s="1" t="n"/>
      <c r="B1561" s="26" t="n"/>
      <c r="C1561" s="27" t="n"/>
      <c r="D1561" s="30" t="n"/>
      <c r="E1561" s="30" t="n"/>
      <c r="F1561" s="28" t="n"/>
      <c r="G1561" s="1" t="n"/>
    </row>
    <row r="1562">
      <c r="A1562" s="1" t="n"/>
      <c r="B1562" s="26" t="n"/>
      <c r="C1562" s="27" t="n"/>
      <c r="D1562" s="30" t="n"/>
      <c r="E1562" s="30" t="n"/>
      <c r="F1562" s="28" t="n"/>
      <c r="G1562" s="1" t="n"/>
    </row>
    <row r="1563">
      <c r="A1563" s="1" t="n"/>
      <c r="B1563" s="26" t="n"/>
      <c r="C1563" s="27" t="n"/>
      <c r="D1563" s="30" t="n"/>
      <c r="E1563" s="30" t="n"/>
      <c r="F1563" s="28" t="n"/>
      <c r="G1563" s="1" t="n"/>
    </row>
    <row r="1564">
      <c r="A1564" s="1" t="n"/>
      <c r="B1564" s="26" t="n"/>
      <c r="C1564" s="27" t="n"/>
      <c r="D1564" s="30" t="n"/>
      <c r="E1564" s="30" t="n"/>
      <c r="F1564" s="28" t="n"/>
      <c r="G1564" s="1" t="n"/>
    </row>
    <row r="1565">
      <c r="A1565" s="1" t="n"/>
      <c r="B1565" s="26" t="n"/>
      <c r="C1565" s="27" t="n"/>
      <c r="D1565" s="30" t="n"/>
      <c r="E1565" s="30" t="n"/>
      <c r="F1565" s="28" t="n"/>
      <c r="G1565" s="1" t="n"/>
    </row>
    <row r="1566">
      <c r="A1566" s="1" t="n"/>
      <c r="B1566" s="26" t="n"/>
      <c r="C1566" s="27" t="n"/>
      <c r="D1566" s="30" t="n"/>
      <c r="E1566" s="30" t="n"/>
      <c r="F1566" s="28" t="n"/>
      <c r="G1566" s="1" t="n"/>
    </row>
    <row r="1567">
      <c r="A1567" s="1" t="n"/>
      <c r="B1567" s="26" t="n"/>
      <c r="C1567" s="27" t="n"/>
      <c r="D1567" s="30" t="n"/>
      <c r="E1567" s="30" t="n"/>
      <c r="F1567" s="28" t="n"/>
      <c r="G1567" s="1" t="n"/>
    </row>
    <row r="1568">
      <c r="A1568" s="1" t="n"/>
      <c r="B1568" s="26" t="n"/>
      <c r="C1568" s="27" t="n"/>
      <c r="D1568" s="30" t="n"/>
      <c r="E1568" s="30" t="n"/>
      <c r="F1568" s="28" t="n"/>
      <c r="G1568" s="1" t="n"/>
    </row>
    <row r="1569">
      <c r="A1569" s="1" t="n"/>
      <c r="B1569" s="26" t="n"/>
      <c r="C1569" s="27" t="n"/>
      <c r="D1569" s="30" t="n"/>
      <c r="E1569" s="30" t="n"/>
      <c r="F1569" s="28" t="n"/>
      <c r="G1569" s="1" t="n"/>
    </row>
    <row r="1570">
      <c r="A1570" s="1" t="n"/>
      <c r="B1570" s="26" t="n"/>
      <c r="C1570" s="27" t="n"/>
      <c r="D1570" s="30" t="n"/>
      <c r="E1570" s="30" t="n"/>
      <c r="F1570" s="28" t="n"/>
      <c r="G1570" s="1" t="n"/>
    </row>
    <row r="1571">
      <c r="A1571" s="1" t="n"/>
      <c r="B1571" s="26" t="n"/>
      <c r="C1571" s="27" t="n"/>
      <c r="D1571" s="30" t="n"/>
      <c r="E1571" s="30" t="n"/>
      <c r="F1571" s="28" t="n"/>
      <c r="G1571" s="1" t="n"/>
    </row>
    <row r="1572">
      <c r="A1572" s="1" t="n"/>
      <c r="B1572" s="26" t="n"/>
      <c r="C1572" s="27" t="n"/>
      <c r="D1572" s="30" t="n"/>
      <c r="E1572" s="30" t="n"/>
      <c r="F1572" s="28" t="n"/>
      <c r="G1572" s="1" t="n"/>
    </row>
    <row r="1573">
      <c r="A1573" s="1" t="n"/>
      <c r="B1573" s="26" t="n"/>
      <c r="C1573" s="27" t="n"/>
      <c r="D1573" s="30" t="n"/>
      <c r="E1573" s="30" t="n"/>
      <c r="F1573" s="28" t="n"/>
      <c r="G1573" s="1" t="n"/>
    </row>
    <row r="1574">
      <c r="A1574" s="1" t="n"/>
      <c r="B1574" s="26" t="n"/>
      <c r="C1574" s="27" t="n"/>
      <c r="D1574" s="30" t="n"/>
      <c r="E1574" s="30" t="n"/>
      <c r="F1574" s="28" t="n"/>
      <c r="G1574" s="1" t="n"/>
    </row>
    <row r="1575">
      <c r="A1575" s="1" t="n"/>
      <c r="B1575" s="26" t="n"/>
      <c r="C1575" s="27" t="n"/>
      <c r="D1575" s="30" t="n"/>
      <c r="E1575" s="30" t="n"/>
      <c r="F1575" s="28" t="n"/>
      <c r="G1575" s="1" t="n"/>
    </row>
    <row r="1576">
      <c r="A1576" s="1" t="n"/>
      <c r="B1576" s="26" t="n"/>
      <c r="C1576" s="27" t="n"/>
      <c r="D1576" s="30" t="n"/>
      <c r="E1576" s="30" t="n"/>
      <c r="F1576" s="28" t="n"/>
      <c r="G1576" s="1" t="n"/>
    </row>
    <row r="1577">
      <c r="A1577" s="1" t="n"/>
      <c r="B1577" s="26" t="n"/>
      <c r="C1577" s="27" t="n"/>
      <c r="D1577" s="30" t="n"/>
      <c r="E1577" s="30" t="n"/>
      <c r="F1577" s="28" t="n"/>
      <c r="G1577" s="1" t="n"/>
    </row>
    <row r="1578">
      <c r="A1578" s="1" t="n"/>
      <c r="B1578" s="26" t="n"/>
      <c r="C1578" s="27" t="n"/>
      <c r="D1578" s="30" t="n"/>
      <c r="E1578" s="30" t="n"/>
      <c r="F1578" s="28" t="n"/>
      <c r="G1578" s="1" t="n"/>
    </row>
    <row r="1579">
      <c r="A1579" s="1" t="n"/>
      <c r="B1579" s="26" t="n"/>
      <c r="C1579" s="27" t="n"/>
      <c r="D1579" s="30" t="n"/>
      <c r="E1579" s="30" t="n"/>
      <c r="F1579" s="28" t="n"/>
      <c r="G1579" s="1" t="n"/>
    </row>
    <row r="1580">
      <c r="A1580" s="1" t="n"/>
      <c r="B1580" s="26" t="n"/>
      <c r="C1580" s="27" t="n"/>
      <c r="D1580" s="30" t="n"/>
      <c r="E1580" s="30" t="n"/>
      <c r="F1580" s="28" t="n"/>
      <c r="G1580" s="1" t="n"/>
    </row>
    <row r="1581">
      <c r="A1581" s="1" t="n"/>
      <c r="B1581" s="26" t="n"/>
      <c r="C1581" s="27" t="n"/>
      <c r="D1581" s="30" t="n"/>
      <c r="E1581" s="30" t="n"/>
      <c r="F1581" s="28" t="n"/>
      <c r="G1581" s="1" t="n"/>
    </row>
    <row r="1582">
      <c r="A1582" s="1" t="n"/>
      <c r="B1582" s="26" t="n"/>
      <c r="C1582" s="27" t="n"/>
      <c r="D1582" s="30" t="n"/>
      <c r="E1582" s="30" t="n"/>
      <c r="F1582" s="28" t="n"/>
      <c r="G1582" s="1" t="n"/>
    </row>
    <row r="1583">
      <c r="A1583" s="1" t="n"/>
      <c r="B1583" s="26" t="n"/>
      <c r="C1583" s="27" t="n"/>
      <c r="D1583" s="30" t="n"/>
      <c r="E1583" s="30" t="n"/>
      <c r="F1583" s="28" t="n"/>
      <c r="G1583" s="1" t="n"/>
    </row>
    <row r="1584">
      <c r="A1584" s="1" t="n"/>
      <c r="B1584" s="26" t="n"/>
      <c r="C1584" s="27" t="n"/>
      <c r="D1584" s="30" t="n"/>
      <c r="E1584" s="30" t="n"/>
      <c r="F1584" s="28" t="n"/>
      <c r="G1584" s="1" t="n"/>
    </row>
    <row r="1585">
      <c r="A1585" s="1" t="n"/>
      <c r="B1585" s="26" t="n"/>
      <c r="C1585" s="27" t="n"/>
      <c r="D1585" s="30" t="n"/>
      <c r="E1585" s="30" t="n"/>
      <c r="F1585" s="28" t="n"/>
      <c r="G1585" s="1" t="n"/>
    </row>
    <row r="1586">
      <c r="A1586" s="1" t="n"/>
      <c r="B1586" s="26" t="n"/>
      <c r="C1586" s="27" t="n"/>
      <c r="D1586" s="30" t="n"/>
      <c r="E1586" s="30" t="n"/>
      <c r="F1586" s="28" t="n"/>
      <c r="G1586" s="1" t="n"/>
    </row>
    <row r="1587">
      <c r="A1587" s="1" t="n"/>
      <c r="B1587" s="26" t="n"/>
      <c r="C1587" s="27" t="n"/>
      <c r="D1587" s="30" t="n"/>
      <c r="E1587" s="30" t="n"/>
      <c r="F1587" s="28" t="n"/>
      <c r="G1587" s="1" t="n"/>
    </row>
    <row r="1588">
      <c r="A1588" s="1" t="n"/>
      <c r="B1588" s="26" t="n"/>
      <c r="C1588" s="27" t="n"/>
      <c r="D1588" s="30" t="n"/>
      <c r="E1588" s="30" t="n"/>
      <c r="F1588" s="28" t="n"/>
      <c r="G1588" s="1" t="n"/>
    </row>
    <row r="1589">
      <c r="A1589" s="1" t="n"/>
      <c r="B1589" s="26" t="n"/>
      <c r="C1589" s="27" t="n"/>
      <c r="D1589" s="30" t="n"/>
      <c r="E1589" s="30" t="n"/>
      <c r="F1589" s="28" t="n"/>
      <c r="G1589" s="1" t="n"/>
    </row>
    <row r="1590">
      <c r="A1590" s="1" t="n"/>
      <c r="B1590" s="26" t="n"/>
      <c r="C1590" s="27" t="n"/>
      <c r="D1590" s="30" t="n"/>
      <c r="E1590" s="30" t="n"/>
      <c r="F1590" s="28" t="n"/>
      <c r="G1590" s="1" t="n"/>
    </row>
    <row r="1591">
      <c r="A1591" s="1" t="n"/>
      <c r="B1591" s="26" t="n"/>
      <c r="C1591" s="27" t="n"/>
      <c r="D1591" s="30" t="n"/>
      <c r="E1591" s="30" t="n"/>
      <c r="F1591" s="28" t="n"/>
      <c r="G1591" s="1" t="n"/>
    </row>
    <row r="1592">
      <c r="A1592" s="1" t="n"/>
      <c r="B1592" s="26" t="n"/>
      <c r="C1592" s="27" t="n"/>
      <c r="D1592" s="30" t="n"/>
      <c r="E1592" s="30" t="n"/>
      <c r="F1592" s="28" t="n"/>
      <c r="G1592" s="1" t="n"/>
    </row>
    <row r="1593">
      <c r="A1593" s="1" t="n"/>
      <c r="B1593" s="26" t="n"/>
      <c r="C1593" s="27" t="n"/>
      <c r="D1593" s="30" t="n"/>
      <c r="E1593" s="30" t="n"/>
      <c r="F1593" s="28" t="n"/>
      <c r="G1593" s="1" t="n"/>
    </row>
    <row r="1594">
      <c r="A1594" s="1" t="n"/>
      <c r="B1594" s="26" t="n"/>
      <c r="C1594" s="27" t="n"/>
      <c r="D1594" s="30" t="n"/>
      <c r="E1594" s="30" t="n"/>
      <c r="F1594" s="28" t="n"/>
      <c r="G1594" s="1" t="n"/>
    </row>
    <row r="1595">
      <c r="A1595" s="1" t="n"/>
      <c r="B1595" s="26" t="n"/>
      <c r="C1595" s="27" t="n"/>
      <c r="D1595" s="30" t="n"/>
      <c r="E1595" s="30" t="n"/>
      <c r="F1595" s="28" t="n"/>
      <c r="G1595" s="1" t="n"/>
    </row>
    <row r="1596">
      <c r="A1596" s="1" t="n"/>
      <c r="B1596" s="26" t="n"/>
      <c r="C1596" s="27" t="n"/>
      <c r="D1596" s="30" t="n"/>
      <c r="E1596" s="30" t="n"/>
      <c r="F1596" s="28" t="n"/>
      <c r="G1596" s="1" t="n"/>
    </row>
    <row r="1597">
      <c r="A1597" s="1" t="n"/>
      <c r="B1597" s="26" t="n"/>
      <c r="C1597" s="27" t="n"/>
      <c r="D1597" s="30" t="n"/>
      <c r="E1597" s="30" t="n"/>
      <c r="F1597" s="28" t="n"/>
      <c r="G1597" s="1" t="n"/>
    </row>
    <row r="1598">
      <c r="A1598" s="1" t="n"/>
      <c r="B1598" s="26" t="n"/>
      <c r="C1598" s="27" t="n"/>
      <c r="D1598" s="30" t="n"/>
      <c r="E1598" s="30" t="n"/>
      <c r="F1598" s="28" t="n"/>
      <c r="G1598" s="1" t="n"/>
    </row>
    <row r="1599">
      <c r="A1599" s="1" t="n"/>
      <c r="B1599" s="26" t="n"/>
      <c r="C1599" s="27" t="n"/>
      <c r="D1599" s="30" t="n"/>
      <c r="E1599" s="30" t="n"/>
      <c r="F1599" s="28" t="n"/>
      <c r="G1599" s="1" t="n"/>
    </row>
    <row r="1600">
      <c r="A1600" s="1" t="n"/>
      <c r="B1600" s="26" t="n"/>
      <c r="C1600" s="27" t="n"/>
      <c r="D1600" s="30" t="n"/>
      <c r="E1600" s="30" t="n"/>
      <c r="F1600" s="28" t="n"/>
      <c r="G1600" s="1" t="n"/>
    </row>
    <row r="1601">
      <c r="A1601" s="1" t="n"/>
      <c r="B1601" s="26" t="n"/>
      <c r="C1601" s="27" t="n"/>
      <c r="D1601" s="30" t="n"/>
      <c r="E1601" s="30" t="n"/>
      <c r="F1601" s="28" t="n"/>
      <c r="G1601" s="1" t="n"/>
    </row>
    <row r="1602">
      <c r="A1602" s="1" t="n"/>
      <c r="B1602" s="26" t="n"/>
      <c r="C1602" s="27" t="n"/>
      <c r="D1602" s="30" t="n"/>
      <c r="E1602" s="30" t="n"/>
      <c r="F1602" s="28" t="n"/>
      <c r="G1602" s="1" t="n"/>
    </row>
    <row r="1603">
      <c r="A1603" s="1" t="n"/>
      <c r="B1603" s="26" t="n"/>
      <c r="C1603" s="27" t="n"/>
      <c r="D1603" s="30" t="n"/>
      <c r="E1603" s="30" t="n"/>
      <c r="F1603" s="28" t="n"/>
      <c r="G1603" s="1" t="n"/>
    </row>
    <row r="1604">
      <c r="A1604" s="1" t="n"/>
      <c r="B1604" s="26" t="n"/>
      <c r="C1604" s="27" t="n"/>
      <c r="D1604" s="30" t="n"/>
      <c r="E1604" s="30" t="n"/>
      <c r="F1604" s="28" t="n"/>
      <c r="G1604" s="1" t="n"/>
    </row>
    <row r="1605">
      <c r="A1605" s="1" t="n"/>
      <c r="B1605" s="26" t="n"/>
      <c r="C1605" s="27" t="n"/>
      <c r="D1605" s="30" t="n"/>
      <c r="E1605" s="30" t="n"/>
      <c r="F1605" s="28" t="n"/>
      <c r="G1605" s="1" t="n"/>
    </row>
    <row r="1606">
      <c r="A1606" s="1" t="n"/>
      <c r="B1606" s="26" t="n"/>
      <c r="C1606" s="27" t="n"/>
      <c r="D1606" s="30" t="n"/>
      <c r="E1606" s="30" t="n"/>
      <c r="F1606" s="28" t="n"/>
      <c r="G1606" s="1" t="n"/>
    </row>
    <row r="1607">
      <c r="A1607" s="1" t="n"/>
      <c r="B1607" s="26" t="n"/>
      <c r="C1607" s="27" t="n"/>
      <c r="D1607" s="30" t="n"/>
      <c r="E1607" s="30" t="n"/>
      <c r="F1607" s="28" t="n"/>
      <c r="G1607" s="1" t="n"/>
    </row>
    <row r="1608">
      <c r="A1608" s="1" t="n"/>
      <c r="B1608" s="26" t="n"/>
      <c r="C1608" s="27" t="n"/>
      <c r="D1608" s="30" t="n"/>
      <c r="E1608" s="30" t="n"/>
      <c r="F1608" s="28" t="n"/>
      <c r="G1608" s="1" t="n"/>
    </row>
    <row r="1609">
      <c r="A1609" s="1" t="n"/>
      <c r="B1609" s="26" t="n"/>
      <c r="C1609" s="27" t="n"/>
      <c r="D1609" s="30" t="n"/>
      <c r="E1609" s="30" t="n"/>
      <c r="F1609" s="28" t="n"/>
      <c r="G1609" s="1" t="n"/>
    </row>
    <row r="1610">
      <c r="A1610" s="1" t="n"/>
      <c r="B1610" s="26" t="n"/>
      <c r="C1610" s="27" t="n"/>
      <c r="D1610" s="30" t="n"/>
      <c r="E1610" s="30" t="n"/>
      <c r="F1610" s="28" t="n"/>
      <c r="G1610" s="1" t="n"/>
    </row>
    <row r="1611">
      <c r="A1611" s="1" t="n"/>
      <c r="B1611" s="26" t="n"/>
      <c r="C1611" s="27" t="n"/>
      <c r="D1611" s="30" t="n"/>
      <c r="E1611" s="30" t="n"/>
      <c r="F1611" s="28" t="n"/>
      <c r="G1611" s="1" t="n"/>
    </row>
    <row r="1612">
      <c r="A1612" s="1" t="n"/>
      <c r="B1612" s="26" t="n"/>
      <c r="C1612" s="27" t="n"/>
      <c r="D1612" s="30" t="n"/>
      <c r="E1612" s="30" t="n"/>
      <c r="F1612" s="28" t="n"/>
      <c r="G1612" s="1" t="n"/>
    </row>
    <row r="1613">
      <c r="A1613" s="1" t="n"/>
      <c r="B1613" s="26" t="n"/>
      <c r="C1613" s="27" t="n"/>
      <c r="D1613" s="30" t="n"/>
      <c r="E1613" s="30" t="n"/>
      <c r="F1613" s="28" t="n"/>
      <c r="G1613" s="1" t="n"/>
    </row>
    <row r="1614">
      <c r="A1614" s="1" t="n"/>
      <c r="B1614" s="26" t="n"/>
      <c r="C1614" s="27" t="n"/>
      <c r="D1614" s="30" t="n"/>
      <c r="E1614" s="30" t="n"/>
      <c r="F1614" s="28" t="n"/>
      <c r="G1614" s="1" t="n"/>
    </row>
    <row r="1615">
      <c r="A1615" s="1" t="n"/>
      <c r="B1615" s="26" t="n"/>
      <c r="C1615" s="27" t="n"/>
      <c r="D1615" s="30" t="n"/>
      <c r="E1615" s="30" t="n"/>
      <c r="F1615" s="28" t="n"/>
      <c r="G1615" s="1" t="n"/>
    </row>
    <row r="1616">
      <c r="A1616" s="1" t="n"/>
      <c r="B1616" s="26" t="n"/>
      <c r="C1616" s="27" t="n"/>
      <c r="D1616" s="30" t="n"/>
      <c r="E1616" s="30" t="n"/>
      <c r="F1616" s="28" t="n"/>
      <c r="G1616" s="1" t="n"/>
    </row>
    <row r="1617">
      <c r="A1617" s="1" t="n"/>
      <c r="B1617" s="26" t="n"/>
      <c r="C1617" s="27" t="n"/>
      <c r="D1617" s="30" t="n"/>
      <c r="E1617" s="30" t="n"/>
      <c r="F1617" s="28" t="n"/>
      <c r="G1617" s="1" t="n"/>
    </row>
    <row r="1618">
      <c r="A1618" s="1" t="n"/>
      <c r="B1618" s="26" t="n"/>
      <c r="C1618" s="27" t="n"/>
      <c r="D1618" s="30" t="n"/>
      <c r="E1618" s="30" t="n"/>
      <c r="F1618" s="28" t="n"/>
      <c r="G1618" s="1" t="n"/>
    </row>
    <row r="1619">
      <c r="A1619" s="1" t="n"/>
      <c r="B1619" s="26" t="n"/>
      <c r="C1619" s="27" t="n"/>
      <c r="D1619" s="30" t="n"/>
      <c r="E1619" s="30" t="n"/>
      <c r="F1619" s="28" t="n"/>
      <c r="G1619" s="1" t="n"/>
    </row>
    <row r="1620">
      <c r="A1620" s="1" t="n"/>
      <c r="B1620" s="26" t="n"/>
      <c r="C1620" s="27" t="n"/>
      <c r="D1620" s="30" t="n"/>
      <c r="E1620" s="30" t="n"/>
      <c r="F1620" s="28" t="n"/>
      <c r="G1620" s="1" t="n"/>
    </row>
    <row r="1621">
      <c r="A1621" s="1" t="n"/>
      <c r="B1621" s="26" t="n"/>
      <c r="C1621" s="27" t="n"/>
      <c r="D1621" s="30" t="n"/>
      <c r="E1621" s="30" t="n"/>
      <c r="F1621" s="28" t="n"/>
      <c r="G1621" s="1" t="n"/>
    </row>
    <row r="1622">
      <c r="A1622" s="1" t="n"/>
      <c r="B1622" s="26" t="n"/>
      <c r="C1622" s="27" t="n"/>
      <c r="D1622" s="30" t="n"/>
      <c r="E1622" s="30" t="n"/>
      <c r="F1622" s="28" t="n"/>
      <c r="G1622" s="1" t="n"/>
    </row>
    <row r="1623">
      <c r="A1623" s="1" t="n"/>
      <c r="B1623" s="26" t="n"/>
      <c r="C1623" s="27" t="n"/>
      <c r="D1623" s="30" t="n"/>
      <c r="E1623" s="30" t="n"/>
      <c r="F1623" s="28" t="n"/>
      <c r="G1623" s="1" t="n"/>
    </row>
    <row r="1624">
      <c r="A1624" s="1" t="n"/>
      <c r="B1624" s="26" t="n"/>
      <c r="C1624" s="27" t="n"/>
      <c r="D1624" s="30" t="n"/>
      <c r="E1624" s="30" t="n"/>
      <c r="F1624" s="28" t="n"/>
      <c r="G1624" s="1" t="n"/>
    </row>
    <row r="1625">
      <c r="A1625" s="1" t="n"/>
      <c r="B1625" s="26" t="n"/>
      <c r="C1625" s="27" t="n"/>
      <c r="D1625" s="30" t="n"/>
      <c r="E1625" s="30" t="n"/>
      <c r="F1625" s="28" t="n"/>
      <c r="G1625" s="1" t="n"/>
    </row>
    <row r="1626">
      <c r="A1626" s="1" t="n"/>
      <c r="B1626" s="26" t="n"/>
      <c r="C1626" s="27" t="n"/>
      <c r="D1626" s="30" t="n"/>
      <c r="E1626" s="30" t="n"/>
      <c r="F1626" s="28" t="n"/>
      <c r="G1626" s="1" t="n"/>
    </row>
    <row r="1627">
      <c r="A1627" s="1" t="n"/>
      <c r="B1627" s="26" t="n"/>
      <c r="C1627" s="27" t="n"/>
      <c r="D1627" s="30" t="n"/>
      <c r="E1627" s="30" t="n"/>
      <c r="F1627" s="28" t="n"/>
      <c r="G1627" s="1" t="n"/>
    </row>
    <row r="1628">
      <c r="A1628" s="1" t="n"/>
      <c r="B1628" s="26" t="n"/>
      <c r="C1628" s="27" t="n"/>
      <c r="D1628" s="30" t="n"/>
      <c r="E1628" s="30" t="n"/>
      <c r="F1628" s="28" t="n"/>
      <c r="G1628" s="1" t="n"/>
    </row>
    <row r="1629">
      <c r="A1629" s="1" t="n"/>
      <c r="B1629" s="26" t="n"/>
      <c r="C1629" s="27" t="n"/>
      <c r="D1629" s="30" t="n"/>
      <c r="E1629" s="30" t="n"/>
      <c r="F1629" s="28" t="n"/>
      <c r="G1629" s="1" t="n"/>
    </row>
    <row r="1630">
      <c r="A1630" s="1" t="n"/>
      <c r="B1630" s="26" t="n"/>
      <c r="C1630" s="27" t="n"/>
      <c r="D1630" s="30" t="n"/>
      <c r="E1630" s="30" t="n"/>
      <c r="F1630" s="28" t="n"/>
      <c r="G1630" s="1" t="n"/>
    </row>
    <row r="1631">
      <c r="A1631" s="1" t="n"/>
      <c r="B1631" s="26" t="n"/>
      <c r="C1631" s="27" t="n"/>
      <c r="D1631" s="30" t="n"/>
      <c r="E1631" s="30" t="n"/>
      <c r="F1631" s="28" t="n"/>
      <c r="G1631" s="1" t="n"/>
    </row>
    <row r="1632">
      <c r="A1632" s="1" t="n"/>
      <c r="B1632" s="26" t="n"/>
      <c r="C1632" s="27" t="n"/>
      <c r="D1632" s="30" t="n"/>
      <c r="E1632" s="30" t="n"/>
      <c r="F1632" s="28" t="n"/>
      <c r="G1632" s="1" t="n"/>
    </row>
    <row r="1633">
      <c r="A1633" s="1" t="n"/>
      <c r="B1633" s="26" t="n"/>
      <c r="C1633" s="27" t="n"/>
      <c r="D1633" s="30" t="n"/>
      <c r="E1633" s="30" t="n"/>
      <c r="F1633" s="28" t="n"/>
      <c r="G1633" s="1" t="n"/>
    </row>
    <row r="1634">
      <c r="A1634" s="1" t="n"/>
      <c r="B1634" s="26" t="n"/>
      <c r="C1634" s="27" t="n"/>
      <c r="D1634" s="30" t="n"/>
      <c r="E1634" s="30" t="n"/>
      <c r="F1634" s="28" t="n"/>
      <c r="G1634" s="1" t="n"/>
    </row>
    <row r="1635">
      <c r="A1635" s="1" t="n"/>
      <c r="B1635" s="26" t="n"/>
      <c r="C1635" s="27" t="n"/>
      <c r="D1635" s="30" t="n"/>
      <c r="E1635" s="30" t="n"/>
      <c r="F1635" s="28" t="n"/>
      <c r="G1635" s="1" t="n"/>
    </row>
    <row r="1636">
      <c r="A1636" s="1" t="n"/>
      <c r="B1636" s="26" t="n"/>
      <c r="C1636" s="27" t="n"/>
      <c r="D1636" s="30" t="n"/>
      <c r="E1636" s="30" t="n"/>
      <c r="F1636" s="28" t="n"/>
      <c r="G1636" s="1" t="n"/>
    </row>
    <row r="1637">
      <c r="A1637" s="1" t="n"/>
      <c r="B1637" s="26" t="n"/>
      <c r="C1637" s="27" t="n"/>
      <c r="D1637" s="30" t="n"/>
      <c r="E1637" s="30" t="n"/>
      <c r="F1637" s="28" t="n"/>
      <c r="G1637" s="1" t="n"/>
    </row>
    <row r="1638">
      <c r="A1638" s="1" t="n"/>
      <c r="B1638" s="26" t="n"/>
      <c r="C1638" s="27" t="n"/>
      <c r="D1638" s="30" t="n"/>
      <c r="E1638" s="30" t="n"/>
      <c r="F1638" s="28" t="n"/>
      <c r="G1638" s="1" t="n"/>
    </row>
    <row r="1639">
      <c r="A1639" s="1" t="n"/>
      <c r="B1639" s="26" t="n"/>
      <c r="C1639" s="27" t="n"/>
      <c r="D1639" s="30" t="n"/>
      <c r="E1639" s="30" t="n"/>
      <c r="F1639" s="28" t="n"/>
      <c r="G1639" s="1" t="n"/>
    </row>
    <row r="1640">
      <c r="A1640" s="1" t="n"/>
      <c r="B1640" s="26" t="n"/>
      <c r="C1640" s="27" t="n"/>
      <c r="D1640" s="30" t="n"/>
      <c r="E1640" s="30" t="n"/>
      <c r="F1640" s="28" t="n"/>
      <c r="G1640" s="1" t="n"/>
    </row>
    <row r="1641">
      <c r="A1641" s="1" t="n"/>
      <c r="B1641" s="26" t="n"/>
      <c r="C1641" s="27" t="n"/>
      <c r="D1641" s="30" t="n"/>
      <c r="E1641" s="30" t="n"/>
      <c r="F1641" s="28" t="n"/>
      <c r="G1641" s="1" t="n"/>
    </row>
    <row r="1642">
      <c r="A1642" s="1" t="n"/>
      <c r="B1642" s="26" t="n"/>
      <c r="C1642" s="27" t="n"/>
      <c r="D1642" s="30" t="n"/>
      <c r="E1642" s="30" t="n"/>
      <c r="F1642" s="28" t="n"/>
      <c r="G1642" s="1" t="n"/>
    </row>
    <row r="1643">
      <c r="A1643" s="1" t="n"/>
      <c r="B1643" s="26" t="n"/>
      <c r="C1643" s="27" t="n"/>
      <c r="D1643" s="30" t="n"/>
      <c r="E1643" s="30" t="n"/>
      <c r="F1643" s="28" t="n"/>
      <c r="G1643" s="1" t="n"/>
    </row>
    <row r="1644">
      <c r="A1644" s="1" t="n"/>
      <c r="B1644" s="26" t="n"/>
      <c r="C1644" s="27" t="n"/>
      <c r="D1644" s="30" t="n"/>
      <c r="E1644" s="30" t="n"/>
      <c r="F1644" s="28" t="n"/>
      <c r="G1644" s="1" t="n"/>
    </row>
    <row r="1645">
      <c r="A1645" s="1" t="n"/>
      <c r="B1645" s="26" t="n"/>
      <c r="C1645" s="27" t="n"/>
      <c r="D1645" s="30" t="n"/>
      <c r="E1645" s="30" t="n"/>
      <c r="F1645" s="28" t="n"/>
      <c r="G1645" s="1" t="n"/>
    </row>
    <row r="1646">
      <c r="A1646" s="1" t="n"/>
      <c r="B1646" s="26" t="n"/>
      <c r="C1646" s="27" t="n"/>
      <c r="D1646" s="30" t="n"/>
      <c r="E1646" s="30" t="n"/>
      <c r="F1646" s="28" t="n"/>
      <c r="G1646" s="1" t="n"/>
    </row>
    <row r="1647">
      <c r="A1647" s="1" t="n"/>
      <c r="B1647" s="26" t="n"/>
      <c r="C1647" s="27" t="n"/>
      <c r="D1647" s="30" t="n"/>
      <c r="E1647" s="30" t="n"/>
      <c r="F1647" s="28" t="n"/>
      <c r="G1647" s="1" t="n"/>
    </row>
    <row r="1648">
      <c r="A1648" s="1" t="n"/>
      <c r="B1648" s="26" t="n"/>
      <c r="C1648" s="27" t="n"/>
      <c r="D1648" s="30" t="n"/>
      <c r="E1648" s="30" t="n"/>
      <c r="F1648" s="28" t="n"/>
      <c r="G1648" s="1" t="n"/>
    </row>
    <row r="1649">
      <c r="A1649" s="1" t="n"/>
      <c r="B1649" s="26" t="n"/>
      <c r="C1649" s="27" t="n"/>
      <c r="D1649" s="30" t="n"/>
      <c r="E1649" s="30" t="n"/>
      <c r="F1649" s="28" t="n"/>
      <c r="G1649" s="1" t="n"/>
    </row>
    <row r="1650">
      <c r="A1650" s="1" t="n"/>
      <c r="B1650" s="26" t="n"/>
      <c r="C1650" s="27" t="n"/>
      <c r="D1650" s="30" t="n"/>
      <c r="E1650" s="30" t="n"/>
      <c r="F1650" s="28" t="n"/>
      <c r="G1650" s="1" t="n"/>
    </row>
    <row r="1651">
      <c r="A1651" s="1" t="n"/>
      <c r="B1651" s="26" t="n"/>
      <c r="C1651" s="27" t="n"/>
      <c r="D1651" s="30" t="n"/>
      <c r="E1651" s="30" t="n"/>
      <c r="F1651" s="28" t="n"/>
      <c r="G1651" s="1" t="n"/>
    </row>
    <row r="1652">
      <c r="A1652" s="1" t="n"/>
      <c r="B1652" s="26" t="n"/>
      <c r="C1652" s="27" t="n"/>
      <c r="D1652" s="30" t="n"/>
      <c r="E1652" s="30" t="n"/>
      <c r="F1652" s="28" t="n"/>
      <c r="G1652" s="1" t="n"/>
    </row>
    <row r="1653">
      <c r="A1653" s="1" t="n"/>
      <c r="B1653" s="26" t="n"/>
      <c r="C1653" s="27" t="n"/>
      <c r="D1653" s="30" t="n"/>
      <c r="E1653" s="30" t="n"/>
      <c r="F1653" s="28" t="n"/>
      <c r="G1653" s="1" t="n"/>
    </row>
    <row r="1654">
      <c r="A1654" s="1" t="n"/>
      <c r="B1654" s="26" t="n"/>
      <c r="C1654" s="27" t="n"/>
      <c r="D1654" s="30" t="n"/>
      <c r="E1654" s="30" t="n"/>
      <c r="F1654" s="28" t="n"/>
      <c r="G1654" s="1" t="n"/>
    </row>
    <row r="1655">
      <c r="A1655" s="1" t="n"/>
      <c r="B1655" s="26" t="n"/>
      <c r="C1655" s="27" t="n"/>
      <c r="D1655" s="30" t="n"/>
      <c r="E1655" s="30" t="n"/>
      <c r="F1655" s="28" t="n"/>
      <c r="G1655" s="1" t="n"/>
    </row>
    <row r="1656">
      <c r="A1656" s="1" t="n"/>
      <c r="B1656" s="26" t="n"/>
      <c r="C1656" s="27" t="n"/>
      <c r="D1656" s="30" t="n"/>
      <c r="E1656" s="30" t="n"/>
      <c r="F1656" s="28" t="n"/>
      <c r="G1656" s="1" t="n"/>
    </row>
    <row r="1657">
      <c r="A1657" s="1" t="n"/>
      <c r="B1657" s="26" t="n"/>
      <c r="C1657" s="27" t="n"/>
      <c r="D1657" s="30" t="n"/>
      <c r="E1657" s="30" t="n"/>
      <c r="F1657" s="28" t="n"/>
      <c r="G1657" s="1" t="n"/>
    </row>
    <row r="1658">
      <c r="A1658" s="1" t="n"/>
      <c r="B1658" s="26" t="n"/>
      <c r="C1658" s="27" t="n"/>
      <c r="D1658" s="30" t="n"/>
      <c r="E1658" s="30" t="n"/>
      <c r="F1658" s="28" t="n"/>
      <c r="G1658" s="1" t="n"/>
    </row>
    <row r="1659">
      <c r="A1659" s="1" t="n"/>
      <c r="B1659" s="26" t="n"/>
      <c r="C1659" s="27" t="n"/>
      <c r="D1659" s="30" t="n"/>
      <c r="E1659" s="30" t="n"/>
      <c r="F1659" s="28" t="n"/>
      <c r="G1659" s="1" t="n"/>
    </row>
    <row r="1660">
      <c r="A1660" s="1" t="n"/>
      <c r="B1660" s="26" t="n"/>
      <c r="C1660" s="27" t="n"/>
      <c r="D1660" s="30" t="n"/>
      <c r="E1660" s="30" t="n"/>
      <c r="F1660" s="28" t="n"/>
      <c r="G1660" s="1" t="n"/>
    </row>
    <row r="1661">
      <c r="A1661" s="1" t="n"/>
      <c r="B1661" s="26" t="n"/>
      <c r="C1661" s="27" t="n"/>
      <c r="D1661" s="30" t="n"/>
      <c r="E1661" s="30" t="n"/>
      <c r="F1661" s="28" t="n"/>
      <c r="G1661" s="1" t="n"/>
    </row>
    <row r="1662">
      <c r="A1662" s="1" t="n"/>
      <c r="B1662" s="26" t="n"/>
      <c r="C1662" s="27" t="n"/>
      <c r="D1662" s="30" t="n"/>
      <c r="E1662" s="30" t="n"/>
      <c r="F1662" s="28" t="n"/>
      <c r="G1662" s="1" t="n"/>
    </row>
    <row r="1663">
      <c r="A1663" s="1" t="n"/>
      <c r="B1663" s="26" t="n"/>
      <c r="C1663" s="27" t="n"/>
      <c r="D1663" s="30" t="n"/>
      <c r="E1663" s="30" t="n"/>
      <c r="F1663" s="28" t="n"/>
      <c r="G1663" s="1" t="n"/>
    </row>
    <row r="1664">
      <c r="A1664" s="1" t="n"/>
      <c r="B1664" s="26" t="n"/>
      <c r="C1664" s="27" t="n"/>
      <c r="D1664" s="30" t="n"/>
      <c r="E1664" s="30" t="n"/>
      <c r="F1664" s="28" t="n"/>
      <c r="G1664" s="1" t="n"/>
    </row>
    <row r="1665">
      <c r="A1665" s="1" t="n"/>
      <c r="B1665" s="26" t="n"/>
      <c r="C1665" s="27" t="n"/>
      <c r="D1665" s="30" t="n"/>
      <c r="E1665" s="30" t="n"/>
      <c r="F1665" s="28" t="n"/>
      <c r="G1665" s="1" t="n"/>
    </row>
    <row r="1666">
      <c r="A1666" s="1" t="n"/>
      <c r="B1666" s="26" t="n"/>
      <c r="C1666" s="27" t="n"/>
      <c r="D1666" s="30" t="n"/>
      <c r="E1666" s="30" t="n"/>
      <c r="F1666" s="28" t="n"/>
      <c r="G1666" s="1" t="n"/>
    </row>
    <row r="1667">
      <c r="A1667" s="1" t="n"/>
      <c r="B1667" s="26" t="n"/>
      <c r="C1667" s="27" t="n"/>
      <c r="D1667" s="30" t="n"/>
      <c r="E1667" s="30" t="n"/>
      <c r="F1667" s="28" t="n"/>
      <c r="G1667" s="1" t="n"/>
    </row>
    <row r="1668">
      <c r="A1668" s="1" t="n"/>
      <c r="B1668" s="26" t="n"/>
      <c r="C1668" s="27" t="n"/>
      <c r="D1668" s="30" t="n"/>
      <c r="E1668" s="30" t="n"/>
      <c r="F1668" s="28" t="n"/>
      <c r="G1668" s="1" t="n"/>
    </row>
    <row r="1669">
      <c r="A1669" s="1" t="n"/>
      <c r="B1669" s="26" t="n"/>
      <c r="C1669" s="27" t="n"/>
      <c r="D1669" s="30" t="n"/>
      <c r="E1669" s="30" t="n"/>
      <c r="F1669" s="28" t="n"/>
      <c r="G1669" s="1" t="n"/>
    </row>
    <row r="1670">
      <c r="A1670" s="1" t="n"/>
      <c r="B1670" s="26" t="n"/>
      <c r="C1670" s="27" t="n"/>
      <c r="D1670" s="30" t="n"/>
      <c r="E1670" s="30" t="n"/>
      <c r="F1670" s="28" t="n"/>
      <c r="G1670" s="1" t="n"/>
    </row>
    <row r="1671">
      <c r="A1671" s="1" t="n"/>
      <c r="B1671" s="26" t="n"/>
      <c r="C1671" s="27" t="n"/>
      <c r="D1671" s="30" t="n"/>
      <c r="E1671" s="30" t="n"/>
      <c r="F1671" s="28" t="n"/>
      <c r="G1671" s="1" t="n"/>
    </row>
    <row r="1672">
      <c r="A1672" s="1" t="n"/>
      <c r="B1672" s="26" t="n"/>
      <c r="C1672" s="27" t="n"/>
      <c r="D1672" s="30" t="n"/>
      <c r="E1672" s="30" t="n"/>
      <c r="F1672" s="28" t="n"/>
      <c r="G1672" s="1" t="n"/>
    </row>
    <row r="1673">
      <c r="A1673" s="1" t="n"/>
      <c r="B1673" s="26" t="n"/>
      <c r="C1673" s="27" t="n"/>
      <c r="D1673" s="30" t="n"/>
      <c r="E1673" s="30" t="n"/>
      <c r="F1673" s="28" t="n"/>
      <c r="G1673" s="1" t="n"/>
    </row>
    <row r="1674">
      <c r="A1674" s="1" t="n"/>
      <c r="B1674" s="26" t="n"/>
      <c r="C1674" s="27" t="n"/>
      <c r="D1674" s="30" t="n"/>
      <c r="E1674" s="30" t="n"/>
      <c r="F1674" s="28" t="n"/>
      <c r="G1674" s="1" t="n"/>
    </row>
    <row r="1675">
      <c r="A1675" s="1" t="n"/>
      <c r="B1675" s="26" t="n"/>
      <c r="C1675" s="27" t="n"/>
      <c r="D1675" s="30" t="n"/>
      <c r="E1675" s="30" t="n"/>
      <c r="F1675" s="28" t="n"/>
      <c r="G1675" s="1" t="n"/>
    </row>
    <row r="1676">
      <c r="A1676" s="1" t="n"/>
      <c r="B1676" s="26" t="n"/>
      <c r="C1676" s="27" t="n"/>
      <c r="D1676" s="30" t="n"/>
      <c r="E1676" s="30" t="n"/>
      <c r="F1676" s="28" t="n"/>
      <c r="G1676" s="1" t="n"/>
    </row>
    <row r="1677">
      <c r="A1677" s="1" t="n"/>
      <c r="B1677" s="26" t="n"/>
      <c r="C1677" s="27" t="n"/>
      <c r="D1677" s="30" t="n"/>
      <c r="E1677" s="30" t="n"/>
      <c r="F1677" s="28" t="n"/>
      <c r="G1677" s="1" t="n"/>
    </row>
    <row r="1678">
      <c r="A1678" s="1" t="n"/>
      <c r="B1678" s="26" t="n"/>
      <c r="C1678" s="27" t="n"/>
      <c r="D1678" s="30" t="n"/>
      <c r="E1678" s="30" t="n"/>
      <c r="F1678" s="28" t="n"/>
      <c r="G1678" s="1" t="n"/>
    </row>
    <row r="1679">
      <c r="A1679" s="1" t="n"/>
      <c r="B1679" s="26" t="n"/>
      <c r="C1679" s="27" t="n"/>
      <c r="D1679" s="30" t="n"/>
      <c r="E1679" s="30" t="n"/>
      <c r="F1679" s="28" t="n"/>
      <c r="G1679" s="1" t="n"/>
    </row>
    <row r="1680">
      <c r="A1680" s="1" t="n"/>
      <c r="B1680" s="26" t="n"/>
      <c r="C1680" s="27" t="n"/>
      <c r="D1680" s="30" t="n"/>
      <c r="E1680" s="30" t="n"/>
      <c r="F1680" s="28" t="n"/>
      <c r="G1680" s="1" t="n"/>
    </row>
    <row r="1681">
      <c r="A1681" s="1" t="n"/>
      <c r="B1681" s="26" t="n"/>
      <c r="C1681" s="27" t="n"/>
      <c r="D1681" s="30" t="n"/>
      <c r="E1681" s="30" t="n"/>
      <c r="F1681" s="28" t="n"/>
      <c r="G1681" s="1" t="n"/>
    </row>
    <row r="1682">
      <c r="A1682" s="1" t="n"/>
      <c r="B1682" s="26" t="n"/>
      <c r="C1682" s="27" t="n"/>
      <c r="D1682" s="30" t="n"/>
      <c r="E1682" s="30" t="n"/>
      <c r="F1682" s="28" t="n"/>
      <c r="G1682" s="1" t="n"/>
    </row>
    <row r="1683">
      <c r="A1683" s="1" t="n"/>
      <c r="B1683" s="26" t="n"/>
      <c r="C1683" s="27" t="n"/>
      <c r="D1683" s="30" t="n"/>
      <c r="E1683" s="30" t="n"/>
      <c r="F1683" s="28" t="n"/>
      <c r="G1683" s="1" t="n"/>
    </row>
    <row r="1684">
      <c r="A1684" s="1" t="n"/>
      <c r="B1684" s="26" t="n"/>
      <c r="C1684" s="27" t="n"/>
      <c r="D1684" s="30" t="n"/>
      <c r="E1684" s="30" t="n"/>
      <c r="F1684" s="28" t="n"/>
      <c r="G1684" s="1" t="n"/>
    </row>
    <row r="1685">
      <c r="A1685" s="1" t="n"/>
      <c r="B1685" s="26" t="n"/>
      <c r="C1685" s="27" t="n"/>
      <c r="D1685" s="30" t="n"/>
      <c r="E1685" s="30" t="n"/>
      <c r="F1685" s="28" t="n"/>
      <c r="G1685" s="1" t="n"/>
    </row>
    <row r="1686">
      <c r="A1686" s="1" t="n"/>
      <c r="B1686" s="26" t="n"/>
      <c r="C1686" s="27" t="n"/>
      <c r="D1686" s="30" t="n"/>
      <c r="E1686" s="30" t="n"/>
      <c r="F1686" s="28" t="n"/>
      <c r="G1686" s="1" t="n"/>
    </row>
    <row r="1687">
      <c r="A1687" s="1" t="n"/>
      <c r="B1687" s="26" t="n"/>
      <c r="C1687" s="27" t="n"/>
      <c r="D1687" s="30" t="n"/>
      <c r="E1687" s="30" t="n"/>
      <c r="F1687" s="28" t="n"/>
      <c r="G1687" s="1" t="n"/>
    </row>
    <row r="1688">
      <c r="A1688" s="1" t="n"/>
      <c r="B1688" s="26" t="n"/>
      <c r="C1688" s="27" t="n"/>
      <c r="D1688" s="30" t="n"/>
      <c r="E1688" s="30" t="n"/>
      <c r="F1688" s="28" t="n"/>
      <c r="G1688" s="1" t="n"/>
    </row>
    <row r="1689">
      <c r="A1689" s="1" t="n"/>
      <c r="B1689" s="26" t="n"/>
      <c r="C1689" s="27" t="n"/>
      <c r="D1689" s="30" t="n"/>
      <c r="E1689" s="30" t="n"/>
      <c r="F1689" s="28" t="n"/>
      <c r="G1689" s="1" t="n"/>
    </row>
    <row r="1690">
      <c r="A1690" s="1" t="n"/>
      <c r="B1690" s="26" t="n"/>
      <c r="C1690" s="27" t="n"/>
      <c r="D1690" s="30" t="n"/>
      <c r="E1690" s="30" t="n"/>
      <c r="F1690" s="28" t="n"/>
      <c r="G1690" s="1" t="n"/>
    </row>
    <row r="1691">
      <c r="A1691" s="1" t="n"/>
      <c r="B1691" s="26" t="n"/>
      <c r="C1691" s="27" t="n"/>
      <c r="D1691" s="30" t="n"/>
      <c r="E1691" s="30" t="n"/>
      <c r="F1691" s="28" t="n"/>
      <c r="G1691" s="1" t="n"/>
    </row>
    <row r="1692">
      <c r="A1692" s="1" t="n"/>
      <c r="B1692" s="26" t="n"/>
      <c r="C1692" s="27" t="n"/>
      <c r="D1692" s="30" t="n"/>
      <c r="E1692" s="30" t="n"/>
      <c r="F1692" s="28" t="n"/>
      <c r="G1692" s="1" t="n"/>
    </row>
    <row r="1693">
      <c r="A1693" s="1" t="n"/>
      <c r="B1693" s="26" t="n"/>
      <c r="C1693" s="27" t="n"/>
      <c r="D1693" s="30" t="n"/>
      <c r="E1693" s="30" t="n"/>
      <c r="F1693" s="28" t="n"/>
      <c r="G1693" s="1" t="n"/>
    </row>
    <row r="1694">
      <c r="A1694" s="1" t="n"/>
      <c r="B1694" s="26" t="n"/>
      <c r="C1694" s="27" t="n"/>
      <c r="D1694" s="30" t="n"/>
      <c r="E1694" s="30" t="n"/>
      <c r="F1694" s="28" t="n"/>
      <c r="G1694" s="1" t="n"/>
    </row>
    <row r="1695">
      <c r="A1695" s="1" t="n"/>
      <c r="B1695" s="26" t="n"/>
      <c r="C1695" s="27" t="n"/>
      <c r="D1695" s="30" t="n"/>
      <c r="E1695" s="30" t="n"/>
      <c r="F1695" s="28" t="n"/>
      <c r="G1695" s="1" t="n"/>
    </row>
    <row r="1696">
      <c r="A1696" s="1" t="n"/>
      <c r="B1696" s="26" t="n"/>
      <c r="C1696" s="27" t="n"/>
      <c r="D1696" s="30" t="n"/>
      <c r="E1696" s="30" t="n"/>
      <c r="F1696" s="28" t="n"/>
      <c r="G1696" s="1" t="n"/>
    </row>
    <row r="1697">
      <c r="A1697" s="1" t="n"/>
      <c r="B1697" s="26" t="n"/>
      <c r="C1697" s="27" t="n"/>
      <c r="D1697" s="30" t="n"/>
      <c r="E1697" s="30" t="n"/>
      <c r="F1697" s="28" t="n"/>
      <c r="G1697" s="1" t="n"/>
    </row>
    <row r="1698">
      <c r="A1698" s="1" t="n"/>
      <c r="B1698" s="26" t="n"/>
      <c r="C1698" s="27" t="n"/>
      <c r="D1698" s="30" t="n"/>
      <c r="E1698" s="30" t="n"/>
      <c r="F1698" s="28" t="n"/>
      <c r="G1698" s="1" t="n"/>
    </row>
    <row r="1699">
      <c r="A1699" s="1" t="n"/>
      <c r="B1699" s="26" t="n"/>
      <c r="C1699" s="27" t="n"/>
      <c r="D1699" s="30" t="n"/>
      <c r="E1699" s="30" t="n"/>
      <c r="F1699" s="28" t="n"/>
      <c r="G1699" s="1" t="n"/>
    </row>
    <row r="1700">
      <c r="A1700" s="1" t="n"/>
      <c r="B1700" s="26" t="n"/>
      <c r="C1700" s="27" t="n"/>
      <c r="D1700" s="30" t="n"/>
      <c r="E1700" s="30" t="n"/>
      <c r="F1700" s="28" t="n"/>
      <c r="G1700" s="1" t="n"/>
    </row>
    <row r="1701">
      <c r="A1701" s="1" t="n"/>
      <c r="B1701" s="26" t="n"/>
      <c r="C1701" s="27" t="n"/>
      <c r="D1701" s="30" t="n"/>
      <c r="E1701" s="30" t="n"/>
      <c r="F1701" s="28" t="n"/>
      <c r="G1701" s="1" t="n"/>
    </row>
    <row r="1702">
      <c r="A1702" s="1" t="n"/>
      <c r="B1702" s="26" t="n"/>
      <c r="C1702" s="27" t="n"/>
      <c r="D1702" s="30" t="n"/>
      <c r="E1702" s="30" t="n"/>
      <c r="F1702" s="28" t="n"/>
      <c r="G1702" s="1" t="n"/>
    </row>
    <row r="1703">
      <c r="A1703" s="1" t="n"/>
      <c r="B1703" s="26" t="n"/>
      <c r="C1703" s="27" t="n"/>
      <c r="D1703" s="30" t="n"/>
      <c r="E1703" s="30" t="n"/>
      <c r="F1703" s="28" t="n"/>
      <c r="G1703" s="1" t="n"/>
    </row>
    <row r="1704">
      <c r="A1704" s="1" t="n"/>
      <c r="B1704" s="26" t="n"/>
      <c r="C1704" s="27" t="n"/>
      <c r="D1704" s="30" t="n"/>
      <c r="E1704" s="30" t="n"/>
      <c r="F1704" s="28" t="n"/>
      <c r="G1704" s="1" t="n"/>
    </row>
    <row r="1705">
      <c r="A1705" s="1" t="n"/>
      <c r="B1705" s="26" t="n"/>
      <c r="C1705" s="27" t="n"/>
      <c r="D1705" s="30" t="n"/>
      <c r="E1705" s="30" t="n"/>
      <c r="F1705" s="28" t="n"/>
      <c r="G1705" s="1" t="n"/>
    </row>
    <row r="1706">
      <c r="A1706" s="1" t="n"/>
      <c r="B1706" s="26" t="n"/>
      <c r="C1706" s="27" t="n"/>
      <c r="D1706" s="30" t="n"/>
      <c r="E1706" s="30" t="n"/>
      <c r="F1706" s="28" t="n"/>
      <c r="G1706" s="1" t="n"/>
    </row>
    <row r="1707">
      <c r="A1707" s="1" t="n"/>
      <c r="B1707" s="26" t="n"/>
      <c r="C1707" s="27" t="n"/>
      <c r="D1707" s="30" t="n"/>
      <c r="E1707" s="30" t="n"/>
      <c r="F1707" s="28" t="n"/>
      <c r="G1707" s="1" t="n"/>
    </row>
    <row r="1708">
      <c r="A1708" s="1" t="n"/>
      <c r="B1708" s="26" t="n"/>
      <c r="C1708" s="27" t="n"/>
      <c r="D1708" s="30" t="n"/>
      <c r="E1708" s="30" t="n"/>
      <c r="F1708" s="28" t="n"/>
      <c r="G1708" s="1" t="n"/>
    </row>
    <row r="1709">
      <c r="A1709" s="1" t="n"/>
      <c r="B1709" s="26" t="n"/>
      <c r="C1709" s="27" t="n"/>
      <c r="D1709" s="30" t="n"/>
      <c r="E1709" s="30" t="n"/>
      <c r="F1709" s="28" t="n"/>
      <c r="G1709" s="1" t="n"/>
    </row>
    <row r="1710">
      <c r="A1710" s="1" t="n"/>
      <c r="B1710" s="26" t="n"/>
      <c r="C1710" s="27" t="n"/>
      <c r="D1710" s="30" t="n"/>
      <c r="E1710" s="30" t="n"/>
      <c r="F1710" s="28" t="n"/>
      <c r="G1710" s="1" t="n"/>
    </row>
    <row r="1711">
      <c r="A1711" s="1" t="n"/>
      <c r="B1711" s="26" t="n"/>
      <c r="C1711" s="27" t="n"/>
      <c r="D1711" s="30" t="n"/>
      <c r="E1711" s="30" t="n"/>
      <c r="F1711" s="28" t="n"/>
      <c r="G1711" s="1" t="n"/>
    </row>
    <row r="1712">
      <c r="A1712" s="1" t="n"/>
      <c r="B1712" s="26" t="n"/>
      <c r="C1712" s="27" t="n"/>
      <c r="D1712" s="30" t="n"/>
      <c r="E1712" s="30" t="n"/>
      <c r="F1712" s="28" t="n"/>
      <c r="G1712" s="1" t="n"/>
    </row>
    <row r="1713">
      <c r="A1713" s="1" t="n"/>
      <c r="B1713" s="26" t="n"/>
      <c r="C1713" s="27" t="n"/>
      <c r="D1713" s="30" t="n"/>
      <c r="E1713" s="30" t="n"/>
      <c r="F1713" s="28" t="n"/>
      <c r="G1713" s="1" t="n"/>
    </row>
    <row r="1714">
      <c r="A1714" s="1" t="n"/>
      <c r="B1714" s="26" t="n"/>
      <c r="C1714" s="27" t="n"/>
      <c r="D1714" s="30" t="n"/>
      <c r="E1714" s="30" t="n"/>
      <c r="F1714" s="28" t="n"/>
      <c r="G1714" s="1" t="n"/>
    </row>
    <row r="1715">
      <c r="A1715" s="1" t="n"/>
      <c r="B1715" s="26" t="n"/>
      <c r="C1715" s="27" t="n"/>
      <c r="D1715" s="30" t="n"/>
      <c r="E1715" s="30" t="n"/>
      <c r="F1715" s="28" t="n"/>
      <c r="G1715" s="1" t="n"/>
    </row>
    <row r="1716">
      <c r="A1716" s="1" t="n"/>
      <c r="B1716" s="26" t="n"/>
      <c r="C1716" s="27" t="n"/>
      <c r="D1716" s="30" t="n"/>
      <c r="E1716" s="30" t="n"/>
      <c r="F1716" s="28" t="n"/>
      <c r="G1716" s="1" t="n"/>
    </row>
    <row r="1717">
      <c r="A1717" s="1" t="n"/>
      <c r="B1717" s="26" t="n"/>
      <c r="C1717" s="27" t="n"/>
      <c r="D1717" s="30" t="n"/>
      <c r="E1717" s="30" t="n"/>
      <c r="F1717" s="28" t="n"/>
      <c r="G1717" s="1" t="n"/>
    </row>
    <row r="1718">
      <c r="A1718" s="1" t="n"/>
      <c r="B1718" s="26" t="n"/>
      <c r="C1718" s="27" t="n"/>
      <c r="D1718" s="30" t="n"/>
      <c r="E1718" s="30" t="n"/>
      <c r="F1718" s="28" t="n"/>
      <c r="G1718" s="1" t="n"/>
    </row>
    <row r="1719">
      <c r="A1719" s="1" t="n"/>
      <c r="B1719" s="26" t="n"/>
      <c r="C1719" s="27" t="n"/>
      <c r="D1719" s="30" t="n"/>
      <c r="E1719" s="30" t="n"/>
      <c r="F1719" s="28" t="n"/>
      <c r="G1719" s="1" t="n"/>
    </row>
    <row r="1720">
      <c r="A1720" s="1" t="n"/>
      <c r="B1720" s="26" t="n"/>
      <c r="C1720" s="27" t="n"/>
      <c r="D1720" s="30" t="n"/>
      <c r="E1720" s="30" t="n"/>
      <c r="F1720" s="28" t="n"/>
      <c r="G1720" s="1" t="n"/>
    </row>
    <row r="1721">
      <c r="A1721" s="1" t="n"/>
      <c r="B1721" s="26" t="n"/>
      <c r="C1721" s="27" t="n"/>
      <c r="D1721" s="30" t="n"/>
      <c r="E1721" s="30" t="n"/>
      <c r="F1721" s="28" t="n"/>
      <c r="G1721" s="1" t="n"/>
    </row>
    <row r="1722">
      <c r="A1722" s="1" t="n"/>
      <c r="B1722" s="26" t="n"/>
      <c r="C1722" s="27" t="n"/>
      <c r="D1722" s="30" t="n"/>
      <c r="E1722" s="30" t="n"/>
      <c r="F1722" s="28" t="n"/>
      <c r="G1722" s="1" t="n"/>
    </row>
    <row r="1723">
      <c r="A1723" s="1" t="n"/>
      <c r="B1723" s="26" t="n"/>
      <c r="C1723" s="27" t="n"/>
      <c r="D1723" s="30" t="n"/>
      <c r="E1723" s="30" t="n"/>
      <c r="F1723" s="28" t="n"/>
      <c r="G1723" s="1" t="n"/>
    </row>
    <row r="1724">
      <c r="A1724" s="1" t="n"/>
      <c r="B1724" s="26" t="n"/>
      <c r="C1724" s="27" t="n"/>
      <c r="D1724" s="30" t="n"/>
      <c r="E1724" s="30" t="n"/>
      <c r="F1724" s="28" t="n"/>
      <c r="G1724" s="1" t="n"/>
    </row>
    <row r="1725">
      <c r="A1725" s="1" t="n"/>
      <c r="B1725" s="26" t="n"/>
      <c r="C1725" s="27" t="n"/>
      <c r="D1725" s="30" t="n"/>
      <c r="E1725" s="30" t="n"/>
      <c r="F1725" s="28" t="n"/>
      <c r="G1725" s="1" t="n"/>
    </row>
    <row r="1726">
      <c r="A1726" s="1" t="n"/>
      <c r="B1726" s="26" t="n"/>
      <c r="C1726" s="27" t="n"/>
      <c r="D1726" s="30" t="n"/>
      <c r="E1726" s="30" t="n"/>
      <c r="F1726" s="28" t="n"/>
      <c r="G1726" s="1" t="n"/>
    </row>
    <row r="1727">
      <c r="A1727" s="1" t="n"/>
      <c r="B1727" s="26" t="n"/>
      <c r="C1727" s="27" t="n"/>
      <c r="D1727" s="30" t="n"/>
      <c r="E1727" s="30" t="n"/>
      <c r="F1727" s="28" t="n"/>
      <c r="G1727" s="1" t="n"/>
    </row>
    <row r="1728">
      <c r="A1728" s="1" t="n"/>
      <c r="B1728" s="26" t="n"/>
      <c r="C1728" s="27" t="n"/>
      <c r="D1728" s="30" t="n"/>
      <c r="E1728" s="30" t="n"/>
      <c r="F1728" s="28" t="n"/>
      <c r="G1728" s="1" t="n"/>
    </row>
    <row r="1729">
      <c r="A1729" s="1" t="n"/>
      <c r="B1729" s="26" t="n"/>
      <c r="C1729" s="27" t="n"/>
      <c r="D1729" s="30" t="n"/>
      <c r="E1729" s="30" t="n"/>
      <c r="F1729" s="28" t="n"/>
      <c r="G1729" s="1" t="n"/>
    </row>
    <row r="1730">
      <c r="A1730" s="1" t="n"/>
      <c r="B1730" s="26" t="n"/>
      <c r="C1730" s="27" t="n"/>
      <c r="D1730" s="30" t="n"/>
      <c r="E1730" s="30" t="n"/>
      <c r="F1730" s="28" t="n"/>
      <c r="G1730" s="1" t="n"/>
    </row>
    <row r="1731">
      <c r="A1731" s="1" t="n"/>
      <c r="B1731" s="26" t="n"/>
      <c r="C1731" s="27" t="n"/>
      <c r="D1731" s="30" t="n"/>
      <c r="E1731" s="30" t="n"/>
      <c r="F1731" s="28" t="n"/>
      <c r="G1731" s="1" t="n"/>
    </row>
    <row r="1732">
      <c r="A1732" s="1" t="n"/>
      <c r="B1732" s="26" t="n"/>
      <c r="C1732" s="27" t="n"/>
      <c r="D1732" s="30" t="n"/>
      <c r="E1732" s="30" t="n"/>
      <c r="F1732" s="28" t="n"/>
      <c r="G1732" s="1" t="n"/>
    </row>
    <row r="1733">
      <c r="A1733" s="1" t="n"/>
      <c r="B1733" s="26" t="n"/>
      <c r="C1733" s="27" t="n"/>
      <c r="D1733" s="30" t="n"/>
      <c r="E1733" s="30" t="n"/>
      <c r="F1733" s="28" t="n"/>
      <c r="G1733" s="1" t="n"/>
    </row>
    <row r="1734">
      <c r="A1734" s="1" t="n"/>
      <c r="B1734" s="26" t="n"/>
      <c r="C1734" s="27" t="n"/>
      <c r="D1734" s="30" t="n"/>
      <c r="E1734" s="30" t="n"/>
      <c r="F1734" s="28" t="n"/>
      <c r="G1734" s="1" t="n"/>
    </row>
    <row r="1735">
      <c r="A1735" s="1" t="n"/>
      <c r="B1735" s="26" t="n"/>
      <c r="C1735" s="27" t="n"/>
      <c r="D1735" s="30" t="n"/>
      <c r="E1735" s="30" t="n"/>
      <c r="F1735" s="28" t="n"/>
      <c r="G1735" s="1" t="n"/>
    </row>
    <row r="1736">
      <c r="A1736" s="1" t="n"/>
      <c r="B1736" s="26" t="n"/>
      <c r="C1736" s="27" t="n"/>
      <c r="D1736" s="30" t="n"/>
      <c r="E1736" s="30" t="n"/>
      <c r="F1736" s="28" t="n"/>
      <c r="G1736" s="1" t="n"/>
    </row>
    <row r="1737">
      <c r="A1737" s="1" t="n"/>
      <c r="B1737" s="26" t="n"/>
      <c r="C1737" s="27" t="n"/>
      <c r="D1737" s="30" t="n"/>
      <c r="E1737" s="30" t="n"/>
      <c r="F1737" s="28" t="n"/>
      <c r="G1737" s="1" t="n"/>
    </row>
    <row r="1738">
      <c r="A1738" s="1" t="n"/>
      <c r="B1738" s="26" t="n"/>
      <c r="C1738" s="27" t="n"/>
      <c r="D1738" s="30" t="n"/>
      <c r="E1738" s="30" t="n"/>
      <c r="F1738" s="28" t="n"/>
      <c r="G1738" s="1" t="n"/>
    </row>
    <row r="1739">
      <c r="A1739" s="1" t="n"/>
      <c r="B1739" s="26" t="n"/>
      <c r="C1739" s="27" t="n"/>
      <c r="D1739" s="30" t="n"/>
      <c r="E1739" s="30" t="n"/>
      <c r="F1739" s="28" t="n"/>
      <c r="G1739" s="1" t="n"/>
    </row>
    <row r="1740">
      <c r="A1740" s="1" t="n"/>
      <c r="B1740" s="26" t="n"/>
      <c r="C1740" s="27" t="n"/>
      <c r="D1740" s="30" t="n"/>
      <c r="E1740" s="30" t="n"/>
      <c r="F1740" s="28" t="n"/>
      <c r="G1740" s="1" t="n"/>
    </row>
    <row r="1741">
      <c r="A1741" s="1" t="n"/>
      <c r="B1741" s="26" t="n"/>
      <c r="C1741" s="27" t="n"/>
      <c r="D1741" s="30" t="n"/>
      <c r="E1741" s="30" t="n"/>
      <c r="F1741" s="28" t="n"/>
      <c r="G1741" s="1" t="n"/>
    </row>
    <row r="1742">
      <c r="A1742" s="1" t="n"/>
      <c r="B1742" s="26" t="n"/>
      <c r="C1742" s="27" t="n"/>
      <c r="D1742" s="30" t="n"/>
      <c r="E1742" s="30" t="n"/>
      <c r="F1742" s="28" t="n"/>
      <c r="G1742" s="1" t="n"/>
    </row>
    <row r="1743">
      <c r="A1743" s="1" t="n"/>
      <c r="B1743" s="26" t="n"/>
      <c r="C1743" s="27" t="n"/>
      <c r="D1743" s="30" t="n"/>
      <c r="E1743" s="30" t="n"/>
      <c r="F1743" s="28" t="n"/>
      <c r="G1743" s="1" t="n"/>
    </row>
    <row r="1744">
      <c r="A1744" s="1" t="n"/>
      <c r="B1744" s="26" t="n"/>
      <c r="C1744" s="27" t="n"/>
      <c r="D1744" s="30" t="n"/>
      <c r="E1744" s="30" t="n"/>
      <c r="F1744" s="28" t="n"/>
      <c r="G1744" s="1" t="n"/>
    </row>
    <row r="1745">
      <c r="A1745" s="1" t="n"/>
      <c r="B1745" s="26" t="n"/>
      <c r="C1745" s="27" t="n"/>
      <c r="D1745" s="30" t="n"/>
      <c r="E1745" s="30" t="n"/>
      <c r="F1745" s="28" t="n"/>
      <c r="G1745" s="1" t="n"/>
    </row>
    <row r="1746">
      <c r="A1746" s="1" t="n"/>
      <c r="B1746" s="26" t="n"/>
      <c r="C1746" s="27" t="n"/>
      <c r="D1746" s="30" t="n"/>
      <c r="E1746" s="30" t="n"/>
      <c r="F1746" s="28" t="n"/>
      <c r="G1746" s="1" t="n"/>
    </row>
    <row r="1747">
      <c r="A1747" s="1" t="n"/>
      <c r="B1747" s="26" t="n"/>
      <c r="C1747" s="27" t="n"/>
      <c r="D1747" s="30" t="n"/>
      <c r="E1747" s="30" t="n"/>
      <c r="F1747" s="28" t="n"/>
      <c r="G1747" s="1" t="n"/>
    </row>
    <row r="1748">
      <c r="A1748" s="1" t="n"/>
      <c r="B1748" s="26" t="n"/>
      <c r="C1748" s="27" t="n"/>
      <c r="D1748" s="30" t="n"/>
      <c r="E1748" s="30" t="n"/>
      <c r="F1748" s="28" t="n"/>
      <c r="G1748" s="1" t="n"/>
    </row>
    <row r="1749">
      <c r="A1749" s="1" t="n"/>
      <c r="B1749" s="26" t="n"/>
      <c r="C1749" s="27" t="n"/>
      <c r="D1749" s="30" t="n"/>
      <c r="E1749" s="30" t="n"/>
      <c r="F1749" s="28" t="n"/>
      <c r="G1749" s="1" t="n"/>
    </row>
    <row r="1750">
      <c r="A1750" s="1" t="n"/>
      <c r="B1750" s="26" t="n"/>
      <c r="C1750" s="27" t="n"/>
      <c r="D1750" s="30" t="n"/>
      <c r="E1750" s="30" t="n"/>
      <c r="F1750" s="28" t="n"/>
      <c r="G1750" s="1" t="n"/>
    </row>
    <row r="1751">
      <c r="A1751" s="1" t="n"/>
      <c r="B1751" s="26" t="n"/>
      <c r="C1751" s="27" t="n"/>
      <c r="D1751" s="30" t="n"/>
      <c r="E1751" s="30" t="n"/>
      <c r="F1751" s="28" t="n"/>
      <c r="G1751" s="1" t="n"/>
    </row>
    <row r="1752">
      <c r="A1752" s="1" t="n"/>
      <c r="B1752" s="26" t="n"/>
      <c r="C1752" s="27" t="n"/>
      <c r="D1752" s="30" t="n"/>
      <c r="E1752" s="30" t="n"/>
      <c r="F1752" s="28" t="n"/>
      <c r="G1752" s="1" t="n"/>
    </row>
    <row r="1753">
      <c r="A1753" s="1" t="n"/>
      <c r="B1753" s="26" t="n"/>
      <c r="C1753" s="27" t="n"/>
      <c r="D1753" s="30" t="n"/>
      <c r="E1753" s="30" t="n"/>
      <c r="F1753" s="28" t="n"/>
      <c r="G1753" s="1" t="n"/>
    </row>
    <row r="1754">
      <c r="A1754" s="1" t="n"/>
      <c r="B1754" s="26" t="n"/>
      <c r="C1754" s="27" t="n"/>
      <c r="D1754" s="30" t="n"/>
      <c r="E1754" s="30" t="n"/>
      <c r="F1754" s="28" t="n"/>
      <c r="G1754" s="1" t="n"/>
    </row>
    <row r="1755">
      <c r="A1755" s="1" t="n"/>
      <c r="B1755" s="26" t="n"/>
      <c r="C1755" s="27" t="n"/>
      <c r="D1755" s="30" t="n"/>
      <c r="E1755" s="30" t="n"/>
      <c r="F1755" s="28" t="n"/>
      <c r="G1755" s="1" t="n"/>
    </row>
    <row r="1756">
      <c r="A1756" s="1" t="n"/>
      <c r="B1756" s="26" t="n"/>
      <c r="C1756" s="27" t="n"/>
      <c r="D1756" s="30" t="n"/>
      <c r="E1756" s="30" t="n"/>
      <c r="F1756" s="28" t="n"/>
      <c r="G1756" s="1" t="n"/>
    </row>
    <row r="1757">
      <c r="A1757" s="1" t="n"/>
      <c r="B1757" s="26" t="n"/>
      <c r="C1757" s="27" t="n"/>
      <c r="D1757" s="30" t="n"/>
      <c r="E1757" s="30" t="n"/>
      <c r="F1757" s="28" t="n"/>
      <c r="G1757" s="1" t="n"/>
    </row>
    <row r="1758">
      <c r="A1758" s="1" t="n"/>
      <c r="B1758" s="26" t="n"/>
      <c r="C1758" s="27" t="n"/>
      <c r="D1758" s="30" t="n"/>
      <c r="E1758" s="30" t="n"/>
      <c r="F1758" s="28" t="n"/>
      <c r="G1758" s="1" t="n"/>
    </row>
    <row r="1759">
      <c r="A1759" s="1" t="n"/>
      <c r="B1759" s="26" t="n"/>
      <c r="C1759" s="27" t="n"/>
      <c r="D1759" s="30" t="n"/>
      <c r="E1759" s="30" t="n"/>
      <c r="F1759" s="28" t="n"/>
      <c r="G1759" s="1" t="n"/>
    </row>
    <row r="1760">
      <c r="A1760" s="1" t="n"/>
      <c r="B1760" s="26" t="n"/>
      <c r="C1760" s="27" t="n"/>
      <c r="D1760" s="30" t="n"/>
      <c r="E1760" s="30" t="n"/>
      <c r="F1760" s="28" t="n"/>
      <c r="G1760" s="1" t="n"/>
    </row>
    <row r="1761">
      <c r="A1761" s="1" t="n"/>
      <c r="B1761" s="26" t="n"/>
      <c r="C1761" s="27" t="n"/>
      <c r="D1761" s="30" t="n"/>
      <c r="E1761" s="30" t="n"/>
      <c r="F1761" s="28" t="n"/>
      <c r="G1761" s="1" t="n"/>
    </row>
    <row r="1762">
      <c r="A1762" s="1" t="n"/>
      <c r="B1762" s="26" t="n"/>
      <c r="C1762" s="27" t="n"/>
      <c r="D1762" s="30" t="n"/>
      <c r="E1762" s="30" t="n"/>
      <c r="F1762" s="28" t="n"/>
      <c r="G1762" s="1" t="n"/>
    </row>
    <row r="1763">
      <c r="A1763" s="1" t="n"/>
      <c r="B1763" s="26" t="n"/>
      <c r="C1763" s="27" t="n"/>
      <c r="D1763" s="30" t="n"/>
      <c r="E1763" s="30" t="n"/>
      <c r="F1763" s="28" t="n"/>
      <c r="G1763" s="1" t="n"/>
    </row>
    <row r="1764">
      <c r="A1764" s="1" t="n"/>
      <c r="B1764" s="26" t="n"/>
      <c r="C1764" s="27" t="n"/>
      <c r="D1764" s="30" t="n"/>
      <c r="E1764" s="30" t="n"/>
      <c r="F1764" s="28" t="n"/>
      <c r="G1764" s="1" t="n"/>
    </row>
    <row r="1765">
      <c r="A1765" s="1" t="n"/>
      <c r="B1765" s="26" t="n"/>
      <c r="C1765" s="27" t="n"/>
      <c r="D1765" s="30" t="n"/>
      <c r="E1765" s="30" t="n"/>
      <c r="F1765" s="28" t="n"/>
      <c r="G1765" s="1" t="n"/>
    </row>
    <row r="1766">
      <c r="A1766" s="1" t="n"/>
      <c r="B1766" s="26" t="n"/>
      <c r="C1766" s="27" t="n"/>
      <c r="D1766" s="30" t="n"/>
      <c r="E1766" s="30" t="n"/>
      <c r="F1766" s="28" t="n"/>
      <c r="G1766" s="1" t="n"/>
    </row>
    <row r="1767">
      <c r="A1767" s="1" t="n"/>
      <c r="B1767" s="26" t="n"/>
      <c r="C1767" s="27" t="n"/>
      <c r="D1767" s="30" t="n"/>
      <c r="E1767" s="30" t="n"/>
      <c r="F1767" s="28" t="n"/>
      <c r="G1767" s="1" t="n"/>
    </row>
    <row r="1768">
      <c r="A1768" s="1" t="n"/>
      <c r="B1768" s="26" t="n"/>
      <c r="C1768" s="27" t="n"/>
      <c r="D1768" s="30" t="n"/>
      <c r="E1768" s="30" t="n"/>
      <c r="F1768" s="28" t="n"/>
      <c r="G1768" s="1" t="n"/>
    </row>
    <row r="1769">
      <c r="A1769" s="1" t="n"/>
      <c r="B1769" s="26" t="n"/>
      <c r="C1769" s="27" t="n"/>
      <c r="D1769" s="30" t="n"/>
      <c r="E1769" s="30" t="n"/>
      <c r="F1769" s="28" t="n"/>
      <c r="G1769" s="1" t="n"/>
    </row>
    <row r="1770">
      <c r="A1770" s="1" t="n"/>
      <c r="B1770" s="26" t="n"/>
      <c r="C1770" s="27" t="n"/>
      <c r="D1770" s="30" t="n"/>
      <c r="E1770" s="30" t="n"/>
      <c r="F1770" s="28" t="n"/>
      <c r="G1770" s="1" t="n"/>
    </row>
    <row r="1771">
      <c r="A1771" s="1" t="n"/>
      <c r="B1771" s="26" t="n"/>
      <c r="C1771" s="27" t="n"/>
      <c r="D1771" s="30" t="n"/>
      <c r="E1771" s="30" t="n"/>
      <c r="F1771" s="28" t="n"/>
      <c r="G1771" s="1" t="n"/>
    </row>
    <row r="1772">
      <c r="A1772" s="1" t="n"/>
      <c r="B1772" s="26" t="n"/>
      <c r="C1772" s="27" t="n"/>
      <c r="D1772" s="30" t="n"/>
      <c r="E1772" s="30" t="n"/>
      <c r="F1772" s="28" t="n"/>
      <c r="G1772" s="1" t="n"/>
    </row>
    <row r="1773">
      <c r="A1773" s="1" t="n"/>
      <c r="B1773" s="26" t="n"/>
      <c r="C1773" s="27" t="n"/>
      <c r="D1773" s="30" t="n"/>
      <c r="E1773" s="30" t="n"/>
      <c r="F1773" s="28" t="n"/>
      <c r="G1773" s="1" t="n"/>
    </row>
    <row r="1774">
      <c r="A1774" s="1" t="n"/>
      <c r="B1774" s="26" t="n"/>
      <c r="C1774" s="27" t="n"/>
      <c r="D1774" s="30" t="n"/>
      <c r="E1774" s="30" t="n"/>
      <c r="F1774" s="28" t="n"/>
      <c r="G1774" s="1" t="n"/>
    </row>
    <row r="1775">
      <c r="A1775" s="1" t="n"/>
      <c r="B1775" s="26" t="n"/>
      <c r="C1775" s="27" t="n"/>
      <c r="D1775" s="30" t="n"/>
      <c r="E1775" s="30" t="n"/>
      <c r="F1775" s="28" t="n"/>
      <c r="G1775" s="1" t="n"/>
    </row>
    <row r="1776">
      <c r="A1776" s="1" t="n"/>
      <c r="B1776" s="26" t="n"/>
      <c r="C1776" s="27" t="n"/>
      <c r="D1776" s="30" t="n"/>
      <c r="E1776" s="30" t="n"/>
      <c r="F1776" s="28" t="n"/>
      <c r="G1776" s="1" t="n"/>
    </row>
    <row r="1777">
      <c r="A1777" s="1" t="n"/>
      <c r="B1777" s="26" t="n"/>
      <c r="C1777" s="27" t="n"/>
      <c r="D1777" s="30" t="n"/>
      <c r="E1777" s="30" t="n"/>
      <c r="F1777" s="28" t="n"/>
      <c r="G1777" s="1" t="n"/>
    </row>
    <row r="1778">
      <c r="A1778" s="1" t="n"/>
      <c r="B1778" s="26" t="n"/>
      <c r="C1778" s="27" t="n"/>
      <c r="D1778" s="30" t="n"/>
      <c r="E1778" s="30" t="n"/>
      <c r="F1778" s="28" t="n"/>
      <c r="G1778" s="1" t="n"/>
    </row>
    <row r="1779">
      <c r="A1779" s="1" t="n"/>
      <c r="B1779" s="26" t="n"/>
      <c r="C1779" s="27" t="n"/>
      <c r="D1779" s="30" t="n"/>
      <c r="E1779" s="30" t="n"/>
      <c r="F1779" s="28" t="n"/>
      <c r="G1779" s="1" t="n"/>
    </row>
    <row r="1780">
      <c r="A1780" s="1" t="n"/>
      <c r="B1780" s="26" t="n"/>
      <c r="C1780" s="27" t="n"/>
      <c r="D1780" s="30" t="n"/>
      <c r="E1780" s="30" t="n"/>
      <c r="F1780" s="28" t="n"/>
      <c r="G1780" s="1" t="n"/>
    </row>
    <row r="1781">
      <c r="A1781" s="1" t="n"/>
      <c r="B1781" s="26" t="n"/>
      <c r="C1781" s="27" t="n"/>
      <c r="D1781" s="30" t="n"/>
      <c r="E1781" s="30" t="n"/>
      <c r="F1781" s="28" t="n"/>
      <c r="G1781" s="1" t="n"/>
    </row>
    <row r="1782">
      <c r="A1782" s="1" t="n"/>
      <c r="B1782" s="26" t="n"/>
      <c r="C1782" s="27" t="n"/>
      <c r="D1782" s="30" t="n"/>
      <c r="E1782" s="30" t="n"/>
      <c r="F1782" s="28" t="n"/>
      <c r="G1782" s="1" t="n"/>
    </row>
    <row r="1783">
      <c r="A1783" s="1" t="n"/>
      <c r="B1783" s="26" t="n"/>
      <c r="C1783" s="27" t="n"/>
      <c r="D1783" s="30" t="n"/>
      <c r="E1783" s="30" t="n"/>
      <c r="F1783" s="28" t="n"/>
      <c r="G1783" s="1" t="n"/>
    </row>
    <row r="1784">
      <c r="A1784" s="1" t="n"/>
      <c r="B1784" s="26" t="n"/>
      <c r="C1784" s="27" t="n"/>
      <c r="D1784" s="30" t="n"/>
      <c r="E1784" s="30" t="n"/>
      <c r="F1784" s="28" t="n"/>
      <c r="G1784" s="1" t="n"/>
    </row>
    <row r="1785">
      <c r="A1785" s="1" t="n"/>
      <c r="B1785" s="26" t="n"/>
      <c r="C1785" s="27" t="n"/>
      <c r="D1785" s="30" t="n"/>
      <c r="E1785" s="30" t="n"/>
      <c r="F1785" s="28" t="n"/>
      <c r="G1785" s="1" t="n"/>
    </row>
    <row r="1786">
      <c r="A1786" s="1" t="n"/>
      <c r="B1786" s="26" t="n"/>
      <c r="C1786" s="27" t="n"/>
      <c r="D1786" s="30" t="n"/>
      <c r="E1786" s="30" t="n"/>
      <c r="F1786" s="28" t="n"/>
      <c r="G1786" s="1" t="n"/>
    </row>
    <row r="1787">
      <c r="A1787" s="1" t="n"/>
      <c r="B1787" s="26" t="n"/>
      <c r="C1787" s="27" t="n"/>
      <c r="D1787" s="30" t="n"/>
      <c r="E1787" s="30" t="n"/>
      <c r="F1787" s="28" t="n"/>
      <c r="G1787" s="1" t="n"/>
    </row>
    <row r="1788">
      <c r="A1788" s="1" t="n"/>
      <c r="B1788" s="26" t="n"/>
      <c r="C1788" s="27" t="n"/>
      <c r="D1788" s="30" t="n"/>
      <c r="E1788" s="30" t="n"/>
      <c r="F1788" s="28" t="n"/>
      <c r="G1788" s="1" t="n"/>
    </row>
    <row r="1789">
      <c r="A1789" s="1" t="n"/>
      <c r="B1789" s="26" t="n"/>
      <c r="C1789" s="27" t="n"/>
      <c r="D1789" s="30" t="n"/>
      <c r="E1789" s="30" t="n"/>
      <c r="F1789" s="28" t="n"/>
      <c r="G1789" s="1" t="n"/>
    </row>
    <row r="1790">
      <c r="A1790" s="1" t="n"/>
      <c r="B1790" s="26" t="n"/>
      <c r="C1790" s="27" t="n"/>
      <c r="D1790" s="30" t="n"/>
      <c r="E1790" s="30" t="n"/>
      <c r="F1790" s="28" t="n"/>
      <c r="G1790" s="1" t="n"/>
    </row>
    <row r="1791">
      <c r="A1791" s="1" t="n"/>
      <c r="B1791" s="26" t="n"/>
      <c r="C1791" s="27" t="n"/>
      <c r="D1791" s="30" t="n"/>
      <c r="E1791" s="30" t="n"/>
      <c r="F1791" s="28" t="n"/>
      <c r="G1791" s="1" t="n"/>
    </row>
    <row r="1792">
      <c r="A1792" s="1" t="n"/>
      <c r="B1792" s="26" t="n"/>
      <c r="C1792" s="27" t="n"/>
      <c r="D1792" s="30" t="n"/>
      <c r="E1792" s="30" t="n"/>
      <c r="F1792" s="28" t="n"/>
      <c r="G1792" s="1" t="n"/>
    </row>
    <row r="1793">
      <c r="A1793" s="1" t="n"/>
      <c r="B1793" s="26" t="n"/>
      <c r="C1793" s="27" t="n"/>
      <c r="D1793" s="30" t="n"/>
      <c r="E1793" s="30" t="n"/>
      <c r="F1793" s="28" t="n"/>
      <c r="G1793" s="1" t="n"/>
    </row>
    <row r="1794">
      <c r="A1794" s="1" t="n"/>
      <c r="B1794" s="26" t="n"/>
      <c r="C1794" s="27" t="n"/>
      <c r="D1794" s="30" t="n"/>
      <c r="E1794" s="30" t="n"/>
      <c r="F1794" s="28" t="n"/>
      <c r="G1794" s="1" t="n"/>
    </row>
    <row r="1795">
      <c r="A1795" s="1" t="n"/>
      <c r="B1795" s="26" t="n"/>
      <c r="C1795" s="27" t="n"/>
      <c r="D1795" s="30" t="n"/>
      <c r="E1795" s="30" t="n"/>
      <c r="F1795" s="28" t="n"/>
      <c r="G1795" s="1" t="n"/>
    </row>
    <row r="1796">
      <c r="A1796" s="1" t="n"/>
      <c r="B1796" s="26" t="n"/>
      <c r="C1796" s="27" t="n"/>
      <c r="D1796" s="30" t="n"/>
      <c r="E1796" s="30" t="n"/>
      <c r="F1796" s="28" t="n"/>
      <c r="G1796" s="1" t="n"/>
    </row>
    <row r="1797">
      <c r="A1797" s="1" t="n"/>
      <c r="B1797" s="26" t="n"/>
      <c r="C1797" s="27" t="n"/>
      <c r="D1797" s="30" t="n"/>
      <c r="E1797" s="30" t="n"/>
      <c r="F1797" s="28" t="n"/>
      <c r="G1797" s="1" t="n"/>
    </row>
    <row r="1798">
      <c r="A1798" s="1" t="n"/>
      <c r="B1798" s="26" t="n"/>
      <c r="C1798" s="27" t="n"/>
      <c r="D1798" s="30" t="n"/>
      <c r="E1798" s="30" t="n"/>
      <c r="F1798" s="28" t="n"/>
      <c r="G1798" s="1" t="n"/>
    </row>
    <row r="1799">
      <c r="A1799" s="1" t="n"/>
      <c r="B1799" s="26" t="n"/>
      <c r="C1799" s="27" t="n"/>
      <c r="D1799" s="30" t="n"/>
      <c r="E1799" s="30" t="n"/>
      <c r="F1799" s="28" t="n"/>
      <c r="G1799" s="1" t="n"/>
    </row>
    <row r="1800">
      <c r="A1800" s="1" t="n"/>
      <c r="B1800" s="26" t="n"/>
      <c r="C1800" s="27" t="n"/>
      <c r="D1800" s="30" t="n"/>
      <c r="E1800" s="30" t="n"/>
      <c r="F1800" s="28" t="n"/>
      <c r="G1800" s="1" t="n"/>
    </row>
    <row r="1801">
      <c r="A1801" s="1" t="n"/>
      <c r="B1801" s="26" t="n"/>
      <c r="C1801" s="27" t="n"/>
      <c r="D1801" s="30" t="n"/>
      <c r="E1801" s="30" t="n"/>
      <c r="F1801" s="28" t="n"/>
      <c r="G1801" s="1" t="n"/>
    </row>
    <row r="1802">
      <c r="A1802" s="1" t="n"/>
      <c r="B1802" s="26" t="n"/>
      <c r="C1802" s="27" t="n"/>
      <c r="D1802" s="30" t="n"/>
      <c r="E1802" s="30" t="n"/>
      <c r="F1802" s="28" t="n"/>
      <c r="G1802" s="1" t="n"/>
    </row>
    <row r="1803">
      <c r="A1803" s="1" t="n"/>
      <c r="B1803" s="26" t="n"/>
      <c r="C1803" s="27" t="n"/>
      <c r="D1803" s="30" t="n"/>
      <c r="E1803" s="30" t="n"/>
      <c r="F1803" s="28" t="n"/>
      <c r="G1803" s="1" t="n"/>
    </row>
    <row r="1804">
      <c r="A1804" s="1" t="n"/>
      <c r="B1804" s="26" t="n"/>
      <c r="C1804" s="27" t="n"/>
      <c r="D1804" s="30" t="n"/>
      <c r="E1804" s="30" t="n"/>
      <c r="F1804" s="28" t="n"/>
      <c r="G1804" s="1" t="n"/>
    </row>
    <row r="1805">
      <c r="A1805" s="1" t="n"/>
      <c r="B1805" s="26" t="n"/>
      <c r="C1805" s="27" t="n"/>
      <c r="D1805" s="30" t="n"/>
      <c r="E1805" s="30" t="n"/>
      <c r="F1805" s="28" t="n"/>
      <c r="G1805" s="1" t="n"/>
    </row>
    <row r="1806">
      <c r="A1806" s="1" t="n"/>
      <c r="B1806" s="26" t="n"/>
      <c r="C1806" s="27" t="n"/>
      <c r="D1806" s="30" t="n"/>
      <c r="E1806" s="30" t="n"/>
      <c r="F1806" s="28" t="n"/>
      <c r="G1806" s="1" t="n"/>
    </row>
    <row r="1807">
      <c r="A1807" s="1" t="n"/>
      <c r="B1807" s="26" t="n"/>
      <c r="C1807" s="27" t="n"/>
      <c r="D1807" s="30" t="n"/>
      <c r="E1807" s="30" t="n"/>
      <c r="F1807" s="28" t="n"/>
      <c r="G1807" s="1" t="n"/>
    </row>
    <row r="1808">
      <c r="A1808" s="1" t="n"/>
      <c r="B1808" s="26" t="n"/>
      <c r="C1808" s="27" t="n"/>
      <c r="D1808" s="30" t="n"/>
      <c r="E1808" s="30" t="n"/>
      <c r="F1808" s="28" t="n"/>
      <c r="G1808" s="1" t="n"/>
    </row>
    <row r="1809">
      <c r="A1809" s="1" t="n"/>
      <c r="B1809" s="26" t="n"/>
      <c r="C1809" s="27" t="n"/>
      <c r="D1809" s="30" t="n"/>
      <c r="E1809" s="30" t="n"/>
      <c r="F1809" s="28" t="n"/>
      <c r="G1809" s="1" t="n"/>
    </row>
    <row r="1810">
      <c r="A1810" s="1" t="n"/>
      <c r="B1810" s="26" t="n"/>
      <c r="C1810" s="27" t="n"/>
      <c r="D1810" s="30" t="n"/>
      <c r="E1810" s="30" t="n"/>
      <c r="F1810" s="28" t="n"/>
      <c r="G1810" s="1" t="n"/>
    </row>
    <row r="1811">
      <c r="A1811" s="1" t="n"/>
      <c r="B1811" s="26" t="n"/>
      <c r="C1811" s="27" t="n"/>
      <c r="D1811" s="30" t="n"/>
      <c r="E1811" s="30" t="n"/>
      <c r="F1811" s="28" t="n"/>
      <c r="G1811" s="1" t="n"/>
    </row>
    <row r="1812">
      <c r="A1812" s="1" t="n"/>
      <c r="B1812" s="26" t="n"/>
      <c r="C1812" s="27" t="n"/>
      <c r="D1812" s="30" t="n"/>
      <c r="E1812" s="30" t="n"/>
      <c r="F1812" s="28" t="n"/>
      <c r="G1812" s="1" t="n"/>
    </row>
    <row r="1813">
      <c r="A1813" s="1" t="n"/>
      <c r="B1813" s="26" t="n"/>
      <c r="C1813" s="27" t="n"/>
      <c r="D1813" s="30" t="n"/>
      <c r="E1813" s="30" t="n"/>
      <c r="F1813" s="28" t="n"/>
      <c r="G1813" s="1" t="n"/>
    </row>
    <row r="1814">
      <c r="A1814" s="1" t="n"/>
      <c r="B1814" s="26" t="n"/>
      <c r="C1814" s="27" t="n"/>
      <c r="D1814" s="30" t="n"/>
      <c r="E1814" s="30" t="n"/>
      <c r="F1814" s="28" t="n"/>
      <c r="G1814" s="1" t="n"/>
    </row>
    <row r="1815">
      <c r="A1815" s="1" t="n"/>
      <c r="B1815" s="26" t="n"/>
      <c r="C1815" s="27" t="n"/>
      <c r="D1815" s="30" t="n"/>
      <c r="E1815" s="30" t="n"/>
      <c r="F1815" s="28" t="n"/>
      <c r="G1815" s="1" t="n"/>
    </row>
    <row r="1816">
      <c r="A1816" s="1" t="n"/>
      <c r="B1816" s="26" t="n"/>
      <c r="C1816" s="27" t="n"/>
      <c r="D1816" s="30" t="n"/>
      <c r="E1816" s="30" t="n"/>
      <c r="F1816" s="28" t="n"/>
      <c r="G1816" s="1" t="n"/>
    </row>
    <row r="1817">
      <c r="A1817" s="1" t="n"/>
      <c r="B1817" s="26" t="n"/>
      <c r="C1817" s="27" t="n"/>
      <c r="D1817" s="30" t="n"/>
      <c r="E1817" s="30" t="n"/>
      <c r="F1817" s="28" t="n"/>
      <c r="G1817" s="1" t="n"/>
    </row>
    <row r="1818">
      <c r="A1818" s="1" t="n"/>
      <c r="B1818" s="26" t="n"/>
      <c r="C1818" s="27" t="n"/>
      <c r="D1818" s="30" t="n"/>
      <c r="E1818" s="30" t="n"/>
      <c r="F1818" s="28" t="n"/>
      <c r="G1818" s="1" t="n"/>
    </row>
    <row r="1819">
      <c r="A1819" s="1" t="n"/>
      <c r="B1819" s="26" t="n"/>
      <c r="C1819" s="27" t="n"/>
      <c r="D1819" s="30" t="n"/>
      <c r="E1819" s="30" t="n"/>
      <c r="F1819" s="28" t="n"/>
      <c r="G1819" s="1" t="n"/>
    </row>
    <row r="1820">
      <c r="A1820" s="1" t="n"/>
      <c r="B1820" s="26" t="n"/>
      <c r="C1820" s="27" t="n"/>
      <c r="D1820" s="30" t="n"/>
      <c r="E1820" s="30" t="n"/>
      <c r="F1820" s="28" t="n"/>
      <c r="G1820" s="1" t="n"/>
    </row>
    <row r="1821">
      <c r="A1821" s="1" t="n"/>
      <c r="B1821" s="26" t="n"/>
      <c r="C1821" s="27" t="n"/>
      <c r="D1821" s="30" t="n"/>
      <c r="E1821" s="30" t="n"/>
      <c r="F1821" s="28" t="n"/>
      <c r="G1821" s="1" t="n"/>
    </row>
    <row r="1822">
      <c r="A1822" s="1" t="n"/>
      <c r="B1822" s="26" t="n"/>
      <c r="C1822" s="27" t="n"/>
      <c r="D1822" s="30" t="n"/>
      <c r="E1822" s="30" t="n"/>
      <c r="F1822" s="28" t="n"/>
      <c r="G1822" s="1" t="n"/>
    </row>
    <row r="1823">
      <c r="A1823" s="1" t="n"/>
      <c r="B1823" s="26" t="n"/>
      <c r="C1823" s="27" t="n"/>
      <c r="D1823" s="30" t="n"/>
      <c r="E1823" s="30" t="n"/>
      <c r="F1823" s="28" t="n"/>
      <c r="G1823" s="1" t="n"/>
    </row>
    <row r="1824">
      <c r="A1824" s="1" t="n"/>
      <c r="B1824" s="26" t="n"/>
      <c r="C1824" s="27" t="n"/>
      <c r="D1824" s="30" t="n"/>
      <c r="E1824" s="30" t="n"/>
      <c r="F1824" s="28" t="n"/>
      <c r="G1824" s="1" t="n"/>
    </row>
    <row r="1825">
      <c r="A1825" s="1" t="n"/>
      <c r="B1825" s="26" t="n"/>
      <c r="C1825" s="27" t="n"/>
      <c r="D1825" s="30" t="n"/>
      <c r="E1825" s="30" t="n"/>
      <c r="F1825" s="28" t="n"/>
      <c r="G1825" s="1" t="n"/>
    </row>
    <row r="1826">
      <c r="A1826" s="1" t="n"/>
      <c r="B1826" s="26" t="n"/>
      <c r="C1826" s="27" t="n"/>
      <c r="D1826" s="30" t="n"/>
      <c r="E1826" s="30" t="n"/>
      <c r="F1826" s="28" t="n"/>
      <c r="G1826" s="1" t="n"/>
    </row>
    <row r="1827">
      <c r="A1827" s="1" t="n"/>
      <c r="B1827" s="26" t="n"/>
      <c r="C1827" s="27" t="n"/>
      <c r="D1827" s="30" t="n"/>
      <c r="E1827" s="30" t="n"/>
      <c r="F1827" s="28" t="n"/>
      <c r="G1827" s="1" t="n"/>
    </row>
    <row r="1828">
      <c r="A1828" s="1" t="n"/>
      <c r="B1828" s="26" t="n"/>
      <c r="C1828" s="27" t="n"/>
      <c r="D1828" s="30" t="n"/>
      <c r="E1828" s="30" t="n"/>
      <c r="F1828" s="28" t="n"/>
      <c r="G1828" s="1" t="n"/>
    </row>
    <row r="1829">
      <c r="A1829" s="1" t="n"/>
      <c r="B1829" s="26" t="n"/>
      <c r="C1829" s="27" t="n"/>
      <c r="D1829" s="30" t="n"/>
      <c r="E1829" s="30" t="n"/>
      <c r="F1829" s="28" t="n"/>
      <c r="G1829" s="1" t="n"/>
    </row>
    <row r="1830">
      <c r="A1830" s="1" t="n"/>
      <c r="B1830" s="26" t="n"/>
      <c r="C1830" s="27" t="n"/>
      <c r="D1830" s="30" t="n"/>
      <c r="E1830" s="30" t="n"/>
      <c r="F1830" s="28" t="n"/>
      <c r="G1830" s="1" t="n"/>
    </row>
    <row r="1831">
      <c r="A1831" s="1" t="n"/>
      <c r="B1831" s="26" t="n"/>
      <c r="C1831" s="27" t="n"/>
      <c r="D1831" s="30" t="n"/>
      <c r="E1831" s="30" t="n"/>
      <c r="F1831" s="28" t="n"/>
      <c r="G1831" s="1" t="n"/>
    </row>
    <row r="1832">
      <c r="A1832" s="1" t="n"/>
      <c r="B1832" s="26" t="n"/>
      <c r="C1832" s="27" t="n"/>
      <c r="D1832" s="30" t="n"/>
      <c r="E1832" s="30" t="n"/>
      <c r="F1832" s="28" t="n"/>
      <c r="G1832" s="1" t="n"/>
    </row>
    <row r="1833">
      <c r="A1833" s="1" t="n"/>
      <c r="B1833" s="26" t="n"/>
      <c r="C1833" s="27" t="n"/>
      <c r="D1833" s="30" t="n"/>
      <c r="E1833" s="30" t="n"/>
      <c r="F1833" s="28" t="n"/>
      <c r="G1833" s="1" t="n"/>
    </row>
    <row r="1834">
      <c r="A1834" s="1" t="n"/>
      <c r="B1834" s="26" t="n"/>
      <c r="C1834" s="27" t="n"/>
      <c r="D1834" s="30" t="n"/>
      <c r="E1834" s="30" t="n"/>
      <c r="F1834" s="28" t="n"/>
      <c r="G1834" s="1" t="n"/>
    </row>
    <row r="1835">
      <c r="A1835" s="1" t="n"/>
      <c r="B1835" s="26" t="n"/>
      <c r="C1835" s="27" t="n"/>
      <c r="D1835" s="30" t="n"/>
      <c r="E1835" s="30" t="n"/>
      <c r="F1835" s="28" t="n"/>
      <c r="G1835" s="1" t="n"/>
    </row>
    <row r="1836">
      <c r="A1836" s="1" t="n"/>
      <c r="B1836" s="26" t="n"/>
      <c r="C1836" s="27" t="n"/>
      <c r="D1836" s="30" t="n"/>
      <c r="E1836" s="30" t="n"/>
      <c r="F1836" s="28" t="n"/>
      <c r="G1836" s="1" t="n"/>
    </row>
    <row r="1837">
      <c r="A1837" s="1" t="n"/>
      <c r="B1837" s="26" t="n"/>
      <c r="C1837" s="27" t="n"/>
      <c r="D1837" s="30" t="n"/>
      <c r="E1837" s="30" t="n"/>
      <c r="F1837" s="28" t="n"/>
      <c r="G1837" s="1" t="n"/>
    </row>
    <row r="1838">
      <c r="A1838" s="1" t="n"/>
      <c r="B1838" s="26" t="n"/>
      <c r="C1838" s="27" t="n"/>
      <c r="D1838" s="30" t="n"/>
      <c r="E1838" s="30" t="n"/>
      <c r="F1838" s="28" t="n"/>
      <c r="G1838" s="1" t="n"/>
    </row>
    <row r="1839">
      <c r="A1839" s="1" t="n"/>
      <c r="B1839" s="26" t="n"/>
      <c r="C1839" s="27" t="n"/>
      <c r="D1839" s="30" t="n"/>
      <c r="E1839" s="30" t="n"/>
      <c r="F1839" s="28" t="n"/>
      <c r="G1839" s="1" t="n"/>
    </row>
    <row r="1840">
      <c r="A1840" s="1" t="n"/>
      <c r="B1840" s="26" t="n"/>
      <c r="C1840" s="27" t="n"/>
      <c r="D1840" s="30" t="n"/>
      <c r="E1840" s="30" t="n"/>
      <c r="F1840" s="28" t="n"/>
      <c r="G1840" s="1" t="n"/>
    </row>
    <row r="1841">
      <c r="A1841" s="1" t="n"/>
      <c r="B1841" s="26" t="n"/>
      <c r="C1841" s="27" t="n"/>
      <c r="D1841" s="30" t="n"/>
      <c r="E1841" s="30" t="n"/>
      <c r="F1841" s="28" t="n"/>
      <c r="G1841" s="1" t="n"/>
    </row>
    <row r="1842">
      <c r="A1842" s="1" t="n"/>
      <c r="B1842" s="26" t="n"/>
      <c r="C1842" s="27" t="n"/>
      <c r="D1842" s="30" t="n"/>
      <c r="E1842" s="30" t="n"/>
      <c r="F1842" s="28" t="n"/>
      <c r="G1842" s="1" t="n"/>
    </row>
    <row r="1843">
      <c r="A1843" s="1" t="n"/>
      <c r="B1843" s="26" t="n"/>
      <c r="C1843" s="27" t="n"/>
      <c r="D1843" s="30" t="n"/>
      <c r="E1843" s="30" t="n"/>
      <c r="F1843" s="28" t="n"/>
      <c r="G1843" s="1" t="n"/>
    </row>
    <row r="1844">
      <c r="A1844" s="1" t="n"/>
      <c r="B1844" s="26" t="n"/>
      <c r="C1844" s="27" t="n"/>
      <c r="D1844" s="30" t="n"/>
      <c r="E1844" s="30" t="n"/>
      <c r="F1844" s="28" t="n"/>
      <c r="G1844" s="1" t="n"/>
    </row>
    <row r="1845">
      <c r="A1845" s="1" t="n"/>
      <c r="B1845" s="26" t="n"/>
      <c r="C1845" s="27" t="n"/>
      <c r="D1845" s="30" t="n"/>
      <c r="E1845" s="30" t="n"/>
      <c r="F1845" s="28" t="n"/>
      <c r="G1845" s="1" t="n"/>
    </row>
    <row r="1846">
      <c r="A1846" s="1" t="n"/>
      <c r="B1846" s="26" t="n"/>
      <c r="C1846" s="27" t="n"/>
      <c r="D1846" s="30" t="n"/>
      <c r="E1846" s="30" t="n"/>
      <c r="F1846" s="28" t="n"/>
      <c r="G1846" s="1" t="n"/>
    </row>
    <row r="1847">
      <c r="A1847" s="1" t="n"/>
      <c r="B1847" s="26" t="n"/>
      <c r="C1847" s="27" t="n"/>
      <c r="D1847" s="30" t="n"/>
      <c r="E1847" s="30" t="n"/>
      <c r="F1847" s="28" t="n"/>
      <c r="G1847" s="1" t="n"/>
    </row>
    <row r="1848">
      <c r="A1848" s="1" t="n"/>
      <c r="B1848" s="26" t="n"/>
      <c r="C1848" s="27" t="n"/>
      <c r="D1848" s="30" t="n"/>
      <c r="E1848" s="30" t="n"/>
      <c r="F1848" s="28" t="n"/>
      <c r="G1848" s="1" t="n"/>
    </row>
    <row r="1849">
      <c r="A1849" s="1" t="n"/>
      <c r="B1849" s="26" t="n"/>
      <c r="C1849" s="27" t="n"/>
      <c r="D1849" s="30" t="n"/>
      <c r="E1849" s="30" t="n"/>
      <c r="F1849" s="28" t="n"/>
      <c r="G1849" s="1" t="n"/>
    </row>
    <row r="1850">
      <c r="A1850" s="1" t="n"/>
      <c r="B1850" s="26" t="n"/>
      <c r="C1850" s="27" t="n"/>
      <c r="D1850" s="30" t="n"/>
      <c r="E1850" s="30" t="n"/>
      <c r="F1850" s="28" t="n"/>
      <c r="G1850" s="1" t="n"/>
    </row>
    <row r="1851">
      <c r="A1851" s="1" t="n"/>
      <c r="B1851" s="26" t="n"/>
      <c r="C1851" s="27" t="n"/>
      <c r="D1851" s="30" t="n"/>
      <c r="E1851" s="30" t="n"/>
      <c r="F1851" s="28" t="n"/>
      <c r="G1851" s="1" t="n"/>
    </row>
    <row r="1852">
      <c r="A1852" s="1" t="n"/>
      <c r="B1852" s="26" t="n"/>
      <c r="C1852" s="27" t="n"/>
      <c r="D1852" s="30" t="n"/>
      <c r="E1852" s="30" t="n"/>
      <c r="F1852" s="28" t="n"/>
      <c r="G1852" s="1" t="n"/>
    </row>
    <row r="1853">
      <c r="A1853" s="1" t="n"/>
      <c r="B1853" s="26" t="n"/>
      <c r="C1853" s="27" t="n"/>
      <c r="D1853" s="30" t="n"/>
      <c r="E1853" s="30" t="n"/>
      <c r="F1853" s="28" t="n"/>
      <c r="G1853" s="1" t="n"/>
    </row>
    <row r="1854">
      <c r="A1854" s="1" t="n"/>
      <c r="B1854" s="26" t="n"/>
      <c r="C1854" s="27" t="n"/>
      <c r="D1854" s="30" t="n"/>
      <c r="E1854" s="30" t="n"/>
      <c r="F1854" s="28" t="n"/>
      <c r="G1854" s="1" t="n"/>
    </row>
    <row r="1855">
      <c r="A1855" s="1" t="n"/>
      <c r="B1855" s="26" t="n"/>
      <c r="C1855" s="27" t="n"/>
      <c r="D1855" s="30" t="n"/>
      <c r="E1855" s="30" t="n"/>
      <c r="F1855" s="28" t="n"/>
      <c r="G1855" s="1" t="n"/>
    </row>
    <row r="1856">
      <c r="A1856" s="1" t="n"/>
      <c r="B1856" s="26" t="n"/>
      <c r="C1856" s="27" t="n"/>
      <c r="D1856" s="30" t="n"/>
      <c r="E1856" s="30" t="n"/>
      <c r="F1856" s="28" t="n"/>
      <c r="G1856" s="1" t="n"/>
    </row>
    <row r="1857">
      <c r="A1857" s="1" t="n"/>
      <c r="B1857" s="26" t="n"/>
      <c r="C1857" s="27" t="n"/>
      <c r="D1857" s="30" t="n"/>
      <c r="E1857" s="30" t="n"/>
      <c r="F1857" s="28" t="n"/>
      <c r="G1857" s="1" t="n"/>
    </row>
    <row r="1858">
      <c r="A1858" s="1" t="n"/>
      <c r="B1858" s="26" t="n"/>
      <c r="C1858" s="27" t="n"/>
      <c r="D1858" s="30" t="n"/>
      <c r="E1858" s="30" t="n"/>
      <c r="F1858" s="28" t="n"/>
      <c r="G1858" s="1" t="n"/>
    </row>
    <row r="1859">
      <c r="A1859" s="1" t="n"/>
      <c r="B1859" s="26" t="n"/>
      <c r="C1859" s="27" t="n"/>
      <c r="D1859" s="30" t="n"/>
      <c r="E1859" s="30" t="n"/>
      <c r="F1859" s="28" t="n"/>
      <c r="G1859" s="1" t="n"/>
    </row>
    <row r="1860">
      <c r="A1860" s="1" t="n"/>
      <c r="B1860" s="26" t="n"/>
      <c r="C1860" s="27" t="n"/>
      <c r="D1860" s="30" t="n"/>
      <c r="E1860" s="30" t="n"/>
      <c r="F1860" s="28" t="n"/>
      <c r="G1860" s="1" t="n"/>
    </row>
    <row r="1861">
      <c r="A1861" s="1" t="n"/>
      <c r="B1861" s="26" t="n"/>
      <c r="C1861" s="27" t="n"/>
      <c r="D1861" s="30" t="n"/>
      <c r="E1861" s="30" t="n"/>
      <c r="F1861" s="28" t="n"/>
      <c r="G1861" s="1" t="n"/>
    </row>
    <row r="1862">
      <c r="A1862" s="1" t="n"/>
      <c r="B1862" s="26" t="n"/>
      <c r="C1862" s="27" t="n"/>
      <c r="D1862" s="30" t="n"/>
      <c r="E1862" s="30" t="n"/>
      <c r="F1862" s="28" t="n"/>
      <c r="G1862" s="1" t="n"/>
    </row>
    <row r="1863">
      <c r="A1863" s="1" t="n"/>
      <c r="B1863" s="26" t="n"/>
      <c r="C1863" s="27" t="n"/>
      <c r="D1863" s="30" t="n"/>
      <c r="E1863" s="30" t="n"/>
      <c r="F1863" s="28" t="n"/>
      <c r="G1863" s="1" t="n"/>
    </row>
    <row r="1864">
      <c r="A1864" s="1" t="n"/>
      <c r="B1864" s="26" t="n"/>
      <c r="C1864" s="27" t="n"/>
      <c r="D1864" s="30" t="n"/>
      <c r="E1864" s="30" t="n"/>
      <c r="F1864" s="28" t="n"/>
      <c r="G1864" s="1" t="n"/>
    </row>
    <row r="1865">
      <c r="A1865" s="1" t="n"/>
      <c r="B1865" s="26" t="n"/>
      <c r="C1865" s="27" t="n"/>
      <c r="D1865" s="30" t="n"/>
      <c r="E1865" s="30" t="n"/>
      <c r="F1865" s="28" t="n"/>
      <c r="G1865" s="1" t="n"/>
    </row>
    <row r="1866">
      <c r="A1866" s="1" t="n"/>
      <c r="B1866" s="26" t="n"/>
      <c r="C1866" s="27" t="n"/>
      <c r="D1866" s="30" t="n"/>
      <c r="E1866" s="30" t="n"/>
      <c r="F1866" s="28" t="n"/>
      <c r="G1866" s="1" t="n"/>
    </row>
    <row r="1867">
      <c r="A1867" s="1" t="n"/>
      <c r="B1867" s="26" t="n"/>
      <c r="C1867" s="27" t="n"/>
      <c r="D1867" s="30" t="n"/>
      <c r="E1867" s="30" t="n"/>
      <c r="F1867" s="28" t="n"/>
      <c r="G1867" s="1" t="n"/>
    </row>
    <row r="1868">
      <c r="A1868" s="1" t="n"/>
      <c r="B1868" s="26" t="n"/>
      <c r="C1868" s="27" t="n"/>
      <c r="D1868" s="30" t="n"/>
      <c r="E1868" s="30" t="n"/>
      <c r="F1868" s="28" t="n"/>
      <c r="G1868" s="1" t="n"/>
    </row>
    <row r="1869">
      <c r="A1869" s="1" t="n"/>
      <c r="B1869" s="26" t="n"/>
      <c r="C1869" s="27" t="n"/>
      <c r="D1869" s="30" t="n"/>
      <c r="E1869" s="30" t="n"/>
      <c r="F1869" s="28" t="n"/>
      <c r="G1869" s="1" t="n"/>
    </row>
    <row r="1870">
      <c r="A1870" s="1" t="n"/>
      <c r="B1870" s="26" t="n"/>
      <c r="C1870" s="27" t="n"/>
      <c r="D1870" s="30" t="n"/>
      <c r="E1870" s="30" t="n"/>
      <c r="F1870" s="28" t="n"/>
      <c r="G1870" s="1" t="n"/>
    </row>
    <row r="1871">
      <c r="A1871" s="1" t="n"/>
      <c r="B1871" s="26" t="n"/>
      <c r="C1871" s="27" t="n"/>
      <c r="D1871" s="30" t="n"/>
      <c r="E1871" s="30" t="n"/>
      <c r="F1871" s="28" t="n"/>
      <c r="G1871" s="1" t="n"/>
    </row>
    <row r="1872">
      <c r="A1872" s="1" t="n"/>
      <c r="B1872" s="26" t="n"/>
      <c r="C1872" s="27" t="n"/>
      <c r="D1872" s="30" t="n"/>
      <c r="E1872" s="30" t="n"/>
      <c r="F1872" s="28" t="n"/>
      <c r="G1872" s="1" t="n"/>
    </row>
    <row r="1873">
      <c r="A1873" s="1" t="n"/>
      <c r="B1873" s="26" t="n"/>
      <c r="C1873" s="27" t="n"/>
      <c r="D1873" s="30" t="n"/>
      <c r="E1873" s="30" t="n"/>
      <c r="F1873" s="28" t="n"/>
      <c r="G1873" s="1" t="n"/>
    </row>
    <row r="1874">
      <c r="A1874" s="1" t="n"/>
      <c r="B1874" s="26" t="n"/>
      <c r="C1874" s="27" t="n"/>
      <c r="D1874" s="30" t="n"/>
      <c r="E1874" s="30" t="n"/>
      <c r="F1874" s="28" t="n"/>
      <c r="G1874" s="1" t="n"/>
    </row>
    <row r="1875">
      <c r="A1875" s="1" t="n"/>
      <c r="B1875" s="26" t="n"/>
      <c r="C1875" s="27" t="n"/>
      <c r="D1875" s="30" t="n"/>
      <c r="E1875" s="30" t="n"/>
      <c r="F1875" s="28" t="n"/>
      <c r="G1875" s="1" t="n"/>
    </row>
    <row r="1876">
      <c r="A1876" s="1" t="n"/>
      <c r="B1876" s="26" t="n"/>
      <c r="C1876" s="27" t="n"/>
      <c r="D1876" s="30" t="n"/>
      <c r="E1876" s="30" t="n"/>
      <c r="F1876" s="28" t="n"/>
      <c r="G1876" s="1" t="n"/>
    </row>
    <row r="1877">
      <c r="A1877" s="1" t="n"/>
      <c r="B1877" s="26" t="n"/>
      <c r="C1877" s="27" t="n"/>
      <c r="D1877" s="30" t="n"/>
      <c r="E1877" s="30" t="n"/>
      <c r="F1877" s="28" t="n"/>
      <c r="G1877" s="1" t="n"/>
    </row>
    <row r="1878">
      <c r="A1878" s="1" t="n"/>
      <c r="B1878" s="26" t="n"/>
      <c r="C1878" s="27" t="n"/>
      <c r="D1878" s="30" t="n"/>
      <c r="E1878" s="30" t="n"/>
      <c r="F1878" s="28" t="n"/>
      <c r="G1878" s="1" t="n"/>
    </row>
    <row r="1879">
      <c r="A1879" s="1" t="n"/>
      <c r="B1879" s="26" t="n"/>
      <c r="C1879" s="27" t="n"/>
      <c r="D1879" s="30" t="n"/>
      <c r="E1879" s="30" t="n"/>
      <c r="F1879" s="28" t="n"/>
      <c r="G1879" s="1" t="n"/>
    </row>
    <row r="1880">
      <c r="A1880" s="1" t="n"/>
      <c r="B1880" s="26" t="n"/>
      <c r="C1880" s="27" t="n"/>
      <c r="D1880" s="30" t="n"/>
      <c r="E1880" s="30" t="n"/>
      <c r="F1880" s="28" t="n"/>
      <c r="G1880" s="1" t="n"/>
    </row>
    <row r="1881">
      <c r="A1881" s="1" t="n"/>
      <c r="B1881" s="26" t="n"/>
      <c r="C1881" s="27" t="n"/>
      <c r="D1881" s="30" t="n"/>
      <c r="E1881" s="30" t="n"/>
      <c r="F1881" s="28" t="n"/>
      <c r="G1881" s="1" t="n"/>
    </row>
    <row r="1882">
      <c r="A1882" s="1" t="n"/>
      <c r="B1882" s="26" t="n"/>
      <c r="C1882" s="27" t="n"/>
      <c r="D1882" s="30" t="n"/>
      <c r="E1882" s="30" t="n"/>
      <c r="F1882" s="28" t="n"/>
      <c r="G1882" s="1" t="n"/>
    </row>
    <row r="1883">
      <c r="A1883" s="1" t="n"/>
      <c r="B1883" s="26" t="n"/>
      <c r="C1883" s="27" t="n"/>
      <c r="D1883" s="30" t="n"/>
      <c r="E1883" s="30" t="n"/>
      <c r="F1883" s="28" t="n"/>
      <c r="G1883" s="1" t="n"/>
    </row>
    <row r="1884">
      <c r="A1884" s="1" t="n"/>
      <c r="B1884" s="26" t="n"/>
      <c r="C1884" s="27" t="n"/>
      <c r="D1884" s="30" t="n"/>
      <c r="E1884" s="30" t="n"/>
      <c r="F1884" s="28" t="n"/>
      <c r="G1884" s="1" t="n"/>
    </row>
    <row r="1885">
      <c r="A1885" s="1" t="n"/>
      <c r="B1885" s="26" t="n"/>
      <c r="C1885" s="27" t="n"/>
      <c r="D1885" s="30" t="n"/>
      <c r="E1885" s="30" t="n"/>
      <c r="F1885" s="28" t="n"/>
      <c r="G1885" s="1" t="n"/>
    </row>
    <row r="1886">
      <c r="A1886" s="1" t="n"/>
      <c r="B1886" s="26" t="n"/>
      <c r="C1886" s="27" t="n"/>
      <c r="D1886" s="30" t="n"/>
      <c r="E1886" s="30" t="n"/>
      <c r="F1886" s="28" t="n"/>
      <c r="G1886" s="1" t="n"/>
    </row>
    <row r="1887">
      <c r="A1887" s="1" t="n"/>
      <c r="B1887" s="26" t="n"/>
      <c r="C1887" s="27" t="n"/>
      <c r="D1887" s="30" t="n"/>
      <c r="E1887" s="30" t="n"/>
      <c r="F1887" s="28" t="n"/>
      <c r="G1887" s="1" t="n"/>
    </row>
    <row r="1888">
      <c r="A1888" s="1" t="n"/>
      <c r="B1888" s="26" t="n"/>
      <c r="C1888" s="27" t="n"/>
      <c r="D1888" s="30" t="n"/>
      <c r="E1888" s="30" t="n"/>
      <c r="F1888" s="28" t="n"/>
      <c r="G1888" s="1" t="n"/>
    </row>
    <row r="1889">
      <c r="A1889" s="1" t="n"/>
      <c r="B1889" s="26" t="n"/>
      <c r="C1889" s="27" t="n"/>
      <c r="D1889" s="30" t="n"/>
      <c r="E1889" s="30" t="n"/>
      <c r="F1889" s="28" t="n"/>
      <c r="G1889" s="1" t="n"/>
    </row>
    <row r="1890">
      <c r="A1890" s="1" t="n"/>
      <c r="B1890" s="26" t="n"/>
      <c r="C1890" s="27" t="n"/>
      <c r="D1890" s="30" t="n"/>
      <c r="E1890" s="30" t="n"/>
      <c r="F1890" s="28" t="n"/>
      <c r="G1890" s="1" t="n"/>
    </row>
    <row r="1891">
      <c r="A1891" s="1" t="n"/>
      <c r="B1891" s="26" t="n"/>
      <c r="C1891" s="27" t="n"/>
      <c r="D1891" s="30" t="n"/>
      <c r="E1891" s="30" t="n"/>
      <c r="F1891" s="28" t="n"/>
      <c r="G1891" s="1" t="n"/>
    </row>
    <row r="1892">
      <c r="A1892" s="1" t="n"/>
      <c r="B1892" s="26" t="n"/>
      <c r="C1892" s="27" t="n"/>
      <c r="D1892" s="30" t="n"/>
      <c r="E1892" s="30" t="n"/>
      <c r="F1892" s="28" t="n"/>
      <c r="G1892" s="1" t="n"/>
    </row>
    <row r="1893">
      <c r="A1893" s="1" t="n"/>
      <c r="B1893" s="26" t="n"/>
      <c r="C1893" s="27" t="n"/>
      <c r="D1893" s="30" t="n"/>
      <c r="E1893" s="30" t="n"/>
      <c r="F1893" s="28" t="n"/>
      <c r="G1893" s="1" t="n"/>
    </row>
    <row r="1894">
      <c r="A1894" s="1" t="n"/>
      <c r="B1894" s="26" t="n"/>
      <c r="C1894" s="27" t="n"/>
      <c r="D1894" s="30" t="n"/>
      <c r="E1894" s="30" t="n"/>
      <c r="F1894" s="28" t="n"/>
      <c r="G1894" s="1" t="n"/>
    </row>
    <row r="1895">
      <c r="A1895" s="1" t="n"/>
      <c r="B1895" s="26" t="n"/>
      <c r="C1895" s="27" t="n"/>
      <c r="D1895" s="30" t="n"/>
      <c r="E1895" s="30" t="n"/>
      <c r="F1895" s="28" t="n"/>
      <c r="G1895" s="1" t="n"/>
    </row>
    <row r="1896">
      <c r="A1896" s="1" t="n"/>
      <c r="B1896" s="26" t="n"/>
      <c r="C1896" s="27" t="n"/>
      <c r="D1896" s="30" t="n"/>
      <c r="E1896" s="30" t="n"/>
      <c r="F1896" s="28" t="n"/>
      <c r="G1896" s="1" t="n"/>
    </row>
    <row r="1897">
      <c r="A1897" s="1" t="n"/>
      <c r="B1897" s="26" t="n"/>
      <c r="C1897" s="27" t="n"/>
      <c r="D1897" s="30" t="n"/>
      <c r="E1897" s="30" t="n"/>
      <c r="F1897" s="28" t="n"/>
      <c r="G1897" s="1" t="n"/>
    </row>
    <row r="1898">
      <c r="A1898" s="1" t="n"/>
      <c r="B1898" s="26" t="n"/>
      <c r="C1898" s="27" t="n"/>
      <c r="D1898" s="30" t="n"/>
      <c r="E1898" s="30" t="n"/>
      <c r="F1898" s="28" t="n"/>
      <c r="G1898" s="1" t="n"/>
    </row>
    <row r="1899">
      <c r="A1899" s="1" t="n"/>
      <c r="B1899" s="26" t="n"/>
      <c r="C1899" s="27" t="n"/>
      <c r="D1899" s="30" t="n"/>
      <c r="E1899" s="30" t="n"/>
      <c r="F1899" s="28" t="n"/>
      <c r="G1899" s="1" t="n"/>
    </row>
    <row r="1900">
      <c r="A1900" s="1" t="n"/>
      <c r="B1900" s="26" t="n"/>
      <c r="C1900" s="27" t="n"/>
      <c r="D1900" s="30" t="n"/>
      <c r="E1900" s="30" t="n"/>
      <c r="F1900" s="28" t="n"/>
      <c r="G1900" s="1" t="n"/>
    </row>
    <row r="1901">
      <c r="A1901" s="1" t="n"/>
      <c r="B1901" s="26" t="n"/>
      <c r="C1901" s="27" t="n"/>
      <c r="D1901" s="30" t="n"/>
      <c r="E1901" s="30" t="n"/>
      <c r="F1901" s="28" t="n"/>
      <c r="G1901" s="1" t="n"/>
    </row>
    <row r="1902">
      <c r="A1902" s="1" t="n"/>
      <c r="B1902" s="26" t="n"/>
      <c r="C1902" s="27" t="n"/>
      <c r="D1902" s="30" t="n"/>
      <c r="E1902" s="30" t="n"/>
      <c r="F1902" s="28" t="n"/>
      <c r="G1902" s="1" t="n"/>
    </row>
    <row r="1903">
      <c r="A1903" s="1" t="n"/>
      <c r="B1903" s="26" t="n"/>
      <c r="C1903" s="27" t="n"/>
      <c r="D1903" s="30" t="n"/>
      <c r="E1903" s="30" t="n"/>
      <c r="F1903" s="28" t="n"/>
      <c r="G1903" s="1" t="n"/>
    </row>
    <row r="1904">
      <c r="A1904" s="1" t="n"/>
      <c r="B1904" s="26" t="n"/>
      <c r="C1904" s="27" t="n"/>
      <c r="D1904" s="30" t="n"/>
      <c r="E1904" s="30" t="n"/>
      <c r="F1904" s="28" t="n"/>
      <c r="G1904" s="1" t="n"/>
    </row>
    <row r="1905">
      <c r="A1905" s="1" t="n"/>
      <c r="B1905" s="26" t="n"/>
      <c r="C1905" s="27" t="n"/>
      <c r="D1905" s="30" t="n"/>
      <c r="E1905" s="30" t="n"/>
      <c r="F1905" s="28" t="n"/>
      <c r="G1905" s="1" t="n"/>
    </row>
    <row r="1906">
      <c r="A1906" s="1" t="n"/>
      <c r="B1906" s="26" t="n"/>
      <c r="C1906" s="27" t="n"/>
      <c r="D1906" s="30" t="n"/>
      <c r="E1906" s="30" t="n"/>
      <c r="F1906" s="28" t="n"/>
      <c r="G1906" s="1" t="n"/>
    </row>
    <row r="1907">
      <c r="A1907" s="1" t="n"/>
      <c r="B1907" s="26" t="n"/>
      <c r="C1907" s="27" t="n"/>
      <c r="D1907" s="30" t="n"/>
      <c r="E1907" s="30" t="n"/>
      <c r="F1907" s="28" t="n"/>
      <c r="G1907" s="1" t="n"/>
    </row>
    <row r="1908">
      <c r="A1908" s="1" t="n"/>
      <c r="B1908" s="26" t="n"/>
      <c r="C1908" s="27" t="n"/>
      <c r="D1908" s="30" t="n"/>
      <c r="E1908" s="30" t="n"/>
      <c r="F1908" s="28" t="n"/>
      <c r="G1908" s="1" t="n"/>
    </row>
    <row r="1909">
      <c r="A1909" s="1" t="n"/>
      <c r="B1909" s="26" t="n"/>
      <c r="C1909" s="27" t="n"/>
      <c r="D1909" s="30" t="n"/>
      <c r="E1909" s="30" t="n"/>
      <c r="F1909" s="28" t="n"/>
      <c r="G1909" s="1" t="n"/>
    </row>
    <row r="1910">
      <c r="A1910" s="1" t="n"/>
      <c r="B1910" s="26" t="n"/>
      <c r="C1910" s="27" t="n"/>
      <c r="D1910" s="30" t="n"/>
      <c r="E1910" s="30" t="n"/>
      <c r="F1910" s="28" t="n"/>
      <c r="G1910" s="1" t="n"/>
    </row>
    <row r="1911">
      <c r="A1911" s="1" t="n"/>
      <c r="B1911" s="26" t="n"/>
      <c r="C1911" s="27" t="n"/>
      <c r="D1911" s="30" t="n"/>
      <c r="E1911" s="30" t="n"/>
      <c r="F1911" s="28" t="n"/>
      <c r="G1911" s="1" t="n"/>
    </row>
    <row r="1912">
      <c r="A1912" s="1" t="n"/>
      <c r="B1912" s="26" t="n"/>
      <c r="C1912" s="27" t="n"/>
      <c r="D1912" s="30" t="n"/>
      <c r="E1912" s="30" t="n"/>
      <c r="F1912" s="28" t="n"/>
      <c r="G1912" s="1" t="n"/>
    </row>
    <row r="1913">
      <c r="A1913" s="1" t="n"/>
      <c r="B1913" s="26" t="n"/>
      <c r="C1913" s="27" t="n"/>
      <c r="D1913" s="30" t="n"/>
      <c r="E1913" s="30" t="n"/>
      <c r="F1913" s="28" t="n"/>
      <c r="G1913" s="1" t="n"/>
    </row>
    <row r="1914">
      <c r="A1914" s="1" t="n"/>
      <c r="B1914" s="26" t="n"/>
      <c r="C1914" s="27" t="n"/>
      <c r="D1914" s="30" t="n"/>
      <c r="E1914" s="30" t="n"/>
      <c r="F1914" s="28" t="n"/>
      <c r="G1914" s="1" t="n"/>
    </row>
    <row r="1915">
      <c r="A1915" s="1" t="n"/>
      <c r="B1915" s="26" t="n"/>
      <c r="C1915" s="27" t="n"/>
      <c r="D1915" s="30" t="n"/>
      <c r="E1915" s="30" t="n"/>
      <c r="F1915" s="28" t="n"/>
      <c r="G1915" s="1" t="n"/>
    </row>
    <row r="1916">
      <c r="A1916" s="1" t="n"/>
      <c r="B1916" s="26" t="n"/>
      <c r="C1916" s="27" t="n"/>
      <c r="D1916" s="30" t="n"/>
      <c r="E1916" s="30" t="n"/>
      <c r="F1916" s="28" t="n"/>
      <c r="G1916" s="1" t="n"/>
    </row>
    <row r="1917">
      <c r="A1917" s="1" t="n"/>
      <c r="B1917" s="26" t="n"/>
      <c r="C1917" s="27" t="n"/>
      <c r="D1917" s="30" t="n"/>
      <c r="E1917" s="30" t="n"/>
      <c r="F1917" s="28" t="n"/>
      <c r="G1917" s="1" t="n"/>
    </row>
    <row r="1918">
      <c r="A1918" s="1" t="n"/>
      <c r="B1918" s="26" t="n"/>
      <c r="C1918" s="27" t="n"/>
      <c r="D1918" s="30" t="n"/>
      <c r="E1918" s="30" t="n"/>
      <c r="F1918" s="28" t="n"/>
      <c r="G1918" s="1" t="n"/>
    </row>
    <row r="1919">
      <c r="A1919" s="1" t="n"/>
      <c r="B1919" s="26" t="n"/>
      <c r="C1919" s="27" t="n"/>
      <c r="D1919" s="30" t="n"/>
      <c r="E1919" s="30" t="n"/>
      <c r="F1919" s="28" t="n"/>
      <c r="G1919" s="1" t="n"/>
    </row>
    <row r="1920">
      <c r="A1920" s="1" t="n"/>
      <c r="B1920" s="26" t="n"/>
      <c r="C1920" s="27" t="n"/>
      <c r="D1920" s="30" t="n"/>
      <c r="E1920" s="30" t="n"/>
      <c r="F1920" s="28" t="n"/>
      <c r="G1920" s="1" t="n"/>
    </row>
    <row r="1921">
      <c r="A1921" s="1" t="n"/>
      <c r="B1921" s="26" t="n"/>
      <c r="C1921" s="27" t="n"/>
      <c r="D1921" s="30" t="n"/>
      <c r="E1921" s="30" t="n"/>
      <c r="F1921" s="28" t="n"/>
      <c r="G1921" s="1" t="n"/>
    </row>
    <row r="1922">
      <c r="A1922" s="1" t="n"/>
      <c r="B1922" s="26" t="n"/>
      <c r="C1922" s="27" t="n"/>
      <c r="D1922" s="30" t="n"/>
      <c r="E1922" s="30" t="n"/>
      <c r="F1922" s="28" t="n"/>
      <c r="G1922" s="1" t="n"/>
    </row>
    <row r="1923">
      <c r="A1923" s="1" t="n"/>
      <c r="B1923" s="26" t="n"/>
      <c r="C1923" s="27" t="n"/>
      <c r="D1923" s="30" t="n"/>
      <c r="E1923" s="30" t="n"/>
      <c r="F1923" s="28" t="n"/>
      <c r="G1923" s="1" t="n"/>
    </row>
    <row r="1924">
      <c r="A1924" s="1" t="n"/>
      <c r="B1924" s="26" t="n"/>
      <c r="C1924" s="27" t="n"/>
      <c r="D1924" s="30" t="n"/>
      <c r="E1924" s="30" t="n"/>
      <c r="F1924" s="28" t="n"/>
      <c r="G1924" s="1" t="n"/>
    </row>
    <row r="1925">
      <c r="A1925" s="1" t="n"/>
      <c r="B1925" s="26" t="n"/>
      <c r="C1925" s="27" t="n"/>
      <c r="D1925" s="30" t="n"/>
      <c r="E1925" s="30" t="n"/>
      <c r="F1925" s="28" t="n"/>
      <c r="G1925" s="1" t="n"/>
    </row>
    <row r="1926">
      <c r="A1926" s="1" t="n"/>
      <c r="B1926" s="26" t="n"/>
      <c r="C1926" s="27" t="n"/>
      <c r="D1926" s="30" t="n"/>
      <c r="E1926" s="30" t="n"/>
      <c r="F1926" s="28" t="n"/>
      <c r="G1926" s="1" t="n"/>
    </row>
    <row r="1927">
      <c r="A1927" s="1" t="n"/>
      <c r="B1927" s="26" t="n"/>
      <c r="C1927" s="27" t="n"/>
      <c r="D1927" s="30" t="n"/>
      <c r="E1927" s="30" t="n"/>
      <c r="F1927" s="28" t="n"/>
      <c r="G1927" s="1" t="n"/>
    </row>
    <row r="1928">
      <c r="A1928" s="1" t="n"/>
      <c r="B1928" s="26" t="n"/>
      <c r="C1928" s="27" t="n"/>
      <c r="D1928" s="30" t="n"/>
      <c r="E1928" s="30" t="n"/>
      <c r="F1928" s="28" t="n"/>
      <c r="G1928" s="1" t="n"/>
    </row>
    <row r="1929">
      <c r="A1929" s="1" t="n"/>
      <c r="B1929" s="26" t="n"/>
      <c r="C1929" s="27" t="n"/>
      <c r="D1929" s="30" t="n"/>
      <c r="E1929" s="30" t="n"/>
      <c r="F1929" s="28" t="n"/>
      <c r="G1929" s="1" t="n"/>
    </row>
    <row r="1930">
      <c r="A1930" s="1" t="n"/>
      <c r="B1930" s="26" t="n"/>
      <c r="C1930" s="27" t="n"/>
      <c r="D1930" s="30" t="n"/>
      <c r="E1930" s="30" t="n"/>
      <c r="F1930" s="28" t="n"/>
      <c r="G1930" s="1" t="n"/>
    </row>
    <row r="1931">
      <c r="A1931" s="1" t="n"/>
      <c r="B1931" s="26" t="n"/>
      <c r="C1931" s="27" t="n"/>
      <c r="D1931" s="30" t="n"/>
      <c r="E1931" s="30" t="n"/>
      <c r="F1931" s="28" t="n"/>
      <c r="G1931" s="1" t="n"/>
    </row>
    <row r="1932">
      <c r="A1932" s="1" t="n"/>
      <c r="B1932" s="26" t="n"/>
      <c r="C1932" s="27" t="n"/>
      <c r="D1932" s="30" t="n"/>
      <c r="E1932" s="30" t="n"/>
      <c r="F1932" s="28" t="n"/>
      <c r="G1932" s="1" t="n"/>
    </row>
    <row r="1933">
      <c r="A1933" s="1" t="n"/>
      <c r="B1933" s="26" t="n"/>
      <c r="C1933" s="27" t="n"/>
      <c r="D1933" s="30" t="n"/>
      <c r="E1933" s="30" t="n"/>
      <c r="F1933" s="28" t="n"/>
      <c r="G1933" s="1" t="n"/>
    </row>
    <row r="1934">
      <c r="A1934" s="1" t="n"/>
      <c r="B1934" s="26" t="n"/>
      <c r="C1934" s="27" t="n"/>
      <c r="D1934" s="30" t="n"/>
      <c r="E1934" s="30" t="n"/>
      <c r="F1934" s="28" t="n"/>
      <c r="G1934" s="1" t="n"/>
    </row>
    <row r="1935">
      <c r="A1935" s="1" t="n"/>
      <c r="B1935" s="26" t="n"/>
      <c r="C1935" s="27" t="n"/>
      <c r="D1935" s="30" t="n"/>
      <c r="E1935" s="30" t="n"/>
      <c r="F1935" s="28" t="n"/>
      <c r="G1935" s="1" t="n"/>
    </row>
    <row r="1936">
      <c r="A1936" s="1" t="n"/>
      <c r="B1936" s="26" t="n"/>
      <c r="C1936" s="27" t="n"/>
      <c r="D1936" s="30" t="n"/>
      <c r="E1936" s="30" t="n"/>
      <c r="F1936" s="28" t="n"/>
      <c r="G1936" s="1" t="n"/>
    </row>
    <row r="1937">
      <c r="A1937" s="1" t="n"/>
      <c r="B1937" s="26" t="n"/>
      <c r="C1937" s="27" t="n"/>
      <c r="D1937" s="30" t="n"/>
      <c r="E1937" s="30" t="n"/>
      <c r="F1937" s="28" t="n"/>
      <c r="G1937" s="1" t="n"/>
    </row>
    <row r="1938">
      <c r="A1938" s="1" t="n"/>
      <c r="B1938" s="26" t="n"/>
      <c r="C1938" s="27" t="n"/>
      <c r="D1938" s="30" t="n"/>
      <c r="E1938" s="30" t="n"/>
      <c r="F1938" s="28" t="n"/>
      <c r="G1938" s="1" t="n"/>
    </row>
    <row r="1939">
      <c r="A1939" s="1" t="n"/>
      <c r="B1939" s="26" t="n"/>
      <c r="C1939" s="27" t="n"/>
      <c r="D1939" s="30" t="n"/>
      <c r="E1939" s="30" t="n"/>
      <c r="F1939" s="28" t="n"/>
      <c r="G1939" s="1" t="n"/>
    </row>
    <row r="1940">
      <c r="A1940" s="1" t="n"/>
      <c r="B1940" s="26" t="n"/>
      <c r="C1940" s="27" t="n"/>
      <c r="D1940" s="30" t="n"/>
      <c r="E1940" s="30" t="n"/>
      <c r="F1940" s="28" t="n"/>
      <c r="G1940" s="1" t="n"/>
    </row>
    <row r="1941">
      <c r="A1941" s="1" t="n"/>
      <c r="B1941" s="26" t="n"/>
      <c r="C1941" s="27" t="n"/>
      <c r="D1941" s="30" t="n"/>
      <c r="E1941" s="30" t="n"/>
      <c r="F1941" s="28" t="n"/>
      <c r="G1941" s="1" t="n"/>
    </row>
    <row r="1942">
      <c r="A1942" s="1" t="n"/>
      <c r="B1942" s="26" t="n"/>
      <c r="C1942" s="27" t="n"/>
      <c r="D1942" s="30" t="n"/>
      <c r="E1942" s="30" t="n"/>
      <c r="F1942" s="28" t="n"/>
      <c r="G1942" s="1" t="n"/>
    </row>
    <row r="1943">
      <c r="A1943" s="1" t="n"/>
      <c r="B1943" s="26" t="n"/>
      <c r="C1943" s="27" t="n"/>
      <c r="D1943" s="30" t="n"/>
      <c r="E1943" s="30" t="n"/>
      <c r="F1943" s="28" t="n"/>
      <c r="G1943" s="1" t="n"/>
    </row>
    <row r="1944">
      <c r="A1944" s="1" t="n"/>
      <c r="B1944" s="26" t="n"/>
      <c r="C1944" s="27" t="n"/>
      <c r="D1944" s="30" t="n"/>
      <c r="E1944" s="30" t="n"/>
      <c r="F1944" s="28" t="n"/>
      <c r="G1944" s="1" t="n"/>
    </row>
    <row r="1945">
      <c r="A1945" s="1" t="n"/>
      <c r="B1945" s="26" t="n"/>
      <c r="C1945" s="27" t="n"/>
      <c r="D1945" s="30" t="n"/>
      <c r="E1945" s="30" t="n"/>
      <c r="F1945" s="28" t="n"/>
      <c r="G1945" s="1" t="n"/>
    </row>
    <row r="1946">
      <c r="A1946" s="1" t="n"/>
      <c r="B1946" s="26" t="n"/>
      <c r="C1946" s="27" t="n"/>
      <c r="D1946" s="30" t="n"/>
      <c r="E1946" s="30" t="n"/>
      <c r="F1946" s="28" t="n"/>
      <c r="G1946" s="1" t="n"/>
    </row>
    <row r="1947">
      <c r="A1947" s="1" t="n"/>
      <c r="B1947" s="26" t="n"/>
      <c r="C1947" s="27" t="n"/>
      <c r="D1947" s="30" t="n"/>
      <c r="E1947" s="30" t="n"/>
      <c r="F1947" s="28" t="n"/>
      <c r="G1947" s="1" t="n"/>
    </row>
    <row r="1948">
      <c r="A1948" s="1" t="n"/>
      <c r="B1948" s="26" t="n"/>
      <c r="C1948" s="27" t="n"/>
      <c r="D1948" s="30" t="n"/>
      <c r="E1948" s="30" t="n"/>
      <c r="F1948" s="28" t="n"/>
      <c r="G1948" s="1" t="n"/>
    </row>
    <row r="1949">
      <c r="A1949" s="1" t="n"/>
      <c r="B1949" s="26" t="n"/>
      <c r="C1949" s="27" t="n"/>
      <c r="D1949" s="30" t="n"/>
      <c r="E1949" s="30" t="n"/>
      <c r="F1949" s="28" t="n"/>
      <c r="G1949" s="1" t="n"/>
    </row>
    <row r="1950">
      <c r="A1950" s="1" t="n"/>
      <c r="B1950" s="26" t="n"/>
      <c r="C1950" s="27" t="n"/>
      <c r="D1950" s="30" t="n"/>
      <c r="E1950" s="30" t="n"/>
      <c r="F1950" s="28" t="n"/>
      <c r="G1950" s="1" t="n"/>
    </row>
    <row r="1951">
      <c r="A1951" s="1" t="n"/>
      <c r="B1951" s="26" t="n"/>
      <c r="C1951" s="27" t="n"/>
      <c r="D1951" s="30" t="n"/>
      <c r="E1951" s="30" t="n"/>
      <c r="F1951" s="28" t="n"/>
      <c r="G1951" s="1" t="n"/>
    </row>
    <row r="1952">
      <c r="A1952" s="1" t="n"/>
      <c r="B1952" s="26" t="n"/>
      <c r="C1952" s="27" t="n"/>
      <c r="D1952" s="30" t="n"/>
      <c r="E1952" s="30" t="n"/>
      <c r="F1952" s="28" t="n"/>
      <c r="G1952" s="1" t="n"/>
    </row>
    <row r="1953">
      <c r="A1953" s="1" t="n"/>
      <c r="B1953" s="26" t="n"/>
      <c r="C1953" s="27" t="n"/>
      <c r="D1953" s="30" t="n"/>
      <c r="E1953" s="30" t="n"/>
      <c r="F1953" s="28" t="n"/>
      <c r="G1953" s="1" t="n"/>
    </row>
    <row r="1954">
      <c r="A1954" s="1" t="n"/>
      <c r="B1954" s="26" t="n"/>
      <c r="C1954" s="27" t="n"/>
      <c r="D1954" s="30" t="n"/>
      <c r="E1954" s="30" t="n"/>
      <c r="F1954" s="28" t="n"/>
      <c r="G1954" s="1" t="n"/>
    </row>
    <row r="1955">
      <c r="A1955" s="1" t="n"/>
      <c r="B1955" s="26" t="n"/>
      <c r="C1955" s="27" t="n"/>
      <c r="D1955" s="30" t="n"/>
      <c r="E1955" s="30" t="n"/>
      <c r="F1955" s="28" t="n"/>
      <c r="G1955" s="1" t="n"/>
    </row>
    <row r="1956">
      <c r="A1956" s="1" t="n"/>
      <c r="B1956" s="26" t="n"/>
      <c r="C1956" s="27" t="n"/>
      <c r="D1956" s="30" t="n"/>
      <c r="E1956" s="30" t="n"/>
      <c r="F1956" s="28" t="n"/>
      <c r="G1956" s="1" t="n"/>
    </row>
    <row r="1957">
      <c r="A1957" s="1" t="n"/>
      <c r="B1957" s="26" t="n"/>
      <c r="C1957" s="27" t="n"/>
      <c r="D1957" s="30" t="n"/>
      <c r="E1957" s="30" t="n"/>
      <c r="F1957" s="28" t="n"/>
      <c r="G1957" s="1" t="n"/>
    </row>
    <row r="1958">
      <c r="A1958" s="1" t="n"/>
      <c r="B1958" s="26" t="n"/>
      <c r="C1958" s="27" t="n"/>
      <c r="D1958" s="30" t="n"/>
      <c r="E1958" s="30" t="n"/>
      <c r="F1958" s="28" t="n"/>
      <c r="G1958" s="1" t="n"/>
    </row>
    <row r="1959">
      <c r="A1959" s="1" t="n"/>
      <c r="B1959" s="26" t="n"/>
      <c r="C1959" s="27" t="n"/>
      <c r="D1959" s="30" t="n"/>
      <c r="E1959" s="30" t="n"/>
      <c r="F1959" s="28" t="n"/>
      <c r="G1959" s="1" t="n"/>
    </row>
    <row r="1960">
      <c r="A1960" s="1" t="n"/>
      <c r="B1960" s="26" t="n"/>
      <c r="C1960" s="27" t="n"/>
      <c r="D1960" s="30" t="n"/>
      <c r="E1960" s="30" t="n"/>
      <c r="F1960" s="28" t="n"/>
      <c r="G1960" s="1" t="n"/>
    </row>
    <row r="1961">
      <c r="A1961" s="1" t="n"/>
      <c r="B1961" s="26" t="n"/>
      <c r="C1961" s="27" t="n"/>
      <c r="D1961" s="30" t="n"/>
      <c r="E1961" s="30" t="n"/>
      <c r="F1961" s="28" t="n"/>
      <c r="G1961" s="1" t="n"/>
    </row>
    <row r="1962">
      <c r="A1962" s="1" t="n"/>
      <c r="B1962" s="26" t="n"/>
      <c r="C1962" s="27" t="n"/>
      <c r="D1962" s="30" t="n"/>
      <c r="E1962" s="30" t="n"/>
      <c r="F1962" s="28" t="n"/>
      <c r="G1962" s="1" t="n"/>
    </row>
    <row r="1963">
      <c r="A1963" s="1" t="n"/>
      <c r="B1963" s="26" t="n"/>
      <c r="C1963" s="27" t="n"/>
      <c r="D1963" s="30" t="n"/>
      <c r="E1963" s="30" t="n"/>
      <c r="F1963" s="28" t="n"/>
      <c r="G1963" s="1" t="n"/>
    </row>
    <row r="1964">
      <c r="A1964" s="1" t="n"/>
      <c r="B1964" s="26" t="n"/>
      <c r="C1964" s="27" t="n"/>
      <c r="D1964" s="30" t="n"/>
      <c r="E1964" s="30" t="n"/>
      <c r="F1964" s="28" t="n"/>
      <c r="G1964" s="1" t="n"/>
    </row>
    <row r="1965">
      <c r="A1965" s="1" t="n"/>
      <c r="B1965" s="26" t="n"/>
      <c r="C1965" s="27" t="n"/>
      <c r="D1965" s="30" t="n"/>
      <c r="E1965" s="30" t="n"/>
      <c r="F1965" s="28" t="n"/>
      <c r="G1965" s="1" t="n"/>
    </row>
    <row r="1966">
      <c r="A1966" s="1" t="n"/>
      <c r="B1966" s="26" t="n"/>
      <c r="C1966" s="27" t="n"/>
      <c r="D1966" s="30" t="n"/>
      <c r="E1966" s="30" t="n"/>
      <c r="F1966" s="28" t="n"/>
      <c r="G1966" s="1" t="n"/>
    </row>
    <row r="1967">
      <c r="A1967" s="1" t="n"/>
      <c r="B1967" s="26" t="n"/>
      <c r="C1967" s="27" t="n"/>
      <c r="D1967" s="30" t="n"/>
      <c r="E1967" s="30" t="n"/>
      <c r="F1967" s="28" t="n"/>
      <c r="G1967" s="1" t="n"/>
    </row>
    <row r="1968">
      <c r="A1968" s="1" t="n"/>
      <c r="B1968" s="26" t="n"/>
      <c r="C1968" s="27" t="n"/>
      <c r="D1968" s="30" t="n"/>
      <c r="E1968" s="30" t="n"/>
      <c r="F1968" s="28" t="n"/>
      <c r="G1968" s="1" t="n"/>
    </row>
    <row r="1969">
      <c r="A1969" s="1" t="n"/>
      <c r="B1969" s="26" t="n"/>
      <c r="C1969" s="27" t="n"/>
      <c r="D1969" s="30" t="n"/>
      <c r="E1969" s="30" t="n"/>
      <c r="F1969" s="28" t="n"/>
      <c r="G1969" s="1" t="n"/>
    </row>
    <row r="1970">
      <c r="A1970" s="1" t="n"/>
      <c r="B1970" s="26" t="n"/>
      <c r="C1970" s="27" t="n"/>
      <c r="D1970" s="30" t="n"/>
      <c r="E1970" s="30" t="n"/>
      <c r="F1970" s="28" t="n"/>
      <c r="G1970" s="1" t="n"/>
    </row>
    <row r="1971">
      <c r="A1971" s="1" t="n"/>
      <c r="B1971" s="26" t="n"/>
      <c r="C1971" s="27" t="n"/>
      <c r="D1971" s="30" t="n"/>
      <c r="E1971" s="30" t="n"/>
      <c r="F1971" s="28" t="n"/>
      <c r="G1971" s="1" t="n"/>
    </row>
    <row r="1972">
      <c r="A1972" s="1" t="n"/>
      <c r="B1972" s="26" t="n"/>
      <c r="C1972" s="27" t="n"/>
      <c r="D1972" s="30" t="n"/>
      <c r="E1972" s="30" t="n"/>
      <c r="F1972" s="28" t="n"/>
      <c r="G1972" s="1" t="n"/>
    </row>
    <row r="1973">
      <c r="A1973" s="1" t="n"/>
      <c r="B1973" s="26" t="n"/>
      <c r="C1973" s="27" t="n"/>
      <c r="D1973" s="30" t="n"/>
      <c r="E1973" s="30" t="n"/>
      <c r="F1973" s="28" t="n"/>
      <c r="G1973" s="1" t="n"/>
    </row>
    <row r="1974">
      <c r="A1974" s="1" t="n"/>
      <c r="B1974" s="26" t="n"/>
      <c r="C1974" s="27" t="n"/>
      <c r="D1974" s="30" t="n"/>
      <c r="E1974" s="30" t="n"/>
      <c r="F1974" s="28" t="n"/>
      <c r="G1974" s="1" t="n"/>
    </row>
    <row r="1975">
      <c r="A1975" s="1" t="n"/>
      <c r="B1975" s="26" t="n"/>
      <c r="C1975" s="27" t="n"/>
      <c r="D1975" s="30" t="n"/>
      <c r="E1975" s="30" t="n"/>
      <c r="F1975" s="28" t="n"/>
      <c r="G1975" s="1" t="n"/>
    </row>
    <row r="1976">
      <c r="A1976" s="1" t="n"/>
      <c r="B1976" s="26" t="n"/>
      <c r="C1976" s="27" t="n"/>
      <c r="D1976" s="30" t="n"/>
      <c r="E1976" s="30" t="n"/>
      <c r="F1976" s="28" t="n"/>
      <c r="G1976" s="1" t="n"/>
    </row>
    <row r="1977">
      <c r="A1977" s="1" t="n"/>
      <c r="B1977" s="26" t="n"/>
      <c r="C1977" s="27" t="n"/>
      <c r="D1977" s="30" t="n"/>
      <c r="E1977" s="30" t="n"/>
      <c r="F1977" s="28" t="n"/>
      <c r="G1977" s="1" t="n"/>
    </row>
    <row r="1978">
      <c r="A1978" s="1" t="n"/>
      <c r="B1978" s="26" t="n"/>
      <c r="C1978" s="27" t="n"/>
      <c r="D1978" s="30" t="n"/>
      <c r="E1978" s="30" t="n"/>
      <c r="F1978" s="28" t="n"/>
      <c r="G1978" s="1" t="n"/>
    </row>
    <row r="1979">
      <c r="A1979" s="1" t="n"/>
      <c r="B1979" s="26" t="n"/>
      <c r="C1979" s="27" t="n"/>
      <c r="D1979" s="30" t="n"/>
      <c r="E1979" s="30" t="n"/>
      <c r="F1979" s="28" t="n"/>
      <c r="G1979" s="1" t="n"/>
    </row>
    <row r="1980">
      <c r="A1980" s="1" t="n"/>
      <c r="B1980" s="26" t="n"/>
      <c r="C1980" s="27" t="n"/>
      <c r="D1980" s="30" t="n"/>
      <c r="E1980" s="30" t="n"/>
      <c r="F1980" s="28" t="n"/>
      <c r="G1980" s="1" t="n"/>
    </row>
    <row r="1981">
      <c r="A1981" s="1" t="n"/>
      <c r="B1981" s="26" t="n"/>
      <c r="C1981" s="27" t="n"/>
      <c r="D1981" s="30" t="n"/>
      <c r="E1981" s="30" t="n"/>
      <c r="F1981" s="28" t="n"/>
      <c r="G1981" s="1" t="n"/>
    </row>
    <row r="1982">
      <c r="A1982" s="1" t="n"/>
      <c r="B1982" s="26" t="n"/>
      <c r="C1982" s="27" t="n"/>
      <c r="D1982" s="30" t="n"/>
      <c r="E1982" s="30" t="n"/>
      <c r="F1982" s="28" t="n"/>
      <c r="G1982" s="1" t="n"/>
    </row>
    <row r="1983">
      <c r="A1983" s="1" t="n"/>
      <c r="B1983" s="26" t="n"/>
      <c r="C1983" s="27" t="n"/>
      <c r="D1983" s="30" t="n"/>
      <c r="E1983" s="30" t="n"/>
      <c r="F1983" s="28" t="n"/>
      <c r="G1983" s="1" t="n"/>
    </row>
    <row r="1984">
      <c r="A1984" s="1" t="n"/>
      <c r="B1984" s="26" t="n"/>
      <c r="C1984" s="27" t="n"/>
      <c r="D1984" s="30" t="n"/>
      <c r="E1984" s="30" t="n"/>
      <c r="F1984" s="28" t="n"/>
      <c r="G1984" s="1" t="n"/>
    </row>
    <row r="1985">
      <c r="A1985" s="1" t="n"/>
      <c r="B1985" s="26" t="n"/>
      <c r="C1985" s="27" t="n"/>
      <c r="D1985" s="30" t="n"/>
      <c r="E1985" s="30" t="n"/>
      <c r="F1985" s="28" t="n"/>
      <c r="G1985" s="1" t="n"/>
    </row>
    <row r="1986">
      <c r="A1986" s="1" t="n"/>
      <c r="B1986" s="26" t="n"/>
      <c r="C1986" s="27" t="n"/>
      <c r="D1986" s="30" t="n"/>
      <c r="E1986" s="30" t="n"/>
      <c r="F1986" s="28" t="n"/>
      <c r="G1986" s="1" t="n"/>
    </row>
    <row r="1987">
      <c r="A1987" s="1" t="n"/>
      <c r="B1987" s="26" t="n"/>
      <c r="C1987" s="27" t="n"/>
      <c r="D1987" s="30" t="n"/>
      <c r="E1987" s="30" t="n"/>
      <c r="F1987" s="28" t="n"/>
      <c r="G1987" s="1" t="n"/>
    </row>
    <row r="1988">
      <c r="A1988" s="1" t="n"/>
      <c r="B1988" s="26" t="n"/>
      <c r="C1988" s="27" t="n"/>
      <c r="D1988" s="30" t="n"/>
      <c r="E1988" s="30" t="n"/>
      <c r="F1988" s="28" t="n"/>
      <c r="G1988" s="1" t="n"/>
    </row>
    <row r="1989">
      <c r="A1989" s="1" t="n"/>
      <c r="B1989" s="26" t="n"/>
      <c r="C1989" s="27" t="n"/>
      <c r="D1989" s="30" t="n"/>
      <c r="E1989" s="30" t="n"/>
      <c r="F1989" s="28" t="n"/>
      <c r="G1989" s="1" t="n"/>
    </row>
    <row r="1990">
      <c r="A1990" s="1" t="n"/>
      <c r="B1990" s="26" t="n"/>
      <c r="C1990" s="27" t="n"/>
      <c r="D1990" s="30" t="n"/>
      <c r="E1990" s="30" t="n"/>
      <c r="F1990" s="28" t="n"/>
      <c r="G1990" s="1" t="n"/>
    </row>
    <row r="1991">
      <c r="A1991" s="1" t="n"/>
      <c r="B1991" s="26" t="n"/>
      <c r="C1991" s="27" t="n"/>
      <c r="D1991" s="30" t="n"/>
      <c r="E1991" s="30" t="n"/>
      <c r="F1991" s="28" t="n"/>
      <c r="G1991" s="1" t="n"/>
    </row>
    <row r="1992">
      <c r="A1992" s="1" t="n"/>
      <c r="B1992" s="26" t="n"/>
      <c r="C1992" s="27" t="n"/>
      <c r="D1992" s="30" t="n"/>
      <c r="E1992" s="30" t="n"/>
      <c r="F1992" s="28" t="n"/>
      <c r="G1992" s="1" t="n"/>
    </row>
    <row r="1993">
      <c r="A1993" s="1" t="n"/>
      <c r="B1993" s="26" t="n"/>
      <c r="C1993" s="27" t="n"/>
      <c r="D1993" s="30" t="n"/>
      <c r="E1993" s="30" t="n"/>
      <c r="F1993" s="28" t="n"/>
      <c r="G1993" s="1" t="n"/>
    </row>
    <row r="1994">
      <c r="A1994" s="1" t="n"/>
      <c r="B1994" s="26" t="n"/>
      <c r="C1994" s="27" t="n"/>
      <c r="D1994" s="30" t="n"/>
      <c r="E1994" s="30" t="n"/>
      <c r="F1994" s="28" t="n"/>
      <c r="G1994" s="1" t="n"/>
    </row>
    <row r="1995">
      <c r="A1995" s="1" t="n"/>
      <c r="B1995" s="26" t="n"/>
      <c r="C1995" s="27" t="n"/>
      <c r="D1995" s="30" t="n"/>
      <c r="E1995" s="30" t="n"/>
      <c r="F1995" s="28" t="n"/>
      <c r="G1995" s="1" t="n"/>
    </row>
    <row r="1996">
      <c r="A1996" s="1" t="n"/>
      <c r="B1996" s="26" t="n"/>
      <c r="C1996" s="27" t="n"/>
      <c r="D1996" s="30" t="n"/>
      <c r="E1996" s="30" t="n"/>
      <c r="F1996" s="28" t="n"/>
      <c r="G1996" s="1" t="n"/>
    </row>
    <row r="1997">
      <c r="A1997" s="1" t="n"/>
      <c r="B1997" s="26" t="n"/>
      <c r="C1997" s="27" t="n"/>
      <c r="D1997" s="30" t="n"/>
      <c r="E1997" s="30" t="n"/>
      <c r="F1997" s="28" t="n"/>
      <c r="G1997" s="1" t="n"/>
    </row>
    <row r="1998">
      <c r="A1998" s="1" t="n"/>
      <c r="B1998" s="26" t="n"/>
      <c r="C1998" s="27" t="n"/>
      <c r="D1998" s="30" t="n"/>
      <c r="E1998" s="30" t="n"/>
      <c r="F1998" s="28" t="n"/>
      <c r="G1998" s="1" t="n"/>
    </row>
    <row r="1999">
      <c r="A1999" s="1" t="n"/>
      <c r="B1999" s="26" t="n"/>
      <c r="C1999" s="27" t="n"/>
      <c r="D1999" s="30" t="n"/>
      <c r="E1999" s="30" t="n"/>
      <c r="F1999" s="28" t="n"/>
      <c r="G1999" s="1" t="n"/>
    </row>
    <row r="2000">
      <c r="A2000" s="1" t="n"/>
      <c r="B2000" s="26" t="n"/>
      <c r="C2000" s="27" t="n"/>
      <c r="D2000" s="30" t="n"/>
      <c r="E2000" s="30" t="n"/>
      <c r="F2000" s="28" t="n"/>
      <c r="G2000" s="1" t="n"/>
    </row>
    <row r="2001">
      <c r="A2001" s="1" t="n"/>
      <c r="B2001" s="26" t="n"/>
      <c r="C2001" s="27" t="n"/>
      <c r="D2001" s="30" t="n"/>
      <c r="E2001" s="30" t="n"/>
      <c r="F2001" s="28" t="n"/>
      <c r="G2001" s="1" t="n"/>
    </row>
    <row r="2002">
      <c r="A2002" s="1" t="n"/>
      <c r="B2002" s="26" t="n"/>
      <c r="C2002" s="27" t="n"/>
      <c r="D2002" s="30" t="n"/>
      <c r="E2002" s="30" t="n"/>
      <c r="F2002" s="28" t="n"/>
      <c r="G2002" s="1" t="n"/>
    </row>
    <row r="2003">
      <c r="A2003" s="1" t="n"/>
      <c r="B2003" s="26" t="n"/>
      <c r="C2003" s="27" t="n"/>
      <c r="D2003" s="30" t="n"/>
      <c r="E2003" s="30" t="n"/>
      <c r="F2003" s="28" t="n"/>
      <c r="G2003" s="1" t="n"/>
    </row>
    <row r="2004">
      <c r="A2004" s="1" t="n"/>
      <c r="B2004" s="26" t="n"/>
      <c r="C2004" s="27" t="n"/>
      <c r="D2004" s="30" t="n"/>
      <c r="E2004" s="30" t="n"/>
      <c r="F2004" s="28" t="n"/>
      <c r="G2004" s="1" t="n"/>
    </row>
    <row r="2005">
      <c r="A2005" s="1" t="n"/>
      <c r="B2005" s="26" t="n"/>
      <c r="C2005" s="27" t="n"/>
      <c r="D2005" s="30" t="n"/>
      <c r="E2005" s="30" t="n"/>
      <c r="F2005" s="28" t="n"/>
      <c r="G2005" s="1" t="n"/>
    </row>
    <row r="2006">
      <c r="A2006" s="1" t="n"/>
      <c r="B2006" s="26" t="n"/>
      <c r="C2006" s="27" t="n"/>
      <c r="D2006" s="30" t="n"/>
      <c r="E2006" s="30" t="n"/>
      <c r="F2006" s="28" t="n"/>
      <c r="G2006" s="1" t="n"/>
    </row>
    <row r="2007">
      <c r="A2007" s="1" t="n"/>
      <c r="B2007" s="26" t="n"/>
      <c r="C2007" s="27" t="n"/>
      <c r="D2007" s="30" t="n"/>
      <c r="E2007" s="30" t="n"/>
      <c r="F2007" s="28" t="n"/>
      <c r="G2007" s="1" t="n"/>
    </row>
    <row r="2008">
      <c r="A2008" s="1" t="n"/>
      <c r="B2008" s="26" t="n"/>
      <c r="C2008" s="27" t="n"/>
      <c r="D2008" s="30" t="n"/>
      <c r="E2008" s="30" t="n"/>
      <c r="F2008" s="28" t="n"/>
      <c r="G2008" s="1" t="n"/>
    </row>
    <row r="2009">
      <c r="A2009" s="1" t="n"/>
      <c r="B2009" s="26" t="n"/>
      <c r="C2009" s="27" t="n"/>
      <c r="D2009" s="30" t="n"/>
      <c r="E2009" s="30" t="n"/>
      <c r="F2009" s="28" t="n"/>
      <c r="G2009" s="1" t="n"/>
    </row>
    <row r="2010">
      <c r="A2010" s="1" t="n"/>
      <c r="B2010" s="26" t="n"/>
      <c r="C2010" s="27" t="n"/>
      <c r="D2010" s="30" t="n"/>
      <c r="E2010" s="30" t="n"/>
      <c r="F2010" s="28" t="n"/>
      <c r="G2010" s="1" t="n"/>
    </row>
    <row r="2011">
      <c r="A2011" s="1" t="n"/>
      <c r="B2011" s="26" t="n"/>
      <c r="C2011" s="27" t="n"/>
      <c r="D2011" s="30" t="n"/>
      <c r="E2011" s="30" t="n"/>
      <c r="F2011" s="28" t="n"/>
      <c r="G2011" s="1" t="n"/>
    </row>
    <row r="2012">
      <c r="A2012" s="1" t="n"/>
      <c r="B2012" s="26" t="n"/>
      <c r="C2012" s="27" t="n"/>
      <c r="D2012" s="30" t="n"/>
      <c r="E2012" s="30" t="n"/>
      <c r="F2012" s="28" t="n"/>
      <c r="G2012" s="1" t="n"/>
    </row>
    <row r="2013">
      <c r="A2013" s="1" t="n"/>
      <c r="B2013" s="26" t="n"/>
      <c r="C2013" s="27" t="n"/>
      <c r="D2013" s="30" t="n"/>
      <c r="E2013" s="30" t="n"/>
      <c r="F2013" s="28" t="n"/>
      <c r="G2013" s="1" t="n"/>
    </row>
    <row r="2014">
      <c r="A2014" s="1" t="n"/>
      <c r="B2014" s="26" t="n"/>
      <c r="C2014" s="27" t="n"/>
      <c r="D2014" s="30" t="n"/>
      <c r="E2014" s="30" t="n"/>
      <c r="F2014" s="28" t="n"/>
      <c r="G2014" s="1" t="n"/>
    </row>
    <row r="2015">
      <c r="A2015" s="1" t="n"/>
      <c r="B2015" s="26" t="n"/>
      <c r="C2015" s="27" t="n"/>
      <c r="D2015" s="30" t="n"/>
      <c r="E2015" s="30" t="n"/>
      <c r="F2015" s="28" t="n"/>
      <c r="G2015" s="1" t="n"/>
    </row>
    <row r="2016">
      <c r="A2016" s="1" t="n"/>
      <c r="B2016" s="26" t="n"/>
      <c r="C2016" s="27" t="n"/>
      <c r="D2016" s="30" t="n"/>
      <c r="E2016" s="30" t="n"/>
      <c r="F2016" s="28" t="n"/>
      <c r="G2016" s="1" t="n"/>
    </row>
    <row r="2017">
      <c r="A2017" s="1" t="n"/>
      <c r="B2017" s="26" t="n"/>
      <c r="C2017" s="27" t="n"/>
      <c r="D2017" s="30" t="n"/>
      <c r="E2017" s="30" t="n"/>
      <c r="F2017" s="28" t="n"/>
      <c r="G2017" s="1" t="n"/>
    </row>
    <row r="2018">
      <c r="A2018" s="1" t="n"/>
      <c r="B2018" s="26" t="n"/>
      <c r="C2018" s="27" t="n"/>
      <c r="D2018" s="30" t="n"/>
      <c r="E2018" s="30" t="n"/>
      <c r="F2018" s="28" t="n"/>
      <c r="G2018" s="1" t="n"/>
    </row>
    <row r="2019">
      <c r="A2019" s="1" t="n"/>
      <c r="B2019" s="26" t="n"/>
      <c r="C2019" s="27" t="n"/>
      <c r="D2019" s="30" t="n"/>
      <c r="E2019" s="30" t="n"/>
      <c r="F2019" s="28" t="n"/>
      <c r="G2019" s="1" t="n"/>
    </row>
    <row r="2020">
      <c r="A2020" s="1" t="n"/>
      <c r="B2020" s="26" t="n"/>
      <c r="C2020" s="27" t="n"/>
      <c r="D2020" s="30" t="n"/>
      <c r="E2020" s="30" t="n"/>
      <c r="F2020" s="28" t="n"/>
      <c r="G2020" s="1" t="n"/>
    </row>
    <row r="2021">
      <c r="A2021" s="1" t="n"/>
      <c r="B2021" s="26" t="n"/>
      <c r="C2021" s="27" t="n"/>
      <c r="D2021" s="30" t="n"/>
      <c r="E2021" s="30" t="n"/>
      <c r="F2021" s="28" t="n"/>
      <c r="G2021" s="1" t="n"/>
    </row>
    <row r="2022">
      <c r="A2022" s="1" t="n"/>
      <c r="B2022" s="26" t="n"/>
      <c r="C2022" s="27" t="n"/>
      <c r="D2022" s="30" t="n"/>
      <c r="E2022" s="30" t="n"/>
      <c r="F2022" s="28" t="n"/>
      <c r="G2022" s="1" t="n"/>
    </row>
    <row r="2023">
      <c r="A2023" s="1" t="n"/>
      <c r="B2023" s="26" t="n"/>
      <c r="C2023" s="27" t="n"/>
      <c r="D2023" s="30" t="n"/>
      <c r="E2023" s="30" t="n"/>
      <c r="F2023" s="28" t="n"/>
      <c r="G2023" s="1" t="n"/>
    </row>
    <row r="2024">
      <c r="A2024" s="1" t="n"/>
      <c r="B2024" s="26" t="n"/>
      <c r="C2024" s="27" t="n"/>
      <c r="D2024" s="30" t="n"/>
      <c r="E2024" s="30" t="n"/>
      <c r="F2024" s="28" t="n"/>
      <c r="G2024" s="1" t="n"/>
    </row>
    <row r="2025">
      <c r="A2025" s="1" t="n"/>
      <c r="B2025" s="26" t="n"/>
      <c r="C2025" s="27" t="n"/>
      <c r="D2025" s="30" t="n"/>
      <c r="E2025" s="30" t="n"/>
      <c r="F2025" s="28" t="n"/>
      <c r="G2025" s="1" t="n"/>
    </row>
    <row r="2026">
      <c r="A2026" s="1" t="n"/>
      <c r="B2026" s="26" t="n"/>
      <c r="C2026" s="27" t="n"/>
      <c r="D2026" s="30" t="n"/>
      <c r="E2026" s="30" t="n"/>
      <c r="F2026" s="28" t="n"/>
      <c r="G2026" s="1" t="n"/>
    </row>
    <row r="2027">
      <c r="A2027" s="1" t="n"/>
      <c r="B2027" s="26" t="n"/>
      <c r="C2027" s="27" t="n"/>
      <c r="D2027" s="30" t="n"/>
      <c r="E2027" s="30" t="n"/>
      <c r="F2027" s="28" t="n"/>
      <c r="G2027" s="1" t="n"/>
    </row>
    <row r="2028">
      <c r="A2028" s="1" t="n"/>
      <c r="B2028" s="26" t="n"/>
      <c r="C2028" s="27" t="n"/>
      <c r="D2028" s="30" t="n"/>
      <c r="E2028" s="30" t="n"/>
      <c r="F2028" s="28" t="n"/>
      <c r="G2028" s="1" t="n"/>
    </row>
    <row r="2029">
      <c r="A2029" s="1" t="n"/>
      <c r="B2029" s="26" t="n"/>
      <c r="C2029" s="27" t="n"/>
      <c r="D2029" s="30" t="n"/>
      <c r="E2029" s="30" t="n"/>
      <c r="F2029" s="28" t="n"/>
      <c r="G2029" s="1" t="n"/>
    </row>
    <row r="2030">
      <c r="A2030" s="1" t="n"/>
      <c r="B2030" s="26" t="n"/>
      <c r="C2030" s="27" t="n"/>
      <c r="D2030" s="30" t="n"/>
      <c r="E2030" s="30" t="n"/>
      <c r="F2030" s="28" t="n"/>
      <c r="G2030" s="1" t="n"/>
    </row>
    <row r="2031">
      <c r="A2031" s="1" t="n"/>
      <c r="B2031" s="26" t="n"/>
      <c r="C2031" s="27" t="n"/>
      <c r="D2031" s="30" t="n"/>
      <c r="E2031" s="30" t="n"/>
      <c r="F2031" s="28" t="n"/>
      <c r="G2031" s="1" t="n"/>
    </row>
    <row r="2032">
      <c r="A2032" s="1" t="n"/>
      <c r="B2032" s="26" t="n"/>
      <c r="C2032" s="27" t="n"/>
      <c r="D2032" s="30" t="n"/>
      <c r="E2032" s="30" t="n"/>
      <c r="F2032" s="28" t="n"/>
      <c r="G2032" s="1" t="n"/>
    </row>
    <row r="2033">
      <c r="A2033" s="1" t="n"/>
      <c r="B2033" s="26" t="n"/>
      <c r="C2033" s="27" t="n"/>
      <c r="D2033" s="30" t="n"/>
      <c r="E2033" s="30" t="n"/>
      <c r="F2033" s="28" t="n"/>
      <c r="G2033" s="1" t="n"/>
    </row>
    <row r="2034">
      <c r="A2034" s="1" t="n"/>
      <c r="B2034" s="26" t="n"/>
      <c r="C2034" s="27" t="n"/>
      <c r="D2034" s="30" t="n"/>
      <c r="E2034" s="30" t="n"/>
      <c r="F2034" s="28" t="n"/>
      <c r="G2034" s="1" t="n"/>
    </row>
    <row r="2035">
      <c r="A2035" s="1" t="n"/>
      <c r="B2035" s="26" t="n"/>
      <c r="C2035" s="27" t="n"/>
      <c r="D2035" s="30" t="n"/>
      <c r="E2035" s="30" t="n"/>
      <c r="F2035" s="28" t="n"/>
      <c r="G2035" s="1" t="n"/>
    </row>
    <row r="2036">
      <c r="A2036" s="1" t="n"/>
      <c r="B2036" s="26" t="n"/>
      <c r="C2036" s="27" t="n"/>
      <c r="D2036" s="30" t="n"/>
      <c r="E2036" s="30" t="n"/>
      <c r="F2036" s="28" t="n"/>
      <c r="G2036" s="1" t="n"/>
    </row>
    <row r="2037">
      <c r="A2037" s="1" t="n"/>
      <c r="B2037" s="26" t="n"/>
      <c r="C2037" s="27" t="n"/>
      <c r="D2037" s="30" t="n"/>
      <c r="E2037" s="30" t="n"/>
      <c r="F2037" s="28" t="n"/>
      <c r="G2037" s="1" t="n"/>
    </row>
    <row r="2038">
      <c r="A2038" s="1" t="n"/>
      <c r="B2038" s="26" t="n"/>
      <c r="C2038" s="27" t="n"/>
      <c r="D2038" s="30" t="n"/>
      <c r="E2038" s="30" t="n"/>
      <c r="F2038" s="28" t="n"/>
      <c r="G2038" s="1" t="n"/>
    </row>
    <row r="2039">
      <c r="A2039" s="1" t="n"/>
      <c r="B2039" s="26" t="n"/>
      <c r="C2039" s="27" t="n"/>
      <c r="D2039" s="30" t="n"/>
      <c r="E2039" s="30" t="n"/>
      <c r="F2039" s="28" t="n"/>
      <c r="G2039" s="1" t="n"/>
    </row>
    <row r="2040">
      <c r="A2040" s="1" t="n"/>
      <c r="B2040" s="26" t="n"/>
      <c r="C2040" s="27" t="n"/>
      <c r="D2040" s="30" t="n"/>
      <c r="E2040" s="30" t="n"/>
      <c r="F2040" s="28" t="n"/>
      <c r="G2040" s="1" t="n"/>
    </row>
    <row r="2041">
      <c r="A2041" s="1" t="n"/>
      <c r="B2041" s="26" t="n"/>
      <c r="C2041" s="27" t="n"/>
      <c r="D2041" s="30" t="n"/>
      <c r="E2041" s="30" t="n"/>
      <c r="F2041" s="28" t="n"/>
      <c r="G2041" s="1" t="n"/>
    </row>
    <row r="2042">
      <c r="A2042" s="1" t="n"/>
      <c r="B2042" s="26" t="n"/>
      <c r="C2042" s="27" t="n"/>
      <c r="D2042" s="30" t="n"/>
      <c r="E2042" s="30" t="n"/>
      <c r="F2042" s="28" t="n"/>
      <c r="G2042" s="1" t="n"/>
    </row>
    <row r="2043">
      <c r="A2043" s="1" t="n"/>
      <c r="B2043" s="26" t="n"/>
      <c r="C2043" s="27" t="n"/>
      <c r="D2043" s="30" t="n"/>
      <c r="E2043" s="30" t="n"/>
      <c r="F2043" s="28" t="n"/>
      <c r="G2043" s="1" t="n"/>
    </row>
    <row r="2044">
      <c r="A2044" s="1" t="n"/>
      <c r="B2044" s="26" t="n"/>
      <c r="C2044" s="27" t="n"/>
      <c r="D2044" s="30" t="n"/>
      <c r="E2044" s="30" t="n"/>
      <c r="F2044" s="28" t="n"/>
      <c r="G2044" s="1" t="n"/>
    </row>
    <row r="2045">
      <c r="A2045" s="1" t="n"/>
      <c r="B2045" s="26" t="n"/>
      <c r="C2045" s="27" t="n"/>
      <c r="D2045" s="30" t="n"/>
      <c r="E2045" s="30" t="n"/>
      <c r="F2045" s="28" t="n"/>
      <c r="G2045" s="1" t="n"/>
    </row>
    <row r="2046">
      <c r="A2046" s="1" t="n"/>
      <c r="B2046" s="26" t="n"/>
      <c r="C2046" s="27" t="n"/>
      <c r="D2046" s="30" t="n"/>
      <c r="E2046" s="30" t="n"/>
      <c r="F2046" s="28" t="n"/>
      <c r="G2046" s="1" t="n"/>
    </row>
    <row r="2047">
      <c r="A2047" s="1" t="n"/>
      <c r="B2047" s="26" t="n"/>
      <c r="C2047" s="27" t="n"/>
      <c r="D2047" s="30" t="n"/>
      <c r="E2047" s="30" t="n"/>
      <c r="F2047" s="28" t="n"/>
      <c r="G2047" s="1" t="n"/>
    </row>
    <row r="2048">
      <c r="A2048" s="1" t="n"/>
      <c r="B2048" s="26" t="n"/>
      <c r="C2048" s="27" t="n"/>
      <c r="D2048" s="30" t="n"/>
      <c r="E2048" s="30" t="n"/>
      <c r="F2048" s="28" t="n"/>
      <c r="G2048" s="1" t="n"/>
    </row>
    <row r="2049">
      <c r="A2049" s="1" t="n"/>
      <c r="B2049" s="26" t="n"/>
      <c r="C2049" s="27" t="n"/>
      <c r="D2049" s="30" t="n"/>
      <c r="E2049" s="30" t="n"/>
      <c r="F2049" s="28" t="n"/>
      <c r="G2049" s="1" t="n"/>
    </row>
    <row r="2050">
      <c r="A2050" s="1" t="n"/>
      <c r="B2050" s="26" t="n"/>
      <c r="C2050" s="27" t="n"/>
      <c r="D2050" s="30" t="n"/>
      <c r="E2050" s="30" t="n"/>
      <c r="F2050" s="28" t="n"/>
      <c r="G2050" s="1" t="n"/>
    </row>
    <row r="2051">
      <c r="A2051" s="1" t="n"/>
      <c r="B2051" s="26" t="n"/>
      <c r="C2051" s="27" t="n"/>
      <c r="D2051" s="30" t="n"/>
      <c r="E2051" s="30" t="n"/>
      <c r="F2051" s="28" t="n"/>
      <c r="G2051" s="1" t="n"/>
    </row>
    <row r="2052">
      <c r="A2052" s="1" t="n"/>
      <c r="B2052" s="26" t="n"/>
      <c r="C2052" s="27" t="n"/>
      <c r="D2052" s="30" t="n"/>
      <c r="E2052" s="30" t="n"/>
      <c r="F2052" s="28" t="n"/>
      <c r="G2052" s="1" t="n"/>
    </row>
    <row r="2053">
      <c r="A2053" s="1" t="n"/>
      <c r="B2053" s="26" t="n"/>
      <c r="C2053" s="27" t="n"/>
      <c r="D2053" s="30" t="n"/>
      <c r="E2053" s="30" t="n"/>
      <c r="F2053" s="28" t="n"/>
      <c r="G2053" s="1" t="n"/>
    </row>
    <row r="2054">
      <c r="A2054" s="1" t="n"/>
      <c r="B2054" s="26" t="n"/>
      <c r="C2054" s="27" t="n"/>
      <c r="D2054" s="30" t="n"/>
      <c r="E2054" s="30" t="n"/>
      <c r="F2054" s="28" t="n"/>
      <c r="G2054" s="1" t="n"/>
    </row>
    <row r="2055">
      <c r="A2055" s="1" t="n"/>
      <c r="B2055" s="26" t="n"/>
      <c r="C2055" s="27" t="n"/>
      <c r="D2055" s="30" t="n"/>
      <c r="E2055" s="30" t="n"/>
      <c r="F2055" s="28" t="n"/>
      <c r="G2055" s="1" t="n"/>
    </row>
    <row r="2056">
      <c r="A2056" s="1" t="n"/>
      <c r="B2056" s="26" t="n"/>
      <c r="C2056" s="27" t="n"/>
      <c r="D2056" s="30" t="n"/>
      <c r="E2056" s="30" t="n"/>
      <c r="F2056" s="28" t="n"/>
      <c r="G2056" s="1" t="n"/>
    </row>
    <row r="2057">
      <c r="A2057" s="1" t="n"/>
      <c r="B2057" s="26" t="n"/>
      <c r="C2057" s="27" t="n"/>
      <c r="D2057" s="30" t="n"/>
      <c r="E2057" s="30" t="n"/>
      <c r="F2057" s="28" t="n"/>
      <c r="G2057" s="1" t="n"/>
    </row>
    <row r="2058">
      <c r="A2058" s="1" t="n"/>
      <c r="B2058" s="26" t="n"/>
      <c r="C2058" s="27" t="n"/>
      <c r="D2058" s="30" t="n"/>
      <c r="E2058" s="30" t="n"/>
      <c r="F2058" s="28" t="n"/>
      <c r="G2058" s="1" t="n"/>
    </row>
    <row r="2059">
      <c r="A2059" s="1" t="n"/>
      <c r="B2059" s="26" t="n"/>
      <c r="C2059" s="27" t="n"/>
      <c r="D2059" s="30" t="n"/>
      <c r="E2059" s="30" t="n"/>
      <c r="F2059" s="28" t="n"/>
      <c r="G2059" s="1" t="n"/>
    </row>
    <row r="2060">
      <c r="A2060" s="1" t="n"/>
      <c r="B2060" s="26" t="n"/>
      <c r="C2060" s="27" t="n"/>
      <c r="D2060" s="30" t="n"/>
      <c r="E2060" s="30" t="n"/>
      <c r="F2060" s="28" t="n"/>
      <c r="G2060" s="1" t="n"/>
    </row>
    <row r="2061">
      <c r="A2061" s="1" t="n"/>
      <c r="B2061" s="26" t="n"/>
      <c r="C2061" s="27" t="n"/>
      <c r="D2061" s="30" t="n"/>
      <c r="E2061" s="30" t="n"/>
      <c r="F2061" s="28" t="n"/>
      <c r="G2061" s="1" t="n"/>
    </row>
    <row r="2062">
      <c r="A2062" s="1" t="n"/>
      <c r="B2062" s="26" t="n"/>
      <c r="C2062" s="27" t="n"/>
      <c r="D2062" s="30" t="n"/>
      <c r="E2062" s="30" t="n"/>
      <c r="F2062" s="28" t="n"/>
      <c r="G2062" s="1" t="n"/>
    </row>
    <row r="2063">
      <c r="A2063" s="1" t="n"/>
      <c r="B2063" s="26" t="n"/>
      <c r="C2063" s="27" t="n"/>
      <c r="D2063" s="30" t="n"/>
      <c r="E2063" s="30" t="n"/>
      <c r="F2063" s="28" t="n"/>
      <c r="G2063" s="1" t="n"/>
    </row>
    <row r="2064">
      <c r="A2064" s="1" t="n"/>
      <c r="B2064" s="26" t="n"/>
      <c r="C2064" s="27" t="n"/>
      <c r="D2064" s="30" t="n"/>
      <c r="E2064" s="30" t="n"/>
      <c r="F2064" s="28" t="n"/>
      <c r="G2064" s="1" t="n"/>
    </row>
    <row r="2065">
      <c r="A2065" s="1" t="n"/>
      <c r="B2065" s="26" t="n"/>
      <c r="C2065" s="27" t="n"/>
      <c r="D2065" s="30" t="n"/>
      <c r="E2065" s="30" t="n"/>
      <c r="F2065" s="28" t="n"/>
      <c r="G2065" s="1" t="n"/>
    </row>
    <row r="2066">
      <c r="A2066" s="1" t="n"/>
      <c r="B2066" s="26" t="n"/>
      <c r="C2066" s="27" t="n"/>
      <c r="D2066" s="30" t="n"/>
      <c r="E2066" s="30" t="n"/>
      <c r="F2066" s="28" t="n"/>
      <c r="G2066" s="1" t="n"/>
    </row>
    <row r="2067">
      <c r="A2067" s="1" t="n"/>
      <c r="B2067" s="26" t="n"/>
      <c r="C2067" s="27" t="n"/>
      <c r="D2067" s="30" t="n"/>
      <c r="E2067" s="30" t="n"/>
      <c r="F2067" s="28" t="n"/>
      <c r="G2067" s="1" t="n"/>
    </row>
    <row r="2068">
      <c r="A2068" s="1" t="n"/>
      <c r="B2068" s="26" t="n"/>
      <c r="C2068" s="27" t="n"/>
      <c r="D2068" s="30" t="n"/>
      <c r="E2068" s="30" t="n"/>
      <c r="F2068" s="28" t="n"/>
      <c r="G2068" s="1" t="n"/>
    </row>
    <row r="2069">
      <c r="A2069" s="1" t="n"/>
      <c r="B2069" s="26" t="n"/>
      <c r="C2069" s="27" t="n"/>
      <c r="D2069" s="30" t="n"/>
      <c r="E2069" s="30" t="n"/>
      <c r="F2069" s="28" t="n"/>
      <c r="G2069" s="1" t="n"/>
    </row>
    <row r="2070">
      <c r="A2070" s="1" t="n"/>
      <c r="B2070" s="26" t="n"/>
      <c r="C2070" s="27" t="n"/>
      <c r="D2070" s="30" t="n"/>
      <c r="E2070" s="30" t="n"/>
      <c r="F2070" s="28" t="n"/>
      <c r="G2070" s="1" t="n"/>
    </row>
    <row r="2071">
      <c r="A2071" s="1" t="n"/>
      <c r="B2071" s="26" t="n"/>
      <c r="C2071" s="27" t="n"/>
      <c r="D2071" s="30" t="n"/>
      <c r="E2071" s="30" t="n"/>
      <c r="F2071" s="28" t="n"/>
      <c r="G2071" s="1" t="n"/>
    </row>
    <row r="2072">
      <c r="A2072" s="1" t="n"/>
      <c r="B2072" s="26" t="n"/>
      <c r="C2072" s="27" t="n"/>
      <c r="D2072" s="30" t="n"/>
      <c r="E2072" s="30" t="n"/>
      <c r="F2072" s="28" t="n"/>
      <c r="G2072" s="1" t="n"/>
    </row>
    <row r="2073">
      <c r="A2073" s="1" t="n"/>
      <c r="B2073" s="26" t="n"/>
      <c r="C2073" s="27" t="n"/>
      <c r="D2073" s="30" t="n"/>
      <c r="E2073" s="30" t="n"/>
      <c r="F2073" s="28" t="n"/>
      <c r="G2073" s="1" t="n"/>
    </row>
    <row r="2074">
      <c r="A2074" s="1" t="n"/>
      <c r="B2074" s="26" t="n"/>
      <c r="C2074" s="27" t="n"/>
      <c r="D2074" s="30" t="n"/>
      <c r="E2074" s="30" t="n"/>
      <c r="F2074" s="28" t="n"/>
      <c r="G2074" s="1" t="n"/>
    </row>
    <row r="2075">
      <c r="A2075" s="1" t="n"/>
      <c r="B2075" s="26" t="n"/>
      <c r="C2075" s="27" t="n"/>
      <c r="D2075" s="30" t="n"/>
      <c r="E2075" s="30" t="n"/>
      <c r="F2075" s="28" t="n"/>
      <c r="G2075" s="1" t="n"/>
    </row>
    <row r="2076">
      <c r="A2076" s="1" t="n"/>
      <c r="B2076" s="26" t="n"/>
      <c r="C2076" s="27" t="n"/>
      <c r="D2076" s="30" t="n"/>
      <c r="E2076" s="30" t="n"/>
      <c r="F2076" s="28" t="n"/>
      <c r="G2076" s="1" t="n"/>
    </row>
    <row r="2077">
      <c r="A2077" s="1" t="n"/>
      <c r="B2077" s="26" t="n"/>
      <c r="C2077" s="27" t="n"/>
      <c r="D2077" s="30" t="n"/>
      <c r="E2077" s="30" t="n"/>
      <c r="F2077" s="28" t="n"/>
      <c r="G2077" s="1" t="n"/>
    </row>
    <row r="2078">
      <c r="A2078" s="1" t="n"/>
      <c r="B2078" s="26" t="n"/>
      <c r="C2078" s="27" t="n"/>
      <c r="D2078" s="30" t="n"/>
      <c r="E2078" s="30" t="n"/>
      <c r="F2078" s="28" t="n"/>
      <c r="G2078" s="1" t="n"/>
    </row>
    <row r="2079">
      <c r="A2079" s="1" t="n"/>
      <c r="B2079" s="26" t="n"/>
      <c r="C2079" s="27" t="n"/>
      <c r="D2079" s="30" t="n"/>
      <c r="E2079" s="30" t="n"/>
      <c r="F2079" s="28" t="n"/>
      <c r="G2079" s="1" t="n"/>
    </row>
    <row r="2080">
      <c r="A2080" s="1" t="n"/>
      <c r="B2080" s="26" t="n"/>
      <c r="C2080" s="27" t="n"/>
      <c r="D2080" s="30" t="n"/>
      <c r="E2080" s="30" t="n"/>
      <c r="F2080" s="28" t="n"/>
      <c r="G2080" s="1" t="n"/>
    </row>
    <row r="2081">
      <c r="A2081" s="1" t="n"/>
      <c r="B2081" s="26" t="n"/>
      <c r="C2081" s="27" t="n"/>
      <c r="D2081" s="30" t="n"/>
      <c r="E2081" s="30" t="n"/>
      <c r="F2081" s="28" t="n"/>
      <c r="G2081" s="1" t="n"/>
    </row>
    <row r="2082">
      <c r="A2082" s="1" t="n"/>
      <c r="B2082" s="26" t="n"/>
      <c r="C2082" s="27" t="n"/>
      <c r="D2082" s="30" t="n"/>
      <c r="E2082" s="30" t="n"/>
      <c r="F2082" s="28" t="n"/>
      <c r="G2082" s="1" t="n"/>
    </row>
    <row r="2083">
      <c r="A2083" s="1" t="n"/>
      <c r="B2083" s="26" t="n"/>
      <c r="C2083" s="27" t="n"/>
      <c r="D2083" s="30" t="n"/>
      <c r="E2083" s="30" t="n"/>
      <c r="F2083" s="28" t="n"/>
      <c r="G2083" s="1" t="n"/>
    </row>
    <row r="2084">
      <c r="A2084" s="1" t="n"/>
      <c r="B2084" s="26" t="n"/>
      <c r="C2084" s="27" t="n"/>
      <c r="D2084" s="30" t="n"/>
      <c r="E2084" s="30" t="n"/>
      <c r="F2084" s="28" t="n"/>
      <c r="G2084" s="1" t="n"/>
    </row>
    <row r="2085">
      <c r="A2085" s="1" t="n"/>
      <c r="B2085" s="26" t="n"/>
      <c r="C2085" s="27" t="n"/>
      <c r="D2085" s="30" t="n"/>
      <c r="E2085" s="30" t="n"/>
      <c r="F2085" s="28" t="n"/>
      <c r="G2085" s="1" t="n"/>
    </row>
    <row r="2086">
      <c r="A2086" s="1" t="n"/>
      <c r="B2086" s="26" t="n"/>
      <c r="C2086" s="27" t="n"/>
      <c r="D2086" s="30" t="n"/>
      <c r="E2086" s="30" t="n"/>
      <c r="F2086" s="28" t="n"/>
      <c r="G2086" s="1" t="n"/>
    </row>
    <row r="2087">
      <c r="A2087" s="1" t="n"/>
      <c r="B2087" s="26" t="n"/>
      <c r="C2087" s="27" t="n"/>
      <c r="D2087" s="30" t="n"/>
      <c r="E2087" s="30" t="n"/>
      <c r="F2087" s="28" t="n"/>
      <c r="G2087" s="1" t="n"/>
    </row>
    <row r="2088">
      <c r="A2088" s="1" t="n"/>
      <c r="B2088" s="26" t="n"/>
      <c r="C2088" s="27" t="n"/>
      <c r="D2088" s="30" t="n"/>
      <c r="E2088" s="30" t="n"/>
      <c r="F2088" s="28" t="n"/>
      <c r="G2088" s="1" t="n"/>
    </row>
    <row r="2089">
      <c r="A2089" s="1" t="n"/>
      <c r="B2089" s="26" t="n"/>
      <c r="C2089" s="27" t="n"/>
      <c r="D2089" s="30" t="n"/>
      <c r="E2089" s="30" t="n"/>
      <c r="F2089" s="28" t="n"/>
      <c r="G2089" s="1" t="n"/>
    </row>
    <row r="2090">
      <c r="A2090" s="1" t="n"/>
      <c r="B2090" s="26" t="n"/>
      <c r="C2090" s="27" t="n"/>
      <c r="D2090" s="30" t="n"/>
      <c r="E2090" s="30" t="n"/>
      <c r="F2090" s="28" t="n"/>
      <c r="G2090" s="1" t="n"/>
    </row>
    <row r="2091">
      <c r="A2091" s="1" t="n"/>
      <c r="B2091" s="26" t="n"/>
      <c r="C2091" s="27" t="n"/>
      <c r="D2091" s="30" t="n"/>
      <c r="E2091" s="30" t="n"/>
      <c r="F2091" s="28" t="n"/>
      <c r="G2091" s="1" t="n"/>
    </row>
    <row r="2092">
      <c r="A2092" s="1" t="n"/>
      <c r="B2092" s="26" t="n"/>
      <c r="C2092" s="27" t="n"/>
      <c r="D2092" s="30" t="n"/>
      <c r="E2092" s="30" t="n"/>
      <c r="F2092" s="28" t="n"/>
      <c r="G2092" s="1" t="n"/>
    </row>
    <row r="2093">
      <c r="A2093" s="1" t="n"/>
      <c r="B2093" s="26" t="n"/>
      <c r="C2093" s="27" t="n"/>
      <c r="D2093" s="30" t="n"/>
      <c r="E2093" s="30" t="n"/>
      <c r="F2093" s="28" t="n"/>
      <c r="G2093" s="1" t="n"/>
    </row>
    <row r="2094">
      <c r="A2094" s="1" t="n"/>
      <c r="B2094" s="26" t="n"/>
      <c r="C2094" s="27" t="n"/>
      <c r="D2094" s="30" t="n"/>
      <c r="E2094" s="30" t="n"/>
      <c r="F2094" s="28" t="n"/>
      <c r="G2094" s="1" t="n"/>
    </row>
    <row r="2095">
      <c r="A2095" s="1" t="n"/>
      <c r="B2095" s="26" t="n"/>
      <c r="C2095" s="27" t="n"/>
      <c r="D2095" s="30" t="n"/>
      <c r="E2095" s="30" t="n"/>
      <c r="F2095" s="28" t="n"/>
      <c r="G2095" s="1" t="n"/>
    </row>
    <row r="2096">
      <c r="A2096" s="1" t="n"/>
      <c r="B2096" s="26" t="n"/>
      <c r="C2096" s="27" t="n"/>
      <c r="D2096" s="30" t="n"/>
      <c r="E2096" s="30" t="n"/>
      <c r="F2096" s="28" t="n"/>
      <c r="G2096" s="1" t="n"/>
    </row>
    <row r="2097">
      <c r="A2097" s="1" t="n"/>
      <c r="B2097" s="26" t="n"/>
      <c r="C2097" s="27" t="n"/>
      <c r="D2097" s="30" t="n"/>
      <c r="E2097" s="30" t="n"/>
      <c r="F2097" s="28" t="n"/>
      <c r="G2097" s="1" t="n"/>
    </row>
    <row r="2098">
      <c r="A2098" s="1" t="n"/>
      <c r="B2098" s="26" t="n"/>
      <c r="C2098" s="27" t="n"/>
      <c r="D2098" s="30" t="n"/>
      <c r="E2098" s="30" t="n"/>
      <c r="F2098" s="28" t="n"/>
      <c r="G2098" s="1" t="n"/>
    </row>
    <row r="2099">
      <c r="A2099" s="1" t="n"/>
      <c r="B2099" s="26" t="n"/>
      <c r="C2099" s="27" t="n"/>
      <c r="D2099" s="30" t="n"/>
      <c r="E2099" s="30" t="n"/>
      <c r="F2099" s="28" t="n"/>
      <c r="G2099" s="1" t="n"/>
    </row>
    <row r="2100">
      <c r="A2100" s="1" t="n"/>
      <c r="B2100" s="26" t="n"/>
      <c r="C2100" s="27" t="n"/>
      <c r="D2100" s="30" t="n"/>
      <c r="E2100" s="30" t="n"/>
      <c r="F2100" s="28" t="n"/>
      <c r="G2100" s="1" t="n"/>
    </row>
    <row r="2101">
      <c r="A2101" s="1" t="n"/>
      <c r="B2101" s="26" t="n"/>
      <c r="C2101" s="27" t="n"/>
      <c r="D2101" s="30" t="n"/>
      <c r="E2101" s="30" t="n"/>
      <c r="F2101" s="28" t="n"/>
      <c r="G2101" s="1" t="n"/>
    </row>
    <row r="2102">
      <c r="A2102" s="1" t="n"/>
      <c r="B2102" s="26" t="n"/>
      <c r="C2102" s="27" t="n"/>
      <c r="D2102" s="30" t="n"/>
      <c r="E2102" s="30" t="n"/>
      <c r="F2102" s="28" t="n"/>
      <c r="G2102" s="1" t="n"/>
    </row>
    <row r="2103">
      <c r="A2103" s="1" t="n"/>
      <c r="B2103" s="26" t="n"/>
      <c r="C2103" s="27" t="n"/>
      <c r="D2103" s="30" t="n"/>
      <c r="E2103" s="30" t="n"/>
      <c r="F2103" s="28" t="n"/>
      <c r="G2103" s="1" t="n"/>
    </row>
    <row r="2104">
      <c r="A2104" s="1" t="n"/>
      <c r="B2104" s="26" t="n"/>
      <c r="C2104" s="27" t="n"/>
      <c r="D2104" s="30" t="n"/>
      <c r="E2104" s="30" t="n"/>
      <c r="F2104" s="28" t="n"/>
      <c r="G2104" s="1" t="n"/>
    </row>
    <row r="2105">
      <c r="A2105" s="1" t="n"/>
      <c r="B2105" s="26" t="n"/>
      <c r="C2105" s="27" t="n"/>
      <c r="D2105" s="30" t="n"/>
      <c r="E2105" s="30" t="n"/>
      <c r="F2105" s="28" t="n"/>
      <c r="G2105" s="1" t="n"/>
    </row>
    <row r="2106">
      <c r="A2106" s="1" t="n"/>
      <c r="B2106" s="26" t="n"/>
      <c r="C2106" s="27" t="n"/>
      <c r="D2106" s="30" t="n"/>
      <c r="E2106" s="30" t="n"/>
      <c r="F2106" s="28" t="n"/>
      <c r="G2106" s="1" t="n"/>
    </row>
    <row r="2107">
      <c r="A2107" s="1" t="n"/>
      <c r="B2107" s="26" t="n"/>
      <c r="C2107" s="27" t="n"/>
      <c r="D2107" s="30" t="n"/>
      <c r="E2107" s="30" t="n"/>
      <c r="F2107" s="28" t="n"/>
      <c r="G2107" s="1" t="n"/>
    </row>
    <row r="2108">
      <c r="A2108" s="1" t="n"/>
      <c r="B2108" s="26" t="n"/>
      <c r="C2108" s="27" t="n"/>
      <c r="D2108" s="30" t="n"/>
      <c r="E2108" s="30" t="n"/>
      <c r="F2108" s="28" t="n"/>
      <c r="G2108" s="1" t="n"/>
    </row>
    <row r="2109">
      <c r="A2109" s="1" t="n"/>
      <c r="B2109" s="26" t="n"/>
      <c r="C2109" s="27" t="n"/>
      <c r="D2109" s="30" t="n"/>
      <c r="E2109" s="30" t="n"/>
      <c r="F2109" s="28" t="n"/>
      <c r="G2109" s="1" t="n"/>
    </row>
    <row r="2110">
      <c r="A2110" s="1" t="n"/>
      <c r="B2110" s="26" t="n"/>
      <c r="C2110" s="27" t="n"/>
      <c r="D2110" s="30" t="n"/>
      <c r="E2110" s="30" t="n"/>
      <c r="F2110" s="28" t="n"/>
      <c r="G2110" s="1" t="n"/>
    </row>
    <row r="2111">
      <c r="A2111" s="1" t="n"/>
      <c r="B2111" s="26" t="n"/>
      <c r="C2111" s="27" t="n"/>
      <c r="D2111" s="30" t="n"/>
      <c r="E2111" s="30" t="n"/>
      <c r="F2111" s="28" t="n"/>
      <c r="G2111" s="1" t="n"/>
    </row>
    <row r="2112">
      <c r="A2112" s="1" t="n"/>
      <c r="B2112" s="26" t="n"/>
      <c r="C2112" s="27" t="n"/>
      <c r="D2112" s="30" t="n"/>
      <c r="E2112" s="30" t="n"/>
      <c r="F2112" s="28" t="n"/>
      <c r="G2112" s="1" t="n"/>
    </row>
    <row r="2113">
      <c r="A2113" s="1" t="n"/>
      <c r="B2113" s="26" t="n"/>
      <c r="C2113" s="27" t="n"/>
      <c r="D2113" s="30" t="n"/>
      <c r="E2113" s="30" t="n"/>
      <c r="F2113" s="28" t="n"/>
      <c r="G2113" s="1" t="n"/>
    </row>
    <row r="2114">
      <c r="A2114" s="1" t="n"/>
      <c r="B2114" s="26" t="n"/>
      <c r="C2114" s="27" t="n"/>
      <c r="D2114" s="30" t="n"/>
      <c r="E2114" s="30" t="n"/>
      <c r="F2114" s="28" t="n"/>
      <c r="G2114" s="1" t="n"/>
    </row>
    <row r="2115">
      <c r="A2115" s="1" t="n"/>
      <c r="B2115" s="26" t="n"/>
      <c r="C2115" s="27" t="n"/>
      <c r="D2115" s="30" t="n"/>
      <c r="E2115" s="30" t="n"/>
      <c r="F2115" s="28" t="n"/>
      <c r="G2115" s="1" t="n"/>
    </row>
    <row r="2116">
      <c r="A2116" s="1" t="n"/>
      <c r="B2116" s="26" t="n"/>
      <c r="C2116" s="27" t="n"/>
      <c r="D2116" s="30" t="n"/>
      <c r="E2116" s="30" t="n"/>
      <c r="F2116" s="28" t="n"/>
      <c r="G2116" s="1" t="n"/>
    </row>
    <row r="2117">
      <c r="A2117" s="1" t="n"/>
      <c r="B2117" s="26" t="n"/>
      <c r="C2117" s="27" t="n"/>
      <c r="D2117" s="30" t="n"/>
      <c r="E2117" s="30" t="n"/>
      <c r="F2117" s="28" t="n"/>
      <c r="G2117" s="1" t="n"/>
    </row>
    <row r="2118">
      <c r="A2118" s="1" t="n"/>
      <c r="B2118" s="26" t="n"/>
      <c r="C2118" s="27" t="n"/>
      <c r="D2118" s="30" t="n"/>
      <c r="E2118" s="30" t="n"/>
      <c r="F2118" s="28" t="n"/>
      <c r="G2118" s="1" t="n"/>
    </row>
    <row r="2119">
      <c r="A2119" s="1" t="n"/>
      <c r="B2119" s="26" t="n"/>
      <c r="C2119" s="27" t="n"/>
      <c r="D2119" s="30" t="n"/>
      <c r="E2119" s="30" t="n"/>
      <c r="F2119" s="28" t="n"/>
      <c r="G2119" s="1" t="n"/>
    </row>
    <row r="2120">
      <c r="A2120" s="1" t="n"/>
      <c r="B2120" s="26" t="n"/>
      <c r="C2120" s="27" t="n"/>
      <c r="D2120" s="30" t="n"/>
      <c r="E2120" s="30" t="n"/>
      <c r="F2120" s="28" t="n"/>
      <c r="G2120" s="1" t="n"/>
    </row>
    <row r="2121">
      <c r="A2121" s="1" t="n"/>
      <c r="B2121" s="26" t="n"/>
      <c r="C2121" s="27" t="n"/>
      <c r="D2121" s="30" t="n"/>
      <c r="E2121" s="30" t="n"/>
      <c r="F2121" s="28" t="n"/>
      <c r="G2121" s="1" t="n"/>
    </row>
    <row r="2122">
      <c r="A2122" s="1" t="n"/>
      <c r="B2122" s="26" t="n"/>
      <c r="C2122" s="27" t="n"/>
      <c r="D2122" s="30" t="n"/>
      <c r="E2122" s="30" t="n"/>
      <c r="F2122" s="28" t="n"/>
      <c r="G2122" s="1" t="n"/>
    </row>
    <row r="2123">
      <c r="A2123" s="1" t="n"/>
      <c r="B2123" s="26" t="n"/>
      <c r="C2123" s="27" t="n"/>
      <c r="D2123" s="30" t="n"/>
      <c r="E2123" s="30" t="n"/>
      <c r="F2123" s="28" t="n"/>
      <c r="G2123" s="1" t="n"/>
    </row>
    <row r="2124">
      <c r="A2124" s="1" t="n"/>
      <c r="B2124" s="26" t="n"/>
      <c r="C2124" s="27" t="n"/>
      <c r="D2124" s="30" t="n"/>
      <c r="E2124" s="30" t="n"/>
      <c r="F2124" s="28" t="n"/>
      <c r="G2124" s="1" t="n"/>
    </row>
    <row r="2125">
      <c r="A2125" s="1" t="n"/>
      <c r="B2125" s="26" t="n"/>
      <c r="C2125" s="27" t="n"/>
      <c r="D2125" s="30" t="n"/>
      <c r="E2125" s="30" t="n"/>
      <c r="F2125" s="28" t="n"/>
      <c r="G2125" s="1" t="n"/>
    </row>
    <row r="2126">
      <c r="A2126" s="1" t="n"/>
      <c r="B2126" s="26" t="n"/>
      <c r="C2126" s="27" t="n"/>
      <c r="D2126" s="30" t="n"/>
      <c r="E2126" s="30" t="n"/>
      <c r="F2126" s="28" t="n"/>
      <c r="G2126" s="1" t="n"/>
    </row>
    <row r="2127">
      <c r="A2127" s="1" t="n"/>
      <c r="B2127" s="26" t="n"/>
      <c r="C2127" s="27" t="n"/>
      <c r="D2127" s="30" t="n"/>
      <c r="E2127" s="30" t="n"/>
      <c r="F2127" s="28" t="n"/>
      <c r="G2127" s="1" t="n"/>
    </row>
    <row r="2128">
      <c r="A2128" s="1" t="n"/>
      <c r="B2128" s="26" t="n"/>
      <c r="C2128" s="27" t="n"/>
      <c r="D2128" s="30" t="n"/>
      <c r="E2128" s="30" t="n"/>
      <c r="F2128" s="28" t="n"/>
      <c r="G2128" s="1" t="n"/>
    </row>
    <row r="2129">
      <c r="A2129" s="1" t="n"/>
      <c r="B2129" s="26" t="n"/>
      <c r="C2129" s="27" t="n"/>
      <c r="D2129" s="30" t="n"/>
      <c r="E2129" s="30" t="n"/>
      <c r="F2129" s="28" t="n"/>
      <c r="G2129" s="1" t="n"/>
    </row>
    <row r="2130">
      <c r="A2130" s="1" t="n"/>
      <c r="B2130" s="26" t="n"/>
      <c r="C2130" s="27" t="n"/>
      <c r="D2130" s="30" t="n"/>
      <c r="E2130" s="30" t="n"/>
      <c r="F2130" s="28" t="n"/>
      <c r="G2130" s="1" t="n"/>
    </row>
    <row r="2131">
      <c r="A2131" s="1" t="n"/>
      <c r="B2131" s="26" t="n"/>
      <c r="C2131" s="27" t="n"/>
      <c r="D2131" s="30" t="n"/>
      <c r="E2131" s="30" t="n"/>
      <c r="F2131" s="28" t="n"/>
      <c r="G2131" s="1" t="n"/>
    </row>
    <row r="2132">
      <c r="A2132" s="1" t="n"/>
      <c r="B2132" s="26" t="n"/>
      <c r="C2132" s="27" t="n"/>
      <c r="D2132" s="30" t="n"/>
      <c r="E2132" s="30" t="n"/>
      <c r="F2132" s="28" t="n"/>
      <c r="G2132" s="1" t="n"/>
    </row>
    <row r="2133">
      <c r="A2133" s="1" t="n"/>
      <c r="B2133" s="26" t="n"/>
      <c r="C2133" s="27" t="n"/>
      <c r="D2133" s="30" t="n"/>
      <c r="E2133" s="30" t="n"/>
      <c r="F2133" s="28" t="n"/>
      <c r="G2133" s="1" t="n"/>
    </row>
    <row r="2134">
      <c r="A2134" s="1" t="n"/>
      <c r="B2134" s="26" t="n"/>
      <c r="C2134" s="27" t="n"/>
      <c r="D2134" s="30" t="n"/>
      <c r="E2134" s="30" t="n"/>
      <c r="F2134" s="28" t="n"/>
      <c r="G2134" s="1" t="n"/>
    </row>
    <row r="2135">
      <c r="A2135" s="1" t="n"/>
      <c r="B2135" s="26" t="n"/>
      <c r="C2135" s="27" t="n"/>
      <c r="D2135" s="30" t="n"/>
      <c r="E2135" s="30" t="n"/>
      <c r="F2135" s="28" t="n"/>
      <c r="G2135" s="1" t="n"/>
    </row>
    <row r="2136">
      <c r="A2136" s="1" t="n"/>
      <c r="B2136" s="26" t="n"/>
      <c r="C2136" s="27" t="n"/>
      <c r="D2136" s="30" t="n"/>
      <c r="E2136" s="30" t="n"/>
      <c r="F2136" s="28" t="n"/>
      <c r="G2136" s="1" t="n"/>
    </row>
    <row r="2137">
      <c r="A2137" s="1" t="n"/>
      <c r="B2137" s="26" t="n"/>
      <c r="C2137" s="27" t="n"/>
      <c r="D2137" s="30" t="n"/>
      <c r="E2137" s="30" t="n"/>
      <c r="F2137" s="28" t="n"/>
      <c r="G2137" s="1" t="n"/>
    </row>
    <row r="2138">
      <c r="A2138" s="1" t="n"/>
      <c r="B2138" s="26" t="n"/>
      <c r="C2138" s="27" t="n"/>
      <c r="D2138" s="30" t="n"/>
      <c r="E2138" s="30" t="n"/>
      <c r="F2138" s="28" t="n"/>
      <c r="G2138" s="1" t="n"/>
    </row>
    <row r="2139">
      <c r="A2139" s="1" t="n"/>
      <c r="B2139" s="26" t="n"/>
      <c r="C2139" s="27" t="n"/>
      <c r="D2139" s="30" t="n"/>
      <c r="E2139" s="30" t="n"/>
      <c r="F2139" s="28" t="n"/>
      <c r="G2139" s="1" t="n"/>
    </row>
    <row r="2140">
      <c r="A2140" s="1" t="n"/>
      <c r="B2140" s="26" t="n"/>
      <c r="C2140" s="27" t="n"/>
      <c r="D2140" s="30" t="n"/>
      <c r="E2140" s="30" t="n"/>
      <c r="F2140" s="28" t="n"/>
      <c r="G2140" s="1" t="n"/>
    </row>
    <row r="2141">
      <c r="A2141" s="1" t="n"/>
      <c r="B2141" s="26" t="n"/>
      <c r="C2141" s="27" t="n"/>
      <c r="D2141" s="30" t="n"/>
      <c r="E2141" s="30" t="n"/>
      <c r="F2141" s="28" t="n"/>
      <c r="G2141" s="1" t="n"/>
    </row>
    <row r="2142">
      <c r="A2142" s="1" t="n"/>
      <c r="B2142" s="26" t="n"/>
      <c r="C2142" s="27" t="n"/>
      <c r="D2142" s="30" t="n"/>
      <c r="E2142" s="30" t="n"/>
      <c r="F2142" s="28" t="n"/>
      <c r="G2142" s="1" t="n"/>
    </row>
    <row r="2143">
      <c r="A2143" s="1" t="n"/>
      <c r="B2143" s="26" t="n"/>
      <c r="C2143" s="27" t="n"/>
      <c r="D2143" s="30" t="n"/>
      <c r="E2143" s="30" t="n"/>
      <c r="F2143" s="28" t="n"/>
      <c r="G2143" s="1" t="n"/>
    </row>
    <row r="2144">
      <c r="A2144" s="1" t="n"/>
      <c r="B2144" s="26" t="n"/>
      <c r="C2144" s="27" t="n"/>
      <c r="D2144" s="30" t="n"/>
      <c r="E2144" s="30" t="n"/>
      <c r="F2144" s="28" t="n"/>
      <c r="G2144" s="1" t="n"/>
    </row>
    <row r="2145">
      <c r="A2145" s="1" t="n"/>
      <c r="B2145" s="26" t="n"/>
      <c r="C2145" s="27" t="n"/>
      <c r="D2145" s="30" t="n"/>
      <c r="E2145" s="30" t="n"/>
      <c r="F2145" s="28" t="n"/>
      <c r="G2145" s="1" t="n"/>
    </row>
    <row r="2146">
      <c r="A2146" s="1" t="n"/>
      <c r="B2146" s="26" t="n"/>
      <c r="C2146" s="27" t="n"/>
      <c r="D2146" s="30" t="n"/>
      <c r="E2146" s="30" t="n"/>
      <c r="F2146" s="28" t="n"/>
      <c r="G2146" s="1" t="n"/>
    </row>
    <row r="2147">
      <c r="A2147" s="1" t="n"/>
      <c r="B2147" s="26" t="n"/>
      <c r="C2147" s="27" t="n"/>
      <c r="D2147" s="30" t="n"/>
      <c r="E2147" s="30" t="n"/>
      <c r="F2147" s="28" t="n"/>
      <c r="G2147" s="1" t="n"/>
    </row>
    <row r="2148">
      <c r="A2148" s="1" t="n"/>
      <c r="B2148" s="26" t="n"/>
      <c r="C2148" s="27" t="n"/>
      <c r="D2148" s="30" t="n"/>
      <c r="E2148" s="30" t="n"/>
      <c r="F2148" s="28" t="n"/>
      <c r="G2148" s="1" t="n"/>
    </row>
    <row r="2149">
      <c r="A2149" s="1" t="n"/>
      <c r="B2149" s="26" t="n"/>
      <c r="C2149" s="27" t="n"/>
      <c r="D2149" s="30" t="n"/>
      <c r="E2149" s="30" t="n"/>
      <c r="F2149" s="28" t="n"/>
      <c r="G2149" s="1" t="n"/>
    </row>
    <row r="2150">
      <c r="A2150" s="1" t="n"/>
      <c r="B2150" s="26" t="n"/>
      <c r="C2150" s="27" t="n"/>
      <c r="D2150" s="30" t="n"/>
      <c r="E2150" s="30" t="n"/>
      <c r="F2150" s="28" t="n"/>
      <c r="G2150" s="1" t="n"/>
    </row>
    <row r="2151">
      <c r="A2151" s="1" t="n"/>
      <c r="B2151" s="26" t="n"/>
      <c r="C2151" s="27" t="n"/>
      <c r="D2151" s="30" t="n"/>
      <c r="E2151" s="30" t="n"/>
      <c r="F2151" s="28" t="n"/>
      <c r="G2151" s="1" t="n"/>
    </row>
    <row r="2152">
      <c r="A2152" s="1" t="n"/>
      <c r="B2152" s="26" t="n"/>
      <c r="C2152" s="27" t="n"/>
      <c r="D2152" s="30" t="n"/>
      <c r="E2152" s="30" t="n"/>
      <c r="F2152" s="28" t="n"/>
      <c r="G2152" s="1" t="n"/>
    </row>
    <row r="2153">
      <c r="A2153" s="1" t="n"/>
      <c r="B2153" s="26" t="n"/>
      <c r="C2153" s="27" t="n"/>
      <c r="D2153" s="30" t="n"/>
      <c r="E2153" s="30" t="n"/>
      <c r="F2153" s="28" t="n"/>
      <c r="G2153" s="1" t="n"/>
    </row>
    <row r="2154">
      <c r="A2154" s="1" t="n"/>
      <c r="B2154" s="26" t="n"/>
      <c r="C2154" s="27" t="n"/>
      <c r="D2154" s="30" t="n"/>
      <c r="E2154" s="30" t="n"/>
      <c r="F2154" s="28" t="n"/>
      <c r="G2154" s="1" t="n"/>
    </row>
    <row r="2155">
      <c r="A2155" s="1" t="n"/>
      <c r="B2155" s="26" t="n"/>
      <c r="C2155" s="27" t="n"/>
      <c r="D2155" s="30" t="n"/>
      <c r="E2155" s="30" t="n"/>
      <c r="F2155" s="28" t="n"/>
      <c r="G2155" s="1" t="n"/>
    </row>
    <row r="2156">
      <c r="A2156" s="1" t="n"/>
      <c r="B2156" s="26" t="n"/>
      <c r="C2156" s="27" t="n"/>
      <c r="D2156" s="30" t="n"/>
      <c r="E2156" s="30" t="n"/>
      <c r="F2156" s="28" t="n"/>
      <c r="G2156" s="1" t="n"/>
    </row>
    <row r="2157">
      <c r="A2157" s="1" t="n"/>
      <c r="B2157" s="26" t="n"/>
      <c r="C2157" s="27" t="n"/>
      <c r="D2157" s="30" t="n"/>
      <c r="E2157" s="30" t="n"/>
      <c r="F2157" s="28" t="n"/>
      <c r="G2157" s="1" t="n"/>
    </row>
    <row r="2158">
      <c r="A2158" s="1" t="n"/>
      <c r="B2158" s="26" t="n"/>
      <c r="C2158" s="27" t="n"/>
      <c r="D2158" s="30" t="n"/>
      <c r="E2158" s="30" t="n"/>
      <c r="F2158" s="28" t="n"/>
      <c r="G2158" s="1" t="n"/>
    </row>
    <row r="2159">
      <c r="A2159" s="1" t="n"/>
      <c r="B2159" s="26" t="n"/>
      <c r="C2159" s="27" t="n"/>
      <c r="D2159" s="30" t="n"/>
      <c r="E2159" s="30" t="n"/>
      <c r="F2159" s="28" t="n"/>
      <c r="G2159" s="1" t="n"/>
    </row>
    <row r="2160">
      <c r="A2160" s="1" t="n"/>
      <c r="B2160" s="26" t="n"/>
      <c r="C2160" s="27" t="n"/>
      <c r="D2160" s="30" t="n"/>
      <c r="E2160" s="30" t="n"/>
      <c r="F2160" s="28" t="n"/>
      <c r="G2160" s="1" t="n"/>
    </row>
    <row r="2161">
      <c r="A2161" s="1" t="n"/>
      <c r="B2161" s="26" t="n"/>
      <c r="C2161" s="27" t="n"/>
      <c r="D2161" s="30" t="n"/>
      <c r="E2161" s="30" t="n"/>
      <c r="F2161" s="28" t="n"/>
      <c r="G2161" s="1" t="n"/>
    </row>
    <row r="2162">
      <c r="A2162" s="1" t="n"/>
      <c r="B2162" s="26" t="n"/>
      <c r="C2162" s="27" t="n"/>
      <c r="D2162" s="30" t="n"/>
      <c r="E2162" s="30" t="n"/>
      <c r="F2162" s="28" t="n"/>
      <c r="G2162" s="1" t="n"/>
    </row>
    <row r="2163">
      <c r="A2163" s="1" t="n"/>
      <c r="B2163" s="26" t="n"/>
      <c r="C2163" s="27" t="n"/>
      <c r="D2163" s="30" t="n"/>
      <c r="E2163" s="30" t="n"/>
      <c r="F2163" s="28" t="n"/>
      <c r="G2163" s="1" t="n"/>
    </row>
    <row r="2164">
      <c r="A2164" s="1" t="n"/>
      <c r="B2164" s="26" t="n"/>
      <c r="C2164" s="27" t="n"/>
      <c r="D2164" s="30" t="n"/>
      <c r="E2164" s="30" t="n"/>
      <c r="F2164" s="28" t="n"/>
      <c r="G2164" s="1" t="n"/>
    </row>
    <row r="2165">
      <c r="A2165" s="1" t="n"/>
      <c r="B2165" s="26" t="n"/>
      <c r="C2165" s="27" t="n"/>
      <c r="D2165" s="30" t="n"/>
      <c r="E2165" s="30" t="n"/>
      <c r="F2165" s="28" t="n"/>
      <c r="G2165" s="1" t="n"/>
    </row>
    <row r="2166">
      <c r="A2166" s="1" t="n"/>
      <c r="B2166" s="26" t="n"/>
      <c r="C2166" s="27" t="n"/>
      <c r="D2166" s="30" t="n"/>
      <c r="E2166" s="30" t="n"/>
      <c r="F2166" s="28" t="n"/>
      <c r="G2166" s="1" t="n"/>
    </row>
    <row r="2167">
      <c r="A2167" s="1" t="n"/>
      <c r="B2167" s="26" t="n"/>
      <c r="C2167" s="27" t="n"/>
      <c r="D2167" s="30" t="n"/>
      <c r="E2167" s="30" t="n"/>
      <c r="F2167" s="28" t="n"/>
      <c r="G2167" s="1" t="n"/>
    </row>
    <row r="2168">
      <c r="A2168" s="1" t="n"/>
      <c r="B2168" s="26" t="n"/>
      <c r="C2168" s="27" t="n"/>
      <c r="D2168" s="30" t="n"/>
      <c r="E2168" s="30" t="n"/>
      <c r="F2168" s="28" t="n"/>
      <c r="G2168" s="1" t="n"/>
    </row>
    <row r="2169">
      <c r="A2169" s="1" t="n"/>
      <c r="B2169" s="26" t="n"/>
      <c r="C2169" s="27" t="n"/>
      <c r="D2169" s="30" t="n"/>
      <c r="E2169" s="30" t="n"/>
      <c r="F2169" s="28" t="n"/>
      <c r="G2169" s="1" t="n"/>
    </row>
    <row r="2170">
      <c r="A2170" s="1" t="n"/>
      <c r="B2170" s="26" t="n"/>
      <c r="C2170" s="27" t="n"/>
      <c r="D2170" s="30" t="n"/>
      <c r="E2170" s="30" t="n"/>
      <c r="F2170" s="28" t="n"/>
      <c r="G2170" s="1" t="n"/>
    </row>
    <row r="2171">
      <c r="A2171" s="1" t="n"/>
      <c r="B2171" s="26" t="n"/>
      <c r="C2171" s="27" t="n"/>
      <c r="D2171" s="30" t="n"/>
      <c r="E2171" s="30" t="n"/>
      <c r="F2171" s="28" t="n"/>
      <c r="G2171" s="1" t="n"/>
    </row>
    <row r="2172">
      <c r="A2172" s="1" t="n"/>
      <c r="B2172" s="26" t="n"/>
      <c r="C2172" s="27" t="n"/>
      <c r="D2172" s="30" t="n"/>
      <c r="E2172" s="30" t="n"/>
      <c r="F2172" s="28" t="n"/>
      <c r="G2172" s="1" t="n"/>
    </row>
    <row r="2173">
      <c r="A2173" s="1" t="n"/>
      <c r="B2173" s="26" t="n"/>
      <c r="C2173" s="27" t="n"/>
      <c r="D2173" s="30" t="n"/>
      <c r="E2173" s="30" t="n"/>
      <c r="F2173" s="28" t="n"/>
      <c r="G2173" s="1" t="n"/>
    </row>
    <row r="2174">
      <c r="A2174" s="1" t="n"/>
      <c r="B2174" s="26" t="n"/>
      <c r="C2174" s="27" t="n"/>
      <c r="D2174" s="30" t="n"/>
      <c r="E2174" s="30" t="n"/>
      <c r="F2174" s="28" t="n"/>
      <c r="G2174" s="1" t="n"/>
    </row>
    <row r="2175">
      <c r="A2175" s="1" t="n"/>
      <c r="B2175" s="26" t="n"/>
      <c r="C2175" s="27" t="n"/>
      <c r="D2175" s="30" t="n"/>
      <c r="E2175" s="30" t="n"/>
      <c r="F2175" s="28" t="n"/>
      <c r="G2175" s="1" t="n"/>
    </row>
    <row r="2176">
      <c r="A2176" s="1" t="n"/>
      <c r="B2176" s="26" t="n"/>
      <c r="C2176" s="27" t="n"/>
      <c r="D2176" s="30" t="n"/>
      <c r="E2176" s="30" t="n"/>
      <c r="F2176" s="28" t="n"/>
      <c r="G2176" s="1" t="n"/>
    </row>
    <row r="2177">
      <c r="A2177" s="1" t="n"/>
      <c r="B2177" s="26" t="n"/>
      <c r="C2177" s="27" t="n"/>
      <c r="D2177" s="30" t="n"/>
      <c r="E2177" s="30" t="n"/>
      <c r="F2177" s="28" t="n"/>
      <c r="G2177" s="1" t="n"/>
    </row>
    <row r="2178">
      <c r="A2178" s="1" t="n"/>
      <c r="B2178" s="26" t="n"/>
      <c r="C2178" s="27" t="n"/>
      <c r="D2178" s="30" t="n"/>
      <c r="E2178" s="30" t="n"/>
      <c r="F2178" s="28" t="n"/>
      <c r="G2178" s="1" t="n"/>
    </row>
    <row r="2179">
      <c r="A2179" s="1" t="n"/>
      <c r="B2179" s="26" t="n"/>
      <c r="C2179" s="27" t="n"/>
      <c r="D2179" s="30" t="n"/>
      <c r="E2179" s="30" t="n"/>
      <c r="F2179" s="28" t="n"/>
      <c r="G2179" s="1" t="n"/>
    </row>
    <row r="2180">
      <c r="A2180" s="1" t="n"/>
      <c r="B2180" s="26" t="n"/>
      <c r="C2180" s="27" t="n"/>
      <c r="D2180" s="30" t="n"/>
      <c r="E2180" s="30" t="n"/>
      <c r="F2180" s="28" t="n"/>
      <c r="G2180" s="1" t="n"/>
    </row>
    <row r="2181">
      <c r="A2181" s="1" t="n"/>
      <c r="B2181" s="26" t="n"/>
      <c r="C2181" s="27" t="n"/>
      <c r="D2181" s="30" t="n"/>
      <c r="E2181" s="30" t="n"/>
      <c r="F2181" s="28" t="n"/>
      <c r="G2181" s="1" t="n"/>
    </row>
    <row r="2182">
      <c r="A2182" s="1" t="n"/>
      <c r="B2182" s="26" t="n"/>
      <c r="C2182" s="27" t="n"/>
      <c r="D2182" s="30" t="n"/>
      <c r="E2182" s="30" t="n"/>
      <c r="F2182" s="28" t="n"/>
      <c r="G2182" s="1" t="n"/>
    </row>
    <row r="2183">
      <c r="A2183" s="1" t="n"/>
      <c r="B2183" s="26" t="n"/>
      <c r="C2183" s="27" t="n"/>
      <c r="D2183" s="30" t="n"/>
      <c r="E2183" s="30" t="n"/>
      <c r="F2183" s="28" t="n"/>
      <c r="G2183" s="1" t="n"/>
    </row>
    <row r="2184">
      <c r="A2184" s="1" t="n"/>
      <c r="B2184" s="26" t="n"/>
      <c r="C2184" s="27" t="n"/>
      <c r="D2184" s="30" t="n"/>
      <c r="E2184" s="30" t="n"/>
      <c r="F2184" s="28" t="n"/>
      <c r="G2184" s="1" t="n"/>
    </row>
    <row r="2185">
      <c r="A2185" s="1" t="n"/>
      <c r="B2185" s="26" t="n"/>
      <c r="C2185" s="27" t="n"/>
      <c r="D2185" s="30" t="n"/>
      <c r="E2185" s="30" t="n"/>
      <c r="F2185" s="28" t="n"/>
      <c r="G2185" s="1" t="n"/>
    </row>
    <row r="2186">
      <c r="A2186" s="1" t="n"/>
      <c r="B2186" s="26" t="n"/>
      <c r="C2186" s="27" t="n"/>
      <c r="D2186" s="30" t="n"/>
      <c r="E2186" s="30" t="n"/>
      <c r="F2186" s="28" t="n"/>
      <c r="G2186" s="1" t="n"/>
    </row>
    <row r="2187">
      <c r="A2187" s="1" t="n"/>
      <c r="B2187" s="26" t="n"/>
      <c r="C2187" s="27" t="n"/>
      <c r="D2187" s="30" t="n"/>
      <c r="E2187" s="30" t="n"/>
      <c r="F2187" s="28" t="n"/>
      <c r="G2187" s="1" t="n"/>
    </row>
    <row r="2188">
      <c r="A2188" s="1" t="n"/>
      <c r="B2188" s="26" t="n"/>
      <c r="C2188" s="27" t="n"/>
      <c r="D2188" s="30" t="n"/>
      <c r="E2188" s="30" t="n"/>
      <c r="F2188" s="28" t="n"/>
      <c r="G2188" s="1" t="n"/>
    </row>
    <row r="2189">
      <c r="A2189" s="1" t="n"/>
      <c r="B2189" s="26" t="n"/>
      <c r="C2189" s="27" t="n"/>
      <c r="D2189" s="30" t="n"/>
      <c r="E2189" s="30" t="n"/>
      <c r="F2189" s="28" t="n"/>
      <c r="G2189" s="1" t="n"/>
    </row>
    <row r="2190">
      <c r="A2190" s="1" t="n"/>
      <c r="B2190" s="26" t="n"/>
      <c r="C2190" s="27" t="n"/>
      <c r="D2190" s="30" t="n"/>
      <c r="E2190" s="30" t="n"/>
      <c r="F2190" s="28" t="n"/>
      <c r="G2190" s="1" t="n"/>
    </row>
    <row r="2191">
      <c r="A2191" s="1" t="n"/>
      <c r="B2191" s="26" t="n"/>
      <c r="C2191" s="27" t="n"/>
      <c r="D2191" s="30" t="n"/>
      <c r="E2191" s="30" t="n"/>
      <c r="F2191" s="28" t="n"/>
      <c r="G2191" s="1" t="n"/>
    </row>
    <row r="2192">
      <c r="A2192" s="1" t="n"/>
      <c r="B2192" s="26" t="n"/>
      <c r="C2192" s="27" t="n"/>
      <c r="D2192" s="30" t="n"/>
      <c r="E2192" s="30" t="n"/>
      <c r="F2192" s="28" t="n"/>
      <c r="G2192" s="1" t="n"/>
    </row>
    <row r="2193">
      <c r="A2193" s="1" t="n"/>
      <c r="B2193" s="26" t="n"/>
      <c r="C2193" s="27" t="n"/>
      <c r="D2193" s="30" t="n"/>
      <c r="E2193" s="30" t="n"/>
      <c r="F2193" s="28" t="n"/>
      <c r="G2193" s="1" t="n"/>
    </row>
    <row r="2194">
      <c r="A2194" s="1" t="n"/>
      <c r="B2194" s="26" t="n"/>
      <c r="C2194" s="27" t="n"/>
      <c r="D2194" s="30" t="n"/>
      <c r="E2194" s="30" t="n"/>
      <c r="F2194" s="28" t="n"/>
      <c r="G2194" s="1" t="n"/>
    </row>
    <row r="2195">
      <c r="A2195" s="1" t="n"/>
      <c r="B2195" s="26" t="n"/>
      <c r="C2195" s="27" t="n"/>
      <c r="D2195" s="30" t="n"/>
      <c r="E2195" s="30" t="n"/>
      <c r="F2195" s="28" t="n"/>
      <c r="G2195" s="1" t="n"/>
    </row>
    <row r="2196">
      <c r="A2196" s="1" t="n"/>
      <c r="B2196" s="26" t="n"/>
      <c r="C2196" s="27" t="n"/>
      <c r="D2196" s="30" t="n"/>
      <c r="E2196" s="30" t="n"/>
      <c r="F2196" s="28" t="n"/>
      <c r="G2196" s="1" t="n"/>
    </row>
    <row r="2197">
      <c r="A2197" s="1" t="n"/>
      <c r="B2197" s="26" t="n"/>
      <c r="C2197" s="27" t="n"/>
      <c r="D2197" s="30" t="n"/>
      <c r="E2197" s="30" t="n"/>
      <c r="F2197" s="28" t="n"/>
      <c r="G2197" s="1" t="n"/>
    </row>
    <row r="2198">
      <c r="A2198" s="1" t="n"/>
      <c r="B2198" s="26" t="n"/>
      <c r="C2198" s="27" t="n"/>
      <c r="D2198" s="30" t="n"/>
      <c r="E2198" s="30" t="n"/>
      <c r="F2198" s="28" t="n"/>
      <c r="G2198" s="1" t="n"/>
    </row>
    <row r="2199">
      <c r="A2199" s="1" t="n"/>
      <c r="B2199" s="26" t="n"/>
      <c r="C2199" s="27" t="n"/>
      <c r="D2199" s="30" t="n"/>
      <c r="E2199" s="30" t="n"/>
      <c r="F2199" s="28" t="n"/>
      <c r="G2199" s="1" t="n"/>
    </row>
    <row r="2200">
      <c r="A2200" s="1" t="n"/>
      <c r="B2200" s="26" t="n"/>
      <c r="C2200" s="27" t="n"/>
      <c r="D2200" s="30" t="n"/>
      <c r="E2200" s="30" t="n"/>
      <c r="F2200" s="28" t="n"/>
      <c r="G2200" s="1" t="n"/>
    </row>
    <row r="2201">
      <c r="A2201" s="1" t="n"/>
      <c r="B2201" s="26" t="n"/>
      <c r="C2201" s="27" t="n"/>
      <c r="D2201" s="30" t="n"/>
      <c r="E2201" s="30" t="n"/>
      <c r="F2201" s="28" t="n"/>
      <c r="G2201" s="1" t="n"/>
    </row>
    <row r="2202">
      <c r="A2202" s="1" t="n"/>
      <c r="B2202" s="26" t="n"/>
      <c r="C2202" s="27" t="n"/>
      <c r="D2202" s="30" t="n"/>
      <c r="E2202" s="30" t="n"/>
      <c r="F2202" s="28" t="n"/>
      <c r="G2202" s="1" t="n"/>
    </row>
    <row r="2203">
      <c r="A2203" s="1" t="n"/>
      <c r="B2203" s="26" t="n"/>
      <c r="C2203" s="27" t="n"/>
      <c r="D2203" s="30" t="n"/>
      <c r="E2203" s="30" t="n"/>
      <c r="F2203" s="28" t="n"/>
      <c r="G2203" s="1" t="n"/>
    </row>
    <row r="2204">
      <c r="A2204" s="1" t="n"/>
      <c r="B2204" s="26" t="n"/>
      <c r="C2204" s="27" t="n"/>
      <c r="D2204" s="30" t="n"/>
      <c r="E2204" s="30" t="n"/>
      <c r="F2204" s="28" t="n"/>
      <c r="G2204" s="1" t="n"/>
    </row>
    <row r="2205">
      <c r="A2205" s="1" t="n"/>
      <c r="B2205" s="26" t="n"/>
      <c r="C2205" s="27" t="n"/>
      <c r="D2205" s="30" t="n"/>
      <c r="E2205" s="30" t="n"/>
      <c r="F2205" s="28" t="n"/>
      <c r="G2205" s="1" t="n"/>
    </row>
    <row r="2206">
      <c r="A2206" s="1" t="n"/>
      <c r="B2206" s="26" t="n"/>
      <c r="C2206" s="27" t="n"/>
      <c r="D2206" s="30" t="n"/>
      <c r="E2206" s="30" t="n"/>
      <c r="F2206" s="28" t="n"/>
      <c r="G2206" s="1" t="n"/>
    </row>
    <row r="2207">
      <c r="A2207" s="1" t="n"/>
      <c r="B2207" s="26" t="n"/>
      <c r="C2207" s="27" t="n"/>
      <c r="D2207" s="30" t="n"/>
      <c r="E2207" s="30" t="n"/>
      <c r="F2207" s="28" t="n"/>
      <c r="G2207" s="1" t="n"/>
    </row>
    <row r="2208">
      <c r="A2208" s="1" t="n"/>
      <c r="B2208" s="26" t="n"/>
      <c r="C2208" s="27" t="n"/>
      <c r="D2208" s="30" t="n"/>
      <c r="E2208" s="30" t="n"/>
      <c r="F2208" s="28" t="n"/>
      <c r="G2208" s="1" t="n"/>
    </row>
    <row r="2209">
      <c r="A2209" s="1" t="n"/>
      <c r="B2209" s="26" t="n"/>
      <c r="C2209" s="27" t="n"/>
      <c r="D2209" s="30" t="n"/>
      <c r="E2209" s="30" t="n"/>
      <c r="F2209" s="28" t="n"/>
      <c r="G2209" s="1" t="n"/>
    </row>
    <row r="2210">
      <c r="A2210" s="1" t="n"/>
      <c r="B2210" s="26" t="n"/>
      <c r="C2210" s="27" t="n"/>
      <c r="D2210" s="30" t="n"/>
      <c r="E2210" s="30" t="n"/>
      <c r="F2210" s="28" t="n"/>
      <c r="G2210" s="1" t="n"/>
    </row>
    <row r="2211">
      <c r="A2211" s="1" t="n"/>
      <c r="B2211" s="26" t="n"/>
      <c r="C2211" s="27" t="n"/>
      <c r="D2211" s="30" t="n"/>
      <c r="E2211" s="30" t="n"/>
      <c r="F2211" s="28" t="n"/>
      <c r="G2211" s="1" t="n"/>
    </row>
    <row r="2212">
      <c r="A2212" s="1" t="n"/>
      <c r="B2212" s="26" t="n"/>
      <c r="C2212" s="27" t="n"/>
      <c r="D2212" s="30" t="n"/>
      <c r="E2212" s="30" t="n"/>
      <c r="F2212" s="28" t="n"/>
      <c r="G2212" s="1" t="n"/>
    </row>
    <row r="2213">
      <c r="A2213" s="1" t="n"/>
      <c r="B2213" s="26" t="n"/>
      <c r="C2213" s="27" t="n"/>
      <c r="D2213" s="30" t="n"/>
      <c r="E2213" s="30" t="n"/>
      <c r="F2213" s="28" t="n"/>
      <c r="G2213" s="1" t="n"/>
    </row>
    <row r="2214">
      <c r="A2214" s="1" t="n"/>
      <c r="B2214" s="26" t="n"/>
      <c r="C2214" s="27" t="n"/>
      <c r="D2214" s="30" t="n"/>
      <c r="E2214" s="30" t="n"/>
      <c r="F2214" s="28" t="n"/>
      <c r="G2214" s="1" t="n"/>
    </row>
    <row r="2215">
      <c r="A2215" s="1" t="n"/>
      <c r="B2215" s="26" t="n"/>
      <c r="C2215" s="27" t="n"/>
      <c r="D2215" s="30" t="n"/>
      <c r="E2215" s="30" t="n"/>
      <c r="F2215" s="28" t="n"/>
      <c r="G2215" s="1" t="n"/>
    </row>
    <row r="2216">
      <c r="A2216" s="1" t="n"/>
      <c r="B2216" s="26" t="n"/>
      <c r="C2216" s="27" t="n"/>
      <c r="D2216" s="30" t="n"/>
      <c r="E2216" s="30" t="n"/>
      <c r="F2216" s="28" t="n"/>
      <c r="G2216" s="1" t="n"/>
    </row>
    <row r="2217">
      <c r="A2217" s="1" t="n"/>
      <c r="B2217" s="26" t="n"/>
      <c r="C2217" s="27" t="n"/>
      <c r="D2217" s="30" t="n"/>
      <c r="E2217" s="30" t="n"/>
      <c r="F2217" s="28" t="n"/>
      <c r="G2217" s="1" t="n"/>
    </row>
    <row r="2218">
      <c r="A2218" s="1" t="n"/>
      <c r="B2218" s="26" t="n"/>
      <c r="C2218" s="27" t="n"/>
      <c r="D2218" s="30" t="n"/>
      <c r="E2218" s="30" t="n"/>
      <c r="F2218" s="28" t="n"/>
      <c r="G2218" s="1" t="n"/>
    </row>
    <row r="2219">
      <c r="A2219" s="1" t="n"/>
      <c r="B2219" s="26" t="n"/>
      <c r="C2219" s="27" t="n"/>
      <c r="D2219" s="30" t="n"/>
      <c r="E2219" s="30" t="n"/>
      <c r="F2219" s="28" t="n"/>
      <c r="G2219" s="1" t="n"/>
    </row>
    <row r="2220">
      <c r="A2220" s="1" t="n"/>
      <c r="B2220" s="26" t="n"/>
      <c r="C2220" s="27" t="n"/>
      <c r="D2220" s="30" t="n"/>
      <c r="E2220" s="30" t="n"/>
      <c r="F2220" s="28" t="n"/>
      <c r="G2220" s="1" t="n"/>
    </row>
    <row r="2221">
      <c r="A2221" s="1" t="n"/>
      <c r="B2221" s="26" t="n"/>
      <c r="C2221" s="27" t="n"/>
      <c r="D2221" s="30" t="n"/>
      <c r="E2221" s="30" t="n"/>
      <c r="F2221" s="28" t="n"/>
      <c r="G2221" s="1" t="n"/>
    </row>
    <row r="2222">
      <c r="A2222" s="1" t="n"/>
      <c r="B2222" s="26" t="n"/>
      <c r="C2222" s="27" t="n"/>
      <c r="D2222" s="30" t="n"/>
      <c r="E2222" s="30" t="n"/>
      <c r="F2222" s="28" t="n"/>
      <c r="G2222" s="1" t="n"/>
    </row>
    <row r="2223">
      <c r="A2223" s="1" t="n"/>
      <c r="B2223" s="26" t="n"/>
      <c r="C2223" s="27" t="n"/>
      <c r="D2223" s="30" t="n"/>
      <c r="E2223" s="30" t="n"/>
      <c r="F2223" s="28" t="n"/>
      <c r="G2223" s="1" t="n"/>
    </row>
    <row r="2224">
      <c r="A2224" s="1" t="n"/>
      <c r="B2224" s="26" t="n"/>
      <c r="C2224" s="27" t="n"/>
      <c r="D2224" s="30" t="n"/>
      <c r="E2224" s="30" t="n"/>
      <c r="F2224" s="28" t="n"/>
      <c r="G2224" s="1" t="n"/>
    </row>
    <row r="2225">
      <c r="A2225" s="1" t="n"/>
      <c r="B2225" s="26" t="n"/>
      <c r="C2225" s="27" t="n"/>
      <c r="D2225" s="30" t="n"/>
      <c r="E2225" s="30" t="n"/>
      <c r="F2225" s="28" t="n"/>
      <c r="G2225" s="1" t="n"/>
    </row>
    <row r="2226">
      <c r="A2226" s="1" t="n"/>
      <c r="B2226" s="26" t="n"/>
      <c r="C2226" s="27" t="n"/>
      <c r="D2226" s="30" t="n"/>
      <c r="E2226" s="30" t="n"/>
      <c r="F2226" s="28" t="n"/>
      <c r="G2226" s="1" t="n"/>
    </row>
    <row r="2227">
      <c r="A2227" s="1" t="n"/>
      <c r="B2227" s="26" t="n"/>
      <c r="C2227" s="27" t="n"/>
      <c r="D2227" s="30" t="n"/>
      <c r="E2227" s="30" t="n"/>
      <c r="F2227" s="28" t="n"/>
      <c r="G2227" s="1" t="n"/>
    </row>
    <row r="2228">
      <c r="A2228" s="1" t="n"/>
      <c r="B2228" s="26" t="n"/>
      <c r="C2228" s="27" t="n"/>
      <c r="D2228" s="30" t="n"/>
      <c r="E2228" s="30" t="n"/>
      <c r="F2228" s="28" t="n"/>
      <c r="G2228" s="1" t="n"/>
    </row>
    <row r="2229">
      <c r="A2229" s="1" t="n"/>
      <c r="B2229" s="26" t="n"/>
      <c r="C2229" s="27" t="n"/>
      <c r="D2229" s="30" t="n"/>
      <c r="E2229" s="30" t="n"/>
      <c r="F2229" s="28" t="n"/>
      <c r="G2229" s="1" t="n"/>
    </row>
    <row r="2230">
      <c r="A2230" s="1" t="n"/>
      <c r="B2230" s="26" t="n"/>
      <c r="C2230" s="27" t="n"/>
      <c r="D2230" s="30" t="n"/>
      <c r="E2230" s="30" t="n"/>
      <c r="F2230" s="28" t="n"/>
      <c r="G2230" s="1" t="n"/>
    </row>
    <row r="2231">
      <c r="A2231" s="1" t="n"/>
      <c r="B2231" s="26" t="n"/>
      <c r="C2231" s="27" t="n"/>
      <c r="D2231" s="30" t="n"/>
      <c r="E2231" s="30" t="n"/>
      <c r="F2231" s="28" t="n"/>
      <c r="G2231" s="1" t="n"/>
    </row>
    <row r="2232">
      <c r="A2232" s="1" t="n"/>
      <c r="B2232" s="26" t="n"/>
      <c r="C2232" s="27" t="n"/>
      <c r="D2232" s="30" t="n"/>
      <c r="E2232" s="30" t="n"/>
      <c r="F2232" s="28" t="n"/>
      <c r="G2232" s="1" t="n"/>
    </row>
    <row r="2233">
      <c r="A2233" s="1" t="n"/>
      <c r="B2233" s="26" t="n"/>
      <c r="C2233" s="27" t="n"/>
      <c r="D2233" s="30" t="n"/>
      <c r="E2233" s="30" t="n"/>
      <c r="F2233" s="28" t="n"/>
      <c r="G2233" s="1" t="n"/>
    </row>
    <row r="2234">
      <c r="A2234" s="1" t="n"/>
      <c r="B2234" s="26" t="n"/>
      <c r="C2234" s="27" t="n"/>
      <c r="D2234" s="30" t="n"/>
      <c r="E2234" s="30" t="n"/>
      <c r="F2234" s="28" t="n"/>
      <c r="G2234" s="1" t="n"/>
    </row>
    <row r="2235">
      <c r="A2235" s="1" t="n"/>
      <c r="B2235" s="26" t="n"/>
      <c r="C2235" s="27" t="n"/>
      <c r="D2235" s="30" t="n"/>
      <c r="E2235" s="30" t="n"/>
      <c r="F2235" s="28" t="n"/>
      <c r="G2235" s="1" t="n"/>
    </row>
    <row r="2236">
      <c r="A2236" s="1" t="n"/>
      <c r="B2236" s="26" t="n"/>
      <c r="C2236" s="27" t="n"/>
      <c r="D2236" s="30" t="n"/>
      <c r="E2236" s="30" t="n"/>
      <c r="F2236" s="28" t="n"/>
      <c r="G2236" s="1" t="n"/>
    </row>
    <row r="2237">
      <c r="A2237" s="1" t="n"/>
      <c r="B2237" s="26" t="n"/>
      <c r="C2237" s="27" t="n"/>
      <c r="D2237" s="30" t="n"/>
      <c r="E2237" s="30" t="n"/>
      <c r="F2237" s="28" t="n"/>
      <c r="G2237" s="1" t="n"/>
    </row>
    <row r="2238">
      <c r="A2238" s="1" t="n"/>
      <c r="B2238" s="26" t="n"/>
      <c r="C2238" s="27" t="n"/>
      <c r="D2238" s="30" t="n"/>
      <c r="E2238" s="30" t="n"/>
      <c r="F2238" s="28" t="n"/>
      <c r="G2238" s="1" t="n"/>
    </row>
    <row r="2239">
      <c r="A2239" s="1" t="n"/>
      <c r="B2239" s="26" t="n"/>
      <c r="C2239" s="27" t="n"/>
      <c r="D2239" s="30" t="n"/>
      <c r="E2239" s="30" t="n"/>
      <c r="F2239" s="28" t="n"/>
      <c r="G2239" s="1" t="n"/>
    </row>
    <row r="2240">
      <c r="A2240" s="1" t="n"/>
      <c r="B2240" s="26" t="n"/>
      <c r="C2240" s="27" t="n"/>
      <c r="D2240" s="30" t="n"/>
      <c r="E2240" s="30" t="n"/>
      <c r="F2240" s="28" t="n"/>
      <c r="G2240" s="1" t="n"/>
    </row>
    <row r="2241">
      <c r="A2241" s="1" t="n"/>
      <c r="B2241" s="26" t="n"/>
      <c r="C2241" s="27" t="n"/>
      <c r="D2241" s="30" t="n"/>
      <c r="E2241" s="30" t="n"/>
      <c r="F2241" s="28" t="n"/>
      <c r="G2241" s="1" t="n"/>
    </row>
    <row r="2242">
      <c r="A2242" s="1" t="n"/>
      <c r="B2242" s="26" t="n"/>
      <c r="C2242" s="27" t="n"/>
      <c r="D2242" s="30" t="n"/>
      <c r="E2242" s="30" t="n"/>
      <c r="F2242" s="28" t="n"/>
      <c r="G2242" s="1" t="n"/>
    </row>
    <row r="2243">
      <c r="A2243" s="1" t="n"/>
      <c r="B2243" s="26" t="n"/>
      <c r="C2243" s="27" t="n"/>
      <c r="D2243" s="30" t="n"/>
      <c r="E2243" s="30" t="n"/>
      <c r="F2243" s="28" t="n"/>
      <c r="G2243" s="1" t="n"/>
    </row>
    <row r="2244">
      <c r="A2244" s="1" t="n"/>
      <c r="B2244" s="26" t="n"/>
      <c r="C2244" s="27" t="n"/>
      <c r="D2244" s="30" t="n"/>
      <c r="E2244" s="30" t="n"/>
      <c r="F2244" s="28" t="n"/>
      <c r="G2244" s="1" t="n"/>
    </row>
    <row r="2245">
      <c r="A2245" s="1" t="n"/>
      <c r="B2245" s="26" t="n"/>
      <c r="C2245" s="27" t="n"/>
      <c r="D2245" s="30" t="n"/>
      <c r="E2245" s="30" t="n"/>
      <c r="F2245" s="28" t="n"/>
      <c r="G2245" s="1" t="n"/>
    </row>
    <row r="2246">
      <c r="A2246" s="1" t="n"/>
      <c r="B2246" s="26" t="n"/>
      <c r="C2246" s="27" t="n"/>
      <c r="D2246" s="30" t="n"/>
      <c r="E2246" s="30" t="n"/>
      <c r="F2246" s="28" t="n"/>
      <c r="G2246" s="1" t="n"/>
    </row>
    <row r="2247">
      <c r="A2247" s="1" t="n"/>
      <c r="B2247" s="26" t="n"/>
      <c r="C2247" s="27" t="n"/>
      <c r="D2247" s="30" t="n"/>
      <c r="E2247" s="30" t="n"/>
      <c r="F2247" s="28" t="n"/>
      <c r="G2247" s="1" t="n"/>
    </row>
    <row r="2248">
      <c r="A2248" s="1" t="n"/>
      <c r="B2248" s="26" t="n"/>
      <c r="C2248" s="27" t="n"/>
      <c r="D2248" s="30" t="n"/>
      <c r="E2248" s="30" t="n"/>
      <c r="F2248" s="28" t="n"/>
      <c r="G2248" s="1" t="n"/>
    </row>
    <row r="2249">
      <c r="A2249" s="1" t="n"/>
      <c r="B2249" s="26" t="n"/>
      <c r="C2249" s="27" t="n"/>
      <c r="D2249" s="30" t="n"/>
      <c r="E2249" s="30" t="n"/>
      <c r="F2249" s="28" t="n"/>
      <c r="G2249" s="1" t="n"/>
    </row>
    <row r="2250">
      <c r="A2250" s="1" t="n"/>
      <c r="B2250" s="26" t="n"/>
      <c r="C2250" s="27" t="n"/>
      <c r="D2250" s="30" t="n"/>
      <c r="E2250" s="30" t="n"/>
      <c r="F2250" s="28" t="n"/>
      <c r="G2250" s="1" t="n"/>
    </row>
    <row r="2251">
      <c r="A2251" s="1" t="n"/>
      <c r="B2251" s="26" t="n"/>
      <c r="C2251" s="27" t="n"/>
      <c r="D2251" s="30" t="n"/>
      <c r="E2251" s="30" t="n"/>
      <c r="F2251" s="28" t="n"/>
      <c r="G2251" s="1" t="n"/>
    </row>
    <row r="2252">
      <c r="A2252" s="1" t="n"/>
      <c r="B2252" s="26" t="n"/>
      <c r="C2252" s="27" t="n"/>
      <c r="D2252" s="30" t="n"/>
      <c r="E2252" s="30" t="n"/>
      <c r="F2252" s="28" t="n"/>
      <c r="G2252" s="1" t="n"/>
    </row>
    <row r="2253">
      <c r="A2253" s="1" t="n"/>
      <c r="B2253" s="26" t="n"/>
      <c r="C2253" s="27" t="n"/>
      <c r="D2253" s="30" t="n"/>
      <c r="E2253" s="30" t="n"/>
      <c r="F2253" s="28" t="n"/>
      <c r="G2253" s="1" t="n"/>
    </row>
    <row r="2254">
      <c r="A2254" s="1" t="n"/>
      <c r="B2254" s="26" t="n"/>
      <c r="C2254" s="27" t="n"/>
      <c r="D2254" s="30" t="n"/>
      <c r="E2254" s="30" t="n"/>
      <c r="F2254" s="28" t="n"/>
      <c r="G2254" s="1" t="n"/>
    </row>
    <row r="2255">
      <c r="A2255" s="1" t="n"/>
      <c r="B2255" s="26" t="n"/>
      <c r="C2255" s="27" t="n"/>
      <c r="D2255" s="30" t="n"/>
      <c r="E2255" s="30" t="n"/>
      <c r="F2255" s="28" t="n"/>
      <c r="G2255" s="1" t="n"/>
    </row>
    <row r="2256">
      <c r="A2256" s="1" t="n"/>
      <c r="B2256" s="26" t="n"/>
      <c r="C2256" s="27" t="n"/>
      <c r="D2256" s="30" t="n"/>
      <c r="E2256" s="30" t="n"/>
      <c r="F2256" s="28" t="n"/>
      <c r="G2256" s="1" t="n"/>
    </row>
    <row r="2257">
      <c r="A2257" s="1" t="n"/>
      <c r="B2257" s="26" t="n"/>
      <c r="C2257" s="27" t="n"/>
      <c r="D2257" s="30" t="n"/>
      <c r="E2257" s="30" t="n"/>
      <c r="F2257" s="28" t="n"/>
      <c r="G2257" s="1" t="n"/>
    </row>
    <row r="2258">
      <c r="A2258" s="1" t="n"/>
      <c r="B2258" s="26" t="n"/>
      <c r="C2258" s="27" t="n"/>
      <c r="D2258" s="30" t="n"/>
      <c r="E2258" s="30" t="n"/>
      <c r="F2258" s="28" t="n"/>
      <c r="G2258" s="1" t="n"/>
    </row>
    <row r="2259">
      <c r="A2259" s="1" t="n"/>
      <c r="B2259" s="26" t="n"/>
      <c r="C2259" s="27" t="n"/>
      <c r="D2259" s="30" t="n"/>
      <c r="E2259" s="30" t="n"/>
      <c r="F2259" s="28" t="n"/>
      <c r="G2259" s="1" t="n"/>
    </row>
    <row r="2260">
      <c r="A2260" s="1" t="n"/>
      <c r="B2260" s="26" t="n"/>
      <c r="C2260" s="27" t="n"/>
      <c r="D2260" s="30" t="n"/>
      <c r="E2260" s="30" t="n"/>
      <c r="F2260" s="28" t="n"/>
      <c r="G2260" s="1" t="n"/>
    </row>
    <row r="2261">
      <c r="A2261" s="1" t="n"/>
      <c r="B2261" s="26" t="n"/>
      <c r="C2261" s="27" t="n"/>
      <c r="D2261" s="30" t="n"/>
      <c r="E2261" s="30" t="n"/>
      <c r="F2261" s="28" t="n"/>
      <c r="G2261" s="1" t="n"/>
    </row>
    <row r="2262">
      <c r="A2262" s="1" t="n"/>
      <c r="B2262" s="26" t="n"/>
      <c r="C2262" s="27" t="n"/>
      <c r="D2262" s="30" t="n"/>
      <c r="E2262" s="30" t="n"/>
      <c r="F2262" s="28" t="n"/>
      <c r="G2262" s="1" t="n"/>
    </row>
    <row r="2263">
      <c r="A2263" s="1" t="n"/>
      <c r="B2263" s="26" t="n"/>
      <c r="C2263" s="27" t="n"/>
      <c r="D2263" s="30" t="n"/>
      <c r="E2263" s="30" t="n"/>
      <c r="F2263" s="28" t="n"/>
      <c r="G2263" s="1" t="n"/>
    </row>
    <row r="2264">
      <c r="A2264" s="1" t="n"/>
      <c r="B2264" s="26" t="n"/>
      <c r="C2264" s="27" t="n"/>
      <c r="D2264" s="30" t="n"/>
      <c r="E2264" s="30" t="n"/>
      <c r="F2264" s="28" t="n"/>
      <c r="G2264" s="1" t="n"/>
    </row>
    <row r="2265">
      <c r="A2265" s="1" t="n"/>
      <c r="B2265" s="26" t="n"/>
      <c r="C2265" s="27" t="n"/>
      <c r="D2265" s="30" t="n"/>
      <c r="E2265" s="30" t="n"/>
      <c r="F2265" s="28" t="n"/>
      <c r="G2265" s="1" t="n"/>
    </row>
    <row r="2266">
      <c r="A2266" s="1" t="n"/>
      <c r="B2266" s="26" t="n"/>
      <c r="C2266" s="27" t="n"/>
      <c r="D2266" s="30" t="n"/>
      <c r="E2266" s="30" t="n"/>
      <c r="F2266" s="28" t="n"/>
      <c r="G2266" s="1" t="n"/>
    </row>
    <row r="2267">
      <c r="A2267" s="1" t="n"/>
      <c r="B2267" s="26" t="n"/>
      <c r="C2267" s="27" t="n"/>
      <c r="D2267" s="30" t="n"/>
      <c r="E2267" s="30" t="n"/>
      <c r="F2267" s="28" t="n"/>
      <c r="G2267" s="1" t="n"/>
    </row>
    <row r="2268">
      <c r="A2268" s="1" t="n"/>
      <c r="B2268" s="26" t="n"/>
      <c r="C2268" s="27" t="n"/>
      <c r="D2268" s="30" t="n"/>
      <c r="E2268" s="30" t="n"/>
      <c r="F2268" s="28" t="n"/>
      <c r="G2268" s="1" t="n"/>
    </row>
    <row r="2269">
      <c r="A2269" s="1" t="n"/>
      <c r="B2269" s="26" t="n"/>
      <c r="C2269" s="27" t="n"/>
      <c r="D2269" s="30" t="n"/>
      <c r="E2269" s="30" t="n"/>
      <c r="F2269" s="28" t="n"/>
      <c r="G2269" s="1" t="n"/>
    </row>
    <row r="2270">
      <c r="A2270" s="1" t="n"/>
      <c r="B2270" s="26" t="n"/>
      <c r="C2270" s="27" t="n"/>
      <c r="D2270" s="30" t="n"/>
      <c r="E2270" s="30" t="n"/>
      <c r="F2270" s="28" t="n"/>
      <c r="G2270" s="1" t="n"/>
    </row>
    <row r="2271">
      <c r="A2271" s="1" t="n"/>
      <c r="B2271" s="26" t="n"/>
      <c r="C2271" s="27" t="n"/>
      <c r="D2271" s="30" t="n"/>
      <c r="E2271" s="30" t="n"/>
      <c r="F2271" s="28" t="n"/>
      <c r="G2271" s="1" t="n"/>
    </row>
    <row r="2272">
      <c r="A2272" s="1" t="n"/>
      <c r="B2272" s="26" t="n"/>
      <c r="C2272" s="27" t="n"/>
      <c r="D2272" s="30" t="n"/>
      <c r="E2272" s="30" t="n"/>
      <c r="F2272" s="28" t="n"/>
      <c r="G2272" s="1" t="n"/>
    </row>
    <row r="2273">
      <c r="A2273" s="1" t="n"/>
      <c r="B2273" s="26" t="n"/>
      <c r="C2273" s="27" t="n"/>
      <c r="D2273" s="30" t="n"/>
      <c r="E2273" s="30" t="n"/>
      <c r="F2273" s="28" t="n"/>
      <c r="G2273" s="1" t="n"/>
    </row>
    <row r="2274">
      <c r="A2274" s="1" t="n"/>
      <c r="B2274" s="26" t="n"/>
      <c r="C2274" s="27" t="n"/>
      <c r="D2274" s="30" t="n"/>
      <c r="E2274" s="30" t="n"/>
      <c r="F2274" s="28" t="n"/>
      <c r="G2274" s="1" t="n"/>
    </row>
    <row r="2275">
      <c r="A2275" s="1" t="n"/>
      <c r="B2275" s="26" t="n"/>
      <c r="C2275" s="27" t="n"/>
      <c r="D2275" s="30" t="n"/>
      <c r="E2275" s="30" t="n"/>
      <c r="F2275" s="28" t="n"/>
      <c r="G2275" s="1" t="n"/>
    </row>
    <row r="2276">
      <c r="A2276" s="1" t="n"/>
      <c r="B2276" s="26" t="n"/>
      <c r="C2276" s="27" t="n"/>
      <c r="D2276" s="30" t="n"/>
      <c r="E2276" s="30" t="n"/>
      <c r="F2276" s="28" t="n"/>
      <c r="G2276" s="1" t="n"/>
    </row>
    <row r="2277">
      <c r="A2277" s="1" t="n"/>
      <c r="B2277" s="26" t="n"/>
      <c r="C2277" s="27" t="n"/>
      <c r="D2277" s="30" t="n"/>
      <c r="E2277" s="30" t="n"/>
      <c r="F2277" s="28" t="n"/>
      <c r="G2277" s="1" t="n"/>
    </row>
    <row r="2278">
      <c r="A2278" s="1" t="n"/>
      <c r="B2278" s="26" t="n"/>
      <c r="C2278" s="27" t="n"/>
      <c r="D2278" s="30" t="n"/>
      <c r="E2278" s="30" t="n"/>
      <c r="F2278" s="28" t="n"/>
      <c r="G2278" s="1" t="n"/>
    </row>
    <row r="2279">
      <c r="A2279" s="1" t="n"/>
      <c r="B2279" s="26" t="n"/>
      <c r="C2279" s="27" t="n"/>
      <c r="D2279" s="30" t="n"/>
      <c r="E2279" s="30" t="n"/>
      <c r="F2279" s="28" t="n"/>
      <c r="G2279" s="1" t="n"/>
    </row>
    <row r="2280">
      <c r="A2280" s="1" t="n"/>
      <c r="B2280" s="26" t="n"/>
      <c r="C2280" s="27" t="n"/>
      <c r="D2280" s="30" t="n"/>
      <c r="E2280" s="30" t="n"/>
      <c r="F2280" s="28" t="n"/>
      <c r="G2280" s="1" t="n"/>
    </row>
    <row r="2281">
      <c r="A2281" s="1" t="n"/>
      <c r="B2281" s="26" t="n"/>
      <c r="C2281" s="27" t="n"/>
      <c r="D2281" s="30" t="n"/>
      <c r="E2281" s="30" t="n"/>
      <c r="F2281" s="28" t="n"/>
      <c r="G2281" s="1" t="n"/>
    </row>
    <row r="2282">
      <c r="A2282" s="1" t="n"/>
      <c r="B2282" s="26" t="n"/>
      <c r="C2282" s="27" t="n"/>
      <c r="D2282" s="30" t="n"/>
      <c r="E2282" s="30" t="n"/>
      <c r="F2282" s="28" t="n"/>
      <c r="G2282" s="1" t="n"/>
    </row>
    <row r="2283">
      <c r="A2283" s="1" t="n"/>
      <c r="B2283" s="26" t="n"/>
      <c r="C2283" s="27" t="n"/>
      <c r="D2283" s="30" t="n"/>
      <c r="E2283" s="30" t="n"/>
      <c r="F2283" s="28" t="n"/>
      <c r="G2283" s="1" t="n"/>
    </row>
    <row r="2284">
      <c r="A2284" s="1" t="n"/>
      <c r="B2284" s="26" t="n"/>
      <c r="C2284" s="27" t="n"/>
      <c r="D2284" s="30" t="n"/>
      <c r="E2284" s="30" t="n"/>
      <c r="F2284" s="28" t="n"/>
      <c r="G2284" s="1" t="n"/>
    </row>
    <row r="2285">
      <c r="A2285" s="1" t="n"/>
      <c r="B2285" s="26" t="n"/>
      <c r="C2285" s="27" t="n"/>
      <c r="D2285" s="30" t="n"/>
      <c r="E2285" s="30" t="n"/>
      <c r="F2285" s="28" t="n"/>
      <c r="G2285" s="1" t="n"/>
    </row>
    <row r="2286">
      <c r="A2286" s="1" t="n"/>
      <c r="B2286" s="26" t="n"/>
      <c r="C2286" s="27" t="n"/>
      <c r="D2286" s="30" t="n"/>
      <c r="E2286" s="30" t="n"/>
      <c r="F2286" s="28" t="n"/>
      <c r="G2286" s="1" t="n"/>
    </row>
    <row r="2287">
      <c r="A2287" s="1" t="n"/>
      <c r="B2287" s="26" t="n"/>
      <c r="C2287" s="27" t="n"/>
      <c r="D2287" s="30" t="n"/>
      <c r="E2287" s="30" t="n"/>
      <c r="F2287" s="28" t="n"/>
      <c r="G2287" s="1" t="n"/>
    </row>
    <row r="2288">
      <c r="A2288" s="1" t="n"/>
      <c r="B2288" s="26" t="n"/>
      <c r="C2288" s="27" t="n"/>
      <c r="D2288" s="30" t="n"/>
      <c r="E2288" s="30" t="n"/>
      <c r="F2288" s="28" t="n"/>
      <c r="G2288" s="1" t="n"/>
    </row>
    <row r="2289">
      <c r="A2289" s="1" t="n"/>
      <c r="B2289" s="26" t="n"/>
      <c r="C2289" s="27" t="n"/>
      <c r="D2289" s="30" t="n"/>
      <c r="E2289" s="30" t="n"/>
      <c r="F2289" s="28" t="n"/>
      <c r="G2289" s="1" t="n"/>
    </row>
    <row r="2290">
      <c r="A2290" s="1" t="n"/>
      <c r="B2290" s="26" t="n"/>
      <c r="C2290" s="27" t="n"/>
      <c r="D2290" s="30" t="n"/>
      <c r="E2290" s="30" t="n"/>
      <c r="F2290" s="28" t="n"/>
      <c r="G2290" s="1" t="n"/>
    </row>
    <row r="2291">
      <c r="A2291" s="1" t="n"/>
      <c r="B2291" s="26" t="n"/>
      <c r="C2291" s="27" t="n"/>
      <c r="D2291" s="30" t="n"/>
      <c r="E2291" s="30" t="n"/>
      <c r="F2291" s="28" t="n"/>
      <c r="G2291" s="1" t="n"/>
    </row>
    <row r="2292">
      <c r="A2292" s="1" t="n"/>
      <c r="B2292" s="26" t="n"/>
      <c r="C2292" s="27" t="n"/>
      <c r="D2292" s="30" t="n"/>
      <c r="E2292" s="30" t="n"/>
      <c r="F2292" s="28" t="n"/>
      <c r="G2292" s="1" t="n"/>
    </row>
    <row r="2293">
      <c r="A2293" s="1" t="n"/>
      <c r="B2293" s="26" t="n"/>
      <c r="C2293" s="27" t="n"/>
      <c r="D2293" s="30" t="n"/>
      <c r="E2293" s="30" t="n"/>
      <c r="F2293" s="28" t="n"/>
      <c r="G2293" s="1" t="n"/>
    </row>
    <row r="2294">
      <c r="A2294" s="1" t="n"/>
      <c r="B2294" s="26" t="n"/>
      <c r="C2294" s="27" t="n"/>
      <c r="D2294" s="30" t="n"/>
      <c r="E2294" s="30" t="n"/>
      <c r="F2294" s="28" t="n"/>
      <c r="G2294" s="1" t="n"/>
    </row>
    <row r="2295">
      <c r="A2295" s="1" t="n"/>
      <c r="B2295" s="26" t="n"/>
      <c r="C2295" s="27" t="n"/>
      <c r="D2295" s="30" t="n"/>
      <c r="E2295" s="30" t="n"/>
      <c r="F2295" s="28" t="n"/>
      <c r="G2295" s="1" t="n"/>
    </row>
    <row r="2296">
      <c r="A2296" s="1" t="n"/>
      <c r="B2296" s="26" t="n"/>
      <c r="C2296" s="27" t="n"/>
      <c r="D2296" s="30" t="n"/>
      <c r="E2296" s="30" t="n"/>
      <c r="F2296" s="28" t="n"/>
      <c r="G2296" s="1" t="n"/>
    </row>
    <row r="2297">
      <c r="A2297" s="1" t="n"/>
      <c r="B2297" s="26" t="n"/>
      <c r="C2297" s="27" t="n"/>
      <c r="D2297" s="30" t="n"/>
      <c r="E2297" s="30" t="n"/>
      <c r="F2297" s="28" t="n"/>
      <c r="G2297" s="1" t="n"/>
    </row>
    <row r="2298">
      <c r="A2298" s="1" t="n"/>
      <c r="B2298" s="26" t="n"/>
      <c r="C2298" s="27" t="n"/>
      <c r="D2298" s="30" t="n"/>
      <c r="E2298" s="30" t="n"/>
      <c r="F2298" s="28" t="n"/>
      <c r="G2298" s="1" t="n"/>
    </row>
    <row r="2299">
      <c r="A2299" s="1" t="n"/>
      <c r="B2299" s="26" t="n"/>
      <c r="C2299" s="27" t="n"/>
      <c r="D2299" s="30" t="n"/>
      <c r="E2299" s="30" t="n"/>
      <c r="F2299" s="28" t="n"/>
      <c r="G2299" s="1" t="n"/>
    </row>
    <row r="2300">
      <c r="A2300" s="1" t="n"/>
      <c r="B2300" s="26" t="n"/>
      <c r="C2300" s="27" t="n"/>
      <c r="D2300" s="30" t="n"/>
      <c r="E2300" s="30" t="n"/>
      <c r="F2300" s="28" t="n"/>
      <c r="G2300" s="1" t="n"/>
    </row>
    <row r="2301">
      <c r="A2301" s="1" t="n"/>
      <c r="B2301" s="26" t="n"/>
      <c r="C2301" s="27" t="n"/>
      <c r="D2301" s="30" t="n"/>
      <c r="E2301" s="30" t="n"/>
      <c r="F2301" s="28" t="n"/>
      <c r="G2301" s="1" t="n"/>
    </row>
    <row r="2302">
      <c r="A2302" s="1" t="n"/>
      <c r="B2302" s="26" t="n"/>
      <c r="C2302" s="27" t="n"/>
      <c r="D2302" s="30" t="n"/>
      <c r="E2302" s="30" t="n"/>
      <c r="F2302" s="28" t="n"/>
      <c r="G2302" s="1" t="n"/>
    </row>
    <row r="2303">
      <c r="A2303" s="1" t="n"/>
      <c r="B2303" s="26" t="n"/>
      <c r="C2303" s="27" t="n"/>
      <c r="D2303" s="30" t="n"/>
      <c r="E2303" s="30" t="n"/>
      <c r="F2303" s="28" t="n"/>
      <c r="G2303" s="1" t="n"/>
    </row>
    <row r="2304">
      <c r="A2304" s="1" t="n"/>
      <c r="B2304" s="26" t="n"/>
      <c r="C2304" s="27" t="n"/>
      <c r="D2304" s="30" t="n"/>
      <c r="E2304" s="30" t="n"/>
      <c r="F2304" s="28" t="n"/>
      <c r="G2304" s="1" t="n"/>
    </row>
    <row r="2305">
      <c r="A2305" s="1" t="n"/>
      <c r="B2305" s="26" t="n"/>
      <c r="C2305" s="27" t="n"/>
      <c r="D2305" s="30" t="n"/>
      <c r="E2305" s="30" t="n"/>
      <c r="F2305" s="28" t="n"/>
      <c r="G2305" s="1" t="n"/>
    </row>
    <row r="2306">
      <c r="A2306" s="1" t="n"/>
      <c r="B2306" s="26" t="n"/>
      <c r="C2306" s="27" t="n"/>
      <c r="D2306" s="30" t="n"/>
      <c r="E2306" s="30" t="n"/>
      <c r="F2306" s="28" t="n"/>
      <c r="G2306" s="1" t="n"/>
    </row>
    <row r="2307">
      <c r="A2307" s="1" t="n"/>
      <c r="B2307" s="26" t="n"/>
      <c r="C2307" s="27" t="n"/>
      <c r="D2307" s="30" t="n"/>
      <c r="E2307" s="30" t="n"/>
      <c r="F2307" s="28" t="n"/>
      <c r="G2307" s="1" t="n"/>
    </row>
    <row r="2308">
      <c r="A2308" s="1" t="n"/>
      <c r="B2308" s="26" t="n"/>
      <c r="C2308" s="27" t="n"/>
      <c r="D2308" s="30" t="n"/>
      <c r="E2308" s="30" t="n"/>
      <c r="F2308" s="28" t="n"/>
      <c r="G2308" s="1" t="n"/>
    </row>
    <row r="2309">
      <c r="A2309" s="1" t="n"/>
      <c r="B2309" s="26" t="n"/>
      <c r="C2309" s="27" t="n"/>
      <c r="D2309" s="30" t="n"/>
      <c r="E2309" s="30" t="n"/>
      <c r="F2309" s="28" t="n"/>
      <c r="G2309" s="1" t="n"/>
    </row>
    <row r="2310">
      <c r="A2310" s="1" t="n"/>
      <c r="B2310" s="26" t="n"/>
      <c r="C2310" s="27" t="n"/>
      <c r="D2310" s="30" t="n"/>
      <c r="E2310" s="30" t="n"/>
      <c r="F2310" s="28" t="n"/>
      <c r="G2310" s="1" t="n"/>
    </row>
    <row r="2311">
      <c r="A2311" s="1" t="n"/>
      <c r="B2311" s="26" t="n"/>
      <c r="C2311" s="27" t="n"/>
      <c r="D2311" s="30" t="n"/>
      <c r="E2311" s="30" t="n"/>
      <c r="F2311" s="28" t="n"/>
      <c r="G2311" s="1" t="n"/>
    </row>
    <row r="2312">
      <c r="A2312" s="1" t="n"/>
      <c r="B2312" s="26" t="n"/>
      <c r="C2312" s="27" t="n"/>
      <c r="D2312" s="30" t="n"/>
      <c r="E2312" s="30" t="n"/>
      <c r="F2312" s="28" t="n"/>
      <c r="G2312" s="1" t="n"/>
    </row>
    <row r="2313">
      <c r="A2313" s="1" t="n"/>
      <c r="B2313" s="26" t="n"/>
      <c r="C2313" s="27" t="n"/>
      <c r="D2313" s="30" t="n"/>
      <c r="E2313" s="30" t="n"/>
      <c r="F2313" s="28" t="n"/>
      <c r="G2313" s="1" t="n"/>
    </row>
    <row r="2314">
      <c r="A2314" s="1" t="n"/>
      <c r="B2314" s="26" t="n"/>
      <c r="C2314" s="27" t="n"/>
      <c r="D2314" s="30" t="n"/>
      <c r="E2314" s="30" t="n"/>
      <c r="F2314" s="28" t="n"/>
      <c r="G2314" s="1" t="n"/>
    </row>
    <row r="2315">
      <c r="A2315" s="1" t="n"/>
      <c r="B2315" s="26" t="n"/>
      <c r="C2315" s="27" t="n"/>
      <c r="D2315" s="30" t="n"/>
      <c r="E2315" s="30" t="n"/>
      <c r="F2315" s="28" t="n"/>
      <c r="G2315" s="1" t="n"/>
    </row>
    <row r="2316">
      <c r="A2316" s="1" t="n"/>
      <c r="B2316" s="26" t="n"/>
      <c r="C2316" s="27" t="n"/>
      <c r="D2316" s="30" t="n"/>
      <c r="E2316" s="30" t="n"/>
      <c r="F2316" s="28" t="n"/>
      <c r="G2316" s="1" t="n"/>
    </row>
    <row r="2317">
      <c r="A2317" s="1" t="n"/>
      <c r="B2317" s="26" t="n"/>
      <c r="C2317" s="27" t="n"/>
      <c r="D2317" s="30" t="n"/>
      <c r="E2317" s="30" t="n"/>
      <c r="F2317" s="28" t="n"/>
      <c r="G2317" s="1" t="n"/>
    </row>
    <row r="2318">
      <c r="A2318" s="1" t="n"/>
      <c r="B2318" s="26" t="n"/>
      <c r="C2318" s="27" t="n"/>
      <c r="D2318" s="30" t="n"/>
      <c r="E2318" s="30" t="n"/>
      <c r="F2318" s="28" t="n"/>
      <c r="G2318" s="1" t="n"/>
    </row>
    <row r="2319">
      <c r="A2319" s="1" t="n"/>
      <c r="B2319" s="26" t="n"/>
      <c r="C2319" s="27" t="n"/>
      <c r="D2319" s="30" t="n"/>
      <c r="E2319" s="30" t="n"/>
      <c r="F2319" s="28" t="n"/>
      <c r="G2319" s="1" t="n"/>
    </row>
    <row r="2320">
      <c r="A2320" s="1" t="n"/>
      <c r="B2320" s="26" t="n"/>
      <c r="C2320" s="27" t="n"/>
      <c r="D2320" s="30" t="n"/>
      <c r="E2320" s="30" t="n"/>
      <c r="F2320" s="28" t="n"/>
      <c r="G2320" s="1" t="n"/>
    </row>
    <row r="2321">
      <c r="A2321" s="1" t="n"/>
      <c r="B2321" s="26" t="n"/>
      <c r="C2321" s="27" t="n"/>
      <c r="D2321" s="30" t="n"/>
      <c r="E2321" s="30" t="n"/>
      <c r="F2321" s="28" t="n"/>
      <c r="G2321" s="1" t="n"/>
    </row>
    <row r="2322">
      <c r="A2322" s="1" t="n"/>
      <c r="B2322" s="26" t="n"/>
      <c r="C2322" s="27" t="n"/>
      <c r="D2322" s="30" t="n"/>
      <c r="E2322" s="30" t="n"/>
      <c r="F2322" s="28" t="n"/>
      <c r="G2322" s="1" t="n"/>
    </row>
    <row r="2323">
      <c r="A2323" s="1" t="n"/>
      <c r="B2323" s="26" t="n"/>
      <c r="C2323" s="27" t="n"/>
      <c r="D2323" s="30" t="n"/>
      <c r="E2323" s="30" t="n"/>
      <c r="F2323" s="28" t="n"/>
      <c r="G2323" s="1" t="n"/>
    </row>
    <row r="2324">
      <c r="A2324" s="1" t="n"/>
      <c r="B2324" s="26" t="n"/>
      <c r="C2324" s="27" t="n"/>
      <c r="D2324" s="30" t="n"/>
      <c r="E2324" s="30" t="n"/>
      <c r="F2324" s="28" t="n"/>
      <c r="G2324" s="1" t="n"/>
    </row>
    <row r="2325">
      <c r="A2325" s="1" t="n"/>
      <c r="B2325" s="26" t="n"/>
      <c r="C2325" s="27" t="n"/>
      <c r="D2325" s="30" t="n"/>
      <c r="E2325" s="30" t="n"/>
      <c r="F2325" s="28" t="n"/>
      <c r="G2325" s="1" t="n"/>
    </row>
    <row r="2326">
      <c r="A2326" s="1" t="n"/>
      <c r="B2326" s="26" t="n"/>
      <c r="C2326" s="27" t="n"/>
      <c r="D2326" s="30" t="n"/>
      <c r="E2326" s="30" t="n"/>
      <c r="F2326" s="28" t="n"/>
      <c r="G2326" s="1" t="n"/>
    </row>
    <row r="2327">
      <c r="A2327" s="1" t="n"/>
      <c r="B2327" s="26" t="n"/>
      <c r="C2327" s="27" t="n"/>
      <c r="D2327" s="30" t="n"/>
      <c r="E2327" s="30" t="n"/>
      <c r="F2327" s="28" t="n"/>
      <c r="G2327" s="1" t="n"/>
    </row>
    <row r="2328">
      <c r="A2328" s="1" t="n"/>
      <c r="B2328" s="26" t="n"/>
      <c r="C2328" s="27" t="n"/>
      <c r="D2328" s="30" t="n"/>
      <c r="E2328" s="30" t="n"/>
      <c r="F2328" s="28" t="n"/>
      <c r="G2328" s="1" t="n"/>
    </row>
    <row r="2329">
      <c r="A2329" s="1" t="n"/>
      <c r="B2329" s="26" t="n"/>
      <c r="C2329" s="27" t="n"/>
      <c r="D2329" s="30" t="n"/>
      <c r="E2329" s="30" t="n"/>
      <c r="F2329" s="28" t="n"/>
      <c r="G2329" s="1" t="n"/>
    </row>
    <row r="2330">
      <c r="A2330" s="1" t="n"/>
      <c r="B2330" s="26" t="n"/>
      <c r="C2330" s="27" t="n"/>
      <c r="D2330" s="30" t="n"/>
      <c r="E2330" s="30" t="n"/>
      <c r="F2330" s="28" t="n"/>
      <c r="G2330" s="1" t="n"/>
    </row>
    <row r="2331">
      <c r="A2331" s="1" t="n"/>
      <c r="B2331" s="26" t="n"/>
      <c r="C2331" s="27" t="n"/>
      <c r="D2331" s="30" t="n"/>
      <c r="E2331" s="30" t="n"/>
      <c r="F2331" s="28" t="n"/>
      <c r="G2331" s="1" t="n"/>
    </row>
    <row r="2332">
      <c r="A2332" s="1" t="n"/>
      <c r="B2332" s="26" t="n"/>
      <c r="C2332" s="27" t="n"/>
      <c r="D2332" s="30" t="n"/>
      <c r="E2332" s="30" t="n"/>
      <c r="F2332" s="28" t="n"/>
      <c r="G2332" s="1" t="n"/>
    </row>
    <row r="2333">
      <c r="A2333" s="1" t="n"/>
      <c r="B2333" s="26" t="n"/>
      <c r="C2333" s="27" t="n"/>
      <c r="D2333" s="30" t="n"/>
      <c r="E2333" s="30" t="n"/>
      <c r="F2333" s="28" t="n"/>
      <c r="G2333" s="1" t="n"/>
    </row>
    <row r="2334">
      <c r="A2334" s="1" t="n"/>
      <c r="B2334" s="26" t="n"/>
      <c r="C2334" s="27" t="n"/>
      <c r="D2334" s="30" t="n"/>
      <c r="E2334" s="30" t="n"/>
      <c r="F2334" s="28" t="n"/>
      <c r="G2334" s="1" t="n"/>
    </row>
    <row r="2335">
      <c r="A2335" s="1" t="n"/>
      <c r="B2335" s="26" t="n"/>
      <c r="C2335" s="27" t="n"/>
      <c r="D2335" s="30" t="n"/>
      <c r="E2335" s="30" t="n"/>
      <c r="F2335" s="28" t="n"/>
      <c r="G2335" s="1" t="n"/>
    </row>
    <row r="2336">
      <c r="A2336" s="1" t="n"/>
      <c r="B2336" s="26" t="n"/>
      <c r="C2336" s="27" t="n"/>
      <c r="D2336" s="30" t="n"/>
      <c r="E2336" s="30" t="n"/>
      <c r="F2336" s="28" t="n"/>
      <c r="G2336" s="1" t="n"/>
    </row>
    <row r="2337">
      <c r="A2337" s="1" t="n"/>
      <c r="B2337" s="26" t="n"/>
      <c r="C2337" s="27" t="n"/>
      <c r="D2337" s="30" t="n"/>
      <c r="E2337" s="30" t="n"/>
      <c r="F2337" s="28" t="n"/>
      <c r="G2337" s="1" t="n"/>
    </row>
    <row r="2338">
      <c r="A2338" s="1" t="n"/>
      <c r="B2338" s="26" t="n"/>
      <c r="C2338" s="27" t="n"/>
      <c r="D2338" s="30" t="n"/>
      <c r="E2338" s="30" t="n"/>
      <c r="F2338" s="28" t="n"/>
      <c r="G2338" s="1" t="n"/>
    </row>
    <row r="2339">
      <c r="A2339" s="1" t="n"/>
      <c r="B2339" s="26" t="n"/>
      <c r="C2339" s="27" t="n"/>
      <c r="D2339" s="30" t="n"/>
      <c r="E2339" s="30" t="n"/>
      <c r="F2339" s="28" t="n"/>
      <c r="G2339" s="1" t="n"/>
    </row>
    <row r="2340">
      <c r="A2340" s="1" t="n"/>
      <c r="B2340" s="26" t="n"/>
      <c r="C2340" s="27" t="n"/>
      <c r="D2340" s="30" t="n"/>
      <c r="E2340" s="30" t="n"/>
      <c r="F2340" s="28" t="n"/>
      <c r="G2340" s="1" t="n"/>
    </row>
    <row r="2341">
      <c r="A2341" s="1" t="n"/>
      <c r="B2341" s="26" t="n"/>
      <c r="C2341" s="27" t="n"/>
      <c r="D2341" s="30" t="n"/>
      <c r="E2341" s="30" t="n"/>
      <c r="F2341" s="28" t="n"/>
      <c r="G2341" s="1" t="n"/>
    </row>
    <row r="2342">
      <c r="A2342" s="1" t="n"/>
      <c r="B2342" s="26" t="n"/>
      <c r="C2342" s="27" t="n"/>
      <c r="D2342" s="30" t="n"/>
      <c r="E2342" s="30" t="n"/>
      <c r="F2342" s="28" t="n"/>
      <c r="G2342" s="1" t="n"/>
    </row>
    <row r="2343">
      <c r="A2343" s="1" t="n"/>
      <c r="B2343" s="26" t="n"/>
      <c r="C2343" s="27" t="n"/>
      <c r="D2343" s="30" t="n"/>
      <c r="E2343" s="30" t="n"/>
      <c r="F2343" s="28" t="n"/>
      <c r="G2343" s="1" t="n"/>
    </row>
    <row r="2344">
      <c r="A2344" s="1" t="n"/>
      <c r="B2344" s="26" t="n"/>
      <c r="C2344" s="27" t="n"/>
      <c r="D2344" s="30" t="n"/>
      <c r="E2344" s="30" t="n"/>
      <c r="F2344" s="28" t="n"/>
      <c r="G2344" s="1" t="n"/>
    </row>
    <row r="2345">
      <c r="A2345" s="1" t="n"/>
      <c r="B2345" s="26" t="n"/>
      <c r="C2345" s="27" t="n"/>
      <c r="D2345" s="30" t="n"/>
      <c r="E2345" s="30" t="n"/>
      <c r="F2345" s="28" t="n"/>
      <c r="G2345" s="1" t="n"/>
    </row>
    <row r="2346">
      <c r="A2346" s="1" t="n"/>
      <c r="B2346" s="26" t="n"/>
      <c r="C2346" s="27" t="n"/>
      <c r="D2346" s="30" t="n"/>
      <c r="E2346" s="30" t="n"/>
      <c r="F2346" s="28" t="n"/>
      <c r="G2346" s="1" t="n"/>
    </row>
    <row r="2347">
      <c r="A2347" s="1" t="n"/>
      <c r="B2347" s="26" t="n"/>
      <c r="C2347" s="27" t="n"/>
      <c r="D2347" s="30" t="n"/>
      <c r="E2347" s="30" t="n"/>
      <c r="F2347" s="28" t="n"/>
      <c r="G2347" s="1" t="n"/>
    </row>
    <row r="2348">
      <c r="A2348" s="1" t="n"/>
      <c r="B2348" s="26" t="n"/>
      <c r="C2348" s="27" t="n"/>
      <c r="D2348" s="30" t="n"/>
      <c r="E2348" s="30" t="n"/>
      <c r="F2348" s="28" t="n"/>
      <c r="G2348" s="1" t="n"/>
    </row>
    <row r="2349">
      <c r="A2349" s="1" t="n"/>
      <c r="B2349" s="26" t="n"/>
      <c r="C2349" s="27" t="n"/>
      <c r="D2349" s="30" t="n"/>
      <c r="E2349" s="30" t="n"/>
      <c r="F2349" s="28" t="n"/>
      <c r="G2349" s="1" t="n"/>
    </row>
    <row r="2350">
      <c r="A2350" s="1" t="n"/>
      <c r="B2350" s="26" t="n"/>
      <c r="C2350" s="27" t="n"/>
      <c r="D2350" s="30" t="n"/>
      <c r="E2350" s="30" t="n"/>
      <c r="F2350" s="28" t="n"/>
      <c r="G2350" s="1" t="n"/>
    </row>
    <row r="2351">
      <c r="A2351" s="1" t="n"/>
      <c r="B2351" s="26" t="n"/>
      <c r="C2351" s="27" t="n"/>
      <c r="D2351" s="30" t="n"/>
      <c r="E2351" s="30" t="n"/>
      <c r="F2351" s="28" t="n"/>
      <c r="G2351" s="1" t="n"/>
    </row>
    <row r="2352">
      <c r="A2352" s="1" t="n"/>
      <c r="B2352" s="26" t="n"/>
      <c r="C2352" s="27" t="n"/>
      <c r="D2352" s="30" t="n"/>
      <c r="E2352" s="30" t="n"/>
      <c r="F2352" s="28" t="n"/>
      <c r="G2352" s="1" t="n"/>
    </row>
    <row r="2353">
      <c r="A2353" s="1" t="n"/>
      <c r="B2353" s="26" t="n"/>
      <c r="C2353" s="27" t="n"/>
      <c r="D2353" s="30" t="n"/>
      <c r="E2353" s="30" t="n"/>
      <c r="F2353" s="28" t="n"/>
      <c r="G2353" s="1" t="n"/>
    </row>
    <row r="2354">
      <c r="A2354" s="1" t="n"/>
      <c r="B2354" s="26" t="n"/>
      <c r="C2354" s="27" t="n"/>
      <c r="D2354" s="30" t="n"/>
      <c r="E2354" s="30" t="n"/>
      <c r="F2354" s="28" t="n"/>
      <c r="G2354" s="1" t="n"/>
    </row>
    <row r="2355">
      <c r="A2355" s="1" t="n"/>
      <c r="B2355" s="26" t="n"/>
      <c r="C2355" s="27" t="n"/>
      <c r="D2355" s="30" t="n"/>
      <c r="E2355" s="30" t="n"/>
      <c r="F2355" s="28" t="n"/>
      <c r="G2355" s="1" t="n"/>
    </row>
    <row r="2356">
      <c r="A2356" s="1" t="n"/>
      <c r="B2356" s="26" t="n"/>
      <c r="C2356" s="27" t="n"/>
      <c r="D2356" s="30" t="n"/>
      <c r="E2356" s="30" t="n"/>
      <c r="F2356" s="28" t="n"/>
      <c r="G2356" s="1" t="n"/>
    </row>
    <row r="2357">
      <c r="A2357" s="1" t="n"/>
      <c r="B2357" s="26" t="n"/>
      <c r="C2357" s="27" t="n"/>
      <c r="D2357" s="30" t="n"/>
      <c r="E2357" s="30" t="n"/>
      <c r="F2357" s="28" t="n"/>
      <c r="G2357" s="1" t="n"/>
    </row>
    <row r="2358">
      <c r="A2358" s="1" t="n"/>
      <c r="B2358" s="26" t="n"/>
      <c r="C2358" s="27" t="n"/>
      <c r="D2358" s="30" t="n"/>
      <c r="E2358" s="30" t="n"/>
      <c r="F2358" s="28" t="n"/>
      <c r="G2358" s="1" t="n"/>
    </row>
    <row r="2359">
      <c r="A2359" s="1" t="n"/>
      <c r="B2359" s="26" t="n"/>
      <c r="C2359" s="27" t="n"/>
      <c r="D2359" s="30" t="n"/>
      <c r="E2359" s="30" t="n"/>
      <c r="F2359" s="28" t="n"/>
      <c r="G2359" s="1" t="n"/>
    </row>
    <row r="2360">
      <c r="A2360" s="1" t="n"/>
      <c r="B2360" s="26" t="n"/>
      <c r="C2360" s="27" t="n"/>
      <c r="D2360" s="30" t="n"/>
      <c r="E2360" s="30" t="n"/>
      <c r="F2360" s="28" t="n"/>
      <c r="G2360" s="1" t="n"/>
    </row>
    <row r="2361">
      <c r="A2361" s="1" t="n"/>
      <c r="B2361" s="26" t="n"/>
      <c r="C2361" s="27" t="n"/>
      <c r="D2361" s="30" t="n"/>
      <c r="E2361" s="30" t="n"/>
      <c r="F2361" s="28" t="n"/>
      <c r="G2361" s="1" t="n"/>
    </row>
    <row r="2362">
      <c r="A2362" s="1" t="n"/>
      <c r="B2362" s="26" t="n"/>
      <c r="C2362" s="27" t="n"/>
      <c r="D2362" s="30" t="n"/>
      <c r="E2362" s="30" t="n"/>
      <c r="F2362" s="28" t="n"/>
      <c r="G2362" s="1" t="n"/>
    </row>
    <row r="2363">
      <c r="A2363" s="1" t="n"/>
      <c r="B2363" s="26" t="n"/>
      <c r="C2363" s="27" t="n"/>
      <c r="D2363" s="30" t="n"/>
      <c r="E2363" s="30" t="n"/>
      <c r="F2363" s="28" t="n"/>
      <c r="G2363" s="1" t="n"/>
    </row>
    <row r="2364">
      <c r="A2364" s="1" t="n"/>
      <c r="B2364" s="26" t="n"/>
      <c r="C2364" s="27" t="n"/>
      <c r="D2364" s="30" t="n"/>
      <c r="E2364" s="30" t="n"/>
      <c r="F2364" s="28" t="n"/>
      <c r="G2364" s="1" t="n"/>
    </row>
    <row r="2365">
      <c r="A2365" s="1" t="n"/>
      <c r="B2365" s="26" t="n"/>
      <c r="C2365" s="27" t="n"/>
      <c r="D2365" s="30" t="n"/>
      <c r="E2365" s="30" t="n"/>
      <c r="F2365" s="28" t="n"/>
      <c r="G2365" s="1" t="n"/>
    </row>
    <row r="2366">
      <c r="A2366" s="1" t="n"/>
      <c r="B2366" s="26" t="n"/>
      <c r="C2366" s="27" t="n"/>
      <c r="D2366" s="30" t="n"/>
      <c r="E2366" s="30" t="n"/>
      <c r="F2366" s="28" t="n"/>
      <c r="G2366" s="1" t="n"/>
    </row>
    <row r="2367">
      <c r="A2367" s="1" t="n"/>
      <c r="B2367" s="26" t="n"/>
      <c r="C2367" s="27" t="n"/>
      <c r="D2367" s="30" t="n"/>
      <c r="E2367" s="30" t="n"/>
      <c r="F2367" s="28" t="n"/>
      <c r="G2367" s="1" t="n"/>
    </row>
    <row r="2368">
      <c r="A2368" s="1" t="n"/>
      <c r="B2368" s="26" t="n"/>
      <c r="C2368" s="27" t="n"/>
      <c r="D2368" s="30" t="n"/>
      <c r="E2368" s="30" t="n"/>
      <c r="F2368" s="28" t="n"/>
      <c r="G2368" s="1" t="n"/>
    </row>
    <row r="2369">
      <c r="A2369" s="1" t="n"/>
      <c r="B2369" s="26" t="n"/>
      <c r="C2369" s="27" t="n"/>
      <c r="D2369" s="30" t="n"/>
      <c r="E2369" s="30" t="n"/>
      <c r="F2369" s="28" t="n"/>
      <c r="G2369" s="1" t="n"/>
    </row>
    <row r="2370">
      <c r="A2370" s="1" t="n"/>
      <c r="B2370" s="26" t="n"/>
      <c r="C2370" s="27" t="n"/>
      <c r="D2370" s="30" t="n"/>
      <c r="E2370" s="30" t="n"/>
      <c r="F2370" s="28" t="n"/>
      <c r="G2370" s="1" t="n"/>
    </row>
    <row r="2371">
      <c r="A2371" s="1" t="n"/>
      <c r="B2371" s="26" t="n"/>
      <c r="C2371" s="27" t="n"/>
      <c r="D2371" s="30" t="n"/>
      <c r="E2371" s="30" t="n"/>
      <c r="F2371" s="28" t="n"/>
      <c r="G2371" s="1" t="n"/>
    </row>
    <row r="2372">
      <c r="A2372" s="1" t="n"/>
      <c r="B2372" s="26" t="n"/>
      <c r="C2372" s="27" t="n"/>
      <c r="D2372" s="30" t="n"/>
      <c r="E2372" s="30" t="n"/>
      <c r="F2372" s="28" t="n"/>
      <c r="G2372" s="1" t="n"/>
    </row>
    <row r="2373">
      <c r="A2373" s="1" t="n"/>
      <c r="B2373" s="26" t="n"/>
      <c r="C2373" s="27" t="n"/>
      <c r="D2373" s="30" t="n"/>
      <c r="E2373" s="30" t="n"/>
      <c r="F2373" s="28" t="n"/>
      <c r="G2373" s="1" t="n"/>
    </row>
    <row r="2374">
      <c r="A2374" s="1" t="n"/>
      <c r="B2374" s="26" t="n"/>
      <c r="C2374" s="27" t="n"/>
      <c r="D2374" s="30" t="n"/>
      <c r="E2374" s="30" t="n"/>
      <c r="F2374" s="28" t="n"/>
      <c r="G2374" s="1" t="n"/>
    </row>
    <row r="2375">
      <c r="A2375" s="1" t="n"/>
      <c r="B2375" s="26" t="n"/>
      <c r="C2375" s="27" t="n"/>
      <c r="D2375" s="30" t="n"/>
      <c r="E2375" s="30" t="n"/>
      <c r="F2375" s="28" t="n"/>
      <c r="G2375" s="1" t="n"/>
    </row>
    <row r="2376">
      <c r="A2376" s="1" t="n"/>
      <c r="B2376" s="26" t="n"/>
      <c r="C2376" s="27" t="n"/>
      <c r="D2376" s="30" t="n"/>
      <c r="E2376" s="30" t="n"/>
      <c r="F2376" s="28" t="n"/>
      <c r="G2376" s="1" t="n"/>
    </row>
    <row r="2377">
      <c r="A2377" s="1" t="n"/>
      <c r="B2377" s="26" t="n"/>
      <c r="C2377" s="27" t="n"/>
      <c r="D2377" s="30" t="n"/>
      <c r="E2377" s="30" t="n"/>
      <c r="F2377" s="28" t="n"/>
      <c r="G2377" s="1" t="n"/>
    </row>
    <row r="2378">
      <c r="A2378" s="1" t="n"/>
      <c r="B2378" s="26" t="n"/>
      <c r="C2378" s="27" t="n"/>
      <c r="D2378" s="30" t="n"/>
      <c r="E2378" s="30" t="n"/>
      <c r="F2378" s="28" t="n"/>
      <c r="G2378" s="1" t="n"/>
    </row>
    <row r="2379">
      <c r="A2379" s="1" t="n"/>
      <c r="B2379" s="26" t="n"/>
      <c r="C2379" s="27" t="n"/>
      <c r="D2379" s="30" t="n"/>
      <c r="E2379" s="30" t="n"/>
      <c r="F2379" s="28" t="n"/>
      <c r="G2379" s="1" t="n"/>
    </row>
    <row r="2380">
      <c r="A2380" s="1" t="n"/>
      <c r="B2380" s="26" t="n"/>
      <c r="C2380" s="27" t="n"/>
      <c r="D2380" s="30" t="n"/>
      <c r="E2380" s="30" t="n"/>
      <c r="F2380" s="28" t="n"/>
      <c r="G2380" s="1" t="n"/>
    </row>
    <row r="2381">
      <c r="A2381" s="1" t="n"/>
      <c r="B2381" s="26" t="n"/>
      <c r="C2381" s="27" t="n"/>
      <c r="D2381" s="30" t="n"/>
      <c r="E2381" s="30" t="n"/>
      <c r="F2381" s="28" t="n"/>
      <c r="G2381" s="1" t="n"/>
    </row>
    <row r="2382">
      <c r="A2382" s="1" t="n"/>
      <c r="B2382" s="26" t="n"/>
      <c r="C2382" s="27" t="n"/>
      <c r="D2382" s="30" t="n"/>
      <c r="E2382" s="30" t="n"/>
      <c r="F2382" s="28" t="n"/>
      <c r="G2382" s="1" t="n"/>
    </row>
    <row r="2383">
      <c r="A2383" s="1" t="n"/>
      <c r="B2383" s="26" t="n"/>
      <c r="C2383" s="27" t="n"/>
      <c r="D2383" s="30" t="n"/>
      <c r="E2383" s="30" t="n"/>
      <c r="F2383" s="28" t="n"/>
      <c r="G2383" s="1" t="n"/>
    </row>
    <row r="2384">
      <c r="A2384" s="1" t="n"/>
      <c r="B2384" s="26" t="n"/>
      <c r="C2384" s="27" t="n"/>
      <c r="D2384" s="30" t="n"/>
      <c r="E2384" s="30" t="n"/>
      <c r="F2384" s="28" t="n"/>
      <c r="G2384" s="1" t="n"/>
    </row>
    <row r="2385">
      <c r="A2385" s="1" t="n"/>
      <c r="B2385" s="26" t="n"/>
      <c r="C2385" s="27" t="n"/>
      <c r="D2385" s="30" t="n"/>
      <c r="E2385" s="30" t="n"/>
      <c r="F2385" s="28" t="n"/>
      <c r="G2385" s="1" t="n"/>
    </row>
    <row r="2386">
      <c r="A2386" s="1" t="n"/>
      <c r="B2386" s="26" t="n"/>
      <c r="C2386" s="27" t="n"/>
      <c r="D2386" s="30" t="n"/>
      <c r="E2386" s="30" t="n"/>
      <c r="F2386" s="28" t="n"/>
      <c r="G2386" s="1" t="n"/>
    </row>
    <row r="2387">
      <c r="A2387" s="1" t="n"/>
      <c r="B2387" s="26" t="n"/>
      <c r="C2387" s="27" t="n"/>
      <c r="D2387" s="30" t="n"/>
      <c r="E2387" s="30" t="n"/>
      <c r="F2387" s="28" t="n"/>
      <c r="G2387" s="1" t="n"/>
    </row>
    <row r="2388">
      <c r="A2388" s="1" t="n"/>
      <c r="B2388" s="26" t="n"/>
      <c r="C2388" s="27" t="n"/>
      <c r="D2388" s="30" t="n"/>
      <c r="E2388" s="30" t="n"/>
      <c r="F2388" s="28" t="n"/>
      <c r="G2388" s="1" t="n"/>
    </row>
    <row r="2389">
      <c r="A2389" s="1" t="n"/>
      <c r="B2389" s="26" t="n"/>
      <c r="C2389" s="27" t="n"/>
      <c r="D2389" s="30" t="n"/>
      <c r="E2389" s="30" t="n"/>
      <c r="F2389" s="28" t="n"/>
      <c r="G2389" s="1" t="n"/>
    </row>
    <row r="2390">
      <c r="A2390" s="1" t="n"/>
      <c r="B2390" s="26" t="n"/>
      <c r="C2390" s="27" t="n"/>
      <c r="D2390" s="30" t="n"/>
      <c r="E2390" s="30" t="n"/>
      <c r="F2390" s="28" t="n"/>
      <c r="G2390" s="1" t="n"/>
    </row>
    <row r="2391">
      <c r="A2391" s="1" t="n"/>
      <c r="B2391" s="26" t="n"/>
      <c r="C2391" s="27" t="n"/>
      <c r="D2391" s="30" t="n"/>
      <c r="E2391" s="30" t="n"/>
      <c r="F2391" s="28" t="n"/>
      <c r="G2391" s="1" t="n"/>
    </row>
    <row r="2392">
      <c r="A2392" s="1" t="n"/>
      <c r="B2392" s="26" t="n"/>
      <c r="C2392" s="27" t="n"/>
      <c r="D2392" s="30" t="n"/>
      <c r="E2392" s="30" t="n"/>
      <c r="F2392" s="28" t="n"/>
      <c r="G2392" s="1" t="n"/>
    </row>
    <row r="2393">
      <c r="A2393" s="1" t="n"/>
      <c r="B2393" s="26" t="n"/>
      <c r="C2393" s="27" t="n"/>
      <c r="D2393" s="30" t="n"/>
      <c r="E2393" s="30" t="n"/>
      <c r="F2393" s="28" t="n"/>
      <c r="G2393" s="1" t="n"/>
    </row>
    <row r="2394">
      <c r="A2394" s="1" t="n"/>
      <c r="B2394" s="26" t="n"/>
      <c r="C2394" s="27" t="n"/>
      <c r="D2394" s="30" t="n"/>
      <c r="E2394" s="30" t="n"/>
      <c r="F2394" s="28" t="n"/>
      <c r="G2394" s="1" t="n"/>
    </row>
    <row r="2395">
      <c r="A2395" s="1" t="n"/>
      <c r="B2395" s="26" t="n"/>
      <c r="C2395" s="27" t="n"/>
      <c r="D2395" s="30" t="n"/>
      <c r="E2395" s="30" t="n"/>
      <c r="F2395" s="28" t="n"/>
      <c r="G2395" s="1" t="n"/>
    </row>
    <row r="2396">
      <c r="A2396" s="1" t="n"/>
      <c r="B2396" s="26" t="n"/>
      <c r="C2396" s="27" t="n"/>
      <c r="D2396" s="30" t="n"/>
      <c r="E2396" s="30" t="n"/>
      <c r="F2396" s="28" t="n"/>
      <c r="G2396" s="1" t="n"/>
    </row>
    <row r="2397">
      <c r="A2397" s="1" t="n"/>
      <c r="B2397" s="26" t="n"/>
      <c r="C2397" s="27" t="n"/>
      <c r="D2397" s="30" t="n"/>
      <c r="E2397" s="30" t="n"/>
      <c r="F2397" s="28" t="n"/>
      <c r="G2397" s="1" t="n"/>
    </row>
    <row r="2398">
      <c r="A2398" s="1" t="n"/>
      <c r="B2398" s="26" t="n"/>
      <c r="C2398" s="27" t="n"/>
      <c r="D2398" s="30" t="n"/>
      <c r="E2398" s="30" t="n"/>
      <c r="F2398" s="28" t="n"/>
      <c r="G2398" s="1" t="n"/>
    </row>
    <row r="2399">
      <c r="A2399" s="1" t="n"/>
      <c r="B2399" s="26" t="n"/>
      <c r="C2399" s="27" t="n"/>
      <c r="D2399" s="30" t="n"/>
      <c r="E2399" s="30" t="n"/>
      <c r="F2399" s="28" t="n"/>
      <c r="G2399" s="1" t="n"/>
    </row>
    <row r="2400">
      <c r="A2400" s="1" t="n"/>
      <c r="B2400" s="26" t="n"/>
      <c r="C2400" s="27" t="n"/>
      <c r="D2400" s="30" t="n"/>
      <c r="E2400" s="30" t="n"/>
      <c r="F2400" s="28" t="n"/>
      <c r="G2400" s="1" t="n"/>
    </row>
    <row r="2401">
      <c r="A2401" s="1" t="n"/>
      <c r="B2401" s="26" t="n"/>
      <c r="C2401" s="27" t="n"/>
      <c r="D2401" s="30" t="n"/>
      <c r="E2401" s="30" t="n"/>
      <c r="F2401" s="28" t="n"/>
      <c r="G2401" s="1" t="n"/>
    </row>
    <row r="2402">
      <c r="A2402" s="1" t="n"/>
      <c r="B2402" s="26" t="n"/>
      <c r="C2402" s="27" t="n"/>
      <c r="D2402" s="30" t="n"/>
      <c r="E2402" s="30" t="n"/>
      <c r="F2402" s="28" t="n"/>
      <c r="G2402" s="1" t="n"/>
    </row>
    <row r="2403">
      <c r="A2403" s="1" t="n"/>
      <c r="B2403" s="26" t="n"/>
      <c r="C2403" s="27" t="n"/>
      <c r="D2403" s="30" t="n"/>
      <c r="E2403" s="30" t="n"/>
      <c r="F2403" s="28" t="n"/>
      <c r="G2403" s="1" t="n"/>
    </row>
    <row r="2404">
      <c r="A2404" s="1" t="n"/>
      <c r="B2404" s="26" t="n"/>
      <c r="C2404" s="27" t="n"/>
      <c r="D2404" s="30" t="n"/>
      <c r="E2404" s="30" t="n"/>
      <c r="F2404" s="28" t="n"/>
      <c r="G2404" s="1" t="n"/>
    </row>
    <row r="2405">
      <c r="A2405" s="1" t="n"/>
      <c r="B2405" s="26" t="n"/>
      <c r="C2405" s="27" t="n"/>
      <c r="D2405" s="30" t="n"/>
      <c r="E2405" s="30" t="n"/>
      <c r="F2405" s="28" t="n"/>
      <c r="G2405" s="1" t="n"/>
    </row>
    <row r="2406">
      <c r="A2406" s="1" t="n"/>
      <c r="B2406" s="26" t="n"/>
      <c r="C2406" s="27" t="n"/>
      <c r="D2406" s="30" t="n"/>
      <c r="E2406" s="30" t="n"/>
      <c r="F2406" s="28" t="n"/>
      <c r="G2406" s="1" t="n"/>
    </row>
    <row r="2407">
      <c r="A2407" s="1" t="n"/>
      <c r="B2407" s="26" t="n"/>
      <c r="C2407" s="27" t="n"/>
      <c r="D2407" s="30" t="n"/>
      <c r="E2407" s="30" t="n"/>
      <c r="F2407" s="28" t="n"/>
      <c r="G2407" s="1" t="n"/>
    </row>
    <row r="2408">
      <c r="A2408" s="1" t="n"/>
      <c r="B2408" s="26" t="n"/>
      <c r="C2408" s="27" t="n"/>
      <c r="D2408" s="30" t="n"/>
      <c r="E2408" s="30" t="n"/>
      <c r="F2408" s="28" t="n"/>
      <c r="G2408" s="1" t="n"/>
    </row>
    <row r="2409">
      <c r="A2409" s="1" t="n"/>
      <c r="B2409" s="26" t="n"/>
      <c r="C2409" s="27" t="n"/>
      <c r="D2409" s="30" t="n"/>
      <c r="E2409" s="30" t="n"/>
      <c r="F2409" s="28" t="n"/>
      <c r="G2409" s="1" t="n"/>
    </row>
    <row r="2410">
      <c r="A2410" s="1" t="n"/>
      <c r="B2410" s="26" t="n"/>
      <c r="C2410" s="27" t="n"/>
      <c r="D2410" s="30" t="n"/>
      <c r="E2410" s="30" t="n"/>
      <c r="F2410" s="28" t="n"/>
      <c r="G2410" s="1" t="n"/>
    </row>
    <row r="2411">
      <c r="A2411" s="1" t="n"/>
      <c r="B2411" s="26" t="n"/>
      <c r="C2411" s="27" t="n"/>
      <c r="D2411" s="30" t="n"/>
      <c r="E2411" s="30" t="n"/>
      <c r="F2411" s="28" t="n"/>
      <c r="G2411" s="1" t="n"/>
    </row>
    <row r="2412">
      <c r="A2412" s="1" t="n"/>
      <c r="B2412" s="26" t="n"/>
      <c r="C2412" s="27" t="n"/>
      <c r="D2412" s="30" t="n"/>
      <c r="E2412" s="30" t="n"/>
      <c r="F2412" s="28" t="n"/>
      <c r="G2412" s="1" t="n"/>
    </row>
    <row r="2413">
      <c r="A2413" s="1" t="n"/>
      <c r="B2413" s="26" t="n"/>
      <c r="C2413" s="27" t="n"/>
      <c r="D2413" s="30" t="n"/>
      <c r="E2413" s="30" t="n"/>
      <c r="F2413" s="28" t="n"/>
      <c r="G2413" s="1" t="n"/>
    </row>
    <row r="2414">
      <c r="A2414" s="1" t="n"/>
      <c r="B2414" s="26" t="n"/>
      <c r="C2414" s="27" t="n"/>
      <c r="D2414" s="30" t="n"/>
      <c r="E2414" s="30" t="n"/>
      <c r="F2414" s="28" t="n"/>
      <c r="G2414" s="1" t="n"/>
    </row>
    <row r="2415">
      <c r="A2415" s="1" t="n"/>
      <c r="B2415" s="26" t="n"/>
      <c r="C2415" s="27" t="n"/>
      <c r="D2415" s="30" t="n"/>
      <c r="E2415" s="30" t="n"/>
      <c r="F2415" s="28" t="n"/>
      <c r="G2415" s="1" t="n"/>
    </row>
    <row r="2416">
      <c r="A2416" s="1" t="n"/>
      <c r="B2416" s="26" t="n"/>
      <c r="C2416" s="27" t="n"/>
      <c r="D2416" s="30" t="n"/>
      <c r="E2416" s="30" t="n"/>
      <c r="F2416" s="28" t="n"/>
      <c r="G2416" s="1" t="n"/>
    </row>
    <row r="2417">
      <c r="A2417" s="1" t="n"/>
      <c r="B2417" s="26" t="n"/>
      <c r="C2417" s="27" t="n"/>
      <c r="D2417" s="30" t="n"/>
      <c r="E2417" s="30" t="n"/>
      <c r="F2417" s="28" t="n"/>
      <c r="G2417" s="1" t="n"/>
    </row>
    <row r="2418">
      <c r="A2418" s="1" t="n"/>
      <c r="B2418" s="26" t="n"/>
      <c r="C2418" s="27" t="n"/>
      <c r="D2418" s="30" t="n"/>
      <c r="E2418" s="30" t="n"/>
      <c r="F2418" s="28" t="n"/>
      <c r="G2418" s="1" t="n"/>
    </row>
    <row r="2419">
      <c r="A2419" s="1" t="n"/>
      <c r="B2419" s="26" t="n"/>
      <c r="C2419" s="27" t="n"/>
      <c r="D2419" s="30" t="n"/>
      <c r="E2419" s="30" t="n"/>
      <c r="F2419" s="28" t="n"/>
      <c r="G2419" s="1" t="n"/>
    </row>
    <row r="2420">
      <c r="A2420" s="1" t="n"/>
      <c r="B2420" s="26" t="n"/>
      <c r="C2420" s="27" t="n"/>
      <c r="D2420" s="30" t="n"/>
      <c r="E2420" s="30" t="n"/>
      <c r="F2420" s="28" t="n"/>
      <c r="G2420" s="1" t="n"/>
    </row>
    <row r="2421">
      <c r="A2421" s="1" t="n"/>
      <c r="B2421" s="26" t="n"/>
      <c r="C2421" s="27" t="n"/>
      <c r="D2421" s="30" t="n"/>
      <c r="E2421" s="30" t="n"/>
      <c r="F2421" s="28" t="n"/>
      <c r="G2421" s="1" t="n"/>
    </row>
    <row r="2422">
      <c r="A2422" s="1" t="n"/>
      <c r="B2422" s="26" t="n"/>
      <c r="C2422" s="27" t="n"/>
      <c r="D2422" s="30" t="n"/>
      <c r="E2422" s="30" t="n"/>
      <c r="F2422" s="28" t="n"/>
      <c r="G2422" s="1" t="n"/>
    </row>
    <row r="2423">
      <c r="A2423" s="1" t="n"/>
      <c r="B2423" s="26" t="n"/>
      <c r="C2423" s="27" t="n"/>
      <c r="D2423" s="30" t="n"/>
      <c r="E2423" s="30" t="n"/>
      <c r="F2423" s="28" t="n"/>
      <c r="G2423" s="1" t="n"/>
    </row>
    <row r="2424">
      <c r="A2424" s="1" t="n"/>
      <c r="B2424" s="26" t="n"/>
      <c r="C2424" s="27" t="n"/>
      <c r="D2424" s="30" t="n"/>
      <c r="E2424" s="30" t="n"/>
      <c r="F2424" s="28" t="n"/>
      <c r="G2424" s="1" t="n"/>
    </row>
    <row r="2425">
      <c r="A2425" s="1" t="n"/>
      <c r="B2425" s="26" t="n"/>
      <c r="C2425" s="27" t="n"/>
      <c r="D2425" s="30" t="n"/>
      <c r="E2425" s="30" t="n"/>
      <c r="F2425" s="28" t="n"/>
      <c r="G2425" s="1" t="n"/>
    </row>
    <row r="2426">
      <c r="A2426" s="1" t="n"/>
      <c r="B2426" s="26" t="n"/>
      <c r="C2426" s="27" t="n"/>
      <c r="D2426" s="30" t="n"/>
      <c r="E2426" s="30" t="n"/>
      <c r="F2426" s="28" t="n"/>
      <c r="G2426" s="1" t="n"/>
    </row>
    <row r="2427">
      <c r="A2427" s="1" t="n"/>
      <c r="B2427" s="26" t="n"/>
      <c r="C2427" s="27" t="n"/>
      <c r="D2427" s="30" t="n"/>
      <c r="E2427" s="30" t="n"/>
      <c r="F2427" s="28" t="n"/>
      <c r="G2427" s="1" t="n"/>
    </row>
    <row r="2428">
      <c r="A2428" s="1" t="n"/>
      <c r="B2428" s="26" t="n"/>
      <c r="C2428" s="27" t="n"/>
      <c r="D2428" s="30" t="n"/>
      <c r="E2428" s="30" t="n"/>
      <c r="F2428" s="28" t="n"/>
      <c r="G2428" s="1" t="n"/>
    </row>
    <row r="2429">
      <c r="A2429" s="1" t="n"/>
      <c r="B2429" s="26" t="n"/>
      <c r="C2429" s="27" t="n"/>
      <c r="D2429" s="30" t="n"/>
      <c r="E2429" s="30" t="n"/>
      <c r="F2429" s="28" t="n"/>
      <c r="G2429" s="1" t="n"/>
    </row>
    <row r="2430">
      <c r="A2430" s="1" t="n"/>
      <c r="B2430" s="26" t="n"/>
      <c r="C2430" s="27" t="n"/>
      <c r="D2430" s="30" t="n"/>
      <c r="E2430" s="30" t="n"/>
      <c r="F2430" s="28" t="n"/>
      <c r="G2430" s="1" t="n"/>
    </row>
    <row r="2431">
      <c r="A2431" s="1" t="n"/>
      <c r="B2431" s="26" t="n"/>
      <c r="C2431" s="27" t="n"/>
      <c r="D2431" s="30" t="n"/>
      <c r="E2431" s="30" t="n"/>
      <c r="F2431" s="28" t="n"/>
      <c r="G2431" s="1" t="n"/>
    </row>
    <row r="2432">
      <c r="A2432" s="1" t="n"/>
      <c r="B2432" s="26" t="n"/>
      <c r="C2432" s="27" t="n"/>
      <c r="D2432" s="30" t="n"/>
      <c r="E2432" s="30" t="n"/>
      <c r="F2432" s="28" t="n"/>
      <c r="G2432" s="1" t="n"/>
    </row>
    <row r="2433">
      <c r="A2433" s="1" t="n"/>
      <c r="B2433" s="26" t="n"/>
      <c r="C2433" s="27" t="n"/>
      <c r="D2433" s="30" t="n"/>
      <c r="E2433" s="30" t="n"/>
      <c r="F2433" s="28" t="n"/>
      <c r="G2433" s="1" t="n"/>
    </row>
    <row r="2434">
      <c r="A2434" s="1" t="n"/>
      <c r="B2434" s="26" t="n"/>
      <c r="C2434" s="27" t="n"/>
      <c r="D2434" s="30" t="n"/>
      <c r="E2434" s="30" t="n"/>
      <c r="F2434" s="28" t="n"/>
      <c r="G2434" s="1" t="n"/>
    </row>
    <row r="2435">
      <c r="A2435" s="1" t="n"/>
      <c r="B2435" s="26" t="n"/>
      <c r="C2435" s="27" t="n"/>
      <c r="D2435" s="30" t="n"/>
      <c r="E2435" s="30" t="n"/>
      <c r="F2435" s="28" t="n"/>
      <c r="G2435" s="1" t="n"/>
    </row>
    <row r="2436">
      <c r="A2436" s="1" t="n"/>
      <c r="B2436" s="26" t="n"/>
      <c r="C2436" s="27" t="n"/>
      <c r="D2436" s="30" t="n"/>
      <c r="E2436" s="30" t="n"/>
      <c r="F2436" s="28" t="n"/>
      <c r="G2436" s="1" t="n"/>
    </row>
    <row r="2437">
      <c r="A2437" s="1" t="n"/>
      <c r="B2437" s="26" t="n"/>
      <c r="C2437" s="27" t="n"/>
      <c r="D2437" s="30" t="n"/>
      <c r="E2437" s="30" t="n"/>
      <c r="F2437" s="28" t="n"/>
      <c r="G2437" s="1" t="n"/>
    </row>
    <row r="2438">
      <c r="A2438" s="1" t="n"/>
      <c r="B2438" s="26" t="n"/>
      <c r="C2438" s="27" t="n"/>
      <c r="D2438" s="30" t="n"/>
      <c r="E2438" s="30" t="n"/>
      <c r="F2438" s="28" t="n"/>
      <c r="G2438" s="1" t="n"/>
    </row>
    <row r="2439">
      <c r="A2439" s="1" t="n"/>
      <c r="B2439" s="26" t="n"/>
      <c r="C2439" s="27" t="n"/>
      <c r="D2439" s="30" t="n"/>
      <c r="E2439" s="30" t="n"/>
      <c r="F2439" s="28" t="n"/>
      <c r="G2439" s="1" t="n"/>
    </row>
    <row r="2440">
      <c r="A2440" s="1" t="n"/>
      <c r="B2440" s="26" t="n"/>
      <c r="C2440" s="27" t="n"/>
      <c r="D2440" s="30" t="n"/>
      <c r="E2440" s="30" t="n"/>
      <c r="F2440" s="28" t="n"/>
      <c r="G2440" s="1" t="n"/>
    </row>
    <row r="2441">
      <c r="A2441" s="1" t="n"/>
      <c r="B2441" s="26" t="n"/>
      <c r="C2441" s="27" t="n"/>
      <c r="D2441" s="30" t="n"/>
      <c r="E2441" s="30" t="n"/>
      <c r="F2441" s="28" t="n"/>
      <c r="G2441" s="1" t="n"/>
    </row>
    <row r="2442">
      <c r="A2442" s="1" t="n"/>
      <c r="B2442" s="26" t="n"/>
      <c r="C2442" s="27" t="n"/>
      <c r="D2442" s="30" t="n"/>
      <c r="E2442" s="30" t="n"/>
      <c r="F2442" s="28" t="n"/>
      <c r="G2442" s="1" t="n"/>
    </row>
    <row r="2443">
      <c r="A2443" s="1" t="n"/>
      <c r="B2443" s="26" t="n"/>
      <c r="C2443" s="27" t="n"/>
      <c r="D2443" s="30" t="n"/>
      <c r="E2443" s="30" t="n"/>
      <c r="F2443" s="28" t="n"/>
      <c r="G2443" s="1" t="n"/>
    </row>
    <row r="2444">
      <c r="A2444" s="1" t="n"/>
      <c r="B2444" s="26" t="n"/>
      <c r="C2444" s="27" t="n"/>
      <c r="D2444" s="30" t="n"/>
      <c r="E2444" s="30" t="n"/>
      <c r="F2444" s="28" t="n"/>
      <c r="G2444" s="1" t="n"/>
    </row>
    <row r="2445">
      <c r="A2445" s="1" t="n"/>
      <c r="B2445" s="26" t="n"/>
      <c r="C2445" s="27" t="n"/>
      <c r="D2445" s="30" t="n"/>
      <c r="E2445" s="30" t="n"/>
      <c r="F2445" s="28" t="n"/>
      <c r="G2445" s="1" t="n"/>
    </row>
    <row r="2446">
      <c r="A2446" s="1" t="n"/>
      <c r="B2446" s="26" t="n"/>
      <c r="C2446" s="27" t="n"/>
      <c r="D2446" s="30" t="n"/>
      <c r="E2446" s="30" t="n"/>
      <c r="F2446" s="28" t="n"/>
      <c r="G2446" s="1" t="n"/>
    </row>
    <row r="2447">
      <c r="A2447" s="1" t="n"/>
      <c r="B2447" s="26" t="n"/>
      <c r="C2447" s="27" t="n"/>
      <c r="D2447" s="30" t="n"/>
      <c r="E2447" s="30" t="n"/>
      <c r="F2447" s="28" t="n"/>
      <c r="G2447" s="1" t="n"/>
    </row>
    <row r="2448">
      <c r="A2448" s="1" t="n"/>
      <c r="B2448" s="26" t="n"/>
      <c r="C2448" s="27" t="n"/>
      <c r="D2448" s="30" t="n"/>
      <c r="E2448" s="30" t="n"/>
      <c r="F2448" s="28" t="n"/>
      <c r="G2448" s="1" t="n"/>
    </row>
    <row r="2449">
      <c r="A2449" s="1" t="n"/>
      <c r="B2449" s="26" t="n"/>
      <c r="C2449" s="27" t="n"/>
      <c r="D2449" s="30" t="n"/>
      <c r="E2449" s="30" t="n"/>
      <c r="F2449" s="28" t="n"/>
      <c r="G2449" s="1" t="n"/>
    </row>
    <row r="2450">
      <c r="A2450" s="1" t="n"/>
      <c r="B2450" s="26" t="n"/>
      <c r="C2450" s="27" t="n"/>
      <c r="D2450" s="30" t="n"/>
      <c r="E2450" s="30" t="n"/>
      <c r="F2450" s="28" t="n"/>
      <c r="G2450" s="1" t="n"/>
    </row>
    <row r="2451">
      <c r="A2451" s="1" t="n"/>
      <c r="B2451" s="26" t="n"/>
      <c r="C2451" s="27" t="n"/>
      <c r="D2451" s="30" t="n"/>
      <c r="E2451" s="30" t="n"/>
      <c r="F2451" s="28" t="n"/>
      <c r="G2451" s="1" t="n"/>
    </row>
    <row r="2452">
      <c r="A2452" s="1" t="n"/>
      <c r="B2452" s="26" t="n"/>
      <c r="C2452" s="27" t="n"/>
      <c r="D2452" s="30" t="n"/>
      <c r="E2452" s="30" t="n"/>
      <c r="F2452" s="28" t="n"/>
      <c r="G2452" s="1" t="n"/>
    </row>
    <row r="2453">
      <c r="A2453" s="1" t="n"/>
      <c r="B2453" s="26" t="n"/>
      <c r="C2453" s="27" t="n"/>
      <c r="D2453" s="30" t="n"/>
      <c r="E2453" s="30" t="n"/>
      <c r="F2453" s="28" t="n"/>
      <c r="G2453" s="1" t="n"/>
    </row>
    <row r="2454">
      <c r="A2454" s="1" t="n"/>
      <c r="B2454" s="26" t="n"/>
      <c r="C2454" s="27" t="n"/>
      <c r="D2454" s="30" t="n"/>
      <c r="E2454" s="30" t="n"/>
      <c r="F2454" s="28" t="n"/>
      <c r="G2454" s="1" t="n"/>
    </row>
    <row r="2455">
      <c r="A2455" s="1" t="n"/>
      <c r="B2455" s="26" t="n"/>
      <c r="C2455" s="27" t="n"/>
      <c r="D2455" s="30" t="n"/>
      <c r="E2455" s="30" t="n"/>
      <c r="F2455" s="28" t="n"/>
      <c r="G2455" s="1" t="n"/>
    </row>
    <row r="2456">
      <c r="A2456" s="1" t="n"/>
      <c r="B2456" s="26" t="n"/>
      <c r="C2456" s="27" t="n"/>
      <c r="D2456" s="30" t="n"/>
      <c r="E2456" s="30" t="n"/>
      <c r="F2456" s="28" t="n"/>
      <c r="G2456" s="1" t="n"/>
    </row>
    <row r="2457">
      <c r="A2457" s="1" t="n"/>
      <c r="B2457" s="26" t="n"/>
      <c r="C2457" s="27" t="n"/>
      <c r="D2457" s="30" t="n"/>
      <c r="E2457" s="30" t="n"/>
      <c r="F2457" s="28" t="n"/>
      <c r="G2457" s="1" t="n"/>
    </row>
    <row r="2458">
      <c r="A2458" s="1" t="n"/>
      <c r="B2458" s="26" t="n"/>
      <c r="C2458" s="27" t="n"/>
      <c r="D2458" s="30" t="n"/>
      <c r="E2458" s="30" t="n"/>
      <c r="F2458" s="28" t="n"/>
      <c r="G2458" s="1" t="n"/>
    </row>
    <row r="2459">
      <c r="A2459" s="1" t="n"/>
      <c r="B2459" s="26" t="n"/>
      <c r="C2459" s="27" t="n"/>
      <c r="D2459" s="30" t="n"/>
      <c r="E2459" s="30" t="n"/>
      <c r="F2459" s="28" t="n"/>
      <c r="G2459" s="1" t="n"/>
    </row>
    <row r="2460">
      <c r="A2460" s="1" t="n"/>
      <c r="B2460" s="26" t="n"/>
      <c r="C2460" s="27" t="n"/>
      <c r="D2460" s="30" t="n"/>
      <c r="E2460" s="30" t="n"/>
      <c r="F2460" s="28" t="n"/>
      <c r="G2460" s="1" t="n"/>
    </row>
    <row r="2461">
      <c r="A2461" s="1" t="n"/>
      <c r="B2461" s="26" t="n"/>
      <c r="C2461" s="27" t="n"/>
      <c r="D2461" s="30" t="n"/>
      <c r="E2461" s="30" t="n"/>
      <c r="F2461" s="28" t="n"/>
      <c r="G2461" s="1" t="n"/>
    </row>
    <row r="2462">
      <c r="A2462" s="1" t="n"/>
      <c r="B2462" s="26" t="n"/>
      <c r="C2462" s="27" t="n"/>
      <c r="D2462" s="30" t="n"/>
      <c r="E2462" s="30" t="n"/>
      <c r="F2462" s="28" t="n"/>
      <c r="G2462" s="1" t="n"/>
    </row>
    <row r="2463">
      <c r="A2463" s="1" t="n"/>
      <c r="B2463" s="26" t="n"/>
      <c r="C2463" s="27" t="n"/>
      <c r="D2463" s="30" t="n"/>
      <c r="E2463" s="30" t="n"/>
      <c r="F2463" s="28" t="n"/>
      <c r="G2463" s="1" t="n"/>
    </row>
    <row r="2464">
      <c r="A2464" s="1" t="n"/>
      <c r="B2464" s="26" t="n"/>
      <c r="C2464" s="27" t="n"/>
      <c r="D2464" s="30" t="n"/>
      <c r="E2464" s="30" t="n"/>
      <c r="F2464" s="28" t="n"/>
      <c r="G2464" s="1" t="n"/>
    </row>
    <row r="2465">
      <c r="A2465" s="1" t="n"/>
      <c r="B2465" s="26" t="n"/>
      <c r="C2465" s="27" t="n"/>
      <c r="D2465" s="30" t="n"/>
      <c r="E2465" s="30" t="n"/>
      <c r="F2465" s="28" t="n"/>
      <c r="G2465" s="1" t="n"/>
    </row>
    <row r="2466">
      <c r="A2466" s="1" t="n"/>
      <c r="B2466" s="26" t="n"/>
      <c r="C2466" s="27" t="n"/>
      <c r="D2466" s="30" t="n"/>
      <c r="E2466" s="30" t="n"/>
      <c r="F2466" s="28" t="n"/>
      <c r="G2466" s="1" t="n"/>
    </row>
    <row r="2467">
      <c r="A2467" s="1" t="n"/>
      <c r="B2467" s="26" t="n"/>
      <c r="C2467" s="27" t="n"/>
      <c r="D2467" s="30" t="n"/>
      <c r="E2467" s="30" t="n"/>
      <c r="F2467" s="28" t="n"/>
      <c r="G2467" s="1" t="n"/>
    </row>
    <row r="2468">
      <c r="A2468" s="1" t="n"/>
      <c r="B2468" s="26" t="n"/>
      <c r="C2468" s="27" t="n"/>
      <c r="D2468" s="30" t="n"/>
      <c r="E2468" s="30" t="n"/>
      <c r="F2468" s="28" t="n"/>
      <c r="G2468" s="1" t="n"/>
    </row>
    <row r="2469">
      <c r="A2469" s="1" t="n"/>
      <c r="B2469" s="26" t="n"/>
      <c r="C2469" s="27" t="n"/>
      <c r="D2469" s="30" t="n"/>
      <c r="E2469" s="30" t="n"/>
      <c r="F2469" s="28" t="n"/>
      <c r="G2469" s="1" t="n"/>
    </row>
    <row r="2470">
      <c r="A2470" s="1" t="n"/>
      <c r="B2470" s="26" t="n"/>
      <c r="C2470" s="27" t="n"/>
      <c r="D2470" s="30" t="n"/>
      <c r="E2470" s="30" t="n"/>
      <c r="F2470" s="28" t="n"/>
      <c r="G2470" s="1" t="n"/>
    </row>
    <row r="2471">
      <c r="A2471" s="1" t="n"/>
      <c r="B2471" s="26" t="n"/>
      <c r="C2471" s="27" t="n"/>
      <c r="D2471" s="30" t="n"/>
      <c r="E2471" s="30" t="n"/>
      <c r="F2471" s="28" t="n"/>
      <c r="G2471" s="1" t="n"/>
    </row>
    <row r="2472">
      <c r="A2472" s="1" t="n"/>
      <c r="B2472" s="26" t="n"/>
      <c r="C2472" s="27" t="n"/>
      <c r="D2472" s="30" t="n"/>
      <c r="E2472" s="30" t="n"/>
      <c r="F2472" s="28" t="n"/>
      <c r="G2472" s="1" t="n"/>
    </row>
    <row r="2473">
      <c r="A2473" s="1" t="n"/>
      <c r="B2473" s="26" t="n"/>
      <c r="C2473" s="27" t="n"/>
      <c r="D2473" s="30" t="n"/>
      <c r="E2473" s="30" t="n"/>
      <c r="F2473" s="28" t="n"/>
      <c r="G2473" s="1" t="n"/>
    </row>
    <row r="2474">
      <c r="A2474" s="1" t="n"/>
      <c r="B2474" s="26" t="n"/>
      <c r="C2474" s="27" t="n"/>
      <c r="D2474" s="30" t="n"/>
      <c r="E2474" s="30" t="n"/>
      <c r="F2474" s="28" t="n"/>
      <c r="G2474" s="1" t="n"/>
    </row>
    <row r="2475">
      <c r="A2475" s="1" t="n"/>
      <c r="B2475" s="26" t="n"/>
      <c r="C2475" s="27" t="n"/>
      <c r="D2475" s="30" t="n"/>
      <c r="E2475" s="30" t="n"/>
      <c r="F2475" s="28" t="n"/>
      <c r="G2475" s="1" t="n"/>
    </row>
    <row r="2476">
      <c r="A2476" s="1" t="n"/>
      <c r="B2476" s="26" t="n"/>
      <c r="C2476" s="27" t="n"/>
      <c r="D2476" s="30" t="n"/>
      <c r="E2476" s="30" t="n"/>
      <c r="F2476" s="28" t="n"/>
      <c r="G2476" s="1" t="n"/>
    </row>
    <row r="2477">
      <c r="A2477" s="1" t="n"/>
      <c r="B2477" s="26" t="n"/>
      <c r="C2477" s="27" t="n"/>
      <c r="D2477" s="30" t="n"/>
      <c r="E2477" s="30" t="n"/>
      <c r="F2477" s="28" t="n"/>
      <c r="G2477" s="1" t="n"/>
    </row>
    <row r="2478">
      <c r="A2478" s="1" t="n"/>
      <c r="B2478" s="26" t="n"/>
      <c r="C2478" s="27" t="n"/>
      <c r="D2478" s="30" t="n"/>
      <c r="E2478" s="30" t="n"/>
      <c r="F2478" s="28" t="n"/>
      <c r="G2478" s="1" t="n"/>
    </row>
    <row r="2479">
      <c r="A2479" s="1" t="n"/>
      <c r="B2479" s="26" t="n"/>
      <c r="C2479" s="27" t="n"/>
      <c r="D2479" s="30" t="n"/>
      <c r="E2479" s="30" t="n"/>
      <c r="F2479" s="28" t="n"/>
      <c r="G2479" s="1" t="n"/>
    </row>
    <row r="2480">
      <c r="A2480" s="1" t="n"/>
      <c r="B2480" s="26" t="n"/>
      <c r="C2480" s="27" t="n"/>
      <c r="D2480" s="30" t="n"/>
      <c r="E2480" s="30" t="n"/>
      <c r="F2480" s="28" t="n"/>
      <c r="G2480" s="1" t="n"/>
    </row>
    <row r="2481">
      <c r="A2481" s="1" t="n"/>
      <c r="B2481" s="26" t="n"/>
      <c r="C2481" s="27" t="n"/>
      <c r="D2481" s="30" t="n"/>
      <c r="E2481" s="30" t="n"/>
      <c r="F2481" s="28" t="n"/>
      <c r="G2481" s="1" t="n"/>
    </row>
    <row r="2482">
      <c r="A2482" s="1" t="n"/>
      <c r="B2482" s="26" t="n"/>
      <c r="C2482" s="27" t="n"/>
      <c r="D2482" s="30" t="n"/>
      <c r="E2482" s="30" t="n"/>
      <c r="F2482" s="28" t="n"/>
      <c r="G2482" s="1" t="n"/>
    </row>
    <row r="2483">
      <c r="A2483" s="1" t="n"/>
      <c r="B2483" s="26" t="n"/>
      <c r="C2483" s="27" t="n"/>
      <c r="D2483" s="30" t="n"/>
      <c r="E2483" s="30" t="n"/>
      <c r="F2483" s="28" t="n"/>
      <c r="G2483" s="1" t="n"/>
    </row>
    <row r="2484">
      <c r="A2484" s="1" t="n"/>
      <c r="B2484" s="26" t="n"/>
      <c r="C2484" s="27" t="n"/>
      <c r="D2484" s="30" t="n"/>
      <c r="E2484" s="30" t="n"/>
      <c r="F2484" s="28" t="n"/>
      <c r="G2484" s="1" t="n"/>
    </row>
    <row r="2485">
      <c r="A2485" s="1" t="n"/>
      <c r="B2485" s="26" t="n"/>
      <c r="C2485" s="27" t="n"/>
      <c r="D2485" s="30" t="n"/>
      <c r="E2485" s="30" t="n"/>
      <c r="F2485" s="28" t="n"/>
      <c r="G2485" s="1" t="n"/>
    </row>
    <row r="2486">
      <c r="A2486" s="1" t="n"/>
      <c r="B2486" s="26" t="n"/>
      <c r="C2486" s="27" t="n"/>
      <c r="D2486" s="30" t="n"/>
      <c r="E2486" s="30" t="n"/>
      <c r="F2486" s="28" t="n"/>
      <c r="G2486" s="1" t="n"/>
    </row>
    <row r="2487">
      <c r="A2487" s="1" t="n"/>
      <c r="B2487" s="26" t="n"/>
      <c r="C2487" s="27" t="n"/>
      <c r="D2487" s="30" t="n"/>
      <c r="E2487" s="30" t="n"/>
      <c r="F2487" s="28" t="n"/>
      <c r="G2487" s="1" t="n"/>
    </row>
    <row r="2488">
      <c r="A2488" s="1" t="n"/>
      <c r="B2488" s="26" t="n"/>
      <c r="C2488" s="27" t="n"/>
      <c r="D2488" s="30" t="n"/>
      <c r="E2488" s="30" t="n"/>
      <c r="F2488" s="28" t="n"/>
      <c r="G2488" s="1" t="n"/>
    </row>
    <row r="2489">
      <c r="A2489" s="1" t="n"/>
      <c r="B2489" s="26" t="n"/>
      <c r="C2489" s="27" t="n"/>
      <c r="D2489" s="30" t="n"/>
      <c r="E2489" s="30" t="n"/>
      <c r="F2489" s="28" t="n"/>
      <c r="G2489" s="1" t="n"/>
    </row>
    <row r="2490">
      <c r="A2490" s="1" t="n"/>
      <c r="B2490" s="26" t="n"/>
      <c r="C2490" s="27" t="n"/>
      <c r="D2490" s="30" t="n"/>
      <c r="E2490" s="30" t="n"/>
      <c r="F2490" s="28" t="n"/>
      <c r="G2490" s="1" t="n"/>
    </row>
    <row r="2491">
      <c r="A2491" s="1" t="n"/>
      <c r="B2491" s="26" t="n"/>
      <c r="C2491" s="27" t="n"/>
      <c r="D2491" s="30" t="n"/>
      <c r="E2491" s="30" t="n"/>
      <c r="F2491" s="28" t="n"/>
      <c r="G2491" s="1" t="n"/>
    </row>
    <row r="2492">
      <c r="A2492" s="1" t="n"/>
      <c r="B2492" s="26" t="n"/>
      <c r="C2492" s="27" t="n"/>
      <c r="D2492" s="30" t="n"/>
      <c r="E2492" s="30" t="n"/>
      <c r="F2492" s="28" t="n"/>
      <c r="G2492" s="1" t="n"/>
    </row>
    <row r="2493">
      <c r="A2493" s="1" t="n"/>
      <c r="B2493" s="26" t="n"/>
      <c r="C2493" s="27" t="n"/>
      <c r="D2493" s="30" t="n"/>
      <c r="E2493" s="30" t="n"/>
      <c r="F2493" s="28" t="n"/>
      <c r="G2493" s="1" t="n"/>
    </row>
    <row r="2494">
      <c r="A2494" s="1" t="n"/>
      <c r="B2494" s="26" t="n"/>
      <c r="C2494" s="27" t="n"/>
      <c r="D2494" s="30" t="n"/>
      <c r="E2494" s="30" t="n"/>
      <c r="F2494" s="28" t="n"/>
      <c r="G2494" s="1" t="n"/>
    </row>
    <row r="2495">
      <c r="A2495" s="1" t="n"/>
      <c r="B2495" s="26" t="n"/>
      <c r="C2495" s="27" t="n"/>
      <c r="D2495" s="30" t="n"/>
      <c r="E2495" s="30" t="n"/>
      <c r="F2495" s="28" t="n"/>
      <c r="G2495" s="1" t="n"/>
    </row>
    <row r="2496">
      <c r="A2496" s="1" t="n"/>
      <c r="B2496" s="26" t="n"/>
      <c r="C2496" s="27" t="n"/>
      <c r="D2496" s="30" t="n"/>
      <c r="E2496" s="30" t="n"/>
      <c r="F2496" s="28" t="n"/>
      <c r="G2496" s="1" t="n"/>
    </row>
    <row r="2497">
      <c r="A2497" s="1" t="n"/>
      <c r="B2497" s="26" t="n"/>
      <c r="C2497" s="27" t="n"/>
      <c r="D2497" s="30" t="n"/>
      <c r="E2497" s="30" t="n"/>
      <c r="F2497" s="28" t="n"/>
      <c r="G2497" s="1" t="n"/>
    </row>
    <row r="2498">
      <c r="A2498" s="1" t="n"/>
      <c r="B2498" s="26" t="n"/>
      <c r="C2498" s="27" t="n"/>
      <c r="D2498" s="30" t="n"/>
      <c r="E2498" s="30" t="n"/>
      <c r="F2498" s="28" t="n"/>
      <c r="G2498" s="1" t="n"/>
    </row>
    <row r="2499">
      <c r="A2499" s="1" t="n"/>
      <c r="B2499" s="26" t="n"/>
      <c r="C2499" s="27" t="n"/>
      <c r="D2499" s="30" t="n"/>
      <c r="E2499" s="30" t="n"/>
      <c r="F2499" s="28" t="n"/>
      <c r="G2499" s="1" t="n"/>
    </row>
    <row r="2500">
      <c r="A2500" s="1" t="n"/>
      <c r="B2500" s="26" t="n"/>
      <c r="C2500" s="27" t="n"/>
      <c r="D2500" s="30" t="n"/>
      <c r="E2500" s="30" t="n"/>
      <c r="F2500" s="28" t="n"/>
      <c r="G2500" s="1" t="n"/>
    </row>
    <row r="2501">
      <c r="A2501" s="1" t="n"/>
      <c r="B2501" s="26" t="n"/>
      <c r="C2501" s="27" t="n"/>
      <c r="D2501" s="30" t="n"/>
      <c r="E2501" s="30" t="n"/>
      <c r="F2501" s="28" t="n"/>
      <c r="G2501" s="1" t="n"/>
    </row>
    <row r="2502">
      <c r="A2502" s="1" t="n"/>
      <c r="B2502" s="26" t="n"/>
      <c r="C2502" s="27" t="n"/>
      <c r="D2502" s="30" t="n"/>
      <c r="E2502" s="30" t="n"/>
      <c r="F2502" s="28" t="n"/>
      <c r="G2502" s="1" t="n"/>
    </row>
    <row r="2503">
      <c r="A2503" s="1" t="n"/>
      <c r="B2503" s="26" t="n"/>
      <c r="C2503" s="27" t="n"/>
      <c r="D2503" s="30" t="n"/>
      <c r="E2503" s="30" t="n"/>
      <c r="F2503" s="28" t="n"/>
      <c r="G2503" s="1" t="n"/>
    </row>
    <row r="2504">
      <c r="A2504" s="1" t="n"/>
      <c r="B2504" s="26" t="n"/>
      <c r="C2504" s="27" t="n"/>
      <c r="D2504" s="30" t="n"/>
      <c r="E2504" s="30" t="n"/>
      <c r="F2504" s="28" t="n"/>
      <c r="G2504" s="1" t="n"/>
    </row>
    <row r="2505">
      <c r="A2505" s="1" t="n"/>
      <c r="B2505" s="26" t="n"/>
      <c r="C2505" s="27" t="n"/>
      <c r="D2505" s="30" t="n"/>
      <c r="E2505" s="30" t="n"/>
      <c r="F2505" s="28" t="n"/>
      <c r="G2505" s="1" t="n"/>
    </row>
    <row r="2506">
      <c r="A2506" s="1" t="n"/>
      <c r="B2506" s="26" t="n"/>
      <c r="C2506" s="27" t="n"/>
      <c r="D2506" s="30" t="n"/>
      <c r="E2506" s="30" t="n"/>
      <c r="F2506" s="28" t="n"/>
      <c r="G2506" s="1" t="n"/>
    </row>
    <row r="2507">
      <c r="A2507" s="1" t="n"/>
      <c r="B2507" s="26" t="n"/>
      <c r="C2507" s="27" t="n"/>
      <c r="D2507" s="30" t="n"/>
      <c r="E2507" s="30" t="n"/>
      <c r="F2507" s="28" t="n"/>
      <c r="G2507" s="1" t="n"/>
    </row>
    <row r="2508">
      <c r="A2508" s="1" t="n"/>
      <c r="B2508" s="26" t="n"/>
      <c r="C2508" s="27" t="n"/>
      <c r="D2508" s="30" t="n"/>
      <c r="E2508" s="30" t="n"/>
      <c r="F2508" s="28" t="n"/>
      <c r="G2508" s="1" t="n"/>
    </row>
    <row r="2509">
      <c r="A2509" s="1" t="n"/>
      <c r="B2509" s="26" t="n"/>
      <c r="C2509" s="27" t="n"/>
      <c r="D2509" s="30" t="n"/>
      <c r="E2509" s="30" t="n"/>
      <c r="F2509" s="28" t="n"/>
      <c r="G2509" s="1" t="n"/>
    </row>
    <row r="2510">
      <c r="A2510" s="1" t="n"/>
      <c r="B2510" s="26" t="n"/>
      <c r="C2510" s="27" t="n"/>
      <c r="D2510" s="30" t="n"/>
      <c r="E2510" s="30" t="n"/>
      <c r="F2510" s="28" t="n"/>
      <c r="G2510" s="1" t="n"/>
    </row>
    <row r="2511">
      <c r="A2511" s="1" t="n"/>
      <c r="B2511" s="26" t="n"/>
      <c r="C2511" s="27" t="n"/>
      <c r="D2511" s="30" t="n"/>
      <c r="E2511" s="30" t="n"/>
      <c r="F2511" s="28" t="n"/>
      <c r="G2511" s="1" t="n"/>
    </row>
    <row r="2512">
      <c r="A2512" s="1" t="n"/>
      <c r="B2512" s="26" t="n"/>
      <c r="C2512" s="27" t="n"/>
      <c r="D2512" s="30" t="n"/>
      <c r="E2512" s="30" t="n"/>
      <c r="F2512" s="28" t="n"/>
      <c r="G2512" s="1" t="n"/>
    </row>
    <row r="2513">
      <c r="A2513" s="1" t="n"/>
      <c r="B2513" s="26" t="n"/>
      <c r="C2513" s="27" t="n"/>
      <c r="D2513" s="30" t="n"/>
      <c r="E2513" s="30" t="n"/>
      <c r="F2513" s="28" t="n"/>
      <c r="G2513" s="1" t="n"/>
    </row>
    <row r="2514">
      <c r="A2514" s="1" t="n"/>
      <c r="B2514" s="26" t="n"/>
      <c r="C2514" s="27" t="n"/>
      <c r="D2514" s="30" t="n"/>
      <c r="E2514" s="30" t="n"/>
      <c r="F2514" s="28" t="n"/>
      <c r="G2514" s="1" t="n"/>
    </row>
    <row r="2515">
      <c r="A2515" s="1" t="n"/>
      <c r="B2515" s="26" t="n"/>
      <c r="C2515" s="27" t="n"/>
      <c r="D2515" s="30" t="n"/>
      <c r="E2515" s="30" t="n"/>
      <c r="F2515" s="28" t="n"/>
      <c r="G2515" s="1" t="n"/>
    </row>
    <row r="2516">
      <c r="A2516" s="1" t="n"/>
      <c r="B2516" s="26" t="n"/>
      <c r="C2516" s="27" t="n"/>
      <c r="D2516" s="30" t="n"/>
      <c r="E2516" s="30" t="n"/>
      <c r="F2516" s="28" t="n"/>
      <c r="G2516" s="1" t="n"/>
    </row>
    <row r="2517">
      <c r="A2517" s="1" t="n"/>
      <c r="B2517" s="26" t="n"/>
      <c r="C2517" s="27" t="n"/>
      <c r="D2517" s="30" t="n"/>
      <c r="E2517" s="30" t="n"/>
      <c r="F2517" s="28" t="n"/>
      <c r="G2517" s="1" t="n"/>
    </row>
    <row r="2518">
      <c r="A2518" s="1" t="n"/>
      <c r="B2518" s="26" t="n"/>
      <c r="C2518" s="27" t="n"/>
      <c r="D2518" s="30" t="n"/>
      <c r="E2518" s="30" t="n"/>
      <c r="F2518" s="28" t="n"/>
      <c r="G2518" s="1" t="n"/>
    </row>
    <row r="2519">
      <c r="A2519" s="1" t="n"/>
      <c r="B2519" s="26" t="n"/>
      <c r="C2519" s="27" t="n"/>
      <c r="D2519" s="30" t="n"/>
      <c r="E2519" s="30" t="n"/>
      <c r="F2519" s="28" t="n"/>
      <c r="G2519" s="1" t="n"/>
    </row>
    <row r="2520">
      <c r="A2520" s="1" t="n"/>
      <c r="B2520" s="26" t="n"/>
      <c r="C2520" s="27" t="n"/>
      <c r="D2520" s="30" t="n"/>
      <c r="E2520" s="30" t="n"/>
      <c r="F2520" s="28" t="n"/>
      <c r="G2520" s="1" t="n"/>
    </row>
    <row r="2521">
      <c r="A2521" s="1" t="n"/>
      <c r="B2521" s="26" t="n"/>
      <c r="C2521" s="27" t="n"/>
      <c r="D2521" s="30" t="n"/>
      <c r="E2521" s="30" t="n"/>
      <c r="F2521" s="28" t="n"/>
      <c r="G2521" s="1" t="n"/>
    </row>
    <row r="2522">
      <c r="A2522" s="1" t="n"/>
      <c r="B2522" s="26" t="n"/>
      <c r="C2522" s="27" t="n"/>
      <c r="D2522" s="30" t="n"/>
      <c r="E2522" s="30" t="n"/>
      <c r="F2522" s="28" t="n"/>
      <c r="G2522" s="1" t="n"/>
    </row>
    <row r="2523">
      <c r="A2523" s="1" t="n"/>
      <c r="B2523" s="26" t="n"/>
      <c r="C2523" s="27" t="n"/>
      <c r="D2523" s="30" t="n"/>
      <c r="E2523" s="30" t="n"/>
      <c r="F2523" s="28" t="n"/>
      <c r="G2523" s="1" t="n"/>
    </row>
    <row r="2524">
      <c r="A2524" s="1" t="n"/>
      <c r="B2524" s="26" t="n"/>
      <c r="C2524" s="27" t="n"/>
      <c r="D2524" s="30" t="n"/>
      <c r="E2524" s="30" t="n"/>
      <c r="F2524" s="28" t="n"/>
      <c r="G2524" s="1" t="n"/>
    </row>
    <row r="2525">
      <c r="A2525" s="1" t="n"/>
      <c r="B2525" s="26" t="n"/>
      <c r="C2525" s="27" t="n"/>
      <c r="D2525" s="30" t="n"/>
      <c r="E2525" s="30" t="n"/>
      <c r="F2525" s="28" t="n"/>
      <c r="G2525" s="1" t="n"/>
    </row>
    <row r="2526">
      <c r="A2526" s="1" t="n"/>
      <c r="B2526" s="26" t="n"/>
      <c r="C2526" s="27" t="n"/>
      <c r="D2526" s="30" t="n"/>
      <c r="E2526" s="30" t="n"/>
      <c r="F2526" s="28" t="n"/>
      <c r="G2526" s="1" t="n"/>
    </row>
    <row r="2527">
      <c r="A2527" s="1" t="n"/>
      <c r="B2527" s="26" t="n"/>
      <c r="C2527" s="27" t="n"/>
      <c r="D2527" s="30" t="n"/>
      <c r="E2527" s="30" t="n"/>
      <c r="F2527" s="28" t="n"/>
      <c r="G2527" s="1" t="n"/>
    </row>
    <row r="2528">
      <c r="A2528" s="1" t="n"/>
      <c r="B2528" s="26" t="n"/>
      <c r="C2528" s="27" t="n"/>
      <c r="D2528" s="30" t="n"/>
      <c r="E2528" s="30" t="n"/>
      <c r="F2528" s="28" t="n"/>
      <c r="G2528" s="1" t="n"/>
    </row>
    <row r="2529">
      <c r="A2529" s="1" t="n"/>
      <c r="B2529" s="26" t="n"/>
      <c r="C2529" s="27" t="n"/>
      <c r="D2529" s="30" t="n"/>
      <c r="E2529" s="30" t="n"/>
      <c r="F2529" s="28" t="n"/>
      <c r="G2529" s="1" t="n"/>
    </row>
    <row r="2530">
      <c r="A2530" s="1" t="n"/>
      <c r="B2530" s="26" t="n"/>
      <c r="C2530" s="27" t="n"/>
      <c r="D2530" s="30" t="n"/>
      <c r="E2530" s="30" t="n"/>
      <c r="F2530" s="28" t="n"/>
      <c r="G2530" s="1" t="n"/>
    </row>
    <row r="2531">
      <c r="A2531" s="1" t="n"/>
      <c r="B2531" s="26" t="n"/>
      <c r="C2531" s="27" t="n"/>
      <c r="D2531" s="30" t="n"/>
      <c r="E2531" s="30" t="n"/>
      <c r="F2531" s="28" t="n"/>
      <c r="G2531" s="1" t="n"/>
    </row>
    <row r="2532">
      <c r="A2532" s="1" t="n"/>
      <c r="B2532" s="26" t="n"/>
      <c r="C2532" s="27" t="n"/>
      <c r="D2532" s="30" t="n"/>
      <c r="E2532" s="30" t="n"/>
      <c r="F2532" s="28" t="n"/>
      <c r="G2532" s="1" t="n"/>
    </row>
    <row r="2533">
      <c r="A2533" s="1" t="n"/>
      <c r="B2533" s="26" t="n"/>
      <c r="C2533" s="27" t="n"/>
      <c r="D2533" s="30" t="n"/>
      <c r="E2533" s="30" t="n"/>
      <c r="F2533" s="28" t="n"/>
      <c r="G2533" s="1" t="n"/>
    </row>
    <row r="2534">
      <c r="A2534" s="1" t="n"/>
      <c r="B2534" s="26" t="n"/>
      <c r="C2534" s="27" t="n"/>
      <c r="D2534" s="30" t="n"/>
      <c r="E2534" s="30" t="n"/>
      <c r="F2534" s="28" t="n"/>
      <c r="G2534" s="1" t="n"/>
    </row>
    <row r="2535">
      <c r="A2535" s="1" t="n"/>
      <c r="B2535" s="26" t="n"/>
      <c r="C2535" s="27" t="n"/>
      <c r="D2535" s="30" t="n"/>
      <c r="E2535" s="30" t="n"/>
      <c r="F2535" s="28" t="n"/>
      <c r="G2535" s="1" t="n"/>
    </row>
    <row r="2536">
      <c r="A2536" s="1" t="n"/>
      <c r="B2536" s="26" t="n"/>
      <c r="C2536" s="27" t="n"/>
      <c r="D2536" s="30" t="n"/>
      <c r="E2536" s="30" t="n"/>
      <c r="F2536" s="28" t="n"/>
      <c r="G2536" s="1" t="n"/>
    </row>
    <row r="2537">
      <c r="A2537" s="1" t="n"/>
      <c r="B2537" s="26" t="n"/>
      <c r="C2537" s="27" t="n"/>
      <c r="D2537" s="30" t="n"/>
      <c r="E2537" s="30" t="n"/>
      <c r="F2537" s="28" t="n"/>
      <c r="G2537" s="1" t="n"/>
    </row>
    <row r="2538">
      <c r="A2538" s="1" t="n"/>
      <c r="B2538" s="26" t="n"/>
      <c r="C2538" s="27" t="n"/>
      <c r="D2538" s="30" t="n"/>
      <c r="E2538" s="30" t="n"/>
      <c r="F2538" s="28" t="n"/>
      <c r="G2538" s="1" t="n"/>
    </row>
    <row r="2539">
      <c r="A2539" s="1" t="n"/>
      <c r="B2539" s="26" t="n"/>
      <c r="C2539" s="27" t="n"/>
      <c r="D2539" s="30" t="n"/>
      <c r="E2539" s="30" t="n"/>
      <c r="F2539" s="28" t="n"/>
      <c r="G2539" s="1" t="n"/>
    </row>
    <row r="2540">
      <c r="A2540" s="1" t="n"/>
      <c r="B2540" s="26" t="n"/>
      <c r="C2540" s="27" t="n"/>
      <c r="D2540" s="30" t="n"/>
      <c r="E2540" s="30" t="n"/>
      <c r="F2540" s="28" t="n"/>
      <c r="G2540" s="1" t="n"/>
    </row>
    <row r="2541">
      <c r="A2541" s="1" t="n"/>
      <c r="B2541" s="26" t="n"/>
      <c r="C2541" s="27" t="n"/>
      <c r="D2541" s="30" t="n"/>
      <c r="E2541" s="30" t="n"/>
      <c r="F2541" s="28" t="n"/>
      <c r="G2541" s="1" t="n"/>
    </row>
    <row r="2542">
      <c r="A2542" s="1" t="n"/>
      <c r="B2542" s="26" t="n"/>
      <c r="C2542" s="27" t="n"/>
      <c r="D2542" s="30" t="n"/>
      <c r="E2542" s="30" t="n"/>
      <c r="F2542" s="28" t="n"/>
      <c r="G2542" s="1" t="n"/>
    </row>
    <row r="2543">
      <c r="A2543" s="1" t="n"/>
      <c r="B2543" s="26" t="n"/>
      <c r="C2543" s="27" t="n"/>
      <c r="D2543" s="30" t="n"/>
      <c r="E2543" s="30" t="n"/>
      <c r="F2543" s="28" t="n"/>
      <c r="G2543" s="1" t="n"/>
    </row>
    <row r="2544">
      <c r="A2544" s="1" t="n"/>
      <c r="B2544" s="26" t="n"/>
      <c r="C2544" s="27" t="n"/>
      <c r="D2544" s="30" t="n"/>
      <c r="E2544" s="30" t="n"/>
      <c r="F2544" s="28" t="n"/>
      <c r="G2544" s="1" t="n"/>
    </row>
    <row r="2545">
      <c r="A2545" s="1" t="n"/>
      <c r="B2545" s="26" t="n"/>
      <c r="C2545" s="27" t="n"/>
      <c r="D2545" s="30" t="n"/>
      <c r="E2545" s="30" t="n"/>
      <c r="F2545" s="28" t="n"/>
      <c r="G2545" s="1" t="n"/>
    </row>
    <row r="2546">
      <c r="A2546" s="1" t="n"/>
      <c r="B2546" s="26" t="n"/>
      <c r="C2546" s="27" t="n"/>
      <c r="D2546" s="30" t="n"/>
      <c r="E2546" s="30" t="n"/>
      <c r="F2546" s="28" t="n"/>
      <c r="G2546" s="1" t="n"/>
    </row>
    <row r="2547">
      <c r="A2547" s="1" t="n"/>
      <c r="B2547" s="26" t="n"/>
      <c r="C2547" s="27" t="n"/>
      <c r="D2547" s="30" t="n"/>
      <c r="E2547" s="30" t="n"/>
      <c r="F2547" s="28" t="n"/>
      <c r="G2547" s="1" t="n"/>
    </row>
    <row r="2548">
      <c r="A2548" s="1" t="n"/>
      <c r="B2548" s="26" t="n"/>
      <c r="C2548" s="27" t="n"/>
      <c r="D2548" s="30" t="n"/>
      <c r="E2548" s="30" t="n"/>
      <c r="F2548" s="28" t="n"/>
      <c r="G2548" s="1" t="n"/>
    </row>
    <row r="2549">
      <c r="A2549" s="1" t="n"/>
      <c r="B2549" s="26" t="n"/>
      <c r="C2549" s="27" t="n"/>
      <c r="D2549" s="30" t="n"/>
      <c r="E2549" s="30" t="n"/>
      <c r="F2549" s="28" t="n"/>
      <c r="G2549" s="1" t="n"/>
    </row>
    <row r="2550">
      <c r="A2550" s="1" t="n"/>
      <c r="B2550" s="26" t="n"/>
      <c r="C2550" s="27" t="n"/>
      <c r="D2550" s="30" t="n"/>
      <c r="E2550" s="30" t="n"/>
      <c r="F2550" s="28" t="n"/>
      <c r="G2550" s="1" t="n"/>
    </row>
    <row r="2551">
      <c r="A2551" s="1" t="n"/>
      <c r="B2551" s="26" t="n"/>
      <c r="C2551" s="27" t="n"/>
      <c r="D2551" s="30" t="n"/>
      <c r="E2551" s="30" t="n"/>
      <c r="F2551" s="28" t="n"/>
      <c r="G2551" s="1" t="n"/>
    </row>
    <row r="2552">
      <c r="A2552" s="1" t="n"/>
      <c r="B2552" s="26" t="n"/>
      <c r="C2552" s="27" t="n"/>
      <c r="D2552" s="30" t="n"/>
      <c r="E2552" s="30" t="n"/>
      <c r="F2552" s="28" t="n"/>
      <c r="G2552" s="1" t="n"/>
    </row>
    <row r="2553">
      <c r="A2553" s="1" t="n"/>
      <c r="B2553" s="26" t="n"/>
      <c r="C2553" s="27" t="n"/>
      <c r="D2553" s="30" t="n"/>
      <c r="E2553" s="30" t="n"/>
      <c r="F2553" s="28" t="n"/>
      <c r="G2553" s="1" t="n"/>
    </row>
    <row r="2554">
      <c r="A2554" s="1" t="n"/>
      <c r="B2554" s="26" t="n"/>
      <c r="C2554" s="27" t="n"/>
      <c r="D2554" s="30" t="n"/>
      <c r="E2554" s="30" t="n"/>
      <c r="F2554" s="28" t="n"/>
      <c r="G2554" s="1" t="n"/>
    </row>
    <row r="2555">
      <c r="A2555" s="1" t="n"/>
      <c r="B2555" s="26" t="n"/>
      <c r="C2555" s="27" t="n"/>
      <c r="D2555" s="30" t="n"/>
      <c r="E2555" s="30" t="n"/>
      <c r="F2555" s="28" t="n"/>
      <c r="G2555" s="1" t="n"/>
    </row>
    <row r="2556">
      <c r="A2556" s="1" t="n"/>
      <c r="B2556" s="26" t="n"/>
      <c r="C2556" s="27" t="n"/>
      <c r="D2556" s="30" t="n"/>
      <c r="E2556" s="30" t="n"/>
      <c r="F2556" s="28" t="n"/>
      <c r="G2556" s="1" t="n"/>
    </row>
    <row r="2557">
      <c r="A2557" s="1" t="n"/>
      <c r="B2557" s="26" t="n"/>
      <c r="C2557" s="27" t="n"/>
      <c r="D2557" s="30" t="n"/>
      <c r="E2557" s="30" t="n"/>
      <c r="F2557" s="28" t="n"/>
      <c r="G2557" s="1" t="n"/>
    </row>
    <row r="2558">
      <c r="A2558" s="1" t="n"/>
      <c r="B2558" s="26" t="n"/>
      <c r="C2558" s="27" t="n"/>
      <c r="D2558" s="30" t="n"/>
      <c r="E2558" s="30" t="n"/>
      <c r="F2558" s="28" t="n"/>
      <c r="G2558" s="1" t="n"/>
    </row>
    <row r="2559">
      <c r="A2559" s="1" t="n"/>
      <c r="B2559" s="26" t="n"/>
      <c r="C2559" s="27" t="n"/>
      <c r="D2559" s="30" t="n"/>
      <c r="E2559" s="30" t="n"/>
      <c r="F2559" s="28" t="n"/>
      <c r="G2559" s="1" t="n"/>
    </row>
    <row r="2560">
      <c r="A2560" s="1" t="n"/>
      <c r="B2560" s="26" t="n"/>
      <c r="C2560" s="27" t="n"/>
      <c r="D2560" s="30" t="n"/>
      <c r="E2560" s="30" t="n"/>
      <c r="F2560" s="28" t="n"/>
      <c r="G2560" s="1" t="n"/>
    </row>
    <row r="2561">
      <c r="A2561" s="1" t="n"/>
      <c r="B2561" s="26" t="n"/>
      <c r="C2561" s="27" t="n"/>
      <c r="D2561" s="30" t="n"/>
      <c r="E2561" s="30" t="n"/>
      <c r="F2561" s="28" t="n"/>
      <c r="G2561" s="1" t="n"/>
    </row>
    <row r="2562">
      <c r="A2562" s="1" t="n"/>
      <c r="B2562" s="26" t="n"/>
      <c r="C2562" s="27" t="n"/>
      <c r="D2562" s="30" t="n"/>
      <c r="E2562" s="30" t="n"/>
      <c r="F2562" s="28" t="n"/>
      <c r="G2562" s="1" t="n"/>
    </row>
    <row r="2563">
      <c r="A2563" s="1" t="n"/>
      <c r="B2563" s="26" t="n"/>
      <c r="C2563" s="27" t="n"/>
      <c r="D2563" s="30" t="n"/>
      <c r="E2563" s="30" t="n"/>
      <c r="F2563" s="28" t="n"/>
      <c r="G2563" s="1" t="n"/>
    </row>
    <row r="2564">
      <c r="A2564" s="1" t="n"/>
      <c r="B2564" s="26" t="n"/>
      <c r="C2564" s="27" t="n"/>
      <c r="D2564" s="30" t="n"/>
      <c r="E2564" s="30" t="n"/>
      <c r="F2564" s="28" t="n"/>
      <c r="G2564" s="1" t="n"/>
    </row>
    <row r="2565">
      <c r="A2565" s="1" t="n"/>
      <c r="B2565" s="26" t="n"/>
      <c r="C2565" s="27" t="n"/>
      <c r="D2565" s="30" t="n"/>
      <c r="E2565" s="30" t="n"/>
      <c r="F2565" s="28" t="n"/>
      <c r="G2565" s="1" t="n"/>
    </row>
    <row r="2566">
      <c r="A2566" s="1" t="n"/>
      <c r="B2566" s="26" t="n"/>
      <c r="C2566" s="27" t="n"/>
      <c r="D2566" s="30" t="n"/>
      <c r="E2566" s="30" t="n"/>
      <c r="F2566" s="28" t="n"/>
      <c r="G2566" s="1" t="n"/>
    </row>
    <row r="2567">
      <c r="A2567" s="1" t="n"/>
      <c r="B2567" s="26" t="n"/>
      <c r="C2567" s="27" t="n"/>
      <c r="D2567" s="30" t="n"/>
      <c r="E2567" s="30" t="n"/>
      <c r="F2567" s="28" t="n"/>
      <c r="G2567" s="1" t="n"/>
    </row>
    <row r="2568">
      <c r="A2568" s="1" t="n"/>
      <c r="B2568" s="26" t="n"/>
      <c r="C2568" s="27" t="n"/>
      <c r="D2568" s="30" t="n"/>
      <c r="E2568" s="30" t="n"/>
      <c r="F2568" s="28" t="n"/>
      <c r="G2568" s="1" t="n"/>
    </row>
    <row r="2569">
      <c r="A2569" s="1" t="n"/>
      <c r="B2569" s="26" t="n"/>
      <c r="C2569" s="27" t="n"/>
      <c r="D2569" s="30" t="n"/>
      <c r="E2569" s="30" t="n"/>
      <c r="F2569" s="28" t="n"/>
      <c r="G2569" s="1" t="n"/>
    </row>
    <row r="2570">
      <c r="A2570" s="1" t="n"/>
      <c r="B2570" s="26" t="n"/>
      <c r="C2570" s="27" t="n"/>
      <c r="D2570" s="30" t="n"/>
      <c r="E2570" s="30" t="n"/>
      <c r="F2570" s="28" t="n"/>
      <c r="G2570" s="1" t="n"/>
    </row>
    <row r="2571">
      <c r="A2571" s="1" t="n"/>
      <c r="B2571" s="26" t="n"/>
      <c r="C2571" s="27" t="n"/>
      <c r="D2571" s="30" t="n"/>
      <c r="E2571" s="30" t="n"/>
      <c r="F2571" s="28" t="n"/>
      <c r="G2571" s="1" t="n"/>
    </row>
    <row r="2572">
      <c r="A2572" s="1" t="n"/>
      <c r="B2572" s="26" t="n"/>
      <c r="C2572" s="27" t="n"/>
      <c r="D2572" s="30" t="n"/>
      <c r="E2572" s="30" t="n"/>
      <c r="F2572" s="28" t="n"/>
      <c r="G2572" s="1" t="n"/>
    </row>
    <row r="2573">
      <c r="A2573" s="1" t="n"/>
      <c r="B2573" s="26" t="n"/>
      <c r="C2573" s="27" t="n"/>
      <c r="D2573" s="30" t="n"/>
      <c r="E2573" s="30" t="n"/>
      <c r="F2573" s="28" t="n"/>
      <c r="G2573" s="1" t="n"/>
    </row>
    <row r="2574">
      <c r="A2574" s="1" t="n"/>
      <c r="B2574" s="26" t="n"/>
      <c r="C2574" s="27" t="n"/>
      <c r="D2574" s="30" t="n"/>
      <c r="E2574" s="30" t="n"/>
      <c r="F2574" s="28" t="n"/>
      <c r="G2574" s="1" t="n"/>
    </row>
    <row r="2575">
      <c r="A2575" s="1" t="n"/>
      <c r="B2575" s="26" t="n"/>
      <c r="C2575" s="27" t="n"/>
      <c r="D2575" s="30" t="n"/>
      <c r="E2575" s="30" t="n"/>
      <c r="F2575" s="28" t="n"/>
      <c r="G2575" s="1" t="n"/>
    </row>
    <row r="2576">
      <c r="A2576" s="1" t="n"/>
      <c r="B2576" s="26" t="n"/>
      <c r="C2576" s="27" t="n"/>
      <c r="D2576" s="30" t="n"/>
      <c r="E2576" s="30" t="n"/>
      <c r="F2576" s="28" t="n"/>
      <c r="G2576" s="1" t="n"/>
    </row>
    <row r="2577">
      <c r="A2577" s="1" t="n"/>
      <c r="B2577" s="26" t="n"/>
      <c r="C2577" s="27" t="n"/>
      <c r="D2577" s="30" t="n"/>
      <c r="E2577" s="30" t="n"/>
      <c r="F2577" s="28" t="n"/>
      <c r="G2577" s="1" t="n"/>
    </row>
    <row r="2578">
      <c r="A2578" s="1" t="n"/>
      <c r="B2578" s="26" t="n"/>
      <c r="C2578" s="27" t="n"/>
      <c r="D2578" s="30" t="n"/>
      <c r="E2578" s="30" t="n"/>
      <c r="F2578" s="28" t="n"/>
      <c r="G2578" s="1" t="n"/>
    </row>
    <row r="2579">
      <c r="A2579" s="1" t="n"/>
      <c r="B2579" s="26" t="n"/>
      <c r="C2579" s="27" t="n"/>
      <c r="D2579" s="30" t="n"/>
      <c r="E2579" s="30" t="n"/>
      <c r="F2579" s="28" t="n"/>
      <c r="G2579" s="1" t="n"/>
    </row>
    <row r="2580">
      <c r="A2580" s="1" t="n"/>
      <c r="B2580" s="26" t="n"/>
      <c r="C2580" s="27" t="n"/>
      <c r="D2580" s="30" t="n"/>
      <c r="E2580" s="30" t="n"/>
      <c r="F2580" s="28" t="n"/>
      <c r="G2580" s="1" t="n"/>
    </row>
    <row r="2581">
      <c r="A2581" s="1" t="n"/>
      <c r="B2581" s="26" t="n"/>
      <c r="C2581" s="27" t="n"/>
      <c r="D2581" s="30" t="n"/>
      <c r="E2581" s="30" t="n"/>
      <c r="F2581" s="28" t="n"/>
      <c r="G2581" s="1" t="n"/>
    </row>
    <row r="2582">
      <c r="A2582" s="1" t="n"/>
      <c r="B2582" s="26" t="n"/>
      <c r="C2582" s="27" t="n"/>
      <c r="D2582" s="30" t="n"/>
      <c r="E2582" s="30" t="n"/>
      <c r="F2582" s="28" t="n"/>
      <c r="G2582" s="1" t="n"/>
    </row>
    <row r="2583">
      <c r="A2583" s="1" t="n"/>
      <c r="B2583" s="26" t="n"/>
      <c r="C2583" s="27" t="n"/>
      <c r="D2583" s="30" t="n"/>
      <c r="E2583" s="30" t="n"/>
      <c r="F2583" s="28" t="n"/>
      <c r="G2583" s="1" t="n"/>
    </row>
    <row r="2584">
      <c r="A2584" s="1" t="n"/>
      <c r="B2584" s="26" t="n"/>
      <c r="C2584" s="27" t="n"/>
      <c r="D2584" s="30" t="n"/>
      <c r="E2584" s="30" t="n"/>
      <c r="F2584" s="28" t="n"/>
      <c r="G2584" s="1" t="n"/>
    </row>
    <row r="2585">
      <c r="A2585" s="1" t="n"/>
      <c r="B2585" s="26" t="n"/>
      <c r="C2585" s="27" t="n"/>
      <c r="D2585" s="30" t="n"/>
      <c r="E2585" s="30" t="n"/>
      <c r="F2585" s="28" t="n"/>
      <c r="G2585" s="1" t="n"/>
    </row>
    <row r="2586">
      <c r="A2586" s="1" t="n"/>
      <c r="B2586" s="26" t="n"/>
      <c r="C2586" s="27" t="n"/>
      <c r="D2586" s="30" t="n"/>
      <c r="E2586" s="30" t="n"/>
      <c r="F2586" s="28" t="n"/>
      <c r="G2586" s="1" t="n"/>
    </row>
    <row r="2587">
      <c r="A2587" s="1" t="n"/>
      <c r="B2587" s="26" t="n"/>
      <c r="C2587" s="27" t="n"/>
      <c r="D2587" s="30" t="n"/>
      <c r="E2587" s="30" t="n"/>
      <c r="F2587" s="28" t="n"/>
      <c r="G2587" s="1" t="n"/>
    </row>
    <row r="2588">
      <c r="A2588" s="1" t="n"/>
      <c r="B2588" s="26" t="n"/>
      <c r="C2588" s="27" t="n"/>
      <c r="D2588" s="30" t="n"/>
      <c r="E2588" s="30" t="n"/>
      <c r="F2588" s="28" t="n"/>
      <c r="G2588" s="1" t="n"/>
    </row>
    <row r="2589">
      <c r="A2589" s="1" t="n"/>
      <c r="B2589" s="26" t="n"/>
      <c r="C2589" s="27" t="n"/>
      <c r="D2589" s="30" t="n"/>
      <c r="E2589" s="30" t="n"/>
      <c r="F2589" s="28" t="n"/>
      <c r="G2589" s="1" t="n"/>
    </row>
    <row r="2590">
      <c r="A2590" s="1" t="n"/>
      <c r="B2590" s="26" t="n"/>
      <c r="C2590" s="27" t="n"/>
      <c r="D2590" s="30" t="n"/>
      <c r="E2590" s="30" t="n"/>
      <c r="F2590" s="28" t="n"/>
      <c r="G2590" s="1" t="n"/>
    </row>
    <row r="2591">
      <c r="A2591" s="1" t="n"/>
      <c r="B2591" s="26" t="n"/>
      <c r="C2591" s="27" t="n"/>
      <c r="D2591" s="30" t="n"/>
      <c r="E2591" s="30" t="n"/>
      <c r="F2591" s="28" t="n"/>
      <c r="G2591" s="1" t="n"/>
    </row>
    <row r="2592">
      <c r="A2592" s="1" t="n"/>
      <c r="B2592" s="26" t="n"/>
      <c r="C2592" s="27" t="n"/>
      <c r="D2592" s="30" t="n"/>
      <c r="E2592" s="30" t="n"/>
      <c r="F2592" s="28" t="n"/>
      <c r="G2592" s="1" t="n"/>
    </row>
    <row r="2593">
      <c r="A2593" s="1" t="n"/>
      <c r="B2593" s="26" t="n"/>
      <c r="C2593" s="27" t="n"/>
      <c r="D2593" s="30" t="n"/>
      <c r="E2593" s="30" t="n"/>
      <c r="F2593" s="28" t="n"/>
      <c r="G2593" s="1" t="n"/>
    </row>
    <row r="2594">
      <c r="A2594" s="1" t="n"/>
      <c r="B2594" s="26" t="n"/>
      <c r="C2594" s="27" t="n"/>
      <c r="D2594" s="30" t="n"/>
      <c r="E2594" s="30" t="n"/>
      <c r="F2594" s="28" t="n"/>
      <c r="G2594" s="1" t="n"/>
    </row>
    <row r="2595">
      <c r="A2595" s="1" t="n"/>
      <c r="B2595" s="26" t="n"/>
      <c r="C2595" s="27" t="n"/>
      <c r="D2595" s="30" t="n"/>
      <c r="E2595" s="30" t="n"/>
      <c r="F2595" s="28" t="n"/>
      <c r="G2595" s="1" t="n"/>
    </row>
    <row r="2596">
      <c r="A2596" s="1" t="n"/>
      <c r="B2596" s="26" t="n"/>
      <c r="C2596" s="27" t="n"/>
      <c r="D2596" s="30" t="n"/>
      <c r="E2596" s="30" t="n"/>
      <c r="F2596" s="28" t="n"/>
      <c r="G2596" s="1" t="n"/>
    </row>
    <row r="2597">
      <c r="A2597" s="1" t="n"/>
      <c r="B2597" s="26" t="n"/>
      <c r="C2597" s="27" t="n"/>
      <c r="D2597" s="30" t="n"/>
      <c r="E2597" s="30" t="n"/>
      <c r="F2597" s="28" t="n"/>
      <c r="G2597" s="1" t="n"/>
    </row>
    <row r="2598">
      <c r="A2598" s="1" t="n"/>
      <c r="B2598" s="26" t="n"/>
      <c r="C2598" s="27" t="n"/>
      <c r="D2598" s="30" t="n"/>
      <c r="E2598" s="30" t="n"/>
      <c r="F2598" s="28" t="n"/>
      <c r="G2598" s="1" t="n"/>
    </row>
    <row r="2599">
      <c r="A2599" s="1" t="n"/>
      <c r="B2599" s="26" t="n"/>
      <c r="C2599" s="27" t="n"/>
      <c r="D2599" s="30" t="n"/>
      <c r="E2599" s="30" t="n"/>
      <c r="F2599" s="28" t="n"/>
      <c r="G2599" s="1" t="n"/>
    </row>
    <row r="2600">
      <c r="A2600" s="1" t="n"/>
      <c r="B2600" s="26" t="n"/>
      <c r="C2600" s="27" t="n"/>
      <c r="D2600" s="30" t="n"/>
      <c r="E2600" s="30" t="n"/>
      <c r="F2600" s="28" t="n"/>
      <c r="G2600" s="1" t="n"/>
    </row>
    <row r="2601">
      <c r="A2601" s="1" t="n"/>
      <c r="B2601" s="26" t="n"/>
      <c r="C2601" s="27" t="n"/>
      <c r="D2601" s="30" t="n"/>
      <c r="E2601" s="30" t="n"/>
      <c r="F2601" s="28" t="n"/>
      <c r="G2601" s="1" t="n"/>
    </row>
    <row r="2602">
      <c r="A2602" s="1" t="n"/>
      <c r="B2602" s="26" t="n"/>
      <c r="C2602" s="27" t="n"/>
      <c r="D2602" s="30" t="n"/>
      <c r="E2602" s="30" t="n"/>
      <c r="F2602" s="28" t="n"/>
      <c r="G2602" s="1" t="n"/>
    </row>
    <row r="2603">
      <c r="A2603" s="1" t="n"/>
      <c r="B2603" s="26" t="n"/>
      <c r="C2603" s="27" t="n"/>
      <c r="D2603" s="30" t="n"/>
      <c r="E2603" s="30" t="n"/>
      <c r="F2603" s="28" t="n"/>
      <c r="G2603" s="1" t="n"/>
    </row>
    <row r="2604">
      <c r="A2604" s="1" t="n"/>
      <c r="B2604" s="26" t="n"/>
      <c r="C2604" s="27" t="n"/>
      <c r="D2604" s="30" t="n"/>
      <c r="E2604" s="30" t="n"/>
      <c r="F2604" s="28" t="n"/>
      <c r="G2604" s="1" t="n"/>
    </row>
    <row r="2605">
      <c r="A2605" s="1" t="n"/>
      <c r="B2605" s="26" t="n"/>
      <c r="C2605" s="27" t="n"/>
      <c r="D2605" s="30" t="n"/>
      <c r="E2605" s="30" t="n"/>
      <c r="F2605" s="28" t="n"/>
      <c r="G2605" s="1" t="n"/>
    </row>
    <row r="2606">
      <c r="A2606" s="1" t="n"/>
      <c r="B2606" s="26" t="n"/>
      <c r="C2606" s="27" t="n"/>
      <c r="D2606" s="30" t="n"/>
      <c r="E2606" s="30" t="n"/>
      <c r="F2606" s="28" t="n"/>
      <c r="G2606" s="1" t="n"/>
    </row>
    <row r="2607">
      <c r="A2607" s="1" t="n"/>
      <c r="B2607" s="26" t="n"/>
      <c r="C2607" s="27" t="n"/>
      <c r="D2607" s="30" t="n"/>
      <c r="E2607" s="30" t="n"/>
      <c r="F2607" s="28" t="n"/>
      <c r="G2607" s="1" t="n"/>
    </row>
    <row r="2608">
      <c r="A2608" s="1" t="n"/>
      <c r="B2608" s="26" t="n"/>
      <c r="C2608" s="27" t="n"/>
      <c r="D2608" s="30" t="n"/>
      <c r="E2608" s="30" t="n"/>
      <c r="F2608" s="28" t="n"/>
      <c r="G2608" s="1" t="n"/>
    </row>
    <row r="2609">
      <c r="A2609" s="1" t="n"/>
      <c r="B2609" s="26" t="n"/>
      <c r="C2609" s="27" t="n"/>
      <c r="D2609" s="30" t="n"/>
      <c r="E2609" s="30" t="n"/>
      <c r="F2609" s="28" t="n"/>
      <c r="G2609" s="1" t="n"/>
    </row>
    <row r="2610">
      <c r="A2610" s="1" t="n"/>
      <c r="B2610" s="26" t="n"/>
      <c r="C2610" s="27" t="n"/>
      <c r="D2610" s="30" t="n"/>
      <c r="E2610" s="30" t="n"/>
      <c r="F2610" s="28" t="n"/>
      <c r="G2610" s="1" t="n"/>
    </row>
    <row r="2611">
      <c r="A2611" s="1" t="n"/>
      <c r="B2611" s="26" t="n"/>
      <c r="C2611" s="27" t="n"/>
      <c r="D2611" s="30" t="n"/>
      <c r="E2611" s="30" t="n"/>
      <c r="F2611" s="28" t="n"/>
      <c r="G2611" s="1" t="n"/>
    </row>
    <row r="2612">
      <c r="A2612" s="1" t="n"/>
      <c r="B2612" s="26" t="n"/>
      <c r="C2612" s="27" t="n"/>
      <c r="D2612" s="30" t="n"/>
      <c r="E2612" s="30" t="n"/>
      <c r="F2612" s="28" t="n"/>
      <c r="G2612" s="1" t="n"/>
    </row>
    <row r="2613">
      <c r="A2613" s="1" t="n"/>
      <c r="B2613" s="26" t="n"/>
      <c r="C2613" s="27" t="n"/>
      <c r="D2613" s="30" t="n"/>
      <c r="E2613" s="30" t="n"/>
      <c r="F2613" s="28" t="n"/>
      <c r="G2613" s="1" t="n"/>
    </row>
    <row r="2614">
      <c r="A2614" s="1" t="n"/>
      <c r="B2614" s="26" t="n"/>
      <c r="C2614" s="27" t="n"/>
      <c r="D2614" s="30" t="n"/>
      <c r="E2614" s="30" t="n"/>
      <c r="F2614" s="28" t="n"/>
      <c r="G2614" s="1" t="n"/>
    </row>
    <row r="2615">
      <c r="A2615" s="1" t="n"/>
      <c r="B2615" s="26" t="n"/>
      <c r="C2615" s="27" t="n"/>
      <c r="D2615" s="30" t="n"/>
      <c r="E2615" s="30" t="n"/>
      <c r="F2615" s="28" t="n"/>
      <c r="G2615" s="1" t="n"/>
    </row>
    <row r="2616">
      <c r="A2616" s="1" t="n"/>
      <c r="B2616" s="26" t="n"/>
      <c r="C2616" s="27" t="n"/>
      <c r="D2616" s="30" t="n"/>
      <c r="E2616" s="30" t="n"/>
      <c r="F2616" s="28" t="n"/>
      <c r="G2616" s="1" t="n"/>
    </row>
    <row r="2617">
      <c r="A2617" s="1" t="n"/>
      <c r="B2617" s="26" t="n"/>
      <c r="C2617" s="27" t="n"/>
      <c r="D2617" s="30" t="n"/>
      <c r="E2617" s="30" t="n"/>
      <c r="F2617" s="28" t="n"/>
      <c r="G2617" s="1" t="n"/>
    </row>
    <row r="2618">
      <c r="A2618" s="1" t="n"/>
      <c r="B2618" s="26" t="n"/>
      <c r="C2618" s="27" t="n"/>
      <c r="D2618" s="30" t="n"/>
      <c r="E2618" s="30" t="n"/>
      <c r="F2618" s="28" t="n"/>
      <c r="G2618" s="1" t="n"/>
    </row>
    <row r="2619">
      <c r="A2619" s="1" t="n"/>
      <c r="B2619" s="26" t="n"/>
      <c r="C2619" s="27" t="n"/>
      <c r="D2619" s="30" t="n"/>
      <c r="E2619" s="30" t="n"/>
      <c r="F2619" s="28" t="n"/>
      <c r="G2619" s="1" t="n"/>
    </row>
    <row r="2620">
      <c r="A2620" s="1" t="n"/>
      <c r="B2620" s="26" t="n"/>
      <c r="C2620" s="27" t="n"/>
      <c r="D2620" s="30" t="n"/>
      <c r="E2620" s="30" t="n"/>
      <c r="F2620" s="28" t="n"/>
      <c r="G2620" s="1" t="n"/>
    </row>
    <row r="2621">
      <c r="A2621" s="1" t="n"/>
      <c r="B2621" s="26" t="n"/>
      <c r="C2621" s="27" t="n"/>
      <c r="D2621" s="30" t="n"/>
      <c r="E2621" s="30" t="n"/>
      <c r="F2621" s="28" t="n"/>
      <c r="G2621" s="1" t="n"/>
    </row>
    <row r="2622">
      <c r="A2622" s="1" t="n"/>
      <c r="B2622" s="26" t="n"/>
      <c r="C2622" s="27" t="n"/>
      <c r="D2622" s="30" t="n"/>
      <c r="E2622" s="30" t="n"/>
      <c r="F2622" s="28" t="n"/>
      <c r="G2622" s="1" t="n"/>
    </row>
    <row r="2623">
      <c r="A2623" s="1" t="n"/>
      <c r="B2623" s="26" t="n"/>
      <c r="C2623" s="27" t="n"/>
      <c r="D2623" s="30" t="n"/>
      <c r="E2623" s="30" t="n"/>
      <c r="F2623" s="28" t="n"/>
      <c r="G2623" s="1" t="n"/>
    </row>
    <row r="2624">
      <c r="A2624" s="1" t="n"/>
      <c r="B2624" s="26" t="n"/>
      <c r="C2624" s="27" t="n"/>
      <c r="D2624" s="30" t="n"/>
      <c r="E2624" s="30" t="n"/>
      <c r="F2624" s="28" t="n"/>
      <c r="G2624" s="1" t="n"/>
    </row>
    <row r="2625">
      <c r="A2625" s="1" t="n"/>
      <c r="B2625" s="26" t="n"/>
      <c r="C2625" s="27" t="n"/>
      <c r="D2625" s="30" t="n"/>
      <c r="E2625" s="30" t="n"/>
      <c r="F2625" s="28" t="n"/>
      <c r="G2625" s="1" t="n"/>
    </row>
    <row r="2626">
      <c r="A2626" s="1" t="n"/>
      <c r="B2626" s="26" t="n"/>
      <c r="C2626" s="27" t="n"/>
      <c r="D2626" s="30" t="n"/>
      <c r="E2626" s="30" t="n"/>
      <c r="F2626" s="28" t="n"/>
      <c r="G2626" s="1" t="n"/>
    </row>
    <row r="2627">
      <c r="A2627" s="1" t="n"/>
      <c r="B2627" s="26" t="n"/>
      <c r="C2627" s="27" t="n"/>
      <c r="D2627" s="30" t="n"/>
      <c r="E2627" s="30" t="n"/>
      <c r="F2627" s="28" t="n"/>
      <c r="G2627" s="1" t="n"/>
    </row>
    <row r="2628">
      <c r="A2628" s="1" t="n"/>
      <c r="B2628" s="26" t="n"/>
      <c r="C2628" s="27" t="n"/>
      <c r="D2628" s="30" t="n"/>
      <c r="E2628" s="30" t="n"/>
      <c r="F2628" s="28" t="n"/>
      <c r="G2628" s="1" t="n"/>
    </row>
    <row r="2629">
      <c r="A2629" s="1" t="n"/>
      <c r="B2629" s="26" t="n"/>
      <c r="C2629" s="27" t="n"/>
      <c r="D2629" s="30" t="n"/>
      <c r="E2629" s="30" t="n"/>
      <c r="F2629" s="28" t="n"/>
      <c r="G2629" s="1" t="n"/>
    </row>
    <row r="2630">
      <c r="A2630" s="1" t="n"/>
      <c r="B2630" s="26" t="n"/>
      <c r="C2630" s="27" t="n"/>
      <c r="D2630" s="30" t="n"/>
      <c r="E2630" s="30" t="n"/>
      <c r="F2630" s="28" t="n"/>
      <c r="G2630" s="1" t="n"/>
    </row>
    <row r="2631">
      <c r="A2631" s="1" t="n"/>
      <c r="B2631" s="26" t="n"/>
      <c r="C2631" s="27" t="n"/>
      <c r="D2631" s="30" t="n"/>
      <c r="E2631" s="30" t="n"/>
      <c r="F2631" s="28" t="n"/>
      <c r="G2631" s="1" t="n"/>
    </row>
    <row r="2632">
      <c r="A2632" s="1" t="n"/>
      <c r="B2632" s="26" t="n"/>
      <c r="C2632" s="27" t="n"/>
      <c r="D2632" s="30" t="n"/>
      <c r="E2632" s="30" t="n"/>
      <c r="F2632" s="28" t="n"/>
      <c r="G2632" s="1" t="n"/>
    </row>
    <row r="2633">
      <c r="A2633" s="1" t="n"/>
      <c r="B2633" s="26" t="n"/>
      <c r="C2633" s="27" t="n"/>
      <c r="D2633" s="30" t="n"/>
      <c r="E2633" s="30" t="n"/>
      <c r="F2633" s="28" t="n"/>
      <c r="G2633" s="1" t="n"/>
    </row>
    <row r="2634">
      <c r="A2634" s="1" t="n"/>
      <c r="B2634" s="26" t="n"/>
      <c r="C2634" s="27" t="n"/>
      <c r="D2634" s="30" t="n"/>
      <c r="E2634" s="30" t="n"/>
      <c r="F2634" s="28" t="n"/>
      <c r="G2634" s="1" t="n"/>
    </row>
    <row r="2635">
      <c r="A2635" s="1" t="n"/>
      <c r="B2635" s="26" t="n"/>
      <c r="C2635" s="27" t="n"/>
      <c r="D2635" s="30" t="n"/>
      <c r="E2635" s="30" t="n"/>
      <c r="F2635" s="28" t="n"/>
      <c r="G2635" s="1" t="n"/>
    </row>
    <row r="2636">
      <c r="A2636" s="1" t="n"/>
      <c r="B2636" s="26" t="n"/>
      <c r="C2636" s="27" t="n"/>
      <c r="D2636" s="30" t="n"/>
      <c r="E2636" s="30" t="n"/>
      <c r="F2636" s="28" t="n"/>
      <c r="G2636" s="1" t="n"/>
    </row>
    <row r="2637">
      <c r="A2637" s="1" t="n"/>
      <c r="B2637" s="26" t="n"/>
      <c r="C2637" s="27" t="n"/>
      <c r="D2637" s="30" t="n"/>
      <c r="E2637" s="30" t="n"/>
      <c r="F2637" s="28" t="n"/>
      <c r="G2637" s="1" t="n"/>
    </row>
    <row r="2638">
      <c r="A2638" s="1" t="n"/>
      <c r="B2638" s="26" t="n"/>
      <c r="C2638" s="27" t="n"/>
      <c r="D2638" s="30" t="n"/>
      <c r="E2638" s="30" t="n"/>
      <c r="F2638" s="28" t="n"/>
      <c r="G2638" s="1" t="n"/>
    </row>
    <row r="2639">
      <c r="A2639" s="1" t="n"/>
      <c r="B2639" s="26" t="n"/>
      <c r="C2639" s="27" t="n"/>
      <c r="D2639" s="30" t="n"/>
      <c r="E2639" s="30" t="n"/>
      <c r="F2639" s="28" t="n"/>
      <c r="G2639" s="1" t="n"/>
    </row>
    <row r="2640">
      <c r="A2640" s="1" t="n"/>
      <c r="B2640" s="26" t="n"/>
      <c r="C2640" s="27" t="n"/>
      <c r="D2640" s="30" t="n"/>
      <c r="E2640" s="30" t="n"/>
      <c r="F2640" s="28" t="n"/>
      <c r="G2640" s="1" t="n"/>
    </row>
    <row r="2641">
      <c r="A2641" s="1" t="n"/>
      <c r="B2641" s="26" t="n"/>
      <c r="C2641" s="27" t="n"/>
      <c r="D2641" s="30" t="n"/>
      <c r="E2641" s="30" t="n"/>
      <c r="F2641" s="28" t="n"/>
      <c r="G2641" s="1" t="n"/>
    </row>
    <row r="2642">
      <c r="A2642" s="1" t="n"/>
      <c r="B2642" s="26" t="n"/>
      <c r="C2642" s="27" t="n"/>
      <c r="D2642" s="30" t="n"/>
      <c r="E2642" s="30" t="n"/>
      <c r="F2642" s="28" t="n"/>
      <c r="G2642" s="1" t="n"/>
    </row>
    <row r="2643">
      <c r="A2643" s="1" t="n"/>
      <c r="B2643" s="26" t="n"/>
      <c r="C2643" s="27" t="n"/>
      <c r="D2643" s="30" t="n"/>
      <c r="E2643" s="30" t="n"/>
      <c r="F2643" s="28" t="n"/>
      <c r="G2643" s="1" t="n"/>
    </row>
    <row r="2644">
      <c r="A2644" s="1" t="n"/>
      <c r="B2644" s="26" t="n"/>
      <c r="C2644" s="27" t="n"/>
      <c r="D2644" s="30" t="n"/>
      <c r="E2644" s="30" t="n"/>
      <c r="F2644" s="28" t="n"/>
      <c r="G2644" s="1" t="n"/>
    </row>
    <row r="2645">
      <c r="A2645" s="1" t="n"/>
      <c r="B2645" s="26" t="n"/>
      <c r="C2645" s="27" t="n"/>
      <c r="D2645" s="30" t="n"/>
      <c r="E2645" s="30" t="n"/>
      <c r="F2645" s="28" t="n"/>
      <c r="G2645" s="1" t="n"/>
    </row>
    <row r="2646">
      <c r="A2646" s="1" t="n"/>
      <c r="B2646" s="26" t="n"/>
      <c r="C2646" s="27" t="n"/>
      <c r="D2646" s="30" t="n"/>
      <c r="E2646" s="30" t="n"/>
      <c r="F2646" s="28" t="n"/>
      <c r="G2646" s="1" t="n"/>
    </row>
    <row r="2647">
      <c r="A2647" s="1" t="n"/>
      <c r="B2647" s="26" t="n"/>
      <c r="C2647" s="27" t="n"/>
      <c r="D2647" s="30" t="n"/>
      <c r="E2647" s="30" t="n"/>
      <c r="F2647" s="28" t="n"/>
      <c r="G2647" s="1" t="n"/>
    </row>
    <row r="2648">
      <c r="A2648" s="1" t="n"/>
      <c r="B2648" s="26" t="n"/>
      <c r="C2648" s="27" t="n"/>
      <c r="D2648" s="30" t="n"/>
      <c r="E2648" s="30" t="n"/>
      <c r="F2648" s="28" t="n"/>
      <c r="G2648" s="1" t="n"/>
    </row>
    <row r="2649">
      <c r="A2649" s="1" t="n"/>
      <c r="B2649" s="26" t="n"/>
      <c r="C2649" s="27" t="n"/>
      <c r="D2649" s="30" t="n"/>
      <c r="E2649" s="30" t="n"/>
      <c r="F2649" s="28" t="n"/>
      <c r="G2649" s="1" t="n"/>
    </row>
    <row r="2650">
      <c r="A2650" s="1" t="n"/>
      <c r="B2650" s="26" t="n"/>
      <c r="C2650" s="27" t="n"/>
      <c r="D2650" s="30" t="n"/>
      <c r="E2650" s="30" t="n"/>
      <c r="F2650" s="28" t="n"/>
      <c r="G2650" s="1" t="n"/>
    </row>
    <row r="2651">
      <c r="A2651" s="1" t="n"/>
      <c r="B2651" s="26" t="n"/>
      <c r="C2651" s="27" t="n"/>
      <c r="D2651" s="30" t="n"/>
      <c r="E2651" s="30" t="n"/>
      <c r="F2651" s="28" t="n"/>
      <c r="G2651" s="1" t="n"/>
    </row>
    <row r="2652">
      <c r="A2652" s="1" t="n"/>
      <c r="B2652" s="26" t="n"/>
      <c r="C2652" s="27" t="n"/>
      <c r="D2652" s="30" t="n"/>
      <c r="E2652" s="30" t="n"/>
      <c r="F2652" s="28" t="n"/>
      <c r="G2652" s="1" t="n"/>
    </row>
    <row r="2653">
      <c r="A2653" s="1" t="n"/>
      <c r="B2653" s="26" t="n"/>
      <c r="C2653" s="27" t="n"/>
      <c r="D2653" s="30" t="n"/>
      <c r="E2653" s="30" t="n"/>
      <c r="F2653" s="28" t="n"/>
      <c r="G2653" s="1" t="n"/>
    </row>
    <row r="2654">
      <c r="A2654" s="1" t="n"/>
      <c r="B2654" s="26" t="n"/>
      <c r="C2654" s="27" t="n"/>
      <c r="D2654" s="30" t="n"/>
      <c r="E2654" s="30" t="n"/>
      <c r="F2654" s="28" t="n"/>
      <c r="G2654" s="1" t="n"/>
    </row>
    <row r="2655">
      <c r="A2655" s="1" t="n"/>
      <c r="B2655" s="26" t="n"/>
      <c r="C2655" s="27" t="n"/>
      <c r="D2655" s="30" t="n"/>
      <c r="E2655" s="30" t="n"/>
      <c r="F2655" s="28" t="n"/>
      <c r="G2655" s="1" t="n"/>
    </row>
    <row r="2656">
      <c r="A2656" s="1" t="n"/>
      <c r="B2656" s="26" t="n"/>
      <c r="C2656" s="27" t="n"/>
      <c r="D2656" s="30" t="n"/>
      <c r="E2656" s="30" t="n"/>
      <c r="F2656" s="28" t="n"/>
      <c r="G2656" s="1" t="n"/>
    </row>
    <row r="2657">
      <c r="A2657" s="1" t="n"/>
      <c r="B2657" s="26" t="n"/>
      <c r="C2657" s="27" t="n"/>
      <c r="D2657" s="30" t="n"/>
      <c r="E2657" s="30" t="n"/>
      <c r="F2657" s="28" t="n"/>
      <c r="G2657" s="1" t="n"/>
    </row>
    <row r="2658">
      <c r="A2658" s="1" t="n"/>
      <c r="B2658" s="26" t="n"/>
      <c r="C2658" s="27" t="n"/>
      <c r="D2658" s="30" t="n"/>
      <c r="E2658" s="30" t="n"/>
      <c r="F2658" s="28" t="n"/>
      <c r="G2658" s="1" t="n"/>
    </row>
    <row r="2659">
      <c r="A2659" s="1" t="n"/>
      <c r="B2659" s="26" t="n"/>
      <c r="C2659" s="27" t="n"/>
      <c r="D2659" s="30" t="n"/>
      <c r="E2659" s="30" t="n"/>
      <c r="F2659" s="28" t="n"/>
      <c r="G2659" s="1" t="n"/>
    </row>
    <row r="2660">
      <c r="A2660" s="1" t="n"/>
      <c r="B2660" s="26" t="n"/>
      <c r="C2660" s="27" t="n"/>
      <c r="D2660" s="30" t="n"/>
      <c r="E2660" s="30" t="n"/>
      <c r="F2660" s="28" t="n"/>
      <c r="G2660" s="1" t="n"/>
    </row>
    <row r="2661">
      <c r="A2661" s="1" t="n"/>
      <c r="B2661" s="26" t="n"/>
      <c r="C2661" s="27" t="n"/>
      <c r="D2661" s="30" t="n"/>
      <c r="E2661" s="30" t="n"/>
      <c r="F2661" s="28" t="n"/>
      <c r="G2661" s="1" t="n"/>
    </row>
    <row r="2662">
      <c r="A2662" s="1" t="n"/>
      <c r="B2662" s="26" t="n"/>
      <c r="C2662" s="27" t="n"/>
      <c r="D2662" s="30" t="n"/>
      <c r="E2662" s="30" t="n"/>
      <c r="F2662" s="28" t="n"/>
      <c r="G2662" s="1" t="n"/>
    </row>
    <row r="2663">
      <c r="A2663" s="1" t="n"/>
      <c r="B2663" s="26" t="n"/>
      <c r="C2663" s="27" t="n"/>
      <c r="D2663" s="30" t="n"/>
      <c r="E2663" s="30" t="n"/>
      <c r="F2663" s="28" t="n"/>
      <c r="G2663" s="1" t="n"/>
    </row>
    <row r="2664">
      <c r="A2664" s="1" t="n"/>
      <c r="B2664" s="26" t="n"/>
      <c r="C2664" s="27" t="n"/>
      <c r="D2664" s="30" t="n"/>
      <c r="E2664" s="30" t="n"/>
      <c r="F2664" s="28" t="n"/>
      <c r="G2664" s="1" t="n"/>
    </row>
    <row r="2665">
      <c r="A2665" s="1" t="n"/>
      <c r="B2665" s="26" t="n"/>
      <c r="C2665" s="27" t="n"/>
      <c r="D2665" s="30" t="n"/>
      <c r="E2665" s="30" t="n"/>
      <c r="F2665" s="28" t="n"/>
      <c r="G2665" s="1" t="n"/>
    </row>
    <row r="2666">
      <c r="A2666" s="1" t="n"/>
      <c r="B2666" s="26" t="n"/>
      <c r="C2666" s="27" t="n"/>
      <c r="D2666" s="30" t="n"/>
      <c r="E2666" s="30" t="n"/>
      <c r="F2666" s="28" t="n"/>
      <c r="G2666" s="1" t="n"/>
    </row>
    <row r="2667">
      <c r="A2667" s="1" t="n"/>
      <c r="B2667" s="26" t="n"/>
      <c r="C2667" s="27" t="n"/>
      <c r="D2667" s="30" t="n"/>
      <c r="E2667" s="30" t="n"/>
      <c r="F2667" s="28" t="n"/>
      <c r="G2667" s="1" t="n"/>
    </row>
    <row r="2668">
      <c r="A2668" s="1" t="n"/>
      <c r="B2668" s="26" t="n"/>
      <c r="C2668" s="27" t="n"/>
      <c r="D2668" s="30" t="n"/>
      <c r="E2668" s="30" t="n"/>
      <c r="F2668" s="28" t="n"/>
      <c r="G2668" s="1" t="n"/>
    </row>
    <row r="2669">
      <c r="A2669" s="1" t="n"/>
      <c r="B2669" s="26" t="n"/>
      <c r="C2669" s="27" t="n"/>
      <c r="D2669" s="30" t="n"/>
      <c r="E2669" s="30" t="n"/>
      <c r="F2669" s="28" t="n"/>
      <c r="G2669" s="1" t="n"/>
    </row>
    <row r="2670">
      <c r="A2670" s="1" t="n"/>
      <c r="B2670" s="26" t="n"/>
      <c r="C2670" s="27" t="n"/>
      <c r="D2670" s="30" t="n"/>
      <c r="E2670" s="30" t="n"/>
      <c r="F2670" s="28" t="n"/>
      <c r="G2670" s="1" t="n"/>
    </row>
    <row r="2671">
      <c r="A2671" s="1" t="n"/>
      <c r="B2671" s="26" t="n"/>
      <c r="C2671" s="27" t="n"/>
      <c r="D2671" s="30" t="n"/>
      <c r="E2671" s="30" t="n"/>
      <c r="F2671" s="28" t="n"/>
      <c r="G2671" s="1" t="n"/>
    </row>
    <row r="2672">
      <c r="A2672" s="1" t="n"/>
      <c r="B2672" s="26" t="n"/>
      <c r="C2672" s="27" t="n"/>
      <c r="D2672" s="30" t="n"/>
      <c r="E2672" s="30" t="n"/>
      <c r="F2672" s="28" t="n"/>
      <c r="G2672" s="1" t="n"/>
    </row>
    <row r="2673">
      <c r="A2673" s="1" t="n"/>
      <c r="B2673" s="26" t="n"/>
      <c r="C2673" s="27" t="n"/>
      <c r="D2673" s="30" t="n"/>
      <c r="E2673" s="30" t="n"/>
      <c r="F2673" s="28" t="n"/>
      <c r="G2673" s="1" t="n"/>
    </row>
    <row r="2674">
      <c r="A2674" s="1" t="n"/>
      <c r="B2674" s="26" t="n"/>
      <c r="C2674" s="27" t="n"/>
      <c r="D2674" s="30" t="n"/>
      <c r="E2674" s="30" t="n"/>
      <c r="F2674" s="28" t="n"/>
      <c r="G2674" s="1" t="n"/>
    </row>
    <row r="2675">
      <c r="A2675" s="1" t="n"/>
      <c r="B2675" s="26" t="n"/>
      <c r="C2675" s="27" t="n"/>
      <c r="D2675" s="30" t="n"/>
      <c r="E2675" s="30" t="n"/>
      <c r="F2675" s="28" t="n"/>
      <c r="G2675" s="1" t="n"/>
    </row>
    <row r="2676">
      <c r="A2676" s="1" t="n"/>
      <c r="B2676" s="26" t="n"/>
      <c r="C2676" s="27" t="n"/>
      <c r="D2676" s="30" t="n"/>
      <c r="E2676" s="30" t="n"/>
      <c r="F2676" s="28" t="n"/>
      <c r="G2676" s="1" t="n"/>
    </row>
    <row r="2677">
      <c r="A2677" s="1" t="n"/>
      <c r="B2677" s="26" t="n"/>
      <c r="C2677" s="27" t="n"/>
      <c r="D2677" s="30" t="n"/>
      <c r="E2677" s="30" t="n"/>
      <c r="F2677" s="28" t="n"/>
      <c r="G2677" s="1" t="n"/>
    </row>
    <row r="2678">
      <c r="A2678" s="1" t="n"/>
      <c r="B2678" s="26" t="n"/>
      <c r="C2678" s="27" t="n"/>
      <c r="D2678" s="30" t="n"/>
      <c r="E2678" s="30" t="n"/>
      <c r="F2678" s="28" t="n"/>
      <c r="G2678" s="1" t="n"/>
    </row>
    <row r="2679">
      <c r="A2679" s="1" t="n"/>
      <c r="B2679" s="26" t="n"/>
      <c r="C2679" s="27" t="n"/>
      <c r="D2679" s="30" t="n"/>
      <c r="E2679" s="30" t="n"/>
      <c r="F2679" s="28" t="n"/>
      <c r="G2679" s="1" t="n"/>
    </row>
    <row r="2680">
      <c r="A2680" s="1" t="n"/>
      <c r="B2680" s="26" t="n"/>
      <c r="C2680" s="27" t="n"/>
      <c r="D2680" s="30" t="n"/>
      <c r="E2680" s="30" t="n"/>
      <c r="F2680" s="28" t="n"/>
      <c r="G2680" s="1" t="n"/>
    </row>
    <row r="2681">
      <c r="A2681" s="1" t="n"/>
      <c r="B2681" s="26" t="n"/>
      <c r="C2681" s="27" t="n"/>
      <c r="D2681" s="30" t="n"/>
      <c r="E2681" s="30" t="n"/>
      <c r="F2681" s="28" t="n"/>
      <c r="G2681" s="1" t="n"/>
    </row>
    <row r="2682">
      <c r="A2682" s="1" t="n"/>
      <c r="B2682" s="26" t="n"/>
      <c r="C2682" s="27" t="n"/>
      <c r="D2682" s="30" t="n"/>
      <c r="E2682" s="30" t="n"/>
      <c r="F2682" s="28" t="n"/>
      <c r="G2682" s="1" t="n"/>
    </row>
    <row r="2683">
      <c r="A2683" s="1" t="n"/>
      <c r="B2683" s="26" t="n"/>
      <c r="C2683" s="27" t="n"/>
      <c r="D2683" s="30" t="n"/>
      <c r="E2683" s="30" t="n"/>
      <c r="F2683" s="28" t="n"/>
      <c r="G2683" s="1" t="n"/>
    </row>
    <row r="2684">
      <c r="A2684" s="1" t="n"/>
      <c r="B2684" s="26" t="n"/>
      <c r="C2684" s="27" t="n"/>
      <c r="D2684" s="30" t="n"/>
      <c r="E2684" s="30" t="n"/>
      <c r="F2684" s="28" t="n"/>
      <c r="G2684" s="1" t="n"/>
    </row>
    <row r="2685">
      <c r="A2685" s="1" t="n"/>
      <c r="B2685" s="26" t="n"/>
      <c r="C2685" s="27" t="n"/>
      <c r="D2685" s="30" t="n"/>
      <c r="E2685" s="30" t="n"/>
      <c r="F2685" s="28" t="n"/>
      <c r="G2685" s="1" t="n"/>
    </row>
    <row r="2686">
      <c r="A2686" s="1" t="n"/>
      <c r="B2686" s="26" t="n"/>
      <c r="C2686" s="27" t="n"/>
      <c r="D2686" s="30" t="n"/>
      <c r="E2686" s="30" t="n"/>
      <c r="F2686" s="28" t="n"/>
      <c r="G2686" s="1" t="n"/>
    </row>
    <row r="2687">
      <c r="A2687" s="1" t="n"/>
      <c r="B2687" s="26" t="n"/>
      <c r="C2687" s="27" t="n"/>
      <c r="D2687" s="30" t="n"/>
      <c r="E2687" s="30" t="n"/>
      <c r="F2687" s="28" t="n"/>
      <c r="G2687" s="1" t="n"/>
    </row>
    <row r="2688">
      <c r="A2688" s="1" t="n"/>
      <c r="B2688" s="26" t="n"/>
      <c r="C2688" s="27" t="n"/>
      <c r="D2688" s="30" t="n"/>
      <c r="E2688" s="30" t="n"/>
      <c r="F2688" s="28" t="n"/>
      <c r="G2688" s="1" t="n"/>
    </row>
    <row r="2689">
      <c r="A2689" s="1" t="n"/>
      <c r="B2689" s="26" t="n"/>
      <c r="C2689" s="27" t="n"/>
      <c r="D2689" s="30" t="n"/>
      <c r="E2689" s="30" t="n"/>
      <c r="F2689" s="28" t="n"/>
      <c r="G2689" s="1" t="n"/>
    </row>
    <row r="2690">
      <c r="A2690" s="1" t="n"/>
      <c r="B2690" s="26" t="n"/>
      <c r="C2690" s="27" t="n"/>
      <c r="D2690" s="30" t="n"/>
      <c r="E2690" s="30" t="n"/>
      <c r="F2690" s="28" t="n"/>
      <c r="G2690" s="1" t="n"/>
    </row>
    <row r="2691">
      <c r="A2691" s="1" t="n"/>
      <c r="B2691" s="26" t="n"/>
      <c r="C2691" s="27" t="n"/>
      <c r="D2691" s="30" t="n"/>
      <c r="E2691" s="30" t="n"/>
      <c r="F2691" s="28" t="n"/>
      <c r="G2691" s="1" t="n"/>
    </row>
    <row r="2692">
      <c r="A2692" s="1" t="n"/>
      <c r="B2692" s="26" t="n"/>
      <c r="C2692" s="27" t="n"/>
      <c r="D2692" s="30" t="n"/>
      <c r="E2692" s="30" t="n"/>
      <c r="F2692" s="28" t="n"/>
      <c r="G2692" s="1" t="n"/>
    </row>
    <row r="2693">
      <c r="A2693" s="1" t="n"/>
      <c r="B2693" s="26" t="n"/>
      <c r="C2693" s="27" t="n"/>
      <c r="D2693" s="30" t="n"/>
      <c r="E2693" s="30" t="n"/>
      <c r="F2693" s="28" t="n"/>
      <c r="G2693" s="1" t="n"/>
    </row>
    <row r="2694">
      <c r="A2694" s="1" t="n"/>
      <c r="B2694" s="26" t="n"/>
      <c r="C2694" s="27" t="n"/>
      <c r="D2694" s="30" t="n"/>
      <c r="E2694" s="30" t="n"/>
      <c r="F2694" s="28" t="n"/>
      <c r="G2694" s="1" t="n"/>
    </row>
    <row r="2695">
      <c r="A2695" s="1" t="n"/>
      <c r="B2695" s="26" t="n"/>
      <c r="C2695" s="27" t="n"/>
      <c r="D2695" s="30" t="n"/>
      <c r="E2695" s="30" t="n"/>
      <c r="F2695" s="28" t="n"/>
      <c r="G2695" s="1" t="n"/>
    </row>
    <row r="2696">
      <c r="A2696" s="1" t="n"/>
      <c r="B2696" s="26" t="n"/>
      <c r="C2696" s="27" t="n"/>
      <c r="D2696" s="30" t="n"/>
      <c r="E2696" s="30" t="n"/>
      <c r="F2696" s="28" t="n"/>
      <c r="G2696" s="1" t="n"/>
    </row>
    <row r="2697">
      <c r="A2697" s="1" t="n"/>
      <c r="B2697" s="26" t="n"/>
      <c r="C2697" s="27" t="n"/>
      <c r="D2697" s="30" t="n"/>
      <c r="E2697" s="30" t="n"/>
      <c r="F2697" s="28" t="n"/>
      <c r="G2697" s="1" t="n"/>
    </row>
    <row r="2698">
      <c r="A2698" s="1" t="n"/>
      <c r="B2698" s="26" t="n"/>
      <c r="C2698" s="27" t="n"/>
      <c r="D2698" s="30" t="n"/>
      <c r="E2698" s="30" t="n"/>
      <c r="F2698" s="28" t="n"/>
      <c r="G2698" s="1" t="n"/>
    </row>
    <row r="2699">
      <c r="A2699" s="1" t="n"/>
      <c r="B2699" s="26" t="n"/>
      <c r="C2699" s="27" t="n"/>
      <c r="D2699" s="30" t="n"/>
      <c r="E2699" s="30" t="n"/>
      <c r="F2699" s="28" t="n"/>
      <c r="G2699" s="1" t="n"/>
    </row>
    <row r="2700">
      <c r="A2700" s="1" t="n"/>
      <c r="B2700" s="26" t="n"/>
      <c r="C2700" s="27" t="n"/>
      <c r="D2700" s="30" t="n"/>
      <c r="E2700" s="30" t="n"/>
      <c r="F2700" s="28" t="n"/>
      <c r="G2700" s="1" t="n"/>
    </row>
    <row r="2701">
      <c r="A2701" s="1" t="n"/>
      <c r="B2701" s="26" t="n"/>
      <c r="C2701" s="27" t="n"/>
      <c r="D2701" s="30" t="n"/>
      <c r="E2701" s="30" t="n"/>
      <c r="F2701" s="28" t="n"/>
      <c r="G2701" s="1" t="n"/>
    </row>
    <row r="2702">
      <c r="A2702" s="1" t="n"/>
      <c r="B2702" s="26" t="n"/>
      <c r="C2702" s="27" t="n"/>
      <c r="D2702" s="30" t="n"/>
      <c r="E2702" s="30" t="n"/>
      <c r="F2702" s="28" t="n"/>
      <c r="G2702" s="1" t="n"/>
    </row>
    <row r="2703">
      <c r="A2703" s="1" t="n"/>
      <c r="B2703" s="26" t="n"/>
      <c r="C2703" s="27" t="n"/>
      <c r="D2703" s="30" t="n"/>
      <c r="E2703" s="30" t="n"/>
      <c r="F2703" s="28" t="n"/>
      <c r="G2703" s="1" t="n"/>
    </row>
    <row r="2704">
      <c r="A2704" s="1" t="n"/>
      <c r="B2704" s="26" t="n"/>
      <c r="C2704" s="27" t="n"/>
      <c r="D2704" s="30" t="n"/>
      <c r="E2704" s="30" t="n"/>
      <c r="F2704" s="28" t="n"/>
      <c r="G2704" s="1" t="n"/>
    </row>
    <row r="2705">
      <c r="A2705" s="1" t="n"/>
      <c r="B2705" s="26" t="n"/>
      <c r="C2705" s="27" t="n"/>
      <c r="D2705" s="30" t="n"/>
      <c r="E2705" s="30" t="n"/>
      <c r="F2705" s="28" t="n"/>
      <c r="G2705" s="1" t="n"/>
    </row>
    <row r="2706">
      <c r="A2706" s="1" t="n"/>
      <c r="B2706" s="26" t="n"/>
      <c r="C2706" s="27" t="n"/>
      <c r="D2706" s="30" t="n"/>
      <c r="E2706" s="30" t="n"/>
      <c r="F2706" s="28" t="n"/>
      <c r="G2706" s="1" t="n"/>
    </row>
    <row r="2707">
      <c r="A2707" s="1" t="n"/>
      <c r="B2707" s="26" t="n"/>
      <c r="C2707" s="27" t="n"/>
      <c r="D2707" s="30" t="n"/>
      <c r="E2707" s="30" t="n"/>
      <c r="F2707" s="28" t="n"/>
      <c r="G2707" s="1" t="n"/>
    </row>
    <row r="2708">
      <c r="A2708" s="1" t="n"/>
      <c r="B2708" s="26" t="n"/>
      <c r="C2708" s="27" t="n"/>
      <c r="D2708" s="30" t="n"/>
      <c r="E2708" s="30" t="n"/>
      <c r="F2708" s="28" t="n"/>
      <c r="G2708" s="1" t="n"/>
    </row>
    <row r="2709">
      <c r="A2709" s="1" t="n"/>
      <c r="B2709" s="26" t="n"/>
      <c r="C2709" s="27" t="n"/>
      <c r="D2709" s="30" t="n"/>
      <c r="E2709" s="30" t="n"/>
      <c r="F2709" s="28" t="n"/>
      <c r="G2709" s="1" t="n"/>
    </row>
    <row r="2710">
      <c r="A2710" s="1" t="n"/>
      <c r="B2710" s="26" t="n"/>
      <c r="C2710" s="27" t="n"/>
      <c r="D2710" s="30" t="n"/>
      <c r="E2710" s="30" t="n"/>
      <c r="F2710" s="28" t="n"/>
      <c r="G2710" s="1" t="n"/>
    </row>
    <row r="2711">
      <c r="A2711" s="1" t="n"/>
      <c r="B2711" s="26" t="n"/>
      <c r="C2711" s="27" t="n"/>
      <c r="D2711" s="30" t="n"/>
      <c r="E2711" s="30" t="n"/>
      <c r="F2711" s="28" t="n"/>
      <c r="G2711" s="1" t="n"/>
    </row>
    <row r="2712">
      <c r="A2712" s="1" t="n"/>
      <c r="B2712" s="26" t="n"/>
      <c r="C2712" s="27" t="n"/>
      <c r="D2712" s="30" t="n"/>
      <c r="E2712" s="30" t="n"/>
      <c r="F2712" s="28" t="n"/>
      <c r="G2712" s="1" t="n"/>
    </row>
    <row r="2713">
      <c r="A2713" s="1" t="n"/>
      <c r="B2713" s="26" t="n"/>
      <c r="C2713" s="27" t="n"/>
      <c r="D2713" s="30" t="n"/>
      <c r="E2713" s="30" t="n"/>
      <c r="F2713" s="28" t="n"/>
      <c r="G2713" s="1" t="n"/>
    </row>
    <row r="2714">
      <c r="A2714" s="1" t="n"/>
      <c r="B2714" s="26" t="n"/>
      <c r="C2714" s="27" t="n"/>
      <c r="D2714" s="30" t="n"/>
      <c r="E2714" s="30" t="n"/>
      <c r="F2714" s="28" t="n"/>
      <c r="G2714" s="1" t="n"/>
    </row>
    <row r="2715">
      <c r="A2715" s="1" t="n"/>
      <c r="B2715" s="26" t="n"/>
      <c r="C2715" s="27" t="n"/>
      <c r="D2715" s="30" t="n"/>
      <c r="E2715" s="30" t="n"/>
      <c r="F2715" s="28" t="n"/>
      <c r="G2715" s="1" t="n"/>
    </row>
    <row r="2716">
      <c r="A2716" s="1" t="n"/>
      <c r="B2716" s="26" t="n"/>
      <c r="C2716" s="27" t="n"/>
      <c r="D2716" s="30" t="n"/>
      <c r="E2716" s="30" t="n"/>
      <c r="F2716" s="28" t="n"/>
      <c r="G2716" s="1" t="n"/>
    </row>
    <row r="2717">
      <c r="A2717" s="1" t="n"/>
      <c r="B2717" s="26" t="n"/>
      <c r="C2717" s="27" t="n"/>
      <c r="D2717" s="30" t="n"/>
      <c r="E2717" s="30" t="n"/>
      <c r="F2717" s="28" t="n"/>
      <c r="G2717" s="1" t="n"/>
    </row>
    <row r="2718">
      <c r="A2718" s="1" t="n"/>
      <c r="B2718" s="26" t="n"/>
      <c r="C2718" s="27" t="n"/>
      <c r="D2718" s="30" t="n"/>
      <c r="E2718" s="30" t="n"/>
      <c r="F2718" s="28" t="n"/>
      <c r="G2718" s="1" t="n"/>
    </row>
    <row r="2719">
      <c r="A2719" s="1" t="n"/>
      <c r="B2719" s="26" t="n"/>
      <c r="C2719" s="27" t="n"/>
      <c r="D2719" s="30" t="n"/>
      <c r="E2719" s="30" t="n"/>
      <c r="F2719" s="28" t="n"/>
      <c r="G2719" s="1" t="n"/>
    </row>
    <row r="2720">
      <c r="A2720" s="1" t="n"/>
      <c r="B2720" s="26" t="n"/>
      <c r="C2720" s="27" t="n"/>
      <c r="D2720" s="30" t="n"/>
      <c r="E2720" s="30" t="n"/>
      <c r="F2720" s="28" t="n"/>
      <c r="G2720" s="1" t="n"/>
    </row>
    <row r="2721">
      <c r="A2721" s="1" t="n"/>
      <c r="B2721" s="26" t="n"/>
      <c r="C2721" s="27" t="n"/>
      <c r="D2721" s="30" t="n"/>
      <c r="E2721" s="30" t="n"/>
      <c r="F2721" s="28" t="n"/>
      <c r="G2721" s="1" t="n"/>
    </row>
    <row r="2722">
      <c r="A2722" s="1" t="n"/>
      <c r="B2722" s="26" t="n"/>
      <c r="C2722" s="27" t="n"/>
      <c r="D2722" s="30" t="n"/>
      <c r="E2722" s="30" t="n"/>
      <c r="F2722" s="28" t="n"/>
      <c r="G2722" s="1" t="n"/>
    </row>
    <row r="2723">
      <c r="A2723" s="1" t="n"/>
      <c r="B2723" s="26" t="n"/>
      <c r="C2723" s="27" t="n"/>
      <c r="D2723" s="30" t="n"/>
      <c r="E2723" s="30" t="n"/>
      <c r="F2723" s="28" t="n"/>
      <c r="G2723" s="1" t="n"/>
    </row>
    <row r="2724">
      <c r="A2724" s="1" t="n"/>
      <c r="B2724" s="26" t="n"/>
      <c r="C2724" s="27" t="n"/>
      <c r="D2724" s="30" t="n"/>
      <c r="E2724" s="30" t="n"/>
      <c r="F2724" s="28" t="n"/>
      <c r="G2724" s="1" t="n"/>
    </row>
    <row r="2725">
      <c r="A2725" s="1" t="n"/>
      <c r="B2725" s="26" t="n"/>
      <c r="C2725" s="27" t="n"/>
      <c r="D2725" s="30" t="n"/>
      <c r="E2725" s="30" t="n"/>
      <c r="F2725" s="28" t="n"/>
      <c r="G2725" s="1" t="n"/>
    </row>
    <row r="2726">
      <c r="A2726" s="1" t="n"/>
      <c r="B2726" s="26" t="n"/>
      <c r="C2726" s="27" t="n"/>
      <c r="D2726" s="30" t="n"/>
      <c r="E2726" s="30" t="n"/>
      <c r="F2726" s="28" t="n"/>
      <c r="G2726" s="1" t="n"/>
    </row>
    <row r="2727">
      <c r="A2727" s="1" t="n"/>
      <c r="B2727" s="26" t="n"/>
      <c r="C2727" s="27" t="n"/>
      <c r="D2727" s="30" t="n"/>
      <c r="E2727" s="30" t="n"/>
      <c r="F2727" s="28" t="n"/>
      <c r="G2727" s="1" t="n"/>
    </row>
    <row r="2728">
      <c r="A2728" s="1" t="n"/>
      <c r="B2728" s="26" t="n"/>
      <c r="C2728" s="27" t="n"/>
      <c r="D2728" s="30" t="n"/>
      <c r="E2728" s="30" t="n"/>
      <c r="F2728" s="28" t="n"/>
      <c r="G2728" s="1" t="n"/>
    </row>
    <row r="2729">
      <c r="A2729" s="1" t="n"/>
      <c r="B2729" s="26" t="n"/>
      <c r="C2729" s="27" t="n"/>
      <c r="D2729" s="30" t="n"/>
      <c r="E2729" s="30" t="n"/>
      <c r="F2729" s="28" t="n"/>
      <c r="G2729" s="1" t="n"/>
    </row>
    <row r="2730">
      <c r="A2730" s="1" t="n"/>
      <c r="B2730" s="26" t="n"/>
      <c r="C2730" s="27" t="n"/>
      <c r="D2730" s="30" t="n"/>
      <c r="E2730" s="30" t="n"/>
      <c r="F2730" s="28" t="n"/>
      <c r="G2730" s="1" t="n"/>
    </row>
    <row r="2731">
      <c r="A2731" s="1" t="n"/>
      <c r="B2731" s="26" t="n"/>
      <c r="C2731" s="27" t="n"/>
      <c r="D2731" s="30" t="n"/>
      <c r="E2731" s="30" t="n"/>
      <c r="F2731" s="28" t="n"/>
      <c r="G2731" s="1" t="n"/>
    </row>
    <row r="2732">
      <c r="A2732" s="1" t="n"/>
      <c r="B2732" s="26" t="n"/>
      <c r="C2732" s="27" t="n"/>
      <c r="D2732" s="30" t="n"/>
      <c r="E2732" s="30" t="n"/>
      <c r="F2732" s="28" t="n"/>
      <c r="G2732" s="1" t="n"/>
    </row>
    <row r="2733">
      <c r="A2733" s="1" t="n"/>
      <c r="B2733" s="26" t="n"/>
      <c r="C2733" s="27" t="n"/>
      <c r="D2733" s="30" t="n"/>
      <c r="E2733" s="30" t="n"/>
      <c r="F2733" s="28" t="n"/>
      <c r="G2733" s="1" t="n"/>
    </row>
    <row r="2734">
      <c r="A2734" s="1" t="n"/>
      <c r="B2734" s="26" t="n"/>
      <c r="C2734" s="27" t="n"/>
      <c r="D2734" s="30" t="n"/>
      <c r="E2734" s="30" t="n"/>
      <c r="F2734" s="28" t="n"/>
      <c r="G2734" s="1" t="n"/>
    </row>
    <row r="2735">
      <c r="A2735" s="1" t="n"/>
      <c r="B2735" s="26" t="n"/>
      <c r="C2735" s="27" t="n"/>
      <c r="D2735" s="30" t="n"/>
      <c r="E2735" s="30" t="n"/>
      <c r="F2735" s="28" t="n"/>
      <c r="G2735" s="1" t="n"/>
    </row>
    <row r="2736">
      <c r="A2736" s="1" t="n"/>
      <c r="B2736" s="26" t="n"/>
      <c r="C2736" s="27" t="n"/>
      <c r="D2736" s="30" t="n"/>
      <c r="E2736" s="30" t="n"/>
      <c r="F2736" s="28" t="n"/>
      <c r="G2736" s="1" t="n"/>
    </row>
    <row r="2737">
      <c r="A2737" s="1" t="n"/>
      <c r="B2737" s="26" t="n"/>
      <c r="C2737" s="27" t="n"/>
      <c r="D2737" s="30" t="n"/>
      <c r="E2737" s="30" t="n"/>
      <c r="F2737" s="28" t="n"/>
      <c r="G2737" s="1" t="n"/>
    </row>
    <row r="2738">
      <c r="A2738" s="1" t="n"/>
      <c r="B2738" s="26" t="n"/>
      <c r="C2738" s="27" t="n"/>
      <c r="D2738" s="30" t="n"/>
      <c r="E2738" s="30" t="n"/>
      <c r="F2738" s="28" t="n"/>
      <c r="G2738" s="1" t="n"/>
    </row>
    <row r="2739">
      <c r="A2739" s="1" t="n"/>
      <c r="B2739" s="26" t="n"/>
      <c r="C2739" s="27" t="n"/>
      <c r="D2739" s="30" t="n"/>
      <c r="E2739" s="30" t="n"/>
      <c r="F2739" s="28" t="n"/>
      <c r="G2739" s="1" t="n"/>
    </row>
    <row r="2740">
      <c r="A2740" s="1" t="n"/>
      <c r="B2740" s="26" t="n"/>
      <c r="C2740" s="27" t="n"/>
      <c r="D2740" s="30" t="n"/>
      <c r="E2740" s="30" t="n"/>
      <c r="F2740" s="28" t="n"/>
      <c r="G2740" s="1" t="n"/>
    </row>
    <row r="2741">
      <c r="A2741" s="1" t="n"/>
      <c r="B2741" s="26" t="n"/>
      <c r="C2741" s="27" t="n"/>
      <c r="D2741" s="30" t="n"/>
      <c r="E2741" s="30" t="n"/>
      <c r="F2741" s="28" t="n"/>
      <c r="G2741" s="1" t="n"/>
    </row>
    <row r="2742">
      <c r="A2742" s="1" t="n"/>
      <c r="B2742" s="26" t="n"/>
      <c r="C2742" s="27" t="n"/>
      <c r="D2742" s="30" t="n"/>
      <c r="E2742" s="30" t="n"/>
      <c r="F2742" s="28" t="n"/>
      <c r="G2742" s="1" t="n"/>
    </row>
    <row r="2743">
      <c r="A2743" s="1" t="n"/>
      <c r="B2743" s="26" t="n"/>
      <c r="C2743" s="27" t="n"/>
      <c r="D2743" s="30" t="n"/>
      <c r="E2743" s="30" t="n"/>
      <c r="F2743" s="28" t="n"/>
      <c r="G2743" s="1" t="n"/>
    </row>
    <row r="2744">
      <c r="A2744" s="1" t="n"/>
      <c r="B2744" s="26" t="n"/>
      <c r="C2744" s="27" t="n"/>
      <c r="D2744" s="30" t="n"/>
      <c r="E2744" s="30" t="n"/>
      <c r="F2744" s="28" t="n"/>
      <c r="G2744" s="1" t="n"/>
    </row>
    <row r="2745">
      <c r="A2745" s="1" t="n"/>
      <c r="B2745" s="26" t="n"/>
      <c r="C2745" s="27" t="n"/>
      <c r="D2745" s="30" t="n"/>
      <c r="E2745" s="30" t="n"/>
      <c r="F2745" s="28" t="n"/>
      <c r="G2745" s="1" t="n"/>
    </row>
    <row r="2746">
      <c r="A2746" s="1" t="n"/>
      <c r="B2746" s="26" t="n"/>
      <c r="C2746" s="27" t="n"/>
      <c r="D2746" s="30" t="n"/>
      <c r="E2746" s="30" t="n"/>
      <c r="F2746" s="28" t="n"/>
      <c r="G2746" s="1" t="n"/>
    </row>
    <row r="2747">
      <c r="A2747" s="1" t="n"/>
      <c r="B2747" s="26" t="n"/>
      <c r="C2747" s="27" t="n"/>
      <c r="D2747" s="30" t="n"/>
      <c r="E2747" s="30" t="n"/>
      <c r="F2747" s="28" t="n"/>
      <c r="G2747" s="1" t="n"/>
    </row>
    <row r="2748">
      <c r="A2748" s="1" t="n"/>
      <c r="B2748" s="26" t="n"/>
      <c r="C2748" s="27" t="n"/>
      <c r="D2748" s="30" t="n"/>
      <c r="E2748" s="30" t="n"/>
      <c r="F2748" s="28" t="n"/>
      <c r="G2748" s="1" t="n"/>
    </row>
    <row r="2749">
      <c r="A2749" s="1" t="n"/>
      <c r="B2749" s="26" t="n"/>
      <c r="C2749" s="27" t="n"/>
      <c r="D2749" s="30" t="n"/>
      <c r="E2749" s="30" t="n"/>
      <c r="F2749" s="28" t="n"/>
      <c r="G2749" s="1" t="n"/>
    </row>
    <row r="2750">
      <c r="A2750" s="1" t="n"/>
      <c r="B2750" s="26" t="n"/>
      <c r="C2750" s="27" t="n"/>
      <c r="D2750" s="30" t="n"/>
      <c r="E2750" s="30" t="n"/>
      <c r="F2750" s="28" t="n"/>
      <c r="G2750" s="1" t="n"/>
    </row>
    <row r="2751">
      <c r="A2751" s="1" t="n"/>
      <c r="B2751" s="26" t="n"/>
      <c r="C2751" s="27" t="n"/>
      <c r="D2751" s="30" t="n"/>
      <c r="E2751" s="30" t="n"/>
      <c r="F2751" s="28" t="n"/>
      <c r="G2751" s="1" t="n"/>
    </row>
    <row r="2752">
      <c r="A2752" s="1" t="n"/>
      <c r="B2752" s="26" t="n"/>
      <c r="C2752" s="27" t="n"/>
      <c r="D2752" s="30" t="n"/>
      <c r="E2752" s="30" t="n"/>
      <c r="F2752" s="28" t="n"/>
      <c r="G2752" s="1" t="n"/>
    </row>
    <row r="2753">
      <c r="A2753" s="1" t="n"/>
      <c r="B2753" s="26" t="n"/>
      <c r="C2753" s="27" t="n"/>
      <c r="D2753" s="30" t="n"/>
      <c r="E2753" s="30" t="n"/>
      <c r="F2753" s="28" t="n"/>
      <c r="G2753" s="1" t="n"/>
    </row>
    <row r="2754">
      <c r="A2754" s="1" t="n"/>
      <c r="B2754" s="26" t="n"/>
      <c r="C2754" s="27" t="n"/>
      <c r="D2754" s="30" t="n"/>
      <c r="E2754" s="30" t="n"/>
      <c r="F2754" s="28" t="n"/>
      <c r="G2754" s="1" t="n"/>
    </row>
    <row r="2755">
      <c r="A2755" s="1" t="n"/>
      <c r="B2755" s="26" t="n"/>
      <c r="C2755" s="27" t="n"/>
      <c r="D2755" s="30" t="n"/>
      <c r="E2755" s="30" t="n"/>
      <c r="F2755" s="28" t="n"/>
      <c r="G2755" s="1" t="n"/>
    </row>
    <row r="2756">
      <c r="A2756" s="1" t="n"/>
      <c r="B2756" s="26" t="n"/>
      <c r="C2756" s="27" t="n"/>
      <c r="D2756" s="30" t="n"/>
      <c r="E2756" s="30" t="n"/>
      <c r="F2756" s="28" t="n"/>
      <c r="G2756" s="1" t="n"/>
    </row>
    <row r="2757">
      <c r="A2757" s="1" t="n"/>
      <c r="B2757" s="26" t="n"/>
      <c r="C2757" s="27" t="n"/>
      <c r="D2757" s="30" t="n"/>
      <c r="E2757" s="30" t="n"/>
      <c r="F2757" s="28" t="n"/>
      <c r="G2757" s="1" t="n"/>
    </row>
    <row r="2758">
      <c r="A2758" s="1" t="n"/>
      <c r="B2758" s="26" t="n"/>
      <c r="C2758" s="27" t="n"/>
      <c r="D2758" s="30" t="n"/>
      <c r="E2758" s="30" t="n"/>
      <c r="F2758" s="28" t="n"/>
      <c r="G2758" s="1" t="n"/>
    </row>
    <row r="2759">
      <c r="A2759" s="1" t="n"/>
      <c r="B2759" s="26" t="n"/>
      <c r="C2759" s="27" t="n"/>
      <c r="D2759" s="30" t="n"/>
      <c r="E2759" s="30" t="n"/>
      <c r="F2759" s="28" t="n"/>
      <c r="G2759" s="1" t="n"/>
    </row>
    <row r="2760">
      <c r="A2760" s="1" t="n"/>
      <c r="B2760" s="26" t="n"/>
      <c r="C2760" s="27" t="n"/>
      <c r="D2760" s="30" t="n"/>
      <c r="E2760" s="30" t="n"/>
      <c r="F2760" s="28" t="n"/>
      <c r="G2760" s="1" t="n"/>
    </row>
    <row r="2761">
      <c r="A2761" s="1" t="n"/>
      <c r="B2761" s="26" t="n"/>
      <c r="C2761" s="27" t="n"/>
      <c r="D2761" s="30" t="n"/>
      <c r="E2761" s="30" t="n"/>
      <c r="F2761" s="28" t="n"/>
      <c r="G2761" s="1" t="n"/>
    </row>
    <row r="2762">
      <c r="A2762" s="1" t="n"/>
      <c r="B2762" s="26" t="n"/>
      <c r="C2762" s="27" t="n"/>
      <c r="D2762" s="30" t="n"/>
      <c r="E2762" s="30" t="n"/>
      <c r="F2762" s="28" t="n"/>
      <c r="G2762" s="1" t="n"/>
    </row>
    <row r="2763">
      <c r="A2763" s="1" t="n"/>
      <c r="B2763" s="26" t="n"/>
      <c r="C2763" s="27" t="n"/>
      <c r="D2763" s="30" t="n"/>
      <c r="E2763" s="30" t="n"/>
      <c r="F2763" s="28" t="n"/>
      <c r="G2763" s="1" t="n"/>
    </row>
    <row r="2764">
      <c r="A2764" s="1" t="n"/>
      <c r="B2764" s="26" t="n"/>
      <c r="C2764" s="27" t="n"/>
      <c r="D2764" s="30" t="n"/>
      <c r="E2764" s="30" t="n"/>
      <c r="F2764" s="28" t="n"/>
      <c r="G2764" s="1" t="n"/>
    </row>
    <row r="2765">
      <c r="A2765" s="1" t="n"/>
      <c r="B2765" s="26" t="n"/>
      <c r="C2765" s="27" t="n"/>
      <c r="D2765" s="30" t="n"/>
      <c r="E2765" s="30" t="n"/>
      <c r="F2765" s="28" t="n"/>
      <c r="G2765" s="1" t="n"/>
    </row>
    <row r="2766">
      <c r="A2766" s="1" t="n"/>
      <c r="B2766" s="26" t="n"/>
      <c r="C2766" s="27" t="n"/>
      <c r="D2766" s="30" t="n"/>
      <c r="E2766" s="30" t="n"/>
      <c r="F2766" s="28" t="n"/>
      <c r="G2766" s="1" t="n"/>
    </row>
    <row r="2767">
      <c r="A2767" s="1" t="n"/>
      <c r="B2767" s="26" t="n"/>
      <c r="C2767" s="27" t="n"/>
      <c r="D2767" s="30" t="n"/>
      <c r="E2767" s="30" t="n"/>
      <c r="F2767" s="28" t="n"/>
      <c r="G2767" s="1" t="n"/>
    </row>
    <row r="2768">
      <c r="A2768" s="1" t="n"/>
      <c r="B2768" s="26" t="n"/>
      <c r="C2768" s="27" t="n"/>
      <c r="D2768" s="30" t="n"/>
      <c r="E2768" s="30" t="n"/>
      <c r="F2768" s="28" t="n"/>
      <c r="G2768" s="1" t="n"/>
    </row>
    <row r="2769">
      <c r="A2769" s="1" t="n"/>
      <c r="B2769" s="26" t="n"/>
      <c r="C2769" s="27" t="n"/>
      <c r="D2769" s="30" t="n"/>
      <c r="E2769" s="30" t="n"/>
      <c r="F2769" s="28" t="n"/>
      <c r="G2769" s="1" t="n"/>
    </row>
    <row r="2770">
      <c r="A2770" s="1" t="n"/>
      <c r="B2770" s="26" t="n"/>
      <c r="C2770" s="27" t="n"/>
      <c r="D2770" s="30" t="n"/>
      <c r="E2770" s="30" t="n"/>
      <c r="F2770" s="28" t="n"/>
      <c r="G2770" s="1" t="n"/>
    </row>
    <row r="2771">
      <c r="A2771" s="1" t="n"/>
      <c r="B2771" s="26" t="n"/>
      <c r="C2771" s="27" t="n"/>
      <c r="D2771" s="30" t="n"/>
      <c r="E2771" s="30" t="n"/>
      <c r="F2771" s="28" t="n"/>
      <c r="G2771" s="1" t="n"/>
    </row>
    <row r="2772">
      <c r="A2772" s="1" t="n"/>
      <c r="B2772" s="26" t="n"/>
      <c r="C2772" s="27" t="n"/>
      <c r="D2772" s="30" t="n"/>
      <c r="E2772" s="30" t="n"/>
      <c r="F2772" s="28" t="n"/>
      <c r="G2772" s="1" t="n"/>
    </row>
    <row r="2773">
      <c r="A2773" s="1" t="n"/>
      <c r="B2773" s="26" t="n"/>
      <c r="C2773" s="27" t="n"/>
      <c r="D2773" s="30" t="n"/>
      <c r="E2773" s="30" t="n"/>
      <c r="F2773" s="28" t="n"/>
      <c r="G2773" s="1" t="n"/>
    </row>
    <row r="2774">
      <c r="A2774" s="1" t="n"/>
      <c r="B2774" s="26" t="n"/>
      <c r="C2774" s="27" t="n"/>
      <c r="D2774" s="30" t="n"/>
      <c r="E2774" s="30" t="n"/>
      <c r="F2774" s="28" t="n"/>
      <c r="G2774" s="1" t="n"/>
    </row>
    <row r="2775">
      <c r="A2775" s="1" t="n"/>
      <c r="B2775" s="26" t="n"/>
      <c r="C2775" s="27" t="n"/>
      <c r="D2775" s="30" t="n"/>
      <c r="E2775" s="30" t="n"/>
      <c r="F2775" s="28" t="n"/>
      <c r="G2775" s="1" t="n"/>
    </row>
    <row r="2776">
      <c r="A2776" s="1" t="n"/>
      <c r="B2776" s="26" t="n"/>
      <c r="C2776" s="27" t="n"/>
      <c r="D2776" s="30" t="n"/>
      <c r="E2776" s="30" t="n"/>
      <c r="F2776" s="28" t="n"/>
      <c r="G2776" s="1" t="n"/>
    </row>
    <row r="2777">
      <c r="A2777" s="1" t="n"/>
      <c r="B2777" s="26" t="n"/>
      <c r="C2777" s="27" t="n"/>
      <c r="D2777" s="30" t="n"/>
      <c r="E2777" s="30" t="n"/>
      <c r="F2777" s="28" t="n"/>
      <c r="G2777" s="1" t="n"/>
    </row>
    <row r="2778">
      <c r="A2778" s="1" t="n"/>
      <c r="B2778" s="26" t="n"/>
      <c r="C2778" s="27" t="n"/>
      <c r="D2778" s="30" t="n"/>
      <c r="E2778" s="30" t="n"/>
      <c r="F2778" s="28" t="n"/>
      <c r="G2778" s="1" t="n"/>
    </row>
    <row r="2779">
      <c r="A2779" s="1" t="n"/>
      <c r="B2779" s="26" t="n"/>
      <c r="C2779" s="27" t="n"/>
      <c r="D2779" s="30" t="n"/>
      <c r="E2779" s="30" t="n"/>
      <c r="F2779" s="28" t="n"/>
      <c r="G2779" s="1" t="n"/>
    </row>
    <row r="2780">
      <c r="A2780" s="1" t="n"/>
      <c r="B2780" s="26" t="n"/>
      <c r="C2780" s="27" t="n"/>
      <c r="D2780" s="30" t="n"/>
      <c r="E2780" s="30" t="n"/>
      <c r="F2780" s="28" t="n"/>
      <c r="G2780" s="1" t="n"/>
    </row>
    <row r="2781">
      <c r="A2781" s="1" t="n"/>
      <c r="B2781" s="26" t="n"/>
      <c r="C2781" s="27" t="n"/>
      <c r="D2781" s="30" t="n"/>
      <c r="E2781" s="30" t="n"/>
      <c r="F2781" s="28" t="n"/>
      <c r="G2781" s="1" t="n"/>
    </row>
    <row r="2782">
      <c r="A2782" s="1" t="n"/>
      <c r="B2782" s="26" t="n"/>
      <c r="C2782" s="27" t="n"/>
      <c r="D2782" s="30" t="n"/>
      <c r="E2782" s="30" t="n"/>
      <c r="F2782" s="28" t="n"/>
      <c r="G2782" s="1" t="n"/>
    </row>
    <row r="2783">
      <c r="A2783" s="1" t="n"/>
      <c r="B2783" s="26" t="n"/>
      <c r="C2783" s="27" t="n"/>
      <c r="D2783" s="30" t="n"/>
      <c r="E2783" s="30" t="n"/>
      <c r="F2783" s="28" t="n"/>
      <c r="G2783" s="1" t="n"/>
    </row>
    <row r="2784">
      <c r="A2784" s="1" t="n"/>
      <c r="B2784" s="26" t="n"/>
      <c r="C2784" s="27" t="n"/>
      <c r="D2784" s="30" t="n"/>
      <c r="E2784" s="30" t="n"/>
      <c r="F2784" s="28" t="n"/>
      <c r="G2784" s="1" t="n"/>
    </row>
    <row r="2785">
      <c r="A2785" s="1" t="n"/>
      <c r="B2785" s="26" t="n"/>
      <c r="C2785" s="27" t="n"/>
      <c r="D2785" s="30" t="n"/>
      <c r="E2785" s="30" t="n"/>
      <c r="F2785" s="28" t="n"/>
      <c r="G2785" s="1" t="n"/>
    </row>
    <row r="2786">
      <c r="A2786" s="1" t="n"/>
      <c r="B2786" s="26" t="n"/>
      <c r="C2786" s="27" t="n"/>
      <c r="D2786" s="30" t="n"/>
      <c r="E2786" s="30" t="n"/>
      <c r="F2786" s="28" t="n"/>
      <c r="G2786" s="1" t="n"/>
    </row>
    <row r="2787">
      <c r="A2787" s="1" t="n"/>
      <c r="B2787" s="26" t="n"/>
      <c r="C2787" s="27" t="n"/>
      <c r="D2787" s="30" t="n"/>
      <c r="E2787" s="30" t="n"/>
      <c r="F2787" s="28" t="n"/>
      <c r="G2787" s="1" t="n"/>
    </row>
    <row r="2788">
      <c r="A2788" s="1" t="n"/>
      <c r="B2788" s="26" t="n"/>
      <c r="C2788" s="27" t="n"/>
      <c r="D2788" s="30" t="n"/>
      <c r="E2788" s="30" t="n"/>
      <c r="F2788" s="28" t="n"/>
      <c r="G2788" s="1" t="n"/>
    </row>
    <row r="2789">
      <c r="A2789" s="1" t="n"/>
      <c r="B2789" s="26" t="n"/>
      <c r="C2789" s="27" t="n"/>
      <c r="D2789" s="30" t="n"/>
      <c r="E2789" s="30" t="n"/>
      <c r="F2789" s="28" t="n"/>
      <c r="G2789" s="1" t="n"/>
    </row>
    <row r="2790">
      <c r="A2790" s="1" t="n"/>
      <c r="B2790" s="26" t="n"/>
      <c r="C2790" s="27" t="n"/>
      <c r="D2790" s="30" t="n"/>
      <c r="E2790" s="30" t="n"/>
      <c r="F2790" s="28" t="n"/>
      <c r="G2790" s="1" t="n"/>
    </row>
    <row r="2791">
      <c r="A2791" s="1" t="n"/>
      <c r="B2791" s="26" t="n"/>
      <c r="C2791" s="27" t="n"/>
      <c r="D2791" s="30" t="n"/>
      <c r="E2791" s="30" t="n"/>
      <c r="F2791" s="28" t="n"/>
      <c r="G2791" s="1" t="n"/>
    </row>
    <row r="2792">
      <c r="A2792" s="1" t="n"/>
      <c r="B2792" s="26" t="n"/>
      <c r="C2792" s="27" t="n"/>
      <c r="D2792" s="30" t="n"/>
      <c r="E2792" s="30" t="n"/>
      <c r="F2792" s="28" t="n"/>
      <c r="G2792" s="1" t="n"/>
    </row>
    <row r="2793">
      <c r="A2793" s="1" t="n"/>
      <c r="B2793" s="26" t="n"/>
      <c r="C2793" s="27" t="n"/>
      <c r="D2793" s="30" t="n"/>
      <c r="E2793" s="30" t="n"/>
      <c r="F2793" s="28" t="n"/>
      <c r="G2793" s="1" t="n"/>
    </row>
    <row r="2794">
      <c r="A2794" s="1" t="n"/>
      <c r="B2794" s="26" t="n"/>
      <c r="C2794" s="27" t="n"/>
      <c r="D2794" s="30" t="n"/>
      <c r="E2794" s="30" t="n"/>
      <c r="F2794" s="28" t="n"/>
      <c r="G2794" s="1" t="n"/>
    </row>
    <row r="2795">
      <c r="A2795" s="1" t="n"/>
      <c r="B2795" s="26" t="n"/>
      <c r="C2795" s="27" t="n"/>
      <c r="D2795" s="30" t="n"/>
      <c r="E2795" s="30" t="n"/>
      <c r="F2795" s="28" t="n"/>
      <c r="G2795" s="1" t="n"/>
    </row>
    <row r="2796">
      <c r="A2796" s="1" t="n"/>
      <c r="B2796" s="26" t="n"/>
      <c r="C2796" s="27" t="n"/>
      <c r="D2796" s="30" t="n"/>
      <c r="E2796" s="30" t="n"/>
      <c r="F2796" s="28" t="n"/>
      <c r="G2796" s="1" t="n"/>
    </row>
    <row r="2797">
      <c r="A2797" s="1" t="n"/>
      <c r="B2797" s="26" t="n"/>
      <c r="C2797" s="27" t="n"/>
      <c r="D2797" s="30" t="n"/>
      <c r="E2797" s="30" t="n"/>
      <c r="F2797" s="28" t="n"/>
      <c r="G2797" s="1" t="n"/>
    </row>
    <row r="2798">
      <c r="A2798" s="1" t="n"/>
      <c r="B2798" s="26" t="n"/>
      <c r="C2798" s="27" t="n"/>
      <c r="D2798" s="30" t="n"/>
      <c r="E2798" s="30" t="n"/>
      <c r="F2798" s="28" t="n"/>
      <c r="G2798" s="1" t="n"/>
    </row>
    <row r="2799">
      <c r="A2799" s="1" t="n"/>
      <c r="B2799" s="26" t="n"/>
      <c r="C2799" s="27" t="n"/>
      <c r="D2799" s="30" t="n"/>
      <c r="E2799" s="30" t="n"/>
      <c r="F2799" s="28" t="n"/>
      <c r="G2799" s="1" t="n"/>
    </row>
    <row r="2800">
      <c r="A2800" s="1" t="n"/>
      <c r="B2800" s="26" t="n"/>
      <c r="C2800" s="27" t="n"/>
      <c r="D2800" s="30" t="n"/>
      <c r="E2800" s="30" t="n"/>
      <c r="F2800" s="28" t="n"/>
      <c r="G2800" s="1" t="n"/>
    </row>
    <row r="2801">
      <c r="A2801" s="1" t="n"/>
      <c r="B2801" s="26" t="n"/>
      <c r="C2801" s="27" t="n"/>
      <c r="D2801" s="30" t="n"/>
      <c r="E2801" s="30" t="n"/>
      <c r="F2801" s="28" t="n"/>
      <c r="G2801" s="1" t="n"/>
    </row>
    <row r="2802">
      <c r="A2802" s="1" t="n"/>
      <c r="B2802" s="26" t="n"/>
      <c r="C2802" s="27" t="n"/>
      <c r="D2802" s="30" t="n"/>
      <c r="E2802" s="30" t="n"/>
      <c r="F2802" s="28" t="n"/>
      <c r="G2802" s="1" t="n"/>
    </row>
    <row r="2803">
      <c r="A2803" s="1" t="n"/>
      <c r="B2803" s="26" t="n"/>
      <c r="C2803" s="27" t="n"/>
      <c r="D2803" s="30" t="n"/>
      <c r="E2803" s="30" t="n"/>
      <c r="F2803" s="28" t="n"/>
      <c r="G2803" s="1" t="n"/>
    </row>
    <row r="2804">
      <c r="A2804" s="1" t="n"/>
      <c r="B2804" s="26" t="n"/>
      <c r="C2804" s="27" t="n"/>
      <c r="D2804" s="30" t="n"/>
      <c r="E2804" s="30" t="n"/>
      <c r="F2804" s="28" t="n"/>
      <c r="G2804" s="1" t="n"/>
    </row>
    <row r="2805">
      <c r="A2805" s="1" t="n"/>
      <c r="B2805" s="26" t="n"/>
      <c r="C2805" s="27" t="n"/>
      <c r="D2805" s="30" t="n"/>
      <c r="E2805" s="30" t="n"/>
      <c r="F2805" s="28" t="n"/>
      <c r="G2805" s="1" t="n"/>
    </row>
    <row r="2806">
      <c r="A2806" s="1" t="n"/>
      <c r="B2806" s="26" t="n"/>
      <c r="C2806" s="27" t="n"/>
      <c r="D2806" s="30" t="n"/>
      <c r="E2806" s="30" t="n"/>
      <c r="F2806" s="28" t="n"/>
      <c r="G2806" s="1" t="n"/>
    </row>
    <row r="2807">
      <c r="A2807" s="1" t="n"/>
      <c r="B2807" s="26" t="n"/>
      <c r="C2807" s="27" t="n"/>
      <c r="D2807" s="30" t="n"/>
      <c r="E2807" s="30" t="n"/>
      <c r="F2807" s="28" t="n"/>
      <c r="G2807" s="1" t="n"/>
    </row>
    <row r="2808">
      <c r="A2808" s="1" t="n"/>
      <c r="B2808" s="26" t="n"/>
      <c r="C2808" s="27" t="n"/>
      <c r="D2808" s="30" t="n"/>
      <c r="E2808" s="30" t="n"/>
      <c r="F2808" s="28" t="n"/>
      <c r="G2808" s="1" t="n"/>
    </row>
    <row r="2809">
      <c r="A2809" s="1" t="n"/>
      <c r="B2809" s="26" t="n"/>
      <c r="C2809" s="27" t="n"/>
      <c r="D2809" s="30" t="n"/>
      <c r="E2809" s="30" t="n"/>
      <c r="F2809" s="28" t="n"/>
      <c r="G2809" s="1" t="n"/>
    </row>
    <row r="2810">
      <c r="A2810" s="1" t="n"/>
      <c r="B2810" s="26" t="n"/>
      <c r="C2810" s="27" t="n"/>
      <c r="D2810" s="30" t="n"/>
      <c r="E2810" s="30" t="n"/>
      <c r="F2810" s="28" t="n"/>
      <c r="G2810" s="1" t="n"/>
    </row>
    <row r="2811">
      <c r="A2811" s="1" t="n"/>
      <c r="B2811" s="26" t="n"/>
      <c r="C2811" s="27" t="n"/>
      <c r="D2811" s="30" t="n"/>
      <c r="E2811" s="30" t="n"/>
      <c r="F2811" s="28" t="n"/>
      <c r="G2811" s="1" t="n"/>
    </row>
    <row r="2812">
      <c r="A2812" s="1" t="n"/>
      <c r="B2812" s="26" t="n"/>
      <c r="C2812" s="27" t="n"/>
      <c r="D2812" s="30" t="n"/>
      <c r="E2812" s="30" t="n"/>
      <c r="F2812" s="28" t="n"/>
      <c r="G2812" s="1" t="n"/>
    </row>
    <row r="2813">
      <c r="A2813" s="1" t="n"/>
      <c r="B2813" s="26" t="n"/>
      <c r="C2813" s="27" t="n"/>
      <c r="D2813" s="30" t="n"/>
      <c r="E2813" s="30" t="n"/>
      <c r="F2813" s="28" t="n"/>
      <c r="G2813" s="1" t="n"/>
    </row>
    <row r="2814">
      <c r="A2814" s="1" t="n"/>
      <c r="B2814" s="26" t="n"/>
      <c r="C2814" s="27" t="n"/>
      <c r="D2814" s="30" t="n"/>
      <c r="E2814" s="30" t="n"/>
      <c r="F2814" s="28" t="n"/>
      <c r="G2814" s="1" t="n"/>
    </row>
    <row r="2815">
      <c r="A2815" s="1" t="n"/>
      <c r="B2815" s="26" t="n"/>
      <c r="C2815" s="27" t="n"/>
      <c r="D2815" s="30" t="n"/>
      <c r="E2815" s="30" t="n"/>
      <c r="F2815" s="28" t="n"/>
      <c r="G2815" s="1" t="n"/>
    </row>
    <row r="2816">
      <c r="A2816" s="1" t="n"/>
      <c r="B2816" s="26" t="n"/>
      <c r="C2816" s="27" t="n"/>
      <c r="D2816" s="30" t="n"/>
      <c r="E2816" s="30" t="n"/>
      <c r="F2816" s="28" t="n"/>
      <c r="G2816" s="1" t="n"/>
    </row>
    <row r="2817">
      <c r="A2817" s="1" t="n"/>
      <c r="B2817" s="26" t="n"/>
      <c r="C2817" s="27" t="n"/>
      <c r="D2817" s="30" t="n"/>
      <c r="E2817" s="30" t="n"/>
      <c r="F2817" s="28" t="n"/>
      <c r="G2817" s="1" t="n"/>
    </row>
    <row r="2818">
      <c r="A2818" s="1" t="n"/>
      <c r="B2818" s="26" t="n"/>
      <c r="C2818" s="27" t="n"/>
      <c r="D2818" s="30" t="n"/>
      <c r="E2818" s="30" t="n"/>
      <c r="F2818" s="28" t="n"/>
      <c r="G2818" s="1" t="n"/>
    </row>
    <row r="2819">
      <c r="A2819" s="1" t="n"/>
      <c r="B2819" s="26" t="n"/>
      <c r="C2819" s="27" t="n"/>
      <c r="D2819" s="30" t="n"/>
      <c r="E2819" s="30" t="n"/>
      <c r="F2819" s="28" t="n"/>
      <c r="G2819" s="1" t="n"/>
    </row>
    <row r="2820">
      <c r="A2820" s="1" t="n"/>
      <c r="B2820" s="26" t="n"/>
      <c r="C2820" s="27" t="n"/>
      <c r="D2820" s="30" t="n"/>
      <c r="E2820" s="30" t="n"/>
      <c r="F2820" s="28" t="n"/>
      <c r="G2820" s="1" t="n"/>
    </row>
    <row r="2821">
      <c r="A2821" s="1" t="n"/>
      <c r="B2821" s="26" t="n"/>
      <c r="C2821" s="27" t="n"/>
      <c r="D2821" s="30" t="n"/>
      <c r="E2821" s="30" t="n"/>
      <c r="F2821" s="28" t="n"/>
      <c r="G2821" s="1" t="n"/>
    </row>
    <row r="2822">
      <c r="A2822" s="1" t="n"/>
      <c r="B2822" s="26" t="n"/>
      <c r="C2822" s="27" t="n"/>
      <c r="D2822" s="30" t="n"/>
      <c r="E2822" s="30" t="n"/>
      <c r="F2822" s="28" t="n"/>
      <c r="G2822" s="1" t="n"/>
    </row>
    <row r="2823">
      <c r="A2823" s="1" t="n"/>
      <c r="B2823" s="26" t="n"/>
      <c r="C2823" s="27" t="n"/>
      <c r="D2823" s="30" t="n"/>
      <c r="E2823" s="30" t="n"/>
      <c r="F2823" s="28" t="n"/>
      <c r="G2823" s="1" t="n"/>
    </row>
    <row r="2824">
      <c r="A2824" s="1" t="n"/>
      <c r="B2824" s="26" t="n"/>
      <c r="C2824" s="27" t="n"/>
      <c r="D2824" s="30" t="n"/>
      <c r="E2824" s="30" t="n"/>
      <c r="F2824" s="28" t="n"/>
      <c r="G2824" s="1" t="n"/>
    </row>
    <row r="2825">
      <c r="A2825" s="1" t="n"/>
      <c r="B2825" s="26" t="n"/>
      <c r="C2825" s="27" t="n"/>
      <c r="D2825" s="30" t="n"/>
      <c r="E2825" s="30" t="n"/>
      <c r="F2825" s="28" t="n"/>
      <c r="G2825" s="1" t="n"/>
    </row>
    <row r="2826">
      <c r="A2826" s="1" t="n"/>
      <c r="B2826" s="26" t="n"/>
      <c r="C2826" s="27" t="n"/>
      <c r="D2826" s="30" t="n"/>
      <c r="E2826" s="30" t="n"/>
      <c r="F2826" s="28" t="n"/>
      <c r="G2826" s="1" t="n"/>
    </row>
    <row r="2827">
      <c r="A2827" s="1" t="n"/>
      <c r="B2827" s="26" t="n"/>
      <c r="C2827" s="27" t="n"/>
      <c r="D2827" s="30" t="n"/>
      <c r="E2827" s="30" t="n"/>
      <c r="F2827" s="28" t="n"/>
      <c r="G2827" s="1" t="n"/>
    </row>
    <row r="2828">
      <c r="A2828" s="1" t="n"/>
      <c r="B2828" s="26" t="n"/>
      <c r="C2828" s="27" t="n"/>
      <c r="D2828" s="30" t="n"/>
      <c r="E2828" s="30" t="n"/>
      <c r="F2828" s="28" t="n"/>
      <c r="G2828" s="1" t="n"/>
    </row>
    <row r="2829">
      <c r="A2829" s="1" t="n"/>
      <c r="B2829" s="26" t="n"/>
      <c r="C2829" s="27" t="n"/>
      <c r="D2829" s="30" t="n"/>
      <c r="E2829" s="30" t="n"/>
      <c r="F2829" s="28" t="n"/>
      <c r="G2829" s="1" t="n"/>
    </row>
    <row r="2830">
      <c r="A2830" s="1" t="n"/>
      <c r="B2830" s="26" t="n"/>
      <c r="C2830" s="27" t="n"/>
      <c r="D2830" s="30" t="n"/>
      <c r="E2830" s="30" t="n"/>
      <c r="F2830" s="28" t="n"/>
      <c r="G2830" s="1" t="n"/>
    </row>
    <row r="2831">
      <c r="A2831" s="1" t="n"/>
      <c r="B2831" s="26" t="n"/>
      <c r="C2831" s="27" t="n"/>
      <c r="D2831" s="30" t="n"/>
      <c r="E2831" s="30" t="n"/>
      <c r="F2831" s="28" t="n"/>
      <c r="G2831" s="1" t="n"/>
    </row>
    <row r="2832">
      <c r="A2832" s="1" t="n"/>
      <c r="B2832" s="26" t="n"/>
      <c r="C2832" s="27" t="n"/>
      <c r="D2832" s="30" t="n"/>
      <c r="E2832" s="30" t="n"/>
      <c r="F2832" s="28" t="n"/>
      <c r="G2832" s="1" t="n"/>
    </row>
    <row r="2833">
      <c r="A2833" s="1" t="n"/>
      <c r="B2833" s="26" t="n"/>
      <c r="C2833" s="27" t="n"/>
      <c r="D2833" s="30" t="n"/>
      <c r="E2833" s="30" t="n"/>
      <c r="F2833" s="28" t="n"/>
      <c r="G2833" s="1" t="n"/>
    </row>
    <row r="2834">
      <c r="A2834" s="1" t="n"/>
      <c r="B2834" s="26" t="n"/>
      <c r="C2834" s="27" t="n"/>
      <c r="D2834" s="30" t="n"/>
      <c r="E2834" s="30" t="n"/>
      <c r="F2834" s="28" t="n"/>
      <c r="G2834" s="1" t="n"/>
    </row>
    <row r="2835">
      <c r="A2835" s="1" t="n"/>
      <c r="B2835" s="26" t="n"/>
      <c r="C2835" s="27" t="n"/>
      <c r="D2835" s="30" t="n"/>
      <c r="E2835" s="30" t="n"/>
      <c r="F2835" s="28" t="n"/>
      <c r="G2835" s="1" t="n"/>
    </row>
    <row r="2836">
      <c r="A2836" s="1" t="n"/>
      <c r="B2836" s="26" t="n"/>
      <c r="C2836" s="27" t="n"/>
      <c r="D2836" s="30" t="n"/>
      <c r="E2836" s="30" t="n"/>
      <c r="F2836" s="28" t="n"/>
      <c r="G2836" s="1" t="n"/>
    </row>
    <row r="2837">
      <c r="A2837" s="1" t="n"/>
      <c r="B2837" s="26" t="n"/>
      <c r="C2837" s="27" t="n"/>
      <c r="D2837" s="30" t="n"/>
      <c r="E2837" s="30" t="n"/>
      <c r="F2837" s="28" t="n"/>
      <c r="G2837" s="1" t="n"/>
    </row>
    <row r="2838">
      <c r="A2838" s="1" t="n"/>
      <c r="B2838" s="26" t="n"/>
      <c r="C2838" s="27" t="n"/>
      <c r="D2838" s="30" t="n"/>
      <c r="E2838" s="30" t="n"/>
      <c r="F2838" s="28" t="n"/>
      <c r="G2838" s="1" t="n"/>
    </row>
    <row r="2839">
      <c r="A2839" s="1" t="n"/>
      <c r="B2839" s="26" t="n"/>
      <c r="C2839" s="27" t="n"/>
      <c r="D2839" s="30" t="n"/>
      <c r="E2839" s="30" t="n"/>
      <c r="F2839" s="28" t="n"/>
      <c r="G2839" s="1" t="n"/>
    </row>
    <row r="2840">
      <c r="A2840" s="1" t="n"/>
      <c r="B2840" s="26" t="n"/>
      <c r="C2840" s="27" t="n"/>
      <c r="D2840" s="30" t="n"/>
      <c r="E2840" s="30" t="n"/>
      <c r="F2840" s="28" t="n"/>
      <c r="G2840" s="1" t="n"/>
    </row>
    <row r="2841">
      <c r="A2841" s="1" t="n"/>
      <c r="B2841" s="26" t="n"/>
      <c r="C2841" s="27" t="n"/>
      <c r="D2841" s="30" t="n"/>
      <c r="E2841" s="30" t="n"/>
      <c r="F2841" s="28" t="n"/>
      <c r="G2841" s="1" t="n"/>
    </row>
    <row r="2842">
      <c r="A2842" s="1" t="n"/>
      <c r="B2842" s="26" t="n"/>
      <c r="C2842" s="27" t="n"/>
      <c r="D2842" s="30" t="n"/>
      <c r="E2842" s="30" t="n"/>
      <c r="F2842" s="28" t="n"/>
      <c r="G2842" s="1" t="n"/>
    </row>
    <row r="2843">
      <c r="A2843" s="1" t="n"/>
      <c r="B2843" s="26" t="n"/>
      <c r="C2843" s="27" t="n"/>
      <c r="D2843" s="30" t="n"/>
      <c r="E2843" s="30" t="n"/>
      <c r="F2843" s="28" t="n"/>
      <c r="G2843" s="1" t="n"/>
    </row>
    <row r="2844">
      <c r="A2844" s="1" t="n"/>
      <c r="B2844" s="26" t="n"/>
      <c r="C2844" s="27" t="n"/>
      <c r="D2844" s="30" t="n"/>
      <c r="E2844" s="30" t="n"/>
      <c r="F2844" s="28" t="n"/>
      <c r="G2844" s="1" t="n"/>
    </row>
    <row r="2845">
      <c r="A2845" s="1" t="n"/>
      <c r="B2845" s="26" t="n"/>
      <c r="C2845" s="27" t="n"/>
      <c r="D2845" s="30" t="n"/>
      <c r="E2845" s="30" t="n"/>
      <c r="F2845" s="28" t="n"/>
      <c r="G2845" s="1" t="n"/>
    </row>
    <row r="2846">
      <c r="A2846" s="1" t="n"/>
      <c r="B2846" s="26" t="n"/>
      <c r="C2846" s="27" t="n"/>
      <c r="D2846" s="30" t="n"/>
      <c r="E2846" s="30" t="n"/>
      <c r="F2846" s="28" t="n"/>
      <c r="G2846" s="1" t="n"/>
    </row>
    <row r="2847">
      <c r="A2847" s="1" t="n"/>
      <c r="B2847" s="26" t="n"/>
      <c r="C2847" s="27" t="n"/>
      <c r="D2847" s="30" t="n"/>
      <c r="E2847" s="30" t="n"/>
      <c r="F2847" s="28" t="n"/>
      <c r="G2847" s="1" t="n"/>
    </row>
    <row r="2848">
      <c r="A2848" s="1" t="n"/>
      <c r="B2848" s="26" t="n"/>
      <c r="C2848" s="27" t="n"/>
      <c r="D2848" s="30" t="n"/>
      <c r="E2848" s="30" t="n"/>
      <c r="F2848" s="28" t="n"/>
      <c r="G2848" s="1" t="n"/>
    </row>
    <row r="2849">
      <c r="A2849" s="1" t="n"/>
      <c r="B2849" s="26" t="n"/>
      <c r="C2849" s="27" t="n"/>
      <c r="D2849" s="30" t="n"/>
      <c r="E2849" s="30" t="n"/>
      <c r="F2849" s="28" t="n"/>
      <c r="G2849" s="1" t="n"/>
    </row>
    <row r="2850">
      <c r="A2850" s="1" t="n"/>
      <c r="B2850" s="26" t="n"/>
      <c r="C2850" s="27" t="n"/>
      <c r="D2850" s="30" t="n"/>
      <c r="E2850" s="30" t="n"/>
      <c r="F2850" s="28" t="n"/>
      <c r="G2850" s="1" t="n"/>
    </row>
    <row r="2851">
      <c r="A2851" s="1" t="n"/>
      <c r="B2851" s="26" t="n"/>
      <c r="C2851" s="27" t="n"/>
      <c r="D2851" s="30" t="n"/>
      <c r="E2851" s="30" t="n"/>
      <c r="F2851" s="28" t="n"/>
      <c r="G2851" s="1" t="n"/>
    </row>
    <row r="2852">
      <c r="A2852" s="1" t="n"/>
      <c r="B2852" s="26" t="n"/>
      <c r="C2852" s="27" t="n"/>
      <c r="D2852" s="30" t="n"/>
      <c r="E2852" s="30" t="n"/>
      <c r="F2852" s="28" t="n"/>
      <c r="G2852" s="1" t="n"/>
    </row>
    <row r="2853">
      <c r="A2853" s="1" t="n"/>
      <c r="B2853" s="26" t="n"/>
      <c r="C2853" s="27" t="n"/>
      <c r="D2853" s="30" t="n"/>
      <c r="E2853" s="30" t="n"/>
      <c r="F2853" s="28" t="n"/>
      <c r="G2853" s="1" t="n"/>
    </row>
    <row r="2854">
      <c r="A2854" s="1" t="n"/>
      <c r="B2854" s="26" t="n"/>
      <c r="C2854" s="27" t="n"/>
      <c r="D2854" s="30" t="n"/>
      <c r="E2854" s="30" t="n"/>
      <c r="F2854" s="28" t="n"/>
      <c r="G2854" s="1" t="n"/>
    </row>
    <row r="2855">
      <c r="A2855" s="1" t="n"/>
      <c r="B2855" s="26" t="n"/>
      <c r="C2855" s="27" t="n"/>
      <c r="D2855" s="30" t="n"/>
      <c r="E2855" s="30" t="n"/>
      <c r="F2855" s="28" t="n"/>
      <c r="G2855" s="1" t="n"/>
    </row>
    <row r="2856">
      <c r="A2856" s="1" t="n"/>
      <c r="B2856" s="26" t="n"/>
      <c r="C2856" s="27" t="n"/>
      <c r="D2856" s="30" t="n"/>
      <c r="E2856" s="30" t="n"/>
      <c r="F2856" s="28" t="n"/>
      <c r="G2856" s="1" t="n"/>
    </row>
    <row r="2857">
      <c r="A2857" s="1" t="n"/>
      <c r="B2857" s="26" t="n"/>
      <c r="C2857" s="27" t="n"/>
      <c r="D2857" s="30" t="n"/>
      <c r="E2857" s="30" t="n"/>
      <c r="F2857" s="28" t="n"/>
      <c r="G2857" s="1" t="n"/>
    </row>
    <row r="2858">
      <c r="A2858" s="1" t="n"/>
      <c r="B2858" s="26" t="n"/>
      <c r="C2858" s="27" t="n"/>
      <c r="D2858" s="30" t="n"/>
      <c r="E2858" s="30" t="n"/>
      <c r="F2858" s="28" t="n"/>
      <c r="G2858" s="1" t="n"/>
    </row>
    <row r="2859">
      <c r="A2859" s="1" t="n"/>
      <c r="B2859" s="26" t="n"/>
      <c r="C2859" s="27" t="n"/>
      <c r="D2859" s="30" t="n"/>
      <c r="E2859" s="30" t="n"/>
      <c r="F2859" s="28" t="n"/>
      <c r="G2859" s="1" t="n"/>
    </row>
    <row r="2860">
      <c r="A2860" s="1" t="n"/>
      <c r="B2860" s="26" t="n"/>
      <c r="C2860" s="27" t="n"/>
      <c r="D2860" s="30" t="n"/>
      <c r="E2860" s="30" t="n"/>
      <c r="F2860" s="28" t="n"/>
      <c r="G2860" s="1" t="n"/>
    </row>
    <row r="2861">
      <c r="A2861" s="1" t="n"/>
      <c r="B2861" s="26" t="n"/>
      <c r="C2861" s="27" t="n"/>
      <c r="D2861" s="30" t="n"/>
      <c r="E2861" s="30" t="n"/>
      <c r="F2861" s="28" t="n"/>
      <c r="G2861" s="1" t="n"/>
    </row>
    <row r="2862">
      <c r="A2862" s="1" t="n"/>
      <c r="B2862" s="26" t="n"/>
      <c r="C2862" s="27" t="n"/>
      <c r="D2862" s="30" t="n"/>
      <c r="E2862" s="30" t="n"/>
      <c r="F2862" s="28" t="n"/>
      <c r="G2862" s="1" t="n"/>
    </row>
    <row r="2863">
      <c r="A2863" s="1" t="n"/>
      <c r="B2863" s="26" t="n"/>
      <c r="C2863" s="27" t="n"/>
      <c r="D2863" s="30" t="n"/>
      <c r="E2863" s="30" t="n"/>
      <c r="F2863" s="28" t="n"/>
      <c r="G2863" s="1" t="n"/>
    </row>
    <row r="2864">
      <c r="A2864" s="1" t="n"/>
      <c r="B2864" s="26" t="n"/>
      <c r="C2864" s="27" t="n"/>
      <c r="D2864" s="30" t="n"/>
      <c r="E2864" s="30" t="n"/>
      <c r="F2864" s="28" t="n"/>
      <c r="G2864" s="1" t="n"/>
    </row>
    <row r="2865">
      <c r="A2865" s="1" t="n"/>
      <c r="B2865" s="26" t="n"/>
      <c r="C2865" s="27" t="n"/>
      <c r="D2865" s="30" t="n"/>
      <c r="E2865" s="30" t="n"/>
      <c r="F2865" s="28" t="n"/>
      <c r="G2865" s="1" t="n"/>
    </row>
    <row r="2866">
      <c r="A2866" s="1" t="n"/>
      <c r="B2866" s="26" t="n"/>
      <c r="C2866" s="27" t="n"/>
      <c r="D2866" s="30" t="n"/>
      <c r="E2866" s="30" t="n"/>
      <c r="F2866" s="28" t="n"/>
      <c r="G2866" s="1" t="n"/>
    </row>
    <row r="2867">
      <c r="A2867" s="1" t="n"/>
      <c r="B2867" s="26" t="n"/>
      <c r="C2867" s="27" t="n"/>
      <c r="D2867" s="30" t="n"/>
      <c r="E2867" s="30" t="n"/>
      <c r="F2867" s="28" t="n"/>
      <c r="G2867" s="1" t="n"/>
    </row>
    <row r="2868">
      <c r="A2868" s="1" t="n"/>
      <c r="B2868" s="26" t="n"/>
      <c r="C2868" s="27" t="n"/>
      <c r="D2868" s="30" t="n"/>
      <c r="E2868" s="30" t="n"/>
      <c r="F2868" s="28" t="n"/>
      <c r="G2868" s="1" t="n"/>
    </row>
    <row r="2869">
      <c r="A2869" s="1" t="n"/>
      <c r="B2869" s="26" t="n"/>
      <c r="C2869" s="27" t="n"/>
      <c r="D2869" s="30" t="n"/>
      <c r="E2869" s="30" t="n"/>
      <c r="F2869" s="28" t="n"/>
      <c r="G2869" s="1" t="n"/>
    </row>
    <row r="2870">
      <c r="A2870" s="1" t="n"/>
      <c r="B2870" s="26" t="n"/>
      <c r="C2870" s="27" t="n"/>
      <c r="D2870" s="30" t="n"/>
      <c r="E2870" s="30" t="n"/>
      <c r="F2870" s="28" t="n"/>
      <c r="G2870" s="1" t="n"/>
    </row>
    <row r="2871">
      <c r="A2871" s="1" t="n"/>
      <c r="B2871" s="26" t="n"/>
      <c r="C2871" s="27" t="n"/>
      <c r="D2871" s="30" t="n"/>
      <c r="E2871" s="30" t="n"/>
      <c r="F2871" s="28" t="n"/>
      <c r="G2871" s="1" t="n"/>
    </row>
    <row r="2872">
      <c r="A2872" s="1" t="n"/>
      <c r="B2872" s="26" t="n"/>
      <c r="C2872" s="27" t="n"/>
      <c r="D2872" s="30" t="n"/>
      <c r="E2872" s="30" t="n"/>
      <c r="F2872" s="28" t="n"/>
      <c r="G2872" s="1" t="n"/>
    </row>
    <row r="2873">
      <c r="A2873" s="1" t="n"/>
      <c r="B2873" s="26" t="n"/>
      <c r="C2873" s="27" t="n"/>
      <c r="D2873" s="30" t="n"/>
      <c r="E2873" s="30" t="n"/>
      <c r="F2873" s="28" t="n"/>
      <c r="G2873" s="1" t="n"/>
    </row>
    <row r="2874">
      <c r="A2874" s="1" t="n"/>
      <c r="B2874" s="26" t="n"/>
      <c r="C2874" s="27" t="n"/>
      <c r="D2874" s="30" t="n"/>
      <c r="E2874" s="30" t="n"/>
      <c r="F2874" s="28" t="n"/>
      <c r="G2874" s="1" t="n"/>
    </row>
    <row r="2875">
      <c r="A2875" s="1" t="n"/>
      <c r="B2875" s="26" t="n"/>
      <c r="C2875" s="27" t="n"/>
      <c r="D2875" s="30" t="n"/>
      <c r="E2875" s="30" t="n"/>
      <c r="F2875" s="28" t="n"/>
      <c r="G2875" s="1" t="n"/>
    </row>
    <row r="2876">
      <c r="A2876" s="1" t="n"/>
      <c r="B2876" s="26" t="n"/>
      <c r="C2876" s="27" t="n"/>
      <c r="D2876" s="30" t="n"/>
      <c r="E2876" s="30" t="n"/>
      <c r="F2876" s="28" t="n"/>
      <c r="G2876" s="1" t="n"/>
    </row>
    <row r="2877">
      <c r="A2877" s="1" t="n"/>
      <c r="B2877" s="26" t="n"/>
      <c r="C2877" s="27" t="n"/>
      <c r="D2877" s="30" t="n"/>
      <c r="E2877" s="30" t="n"/>
      <c r="F2877" s="28" t="n"/>
      <c r="G2877" s="1" t="n"/>
    </row>
    <row r="2878">
      <c r="A2878" s="1" t="n"/>
      <c r="B2878" s="26" t="n"/>
      <c r="C2878" s="27" t="n"/>
      <c r="D2878" s="30" t="n"/>
      <c r="E2878" s="30" t="n"/>
      <c r="F2878" s="28" t="n"/>
      <c r="G2878" s="1" t="n"/>
    </row>
    <row r="2879">
      <c r="A2879" s="1" t="n"/>
      <c r="B2879" s="26" t="n"/>
      <c r="C2879" s="27" t="n"/>
      <c r="D2879" s="30" t="n"/>
      <c r="E2879" s="30" t="n"/>
      <c r="F2879" s="28" t="n"/>
      <c r="G2879" s="1" t="n"/>
    </row>
    <row r="2880">
      <c r="A2880" s="1" t="n"/>
      <c r="B2880" s="26" t="n"/>
      <c r="C2880" s="27" t="n"/>
      <c r="D2880" s="30" t="n"/>
      <c r="E2880" s="30" t="n"/>
      <c r="F2880" s="28" t="n"/>
      <c r="G2880" s="1" t="n"/>
    </row>
    <row r="2881">
      <c r="A2881" s="1" t="n"/>
      <c r="B2881" s="26" t="n"/>
      <c r="C2881" s="27" t="n"/>
      <c r="D2881" s="30" t="n"/>
      <c r="E2881" s="30" t="n"/>
      <c r="F2881" s="28" t="n"/>
      <c r="G2881" s="1" t="n"/>
    </row>
    <row r="2882">
      <c r="A2882" s="1" t="n"/>
      <c r="B2882" s="26" t="n"/>
      <c r="C2882" s="27" t="n"/>
      <c r="D2882" s="30" t="n"/>
      <c r="E2882" s="30" t="n"/>
      <c r="F2882" s="28" t="n"/>
      <c r="G2882" s="1" t="n"/>
    </row>
    <row r="2883">
      <c r="A2883" s="1" t="n"/>
      <c r="B2883" s="26" t="n"/>
      <c r="C2883" s="27" t="n"/>
      <c r="D2883" s="30" t="n"/>
      <c r="E2883" s="30" t="n"/>
      <c r="F2883" s="28" t="n"/>
      <c r="G2883" s="1" t="n"/>
    </row>
    <row r="2884">
      <c r="A2884" s="1" t="n"/>
      <c r="B2884" s="26" t="n"/>
      <c r="C2884" s="27" t="n"/>
      <c r="D2884" s="30" t="n"/>
      <c r="E2884" s="30" t="n"/>
      <c r="F2884" s="28" t="n"/>
      <c r="G2884" s="1" t="n"/>
    </row>
    <row r="2885">
      <c r="A2885" s="1" t="n"/>
      <c r="B2885" s="26" t="n"/>
      <c r="C2885" s="27" t="n"/>
      <c r="D2885" s="30" t="n"/>
      <c r="E2885" s="30" t="n"/>
      <c r="F2885" s="28" t="n"/>
      <c r="G2885" s="1" t="n"/>
    </row>
    <row r="2886">
      <c r="A2886" s="1" t="n"/>
      <c r="B2886" s="26" t="n"/>
      <c r="C2886" s="27" t="n"/>
      <c r="D2886" s="30" t="n"/>
      <c r="E2886" s="30" t="n"/>
      <c r="F2886" s="28" t="n"/>
      <c r="G2886" s="1" t="n"/>
    </row>
    <row r="2887">
      <c r="A2887" s="1" t="n"/>
      <c r="B2887" s="26" t="n"/>
      <c r="C2887" s="27" t="n"/>
      <c r="D2887" s="30" t="n"/>
      <c r="E2887" s="30" t="n"/>
      <c r="F2887" s="28" t="n"/>
      <c r="G2887" s="1" t="n"/>
    </row>
    <row r="2888">
      <c r="A2888" s="1" t="n"/>
      <c r="B2888" s="26" t="n"/>
      <c r="C2888" s="27" t="n"/>
      <c r="D2888" s="30" t="n"/>
      <c r="E2888" s="30" t="n"/>
      <c r="F2888" s="28" t="n"/>
      <c r="G2888" s="1" t="n"/>
    </row>
    <row r="2889">
      <c r="A2889" s="1" t="n"/>
      <c r="B2889" s="26" t="n"/>
      <c r="C2889" s="27" t="n"/>
      <c r="D2889" s="30" t="n"/>
      <c r="E2889" s="30" t="n"/>
      <c r="F2889" s="28" t="n"/>
      <c r="G2889" s="1" t="n"/>
    </row>
    <row r="2890">
      <c r="A2890" s="1" t="n"/>
      <c r="B2890" s="26" t="n"/>
      <c r="C2890" s="27" t="n"/>
      <c r="D2890" s="30" t="n"/>
      <c r="E2890" s="30" t="n"/>
      <c r="F2890" s="28" t="n"/>
      <c r="G2890" s="1" t="n"/>
    </row>
    <row r="2891">
      <c r="A2891" s="1" t="n"/>
      <c r="B2891" s="26" t="n"/>
      <c r="C2891" s="27" t="n"/>
      <c r="D2891" s="30" t="n"/>
      <c r="E2891" s="30" t="n"/>
      <c r="F2891" s="28" t="n"/>
      <c r="G2891" s="1" t="n"/>
    </row>
    <row r="2892">
      <c r="A2892" s="1" t="n"/>
      <c r="B2892" s="26" t="n"/>
      <c r="C2892" s="27" t="n"/>
      <c r="D2892" s="30" t="n"/>
      <c r="E2892" s="30" t="n"/>
      <c r="F2892" s="28" t="n"/>
      <c r="G2892" s="1" t="n"/>
    </row>
    <row r="2893">
      <c r="A2893" s="1" t="n"/>
      <c r="B2893" s="26" t="n"/>
      <c r="C2893" s="27" t="n"/>
      <c r="D2893" s="30" t="n"/>
      <c r="E2893" s="30" t="n"/>
      <c r="F2893" s="28" t="n"/>
      <c r="G2893" s="1" t="n"/>
    </row>
    <row r="2894">
      <c r="A2894" s="1" t="n"/>
      <c r="B2894" s="26" t="n"/>
      <c r="C2894" s="27" t="n"/>
      <c r="D2894" s="30" t="n"/>
      <c r="E2894" s="30" t="n"/>
      <c r="F2894" s="28" t="n"/>
      <c r="G2894" s="1" t="n"/>
    </row>
    <row r="2895">
      <c r="A2895" s="1" t="n"/>
      <c r="B2895" s="26" t="n"/>
      <c r="C2895" s="27" t="n"/>
      <c r="D2895" s="30" t="n"/>
      <c r="E2895" s="30" t="n"/>
      <c r="F2895" s="28" t="n"/>
      <c r="G2895" s="1" t="n"/>
    </row>
    <row r="2896">
      <c r="A2896" s="1" t="n"/>
      <c r="B2896" s="26" t="n"/>
      <c r="C2896" s="27" t="n"/>
      <c r="D2896" s="30" t="n"/>
      <c r="E2896" s="30" t="n"/>
      <c r="F2896" s="28" t="n"/>
      <c r="G2896" s="1" t="n"/>
    </row>
    <row r="2897">
      <c r="A2897" s="1" t="n"/>
      <c r="B2897" s="26" t="n"/>
      <c r="C2897" s="27" t="n"/>
      <c r="D2897" s="30" t="n"/>
      <c r="E2897" s="30" t="n"/>
      <c r="F2897" s="28" t="n"/>
      <c r="G2897" s="1" t="n"/>
    </row>
    <row r="2898">
      <c r="A2898" s="1" t="n"/>
      <c r="B2898" s="26" t="n"/>
      <c r="C2898" s="27" t="n"/>
      <c r="D2898" s="30" t="n"/>
      <c r="E2898" s="30" t="n"/>
      <c r="F2898" s="28" t="n"/>
      <c r="G2898" s="1" t="n"/>
    </row>
    <row r="2899">
      <c r="A2899" s="1" t="n"/>
      <c r="B2899" s="26" t="n"/>
      <c r="C2899" s="27" t="n"/>
      <c r="D2899" s="30" t="n"/>
      <c r="E2899" s="30" t="n"/>
      <c r="F2899" s="28" t="n"/>
      <c r="G2899" s="1" t="n"/>
    </row>
    <row r="2900">
      <c r="A2900" s="1" t="n"/>
      <c r="B2900" s="26" t="n"/>
      <c r="C2900" s="27" t="n"/>
      <c r="D2900" s="30" t="n"/>
      <c r="E2900" s="30" t="n"/>
      <c r="F2900" s="28" t="n"/>
      <c r="G2900" s="1" t="n"/>
    </row>
    <row r="2901">
      <c r="A2901" s="1" t="n"/>
      <c r="B2901" s="26" t="n"/>
      <c r="C2901" s="27" t="n"/>
      <c r="D2901" s="30" t="n"/>
      <c r="E2901" s="30" t="n"/>
      <c r="F2901" s="28" t="n"/>
      <c r="G2901" s="1" t="n"/>
    </row>
    <row r="2902">
      <c r="A2902" s="1" t="n"/>
      <c r="B2902" s="26" t="n"/>
      <c r="C2902" s="27" t="n"/>
      <c r="D2902" s="30" t="n"/>
      <c r="E2902" s="30" t="n"/>
      <c r="F2902" s="28" t="n"/>
      <c r="G2902" s="1" t="n"/>
    </row>
    <row r="2903">
      <c r="A2903" s="1" t="n"/>
      <c r="B2903" s="26" t="n"/>
      <c r="C2903" s="27" t="n"/>
      <c r="D2903" s="30" t="n"/>
      <c r="E2903" s="30" t="n"/>
      <c r="F2903" s="28" t="n"/>
      <c r="G2903" s="1" t="n"/>
    </row>
    <row r="2904">
      <c r="A2904" s="1" t="n"/>
      <c r="B2904" s="26" t="n"/>
      <c r="C2904" s="27" t="n"/>
      <c r="D2904" s="30" t="n"/>
      <c r="E2904" s="30" t="n"/>
      <c r="F2904" s="28" t="n"/>
      <c r="G2904" s="1" t="n"/>
    </row>
    <row r="2905">
      <c r="A2905" s="1" t="n"/>
      <c r="B2905" s="26" t="n"/>
      <c r="C2905" s="27" t="n"/>
      <c r="D2905" s="30" t="n"/>
      <c r="E2905" s="30" t="n"/>
      <c r="F2905" s="28" t="n"/>
      <c r="G2905" s="1" t="n"/>
    </row>
    <row r="2906">
      <c r="A2906" s="1" t="n"/>
      <c r="B2906" s="26" t="n"/>
      <c r="C2906" s="27" t="n"/>
      <c r="D2906" s="30" t="n"/>
      <c r="E2906" s="30" t="n"/>
      <c r="F2906" s="28" t="n"/>
      <c r="G2906" s="1" t="n"/>
    </row>
    <row r="2907">
      <c r="A2907" s="1" t="n"/>
      <c r="B2907" s="26" t="n"/>
      <c r="C2907" s="27" t="n"/>
      <c r="D2907" s="30" t="n"/>
      <c r="E2907" s="30" t="n"/>
      <c r="F2907" s="28" t="n"/>
      <c r="G2907" s="1" t="n"/>
    </row>
    <row r="2908">
      <c r="A2908" s="1" t="n"/>
      <c r="B2908" s="26" t="n"/>
      <c r="C2908" s="27" t="n"/>
      <c r="D2908" s="30" t="n"/>
      <c r="E2908" s="30" t="n"/>
      <c r="F2908" s="28" t="n"/>
      <c r="G2908" s="1" t="n"/>
    </row>
    <row r="2909">
      <c r="A2909" s="1" t="n"/>
      <c r="B2909" s="26" t="n"/>
      <c r="C2909" s="27" t="n"/>
      <c r="D2909" s="30" t="n"/>
      <c r="E2909" s="30" t="n"/>
      <c r="F2909" s="28" t="n"/>
      <c r="G2909" s="1" t="n"/>
    </row>
    <row r="2910">
      <c r="A2910" s="1" t="n"/>
      <c r="B2910" s="26" t="n"/>
      <c r="C2910" s="27" t="n"/>
      <c r="D2910" s="30" t="n"/>
      <c r="E2910" s="30" t="n"/>
      <c r="F2910" s="28" t="n"/>
      <c r="G2910" s="1" t="n"/>
    </row>
    <row r="2911">
      <c r="A2911" s="1" t="n"/>
      <c r="B2911" s="26" t="n"/>
      <c r="C2911" s="27" t="n"/>
      <c r="D2911" s="30" t="n"/>
      <c r="E2911" s="30" t="n"/>
      <c r="F2911" s="28" t="n"/>
      <c r="G2911" s="1" t="n"/>
    </row>
    <row r="2912">
      <c r="A2912" s="1" t="n"/>
      <c r="B2912" s="26" t="n"/>
      <c r="C2912" s="27" t="n"/>
      <c r="D2912" s="30" t="n"/>
      <c r="E2912" s="30" t="n"/>
      <c r="F2912" s="28" t="n"/>
      <c r="G2912" s="1" t="n"/>
    </row>
    <row r="2913">
      <c r="A2913" s="1" t="n"/>
      <c r="B2913" s="26" t="n"/>
      <c r="C2913" s="27" t="n"/>
      <c r="D2913" s="30" t="n"/>
      <c r="E2913" s="30" t="n"/>
      <c r="F2913" s="28" t="n"/>
      <c r="G2913" s="1" t="n"/>
    </row>
    <row r="2914">
      <c r="A2914" s="1" t="n"/>
      <c r="B2914" s="26" t="n"/>
      <c r="C2914" s="27" t="n"/>
      <c r="D2914" s="30" t="n"/>
      <c r="E2914" s="30" t="n"/>
      <c r="F2914" s="28" t="n"/>
      <c r="G2914" s="1" t="n"/>
    </row>
    <row r="2915">
      <c r="A2915" s="1" t="n"/>
      <c r="B2915" s="26" t="n"/>
      <c r="C2915" s="27" t="n"/>
      <c r="D2915" s="30" t="n"/>
      <c r="E2915" s="30" t="n"/>
      <c r="F2915" s="28" t="n"/>
      <c r="G2915" s="1" t="n"/>
    </row>
    <row r="2916">
      <c r="A2916" s="1" t="n"/>
      <c r="B2916" s="26" t="n"/>
      <c r="C2916" s="27" t="n"/>
      <c r="D2916" s="30" t="n"/>
      <c r="E2916" s="30" t="n"/>
      <c r="F2916" s="28" t="n"/>
      <c r="G2916" s="1" t="n"/>
    </row>
    <row r="2917">
      <c r="A2917" s="1" t="n"/>
      <c r="B2917" s="26" t="n"/>
      <c r="C2917" s="27" t="n"/>
      <c r="D2917" s="30" t="n"/>
      <c r="E2917" s="30" t="n"/>
      <c r="F2917" s="28" t="n"/>
      <c r="G2917" s="1" t="n"/>
    </row>
    <row r="2918">
      <c r="A2918" s="1" t="n"/>
      <c r="B2918" s="26" t="n"/>
      <c r="C2918" s="27" t="n"/>
      <c r="D2918" s="30" t="n"/>
      <c r="E2918" s="30" t="n"/>
      <c r="F2918" s="28" t="n"/>
      <c r="G2918" s="1" t="n"/>
    </row>
    <row r="2919">
      <c r="A2919" s="1" t="n"/>
      <c r="B2919" s="26" t="n"/>
      <c r="C2919" s="27" t="n"/>
      <c r="D2919" s="30" t="n"/>
      <c r="E2919" s="30" t="n"/>
      <c r="F2919" s="28" t="n"/>
      <c r="G2919" s="1" t="n"/>
    </row>
    <row r="2920">
      <c r="A2920" s="1" t="n"/>
      <c r="B2920" s="26" t="n"/>
      <c r="C2920" s="27" t="n"/>
      <c r="D2920" s="30" t="n"/>
      <c r="E2920" s="30" t="n"/>
      <c r="F2920" s="28" t="n"/>
      <c r="G2920" s="1" t="n"/>
    </row>
    <row r="2921">
      <c r="A2921" s="1" t="n"/>
      <c r="B2921" s="26" t="n"/>
      <c r="C2921" s="27" t="n"/>
      <c r="D2921" s="30" t="n"/>
      <c r="E2921" s="30" t="n"/>
      <c r="F2921" s="28" t="n"/>
      <c r="G2921" s="1" t="n"/>
    </row>
    <row r="2922">
      <c r="A2922" s="1" t="n"/>
      <c r="B2922" s="26" t="n"/>
      <c r="C2922" s="27" t="n"/>
      <c r="D2922" s="30" t="n"/>
      <c r="E2922" s="30" t="n"/>
      <c r="F2922" s="28" t="n"/>
      <c r="G2922" s="1" t="n"/>
    </row>
    <row r="2923">
      <c r="A2923" s="1" t="n"/>
      <c r="B2923" s="26" t="n"/>
      <c r="C2923" s="27" t="n"/>
      <c r="D2923" s="30" t="n"/>
      <c r="E2923" s="30" t="n"/>
      <c r="F2923" s="28" t="n"/>
      <c r="G2923" s="1" t="n"/>
    </row>
    <row r="2924">
      <c r="A2924" s="1" t="n"/>
      <c r="B2924" s="26" t="n"/>
      <c r="C2924" s="27" t="n"/>
      <c r="D2924" s="30" t="n"/>
      <c r="E2924" s="30" t="n"/>
      <c r="F2924" s="28" t="n"/>
      <c r="G2924" s="1" t="n"/>
    </row>
    <row r="2925">
      <c r="A2925" s="1" t="n"/>
      <c r="B2925" s="26" t="n"/>
      <c r="C2925" s="27" t="n"/>
      <c r="D2925" s="30" t="n"/>
      <c r="E2925" s="30" t="n"/>
      <c r="F2925" s="28" t="n"/>
      <c r="G2925" s="1" t="n"/>
    </row>
    <row r="2926">
      <c r="A2926" s="1" t="n"/>
      <c r="B2926" s="26" t="n"/>
      <c r="C2926" s="27" t="n"/>
      <c r="D2926" s="30" t="n"/>
      <c r="E2926" s="30" t="n"/>
      <c r="F2926" s="28" t="n"/>
      <c r="G2926" s="1" t="n"/>
    </row>
    <row r="2927">
      <c r="A2927" s="1" t="n"/>
      <c r="B2927" s="26" t="n"/>
      <c r="C2927" s="27" t="n"/>
      <c r="D2927" s="30" t="n"/>
      <c r="E2927" s="30" t="n"/>
      <c r="F2927" s="28" t="n"/>
      <c r="G2927" s="1" t="n"/>
    </row>
    <row r="2928">
      <c r="A2928" s="1" t="n"/>
      <c r="B2928" s="26" t="n"/>
      <c r="C2928" s="27" t="n"/>
      <c r="D2928" s="30" t="n"/>
      <c r="E2928" s="30" t="n"/>
      <c r="F2928" s="28" t="n"/>
      <c r="G2928" s="1" t="n"/>
    </row>
    <row r="2929">
      <c r="A2929" s="1" t="n"/>
      <c r="B2929" s="26" t="n"/>
      <c r="C2929" s="27" t="n"/>
      <c r="D2929" s="30" t="n"/>
      <c r="E2929" s="30" t="n"/>
      <c r="F2929" s="28" t="n"/>
      <c r="G2929" s="1" t="n"/>
    </row>
    <row r="2930">
      <c r="A2930" s="1" t="n"/>
      <c r="B2930" s="26" t="n"/>
      <c r="C2930" s="27" t="n"/>
      <c r="D2930" s="30" t="n"/>
      <c r="E2930" s="30" t="n"/>
      <c r="F2930" s="28" t="n"/>
      <c r="G2930" s="1" t="n"/>
    </row>
    <row r="2931">
      <c r="A2931" s="1" t="n"/>
      <c r="B2931" s="26" t="n"/>
      <c r="C2931" s="27" t="n"/>
      <c r="D2931" s="30" t="n"/>
      <c r="E2931" s="30" t="n"/>
      <c r="F2931" s="28" t="n"/>
      <c r="G2931" s="1" t="n"/>
    </row>
    <row r="2932">
      <c r="A2932" s="1" t="n"/>
      <c r="B2932" s="26" t="n"/>
      <c r="C2932" s="27" t="n"/>
      <c r="D2932" s="30" t="n"/>
      <c r="E2932" s="30" t="n"/>
      <c r="F2932" s="28" t="n"/>
      <c r="G2932" s="1" t="n"/>
    </row>
    <row r="2933">
      <c r="A2933" s="1" t="n"/>
      <c r="B2933" s="26" t="n"/>
      <c r="C2933" s="27" t="n"/>
      <c r="D2933" s="30" t="n"/>
      <c r="E2933" s="30" t="n"/>
      <c r="F2933" s="28" t="n"/>
      <c r="G2933" s="1" t="n"/>
    </row>
    <row r="2934">
      <c r="A2934" s="1" t="n"/>
      <c r="B2934" s="26" t="n"/>
      <c r="C2934" s="27" t="n"/>
      <c r="D2934" s="30" t="n"/>
      <c r="E2934" s="30" t="n"/>
      <c r="F2934" s="28" t="n"/>
      <c r="G2934" s="1" t="n"/>
    </row>
    <row r="2935">
      <c r="A2935" s="1" t="n"/>
      <c r="B2935" s="26" t="n"/>
      <c r="C2935" s="27" t="n"/>
      <c r="D2935" s="30" t="n"/>
      <c r="E2935" s="30" t="n"/>
      <c r="F2935" s="28" t="n"/>
      <c r="G2935" s="1" t="n"/>
    </row>
    <row r="2936">
      <c r="A2936" s="1" t="n"/>
      <c r="B2936" s="26" t="n"/>
      <c r="C2936" s="27" t="n"/>
      <c r="D2936" s="30" t="n"/>
      <c r="E2936" s="30" t="n"/>
      <c r="F2936" s="28" t="n"/>
      <c r="G2936" s="1" t="n"/>
    </row>
    <row r="2937">
      <c r="A2937" s="1" t="n"/>
      <c r="B2937" s="26" t="n"/>
      <c r="C2937" s="27" t="n"/>
      <c r="D2937" s="30" t="n"/>
      <c r="E2937" s="30" t="n"/>
      <c r="F2937" s="28" t="n"/>
      <c r="G2937" s="1" t="n"/>
    </row>
    <row r="2938">
      <c r="A2938" s="1" t="n"/>
      <c r="B2938" s="26" t="n"/>
      <c r="C2938" s="27" t="n"/>
      <c r="D2938" s="30" t="n"/>
      <c r="E2938" s="30" t="n"/>
      <c r="F2938" s="28" t="n"/>
      <c r="G2938" s="1" t="n"/>
    </row>
    <row r="2939">
      <c r="A2939" s="1" t="n"/>
      <c r="B2939" s="26" t="n"/>
      <c r="C2939" s="27" t="n"/>
      <c r="D2939" s="30" t="n"/>
      <c r="E2939" s="30" t="n"/>
      <c r="F2939" s="28" t="n"/>
      <c r="G2939" s="1" t="n"/>
    </row>
    <row r="2940">
      <c r="A2940" s="1" t="n"/>
      <c r="B2940" s="26" t="n"/>
      <c r="C2940" s="27" t="n"/>
      <c r="D2940" s="30" t="n"/>
      <c r="E2940" s="30" t="n"/>
      <c r="F2940" s="28" t="n"/>
      <c r="G2940" s="1" t="n"/>
    </row>
    <row r="2941">
      <c r="A2941" s="1" t="n"/>
      <c r="B2941" s="26" t="n"/>
      <c r="C2941" s="27" t="n"/>
      <c r="D2941" s="30" t="n"/>
      <c r="E2941" s="30" t="n"/>
      <c r="F2941" s="28" t="n"/>
      <c r="G2941" s="1" t="n"/>
    </row>
    <row r="2942">
      <c r="A2942" s="1" t="n"/>
      <c r="B2942" s="26" t="n"/>
      <c r="C2942" s="27" t="n"/>
      <c r="D2942" s="30" t="n"/>
      <c r="E2942" s="30" t="n"/>
      <c r="F2942" s="28" t="n"/>
      <c r="G2942" s="1" t="n"/>
    </row>
    <row r="2943">
      <c r="A2943" s="1" t="n"/>
      <c r="B2943" s="26" t="n"/>
      <c r="C2943" s="27" t="n"/>
      <c r="D2943" s="30" t="n"/>
      <c r="E2943" s="30" t="n"/>
      <c r="F2943" s="28" t="n"/>
      <c r="G2943" s="1" t="n"/>
    </row>
    <row r="2944">
      <c r="A2944" s="1" t="n"/>
      <c r="B2944" s="26" t="n"/>
      <c r="C2944" s="27" t="n"/>
      <c r="D2944" s="30" t="n"/>
      <c r="E2944" s="30" t="n"/>
      <c r="F2944" s="28" t="n"/>
      <c r="G2944" s="1" t="n"/>
    </row>
    <row r="2945">
      <c r="A2945" s="1" t="n"/>
      <c r="B2945" s="26" t="n"/>
      <c r="C2945" s="27" t="n"/>
      <c r="D2945" s="30" t="n"/>
      <c r="E2945" s="30" t="n"/>
      <c r="F2945" s="28" t="n"/>
      <c r="G2945" s="1" t="n"/>
    </row>
    <row r="2946">
      <c r="A2946" s="1" t="n"/>
      <c r="B2946" s="26" t="n"/>
      <c r="C2946" s="27" t="n"/>
      <c r="D2946" s="30" t="n"/>
      <c r="E2946" s="30" t="n"/>
      <c r="F2946" s="28" t="n"/>
      <c r="G2946" s="1" t="n"/>
    </row>
    <row r="2947">
      <c r="A2947" s="1" t="n"/>
      <c r="B2947" s="26" t="n"/>
      <c r="C2947" s="27" t="n"/>
      <c r="D2947" s="30" t="n"/>
      <c r="E2947" s="30" t="n"/>
      <c r="F2947" s="28" t="n"/>
      <c r="G2947" s="1" t="n"/>
    </row>
    <row r="2948">
      <c r="A2948" s="1" t="n"/>
      <c r="B2948" s="26" t="n"/>
      <c r="C2948" s="27" t="n"/>
      <c r="D2948" s="30" t="n"/>
      <c r="E2948" s="30" t="n"/>
      <c r="F2948" s="28" t="n"/>
      <c r="G2948" s="1" t="n"/>
    </row>
    <row r="2949">
      <c r="A2949" s="1" t="n"/>
      <c r="B2949" s="26" t="n"/>
      <c r="C2949" s="27" t="n"/>
      <c r="D2949" s="30" t="n"/>
      <c r="E2949" s="30" t="n"/>
      <c r="F2949" s="28" t="n"/>
      <c r="G2949" s="1" t="n"/>
    </row>
    <row r="2950">
      <c r="A2950" s="1" t="n"/>
      <c r="B2950" s="26" t="n"/>
      <c r="C2950" s="27" t="n"/>
      <c r="D2950" s="30" t="n"/>
      <c r="E2950" s="30" t="n"/>
      <c r="F2950" s="28" t="n"/>
      <c r="G2950" s="1" t="n"/>
    </row>
    <row r="2951">
      <c r="A2951" s="1" t="n"/>
      <c r="B2951" s="26" t="n"/>
      <c r="C2951" s="27" t="n"/>
      <c r="D2951" s="30" t="n"/>
      <c r="E2951" s="30" t="n"/>
      <c r="F2951" s="28" t="n"/>
      <c r="G2951" s="1" t="n"/>
    </row>
    <row r="2952">
      <c r="A2952" s="1" t="n"/>
      <c r="B2952" s="26" t="n"/>
      <c r="C2952" s="27" t="n"/>
      <c r="D2952" s="30" t="n"/>
      <c r="E2952" s="30" t="n"/>
      <c r="F2952" s="28" t="n"/>
      <c r="G2952" s="1" t="n"/>
    </row>
    <row r="2953">
      <c r="A2953" s="1" t="n"/>
      <c r="B2953" s="26" t="n"/>
      <c r="C2953" s="27" t="n"/>
      <c r="D2953" s="30" t="n"/>
      <c r="E2953" s="30" t="n"/>
      <c r="F2953" s="28" t="n"/>
      <c r="G2953" s="1" t="n"/>
    </row>
    <row r="2954">
      <c r="A2954" s="1" t="n"/>
      <c r="B2954" s="26" t="n"/>
      <c r="C2954" s="27" t="n"/>
      <c r="D2954" s="30" t="n"/>
      <c r="E2954" s="30" t="n"/>
      <c r="F2954" s="28" t="n"/>
      <c r="G2954" s="1" t="n"/>
    </row>
    <row r="2955">
      <c r="A2955" s="1" t="n"/>
      <c r="B2955" s="26" t="n"/>
      <c r="C2955" s="27" t="n"/>
      <c r="D2955" s="30" t="n"/>
      <c r="E2955" s="30" t="n"/>
      <c r="F2955" s="28" t="n"/>
      <c r="G2955" s="1" t="n"/>
    </row>
    <row r="2956">
      <c r="A2956" s="1" t="n"/>
      <c r="B2956" s="26" t="n"/>
      <c r="C2956" s="27" t="n"/>
      <c r="D2956" s="30" t="n"/>
      <c r="E2956" s="30" t="n"/>
      <c r="F2956" s="28" t="n"/>
      <c r="G2956" s="1" t="n"/>
    </row>
    <row r="2957">
      <c r="A2957" s="1" t="n"/>
      <c r="B2957" s="26" t="n"/>
      <c r="C2957" s="27" t="n"/>
      <c r="D2957" s="30" t="n"/>
      <c r="E2957" s="30" t="n"/>
      <c r="F2957" s="28" t="n"/>
      <c r="G2957" s="1" t="n"/>
    </row>
    <row r="2958">
      <c r="A2958" s="1" t="n"/>
      <c r="B2958" s="26" t="n"/>
      <c r="C2958" s="27" t="n"/>
      <c r="D2958" s="30" t="n"/>
      <c r="E2958" s="30" t="n"/>
      <c r="F2958" s="28" t="n"/>
      <c r="G2958" s="1" t="n"/>
    </row>
    <row r="2959">
      <c r="A2959" s="1" t="n"/>
      <c r="B2959" s="26" t="n"/>
      <c r="C2959" s="27" t="n"/>
      <c r="D2959" s="30" t="n"/>
      <c r="E2959" s="30" t="n"/>
      <c r="F2959" s="28" t="n"/>
      <c r="G2959" s="1" t="n"/>
    </row>
    <row r="2960">
      <c r="A2960" s="1" t="n"/>
      <c r="B2960" s="26" t="n"/>
      <c r="C2960" s="27" t="n"/>
      <c r="D2960" s="30" t="n"/>
      <c r="E2960" s="30" t="n"/>
      <c r="F2960" s="28" t="n"/>
      <c r="G2960" s="1" t="n"/>
    </row>
    <row r="2961">
      <c r="A2961" s="1" t="n"/>
      <c r="B2961" s="26" t="n"/>
      <c r="C2961" s="27" t="n"/>
      <c r="D2961" s="30" t="n"/>
      <c r="E2961" s="30" t="n"/>
      <c r="F2961" s="28" t="n"/>
      <c r="G2961" s="1" t="n"/>
    </row>
    <row r="2962">
      <c r="A2962" s="1" t="n"/>
      <c r="B2962" s="26" t="n"/>
      <c r="C2962" s="27" t="n"/>
      <c r="D2962" s="30" t="n"/>
      <c r="E2962" s="30" t="n"/>
      <c r="F2962" s="28" t="n"/>
      <c r="G2962" s="1" t="n"/>
    </row>
    <row r="2963">
      <c r="A2963" s="1" t="n"/>
      <c r="B2963" s="26" t="n"/>
      <c r="C2963" s="27" t="n"/>
      <c r="D2963" s="30" t="n"/>
      <c r="E2963" s="30" t="n"/>
      <c r="F2963" s="28" t="n"/>
      <c r="G2963" s="1" t="n"/>
    </row>
    <row r="2964">
      <c r="A2964" s="1" t="n"/>
      <c r="B2964" s="26" t="n"/>
      <c r="C2964" s="27" t="n"/>
      <c r="D2964" s="30" t="n"/>
      <c r="E2964" s="30" t="n"/>
      <c r="F2964" s="28" t="n"/>
      <c r="G2964" s="1" t="n"/>
    </row>
    <row r="2965">
      <c r="A2965" s="1" t="n"/>
      <c r="B2965" s="26" t="n"/>
      <c r="C2965" s="27" t="n"/>
      <c r="D2965" s="30" t="n"/>
      <c r="E2965" s="30" t="n"/>
      <c r="F2965" s="28" t="n"/>
      <c r="G2965" s="1" t="n"/>
    </row>
    <row r="2966">
      <c r="A2966" s="1" t="n"/>
      <c r="B2966" s="26" t="n"/>
      <c r="C2966" s="27" t="n"/>
      <c r="D2966" s="30" t="n"/>
      <c r="E2966" s="30" t="n"/>
      <c r="F2966" s="28" t="n"/>
      <c r="G2966" s="1" t="n"/>
    </row>
    <row r="2967">
      <c r="A2967" s="1" t="n"/>
      <c r="B2967" s="26" t="n"/>
      <c r="C2967" s="27" t="n"/>
      <c r="D2967" s="30" t="n"/>
      <c r="E2967" s="30" t="n"/>
      <c r="F2967" s="28" t="n"/>
      <c r="G2967" s="1" t="n"/>
    </row>
    <row r="2968">
      <c r="A2968" s="1" t="n"/>
      <c r="B2968" s="26" t="n"/>
      <c r="C2968" s="27" t="n"/>
      <c r="D2968" s="30" t="n"/>
      <c r="E2968" s="30" t="n"/>
      <c r="F2968" s="28" t="n"/>
      <c r="G2968" s="1" t="n"/>
    </row>
    <row r="2969">
      <c r="A2969" s="1" t="n"/>
      <c r="B2969" s="26" t="n"/>
      <c r="C2969" s="27" t="n"/>
      <c r="D2969" s="30" t="n"/>
      <c r="E2969" s="30" t="n"/>
      <c r="F2969" s="28" t="n"/>
      <c r="G2969" s="1" t="n"/>
    </row>
    <row r="2970">
      <c r="A2970" s="1" t="n"/>
      <c r="B2970" s="26" t="n"/>
      <c r="C2970" s="27" t="n"/>
      <c r="D2970" s="30" t="n"/>
      <c r="E2970" s="30" t="n"/>
      <c r="F2970" s="28" t="n"/>
      <c r="G2970" s="1" t="n"/>
    </row>
    <row r="2971">
      <c r="A2971" s="1" t="n"/>
      <c r="B2971" s="26" t="n"/>
      <c r="C2971" s="27" t="n"/>
      <c r="D2971" s="30" t="n"/>
      <c r="E2971" s="30" t="n"/>
      <c r="F2971" s="28" t="n"/>
      <c r="G2971" s="1" t="n"/>
    </row>
    <row r="2972">
      <c r="A2972" s="1" t="n"/>
      <c r="B2972" s="26" t="n"/>
      <c r="C2972" s="27" t="n"/>
      <c r="D2972" s="30" t="n"/>
      <c r="E2972" s="30" t="n"/>
      <c r="F2972" s="28" t="n"/>
      <c r="G2972" s="1" t="n"/>
    </row>
    <row r="2973">
      <c r="A2973" s="1" t="n"/>
      <c r="B2973" s="26" t="n"/>
      <c r="C2973" s="27" t="n"/>
      <c r="D2973" s="30" t="n"/>
      <c r="E2973" s="30" t="n"/>
      <c r="F2973" s="28" t="n"/>
      <c r="G2973" s="1" t="n"/>
    </row>
    <row r="2974">
      <c r="A2974" s="1" t="n"/>
      <c r="B2974" s="26" t="n"/>
      <c r="C2974" s="27" t="n"/>
      <c r="D2974" s="30" t="n"/>
      <c r="E2974" s="30" t="n"/>
      <c r="F2974" s="28" t="n"/>
      <c r="G2974" s="1" t="n"/>
    </row>
    <row r="2975">
      <c r="A2975" s="1" t="n"/>
      <c r="B2975" s="26" t="n"/>
      <c r="C2975" s="27" t="n"/>
      <c r="D2975" s="30" t="n"/>
      <c r="E2975" s="30" t="n"/>
      <c r="F2975" s="28" t="n"/>
      <c r="G2975" s="1" t="n"/>
    </row>
    <row r="2976">
      <c r="A2976" s="1" t="n"/>
      <c r="B2976" s="26" t="n"/>
      <c r="C2976" s="27" t="n"/>
      <c r="D2976" s="30" t="n"/>
      <c r="E2976" s="30" t="n"/>
      <c r="F2976" s="28" t="n"/>
      <c r="G2976" s="1" t="n"/>
    </row>
    <row r="2977">
      <c r="A2977" s="1" t="n"/>
      <c r="B2977" s="26" t="n"/>
      <c r="C2977" s="27" t="n"/>
      <c r="D2977" s="30" t="n"/>
      <c r="E2977" s="30" t="n"/>
      <c r="F2977" s="28" t="n"/>
      <c r="G2977" s="1" t="n"/>
    </row>
    <row r="2978">
      <c r="A2978" s="1" t="n"/>
      <c r="B2978" s="26" t="n"/>
      <c r="C2978" s="27" t="n"/>
      <c r="D2978" s="30" t="n"/>
      <c r="E2978" s="30" t="n"/>
      <c r="F2978" s="28" t="n"/>
      <c r="G2978" s="1" t="n"/>
    </row>
    <row r="2979">
      <c r="A2979" s="1" t="n"/>
      <c r="B2979" s="26" t="n"/>
      <c r="C2979" s="27" t="n"/>
      <c r="D2979" s="30" t="n"/>
      <c r="E2979" s="30" t="n"/>
      <c r="F2979" s="28" t="n"/>
      <c r="G2979" s="1" t="n"/>
    </row>
    <row r="2980">
      <c r="A2980" s="1" t="n"/>
      <c r="B2980" s="26" t="n"/>
      <c r="C2980" s="27" t="n"/>
      <c r="D2980" s="30" t="n"/>
      <c r="E2980" s="30" t="n"/>
      <c r="F2980" s="28" t="n"/>
      <c r="G2980" s="1" t="n"/>
    </row>
    <row r="2981">
      <c r="A2981" s="1" t="n"/>
      <c r="B2981" s="26" t="n"/>
      <c r="C2981" s="27" t="n"/>
      <c r="D2981" s="30" t="n"/>
      <c r="E2981" s="30" t="n"/>
      <c r="F2981" s="28" t="n"/>
      <c r="G2981" s="1" t="n"/>
    </row>
    <row r="2982">
      <c r="A2982" s="1" t="n"/>
      <c r="B2982" s="26" t="n"/>
      <c r="C2982" s="27" t="n"/>
      <c r="D2982" s="30" t="n"/>
      <c r="E2982" s="30" t="n"/>
      <c r="F2982" s="28" t="n"/>
      <c r="G2982" s="1" t="n"/>
    </row>
    <row r="2983">
      <c r="A2983" s="1" t="n"/>
      <c r="B2983" s="26" t="n"/>
      <c r="C2983" s="27" t="n"/>
      <c r="D2983" s="30" t="n"/>
      <c r="E2983" s="30" t="n"/>
      <c r="F2983" s="28" t="n"/>
      <c r="G2983" s="1" t="n"/>
    </row>
    <row r="2984">
      <c r="A2984" s="1" t="n"/>
      <c r="B2984" s="26" t="n"/>
      <c r="C2984" s="27" t="n"/>
      <c r="D2984" s="30" t="n"/>
      <c r="E2984" s="30" t="n"/>
      <c r="F2984" s="28" t="n"/>
      <c r="G2984" s="1" t="n"/>
    </row>
    <row r="2985">
      <c r="A2985" s="1" t="n"/>
      <c r="B2985" s="26" t="n"/>
      <c r="C2985" s="27" t="n"/>
      <c r="D2985" s="30" t="n"/>
      <c r="E2985" s="30" t="n"/>
      <c r="F2985" s="28" t="n"/>
      <c r="G2985" s="1" t="n"/>
    </row>
    <row r="2986">
      <c r="A2986" s="1" t="n"/>
      <c r="B2986" s="26" t="n"/>
      <c r="C2986" s="27" t="n"/>
      <c r="D2986" s="30" t="n"/>
      <c r="E2986" s="30" t="n"/>
      <c r="F2986" s="28" t="n"/>
      <c r="G2986" s="1" t="n"/>
    </row>
    <row r="2987">
      <c r="A2987" s="1" t="n"/>
      <c r="B2987" s="26" t="n"/>
      <c r="C2987" s="27" t="n"/>
      <c r="D2987" s="30" t="n"/>
      <c r="E2987" s="30" t="n"/>
      <c r="F2987" s="28" t="n"/>
      <c r="G2987" s="1" t="n"/>
    </row>
    <row r="2988">
      <c r="A2988" s="1" t="n"/>
      <c r="B2988" s="26" t="n"/>
      <c r="C2988" s="27" t="n"/>
      <c r="D2988" s="30" t="n"/>
      <c r="E2988" s="30" t="n"/>
      <c r="F2988" s="28" t="n"/>
      <c r="G2988" s="1" t="n"/>
    </row>
    <row r="2989">
      <c r="A2989" s="1" t="n"/>
      <c r="B2989" s="26" t="n"/>
      <c r="C2989" s="27" t="n"/>
      <c r="D2989" s="30" t="n"/>
      <c r="E2989" s="30" t="n"/>
      <c r="F2989" s="28" t="n"/>
      <c r="G2989" s="1" t="n"/>
    </row>
    <row r="2990">
      <c r="A2990" s="1" t="n"/>
      <c r="B2990" s="26" t="n"/>
      <c r="C2990" s="27" t="n"/>
      <c r="D2990" s="30" t="n"/>
      <c r="E2990" s="30" t="n"/>
      <c r="F2990" s="28" t="n"/>
      <c r="G2990" s="1" t="n"/>
    </row>
    <row r="2991">
      <c r="A2991" s="1" t="n"/>
      <c r="B2991" s="26" t="n"/>
      <c r="C2991" s="27" t="n"/>
      <c r="D2991" s="30" t="n"/>
      <c r="E2991" s="30" t="n"/>
      <c r="F2991" s="28" t="n"/>
      <c r="G2991" s="1" t="n"/>
    </row>
    <row r="2992">
      <c r="A2992" s="1" t="n"/>
      <c r="B2992" s="26" t="n"/>
      <c r="C2992" s="27" t="n"/>
      <c r="D2992" s="30" t="n"/>
      <c r="E2992" s="30" t="n"/>
      <c r="F2992" s="28" t="n"/>
      <c r="G2992" s="1" t="n"/>
    </row>
    <row r="2993">
      <c r="A2993" s="1" t="n"/>
      <c r="B2993" s="26" t="n"/>
      <c r="C2993" s="27" t="n"/>
      <c r="D2993" s="30" t="n"/>
      <c r="E2993" s="30" t="n"/>
      <c r="F2993" s="28" t="n"/>
      <c r="G2993" s="1" t="n"/>
    </row>
    <row r="2994">
      <c r="A2994" s="1" t="n"/>
      <c r="B2994" s="26" t="n"/>
      <c r="C2994" s="27" t="n"/>
      <c r="D2994" s="30" t="n"/>
      <c r="E2994" s="30" t="n"/>
      <c r="F2994" s="28" t="n"/>
      <c r="G2994" s="1" t="n"/>
    </row>
    <row r="2995">
      <c r="A2995" s="1" t="n"/>
      <c r="B2995" s="26" t="n"/>
      <c r="C2995" s="27" t="n"/>
      <c r="D2995" s="30" t="n"/>
      <c r="E2995" s="30" t="n"/>
      <c r="F2995" s="28" t="n"/>
      <c r="G2995" s="1" t="n"/>
    </row>
    <row r="2996">
      <c r="A2996" s="1" t="n"/>
      <c r="B2996" s="26" t="n"/>
      <c r="C2996" s="27" t="n"/>
      <c r="D2996" s="30" t="n"/>
      <c r="E2996" s="30" t="n"/>
      <c r="F2996" s="28" t="n"/>
      <c r="G2996" s="1" t="n"/>
    </row>
    <row r="2997">
      <c r="A2997" s="1" t="n"/>
      <c r="B2997" s="26" t="n"/>
      <c r="C2997" s="27" t="n"/>
      <c r="D2997" s="30" t="n"/>
      <c r="E2997" s="30" t="n"/>
      <c r="F2997" s="28" t="n"/>
      <c r="G2997" s="1" t="n"/>
    </row>
    <row r="2998">
      <c r="A2998" s="1" t="n"/>
      <c r="B2998" s="26" t="n"/>
      <c r="C2998" s="27" t="n"/>
      <c r="D2998" s="30" t="n"/>
      <c r="E2998" s="30" t="n"/>
      <c r="F2998" s="28" t="n"/>
      <c r="G2998" s="1" t="n"/>
    </row>
    <row r="2999">
      <c r="A2999" s="1" t="n"/>
      <c r="B2999" s="26" t="n"/>
      <c r="C2999" s="27" t="n"/>
      <c r="D2999" s="30" t="n"/>
      <c r="E2999" s="30" t="n"/>
      <c r="F2999" s="28" t="n"/>
      <c r="G2999" s="1" t="n"/>
    </row>
    <row r="3000">
      <c r="A3000" s="1" t="n"/>
      <c r="B3000" s="26" t="n"/>
      <c r="C3000" s="27" t="n"/>
      <c r="D3000" s="30" t="n"/>
      <c r="E3000" s="30" t="n"/>
      <c r="F3000" s="28" t="n"/>
      <c r="G3000" s="1" t="n"/>
    </row>
    <row r="3001">
      <c r="A3001" s="1" t="n"/>
      <c r="B3001" s="26" t="n"/>
      <c r="C3001" s="27" t="n"/>
      <c r="D3001" s="30" t="n"/>
      <c r="E3001" s="30" t="n"/>
      <c r="F3001" s="28" t="n"/>
      <c r="G3001" s="1" t="n"/>
    </row>
    <row r="3002">
      <c r="A3002" s="1" t="n"/>
      <c r="B3002" s="26" t="n"/>
      <c r="C3002" s="27" t="n"/>
      <c r="D3002" s="30" t="n"/>
      <c r="E3002" s="30" t="n"/>
      <c r="F3002" s="28" t="n"/>
      <c r="G3002" s="1" t="n"/>
    </row>
    <row r="3003">
      <c r="A3003" s="1" t="n"/>
      <c r="B3003" s="26" t="n"/>
      <c r="C3003" s="27" t="n"/>
      <c r="D3003" s="30" t="n"/>
      <c r="E3003" s="30" t="n"/>
      <c r="F3003" s="28" t="n"/>
      <c r="G3003" s="1" t="n"/>
    </row>
    <row r="3004">
      <c r="A3004" s="1" t="n"/>
      <c r="B3004" s="26" t="n"/>
      <c r="C3004" s="27" t="n"/>
      <c r="D3004" s="30" t="n"/>
      <c r="E3004" s="30" t="n"/>
      <c r="F3004" s="28" t="n"/>
      <c r="G3004" s="1" t="n"/>
    </row>
    <row r="3005">
      <c r="A3005" s="1" t="n"/>
      <c r="B3005" s="26" t="n"/>
      <c r="C3005" s="27" t="n"/>
      <c r="D3005" s="30" t="n"/>
      <c r="E3005" s="30" t="n"/>
      <c r="F3005" s="28" t="n"/>
      <c r="G3005" s="1" t="n"/>
    </row>
    <row r="3006">
      <c r="A3006" s="1" t="n"/>
      <c r="B3006" s="1" t="n"/>
      <c r="C3006" s="1" t="n"/>
      <c r="D3006" s="1" t="n"/>
      <c r="E3006" s="1" t="n"/>
      <c r="F3006" s="1" t="n"/>
      <c r="G3006" s="1" t="n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0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8" customWidth="1" min="3" max="3"/>
    <col width="10" customWidth="1" min="4" max="4"/>
    <col width="10" customWidth="1" min="5" max="5"/>
    <col width="10" customWidth="1" min="6" max="6"/>
    <col width="30" customWidth="1" min="7" max="7"/>
    <col hidden="1" width="13" customWidth="1" min="8" max="8"/>
    <col hidden="1" width="13" customWidth="1" min="9" max="9"/>
    <col hidden="1" width="13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1" t="n"/>
      <c r="B2" s="2" t="inlineStr">
        <is>
          <t>Growth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Each time the baby is weighed or measured. The age fills in from the birthday.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0" customHeight="1">
      <c r="A5" s="1" t="n"/>
      <c r="B5" s="14" t="inlineStr">
        <is>
          <t>Date</t>
        </is>
      </c>
      <c r="C5" s="14" t="inlineStr">
        <is>
          <t>Age</t>
        </is>
      </c>
      <c r="D5" s="14">
        <f>"Weight ("&amp;Settings!$C$7&amp;")"</f>
        <v/>
      </c>
      <c r="E5" s="14">
        <f>"Length ("&amp;Settings!$C$8&amp;")"</f>
        <v/>
      </c>
      <c r="F5" s="14">
        <f>"Head ("&amp;Settings!$C$8&amp;")"</f>
        <v/>
      </c>
      <c r="G5" s="14" t="inlineStr">
        <is>
          <t>Notes</t>
        </is>
      </c>
      <c r="H5" s="1" t="n"/>
    </row>
    <row r="6">
      <c r="A6" s="1" t="n"/>
      <c r="B6" s="26" t="n">
        <v>46178</v>
      </c>
      <c r="C6" s="22">
        <f>IF(OR(B6="",Settings!$C$5=""),"",IF((B6-Settings!$C$5)&lt;0,"",INT((B6-Settings!$C$5)/7)&amp;IF(INT((B6-Settings!$C$5)/7)=1," week"," weeks")&amp;IF(MOD((B6-Settings!$C$5),7)=0,""," "&amp;MOD((B6-Settings!$C$5),7)&amp;IF(MOD((B6-Settings!$C$5),7)=1," day"," days"))))</f>
        <v/>
      </c>
      <c r="D6" s="31" t="n">
        <v>3.4</v>
      </c>
      <c r="E6" s="32" t="n">
        <v>50</v>
      </c>
      <c r="F6" s="32" t="n">
        <v>34.5</v>
      </c>
      <c r="G6" s="28" t="n"/>
      <c r="H6" s="1" t="n"/>
      <c r="I6">
        <f>IF(B6="","",B6+ROW()/10000000)</f>
        <v/>
      </c>
      <c r="J6">
        <f>IF(I6="","",COUNTIF(Growth!$I$6:$I$105,"&gt;"&amp;I6))</f>
        <v/>
      </c>
    </row>
    <row r="7">
      <c r="A7" s="1" t="n"/>
      <c r="B7" s="26" t="n">
        <v>46185</v>
      </c>
      <c r="C7" s="22">
        <f>IF(OR(B7="",Settings!$C$5=""),"",IF((B7-Settings!$C$5)&lt;0,"",INT((B7-Settings!$C$5)/7)&amp;IF(INT((B7-Settings!$C$5)/7)=1," week"," weeks")&amp;IF(MOD((B7-Settings!$C$5),7)=0,""," "&amp;MOD((B7-Settings!$C$5),7)&amp;IF(MOD((B7-Settings!$C$5),7)=1," day"," days"))))</f>
        <v/>
      </c>
      <c r="D7" s="31" t="n">
        <v>3.34</v>
      </c>
      <c r="E7" s="32" t="n">
        <v>50.7</v>
      </c>
      <c r="F7" s="32" t="n">
        <v>35</v>
      </c>
      <c r="G7" s="28" t="n"/>
      <c r="H7" s="1" t="n"/>
      <c r="I7">
        <f>IF(B7="","",B7+ROW()/10000000)</f>
        <v/>
      </c>
      <c r="J7">
        <f>IF(I7="","",COUNTIF(Growth!$I$6:$I$105,"&gt;"&amp;I7))</f>
        <v/>
      </c>
    </row>
    <row r="8">
      <c r="A8" s="1" t="n"/>
      <c r="B8" s="26" t="n">
        <v>46192</v>
      </c>
      <c r="C8" s="22">
        <f>IF(OR(B8="",Settings!$C$5=""),"",IF((B8-Settings!$C$5)&lt;0,"",INT((B8-Settings!$C$5)/7)&amp;IF(INT((B8-Settings!$C$5)/7)=1," week"," weeks")&amp;IF(MOD((B8-Settings!$C$5),7)=0,""," "&amp;MOD((B8-Settings!$C$5),7)&amp;IF(MOD((B8-Settings!$C$5),7)=1," day"," days"))))</f>
        <v/>
      </c>
      <c r="D8" s="31" t="n">
        <v>3.58</v>
      </c>
      <c r="E8" s="32" t="n">
        <v>51.5</v>
      </c>
      <c r="F8" s="32" t="n">
        <v>35.4</v>
      </c>
      <c r="G8" s="28" t="n"/>
      <c r="H8" s="1" t="n"/>
      <c r="I8">
        <f>IF(B8="","",B8+ROW()/10000000)</f>
        <v/>
      </c>
      <c r="J8">
        <f>IF(I8="","",COUNTIF(Growth!$I$6:$I$105,"&gt;"&amp;I8))</f>
        <v/>
      </c>
    </row>
    <row r="9">
      <c r="A9" s="1" t="n"/>
      <c r="B9" s="26" t="n">
        <v>46206</v>
      </c>
      <c r="C9" s="22">
        <f>IF(OR(B9="",Settings!$C$5=""),"",IF((B9-Settings!$C$5)&lt;0,"",INT((B9-Settings!$C$5)/7)&amp;IF(INT((B9-Settings!$C$5)/7)=1," week"," weeks")&amp;IF(MOD((B9-Settings!$C$5),7)=0,""," "&amp;MOD((B9-Settings!$C$5),7)&amp;IF(MOD((B9-Settings!$C$5),7)=1," day"," days"))))</f>
        <v/>
      </c>
      <c r="D9" s="31" t="n">
        <v>4.02</v>
      </c>
      <c r="E9" s="32" t="n">
        <v>52.9</v>
      </c>
      <c r="F9" s="32" t="n">
        <v>36.3</v>
      </c>
      <c r="G9" s="28" t="n"/>
      <c r="H9" s="1" t="n"/>
      <c r="I9">
        <f>IF(B9="","",B9+ROW()/10000000)</f>
        <v/>
      </c>
      <c r="J9">
        <f>IF(I9="","",COUNTIF(Growth!$I$6:$I$105,"&gt;"&amp;I9))</f>
        <v/>
      </c>
    </row>
    <row r="10">
      <c r="A10" s="1" t="n"/>
      <c r="B10" s="26" t="n">
        <v>46220</v>
      </c>
      <c r="C10" s="22">
        <f>IF(OR(B10="",Settings!$C$5=""),"",IF((B10-Settings!$C$5)&lt;0,"",INT((B10-Settings!$C$5)/7)&amp;IF(INT((B10-Settings!$C$5)/7)=1," week"," weeks")&amp;IF(MOD((B10-Settings!$C$5),7)=0,""," "&amp;MOD((B10-Settings!$C$5),7)&amp;IF(MOD((B10-Settings!$C$5),7)=1," day"," days"))))</f>
        <v/>
      </c>
      <c r="D10" s="31" t="n">
        <v>4.5</v>
      </c>
      <c r="E10" s="32" t="n">
        <v>54.1</v>
      </c>
      <c r="F10" s="32" t="n">
        <v>37.2</v>
      </c>
      <c r="G10" s="28" t="n"/>
      <c r="H10" s="1" t="n"/>
      <c r="I10">
        <f>IF(B10="","",B10+ROW()/10000000)</f>
        <v/>
      </c>
      <c r="J10">
        <f>IF(I10="","",COUNTIF(Growth!$I$6:$I$105,"&gt;"&amp;I10))</f>
        <v/>
      </c>
    </row>
    <row r="11">
      <c r="A11" s="1" t="n"/>
      <c r="B11" s="26" t="n">
        <v>46234</v>
      </c>
      <c r="C11" s="22">
        <f>IF(OR(B11="",Settings!$C$5=""),"",IF((B11-Settings!$C$5)&lt;0,"",INT((B11-Settings!$C$5)/7)&amp;IF(INT((B11-Settings!$C$5)/7)=1," week"," weeks")&amp;IF(MOD((B11-Settings!$C$5),7)=0,""," "&amp;MOD((B11-Settings!$C$5),7)&amp;IF(MOD((B11-Settings!$C$5),7)=1," day"," days"))))</f>
        <v/>
      </c>
      <c r="D11" s="31" t="n">
        <v>4.86</v>
      </c>
      <c r="E11" s="32" t="n">
        <v>55.6</v>
      </c>
      <c r="F11" s="32" t="n">
        <v>38.1</v>
      </c>
      <c r="G11" s="28" t="n"/>
      <c r="H11" s="1" t="n"/>
      <c r="I11">
        <f>IF(B11="","",B11+ROW()/10000000)</f>
        <v/>
      </c>
      <c r="J11">
        <f>IF(I11="","",COUNTIF(Growth!$I$6:$I$105,"&gt;"&amp;I11))</f>
        <v/>
      </c>
    </row>
    <row r="12">
      <c r="A12" s="1" t="n"/>
      <c r="B12" s="26" t="n">
        <v>46248</v>
      </c>
      <c r="C12" s="22">
        <f>IF(OR(B12="",Settings!$C$5=""),"",IF((B12-Settings!$C$5)&lt;0,"",INT((B12-Settings!$C$5)/7)&amp;IF(INT((B12-Settings!$C$5)/7)=1," week"," weeks")&amp;IF(MOD((B12-Settings!$C$5),7)=0,""," "&amp;MOD((B12-Settings!$C$5),7)&amp;IF(MOD((B12-Settings!$C$5),7)=1," day"," days"))))</f>
        <v/>
      </c>
      <c r="D12" s="31" t="n">
        <v>5.15</v>
      </c>
      <c r="E12" s="32" t="n">
        <v>57.1</v>
      </c>
      <c r="F12" s="32" t="n">
        <v>39</v>
      </c>
      <c r="G12" s="28" t="n"/>
      <c r="H12" s="1" t="n"/>
      <c r="I12">
        <f>IF(B12="","",B12+ROW()/10000000)</f>
        <v/>
      </c>
      <c r="J12">
        <f>IF(I12="","",COUNTIF(Growth!$I$6:$I$105,"&gt;"&amp;I12))</f>
        <v/>
      </c>
    </row>
    <row r="13">
      <c r="A13" s="1" t="n"/>
      <c r="B13" s="26" t="n">
        <v>46262</v>
      </c>
      <c r="C13" s="22">
        <f>IF(OR(B13="",Settings!$C$5=""),"",IF((B13-Settings!$C$5)&lt;0,"",INT((B13-Settings!$C$5)/7)&amp;IF(INT((B13-Settings!$C$5)/7)=1," week"," weeks")&amp;IF(MOD((B13-Settings!$C$5),7)=0,""," "&amp;MOD((B13-Settings!$C$5),7)&amp;IF(MOD((B13-Settings!$C$5),7)=1," day"," days"))))</f>
        <v/>
      </c>
      <c r="D13" s="31" t="n">
        <v>5.48</v>
      </c>
      <c r="E13" s="32" t="n">
        <v>58.8</v>
      </c>
      <c r="F13" s="32" t="n">
        <v>39.9</v>
      </c>
      <c r="G13" s="28" t="n"/>
      <c r="H13" s="1" t="n"/>
      <c r="I13">
        <f>IF(B13="","",B13+ROW()/10000000)</f>
        <v/>
      </c>
      <c r="J13">
        <f>IF(I13="","",COUNTIF(Growth!$I$6:$I$105,"&gt;"&amp;I13))</f>
        <v/>
      </c>
    </row>
    <row r="14">
      <c r="A14" s="1" t="n"/>
      <c r="B14" s="26" t="n">
        <v>46276</v>
      </c>
      <c r="C14" s="22">
        <f>IF(OR(B14="",Settings!$C$5=""),"",IF((B14-Settings!$C$5)&lt;0,"",INT((B14-Settings!$C$5)/7)&amp;IF(INT((B14-Settings!$C$5)/7)=1," week"," weeks")&amp;IF(MOD((B14-Settings!$C$5),7)=0,""," "&amp;MOD((B14-Settings!$C$5),7)&amp;IF(MOD((B14-Settings!$C$5),7)=1," day"," days"))))</f>
        <v/>
      </c>
      <c r="D14" s="31" t="n">
        <v>5.78</v>
      </c>
      <c r="E14" s="32" t="n">
        <v>60.2</v>
      </c>
      <c r="F14" s="32" t="n">
        <v>40.8</v>
      </c>
      <c r="G14" s="28" t="n"/>
      <c r="H14" s="1" t="n"/>
      <c r="I14">
        <f>IF(B14="","",B14+ROW()/10000000)</f>
        <v/>
      </c>
      <c r="J14">
        <f>IF(I14="","",COUNTIF(Growth!$I$6:$I$105,"&gt;"&amp;I14))</f>
        <v/>
      </c>
    </row>
    <row r="15">
      <c r="A15" s="1" t="n"/>
      <c r="B15" s="26" t="n">
        <v>46290</v>
      </c>
      <c r="C15" s="22">
        <f>IF(OR(B15="",Settings!$C$5=""),"",IF((B15-Settings!$C$5)&lt;0,"",INT((B15-Settings!$C$5)/7)&amp;IF(INT((B15-Settings!$C$5)/7)=1," week"," weeks")&amp;IF(MOD((B15-Settings!$C$5),7)=0,""," "&amp;MOD((B15-Settings!$C$5),7)&amp;IF(MOD((B15-Settings!$C$5),7)=1," day"," days"))))</f>
        <v/>
      </c>
      <c r="D15" s="31" t="n">
        <v>6.15</v>
      </c>
      <c r="E15" s="32" t="n">
        <v>61.6</v>
      </c>
      <c r="F15" s="32" t="n">
        <v>41.7</v>
      </c>
      <c r="G15" s="28" t="n"/>
      <c r="H15" s="1" t="n"/>
      <c r="I15">
        <f>IF(B15="","",B15+ROW()/10000000)</f>
        <v/>
      </c>
      <c r="J15">
        <f>IF(I15="","",COUNTIF(Growth!$I$6:$I$105,"&gt;"&amp;I15))</f>
        <v/>
      </c>
    </row>
    <row r="16">
      <c r="A16" s="1" t="n"/>
      <c r="B16" s="26" t="n"/>
      <c r="C16" s="22">
        <f>IF(OR(B16="",Settings!$C$5=""),"",IF((B16-Settings!$C$5)&lt;0,"",INT((B16-Settings!$C$5)/7)&amp;IF(INT((B16-Settings!$C$5)/7)=1," week"," weeks")&amp;IF(MOD((B16-Settings!$C$5),7)=0,""," "&amp;MOD((B16-Settings!$C$5),7)&amp;IF(MOD((B16-Settings!$C$5),7)=1," day"," days"))))</f>
        <v/>
      </c>
      <c r="D16" s="31" t="n"/>
      <c r="E16" s="32" t="n"/>
      <c r="F16" s="32" t="n"/>
      <c r="G16" s="28" t="n"/>
      <c r="H16" s="1" t="n"/>
      <c r="I16">
        <f>IF(B16="","",B16+ROW()/10000000)</f>
        <v/>
      </c>
      <c r="J16">
        <f>IF(I16="","",COUNTIF(Growth!$I$6:$I$105,"&gt;"&amp;I16))</f>
        <v/>
      </c>
    </row>
    <row r="17">
      <c r="A17" s="1" t="n"/>
      <c r="B17" s="26" t="n"/>
      <c r="C17" s="22">
        <f>IF(OR(B17="",Settings!$C$5=""),"",IF((B17-Settings!$C$5)&lt;0,"",INT((B17-Settings!$C$5)/7)&amp;IF(INT((B17-Settings!$C$5)/7)=1," week"," weeks")&amp;IF(MOD((B17-Settings!$C$5),7)=0,""," "&amp;MOD((B17-Settings!$C$5),7)&amp;IF(MOD((B17-Settings!$C$5),7)=1," day"," days"))))</f>
        <v/>
      </c>
      <c r="D17" s="31" t="n"/>
      <c r="E17" s="32" t="n"/>
      <c r="F17" s="32" t="n"/>
      <c r="G17" s="28" t="n"/>
      <c r="H17" s="1" t="n"/>
      <c r="I17">
        <f>IF(B17="","",B17+ROW()/10000000)</f>
        <v/>
      </c>
      <c r="J17">
        <f>IF(I17="","",COUNTIF(Growth!$I$6:$I$105,"&gt;"&amp;I17))</f>
        <v/>
      </c>
    </row>
    <row r="18">
      <c r="A18" s="1" t="n"/>
      <c r="B18" s="26" t="n"/>
      <c r="C18" s="22">
        <f>IF(OR(B18="",Settings!$C$5=""),"",IF((B18-Settings!$C$5)&lt;0,"",INT((B18-Settings!$C$5)/7)&amp;IF(INT((B18-Settings!$C$5)/7)=1," week"," weeks")&amp;IF(MOD((B18-Settings!$C$5),7)=0,""," "&amp;MOD((B18-Settings!$C$5),7)&amp;IF(MOD((B18-Settings!$C$5),7)=1," day"," days"))))</f>
        <v/>
      </c>
      <c r="D18" s="31" t="n"/>
      <c r="E18" s="32" t="n"/>
      <c r="F18" s="32" t="n"/>
      <c r="G18" s="28" t="n"/>
      <c r="H18" s="1" t="n"/>
      <c r="I18">
        <f>IF(B18="","",B18+ROW()/10000000)</f>
        <v/>
      </c>
      <c r="J18">
        <f>IF(I18="","",COUNTIF(Growth!$I$6:$I$105,"&gt;"&amp;I18))</f>
        <v/>
      </c>
    </row>
    <row r="19">
      <c r="A19" s="1" t="n"/>
      <c r="B19" s="26" t="n"/>
      <c r="C19" s="22">
        <f>IF(OR(B19="",Settings!$C$5=""),"",IF((B19-Settings!$C$5)&lt;0,"",INT((B19-Settings!$C$5)/7)&amp;IF(INT((B19-Settings!$C$5)/7)=1," week"," weeks")&amp;IF(MOD((B19-Settings!$C$5),7)=0,""," "&amp;MOD((B19-Settings!$C$5),7)&amp;IF(MOD((B19-Settings!$C$5),7)=1," day"," days"))))</f>
        <v/>
      </c>
      <c r="D19" s="31" t="n"/>
      <c r="E19" s="32" t="n"/>
      <c r="F19" s="32" t="n"/>
      <c r="G19" s="28" t="n"/>
      <c r="H19" s="1" t="n"/>
      <c r="I19">
        <f>IF(B19="","",B19+ROW()/10000000)</f>
        <v/>
      </c>
      <c r="J19">
        <f>IF(I19="","",COUNTIF(Growth!$I$6:$I$105,"&gt;"&amp;I19))</f>
        <v/>
      </c>
    </row>
    <row r="20">
      <c r="A20" s="1" t="n"/>
      <c r="B20" s="26" t="n"/>
      <c r="C20" s="22">
        <f>IF(OR(B20="",Settings!$C$5=""),"",IF((B20-Settings!$C$5)&lt;0,"",INT((B20-Settings!$C$5)/7)&amp;IF(INT((B20-Settings!$C$5)/7)=1," week"," weeks")&amp;IF(MOD((B20-Settings!$C$5),7)=0,""," "&amp;MOD((B20-Settings!$C$5),7)&amp;IF(MOD((B20-Settings!$C$5),7)=1," day"," days"))))</f>
        <v/>
      </c>
      <c r="D20" s="31" t="n"/>
      <c r="E20" s="32" t="n"/>
      <c r="F20" s="32" t="n"/>
      <c r="G20" s="28" t="n"/>
      <c r="H20" s="1" t="n"/>
      <c r="I20">
        <f>IF(B20="","",B20+ROW()/10000000)</f>
        <v/>
      </c>
      <c r="J20">
        <f>IF(I20="","",COUNTIF(Growth!$I$6:$I$105,"&gt;"&amp;I20))</f>
        <v/>
      </c>
    </row>
    <row r="21">
      <c r="A21" s="1" t="n"/>
      <c r="B21" s="26" t="n"/>
      <c r="C21" s="22">
        <f>IF(OR(B21="",Settings!$C$5=""),"",IF((B21-Settings!$C$5)&lt;0,"",INT((B21-Settings!$C$5)/7)&amp;IF(INT((B21-Settings!$C$5)/7)=1," week"," weeks")&amp;IF(MOD((B21-Settings!$C$5),7)=0,""," "&amp;MOD((B21-Settings!$C$5),7)&amp;IF(MOD((B21-Settings!$C$5),7)=1," day"," days"))))</f>
        <v/>
      </c>
      <c r="D21" s="31" t="n"/>
      <c r="E21" s="32" t="n"/>
      <c r="F21" s="32" t="n"/>
      <c r="G21" s="28" t="n"/>
      <c r="H21" s="1" t="n"/>
      <c r="I21">
        <f>IF(B21="","",B21+ROW()/10000000)</f>
        <v/>
      </c>
      <c r="J21">
        <f>IF(I21="","",COUNTIF(Growth!$I$6:$I$105,"&gt;"&amp;I21))</f>
        <v/>
      </c>
    </row>
    <row r="22">
      <c r="A22" s="1" t="n"/>
      <c r="B22" s="26" t="n"/>
      <c r="C22" s="22">
        <f>IF(OR(B22="",Settings!$C$5=""),"",IF((B22-Settings!$C$5)&lt;0,"",INT((B22-Settings!$C$5)/7)&amp;IF(INT((B22-Settings!$C$5)/7)=1," week"," weeks")&amp;IF(MOD((B22-Settings!$C$5),7)=0,""," "&amp;MOD((B22-Settings!$C$5),7)&amp;IF(MOD((B22-Settings!$C$5),7)=1," day"," days"))))</f>
        <v/>
      </c>
      <c r="D22" s="31" t="n"/>
      <c r="E22" s="32" t="n"/>
      <c r="F22" s="32" t="n"/>
      <c r="G22" s="28" t="n"/>
      <c r="H22" s="1" t="n"/>
      <c r="I22">
        <f>IF(B22="","",B22+ROW()/10000000)</f>
        <v/>
      </c>
      <c r="J22">
        <f>IF(I22="","",COUNTIF(Growth!$I$6:$I$105,"&gt;"&amp;I22))</f>
        <v/>
      </c>
    </row>
    <row r="23">
      <c r="A23" s="1" t="n"/>
      <c r="B23" s="26" t="n"/>
      <c r="C23" s="22">
        <f>IF(OR(B23="",Settings!$C$5=""),"",IF((B23-Settings!$C$5)&lt;0,"",INT((B23-Settings!$C$5)/7)&amp;IF(INT((B23-Settings!$C$5)/7)=1," week"," weeks")&amp;IF(MOD((B23-Settings!$C$5),7)=0,""," "&amp;MOD((B23-Settings!$C$5),7)&amp;IF(MOD((B23-Settings!$C$5),7)=1," day"," days"))))</f>
        <v/>
      </c>
      <c r="D23" s="31" t="n"/>
      <c r="E23" s="32" t="n"/>
      <c r="F23" s="32" t="n"/>
      <c r="G23" s="28" t="n"/>
      <c r="H23" s="1" t="n"/>
      <c r="I23">
        <f>IF(B23="","",B23+ROW()/10000000)</f>
        <v/>
      </c>
      <c r="J23">
        <f>IF(I23="","",COUNTIF(Growth!$I$6:$I$105,"&gt;"&amp;I23))</f>
        <v/>
      </c>
    </row>
    <row r="24">
      <c r="A24" s="1" t="n"/>
      <c r="B24" s="26" t="n"/>
      <c r="C24" s="22">
        <f>IF(OR(B24="",Settings!$C$5=""),"",IF((B24-Settings!$C$5)&lt;0,"",INT((B24-Settings!$C$5)/7)&amp;IF(INT((B24-Settings!$C$5)/7)=1," week"," weeks")&amp;IF(MOD((B24-Settings!$C$5),7)=0,""," "&amp;MOD((B24-Settings!$C$5),7)&amp;IF(MOD((B24-Settings!$C$5),7)=1," day"," days"))))</f>
        <v/>
      </c>
      <c r="D24" s="31" t="n"/>
      <c r="E24" s="32" t="n"/>
      <c r="F24" s="32" t="n"/>
      <c r="G24" s="28" t="n"/>
      <c r="H24" s="1" t="n"/>
      <c r="I24">
        <f>IF(B24="","",B24+ROW()/10000000)</f>
        <v/>
      </c>
      <c r="J24">
        <f>IF(I24="","",COUNTIF(Growth!$I$6:$I$105,"&gt;"&amp;I24))</f>
        <v/>
      </c>
    </row>
    <row r="25">
      <c r="A25" s="1" t="n"/>
      <c r="B25" s="26" t="n"/>
      <c r="C25" s="22">
        <f>IF(OR(B25="",Settings!$C$5=""),"",IF((B25-Settings!$C$5)&lt;0,"",INT((B25-Settings!$C$5)/7)&amp;IF(INT((B25-Settings!$C$5)/7)=1," week"," weeks")&amp;IF(MOD((B25-Settings!$C$5),7)=0,""," "&amp;MOD((B25-Settings!$C$5),7)&amp;IF(MOD((B25-Settings!$C$5),7)=1," day"," days"))))</f>
        <v/>
      </c>
      <c r="D25" s="31" t="n"/>
      <c r="E25" s="32" t="n"/>
      <c r="F25" s="32" t="n"/>
      <c r="G25" s="28" t="n"/>
      <c r="H25" s="1" t="n"/>
      <c r="I25">
        <f>IF(B25="","",B25+ROW()/10000000)</f>
        <v/>
      </c>
      <c r="J25">
        <f>IF(I25="","",COUNTIF(Growth!$I$6:$I$105,"&gt;"&amp;I25))</f>
        <v/>
      </c>
    </row>
    <row r="26">
      <c r="A26" s="1" t="n"/>
      <c r="B26" s="26" t="n"/>
      <c r="C26" s="22">
        <f>IF(OR(B26="",Settings!$C$5=""),"",IF((B26-Settings!$C$5)&lt;0,"",INT((B26-Settings!$C$5)/7)&amp;IF(INT((B26-Settings!$C$5)/7)=1," week"," weeks")&amp;IF(MOD((B26-Settings!$C$5),7)=0,""," "&amp;MOD((B26-Settings!$C$5),7)&amp;IF(MOD((B26-Settings!$C$5),7)=1," day"," days"))))</f>
        <v/>
      </c>
      <c r="D26" s="31" t="n"/>
      <c r="E26" s="32" t="n"/>
      <c r="F26" s="32" t="n"/>
      <c r="G26" s="28" t="n"/>
      <c r="H26" s="1" t="n"/>
      <c r="I26">
        <f>IF(B26="","",B26+ROW()/10000000)</f>
        <v/>
      </c>
      <c r="J26">
        <f>IF(I26="","",COUNTIF(Growth!$I$6:$I$105,"&gt;"&amp;I26))</f>
        <v/>
      </c>
    </row>
    <row r="27">
      <c r="A27" s="1" t="n"/>
      <c r="B27" s="26" t="n"/>
      <c r="C27" s="22">
        <f>IF(OR(B27="",Settings!$C$5=""),"",IF((B27-Settings!$C$5)&lt;0,"",INT((B27-Settings!$C$5)/7)&amp;IF(INT((B27-Settings!$C$5)/7)=1," week"," weeks")&amp;IF(MOD((B27-Settings!$C$5),7)=0,""," "&amp;MOD((B27-Settings!$C$5),7)&amp;IF(MOD((B27-Settings!$C$5),7)=1," day"," days"))))</f>
        <v/>
      </c>
      <c r="D27" s="31" t="n"/>
      <c r="E27" s="32" t="n"/>
      <c r="F27" s="32" t="n"/>
      <c r="G27" s="28" t="n"/>
      <c r="H27" s="1" t="n"/>
      <c r="I27">
        <f>IF(B27="","",B27+ROW()/10000000)</f>
        <v/>
      </c>
      <c r="J27">
        <f>IF(I27="","",COUNTIF(Growth!$I$6:$I$105,"&gt;"&amp;I27))</f>
        <v/>
      </c>
    </row>
    <row r="28">
      <c r="A28" s="1" t="n"/>
      <c r="B28" s="26" t="n"/>
      <c r="C28" s="22">
        <f>IF(OR(B28="",Settings!$C$5=""),"",IF((B28-Settings!$C$5)&lt;0,"",INT((B28-Settings!$C$5)/7)&amp;IF(INT((B28-Settings!$C$5)/7)=1," week"," weeks")&amp;IF(MOD((B28-Settings!$C$5),7)=0,""," "&amp;MOD((B28-Settings!$C$5),7)&amp;IF(MOD((B28-Settings!$C$5),7)=1," day"," days"))))</f>
        <v/>
      </c>
      <c r="D28" s="31" t="n"/>
      <c r="E28" s="32" t="n"/>
      <c r="F28" s="32" t="n"/>
      <c r="G28" s="28" t="n"/>
      <c r="H28" s="1" t="n"/>
      <c r="I28">
        <f>IF(B28="","",B28+ROW()/10000000)</f>
        <v/>
      </c>
      <c r="J28">
        <f>IF(I28="","",COUNTIF(Growth!$I$6:$I$105,"&gt;"&amp;I28))</f>
        <v/>
      </c>
    </row>
    <row r="29">
      <c r="A29" s="1" t="n"/>
      <c r="B29" s="26" t="n"/>
      <c r="C29" s="22">
        <f>IF(OR(B29="",Settings!$C$5=""),"",IF((B29-Settings!$C$5)&lt;0,"",INT((B29-Settings!$C$5)/7)&amp;IF(INT((B29-Settings!$C$5)/7)=1," week"," weeks")&amp;IF(MOD((B29-Settings!$C$5),7)=0,""," "&amp;MOD((B29-Settings!$C$5),7)&amp;IF(MOD((B29-Settings!$C$5),7)=1," day"," days"))))</f>
        <v/>
      </c>
      <c r="D29" s="31" t="n"/>
      <c r="E29" s="32" t="n"/>
      <c r="F29" s="32" t="n"/>
      <c r="G29" s="28" t="n"/>
      <c r="H29" s="1" t="n"/>
      <c r="I29">
        <f>IF(B29="","",B29+ROW()/10000000)</f>
        <v/>
      </c>
      <c r="J29">
        <f>IF(I29="","",COUNTIF(Growth!$I$6:$I$105,"&gt;"&amp;I29))</f>
        <v/>
      </c>
    </row>
    <row r="30">
      <c r="A30" s="1" t="n"/>
      <c r="B30" s="26" t="n"/>
      <c r="C30" s="22">
        <f>IF(OR(B30="",Settings!$C$5=""),"",IF((B30-Settings!$C$5)&lt;0,"",INT((B30-Settings!$C$5)/7)&amp;IF(INT((B30-Settings!$C$5)/7)=1," week"," weeks")&amp;IF(MOD((B30-Settings!$C$5),7)=0,""," "&amp;MOD((B30-Settings!$C$5),7)&amp;IF(MOD((B30-Settings!$C$5),7)=1," day"," days"))))</f>
        <v/>
      </c>
      <c r="D30" s="31" t="n"/>
      <c r="E30" s="32" t="n"/>
      <c r="F30" s="32" t="n"/>
      <c r="G30" s="28" t="n"/>
      <c r="H30" s="1" t="n"/>
      <c r="I30">
        <f>IF(B30="","",B30+ROW()/10000000)</f>
        <v/>
      </c>
      <c r="J30">
        <f>IF(I30="","",COUNTIF(Growth!$I$6:$I$105,"&gt;"&amp;I30))</f>
        <v/>
      </c>
    </row>
    <row r="31">
      <c r="A31" s="1" t="n"/>
      <c r="B31" s="26" t="n"/>
      <c r="C31" s="22">
        <f>IF(OR(B31="",Settings!$C$5=""),"",IF((B31-Settings!$C$5)&lt;0,"",INT((B31-Settings!$C$5)/7)&amp;IF(INT((B31-Settings!$C$5)/7)=1," week"," weeks")&amp;IF(MOD((B31-Settings!$C$5),7)=0,""," "&amp;MOD((B31-Settings!$C$5),7)&amp;IF(MOD((B31-Settings!$C$5),7)=1," day"," days"))))</f>
        <v/>
      </c>
      <c r="D31" s="31" t="n"/>
      <c r="E31" s="32" t="n"/>
      <c r="F31" s="32" t="n"/>
      <c r="G31" s="28" t="n"/>
      <c r="H31" s="1" t="n"/>
      <c r="I31">
        <f>IF(B31="","",B31+ROW()/10000000)</f>
        <v/>
      </c>
      <c r="J31">
        <f>IF(I31="","",COUNTIF(Growth!$I$6:$I$105,"&gt;"&amp;I31))</f>
        <v/>
      </c>
    </row>
    <row r="32">
      <c r="A32" s="1" t="n"/>
      <c r="B32" s="26" t="n"/>
      <c r="C32" s="22">
        <f>IF(OR(B32="",Settings!$C$5=""),"",IF((B32-Settings!$C$5)&lt;0,"",INT((B32-Settings!$C$5)/7)&amp;IF(INT((B32-Settings!$C$5)/7)=1," week"," weeks")&amp;IF(MOD((B32-Settings!$C$5),7)=0,""," "&amp;MOD((B32-Settings!$C$5),7)&amp;IF(MOD((B32-Settings!$C$5),7)=1," day"," days"))))</f>
        <v/>
      </c>
      <c r="D32" s="31" t="n"/>
      <c r="E32" s="32" t="n"/>
      <c r="F32" s="32" t="n"/>
      <c r="G32" s="28" t="n"/>
      <c r="H32" s="1" t="n"/>
      <c r="I32">
        <f>IF(B32="","",B32+ROW()/10000000)</f>
        <v/>
      </c>
      <c r="J32">
        <f>IF(I32="","",COUNTIF(Growth!$I$6:$I$105,"&gt;"&amp;I32))</f>
        <v/>
      </c>
    </row>
    <row r="33">
      <c r="A33" s="1" t="n"/>
      <c r="B33" s="26" t="n"/>
      <c r="C33" s="22">
        <f>IF(OR(B33="",Settings!$C$5=""),"",IF((B33-Settings!$C$5)&lt;0,"",INT((B33-Settings!$C$5)/7)&amp;IF(INT((B33-Settings!$C$5)/7)=1," week"," weeks")&amp;IF(MOD((B33-Settings!$C$5),7)=0,""," "&amp;MOD((B33-Settings!$C$5),7)&amp;IF(MOD((B33-Settings!$C$5),7)=1," day"," days"))))</f>
        <v/>
      </c>
      <c r="D33" s="31" t="n"/>
      <c r="E33" s="32" t="n"/>
      <c r="F33" s="32" t="n"/>
      <c r="G33" s="28" t="n"/>
      <c r="H33" s="1" t="n"/>
      <c r="I33">
        <f>IF(B33="","",B33+ROW()/10000000)</f>
        <v/>
      </c>
      <c r="J33">
        <f>IF(I33="","",COUNTIF(Growth!$I$6:$I$105,"&gt;"&amp;I33))</f>
        <v/>
      </c>
    </row>
    <row r="34">
      <c r="A34" s="1" t="n"/>
      <c r="B34" s="26" t="n"/>
      <c r="C34" s="22">
        <f>IF(OR(B34="",Settings!$C$5=""),"",IF((B34-Settings!$C$5)&lt;0,"",INT((B34-Settings!$C$5)/7)&amp;IF(INT((B34-Settings!$C$5)/7)=1," week"," weeks")&amp;IF(MOD((B34-Settings!$C$5),7)=0,""," "&amp;MOD((B34-Settings!$C$5),7)&amp;IF(MOD((B34-Settings!$C$5),7)=1," day"," days"))))</f>
        <v/>
      </c>
      <c r="D34" s="31" t="n"/>
      <c r="E34" s="32" t="n"/>
      <c r="F34" s="32" t="n"/>
      <c r="G34" s="28" t="n"/>
      <c r="H34" s="1" t="n"/>
      <c r="I34">
        <f>IF(B34="","",B34+ROW()/10000000)</f>
        <v/>
      </c>
      <c r="J34">
        <f>IF(I34="","",COUNTIF(Growth!$I$6:$I$105,"&gt;"&amp;I34))</f>
        <v/>
      </c>
    </row>
    <row r="35">
      <c r="A35" s="1" t="n"/>
      <c r="B35" s="26" t="n"/>
      <c r="C35" s="22">
        <f>IF(OR(B35="",Settings!$C$5=""),"",IF((B35-Settings!$C$5)&lt;0,"",INT((B35-Settings!$C$5)/7)&amp;IF(INT((B35-Settings!$C$5)/7)=1," week"," weeks")&amp;IF(MOD((B35-Settings!$C$5),7)=0,""," "&amp;MOD((B35-Settings!$C$5),7)&amp;IF(MOD((B35-Settings!$C$5),7)=1," day"," days"))))</f>
        <v/>
      </c>
      <c r="D35" s="31" t="n"/>
      <c r="E35" s="32" t="n"/>
      <c r="F35" s="32" t="n"/>
      <c r="G35" s="28" t="n"/>
      <c r="H35" s="1" t="n"/>
      <c r="I35">
        <f>IF(B35="","",B35+ROW()/10000000)</f>
        <v/>
      </c>
      <c r="J35">
        <f>IF(I35="","",COUNTIF(Growth!$I$6:$I$105,"&gt;"&amp;I35))</f>
        <v/>
      </c>
    </row>
    <row r="36">
      <c r="A36" s="1" t="n"/>
      <c r="B36" s="26" t="n"/>
      <c r="C36" s="22">
        <f>IF(OR(B36="",Settings!$C$5=""),"",IF((B36-Settings!$C$5)&lt;0,"",INT((B36-Settings!$C$5)/7)&amp;IF(INT((B36-Settings!$C$5)/7)=1," week"," weeks")&amp;IF(MOD((B36-Settings!$C$5),7)=0,""," "&amp;MOD((B36-Settings!$C$5),7)&amp;IF(MOD((B36-Settings!$C$5),7)=1," day"," days"))))</f>
        <v/>
      </c>
      <c r="D36" s="31" t="n"/>
      <c r="E36" s="32" t="n"/>
      <c r="F36" s="32" t="n"/>
      <c r="G36" s="28" t="n"/>
      <c r="H36" s="1" t="n"/>
      <c r="I36">
        <f>IF(B36="","",B36+ROW()/10000000)</f>
        <v/>
      </c>
      <c r="J36">
        <f>IF(I36="","",COUNTIF(Growth!$I$6:$I$105,"&gt;"&amp;I36))</f>
        <v/>
      </c>
    </row>
    <row r="37">
      <c r="A37" s="1" t="n"/>
      <c r="B37" s="26" t="n"/>
      <c r="C37" s="22">
        <f>IF(OR(B37="",Settings!$C$5=""),"",IF((B37-Settings!$C$5)&lt;0,"",INT((B37-Settings!$C$5)/7)&amp;IF(INT((B37-Settings!$C$5)/7)=1," week"," weeks")&amp;IF(MOD((B37-Settings!$C$5),7)=0,""," "&amp;MOD((B37-Settings!$C$5),7)&amp;IF(MOD((B37-Settings!$C$5),7)=1," day"," days"))))</f>
        <v/>
      </c>
      <c r="D37" s="31" t="n"/>
      <c r="E37" s="32" t="n"/>
      <c r="F37" s="32" t="n"/>
      <c r="G37" s="28" t="n"/>
      <c r="H37" s="1" t="n"/>
      <c r="I37">
        <f>IF(B37="","",B37+ROW()/10000000)</f>
        <v/>
      </c>
      <c r="J37">
        <f>IF(I37="","",COUNTIF(Growth!$I$6:$I$105,"&gt;"&amp;I37))</f>
        <v/>
      </c>
    </row>
    <row r="38">
      <c r="A38" s="1" t="n"/>
      <c r="B38" s="26" t="n"/>
      <c r="C38" s="22">
        <f>IF(OR(B38="",Settings!$C$5=""),"",IF((B38-Settings!$C$5)&lt;0,"",INT((B38-Settings!$C$5)/7)&amp;IF(INT((B38-Settings!$C$5)/7)=1," week"," weeks")&amp;IF(MOD((B38-Settings!$C$5),7)=0,""," "&amp;MOD((B38-Settings!$C$5),7)&amp;IF(MOD((B38-Settings!$C$5),7)=1," day"," days"))))</f>
        <v/>
      </c>
      <c r="D38" s="31" t="n"/>
      <c r="E38" s="32" t="n"/>
      <c r="F38" s="32" t="n"/>
      <c r="G38" s="28" t="n"/>
      <c r="H38" s="1" t="n"/>
      <c r="I38">
        <f>IF(B38="","",B38+ROW()/10000000)</f>
        <v/>
      </c>
      <c r="J38">
        <f>IF(I38="","",COUNTIF(Growth!$I$6:$I$105,"&gt;"&amp;I38))</f>
        <v/>
      </c>
    </row>
    <row r="39">
      <c r="A39" s="1" t="n"/>
      <c r="B39" s="26" t="n"/>
      <c r="C39" s="22">
        <f>IF(OR(B39="",Settings!$C$5=""),"",IF((B39-Settings!$C$5)&lt;0,"",INT((B39-Settings!$C$5)/7)&amp;IF(INT((B39-Settings!$C$5)/7)=1," week"," weeks")&amp;IF(MOD((B39-Settings!$C$5),7)=0,""," "&amp;MOD((B39-Settings!$C$5),7)&amp;IF(MOD((B39-Settings!$C$5),7)=1," day"," days"))))</f>
        <v/>
      </c>
      <c r="D39" s="31" t="n"/>
      <c r="E39" s="32" t="n"/>
      <c r="F39" s="32" t="n"/>
      <c r="G39" s="28" t="n"/>
      <c r="H39" s="1" t="n"/>
      <c r="I39">
        <f>IF(B39="","",B39+ROW()/10000000)</f>
        <v/>
      </c>
      <c r="J39">
        <f>IF(I39="","",COUNTIF(Growth!$I$6:$I$105,"&gt;"&amp;I39))</f>
        <v/>
      </c>
    </row>
    <row r="40">
      <c r="A40" s="1" t="n"/>
      <c r="B40" s="26" t="n"/>
      <c r="C40" s="22">
        <f>IF(OR(B40="",Settings!$C$5=""),"",IF((B40-Settings!$C$5)&lt;0,"",INT((B40-Settings!$C$5)/7)&amp;IF(INT((B40-Settings!$C$5)/7)=1," week"," weeks")&amp;IF(MOD((B40-Settings!$C$5),7)=0,""," "&amp;MOD((B40-Settings!$C$5),7)&amp;IF(MOD((B40-Settings!$C$5),7)=1," day"," days"))))</f>
        <v/>
      </c>
      <c r="D40" s="31" t="n"/>
      <c r="E40" s="32" t="n"/>
      <c r="F40" s="32" t="n"/>
      <c r="G40" s="28" t="n"/>
      <c r="H40" s="1" t="n"/>
      <c r="I40">
        <f>IF(B40="","",B40+ROW()/10000000)</f>
        <v/>
      </c>
      <c r="J40">
        <f>IF(I40="","",COUNTIF(Growth!$I$6:$I$105,"&gt;"&amp;I40))</f>
        <v/>
      </c>
    </row>
    <row r="41">
      <c r="A41" s="1" t="n"/>
      <c r="B41" s="26" t="n"/>
      <c r="C41" s="22">
        <f>IF(OR(B41="",Settings!$C$5=""),"",IF((B41-Settings!$C$5)&lt;0,"",INT((B41-Settings!$C$5)/7)&amp;IF(INT((B41-Settings!$C$5)/7)=1," week"," weeks")&amp;IF(MOD((B41-Settings!$C$5),7)=0,""," "&amp;MOD((B41-Settings!$C$5),7)&amp;IF(MOD((B41-Settings!$C$5),7)=1," day"," days"))))</f>
        <v/>
      </c>
      <c r="D41" s="31" t="n"/>
      <c r="E41" s="32" t="n"/>
      <c r="F41" s="32" t="n"/>
      <c r="G41" s="28" t="n"/>
      <c r="H41" s="1" t="n"/>
      <c r="I41">
        <f>IF(B41="","",B41+ROW()/10000000)</f>
        <v/>
      </c>
      <c r="J41">
        <f>IF(I41="","",COUNTIF(Growth!$I$6:$I$105,"&gt;"&amp;I41))</f>
        <v/>
      </c>
    </row>
    <row r="42">
      <c r="A42" s="1" t="n"/>
      <c r="B42" s="26" t="n"/>
      <c r="C42" s="22">
        <f>IF(OR(B42="",Settings!$C$5=""),"",IF((B42-Settings!$C$5)&lt;0,"",INT((B42-Settings!$C$5)/7)&amp;IF(INT((B42-Settings!$C$5)/7)=1," week"," weeks")&amp;IF(MOD((B42-Settings!$C$5),7)=0,""," "&amp;MOD((B42-Settings!$C$5),7)&amp;IF(MOD((B42-Settings!$C$5),7)=1," day"," days"))))</f>
        <v/>
      </c>
      <c r="D42" s="31" t="n"/>
      <c r="E42" s="32" t="n"/>
      <c r="F42" s="32" t="n"/>
      <c r="G42" s="28" t="n"/>
      <c r="H42" s="1" t="n"/>
      <c r="I42">
        <f>IF(B42="","",B42+ROW()/10000000)</f>
        <v/>
      </c>
      <c r="J42">
        <f>IF(I42="","",COUNTIF(Growth!$I$6:$I$105,"&gt;"&amp;I42))</f>
        <v/>
      </c>
    </row>
    <row r="43">
      <c r="A43" s="1" t="n"/>
      <c r="B43" s="26" t="n"/>
      <c r="C43" s="22">
        <f>IF(OR(B43="",Settings!$C$5=""),"",IF((B43-Settings!$C$5)&lt;0,"",INT((B43-Settings!$C$5)/7)&amp;IF(INT((B43-Settings!$C$5)/7)=1," week"," weeks")&amp;IF(MOD((B43-Settings!$C$5),7)=0,""," "&amp;MOD((B43-Settings!$C$5),7)&amp;IF(MOD((B43-Settings!$C$5),7)=1," day"," days"))))</f>
        <v/>
      </c>
      <c r="D43" s="31" t="n"/>
      <c r="E43" s="32" t="n"/>
      <c r="F43" s="32" t="n"/>
      <c r="G43" s="28" t="n"/>
      <c r="H43" s="1" t="n"/>
      <c r="I43">
        <f>IF(B43="","",B43+ROW()/10000000)</f>
        <v/>
      </c>
      <c r="J43">
        <f>IF(I43="","",COUNTIF(Growth!$I$6:$I$105,"&gt;"&amp;I43))</f>
        <v/>
      </c>
    </row>
    <row r="44">
      <c r="A44" s="1" t="n"/>
      <c r="B44" s="26" t="n"/>
      <c r="C44" s="22">
        <f>IF(OR(B44="",Settings!$C$5=""),"",IF((B44-Settings!$C$5)&lt;0,"",INT((B44-Settings!$C$5)/7)&amp;IF(INT((B44-Settings!$C$5)/7)=1," week"," weeks")&amp;IF(MOD((B44-Settings!$C$5),7)=0,""," "&amp;MOD((B44-Settings!$C$5),7)&amp;IF(MOD((B44-Settings!$C$5),7)=1," day"," days"))))</f>
        <v/>
      </c>
      <c r="D44" s="31" t="n"/>
      <c r="E44" s="32" t="n"/>
      <c r="F44" s="32" t="n"/>
      <c r="G44" s="28" t="n"/>
      <c r="H44" s="1" t="n"/>
      <c r="I44">
        <f>IF(B44="","",B44+ROW()/10000000)</f>
        <v/>
      </c>
      <c r="J44">
        <f>IF(I44="","",COUNTIF(Growth!$I$6:$I$105,"&gt;"&amp;I44))</f>
        <v/>
      </c>
    </row>
    <row r="45">
      <c r="A45" s="1" t="n"/>
      <c r="B45" s="26" t="n"/>
      <c r="C45" s="22">
        <f>IF(OR(B45="",Settings!$C$5=""),"",IF((B45-Settings!$C$5)&lt;0,"",INT((B45-Settings!$C$5)/7)&amp;IF(INT((B45-Settings!$C$5)/7)=1," week"," weeks")&amp;IF(MOD((B45-Settings!$C$5),7)=0,""," "&amp;MOD((B45-Settings!$C$5),7)&amp;IF(MOD((B45-Settings!$C$5),7)=1," day"," days"))))</f>
        <v/>
      </c>
      <c r="D45" s="31" t="n"/>
      <c r="E45" s="32" t="n"/>
      <c r="F45" s="32" t="n"/>
      <c r="G45" s="28" t="n"/>
      <c r="H45" s="1" t="n"/>
      <c r="I45">
        <f>IF(B45="","",B45+ROW()/10000000)</f>
        <v/>
      </c>
      <c r="J45">
        <f>IF(I45="","",COUNTIF(Growth!$I$6:$I$105,"&gt;"&amp;I45))</f>
        <v/>
      </c>
    </row>
    <row r="46">
      <c r="A46" s="1" t="n"/>
      <c r="B46" s="26" t="n"/>
      <c r="C46" s="22">
        <f>IF(OR(B46="",Settings!$C$5=""),"",IF((B46-Settings!$C$5)&lt;0,"",INT((B46-Settings!$C$5)/7)&amp;IF(INT((B46-Settings!$C$5)/7)=1," week"," weeks")&amp;IF(MOD((B46-Settings!$C$5),7)=0,""," "&amp;MOD((B46-Settings!$C$5),7)&amp;IF(MOD((B46-Settings!$C$5),7)=1," day"," days"))))</f>
        <v/>
      </c>
      <c r="D46" s="31" t="n"/>
      <c r="E46" s="32" t="n"/>
      <c r="F46" s="32" t="n"/>
      <c r="G46" s="28" t="n"/>
      <c r="H46" s="1" t="n"/>
      <c r="I46">
        <f>IF(B46="","",B46+ROW()/10000000)</f>
        <v/>
      </c>
      <c r="J46">
        <f>IF(I46="","",COUNTIF(Growth!$I$6:$I$105,"&gt;"&amp;I46))</f>
        <v/>
      </c>
    </row>
    <row r="47">
      <c r="A47" s="1" t="n"/>
      <c r="B47" s="26" t="n"/>
      <c r="C47" s="22">
        <f>IF(OR(B47="",Settings!$C$5=""),"",IF((B47-Settings!$C$5)&lt;0,"",INT((B47-Settings!$C$5)/7)&amp;IF(INT((B47-Settings!$C$5)/7)=1," week"," weeks")&amp;IF(MOD((B47-Settings!$C$5),7)=0,""," "&amp;MOD((B47-Settings!$C$5),7)&amp;IF(MOD((B47-Settings!$C$5),7)=1," day"," days"))))</f>
        <v/>
      </c>
      <c r="D47" s="31" t="n"/>
      <c r="E47" s="32" t="n"/>
      <c r="F47" s="32" t="n"/>
      <c r="G47" s="28" t="n"/>
      <c r="H47" s="1" t="n"/>
      <c r="I47">
        <f>IF(B47="","",B47+ROW()/10000000)</f>
        <v/>
      </c>
      <c r="J47">
        <f>IF(I47="","",COUNTIF(Growth!$I$6:$I$105,"&gt;"&amp;I47))</f>
        <v/>
      </c>
    </row>
    <row r="48">
      <c r="A48" s="1" t="n"/>
      <c r="B48" s="26" t="n"/>
      <c r="C48" s="22">
        <f>IF(OR(B48="",Settings!$C$5=""),"",IF((B48-Settings!$C$5)&lt;0,"",INT((B48-Settings!$C$5)/7)&amp;IF(INT((B48-Settings!$C$5)/7)=1," week"," weeks")&amp;IF(MOD((B48-Settings!$C$5),7)=0,""," "&amp;MOD((B48-Settings!$C$5),7)&amp;IF(MOD((B48-Settings!$C$5),7)=1," day"," days"))))</f>
        <v/>
      </c>
      <c r="D48" s="31" t="n"/>
      <c r="E48" s="32" t="n"/>
      <c r="F48" s="32" t="n"/>
      <c r="G48" s="28" t="n"/>
      <c r="H48" s="1" t="n"/>
      <c r="I48">
        <f>IF(B48="","",B48+ROW()/10000000)</f>
        <v/>
      </c>
      <c r="J48">
        <f>IF(I48="","",COUNTIF(Growth!$I$6:$I$105,"&gt;"&amp;I48))</f>
        <v/>
      </c>
    </row>
    <row r="49">
      <c r="A49" s="1" t="n"/>
      <c r="B49" s="26" t="n"/>
      <c r="C49" s="22">
        <f>IF(OR(B49="",Settings!$C$5=""),"",IF((B49-Settings!$C$5)&lt;0,"",INT((B49-Settings!$C$5)/7)&amp;IF(INT((B49-Settings!$C$5)/7)=1," week"," weeks")&amp;IF(MOD((B49-Settings!$C$5),7)=0,""," "&amp;MOD((B49-Settings!$C$5),7)&amp;IF(MOD((B49-Settings!$C$5),7)=1," day"," days"))))</f>
        <v/>
      </c>
      <c r="D49" s="31" t="n"/>
      <c r="E49" s="32" t="n"/>
      <c r="F49" s="32" t="n"/>
      <c r="G49" s="28" t="n"/>
      <c r="H49" s="1" t="n"/>
      <c r="I49">
        <f>IF(B49="","",B49+ROW()/10000000)</f>
        <v/>
      </c>
      <c r="J49">
        <f>IF(I49="","",COUNTIF(Growth!$I$6:$I$105,"&gt;"&amp;I49))</f>
        <v/>
      </c>
    </row>
    <row r="50">
      <c r="A50" s="1" t="n"/>
      <c r="B50" s="26" t="n"/>
      <c r="C50" s="22">
        <f>IF(OR(B50="",Settings!$C$5=""),"",IF((B50-Settings!$C$5)&lt;0,"",INT((B50-Settings!$C$5)/7)&amp;IF(INT((B50-Settings!$C$5)/7)=1," week"," weeks")&amp;IF(MOD((B50-Settings!$C$5),7)=0,""," "&amp;MOD((B50-Settings!$C$5),7)&amp;IF(MOD((B50-Settings!$C$5),7)=1," day"," days"))))</f>
        <v/>
      </c>
      <c r="D50" s="31" t="n"/>
      <c r="E50" s="32" t="n"/>
      <c r="F50" s="32" t="n"/>
      <c r="G50" s="28" t="n"/>
      <c r="H50" s="1" t="n"/>
      <c r="I50">
        <f>IF(B50="","",B50+ROW()/10000000)</f>
        <v/>
      </c>
      <c r="J50">
        <f>IF(I50="","",COUNTIF(Growth!$I$6:$I$105,"&gt;"&amp;I50))</f>
        <v/>
      </c>
    </row>
    <row r="51">
      <c r="A51" s="1" t="n"/>
      <c r="B51" s="26" t="n"/>
      <c r="C51" s="22">
        <f>IF(OR(B51="",Settings!$C$5=""),"",IF((B51-Settings!$C$5)&lt;0,"",INT((B51-Settings!$C$5)/7)&amp;IF(INT((B51-Settings!$C$5)/7)=1," week"," weeks")&amp;IF(MOD((B51-Settings!$C$5),7)=0,""," "&amp;MOD((B51-Settings!$C$5),7)&amp;IF(MOD((B51-Settings!$C$5),7)=1," day"," days"))))</f>
        <v/>
      </c>
      <c r="D51" s="31" t="n"/>
      <c r="E51" s="32" t="n"/>
      <c r="F51" s="32" t="n"/>
      <c r="G51" s="28" t="n"/>
      <c r="H51" s="1" t="n"/>
      <c r="I51">
        <f>IF(B51="","",B51+ROW()/10000000)</f>
        <v/>
      </c>
      <c r="J51">
        <f>IF(I51="","",COUNTIF(Growth!$I$6:$I$105,"&gt;"&amp;I51))</f>
        <v/>
      </c>
    </row>
    <row r="52">
      <c r="A52" s="1" t="n"/>
      <c r="B52" s="26" t="n"/>
      <c r="C52" s="22">
        <f>IF(OR(B52="",Settings!$C$5=""),"",IF((B52-Settings!$C$5)&lt;0,"",INT((B52-Settings!$C$5)/7)&amp;IF(INT((B52-Settings!$C$5)/7)=1," week"," weeks")&amp;IF(MOD((B52-Settings!$C$5),7)=0,""," "&amp;MOD((B52-Settings!$C$5),7)&amp;IF(MOD((B52-Settings!$C$5),7)=1," day"," days"))))</f>
        <v/>
      </c>
      <c r="D52" s="31" t="n"/>
      <c r="E52" s="32" t="n"/>
      <c r="F52" s="32" t="n"/>
      <c r="G52" s="28" t="n"/>
      <c r="H52" s="1" t="n"/>
      <c r="I52">
        <f>IF(B52="","",B52+ROW()/10000000)</f>
        <v/>
      </c>
      <c r="J52">
        <f>IF(I52="","",COUNTIF(Growth!$I$6:$I$105,"&gt;"&amp;I52))</f>
        <v/>
      </c>
    </row>
    <row r="53">
      <c r="A53" s="1" t="n"/>
      <c r="B53" s="26" t="n"/>
      <c r="C53" s="22">
        <f>IF(OR(B53="",Settings!$C$5=""),"",IF((B53-Settings!$C$5)&lt;0,"",INT((B53-Settings!$C$5)/7)&amp;IF(INT((B53-Settings!$C$5)/7)=1," week"," weeks")&amp;IF(MOD((B53-Settings!$C$5),7)=0,""," "&amp;MOD((B53-Settings!$C$5),7)&amp;IF(MOD((B53-Settings!$C$5),7)=1," day"," days"))))</f>
        <v/>
      </c>
      <c r="D53" s="31" t="n"/>
      <c r="E53" s="32" t="n"/>
      <c r="F53" s="32" t="n"/>
      <c r="G53" s="28" t="n"/>
      <c r="H53" s="1" t="n"/>
      <c r="I53">
        <f>IF(B53="","",B53+ROW()/10000000)</f>
        <v/>
      </c>
      <c r="J53">
        <f>IF(I53="","",COUNTIF(Growth!$I$6:$I$105,"&gt;"&amp;I53))</f>
        <v/>
      </c>
    </row>
    <row r="54">
      <c r="A54" s="1" t="n"/>
      <c r="B54" s="26" t="n"/>
      <c r="C54" s="22">
        <f>IF(OR(B54="",Settings!$C$5=""),"",IF((B54-Settings!$C$5)&lt;0,"",INT((B54-Settings!$C$5)/7)&amp;IF(INT((B54-Settings!$C$5)/7)=1," week"," weeks")&amp;IF(MOD((B54-Settings!$C$5),7)=0,""," "&amp;MOD((B54-Settings!$C$5),7)&amp;IF(MOD((B54-Settings!$C$5),7)=1," day"," days"))))</f>
        <v/>
      </c>
      <c r="D54" s="31" t="n"/>
      <c r="E54" s="32" t="n"/>
      <c r="F54" s="32" t="n"/>
      <c r="G54" s="28" t="n"/>
      <c r="H54" s="1" t="n"/>
      <c r="I54">
        <f>IF(B54="","",B54+ROW()/10000000)</f>
        <v/>
      </c>
      <c r="J54">
        <f>IF(I54="","",COUNTIF(Growth!$I$6:$I$105,"&gt;"&amp;I54))</f>
        <v/>
      </c>
    </row>
    <row r="55">
      <c r="A55" s="1" t="n"/>
      <c r="B55" s="26" t="n"/>
      <c r="C55" s="22">
        <f>IF(OR(B55="",Settings!$C$5=""),"",IF((B55-Settings!$C$5)&lt;0,"",INT((B55-Settings!$C$5)/7)&amp;IF(INT((B55-Settings!$C$5)/7)=1," week"," weeks")&amp;IF(MOD((B55-Settings!$C$5),7)=0,""," "&amp;MOD((B55-Settings!$C$5),7)&amp;IF(MOD((B55-Settings!$C$5),7)=1," day"," days"))))</f>
        <v/>
      </c>
      <c r="D55" s="31" t="n"/>
      <c r="E55" s="32" t="n"/>
      <c r="F55" s="32" t="n"/>
      <c r="G55" s="28" t="n"/>
      <c r="H55" s="1" t="n"/>
      <c r="I55">
        <f>IF(B55="","",B55+ROW()/10000000)</f>
        <v/>
      </c>
      <c r="J55">
        <f>IF(I55="","",COUNTIF(Growth!$I$6:$I$105,"&gt;"&amp;I55))</f>
        <v/>
      </c>
    </row>
    <row r="56">
      <c r="A56" s="1" t="n"/>
      <c r="B56" s="26" t="n"/>
      <c r="C56" s="22">
        <f>IF(OR(B56="",Settings!$C$5=""),"",IF((B56-Settings!$C$5)&lt;0,"",INT((B56-Settings!$C$5)/7)&amp;IF(INT((B56-Settings!$C$5)/7)=1," week"," weeks")&amp;IF(MOD((B56-Settings!$C$5),7)=0,""," "&amp;MOD((B56-Settings!$C$5),7)&amp;IF(MOD((B56-Settings!$C$5),7)=1," day"," days"))))</f>
        <v/>
      </c>
      <c r="D56" s="31" t="n"/>
      <c r="E56" s="32" t="n"/>
      <c r="F56" s="32" t="n"/>
      <c r="G56" s="28" t="n"/>
      <c r="H56" s="1" t="n"/>
      <c r="I56">
        <f>IF(B56="","",B56+ROW()/10000000)</f>
        <v/>
      </c>
      <c r="J56">
        <f>IF(I56="","",COUNTIF(Growth!$I$6:$I$105,"&gt;"&amp;I56))</f>
        <v/>
      </c>
    </row>
    <row r="57">
      <c r="A57" s="1" t="n"/>
      <c r="B57" s="26" t="n"/>
      <c r="C57" s="22">
        <f>IF(OR(B57="",Settings!$C$5=""),"",IF((B57-Settings!$C$5)&lt;0,"",INT((B57-Settings!$C$5)/7)&amp;IF(INT((B57-Settings!$C$5)/7)=1," week"," weeks")&amp;IF(MOD((B57-Settings!$C$5),7)=0,""," "&amp;MOD((B57-Settings!$C$5),7)&amp;IF(MOD((B57-Settings!$C$5),7)=1," day"," days"))))</f>
        <v/>
      </c>
      <c r="D57" s="31" t="n"/>
      <c r="E57" s="32" t="n"/>
      <c r="F57" s="32" t="n"/>
      <c r="G57" s="28" t="n"/>
      <c r="H57" s="1" t="n"/>
      <c r="I57">
        <f>IF(B57="","",B57+ROW()/10000000)</f>
        <v/>
      </c>
      <c r="J57">
        <f>IF(I57="","",COUNTIF(Growth!$I$6:$I$105,"&gt;"&amp;I57))</f>
        <v/>
      </c>
    </row>
    <row r="58">
      <c r="A58" s="1" t="n"/>
      <c r="B58" s="26" t="n"/>
      <c r="C58" s="22">
        <f>IF(OR(B58="",Settings!$C$5=""),"",IF((B58-Settings!$C$5)&lt;0,"",INT((B58-Settings!$C$5)/7)&amp;IF(INT((B58-Settings!$C$5)/7)=1," week"," weeks")&amp;IF(MOD((B58-Settings!$C$5),7)=0,""," "&amp;MOD((B58-Settings!$C$5),7)&amp;IF(MOD((B58-Settings!$C$5),7)=1," day"," days"))))</f>
        <v/>
      </c>
      <c r="D58" s="31" t="n"/>
      <c r="E58" s="32" t="n"/>
      <c r="F58" s="32" t="n"/>
      <c r="G58" s="28" t="n"/>
      <c r="H58" s="1" t="n"/>
      <c r="I58">
        <f>IF(B58="","",B58+ROW()/10000000)</f>
        <v/>
      </c>
      <c r="J58">
        <f>IF(I58="","",COUNTIF(Growth!$I$6:$I$105,"&gt;"&amp;I58))</f>
        <v/>
      </c>
    </row>
    <row r="59">
      <c r="A59" s="1" t="n"/>
      <c r="B59" s="26" t="n"/>
      <c r="C59" s="22">
        <f>IF(OR(B59="",Settings!$C$5=""),"",IF((B59-Settings!$C$5)&lt;0,"",INT((B59-Settings!$C$5)/7)&amp;IF(INT((B59-Settings!$C$5)/7)=1," week"," weeks")&amp;IF(MOD((B59-Settings!$C$5),7)=0,""," "&amp;MOD((B59-Settings!$C$5),7)&amp;IF(MOD((B59-Settings!$C$5),7)=1," day"," days"))))</f>
        <v/>
      </c>
      <c r="D59" s="31" t="n"/>
      <c r="E59" s="32" t="n"/>
      <c r="F59" s="32" t="n"/>
      <c r="G59" s="28" t="n"/>
      <c r="H59" s="1" t="n"/>
      <c r="I59">
        <f>IF(B59="","",B59+ROW()/10000000)</f>
        <v/>
      </c>
      <c r="J59">
        <f>IF(I59="","",COUNTIF(Growth!$I$6:$I$105,"&gt;"&amp;I59))</f>
        <v/>
      </c>
    </row>
    <row r="60">
      <c r="A60" s="1" t="n"/>
      <c r="B60" s="26" t="n"/>
      <c r="C60" s="22">
        <f>IF(OR(B60="",Settings!$C$5=""),"",IF((B60-Settings!$C$5)&lt;0,"",INT((B60-Settings!$C$5)/7)&amp;IF(INT((B60-Settings!$C$5)/7)=1," week"," weeks")&amp;IF(MOD((B60-Settings!$C$5),7)=0,""," "&amp;MOD((B60-Settings!$C$5),7)&amp;IF(MOD((B60-Settings!$C$5),7)=1," day"," days"))))</f>
        <v/>
      </c>
      <c r="D60" s="31" t="n"/>
      <c r="E60" s="32" t="n"/>
      <c r="F60" s="32" t="n"/>
      <c r="G60" s="28" t="n"/>
      <c r="H60" s="1" t="n"/>
      <c r="I60">
        <f>IF(B60="","",B60+ROW()/10000000)</f>
        <v/>
      </c>
      <c r="J60">
        <f>IF(I60="","",COUNTIF(Growth!$I$6:$I$105,"&gt;"&amp;I60))</f>
        <v/>
      </c>
    </row>
    <row r="61">
      <c r="A61" s="1" t="n"/>
      <c r="B61" s="26" t="n"/>
      <c r="C61" s="22">
        <f>IF(OR(B61="",Settings!$C$5=""),"",IF((B61-Settings!$C$5)&lt;0,"",INT((B61-Settings!$C$5)/7)&amp;IF(INT((B61-Settings!$C$5)/7)=1," week"," weeks")&amp;IF(MOD((B61-Settings!$C$5),7)=0,""," "&amp;MOD((B61-Settings!$C$5),7)&amp;IF(MOD((B61-Settings!$C$5),7)=1," day"," days"))))</f>
        <v/>
      </c>
      <c r="D61" s="31" t="n"/>
      <c r="E61" s="32" t="n"/>
      <c r="F61" s="32" t="n"/>
      <c r="G61" s="28" t="n"/>
      <c r="H61" s="1" t="n"/>
      <c r="I61">
        <f>IF(B61="","",B61+ROW()/10000000)</f>
        <v/>
      </c>
      <c r="J61">
        <f>IF(I61="","",COUNTIF(Growth!$I$6:$I$105,"&gt;"&amp;I61))</f>
        <v/>
      </c>
    </row>
    <row r="62">
      <c r="A62" s="1" t="n"/>
      <c r="B62" s="26" t="n"/>
      <c r="C62" s="22">
        <f>IF(OR(B62="",Settings!$C$5=""),"",IF((B62-Settings!$C$5)&lt;0,"",INT((B62-Settings!$C$5)/7)&amp;IF(INT((B62-Settings!$C$5)/7)=1," week"," weeks")&amp;IF(MOD((B62-Settings!$C$5),7)=0,""," "&amp;MOD((B62-Settings!$C$5),7)&amp;IF(MOD((B62-Settings!$C$5),7)=1," day"," days"))))</f>
        <v/>
      </c>
      <c r="D62" s="31" t="n"/>
      <c r="E62" s="32" t="n"/>
      <c r="F62" s="32" t="n"/>
      <c r="G62" s="28" t="n"/>
      <c r="H62" s="1" t="n"/>
      <c r="I62">
        <f>IF(B62="","",B62+ROW()/10000000)</f>
        <v/>
      </c>
      <c r="J62">
        <f>IF(I62="","",COUNTIF(Growth!$I$6:$I$105,"&gt;"&amp;I62))</f>
        <v/>
      </c>
    </row>
    <row r="63">
      <c r="A63" s="1" t="n"/>
      <c r="B63" s="26" t="n"/>
      <c r="C63" s="22">
        <f>IF(OR(B63="",Settings!$C$5=""),"",IF((B63-Settings!$C$5)&lt;0,"",INT((B63-Settings!$C$5)/7)&amp;IF(INT((B63-Settings!$C$5)/7)=1," week"," weeks")&amp;IF(MOD((B63-Settings!$C$5),7)=0,""," "&amp;MOD((B63-Settings!$C$5),7)&amp;IF(MOD((B63-Settings!$C$5),7)=1," day"," days"))))</f>
        <v/>
      </c>
      <c r="D63" s="31" t="n"/>
      <c r="E63" s="32" t="n"/>
      <c r="F63" s="32" t="n"/>
      <c r="G63" s="28" t="n"/>
      <c r="H63" s="1" t="n"/>
      <c r="I63">
        <f>IF(B63="","",B63+ROW()/10000000)</f>
        <v/>
      </c>
      <c r="J63">
        <f>IF(I63="","",COUNTIF(Growth!$I$6:$I$105,"&gt;"&amp;I63))</f>
        <v/>
      </c>
    </row>
    <row r="64">
      <c r="A64" s="1" t="n"/>
      <c r="B64" s="26" t="n"/>
      <c r="C64" s="22">
        <f>IF(OR(B64="",Settings!$C$5=""),"",IF((B64-Settings!$C$5)&lt;0,"",INT((B64-Settings!$C$5)/7)&amp;IF(INT((B64-Settings!$C$5)/7)=1," week"," weeks")&amp;IF(MOD((B64-Settings!$C$5),7)=0,""," "&amp;MOD((B64-Settings!$C$5),7)&amp;IF(MOD((B64-Settings!$C$5),7)=1," day"," days"))))</f>
        <v/>
      </c>
      <c r="D64" s="31" t="n"/>
      <c r="E64" s="32" t="n"/>
      <c r="F64" s="32" t="n"/>
      <c r="G64" s="28" t="n"/>
      <c r="H64" s="1" t="n"/>
      <c r="I64">
        <f>IF(B64="","",B64+ROW()/10000000)</f>
        <v/>
      </c>
      <c r="J64">
        <f>IF(I64="","",COUNTIF(Growth!$I$6:$I$105,"&gt;"&amp;I64))</f>
        <v/>
      </c>
    </row>
    <row r="65">
      <c r="A65" s="1" t="n"/>
      <c r="B65" s="26" t="n"/>
      <c r="C65" s="22">
        <f>IF(OR(B65="",Settings!$C$5=""),"",IF((B65-Settings!$C$5)&lt;0,"",INT((B65-Settings!$C$5)/7)&amp;IF(INT((B65-Settings!$C$5)/7)=1," week"," weeks")&amp;IF(MOD((B65-Settings!$C$5),7)=0,""," "&amp;MOD((B65-Settings!$C$5),7)&amp;IF(MOD((B65-Settings!$C$5),7)=1," day"," days"))))</f>
        <v/>
      </c>
      <c r="D65" s="31" t="n"/>
      <c r="E65" s="32" t="n"/>
      <c r="F65" s="32" t="n"/>
      <c r="G65" s="28" t="n"/>
      <c r="H65" s="1" t="n"/>
      <c r="I65">
        <f>IF(B65="","",B65+ROW()/10000000)</f>
        <v/>
      </c>
      <c r="J65">
        <f>IF(I65="","",COUNTIF(Growth!$I$6:$I$105,"&gt;"&amp;I65))</f>
        <v/>
      </c>
    </row>
    <row r="66">
      <c r="A66" s="1" t="n"/>
      <c r="B66" s="26" t="n"/>
      <c r="C66" s="22">
        <f>IF(OR(B66="",Settings!$C$5=""),"",IF((B66-Settings!$C$5)&lt;0,"",INT((B66-Settings!$C$5)/7)&amp;IF(INT((B66-Settings!$C$5)/7)=1," week"," weeks")&amp;IF(MOD((B66-Settings!$C$5),7)=0,""," "&amp;MOD((B66-Settings!$C$5),7)&amp;IF(MOD((B66-Settings!$C$5),7)=1," day"," days"))))</f>
        <v/>
      </c>
      <c r="D66" s="31" t="n"/>
      <c r="E66" s="32" t="n"/>
      <c r="F66" s="32" t="n"/>
      <c r="G66" s="28" t="n"/>
      <c r="H66" s="1" t="n"/>
      <c r="I66">
        <f>IF(B66="","",B66+ROW()/10000000)</f>
        <v/>
      </c>
      <c r="J66">
        <f>IF(I66="","",COUNTIF(Growth!$I$6:$I$105,"&gt;"&amp;I66))</f>
        <v/>
      </c>
    </row>
    <row r="67">
      <c r="A67" s="1" t="n"/>
      <c r="B67" s="26" t="n"/>
      <c r="C67" s="22">
        <f>IF(OR(B67="",Settings!$C$5=""),"",IF((B67-Settings!$C$5)&lt;0,"",INT((B67-Settings!$C$5)/7)&amp;IF(INT((B67-Settings!$C$5)/7)=1," week"," weeks")&amp;IF(MOD((B67-Settings!$C$5),7)=0,""," "&amp;MOD((B67-Settings!$C$5),7)&amp;IF(MOD((B67-Settings!$C$5),7)=1," day"," days"))))</f>
        <v/>
      </c>
      <c r="D67" s="31" t="n"/>
      <c r="E67" s="32" t="n"/>
      <c r="F67" s="32" t="n"/>
      <c r="G67" s="28" t="n"/>
      <c r="H67" s="1" t="n"/>
      <c r="I67">
        <f>IF(B67="","",B67+ROW()/10000000)</f>
        <v/>
      </c>
      <c r="J67">
        <f>IF(I67="","",COUNTIF(Growth!$I$6:$I$105,"&gt;"&amp;I67))</f>
        <v/>
      </c>
    </row>
    <row r="68">
      <c r="A68" s="1" t="n"/>
      <c r="B68" s="26" t="n"/>
      <c r="C68" s="22">
        <f>IF(OR(B68="",Settings!$C$5=""),"",IF((B68-Settings!$C$5)&lt;0,"",INT((B68-Settings!$C$5)/7)&amp;IF(INT((B68-Settings!$C$5)/7)=1," week"," weeks")&amp;IF(MOD((B68-Settings!$C$5),7)=0,""," "&amp;MOD((B68-Settings!$C$5),7)&amp;IF(MOD((B68-Settings!$C$5),7)=1," day"," days"))))</f>
        <v/>
      </c>
      <c r="D68" s="31" t="n"/>
      <c r="E68" s="32" t="n"/>
      <c r="F68" s="32" t="n"/>
      <c r="G68" s="28" t="n"/>
      <c r="H68" s="1" t="n"/>
      <c r="I68">
        <f>IF(B68="","",B68+ROW()/10000000)</f>
        <v/>
      </c>
      <c r="J68">
        <f>IF(I68="","",COUNTIF(Growth!$I$6:$I$105,"&gt;"&amp;I68))</f>
        <v/>
      </c>
    </row>
    <row r="69">
      <c r="A69" s="1" t="n"/>
      <c r="B69" s="26" t="n"/>
      <c r="C69" s="22">
        <f>IF(OR(B69="",Settings!$C$5=""),"",IF((B69-Settings!$C$5)&lt;0,"",INT((B69-Settings!$C$5)/7)&amp;IF(INT((B69-Settings!$C$5)/7)=1," week"," weeks")&amp;IF(MOD((B69-Settings!$C$5),7)=0,""," "&amp;MOD((B69-Settings!$C$5),7)&amp;IF(MOD((B69-Settings!$C$5),7)=1," day"," days"))))</f>
        <v/>
      </c>
      <c r="D69" s="31" t="n"/>
      <c r="E69" s="32" t="n"/>
      <c r="F69" s="32" t="n"/>
      <c r="G69" s="28" t="n"/>
      <c r="H69" s="1" t="n"/>
      <c r="I69">
        <f>IF(B69="","",B69+ROW()/10000000)</f>
        <v/>
      </c>
      <c r="J69">
        <f>IF(I69="","",COUNTIF(Growth!$I$6:$I$105,"&gt;"&amp;I69))</f>
        <v/>
      </c>
    </row>
    <row r="70">
      <c r="A70" s="1" t="n"/>
      <c r="B70" s="26" t="n"/>
      <c r="C70" s="22">
        <f>IF(OR(B70="",Settings!$C$5=""),"",IF((B70-Settings!$C$5)&lt;0,"",INT((B70-Settings!$C$5)/7)&amp;IF(INT((B70-Settings!$C$5)/7)=1," week"," weeks")&amp;IF(MOD((B70-Settings!$C$5),7)=0,""," "&amp;MOD((B70-Settings!$C$5),7)&amp;IF(MOD((B70-Settings!$C$5),7)=1," day"," days"))))</f>
        <v/>
      </c>
      <c r="D70" s="31" t="n"/>
      <c r="E70" s="32" t="n"/>
      <c r="F70" s="32" t="n"/>
      <c r="G70" s="28" t="n"/>
      <c r="H70" s="1" t="n"/>
      <c r="I70">
        <f>IF(B70="","",B70+ROW()/10000000)</f>
        <v/>
      </c>
      <c r="J70">
        <f>IF(I70="","",COUNTIF(Growth!$I$6:$I$105,"&gt;"&amp;I70))</f>
        <v/>
      </c>
    </row>
    <row r="71">
      <c r="A71" s="1" t="n"/>
      <c r="B71" s="26" t="n"/>
      <c r="C71" s="22">
        <f>IF(OR(B71="",Settings!$C$5=""),"",IF((B71-Settings!$C$5)&lt;0,"",INT((B71-Settings!$C$5)/7)&amp;IF(INT((B71-Settings!$C$5)/7)=1," week"," weeks")&amp;IF(MOD((B71-Settings!$C$5),7)=0,""," "&amp;MOD((B71-Settings!$C$5),7)&amp;IF(MOD((B71-Settings!$C$5),7)=1," day"," days"))))</f>
        <v/>
      </c>
      <c r="D71" s="31" t="n"/>
      <c r="E71" s="32" t="n"/>
      <c r="F71" s="32" t="n"/>
      <c r="G71" s="28" t="n"/>
      <c r="H71" s="1" t="n"/>
      <c r="I71">
        <f>IF(B71="","",B71+ROW()/10000000)</f>
        <v/>
      </c>
      <c r="J71">
        <f>IF(I71="","",COUNTIF(Growth!$I$6:$I$105,"&gt;"&amp;I71))</f>
        <v/>
      </c>
    </row>
    <row r="72">
      <c r="A72" s="1" t="n"/>
      <c r="B72" s="26" t="n"/>
      <c r="C72" s="22">
        <f>IF(OR(B72="",Settings!$C$5=""),"",IF((B72-Settings!$C$5)&lt;0,"",INT((B72-Settings!$C$5)/7)&amp;IF(INT((B72-Settings!$C$5)/7)=1," week"," weeks")&amp;IF(MOD((B72-Settings!$C$5),7)=0,""," "&amp;MOD((B72-Settings!$C$5),7)&amp;IF(MOD((B72-Settings!$C$5),7)=1," day"," days"))))</f>
        <v/>
      </c>
      <c r="D72" s="31" t="n"/>
      <c r="E72" s="32" t="n"/>
      <c r="F72" s="32" t="n"/>
      <c r="G72" s="28" t="n"/>
      <c r="H72" s="1" t="n"/>
      <c r="I72">
        <f>IF(B72="","",B72+ROW()/10000000)</f>
        <v/>
      </c>
      <c r="J72">
        <f>IF(I72="","",COUNTIF(Growth!$I$6:$I$105,"&gt;"&amp;I72))</f>
        <v/>
      </c>
    </row>
    <row r="73">
      <c r="A73" s="1" t="n"/>
      <c r="B73" s="26" t="n"/>
      <c r="C73" s="22">
        <f>IF(OR(B73="",Settings!$C$5=""),"",IF((B73-Settings!$C$5)&lt;0,"",INT((B73-Settings!$C$5)/7)&amp;IF(INT((B73-Settings!$C$5)/7)=1," week"," weeks")&amp;IF(MOD((B73-Settings!$C$5),7)=0,""," "&amp;MOD((B73-Settings!$C$5),7)&amp;IF(MOD((B73-Settings!$C$5),7)=1," day"," days"))))</f>
        <v/>
      </c>
      <c r="D73" s="31" t="n"/>
      <c r="E73" s="32" t="n"/>
      <c r="F73" s="32" t="n"/>
      <c r="G73" s="28" t="n"/>
      <c r="H73" s="1" t="n"/>
      <c r="I73">
        <f>IF(B73="","",B73+ROW()/10000000)</f>
        <v/>
      </c>
      <c r="J73">
        <f>IF(I73="","",COUNTIF(Growth!$I$6:$I$105,"&gt;"&amp;I73))</f>
        <v/>
      </c>
    </row>
    <row r="74">
      <c r="A74" s="1" t="n"/>
      <c r="B74" s="26" t="n"/>
      <c r="C74" s="22">
        <f>IF(OR(B74="",Settings!$C$5=""),"",IF((B74-Settings!$C$5)&lt;0,"",INT((B74-Settings!$C$5)/7)&amp;IF(INT((B74-Settings!$C$5)/7)=1," week"," weeks")&amp;IF(MOD((B74-Settings!$C$5),7)=0,""," "&amp;MOD((B74-Settings!$C$5),7)&amp;IF(MOD((B74-Settings!$C$5),7)=1," day"," days"))))</f>
        <v/>
      </c>
      <c r="D74" s="31" t="n"/>
      <c r="E74" s="32" t="n"/>
      <c r="F74" s="32" t="n"/>
      <c r="G74" s="28" t="n"/>
      <c r="H74" s="1" t="n"/>
      <c r="I74">
        <f>IF(B74="","",B74+ROW()/10000000)</f>
        <v/>
      </c>
      <c r="J74">
        <f>IF(I74="","",COUNTIF(Growth!$I$6:$I$105,"&gt;"&amp;I74))</f>
        <v/>
      </c>
    </row>
    <row r="75">
      <c r="A75" s="1" t="n"/>
      <c r="B75" s="26" t="n"/>
      <c r="C75" s="22">
        <f>IF(OR(B75="",Settings!$C$5=""),"",IF((B75-Settings!$C$5)&lt;0,"",INT((B75-Settings!$C$5)/7)&amp;IF(INT((B75-Settings!$C$5)/7)=1," week"," weeks")&amp;IF(MOD((B75-Settings!$C$5),7)=0,""," "&amp;MOD((B75-Settings!$C$5),7)&amp;IF(MOD((B75-Settings!$C$5),7)=1," day"," days"))))</f>
        <v/>
      </c>
      <c r="D75" s="31" t="n"/>
      <c r="E75" s="32" t="n"/>
      <c r="F75" s="32" t="n"/>
      <c r="G75" s="28" t="n"/>
      <c r="H75" s="1" t="n"/>
      <c r="I75">
        <f>IF(B75="","",B75+ROW()/10000000)</f>
        <v/>
      </c>
      <c r="J75">
        <f>IF(I75="","",COUNTIF(Growth!$I$6:$I$105,"&gt;"&amp;I75))</f>
        <v/>
      </c>
    </row>
    <row r="76">
      <c r="A76" s="1" t="n"/>
      <c r="B76" s="26" t="n"/>
      <c r="C76" s="22">
        <f>IF(OR(B76="",Settings!$C$5=""),"",IF((B76-Settings!$C$5)&lt;0,"",INT((B76-Settings!$C$5)/7)&amp;IF(INT((B76-Settings!$C$5)/7)=1," week"," weeks")&amp;IF(MOD((B76-Settings!$C$5),7)=0,""," "&amp;MOD((B76-Settings!$C$5),7)&amp;IF(MOD((B76-Settings!$C$5),7)=1," day"," days"))))</f>
        <v/>
      </c>
      <c r="D76" s="31" t="n"/>
      <c r="E76" s="32" t="n"/>
      <c r="F76" s="32" t="n"/>
      <c r="G76" s="28" t="n"/>
      <c r="H76" s="1" t="n"/>
      <c r="I76">
        <f>IF(B76="","",B76+ROW()/10000000)</f>
        <v/>
      </c>
      <c r="J76">
        <f>IF(I76="","",COUNTIF(Growth!$I$6:$I$105,"&gt;"&amp;I76))</f>
        <v/>
      </c>
    </row>
    <row r="77">
      <c r="A77" s="1" t="n"/>
      <c r="B77" s="26" t="n"/>
      <c r="C77" s="22">
        <f>IF(OR(B77="",Settings!$C$5=""),"",IF((B77-Settings!$C$5)&lt;0,"",INT((B77-Settings!$C$5)/7)&amp;IF(INT((B77-Settings!$C$5)/7)=1," week"," weeks")&amp;IF(MOD((B77-Settings!$C$5),7)=0,""," "&amp;MOD((B77-Settings!$C$5),7)&amp;IF(MOD((B77-Settings!$C$5),7)=1," day"," days"))))</f>
        <v/>
      </c>
      <c r="D77" s="31" t="n"/>
      <c r="E77" s="32" t="n"/>
      <c r="F77" s="32" t="n"/>
      <c r="G77" s="28" t="n"/>
      <c r="H77" s="1" t="n"/>
      <c r="I77">
        <f>IF(B77="","",B77+ROW()/10000000)</f>
        <v/>
      </c>
      <c r="J77">
        <f>IF(I77="","",COUNTIF(Growth!$I$6:$I$105,"&gt;"&amp;I77))</f>
        <v/>
      </c>
    </row>
    <row r="78">
      <c r="A78" s="1" t="n"/>
      <c r="B78" s="26" t="n"/>
      <c r="C78" s="22">
        <f>IF(OR(B78="",Settings!$C$5=""),"",IF((B78-Settings!$C$5)&lt;0,"",INT((B78-Settings!$C$5)/7)&amp;IF(INT((B78-Settings!$C$5)/7)=1," week"," weeks")&amp;IF(MOD((B78-Settings!$C$5),7)=0,""," "&amp;MOD((B78-Settings!$C$5),7)&amp;IF(MOD((B78-Settings!$C$5),7)=1," day"," days"))))</f>
        <v/>
      </c>
      <c r="D78" s="31" t="n"/>
      <c r="E78" s="32" t="n"/>
      <c r="F78" s="32" t="n"/>
      <c r="G78" s="28" t="n"/>
      <c r="H78" s="1" t="n"/>
      <c r="I78">
        <f>IF(B78="","",B78+ROW()/10000000)</f>
        <v/>
      </c>
      <c r="J78">
        <f>IF(I78="","",COUNTIF(Growth!$I$6:$I$105,"&gt;"&amp;I78))</f>
        <v/>
      </c>
    </row>
    <row r="79">
      <c r="A79" s="1" t="n"/>
      <c r="B79" s="26" t="n"/>
      <c r="C79" s="22">
        <f>IF(OR(B79="",Settings!$C$5=""),"",IF((B79-Settings!$C$5)&lt;0,"",INT((B79-Settings!$C$5)/7)&amp;IF(INT((B79-Settings!$C$5)/7)=1," week"," weeks")&amp;IF(MOD((B79-Settings!$C$5),7)=0,""," "&amp;MOD((B79-Settings!$C$5),7)&amp;IF(MOD((B79-Settings!$C$5),7)=1," day"," days"))))</f>
        <v/>
      </c>
      <c r="D79" s="31" t="n"/>
      <c r="E79" s="32" t="n"/>
      <c r="F79" s="32" t="n"/>
      <c r="G79" s="28" t="n"/>
      <c r="H79" s="1" t="n"/>
      <c r="I79">
        <f>IF(B79="","",B79+ROW()/10000000)</f>
        <v/>
      </c>
      <c r="J79">
        <f>IF(I79="","",COUNTIF(Growth!$I$6:$I$105,"&gt;"&amp;I79))</f>
        <v/>
      </c>
    </row>
    <row r="80">
      <c r="A80" s="1" t="n"/>
      <c r="B80" s="26" t="n"/>
      <c r="C80" s="22">
        <f>IF(OR(B80="",Settings!$C$5=""),"",IF((B80-Settings!$C$5)&lt;0,"",INT((B80-Settings!$C$5)/7)&amp;IF(INT((B80-Settings!$C$5)/7)=1," week"," weeks")&amp;IF(MOD((B80-Settings!$C$5),7)=0,""," "&amp;MOD((B80-Settings!$C$5),7)&amp;IF(MOD((B80-Settings!$C$5),7)=1," day"," days"))))</f>
        <v/>
      </c>
      <c r="D80" s="31" t="n"/>
      <c r="E80" s="32" t="n"/>
      <c r="F80" s="32" t="n"/>
      <c r="G80" s="28" t="n"/>
      <c r="H80" s="1" t="n"/>
      <c r="I80">
        <f>IF(B80="","",B80+ROW()/10000000)</f>
        <v/>
      </c>
      <c r="J80">
        <f>IF(I80="","",COUNTIF(Growth!$I$6:$I$105,"&gt;"&amp;I80))</f>
        <v/>
      </c>
    </row>
    <row r="81">
      <c r="A81" s="1" t="n"/>
      <c r="B81" s="26" t="n"/>
      <c r="C81" s="22">
        <f>IF(OR(B81="",Settings!$C$5=""),"",IF((B81-Settings!$C$5)&lt;0,"",INT((B81-Settings!$C$5)/7)&amp;IF(INT((B81-Settings!$C$5)/7)=1," week"," weeks")&amp;IF(MOD((B81-Settings!$C$5),7)=0,""," "&amp;MOD((B81-Settings!$C$5),7)&amp;IF(MOD((B81-Settings!$C$5),7)=1," day"," days"))))</f>
        <v/>
      </c>
      <c r="D81" s="31" t="n"/>
      <c r="E81" s="32" t="n"/>
      <c r="F81" s="32" t="n"/>
      <c r="G81" s="28" t="n"/>
      <c r="H81" s="1" t="n"/>
      <c r="I81">
        <f>IF(B81="","",B81+ROW()/10000000)</f>
        <v/>
      </c>
      <c r="J81">
        <f>IF(I81="","",COUNTIF(Growth!$I$6:$I$105,"&gt;"&amp;I81))</f>
        <v/>
      </c>
    </row>
    <row r="82">
      <c r="A82" s="1" t="n"/>
      <c r="B82" s="26" t="n"/>
      <c r="C82" s="22">
        <f>IF(OR(B82="",Settings!$C$5=""),"",IF((B82-Settings!$C$5)&lt;0,"",INT((B82-Settings!$C$5)/7)&amp;IF(INT((B82-Settings!$C$5)/7)=1," week"," weeks")&amp;IF(MOD((B82-Settings!$C$5),7)=0,""," "&amp;MOD((B82-Settings!$C$5),7)&amp;IF(MOD((B82-Settings!$C$5),7)=1," day"," days"))))</f>
        <v/>
      </c>
      <c r="D82" s="31" t="n"/>
      <c r="E82" s="32" t="n"/>
      <c r="F82" s="32" t="n"/>
      <c r="G82" s="28" t="n"/>
      <c r="H82" s="1" t="n"/>
      <c r="I82">
        <f>IF(B82="","",B82+ROW()/10000000)</f>
        <v/>
      </c>
      <c r="J82">
        <f>IF(I82="","",COUNTIF(Growth!$I$6:$I$105,"&gt;"&amp;I82))</f>
        <v/>
      </c>
    </row>
    <row r="83">
      <c r="A83" s="1" t="n"/>
      <c r="B83" s="26" t="n"/>
      <c r="C83" s="22">
        <f>IF(OR(B83="",Settings!$C$5=""),"",IF((B83-Settings!$C$5)&lt;0,"",INT((B83-Settings!$C$5)/7)&amp;IF(INT((B83-Settings!$C$5)/7)=1," week"," weeks")&amp;IF(MOD((B83-Settings!$C$5),7)=0,""," "&amp;MOD((B83-Settings!$C$5),7)&amp;IF(MOD((B83-Settings!$C$5),7)=1," day"," days"))))</f>
        <v/>
      </c>
      <c r="D83" s="31" t="n"/>
      <c r="E83" s="32" t="n"/>
      <c r="F83" s="32" t="n"/>
      <c r="G83" s="28" t="n"/>
      <c r="H83" s="1" t="n"/>
      <c r="I83">
        <f>IF(B83="","",B83+ROW()/10000000)</f>
        <v/>
      </c>
      <c r="J83">
        <f>IF(I83="","",COUNTIF(Growth!$I$6:$I$105,"&gt;"&amp;I83))</f>
        <v/>
      </c>
    </row>
    <row r="84">
      <c r="A84" s="1" t="n"/>
      <c r="B84" s="26" t="n"/>
      <c r="C84" s="22">
        <f>IF(OR(B84="",Settings!$C$5=""),"",IF((B84-Settings!$C$5)&lt;0,"",INT((B84-Settings!$C$5)/7)&amp;IF(INT((B84-Settings!$C$5)/7)=1," week"," weeks")&amp;IF(MOD((B84-Settings!$C$5),7)=0,""," "&amp;MOD((B84-Settings!$C$5),7)&amp;IF(MOD((B84-Settings!$C$5),7)=1," day"," days"))))</f>
        <v/>
      </c>
      <c r="D84" s="31" t="n"/>
      <c r="E84" s="32" t="n"/>
      <c r="F84" s="32" t="n"/>
      <c r="G84" s="28" t="n"/>
      <c r="H84" s="1" t="n"/>
      <c r="I84">
        <f>IF(B84="","",B84+ROW()/10000000)</f>
        <v/>
      </c>
      <c r="J84">
        <f>IF(I84="","",COUNTIF(Growth!$I$6:$I$105,"&gt;"&amp;I84))</f>
        <v/>
      </c>
    </row>
    <row r="85">
      <c r="A85" s="1" t="n"/>
      <c r="B85" s="26" t="n"/>
      <c r="C85" s="22">
        <f>IF(OR(B85="",Settings!$C$5=""),"",IF((B85-Settings!$C$5)&lt;0,"",INT((B85-Settings!$C$5)/7)&amp;IF(INT((B85-Settings!$C$5)/7)=1," week"," weeks")&amp;IF(MOD((B85-Settings!$C$5),7)=0,""," "&amp;MOD((B85-Settings!$C$5),7)&amp;IF(MOD((B85-Settings!$C$5),7)=1," day"," days"))))</f>
        <v/>
      </c>
      <c r="D85" s="31" t="n"/>
      <c r="E85" s="32" t="n"/>
      <c r="F85" s="32" t="n"/>
      <c r="G85" s="28" t="n"/>
      <c r="H85" s="1" t="n"/>
      <c r="I85">
        <f>IF(B85="","",B85+ROW()/10000000)</f>
        <v/>
      </c>
      <c r="J85">
        <f>IF(I85="","",COUNTIF(Growth!$I$6:$I$105,"&gt;"&amp;I85))</f>
        <v/>
      </c>
    </row>
    <row r="86">
      <c r="A86" s="1" t="n"/>
      <c r="B86" s="26" t="n"/>
      <c r="C86" s="22">
        <f>IF(OR(B86="",Settings!$C$5=""),"",IF((B86-Settings!$C$5)&lt;0,"",INT((B86-Settings!$C$5)/7)&amp;IF(INT((B86-Settings!$C$5)/7)=1," week"," weeks")&amp;IF(MOD((B86-Settings!$C$5),7)=0,""," "&amp;MOD((B86-Settings!$C$5),7)&amp;IF(MOD((B86-Settings!$C$5),7)=1," day"," days"))))</f>
        <v/>
      </c>
      <c r="D86" s="31" t="n"/>
      <c r="E86" s="32" t="n"/>
      <c r="F86" s="32" t="n"/>
      <c r="G86" s="28" t="n"/>
      <c r="H86" s="1" t="n"/>
      <c r="I86">
        <f>IF(B86="","",B86+ROW()/10000000)</f>
        <v/>
      </c>
      <c r="J86">
        <f>IF(I86="","",COUNTIF(Growth!$I$6:$I$105,"&gt;"&amp;I86))</f>
        <v/>
      </c>
    </row>
    <row r="87">
      <c r="A87" s="1" t="n"/>
      <c r="B87" s="26" t="n"/>
      <c r="C87" s="22">
        <f>IF(OR(B87="",Settings!$C$5=""),"",IF((B87-Settings!$C$5)&lt;0,"",INT((B87-Settings!$C$5)/7)&amp;IF(INT((B87-Settings!$C$5)/7)=1," week"," weeks")&amp;IF(MOD((B87-Settings!$C$5),7)=0,""," "&amp;MOD((B87-Settings!$C$5),7)&amp;IF(MOD((B87-Settings!$C$5),7)=1," day"," days"))))</f>
        <v/>
      </c>
      <c r="D87" s="31" t="n"/>
      <c r="E87" s="32" t="n"/>
      <c r="F87" s="32" t="n"/>
      <c r="G87" s="28" t="n"/>
      <c r="H87" s="1" t="n"/>
      <c r="I87">
        <f>IF(B87="","",B87+ROW()/10000000)</f>
        <v/>
      </c>
      <c r="J87">
        <f>IF(I87="","",COUNTIF(Growth!$I$6:$I$105,"&gt;"&amp;I87))</f>
        <v/>
      </c>
    </row>
    <row r="88">
      <c r="A88" s="1" t="n"/>
      <c r="B88" s="26" t="n"/>
      <c r="C88" s="22">
        <f>IF(OR(B88="",Settings!$C$5=""),"",IF((B88-Settings!$C$5)&lt;0,"",INT((B88-Settings!$C$5)/7)&amp;IF(INT((B88-Settings!$C$5)/7)=1," week"," weeks")&amp;IF(MOD((B88-Settings!$C$5),7)=0,""," "&amp;MOD((B88-Settings!$C$5),7)&amp;IF(MOD((B88-Settings!$C$5),7)=1," day"," days"))))</f>
        <v/>
      </c>
      <c r="D88" s="31" t="n"/>
      <c r="E88" s="32" t="n"/>
      <c r="F88" s="32" t="n"/>
      <c r="G88" s="28" t="n"/>
      <c r="H88" s="1" t="n"/>
      <c r="I88">
        <f>IF(B88="","",B88+ROW()/10000000)</f>
        <v/>
      </c>
      <c r="J88">
        <f>IF(I88="","",COUNTIF(Growth!$I$6:$I$105,"&gt;"&amp;I88))</f>
        <v/>
      </c>
    </row>
    <row r="89">
      <c r="A89" s="1" t="n"/>
      <c r="B89" s="26" t="n"/>
      <c r="C89" s="22">
        <f>IF(OR(B89="",Settings!$C$5=""),"",IF((B89-Settings!$C$5)&lt;0,"",INT((B89-Settings!$C$5)/7)&amp;IF(INT((B89-Settings!$C$5)/7)=1," week"," weeks")&amp;IF(MOD((B89-Settings!$C$5),7)=0,""," "&amp;MOD((B89-Settings!$C$5),7)&amp;IF(MOD((B89-Settings!$C$5),7)=1," day"," days"))))</f>
        <v/>
      </c>
      <c r="D89" s="31" t="n"/>
      <c r="E89" s="32" t="n"/>
      <c r="F89" s="32" t="n"/>
      <c r="G89" s="28" t="n"/>
      <c r="H89" s="1" t="n"/>
      <c r="I89">
        <f>IF(B89="","",B89+ROW()/10000000)</f>
        <v/>
      </c>
      <c r="J89">
        <f>IF(I89="","",COUNTIF(Growth!$I$6:$I$105,"&gt;"&amp;I89))</f>
        <v/>
      </c>
    </row>
    <row r="90">
      <c r="A90" s="1" t="n"/>
      <c r="B90" s="26" t="n"/>
      <c r="C90" s="22">
        <f>IF(OR(B90="",Settings!$C$5=""),"",IF((B90-Settings!$C$5)&lt;0,"",INT((B90-Settings!$C$5)/7)&amp;IF(INT((B90-Settings!$C$5)/7)=1," week"," weeks")&amp;IF(MOD((B90-Settings!$C$5),7)=0,""," "&amp;MOD((B90-Settings!$C$5),7)&amp;IF(MOD((B90-Settings!$C$5),7)=1," day"," days"))))</f>
        <v/>
      </c>
      <c r="D90" s="31" t="n"/>
      <c r="E90" s="32" t="n"/>
      <c r="F90" s="32" t="n"/>
      <c r="G90" s="28" t="n"/>
      <c r="H90" s="1" t="n"/>
      <c r="I90">
        <f>IF(B90="","",B90+ROW()/10000000)</f>
        <v/>
      </c>
      <c r="J90">
        <f>IF(I90="","",COUNTIF(Growth!$I$6:$I$105,"&gt;"&amp;I90))</f>
        <v/>
      </c>
    </row>
    <row r="91">
      <c r="A91" s="1" t="n"/>
      <c r="B91" s="26" t="n"/>
      <c r="C91" s="22">
        <f>IF(OR(B91="",Settings!$C$5=""),"",IF((B91-Settings!$C$5)&lt;0,"",INT((B91-Settings!$C$5)/7)&amp;IF(INT((B91-Settings!$C$5)/7)=1," week"," weeks")&amp;IF(MOD((B91-Settings!$C$5),7)=0,""," "&amp;MOD((B91-Settings!$C$5),7)&amp;IF(MOD((B91-Settings!$C$5),7)=1," day"," days"))))</f>
        <v/>
      </c>
      <c r="D91" s="31" t="n"/>
      <c r="E91" s="32" t="n"/>
      <c r="F91" s="32" t="n"/>
      <c r="G91" s="28" t="n"/>
      <c r="H91" s="1" t="n"/>
      <c r="I91">
        <f>IF(B91="","",B91+ROW()/10000000)</f>
        <v/>
      </c>
      <c r="J91">
        <f>IF(I91="","",COUNTIF(Growth!$I$6:$I$105,"&gt;"&amp;I91))</f>
        <v/>
      </c>
    </row>
    <row r="92">
      <c r="A92" s="1" t="n"/>
      <c r="B92" s="26" t="n"/>
      <c r="C92" s="22">
        <f>IF(OR(B92="",Settings!$C$5=""),"",IF((B92-Settings!$C$5)&lt;0,"",INT((B92-Settings!$C$5)/7)&amp;IF(INT((B92-Settings!$C$5)/7)=1," week"," weeks")&amp;IF(MOD((B92-Settings!$C$5),7)=0,""," "&amp;MOD((B92-Settings!$C$5),7)&amp;IF(MOD((B92-Settings!$C$5),7)=1," day"," days"))))</f>
        <v/>
      </c>
      <c r="D92" s="31" t="n"/>
      <c r="E92" s="32" t="n"/>
      <c r="F92" s="32" t="n"/>
      <c r="G92" s="28" t="n"/>
      <c r="H92" s="1" t="n"/>
      <c r="I92">
        <f>IF(B92="","",B92+ROW()/10000000)</f>
        <v/>
      </c>
      <c r="J92">
        <f>IF(I92="","",COUNTIF(Growth!$I$6:$I$105,"&gt;"&amp;I92))</f>
        <v/>
      </c>
    </row>
    <row r="93">
      <c r="A93" s="1" t="n"/>
      <c r="B93" s="26" t="n"/>
      <c r="C93" s="22">
        <f>IF(OR(B93="",Settings!$C$5=""),"",IF((B93-Settings!$C$5)&lt;0,"",INT((B93-Settings!$C$5)/7)&amp;IF(INT((B93-Settings!$C$5)/7)=1," week"," weeks")&amp;IF(MOD((B93-Settings!$C$5),7)=0,""," "&amp;MOD((B93-Settings!$C$5),7)&amp;IF(MOD((B93-Settings!$C$5),7)=1," day"," days"))))</f>
        <v/>
      </c>
      <c r="D93" s="31" t="n"/>
      <c r="E93" s="32" t="n"/>
      <c r="F93" s="32" t="n"/>
      <c r="G93" s="28" t="n"/>
      <c r="H93" s="1" t="n"/>
      <c r="I93">
        <f>IF(B93="","",B93+ROW()/10000000)</f>
        <v/>
      </c>
      <c r="J93">
        <f>IF(I93="","",COUNTIF(Growth!$I$6:$I$105,"&gt;"&amp;I93))</f>
        <v/>
      </c>
    </row>
    <row r="94">
      <c r="A94" s="1" t="n"/>
      <c r="B94" s="26" t="n"/>
      <c r="C94" s="22">
        <f>IF(OR(B94="",Settings!$C$5=""),"",IF((B94-Settings!$C$5)&lt;0,"",INT((B94-Settings!$C$5)/7)&amp;IF(INT((B94-Settings!$C$5)/7)=1," week"," weeks")&amp;IF(MOD((B94-Settings!$C$5),7)=0,""," "&amp;MOD((B94-Settings!$C$5),7)&amp;IF(MOD((B94-Settings!$C$5),7)=1," day"," days"))))</f>
        <v/>
      </c>
      <c r="D94" s="31" t="n"/>
      <c r="E94" s="32" t="n"/>
      <c r="F94" s="32" t="n"/>
      <c r="G94" s="28" t="n"/>
      <c r="H94" s="1" t="n"/>
      <c r="I94">
        <f>IF(B94="","",B94+ROW()/10000000)</f>
        <v/>
      </c>
      <c r="J94">
        <f>IF(I94="","",COUNTIF(Growth!$I$6:$I$105,"&gt;"&amp;I94))</f>
        <v/>
      </c>
    </row>
    <row r="95">
      <c r="A95" s="1" t="n"/>
      <c r="B95" s="26" t="n"/>
      <c r="C95" s="22">
        <f>IF(OR(B95="",Settings!$C$5=""),"",IF((B95-Settings!$C$5)&lt;0,"",INT((B95-Settings!$C$5)/7)&amp;IF(INT((B95-Settings!$C$5)/7)=1," week"," weeks")&amp;IF(MOD((B95-Settings!$C$5),7)=0,""," "&amp;MOD((B95-Settings!$C$5),7)&amp;IF(MOD((B95-Settings!$C$5),7)=1," day"," days"))))</f>
        <v/>
      </c>
      <c r="D95" s="31" t="n"/>
      <c r="E95" s="32" t="n"/>
      <c r="F95" s="32" t="n"/>
      <c r="G95" s="28" t="n"/>
      <c r="H95" s="1" t="n"/>
      <c r="I95">
        <f>IF(B95="","",B95+ROW()/10000000)</f>
        <v/>
      </c>
      <c r="J95">
        <f>IF(I95="","",COUNTIF(Growth!$I$6:$I$105,"&gt;"&amp;I95))</f>
        <v/>
      </c>
    </row>
    <row r="96">
      <c r="A96" s="1" t="n"/>
      <c r="B96" s="26" t="n"/>
      <c r="C96" s="22">
        <f>IF(OR(B96="",Settings!$C$5=""),"",IF((B96-Settings!$C$5)&lt;0,"",INT((B96-Settings!$C$5)/7)&amp;IF(INT((B96-Settings!$C$5)/7)=1," week"," weeks")&amp;IF(MOD((B96-Settings!$C$5),7)=0,""," "&amp;MOD((B96-Settings!$C$5),7)&amp;IF(MOD((B96-Settings!$C$5),7)=1," day"," days"))))</f>
        <v/>
      </c>
      <c r="D96" s="31" t="n"/>
      <c r="E96" s="32" t="n"/>
      <c r="F96" s="32" t="n"/>
      <c r="G96" s="28" t="n"/>
      <c r="H96" s="1" t="n"/>
      <c r="I96">
        <f>IF(B96="","",B96+ROW()/10000000)</f>
        <v/>
      </c>
      <c r="J96">
        <f>IF(I96="","",COUNTIF(Growth!$I$6:$I$105,"&gt;"&amp;I96))</f>
        <v/>
      </c>
    </row>
    <row r="97">
      <c r="A97" s="1" t="n"/>
      <c r="B97" s="26" t="n"/>
      <c r="C97" s="22">
        <f>IF(OR(B97="",Settings!$C$5=""),"",IF((B97-Settings!$C$5)&lt;0,"",INT((B97-Settings!$C$5)/7)&amp;IF(INT((B97-Settings!$C$5)/7)=1," week"," weeks")&amp;IF(MOD((B97-Settings!$C$5),7)=0,""," "&amp;MOD((B97-Settings!$C$5),7)&amp;IF(MOD((B97-Settings!$C$5),7)=1," day"," days"))))</f>
        <v/>
      </c>
      <c r="D97" s="31" t="n"/>
      <c r="E97" s="32" t="n"/>
      <c r="F97" s="32" t="n"/>
      <c r="G97" s="28" t="n"/>
      <c r="H97" s="1" t="n"/>
      <c r="I97">
        <f>IF(B97="","",B97+ROW()/10000000)</f>
        <v/>
      </c>
      <c r="J97">
        <f>IF(I97="","",COUNTIF(Growth!$I$6:$I$105,"&gt;"&amp;I97))</f>
        <v/>
      </c>
    </row>
    <row r="98">
      <c r="A98" s="1" t="n"/>
      <c r="B98" s="26" t="n"/>
      <c r="C98" s="22">
        <f>IF(OR(B98="",Settings!$C$5=""),"",IF((B98-Settings!$C$5)&lt;0,"",INT((B98-Settings!$C$5)/7)&amp;IF(INT((B98-Settings!$C$5)/7)=1," week"," weeks")&amp;IF(MOD((B98-Settings!$C$5),7)=0,""," "&amp;MOD((B98-Settings!$C$5),7)&amp;IF(MOD((B98-Settings!$C$5),7)=1," day"," days"))))</f>
        <v/>
      </c>
      <c r="D98" s="31" t="n"/>
      <c r="E98" s="32" t="n"/>
      <c r="F98" s="32" t="n"/>
      <c r="G98" s="28" t="n"/>
      <c r="H98" s="1" t="n"/>
      <c r="I98">
        <f>IF(B98="","",B98+ROW()/10000000)</f>
        <v/>
      </c>
      <c r="J98">
        <f>IF(I98="","",COUNTIF(Growth!$I$6:$I$105,"&gt;"&amp;I98))</f>
        <v/>
      </c>
    </row>
    <row r="99">
      <c r="A99" s="1" t="n"/>
      <c r="B99" s="26" t="n"/>
      <c r="C99" s="22">
        <f>IF(OR(B99="",Settings!$C$5=""),"",IF((B99-Settings!$C$5)&lt;0,"",INT((B99-Settings!$C$5)/7)&amp;IF(INT((B99-Settings!$C$5)/7)=1," week"," weeks")&amp;IF(MOD((B99-Settings!$C$5),7)=0,""," "&amp;MOD((B99-Settings!$C$5),7)&amp;IF(MOD((B99-Settings!$C$5),7)=1," day"," days"))))</f>
        <v/>
      </c>
      <c r="D99" s="31" t="n"/>
      <c r="E99" s="32" t="n"/>
      <c r="F99" s="32" t="n"/>
      <c r="G99" s="28" t="n"/>
      <c r="H99" s="1" t="n"/>
      <c r="I99">
        <f>IF(B99="","",B99+ROW()/10000000)</f>
        <v/>
      </c>
      <c r="J99">
        <f>IF(I99="","",COUNTIF(Growth!$I$6:$I$105,"&gt;"&amp;I99))</f>
        <v/>
      </c>
    </row>
    <row r="100">
      <c r="A100" s="1" t="n"/>
      <c r="B100" s="26" t="n"/>
      <c r="C100" s="22">
        <f>IF(OR(B100="",Settings!$C$5=""),"",IF((B100-Settings!$C$5)&lt;0,"",INT((B100-Settings!$C$5)/7)&amp;IF(INT((B100-Settings!$C$5)/7)=1," week"," weeks")&amp;IF(MOD((B100-Settings!$C$5),7)=0,""," "&amp;MOD((B100-Settings!$C$5),7)&amp;IF(MOD((B100-Settings!$C$5),7)=1," day"," days"))))</f>
        <v/>
      </c>
      <c r="D100" s="31" t="n"/>
      <c r="E100" s="32" t="n"/>
      <c r="F100" s="32" t="n"/>
      <c r="G100" s="28" t="n"/>
      <c r="H100" s="1" t="n"/>
      <c r="I100">
        <f>IF(B100="","",B100+ROW()/10000000)</f>
        <v/>
      </c>
      <c r="J100">
        <f>IF(I100="","",COUNTIF(Growth!$I$6:$I$105,"&gt;"&amp;I100))</f>
        <v/>
      </c>
    </row>
    <row r="101">
      <c r="A101" s="1" t="n"/>
      <c r="B101" s="26" t="n"/>
      <c r="C101" s="22">
        <f>IF(OR(B101="",Settings!$C$5=""),"",IF((B101-Settings!$C$5)&lt;0,"",INT((B101-Settings!$C$5)/7)&amp;IF(INT((B101-Settings!$C$5)/7)=1," week"," weeks")&amp;IF(MOD((B101-Settings!$C$5),7)=0,""," "&amp;MOD((B101-Settings!$C$5),7)&amp;IF(MOD((B101-Settings!$C$5),7)=1," day"," days"))))</f>
        <v/>
      </c>
      <c r="D101" s="31" t="n"/>
      <c r="E101" s="32" t="n"/>
      <c r="F101" s="32" t="n"/>
      <c r="G101" s="28" t="n"/>
      <c r="H101" s="1" t="n"/>
      <c r="I101">
        <f>IF(B101="","",B101+ROW()/10000000)</f>
        <v/>
      </c>
      <c r="J101">
        <f>IF(I101="","",COUNTIF(Growth!$I$6:$I$105,"&gt;"&amp;I101))</f>
        <v/>
      </c>
    </row>
    <row r="102">
      <c r="A102" s="1" t="n"/>
      <c r="B102" s="26" t="n"/>
      <c r="C102" s="22">
        <f>IF(OR(B102="",Settings!$C$5=""),"",IF((B102-Settings!$C$5)&lt;0,"",INT((B102-Settings!$C$5)/7)&amp;IF(INT((B102-Settings!$C$5)/7)=1," week"," weeks")&amp;IF(MOD((B102-Settings!$C$5),7)=0,""," "&amp;MOD((B102-Settings!$C$5),7)&amp;IF(MOD((B102-Settings!$C$5),7)=1," day"," days"))))</f>
        <v/>
      </c>
      <c r="D102" s="31" t="n"/>
      <c r="E102" s="32" t="n"/>
      <c r="F102" s="32" t="n"/>
      <c r="G102" s="28" t="n"/>
      <c r="H102" s="1" t="n"/>
      <c r="I102">
        <f>IF(B102="","",B102+ROW()/10000000)</f>
        <v/>
      </c>
      <c r="J102">
        <f>IF(I102="","",COUNTIF(Growth!$I$6:$I$105,"&gt;"&amp;I102))</f>
        <v/>
      </c>
    </row>
    <row r="103">
      <c r="A103" s="1" t="n"/>
      <c r="B103" s="26" t="n"/>
      <c r="C103" s="22">
        <f>IF(OR(B103="",Settings!$C$5=""),"",IF((B103-Settings!$C$5)&lt;0,"",INT((B103-Settings!$C$5)/7)&amp;IF(INT((B103-Settings!$C$5)/7)=1," week"," weeks")&amp;IF(MOD((B103-Settings!$C$5),7)=0,""," "&amp;MOD((B103-Settings!$C$5),7)&amp;IF(MOD((B103-Settings!$C$5),7)=1," day"," days"))))</f>
        <v/>
      </c>
      <c r="D103" s="31" t="n"/>
      <c r="E103" s="32" t="n"/>
      <c r="F103" s="32" t="n"/>
      <c r="G103" s="28" t="n"/>
      <c r="H103" s="1" t="n"/>
      <c r="I103">
        <f>IF(B103="","",B103+ROW()/10000000)</f>
        <v/>
      </c>
      <c r="J103">
        <f>IF(I103="","",COUNTIF(Growth!$I$6:$I$105,"&gt;"&amp;I103))</f>
        <v/>
      </c>
    </row>
    <row r="104">
      <c r="A104" s="1" t="n"/>
      <c r="B104" s="26" t="n"/>
      <c r="C104" s="22">
        <f>IF(OR(B104="",Settings!$C$5=""),"",IF((B104-Settings!$C$5)&lt;0,"",INT((B104-Settings!$C$5)/7)&amp;IF(INT((B104-Settings!$C$5)/7)=1," week"," weeks")&amp;IF(MOD((B104-Settings!$C$5),7)=0,""," "&amp;MOD((B104-Settings!$C$5),7)&amp;IF(MOD((B104-Settings!$C$5),7)=1," day"," days"))))</f>
        <v/>
      </c>
      <c r="D104" s="31" t="n"/>
      <c r="E104" s="32" t="n"/>
      <c r="F104" s="32" t="n"/>
      <c r="G104" s="28" t="n"/>
      <c r="H104" s="1" t="n"/>
      <c r="I104">
        <f>IF(B104="","",B104+ROW()/10000000)</f>
        <v/>
      </c>
      <c r="J104">
        <f>IF(I104="","",COUNTIF(Growth!$I$6:$I$105,"&gt;"&amp;I104))</f>
        <v/>
      </c>
    </row>
    <row r="105">
      <c r="A105" s="1" t="n"/>
      <c r="B105" s="26" t="n"/>
      <c r="C105" s="22">
        <f>IF(OR(B105="",Settings!$C$5=""),"",IF((B105-Settings!$C$5)&lt;0,"",INT((B105-Settings!$C$5)/7)&amp;IF(INT((B105-Settings!$C$5)/7)=1," week"," weeks")&amp;IF(MOD((B105-Settings!$C$5),7)=0,""," "&amp;MOD((B105-Settings!$C$5),7)&amp;IF(MOD((B105-Settings!$C$5),7)=1," day"," days"))))</f>
        <v/>
      </c>
      <c r="D105" s="31" t="n"/>
      <c r="E105" s="32" t="n"/>
      <c r="F105" s="32" t="n"/>
      <c r="G105" s="28" t="n"/>
      <c r="H105" s="1" t="n"/>
      <c r="I105">
        <f>IF(B105="","",B105+ROW()/10000000)</f>
        <v/>
      </c>
      <c r="J105">
        <f>IF(I105="","",COUNTIF(Growth!$I$6:$I$105,"&gt;"&amp;I105))</f>
        <v/>
      </c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0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9" customWidth="1" min="3" max="3"/>
    <col width="22" customWidth="1" min="4" max="4"/>
    <col width="16" customWidth="1" min="5" max="5"/>
    <col width="30" customWidth="1" min="6" max="6"/>
    <col width="8" customWidth="1" min="7" max="7"/>
    <col hidden="1" width="13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1" t="n"/>
      <c r="B2" s="2" t="inlineStr">
        <is>
          <t>Appointments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Checks, vaccines and anything booked. Put an x under Done once it has happened.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0" customHeight="1">
      <c r="A5" s="1" t="n"/>
      <c r="B5" s="14" t="inlineStr">
        <is>
          <t>Date</t>
        </is>
      </c>
      <c r="C5" s="14" t="inlineStr">
        <is>
          <t>Time</t>
        </is>
      </c>
      <c r="D5" s="14" t="inlineStr">
        <is>
          <t>What</t>
        </is>
      </c>
      <c r="E5" s="14" t="inlineStr">
        <is>
          <t>Where</t>
        </is>
      </c>
      <c r="F5" s="14" t="inlineStr">
        <is>
          <t>Notes</t>
        </is>
      </c>
      <c r="G5" s="14" t="inlineStr">
        <is>
          <t>Done</t>
        </is>
      </c>
      <c r="H5" s="1" t="n"/>
    </row>
    <row r="6">
      <c r="A6" s="1" t="n"/>
      <c r="B6" s="26" t="n">
        <v>46181</v>
      </c>
      <c r="C6" s="27" t="n">
        <v>0.4166666666666667</v>
      </c>
      <c r="D6" s="33" t="inlineStr">
        <is>
          <t>Newborn check</t>
        </is>
      </c>
      <c r="E6" s="28" t="inlineStr">
        <is>
          <t>Home visit</t>
        </is>
      </c>
      <c r="F6" s="28" t="inlineStr">
        <is>
          <t>All fine</t>
        </is>
      </c>
      <c r="G6" s="30" t="inlineStr">
        <is>
          <t>x</t>
        </is>
      </c>
      <c r="H6" s="1" t="n"/>
      <c r="I6">
        <f>IF(OR(B6="",G6&lt;&gt;"",B6&lt;TODAY()),"",B6+MOD(N(C6),1)+ROW()/10000000)</f>
        <v/>
      </c>
    </row>
    <row r="7">
      <c r="A7" s="1" t="n"/>
      <c r="B7" s="26" t="n">
        <v>46188</v>
      </c>
      <c r="C7" s="27" t="n">
        <v>0.6041666666666666</v>
      </c>
      <c r="D7" s="33" t="inlineStr">
        <is>
          <t>Hearing test</t>
        </is>
      </c>
      <c r="E7" s="28" t="inlineStr">
        <is>
          <t>Clinic</t>
        </is>
      </c>
      <c r="F7" s="28" t="n"/>
      <c r="G7" s="30" t="inlineStr">
        <is>
          <t>x</t>
        </is>
      </c>
      <c r="H7" s="1" t="n"/>
      <c r="I7">
        <f>IF(OR(B7="",G7&lt;&gt;"",B7&lt;TODAY()),"",B7+MOD(N(C7),1)+ROW()/10000000)</f>
        <v/>
      </c>
    </row>
    <row r="8">
      <c r="A8" s="1" t="n"/>
      <c r="B8" s="26" t="n">
        <v>46227</v>
      </c>
      <c r="C8" s="27" t="n">
        <v>0.3854166666666667</v>
      </c>
      <c r="D8" s="33" t="inlineStr">
        <is>
          <t>Six-week check</t>
        </is>
      </c>
      <c r="E8" s="28" t="inlineStr">
        <is>
          <t>Doctor</t>
        </is>
      </c>
      <c r="F8" s="28" t="inlineStr">
        <is>
          <t>Growing well</t>
        </is>
      </c>
      <c r="G8" s="30" t="inlineStr">
        <is>
          <t>x</t>
        </is>
      </c>
      <c r="H8" s="1" t="n"/>
      <c r="I8">
        <f>IF(OR(B8="",G8&lt;&gt;"",B8&lt;TODAY()),"",B8+MOD(N(C8),1)+ROW()/10000000)</f>
        <v/>
      </c>
    </row>
    <row r="9">
      <c r="A9" s="1" t="n"/>
      <c r="B9" s="26" t="n">
        <v>46236</v>
      </c>
      <c r="C9" s="27" t="n">
        <v>0.4583333333333333</v>
      </c>
      <c r="D9" s="33" t="inlineStr">
        <is>
          <t>Vaccines</t>
        </is>
      </c>
      <c r="E9" s="28" t="inlineStr">
        <is>
          <t>Doctor</t>
        </is>
      </c>
      <c r="F9" s="28" t="inlineStr">
        <is>
          <t>A bit sleepy after</t>
        </is>
      </c>
      <c r="G9" s="30" t="inlineStr">
        <is>
          <t>x</t>
        </is>
      </c>
      <c r="H9" s="1" t="n"/>
      <c r="I9">
        <f>IF(OR(B9="",G9&lt;&gt;"",B9&lt;TODAY()),"",B9+MOD(N(C9),1)+ROW()/10000000)</f>
        <v/>
      </c>
    </row>
    <row r="10">
      <c r="A10" s="1" t="n"/>
      <c r="B10" s="26" t="n">
        <v>46264</v>
      </c>
      <c r="C10" s="27" t="n">
        <v>0.4583333333333333</v>
      </c>
      <c r="D10" s="33" t="inlineStr">
        <is>
          <t>Vaccines</t>
        </is>
      </c>
      <c r="E10" s="28" t="inlineStr">
        <is>
          <t>Doctor</t>
        </is>
      </c>
      <c r="F10" s="28" t="n"/>
      <c r="G10" s="30" t="inlineStr">
        <is>
          <t>x</t>
        </is>
      </c>
      <c r="H10" s="1" t="n"/>
      <c r="I10">
        <f>IF(OR(B10="",G10&lt;&gt;"",B10&lt;TODAY()),"",B10+MOD(N(C10),1)+ROW()/10000000)</f>
        <v/>
      </c>
    </row>
    <row r="11">
      <c r="A11" s="1" t="n"/>
      <c r="B11" s="26" t="n">
        <v>46297</v>
      </c>
      <c r="C11" s="27" t="n">
        <v>0.4375</v>
      </c>
      <c r="D11" s="33" t="inlineStr">
        <is>
          <t>Vaccines</t>
        </is>
      </c>
      <c r="E11" s="28" t="inlineStr">
        <is>
          <t>Doctor</t>
        </is>
      </c>
      <c r="F11" s="28" t="inlineStr">
        <is>
          <t>Bring the red book</t>
        </is>
      </c>
      <c r="G11" s="30" t="n"/>
      <c r="H11" s="1" t="n"/>
      <c r="I11">
        <f>IF(OR(B11="",G11&lt;&gt;"",B11&lt;TODAY()),"",B11+MOD(N(C11),1)+ROW()/10000000)</f>
        <v/>
      </c>
    </row>
    <row r="12">
      <c r="A12" s="1" t="n"/>
      <c r="B12" s="26" t="n">
        <v>46305</v>
      </c>
      <c r="C12" s="27" t="n">
        <v>0.5416666666666666</v>
      </c>
      <c r="D12" s="33" t="inlineStr">
        <is>
          <t>Weigh-in</t>
        </is>
      </c>
      <c r="E12" s="28" t="inlineStr">
        <is>
          <t>Baby clinic</t>
        </is>
      </c>
      <c r="F12" s="28" t="n"/>
      <c r="G12" s="30" t="n"/>
      <c r="H12" s="1" t="n"/>
      <c r="I12">
        <f>IF(OR(B12="",G12&lt;&gt;"",B12&lt;TODAY()),"",B12+MOD(N(C12),1)+ROW()/10000000)</f>
        <v/>
      </c>
    </row>
    <row r="13">
      <c r="A13" s="1" t="n"/>
      <c r="B13" s="26" t="n"/>
      <c r="C13" s="27" t="n"/>
      <c r="D13" s="33" t="n"/>
      <c r="E13" s="28" t="n"/>
      <c r="F13" s="28" t="n"/>
      <c r="G13" s="30" t="n"/>
      <c r="H13" s="1" t="n"/>
      <c r="I13">
        <f>IF(OR(B13="",G13&lt;&gt;"",B13&lt;TODAY()),"",B13+MOD(N(C13),1)+ROW()/10000000)</f>
        <v/>
      </c>
    </row>
    <row r="14">
      <c r="A14" s="1" t="n"/>
      <c r="B14" s="26" t="n"/>
      <c r="C14" s="27" t="n"/>
      <c r="D14" s="33" t="n"/>
      <c r="E14" s="28" t="n"/>
      <c r="F14" s="28" t="n"/>
      <c r="G14" s="30" t="n"/>
      <c r="H14" s="1" t="n"/>
      <c r="I14">
        <f>IF(OR(B14="",G14&lt;&gt;"",B14&lt;TODAY()),"",B14+MOD(N(C14),1)+ROW()/10000000)</f>
        <v/>
      </c>
    </row>
    <row r="15">
      <c r="A15" s="1" t="n"/>
      <c r="B15" s="26" t="n"/>
      <c r="C15" s="27" t="n"/>
      <c r="D15" s="33" t="n"/>
      <c r="E15" s="28" t="n"/>
      <c r="F15" s="28" t="n"/>
      <c r="G15" s="30" t="n"/>
      <c r="H15" s="1" t="n"/>
      <c r="I15">
        <f>IF(OR(B15="",G15&lt;&gt;"",B15&lt;TODAY()),"",B15+MOD(N(C15),1)+ROW()/10000000)</f>
        <v/>
      </c>
    </row>
    <row r="16">
      <c r="A16" s="1" t="n"/>
      <c r="B16" s="26" t="n"/>
      <c r="C16" s="27" t="n"/>
      <c r="D16" s="33" t="n"/>
      <c r="E16" s="28" t="n"/>
      <c r="F16" s="28" t="n"/>
      <c r="G16" s="30" t="n"/>
      <c r="H16" s="1" t="n"/>
      <c r="I16">
        <f>IF(OR(B16="",G16&lt;&gt;"",B16&lt;TODAY()),"",B16+MOD(N(C16),1)+ROW()/10000000)</f>
        <v/>
      </c>
    </row>
    <row r="17">
      <c r="A17" s="1" t="n"/>
      <c r="B17" s="26" t="n"/>
      <c r="C17" s="27" t="n"/>
      <c r="D17" s="33" t="n"/>
      <c r="E17" s="28" t="n"/>
      <c r="F17" s="28" t="n"/>
      <c r="G17" s="30" t="n"/>
      <c r="H17" s="1" t="n"/>
      <c r="I17">
        <f>IF(OR(B17="",G17&lt;&gt;"",B17&lt;TODAY()),"",B17+MOD(N(C17),1)+ROW()/10000000)</f>
        <v/>
      </c>
    </row>
    <row r="18">
      <c r="A18" s="1" t="n"/>
      <c r="B18" s="26" t="n"/>
      <c r="C18" s="27" t="n"/>
      <c r="D18" s="33" t="n"/>
      <c r="E18" s="28" t="n"/>
      <c r="F18" s="28" t="n"/>
      <c r="G18" s="30" t="n"/>
      <c r="H18" s="1" t="n"/>
      <c r="I18">
        <f>IF(OR(B18="",G18&lt;&gt;"",B18&lt;TODAY()),"",B18+MOD(N(C18),1)+ROW()/10000000)</f>
        <v/>
      </c>
    </row>
    <row r="19">
      <c r="A19" s="1" t="n"/>
      <c r="B19" s="26" t="n"/>
      <c r="C19" s="27" t="n"/>
      <c r="D19" s="33" t="n"/>
      <c r="E19" s="28" t="n"/>
      <c r="F19" s="28" t="n"/>
      <c r="G19" s="30" t="n"/>
      <c r="H19" s="1" t="n"/>
      <c r="I19">
        <f>IF(OR(B19="",G19&lt;&gt;"",B19&lt;TODAY()),"",B19+MOD(N(C19),1)+ROW()/10000000)</f>
        <v/>
      </c>
    </row>
    <row r="20">
      <c r="A20" s="1" t="n"/>
      <c r="B20" s="26" t="n"/>
      <c r="C20" s="27" t="n"/>
      <c r="D20" s="33" t="n"/>
      <c r="E20" s="28" t="n"/>
      <c r="F20" s="28" t="n"/>
      <c r="G20" s="30" t="n"/>
      <c r="H20" s="1" t="n"/>
      <c r="I20">
        <f>IF(OR(B20="",G20&lt;&gt;"",B20&lt;TODAY()),"",B20+MOD(N(C20),1)+ROW()/10000000)</f>
        <v/>
      </c>
    </row>
    <row r="21">
      <c r="A21" s="1" t="n"/>
      <c r="B21" s="26" t="n"/>
      <c r="C21" s="27" t="n"/>
      <c r="D21" s="33" t="n"/>
      <c r="E21" s="28" t="n"/>
      <c r="F21" s="28" t="n"/>
      <c r="G21" s="30" t="n"/>
      <c r="H21" s="1" t="n"/>
      <c r="I21">
        <f>IF(OR(B21="",G21&lt;&gt;"",B21&lt;TODAY()),"",B21+MOD(N(C21),1)+ROW()/10000000)</f>
        <v/>
      </c>
    </row>
    <row r="22">
      <c r="A22" s="1" t="n"/>
      <c r="B22" s="26" t="n"/>
      <c r="C22" s="27" t="n"/>
      <c r="D22" s="33" t="n"/>
      <c r="E22" s="28" t="n"/>
      <c r="F22" s="28" t="n"/>
      <c r="G22" s="30" t="n"/>
      <c r="H22" s="1" t="n"/>
      <c r="I22">
        <f>IF(OR(B22="",G22&lt;&gt;"",B22&lt;TODAY()),"",B22+MOD(N(C22),1)+ROW()/10000000)</f>
        <v/>
      </c>
    </row>
    <row r="23">
      <c r="A23" s="1" t="n"/>
      <c r="B23" s="26" t="n"/>
      <c r="C23" s="27" t="n"/>
      <c r="D23" s="33" t="n"/>
      <c r="E23" s="28" t="n"/>
      <c r="F23" s="28" t="n"/>
      <c r="G23" s="30" t="n"/>
      <c r="H23" s="1" t="n"/>
      <c r="I23">
        <f>IF(OR(B23="",G23&lt;&gt;"",B23&lt;TODAY()),"",B23+MOD(N(C23),1)+ROW()/10000000)</f>
        <v/>
      </c>
    </row>
    <row r="24">
      <c r="A24" s="1" t="n"/>
      <c r="B24" s="26" t="n"/>
      <c r="C24" s="27" t="n"/>
      <c r="D24" s="33" t="n"/>
      <c r="E24" s="28" t="n"/>
      <c r="F24" s="28" t="n"/>
      <c r="G24" s="30" t="n"/>
      <c r="H24" s="1" t="n"/>
      <c r="I24">
        <f>IF(OR(B24="",G24&lt;&gt;"",B24&lt;TODAY()),"",B24+MOD(N(C24),1)+ROW()/10000000)</f>
        <v/>
      </c>
    </row>
    <row r="25">
      <c r="A25" s="1" t="n"/>
      <c r="B25" s="26" t="n"/>
      <c r="C25" s="27" t="n"/>
      <c r="D25" s="33" t="n"/>
      <c r="E25" s="28" t="n"/>
      <c r="F25" s="28" t="n"/>
      <c r="G25" s="30" t="n"/>
      <c r="H25" s="1" t="n"/>
      <c r="I25">
        <f>IF(OR(B25="",G25&lt;&gt;"",B25&lt;TODAY()),"",B25+MOD(N(C25),1)+ROW()/10000000)</f>
        <v/>
      </c>
    </row>
    <row r="26">
      <c r="A26" s="1" t="n"/>
      <c r="B26" s="26" t="n"/>
      <c r="C26" s="27" t="n"/>
      <c r="D26" s="33" t="n"/>
      <c r="E26" s="28" t="n"/>
      <c r="F26" s="28" t="n"/>
      <c r="G26" s="30" t="n"/>
      <c r="H26" s="1" t="n"/>
      <c r="I26">
        <f>IF(OR(B26="",G26&lt;&gt;"",B26&lt;TODAY()),"",B26+MOD(N(C26),1)+ROW()/10000000)</f>
        <v/>
      </c>
    </row>
    <row r="27">
      <c r="A27" s="1" t="n"/>
      <c r="B27" s="26" t="n"/>
      <c r="C27" s="27" t="n"/>
      <c r="D27" s="33" t="n"/>
      <c r="E27" s="28" t="n"/>
      <c r="F27" s="28" t="n"/>
      <c r="G27" s="30" t="n"/>
      <c r="H27" s="1" t="n"/>
      <c r="I27">
        <f>IF(OR(B27="",G27&lt;&gt;"",B27&lt;TODAY()),"",B27+MOD(N(C27),1)+ROW()/10000000)</f>
        <v/>
      </c>
    </row>
    <row r="28">
      <c r="A28" s="1" t="n"/>
      <c r="B28" s="26" t="n"/>
      <c r="C28" s="27" t="n"/>
      <c r="D28" s="33" t="n"/>
      <c r="E28" s="28" t="n"/>
      <c r="F28" s="28" t="n"/>
      <c r="G28" s="30" t="n"/>
      <c r="H28" s="1" t="n"/>
      <c r="I28">
        <f>IF(OR(B28="",G28&lt;&gt;"",B28&lt;TODAY()),"",B28+MOD(N(C28),1)+ROW()/10000000)</f>
        <v/>
      </c>
    </row>
    <row r="29">
      <c r="A29" s="1" t="n"/>
      <c r="B29" s="26" t="n"/>
      <c r="C29" s="27" t="n"/>
      <c r="D29" s="33" t="n"/>
      <c r="E29" s="28" t="n"/>
      <c r="F29" s="28" t="n"/>
      <c r="G29" s="30" t="n"/>
      <c r="H29" s="1" t="n"/>
      <c r="I29">
        <f>IF(OR(B29="",G29&lt;&gt;"",B29&lt;TODAY()),"",B29+MOD(N(C29),1)+ROW()/10000000)</f>
        <v/>
      </c>
    </row>
    <row r="30">
      <c r="A30" s="1" t="n"/>
      <c r="B30" s="26" t="n"/>
      <c r="C30" s="27" t="n"/>
      <c r="D30" s="33" t="n"/>
      <c r="E30" s="28" t="n"/>
      <c r="F30" s="28" t="n"/>
      <c r="G30" s="30" t="n"/>
      <c r="H30" s="1" t="n"/>
      <c r="I30">
        <f>IF(OR(B30="",G30&lt;&gt;"",B30&lt;TODAY()),"",B30+MOD(N(C30),1)+ROW()/10000000)</f>
        <v/>
      </c>
    </row>
    <row r="31">
      <c r="A31" s="1" t="n"/>
      <c r="B31" s="26" t="n"/>
      <c r="C31" s="27" t="n"/>
      <c r="D31" s="33" t="n"/>
      <c r="E31" s="28" t="n"/>
      <c r="F31" s="28" t="n"/>
      <c r="G31" s="30" t="n"/>
      <c r="H31" s="1" t="n"/>
      <c r="I31">
        <f>IF(OR(B31="",G31&lt;&gt;"",B31&lt;TODAY()),"",B31+MOD(N(C31),1)+ROW()/10000000)</f>
        <v/>
      </c>
    </row>
    <row r="32">
      <c r="A32" s="1" t="n"/>
      <c r="B32" s="26" t="n"/>
      <c r="C32" s="27" t="n"/>
      <c r="D32" s="33" t="n"/>
      <c r="E32" s="28" t="n"/>
      <c r="F32" s="28" t="n"/>
      <c r="G32" s="30" t="n"/>
      <c r="H32" s="1" t="n"/>
      <c r="I32">
        <f>IF(OR(B32="",G32&lt;&gt;"",B32&lt;TODAY()),"",B32+MOD(N(C32),1)+ROW()/10000000)</f>
        <v/>
      </c>
    </row>
    <row r="33">
      <c r="A33" s="1" t="n"/>
      <c r="B33" s="26" t="n"/>
      <c r="C33" s="27" t="n"/>
      <c r="D33" s="33" t="n"/>
      <c r="E33" s="28" t="n"/>
      <c r="F33" s="28" t="n"/>
      <c r="G33" s="30" t="n"/>
      <c r="H33" s="1" t="n"/>
      <c r="I33">
        <f>IF(OR(B33="",G33&lt;&gt;"",B33&lt;TODAY()),"",B33+MOD(N(C33),1)+ROW()/10000000)</f>
        <v/>
      </c>
    </row>
    <row r="34">
      <c r="A34" s="1" t="n"/>
      <c r="B34" s="26" t="n"/>
      <c r="C34" s="27" t="n"/>
      <c r="D34" s="33" t="n"/>
      <c r="E34" s="28" t="n"/>
      <c r="F34" s="28" t="n"/>
      <c r="G34" s="30" t="n"/>
      <c r="H34" s="1" t="n"/>
      <c r="I34">
        <f>IF(OR(B34="",G34&lt;&gt;"",B34&lt;TODAY()),"",B34+MOD(N(C34),1)+ROW()/10000000)</f>
        <v/>
      </c>
    </row>
    <row r="35">
      <c r="A35" s="1" t="n"/>
      <c r="B35" s="26" t="n"/>
      <c r="C35" s="27" t="n"/>
      <c r="D35" s="33" t="n"/>
      <c r="E35" s="28" t="n"/>
      <c r="F35" s="28" t="n"/>
      <c r="G35" s="30" t="n"/>
      <c r="H35" s="1" t="n"/>
      <c r="I35">
        <f>IF(OR(B35="",G35&lt;&gt;"",B35&lt;TODAY()),"",B35+MOD(N(C35),1)+ROW()/10000000)</f>
        <v/>
      </c>
    </row>
    <row r="36">
      <c r="A36" s="1" t="n"/>
      <c r="B36" s="26" t="n"/>
      <c r="C36" s="27" t="n"/>
      <c r="D36" s="33" t="n"/>
      <c r="E36" s="28" t="n"/>
      <c r="F36" s="28" t="n"/>
      <c r="G36" s="30" t="n"/>
      <c r="H36" s="1" t="n"/>
      <c r="I36">
        <f>IF(OR(B36="",G36&lt;&gt;"",B36&lt;TODAY()),"",B36+MOD(N(C36),1)+ROW()/10000000)</f>
        <v/>
      </c>
    </row>
    <row r="37">
      <c r="A37" s="1" t="n"/>
      <c r="B37" s="26" t="n"/>
      <c r="C37" s="27" t="n"/>
      <c r="D37" s="33" t="n"/>
      <c r="E37" s="28" t="n"/>
      <c r="F37" s="28" t="n"/>
      <c r="G37" s="30" t="n"/>
      <c r="H37" s="1" t="n"/>
      <c r="I37">
        <f>IF(OR(B37="",G37&lt;&gt;"",B37&lt;TODAY()),"",B37+MOD(N(C37),1)+ROW()/10000000)</f>
        <v/>
      </c>
    </row>
    <row r="38">
      <c r="A38" s="1" t="n"/>
      <c r="B38" s="26" t="n"/>
      <c r="C38" s="27" t="n"/>
      <c r="D38" s="33" t="n"/>
      <c r="E38" s="28" t="n"/>
      <c r="F38" s="28" t="n"/>
      <c r="G38" s="30" t="n"/>
      <c r="H38" s="1" t="n"/>
      <c r="I38">
        <f>IF(OR(B38="",G38&lt;&gt;"",B38&lt;TODAY()),"",B38+MOD(N(C38),1)+ROW()/10000000)</f>
        <v/>
      </c>
    </row>
    <row r="39">
      <c r="A39" s="1" t="n"/>
      <c r="B39" s="26" t="n"/>
      <c r="C39" s="27" t="n"/>
      <c r="D39" s="33" t="n"/>
      <c r="E39" s="28" t="n"/>
      <c r="F39" s="28" t="n"/>
      <c r="G39" s="30" t="n"/>
      <c r="H39" s="1" t="n"/>
      <c r="I39">
        <f>IF(OR(B39="",G39&lt;&gt;"",B39&lt;TODAY()),"",B39+MOD(N(C39),1)+ROW()/10000000)</f>
        <v/>
      </c>
    </row>
    <row r="40">
      <c r="A40" s="1" t="n"/>
      <c r="B40" s="26" t="n"/>
      <c r="C40" s="27" t="n"/>
      <c r="D40" s="33" t="n"/>
      <c r="E40" s="28" t="n"/>
      <c r="F40" s="28" t="n"/>
      <c r="G40" s="30" t="n"/>
      <c r="H40" s="1" t="n"/>
      <c r="I40">
        <f>IF(OR(B40="",G40&lt;&gt;"",B40&lt;TODAY()),"",B40+MOD(N(C40),1)+ROW()/10000000)</f>
        <v/>
      </c>
    </row>
    <row r="41">
      <c r="A41" s="1" t="n"/>
      <c r="B41" s="26" t="n"/>
      <c r="C41" s="27" t="n"/>
      <c r="D41" s="33" t="n"/>
      <c r="E41" s="28" t="n"/>
      <c r="F41" s="28" t="n"/>
      <c r="G41" s="30" t="n"/>
      <c r="H41" s="1" t="n"/>
      <c r="I41">
        <f>IF(OR(B41="",G41&lt;&gt;"",B41&lt;TODAY()),"",B41+MOD(N(C41),1)+ROW()/10000000)</f>
        <v/>
      </c>
    </row>
    <row r="42">
      <c r="A42" s="1" t="n"/>
      <c r="B42" s="26" t="n"/>
      <c r="C42" s="27" t="n"/>
      <c r="D42" s="33" t="n"/>
      <c r="E42" s="28" t="n"/>
      <c r="F42" s="28" t="n"/>
      <c r="G42" s="30" t="n"/>
      <c r="H42" s="1" t="n"/>
      <c r="I42">
        <f>IF(OR(B42="",G42&lt;&gt;"",B42&lt;TODAY()),"",B42+MOD(N(C42),1)+ROW()/10000000)</f>
        <v/>
      </c>
    </row>
    <row r="43">
      <c r="A43" s="1" t="n"/>
      <c r="B43" s="26" t="n"/>
      <c r="C43" s="27" t="n"/>
      <c r="D43" s="33" t="n"/>
      <c r="E43" s="28" t="n"/>
      <c r="F43" s="28" t="n"/>
      <c r="G43" s="30" t="n"/>
      <c r="H43" s="1" t="n"/>
      <c r="I43">
        <f>IF(OR(B43="",G43&lt;&gt;"",B43&lt;TODAY()),"",B43+MOD(N(C43),1)+ROW()/10000000)</f>
        <v/>
      </c>
    </row>
    <row r="44">
      <c r="A44" s="1" t="n"/>
      <c r="B44" s="26" t="n"/>
      <c r="C44" s="27" t="n"/>
      <c r="D44" s="33" t="n"/>
      <c r="E44" s="28" t="n"/>
      <c r="F44" s="28" t="n"/>
      <c r="G44" s="30" t="n"/>
      <c r="H44" s="1" t="n"/>
      <c r="I44">
        <f>IF(OR(B44="",G44&lt;&gt;"",B44&lt;TODAY()),"",B44+MOD(N(C44),1)+ROW()/10000000)</f>
        <v/>
      </c>
    </row>
    <row r="45">
      <c r="A45" s="1" t="n"/>
      <c r="B45" s="26" t="n"/>
      <c r="C45" s="27" t="n"/>
      <c r="D45" s="33" t="n"/>
      <c r="E45" s="28" t="n"/>
      <c r="F45" s="28" t="n"/>
      <c r="G45" s="30" t="n"/>
      <c r="H45" s="1" t="n"/>
      <c r="I45">
        <f>IF(OR(B45="",G45&lt;&gt;"",B45&lt;TODAY()),"",B45+MOD(N(C45),1)+ROW()/10000000)</f>
        <v/>
      </c>
    </row>
    <row r="46">
      <c r="A46" s="1" t="n"/>
      <c r="B46" s="26" t="n"/>
      <c r="C46" s="27" t="n"/>
      <c r="D46" s="33" t="n"/>
      <c r="E46" s="28" t="n"/>
      <c r="F46" s="28" t="n"/>
      <c r="G46" s="30" t="n"/>
      <c r="H46" s="1" t="n"/>
      <c r="I46">
        <f>IF(OR(B46="",G46&lt;&gt;"",B46&lt;TODAY()),"",B46+MOD(N(C46),1)+ROW()/10000000)</f>
        <v/>
      </c>
    </row>
    <row r="47">
      <c r="A47" s="1" t="n"/>
      <c r="B47" s="26" t="n"/>
      <c r="C47" s="27" t="n"/>
      <c r="D47" s="33" t="n"/>
      <c r="E47" s="28" t="n"/>
      <c r="F47" s="28" t="n"/>
      <c r="G47" s="30" t="n"/>
      <c r="H47" s="1" t="n"/>
      <c r="I47">
        <f>IF(OR(B47="",G47&lt;&gt;"",B47&lt;TODAY()),"",B47+MOD(N(C47),1)+ROW()/10000000)</f>
        <v/>
      </c>
    </row>
    <row r="48">
      <c r="A48" s="1" t="n"/>
      <c r="B48" s="26" t="n"/>
      <c r="C48" s="27" t="n"/>
      <c r="D48" s="33" t="n"/>
      <c r="E48" s="28" t="n"/>
      <c r="F48" s="28" t="n"/>
      <c r="G48" s="30" t="n"/>
      <c r="H48" s="1" t="n"/>
      <c r="I48">
        <f>IF(OR(B48="",G48&lt;&gt;"",B48&lt;TODAY()),"",B48+MOD(N(C48),1)+ROW()/10000000)</f>
        <v/>
      </c>
    </row>
    <row r="49">
      <c r="A49" s="1" t="n"/>
      <c r="B49" s="26" t="n"/>
      <c r="C49" s="27" t="n"/>
      <c r="D49" s="33" t="n"/>
      <c r="E49" s="28" t="n"/>
      <c r="F49" s="28" t="n"/>
      <c r="G49" s="30" t="n"/>
      <c r="H49" s="1" t="n"/>
      <c r="I49">
        <f>IF(OR(B49="",G49&lt;&gt;"",B49&lt;TODAY()),"",B49+MOD(N(C49),1)+ROW()/10000000)</f>
        <v/>
      </c>
    </row>
    <row r="50">
      <c r="A50" s="1" t="n"/>
      <c r="B50" s="26" t="n"/>
      <c r="C50" s="27" t="n"/>
      <c r="D50" s="33" t="n"/>
      <c r="E50" s="28" t="n"/>
      <c r="F50" s="28" t="n"/>
      <c r="G50" s="30" t="n"/>
      <c r="H50" s="1" t="n"/>
      <c r="I50">
        <f>IF(OR(B50="",G50&lt;&gt;"",B50&lt;TODAY()),"",B50+MOD(N(C50),1)+ROW()/10000000)</f>
        <v/>
      </c>
    </row>
    <row r="51">
      <c r="A51" s="1" t="n"/>
      <c r="B51" s="26" t="n"/>
      <c r="C51" s="27" t="n"/>
      <c r="D51" s="33" t="n"/>
      <c r="E51" s="28" t="n"/>
      <c r="F51" s="28" t="n"/>
      <c r="G51" s="30" t="n"/>
      <c r="H51" s="1" t="n"/>
      <c r="I51">
        <f>IF(OR(B51="",G51&lt;&gt;"",B51&lt;TODAY()),"",B51+MOD(N(C51),1)+ROW()/10000000)</f>
        <v/>
      </c>
    </row>
    <row r="52">
      <c r="A52" s="1" t="n"/>
      <c r="B52" s="26" t="n"/>
      <c r="C52" s="27" t="n"/>
      <c r="D52" s="33" t="n"/>
      <c r="E52" s="28" t="n"/>
      <c r="F52" s="28" t="n"/>
      <c r="G52" s="30" t="n"/>
      <c r="H52" s="1" t="n"/>
      <c r="I52">
        <f>IF(OR(B52="",G52&lt;&gt;"",B52&lt;TODAY()),"",B52+MOD(N(C52),1)+ROW()/10000000)</f>
        <v/>
      </c>
    </row>
    <row r="53">
      <c r="A53" s="1" t="n"/>
      <c r="B53" s="26" t="n"/>
      <c r="C53" s="27" t="n"/>
      <c r="D53" s="33" t="n"/>
      <c r="E53" s="28" t="n"/>
      <c r="F53" s="28" t="n"/>
      <c r="G53" s="30" t="n"/>
      <c r="H53" s="1" t="n"/>
      <c r="I53">
        <f>IF(OR(B53="",G53&lt;&gt;"",B53&lt;TODAY()),"",B53+MOD(N(C53),1)+ROW()/10000000)</f>
        <v/>
      </c>
    </row>
    <row r="54">
      <c r="A54" s="1" t="n"/>
      <c r="B54" s="26" t="n"/>
      <c r="C54" s="27" t="n"/>
      <c r="D54" s="33" t="n"/>
      <c r="E54" s="28" t="n"/>
      <c r="F54" s="28" t="n"/>
      <c r="G54" s="30" t="n"/>
      <c r="H54" s="1" t="n"/>
      <c r="I54">
        <f>IF(OR(B54="",G54&lt;&gt;"",B54&lt;TODAY()),"",B54+MOD(N(C54),1)+ROW()/10000000)</f>
        <v/>
      </c>
    </row>
    <row r="55">
      <c r="A55" s="1" t="n"/>
      <c r="B55" s="26" t="n"/>
      <c r="C55" s="27" t="n"/>
      <c r="D55" s="33" t="n"/>
      <c r="E55" s="28" t="n"/>
      <c r="F55" s="28" t="n"/>
      <c r="G55" s="30" t="n"/>
      <c r="H55" s="1" t="n"/>
      <c r="I55">
        <f>IF(OR(B55="",G55&lt;&gt;"",B55&lt;TODAY()),"",B55+MOD(N(C55),1)+ROW()/10000000)</f>
        <v/>
      </c>
    </row>
    <row r="56">
      <c r="A56" s="1" t="n"/>
      <c r="B56" s="26" t="n"/>
      <c r="C56" s="27" t="n"/>
      <c r="D56" s="33" t="n"/>
      <c r="E56" s="28" t="n"/>
      <c r="F56" s="28" t="n"/>
      <c r="G56" s="30" t="n"/>
      <c r="H56" s="1" t="n"/>
      <c r="I56">
        <f>IF(OR(B56="",G56&lt;&gt;"",B56&lt;TODAY()),"",B56+MOD(N(C56),1)+ROW()/10000000)</f>
        <v/>
      </c>
    </row>
    <row r="57">
      <c r="A57" s="1" t="n"/>
      <c r="B57" s="26" t="n"/>
      <c r="C57" s="27" t="n"/>
      <c r="D57" s="33" t="n"/>
      <c r="E57" s="28" t="n"/>
      <c r="F57" s="28" t="n"/>
      <c r="G57" s="30" t="n"/>
      <c r="H57" s="1" t="n"/>
      <c r="I57">
        <f>IF(OR(B57="",G57&lt;&gt;"",B57&lt;TODAY()),"",B57+MOD(N(C57),1)+ROW()/10000000)</f>
        <v/>
      </c>
    </row>
    <row r="58">
      <c r="A58" s="1" t="n"/>
      <c r="B58" s="26" t="n"/>
      <c r="C58" s="27" t="n"/>
      <c r="D58" s="33" t="n"/>
      <c r="E58" s="28" t="n"/>
      <c r="F58" s="28" t="n"/>
      <c r="G58" s="30" t="n"/>
      <c r="H58" s="1" t="n"/>
      <c r="I58">
        <f>IF(OR(B58="",G58&lt;&gt;"",B58&lt;TODAY()),"",B58+MOD(N(C58),1)+ROW()/10000000)</f>
        <v/>
      </c>
    </row>
    <row r="59">
      <c r="A59" s="1" t="n"/>
      <c r="B59" s="26" t="n"/>
      <c r="C59" s="27" t="n"/>
      <c r="D59" s="33" t="n"/>
      <c r="E59" s="28" t="n"/>
      <c r="F59" s="28" t="n"/>
      <c r="G59" s="30" t="n"/>
      <c r="H59" s="1" t="n"/>
      <c r="I59">
        <f>IF(OR(B59="",G59&lt;&gt;"",B59&lt;TODAY()),"",B59+MOD(N(C59),1)+ROW()/10000000)</f>
        <v/>
      </c>
    </row>
    <row r="60">
      <c r="A60" s="1" t="n"/>
      <c r="B60" s="26" t="n"/>
      <c r="C60" s="27" t="n"/>
      <c r="D60" s="33" t="n"/>
      <c r="E60" s="28" t="n"/>
      <c r="F60" s="28" t="n"/>
      <c r="G60" s="30" t="n"/>
      <c r="H60" s="1" t="n"/>
      <c r="I60">
        <f>IF(OR(B60="",G60&lt;&gt;"",B60&lt;TODAY()),"",B60+MOD(N(C60),1)+ROW()/10000000)</f>
        <v/>
      </c>
    </row>
    <row r="61">
      <c r="A61" s="1" t="n"/>
      <c r="B61" s="26" t="n"/>
      <c r="C61" s="27" t="n"/>
      <c r="D61" s="33" t="n"/>
      <c r="E61" s="28" t="n"/>
      <c r="F61" s="28" t="n"/>
      <c r="G61" s="30" t="n"/>
      <c r="H61" s="1" t="n"/>
      <c r="I61">
        <f>IF(OR(B61="",G61&lt;&gt;"",B61&lt;TODAY()),"",B61+MOD(N(C61),1)+ROW()/10000000)</f>
        <v/>
      </c>
    </row>
    <row r="62">
      <c r="A62" s="1" t="n"/>
      <c r="B62" s="26" t="n"/>
      <c r="C62" s="27" t="n"/>
      <c r="D62" s="33" t="n"/>
      <c r="E62" s="28" t="n"/>
      <c r="F62" s="28" t="n"/>
      <c r="G62" s="30" t="n"/>
      <c r="H62" s="1" t="n"/>
      <c r="I62">
        <f>IF(OR(B62="",G62&lt;&gt;"",B62&lt;TODAY()),"",B62+MOD(N(C62),1)+ROW()/10000000)</f>
        <v/>
      </c>
    </row>
    <row r="63">
      <c r="A63" s="1" t="n"/>
      <c r="B63" s="26" t="n"/>
      <c r="C63" s="27" t="n"/>
      <c r="D63" s="33" t="n"/>
      <c r="E63" s="28" t="n"/>
      <c r="F63" s="28" t="n"/>
      <c r="G63" s="30" t="n"/>
      <c r="H63" s="1" t="n"/>
      <c r="I63">
        <f>IF(OR(B63="",G63&lt;&gt;"",B63&lt;TODAY()),"",B63+MOD(N(C63),1)+ROW()/10000000)</f>
        <v/>
      </c>
    </row>
    <row r="64">
      <c r="A64" s="1" t="n"/>
      <c r="B64" s="26" t="n"/>
      <c r="C64" s="27" t="n"/>
      <c r="D64" s="33" t="n"/>
      <c r="E64" s="28" t="n"/>
      <c r="F64" s="28" t="n"/>
      <c r="G64" s="30" t="n"/>
      <c r="H64" s="1" t="n"/>
      <c r="I64">
        <f>IF(OR(B64="",G64&lt;&gt;"",B64&lt;TODAY()),"",B64+MOD(N(C64),1)+ROW()/10000000)</f>
        <v/>
      </c>
    </row>
    <row r="65">
      <c r="A65" s="1" t="n"/>
      <c r="B65" s="26" t="n"/>
      <c r="C65" s="27" t="n"/>
      <c r="D65" s="33" t="n"/>
      <c r="E65" s="28" t="n"/>
      <c r="F65" s="28" t="n"/>
      <c r="G65" s="30" t="n"/>
      <c r="H65" s="1" t="n"/>
      <c r="I65">
        <f>IF(OR(B65="",G65&lt;&gt;"",B65&lt;TODAY()),"",B65+MOD(N(C65),1)+ROW()/10000000)</f>
        <v/>
      </c>
    </row>
    <row r="66">
      <c r="A66" s="1" t="n"/>
      <c r="B66" s="26" t="n"/>
      <c r="C66" s="27" t="n"/>
      <c r="D66" s="33" t="n"/>
      <c r="E66" s="28" t="n"/>
      <c r="F66" s="28" t="n"/>
      <c r="G66" s="30" t="n"/>
      <c r="H66" s="1" t="n"/>
      <c r="I66">
        <f>IF(OR(B66="",G66&lt;&gt;"",B66&lt;TODAY()),"",B66+MOD(N(C66),1)+ROW()/10000000)</f>
        <v/>
      </c>
    </row>
    <row r="67">
      <c r="A67" s="1" t="n"/>
      <c r="B67" s="26" t="n"/>
      <c r="C67" s="27" t="n"/>
      <c r="D67" s="33" t="n"/>
      <c r="E67" s="28" t="n"/>
      <c r="F67" s="28" t="n"/>
      <c r="G67" s="30" t="n"/>
      <c r="H67" s="1" t="n"/>
      <c r="I67">
        <f>IF(OR(B67="",G67&lt;&gt;"",B67&lt;TODAY()),"",B67+MOD(N(C67),1)+ROW()/10000000)</f>
        <v/>
      </c>
    </row>
    <row r="68">
      <c r="A68" s="1" t="n"/>
      <c r="B68" s="26" t="n"/>
      <c r="C68" s="27" t="n"/>
      <c r="D68" s="33" t="n"/>
      <c r="E68" s="28" t="n"/>
      <c r="F68" s="28" t="n"/>
      <c r="G68" s="30" t="n"/>
      <c r="H68" s="1" t="n"/>
      <c r="I68">
        <f>IF(OR(B68="",G68&lt;&gt;"",B68&lt;TODAY()),"",B68+MOD(N(C68),1)+ROW()/10000000)</f>
        <v/>
      </c>
    </row>
    <row r="69">
      <c r="A69" s="1" t="n"/>
      <c r="B69" s="26" t="n"/>
      <c r="C69" s="27" t="n"/>
      <c r="D69" s="33" t="n"/>
      <c r="E69" s="28" t="n"/>
      <c r="F69" s="28" t="n"/>
      <c r="G69" s="30" t="n"/>
      <c r="H69" s="1" t="n"/>
      <c r="I69">
        <f>IF(OR(B69="",G69&lt;&gt;"",B69&lt;TODAY()),"",B69+MOD(N(C69),1)+ROW()/10000000)</f>
        <v/>
      </c>
    </row>
    <row r="70">
      <c r="A70" s="1" t="n"/>
      <c r="B70" s="26" t="n"/>
      <c r="C70" s="27" t="n"/>
      <c r="D70" s="33" t="n"/>
      <c r="E70" s="28" t="n"/>
      <c r="F70" s="28" t="n"/>
      <c r="G70" s="30" t="n"/>
      <c r="H70" s="1" t="n"/>
      <c r="I70">
        <f>IF(OR(B70="",G70&lt;&gt;"",B70&lt;TODAY()),"",B70+MOD(N(C70),1)+ROW()/10000000)</f>
        <v/>
      </c>
    </row>
    <row r="71">
      <c r="A71" s="1" t="n"/>
      <c r="B71" s="26" t="n"/>
      <c r="C71" s="27" t="n"/>
      <c r="D71" s="33" t="n"/>
      <c r="E71" s="28" t="n"/>
      <c r="F71" s="28" t="n"/>
      <c r="G71" s="30" t="n"/>
      <c r="H71" s="1" t="n"/>
      <c r="I71">
        <f>IF(OR(B71="",G71&lt;&gt;"",B71&lt;TODAY()),"",B71+MOD(N(C71),1)+ROW()/10000000)</f>
        <v/>
      </c>
    </row>
    <row r="72">
      <c r="A72" s="1" t="n"/>
      <c r="B72" s="26" t="n"/>
      <c r="C72" s="27" t="n"/>
      <c r="D72" s="33" t="n"/>
      <c r="E72" s="28" t="n"/>
      <c r="F72" s="28" t="n"/>
      <c r="G72" s="30" t="n"/>
      <c r="H72" s="1" t="n"/>
      <c r="I72">
        <f>IF(OR(B72="",G72&lt;&gt;"",B72&lt;TODAY()),"",B72+MOD(N(C72),1)+ROW()/10000000)</f>
        <v/>
      </c>
    </row>
    <row r="73">
      <c r="A73" s="1" t="n"/>
      <c r="B73" s="26" t="n"/>
      <c r="C73" s="27" t="n"/>
      <c r="D73" s="33" t="n"/>
      <c r="E73" s="28" t="n"/>
      <c r="F73" s="28" t="n"/>
      <c r="G73" s="30" t="n"/>
      <c r="H73" s="1" t="n"/>
      <c r="I73">
        <f>IF(OR(B73="",G73&lt;&gt;"",B73&lt;TODAY()),"",B73+MOD(N(C73),1)+ROW()/10000000)</f>
        <v/>
      </c>
    </row>
    <row r="74">
      <c r="A74" s="1" t="n"/>
      <c r="B74" s="26" t="n"/>
      <c r="C74" s="27" t="n"/>
      <c r="D74" s="33" t="n"/>
      <c r="E74" s="28" t="n"/>
      <c r="F74" s="28" t="n"/>
      <c r="G74" s="30" t="n"/>
      <c r="H74" s="1" t="n"/>
      <c r="I74">
        <f>IF(OR(B74="",G74&lt;&gt;"",B74&lt;TODAY()),"",B74+MOD(N(C74),1)+ROW()/10000000)</f>
        <v/>
      </c>
    </row>
    <row r="75">
      <c r="A75" s="1" t="n"/>
      <c r="B75" s="26" t="n"/>
      <c r="C75" s="27" t="n"/>
      <c r="D75" s="33" t="n"/>
      <c r="E75" s="28" t="n"/>
      <c r="F75" s="28" t="n"/>
      <c r="G75" s="30" t="n"/>
      <c r="H75" s="1" t="n"/>
      <c r="I75">
        <f>IF(OR(B75="",G75&lt;&gt;"",B75&lt;TODAY()),"",B75+MOD(N(C75),1)+ROW()/10000000)</f>
        <v/>
      </c>
    </row>
    <row r="76">
      <c r="A76" s="1" t="n"/>
      <c r="B76" s="26" t="n"/>
      <c r="C76" s="27" t="n"/>
      <c r="D76" s="33" t="n"/>
      <c r="E76" s="28" t="n"/>
      <c r="F76" s="28" t="n"/>
      <c r="G76" s="30" t="n"/>
      <c r="H76" s="1" t="n"/>
      <c r="I76">
        <f>IF(OR(B76="",G76&lt;&gt;"",B76&lt;TODAY()),"",B76+MOD(N(C76),1)+ROW()/10000000)</f>
        <v/>
      </c>
    </row>
    <row r="77">
      <c r="A77" s="1" t="n"/>
      <c r="B77" s="26" t="n"/>
      <c r="C77" s="27" t="n"/>
      <c r="D77" s="33" t="n"/>
      <c r="E77" s="28" t="n"/>
      <c r="F77" s="28" t="n"/>
      <c r="G77" s="30" t="n"/>
      <c r="H77" s="1" t="n"/>
      <c r="I77">
        <f>IF(OR(B77="",G77&lt;&gt;"",B77&lt;TODAY()),"",B77+MOD(N(C77),1)+ROW()/10000000)</f>
        <v/>
      </c>
    </row>
    <row r="78">
      <c r="A78" s="1" t="n"/>
      <c r="B78" s="26" t="n"/>
      <c r="C78" s="27" t="n"/>
      <c r="D78" s="33" t="n"/>
      <c r="E78" s="28" t="n"/>
      <c r="F78" s="28" t="n"/>
      <c r="G78" s="30" t="n"/>
      <c r="H78" s="1" t="n"/>
      <c r="I78">
        <f>IF(OR(B78="",G78&lt;&gt;"",B78&lt;TODAY()),"",B78+MOD(N(C78),1)+ROW()/10000000)</f>
        <v/>
      </c>
    </row>
    <row r="79">
      <c r="A79" s="1" t="n"/>
      <c r="B79" s="26" t="n"/>
      <c r="C79" s="27" t="n"/>
      <c r="D79" s="33" t="n"/>
      <c r="E79" s="28" t="n"/>
      <c r="F79" s="28" t="n"/>
      <c r="G79" s="30" t="n"/>
      <c r="H79" s="1" t="n"/>
      <c r="I79">
        <f>IF(OR(B79="",G79&lt;&gt;"",B79&lt;TODAY()),"",B79+MOD(N(C79),1)+ROW()/10000000)</f>
        <v/>
      </c>
    </row>
    <row r="80">
      <c r="A80" s="1" t="n"/>
      <c r="B80" s="26" t="n"/>
      <c r="C80" s="27" t="n"/>
      <c r="D80" s="33" t="n"/>
      <c r="E80" s="28" t="n"/>
      <c r="F80" s="28" t="n"/>
      <c r="G80" s="30" t="n"/>
      <c r="H80" s="1" t="n"/>
      <c r="I80">
        <f>IF(OR(B80="",G80&lt;&gt;"",B80&lt;TODAY()),"",B80+MOD(N(C80),1)+ROW()/10000000)</f>
        <v/>
      </c>
    </row>
    <row r="81">
      <c r="A81" s="1" t="n"/>
      <c r="B81" s="26" t="n"/>
      <c r="C81" s="27" t="n"/>
      <c r="D81" s="33" t="n"/>
      <c r="E81" s="28" t="n"/>
      <c r="F81" s="28" t="n"/>
      <c r="G81" s="30" t="n"/>
      <c r="H81" s="1" t="n"/>
      <c r="I81">
        <f>IF(OR(B81="",G81&lt;&gt;"",B81&lt;TODAY()),"",B81+MOD(N(C81),1)+ROW()/10000000)</f>
        <v/>
      </c>
    </row>
    <row r="82">
      <c r="A82" s="1" t="n"/>
      <c r="B82" s="26" t="n"/>
      <c r="C82" s="27" t="n"/>
      <c r="D82" s="33" t="n"/>
      <c r="E82" s="28" t="n"/>
      <c r="F82" s="28" t="n"/>
      <c r="G82" s="30" t="n"/>
      <c r="H82" s="1" t="n"/>
      <c r="I82">
        <f>IF(OR(B82="",G82&lt;&gt;"",B82&lt;TODAY()),"",B82+MOD(N(C82),1)+ROW()/10000000)</f>
        <v/>
      </c>
    </row>
    <row r="83">
      <c r="A83" s="1" t="n"/>
      <c r="B83" s="26" t="n"/>
      <c r="C83" s="27" t="n"/>
      <c r="D83" s="33" t="n"/>
      <c r="E83" s="28" t="n"/>
      <c r="F83" s="28" t="n"/>
      <c r="G83" s="30" t="n"/>
      <c r="H83" s="1" t="n"/>
      <c r="I83">
        <f>IF(OR(B83="",G83&lt;&gt;"",B83&lt;TODAY()),"",B83+MOD(N(C83),1)+ROW()/10000000)</f>
        <v/>
      </c>
    </row>
    <row r="84">
      <c r="A84" s="1" t="n"/>
      <c r="B84" s="26" t="n"/>
      <c r="C84" s="27" t="n"/>
      <c r="D84" s="33" t="n"/>
      <c r="E84" s="28" t="n"/>
      <c r="F84" s="28" t="n"/>
      <c r="G84" s="30" t="n"/>
      <c r="H84" s="1" t="n"/>
      <c r="I84">
        <f>IF(OR(B84="",G84&lt;&gt;"",B84&lt;TODAY()),"",B84+MOD(N(C84),1)+ROW()/10000000)</f>
        <v/>
      </c>
    </row>
    <row r="85">
      <c r="A85" s="1" t="n"/>
      <c r="B85" s="26" t="n"/>
      <c r="C85" s="27" t="n"/>
      <c r="D85" s="33" t="n"/>
      <c r="E85" s="28" t="n"/>
      <c r="F85" s="28" t="n"/>
      <c r="G85" s="30" t="n"/>
      <c r="H85" s="1" t="n"/>
      <c r="I85">
        <f>IF(OR(B85="",G85&lt;&gt;"",B85&lt;TODAY()),"",B85+MOD(N(C85),1)+ROW()/10000000)</f>
        <v/>
      </c>
    </row>
    <row r="86">
      <c r="A86" s="1" t="n"/>
      <c r="B86" s="26" t="n"/>
      <c r="C86" s="27" t="n"/>
      <c r="D86" s="33" t="n"/>
      <c r="E86" s="28" t="n"/>
      <c r="F86" s="28" t="n"/>
      <c r="G86" s="30" t="n"/>
      <c r="H86" s="1" t="n"/>
      <c r="I86">
        <f>IF(OR(B86="",G86&lt;&gt;"",B86&lt;TODAY()),"",B86+MOD(N(C86),1)+ROW()/10000000)</f>
        <v/>
      </c>
    </row>
    <row r="87">
      <c r="A87" s="1" t="n"/>
      <c r="B87" s="26" t="n"/>
      <c r="C87" s="27" t="n"/>
      <c r="D87" s="33" t="n"/>
      <c r="E87" s="28" t="n"/>
      <c r="F87" s="28" t="n"/>
      <c r="G87" s="30" t="n"/>
      <c r="H87" s="1" t="n"/>
      <c r="I87">
        <f>IF(OR(B87="",G87&lt;&gt;"",B87&lt;TODAY()),"",B87+MOD(N(C87),1)+ROW()/10000000)</f>
        <v/>
      </c>
    </row>
    <row r="88">
      <c r="A88" s="1" t="n"/>
      <c r="B88" s="26" t="n"/>
      <c r="C88" s="27" t="n"/>
      <c r="D88" s="33" t="n"/>
      <c r="E88" s="28" t="n"/>
      <c r="F88" s="28" t="n"/>
      <c r="G88" s="30" t="n"/>
      <c r="H88" s="1" t="n"/>
      <c r="I88">
        <f>IF(OR(B88="",G88&lt;&gt;"",B88&lt;TODAY()),"",B88+MOD(N(C88),1)+ROW()/10000000)</f>
        <v/>
      </c>
    </row>
    <row r="89">
      <c r="A89" s="1" t="n"/>
      <c r="B89" s="26" t="n"/>
      <c r="C89" s="27" t="n"/>
      <c r="D89" s="33" t="n"/>
      <c r="E89" s="28" t="n"/>
      <c r="F89" s="28" t="n"/>
      <c r="G89" s="30" t="n"/>
      <c r="H89" s="1" t="n"/>
      <c r="I89">
        <f>IF(OR(B89="",G89&lt;&gt;"",B89&lt;TODAY()),"",B89+MOD(N(C89),1)+ROW()/10000000)</f>
        <v/>
      </c>
    </row>
    <row r="90">
      <c r="A90" s="1" t="n"/>
      <c r="B90" s="26" t="n"/>
      <c r="C90" s="27" t="n"/>
      <c r="D90" s="33" t="n"/>
      <c r="E90" s="28" t="n"/>
      <c r="F90" s="28" t="n"/>
      <c r="G90" s="30" t="n"/>
      <c r="H90" s="1" t="n"/>
      <c r="I90">
        <f>IF(OR(B90="",G90&lt;&gt;"",B90&lt;TODAY()),"",B90+MOD(N(C90),1)+ROW()/10000000)</f>
        <v/>
      </c>
    </row>
    <row r="91">
      <c r="A91" s="1" t="n"/>
      <c r="B91" s="26" t="n"/>
      <c r="C91" s="27" t="n"/>
      <c r="D91" s="33" t="n"/>
      <c r="E91" s="28" t="n"/>
      <c r="F91" s="28" t="n"/>
      <c r="G91" s="30" t="n"/>
      <c r="H91" s="1" t="n"/>
      <c r="I91">
        <f>IF(OR(B91="",G91&lt;&gt;"",B91&lt;TODAY()),"",B91+MOD(N(C91),1)+ROW()/10000000)</f>
        <v/>
      </c>
    </row>
    <row r="92">
      <c r="A92" s="1" t="n"/>
      <c r="B92" s="26" t="n"/>
      <c r="C92" s="27" t="n"/>
      <c r="D92" s="33" t="n"/>
      <c r="E92" s="28" t="n"/>
      <c r="F92" s="28" t="n"/>
      <c r="G92" s="30" t="n"/>
      <c r="H92" s="1" t="n"/>
      <c r="I92">
        <f>IF(OR(B92="",G92&lt;&gt;"",B92&lt;TODAY()),"",B92+MOD(N(C92),1)+ROW()/10000000)</f>
        <v/>
      </c>
    </row>
    <row r="93">
      <c r="A93" s="1" t="n"/>
      <c r="B93" s="26" t="n"/>
      <c r="C93" s="27" t="n"/>
      <c r="D93" s="33" t="n"/>
      <c r="E93" s="28" t="n"/>
      <c r="F93" s="28" t="n"/>
      <c r="G93" s="30" t="n"/>
      <c r="H93" s="1" t="n"/>
      <c r="I93">
        <f>IF(OR(B93="",G93&lt;&gt;"",B93&lt;TODAY()),"",B93+MOD(N(C93),1)+ROW()/10000000)</f>
        <v/>
      </c>
    </row>
    <row r="94">
      <c r="A94" s="1" t="n"/>
      <c r="B94" s="26" t="n"/>
      <c r="C94" s="27" t="n"/>
      <c r="D94" s="33" t="n"/>
      <c r="E94" s="28" t="n"/>
      <c r="F94" s="28" t="n"/>
      <c r="G94" s="30" t="n"/>
      <c r="H94" s="1" t="n"/>
      <c r="I94">
        <f>IF(OR(B94="",G94&lt;&gt;"",B94&lt;TODAY()),"",B94+MOD(N(C94),1)+ROW()/10000000)</f>
        <v/>
      </c>
    </row>
    <row r="95">
      <c r="A95" s="1" t="n"/>
      <c r="B95" s="26" t="n"/>
      <c r="C95" s="27" t="n"/>
      <c r="D95" s="33" t="n"/>
      <c r="E95" s="28" t="n"/>
      <c r="F95" s="28" t="n"/>
      <c r="G95" s="30" t="n"/>
      <c r="H95" s="1" t="n"/>
      <c r="I95">
        <f>IF(OR(B95="",G95&lt;&gt;"",B95&lt;TODAY()),"",B95+MOD(N(C95),1)+ROW()/10000000)</f>
        <v/>
      </c>
    </row>
    <row r="96">
      <c r="A96" s="1" t="n"/>
      <c r="B96" s="26" t="n"/>
      <c r="C96" s="27" t="n"/>
      <c r="D96" s="33" t="n"/>
      <c r="E96" s="28" t="n"/>
      <c r="F96" s="28" t="n"/>
      <c r="G96" s="30" t="n"/>
      <c r="H96" s="1" t="n"/>
      <c r="I96">
        <f>IF(OR(B96="",G96&lt;&gt;"",B96&lt;TODAY()),"",B96+MOD(N(C96),1)+ROW()/10000000)</f>
        <v/>
      </c>
    </row>
    <row r="97">
      <c r="A97" s="1" t="n"/>
      <c r="B97" s="26" t="n"/>
      <c r="C97" s="27" t="n"/>
      <c r="D97" s="33" t="n"/>
      <c r="E97" s="28" t="n"/>
      <c r="F97" s="28" t="n"/>
      <c r="G97" s="30" t="n"/>
      <c r="H97" s="1" t="n"/>
      <c r="I97">
        <f>IF(OR(B97="",G97&lt;&gt;"",B97&lt;TODAY()),"",B97+MOD(N(C97),1)+ROW()/10000000)</f>
        <v/>
      </c>
    </row>
    <row r="98">
      <c r="A98" s="1" t="n"/>
      <c r="B98" s="26" t="n"/>
      <c r="C98" s="27" t="n"/>
      <c r="D98" s="33" t="n"/>
      <c r="E98" s="28" t="n"/>
      <c r="F98" s="28" t="n"/>
      <c r="G98" s="30" t="n"/>
      <c r="H98" s="1" t="n"/>
      <c r="I98">
        <f>IF(OR(B98="",G98&lt;&gt;"",B98&lt;TODAY()),"",B98+MOD(N(C98),1)+ROW()/10000000)</f>
        <v/>
      </c>
    </row>
    <row r="99">
      <c r="A99" s="1" t="n"/>
      <c r="B99" s="26" t="n"/>
      <c r="C99" s="27" t="n"/>
      <c r="D99" s="33" t="n"/>
      <c r="E99" s="28" t="n"/>
      <c r="F99" s="28" t="n"/>
      <c r="G99" s="30" t="n"/>
      <c r="H99" s="1" t="n"/>
      <c r="I99">
        <f>IF(OR(B99="",G99&lt;&gt;"",B99&lt;TODAY()),"",B99+MOD(N(C99),1)+ROW()/10000000)</f>
        <v/>
      </c>
    </row>
    <row r="100">
      <c r="A100" s="1" t="n"/>
      <c r="B100" s="26" t="n"/>
      <c r="C100" s="27" t="n"/>
      <c r="D100" s="33" t="n"/>
      <c r="E100" s="28" t="n"/>
      <c r="F100" s="28" t="n"/>
      <c r="G100" s="30" t="n"/>
      <c r="H100" s="1" t="n"/>
      <c r="I100">
        <f>IF(OR(B100="",G100&lt;&gt;"",B100&lt;TODAY()),"",B100+MOD(N(C100),1)+ROW()/10000000)</f>
        <v/>
      </c>
    </row>
    <row r="101">
      <c r="A101" s="1" t="n"/>
      <c r="B101" s="26" t="n"/>
      <c r="C101" s="27" t="n"/>
      <c r="D101" s="33" t="n"/>
      <c r="E101" s="28" t="n"/>
      <c r="F101" s="28" t="n"/>
      <c r="G101" s="30" t="n"/>
      <c r="H101" s="1" t="n"/>
      <c r="I101">
        <f>IF(OR(B101="",G101&lt;&gt;"",B101&lt;TODAY()),"",B101+MOD(N(C101),1)+ROW()/10000000)</f>
        <v/>
      </c>
    </row>
    <row r="102">
      <c r="A102" s="1" t="n"/>
      <c r="B102" s="26" t="n"/>
      <c r="C102" s="27" t="n"/>
      <c r="D102" s="33" t="n"/>
      <c r="E102" s="28" t="n"/>
      <c r="F102" s="28" t="n"/>
      <c r="G102" s="30" t="n"/>
      <c r="H102" s="1" t="n"/>
      <c r="I102">
        <f>IF(OR(B102="",G102&lt;&gt;"",B102&lt;TODAY()),"",B102+MOD(N(C102),1)+ROW()/10000000)</f>
        <v/>
      </c>
    </row>
    <row r="103">
      <c r="A103" s="1" t="n"/>
      <c r="B103" s="26" t="n"/>
      <c r="C103" s="27" t="n"/>
      <c r="D103" s="33" t="n"/>
      <c r="E103" s="28" t="n"/>
      <c r="F103" s="28" t="n"/>
      <c r="G103" s="30" t="n"/>
      <c r="H103" s="1" t="n"/>
      <c r="I103">
        <f>IF(OR(B103="",G103&lt;&gt;"",B103&lt;TODAY()),"",B103+MOD(N(C103),1)+ROW()/10000000)</f>
        <v/>
      </c>
    </row>
    <row r="104">
      <c r="A104" s="1" t="n"/>
      <c r="B104" s="26" t="n"/>
      <c r="C104" s="27" t="n"/>
      <c r="D104" s="33" t="n"/>
      <c r="E104" s="28" t="n"/>
      <c r="F104" s="28" t="n"/>
      <c r="G104" s="30" t="n"/>
      <c r="H104" s="1" t="n"/>
      <c r="I104">
        <f>IF(OR(B104="",G104&lt;&gt;"",B104&lt;TODAY()),"",B104+MOD(N(C104),1)+ROW()/10000000)</f>
        <v/>
      </c>
    </row>
    <row r="105">
      <c r="A105" s="1" t="n"/>
      <c r="B105" s="26" t="n"/>
      <c r="C105" s="27" t="n"/>
      <c r="D105" s="33" t="n"/>
      <c r="E105" s="28" t="n"/>
      <c r="F105" s="28" t="n"/>
      <c r="G105" s="30" t="n"/>
      <c r="H105" s="1" t="n"/>
      <c r="I105">
        <f>IF(OR(B105="",G105&lt;&gt;"",B105&lt;TODAY()),"",B105+MOD(N(C105),1)+ROW()/10000000)</f>
        <v/>
      </c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</row>
  </sheetData>
  <conditionalFormatting sqref="B6:G105">
    <cfRule type="expression" priority="1" dxfId="1">
      <formula>$G6&lt;&gt;""</formula>
    </cfRule>
    <cfRule type="expression" priority="2" dxfId="0">
      <formula>AND($B6&lt;&gt;"",$G6="",$B6&gt;=TODAY())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3" customWidth="1" min="3" max="3"/>
    <col width="20" customWidth="1" min="4" max="4"/>
    <col width="36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 ht="32" customHeight="1">
      <c r="A2" s="1" t="n"/>
      <c r="B2" s="2" t="inlineStr">
        <is>
          <t>Milestones</t>
        </is>
      </c>
      <c r="C2" s="1" t="n"/>
      <c r="D2" s="1" t="n"/>
      <c r="E2" s="1" t="n"/>
      <c r="F2" s="1" t="n"/>
    </row>
    <row r="3">
      <c r="A3" s="1" t="n"/>
      <c r="B3" s="3" t="inlineStr">
        <is>
          <t>The firsts. Type the date when it happens and the age fills in. Every baby has its own pace.</t>
        </is>
      </c>
      <c r="C3" s="1" t="n"/>
      <c r="D3" s="1" t="n"/>
      <c r="E3" s="1" t="n"/>
      <c r="F3" s="1" t="n"/>
    </row>
    <row r="4">
      <c r="A4" s="1" t="n"/>
      <c r="B4" s="1" t="n"/>
      <c r="C4" s="1" t="n"/>
      <c r="D4" s="1" t="n"/>
      <c r="E4" s="1" t="n"/>
      <c r="F4" s="1" t="n"/>
    </row>
    <row r="5" ht="30" customHeight="1">
      <c r="A5" s="1" t="n"/>
      <c r="B5" s="14" t="inlineStr">
        <is>
          <t>Milestone</t>
        </is>
      </c>
      <c r="C5" s="14" t="inlineStr">
        <is>
          <t>Date</t>
        </is>
      </c>
      <c r="D5" s="14" t="inlineStr">
        <is>
          <t>Age</t>
        </is>
      </c>
      <c r="E5" s="14" t="inlineStr">
        <is>
          <t>Notes</t>
        </is>
      </c>
      <c r="F5" s="1" t="n"/>
    </row>
    <row r="6">
      <c r="A6" s="1" t="n"/>
      <c r="B6" s="33" t="inlineStr">
        <is>
          <t>First smile</t>
        </is>
      </c>
      <c r="C6" s="26" t="n">
        <v>46219</v>
      </c>
      <c r="D6" s="22">
        <f>IF(OR(C6="",Settings!$C$5=""),"",IF((C6-Settings!$C$5)&lt;0,"",INT((C6-Settings!$C$5)/7)&amp;IF(INT((C6-Settings!$C$5)/7)=1," week"," weeks")&amp;IF(MOD((C6-Settings!$C$5),7)=0,""," "&amp;MOD((C6-Settings!$C$5),7)&amp;IF(MOD((C6-Settings!$C$5),7)=1," day"," days"))))</f>
        <v/>
      </c>
      <c r="E6" s="28" t="n"/>
      <c r="F6" s="1" t="n"/>
    </row>
    <row r="7">
      <c r="A7" s="1" t="n"/>
      <c r="B7" s="33" t="inlineStr">
        <is>
          <t>Holds head up</t>
        </is>
      </c>
      <c r="C7" s="26" t="n">
        <v>46248</v>
      </c>
      <c r="D7" s="22">
        <f>IF(OR(C7="",Settings!$C$5=""),"",IF((C7-Settings!$C$5)&lt;0,"",INT((C7-Settings!$C$5)/7)&amp;IF(INT((C7-Settings!$C$5)/7)=1," week"," weeks")&amp;IF(MOD((C7-Settings!$C$5),7)=0,""," "&amp;MOD((C7-Settings!$C$5),7)&amp;IF(MOD((C7-Settings!$C$5),7)=1," day"," days"))))</f>
        <v/>
      </c>
      <c r="E7" s="28" t="n"/>
      <c r="F7" s="1" t="n"/>
    </row>
    <row r="8">
      <c r="A8" s="1" t="n"/>
      <c r="B8" s="33" t="inlineStr">
        <is>
          <t>Laughs</t>
        </is>
      </c>
      <c r="C8" s="26" t="n">
        <v>46277</v>
      </c>
      <c r="D8" s="22">
        <f>IF(OR(C8="",Settings!$C$5=""),"",IF((C8-Settings!$C$5)&lt;0,"",INT((C8-Settings!$C$5)/7)&amp;IF(INT((C8-Settings!$C$5)/7)=1," week"," weeks")&amp;IF(MOD((C8-Settings!$C$5),7)=0,""," "&amp;MOD((C8-Settings!$C$5),7)&amp;IF(MOD((C8-Settings!$C$5),7)=1," day"," days"))))</f>
        <v/>
      </c>
      <c r="E8" s="28" t="n"/>
      <c r="F8" s="1" t="n"/>
    </row>
    <row r="9">
      <c r="A9" s="1" t="n"/>
      <c r="B9" s="33" t="inlineStr">
        <is>
          <t>Rolls over</t>
        </is>
      </c>
      <c r="C9" s="26" t="n"/>
      <c r="D9" s="22">
        <f>IF(OR(C9="",Settings!$C$5=""),"",IF((C9-Settings!$C$5)&lt;0,"",INT((C9-Settings!$C$5)/7)&amp;IF(INT((C9-Settings!$C$5)/7)=1," week"," weeks")&amp;IF(MOD((C9-Settings!$C$5),7)=0,""," "&amp;MOD((C9-Settings!$C$5),7)&amp;IF(MOD((C9-Settings!$C$5),7)=1," day"," days"))))</f>
        <v/>
      </c>
      <c r="E9" s="28" t="n"/>
      <c r="F9" s="1" t="n"/>
    </row>
    <row r="10">
      <c r="A10" s="1" t="n"/>
      <c r="B10" s="33" t="inlineStr">
        <is>
          <t>Reaches for toys</t>
        </is>
      </c>
      <c r="C10" s="26" t="n"/>
      <c r="D10" s="22">
        <f>IF(OR(C10="",Settings!$C$5=""),"",IF((C10-Settings!$C$5)&lt;0,"",INT((C10-Settings!$C$5)/7)&amp;IF(INT((C10-Settings!$C$5)/7)=1," week"," weeks")&amp;IF(MOD((C10-Settings!$C$5),7)=0,""," "&amp;MOD((C10-Settings!$C$5),7)&amp;IF(MOD((C10-Settings!$C$5),7)=1," day"," days"))))</f>
        <v/>
      </c>
      <c r="E10" s="28" t="n"/>
      <c r="F10" s="1" t="n"/>
    </row>
    <row r="11">
      <c r="A11" s="1" t="n"/>
      <c r="B11" s="33" t="inlineStr">
        <is>
          <t>Sits without help</t>
        </is>
      </c>
      <c r="C11" s="26" t="n"/>
      <c r="D11" s="22">
        <f>IF(OR(C11="",Settings!$C$5=""),"",IF((C11-Settings!$C$5)&lt;0,"",INT((C11-Settings!$C$5)/7)&amp;IF(INT((C11-Settings!$C$5)/7)=1," week"," weeks")&amp;IF(MOD((C11-Settings!$C$5),7)=0,""," "&amp;MOD((C11-Settings!$C$5),7)&amp;IF(MOD((C11-Settings!$C$5),7)=1," day"," days"))))</f>
        <v/>
      </c>
      <c r="E11" s="28" t="n"/>
      <c r="F11" s="1" t="n"/>
    </row>
    <row r="12">
      <c r="A12" s="1" t="n"/>
      <c r="B12" s="33" t="inlineStr">
        <is>
          <t>First tooth</t>
        </is>
      </c>
      <c r="C12" s="26" t="n"/>
      <c r="D12" s="22">
        <f>IF(OR(C12="",Settings!$C$5=""),"",IF((C12-Settings!$C$5)&lt;0,"",INT((C12-Settings!$C$5)/7)&amp;IF(INT((C12-Settings!$C$5)/7)=1," week"," weeks")&amp;IF(MOD((C12-Settings!$C$5),7)=0,""," "&amp;MOD((C12-Settings!$C$5),7)&amp;IF(MOD((C12-Settings!$C$5),7)=1," day"," days"))))</f>
        <v/>
      </c>
      <c r="E12" s="28" t="n"/>
      <c r="F12" s="1" t="n"/>
    </row>
    <row r="13">
      <c r="A13" s="1" t="n"/>
      <c r="B13" s="33" t="inlineStr">
        <is>
          <t>Crawls</t>
        </is>
      </c>
      <c r="C13" s="26" t="n"/>
      <c r="D13" s="22">
        <f>IF(OR(C13="",Settings!$C$5=""),"",IF((C13-Settings!$C$5)&lt;0,"",INT((C13-Settings!$C$5)/7)&amp;IF(INT((C13-Settings!$C$5)/7)=1," week"," weeks")&amp;IF(MOD((C13-Settings!$C$5),7)=0,""," "&amp;MOD((C13-Settings!$C$5),7)&amp;IF(MOD((C13-Settings!$C$5),7)=1," day"," days"))))</f>
        <v/>
      </c>
      <c r="E13" s="28" t="n"/>
      <c r="F13" s="1" t="n"/>
    </row>
    <row r="14">
      <c r="A14" s="1" t="n"/>
      <c r="B14" s="33" t="inlineStr">
        <is>
          <t>First word</t>
        </is>
      </c>
      <c r="C14" s="26" t="n"/>
      <c r="D14" s="22">
        <f>IF(OR(C14="",Settings!$C$5=""),"",IF((C14-Settings!$C$5)&lt;0,"",INT((C14-Settings!$C$5)/7)&amp;IF(INT((C14-Settings!$C$5)/7)=1," week"," weeks")&amp;IF(MOD((C14-Settings!$C$5),7)=0,""," "&amp;MOD((C14-Settings!$C$5),7)&amp;IF(MOD((C14-Settings!$C$5),7)=1," day"," days"))))</f>
        <v/>
      </c>
      <c r="E14" s="28" t="n"/>
      <c r="F14" s="1" t="n"/>
    </row>
    <row r="15">
      <c r="A15" s="1" t="n"/>
      <c r="B15" s="33" t="inlineStr">
        <is>
          <t>Pulls up to stand</t>
        </is>
      </c>
      <c r="C15" s="26" t="n"/>
      <c r="D15" s="22">
        <f>IF(OR(C15="",Settings!$C$5=""),"",IF((C15-Settings!$C$5)&lt;0,"",INT((C15-Settings!$C$5)/7)&amp;IF(INT((C15-Settings!$C$5)/7)=1," week"," weeks")&amp;IF(MOD((C15-Settings!$C$5),7)=0,""," "&amp;MOD((C15-Settings!$C$5),7)&amp;IF(MOD((C15-Settings!$C$5),7)=1," day"," days"))))</f>
        <v/>
      </c>
      <c r="E15" s="28" t="n"/>
      <c r="F15" s="1" t="n"/>
    </row>
    <row r="16">
      <c r="A16" s="1" t="n"/>
      <c r="B16" s="33" t="inlineStr">
        <is>
          <t>First steps</t>
        </is>
      </c>
      <c r="C16" s="26" t="n"/>
      <c r="D16" s="22">
        <f>IF(OR(C16="",Settings!$C$5=""),"",IF((C16-Settings!$C$5)&lt;0,"",INT((C16-Settings!$C$5)/7)&amp;IF(INT((C16-Settings!$C$5)/7)=1," week"," weeks")&amp;IF(MOD((C16-Settings!$C$5),7)=0,""," "&amp;MOD((C16-Settings!$C$5),7)&amp;IF(MOD((C16-Settings!$C$5),7)=1," day"," days"))))</f>
        <v/>
      </c>
      <c r="E16" s="28" t="n"/>
      <c r="F16" s="1" t="n"/>
    </row>
    <row r="17">
      <c r="A17" s="1" t="n"/>
      <c r="B17" s="33" t="n"/>
      <c r="C17" s="26" t="n"/>
      <c r="D17" s="22">
        <f>IF(OR(C17="",Settings!$C$5=""),"",IF((C17-Settings!$C$5)&lt;0,"",INT((C17-Settings!$C$5)/7)&amp;IF(INT((C17-Settings!$C$5)/7)=1," week"," weeks")&amp;IF(MOD((C17-Settings!$C$5),7)=0,""," "&amp;MOD((C17-Settings!$C$5),7)&amp;IF(MOD((C17-Settings!$C$5),7)=1," day"," days"))))</f>
        <v/>
      </c>
      <c r="E17" s="28" t="n"/>
      <c r="F17" s="1" t="n"/>
    </row>
    <row r="18">
      <c r="A18" s="1" t="n"/>
      <c r="B18" s="33" t="n"/>
      <c r="C18" s="26" t="n"/>
      <c r="D18" s="22">
        <f>IF(OR(C18="",Settings!$C$5=""),"",IF((C18-Settings!$C$5)&lt;0,"",INT((C18-Settings!$C$5)/7)&amp;IF(INT((C18-Settings!$C$5)/7)=1," week"," weeks")&amp;IF(MOD((C18-Settings!$C$5),7)=0,""," "&amp;MOD((C18-Settings!$C$5),7)&amp;IF(MOD((C18-Settings!$C$5),7)=1," day"," days"))))</f>
        <v/>
      </c>
      <c r="E18" s="28" t="n"/>
      <c r="F18" s="1" t="n"/>
    </row>
    <row r="19">
      <c r="A19" s="1" t="n"/>
      <c r="B19" s="33" t="n"/>
      <c r="C19" s="26" t="n"/>
      <c r="D19" s="22">
        <f>IF(OR(C19="",Settings!$C$5=""),"",IF((C19-Settings!$C$5)&lt;0,"",INT((C19-Settings!$C$5)/7)&amp;IF(INT((C19-Settings!$C$5)/7)=1," week"," weeks")&amp;IF(MOD((C19-Settings!$C$5),7)=0,""," "&amp;MOD((C19-Settings!$C$5),7)&amp;IF(MOD((C19-Settings!$C$5),7)=1," day"," days"))))</f>
        <v/>
      </c>
      <c r="E19" s="28" t="n"/>
      <c r="F19" s="1" t="n"/>
    </row>
    <row r="20">
      <c r="A20" s="1" t="n"/>
      <c r="B20" s="33" t="n"/>
      <c r="C20" s="26" t="n"/>
      <c r="D20" s="22">
        <f>IF(OR(C20="",Settings!$C$5=""),"",IF((C20-Settings!$C$5)&lt;0,"",INT((C20-Settings!$C$5)/7)&amp;IF(INT((C20-Settings!$C$5)/7)=1," week"," weeks")&amp;IF(MOD((C20-Settings!$C$5),7)=0,""," "&amp;MOD((C20-Settings!$C$5),7)&amp;IF(MOD((C20-Settings!$C$5),7)=1," day"," days"))))</f>
        <v/>
      </c>
      <c r="E20" s="28" t="n"/>
      <c r="F20" s="1" t="n"/>
    </row>
    <row r="21">
      <c r="A21" s="1" t="n"/>
      <c r="B21" s="33" t="n"/>
      <c r="C21" s="26" t="n"/>
      <c r="D21" s="22">
        <f>IF(OR(C21="",Settings!$C$5=""),"",IF((C21-Settings!$C$5)&lt;0,"",INT((C21-Settings!$C$5)/7)&amp;IF(INT((C21-Settings!$C$5)/7)=1," week"," weeks")&amp;IF(MOD((C21-Settings!$C$5),7)=0,""," "&amp;MOD((C21-Settings!$C$5),7)&amp;IF(MOD((C21-Settings!$C$5),7)=1," day"," days"))))</f>
        <v/>
      </c>
      <c r="E21" s="28" t="n"/>
      <c r="F21" s="1" t="n"/>
    </row>
    <row r="22">
      <c r="A22" s="1" t="n"/>
      <c r="B22" s="33" t="n"/>
      <c r="C22" s="26" t="n"/>
      <c r="D22" s="22">
        <f>IF(OR(C22="",Settings!$C$5=""),"",IF((C22-Settings!$C$5)&lt;0,"",INT((C22-Settings!$C$5)/7)&amp;IF(INT((C22-Settings!$C$5)/7)=1," week"," weeks")&amp;IF(MOD((C22-Settings!$C$5),7)=0,""," "&amp;MOD((C22-Settings!$C$5),7)&amp;IF(MOD((C22-Settings!$C$5),7)=1," day"," days"))))</f>
        <v/>
      </c>
      <c r="E22" s="28" t="n"/>
      <c r="F22" s="1" t="n"/>
    </row>
    <row r="23">
      <c r="A23" s="1" t="n"/>
      <c r="B23" s="33" t="n"/>
      <c r="C23" s="26" t="n"/>
      <c r="D23" s="22">
        <f>IF(OR(C23="",Settings!$C$5=""),"",IF((C23-Settings!$C$5)&lt;0,"",INT((C23-Settings!$C$5)/7)&amp;IF(INT((C23-Settings!$C$5)/7)=1," week"," weeks")&amp;IF(MOD((C23-Settings!$C$5),7)=0,""," "&amp;MOD((C23-Settings!$C$5),7)&amp;IF(MOD((C23-Settings!$C$5),7)=1," day"," days"))))</f>
        <v/>
      </c>
      <c r="E23" s="28" t="n"/>
      <c r="F23" s="1" t="n"/>
    </row>
    <row r="24">
      <c r="A24" s="1" t="n"/>
      <c r="B24" s="33" t="n"/>
      <c r="C24" s="26" t="n"/>
      <c r="D24" s="22">
        <f>IF(OR(C24="",Settings!$C$5=""),"",IF((C24-Settings!$C$5)&lt;0,"",INT((C24-Settings!$C$5)/7)&amp;IF(INT((C24-Settings!$C$5)/7)=1," week"," weeks")&amp;IF(MOD((C24-Settings!$C$5),7)=0,""," "&amp;MOD((C24-Settings!$C$5),7)&amp;IF(MOD((C24-Settings!$C$5),7)=1," day"," days"))))</f>
        <v/>
      </c>
      <c r="E24" s="28" t="n"/>
      <c r="F24" s="1" t="n"/>
    </row>
    <row r="25">
      <c r="A25" s="1" t="n"/>
      <c r="B25" s="33" t="n"/>
      <c r="C25" s="26" t="n"/>
      <c r="D25" s="22">
        <f>IF(OR(C25="",Settings!$C$5=""),"",IF((C25-Settings!$C$5)&lt;0,"",INT((C25-Settings!$C$5)/7)&amp;IF(INT((C25-Settings!$C$5)/7)=1," week"," weeks")&amp;IF(MOD((C25-Settings!$C$5),7)=0,""," "&amp;MOD((C25-Settings!$C$5),7)&amp;IF(MOD((C25-Settings!$C$5),7)=1," day"," days"))))</f>
        <v/>
      </c>
      <c r="E25" s="28" t="n"/>
      <c r="F25" s="1" t="n"/>
    </row>
    <row r="26">
      <c r="A26" s="1" t="n"/>
      <c r="B26" s="33" t="n"/>
      <c r="C26" s="26" t="n"/>
      <c r="D26" s="22">
        <f>IF(OR(C26="",Settings!$C$5=""),"",IF((C26-Settings!$C$5)&lt;0,"",INT((C26-Settings!$C$5)/7)&amp;IF(INT((C26-Settings!$C$5)/7)=1," week"," weeks")&amp;IF(MOD((C26-Settings!$C$5),7)=0,""," "&amp;MOD((C26-Settings!$C$5),7)&amp;IF(MOD((C26-Settings!$C$5),7)=1," day"," days"))))</f>
        <v/>
      </c>
      <c r="E26" s="28" t="n"/>
      <c r="F26" s="1" t="n"/>
    </row>
    <row r="27">
      <c r="A27" s="1" t="n"/>
      <c r="B27" s="33" t="n"/>
      <c r="C27" s="26" t="n"/>
      <c r="D27" s="22">
        <f>IF(OR(C27="",Settings!$C$5=""),"",IF((C27-Settings!$C$5)&lt;0,"",INT((C27-Settings!$C$5)/7)&amp;IF(INT((C27-Settings!$C$5)/7)=1," week"," weeks")&amp;IF(MOD((C27-Settings!$C$5),7)=0,""," "&amp;MOD((C27-Settings!$C$5),7)&amp;IF(MOD((C27-Settings!$C$5),7)=1," day"," days"))))</f>
        <v/>
      </c>
      <c r="E27" s="28" t="n"/>
      <c r="F27" s="1" t="n"/>
    </row>
    <row r="28">
      <c r="A28" s="1" t="n"/>
      <c r="B28" s="33" t="n"/>
      <c r="C28" s="26" t="n"/>
      <c r="D28" s="22">
        <f>IF(OR(C28="",Settings!$C$5=""),"",IF((C28-Settings!$C$5)&lt;0,"",INT((C28-Settings!$C$5)/7)&amp;IF(INT((C28-Settings!$C$5)/7)=1," week"," weeks")&amp;IF(MOD((C28-Settings!$C$5),7)=0,""," "&amp;MOD((C28-Settings!$C$5),7)&amp;IF(MOD((C28-Settings!$C$5),7)=1," day"," days"))))</f>
        <v/>
      </c>
      <c r="E28" s="28" t="n"/>
      <c r="F28" s="1" t="n"/>
    </row>
    <row r="29">
      <c r="A29" s="1" t="n"/>
      <c r="B29" s="33" t="n"/>
      <c r="C29" s="26" t="n"/>
      <c r="D29" s="22">
        <f>IF(OR(C29="",Settings!$C$5=""),"",IF((C29-Settings!$C$5)&lt;0,"",INT((C29-Settings!$C$5)/7)&amp;IF(INT((C29-Settings!$C$5)/7)=1," week"," weeks")&amp;IF(MOD((C29-Settings!$C$5),7)=0,""," "&amp;MOD((C29-Settings!$C$5),7)&amp;IF(MOD((C29-Settings!$C$5),7)=1," day"," days"))))</f>
        <v/>
      </c>
      <c r="E29" s="28" t="n"/>
      <c r="F29" s="1" t="n"/>
    </row>
    <row r="30">
      <c r="A30" s="1" t="n"/>
      <c r="B30" s="33" t="n"/>
      <c r="C30" s="26" t="n"/>
      <c r="D30" s="22">
        <f>IF(OR(C30="",Settings!$C$5=""),"",IF((C30-Settings!$C$5)&lt;0,"",INT((C30-Settings!$C$5)/7)&amp;IF(INT((C30-Settings!$C$5)/7)=1," week"," weeks")&amp;IF(MOD((C30-Settings!$C$5),7)=0,""," "&amp;MOD((C30-Settings!$C$5),7)&amp;IF(MOD((C30-Settings!$C$5),7)=1," day"," days"))))</f>
        <v/>
      </c>
      <c r="E30" s="28" t="n"/>
      <c r="F30" s="1" t="n"/>
    </row>
    <row r="31">
      <c r="A31" s="1" t="n"/>
      <c r="B31" s="33" t="n"/>
      <c r="C31" s="26" t="n"/>
      <c r="D31" s="22">
        <f>IF(OR(C31="",Settings!$C$5=""),"",IF((C31-Settings!$C$5)&lt;0,"",INT((C31-Settings!$C$5)/7)&amp;IF(INT((C31-Settings!$C$5)/7)=1," week"," weeks")&amp;IF(MOD((C31-Settings!$C$5),7)=0,""," "&amp;MOD((C31-Settings!$C$5),7)&amp;IF(MOD((C31-Settings!$C$5),7)=1," day"," days"))))</f>
        <v/>
      </c>
      <c r="E31" s="28" t="n"/>
      <c r="F31" s="1" t="n"/>
    </row>
    <row r="32">
      <c r="A32" s="1" t="n"/>
      <c r="B32" s="33" t="n"/>
      <c r="C32" s="26" t="n"/>
      <c r="D32" s="22">
        <f>IF(OR(C32="",Settings!$C$5=""),"",IF((C32-Settings!$C$5)&lt;0,"",INT((C32-Settings!$C$5)/7)&amp;IF(INT((C32-Settings!$C$5)/7)=1," week"," weeks")&amp;IF(MOD((C32-Settings!$C$5),7)=0,""," "&amp;MOD((C32-Settings!$C$5),7)&amp;IF(MOD((C32-Settings!$C$5),7)=1," day"," days"))))</f>
        <v/>
      </c>
      <c r="E32" s="28" t="n"/>
      <c r="F32" s="1" t="n"/>
    </row>
    <row r="33">
      <c r="A33" s="1" t="n"/>
      <c r="B33" s="33" t="n"/>
      <c r="C33" s="26" t="n"/>
      <c r="D33" s="22">
        <f>IF(OR(C33="",Settings!$C$5=""),"",IF((C33-Settings!$C$5)&lt;0,"",INT((C33-Settings!$C$5)/7)&amp;IF(INT((C33-Settings!$C$5)/7)=1," week"," weeks")&amp;IF(MOD((C33-Settings!$C$5),7)=0,""," "&amp;MOD((C33-Settings!$C$5),7)&amp;IF(MOD((C33-Settings!$C$5),7)=1," day"," days"))))</f>
        <v/>
      </c>
      <c r="E33" s="28" t="n"/>
      <c r="F33" s="1" t="n"/>
    </row>
    <row r="34">
      <c r="A34" s="1" t="n"/>
      <c r="B34" s="33" t="n"/>
      <c r="C34" s="26" t="n"/>
      <c r="D34" s="22">
        <f>IF(OR(C34="",Settings!$C$5=""),"",IF((C34-Settings!$C$5)&lt;0,"",INT((C34-Settings!$C$5)/7)&amp;IF(INT((C34-Settings!$C$5)/7)=1," week"," weeks")&amp;IF(MOD((C34-Settings!$C$5),7)=0,""," "&amp;MOD((C34-Settings!$C$5),7)&amp;IF(MOD((C34-Settings!$C$5),7)=1," day"," days"))))</f>
        <v/>
      </c>
      <c r="E34" s="28" t="n"/>
      <c r="F34" s="1" t="n"/>
    </row>
    <row r="35">
      <c r="A35" s="1" t="n"/>
      <c r="B35" s="33" t="n"/>
      <c r="C35" s="26" t="n"/>
      <c r="D35" s="22">
        <f>IF(OR(C35="",Settings!$C$5=""),"",IF((C35-Settings!$C$5)&lt;0,"",INT((C35-Settings!$C$5)/7)&amp;IF(INT((C35-Settings!$C$5)/7)=1," week"," weeks")&amp;IF(MOD((C35-Settings!$C$5),7)=0,""," "&amp;MOD((C35-Settings!$C$5),7)&amp;IF(MOD((C35-Settings!$C$5),7)=1," day"," days"))))</f>
        <v/>
      </c>
      <c r="E35" s="28" t="n"/>
      <c r="F35" s="1" t="n"/>
    </row>
    <row r="36">
      <c r="A36" s="1" t="n"/>
      <c r="B36" s="33" t="n"/>
      <c r="C36" s="26" t="n"/>
      <c r="D36" s="22">
        <f>IF(OR(C36="",Settings!$C$5=""),"",IF((C36-Settings!$C$5)&lt;0,"",INT((C36-Settings!$C$5)/7)&amp;IF(INT((C36-Settings!$C$5)/7)=1," week"," weeks")&amp;IF(MOD((C36-Settings!$C$5),7)=0,""," "&amp;MOD((C36-Settings!$C$5),7)&amp;IF(MOD((C36-Settings!$C$5),7)=1," day"," days"))))</f>
        <v/>
      </c>
      <c r="E36" s="28" t="n"/>
      <c r="F36" s="1" t="n"/>
    </row>
    <row r="37">
      <c r="A37" s="1" t="n"/>
      <c r="B37" s="33" t="n"/>
      <c r="C37" s="26" t="n"/>
      <c r="D37" s="22">
        <f>IF(OR(C37="",Settings!$C$5=""),"",IF((C37-Settings!$C$5)&lt;0,"",INT((C37-Settings!$C$5)/7)&amp;IF(INT((C37-Settings!$C$5)/7)=1," week"," weeks")&amp;IF(MOD((C37-Settings!$C$5),7)=0,""," "&amp;MOD((C37-Settings!$C$5),7)&amp;IF(MOD((C37-Settings!$C$5),7)=1," day"," days"))))</f>
        <v/>
      </c>
      <c r="E37" s="28" t="n"/>
      <c r="F37" s="1" t="n"/>
    </row>
    <row r="38">
      <c r="A38" s="1" t="n"/>
      <c r="B38" s="33" t="n"/>
      <c r="C38" s="26" t="n"/>
      <c r="D38" s="22">
        <f>IF(OR(C38="",Settings!$C$5=""),"",IF((C38-Settings!$C$5)&lt;0,"",INT((C38-Settings!$C$5)/7)&amp;IF(INT((C38-Settings!$C$5)/7)=1," week"," weeks")&amp;IF(MOD((C38-Settings!$C$5),7)=0,""," "&amp;MOD((C38-Settings!$C$5),7)&amp;IF(MOD((C38-Settings!$C$5),7)=1," day"," days"))))</f>
        <v/>
      </c>
      <c r="E38" s="28" t="n"/>
      <c r="F38" s="1" t="n"/>
    </row>
    <row r="39">
      <c r="A39" s="1" t="n"/>
      <c r="B39" s="33" t="n"/>
      <c r="C39" s="26" t="n"/>
      <c r="D39" s="22">
        <f>IF(OR(C39="",Settings!$C$5=""),"",IF((C39-Settings!$C$5)&lt;0,"",INT((C39-Settings!$C$5)/7)&amp;IF(INT((C39-Settings!$C$5)/7)=1," week"," weeks")&amp;IF(MOD((C39-Settings!$C$5),7)=0,""," "&amp;MOD((C39-Settings!$C$5),7)&amp;IF(MOD((C39-Settings!$C$5),7)=1," day"," days"))))</f>
        <v/>
      </c>
      <c r="E39" s="28" t="n"/>
      <c r="F39" s="1" t="n"/>
    </row>
    <row r="40">
      <c r="A40" s="1" t="n"/>
      <c r="B40" s="33" t="n"/>
      <c r="C40" s="26" t="n"/>
      <c r="D40" s="22">
        <f>IF(OR(C40="",Settings!$C$5=""),"",IF((C40-Settings!$C$5)&lt;0,"",INT((C40-Settings!$C$5)/7)&amp;IF(INT((C40-Settings!$C$5)/7)=1," week"," weeks")&amp;IF(MOD((C40-Settings!$C$5),7)=0,""," "&amp;MOD((C40-Settings!$C$5),7)&amp;IF(MOD((C40-Settings!$C$5),7)=1," day"," days"))))</f>
        <v/>
      </c>
      <c r="E40" s="28" t="n"/>
      <c r="F40" s="1" t="n"/>
    </row>
    <row r="41">
      <c r="A41" s="1" t="n"/>
      <c r="B41" s="33" t="n"/>
      <c r="C41" s="26" t="n"/>
      <c r="D41" s="22">
        <f>IF(OR(C41="",Settings!$C$5=""),"",IF((C41-Settings!$C$5)&lt;0,"",INT((C41-Settings!$C$5)/7)&amp;IF(INT((C41-Settings!$C$5)/7)=1," week"," weeks")&amp;IF(MOD((C41-Settings!$C$5),7)=0,""," "&amp;MOD((C41-Settings!$C$5),7)&amp;IF(MOD((C41-Settings!$C$5),7)=1," day"," days"))))</f>
        <v/>
      </c>
      <c r="E41" s="28" t="n"/>
      <c r="F41" s="1" t="n"/>
    </row>
    <row r="42">
      <c r="A42" s="1" t="n"/>
      <c r="B42" s="33" t="n"/>
      <c r="C42" s="26" t="n"/>
      <c r="D42" s="22">
        <f>IF(OR(C42="",Settings!$C$5=""),"",IF((C42-Settings!$C$5)&lt;0,"",INT((C42-Settings!$C$5)/7)&amp;IF(INT((C42-Settings!$C$5)/7)=1," week"," weeks")&amp;IF(MOD((C42-Settings!$C$5),7)=0,""," "&amp;MOD((C42-Settings!$C$5),7)&amp;IF(MOD((C42-Settings!$C$5),7)=1," day"," days"))))</f>
        <v/>
      </c>
      <c r="E42" s="28" t="n"/>
      <c r="F42" s="1" t="n"/>
    </row>
    <row r="43">
      <c r="A43" s="1" t="n"/>
      <c r="B43" s="33" t="n"/>
      <c r="C43" s="26" t="n"/>
      <c r="D43" s="22">
        <f>IF(OR(C43="",Settings!$C$5=""),"",IF((C43-Settings!$C$5)&lt;0,"",INT((C43-Settings!$C$5)/7)&amp;IF(INT((C43-Settings!$C$5)/7)=1," week"," weeks")&amp;IF(MOD((C43-Settings!$C$5),7)=0,""," "&amp;MOD((C43-Settings!$C$5),7)&amp;IF(MOD((C43-Settings!$C$5),7)=1," day"," days"))))</f>
        <v/>
      </c>
      <c r="E43" s="28" t="n"/>
      <c r="F43" s="1" t="n"/>
    </row>
    <row r="44">
      <c r="A44" s="1" t="n"/>
      <c r="B44" s="33" t="n"/>
      <c r="C44" s="26" t="n"/>
      <c r="D44" s="22">
        <f>IF(OR(C44="",Settings!$C$5=""),"",IF((C44-Settings!$C$5)&lt;0,"",INT((C44-Settings!$C$5)/7)&amp;IF(INT((C44-Settings!$C$5)/7)=1," week"," weeks")&amp;IF(MOD((C44-Settings!$C$5),7)=0,""," "&amp;MOD((C44-Settings!$C$5),7)&amp;IF(MOD((C44-Settings!$C$5),7)=1," day"," days"))))</f>
        <v/>
      </c>
      <c r="E44" s="28" t="n"/>
      <c r="F44" s="1" t="n"/>
    </row>
    <row r="45">
      <c r="A45" s="1" t="n"/>
      <c r="B45" s="33" t="n"/>
      <c r="C45" s="26" t="n"/>
      <c r="D45" s="22">
        <f>IF(OR(C45="",Settings!$C$5=""),"",IF((C45-Settings!$C$5)&lt;0,"",INT((C45-Settings!$C$5)/7)&amp;IF(INT((C45-Settings!$C$5)/7)=1," week"," weeks")&amp;IF(MOD((C45-Settings!$C$5),7)=0,""," "&amp;MOD((C45-Settings!$C$5),7)&amp;IF(MOD((C45-Settings!$C$5),7)=1," day"," days"))))</f>
        <v/>
      </c>
      <c r="E45" s="28" t="n"/>
      <c r="F45" s="1" t="n"/>
    </row>
    <row r="46">
      <c r="A46" s="1" t="n"/>
      <c r="B46" s="1" t="n"/>
      <c r="C46" s="1" t="n"/>
      <c r="D46" s="1" t="n"/>
      <c r="E46" s="1" t="n"/>
      <c r="F46" s="1" t="n"/>
    </row>
  </sheetData>
  <conditionalFormatting sqref="B6:E45">
    <cfRule type="expression" priority="1" dxfId="2">
      <formula>$C6&lt;&gt;""</formula>
    </cfRule>
  </conditionalFormatting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6" customWidth="1" min="3" max="3"/>
    <col width="4" customWidth="1" min="4" max="4"/>
    <col width="60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 ht="32" customHeight="1">
      <c r="A2" s="1" t="n"/>
      <c r="B2" s="2" t="inlineStr">
        <is>
          <t>Settings</t>
        </is>
      </c>
      <c r="C2" s="1" t="n"/>
      <c r="D2" s="1" t="n"/>
      <c r="E2" s="1" t="n"/>
      <c r="F2" s="1" t="n"/>
    </row>
    <row r="3">
      <c r="A3" s="1" t="n"/>
      <c r="B3" s="3" t="inlineStr">
        <is>
          <t>The baby's name and birthday, and the units you use.</t>
        </is>
      </c>
      <c r="C3" s="1" t="n"/>
      <c r="D3" s="1" t="n"/>
      <c r="E3" s="1" t="n"/>
      <c r="F3" s="1" t="n"/>
    </row>
    <row r="4">
      <c r="A4" s="1" t="n"/>
      <c r="B4" s="4" t="inlineStr">
        <is>
          <t>Name</t>
        </is>
      </c>
      <c r="C4" s="34" t="inlineStr">
        <is>
          <t>Ella</t>
        </is>
      </c>
      <c r="D4" s="1" t="n"/>
      <c r="E4" s="35" t="inlineStr">
        <is>
          <t>The ages on the other tabs count from the birthday.</t>
        </is>
      </c>
      <c r="F4" s="1" t="n"/>
    </row>
    <row r="5">
      <c r="A5" s="1" t="n"/>
      <c r="B5" s="4" t="inlineStr">
        <is>
          <t>Birthday</t>
        </is>
      </c>
      <c r="C5" s="5" t="n">
        <v>46178</v>
      </c>
      <c r="D5" s="1" t="n"/>
      <c r="E5" s="1" t="n"/>
      <c r="F5" s="1" t="n"/>
    </row>
    <row r="6">
      <c r="A6" s="1" t="n"/>
      <c r="B6" s="4" t="inlineStr">
        <is>
          <t>Milk in</t>
        </is>
      </c>
      <c r="C6" s="34" t="inlineStr">
        <is>
          <t>ml</t>
        </is>
      </c>
      <c r="D6" s="1" t="n"/>
      <c r="E6" s="1" t="n"/>
      <c r="F6" s="1" t="n"/>
    </row>
    <row r="7">
      <c r="A7" s="1" t="n"/>
      <c r="B7" s="4" t="inlineStr">
        <is>
          <t>Weight in</t>
        </is>
      </c>
      <c r="C7" s="34" t="inlineStr">
        <is>
          <t>kg</t>
        </is>
      </c>
      <c r="D7" s="1" t="n"/>
      <c r="E7" s="1" t="n"/>
      <c r="F7" s="1" t="n"/>
    </row>
    <row r="8">
      <c r="A8" s="1" t="n"/>
      <c r="B8" s="4" t="inlineStr">
        <is>
          <t>Length in</t>
        </is>
      </c>
      <c r="C8" s="34" t="inlineStr">
        <is>
          <t>cm</t>
        </is>
      </c>
      <c r="D8" s="1" t="n"/>
      <c r="E8" s="1" t="n"/>
      <c r="F8" s="1" t="n"/>
    </row>
    <row r="9">
      <c r="A9" s="1" t="n"/>
      <c r="B9" s="1" t="n"/>
      <c r="C9" s="1" t="n"/>
      <c r="D9" s="1" t="n"/>
      <c r="E9" s="1" t="n"/>
      <c r="F9" s="1" t="n"/>
    </row>
    <row r="10">
      <c r="A10" s="1" t="n"/>
      <c r="B10" s="1" t="n"/>
      <c r="C10" s="1" t="n"/>
      <c r="D10" s="1" t="n"/>
      <c r="E10" s="1" t="n"/>
      <c r="F10" s="1" t="n"/>
    </row>
    <row r="11">
      <c r="A11" s="1" t="n"/>
      <c r="B11" s="1" t="n"/>
      <c r="C11" s="1" t="n"/>
      <c r="D11" s="1" t="n"/>
      <c r="E11" s="1" t="n"/>
      <c r="F11" s="1" t="n"/>
    </row>
    <row r="12">
      <c r="A12" s="1" t="n"/>
      <c r="B12" s="1" t="n"/>
      <c r="C12" s="1" t="n"/>
      <c r="D12" s="1" t="n"/>
      <c r="E12" s="1" t="n"/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</sheetData>
  <dataValidations count="3">
    <dataValidation sqref="C6" showDropDown="0" showInputMessage="0" showErrorMessage="1" allowBlank="1" type="list">
      <formula1>"ml,oz"</formula1>
    </dataValidation>
    <dataValidation sqref="C7" showDropDown="0" showInputMessage="0" showErrorMessage="1" allowBlank="1" type="list">
      <formula1>"kg,lb"</formula1>
    </dataValidation>
    <dataValidation sqref="C8" showDropDown="0" showInputMessage="0" showErrorMessage="1" allowBlank="1" type="list">
      <formula1>"cm,in"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6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 Everything else is calculated.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36" t="inlineStr">
        <is>
          <t>1</t>
        </is>
      </c>
      <c r="C5" s="37" t="inlineStr">
        <is>
          <t>Settings: the baby's name and birthday, and your units.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36" t="inlineStr">
        <is>
          <t>2</t>
        </is>
      </c>
      <c r="C7" s="37" t="inlineStr">
        <is>
          <t>Feeds, Sleep and Nappies: one line each time, with the date and the time.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36" t="inlineStr">
        <is>
          <t>3</t>
        </is>
      </c>
      <c r="C9" s="37" t="inlineStr">
        <is>
          <t>Growth: each time the baby is weighed or measured. The weight chart follows.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36" t="inlineStr">
        <is>
          <t>4</t>
        </is>
      </c>
      <c r="C11" s="37" t="inlineStr">
        <is>
          <t>Appointments and Milestones: checks and vaccines as they are booked, and the firsts as they come.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36" t="inlineStr">
        <is>
          <t>5</t>
        </is>
      </c>
      <c r="C13" s="37" t="inlineStr">
        <is>
          <t>Dashboard: the day you pick, or today, and the seven days before it.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3" t="inlineStr">
        <is>
          <t>This is a log. It does not give medical advice: for any question about feeding, sleep or growth, ask your midwife, health visitor or doctor.</t>
        </is>
      </c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The example baby and her days are made up. Delete them and start with yours.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Works in Google Sheets and Microsoft Excel. The Google Sheets app makes it quick to add a feed at night.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2026-09-28T16:54:09Z</dcterms:created>
  <dcterms:modified xsi:type="dcterms:W3CDTF">2026-09-28T16:54:16Z</dcterms:modified>
</cp:coreProperties>
</file>