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Products" sheetId="2" state="visible" r:id="rId2"/>
    <sheet name="Settings" sheetId="3" state="visible" r:id="rId3"/>
    <sheet name="Start He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-#,##0.00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5525A"/>
      <sz val="11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6B7B80"/>
      <sz val="10"/>
    </font>
    <font>
      <name val="Arial"/>
      <i val="1"/>
      <color rgb="006B7B80"/>
      <sz val="9"/>
    </font>
    <font>
      <name val="Arial"/>
      <b val="1"/>
      <color rgb="001E2A2F"/>
      <sz val="12"/>
    </font>
    <font>
      <name val="Arial"/>
      <b val="1"/>
      <color rgb="001F6F78"/>
      <sz val="22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8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4" fontId="6" fillId="3" borderId="1" pivotButton="0" quotePrefix="0" xfId="0"/>
    <xf numFmtId="0" fontId="6" fillId="2" borderId="1" pivotButton="0" quotePrefix="0" xfId="0"/>
    <xf numFmtId="4" fontId="6" fillId="2" borderId="1" pivotButton="0" quotePrefix="0" xfId="0"/>
    <xf numFmtId="164" fontId="6" fillId="2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4" fontId="4" fillId="2" borderId="1" pivotButton="0" quotePrefix="0" xfId="0"/>
    <xf numFmtId="164" fontId="4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10" fillId="2" borderId="1" applyAlignment="1" pivotButton="0" quotePrefix="0" xfId="0">
      <alignment vertical="center" wrapText="1"/>
    </xf>
    <xf numFmtId="0" fontId="0" fillId="0" borderId="1" pivotButton="0" quotePrefix="0" xfId="0"/>
    <xf numFmtId="165" fontId="6" fillId="2" borderId="1" pivotButton="0" quotePrefix="0" xfId="0"/>
    <xf numFmtId="165" fontId="4" fillId="2" borderId="1" pivotButton="0" quotePrefix="0" xfId="0"/>
    <xf numFmtId="0" fontId="3" fillId="2" borderId="0" pivotButton="0" quotePrefix="0" xfId="0"/>
    <xf numFmtId="9" fontId="4" fillId="2" borderId="1" pivotButton="0" quotePrefix="0" xfId="0"/>
    <xf numFmtId="4" fontId="11" fillId="2" borderId="0" applyAlignment="1" pivotButton="0" quotePrefix="0" xfId="0">
      <alignment horizontal="left" vertical="center"/>
    </xf>
    <xf numFmtId="0" fontId="9" fillId="2" borderId="0" pivotButton="0" quotePrefix="0" xfId="0"/>
    <xf numFmtId="0" fontId="4" fillId="3" borderId="1" pivotButton="0" quotePrefix="0" xfId="0"/>
    <xf numFmtId="9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4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0" pivotButton="0" quotePrefix="0" xfId="0"/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ont>
        <name val="Arial"/>
        <b val="1"/>
        <color rgb="00B4541F"/>
      </font>
    </dxf>
    <dxf>
      <font>
        <name val="Arial"/>
        <b val="1"/>
        <color rgb="0015525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4" customWidth="1" min="4" max="4"/>
    <col width="30" customWidth="1" min="5" max="5"/>
    <col width="13" customWidth="1" min="6" max="6"/>
    <col width="11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Fee and profit calculator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Type one sale in the yellow cells. Rates come from the Settings tab.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4">
        <f>"Country: "&amp;Settings!$C$4&amp;"   Currency: "&amp;INDEX(Settings!$C$8:$C$15,MATCH(Settings!$C$4,Settings!$B$8:$B$15,0))</f>
        <v/>
      </c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30" customHeight="1">
      <c r="A6" s="1" t="n"/>
      <c r="B6" s="5" t="inlineStr">
        <is>
          <t>The sale</t>
        </is>
      </c>
      <c r="C6" s="5" t="inlineStr">
        <is>
          <t>Amount</t>
        </is>
      </c>
      <c r="D6" s="1" t="n"/>
      <c r="E6" s="5" t="inlineStr">
        <is>
          <t>Etsy fees</t>
        </is>
      </c>
      <c r="F6" s="5" t="inlineStr">
        <is>
          <t>Amount</t>
        </is>
      </c>
      <c r="G6" s="5" t="inlineStr">
        <is>
          <t>Share</t>
        </is>
      </c>
      <c r="H6" s="1" t="n"/>
      <c r="I6" s="1" t="n"/>
    </row>
    <row r="7">
      <c r="A7" s="1" t="n"/>
      <c r="B7" s="6" t="inlineStr">
        <is>
          <t>Item price</t>
        </is>
      </c>
      <c r="C7" s="7" t="n">
        <v>18</v>
      </c>
      <c r="D7" s="1" t="n"/>
      <c r="E7" s="8" t="inlineStr">
        <is>
          <t>Listing fee</t>
        </is>
      </c>
      <c r="F7" s="9">
        <f>INDEX(Settings!$D$8:$D$15,MATCH(Settings!$C$4,Settings!$B$8:$B$15,0))</f>
        <v/>
      </c>
      <c r="G7" s="10">
        <f>IF((C7*(1-C9)+C8)=0,"",F7/(C7*(1-C9)+C8))</f>
        <v/>
      </c>
      <c r="H7" s="1" t="n"/>
      <c r="I7" s="1" t="n"/>
    </row>
    <row r="8">
      <c r="A8" s="1" t="n"/>
      <c r="B8" s="6" t="inlineStr">
        <is>
          <t>Shipping you charge</t>
        </is>
      </c>
      <c r="C8" s="7" t="n">
        <v>4.5</v>
      </c>
      <c r="D8" s="1" t="n"/>
      <c r="E8" s="8" t="inlineStr">
        <is>
          <t>Transaction fee</t>
        </is>
      </c>
      <c r="F8" s="9">
        <f>INDEX(Settings!$E$8:$E$15,MATCH(Settings!$C$4,Settings!$B$8:$B$15,0))*(C7*(1-C9)+C8)</f>
        <v/>
      </c>
      <c r="G8" s="10">
        <f>IF((C7*(1-C9)+C8)=0,"",F8/(C7*(1-C9)+C8))</f>
        <v/>
      </c>
      <c r="H8" s="1" t="n"/>
      <c r="I8" s="1" t="n"/>
    </row>
    <row r="9">
      <c r="A9" s="1" t="n"/>
      <c r="B9" s="6" t="inlineStr">
        <is>
          <t>Discount on the item</t>
        </is>
      </c>
      <c r="C9" s="11" t="n">
        <v>0</v>
      </c>
      <c r="D9" s="1" t="n"/>
      <c r="E9" s="8" t="inlineStr">
        <is>
          <t>Payment processing</t>
        </is>
      </c>
      <c r="F9" s="9">
        <f>INDEX(Settings!$F$8:$F$15,MATCH(Settings!$C$4,Settings!$B$8:$B$15,0))*(C7*(1-C9)+C8)*(1+Settings!$C$26)+INDEX(Settings!$G$8:$G$15,MATCH(Settings!$C$4,Settings!$B$8:$B$15,0))</f>
        <v/>
      </c>
      <c r="G9" s="10">
        <f>IF((C7*(1-C9)+C8)=0,"",F9/(C7*(1-C9)+C8))</f>
        <v/>
      </c>
      <c r="H9" s="1" t="n"/>
      <c r="I9" s="1" t="n"/>
    </row>
    <row r="10">
      <c r="A10" s="1" t="n"/>
      <c r="B10" s="6" t="inlineStr">
        <is>
          <t>Materials</t>
        </is>
      </c>
      <c r="C10" s="7" t="n">
        <v>3.2</v>
      </c>
      <c r="D10" s="1" t="n"/>
      <c r="E10" s="8" t="inlineStr">
        <is>
          <t>Offsite Ads</t>
        </is>
      </c>
      <c r="F10" s="9">
        <f>IF(C14="Yes",MIN(Settings!$C$23*(C7*(1-C9)+C8),Settings!$C$24),0)</f>
        <v/>
      </c>
      <c r="G10" s="10">
        <f>IF((C7*(1-C9)+C8)=0,"",F10/(C7*(1-C9)+C8))</f>
        <v/>
      </c>
      <c r="H10" s="1" t="n"/>
      <c r="I10" s="1" t="n"/>
    </row>
    <row r="11">
      <c r="A11" s="1" t="n"/>
      <c r="B11" s="6" t="inlineStr">
        <is>
          <t>Packaging</t>
        </is>
      </c>
      <c r="C11" s="7" t="n">
        <v>0.8</v>
      </c>
      <c r="D11" s="1" t="n"/>
      <c r="E11" s="8" t="inlineStr">
        <is>
          <t>Regulatory fee</t>
        </is>
      </c>
      <c r="F11" s="9">
        <f>INDEX(Settings!$H$8:$H$15,MATCH(Settings!$C$4,Settings!$B$8:$B$15,0))*(C7*(1-C9)+C8)</f>
        <v/>
      </c>
      <c r="G11" s="10">
        <f>IF((C7*(1-C9)+C8)=0,"",F11/(C7*(1-C9)+C8))</f>
        <v/>
      </c>
      <c r="H11" s="1" t="n"/>
      <c r="I11" s="1" t="n"/>
    </row>
    <row r="12">
      <c r="A12" s="1" t="n"/>
      <c r="B12" s="6" t="inlineStr">
        <is>
          <t>Shipping label you pay</t>
        </is>
      </c>
      <c r="C12" s="7" t="n">
        <v>4.1</v>
      </c>
      <c r="D12" s="1" t="n"/>
      <c r="E12" s="8" t="inlineStr">
        <is>
          <t>Currency conversion</t>
        </is>
      </c>
      <c r="F12" s="9">
        <f>IF(Settings!$C$25="Yes",0.025,0)*(C7*(1-C9)+C8)</f>
        <v/>
      </c>
      <c r="G12" s="10">
        <f>IF((C7*(1-C9)+C8)=0,"",F12/(C7*(1-C9)+C8))</f>
        <v/>
      </c>
      <c r="H12" s="1" t="n"/>
      <c r="I12" s="1" t="n"/>
    </row>
    <row r="13">
      <c r="A13" s="1" t="n"/>
      <c r="B13" s="6" t="inlineStr">
        <is>
          <t>Minutes of work</t>
        </is>
      </c>
      <c r="C13" s="12" t="n">
        <v>12</v>
      </c>
      <c r="D13" s="1" t="n"/>
      <c r="E13" s="8" t="inlineStr">
        <is>
          <t>VAT on fees</t>
        </is>
      </c>
      <c r="F13" s="9">
        <f>INDEX(Settings!$I$8:$I$15,MATCH(Settings!$C$4,Settings!$B$8:$B$15,0))*(F7+F8+F10+F11)</f>
        <v/>
      </c>
      <c r="G13" s="10">
        <f>IF((C7*(1-C9)+C8)=0,"",F13/(C7*(1-C9)+C8))</f>
        <v/>
      </c>
      <c r="H13" s="1" t="n"/>
      <c r="I13" s="1" t="n"/>
    </row>
    <row r="14">
      <c r="A14" s="1" t="n"/>
      <c r="B14" s="6" t="inlineStr">
        <is>
          <t>Sold through an Offsite Ad?</t>
        </is>
      </c>
      <c r="C14" s="13" t="inlineStr">
        <is>
          <t>No</t>
        </is>
      </c>
      <c r="D14" s="1" t="n"/>
      <c r="E14" s="6" t="inlineStr">
        <is>
          <t>All Etsy fees</t>
        </is>
      </c>
      <c r="F14" s="14">
        <f>SUM(F7:F13)</f>
        <v/>
      </c>
      <c r="G14" s="15">
        <f>IF((C7*(1-C9)+C8)=0,"",F14/(C7*(1-C9)+C8))</f>
        <v/>
      </c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30" customHeight="1">
      <c r="A17" s="1" t="n"/>
      <c r="B17" s="5" t="inlineStr">
        <is>
          <t>What you keep</t>
        </is>
      </c>
      <c r="C17" s="5" t="inlineStr">
        <is>
          <t>Amount</t>
        </is>
      </c>
      <c r="D17" s="1" t="n"/>
      <c r="E17" s="16" t="inlineStr">
        <is>
          <t>Verdict</t>
        </is>
      </c>
      <c r="H17" s="1" t="n"/>
      <c r="I17" s="1" t="n"/>
    </row>
    <row r="18">
      <c r="A18" s="1" t="n"/>
      <c r="B18" s="8" t="inlineStr">
        <is>
          <t>The buyer pays you</t>
        </is>
      </c>
      <c r="C18" s="9">
        <f>(C7*(1-C9)+C8)</f>
        <v/>
      </c>
      <c r="D18" s="1" t="n"/>
      <c r="E18" s="17">
        <f>IF(C18=0,"",IF(C21&lt;0,"This sale loses money",IF(C22&lt;Settings!$C$28,"Profit, but below your target of "&amp;ROUND(Settings!$C$28*100,0)&amp;"%","On target: "&amp;ROUND(C22*100,0)&amp;"% profit margin")))</f>
        <v/>
      </c>
      <c r="F18" s="18" t="n"/>
      <c r="G18" s="18" t="n"/>
      <c r="H18" s="1" t="n"/>
      <c r="I18" s="1" t="n"/>
    </row>
    <row r="19">
      <c r="A19" s="1" t="n"/>
      <c r="B19" s="8" t="inlineStr">
        <is>
          <t>Minus Etsy fees</t>
        </is>
      </c>
      <c r="C19" s="19">
        <f>-F14</f>
        <v/>
      </c>
      <c r="D19" s="1" t="n"/>
      <c r="E19" s="18" t="n"/>
      <c r="F19" s="18" t="n"/>
      <c r="G19" s="18" t="n"/>
      <c r="H19" s="1" t="n"/>
      <c r="I19" s="1" t="n"/>
    </row>
    <row r="20">
      <c r="A20" s="1" t="n"/>
      <c r="B20" s="8" t="inlineStr">
        <is>
          <t>Minus your costs</t>
        </is>
      </c>
      <c r="C20" s="19">
        <f>-(C10+C11+C12+C13/60*Settings!$C$27)</f>
        <v/>
      </c>
      <c r="D20" s="1" t="n"/>
      <c r="E20" s="1" t="n"/>
      <c r="F20" s="1" t="n"/>
      <c r="G20" s="1" t="n"/>
      <c r="H20" s="1" t="n"/>
      <c r="I20" s="1" t="n"/>
    </row>
    <row r="21">
      <c r="A21" s="1" t="n"/>
      <c r="B21" s="6" t="inlineStr">
        <is>
          <t>Profit</t>
        </is>
      </c>
      <c r="C21" s="20">
        <f>C18+C19+C20</f>
        <v/>
      </c>
      <c r="D21" s="1" t="n"/>
      <c r="E21" s="21" t="inlineStr">
        <is>
          <t>Price for your target margin</t>
        </is>
      </c>
      <c r="F21" s="1" t="n"/>
      <c r="G21" s="1" t="n"/>
      <c r="H21" s="1" t="n"/>
      <c r="I21" s="1" t="n"/>
    </row>
    <row r="22">
      <c r="A22" s="1" t="n"/>
      <c r="B22" s="6" t="inlineStr">
        <is>
          <t>Profit margin</t>
        </is>
      </c>
      <c r="C22" s="22">
        <f>IF(C18=0,"",C21/C18)</f>
        <v/>
      </c>
      <c r="D22" s="1" t="n"/>
      <c r="E22" s="23">
        <f>IF(1-(INDEX(Settings!$E$8:$E$15,MATCH(Settings!$C$4,Settings!$B$8:$B$15,0))+INDEX(Settings!$F$8:$F$15,MATCH(Settings!$C$4,Settings!$B$8:$B$15,0))*(1+Settings!$C$26)+IF(C14="Yes",Settings!$C$23,0)+INDEX(Settings!$H$8:$H$15,MATCH(Settings!$C$4,Settings!$B$8:$B$15,0))+IF(Settings!$C$25="Yes",0.025,0)+INDEX(Settings!$I$8:$I$15,MATCH(Settings!$C$4,Settings!$B$8:$B$15,0))*(INDEX(Settings!$E$8:$E$15,MATCH(Settings!$C$4,Settings!$B$8:$B$15,0))+IF(C14="Yes",Settings!$C$23,0)+INDEX(Settings!$H$8:$H$15,MATCH(Settings!$C$4,Settings!$B$8:$B$15,0))))-Settings!$C$28&lt;=0,"Not reachable",MAX(0,((INDEX(Settings!$D$8:$D$15,MATCH(Settings!$C$4,Settings!$B$8:$B$15,0))*(1+INDEX(Settings!$I$8:$I$15,MATCH(Settings!$C$4,Settings!$B$8:$B$15,0)))+INDEX(Settings!$G$8:$G$15,MATCH(Settings!$C$4,Settings!$B$8:$B$15,0))+C10+C11+C12+C13/60*Settings!$C$27)/(1-(INDEX(Settings!$E$8:$E$15,MATCH(Settings!$C$4,Settings!$B$8:$B$15,0))+INDEX(Settings!$F$8:$F$15,MATCH(Settings!$C$4,Settings!$B$8:$B$15,0))*(1+Settings!$C$26)+IF(C14="Yes",Settings!$C$23,0)+INDEX(Settings!$H$8:$H$15,MATCH(Settings!$C$4,Settings!$B$8:$B$15,0))+IF(Settings!$C$25="Yes",0.025,0)+INDEX(Settings!$I$8:$I$15,MATCH(Settings!$C$4,Settings!$B$8:$B$15,0))*(INDEX(Settings!$E$8:$E$15,MATCH(Settings!$C$4,Settings!$B$8:$B$15,0))+IF(C14="Yes",Settings!$C$23,0)+INDEX(Settings!$H$8:$H$15,MATCH(Settings!$C$4,Settings!$B$8:$B$15,0))))-Settings!$C$28)-C8)/(1-C9)))</f>
        <v/>
      </c>
      <c r="H22" s="1" t="n"/>
      <c r="I22" s="1" t="n"/>
    </row>
    <row r="23">
      <c r="A23" s="1" t="n"/>
      <c r="B23" s="24">
        <f>"Your time is counted at "&amp;FIXED(Settings!$C$27,2)&amp;" per hour (Settings)."</f>
        <v/>
      </c>
      <c r="C23" s="1" t="n"/>
      <c r="D23" s="1" t="n"/>
      <c r="H23" s="1" t="n"/>
      <c r="I23" s="1" t="n"/>
    </row>
    <row r="24">
      <c r="A24" s="1" t="n"/>
      <c r="B24" s="1" t="n"/>
      <c r="C24" s="1" t="n"/>
      <c r="D24" s="1" t="n"/>
      <c r="E24" s="24" t="inlineStr">
        <is>
          <t>Item price, with the same shipping and discount as above.</t>
        </is>
      </c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</sheetData>
  <mergeCells count="3">
    <mergeCell ref="E22:G23"/>
    <mergeCell ref="E17:G17"/>
    <mergeCell ref="E18:G19"/>
  </mergeCells>
  <conditionalFormatting sqref="E18">
    <cfRule type="expression" priority="1" dxfId="0">
      <formula>LEFT($E$18,4)="This"</formula>
    </cfRule>
    <cfRule type="expression" priority="2" dxfId="1">
      <formula>LEFT($E$18,6)="Profit"</formula>
    </cfRule>
    <cfRule type="expression" priority="3" dxfId="2">
      <formula>LEFT($E$18,2)="On"</formula>
    </cfRule>
  </conditionalFormatting>
  <conditionalFormatting sqref="C21">
    <cfRule type="expression" priority="4" dxfId="0">
      <formula>$C$21&lt;0</formula>
    </cfRule>
  </conditionalFormatting>
  <dataValidations count="1">
    <dataValidation sqref="C14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0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9" customWidth="1" min="14" max="14"/>
    <col width="20" customWidth="1" min="15" max="15"/>
    <col width="12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 t="inlineStr">
        <is>
          <t>Your products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One line per product. Fees, profit and a suggested price are calculated.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4">
        <f>"Country: "&amp;Settings!$C$4&amp;".  Your time at "&amp;FIXED(Settings!$C$27,2)&amp;" per hour.  Target margin "&amp;ROUND(Settings!$C$28*100,0)&amp;"%."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21">
        <f>COUNTIFS(B8:B207,"?*")&amp;" products:  "&amp;COUNTIFS(O8:O207,"On target")&amp;" on target,  "&amp;COUNTIFS(O8:O207,"Below target")&amp;" below target,  "&amp;COUNTIFS(O8:O207,"Loss")&amp;" at a loss."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5" t="inlineStr">
        <is>
          <t>Product</t>
        </is>
      </c>
      <c r="C7" s="5" t="inlineStr">
        <is>
          <t>Price</t>
        </is>
      </c>
      <c r="D7" s="5" t="inlineStr">
        <is>
          <t>Shipping charged</t>
        </is>
      </c>
      <c r="E7" s="5" t="inlineStr">
        <is>
          <t>Materials</t>
        </is>
      </c>
      <c r="F7" s="5" t="inlineStr">
        <is>
          <t>Packaging</t>
        </is>
      </c>
      <c r="G7" s="5" t="inlineStr">
        <is>
          <t>Label you pay</t>
        </is>
      </c>
      <c r="H7" s="5" t="inlineStr">
        <is>
          <t>Minutes</t>
        </is>
      </c>
      <c r="I7" s="5" t="inlineStr">
        <is>
          <t>Share from Offsite Ads</t>
        </is>
      </c>
      <c r="J7" s="5" t="inlineStr">
        <is>
          <t>Buyer pays</t>
        </is>
      </c>
      <c r="K7" s="5" t="inlineStr">
        <is>
          <t>Etsy fees</t>
        </is>
      </c>
      <c r="L7" s="5" t="inlineStr">
        <is>
          <t>Your costs</t>
        </is>
      </c>
      <c r="M7" s="5" t="inlineStr">
        <is>
          <t>Profit</t>
        </is>
      </c>
      <c r="N7" s="5" t="inlineStr">
        <is>
          <t>Margin</t>
        </is>
      </c>
      <c r="O7" s="5" t="inlineStr">
        <is>
          <t>Status</t>
        </is>
      </c>
      <c r="P7" s="5" t="inlineStr">
        <is>
          <t>Price for target</t>
        </is>
      </c>
      <c r="Q7" s="1" t="n"/>
    </row>
    <row r="8">
      <c r="A8" s="1" t="n"/>
      <c r="B8" s="25" t="inlineStr">
        <is>
          <t>Soy candle, 200 g</t>
        </is>
      </c>
      <c r="C8" s="7" t="n">
        <v>18</v>
      </c>
      <c r="D8" s="7" t="n">
        <v>4.5</v>
      </c>
      <c r="E8" s="7" t="n">
        <v>3.2</v>
      </c>
      <c r="F8" s="7" t="n">
        <v>0.8</v>
      </c>
      <c r="G8" s="7" t="n">
        <v>4.1</v>
      </c>
      <c r="H8" s="12" t="n">
        <v>12</v>
      </c>
      <c r="I8" s="11" t="n">
        <v>0.1</v>
      </c>
      <c r="J8" s="9">
        <f>IF(B8="","",(N(C8)+N(D8)))</f>
        <v/>
      </c>
      <c r="K8" s="9">
        <f>IF(B8="","",INDEX(Settings!$D$8:$D$15,MATCH(Settings!$C$4,Settings!$B$8:$B$15,0))+INDEX(Settings!$E$8:$E$15,MATCH(Settings!$C$4,Settings!$B$8:$B$15,0))*(N(C8)+N(D8))+INDEX(Settings!$F$8:$F$15,MATCH(Settings!$C$4,Settings!$B$8:$B$15,0))*(N(C8)+N(D8))*(1+Settings!$C$26)+INDEX(Settings!$G$8:$G$15,MATCH(Settings!$C$4,Settings!$B$8:$B$15,0))+N(I8)*MIN(Settings!$C$23*(N(C8)+N(D8)),Settings!$C$24)+INDEX(Settings!$H$8:$H$15,MATCH(Settings!$C$4,Settings!$B$8:$B$15,0))*(N(C8)+N(D8))+IF(Settings!$C$25="Yes",0.025,0)*(N(C8)+N(D8))+INDEX(Settings!$I$8:$I$15,MATCH(Settings!$C$4,Settings!$B$8:$B$15,0))*(INDEX(Settings!$D$8:$D$15,MATCH(Settings!$C$4,Settings!$B$8:$B$15,0))+INDEX(Settings!$E$8:$E$15,MATCH(Settings!$C$4,Settings!$B$8:$B$15,0))*(N(C8)+N(D8))+N(I8)*MIN(Settings!$C$23*(N(C8)+N(D8)),Settings!$C$24)+INDEX(Settings!$H$8:$H$15,MATCH(Settings!$C$4,Settings!$B$8:$B$15,0))*(N(C8)+N(D8))))</f>
        <v/>
      </c>
      <c r="L8" s="9">
        <f>IF(B8="","",N(E8)+N(F8)+N(G8)+N(H8)/60*Settings!$C$27)</f>
        <v/>
      </c>
      <c r="M8" s="20">
        <f>IF(B8="","",J8-K8-L8)</f>
        <v/>
      </c>
      <c r="N8" s="26">
        <f>IF(OR(B8="",N(J8)=0),"",M8/J8)</f>
        <v/>
      </c>
      <c r="O8" s="8">
        <f>IF(B8="","",IF(M8&lt;0,"Loss",IF(N8&lt;Settings!$C$28,"Below target","On target")))</f>
        <v/>
      </c>
      <c r="P8" s="14">
        <f>IF(B8="","",IF(1-(INDEX(Settings!$E$8:$E$15,MATCH(Settings!$C$4,Settings!$B$8:$B$15,0))+INDEX(Settings!$F$8:$F$15,MATCH(Settings!$C$4,Settings!$B$8:$B$15,0))*(1+Settings!$C$26)+N(I8)*Settings!$C$23+INDEX(Settings!$H$8:$H$15,MATCH(Settings!$C$4,Settings!$B$8:$B$15,0))+IF(Settings!$C$25="Yes",0.025,0)+INDEX(Settings!$I$8:$I$15,MATCH(Settings!$C$4,Settings!$B$8:$B$15,0))*(INDEX(Settings!$E$8:$E$15,MATCH(Settings!$C$4,Settings!$B$8:$B$15,0))+N(I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8)/(1-(INDEX(Settings!$E$8:$E$15,MATCH(Settings!$C$4,Settings!$B$8:$B$15,0))+INDEX(Settings!$F$8:$F$15,MATCH(Settings!$C$4,Settings!$B$8:$B$15,0))*(1+Settings!$C$26)+N(I8)*Settings!$C$23+INDEX(Settings!$H$8:$H$15,MATCH(Settings!$C$4,Settings!$B$8:$B$15,0))+IF(Settings!$C$25="Yes",0.025,0)+INDEX(Settings!$I$8:$I$15,MATCH(Settings!$C$4,Settings!$B$8:$B$15,0))*(INDEX(Settings!$E$8:$E$15,MATCH(Settings!$C$4,Settings!$B$8:$B$15,0))+N(I8)*Settings!$C$23+INDEX(Settings!$H$8:$H$15,MATCH(Settings!$C$4,Settings!$B$8:$B$15,0))))-Settings!$C$28)-N(D8))))</f>
        <v/>
      </c>
      <c r="Q8" s="1" t="n"/>
    </row>
    <row r="9">
      <c r="A9" s="1" t="n"/>
      <c r="B9" s="25" t="inlineStr">
        <is>
          <t>Brass earrings</t>
        </is>
      </c>
      <c r="C9" s="7" t="n">
        <v>22</v>
      </c>
      <c r="D9" s="7" t="n">
        <v>3.5</v>
      </c>
      <c r="E9" s="7" t="n">
        <v>2.9</v>
      </c>
      <c r="F9" s="7" t="n">
        <v>0.5</v>
      </c>
      <c r="G9" s="7" t="n">
        <v>1.2</v>
      </c>
      <c r="H9" s="12" t="n">
        <v>20</v>
      </c>
      <c r="I9" s="11" t="n">
        <v>0.1</v>
      </c>
      <c r="J9" s="9">
        <f>IF(B9="","",(N(C9)+N(D9)))</f>
        <v/>
      </c>
      <c r="K9" s="9">
        <f>IF(B9="","",INDEX(Settings!$D$8:$D$15,MATCH(Settings!$C$4,Settings!$B$8:$B$15,0))+INDEX(Settings!$E$8:$E$15,MATCH(Settings!$C$4,Settings!$B$8:$B$15,0))*(N(C9)+N(D9))+INDEX(Settings!$F$8:$F$15,MATCH(Settings!$C$4,Settings!$B$8:$B$15,0))*(N(C9)+N(D9))*(1+Settings!$C$26)+INDEX(Settings!$G$8:$G$15,MATCH(Settings!$C$4,Settings!$B$8:$B$15,0))+N(I9)*MIN(Settings!$C$23*(N(C9)+N(D9)),Settings!$C$24)+INDEX(Settings!$H$8:$H$15,MATCH(Settings!$C$4,Settings!$B$8:$B$15,0))*(N(C9)+N(D9))+IF(Settings!$C$25="Yes",0.025,0)*(N(C9)+N(D9))+INDEX(Settings!$I$8:$I$15,MATCH(Settings!$C$4,Settings!$B$8:$B$15,0))*(INDEX(Settings!$D$8:$D$15,MATCH(Settings!$C$4,Settings!$B$8:$B$15,0))+INDEX(Settings!$E$8:$E$15,MATCH(Settings!$C$4,Settings!$B$8:$B$15,0))*(N(C9)+N(D9))+N(I9)*MIN(Settings!$C$23*(N(C9)+N(D9)),Settings!$C$24)+INDEX(Settings!$H$8:$H$15,MATCH(Settings!$C$4,Settings!$B$8:$B$15,0))*(N(C9)+N(D9))))</f>
        <v/>
      </c>
      <c r="L9" s="9">
        <f>IF(B9="","",N(E9)+N(F9)+N(G9)+N(H9)/60*Settings!$C$27)</f>
        <v/>
      </c>
      <c r="M9" s="20">
        <f>IF(B9="","",J9-K9-L9)</f>
        <v/>
      </c>
      <c r="N9" s="26">
        <f>IF(OR(B9="",N(J9)=0),"",M9/J9)</f>
        <v/>
      </c>
      <c r="O9" s="8">
        <f>IF(B9="","",IF(M9&lt;0,"Loss",IF(N9&lt;Settings!$C$28,"Below target","On target")))</f>
        <v/>
      </c>
      <c r="P9" s="14">
        <f>IF(B9="","",IF(1-(INDEX(Settings!$E$8:$E$15,MATCH(Settings!$C$4,Settings!$B$8:$B$15,0))+INDEX(Settings!$F$8:$F$15,MATCH(Settings!$C$4,Settings!$B$8:$B$15,0))*(1+Settings!$C$26)+N(I9)*Settings!$C$23+INDEX(Settings!$H$8:$H$15,MATCH(Settings!$C$4,Settings!$B$8:$B$15,0))+IF(Settings!$C$25="Yes",0.025,0)+INDEX(Settings!$I$8:$I$15,MATCH(Settings!$C$4,Settings!$B$8:$B$15,0))*(INDEX(Settings!$E$8:$E$15,MATCH(Settings!$C$4,Settings!$B$8:$B$15,0))+N(I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9)/(1-(INDEX(Settings!$E$8:$E$15,MATCH(Settings!$C$4,Settings!$B$8:$B$15,0))+INDEX(Settings!$F$8:$F$15,MATCH(Settings!$C$4,Settings!$B$8:$B$15,0))*(1+Settings!$C$26)+N(I9)*Settings!$C$23+INDEX(Settings!$H$8:$H$15,MATCH(Settings!$C$4,Settings!$B$8:$B$15,0))+IF(Settings!$C$25="Yes",0.025,0)+INDEX(Settings!$I$8:$I$15,MATCH(Settings!$C$4,Settings!$B$8:$B$15,0))*(INDEX(Settings!$E$8:$E$15,MATCH(Settings!$C$4,Settings!$B$8:$B$15,0))+N(I9)*Settings!$C$23+INDEX(Settings!$H$8:$H$15,MATCH(Settings!$C$4,Settings!$B$8:$B$15,0))))-Settings!$C$28)-N(D9))))</f>
        <v/>
      </c>
      <c r="Q9" s="1" t="n"/>
    </row>
    <row r="10">
      <c r="A10" s="1" t="n"/>
      <c r="B10" s="25" t="inlineStr">
        <is>
          <t>Art print, A4</t>
        </is>
      </c>
      <c r="C10" s="7" t="n">
        <v>15</v>
      </c>
      <c r="D10" s="7" t="n">
        <v>3</v>
      </c>
      <c r="E10" s="7" t="n">
        <v>1.4</v>
      </c>
      <c r="F10" s="7" t="n">
        <v>0.9</v>
      </c>
      <c r="G10" s="7" t="n">
        <v>1.5</v>
      </c>
      <c r="H10" s="12" t="n">
        <v>5</v>
      </c>
      <c r="I10" s="11" t="n">
        <v>0</v>
      </c>
      <c r="J10" s="9">
        <f>IF(B10="","",(N(C10)+N(D10)))</f>
        <v/>
      </c>
      <c r="K10" s="9">
        <f>IF(B10="","",INDEX(Settings!$D$8:$D$15,MATCH(Settings!$C$4,Settings!$B$8:$B$15,0))+INDEX(Settings!$E$8:$E$15,MATCH(Settings!$C$4,Settings!$B$8:$B$15,0))*(N(C10)+N(D10))+INDEX(Settings!$F$8:$F$15,MATCH(Settings!$C$4,Settings!$B$8:$B$15,0))*(N(C10)+N(D10))*(1+Settings!$C$26)+INDEX(Settings!$G$8:$G$15,MATCH(Settings!$C$4,Settings!$B$8:$B$15,0))+N(I10)*MIN(Settings!$C$23*(N(C10)+N(D10)),Settings!$C$24)+INDEX(Settings!$H$8:$H$15,MATCH(Settings!$C$4,Settings!$B$8:$B$15,0))*(N(C10)+N(D10))+IF(Settings!$C$25="Yes",0.025,0)*(N(C10)+N(D10))+INDEX(Settings!$I$8:$I$15,MATCH(Settings!$C$4,Settings!$B$8:$B$15,0))*(INDEX(Settings!$D$8:$D$15,MATCH(Settings!$C$4,Settings!$B$8:$B$15,0))+INDEX(Settings!$E$8:$E$15,MATCH(Settings!$C$4,Settings!$B$8:$B$15,0))*(N(C10)+N(D10))+N(I10)*MIN(Settings!$C$23*(N(C10)+N(D10)),Settings!$C$24)+INDEX(Settings!$H$8:$H$15,MATCH(Settings!$C$4,Settings!$B$8:$B$15,0))*(N(C10)+N(D10))))</f>
        <v/>
      </c>
      <c r="L10" s="9">
        <f>IF(B10="","",N(E10)+N(F10)+N(G10)+N(H10)/60*Settings!$C$27)</f>
        <v/>
      </c>
      <c r="M10" s="20">
        <f>IF(B10="","",J10-K10-L10)</f>
        <v/>
      </c>
      <c r="N10" s="26">
        <f>IF(OR(B10="",N(J10)=0),"",M10/J10)</f>
        <v/>
      </c>
      <c r="O10" s="8">
        <f>IF(B10="","",IF(M10&lt;0,"Loss",IF(N10&lt;Settings!$C$28,"Below target","On target")))</f>
        <v/>
      </c>
      <c r="P10" s="14">
        <f>IF(B10="","",IF(1-(INDEX(Settings!$E$8:$E$15,MATCH(Settings!$C$4,Settings!$B$8:$B$15,0))+INDEX(Settings!$F$8:$F$15,MATCH(Settings!$C$4,Settings!$B$8:$B$15,0))*(1+Settings!$C$26)+N(I10)*Settings!$C$23+INDEX(Settings!$H$8:$H$15,MATCH(Settings!$C$4,Settings!$B$8:$B$15,0))+IF(Settings!$C$25="Yes",0.025,0)+INDEX(Settings!$I$8:$I$15,MATCH(Settings!$C$4,Settings!$B$8:$B$15,0))*(INDEX(Settings!$E$8:$E$15,MATCH(Settings!$C$4,Settings!$B$8:$B$15,0))+N(I10)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10)/(1-(INDEX(Settings!$E$8:$E$15,MATCH(Settings!$C$4,Settings!$B$8:$B$15,0))+INDEX(Settings!$F$8:$F$15,MATCH(Settings!$C$4,Settings!$B$8:$B$15,0))*(1+Settings!$C$26)+N(I10)*Settings!$C$23+INDEX(Settings!$H$8:$H$15,MATCH(Settings!$C$4,Settings!$B$8:$B$15,0))+IF(Settings!$C$25="Yes",0.025,0)+INDEX(Settings!$I$8:$I$15,MATCH(Settings!$C$4,Settings!$B$8:$B$15,0))*(INDEX(Settings!$E$8:$E$15,MATCH(Settings!$C$4,Settings!$B$8:$B$15,0))+N(I10)*Settings!$C$23+INDEX(Settings!$H$8:$H$15,MATCH(Settings!$C$4,Settings!$B$8:$B$15,0))))-Settings!$C$28)-N(D10))))</f>
        <v/>
      </c>
      <c r="Q10" s="1" t="n"/>
    </row>
    <row r="11">
      <c r="A11" s="1" t="n"/>
      <c r="B11" s="25" t="inlineStr">
        <is>
          <t>Knitted hat</t>
        </is>
      </c>
      <c r="C11" s="7" t="n">
        <v>38</v>
      </c>
      <c r="D11" s="7" t="n">
        <v>5</v>
      </c>
      <c r="E11" s="7" t="n">
        <v>9.5</v>
      </c>
      <c r="F11" s="7" t="n">
        <v>0.7</v>
      </c>
      <c r="G11" s="7" t="n">
        <v>4.6</v>
      </c>
      <c r="H11" s="12" t="n">
        <v>180</v>
      </c>
      <c r="I11" s="11" t="n">
        <v>0</v>
      </c>
      <c r="J11" s="9">
        <f>IF(B11="","",(N(C11)+N(D11)))</f>
        <v/>
      </c>
      <c r="K11" s="9">
        <f>IF(B11="","",INDEX(Settings!$D$8:$D$15,MATCH(Settings!$C$4,Settings!$B$8:$B$15,0))+INDEX(Settings!$E$8:$E$15,MATCH(Settings!$C$4,Settings!$B$8:$B$15,0))*(N(C11)+N(D11))+INDEX(Settings!$F$8:$F$15,MATCH(Settings!$C$4,Settings!$B$8:$B$15,0))*(N(C11)+N(D11))*(1+Settings!$C$26)+INDEX(Settings!$G$8:$G$15,MATCH(Settings!$C$4,Settings!$B$8:$B$15,0))+N(I11)*MIN(Settings!$C$23*(N(C11)+N(D11)),Settings!$C$24)+INDEX(Settings!$H$8:$H$15,MATCH(Settings!$C$4,Settings!$B$8:$B$15,0))*(N(C11)+N(D11))+IF(Settings!$C$25="Yes",0.025,0)*(N(C11)+N(D11))+INDEX(Settings!$I$8:$I$15,MATCH(Settings!$C$4,Settings!$B$8:$B$15,0))*(INDEX(Settings!$D$8:$D$15,MATCH(Settings!$C$4,Settings!$B$8:$B$15,0))+INDEX(Settings!$E$8:$E$15,MATCH(Settings!$C$4,Settings!$B$8:$B$15,0))*(N(C11)+N(D11))+N(I11)*MIN(Settings!$C$23*(N(C11)+N(D11)),Settings!$C$24)+INDEX(Settings!$H$8:$H$15,MATCH(Settings!$C$4,Settings!$B$8:$B$15,0))*(N(C11)+N(D11))))</f>
        <v/>
      </c>
      <c r="L11" s="9">
        <f>IF(B11="","",N(E11)+N(F11)+N(G11)+N(H11)/60*Settings!$C$27)</f>
        <v/>
      </c>
      <c r="M11" s="20">
        <f>IF(B11="","",J11-K11-L11)</f>
        <v/>
      </c>
      <c r="N11" s="26">
        <f>IF(OR(B11="",N(J11)=0),"",M11/J11)</f>
        <v/>
      </c>
      <c r="O11" s="8">
        <f>IF(B11="","",IF(M11&lt;0,"Loss",IF(N11&lt;Settings!$C$28,"Below target","On target")))</f>
        <v/>
      </c>
      <c r="P11" s="14">
        <f>IF(B11="","",IF(1-(INDEX(Settings!$E$8:$E$15,MATCH(Settings!$C$4,Settings!$B$8:$B$15,0))+INDEX(Settings!$F$8:$F$15,MATCH(Settings!$C$4,Settings!$B$8:$B$15,0))*(1+Settings!$C$26)+N(I11)*Settings!$C$23+INDEX(Settings!$H$8:$H$15,MATCH(Settings!$C$4,Settings!$B$8:$B$15,0))+IF(Settings!$C$25="Yes",0.025,0)+INDEX(Settings!$I$8:$I$15,MATCH(Settings!$C$4,Settings!$B$8:$B$15,0))*(INDEX(Settings!$E$8:$E$15,MATCH(Settings!$C$4,Settings!$B$8:$B$15,0))+N(I11)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11)/(1-(INDEX(Settings!$E$8:$E$15,MATCH(Settings!$C$4,Settings!$B$8:$B$15,0))+INDEX(Settings!$F$8:$F$15,MATCH(Settings!$C$4,Settings!$B$8:$B$15,0))*(1+Settings!$C$26)+N(I11)*Settings!$C$23+INDEX(Settings!$H$8:$H$15,MATCH(Settings!$C$4,Settings!$B$8:$B$15,0))+IF(Settings!$C$25="Yes",0.025,0)+INDEX(Settings!$I$8:$I$15,MATCH(Settings!$C$4,Settings!$B$8:$B$15,0))*(INDEX(Settings!$E$8:$E$15,MATCH(Settings!$C$4,Settings!$B$8:$B$15,0))+N(I11)*Settings!$C$23+INDEX(Settings!$H$8:$H$15,MATCH(Settings!$C$4,Settings!$B$8:$B$15,0))))-Settings!$C$28)-N(D11))))</f>
        <v/>
      </c>
      <c r="Q11" s="1" t="n"/>
    </row>
    <row r="12">
      <c r="A12" s="1" t="n"/>
      <c r="B12" s="25" t="inlineStr">
        <is>
          <t>Printable planner</t>
        </is>
      </c>
      <c r="C12" s="7" t="n">
        <v>6.5</v>
      </c>
      <c r="D12" s="7" t="n">
        <v>0</v>
      </c>
      <c r="E12" s="7" t="n">
        <v>0</v>
      </c>
      <c r="F12" s="7" t="n">
        <v>0</v>
      </c>
      <c r="G12" s="7" t="n">
        <v>0</v>
      </c>
      <c r="H12" s="12" t="n">
        <v>2</v>
      </c>
      <c r="I12" s="11" t="n">
        <v>0</v>
      </c>
      <c r="J12" s="9">
        <f>IF(B12="","",(N(C12)+N(D12)))</f>
        <v/>
      </c>
      <c r="K12" s="9">
        <f>IF(B12="","",INDEX(Settings!$D$8:$D$15,MATCH(Settings!$C$4,Settings!$B$8:$B$15,0))+INDEX(Settings!$E$8:$E$15,MATCH(Settings!$C$4,Settings!$B$8:$B$15,0))*(N(C12)+N(D12))+INDEX(Settings!$F$8:$F$15,MATCH(Settings!$C$4,Settings!$B$8:$B$15,0))*(N(C12)+N(D12))*(1+Settings!$C$26)+INDEX(Settings!$G$8:$G$15,MATCH(Settings!$C$4,Settings!$B$8:$B$15,0))+N(I12)*MIN(Settings!$C$23*(N(C12)+N(D12)),Settings!$C$24)+INDEX(Settings!$H$8:$H$15,MATCH(Settings!$C$4,Settings!$B$8:$B$15,0))*(N(C12)+N(D12))+IF(Settings!$C$25="Yes",0.025,0)*(N(C12)+N(D12))+INDEX(Settings!$I$8:$I$15,MATCH(Settings!$C$4,Settings!$B$8:$B$15,0))*(INDEX(Settings!$D$8:$D$15,MATCH(Settings!$C$4,Settings!$B$8:$B$15,0))+INDEX(Settings!$E$8:$E$15,MATCH(Settings!$C$4,Settings!$B$8:$B$15,0))*(N(C12)+N(D12))+N(I12)*MIN(Settings!$C$23*(N(C12)+N(D12)),Settings!$C$24)+INDEX(Settings!$H$8:$H$15,MATCH(Settings!$C$4,Settings!$B$8:$B$15,0))*(N(C12)+N(D12))))</f>
        <v/>
      </c>
      <c r="L12" s="9">
        <f>IF(B12="","",N(E12)+N(F12)+N(G12)+N(H12)/60*Settings!$C$27)</f>
        <v/>
      </c>
      <c r="M12" s="20">
        <f>IF(B12="","",J12-K12-L12)</f>
        <v/>
      </c>
      <c r="N12" s="26">
        <f>IF(OR(B12="",N(J12)=0),"",M12/J12)</f>
        <v/>
      </c>
      <c r="O12" s="8">
        <f>IF(B12="","",IF(M12&lt;0,"Loss",IF(N12&lt;Settings!$C$28,"Below target","On target")))</f>
        <v/>
      </c>
      <c r="P12" s="14">
        <f>IF(B12="","",IF(1-(INDEX(Settings!$E$8:$E$15,MATCH(Settings!$C$4,Settings!$B$8:$B$15,0))+INDEX(Settings!$F$8:$F$15,MATCH(Settings!$C$4,Settings!$B$8:$B$15,0))*(1+Settings!$C$26)+N(I12)*Settings!$C$23+INDEX(Settings!$H$8:$H$15,MATCH(Settings!$C$4,Settings!$B$8:$B$15,0))+IF(Settings!$C$25="Yes",0.025,0)+INDEX(Settings!$I$8:$I$15,MATCH(Settings!$C$4,Settings!$B$8:$B$15,0))*(INDEX(Settings!$E$8:$E$15,MATCH(Settings!$C$4,Settings!$B$8:$B$15,0))+N(I12)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12)/(1-(INDEX(Settings!$E$8:$E$15,MATCH(Settings!$C$4,Settings!$B$8:$B$15,0))+INDEX(Settings!$F$8:$F$15,MATCH(Settings!$C$4,Settings!$B$8:$B$15,0))*(1+Settings!$C$26)+N(I12)*Settings!$C$23+INDEX(Settings!$H$8:$H$15,MATCH(Settings!$C$4,Settings!$B$8:$B$15,0))+IF(Settings!$C$25="Yes",0.025,0)+INDEX(Settings!$I$8:$I$15,MATCH(Settings!$C$4,Settings!$B$8:$B$15,0))*(INDEX(Settings!$E$8:$E$15,MATCH(Settings!$C$4,Settings!$B$8:$B$15,0))+N(I12)*Settings!$C$23+INDEX(Settings!$H$8:$H$15,MATCH(Settings!$C$4,Settings!$B$8:$B$15,0))))-Settings!$C$28)-N(D12))))</f>
        <v/>
      </c>
      <c r="Q12" s="1" t="n"/>
    </row>
    <row r="13">
      <c r="A13" s="1" t="n"/>
      <c r="B13" s="25" t="inlineStr">
        <is>
          <t>Ceramic mug</t>
        </is>
      </c>
      <c r="C13" s="7" t="n">
        <v>28</v>
      </c>
      <c r="D13" s="7" t="n">
        <v>6</v>
      </c>
      <c r="E13" s="7" t="n">
        <v>5.5</v>
      </c>
      <c r="F13" s="7" t="n">
        <v>1.5</v>
      </c>
      <c r="G13" s="7" t="n">
        <v>7.8</v>
      </c>
      <c r="H13" s="12" t="n">
        <v>40</v>
      </c>
      <c r="I13" s="11" t="n">
        <v>0.1</v>
      </c>
      <c r="J13" s="9">
        <f>IF(B13="","",(N(C13)+N(D13)))</f>
        <v/>
      </c>
      <c r="K13" s="9">
        <f>IF(B13="","",INDEX(Settings!$D$8:$D$15,MATCH(Settings!$C$4,Settings!$B$8:$B$15,0))+INDEX(Settings!$E$8:$E$15,MATCH(Settings!$C$4,Settings!$B$8:$B$15,0))*(N(C13)+N(D13))+INDEX(Settings!$F$8:$F$15,MATCH(Settings!$C$4,Settings!$B$8:$B$15,0))*(N(C13)+N(D13))*(1+Settings!$C$26)+INDEX(Settings!$G$8:$G$15,MATCH(Settings!$C$4,Settings!$B$8:$B$15,0))+N(I13)*MIN(Settings!$C$23*(N(C13)+N(D13)),Settings!$C$24)+INDEX(Settings!$H$8:$H$15,MATCH(Settings!$C$4,Settings!$B$8:$B$15,0))*(N(C13)+N(D13))+IF(Settings!$C$25="Yes",0.025,0)*(N(C13)+N(D13))+INDEX(Settings!$I$8:$I$15,MATCH(Settings!$C$4,Settings!$B$8:$B$15,0))*(INDEX(Settings!$D$8:$D$15,MATCH(Settings!$C$4,Settings!$B$8:$B$15,0))+INDEX(Settings!$E$8:$E$15,MATCH(Settings!$C$4,Settings!$B$8:$B$15,0))*(N(C13)+N(D13))+N(I13)*MIN(Settings!$C$23*(N(C13)+N(D13)),Settings!$C$24)+INDEX(Settings!$H$8:$H$15,MATCH(Settings!$C$4,Settings!$B$8:$B$15,0))*(N(C13)+N(D13))))</f>
        <v/>
      </c>
      <c r="L13" s="9">
        <f>IF(B13="","",N(E13)+N(F13)+N(G13)+N(H13)/60*Settings!$C$27)</f>
        <v/>
      </c>
      <c r="M13" s="20">
        <f>IF(B13="","",J13-K13-L13)</f>
        <v/>
      </c>
      <c r="N13" s="26">
        <f>IF(OR(B13="",N(J13)=0),"",M13/J13)</f>
        <v/>
      </c>
      <c r="O13" s="8">
        <f>IF(B13="","",IF(M13&lt;0,"Loss",IF(N13&lt;Settings!$C$28,"Below target","On target")))</f>
        <v/>
      </c>
      <c r="P13" s="14">
        <f>IF(B13="","",IF(1-(INDEX(Settings!$E$8:$E$15,MATCH(Settings!$C$4,Settings!$B$8:$B$15,0))+INDEX(Settings!$F$8:$F$15,MATCH(Settings!$C$4,Settings!$B$8:$B$15,0))*(1+Settings!$C$26)+N(I13)*Settings!$C$23+INDEX(Settings!$H$8:$H$15,MATCH(Settings!$C$4,Settings!$B$8:$B$15,0))+IF(Settings!$C$25="Yes",0.025,0)+INDEX(Settings!$I$8:$I$15,MATCH(Settings!$C$4,Settings!$B$8:$B$15,0))*(INDEX(Settings!$E$8:$E$15,MATCH(Settings!$C$4,Settings!$B$8:$B$15,0))+N(I13)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13)/(1-(INDEX(Settings!$E$8:$E$15,MATCH(Settings!$C$4,Settings!$B$8:$B$15,0))+INDEX(Settings!$F$8:$F$15,MATCH(Settings!$C$4,Settings!$B$8:$B$15,0))*(1+Settings!$C$26)+N(I13)*Settings!$C$23+INDEX(Settings!$H$8:$H$15,MATCH(Settings!$C$4,Settings!$B$8:$B$15,0))+IF(Settings!$C$25="Yes",0.025,0)+INDEX(Settings!$I$8:$I$15,MATCH(Settings!$C$4,Settings!$B$8:$B$15,0))*(INDEX(Settings!$E$8:$E$15,MATCH(Settings!$C$4,Settings!$B$8:$B$15,0))+N(I13)*Settings!$C$23+INDEX(Settings!$H$8:$H$15,MATCH(Settings!$C$4,Settings!$B$8:$B$15,0))))-Settings!$C$28)-N(D13))))</f>
        <v/>
      </c>
      <c r="Q13" s="1" t="n"/>
    </row>
    <row r="14">
      <c r="A14" s="1" t="n"/>
      <c r="B14" s="25" t="inlineStr">
        <is>
          <t>Sticker sheet</t>
        </is>
      </c>
      <c r="C14" s="7" t="n">
        <v>4.5</v>
      </c>
      <c r="D14" s="7" t="n">
        <v>1.2</v>
      </c>
      <c r="E14" s="7" t="n">
        <v>0.6</v>
      </c>
      <c r="F14" s="7" t="n">
        <v>0.2</v>
      </c>
      <c r="G14" s="7" t="n">
        <v>0.7</v>
      </c>
      <c r="H14" s="12" t="n">
        <v>3</v>
      </c>
      <c r="I14" s="11" t="n">
        <v>0</v>
      </c>
      <c r="J14" s="9">
        <f>IF(B14="","",(N(C14)+N(D14)))</f>
        <v/>
      </c>
      <c r="K14" s="9">
        <f>IF(B14="","",INDEX(Settings!$D$8:$D$15,MATCH(Settings!$C$4,Settings!$B$8:$B$15,0))+INDEX(Settings!$E$8:$E$15,MATCH(Settings!$C$4,Settings!$B$8:$B$15,0))*(N(C14)+N(D14))+INDEX(Settings!$F$8:$F$15,MATCH(Settings!$C$4,Settings!$B$8:$B$15,0))*(N(C14)+N(D14))*(1+Settings!$C$26)+INDEX(Settings!$G$8:$G$15,MATCH(Settings!$C$4,Settings!$B$8:$B$15,0))+N(I14)*MIN(Settings!$C$23*(N(C14)+N(D14)),Settings!$C$24)+INDEX(Settings!$H$8:$H$15,MATCH(Settings!$C$4,Settings!$B$8:$B$15,0))*(N(C14)+N(D14))+IF(Settings!$C$25="Yes",0.025,0)*(N(C14)+N(D14))+INDEX(Settings!$I$8:$I$15,MATCH(Settings!$C$4,Settings!$B$8:$B$15,0))*(INDEX(Settings!$D$8:$D$15,MATCH(Settings!$C$4,Settings!$B$8:$B$15,0))+INDEX(Settings!$E$8:$E$15,MATCH(Settings!$C$4,Settings!$B$8:$B$15,0))*(N(C14)+N(D14))+N(I14)*MIN(Settings!$C$23*(N(C14)+N(D14)),Settings!$C$24)+INDEX(Settings!$H$8:$H$15,MATCH(Settings!$C$4,Settings!$B$8:$B$15,0))*(N(C14)+N(D14))))</f>
        <v/>
      </c>
      <c r="L14" s="9">
        <f>IF(B14="","",N(E14)+N(F14)+N(G14)+N(H14)/60*Settings!$C$27)</f>
        <v/>
      </c>
      <c r="M14" s="20">
        <f>IF(B14="","",J14-K14-L14)</f>
        <v/>
      </c>
      <c r="N14" s="26">
        <f>IF(OR(B14="",N(J14)=0),"",M14/J14)</f>
        <v/>
      </c>
      <c r="O14" s="8">
        <f>IF(B14="","",IF(M14&lt;0,"Loss",IF(N14&lt;Settings!$C$28,"Below target","On target")))</f>
        <v/>
      </c>
      <c r="P14" s="14">
        <f>IF(B14="","",IF(1-(INDEX(Settings!$E$8:$E$15,MATCH(Settings!$C$4,Settings!$B$8:$B$15,0))+INDEX(Settings!$F$8:$F$15,MATCH(Settings!$C$4,Settings!$B$8:$B$15,0))*(1+Settings!$C$26)+N(I14)*Settings!$C$23+INDEX(Settings!$H$8:$H$15,MATCH(Settings!$C$4,Settings!$B$8:$B$15,0))+IF(Settings!$C$25="Yes",0.025,0)+INDEX(Settings!$I$8:$I$15,MATCH(Settings!$C$4,Settings!$B$8:$B$15,0))*(INDEX(Settings!$E$8:$E$15,MATCH(Settings!$C$4,Settings!$B$8:$B$15,0))+N(I14)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14)/(1-(INDEX(Settings!$E$8:$E$15,MATCH(Settings!$C$4,Settings!$B$8:$B$15,0))+INDEX(Settings!$F$8:$F$15,MATCH(Settings!$C$4,Settings!$B$8:$B$15,0))*(1+Settings!$C$26)+N(I14)*Settings!$C$23+INDEX(Settings!$H$8:$H$15,MATCH(Settings!$C$4,Settings!$B$8:$B$15,0))+IF(Settings!$C$25="Yes",0.025,0)+INDEX(Settings!$I$8:$I$15,MATCH(Settings!$C$4,Settings!$B$8:$B$15,0))*(INDEX(Settings!$E$8:$E$15,MATCH(Settings!$C$4,Settings!$B$8:$B$15,0))+N(I14)*Settings!$C$23+INDEX(Settings!$H$8:$H$15,MATCH(Settings!$C$4,Settings!$B$8:$B$15,0))))-Settings!$C$28)-N(D14))))</f>
        <v/>
      </c>
      <c r="Q14" s="1" t="n"/>
    </row>
    <row r="15">
      <c r="A15" s="1" t="n"/>
      <c r="B15" s="25" t="inlineStr">
        <is>
          <t>Leather wallet</t>
        </is>
      </c>
      <c r="C15" s="7" t="n">
        <v>55</v>
      </c>
      <c r="D15" s="7" t="n">
        <v>5</v>
      </c>
      <c r="E15" s="7" t="n">
        <v>14</v>
      </c>
      <c r="F15" s="7" t="n">
        <v>1.2</v>
      </c>
      <c r="G15" s="7" t="n">
        <v>4.5</v>
      </c>
      <c r="H15" s="12" t="n">
        <v>75</v>
      </c>
      <c r="I15" s="11" t="n">
        <v>0.2</v>
      </c>
      <c r="J15" s="9">
        <f>IF(B15="","",(N(C15)+N(D15)))</f>
        <v/>
      </c>
      <c r="K15" s="9">
        <f>IF(B15="","",INDEX(Settings!$D$8:$D$15,MATCH(Settings!$C$4,Settings!$B$8:$B$15,0))+INDEX(Settings!$E$8:$E$15,MATCH(Settings!$C$4,Settings!$B$8:$B$15,0))*(N(C15)+N(D15))+INDEX(Settings!$F$8:$F$15,MATCH(Settings!$C$4,Settings!$B$8:$B$15,0))*(N(C15)+N(D15))*(1+Settings!$C$26)+INDEX(Settings!$G$8:$G$15,MATCH(Settings!$C$4,Settings!$B$8:$B$15,0))+N(I15)*MIN(Settings!$C$23*(N(C15)+N(D15)),Settings!$C$24)+INDEX(Settings!$H$8:$H$15,MATCH(Settings!$C$4,Settings!$B$8:$B$15,0))*(N(C15)+N(D15))+IF(Settings!$C$25="Yes",0.025,0)*(N(C15)+N(D15))+INDEX(Settings!$I$8:$I$15,MATCH(Settings!$C$4,Settings!$B$8:$B$15,0))*(INDEX(Settings!$D$8:$D$15,MATCH(Settings!$C$4,Settings!$B$8:$B$15,0))+INDEX(Settings!$E$8:$E$15,MATCH(Settings!$C$4,Settings!$B$8:$B$15,0))*(N(C15)+N(D15))+N(I15)*MIN(Settings!$C$23*(N(C15)+N(D15)),Settings!$C$24)+INDEX(Settings!$H$8:$H$15,MATCH(Settings!$C$4,Settings!$B$8:$B$15,0))*(N(C15)+N(D15))))</f>
        <v/>
      </c>
      <c r="L15" s="9">
        <f>IF(B15="","",N(E15)+N(F15)+N(G15)+N(H15)/60*Settings!$C$27)</f>
        <v/>
      </c>
      <c r="M15" s="20">
        <f>IF(B15="","",J15-K15-L15)</f>
        <v/>
      </c>
      <c r="N15" s="26">
        <f>IF(OR(B15="",N(J15)=0),"",M15/J15)</f>
        <v/>
      </c>
      <c r="O15" s="8">
        <f>IF(B15="","",IF(M15&lt;0,"Loss",IF(N15&lt;Settings!$C$28,"Below target","On target")))</f>
        <v/>
      </c>
      <c r="P15" s="14">
        <f>IF(B15="","",IF(1-(INDEX(Settings!$E$8:$E$15,MATCH(Settings!$C$4,Settings!$B$8:$B$15,0))+INDEX(Settings!$F$8:$F$15,MATCH(Settings!$C$4,Settings!$B$8:$B$15,0))*(1+Settings!$C$26)+N(I15)*Settings!$C$23+INDEX(Settings!$H$8:$H$15,MATCH(Settings!$C$4,Settings!$B$8:$B$15,0))+IF(Settings!$C$25="Yes",0.025,0)+INDEX(Settings!$I$8:$I$15,MATCH(Settings!$C$4,Settings!$B$8:$B$15,0))*(INDEX(Settings!$E$8:$E$15,MATCH(Settings!$C$4,Settings!$B$8:$B$15,0))+N(I15)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15)/(1-(INDEX(Settings!$E$8:$E$15,MATCH(Settings!$C$4,Settings!$B$8:$B$15,0))+INDEX(Settings!$F$8:$F$15,MATCH(Settings!$C$4,Settings!$B$8:$B$15,0))*(1+Settings!$C$26)+N(I15)*Settings!$C$23+INDEX(Settings!$H$8:$H$15,MATCH(Settings!$C$4,Settings!$B$8:$B$15,0))+IF(Settings!$C$25="Yes",0.025,0)+INDEX(Settings!$I$8:$I$15,MATCH(Settings!$C$4,Settings!$B$8:$B$15,0))*(INDEX(Settings!$E$8:$E$15,MATCH(Settings!$C$4,Settings!$B$8:$B$15,0))+N(I15)*Settings!$C$23+INDEX(Settings!$H$8:$H$15,MATCH(Settings!$C$4,Settings!$B$8:$B$15,0))))-Settings!$C$28)-N(D15))))</f>
        <v/>
      </c>
      <c r="Q15" s="1" t="n"/>
    </row>
    <row r="16">
      <c r="A16" s="1" t="n"/>
      <c r="B16" s="25" t="n"/>
      <c r="C16" s="7" t="n"/>
      <c r="D16" s="7" t="n"/>
      <c r="E16" s="7" t="n"/>
      <c r="F16" s="7" t="n"/>
      <c r="G16" s="7" t="n"/>
      <c r="H16" s="12" t="n"/>
      <c r="I16" s="11" t="n"/>
      <c r="J16" s="9">
        <f>IF(B16="","",(N(C16)+N(D16)))</f>
        <v/>
      </c>
      <c r="K16" s="9">
        <f>IF(B16="","",INDEX(Settings!$D$8:$D$15,MATCH(Settings!$C$4,Settings!$B$8:$B$15,0))+INDEX(Settings!$E$8:$E$15,MATCH(Settings!$C$4,Settings!$B$8:$B$15,0))*(N(C16)+N(D16))+INDEX(Settings!$F$8:$F$15,MATCH(Settings!$C$4,Settings!$B$8:$B$15,0))*(N(C16)+N(D16))*(1+Settings!$C$26)+INDEX(Settings!$G$8:$G$15,MATCH(Settings!$C$4,Settings!$B$8:$B$15,0))+N(I16)*MIN(Settings!$C$23*(N(C16)+N(D16)),Settings!$C$24)+INDEX(Settings!$H$8:$H$15,MATCH(Settings!$C$4,Settings!$B$8:$B$15,0))*(N(C16)+N(D16))+IF(Settings!$C$25="Yes",0.025,0)*(N(C16)+N(D16))+INDEX(Settings!$I$8:$I$15,MATCH(Settings!$C$4,Settings!$B$8:$B$15,0))*(INDEX(Settings!$D$8:$D$15,MATCH(Settings!$C$4,Settings!$B$8:$B$15,0))+INDEX(Settings!$E$8:$E$15,MATCH(Settings!$C$4,Settings!$B$8:$B$15,0))*(N(C16)+N(D16))+N(I16)*MIN(Settings!$C$23*(N(C16)+N(D16)),Settings!$C$24)+INDEX(Settings!$H$8:$H$15,MATCH(Settings!$C$4,Settings!$B$8:$B$15,0))*(N(C16)+N(D16))))</f>
        <v/>
      </c>
      <c r="L16" s="9">
        <f>IF(B16="","",N(E16)+N(F16)+N(G16)+N(H16)/60*Settings!$C$27)</f>
        <v/>
      </c>
      <c r="M16" s="20">
        <f>IF(B16="","",J16-K16-L16)</f>
        <v/>
      </c>
      <c r="N16" s="26">
        <f>IF(OR(B16="",N(J16)=0),"",M16/J16)</f>
        <v/>
      </c>
      <c r="O16" s="8">
        <f>IF(B16="","",IF(M16&lt;0,"Loss",IF(N16&lt;Settings!$C$28,"Below target","On target")))</f>
        <v/>
      </c>
      <c r="P16" s="14">
        <f>IF(B16="","",IF(1-(INDEX(Settings!$E$8:$E$15,MATCH(Settings!$C$4,Settings!$B$8:$B$15,0))+INDEX(Settings!$F$8:$F$15,MATCH(Settings!$C$4,Settings!$B$8:$B$15,0))*(1+Settings!$C$26)+N(I16)*Settings!$C$23+INDEX(Settings!$H$8:$H$15,MATCH(Settings!$C$4,Settings!$B$8:$B$15,0))+IF(Settings!$C$25="Yes",0.025,0)+INDEX(Settings!$I$8:$I$15,MATCH(Settings!$C$4,Settings!$B$8:$B$15,0))*(INDEX(Settings!$E$8:$E$15,MATCH(Settings!$C$4,Settings!$B$8:$B$15,0))+N(I16)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16)/(1-(INDEX(Settings!$E$8:$E$15,MATCH(Settings!$C$4,Settings!$B$8:$B$15,0))+INDEX(Settings!$F$8:$F$15,MATCH(Settings!$C$4,Settings!$B$8:$B$15,0))*(1+Settings!$C$26)+N(I16)*Settings!$C$23+INDEX(Settings!$H$8:$H$15,MATCH(Settings!$C$4,Settings!$B$8:$B$15,0))+IF(Settings!$C$25="Yes",0.025,0)+INDEX(Settings!$I$8:$I$15,MATCH(Settings!$C$4,Settings!$B$8:$B$15,0))*(INDEX(Settings!$E$8:$E$15,MATCH(Settings!$C$4,Settings!$B$8:$B$15,0))+N(I16)*Settings!$C$23+INDEX(Settings!$H$8:$H$15,MATCH(Settings!$C$4,Settings!$B$8:$B$15,0))))-Settings!$C$28)-N(D16))))</f>
        <v/>
      </c>
      <c r="Q16" s="1" t="n"/>
    </row>
    <row r="17">
      <c r="A17" s="1" t="n"/>
      <c r="B17" s="25" t="n"/>
      <c r="C17" s="7" t="n"/>
      <c r="D17" s="7" t="n"/>
      <c r="E17" s="7" t="n"/>
      <c r="F17" s="7" t="n"/>
      <c r="G17" s="7" t="n"/>
      <c r="H17" s="12" t="n"/>
      <c r="I17" s="11" t="n"/>
      <c r="J17" s="9">
        <f>IF(B17="","",(N(C17)+N(D17)))</f>
        <v/>
      </c>
      <c r="K17" s="9">
        <f>IF(B17="","",INDEX(Settings!$D$8:$D$15,MATCH(Settings!$C$4,Settings!$B$8:$B$15,0))+INDEX(Settings!$E$8:$E$15,MATCH(Settings!$C$4,Settings!$B$8:$B$15,0))*(N(C17)+N(D17))+INDEX(Settings!$F$8:$F$15,MATCH(Settings!$C$4,Settings!$B$8:$B$15,0))*(N(C17)+N(D17))*(1+Settings!$C$26)+INDEX(Settings!$G$8:$G$15,MATCH(Settings!$C$4,Settings!$B$8:$B$15,0))+N(I17)*MIN(Settings!$C$23*(N(C17)+N(D17)),Settings!$C$24)+INDEX(Settings!$H$8:$H$15,MATCH(Settings!$C$4,Settings!$B$8:$B$15,0))*(N(C17)+N(D17))+IF(Settings!$C$25="Yes",0.025,0)*(N(C17)+N(D17))+INDEX(Settings!$I$8:$I$15,MATCH(Settings!$C$4,Settings!$B$8:$B$15,0))*(INDEX(Settings!$D$8:$D$15,MATCH(Settings!$C$4,Settings!$B$8:$B$15,0))+INDEX(Settings!$E$8:$E$15,MATCH(Settings!$C$4,Settings!$B$8:$B$15,0))*(N(C17)+N(D17))+N(I17)*MIN(Settings!$C$23*(N(C17)+N(D17)),Settings!$C$24)+INDEX(Settings!$H$8:$H$15,MATCH(Settings!$C$4,Settings!$B$8:$B$15,0))*(N(C17)+N(D17))))</f>
        <v/>
      </c>
      <c r="L17" s="9">
        <f>IF(B17="","",N(E17)+N(F17)+N(G17)+N(H17)/60*Settings!$C$27)</f>
        <v/>
      </c>
      <c r="M17" s="20">
        <f>IF(B17="","",J17-K17-L17)</f>
        <v/>
      </c>
      <c r="N17" s="26">
        <f>IF(OR(B17="",N(J17)=0),"",M17/J17)</f>
        <v/>
      </c>
      <c r="O17" s="8">
        <f>IF(B17="","",IF(M17&lt;0,"Loss",IF(N17&lt;Settings!$C$28,"Below target","On target")))</f>
        <v/>
      </c>
      <c r="P17" s="14">
        <f>IF(B17="","",IF(1-(INDEX(Settings!$E$8:$E$15,MATCH(Settings!$C$4,Settings!$B$8:$B$15,0))+INDEX(Settings!$F$8:$F$15,MATCH(Settings!$C$4,Settings!$B$8:$B$15,0))*(1+Settings!$C$26)+N(I17)*Settings!$C$23+INDEX(Settings!$H$8:$H$15,MATCH(Settings!$C$4,Settings!$B$8:$B$15,0))+IF(Settings!$C$25="Yes",0.025,0)+INDEX(Settings!$I$8:$I$15,MATCH(Settings!$C$4,Settings!$B$8:$B$15,0))*(INDEX(Settings!$E$8:$E$15,MATCH(Settings!$C$4,Settings!$B$8:$B$15,0))+N(I17)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17)/(1-(INDEX(Settings!$E$8:$E$15,MATCH(Settings!$C$4,Settings!$B$8:$B$15,0))+INDEX(Settings!$F$8:$F$15,MATCH(Settings!$C$4,Settings!$B$8:$B$15,0))*(1+Settings!$C$26)+N(I17)*Settings!$C$23+INDEX(Settings!$H$8:$H$15,MATCH(Settings!$C$4,Settings!$B$8:$B$15,0))+IF(Settings!$C$25="Yes",0.025,0)+INDEX(Settings!$I$8:$I$15,MATCH(Settings!$C$4,Settings!$B$8:$B$15,0))*(INDEX(Settings!$E$8:$E$15,MATCH(Settings!$C$4,Settings!$B$8:$B$15,0))+N(I17)*Settings!$C$23+INDEX(Settings!$H$8:$H$15,MATCH(Settings!$C$4,Settings!$B$8:$B$15,0))))-Settings!$C$28)-N(D17))))</f>
        <v/>
      </c>
      <c r="Q17" s="1" t="n"/>
    </row>
    <row r="18">
      <c r="A18" s="1" t="n"/>
      <c r="B18" s="25" t="n"/>
      <c r="C18" s="7" t="n"/>
      <c r="D18" s="7" t="n"/>
      <c r="E18" s="7" t="n"/>
      <c r="F18" s="7" t="n"/>
      <c r="G18" s="7" t="n"/>
      <c r="H18" s="12" t="n"/>
      <c r="I18" s="11" t="n"/>
      <c r="J18" s="9">
        <f>IF(B18="","",(N(C18)+N(D18)))</f>
        <v/>
      </c>
      <c r="K18" s="9">
        <f>IF(B18="","",INDEX(Settings!$D$8:$D$15,MATCH(Settings!$C$4,Settings!$B$8:$B$15,0))+INDEX(Settings!$E$8:$E$15,MATCH(Settings!$C$4,Settings!$B$8:$B$15,0))*(N(C18)+N(D18))+INDEX(Settings!$F$8:$F$15,MATCH(Settings!$C$4,Settings!$B$8:$B$15,0))*(N(C18)+N(D18))*(1+Settings!$C$26)+INDEX(Settings!$G$8:$G$15,MATCH(Settings!$C$4,Settings!$B$8:$B$15,0))+N(I18)*MIN(Settings!$C$23*(N(C18)+N(D18)),Settings!$C$24)+INDEX(Settings!$H$8:$H$15,MATCH(Settings!$C$4,Settings!$B$8:$B$15,0))*(N(C18)+N(D18))+IF(Settings!$C$25="Yes",0.025,0)*(N(C18)+N(D18))+INDEX(Settings!$I$8:$I$15,MATCH(Settings!$C$4,Settings!$B$8:$B$15,0))*(INDEX(Settings!$D$8:$D$15,MATCH(Settings!$C$4,Settings!$B$8:$B$15,0))+INDEX(Settings!$E$8:$E$15,MATCH(Settings!$C$4,Settings!$B$8:$B$15,0))*(N(C18)+N(D18))+N(I18)*MIN(Settings!$C$23*(N(C18)+N(D18)),Settings!$C$24)+INDEX(Settings!$H$8:$H$15,MATCH(Settings!$C$4,Settings!$B$8:$B$15,0))*(N(C18)+N(D18))))</f>
        <v/>
      </c>
      <c r="L18" s="9">
        <f>IF(B18="","",N(E18)+N(F18)+N(G18)+N(H18)/60*Settings!$C$27)</f>
        <v/>
      </c>
      <c r="M18" s="20">
        <f>IF(B18="","",J18-K18-L18)</f>
        <v/>
      </c>
      <c r="N18" s="26">
        <f>IF(OR(B18="",N(J18)=0),"",M18/J18)</f>
        <v/>
      </c>
      <c r="O18" s="8">
        <f>IF(B18="","",IF(M18&lt;0,"Loss",IF(N18&lt;Settings!$C$28,"Below target","On target")))</f>
        <v/>
      </c>
      <c r="P18" s="14">
        <f>IF(B18="","",IF(1-(INDEX(Settings!$E$8:$E$15,MATCH(Settings!$C$4,Settings!$B$8:$B$15,0))+INDEX(Settings!$F$8:$F$15,MATCH(Settings!$C$4,Settings!$B$8:$B$15,0))*(1+Settings!$C$26)+N(I18)*Settings!$C$23+INDEX(Settings!$H$8:$H$15,MATCH(Settings!$C$4,Settings!$B$8:$B$15,0))+IF(Settings!$C$25="Yes",0.025,0)+INDEX(Settings!$I$8:$I$15,MATCH(Settings!$C$4,Settings!$B$8:$B$15,0))*(INDEX(Settings!$E$8:$E$15,MATCH(Settings!$C$4,Settings!$B$8:$B$15,0))+N(I18)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18)/(1-(INDEX(Settings!$E$8:$E$15,MATCH(Settings!$C$4,Settings!$B$8:$B$15,0))+INDEX(Settings!$F$8:$F$15,MATCH(Settings!$C$4,Settings!$B$8:$B$15,0))*(1+Settings!$C$26)+N(I18)*Settings!$C$23+INDEX(Settings!$H$8:$H$15,MATCH(Settings!$C$4,Settings!$B$8:$B$15,0))+IF(Settings!$C$25="Yes",0.025,0)+INDEX(Settings!$I$8:$I$15,MATCH(Settings!$C$4,Settings!$B$8:$B$15,0))*(INDEX(Settings!$E$8:$E$15,MATCH(Settings!$C$4,Settings!$B$8:$B$15,0))+N(I18)*Settings!$C$23+INDEX(Settings!$H$8:$H$15,MATCH(Settings!$C$4,Settings!$B$8:$B$15,0))))-Settings!$C$28)-N(D18))))</f>
        <v/>
      </c>
      <c r="Q18" s="1" t="n"/>
    </row>
    <row r="19">
      <c r="A19" s="1" t="n"/>
      <c r="B19" s="25" t="n"/>
      <c r="C19" s="7" t="n"/>
      <c r="D19" s="7" t="n"/>
      <c r="E19" s="7" t="n"/>
      <c r="F19" s="7" t="n"/>
      <c r="G19" s="7" t="n"/>
      <c r="H19" s="12" t="n"/>
      <c r="I19" s="11" t="n"/>
      <c r="J19" s="9">
        <f>IF(B19="","",(N(C19)+N(D19)))</f>
        <v/>
      </c>
      <c r="K19" s="9">
        <f>IF(B19="","",INDEX(Settings!$D$8:$D$15,MATCH(Settings!$C$4,Settings!$B$8:$B$15,0))+INDEX(Settings!$E$8:$E$15,MATCH(Settings!$C$4,Settings!$B$8:$B$15,0))*(N(C19)+N(D19))+INDEX(Settings!$F$8:$F$15,MATCH(Settings!$C$4,Settings!$B$8:$B$15,0))*(N(C19)+N(D19))*(1+Settings!$C$26)+INDEX(Settings!$G$8:$G$15,MATCH(Settings!$C$4,Settings!$B$8:$B$15,0))+N(I19)*MIN(Settings!$C$23*(N(C19)+N(D19)),Settings!$C$24)+INDEX(Settings!$H$8:$H$15,MATCH(Settings!$C$4,Settings!$B$8:$B$15,0))*(N(C19)+N(D19))+IF(Settings!$C$25="Yes",0.025,0)*(N(C19)+N(D19))+INDEX(Settings!$I$8:$I$15,MATCH(Settings!$C$4,Settings!$B$8:$B$15,0))*(INDEX(Settings!$D$8:$D$15,MATCH(Settings!$C$4,Settings!$B$8:$B$15,0))+INDEX(Settings!$E$8:$E$15,MATCH(Settings!$C$4,Settings!$B$8:$B$15,0))*(N(C19)+N(D19))+N(I19)*MIN(Settings!$C$23*(N(C19)+N(D19)),Settings!$C$24)+INDEX(Settings!$H$8:$H$15,MATCH(Settings!$C$4,Settings!$B$8:$B$15,0))*(N(C19)+N(D19))))</f>
        <v/>
      </c>
      <c r="L19" s="9">
        <f>IF(B19="","",N(E19)+N(F19)+N(G19)+N(H19)/60*Settings!$C$27)</f>
        <v/>
      </c>
      <c r="M19" s="20">
        <f>IF(B19="","",J19-K19-L19)</f>
        <v/>
      </c>
      <c r="N19" s="26">
        <f>IF(OR(B19="",N(J19)=0),"",M19/J19)</f>
        <v/>
      </c>
      <c r="O19" s="8">
        <f>IF(B19="","",IF(M19&lt;0,"Loss",IF(N19&lt;Settings!$C$28,"Below target","On target")))</f>
        <v/>
      </c>
      <c r="P19" s="14">
        <f>IF(B19="","",IF(1-(INDEX(Settings!$E$8:$E$15,MATCH(Settings!$C$4,Settings!$B$8:$B$15,0))+INDEX(Settings!$F$8:$F$15,MATCH(Settings!$C$4,Settings!$B$8:$B$15,0))*(1+Settings!$C$26)+N(I19)*Settings!$C$23+INDEX(Settings!$H$8:$H$15,MATCH(Settings!$C$4,Settings!$B$8:$B$15,0))+IF(Settings!$C$25="Yes",0.025,0)+INDEX(Settings!$I$8:$I$15,MATCH(Settings!$C$4,Settings!$B$8:$B$15,0))*(INDEX(Settings!$E$8:$E$15,MATCH(Settings!$C$4,Settings!$B$8:$B$15,0))+N(I19)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19)/(1-(INDEX(Settings!$E$8:$E$15,MATCH(Settings!$C$4,Settings!$B$8:$B$15,0))+INDEX(Settings!$F$8:$F$15,MATCH(Settings!$C$4,Settings!$B$8:$B$15,0))*(1+Settings!$C$26)+N(I19)*Settings!$C$23+INDEX(Settings!$H$8:$H$15,MATCH(Settings!$C$4,Settings!$B$8:$B$15,0))+IF(Settings!$C$25="Yes",0.025,0)+INDEX(Settings!$I$8:$I$15,MATCH(Settings!$C$4,Settings!$B$8:$B$15,0))*(INDEX(Settings!$E$8:$E$15,MATCH(Settings!$C$4,Settings!$B$8:$B$15,0))+N(I19)*Settings!$C$23+INDEX(Settings!$H$8:$H$15,MATCH(Settings!$C$4,Settings!$B$8:$B$15,0))))-Settings!$C$28)-N(D19))))</f>
        <v/>
      </c>
      <c r="Q19" s="1" t="n"/>
    </row>
    <row r="20">
      <c r="A20" s="1" t="n"/>
      <c r="B20" s="25" t="n"/>
      <c r="C20" s="7" t="n"/>
      <c r="D20" s="7" t="n"/>
      <c r="E20" s="7" t="n"/>
      <c r="F20" s="7" t="n"/>
      <c r="G20" s="7" t="n"/>
      <c r="H20" s="12" t="n"/>
      <c r="I20" s="11" t="n"/>
      <c r="J20" s="9">
        <f>IF(B20="","",(N(C20)+N(D20)))</f>
        <v/>
      </c>
      <c r="K20" s="9">
        <f>IF(B20="","",INDEX(Settings!$D$8:$D$15,MATCH(Settings!$C$4,Settings!$B$8:$B$15,0))+INDEX(Settings!$E$8:$E$15,MATCH(Settings!$C$4,Settings!$B$8:$B$15,0))*(N(C20)+N(D20))+INDEX(Settings!$F$8:$F$15,MATCH(Settings!$C$4,Settings!$B$8:$B$15,0))*(N(C20)+N(D20))*(1+Settings!$C$26)+INDEX(Settings!$G$8:$G$15,MATCH(Settings!$C$4,Settings!$B$8:$B$15,0))+N(I20)*MIN(Settings!$C$23*(N(C20)+N(D20)),Settings!$C$24)+INDEX(Settings!$H$8:$H$15,MATCH(Settings!$C$4,Settings!$B$8:$B$15,0))*(N(C20)+N(D20))+IF(Settings!$C$25="Yes",0.025,0)*(N(C20)+N(D20))+INDEX(Settings!$I$8:$I$15,MATCH(Settings!$C$4,Settings!$B$8:$B$15,0))*(INDEX(Settings!$D$8:$D$15,MATCH(Settings!$C$4,Settings!$B$8:$B$15,0))+INDEX(Settings!$E$8:$E$15,MATCH(Settings!$C$4,Settings!$B$8:$B$15,0))*(N(C20)+N(D20))+N(I20)*MIN(Settings!$C$23*(N(C20)+N(D20)),Settings!$C$24)+INDEX(Settings!$H$8:$H$15,MATCH(Settings!$C$4,Settings!$B$8:$B$15,0))*(N(C20)+N(D20))))</f>
        <v/>
      </c>
      <c r="L20" s="9">
        <f>IF(B20="","",N(E20)+N(F20)+N(G20)+N(H20)/60*Settings!$C$27)</f>
        <v/>
      </c>
      <c r="M20" s="20">
        <f>IF(B20="","",J20-K20-L20)</f>
        <v/>
      </c>
      <c r="N20" s="26">
        <f>IF(OR(B20="",N(J20)=0),"",M20/J20)</f>
        <v/>
      </c>
      <c r="O20" s="8">
        <f>IF(B20="","",IF(M20&lt;0,"Loss",IF(N20&lt;Settings!$C$28,"Below target","On target")))</f>
        <v/>
      </c>
      <c r="P20" s="14">
        <f>IF(B20="","",IF(1-(INDEX(Settings!$E$8:$E$15,MATCH(Settings!$C$4,Settings!$B$8:$B$15,0))+INDEX(Settings!$F$8:$F$15,MATCH(Settings!$C$4,Settings!$B$8:$B$15,0))*(1+Settings!$C$26)+N(I20)*Settings!$C$23+INDEX(Settings!$H$8:$H$15,MATCH(Settings!$C$4,Settings!$B$8:$B$15,0))+IF(Settings!$C$25="Yes",0.025,0)+INDEX(Settings!$I$8:$I$15,MATCH(Settings!$C$4,Settings!$B$8:$B$15,0))*(INDEX(Settings!$E$8:$E$15,MATCH(Settings!$C$4,Settings!$B$8:$B$15,0))+N(I20)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20)/(1-(INDEX(Settings!$E$8:$E$15,MATCH(Settings!$C$4,Settings!$B$8:$B$15,0))+INDEX(Settings!$F$8:$F$15,MATCH(Settings!$C$4,Settings!$B$8:$B$15,0))*(1+Settings!$C$26)+N(I20)*Settings!$C$23+INDEX(Settings!$H$8:$H$15,MATCH(Settings!$C$4,Settings!$B$8:$B$15,0))+IF(Settings!$C$25="Yes",0.025,0)+INDEX(Settings!$I$8:$I$15,MATCH(Settings!$C$4,Settings!$B$8:$B$15,0))*(INDEX(Settings!$E$8:$E$15,MATCH(Settings!$C$4,Settings!$B$8:$B$15,0))+N(I20)*Settings!$C$23+INDEX(Settings!$H$8:$H$15,MATCH(Settings!$C$4,Settings!$B$8:$B$15,0))))-Settings!$C$28)-N(D20))))</f>
        <v/>
      </c>
      <c r="Q20" s="1" t="n"/>
    </row>
    <row r="21">
      <c r="A21" s="1" t="n"/>
      <c r="B21" s="25" t="n"/>
      <c r="C21" s="7" t="n"/>
      <c r="D21" s="7" t="n"/>
      <c r="E21" s="7" t="n"/>
      <c r="F21" s="7" t="n"/>
      <c r="G21" s="7" t="n"/>
      <c r="H21" s="12" t="n"/>
      <c r="I21" s="11" t="n"/>
      <c r="J21" s="9">
        <f>IF(B21="","",(N(C21)+N(D21)))</f>
        <v/>
      </c>
      <c r="K21" s="9">
        <f>IF(B21="","",INDEX(Settings!$D$8:$D$15,MATCH(Settings!$C$4,Settings!$B$8:$B$15,0))+INDEX(Settings!$E$8:$E$15,MATCH(Settings!$C$4,Settings!$B$8:$B$15,0))*(N(C21)+N(D21))+INDEX(Settings!$F$8:$F$15,MATCH(Settings!$C$4,Settings!$B$8:$B$15,0))*(N(C21)+N(D21))*(1+Settings!$C$26)+INDEX(Settings!$G$8:$G$15,MATCH(Settings!$C$4,Settings!$B$8:$B$15,0))+N(I21)*MIN(Settings!$C$23*(N(C21)+N(D21)),Settings!$C$24)+INDEX(Settings!$H$8:$H$15,MATCH(Settings!$C$4,Settings!$B$8:$B$15,0))*(N(C21)+N(D21))+IF(Settings!$C$25="Yes",0.025,0)*(N(C21)+N(D21))+INDEX(Settings!$I$8:$I$15,MATCH(Settings!$C$4,Settings!$B$8:$B$15,0))*(INDEX(Settings!$D$8:$D$15,MATCH(Settings!$C$4,Settings!$B$8:$B$15,0))+INDEX(Settings!$E$8:$E$15,MATCH(Settings!$C$4,Settings!$B$8:$B$15,0))*(N(C21)+N(D21))+N(I21)*MIN(Settings!$C$23*(N(C21)+N(D21)),Settings!$C$24)+INDEX(Settings!$H$8:$H$15,MATCH(Settings!$C$4,Settings!$B$8:$B$15,0))*(N(C21)+N(D21))))</f>
        <v/>
      </c>
      <c r="L21" s="9">
        <f>IF(B21="","",N(E21)+N(F21)+N(G21)+N(H21)/60*Settings!$C$27)</f>
        <v/>
      </c>
      <c r="M21" s="20">
        <f>IF(B21="","",J21-K21-L21)</f>
        <v/>
      </c>
      <c r="N21" s="26">
        <f>IF(OR(B21="",N(J21)=0),"",M21/J21)</f>
        <v/>
      </c>
      <c r="O21" s="8">
        <f>IF(B21="","",IF(M21&lt;0,"Loss",IF(N21&lt;Settings!$C$28,"Below target","On target")))</f>
        <v/>
      </c>
      <c r="P21" s="14">
        <f>IF(B21="","",IF(1-(INDEX(Settings!$E$8:$E$15,MATCH(Settings!$C$4,Settings!$B$8:$B$15,0))+INDEX(Settings!$F$8:$F$15,MATCH(Settings!$C$4,Settings!$B$8:$B$15,0))*(1+Settings!$C$26)+N(I21)*Settings!$C$23+INDEX(Settings!$H$8:$H$15,MATCH(Settings!$C$4,Settings!$B$8:$B$15,0))+IF(Settings!$C$25="Yes",0.025,0)+INDEX(Settings!$I$8:$I$15,MATCH(Settings!$C$4,Settings!$B$8:$B$15,0))*(INDEX(Settings!$E$8:$E$15,MATCH(Settings!$C$4,Settings!$B$8:$B$15,0))+N(I21)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21)/(1-(INDEX(Settings!$E$8:$E$15,MATCH(Settings!$C$4,Settings!$B$8:$B$15,0))+INDEX(Settings!$F$8:$F$15,MATCH(Settings!$C$4,Settings!$B$8:$B$15,0))*(1+Settings!$C$26)+N(I21)*Settings!$C$23+INDEX(Settings!$H$8:$H$15,MATCH(Settings!$C$4,Settings!$B$8:$B$15,0))+IF(Settings!$C$25="Yes",0.025,0)+INDEX(Settings!$I$8:$I$15,MATCH(Settings!$C$4,Settings!$B$8:$B$15,0))*(INDEX(Settings!$E$8:$E$15,MATCH(Settings!$C$4,Settings!$B$8:$B$15,0))+N(I21)*Settings!$C$23+INDEX(Settings!$H$8:$H$15,MATCH(Settings!$C$4,Settings!$B$8:$B$15,0))))-Settings!$C$28)-N(D21))))</f>
        <v/>
      </c>
      <c r="Q21" s="1" t="n"/>
    </row>
    <row r="22">
      <c r="A22" s="1" t="n"/>
      <c r="B22" s="25" t="n"/>
      <c r="C22" s="7" t="n"/>
      <c r="D22" s="7" t="n"/>
      <c r="E22" s="7" t="n"/>
      <c r="F22" s="7" t="n"/>
      <c r="G22" s="7" t="n"/>
      <c r="H22" s="12" t="n"/>
      <c r="I22" s="11" t="n"/>
      <c r="J22" s="9">
        <f>IF(B22="","",(N(C22)+N(D22)))</f>
        <v/>
      </c>
      <c r="K22" s="9">
        <f>IF(B22="","",INDEX(Settings!$D$8:$D$15,MATCH(Settings!$C$4,Settings!$B$8:$B$15,0))+INDEX(Settings!$E$8:$E$15,MATCH(Settings!$C$4,Settings!$B$8:$B$15,0))*(N(C22)+N(D22))+INDEX(Settings!$F$8:$F$15,MATCH(Settings!$C$4,Settings!$B$8:$B$15,0))*(N(C22)+N(D22))*(1+Settings!$C$26)+INDEX(Settings!$G$8:$G$15,MATCH(Settings!$C$4,Settings!$B$8:$B$15,0))+N(I22)*MIN(Settings!$C$23*(N(C22)+N(D22)),Settings!$C$24)+INDEX(Settings!$H$8:$H$15,MATCH(Settings!$C$4,Settings!$B$8:$B$15,0))*(N(C22)+N(D22))+IF(Settings!$C$25="Yes",0.025,0)*(N(C22)+N(D22))+INDEX(Settings!$I$8:$I$15,MATCH(Settings!$C$4,Settings!$B$8:$B$15,0))*(INDEX(Settings!$D$8:$D$15,MATCH(Settings!$C$4,Settings!$B$8:$B$15,0))+INDEX(Settings!$E$8:$E$15,MATCH(Settings!$C$4,Settings!$B$8:$B$15,0))*(N(C22)+N(D22))+N(I22)*MIN(Settings!$C$23*(N(C22)+N(D22)),Settings!$C$24)+INDEX(Settings!$H$8:$H$15,MATCH(Settings!$C$4,Settings!$B$8:$B$15,0))*(N(C22)+N(D22))))</f>
        <v/>
      </c>
      <c r="L22" s="9">
        <f>IF(B22="","",N(E22)+N(F22)+N(G22)+N(H22)/60*Settings!$C$27)</f>
        <v/>
      </c>
      <c r="M22" s="20">
        <f>IF(B22="","",J22-K22-L22)</f>
        <v/>
      </c>
      <c r="N22" s="26">
        <f>IF(OR(B22="",N(J22)=0),"",M22/J22)</f>
        <v/>
      </c>
      <c r="O22" s="8">
        <f>IF(B22="","",IF(M22&lt;0,"Loss",IF(N22&lt;Settings!$C$28,"Below target","On target")))</f>
        <v/>
      </c>
      <c r="P22" s="14">
        <f>IF(B22="","",IF(1-(INDEX(Settings!$E$8:$E$15,MATCH(Settings!$C$4,Settings!$B$8:$B$15,0))+INDEX(Settings!$F$8:$F$15,MATCH(Settings!$C$4,Settings!$B$8:$B$15,0))*(1+Settings!$C$26)+N(I22)*Settings!$C$23+INDEX(Settings!$H$8:$H$15,MATCH(Settings!$C$4,Settings!$B$8:$B$15,0))+IF(Settings!$C$25="Yes",0.025,0)+INDEX(Settings!$I$8:$I$15,MATCH(Settings!$C$4,Settings!$B$8:$B$15,0))*(INDEX(Settings!$E$8:$E$15,MATCH(Settings!$C$4,Settings!$B$8:$B$15,0))+N(I22)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22)/(1-(INDEX(Settings!$E$8:$E$15,MATCH(Settings!$C$4,Settings!$B$8:$B$15,0))+INDEX(Settings!$F$8:$F$15,MATCH(Settings!$C$4,Settings!$B$8:$B$15,0))*(1+Settings!$C$26)+N(I22)*Settings!$C$23+INDEX(Settings!$H$8:$H$15,MATCH(Settings!$C$4,Settings!$B$8:$B$15,0))+IF(Settings!$C$25="Yes",0.025,0)+INDEX(Settings!$I$8:$I$15,MATCH(Settings!$C$4,Settings!$B$8:$B$15,0))*(INDEX(Settings!$E$8:$E$15,MATCH(Settings!$C$4,Settings!$B$8:$B$15,0))+N(I22)*Settings!$C$23+INDEX(Settings!$H$8:$H$15,MATCH(Settings!$C$4,Settings!$B$8:$B$15,0))))-Settings!$C$28)-N(D22))))</f>
        <v/>
      </c>
      <c r="Q22" s="1" t="n"/>
    </row>
    <row r="23">
      <c r="A23" s="1" t="n"/>
      <c r="B23" s="25" t="n"/>
      <c r="C23" s="7" t="n"/>
      <c r="D23" s="7" t="n"/>
      <c r="E23" s="7" t="n"/>
      <c r="F23" s="7" t="n"/>
      <c r="G23" s="7" t="n"/>
      <c r="H23" s="12" t="n"/>
      <c r="I23" s="11" t="n"/>
      <c r="J23" s="9">
        <f>IF(B23="","",(N(C23)+N(D23)))</f>
        <v/>
      </c>
      <c r="K23" s="9">
        <f>IF(B23="","",INDEX(Settings!$D$8:$D$15,MATCH(Settings!$C$4,Settings!$B$8:$B$15,0))+INDEX(Settings!$E$8:$E$15,MATCH(Settings!$C$4,Settings!$B$8:$B$15,0))*(N(C23)+N(D23))+INDEX(Settings!$F$8:$F$15,MATCH(Settings!$C$4,Settings!$B$8:$B$15,0))*(N(C23)+N(D23))*(1+Settings!$C$26)+INDEX(Settings!$G$8:$G$15,MATCH(Settings!$C$4,Settings!$B$8:$B$15,0))+N(I23)*MIN(Settings!$C$23*(N(C23)+N(D23)),Settings!$C$24)+INDEX(Settings!$H$8:$H$15,MATCH(Settings!$C$4,Settings!$B$8:$B$15,0))*(N(C23)+N(D23))+IF(Settings!$C$25="Yes",0.025,0)*(N(C23)+N(D23))+INDEX(Settings!$I$8:$I$15,MATCH(Settings!$C$4,Settings!$B$8:$B$15,0))*(INDEX(Settings!$D$8:$D$15,MATCH(Settings!$C$4,Settings!$B$8:$B$15,0))+INDEX(Settings!$E$8:$E$15,MATCH(Settings!$C$4,Settings!$B$8:$B$15,0))*(N(C23)+N(D23))+N(I23)*MIN(Settings!$C$23*(N(C23)+N(D23)),Settings!$C$24)+INDEX(Settings!$H$8:$H$15,MATCH(Settings!$C$4,Settings!$B$8:$B$15,0))*(N(C23)+N(D23))))</f>
        <v/>
      </c>
      <c r="L23" s="9">
        <f>IF(B23="","",N(E23)+N(F23)+N(G23)+N(H23)/60*Settings!$C$27)</f>
        <v/>
      </c>
      <c r="M23" s="20">
        <f>IF(B23="","",J23-K23-L23)</f>
        <v/>
      </c>
      <c r="N23" s="26">
        <f>IF(OR(B23="",N(J23)=0),"",M23/J23)</f>
        <v/>
      </c>
      <c r="O23" s="8">
        <f>IF(B23="","",IF(M23&lt;0,"Loss",IF(N23&lt;Settings!$C$28,"Below target","On target")))</f>
        <v/>
      </c>
      <c r="P23" s="14">
        <f>IF(B23="","",IF(1-(INDEX(Settings!$E$8:$E$15,MATCH(Settings!$C$4,Settings!$B$8:$B$15,0))+INDEX(Settings!$F$8:$F$15,MATCH(Settings!$C$4,Settings!$B$8:$B$15,0))*(1+Settings!$C$26)+N(I23)*Settings!$C$23+INDEX(Settings!$H$8:$H$15,MATCH(Settings!$C$4,Settings!$B$8:$B$15,0))+IF(Settings!$C$25="Yes",0.025,0)+INDEX(Settings!$I$8:$I$15,MATCH(Settings!$C$4,Settings!$B$8:$B$15,0))*(INDEX(Settings!$E$8:$E$15,MATCH(Settings!$C$4,Settings!$B$8:$B$15,0))+N(I23)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23)/(1-(INDEX(Settings!$E$8:$E$15,MATCH(Settings!$C$4,Settings!$B$8:$B$15,0))+INDEX(Settings!$F$8:$F$15,MATCH(Settings!$C$4,Settings!$B$8:$B$15,0))*(1+Settings!$C$26)+N(I23)*Settings!$C$23+INDEX(Settings!$H$8:$H$15,MATCH(Settings!$C$4,Settings!$B$8:$B$15,0))+IF(Settings!$C$25="Yes",0.025,0)+INDEX(Settings!$I$8:$I$15,MATCH(Settings!$C$4,Settings!$B$8:$B$15,0))*(INDEX(Settings!$E$8:$E$15,MATCH(Settings!$C$4,Settings!$B$8:$B$15,0))+N(I23)*Settings!$C$23+INDEX(Settings!$H$8:$H$15,MATCH(Settings!$C$4,Settings!$B$8:$B$15,0))))-Settings!$C$28)-N(D23))))</f>
        <v/>
      </c>
      <c r="Q23" s="1" t="n"/>
    </row>
    <row r="24">
      <c r="A24" s="1" t="n"/>
      <c r="B24" s="25" t="n"/>
      <c r="C24" s="7" t="n"/>
      <c r="D24" s="7" t="n"/>
      <c r="E24" s="7" t="n"/>
      <c r="F24" s="7" t="n"/>
      <c r="G24" s="7" t="n"/>
      <c r="H24" s="12" t="n"/>
      <c r="I24" s="11" t="n"/>
      <c r="J24" s="9">
        <f>IF(B24="","",(N(C24)+N(D24)))</f>
        <v/>
      </c>
      <c r="K24" s="9">
        <f>IF(B24="","",INDEX(Settings!$D$8:$D$15,MATCH(Settings!$C$4,Settings!$B$8:$B$15,0))+INDEX(Settings!$E$8:$E$15,MATCH(Settings!$C$4,Settings!$B$8:$B$15,0))*(N(C24)+N(D24))+INDEX(Settings!$F$8:$F$15,MATCH(Settings!$C$4,Settings!$B$8:$B$15,0))*(N(C24)+N(D24))*(1+Settings!$C$26)+INDEX(Settings!$G$8:$G$15,MATCH(Settings!$C$4,Settings!$B$8:$B$15,0))+N(I24)*MIN(Settings!$C$23*(N(C24)+N(D24)),Settings!$C$24)+INDEX(Settings!$H$8:$H$15,MATCH(Settings!$C$4,Settings!$B$8:$B$15,0))*(N(C24)+N(D24))+IF(Settings!$C$25="Yes",0.025,0)*(N(C24)+N(D24))+INDEX(Settings!$I$8:$I$15,MATCH(Settings!$C$4,Settings!$B$8:$B$15,0))*(INDEX(Settings!$D$8:$D$15,MATCH(Settings!$C$4,Settings!$B$8:$B$15,0))+INDEX(Settings!$E$8:$E$15,MATCH(Settings!$C$4,Settings!$B$8:$B$15,0))*(N(C24)+N(D24))+N(I24)*MIN(Settings!$C$23*(N(C24)+N(D24)),Settings!$C$24)+INDEX(Settings!$H$8:$H$15,MATCH(Settings!$C$4,Settings!$B$8:$B$15,0))*(N(C24)+N(D24))))</f>
        <v/>
      </c>
      <c r="L24" s="9">
        <f>IF(B24="","",N(E24)+N(F24)+N(G24)+N(H24)/60*Settings!$C$27)</f>
        <v/>
      </c>
      <c r="M24" s="20">
        <f>IF(B24="","",J24-K24-L24)</f>
        <v/>
      </c>
      <c r="N24" s="26">
        <f>IF(OR(B24="",N(J24)=0),"",M24/J24)</f>
        <v/>
      </c>
      <c r="O24" s="8">
        <f>IF(B24="","",IF(M24&lt;0,"Loss",IF(N24&lt;Settings!$C$28,"Below target","On target")))</f>
        <v/>
      </c>
      <c r="P24" s="14">
        <f>IF(B24="","",IF(1-(INDEX(Settings!$E$8:$E$15,MATCH(Settings!$C$4,Settings!$B$8:$B$15,0))+INDEX(Settings!$F$8:$F$15,MATCH(Settings!$C$4,Settings!$B$8:$B$15,0))*(1+Settings!$C$26)+N(I24)*Settings!$C$23+INDEX(Settings!$H$8:$H$15,MATCH(Settings!$C$4,Settings!$B$8:$B$15,0))+IF(Settings!$C$25="Yes",0.025,0)+INDEX(Settings!$I$8:$I$15,MATCH(Settings!$C$4,Settings!$B$8:$B$15,0))*(INDEX(Settings!$E$8:$E$15,MATCH(Settings!$C$4,Settings!$B$8:$B$15,0))+N(I24)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24)/(1-(INDEX(Settings!$E$8:$E$15,MATCH(Settings!$C$4,Settings!$B$8:$B$15,0))+INDEX(Settings!$F$8:$F$15,MATCH(Settings!$C$4,Settings!$B$8:$B$15,0))*(1+Settings!$C$26)+N(I24)*Settings!$C$23+INDEX(Settings!$H$8:$H$15,MATCH(Settings!$C$4,Settings!$B$8:$B$15,0))+IF(Settings!$C$25="Yes",0.025,0)+INDEX(Settings!$I$8:$I$15,MATCH(Settings!$C$4,Settings!$B$8:$B$15,0))*(INDEX(Settings!$E$8:$E$15,MATCH(Settings!$C$4,Settings!$B$8:$B$15,0))+N(I24)*Settings!$C$23+INDEX(Settings!$H$8:$H$15,MATCH(Settings!$C$4,Settings!$B$8:$B$15,0))))-Settings!$C$28)-N(D24))))</f>
        <v/>
      </c>
      <c r="Q24" s="1" t="n"/>
    </row>
    <row r="25">
      <c r="A25" s="1" t="n"/>
      <c r="B25" s="25" t="n"/>
      <c r="C25" s="7" t="n"/>
      <c r="D25" s="7" t="n"/>
      <c r="E25" s="7" t="n"/>
      <c r="F25" s="7" t="n"/>
      <c r="G25" s="7" t="n"/>
      <c r="H25" s="12" t="n"/>
      <c r="I25" s="11" t="n"/>
      <c r="J25" s="9">
        <f>IF(B25="","",(N(C25)+N(D25)))</f>
        <v/>
      </c>
      <c r="K25" s="9">
        <f>IF(B25="","",INDEX(Settings!$D$8:$D$15,MATCH(Settings!$C$4,Settings!$B$8:$B$15,0))+INDEX(Settings!$E$8:$E$15,MATCH(Settings!$C$4,Settings!$B$8:$B$15,0))*(N(C25)+N(D25))+INDEX(Settings!$F$8:$F$15,MATCH(Settings!$C$4,Settings!$B$8:$B$15,0))*(N(C25)+N(D25))*(1+Settings!$C$26)+INDEX(Settings!$G$8:$G$15,MATCH(Settings!$C$4,Settings!$B$8:$B$15,0))+N(I25)*MIN(Settings!$C$23*(N(C25)+N(D25)),Settings!$C$24)+INDEX(Settings!$H$8:$H$15,MATCH(Settings!$C$4,Settings!$B$8:$B$15,0))*(N(C25)+N(D25))+IF(Settings!$C$25="Yes",0.025,0)*(N(C25)+N(D25))+INDEX(Settings!$I$8:$I$15,MATCH(Settings!$C$4,Settings!$B$8:$B$15,0))*(INDEX(Settings!$D$8:$D$15,MATCH(Settings!$C$4,Settings!$B$8:$B$15,0))+INDEX(Settings!$E$8:$E$15,MATCH(Settings!$C$4,Settings!$B$8:$B$15,0))*(N(C25)+N(D25))+N(I25)*MIN(Settings!$C$23*(N(C25)+N(D25)),Settings!$C$24)+INDEX(Settings!$H$8:$H$15,MATCH(Settings!$C$4,Settings!$B$8:$B$15,0))*(N(C25)+N(D25))))</f>
        <v/>
      </c>
      <c r="L25" s="9">
        <f>IF(B25="","",N(E25)+N(F25)+N(G25)+N(H25)/60*Settings!$C$27)</f>
        <v/>
      </c>
      <c r="M25" s="20">
        <f>IF(B25="","",J25-K25-L25)</f>
        <v/>
      </c>
      <c r="N25" s="26">
        <f>IF(OR(B25="",N(J25)=0),"",M25/J25)</f>
        <v/>
      </c>
      <c r="O25" s="8">
        <f>IF(B25="","",IF(M25&lt;0,"Loss",IF(N25&lt;Settings!$C$28,"Below target","On target")))</f>
        <v/>
      </c>
      <c r="P25" s="14">
        <f>IF(B25="","",IF(1-(INDEX(Settings!$E$8:$E$15,MATCH(Settings!$C$4,Settings!$B$8:$B$15,0))+INDEX(Settings!$F$8:$F$15,MATCH(Settings!$C$4,Settings!$B$8:$B$15,0))*(1+Settings!$C$26)+N(I25)*Settings!$C$23+INDEX(Settings!$H$8:$H$15,MATCH(Settings!$C$4,Settings!$B$8:$B$15,0))+IF(Settings!$C$25="Yes",0.025,0)+INDEX(Settings!$I$8:$I$15,MATCH(Settings!$C$4,Settings!$B$8:$B$15,0))*(INDEX(Settings!$E$8:$E$15,MATCH(Settings!$C$4,Settings!$B$8:$B$15,0))+N(I25)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25)/(1-(INDEX(Settings!$E$8:$E$15,MATCH(Settings!$C$4,Settings!$B$8:$B$15,0))+INDEX(Settings!$F$8:$F$15,MATCH(Settings!$C$4,Settings!$B$8:$B$15,0))*(1+Settings!$C$26)+N(I25)*Settings!$C$23+INDEX(Settings!$H$8:$H$15,MATCH(Settings!$C$4,Settings!$B$8:$B$15,0))+IF(Settings!$C$25="Yes",0.025,0)+INDEX(Settings!$I$8:$I$15,MATCH(Settings!$C$4,Settings!$B$8:$B$15,0))*(INDEX(Settings!$E$8:$E$15,MATCH(Settings!$C$4,Settings!$B$8:$B$15,0))+N(I25)*Settings!$C$23+INDEX(Settings!$H$8:$H$15,MATCH(Settings!$C$4,Settings!$B$8:$B$15,0))))-Settings!$C$28)-N(D25))))</f>
        <v/>
      </c>
      <c r="Q25" s="1" t="n"/>
    </row>
    <row r="26">
      <c r="A26" s="1" t="n"/>
      <c r="B26" s="25" t="n"/>
      <c r="C26" s="7" t="n"/>
      <c r="D26" s="7" t="n"/>
      <c r="E26" s="7" t="n"/>
      <c r="F26" s="7" t="n"/>
      <c r="G26" s="7" t="n"/>
      <c r="H26" s="12" t="n"/>
      <c r="I26" s="11" t="n"/>
      <c r="J26" s="9">
        <f>IF(B26="","",(N(C26)+N(D26)))</f>
        <v/>
      </c>
      <c r="K26" s="9">
        <f>IF(B26="","",INDEX(Settings!$D$8:$D$15,MATCH(Settings!$C$4,Settings!$B$8:$B$15,0))+INDEX(Settings!$E$8:$E$15,MATCH(Settings!$C$4,Settings!$B$8:$B$15,0))*(N(C26)+N(D26))+INDEX(Settings!$F$8:$F$15,MATCH(Settings!$C$4,Settings!$B$8:$B$15,0))*(N(C26)+N(D26))*(1+Settings!$C$26)+INDEX(Settings!$G$8:$G$15,MATCH(Settings!$C$4,Settings!$B$8:$B$15,0))+N(I26)*MIN(Settings!$C$23*(N(C26)+N(D26)),Settings!$C$24)+INDEX(Settings!$H$8:$H$15,MATCH(Settings!$C$4,Settings!$B$8:$B$15,0))*(N(C26)+N(D26))+IF(Settings!$C$25="Yes",0.025,0)*(N(C26)+N(D26))+INDEX(Settings!$I$8:$I$15,MATCH(Settings!$C$4,Settings!$B$8:$B$15,0))*(INDEX(Settings!$D$8:$D$15,MATCH(Settings!$C$4,Settings!$B$8:$B$15,0))+INDEX(Settings!$E$8:$E$15,MATCH(Settings!$C$4,Settings!$B$8:$B$15,0))*(N(C26)+N(D26))+N(I26)*MIN(Settings!$C$23*(N(C26)+N(D26)),Settings!$C$24)+INDEX(Settings!$H$8:$H$15,MATCH(Settings!$C$4,Settings!$B$8:$B$15,0))*(N(C26)+N(D26))))</f>
        <v/>
      </c>
      <c r="L26" s="9">
        <f>IF(B26="","",N(E26)+N(F26)+N(G26)+N(H26)/60*Settings!$C$27)</f>
        <v/>
      </c>
      <c r="M26" s="20">
        <f>IF(B26="","",J26-K26-L26)</f>
        <v/>
      </c>
      <c r="N26" s="26">
        <f>IF(OR(B26="",N(J26)=0),"",M26/J26)</f>
        <v/>
      </c>
      <c r="O26" s="8">
        <f>IF(B26="","",IF(M26&lt;0,"Loss",IF(N26&lt;Settings!$C$28,"Below target","On target")))</f>
        <v/>
      </c>
      <c r="P26" s="14">
        <f>IF(B26="","",IF(1-(INDEX(Settings!$E$8:$E$15,MATCH(Settings!$C$4,Settings!$B$8:$B$15,0))+INDEX(Settings!$F$8:$F$15,MATCH(Settings!$C$4,Settings!$B$8:$B$15,0))*(1+Settings!$C$26)+N(I26)*Settings!$C$23+INDEX(Settings!$H$8:$H$15,MATCH(Settings!$C$4,Settings!$B$8:$B$15,0))+IF(Settings!$C$25="Yes",0.025,0)+INDEX(Settings!$I$8:$I$15,MATCH(Settings!$C$4,Settings!$B$8:$B$15,0))*(INDEX(Settings!$E$8:$E$15,MATCH(Settings!$C$4,Settings!$B$8:$B$15,0))+N(I26)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26)/(1-(INDEX(Settings!$E$8:$E$15,MATCH(Settings!$C$4,Settings!$B$8:$B$15,0))+INDEX(Settings!$F$8:$F$15,MATCH(Settings!$C$4,Settings!$B$8:$B$15,0))*(1+Settings!$C$26)+N(I26)*Settings!$C$23+INDEX(Settings!$H$8:$H$15,MATCH(Settings!$C$4,Settings!$B$8:$B$15,0))+IF(Settings!$C$25="Yes",0.025,0)+INDEX(Settings!$I$8:$I$15,MATCH(Settings!$C$4,Settings!$B$8:$B$15,0))*(INDEX(Settings!$E$8:$E$15,MATCH(Settings!$C$4,Settings!$B$8:$B$15,0))+N(I26)*Settings!$C$23+INDEX(Settings!$H$8:$H$15,MATCH(Settings!$C$4,Settings!$B$8:$B$15,0))))-Settings!$C$28)-N(D26))))</f>
        <v/>
      </c>
      <c r="Q26" s="1" t="n"/>
    </row>
    <row r="27">
      <c r="A27" s="1" t="n"/>
      <c r="B27" s="25" t="n"/>
      <c r="C27" s="7" t="n"/>
      <c r="D27" s="7" t="n"/>
      <c r="E27" s="7" t="n"/>
      <c r="F27" s="7" t="n"/>
      <c r="G27" s="7" t="n"/>
      <c r="H27" s="12" t="n"/>
      <c r="I27" s="11" t="n"/>
      <c r="J27" s="9">
        <f>IF(B27="","",(N(C27)+N(D27)))</f>
        <v/>
      </c>
      <c r="K27" s="9">
        <f>IF(B27="","",INDEX(Settings!$D$8:$D$15,MATCH(Settings!$C$4,Settings!$B$8:$B$15,0))+INDEX(Settings!$E$8:$E$15,MATCH(Settings!$C$4,Settings!$B$8:$B$15,0))*(N(C27)+N(D27))+INDEX(Settings!$F$8:$F$15,MATCH(Settings!$C$4,Settings!$B$8:$B$15,0))*(N(C27)+N(D27))*(1+Settings!$C$26)+INDEX(Settings!$G$8:$G$15,MATCH(Settings!$C$4,Settings!$B$8:$B$15,0))+N(I27)*MIN(Settings!$C$23*(N(C27)+N(D27)),Settings!$C$24)+INDEX(Settings!$H$8:$H$15,MATCH(Settings!$C$4,Settings!$B$8:$B$15,0))*(N(C27)+N(D27))+IF(Settings!$C$25="Yes",0.025,0)*(N(C27)+N(D27))+INDEX(Settings!$I$8:$I$15,MATCH(Settings!$C$4,Settings!$B$8:$B$15,0))*(INDEX(Settings!$D$8:$D$15,MATCH(Settings!$C$4,Settings!$B$8:$B$15,0))+INDEX(Settings!$E$8:$E$15,MATCH(Settings!$C$4,Settings!$B$8:$B$15,0))*(N(C27)+N(D27))+N(I27)*MIN(Settings!$C$23*(N(C27)+N(D27)),Settings!$C$24)+INDEX(Settings!$H$8:$H$15,MATCH(Settings!$C$4,Settings!$B$8:$B$15,0))*(N(C27)+N(D27))))</f>
        <v/>
      </c>
      <c r="L27" s="9">
        <f>IF(B27="","",N(E27)+N(F27)+N(G27)+N(H27)/60*Settings!$C$27)</f>
        <v/>
      </c>
      <c r="M27" s="20">
        <f>IF(B27="","",J27-K27-L27)</f>
        <v/>
      </c>
      <c r="N27" s="26">
        <f>IF(OR(B27="",N(J27)=0),"",M27/J27)</f>
        <v/>
      </c>
      <c r="O27" s="8">
        <f>IF(B27="","",IF(M27&lt;0,"Loss",IF(N27&lt;Settings!$C$28,"Below target","On target")))</f>
        <v/>
      </c>
      <c r="P27" s="14">
        <f>IF(B27="","",IF(1-(INDEX(Settings!$E$8:$E$15,MATCH(Settings!$C$4,Settings!$B$8:$B$15,0))+INDEX(Settings!$F$8:$F$15,MATCH(Settings!$C$4,Settings!$B$8:$B$15,0))*(1+Settings!$C$26)+N(I27)*Settings!$C$23+INDEX(Settings!$H$8:$H$15,MATCH(Settings!$C$4,Settings!$B$8:$B$15,0))+IF(Settings!$C$25="Yes",0.025,0)+INDEX(Settings!$I$8:$I$15,MATCH(Settings!$C$4,Settings!$B$8:$B$15,0))*(INDEX(Settings!$E$8:$E$15,MATCH(Settings!$C$4,Settings!$B$8:$B$15,0))+N(I27)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27)/(1-(INDEX(Settings!$E$8:$E$15,MATCH(Settings!$C$4,Settings!$B$8:$B$15,0))+INDEX(Settings!$F$8:$F$15,MATCH(Settings!$C$4,Settings!$B$8:$B$15,0))*(1+Settings!$C$26)+N(I27)*Settings!$C$23+INDEX(Settings!$H$8:$H$15,MATCH(Settings!$C$4,Settings!$B$8:$B$15,0))+IF(Settings!$C$25="Yes",0.025,0)+INDEX(Settings!$I$8:$I$15,MATCH(Settings!$C$4,Settings!$B$8:$B$15,0))*(INDEX(Settings!$E$8:$E$15,MATCH(Settings!$C$4,Settings!$B$8:$B$15,0))+N(I27)*Settings!$C$23+INDEX(Settings!$H$8:$H$15,MATCH(Settings!$C$4,Settings!$B$8:$B$15,0))))-Settings!$C$28)-N(D27))))</f>
        <v/>
      </c>
      <c r="Q27" s="1" t="n"/>
    </row>
    <row r="28">
      <c r="A28" s="1" t="n"/>
      <c r="B28" s="25" t="n"/>
      <c r="C28" s="7" t="n"/>
      <c r="D28" s="7" t="n"/>
      <c r="E28" s="7" t="n"/>
      <c r="F28" s="7" t="n"/>
      <c r="G28" s="7" t="n"/>
      <c r="H28" s="12" t="n"/>
      <c r="I28" s="11" t="n"/>
      <c r="J28" s="9">
        <f>IF(B28="","",(N(C28)+N(D28)))</f>
        <v/>
      </c>
      <c r="K28" s="9">
        <f>IF(B28="","",INDEX(Settings!$D$8:$D$15,MATCH(Settings!$C$4,Settings!$B$8:$B$15,0))+INDEX(Settings!$E$8:$E$15,MATCH(Settings!$C$4,Settings!$B$8:$B$15,0))*(N(C28)+N(D28))+INDEX(Settings!$F$8:$F$15,MATCH(Settings!$C$4,Settings!$B$8:$B$15,0))*(N(C28)+N(D28))*(1+Settings!$C$26)+INDEX(Settings!$G$8:$G$15,MATCH(Settings!$C$4,Settings!$B$8:$B$15,0))+N(I28)*MIN(Settings!$C$23*(N(C28)+N(D28)),Settings!$C$24)+INDEX(Settings!$H$8:$H$15,MATCH(Settings!$C$4,Settings!$B$8:$B$15,0))*(N(C28)+N(D28))+IF(Settings!$C$25="Yes",0.025,0)*(N(C28)+N(D28))+INDEX(Settings!$I$8:$I$15,MATCH(Settings!$C$4,Settings!$B$8:$B$15,0))*(INDEX(Settings!$D$8:$D$15,MATCH(Settings!$C$4,Settings!$B$8:$B$15,0))+INDEX(Settings!$E$8:$E$15,MATCH(Settings!$C$4,Settings!$B$8:$B$15,0))*(N(C28)+N(D28))+N(I28)*MIN(Settings!$C$23*(N(C28)+N(D28)),Settings!$C$24)+INDEX(Settings!$H$8:$H$15,MATCH(Settings!$C$4,Settings!$B$8:$B$15,0))*(N(C28)+N(D28))))</f>
        <v/>
      </c>
      <c r="L28" s="9">
        <f>IF(B28="","",N(E28)+N(F28)+N(G28)+N(H28)/60*Settings!$C$27)</f>
        <v/>
      </c>
      <c r="M28" s="20">
        <f>IF(B28="","",J28-K28-L28)</f>
        <v/>
      </c>
      <c r="N28" s="26">
        <f>IF(OR(B28="",N(J28)=0),"",M28/J28)</f>
        <v/>
      </c>
      <c r="O28" s="8">
        <f>IF(B28="","",IF(M28&lt;0,"Loss",IF(N28&lt;Settings!$C$28,"Below target","On target")))</f>
        <v/>
      </c>
      <c r="P28" s="14">
        <f>IF(B28="","",IF(1-(INDEX(Settings!$E$8:$E$15,MATCH(Settings!$C$4,Settings!$B$8:$B$15,0))+INDEX(Settings!$F$8:$F$15,MATCH(Settings!$C$4,Settings!$B$8:$B$15,0))*(1+Settings!$C$26)+N(I28)*Settings!$C$23+INDEX(Settings!$H$8:$H$15,MATCH(Settings!$C$4,Settings!$B$8:$B$15,0))+IF(Settings!$C$25="Yes",0.025,0)+INDEX(Settings!$I$8:$I$15,MATCH(Settings!$C$4,Settings!$B$8:$B$15,0))*(INDEX(Settings!$E$8:$E$15,MATCH(Settings!$C$4,Settings!$B$8:$B$15,0))+N(I28)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28)/(1-(INDEX(Settings!$E$8:$E$15,MATCH(Settings!$C$4,Settings!$B$8:$B$15,0))+INDEX(Settings!$F$8:$F$15,MATCH(Settings!$C$4,Settings!$B$8:$B$15,0))*(1+Settings!$C$26)+N(I28)*Settings!$C$23+INDEX(Settings!$H$8:$H$15,MATCH(Settings!$C$4,Settings!$B$8:$B$15,0))+IF(Settings!$C$25="Yes",0.025,0)+INDEX(Settings!$I$8:$I$15,MATCH(Settings!$C$4,Settings!$B$8:$B$15,0))*(INDEX(Settings!$E$8:$E$15,MATCH(Settings!$C$4,Settings!$B$8:$B$15,0))+N(I28)*Settings!$C$23+INDEX(Settings!$H$8:$H$15,MATCH(Settings!$C$4,Settings!$B$8:$B$15,0))))-Settings!$C$28)-N(D28))))</f>
        <v/>
      </c>
      <c r="Q28" s="1" t="n"/>
    </row>
    <row r="29">
      <c r="A29" s="1" t="n"/>
      <c r="B29" s="25" t="n"/>
      <c r="C29" s="7" t="n"/>
      <c r="D29" s="7" t="n"/>
      <c r="E29" s="7" t="n"/>
      <c r="F29" s="7" t="n"/>
      <c r="G29" s="7" t="n"/>
      <c r="H29" s="12" t="n"/>
      <c r="I29" s="11" t="n"/>
      <c r="J29" s="9">
        <f>IF(B29="","",(N(C29)+N(D29)))</f>
        <v/>
      </c>
      <c r="K29" s="9">
        <f>IF(B29="","",INDEX(Settings!$D$8:$D$15,MATCH(Settings!$C$4,Settings!$B$8:$B$15,0))+INDEX(Settings!$E$8:$E$15,MATCH(Settings!$C$4,Settings!$B$8:$B$15,0))*(N(C29)+N(D29))+INDEX(Settings!$F$8:$F$15,MATCH(Settings!$C$4,Settings!$B$8:$B$15,0))*(N(C29)+N(D29))*(1+Settings!$C$26)+INDEX(Settings!$G$8:$G$15,MATCH(Settings!$C$4,Settings!$B$8:$B$15,0))+N(I29)*MIN(Settings!$C$23*(N(C29)+N(D29)),Settings!$C$24)+INDEX(Settings!$H$8:$H$15,MATCH(Settings!$C$4,Settings!$B$8:$B$15,0))*(N(C29)+N(D29))+IF(Settings!$C$25="Yes",0.025,0)*(N(C29)+N(D29))+INDEX(Settings!$I$8:$I$15,MATCH(Settings!$C$4,Settings!$B$8:$B$15,0))*(INDEX(Settings!$D$8:$D$15,MATCH(Settings!$C$4,Settings!$B$8:$B$15,0))+INDEX(Settings!$E$8:$E$15,MATCH(Settings!$C$4,Settings!$B$8:$B$15,0))*(N(C29)+N(D29))+N(I29)*MIN(Settings!$C$23*(N(C29)+N(D29)),Settings!$C$24)+INDEX(Settings!$H$8:$H$15,MATCH(Settings!$C$4,Settings!$B$8:$B$15,0))*(N(C29)+N(D29))))</f>
        <v/>
      </c>
      <c r="L29" s="9">
        <f>IF(B29="","",N(E29)+N(F29)+N(G29)+N(H29)/60*Settings!$C$27)</f>
        <v/>
      </c>
      <c r="M29" s="20">
        <f>IF(B29="","",J29-K29-L29)</f>
        <v/>
      </c>
      <c r="N29" s="26">
        <f>IF(OR(B29="",N(J29)=0),"",M29/J29)</f>
        <v/>
      </c>
      <c r="O29" s="8">
        <f>IF(B29="","",IF(M29&lt;0,"Loss",IF(N29&lt;Settings!$C$28,"Below target","On target")))</f>
        <v/>
      </c>
      <c r="P29" s="14">
        <f>IF(B29="","",IF(1-(INDEX(Settings!$E$8:$E$15,MATCH(Settings!$C$4,Settings!$B$8:$B$15,0))+INDEX(Settings!$F$8:$F$15,MATCH(Settings!$C$4,Settings!$B$8:$B$15,0))*(1+Settings!$C$26)+N(I29)*Settings!$C$23+INDEX(Settings!$H$8:$H$15,MATCH(Settings!$C$4,Settings!$B$8:$B$15,0))+IF(Settings!$C$25="Yes",0.025,0)+INDEX(Settings!$I$8:$I$15,MATCH(Settings!$C$4,Settings!$B$8:$B$15,0))*(INDEX(Settings!$E$8:$E$15,MATCH(Settings!$C$4,Settings!$B$8:$B$15,0))+N(I29)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29)/(1-(INDEX(Settings!$E$8:$E$15,MATCH(Settings!$C$4,Settings!$B$8:$B$15,0))+INDEX(Settings!$F$8:$F$15,MATCH(Settings!$C$4,Settings!$B$8:$B$15,0))*(1+Settings!$C$26)+N(I29)*Settings!$C$23+INDEX(Settings!$H$8:$H$15,MATCH(Settings!$C$4,Settings!$B$8:$B$15,0))+IF(Settings!$C$25="Yes",0.025,0)+INDEX(Settings!$I$8:$I$15,MATCH(Settings!$C$4,Settings!$B$8:$B$15,0))*(INDEX(Settings!$E$8:$E$15,MATCH(Settings!$C$4,Settings!$B$8:$B$15,0))+N(I29)*Settings!$C$23+INDEX(Settings!$H$8:$H$15,MATCH(Settings!$C$4,Settings!$B$8:$B$15,0))))-Settings!$C$28)-N(D29))))</f>
        <v/>
      </c>
      <c r="Q29" s="1" t="n"/>
    </row>
    <row r="30">
      <c r="A30" s="1" t="n"/>
      <c r="B30" s="25" t="n"/>
      <c r="C30" s="7" t="n"/>
      <c r="D30" s="7" t="n"/>
      <c r="E30" s="7" t="n"/>
      <c r="F30" s="7" t="n"/>
      <c r="G30" s="7" t="n"/>
      <c r="H30" s="12" t="n"/>
      <c r="I30" s="11" t="n"/>
      <c r="J30" s="9">
        <f>IF(B30="","",(N(C30)+N(D30)))</f>
        <v/>
      </c>
      <c r="K30" s="9">
        <f>IF(B30="","",INDEX(Settings!$D$8:$D$15,MATCH(Settings!$C$4,Settings!$B$8:$B$15,0))+INDEX(Settings!$E$8:$E$15,MATCH(Settings!$C$4,Settings!$B$8:$B$15,0))*(N(C30)+N(D30))+INDEX(Settings!$F$8:$F$15,MATCH(Settings!$C$4,Settings!$B$8:$B$15,0))*(N(C30)+N(D30))*(1+Settings!$C$26)+INDEX(Settings!$G$8:$G$15,MATCH(Settings!$C$4,Settings!$B$8:$B$15,0))+N(I30)*MIN(Settings!$C$23*(N(C30)+N(D30)),Settings!$C$24)+INDEX(Settings!$H$8:$H$15,MATCH(Settings!$C$4,Settings!$B$8:$B$15,0))*(N(C30)+N(D30))+IF(Settings!$C$25="Yes",0.025,0)*(N(C30)+N(D30))+INDEX(Settings!$I$8:$I$15,MATCH(Settings!$C$4,Settings!$B$8:$B$15,0))*(INDEX(Settings!$D$8:$D$15,MATCH(Settings!$C$4,Settings!$B$8:$B$15,0))+INDEX(Settings!$E$8:$E$15,MATCH(Settings!$C$4,Settings!$B$8:$B$15,0))*(N(C30)+N(D30))+N(I30)*MIN(Settings!$C$23*(N(C30)+N(D30)),Settings!$C$24)+INDEX(Settings!$H$8:$H$15,MATCH(Settings!$C$4,Settings!$B$8:$B$15,0))*(N(C30)+N(D30))))</f>
        <v/>
      </c>
      <c r="L30" s="9">
        <f>IF(B30="","",N(E30)+N(F30)+N(G30)+N(H30)/60*Settings!$C$27)</f>
        <v/>
      </c>
      <c r="M30" s="20">
        <f>IF(B30="","",J30-K30-L30)</f>
        <v/>
      </c>
      <c r="N30" s="26">
        <f>IF(OR(B30="",N(J30)=0),"",M30/J30)</f>
        <v/>
      </c>
      <c r="O30" s="8">
        <f>IF(B30="","",IF(M30&lt;0,"Loss",IF(N30&lt;Settings!$C$28,"Below target","On target")))</f>
        <v/>
      </c>
      <c r="P30" s="14">
        <f>IF(B30="","",IF(1-(INDEX(Settings!$E$8:$E$15,MATCH(Settings!$C$4,Settings!$B$8:$B$15,0))+INDEX(Settings!$F$8:$F$15,MATCH(Settings!$C$4,Settings!$B$8:$B$15,0))*(1+Settings!$C$26)+N(I30)*Settings!$C$23+INDEX(Settings!$H$8:$H$15,MATCH(Settings!$C$4,Settings!$B$8:$B$15,0))+IF(Settings!$C$25="Yes",0.025,0)+INDEX(Settings!$I$8:$I$15,MATCH(Settings!$C$4,Settings!$B$8:$B$15,0))*(INDEX(Settings!$E$8:$E$15,MATCH(Settings!$C$4,Settings!$B$8:$B$15,0))+N(I30)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30)/(1-(INDEX(Settings!$E$8:$E$15,MATCH(Settings!$C$4,Settings!$B$8:$B$15,0))+INDEX(Settings!$F$8:$F$15,MATCH(Settings!$C$4,Settings!$B$8:$B$15,0))*(1+Settings!$C$26)+N(I30)*Settings!$C$23+INDEX(Settings!$H$8:$H$15,MATCH(Settings!$C$4,Settings!$B$8:$B$15,0))+IF(Settings!$C$25="Yes",0.025,0)+INDEX(Settings!$I$8:$I$15,MATCH(Settings!$C$4,Settings!$B$8:$B$15,0))*(INDEX(Settings!$E$8:$E$15,MATCH(Settings!$C$4,Settings!$B$8:$B$15,0))+N(I30)*Settings!$C$23+INDEX(Settings!$H$8:$H$15,MATCH(Settings!$C$4,Settings!$B$8:$B$15,0))))-Settings!$C$28)-N(D30))))</f>
        <v/>
      </c>
      <c r="Q30" s="1" t="n"/>
    </row>
    <row r="31">
      <c r="A31" s="1" t="n"/>
      <c r="B31" s="25" t="n"/>
      <c r="C31" s="7" t="n"/>
      <c r="D31" s="7" t="n"/>
      <c r="E31" s="7" t="n"/>
      <c r="F31" s="7" t="n"/>
      <c r="G31" s="7" t="n"/>
      <c r="H31" s="12" t="n"/>
      <c r="I31" s="11" t="n"/>
      <c r="J31" s="9">
        <f>IF(B31="","",(N(C31)+N(D31)))</f>
        <v/>
      </c>
      <c r="K31" s="9">
        <f>IF(B31="","",INDEX(Settings!$D$8:$D$15,MATCH(Settings!$C$4,Settings!$B$8:$B$15,0))+INDEX(Settings!$E$8:$E$15,MATCH(Settings!$C$4,Settings!$B$8:$B$15,0))*(N(C31)+N(D31))+INDEX(Settings!$F$8:$F$15,MATCH(Settings!$C$4,Settings!$B$8:$B$15,0))*(N(C31)+N(D31))*(1+Settings!$C$26)+INDEX(Settings!$G$8:$G$15,MATCH(Settings!$C$4,Settings!$B$8:$B$15,0))+N(I31)*MIN(Settings!$C$23*(N(C31)+N(D31)),Settings!$C$24)+INDEX(Settings!$H$8:$H$15,MATCH(Settings!$C$4,Settings!$B$8:$B$15,0))*(N(C31)+N(D31))+IF(Settings!$C$25="Yes",0.025,0)*(N(C31)+N(D31))+INDEX(Settings!$I$8:$I$15,MATCH(Settings!$C$4,Settings!$B$8:$B$15,0))*(INDEX(Settings!$D$8:$D$15,MATCH(Settings!$C$4,Settings!$B$8:$B$15,0))+INDEX(Settings!$E$8:$E$15,MATCH(Settings!$C$4,Settings!$B$8:$B$15,0))*(N(C31)+N(D31))+N(I31)*MIN(Settings!$C$23*(N(C31)+N(D31)),Settings!$C$24)+INDEX(Settings!$H$8:$H$15,MATCH(Settings!$C$4,Settings!$B$8:$B$15,0))*(N(C31)+N(D31))))</f>
        <v/>
      </c>
      <c r="L31" s="9">
        <f>IF(B31="","",N(E31)+N(F31)+N(G31)+N(H31)/60*Settings!$C$27)</f>
        <v/>
      </c>
      <c r="M31" s="20">
        <f>IF(B31="","",J31-K31-L31)</f>
        <v/>
      </c>
      <c r="N31" s="26">
        <f>IF(OR(B31="",N(J31)=0),"",M31/J31)</f>
        <v/>
      </c>
      <c r="O31" s="8">
        <f>IF(B31="","",IF(M31&lt;0,"Loss",IF(N31&lt;Settings!$C$28,"Below target","On target")))</f>
        <v/>
      </c>
      <c r="P31" s="14">
        <f>IF(B31="","",IF(1-(INDEX(Settings!$E$8:$E$15,MATCH(Settings!$C$4,Settings!$B$8:$B$15,0))+INDEX(Settings!$F$8:$F$15,MATCH(Settings!$C$4,Settings!$B$8:$B$15,0))*(1+Settings!$C$26)+N(I31)*Settings!$C$23+INDEX(Settings!$H$8:$H$15,MATCH(Settings!$C$4,Settings!$B$8:$B$15,0))+IF(Settings!$C$25="Yes",0.025,0)+INDEX(Settings!$I$8:$I$15,MATCH(Settings!$C$4,Settings!$B$8:$B$15,0))*(INDEX(Settings!$E$8:$E$15,MATCH(Settings!$C$4,Settings!$B$8:$B$15,0))+N(I31)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31)/(1-(INDEX(Settings!$E$8:$E$15,MATCH(Settings!$C$4,Settings!$B$8:$B$15,0))+INDEX(Settings!$F$8:$F$15,MATCH(Settings!$C$4,Settings!$B$8:$B$15,0))*(1+Settings!$C$26)+N(I31)*Settings!$C$23+INDEX(Settings!$H$8:$H$15,MATCH(Settings!$C$4,Settings!$B$8:$B$15,0))+IF(Settings!$C$25="Yes",0.025,0)+INDEX(Settings!$I$8:$I$15,MATCH(Settings!$C$4,Settings!$B$8:$B$15,0))*(INDEX(Settings!$E$8:$E$15,MATCH(Settings!$C$4,Settings!$B$8:$B$15,0))+N(I31)*Settings!$C$23+INDEX(Settings!$H$8:$H$15,MATCH(Settings!$C$4,Settings!$B$8:$B$15,0))))-Settings!$C$28)-N(D31))))</f>
        <v/>
      </c>
      <c r="Q31" s="1" t="n"/>
    </row>
    <row r="32">
      <c r="A32" s="1" t="n"/>
      <c r="B32" s="25" t="n"/>
      <c r="C32" s="7" t="n"/>
      <c r="D32" s="7" t="n"/>
      <c r="E32" s="7" t="n"/>
      <c r="F32" s="7" t="n"/>
      <c r="G32" s="7" t="n"/>
      <c r="H32" s="12" t="n"/>
      <c r="I32" s="11" t="n"/>
      <c r="J32" s="9">
        <f>IF(B32="","",(N(C32)+N(D32)))</f>
        <v/>
      </c>
      <c r="K32" s="9">
        <f>IF(B32="","",INDEX(Settings!$D$8:$D$15,MATCH(Settings!$C$4,Settings!$B$8:$B$15,0))+INDEX(Settings!$E$8:$E$15,MATCH(Settings!$C$4,Settings!$B$8:$B$15,0))*(N(C32)+N(D32))+INDEX(Settings!$F$8:$F$15,MATCH(Settings!$C$4,Settings!$B$8:$B$15,0))*(N(C32)+N(D32))*(1+Settings!$C$26)+INDEX(Settings!$G$8:$G$15,MATCH(Settings!$C$4,Settings!$B$8:$B$15,0))+N(I32)*MIN(Settings!$C$23*(N(C32)+N(D32)),Settings!$C$24)+INDEX(Settings!$H$8:$H$15,MATCH(Settings!$C$4,Settings!$B$8:$B$15,0))*(N(C32)+N(D32))+IF(Settings!$C$25="Yes",0.025,0)*(N(C32)+N(D32))+INDEX(Settings!$I$8:$I$15,MATCH(Settings!$C$4,Settings!$B$8:$B$15,0))*(INDEX(Settings!$D$8:$D$15,MATCH(Settings!$C$4,Settings!$B$8:$B$15,0))+INDEX(Settings!$E$8:$E$15,MATCH(Settings!$C$4,Settings!$B$8:$B$15,0))*(N(C32)+N(D32))+N(I32)*MIN(Settings!$C$23*(N(C32)+N(D32)),Settings!$C$24)+INDEX(Settings!$H$8:$H$15,MATCH(Settings!$C$4,Settings!$B$8:$B$15,0))*(N(C32)+N(D32))))</f>
        <v/>
      </c>
      <c r="L32" s="9">
        <f>IF(B32="","",N(E32)+N(F32)+N(G32)+N(H32)/60*Settings!$C$27)</f>
        <v/>
      </c>
      <c r="M32" s="20">
        <f>IF(B32="","",J32-K32-L32)</f>
        <v/>
      </c>
      <c r="N32" s="26">
        <f>IF(OR(B32="",N(J32)=0),"",M32/J32)</f>
        <v/>
      </c>
      <c r="O32" s="8">
        <f>IF(B32="","",IF(M32&lt;0,"Loss",IF(N32&lt;Settings!$C$28,"Below target","On target")))</f>
        <v/>
      </c>
      <c r="P32" s="14">
        <f>IF(B32="","",IF(1-(INDEX(Settings!$E$8:$E$15,MATCH(Settings!$C$4,Settings!$B$8:$B$15,0))+INDEX(Settings!$F$8:$F$15,MATCH(Settings!$C$4,Settings!$B$8:$B$15,0))*(1+Settings!$C$26)+N(I32)*Settings!$C$23+INDEX(Settings!$H$8:$H$15,MATCH(Settings!$C$4,Settings!$B$8:$B$15,0))+IF(Settings!$C$25="Yes",0.025,0)+INDEX(Settings!$I$8:$I$15,MATCH(Settings!$C$4,Settings!$B$8:$B$15,0))*(INDEX(Settings!$E$8:$E$15,MATCH(Settings!$C$4,Settings!$B$8:$B$15,0))+N(I32)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32)/(1-(INDEX(Settings!$E$8:$E$15,MATCH(Settings!$C$4,Settings!$B$8:$B$15,0))+INDEX(Settings!$F$8:$F$15,MATCH(Settings!$C$4,Settings!$B$8:$B$15,0))*(1+Settings!$C$26)+N(I32)*Settings!$C$23+INDEX(Settings!$H$8:$H$15,MATCH(Settings!$C$4,Settings!$B$8:$B$15,0))+IF(Settings!$C$25="Yes",0.025,0)+INDEX(Settings!$I$8:$I$15,MATCH(Settings!$C$4,Settings!$B$8:$B$15,0))*(INDEX(Settings!$E$8:$E$15,MATCH(Settings!$C$4,Settings!$B$8:$B$15,0))+N(I32)*Settings!$C$23+INDEX(Settings!$H$8:$H$15,MATCH(Settings!$C$4,Settings!$B$8:$B$15,0))))-Settings!$C$28)-N(D32))))</f>
        <v/>
      </c>
      <c r="Q32" s="1" t="n"/>
    </row>
    <row r="33">
      <c r="A33" s="1" t="n"/>
      <c r="B33" s="25" t="n"/>
      <c r="C33" s="7" t="n"/>
      <c r="D33" s="7" t="n"/>
      <c r="E33" s="7" t="n"/>
      <c r="F33" s="7" t="n"/>
      <c r="G33" s="7" t="n"/>
      <c r="H33" s="12" t="n"/>
      <c r="I33" s="11" t="n"/>
      <c r="J33" s="9">
        <f>IF(B33="","",(N(C33)+N(D33)))</f>
        <v/>
      </c>
      <c r="K33" s="9">
        <f>IF(B33="","",INDEX(Settings!$D$8:$D$15,MATCH(Settings!$C$4,Settings!$B$8:$B$15,0))+INDEX(Settings!$E$8:$E$15,MATCH(Settings!$C$4,Settings!$B$8:$B$15,0))*(N(C33)+N(D33))+INDEX(Settings!$F$8:$F$15,MATCH(Settings!$C$4,Settings!$B$8:$B$15,0))*(N(C33)+N(D33))*(1+Settings!$C$26)+INDEX(Settings!$G$8:$G$15,MATCH(Settings!$C$4,Settings!$B$8:$B$15,0))+N(I33)*MIN(Settings!$C$23*(N(C33)+N(D33)),Settings!$C$24)+INDEX(Settings!$H$8:$H$15,MATCH(Settings!$C$4,Settings!$B$8:$B$15,0))*(N(C33)+N(D33))+IF(Settings!$C$25="Yes",0.025,0)*(N(C33)+N(D33))+INDEX(Settings!$I$8:$I$15,MATCH(Settings!$C$4,Settings!$B$8:$B$15,0))*(INDEX(Settings!$D$8:$D$15,MATCH(Settings!$C$4,Settings!$B$8:$B$15,0))+INDEX(Settings!$E$8:$E$15,MATCH(Settings!$C$4,Settings!$B$8:$B$15,0))*(N(C33)+N(D33))+N(I33)*MIN(Settings!$C$23*(N(C33)+N(D33)),Settings!$C$24)+INDEX(Settings!$H$8:$H$15,MATCH(Settings!$C$4,Settings!$B$8:$B$15,0))*(N(C33)+N(D33))))</f>
        <v/>
      </c>
      <c r="L33" s="9">
        <f>IF(B33="","",N(E33)+N(F33)+N(G33)+N(H33)/60*Settings!$C$27)</f>
        <v/>
      </c>
      <c r="M33" s="20">
        <f>IF(B33="","",J33-K33-L33)</f>
        <v/>
      </c>
      <c r="N33" s="26">
        <f>IF(OR(B33="",N(J33)=0),"",M33/J33)</f>
        <v/>
      </c>
      <c r="O33" s="8">
        <f>IF(B33="","",IF(M33&lt;0,"Loss",IF(N33&lt;Settings!$C$28,"Below target","On target")))</f>
        <v/>
      </c>
      <c r="P33" s="14">
        <f>IF(B33="","",IF(1-(INDEX(Settings!$E$8:$E$15,MATCH(Settings!$C$4,Settings!$B$8:$B$15,0))+INDEX(Settings!$F$8:$F$15,MATCH(Settings!$C$4,Settings!$B$8:$B$15,0))*(1+Settings!$C$26)+N(I33)*Settings!$C$23+INDEX(Settings!$H$8:$H$15,MATCH(Settings!$C$4,Settings!$B$8:$B$15,0))+IF(Settings!$C$25="Yes",0.025,0)+INDEX(Settings!$I$8:$I$15,MATCH(Settings!$C$4,Settings!$B$8:$B$15,0))*(INDEX(Settings!$E$8:$E$15,MATCH(Settings!$C$4,Settings!$B$8:$B$15,0))+N(I33)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33)/(1-(INDEX(Settings!$E$8:$E$15,MATCH(Settings!$C$4,Settings!$B$8:$B$15,0))+INDEX(Settings!$F$8:$F$15,MATCH(Settings!$C$4,Settings!$B$8:$B$15,0))*(1+Settings!$C$26)+N(I33)*Settings!$C$23+INDEX(Settings!$H$8:$H$15,MATCH(Settings!$C$4,Settings!$B$8:$B$15,0))+IF(Settings!$C$25="Yes",0.025,0)+INDEX(Settings!$I$8:$I$15,MATCH(Settings!$C$4,Settings!$B$8:$B$15,0))*(INDEX(Settings!$E$8:$E$15,MATCH(Settings!$C$4,Settings!$B$8:$B$15,0))+N(I33)*Settings!$C$23+INDEX(Settings!$H$8:$H$15,MATCH(Settings!$C$4,Settings!$B$8:$B$15,0))))-Settings!$C$28)-N(D33))))</f>
        <v/>
      </c>
      <c r="Q33" s="1" t="n"/>
    </row>
    <row r="34">
      <c r="A34" s="1" t="n"/>
      <c r="B34" s="25" t="n"/>
      <c r="C34" s="7" t="n"/>
      <c r="D34" s="7" t="n"/>
      <c r="E34" s="7" t="n"/>
      <c r="F34" s="7" t="n"/>
      <c r="G34" s="7" t="n"/>
      <c r="H34" s="12" t="n"/>
      <c r="I34" s="11" t="n"/>
      <c r="J34" s="9">
        <f>IF(B34="","",(N(C34)+N(D34)))</f>
        <v/>
      </c>
      <c r="K34" s="9">
        <f>IF(B34="","",INDEX(Settings!$D$8:$D$15,MATCH(Settings!$C$4,Settings!$B$8:$B$15,0))+INDEX(Settings!$E$8:$E$15,MATCH(Settings!$C$4,Settings!$B$8:$B$15,0))*(N(C34)+N(D34))+INDEX(Settings!$F$8:$F$15,MATCH(Settings!$C$4,Settings!$B$8:$B$15,0))*(N(C34)+N(D34))*(1+Settings!$C$26)+INDEX(Settings!$G$8:$G$15,MATCH(Settings!$C$4,Settings!$B$8:$B$15,0))+N(I34)*MIN(Settings!$C$23*(N(C34)+N(D34)),Settings!$C$24)+INDEX(Settings!$H$8:$H$15,MATCH(Settings!$C$4,Settings!$B$8:$B$15,0))*(N(C34)+N(D34))+IF(Settings!$C$25="Yes",0.025,0)*(N(C34)+N(D34))+INDEX(Settings!$I$8:$I$15,MATCH(Settings!$C$4,Settings!$B$8:$B$15,0))*(INDEX(Settings!$D$8:$D$15,MATCH(Settings!$C$4,Settings!$B$8:$B$15,0))+INDEX(Settings!$E$8:$E$15,MATCH(Settings!$C$4,Settings!$B$8:$B$15,0))*(N(C34)+N(D34))+N(I34)*MIN(Settings!$C$23*(N(C34)+N(D34)),Settings!$C$24)+INDEX(Settings!$H$8:$H$15,MATCH(Settings!$C$4,Settings!$B$8:$B$15,0))*(N(C34)+N(D34))))</f>
        <v/>
      </c>
      <c r="L34" s="9">
        <f>IF(B34="","",N(E34)+N(F34)+N(G34)+N(H34)/60*Settings!$C$27)</f>
        <v/>
      </c>
      <c r="M34" s="20">
        <f>IF(B34="","",J34-K34-L34)</f>
        <v/>
      </c>
      <c r="N34" s="26">
        <f>IF(OR(B34="",N(J34)=0),"",M34/J34)</f>
        <v/>
      </c>
      <c r="O34" s="8">
        <f>IF(B34="","",IF(M34&lt;0,"Loss",IF(N34&lt;Settings!$C$28,"Below target","On target")))</f>
        <v/>
      </c>
      <c r="P34" s="14">
        <f>IF(B34="","",IF(1-(INDEX(Settings!$E$8:$E$15,MATCH(Settings!$C$4,Settings!$B$8:$B$15,0))+INDEX(Settings!$F$8:$F$15,MATCH(Settings!$C$4,Settings!$B$8:$B$15,0))*(1+Settings!$C$26)+N(I34)*Settings!$C$23+INDEX(Settings!$H$8:$H$15,MATCH(Settings!$C$4,Settings!$B$8:$B$15,0))+IF(Settings!$C$25="Yes",0.025,0)+INDEX(Settings!$I$8:$I$15,MATCH(Settings!$C$4,Settings!$B$8:$B$15,0))*(INDEX(Settings!$E$8:$E$15,MATCH(Settings!$C$4,Settings!$B$8:$B$15,0))+N(I34)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34)/(1-(INDEX(Settings!$E$8:$E$15,MATCH(Settings!$C$4,Settings!$B$8:$B$15,0))+INDEX(Settings!$F$8:$F$15,MATCH(Settings!$C$4,Settings!$B$8:$B$15,0))*(1+Settings!$C$26)+N(I34)*Settings!$C$23+INDEX(Settings!$H$8:$H$15,MATCH(Settings!$C$4,Settings!$B$8:$B$15,0))+IF(Settings!$C$25="Yes",0.025,0)+INDEX(Settings!$I$8:$I$15,MATCH(Settings!$C$4,Settings!$B$8:$B$15,0))*(INDEX(Settings!$E$8:$E$15,MATCH(Settings!$C$4,Settings!$B$8:$B$15,0))+N(I34)*Settings!$C$23+INDEX(Settings!$H$8:$H$15,MATCH(Settings!$C$4,Settings!$B$8:$B$15,0))))-Settings!$C$28)-N(D34))))</f>
        <v/>
      </c>
      <c r="Q34" s="1" t="n"/>
    </row>
    <row r="35">
      <c r="A35" s="1" t="n"/>
      <c r="B35" s="25" t="n"/>
      <c r="C35" s="7" t="n"/>
      <c r="D35" s="7" t="n"/>
      <c r="E35" s="7" t="n"/>
      <c r="F35" s="7" t="n"/>
      <c r="G35" s="7" t="n"/>
      <c r="H35" s="12" t="n"/>
      <c r="I35" s="11" t="n"/>
      <c r="J35" s="9">
        <f>IF(B35="","",(N(C35)+N(D35)))</f>
        <v/>
      </c>
      <c r="K35" s="9">
        <f>IF(B35="","",INDEX(Settings!$D$8:$D$15,MATCH(Settings!$C$4,Settings!$B$8:$B$15,0))+INDEX(Settings!$E$8:$E$15,MATCH(Settings!$C$4,Settings!$B$8:$B$15,0))*(N(C35)+N(D35))+INDEX(Settings!$F$8:$F$15,MATCH(Settings!$C$4,Settings!$B$8:$B$15,0))*(N(C35)+N(D35))*(1+Settings!$C$26)+INDEX(Settings!$G$8:$G$15,MATCH(Settings!$C$4,Settings!$B$8:$B$15,0))+N(I35)*MIN(Settings!$C$23*(N(C35)+N(D35)),Settings!$C$24)+INDEX(Settings!$H$8:$H$15,MATCH(Settings!$C$4,Settings!$B$8:$B$15,0))*(N(C35)+N(D35))+IF(Settings!$C$25="Yes",0.025,0)*(N(C35)+N(D35))+INDEX(Settings!$I$8:$I$15,MATCH(Settings!$C$4,Settings!$B$8:$B$15,0))*(INDEX(Settings!$D$8:$D$15,MATCH(Settings!$C$4,Settings!$B$8:$B$15,0))+INDEX(Settings!$E$8:$E$15,MATCH(Settings!$C$4,Settings!$B$8:$B$15,0))*(N(C35)+N(D35))+N(I35)*MIN(Settings!$C$23*(N(C35)+N(D35)),Settings!$C$24)+INDEX(Settings!$H$8:$H$15,MATCH(Settings!$C$4,Settings!$B$8:$B$15,0))*(N(C35)+N(D35))))</f>
        <v/>
      </c>
      <c r="L35" s="9">
        <f>IF(B35="","",N(E35)+N(F35)+N(G35)+N(H35)/60*Settings!$C$27)</f>
        <v/>
      </c>
      <c r="M35" s="20">
        <f>IF(B35="","",J35-K35-L35)</f>
        <v/>
      </c>
      <c r="N35" s="26">
        <f>IF(OR(B35="",N(J35)=0),"",M35/J35)</f>
        <v/>
      </c>
      <c r="O35" s="8">
        <f>IF(B35="","",IF(M35&lt;0,"Loss",IF(N35&lt;Settings!$C$28,"Below target","On target")))</f>
        <v/>
      </c>
      <c r="P35" s="14">
        <f>IF(B35="","",IF(1-(INDEX(Settings!$E$8:$E$15,MATCH(Settings!$C$4,Settings!$B$8:$B$15,0))+INDEX(Settings!$F$8:$F$15,MATCH(Settings!$C$4,Settings!$B$8:$B$15,0))*(1+Settings!$C$26)+N(I35)*Settings!$C$23+INDEX(Settings!$H$8:$H$15,MATCH(Settings!$C$4,Settings!$B$8:$B$15,0))+IF(Settings!$C$25="Yes",0.025,0)+INDEX(Settings!$I$8:$I$15,MATCH(Settings!$C$4,Settings!$B$8:$B$15,0))*(INDEX(Settings!$E$8:$E$15,MATCH(Settings!$C$4,Settings!$B$8:$B$15,0))+N(I35)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35)/(1-(INDEX(Settings!$E$8:$E$15,MATCH(Settings!$C$4,Settings!$B$8:$B$15,0))+INDEX(Settings!$F$8:$F$15,MATCH(Settings!$C$4,Settings!$B$8:$B$15,0))*(1+Settings!$C$26)+N(I35)*Settings!$C$23+INDEX(Settings!$H$8:$H$15,MATCH(Settings!$C$4,Settings!$B$8:$B$15,0))+IF(Settings!$C$25="Yes",0.025,0)+INDEX(Settings!$I$8:$I$15,MATCH(Settings!$C$4,Settings!$B$8:$B$15,0))*(INDEX(Settings!$E$8:$E$15,MATCH(Settings!$C$4,Settings!$B$8:$B$15,0))+N(I35)*Settings!$C$23+INDEX(Settings!$H$8:$H$15,MATCH(Settings!$C$4,Settings!$B$8:$B$15,0))))-Settings!$C$28)-N(D35))))</f>
        <v/>
      </c>
      <c r="Q35" s="1" t="n"/>
    </row>
    <row r="36">
      <c r="A36" s="1" t="n"/>
      <c r="B36" s="25" t="n"/>
      <c r="C36" s="7" t="n"/>
      <c r="D36" s="7" t="n"/>
      <c r="E36" s="7" t="n"/>
      <c r="F36" s="7" t="n"/>
      <c r="G36" s="7" t="n"/>
      <c r="H36" s="12" t="n"/>
      <c r="I36" s="11" t="n"/>
      <c r="J36" s="9">
        <f>IF(B36="","",(N(C36)+N(D36)))</f>
        <v/>
      </c>
      <c r="K36" s="9">
        <f>IF(B36="","",INDEX(Settings!$D$8:$D$15,MATCH(Settings!$C$4,Settings!$B$8:$B$15,0))+INDEX(Settings!$E$8:$E$15,MATCH(Settings!$C$4,Settings!$B$8:$B$15,0))*(N(C36)+N(D36))+INDEX(Settings!$F$8:$F$15,MATCH(Settings!$C$4,Settings!$B$8:$B$15,0))*(N(C36)+N(D36))*(1+Settings!$C$26)+INDEX(Settings!$G$8:$G$15,MATCH(Settings!$C$4,Settings!$B$8:$B$15,0))+N(I36)*MIN(Settings!$C$23*(N(C36)+N(D36)),Settings!$C$24)+INDEX(Settings!$H$8:$H$15,MATCH(Settings!$C$4,Settings!$B$8:$B$15,0))*(N(C36)+N(D36))+IF(Settings!$C$25="Yes",0.025,0)*(N(C36)+N(D36))+INDEX(Settings!$I$8:$I$15,MATCH(Settings!$C$4,Settings!$B$8:$B$15,0))*(INDEX(Settings!$D$8:$D$15,MATCH(Settings!$C$4,Settings!$B$8:$B$15,0))+INDEX(Settings!$E$8:$E$15,MATCH(Settings!$C$4,Settings!$B$8:$B$15,0))*(N(C36)+N(D36))+N(I36)*MIN(Settings!$C$23*(N(C36)+N(D36)),Settings!$C$24)+INDEX(Settings!$H$8:$H$15,MATCH(Settings!$C$4,Settings!$B$8:$B$15,0))*(N(C36)+N(D36))))</f>
        <v/>
      </c>
      <c r="L36" s="9">
        <f>IF(B36="","",N(E36)+N(F36)+N(G36)+N(H36)/60*Settings!$C$27)</f>
        <v/>
      </c>
      <c r="M36" s="20">
        <f>IF(B36="","",J36-K36-L36)</f>
        <v/>
      </c>
      <c r="N36" s="26">
        <f>IF(OR(B36="",N(J36)=0),"",M36/J36)</f>
        <v/>
      </c>
      <c r="O36" s="8">
        <f>IF(B36="","",IF(M36&lt;0,"Loss",IF(N36&lt;Settings!$C$28,"Below target","On target")))</f>
        <v/>
      </c>
      <c r="P36" s="14">
        <f>IF(B36="","",IF(1-(INDEX(Settings!$E$8:$E$15,MATCH(Settings!$C$4,Settings!$B$8:$B$15,0))+INDEX(Settings!$F$8:$F$15,MATCH(Settings!$C$4,Settings!$B$8:$B$15,0))*(1+Settings!$C$26)+N(I36)*Settings!$C$23+INDEX(Settings!$H$8:$H$15,MATCH(Settings!$C$4,Settings!$B$8:$B$15,0))+IF(Settings!$C$25="Yes",0.025,0)+INDEX(Settings!$I$8:$I$15,MATCH(Settings!$C$4,Settings!$B$8:$B$15,0))*(INDEX(Settings!$E$8:$E$15,MATCH(Settings!$C$4,Settings!$B$8:$B$15,0))+N(I36)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36)/(1-(INDEX(Settings!$E$8:$E$15,MATCH(Settings!$C$4,Settings!$B$8:$B$15,0))+INDEX(Settings!$F$8:$F$15,MATCH(Settings!$C$4,Settings!$B$8:$B$15,0))*(1+Settings!$C$26)+N(I36)*Settings!$C$23+INDEX(Settings!$H$8:$H$15,MATCH(Settings!$C$4,Settings!$B$8:$B$15,0))+IF(Settings!$C$25="Yes",0.025,0)+INDEX(Settings!$I$8:$I$15,MATCH(Settings!$C$4,Settings!$B$8:$B$15,0))*(INDEX(Settings!$E$8:$E$15,MATCH(Settings!$C$4,Settings!$B$8:$B$15,0))+N(I36)*Settings!$C$23+INDEX(Settings!$H$8:$H$15,MATCH(Settings!$C$4,Settings!$B$8:$B$15,0))))-Settings!$C$28)-N(D36))))</f>
        <v/>
      </c>
      <c r="Q36" s="1" t="n"/>
    </row>
    <row r="37">
      <c r="A37" s="1" t="n"/>
      <c r="B37" s="25" t="n"/>
      <c r="C37" s="7" t="n"/>
      <c r="D37" s="7" t="n"/>
      <c r="E37" s="7" t="n"/>
      <c r="F37" s="7" t="n"/>
      <c r="G37" s="7" t="n"/>
      <c r="H37" s="12" t="n"/>
      <c r="I37" s="11" t="n"/>
      <c r="J37" s="9">
        <f>IF(B37="","",(N(C37)+N(D37)))</f>
        <v/>
      </c>
      <c r="K37" s="9">
        <f>IF(B37="","",INDEX(Settings!$D$8:$D$15,MATCH(Settings!$C$4,Settings!$B$8:$B$15,0))+INDEX(Settings!$E$8:$E$15,MATCH(Settings!$C$4,Settings!$B$8:$B$15,0))*(N(C37)+N(D37))+INDEX(Settings!$F$8:$F$15,MATCH(Settings!$C$4,Settings!$B$8:$B$15,0))*(N(C37)+N(D37))*(1+Settings!$C$26)+INDEX(Settings!$G$8:$G$15,MATCH(Settings!$C$4,Settings!$B$8:$B$15,0))+N(I37)*MIN(Settings!$C$23*(N(C37)+N(D37)),Settings!$C$24)+INDEX(Settings!$H$8:$H$15,MATCH(Settings!$C$4,Settings!$B$8:$B$15,0))*(N(C37)+N(D37))+IF(Settings!$C$25="Yes",0.025,0)*(N(C37)+N(D37))+INDEX(Settings!$I$8:$I$15,MATCH(Settings!$C$4,Settings!$B$8:$B$15,0))*(INDEX(Settings!$D$8:$D$15,MATCH(Settings!$C$4,Settings!$B$8:$B$15,0))+INDEX(Settings!$E$8:$E$15,MATCH(Settings!$C$4,Settings!$B$8:$B$15,0))*(N(C37)+N(D37))+N(I37)*MIN(Settings!$C$23*(N(C37)+N(D37)),Settings!$C$24)+INDEX(Settings!$H$8:$H$15,MATCH(Settings!$C$4,Settings!$B$8:$B$15,0))*(N(C37)+N(D37))))</f>
        <v/>
      </c>
      <c r="L37" s="9">
        <f>IF(B37="","",N(E37)+N(F37)+N(G37)+N(H37)/60*Settings!$C$27)</f>
        <v/>
      </c>
      <c r="M37" s="20">
        <f>IF(B37="","",J37-K37-L37)</f>
        <v/>
      </c>
      <c r="N37" s="26">
        <f>IF(OR(B37="",N(J37)=0),"",M37/J37)</f>
        <v/>
      </c>
      <c r="O37" s="8">
        <f>IF(B37="","",IF(M37&lt;0,"Loss",IF(N37&lt;Settings!$C$28,"Below target","On target")))</f>
        <v/>
      </c>
      <c r="P37" s="14">
        <f>IF(B37="","",IF(1-(INDEX(Settings!$E$8:$E$15,MATCH(Settings!$C$4,Settings!$B$8:$B$15,0))+INDEX(Settings!$F$8:$F$15,MATCH(Settings!$C$4,Settings!$B$8:$B$15,0))*(1+Settings!$C$26)+N(I37)*Settings!$C$23+INDEX(Settings!$H$8:$H$15,MATCH(Settings!$C$4,Settings!$B$8:$B$15,0))+IF(Settings!$C$25="Yes",0.025,0)+INDEX(Settings!$I$8:$I$15,MATCH(Settings!$C$4,Settings!$B$8:$B$15,0))*(INDEX(Settings!$E$8:$E$15,MATCH(Settings!$C$4,Settings!$B$8:$B$15,0))+N(I37)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37)/(1-(INDEX(Settings!$E$8:$E$15,MATCH(Settings!$C$4,Settings!$B$8:$B$15,0))+INDEX(Settings!$F$8:$F$15,MATCH(Settings!$C$4,Settings!$B$8:$B$15,0))*(1+Settings!$C$26)+N(I37)*Settings!$C$23+INDEX(Settings!$H$8:$H$15,MATCH(Settings!$C$4,Settings!$B$8:$B$15,0))+IF(Settings!$C$25="Yes",0.025,0)+INDEX(Settings!$I$8:$I$15,MATCH(Settings!$C$4,Settings!$B$8:$B$15,0))*(INDEX(Settings!$E$8:$E$15,MATCH(Settings!$C$4,Settings!$B$8:$B$15,0))+N(I37)*Settings!$C$23+INDEX(Settings!$H$8:$H$15,MATCH(Settings!$C$4,Settings!$B$8:$B$15,0))))-Settings!$C$28)-N(D37))))</f>
        <v/>
      </c>
      <c r="Q37" s="1" t="n"/>
    </row>
    <row r="38">
      <c r="A38" s="1" t="n"/>
      <c r="B38" s="25" t="n"/>
      <c r="C38" s="7" t="n"/>
      <c r="D38" s="7" t="n"/>
      <c r="E38" s="7" t="n"/>
      <c r="F38" s="7" t="n"/>
      <c r="G38" s="7" t="n"/>
      <c r="H38" s="12" t="n"/>
      <c r="I38" s="11" t="n"/>
      <c r="J38" s="9">
        <f>IF(B38="","",(N(C38)+N(D38)))</f>
        <v/>
      </c>
      <c r="K38" s="9">
        <f>IF(B38="","",INDEX(Settings!$D$8:$D$15,MATCH(Settings!$C$4,Settings!$B$8:$B$15,0))+INDEX(Settings!$E$8:$E$15,MATCH(Settings!$C$4,Settings!$B$8:$B$15,0))*(N(C38)+N(D38))+INDEX(Settings!$F$8:$F$15,MATCH(Settings!$C$4,Settings!$B$8:$B$15,0))*(N(C38)+N(D38))*(1+Settings!$C$26)+INDEX(Settings!$G$8:$G$15,MATCH(Settings!$C$4,Settings!$B$8:$B$15,0))+N(I38)*MIN(Settings!$C$23*(N(C38)+N(D38)),Settings!$C$24)+INDEX(Settings!$H$8:$H$15,MATCH(Settings!$C$4,Settings!$B$8:$B$15,0))*(N(C38)+N(D38))+IF(Settings!$C$25="Yes",0.025,0)*(N(C38)+N(D38))+INDEX(Settings!$I$8:$I$15,MATCH(Settings!$C$4,Settings!$B$8:$B$15,0))*(INDEX(Settings!$D$8:$D$15,MATCH(Settings!$C$4,Settings!$B$8:$B$15,0))+INDEX(Settings!$E$8:$E$15,MATCH(Settings!$C$4,Settings!$B$8:$B$15,0))*(N(C38)+N(D38))+N(I38)*MIN(Settings!$C$23*(N(C38)+N(D38)),Settings!$C$24)+INDEX(Settings!$H$8:$H$15,MATCH(Settings!$C$4,Settings!$B$8:$B$15,0))*(N(C38)+N(D38))))</f>
        <v/>
      </c>
      <c r="L38" s="9">
        <f>IF(B38="","",N(E38)+N(F38)+N(G38)+N(H38)/60*Settings!$C$27)</f>
        <v/>
      </c>
      <c r="M38" s="20">
        <f>IF(B38="","",J38-K38-L38)</f>
        <v/>
      </c>
      <c r="N38" s="26">
        <f>IF(OR(B38="",N(J38)=0),"",M38/J38)</f>
        <v/>
      </c>
      <c r="O38" s="8">
        <f>IF(B38="","",IF(M38&lt;0,"Loss",IF(N38&lt;Settings!$C$28,"Below target","On target")))</f>
        <v/>
      </c>
      <c r="P38" s="14">
        <f>IF(B38="","",IF(1-(INDEX(Settings!$E$8:$E$15,MATCH(Settings!$C$4,Settings!$B$8:$B$15,0))+INDEX(Settings!$F$8:$F$15,MATCH(Settings!$C$4,Settings!$B$8:$B$15,0))*(1+Settings!$C$26)+N(I38)*Settings!$C$23+INDEX(Settings!$H$8:$H$15,MATCH(Settings!$C$4,Settings!$B$8:$B$15,0))+IF(Settings!$C$25="Yes",0.025,0)+INDEX(Settings!$I$8:$I$15,MATCH(Settings!$C$4,Settings!$B$8:$B$15,0))*(INDEX(Settings!$E$8:$E$15,MATCH(Settings!$C$4,Settings!$B$8:$B$15,0))+N(I38)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38)/(1-(INDEX(Settings!$E$8:$E$15,MATCH(Settings!$C$4,Settings!$B$8:$B$15,0))+INDEX(Settings!$F$8:$F$15,MATCH(Settings!$C$4,Settings!$B$8:$B$15,0))*(1+Settings!$C$26)+N(I38)*Settings!$C$23+INDEX(Settings!$H$8:$H$15,MATCH(Settings!$C$4,Settings!$B$8:$B$15,0))+IF(Settings!$C$25="Yes",0.025,0)+INDEX(Settings!$I$8:$I$15,MATCH(Settings!$C$4,Settings!$B$8:$B$15,0))*(INDEX(Settings!$E$8:$E$15,MATCH(Settings!$C$4,Settings!$B$8:$B$15,0))+N(I38)*Settings!$C$23+INDEX(Settings!$H$8:$H$15,MATCH(Settings!$C$4,Settings!$B$8:$B$15,0))))-Settings!$C$28)-N(D38))))</f>
        <v/>
      </c>
      <c r="Q38" s="1" t="n"/>
    </row>
    <row r="39">
      <c r="A39" s="1" t="n"/>
      <c r="B39" s="25" t="n"/>
      <c r="C39" s="7" t="n"/>
      <c r="D39" s="7" t="n"/>
      <c r="E39" s="7" t="n"/>
      <c r="F39" s="7" t="n"/>
      <c r="G39" s="7" t="n"/>
      <c r="H39" s="12" t="n"/>
      <c r="I39" s="11" t="n"/>
      <c r="J39" s="9">
        <f>IF(B39="","",(N(C39)+N(D39)))</f>
        <v/>
      </c>
      <c r="K39" s="9">
        <f>IF(B39="","",INDEX(Settings!$D$8:$D$15,MATCH(Settings!$C$4,Settings!$B$8:$B$15,0))+INDEX(Settings!$E$8:$E$15,MATCH(Settings!$C$4,Settings!$B$8:$B$15,0))*(N(C39)+N(D39))+INDEX(Settings!$F$8:$F$15,MATCH(Settings!$C$4,Settings!$B$8:$B$15,0))*(N(C39)+N(D39))*(1+Settings!$C$26)+INDEX(Settings!$G$8:$G$15,MATCH(Settings!$C$4,Settings!$B$8:$B$15,0))+N(I39)*MIN(Settings!$C$23*(N(C39)+N(D39)),Settings!$C$24)+INDEX(Settings!$H$8:$H$15,MATCH(Settings!$C$4,Settings!$B$8:$B$15,0))*(N(C39)+N(D39))+IF(Settings!$C$25="Yes",0.025,0)*(N(C39)+N(D39))+INDEX(Settings!$I$8:$I$15,MATCH(Settings!$C$4,Settings!$B$8:$B$15,0))*(INDEX(Settings!$D$8:$D$15,MATCH(Settings!$C$4,Settings!$B$8:$B$15,0))+INDEX(Settings!$E$8:$E$15,MATCH(Settings!$C$4,Settings!$B$8:$B$15,0))*(N(C39)+N(D39))+N(I39)*MIN(Settings!$C$23*(N(C39)+N(D39)),Settings!$C$24)+INDEX(Settings!$H$8:$H$15,MATCH(Settings!$C$4,Settings!$B$8:$B$15,0))*(N(C39)+N(D39))))</f>
        <v/>
      </c>
      <c r="L39" s="9">
        <f>IF(B39="","",N(E39)+N(F39)+N(G39)+N(H39)/60*Settings!$C$27)</f>
        <v/>
      </c>
      <c r="M39" s="20">
        <f>IF(B39="","",J39-K39-L39)</f>
        <v/>
      </c>
      <c r="N39" s="26">
        <f>IF(OR(B39="",N(J39)=0),"",M39/J39)</f>
        <v/>
      </c>
      <c r="O39" s="8">
        <f>IF(B39="","",IF(M39&lt;0,"Loss",IF(N39&lt;Settings!$C$28,"Below target","On target")))</f>
        <v/>
      </c>
      <c r="P39" s="14">
        <f>IF(B39="","",IF(1-(INDEX(Settings!$E$8:$E$15,MATCH(Settings!$C$4,Settings!$B$8:$B$15,0))+INDEX(Settings!$F$8:$F$15,MATCH(Settings!$C$4,Settings!$B$8:$B$15,0))*(1+Settings!$C$26)+N(I39)*Settings!$C$23+INDEX(Settings!$H$8:$H$15,MATCH(Settings!$C$4,Settings!$B$8:$B$15,0))+IF(Settings!$C$25="Yes",0.025,0)+INDEX(Settings!$I$8:$I$15,MATCH(Settings!$C$4,Settings!$B$8:$B$15,0))*(INDEX(Settings!$E$8:$E$15,MATCH(Settings!$C$4,Settings!$B$8:$B$15,0))+N(I39)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39)/(1-(INDEX(Settings!$E$8:$E$15,MATCH(Settings!$C$4,Settings!$B$8:$B$15,0))+INDEX(Settings!$F$8:$F$15,MATCH(Settings!$C$4,Settings!$B$8:$B$15,0))*(1+Settings!$C$26)+N(I39)*Settings!$C$23+INDEX(Settings!$H$8:$H$15,MATCH(Settings!$C$4,Settings!$B$8:$B$15,0))+IF(Settings!$C$25="Yes",0.025,0)+INDEX(Settings!$I$8:$I$15,MATCH(Settings!$C$4,Settings!$B$8:$B$15,0))*(INDEX(Settings!$E$8:$E$15,MATCH(Settings!$C$4,Settings!$B$8:$B$15,0))+N(I39)*Settings!$C$23+INDEX(Settings!$H$8:$H$15,MATCH(Settings!$C$4,Settings!$B$8:$B$15,0))))-Settings!$C$28)-N(D39))))</f>
        <v/>
      </c>
      <c r="Q39" s="1" t="n"/>
    </row>
    <row r="40">
      <c r="A40" s="1" t="n"/>
      <c r="B40" s="25" t="n"/>
      <c r="C40" s="7" t="n"/>
      <c r="D40" s="7" t="n"/>
      <c r="E40" s="7" t="n"/>
      <c r="F40" s="7" t="n"/>
      <c r="G40" s="7" t="n"/>
      <c r="H40" s="12" t="n"/>
      <c r="I40" s="11" t="n"/>
      <c r="J40" s="9">
        <f>IF(B40="","",(N(C40)+N(D40)))</f>
        <v/>
      </c>
      <c r="K40" s="9">
        <f>IF(B40="","",INDEX(Settings!$D$8:$D$15,MATCH(Settings!$C$4,Settings!$B$8:$B$15,0))+INDEX(Settings!$E$8:$E$15,MATCH(Settings!$C$4,Settings!$B$8:$B$15,0))*(N(C40)+N(D40))+INDEX(Settings!$F$8:$F$15,MATCH(Settings!$C$4,Settings!$B$8:$B$15,0))*(N(C40)+N(D40))*(1+Settings!$C$26)+INDEX(Settings!$G$8:$G$15,MATCH(Settings!$C$4,Settings!$B$8:$B$15,0))+N(I40)*MIN(Settings!$C$23*(N(C40)+N(D40)),Settings!$C$24)+INDEX(Settings!$H$8:$H$15,MATCH(Settings!$C$4,Settings!$B$8:$B$15,0))*(N(C40)+N(D40))+IF(Settings!$C$25="Yes",0.025,0)*(N(C40)+N(D40))+INDEX(Settings!$I$8:$I$15,MATCH(Settings!$C$4,Settings!$B$8:$B$15,0))*(INDEX(Settings!$D$8:$D$15,MATCH(Settings!$C$4,Settings!$B$8:$B$15,0))+INDEX(Settings!$E$8:$E$15,MATCH(Settings!$C$4,Settings!$B$8:$B$15,0))*(N(C40)+N(D40))+N(I40)*MIN(Settings!$C$23*(N(C40)+N(D40)),Settings!$C$24)+INDEX(Settings!$H$8:$H$15,MATCH(Settings!$C$4,Settings!$B$8:$B$15,0))*(N(C40)+N(D40))))</f>
        <v/>
      </c>
      <c r="L40" s="9">
        <f>IF(B40="","",N(E40)+N(F40)+N(G40)+N(H40)/60*Settings!$C$27)</f>
        <v/>
      </c>
      <c r="M40" s="20">
        <f>IF(B40="","",J40-K40-L40)</f>
        <v/>
      </c>
      <c r="N40" s="26">
        <f>IF(OR(B40="",N(J40)=0),"",M40/J40)</f>
        <v/>
      </c>
      <c r="O40" s="8">
        <f>IF(B40="","",IF(M40&lt;0,"Loss",IF(N40&lt;Settings!$C$28,"Below target","On target")))</f>
        <v/>
      </c>
      <c r="P40" s="14">
        <f>IF(B40="","",IF(1-(INDEX(Settings!$E$8:$E$15,MATCH(Settings!$C$4,Settings!$B$8:$B$15,0))+INDEX(Settings!$F$8:$F$15,MATCH(Settings!$C$4,Settings!$B$8:$B$15,0))*(1+Settings!$C$26)+N(I40)*Settings!$C$23+INDEX(Settings!$H$8:$H$15,MATCH(Settings!$C$4,Settings!$B$8:$B$15,0))+IF(Settings!$C$25="Yes",0.025,0)+INDEX(Settings!$I$8:$I$15,MATCH(Settings!$C$4,Settings!$B$8:$B$15,0))*(INDEX(Settings!$E$8:$E$15,MATCH(Settings!$C$4,Settings!$B$8:$B$15,0))+N(I40)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40)/(1-(INDEX(Settings!$E$8:$E$15,MATCH(Settings!$C$4,Settings!$B$8:$B$15,0))+INDEX(Settings!$F$8:$F$15,MATCH(Settings!$C$4,Settings!$B$8:$B$15,0))*(1+Settings!$C$26)+N(I40)*Settings!$C$23+INDEX(Settings!$H$8:$H$15,MATCH(Settings!$C$4,Settings!$B$8:$B$15,0))+IF(Settings!$C$25="Yes",0.025,0)+INDEX(Settings!$I$8:$I$15,MATCH(Settings!$C$4,Settings!$B$8:$B$15,0))*(INDEX(Settings!$E$8:$E$15,MATCH(Settings!$C$4,Settings!$B$8:$B$15,0))+N(I40)*Settings!$C$23+INDEX(Settings!$H$8:$H$15,MATCH(Settings!$C$4,Settings!$B$8:$B$15,0))))-Settings!$C$28)-N(D40))))</f>
        <v/>
      </c>
      <c r="Q40" s="1" t="n"/>
    </row>
    <row r="41">
      <c r="A41" s="1" t="n"/>
      <c r="B41" s="25" t="n"/>
      <c r="C41" s="7" t="n"/>
      <c r="D41" s="7" t="n"/>
      <c r="E41" s="7" t="n"/>
      <c r="F41" s="7" t="n"/>
      <c r="G41" s="7" t="n"/>
      <c r="H41" s="12" t="n"/>
      <c r="I41" s="11" t="n"/>
      <c r="J41" s="9">
        <f>IF(B41="","",(N(C41)+N(D41)))</f>
        <v/>
      </c>
      <c r="K41" s="9">
        <f>IF(B41="","",INDEX(Settings!$D$8:$D$15,MATCH(Settings!$C$4,Settings!$B$8:$B$15,0))+INDEX(Settings!$E$8:$E$15,MATCH(Settings!$C$4,Settings!$B$8:$B$15,0))*(N(C41)+N(D41))+INDEX(Settings!$F$8:$F$15,MATCH(Settings!$C$4,Settings!$B$8:$B$15,0))*(N(C41)+N(D41))*(1+Settings!$C$26)+INDEX(Settings!$G$8:$G$15,MATCH(Settings!$C$4,Settings!$B$8:$B$15,0))+N(I41)*MIN(Settings!$C$23*(N(C41)+N(D41)),Settings!$C$24)+INDEX(Settings!$H$8:$H$15,MATCH(Settings!$C$4,Settings!$B$8:$B$15,0))*(N(C41)+N(D41))+IF(Settings!$C$25="Yes",0.025,0)*(N(C41)+N(D41))+INDEX(Settings!$I$8:$I$15,MATCH(Settings!$C$4,Settings!$B$8:$B$15,0))*(INDEX(Settings!$D$8:$D$15,MATCH(Settings!$C$4,Settings!$B$8:$B$15,0))+INDEX(Settings!$E$8:$E$15,MATCH(Settings!$C$4,Settings!$B$8:$B$15,0))*(N(C41)+N(D41))+N(I41)*MIN(Settings!$C$23*(N(C41)+N(D41)),Settings!$C$24)+INDEX(Settings!$H$8:$H$15,MATCH(Settings!$C$4,Settings!$B$8:$B$15,0))*(N(C41)+N(D41))))</f>
        <v/>
      </c>
      <c r="L41" s="9">
        <f>IF(B41="","",N(E41)+N(F41)+N(G41)+N(H41)/60*Settings!$C$27)</f>
        <v/>
      </c>
      <c r="M41" s="20">
        <f>IF(B41="","",J41-K41-L41)</f>
        <v/>
      </c>
      <c r="N41" s="26">
        <f>IF(OR(B41="",N(J41)=0),"",M41/J41)</f>
        <v/>
      </c>
      <c r="O41" s="8">
        <f>IF(B41="","",IF(M41&lt;0,"Loss",IF(N41&lt;Settings!$C$28,"Below target","On target")))</f>
        <v/>
      </c>
      <c r="P41" s="14">
        <f>IF(B41="","",IF(1-(INDEX(Settings!$E$8:$E$15,MATCH(Settings!$C$4,Settings!$B$8:$B$15,0))+INDEX(Settings!$F$8:$F$15,MATCH(Settings!$C$4,Settings!$B$8:$B$15,0))*(1+Settings!$C$26)+N(I41)*Settings!$C$23+INDEX(Settings!$H$8:$H$15,MATCH(Settings!$C$4,Settings!$B$8:$B$15,0))+IF(Settings!$C$25="Yes",0.025,0)+INDEX(Settings!$I$8:$I$15,MATCH(Settings!$C$4,Settings!$B$8:$B$15,0))*(INDEX(Settings!$E$8:$E$15,MATCH(Settings!$C$4,Settings!$B$8:$B$15,0))+N(I41)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41)/(1-(INDEX(Settings!$E$8:$E$15,MATCH(Settings!$C$4,Settings!$B$8:$B$15,0))+INDEX(Settings!$F$8:$F$15,MATCH(Settings!$C$4,Settings!$B$8:$B$15,0))*(1+Settings!$C$26)+N(I41)*Settings!$C$23+INDEX(Settings!$H$8:$H$15,MATCH(Settings!$C$4,Settings!$B$8:$B$15,0))+IF(Settings!$C$25="Yes",0.025,0)+INDEX(Settings!$I$8:$I$15,MATCH(Settings!$C$4,Settings!$B$8:$B$15,0))*(INDEX(Settings!$E$8:$E$15,MATCH(Settings!$C$4,Settings!$B$8:$B$15,0))+N(I41)*Settings!$C$23+INDEX(Settings!$H$8:$H$15,MATCH(Settings!$C$4,Settings!$B$8:$B$15,0))))-Settings!$C$28)-N(D41))))</f>
        <v/>
      </c>
      <c r="Q41" s="1" t="n"/>
    </row>
    <row r="42">
      <c r="A42" s="1" t="n"/>
      <c r="B42" s="25" t="n"/>
      <c r="C42" s="7" t="n"/>
      <c r="D42" s="7" t="n"/>
      <c r="E42" s="7" t="n"/>
      <c r="F42" s="7" t="n"/>
      <c r="G42" s="7" t="n"/>
      <c r="H42" s="12" t="n"/>
      <c r="I42" s="11" t="n"/>
      <c r="J42" s="9">
        <f>IF(B42="","",(N(C42)+N(D42)))</f>
        <v/>
      </c>
      <c r="K42" s="9">
        <f>IF(B42="","",INDEX(Settings!$D$8:$D$15,MATCH(Settings!$C$4,Settings!$B$8:$B$15,0))+INDEX(Settings!$E$8:$E$15,MATCH(Settings!$C$4,Settings!$B$8:$B$15,0))*(N(C42)+N(D42))+INDEX(Settings!$F$8:$F$15,MATCH(Settings!$C$4,Settings!$B$8:$B$15,0))*(N(C42)+N(D42))*(1+Settings!$C$26)+INDEX(Settings!$G$8:$G$15,MATCH(Settings!$C$4,Settings!$B$8:$B$15,0))+N(I42)*MIN(Settings!$C$23*(N(C42)+N(D42)),Settings!$C$24)+INDEX(Settings!$H$8:$H$15,MATCH(Settings!$C$4,Settings!$B$8:$B$15,0))*(N(C42)+N(D42))+IF(Settings!$C$25="Yes",0.025,0)*(N(C42)+N(D42))+INDEX(Settings!$I$8:$I$15,MATCH(Settings!$C$4,Settings!$B$8:$B$15,0))*(INDEX(Settings!$D$8:$D$15,MATCH(Settings!$C$4,Settings!$B$8:$B$15,0))+INDEX(Settings!$E$8:$E$15,MATCH(Settings!$C$4,Settings!$B$8:$B$15,0))*(N(C42)+N(D42))+N(I42)*MIN(Settings!$C$23*(N(C42)+N(D42)),Settings!$C$24)+INDEX(Settings!$H$8:$H$15,MATCH(Settings!$C$4,Settings!$B$8:$B$15,0))*(N(C42)+N(D42))))</f>
        <v/>
      </c>
      <c r="L42" s="9">
        <f>IF(B42="","",N(E42)+N(F42)+N(G42)+N(H42)/60*Settings!$C$27)</f>
        <v/>
      </c>
      <c r="M42" s="20">
        <f>IF(B42="","",J42-K42-L42)</f>
        <v/>
      </c>
      <c r="N42" s="26">
        <f>IF(OR(B42="",N(J42)=0),"",M42/J42)</f>
        <v/>
      </c>
      <c r="O42" s="8">
        <f>IF(B42="","",IF(M42&lt;0,"Loss",IF(N42&lt;Settings!$C$28,"Below target","On target")))</f>
        <v/>
      </c>
      <c r="P42" s="14">
        <f>IF(B42="","",IF(1-(INDEX(Settings!$E$8:$E$15,MATCH(Settings!$C$4,Settings!$B$8:$B$15,0))+INDEX(Settings!$F$8:$F$15,MATCH(Settings!$C$4,Settings!$B$8:$B$15,0))*(1+Settings!$C$26)+N(I42)*Settings!$C$23+INDEX(Settings!$H$8:$H$15,MATCH(Settings!$C$4,Settings!$B$8:$B$15,0))+IF(Settings!$C$25="Yes",0.025,0)+INDEX(Settings!$I$8:$I$15,MATCH(Settings!$C$4,Settings!$B$8:$B$15,0))*(INDEX(Settings!$E$8:$E$15,MATCH(Settings!$C$4,Settings!$B$8:$B$15,0))+N(I42)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42)/(1-(INDEX(Settings!$E$8:$E$15,MATCH(Settings!$C$4,Settings!$B$8:$B$15,0))+INDEX(Settings!$F$8:$F$15,MATCH(Settings!$C$4,Settings!$B$8:$B$15,0))*(1+Settings!$C$26)+N(I42)*Settings!$C$23+INDEX(Settings!$H$8:$H$15,MATCH(Settings!$C$4,Settings!$B$8:$B$15,0))+IF(Settings!$C$25="Yes",0.025,0)+INDEX(Settings!$I$8:$I$15,MATCH(Settings!$C$4,Settings!$B$8:$B$15,0))*(INDEX(Settings!$E$8:$E$15,MATCH(Settings!$C$4,Settings!$B$8:$B$15,0))+N(I42)*Settings!$C$23+INDEX(Settings!$H$8:$H$15,MATCH(Settings!$C$4,Settings!$B$8:$B$15,0))))-Settings!$C$28)-N(D42))))</f>
        <v/>
      </c>
      <c r="Q42" s="1" t="n"/>
    </row>
    <row r="43">
      <c r="A43" s="1" t="n"/>
      <c r="B43" s="25" t="n"/>
      <c r="C43" s="7" t="n"/>
      <c r="D43" s="7" t="n"/>
      <c r="E43" s="7" t="n"/>
      <c r="F43" s="7" t="n"/>
      <c r="G43" s="7" t="n"/>
      <c r="H43" s="12" t="n"/>
      <c r="I43" s="11" t="n"/>
      <c r="J43" s="9">
        <f>IF(B43="","",(N(C43)+N(D43)))</f>
        <v/>
      </c>
      <c r="K43" s="9">
        <f>IF(B43="","",INDEX(Settings!$D$8:$D$15,MATCH(Settings!$C$4,Settings!$B$8:$B$15,0))+INDEX(Settings!$E$8:$E$15,MATCH(Settings!$C$4,Settings!$B$8:$B$15,0))*(N(C43)+N(D43))+INDEX(Settings!$F$8:$F$15,MATCH(Settings!$C$4,Settings!$B$8:$B$15,0))*(N(C43)+N(D43))*(1+Settings!$C$26)+INDEX(Settings!$G$8:$G$15,MATCH(Settings!$C$4,Settings!$B$8:$B$15,0))+N(I43)*MIN(Settings!$C$23*(N(C43)+N(D43)),Settings!$C$24)+INDEX(Settings!$H$8:$H$15,MATCH(Settings!$C$4,Settings!$B$8:$B$15,0))*(N(C43)+N(D43))+IF(Settings!$C$25="Yes",0.025,0)*(N(C43)+N(D43))+INDEX(Settings!$I$8:$I$15,MATCH(Settings!$C$4,Settings!$B$8:$B$15,0))*(INDEX(Settings!$D$8:$D$15,MATCH(Settings!$C$4,Settings!$B$8:$B$15,0))+INDEX(Settings!$E$8:$E$15,MATCH(Settings!$C$4,Settings!$B$8:$B$15,0))*(N(C43)+N(D43))+N(I43)*MIN(Settings!$C$23*(N(C43)+N(D43)),Settings!$C$24)+INDEX(Settings!$H$8:$H$15,MATCH(Settings!$C$4,Settings!$B$8:$B$15,0))*(N(C43)+N(D43))))</f>
        <v/>
      </c>
      <c r="L43" s="9">
        <f>IF(B43="","",N(E43)+N(F43)+N(G43)+N(H43)/60*Settings!$C$27)</f>
        <v/>
      </c>
      <c r="M43" s="20">
        <f>IF(B43="","",J43-K43-L43)</f>
        <v/>
      </c>
      <c r="N43" s="26">
        <f>IF(OR(B43="",N(J43)=0),"",M43/J43)</f>
        <v/>
      </c>
      <c r="O43" s="8">
        <f>IF(B43="","",IF(M43&lt;0,"Loss",IF(N43&lt;Settings!$C$28,"Below target","On target")))</f>
        <v/>
      </c>
      <c r="P43" s="14">
        <f>IF(B43="","",IF(1-(INDEX(Settings!$E$8:$E$15,MATCH(Settings!$C$4,Settings!$B$8:$B$15,0))+INDEX(Settings!$F$8:$F$15,MATCH(Settings!$C$4,Settings!$B$8:$B$15,0))*(1+Settings!$C$26)+N(I43)*Settings!$C$23+INDEX(Settings!$H$8:$H$15,MATCH(Settings!$C$4,Settings!$B$8:$B$15,0))+IF(Settings!$C$25="Yes",0.025,0)+INDEX(Settings!$I$8:$I$15,MATCH(Settings!$C$4,Settings!$B$8:$B$15,0))*(INDEX(Settings!$E$8:$E$15,MATCH(Settings!$C$4,Settings!$B$8:$B$15,0))+N(I43)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43)/(1-(INDEX(Settings!$E$8:$E$15,MATCH(Settings!$C$4,Settings!$B$8:$B$15,0))+INDEX(Settings!$F$8:$F$15,MATCH(Settings!$C$4,Settings!$B$8:$B$15,0))*(1+Settings!$C$26)+N(I43)*Settings!$C$23+INDEX(Settings!$H$8:$H$15,MATCH(Settings!$C$4,Settings!$B$8:$B$15,0))+IF(Settings!$C$25="Yes",0.025,0)+INDEX(Settings!$I$8:$I$15,MATCH(Settings!$C$4,Settings!$B$8:$B$15,0))*(INDEX(Settings!$E$8:$E$15,MATCH(Settings!$C$4,Settings!$B$8:$B$15,0))+N(I43)*Settings!$C$23+INDEX(Settings!$H$8:$H$15,MATCH(Settings!$C$4,Settings!$B$8:$B$15,0))))-Settings!$C$28)-N(D43))))</f>
        <v/>
      </c>
      <c r="Q43" s="1" t="n"/>
    </row>
    <row r="44">
      <c r="A44" s="1" t="n"/>
      <c r="B44" s="25" t="n"/>
      <c r="C44" s="7" t="n"/>
      <c r="D44" s="7" t="n"/>
      <c r="E44" s="7" t="n"/>
      <c r="F44" s="7" t="n"/>
      <c r="G44" s="7" t="n"/>
      <c r="H44" s="12" t="n"/>
      <c r="I44" s="11" t="n"/>
      <c r="J44" s="9">
        <f>IF(B44="","",(N(C44)+N(D44)))</f>
        <v/>
      </c>
      <c r="K44" s="9">
        <f>IF(B44="","",INDEX(Settings!$D$8:$D$15,MATCH(Settings!$C$4,Settings!$B$8:$B$15,0))+INDEX(Settings!$E$8:$E$15,MATCH(Settings!$C$4,Settings!$B$8:$B$15,0))*(N(C44)+N(D44))+INDEX(Settings!$F$8:$F$15,MATCH(Settings!$C$4,Settings!$B$8:$B$15,0))*(N(C44)+N(D44))*(1+Settings!$C$26)+INDEX(Settings!$G$8:$G$15,MATCH(Settings!$C$4,Settings!$B$8:$B$15,0))+N(I44)*MIN(Settings!$C$23*(N(C44)+N(D44)),Settings!$C$24)+INDEX(Settings!$H$8:$H$15,MATCH(Settings!$C$4,Settings!$B$8:$B$15,0))*(N(C44)+N(D44))+IF(Settings!$C$25="Yes",0.025,0)*(N(C44)+N(D44))+INDEX(Settings!$I$8:$I$15,MATCH(Settings!$C$4,Settings!$B$8:$B$15,0))*(INDEX(Settings!$D$8:$D$15,MATCH(Settings!$C$4,Settings!$B$8:$B$15,0))+INDEX(Settings!$E$8:$E$15,MATCH(Settings!$C$4,Settings!$B$8:$B$15,0))*(N(C44)+N(D44))+N(I44)*MIN(Settings!$C$23*(N(C44)+N(D44)),Settings!$C$24)+INDEX(Settings!$H$8:$H$15,MATCH(Settings!$C$4,Settings!$B$8:$B$15,0))*(N(C44)+N(D44))))</f>
        <v/>
      </c>
      <c r="L44" s="9">
        <f>IF(B44="","",N(E44)+N(F44)+N(G44)+N(H44)/60*Settings!$C$27)</f>
        <v/>
      </c>
      <c r="M44" s="20">
        <f>IF(B44="","",J44-K44-L44)</f>
        <v/>
      </c>
      <c r="N44" s="26">
        <f>IF(OR(B44="",N(J44)=0),"",M44/J44)</f>
        <v/>
      </c>
      <c r="O44" s="8">
        <f>IF(B44="","",IF(M44&lt;0,"Loss",IF(N44&lt;Settings!$C$28,"Below target","On target")))</f>
        <v/>
      </c>
      <c r="P44" s="14">
        <f>IF(B44="","",IF(1-(INDEX(Settings!$E$8:$E$15,MATCH(Settings!$C$4,Settings!$B$8:$B$15,0))+INDEX(Settings!$F$8:$F$15,MATCH(Settings!$C$4,Settings!$B$8:$B$15,0))*(1+Settings!$C$26)+N(I44)*Settings!$C$23+INDEX(Settings!$H$8:$H$15,MATCH(Settings!$C$4,Settings!$B$8:$B$15,0))+IF(Settings!$C$25="Yes",0.025,0)+INDEX(Settings!$I$8:$I$15,MATCH(Settings!$C$4,Settings!$B$8:$B$15,0))*(INDEX(Settings!$E$8:$E$15,MATCH(Settings!$C$4,Settings!$B$8:$B$15,0))+N(I44)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44)/(1-(INDEX(Settings!$E$8:$E$15,MATCH(Settings!$C$4,Settings!$B$8:$B$15,0))+INDEX(Settings!$F$8:$F$15,MATCH(Settings!$C$4,Settings!$B$8:$B$15,0))*(1+Settings!$C$26)+N(I44)*Settings!$C$23+INDEX(Settings!$H$8:$H$15,MATCH(Settings!$C$4,Settings!$B$8:$B$15,0))+IF(Settings!$C$25="Yes",0.025,0)+INDEX(Settings!$I$8:$I$15,MATCH(Settings!$C$4,Settings!$B$8:$B$15,0))*(INDEX(Settings!$E$8:$E$15,MATCH(Settings!$C$4,Settings!$B$8:$B$15,0))+N(I44)*Settings!$C$23+INDEX(Settings!$H$8:$H$15,MATCH(Settings!$C$4,Settings!$B$8:$B$15,0))))-Settings!$C$28)-N(D44))))</f>
        <v/>
      </c>
      <c r="Q44" s="1" t="n"/>
    </row>
    <row r="45">
      <c r="A45" s="1" t="n"/>
      <c r="B45" s="25" t="n"/>
      <c r="C45" s="7" t="n"/>
      <c r="D45" s="7" t="n"/>
      <c r="E45" s="7" t="n"/>
      <c r="F45" s="7" t="n"/>
      <c r="G45" s="7" t="n"/>
      <c r="H45" s="12" t="n"/>
      <c r="I45" s="11" t="n"/>
      <c r="J45" s="9">
        <f>IF(B45="","",(N(C45)+N(D45)))</f>
        <v/>
      </c>
      <c r="K45" s="9">
        <f>IF(B45="","",INDEX(Settings!$D$8:$D$15,MATCH(Settings!$C$4,Settings!$B$8:$B$15,0))+INDEX(Settings!$E$8:$E$15,MATCH(Settings!$C$4,Settings!$B$8:$B$15,0))*(N(C45)+N(D45))+INDEX(Settings!$F$8:$F$15,MATCH(Settings!$C$4,Settings!$B$8:$B$15,0))*(N(C45)+N(D45))*(1+Settings!$C$26)+INDEX(Settings!$G$8:$G$15,MATCH(Settings!$C$4,Settings!$B$8:$B$15,0))+N(I45)*MIN(Settings!$C$23*(N(C45)+N(D45)),Settings!$C$24)+INDEX(Settings!$H$8:$H$15,MATCH(Settings!$C$4,Settings!$B$8:$B$15,0))*(N(C45)+N(D45))+IF(Settings!$C$25="Yes",0.025,0)*(N(C45)+N(D45))+INDEX(Settings!$I$8:$I$15,MATCH(Settings!$C$4,Settings!$B$8:$B$15,0))*(INDEX(Settings!$D$8:$D$15,MATCH(Settings!$C$4,Settings!$B$8:$B$15,0))+INDEX(Settings!$E$8:$E$15,MATCH(Settings!$C$4,Settings!$B$8:$B$15,0))*(N(C45)+N(D45))+N(I45)*MIN(Settings!$C$23*(N(C45)+N(D45)),Settings!$C$24)+INDEX(Settings!$H$8:$H$15,MATCH(Settings!$C$4,Settings!$B$8:$B$15,0))*(N(C45)+N(D45))))</f>
        <v/>
      </c>
      <c r="L45" s="9">
        <f>IF(B45="","",N(E45)+N(F45)+N(G45)+N(H45)/60*Settings!$C$27)</f>
        <v/>
      </c>
      <c r="M45" s="20">
        <f>IF(B45="","",J45-K45-L45)</f>
        <v/>
      </c>
      <c r="N45" s="26">
        <f>IF(OR(B45="",N(J45)=0),"",M45/J45)</f>
        <v/>
      </c>
      <c r="O45" s="8">
        <f>IF(B45="","",IF(M45&lt;0,"Loss",IF(N45&lt;Settings!$C$28,"Below target","On target")))</f>
        <v/>
      </c>
      <c r="P45" s="14">
        <f>IF(B45="","",IF(1-(INDEX(Settings!$E$8:$E$15,MATCH(Settings!$C$4,Settings!$B$8:$B$15,0))+INDEX(Settings!$F$8:$F$15,MATCH(Settings!$C$4,Settings!$B$8:$B$15,0))*(1+Settings!$C$26)+N(I45)*Settings!$C$23+INDEX(Settings!$H$8:$H$15,MATCH(Settings!$C$4,Settings!$B$8:$B$15,0))+IF(Settings!$C$25="Yes",0.025,0)+INDEX(Settings!$I$8:$I$15,MATCH(Settings!$C$4,Settings!$B$8:$B$15,0))*(INDEX(Settings!$E$8:$E$15,MATCH(Settings!$C$4,Settings!$B$8:$B$15,0))+N(I45)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45)/(1-(INDEX(Settings!$E$8:$E$15,MATCH(Settings!$C$4,Settings!$B$8:$B$15,0))+INDEX(Settings!$F$8:$F$15,MATCH(Settings!$C$4,Settings!$B$8:$B$15,0))*(1+Settings!$C$26)+N(I45)*Settings!$C$23+INDEX(Settings!$H$8:$H$15,MATCH(Settings!$C$4,Settings!$B$8:$B$15,0))+IF(Settings!$C$25="Yes",0.025,0)+INDEX(Settings!$I$8:$I$15,MATCH(Settings!$C$4,Settings!$B$8:$B$15,0))*(INDEX(Settings!$E$8:$E$15,MATCH(Settings!$C$4,Settings!$B$8:$B$15,0))+N(I45)*Settings!$C$23+INDEX(Settings!$H$8:$H$15,MATCH(Settings!$C$4,Settings!$B$8:$B$15,0))))-Settings!$C$28)-N(D45))))</f>
        <v/>
      </c>
      <c r="Q45" s="1" t="n"/>
    </row>
    <row r="46">
      <c r="A46" s="1" t="n"/>
      <c r="B46" s="25" t="n"/>
      <c r="C46" s="7" t="n"/>
      <c r="D46" s="7" t="n"/>
      <c r="E46" s="7" t="n"/>
      <c r="F46" s="7" t="n"/>
      <c r="G46" s="7" t="n"/>
      <c r="H46" s="12" t="n"/>
      <c r="I46" s="11" t="n"/>
      <c r="J46" s="9">
        <f>IF(B46="","",(N(C46)+N(D46)))</f>
        <v/>
      </c>
      <c r="K46" s="9">
        <f>IF(B46="","",INDEX(Settings!$D$8:$D$15,MATCH(Settings!$C$4,Settings!$B$8:$B$15,0))+INDEX(Settings!$E$8:$E$15,MATCH(Settings!$C$4,Settings!$B$8:$B$15,0))*(N(C46)+N(D46))+INDEX(Settings!$F$8:$F$15,MATCH(Settings!$C$4,Settings!$B$8:$B$15,0))*(N(C46)+N(D46))*(1+Settings!$C$26)+INDEX(Settings!$G$8:$G$15,MATCH(Settings!$C$4,Settings!$B$8:$B$15,0))+N(I46)*MIN(Settings!$C$23*(N(C46)+N(D46)),Settings!$C$24)+INDEX(Settings!$H$8:$H$15,MATCH(Settings!$C$4,Settings!$B$8:$B$15,0))*(N(C46)+N(D46))+IF(Settings!$C$25="Yes",0.025,0)*(N(C46)+N(D46))+INDEX(Settings!$I$8:$I$15,MATCH(Settings!$C$4,Settings!$B$8:$B$15,0))*(INDEX(Settings!$D$8:$D$15,MATCH(Settings!$C$4,Settings!$B$8:$B$15,0))+INDEX(Settings!$E$8:$E$15,MATCH(Settings!$C$4,Settings!$B$8:$B$15,0))*(N(C46)+N(D46))+N(I46)*MIN(Settings!$C$23*(N(C46)+N(D46)),Settings!$C$24)+INDEX(Settings!$H$8:$H$15,MATCH(Settings!$C$4,Settings!$B$8:$B$15,0))*(N(C46)+N(D46))))</f>
        <v/>
      </c>
      <c r="L46" s="9">
        <f>IF(B46="","",N(E46)+N(F46)+N(G46)+N(H46)/60*Settings!$C$27)</f>
        <v/>
      </c>
      <c r="M46" s="20">
        <f>IF(B46="","",J46-K46-L46)</f>
        <v/>
      </c>
      <c r="N46" s="26">
        <f>IF(OR(B46="",N(J46)=0),"",M46/J46)</f>
        <v/>
      </c>
      <c r="O46" s="8">
        <f>IF(B46="","",IF(M46&lt;0,"Loss",IF(N46&lt;Settings!$C$28,"Below target","On target")))</f>
        <v/>
      </c>
      <c r="P46" s="14">
        <f>IF(B46="","",IF(1-(INDEX(Settings!$E$8:$E$15,MATCH(Settings!$C$4,Settings!$B$8:$B$15,0))+INDEX(Settings!$F$8:$F$15,MATCH(Settings!$C$4,Settings!$B$8:$B$15,0))*(1+Settings!$C$26)+N(I46)*Settings!$C$23+INDEX(Settings!$H$8:$H$15,MATCH(Settings!$C$4,Settings!$B$8:$B$15,0))+IF(Settings!$C$25="Yes",0.025,0)+INDEX(Settings!$I$8:$I$15,MATCH(Settings!$C$4,Settings!$B$8:$B$15,0))*(INDEX(Settings!$E$8:$E$15,MATCH(Settings!$C$4,Settings!$B$8:$B$15,0))+N(I46)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46)/(1-(INDEX(Settings!$E$8:$E$15,MATCH(Settings!$C$4,Settings!$B$8:$B$15,0))+INDEX(Settings!$F$8:$F$15,MATCH(Settings!$C$4,Settings!$B$8:$B$15,0))*(1+Settings!$C$26)+N(I46)*Settings!$C$23+INDEX(Settings!$H$8:$H$15,MATCH(Settings!$C$4,Settings!$B$8:$B$15,0))+IF(Settings!$C$25="Yes",0.025,0)+INDEX(Settings!$I$8:$I$15,MATCH(Settings!$C$4,Settings!$B$8:$B$15,0))*(INDEX(Settings!$E$8:$E$15,MATCH(Settings!$C$4,Settings!$B$8:$B$15,0))+N(I46)*Settings!$C$23+INDEX(Settings!$H$8:$H$15,MATCH(Settings!$C$4,Settings!$B$8:$B$15,0))))-Settings!$C$28)-N(D46))))</f>
        <v/>
      </c>
      <c r="Q46" s="1" t="n"/>
    </row>
    <row r="47">
      <c r="A47" s="1" t="n"/>
      <c r="B47" s="25" t="n"/>
      <c r="C47" s="7" t="n"/>
      <c r="D47" s="7" t="n"/>
      <c r="E47" s="7" t="n"/>
      <c r="F47" s="7" t="n"/>
      <c r="G47" s="7" t="n"/>
      <c r="H47" s="12" t="n"/>
      <c r="I47" s="11" t="n"/>
      <c r="J47" s="9">
        <f>IF(B47="","",(N(C47)+N(D47)))</f>
        <v/>
      </c>
      <c r="K47" s="9">
        <f>IF(B47="","",INDEX(Settings!$D$8:$D$15,MATCH(Settings!$C$4,Settings!$B$8:$B$15,0))+INDEX(Settings!$E$8:$E$15,MATCH(Settings!$C$4,Settings!$B$8:$B$15,0))*(N(C47)+N(D47))+INDEX(Settings!$F$8:$F$15,MATCH(Settings!$C$4,Settings!$B$8:$B$15,0))*(N(C47)+N(D47))*(1+Settings!$C$26)+INDEX(Settings!$G$8:$G$15,MATCH(Settings!$C$4,Settings!$B$8:$B$15,0))+N(I47)*MIN(Settings!$C$23*(N(C47)+N(D47)),Settings!$C$24)+INDEX(Settings!$H$8:$H$15,MATCH(Settings!$C$4,Settings!$B$8:$B$15,0))*(N(C47)+N(D47))+IF(Settings!$C$25="Yes",0.025,0)*(N(C47)+N(D47))+INDEX(Settings!$I$8:$I$15,MATCH(Settings!$C$4,Settings!$B$8:$B$15,0))*(INDEX(Settings!$D$8:$D$15,MATCH(Settings!$C$4,Settings!$B$8:$B$15,0))+INDEX(Settings!$E$8:$E$15,MATCH(Settings!$C$4,Settings!$B$8:$B$15,0))*(N(C47)+N(D47))+N(I47)*MIN(Settings!$C$23*(N(C47)+N(D47)),Settings!$C$24)+INDEX(Settings!$H$8:$H$15,MATCH(Settings!$C$4,Settings!$B$8:$B$15,0))*(N(C47)+N(D47))))</f>
        <v/>
      </c>
      <c r="L47" s="9">
        <f>IF(B47="","",N(E47)+N(F47)+N(G47)+N(H47)/60*Settings!$C$27)</f>
        <v/>
      </c>
      <c r="M47" s="20">
        <f>IF(B47="","",J47-K47-L47)</f>
        <v/>
      </c>
      <c r="N47" s="26">
        <f>IF(OR(B47="",N(J47)=0),"",M47/J47)</f>
        <v/>
      </c>
      <c r="O47" s="8">
        <f>IF(B47="","",IF(M47&lt;0,"Loss",IF(N47&lt;Settings!$C$28,"Below target","On target")))</f>
        <v/>
      </c>
      <c r="P47" s="14">
        <f>IF(B47="","",IF(1-(INDEX(Settings!$E$8:$E$15,MATCH(Settings!$C$4,Settings!$B$8:$B$15,0))+INDEX(Settings!$F$8:$F$15,MATCH(Settings!$C$4,Settings!$B$8:$B$15,0))*(1+Settings!$C$26)+N(I47)*Settings!$C$23+INDEX(Settings!$H$8:$H$15,MATCH(Settings!$C$4,Settings!$B$8:$B$15,0))+IF(Settings!$C$25="Yes",0.025,0)+INDEX(Settings!$I$8:$I$15,MATCH(Settings!$C$4,Settings!$B$8:$B$15,0))*(INDEX(Settings!$E$8:$E$15,MATCH(Settings!$C$4,Settings!$B$8:$B$15,0))+N(I47)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47)/(1-(INDEX(Settings!$E$8:$E$15,MATCH(Settings!$C$4,Settings!$B$8:$B$15,0))+INDEX(Settings!$F$8:$F$15,MATCH(Settings!$C$4,Settings!$B$8:$B$15,0))*(1+Settings!$C$26)+N(I47)*Settings!$C$23+INDEX(Settings!$H$8:$H$15,MATCH(Settings!$C$4,Settings!$B$8:$B$15,0))+IF(Settings!$C$25="Yes",0.025,0)+INDEX(Settings!$I$8:$I$15,MATCH(Settings!$C$4,Settings!$B$8:$B$15,0))*(INDEX(Settings!$E$8:$E$15,MATCH(Settings!$C$4,Settings!$B$8:$B$15,0))+N(I47)*Settings!$C$23+INDEX(Settings!$H$8:$H$15,MATCH(Settings!$C$4,Settings!$B$8:$B$15,0))))-Settings!$C$28)-N(D47))))</f>
        <v/>
      </c>
      <c r="Q47" s="1" t="n"/>
    </row>
    <row r="48">
      <c r="A48" s="1" t="n"/>
      <c r="B48" s="25" t="n"/>
      <c r="C48" s="7" t="n"/>
      <c r="D48" s="7" t="n"/>
      <c r="E48" s="7" t="n"/>
      <c r="F48" s="7" t="n"/>
      <c r="G48" s="7" t="n"/>
      <c r="H48" s="12" t="n"/>
      <c r="I48" s="11" t="n"/>
      <c r="J48" s="9">
        <f>IF(B48="","",(N(C48)+N(D48)))</f>
        <v/>
      </c>
      <c r="K48" s="9">
        <f>IF(B48="","",INDEX(Settings!$D$8:$D$15,MATCH(Settings!$C$4,Settings!$B$8:$B$15,0))+INDEX(Settings!$E$8:$E$15,MATCH(Settings!$C$4,Settings!$B$8:$B$15,0))*(N(C48)+N(D48))+INDEX(Settings!$F$8:$F$15,MATCH(Settings!$C$4,Settings!$B$8:$B$15,0))*(N(C48)+N(D48))*(1+Settings!$C$26)+INDEX(Settings!$G$8:$G$15,MATCH(Settings!$C$4,Settings!$B$8:$B$15,0))+N(I48)*MIN(Settings!$C$23*(N(C48)+N(D48)),Settings!$C$24)+INDEX(Settings!$H$8:$H$15,MATCH(Settings!$C$4,Settings!$B$8:$B$15,0))*(N(C48)+N(D48))+IF(Settings!$C$25="Yes",0.025,0)*(N(C48)+N(D48))+INDEX(Settings!$I$8:$I$15,MATCH(Settings!$C$4,Settings!$B$8:$B$15,0))*(INDEX(Settings!$D$8:$D$15,MATCH(Settings!$C$4,Settings!$B$8:$B$15,0))+INDEX(Settings!$E$8:$E$15,MATCH(Settings!$C$4,Settings!$B$8:$B$15,0))*(N(C48)+N(D48))+N(I48)*MIN(Settings!$C$23*(N(C48)+N(D48)),Settings!$C$24)+INDEX(Settings!$H$8:$H$15,MATCH(Settings!$C$4,Settings!$B$8:$B$15,0))*(N(C48)+N(D48))))</f>
        <v/>
      </c>
      <c r="L48" s="9">
        <f>IF(B48="","",N(E48)+N(F48)+N(G48)+N(H48)/60*Settings!$C$27)</f>
        <v/>
      </c>
      <c r="M48" s="20">
        <f>IF(B48="","",J48-K48-L48)</f>
        <v/>
      </c>
      <c r="N48" s="26">
        <f>IF(OR(B48="",N(J48)=0),"",M48/J48)</f>
        <v/>
      </c>
      <c r="O48" s="8">
        <f>IF(B48="","",IF(M48&lt;0,"Loss",IF(N48&lt;Settings!$C$28,"Below target","On target")))</f>
        <v/>
      </c>
      <c r="P48" s="14">
        <f>IF(B48="","",IF(1-(INDEX(Settings!$E$8:$E$15,MATCH(Settings!$C$4,Settings!$B$8:$B$15,0))+INDEX(Settings!$F$8:$F$15,MATCH(Settings!$C$4,Settings!$B$8:$B$15,0))*(1+Settings!$C$26)+N(I48)*Settings!$C$23+INDEX(Settings!$H$8:$H$15,MATCH(Settings!$C$4,Settings!$B$8:$B$15,0))+IF(Settings!$C$25="Yes",0.025,0)+INDEX(Settings!$I$8:$I$15,MATCH(Settings!$C$4,Settings!$B$8:$B$15,0))*(INDEX(Settings!$E$8:$E$15,MATCH(Settings!$C$4,Settings!$B$8:$B$15,0))+N(I48)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48)/(1-(INDEX(Settings!$E$8:$E$15,MATCH(Settings!$C$4,Settings!$B$8:$B$15,0))+INDEX(Settings!$F$8:$F$15,MATCH(Settings!$C$4,Settings!$B$8:$B$15,0))*(1+Settings!$C$26)+N(I48)*Settings!$C$23+INDEX(Settings!$H$8:$H$15,MATCH(Settings!$C$4,Settings!$B$8:$B$15,0))+IF(Settings!$C$25="Yes",0.025,0)+INDEX(Settings!$I$8:$I$15,MATCH(Settings!$C$4,Settings!$B$8:$B$15,0))*(INDEX(Settings!$E$8:$E$15,MATCH(Settings!$C$4,Settings!$B$8:$B$15,0))+N(I48)*Settings!$C$23+INDEX(Settings!$H$8:$H$15,MATCH(Settings!$C$4,Settings!$B$8:$B$15,0))))-Settings!$C$28)-N(D48))))</f>
        <v/>
      </c>
      <c r="Q48" s="1" t="n"/>
    </row>
    <row r="49">
      <c r="A49" s="1" t="n"/>
      <c r="B49" s="25" t="n"/>
      <c r="C49" s="7" t="n"/>
      <c r="D49" s="7" t="n"/>
      <c r="E49" s="7" t="n"/>
      <c r="F49" s="7" t="n"/>
      <c r="G49" s="7" t="n"/>
      <c r="H49" s="12" t="n"/>
      <c r="I49" s="11" t="n"/>
      <c r="J49" s="9">
        <f>IF(B49="","",(N(C49)+N(D49)))</f>
        <v/>
      </c>
      <c r="K49" s="9">
        <f>IF(B49="","",INDEX(Settings!$D$8:$D$15,MATCH(Settings!$C$4,Settings!$B$8:$B$15,0))+INDEX(Settings!$E$8:$E$15,MATCH(Settings!$C$4,Settings!$B$8:$B$15,0))*(N(C49)+N(D49))+INDEX(Settings!$F$8:$F$15,MATCH(Settings!$C$4,Settings!$B$8:$B$15,0))*(N(C49)+N(D49))*(1+Settings!$C$26)+INDEX(Settings!$G$8:$G$15,MATCH(Settings!$C$4,Settings!$B$8:$B$15,0))+N(I49)*MIN(Settings!$C$23*(N(C49)+N(D49)),Settings!$C$24)+INDEX(Settings!$H$8:$H$15,MATCH(Settings!$C$4,Settings!$B$8:$B$15,0))*(N(C49)+N(D49))+IF(Settings!$C$25="Yes",0.025,0)*(N(C49)+N(D49))+INDEX(Settings!$I$8:$I$15,MATCH(Settings!$C$4,Settings!$B$8:$B$15,0))*(INDEX(Settings!$D$8:$D$15,MATCH(Settings!$C$4,Settings!$B$8:$B$15,0))+INDEX(Settings!$E$8:$E$15,MATCH(Settings!$C$4,Settings!$B$8:$B$15,0))*(N(C49)+N(D49))+N(I49)*MIN(Settings!$C$23*(N(C49)+N(D49)),Settings!$C$24)+INDEX(Settings!$H$8:$H$15,MATCH(Settings!$C$4,Settings!$B$8:$B$15,0))*(N(C49)+N(D49))))</f>
        <v/>
      </c>
      <c r="L49" s="9">
        <f>IF(B49="","",N(E49)+N(F49)+N(G49)+N(H49)/60*Settings!$C$27)</f>
        <v/>
      </c>
      <c r="M49" s="20">
        <f>IF(B49="","",J49-K49-L49)</f>
        <v/>
      </c>
      <c r="N49" s="26">
        <f>IF(OR(B49="",N(J49)=0),"",M49/J49)</f>
        <v/>
      </c>
      <c r="O49" s="8">
        <f>IF(B49="","",IF(M49&lt;0,"Loss",IF(N49&lt;Settings!$C$28,"Below target","On target")))</f>
        <v/>
      </c>
      <c r="P49" s="14">
        <f>IF(B49="","",IF(1-(INDEX(Settings!$E$8:$E$15,MATCH(Settings!$C$4,Settings!$B$8:$B$15,0))+INDEX(Settings!$F$8:$F$15,MATCH(Settings!$C$4,Settings!$B$8:$B$15,0))*(1+Settings!$C$26)+N(I49)*Settings!$C$23+INDEX(Settings!$H$8:$H$15,MATCH(Settings!$C$4,Settings!$B$8:$B$15,0))+IF(Settings!$C$25="Yes",0.025,0)+INDEX(Settings!$I$8:$I$15,MATCH(Settings!$C$4,Settings!$B$8:$B$15,0))*(INDEX(Settings!$E$8:$E$15,MATCH(Settings!$C$4,Settings!$B$8:$B$15,0))+N(I49)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49)/(1-(INDEX(Settings!$E$8:$E$15,MATCH(Settings!$C$4,Settings!$B$8:$B$15,0))+INDEX(Settings!$F$8:$F$15,MATCH(Settings!$C$4,Settings!$B$8:$B$15,0))*(1+Settings!$C$26)+N(I49)*Settings!$C$23+INDEX(Settings!$H$8:$H$15,MATCH(Settings!$C$4,Settings!$B$8:$B$15,0))+IF(Settings!$C$25="Yes",0.025,0)+INDEX(Settings!$I$8:$I$15,MATCH(Settings!$C$4,Settings!$B$8:$B$15,0))*(INDEX(Settings!$E$8:$E$15,MATCH(Settings!$C$4,Settings!$B$8:$B$15,0))+N(I49)*Settings!$C$23+INDEX(Settings!$H$8:$H$15,MATCH(Settings!$C$4,Settings!$B$8:$B$15,0))))-Settings!$C$28)-N(D49))))</f>
        <v/>
      </c>
      <c r="Q49" s="1" t="n"/>
    </row>
    <row r="50">
      <c r="A50" s="1" t="n"/>
      <c r="B50" s="25" t="n"/>
      <c r="C50" s="7" t="n"/>
      <c r="D50" s="7" t="n"/>
      <c r="E50" s="7" t="n"/>
      <c r="F50" s="7" t="n"/>
      <c r="G50" s="7" t="n"/>
      <c r="H50" s="12" t="n"/>
      <c r="I50" s="11" t="n"/>
      <c r="J50" s="9">
        <f>IF(B50="","",(N(C50)+N(D50)))</f>
        <v/>
      </c>
      <c r="K50" s="9">
        <f>IF(B50="","",INDEX(Settings!$D$8:$D$15,MATCH(Settings!$C$4,Settings!$B$8:$B$15,0))+INDEX(Settings!$E$8:$E$15,MATCH(Settings!$C$4,Settings!$B$8:$B$15,0))*(N(C50)+N(D50))+INDEX(Settings!$F$8:$F$15,MATCH(Settings!$C$4,Settings!$B$8:$B$15,0))*(N(C50)+N(D50))*(1+Settings!$C$26)+INDEX(Settings!$G$8:$G$15,MATCH(Settings!$C$4,Settings!$B$8:$B$15,0))+N(I50)*MIN(Settings!$C$23*(N(C50)+N(D50)),Settings!$C$24)+INDEX(Settings!$H$8:$H$15,MATCH(Settings!$C$4,Settings!$B$8:$B$15,0))*(N(C50)+N(D50))+IF(Settings!$C$25="Yes",0.025,0)*(N(C50)+N(D50))+INDEX(Settings!$I$8:$I$15,MATCH(Settings!$C$4,Settings!$B$8:$B$15,0))*(INDEX(Settings!$D$8:$D$15,MATCH(Settings!$C$4,Settings!$B$8:$B$15,0))+INDEX(Settings!$E$8:$E$15,MATCH(Settings!$C$4,Settings!$B$8:$B$15,0))*(N(C50)+N(D50))+N(I50)*MIN(Settings!$C$23*(N(C50)+N(D50)),Settings!$C$24)+INDEX(Settings!$H$8:$H$15,MATCH(Settings!$C$4,Settings!$B$8:$B$15,0))*(N(C50)+N(D50))))</f>
        <v/>
      </c>
      <c r="L50" s="9">
        <f>IF(B50="","",N(E50)+N(F50)+N(G50)+N(H50)/60*Settings!$C$27)</f>
        <v/>
      </c>
      <c r="M50" s="20">
        <f>IF(B50="","",J50-K50-L50)</f>
        <v/>
      </c>
      <c r="N50" s="26">
        <f>IF(OR(B50="",N(J50)=0),"",M50/J50)</f>
        <v/>
      </c>
      <c r="O50" s="8">
        <f>IF(B50="","",IF(M50&lt;0,"Loss",IF(N50&lt;Settings!$C$28,"Below target","On target")))</f>
        <v/>
      </c>
      <c r="P50" s="14">
        <f>IF(B50="","",IF(1-(INDEX(Settings!$E$8:$E$15,MATCH(Settings!$C$4,Settings!$B$8:$B$15,0))+INDEX(Settings!$F$8:$F$15,MATCH(Settings!$C$4,Settings!$B$8:$B$15,0))*(1+Settings!$C$26)+N(I50)*Settings!$C$23+INDEX(Settings!$H$8:$H$15,MATCH(Settings!$C$4,Settings!$B$8:$B$15,0))+IF(Settings!$C$25="Yes",0.025,0)+INDEX(Settings!$I$8:$I$15,MATCH(Settings!$C$4,Settings!$B$8:$B$15,0))*(INDEX(Settings!$E$8:$E$15,MATCH(Settings!$C$4,Settings!$B$8:$B$15,0))+N(I50)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50)/(1-(INDEX(Settings!$E$8:$E$15,MATCH(Settings!$C$4,Settings!$B$8:$B$15,0))+INDEX(Settings!$F$8:$F$15,MATCH(Settings!$C$4,Settings!$B$8:$B$15,0))*(1+Settings!$C$26)+N(I50)*Settings!$C$23+INDEX(Settings!$H$8:$H$15,MATCH(Settings!$C$4,Settings!$B$8:$B$15,0))+IF(Settings!$C$25="Yes",0.025,0)+INDEX(Settings!$I$8:$I$15,MATCH(Settings!$C$4,Settings!$B$8:$B$15,0))*(INDEX(Settings!$E$8:$E$15,MATCH(Settings!$C$4,Settings!$B$8:$B$15,0))+N(I50)*Settings!$C$23+INDEX(Settings!$H$8:$H$15,MATCH(Settings!$C$4,Settings!$B$8:$B$15,0))))-Settings!$C$28)-N(D50))))</f>
        <v/>
      </c>
      <c r="Q50" s="1" t="n"/>
    </row>
    <row r="51">
      <c r="A51" s="1" t="n"/>
      <c r="B51" s="25" t="n"/>
      <c r="C51" s="7" t="n"/>
      <c r="D51" s="7" t="n"/>
      <c r="E51" s="7" t="n"/>
      <c r="F51" s="7" t="n"/>
      <c r="G51" s="7" t="n"/>
      <c r="H51" s="12" t="n"/>
      <c r="I51" s="11" t="n"/>
      <c r="J51" s="9">
        <f>IF(B51="","",(N(C51)+N(D51)))</f>
        <v/>
      </c>
      <c r="K51" s="9">
        <f>IF(B51="","",INDEX(Settings!$D$8:$D$15,MATCH(Settings!$C$4,Settings!$B$8:$B$15,0))+INDEX(Settings!$E$8:$E$15,MATCH(Settings!$C$4,Settings!$B$8:$B$15,0))*(N(C51)+N(D51))+INDEX(Settings!$F$8:$F$15,MATCH(Settings!$C$4,Settings!$B$8:$B$15,0))*(N(C51)+N(D51))*(1+Settings!$C$26)+INDEX(Settings!$G$8:$G$15,MATCH(Settings!$C$4,Settings!$B$8:$B$15,0))+N(I51)*MIN(Settings!$C$23*(N(C51)+N(D51)),Settings!$C$24)+INDEX(Settings!$H$8:$H$15,MATCH(Settings!$C$4,Settings!$B$8:$B$15,0))*(N(C51)+N(D51))+IF(Settings!$C$25="Yes",0.025,0)*(N(C51)+N(D51))+INDEX(Settings!$I$8:$I$15,MATCH(Settings!$C$4,Settings!$B$8:$B$15,0))*(INDEX(Settings!$D$8:$D$15,MATCH(Settings!$C$4,Settings!$B$8:$B$15,0))+INDEX(Settings!$E$8:$E$15,MATCH(Settings!$C$4,Settings!$B$8:$B$15,0))*(N(C51)+N(D51))+N(I51)*MIN(Settings!$C$23*(N(C51)+N(D51)),Settings!$C$24)+INDEX(Settings!$H$8:$H$15,MATCH(Settings!$C$4,Settings!$B$8:$B$15,0))*(N(C51)+N(D51))))</f>
        <v/>
      </c>
      <c r="L51" s="9">
        <f>IF(B51="","",N(E51)+N(F51)+N(G51)+N(H51)/60*Settings!$C$27)</f>
        <v/>
      </c>
      <c r="M51" s="20">
        <f>IF(B51="","",J51-K51-L51)</f>
        <v/>
      </c>
      <c r="N51" s="26">
        <f>IF(OR(B51="",N(J51)=0),"",M51/J51)</f>
        <v/>
      </c>
      <c r="O51" s="8">
        <f>IF(B51="","",IF(M51&lt;0,"Loss",IF(N51&lt;Settings!$C$28,"Below target","On target")))</f>
        <v/>
      </c>
      <c r="P51" s="14">
        <f>IF(B51="","",IF(1-(INDEX(Settings!$E$8:$E$15,MATCH(Settings!$C$4,Settings!$B$8:$B$15,0))+INDEX(Settings!$F$8:$F$15,MATCH(Settings!$C$4,Settings!$B$8:$B$15,0))*(1+Settings!$C$26)+N(I51)*Settings!$C$23+INDEX(Settings!$H$8:$H$15,MATCH(Settings!$C$4,Settings!$B$8:$B$15,0))+IF(Settings!$C$25="Yes",0.025,0)+INDEX(Settings!$I$8:$I$15,MATCH(Settings!$C$4,Settings!$B$8:$B$15,0))*(INDEX(Settings!$E$8:$E$15,MATCH(Settings!$C$4,Settings!$B$8:$B$15,0))+N(I51)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51)/(1-(INDEX(Settings!$E$8:$E$15,MATCH(Settings!$C$4,Settings!$B$8:$B$15,0))+INDEX(Settings!$F$8:$F$15,MATCH(Settings!$C$4,Settings!$B$8:$B$15,0))*(1+Settings!$C$26)+N(I51)*Settings!$C$23+INDEX(Settings!$H$8:$H$15,MATCH(Settings!$C$4,Settings!$B$8:$B$15,0))+IF(Settings!$C$25="Yes",0.025,0)+INDEX(Settings!$I$8:$I$15,MATCH(Settings!$C$4,Settings!$B$8:$B$15,0))*(INDEX(Settings!$E$8:$E$15,MATCH(Settings!$C$4,Settings!$B$8:$B$15,0))+N(I51)*Settings!$C$23+INDEX(Settings!$H$8:$H$15,MATCH(Settings!$C$4,Settings!$B$8:$B$15,0))))-Settings!$C$28)-N(D51))))</f>
        <v/>
      </c>
      <c r="Q51" s="1" t="n"/>
    </row>
    <row r="52">
      <c r="A52" s="1" t="n"/>
      <c r="B52" s="25" t="n"/>
      <c r="C52" s="7" t="n"/>
      <c r="D52" s="7" t="n"/>
      <c r="E52" s="7" t="n"/>
      <c r="F52" s="7" t="n"/>
      <c r="G52" s="7" t="n"/>
      <c r="H52" s="12" t="n"/>
      <c r="I52" s="11" t="n"/>
      <c r="J52" s="9">
        <f>IF(B52="","",(N(C52)+N(D52)))</f>
        <v/>
      </c>
      <c r="K52" s="9">
        <f>IF(B52="","",INDEX(Settings!$D$8:$D$15,MATCH(Settings!$C$4,Settings!$B$8:$B$15,0))+INDEX(Settings!$E$8:$E$15,MATCH(Settings!$C$4,Settings!$B$8:$B$15,0))*(N(C52)+N(D52))+INDEX(Settings!$F$8:$F$15,MATCH(Settings!$C$4,Settings!$B$8:$B$15,0))*(N(C52)+N(D52))*(1+Settings!$C$26)+INDEX(Settings!$G$8:$G$15,MATCH(Settings!$C$4,Settings!$B$8:$B$15,0))+N(I52)*MIN(Settings!$C$23*(N(C52)+N(D52)),Settings!$C$24)+INDEX(Settings!$H$8:$H$15,MATCH(Settings!$C$4,Settings!$B$8:$B$15,0))*(N(C52)+N(D52))+IF(Settings!$C$25="Yes",0.025,0)*(N(C52)+N(D52))+INDEX(Settings!$I$8:$I$15,MATCH(Settings!$C$4,Settings!$B$8:$B$15,0))*(INDEX(Settings!$D$8:$D$15,MATCH(Settings!$C$4,Settings!$B$8:$B$15,0))+INDEX(Settings!$E$8:$E$15,MATCH(Settings!$C$4,Settings!$B$8:$B$15,0))*(N(C52)+N(D52))+N(I52)*MIN(Settings!$C$23*(N(C52)+N(D52)),Settings!$C$24)+INDEX(Settings!$H$8:$H$15,MATCH(Settings!$C$4,Settings!$B$8:$B$15,0))*(N(C52)+N(D52))))</f>
        <v/>
      </c>
      <c r="L52" s="9">
        <f>IF(B52="","",N(E52)+N(F52)+N(G52)+N(H52)/60*Settings!$C$27)</f>
        <v/>
      </c>
      <c r="M52" s="20">
        <f>IF(B52="","",J52-K52-L52)</f>
        <v/>
      </c>
      <c r="N52" s="26">
        <f>IF(OR(B52="",N(J52)=0),"",M52/J52)</f>
        <v/>
      </c>
      <c r="O52" s="8">
        <f>IF(B52="","",IF(M52&lt;0,"Loss",IF(N52&lt;Settings!$C$28,"Below target","On target")))</f>
        <v/>
      </c>
      <c r="P52" s="14">
        <f>IF(B52="","",IF(1-(INDEX(Settings!$E$8:$E$15,MATCH(Settings!$C$4,Settings!$B$8:$B$15,0))+INDEX(Settings!$F$8:$F$15,MATCH(Settings!$C$4,Settings!$B$8:$B$15,0))*(1+Settings!$C$26)+N(I52)*Settings!$C$23+INDEX(Settings!$H$8:$H$15,MATCH(Settings!$C$4,Settings!$B$8:$B$15,0))+IF(Settings!$C$25="Yes",0.025,0)+INDEX(Settings!$I$8:$I$15,MATCH(Settings!$C$4,Settings!$B$8:$B$15,0))*(INDEX(Settings!$E$8:$E$15,MATCH(Settings!$C$4,Settings!$B$8:$B$15,0))+N(I52)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52)/(1-(INDEX(Settings!$E$8:$E$15,MATCH(Settings!$C$4,Settings!$B$8:$B$15,0))+INDEX(Settings!$F$8:$F$15,MATCH(Settings!$C$4,Settings!$B$8:$B$15,0))*(1+Settings!$C$26)+N(I52)*Settings!$C$23+INDEX(Settings!$H$8:$H$15,MATCH(Settings!$C$4,Settings!$B$8:$B$15,0))+IF(Settings!$C$25="Yes",0.025,0)+INDEX(Settings!$I$8:$I$15,MATCH(Settings!$C$4,Settings!$B$8:$B$15,0))*(INDEX(Settings!$E$8:$E$15,MATCH(Settings!$C$4,Settings!$B$8:$B$15,0))+N(I52)*Settings!$C$23+INDEX(Settings!$H$8:$H$15,MATCH(Settings!$C$4,Settings!$B$8:$B$15,0))))-Settings!$C$28)-N(D52))))</f>
        <v/>
      </c>
      <c r="Q52" s="1" t="n"/>
    </row>
    <row r="53">
      <c r="A53" s="1" t="n"/>
      <c r="B53" s="25" t="n"/>
      <c r="C53" s="7" t="n"/>
      <c r="D53" s="7" t="n"/>
      <c r="E53" s="7" t="n"/>
      <c r="F53" s="7" t="n"/>
      <c r="G53" s="7" t="n"/>
      <c r="H53" s="12" t="n"/>
      <c r="I53" s="11" t="n"/>
      <c r="J53" s="9">
        <f>IF(B53="","",(N(C53)+N(D53)))</f>
        <v/>
      </c>
      <c r="K53" s="9">
        <f>IF(B53="","",INDEX(Settings!$D$8:$D$15,MATCH(Settings!$C$4,Settings!$B$8:$B$15,0))+INDEX(Settings!$E$8:$E$15,MATCH(Settings!$C$4,Settings!$B$8:$B$15,0))*(N(C53)+N(D53))+INDEX(Settings!$F$8:$F$15,MATCH(Settings!$C$4,Settings!$B$8:$B$15,0))*(N(C53)+N(D53))*(1+Settings!$C$26)+INDEX(Settings!$G$8:$G$15,MATCH(Settings!$C$4,Settings!$B$8:$B$15,0))+N(I53)*MIN(Settings!$C$23*(N(C53)+N(D53)),Settings!$C$24)+INDEX(Settings!$H$8:$H$15,MATCH(Settings!$C$4,Settings!$B$8:$B$15,0))*(N(C53)+N(D53))+IF(Settings!$C$25="Yes",0.025,0)*(N(C53)+N(D53))+INDEX(Settings!$I$8:$I$15,MATCH(Settings!$C$4,Settings!$B$8:$B$15,0))*(INDEX(Settings!$D$8:$D$15,MATCH(Settings!$C$4,Settings!$B$8:$B$15,0))+INDEX(Settings!$E$8:$E$15,MATCH(Settings!$C$4,Settings!$B$8:$B$15,0))*(N(C53)+N(D53))+N(I53)*MIN(Settings!$C$23*(N(C53)+N(D53)),Settings!$C$24)+INDEX(Settings!$H$8:$H$15,MATCH(Settings!$C$4,Settings!$B$8:$B$15,0))*(N(C53)+N(D53))))</f>
        <v/>
      </c>
      <c r="L53" s="9">
        <f>IF(B53="","",N(E53)+N(F53)+N(G53)+N(H53)/60*Settings!$C$27)</f>
        <v/>
      </c>
      <c r="M53" s="20">
        <f>IF(B53="","",J53-K53-L53)</f>
        <v/>
      </c>
      <c r="N53" s="26">
        <f>IF(OR(B53="",N(J53)=0),"",M53/J53)</f>
        <v/>
      </c>
      <c r="O53" s="8">
        <f>IF(B53="","",IF(M53&lt;0,"Loss",IF(N53&lt;Settings!$C$28,"Below target","On target")))</f>
        <v/>
      </c>
      <c r="P53" s="14">
        <f>IF(B53="","",IF(1-(INDEX(Settings!$E$8:$E$15,MATCH(Settings!$C$4,Settings!$B$8:$B$15,0))+INDEX(Settings!$F$8:$F$15,MATCH(Settings!$C$4,Settings!$B$8:$B$15,0))*(1+Settings!$C$26)+N(I53)*Settings!$C$23+INDEX(Settings!$H$8:$H$15,MATCH(Settings!$C$4,Settings!$B$8:$B$15,0))+IF(Settings!$C$25="Yes",0.025,0)+INDEX(Settings!$I$8:$I$15,MATCH(Settings!$C$4,Settings!$B$8:$B$15,0))*(INDEX(Settings!$E$8:$E$15,MATCH(Settings!$C$4,Settings!$B$8:$B$15,0))+N(I53)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53)/(1-(INDEX(Settings!$E$8:$E$15,MATCH(Settings!$C$4,Settings!$B$8:$B$15,0))+INDEX(Settings!$F$8:$F$15,MATCH(Settings!$C$4,Settings!$B$8:$B$15,0))*(1+Settings!$C$26)+N(I53)*Settings!$C$23+INDEX(Settings!$H$8:$H$15,MATCH(Settings!$C$4,Settings!$B$8:$B$15,0))+IF(Settings!$C$25="Yes",0.025,0)+INDEX(Settings!$I$8:$I$15,MATCH(Settings!$C$4,Settings!$B$8:$B$15,0))*(INDEX(Settings!$E$8:$E$15,MATCH(Settings!$C$4,Settings!$B$8:$B$15,0))+N(I53)*Settings!$C$23+INDEX(Settings!$H$8:$H$15,MATCH(Settings!$C$4,Settings!$B$8:$B$15,0))))-Settings!$C$28)-N(D53))))</f>
        <v/>
      </c>
      <c r="Q53" s="1" t="n"/>
    </row>
    <row r="54">
      <c r="A54" s="1" t="n"/>
      <c r="B54" s="25" t="n"/>
      <c r="C54" s="7" t="n"/>
      <c r="D54" s="7" t="n"/>
      <c r="E54" s="7" t="n"/>
      <c r="F54" s="7" t="n"/>
      <c r="G54" s="7" t="n"/>
      <c r="H54" s="12" t="n"/>
      <c r="I54" s="11" t="n"/>
      <c r="J54" s="9">
        <f>IF(B54="","",(N(C54)+N(D54)))</f>
        <v/>
      </c>
      <c r="K54" s="9">
        <f>IF(B54="","",INDEX(Settings!$D$8:$D$15,MATCH(Settings!$C$4,Settings!$B$8:$B$15,0))+INDEX(Settings!$E$8:$E$15,MATCH(Settings!$C$4,Settings!$B$8:$B$15,0))*(N(C54)+N(D54))+INDEX(Settings!$F$8:$F$15,MATCH(Settings!$C$4,Settings!$B$8:$B$15,0))*(N(C54)+N(D54))*(1+Settings!$C$26)+INDEX(Settings!$G$8:$G$15,MATCH(Settings!$C$4,Settings!$B$8:$B$15,0))+N(I54)*MIN(Settings!$C$23*(N(C54)+N(D54)),Settings!$C$24)+INDEX(Settings!$H$8:$H$15,MATCH(Settings!$C$4,Settings!$B$8:$B$15,0))*(N(C54)+N(D54))+IF(Settings!$C$25="Yes",0.025,0)*(N(C54)+N(D54))+INDEX(Settings!$I$8:$I$15,MATCH(Settings!$C$4,Settings!$B$8:$B$15,0))*(INDEX(Settings!$D$8:$D$15,MATCH(Settings!$C$4,Settings!$B$8:$B$15,0))+INDEX(Settings!$E$8:$E$15,MATCH(Settings!$C$4,Settings!$B$8:$B$15,0))*(N(C54)+N(D54))+N(I54)*MIN(Settings!$C$23*(N(C54)+N(D54)),Settings!$C$24)+INDEX(Settings!$H$8:$H$15,MATCH(Settings!$C$4,Settings!$B$8:$B$15,0))*(N(C54)+N(D54))))</f>
        <v/>
      </c>
      <c r="L54" s="9">
        <f>IF(B54="","",N(E54)+N(F54)+N(G54)+N(H54)/60*Settings!$C$27)</f>
        <v/>
      </c>
      <c r="M54" s="20">
        <f>IF(B54="","",J54-K54-L54)</f>
        <v/>
      </c>
      <c r="N54" s="26">
        <f>IF(OR(B54="",N(J54)=0),"",M54/J54)</f>
        <v/>
      </c>
      <c r="O54" s="8">
        <f>IF(B54="","",IF(M54&lt;0,"Loss",IF(N54&lt;Settings!$C$28,"Below target","On target")))</f>
        <v/>
      </c>
      <c r="P54" s="14">
        <f>IF(B54="","",IF(1-(INDEX(Settings!$E$8:$E$15,MATCH(Settings!$C$4,Settings!$B$8:$B$15,0))+INDEX(Settings!$F$8:$F$15,MATCH(Settings!$C$4,Settings!$B$8:$B$15,0))*(1+Settings!$C$26)+N(I54)*Settings!$C$23+INDEX(Settings!$H$8:$H$15,MATCH(Settings!$C$4,Settings!$B$8:$B$15,0))+IF(Settings!$C$25="Yes",0.025,0)+INDEX(Settings!$I$8:$I$15,MATCH(Settings!$C$4,Settings!$B$8:$B$15,0))*(INDEX(Settings!$E$8:$E$15,MATCH(Settings!$C$4,Settings!$B$8:$B$15,0))+N(I54)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54)/(1-(INDEX(Settings!$E$8:$E$15,MATCH(Settings!$C$4,Settings!$B$8:$B$15,0))+INDEX(Settings!$F$8:$F$15,MATCH(Settings!$C$4,Settings!$B$8:$B$15,0))*(1+Settings!$C$26)+N(I54)*Settings!$C$23+INDEX(Settings!$H$8:$H$15,MATCH(Settings!$C$4,Settings!$B$8:$B$15,0))+IF(Settings!$C$25="Yes",0.025,0)+INDEX(Settings!$I$8:$I$15,MATCH(Settings!$C$4,Settings!$B$8:$B$15,0))*(INDEX(Settings!$E$8:$E$15,MATCH(Settings!$C$4,Settings!$B$8:$B$15,0))+N(I54)*Settings!$C$23+INDEX(Settings!$H$8:$H$15,MATCH(Settings!$C$4,Settings!$B$8:$B$15,0))))-Settings!$C$28)-N(D54))))</f>
        <v/>
      </c>
      <c r="Q54" s="1" t="n"/>
    </row>
    <row r="55">
      <c r="A55" s="1" t="n"/>
      <c r="B55" s="25" t="n"/>
      <c r="C55" s="7" t="n"/>
      <c r="D55" s="7" t="n"/>
      <c r="E55" s="7" t="n"/>
      <c r="F55" s="7" t="n"/>
      <c r="G55" s="7" t="n"/>
      <c r="H55" s="12" t="n"/>
      <c r="I55" s="11" t="n"/>
      <c r="J55" s="9">
        <f>IF(B55="","",(N(C55)+N(D55)))</f>
        <v/>
      </c>
      <c r="K55" s="9">
        <f>IF(B55="","",INDEX(Settings!$D$8:$D$15,MATCH(Settings!$C$4,Settings!$B$8:$B$15,0))+INDEX(Settings!$E$8:$E$15,MATCH(Settings!$C$4,Settings!$B$8:$B$15,0))*(N(C55)+N(D55))+INDEX(Settings!$F$8:$F$15,MATCH(Settings!$C$4,Settings!$B$8:$B$15,0))*(N(C55)+N(D55))*(1+Settings!$C$26)+INDEX(Settings!$G$8:$G$15,MATCH(Settings!$C$4,Settings!$B$8:$B$15,0))+N(I55)*MIN(Settings!$C$23*(N(C55)+N(D55)),Settings!$C$24)+INDEX(Settings!$H$8:$H$15,MATCH(Settings!$C$4,Settings!$B$8:$B$15,0))*(N(C55)+N(D55))+IF(Settings!$C$25="Yes",0.025,0)*(N(C55)+N(D55))+INDEX(Settings!$I$8:$I$15,MATCH(Settings!$C$4,Settings!$B$8:$B$15,0))*(INDEX(Settings!$D$8:$D$15,MATCH(Settings!$C$4,Settings!$B$8:$B$15,0))+INDEX(Settings!$E$8:$E$15,MATCH(Settings!$C$4,Settings!$B$8:$B$15,0))*(N(C55)+N(D55))+N(I55)*MIN(Settings!$C$23*(N(C55)+N(D55)),Settings!$C$24)+INDEX(Settings!$H$8:$H$15,MATCH(Settings!$C$4,Settings!$B$8:$B$15,0))*(N(C55)+N(D55))))</f>
        <v/>
      </c>
      <c r="L55" s="9">
        <f>IF(B55="","",N(E55)+N(F55)+N(G55)+N(H55)/60*Settings!$C$27)</f>
        <v/>
      </c>
      <c r="M55" s="20">
        <f>IF(B55="","",J55-K55-L55)</f>
        <v/>
      </c>
      <c r="N55" s="26">
        <f>IF(OR(B55="",N(J55)=0),"",M55/J55)</f>
        <v/>
      </c>
      <c r="O55" s="8">
        <f>IF(B55="","",IF(M55&lt;0,"Loss",IF(N55&lt;Settings!$C$28,"Below target","On target")))</f>
        <v/>
      </c>
      <c r="P55" s="14">
        <f>IF(B55="","",IF(1-(INDEX(Settings!$E$8:$E$15,MATCH(Settings!$C$4,Settings!$B$8:$B$15,0))+INDEX(Settings!$F$8:$F$15,MATCH(Settings!$C$4,Settings!$B$8:$B$15,0))*(1+Settings!$C$26)+N(I55)*Settings!$C$23+INDEX(Settings!$H$8:$H$15,MATCH(Settings!$C$4,Settings!$B$8:$B$15,0))+IF(Settings!$C$25="Yes",0.025,0)+INDEX(Settings!$I$8:$I$15,MATCH(Settings!$C$4,Settings!$B$8:$B$15,0))*(INDEX(Settings!$E$8:$E$15,MATCH(Settings!$C$4,Settings!$B$8:$B$15,0))+N(I55)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55)/(1-(INDEX(Settings!$E$8:$E$15,MATCH(Settings!$C$4,Settings!$B$8:$B$15,0))+INDEX(Settings!$F$8:$F$15,MATCH(Settings!$C$4,Settings!$B$8:$B$15,0))*(1+Settings!$C$26)+N(I55)*Settings!$C$23+INDEX(Settings!$H$8:$H$15,MATCH(Settings!$C$4,Settings!$B$8:$B$15,0))+IF(Settings!$C$25="Yes",0.025,0)+INDEX(Settings!$I$8:$I$15,MATCH(Settings!$C$4,Settings!$B$8:$B$15,0))*(INDEX(Settings!$E$8:$E$15,MATCH(Settings!$C$4,Settings!$B$8:$B$15,0))+N(I55)*Settings!$C$23+INDEX(Settings!$H$8:$H$15,MATCH(Settings!$C$4,Settings!$B$8:$B$15,0))))-Settings!$C$28)-N(D55))))</f>
        <v/>
      </c>
      <c r="Q55" s="1" t="n"/>
    </row>
    <row r="56">
      <c r="A56" s="1" t="n"/>
      <c r="B56" s="25" t="n"/>
      <c r="C56" s="7" t="n"/>
      <c r="D56" s="7" t="n"/>
      <c r="E56" s="7" t="n"/>
      <c r="F56" s="7" t="n"/>
      <c r="G56" s="7" t="n"/>
      <c r="H56" s="12" t="n"/>
      <c r="I56" s="11" t="n"/>
      <c r="J56" s="9">
        <f>IF(B56="","",(N(C56)+N(D56)))</f>
        <v/>
      </c>
      <c r="K56" s="9">
        <f>IF(B56="","",INDEX(Settings!$D$8:$D$15,MATCH(Settings!$C$4,Settings!$B$8:$B$15,0))+INDEX(Settings!$E$8:$E$15,MATCH(Settings!$C$4,Settings!$B$8:$B$15,0))*(N(C56)+N(D56))+INDEX(Settings!$F$8:$F$15,MATCH(Settings!$C$4,Settings!$B$8:$B$15,0))*(N(C56)+N(D56))*(1+Settings!$C$26)+INDEX(Settings!$G$8:$G$15,MATCH(Settings!$C$4,Settings!$B$8:$B$15,0))+N(I56)*MIN(Settings!$C$23*(N(C56)+N(D56)),Settings!$C$24)+INDEX(Settings!$H$8:$H$15,MATCH(Settings!$C$4,Settings!$B$8:$B$15,0))*(N(C56)+N(D56))+IF(Settings!$C$25="Yes",0.025,0)*(N(C56)+N(D56))+INDEX(Settings!$I$8:$I$15,MATCH(Settings!$C$4,Settings!$B$8:$B$15,0))*(INDEX(Settings!$D$8:$D$15,MATCH(Settings!$C$4,Settings!$B$8:$B$15,0))+INDEX(Settings!$E$8:$E$15,MATCH(Settings!$C$4,Settings!$B$8:$B$15,0))*(N(C56)+N(D56))+N(I56)*MIN(Settings!$C$23*(N(C56)+N(D56)),Settings!$C$24)+INDEX(Settings!$H$8:$H$15,MATCH(Settings!$C$4,Settings!$B$8:$B$15,0))*(N(C56)+N(D56))))</f>
        <v/>
      </c>
      <c r="L56" s="9">
        <f>IF(B56="","",N(E56)+N(F56)+N(G56)+N(H56)/60*Settings!$C$27)</f>
        <v/>
      </c>
      <c r="M56" s="20">
        <f>IF(B56="","",J56-K56-L56)</f>
        <v/>
      </c>
      <c r="N56" s="26">
        <f>IF(OR(B56="",N(J56)=0),"",M56/J56)</f>
        <v/>
      </c>
      <c r="O56" s="8">
        <f>IF(B56="","",IF(M56&lt;0,"Loss",IF(N56&lt;Settings!$C$28,"Below target","On target")))</f>
        <v/>
      </c>
      <c r="P56" s="14">
        <f>IF(B56="","",IF(1-(INDEX(Settings!$E$8:$E$15,MATCH(Settings!$C$4,Settings!$B$8:$B$15,0))+INDEX(Settings!$F$8:$F$15,MATCH(Settings!$C$4,Settings!$B$8:$B$15,0))*(1+Settings!$C$26)+N(I56)*Settings!$C$23+INDEX(Settings!$H$8:$H$15,MATCH(Settings!$C$4,Settings!$B$8:$B$15,0))+IF(Settings!$C$25="Yes",0.025,0)+INDEX(Settings!$I$8:$I$15,MATCH(Settings!$C$4,Settings!$B$8:$B$15,0))*(INDEX(Settings!$E$8:$E$15,MATCH(Settings!$C$4,Settings!$B$8:$B$15,0))+N(I56)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56)/(1-(INDEX(Settings!$E$8:$E$15,MATCH(Settings!$C$4,Settings!$B$8:$B$15,0))+INDEX(Settings!$F$8:$F$15,MATCH(Settings!$C$4,Settings!$B$8:$B$15,0))*(1+Settings!$C$26)+N(I56)*Settings!$C$23+INDEX(Settings!$H$8:$H$15,MATCH(Settings!$C$4,Settings!$B$8:$B$15,0))+IF(Settings!$C$25="Yes",0.025,0)+INDEX(Settings!$I$8:$I$15,MATCH(Settings!$C$4,Settings!$B$8:$B$15,0))*(INDEX(Settings!$E$8:$E$15,MATCH(Settings!$C$4,Settings!$B$8:$B$15,0))+N(I56)*Settings!$C$23+INDEX(Settings!$H$8:$H$15,MATCH(Settings!$C$4,Settings!$B$8:$B$15,0))))-Settings!$C$28)-N(D56))))</f>
        <v/>
      </c>
      <c r="Q56" s="1" t="n"/>
    </row>
    <row r="57">
      <c r="A57" s="1" t="n"/>
      <c r="B57" s="25" t="n"/>
      <c r="C57" s="7" t="n"/>
      <c r="D57" s="7" t="n"/>
      <c r="E57" s="7" t="n"/>
      <c r="F57" s="7" t="n"/>
      <c r="G57" s="7" t="n"/>
      <c r="H57" s="12" t="n"/>
      <c r="I57" s="11" t="n"/>
      <c r="J57" s="9">
        <f>IF(B57="","",(N(C57)+N(D57)))</f>
        <v/>
      </c>
      <c r="K57" s="9">
        <f>IF(B57="","",INDEX(Settings!$D$8:$D$15,MATCH(Settings!$C$4,Settings!$B$8:$B$15,0))+INDEX(Settings!$E$8:$E$15,MATCH(Settings!$C$4,Settings!$B$8:$B$15,0))*(N(C57)+N(D57))+INDEX(Settings!$F$8:$F$15,MATCH(Settings!$C$4,Settings!$B$8:$B$15,0))*(N(C57)+N(D57))*(1+Settings!$C$26)+INDEX(Settings!$G$8:$G$15,MATCH(Settings!$C$4,Settings!$B$8:$B$15,0))+N(I57)*MIN(Settings!$C$23*(N(C57)+N(D57)),Settings!$C$24)+INDEX(Settings!$H$8:$H$15,MATCH(Settings!$C$4,Settings!$B$8:$B$15,0))*(N(C57)+N(D57))+IF(Settings!$C$25="Yes",0.025,0)*(N(C57)+N(D57))+INDEX(Settings!$I$8:$I$15,MATCH(Settings!$C$4,Settings!$B$8:$B$15,0))*(INDEX(Settings!$D$8:$D$15,MATCH(Settings!$C$4,Settings!$B$8:$B$15,0))+INDEX(Settings!$E$8:$E$15,MATCH(Settings!$C$4,Settings!$B$8:$B$15,0))*(N(C57)+N(D57))+N(I57)*MIN(Settings!$C$23*(N(C57)+N(D57)),Settings!$C$24)+INDEX(Settings!$H$8:$H$15,MATCH(Settings!$C$4,Settings!$B$8:$B$15,0))*(N(C57)+N(D57))))</f>
        <v/>
      </c>
      <c r="L57" s="9">
        <f>IF(B57="","",N(E57)+N(F57)+N(G57)+N(H57)/60*Settings!$C$27)</f>
        <v/>
      </c>
      <c r="M57" s="20">
        <f>IF(B57="","",J57-K57-L57)</f>
        <v/>
      </c>
      <c r="N57" s="26">
        <f>IF(OR(B57="",N(J57)=0),"",M57/J57)</f>
        <v/>
      </c>
      <c r="O57" s="8">
        <f>IF(B57="","",IF(M57&lt;0,"Loss",IF(N57&lt;Settings!$C$28,"Below target","On target")))</f>
        <v/>
      </c>
      <c r="P57" s="14">
        <f>IF(B57="","",IF(1-(INDEX(Settings!$E$8:$E$15,MATCH(Settings!$C$4,Settings!$B$8:$B$15,0))+INDEX(Settings!$F$8:$F$15,MATCH(Settings!$C$4,Settings!$B$8:$B$15,0))*(1+Settings!$C$26)+N(I57)*Settings!$C$23+INDEX(Settings!$H$8:$H$15,MATCH(Settings!$C$4,Settings!$B$8:$B$15,0))+IF(Settings!$C$25="Yes",0.025,0)+INDEX(Settings!$I$8:$I$15,MATCH(Settings!$C$4,Settings!$B$8:$B$15,0))*(INDEX(Settings!$E$8:$E$15,MATCH(Settings!$C$4,Settings!$B$8:$B$15,0))+N(I57)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57)/(1-(INDEX(Settings!$E$8:$E$15,MATCH(Settings!$C$4,Settings!$B$8:$B$15,0))+INDEX(Settings!$F$8:$F$15,MATCH(Settings!$C$4,Settings!$B$8:$B$15,0))*(1+Settings!$C$26)+N(I57)*Settings!$C$23+INDEX(Settings!$H$8:$H$15,MATCH(Settings!$C$4,Settings!$B$8:$B$15,0))+IF(Settings!$C$25="Yes",0.025,0)+INDEX(Settings!$I$8:$I$15,MATCH(Settings!$C$4,Settings!$B$8:$B$15,0))*(INDEX(Settings!$E$8:$E$15,MATCH(Settings!$C$4,Settings!$B$8:$B$15,0))+N(I57)*Settings!$C$23+INDEX(Settings!$H$8:$H$15,MATCH(Settings!$C$4,Settings!$B$8:$B$15,0))))-Settings!$C$28)-N(D57))))</f>
        <v/>
      </c>
      <c r="Q57" s="1" t="n"/>
    </row>
    <row r="58">
      <c r="A58" s="1" t="n"/>
      <c r="B58" s="25" t="n"/>
      <c r="C58" s="7" t="n"/>
      <c r="D58" s="7" t="n"/>
      <c r="E58" s="7" t="n"/>
      <c r="F58" s="7" t="n"/>
      <c r="G58" s="7" t="n"/>
      <c r="H58" s="12" t="n"/>
      <c r="I58" s="11" t="n"/>
      <c r="J58" s="9">
        <f>IF(B58="","",(N(C58)+N(D58)))</f>
        <v/>
      </c>
      <c r="K58" s="9">
        <f>IF(B58="","",INDEX(Settings!$D$8:$D$15,MATCH(Settings!$C$4,Settings!$B$8:$B$15,0))+INDEX(Settings!$E$8:$E$15,MATCH(Settings!$C$4,Settings!$B$8:$B$15,0))*(N(C58)+N(D58))+INDEX(Settings!$F$8:$F$15,MATCH(Settings!$C$4,Settings!$B$8:$B$15,0))*(N(C58)+N(D58))*(1+Settings!$C$26)+INDEX(Settings!$G$8:$G$15,MATCH(Settings!$C$4,Settings!$B$8:$B$15,0))+N(I58)*MIN(Settings!$C$23*(N(C58)+N(D58)),Settings!$C$24)+INDEX(Settings!$H$8:$H$15,MATCH(Settings!$C$4,Settings!$B$8:$B$15,0))*(N(C58)+N(D58))+IF(Settings!$C$25="Yes",0.025,0)*(N(C58)+N(D58))+INDEX(Settings!$I$8:$I$15,MATCH(Settings!$C$4,Settings!$B$8:$B$15,0))*(INDEX(Settings!$D$8:$D$15,MATCH(Settings!$C$4,Settings!$B$8:$B$15,0))+INDEX(Settings!$E$8:$E$15,MATCH(Settings!$C$4,Settings!$B$8:$B$15,0))*(N(C58)+N(D58))+N(I58)*MIN(Settings!$C$23*(N(C58)+N(D58)),Settings!$C$24)+INDEX(Settings!$H$8:$H$15,MATCH(Settings!$C$4,Settings!$B$8:$B$15,0))*(N(C58)+N(D58))))</f>
        <v/>
      </c>
      <c r="L58" s="9">
        <f>IF(B58="","",N(E58)+N(F58)+N(G58)+N(H58)/60*Settings!$C$27)</f>
        <v/>
      </c>
      <c r="M58" s="20">
        <f>IF(B58="","",J58-K58-L58)</f>
        <v/>
      </c>
      <c r="N58" s="26">
        <f>IF(OR(B58="",N(J58)=0),"",M58/J58)</f>
        <v/>
      </c>
      <c r="O58" s="8">
        <f>IF(B58="","",IF(M58&lt;0,"Loss",IF(N58&lt;Settings!$C$28,"Below target","On target")))</f>
        <v/>
      </c>
      <c r="P58" s="14">
        <f>IF(B58="","",IF(1-(INDEX(Settings!$E$8:$E$15,MATCH(Settings!$C$4,Settings!$B$8:$B$15,0))+INDEX(Settings!$F$8:$F$15,MATCH(Settings!$C$4,Settings!$B$8:$B$15,0))*(1+Settings!$C$26)+N(I58)*Settings!$C$23+INDEX(Settings!$H$8:$H$15,MATCH(Settings!$C$4,Settings!$B$8:$B$15,0))+IF(Settings!$C$25="Yes",0.025,0)+INDEX(Settings!$I$8:$I$15,MATCH(Settings!$C$4,Settings!$B$8:$B$15,0))*(INDEX(Settings!$E$8:$E$15,MATCH(Settings!$C$4,Settings!$B$8:$B$15,0))+N(I58)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58)/(1-(INDEX(Settings!$E$8:$E$15,MATCH(Settings!$C$4,Settings!$B$8:$B$15,0))+INDEX(Settings!$F$8:$F$15,MATCH(Settings!$C$4,Settings!$B$8:$B$15,0))*(1+Settings!$C$26)+N(I58)*Settings!$C$23+INDEX(Settings!$H$8:$H$15,MATCH(Settings!$C$4,Settings!$B$8:$B$15,0))+IF(Settings!$C$25="Yes",0.025,0)+INDEX(Settings!$I$8:$I$15,MATCH(Settings!$C$4,Settings!$B$8:$B$15,0))*(INDEX(Settings!$E$8:$E$15,MATCH(Settings!$C$4,Settings!$B$8:$B$15,0))+N(I58)*Settings!$C$23+INDEX(Settings!$H$8:$H$15,MATCH(Settings!$C$4,Settings!$B$8:$B$15,0))))-Settings!$C$28)-N(D58))))</f>
        <v/>
      </c>
      <c r="Q58" s="1" t="n"/>
    </row>
    <row r="59">
      <c r="A59" s="1" t="n"/>
      <c r="B59" s="25" t="n"/>
      <c r="C59" s="7" t="n"/>
      <c r="D59" s="7" t="n"/>
      <c r="E59" s="7" t="n"/>
      <c r="F59" s="7" t="n"/>
      <c r="G59" s="7" t="n"/>
      <c r="H59" s="12" t="n"/>
      <c r="I59" s="11" t="n"/>
      <c r="J59" s="9">
        <f>IF(B59="","",(N(C59)+N(D59)))</f>
        <v/>
      </c>
      <c r="K59" s="9">
        <f>IF(B59="","",INDEX(Settings!$D$8:$D$15,MATCH(Settings!$C$4,Settings!$B$8:$B$15,0))+INDEX(Settings!$E$8:$E$15,MATCH(Settings!$C$4,Settings!$B$8:$B$15,0))*(N(C59)+N(D59))+INDEX(Settings!$F$8:$F$15,MATCH(Settings!$C$4,Settings!$B$8:$B$15,0))*(N(C59)+N(D59))*(1+Settings!$C$26)+INDEX(Settings!$G$8:$G$15,MATCH(Settings!$C$4,Settings!$B$8:$B$15,0))+N(I59)*MIN(Settings!$C$23*(N(C59)+N(D59)),Settings!$C$24)+INDEX(Settings!$H$8:$H$15,MATCH(Settings!$C$4,Settings!$B$8:$B$15,0))*(N(C59)+N(D59))+IF(Settings!$C$25="Yes",0.025,0)*(N(C59)+N(D59))+INDEX(Settings!$I$8:$I$15,MATCH(Settings!$C$4,Settings!$B$8:$B$15,0))*(INDEX(Settings!$D$8:$D$15,MATCH(Settings!$C$4,Settings!$B$8:$B$15,0))+INDEX(Settings!$E$8:$E$15,MATCH(Settings!$C$4,Settings!$B$8:$B$15,0))*(N(C59)+N(D59))+N(I59)*MIN(Settings!$C$23*(N(C59)+N(D59)),Settings!$C$24)+INDEX(Settings!$H$8:$H$15,MATCH(Settings!$C$4,Settings!$B$8:$B$15,0))*(N(C59)+N(D59))))</f>
        <v/>
      </c>
      <c r="L59" s="9">
        <f>IF(B59="","",N(E59)+N(F59)+N(G59)+N(H59)/60*Settings!$C$27)</f>
        <v/>
      </c>
      <c r="M59" s="20">
        <f>IF(B59="","",J59-K59-L59)</f>
        <v/>
      </c>
      <c r="N59" s="26">
        <f>IF(OR(B59="",N(J59)=0),"",M59/J59)</f>
        <v/>
      </c>
      <c r="O59" s="8">
        <f>IF(B59="","",IF(M59&lt;0,"Loss",IF(N59&lt;Settings!$C$28,"Below target","On target")))</f>
        <v/>
      </c>
      <c r="P59" s="14">
        <f>IF(B59="","",IF(1-(INDEX(Settings!$E$8:$E$15,MATCH(Settings!$C$4,Settings!$B$8:$B$15,0))+INDEX(Settings!$F$8:$F$15,MATCH(Settings!$C$4,Settings!$B$8:$B$15,0))*(1+Settings!$C$26)+N(I59)*Settings!$C$23+INDEX(Settings!$H$8:$H$15,MATCH(Settings!$C$4,Settings!$B$8:$B$15,0))+IF(Settings!$C$25="Yes",0.025,0)+INDEX(Settings!$I$8:$I$15,MATCH(Settings!$C$4,Settings!$B$8:$B$15,0))*(INDEX(Settings!$E$8:$E$15,MATCH(Settings!$C$4,Settings!$B$8:$B$15,0))+N(I59)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59)/(1-(INDEX(Settings!$E$8:$E$15,MATCH(Settings!$C$4,Settings!$B$8:$B$15,0))+INDEX(Settings!$F$8:$F$15,MATCH(Settings!$C$4,Settings!$B$8:$B$15,0))*(1+Settings!$C$26)+N(I59)*Settings!$C$23+INDEX(Settings!$H$8:$H$15,MATCH(Settings!$C$4,Settings!$B$8:$B$15,0))+IF(Settings!$C$25="Yes",0.025,0)+INDEX(Settings!$I$8:$I$15,MATCH(Settings!$C$4,Settings!$B$8:$B$15,0))*(INDEX(Settings!$E$8:$E$15,MATCH(Settings!$C$4,Settings!$B$8:$B$15,0))+N(I59)*Settings!$C$23+INDEX(Settings!$H$8:$H$15,MATCH(Settings!$C$4,Settings!$B$8:$B$15,0))))-Settings!$C$28)-N(D59))))</f>
        <v/>
      </c>
      <c r="Q59" s="1" t="n"/>
    </row>
    <row r="60">
      <c r="A60" s="1" t="n"/>
      <c r="B60" s="25" t="n"/>
      <c r="C60" s="7" t="n"/>
      <c r="D60" s="7" t="n"/>
      <c r="E60" s="7" t="n"/>
      <c r="F60" s="7" t="n"/>
      <c r="G60" s="7" t="n"/>
      <c r="H60" s="12" t="n"/>
      <c r="I60" s="11" t="n"/>
      <c r="J60" s="9">
        <f>IF(B60="","",(N(C60)+N(D60)))</f>
        <v/>
      </c>
      <c r="K60" s="9">
        <f>IF(B60="","",INDEX(Settings!$D$8:$D$15,MATCH(Settings!$C$4,Settings!$B$8:$B$15,0))+INDEX(Settings!$E$8:$E$15,MATCH(Settings!$C$4,Settings!$B$8:$B$15,0))*(N(C60)+N(D60))+INDEX(Settings!$F$8:$F$15,MATCH(Settings!$C$4,Settings!$B$8:$B$15,0))*(N(C60)+N(D60))*(1+Settings!$C$26)+INDEX(Settings!$G$8:$G$15,MATCH(Settings!$C$4,Settings!$B$8:$B$15,0))+N(I60)*MIN(Settings!$C$23*(N(C60)+N(D60)),Settings!$C$24)+INDEX(Settings!$H$8:$H$15,MATCH(Settings!$C$4,Settings!$B$8:$B$15,0))*(N(C60)+N(D60))+IF(Settings!$C$25="Yes",0.025,0)*(N(C60)+N(D60))+INDEX(Settings!$I$8:$I$15,MATCH(Settings!$C$4,Settings!$B$8:$B$15,0))*(INDEX(Settings!$D$8:$D$15,MATCH(Settings!$C$4,Settings!$B$8:$B$15,0))+INDEX(Settings!$E$8:$E$15,MATCH(Settings!$C$4,Settings!$B$8:$B$15,0))*(N(C60)+N(D60))+N(I60)*MIN(Settings!$C$23*(N(C60)+N(D60)),Settings!$C$24)+INDEX(Settings!$H$8:$H$15,MATCH(Settings!$C$4,Settings!$B$8:$B$15,0))*(N(C60)+N(D60))))</f>
        <v/>
      </c>
      <c r="L60" s="9">
        <f>IF(B60="","",N(E60)+N(F60)+N(G60)+N(H60)/60*Settings!$C$27)</f>
        <v/>
      </c>
      <c r="M60" s="20">
        <f>IF(B60="","",J60-K60-L60)</f>
        <v/>
      </c>
      <c r="N60" s="26">
        <f>IF(OR(B60="",N(J60)=0),"",M60/J60)</f>
        <v/>
      </c>
      <c r="O60" s="8">
        <f>IF(B60="","",IF(M60&lt;0,"Loss",IF(N60&lt;Settings!$C$28,"Below target","On target")))</f>
        <v/>
      </c>
      <c r="P60" s="14">
        <f>IF(B60="","",IF(1-(INDEX(Settings!$E$8:$E$15,MATCH(Settings!$C$4,Settings!$B$8:$B$15,0))+INDEX(Settings!$F$8:$F$15,MATCH(Settings!$C$4,Settings!$B$8:$B$15,0))*(1+Settings!$C$26)+N(I60)*Settings!$C$23+INDEX(Settings!$H$8:$H$15,MATCH(Settings!$C$4,Settings!$B$8:$B$15,0))+IF(Settings!$C$25="Yes",0.025,0)+INDEX(Settings!$I$8:$I$15,MATCH(Settings!$C$4,Settings!$B$8:$B$15,0))*(INDEX(Settings!$E$8:$E$15,MATCH(Settings!$C$4,Settings!$B$8:$B$15,0))+N(I60)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60)/(1-(INDEX(Settings!$E$8:$E$15,MATCH(Settings!$C$4,Settings!$B$8:$B$15,0))+INDEX(Settings!$F$8:$F$15,MATCH(Settings!$C$4,Settings!$B$8:$B$15,0))*(1+Settings!$C$26)+N(I60)*Settings!$C$23+INDEX(Settings!$H$8:$H$15,MATCH(Settings!$C$4,Settings!$B$8:$B$15,0))+IF(Settings!$C$25="Yes",0.025,0)+INDEX(Settings!$I$8:$I$15,MATCH(Settings!$C$4,Settings!$B$8:$B$15,0))*(INDEX(Settings!$E$8:$E$15,MATCH(Settings!$C$4,Settings!$B$8:$B$15,0))+N(I60)*Settings!$C$23+INDEX(Settings!$H$8:$H$15,MATCH(Settings!$C$4,Settings!$B$8:$B$15,0))))-Settings!$C$28)-N(D60))))</f>
        <v/>
      </c>
      <c r="Q60" s="1" t="n"/>
    </row>
    <row r="61">
      <c r="A61" s="1" t="n"/>
      <c r="B61" s="25" t="n"/>
      <c r="C61" s="7" t="n"/>
      <c r="D61" s="7" t="n"/>
      <c r="E61" s="7" t="n"/>
      <c r="F61" s="7" t="n"/>
      <c r="G61" s="7" t="n"/>
      <c r="H61" s="12" t="n"/>
      <c r="I61" s="11" t="n"/>
      <c r="J61" s="9">
        <f>IF(B61="","",(N(C61)+N(D61)))</f>
        <v/>
      </c>
      <c r="K61" s="9">
        <f>IF(B61="","",INDEX(Settings!$D$8:$D$15,MATCH(Settings!$C$4,Settings!$B$8:$B$15,0))+INDEX(Settings!$E$8:$E$15,MATCH(Settings!$C$4,Settings!$B$8:$B$15,0))*(N(C61)+N(D61))+INDEX(Settings!$F$8:$F$15,MATCH(Settings!$C$4,Settings!$B$8:$B$15,0))*(N(C61)+N(D61))*(1+Settings!$C$26)+INDEX(Settings!$G$8:$G$15,MATCH(Settings!$C$4,Settings!$B$8:$B$15,0))+N(I61)*MIN(Settings!$C$23*(N(C61)+N(D61)),Settings!$C$24)+INDEX(Settings!$H$8:$H$15,MATCH(Settings!$C$4,Settings!$B$8:$B$15,0))*(N(C61)+N(D61))+IF(Settings!$C$25="Yes",0.025,0)*(N(C61)+N(D61))+INDEX(Settings!$I$8:$I$15,MATCH(Settings!$C$4,Settings!$B$8:$B$15,0))*(INDEX(Settings!$D$8:$D$15,MATCH(Settings!$C$4,Settings!$B$8:$B$15,0))+INDEX(Settings!$E$8:$E$15,MATCH(Settings!$C$4,Settings!$B$8:$B$15,0))*(N(C61)+N(D61))+N(I61)*MIN(Settings!$C$23*(N(C61)+N(D61)),Settings!$C$24)+INDEX(Settings!$H$8:$H$15,MATCH(Settings!$C$4,Settings!$B$8:$B$15,0))*(N(C61)+N(D61))))</f>
        <v/>
      </c>
      <c r="L61" s="9">
        <f>IF(B61="","",N(E61)+N(F61)+N(G61)+N(H61)/60*Settings!$C$27)</f>
        <v/>
      </c>
      <c r="M61" s="20">
        <f>IF(B61="","",J61-K61-L61)</f>
        <v/>
      </c>
      <c r="N61" s="26">
        <f>IF(OR(B61="",N(J61)=0),"",M61/J61)</f>
        <v/>
      </c>
      <c r="O61" s="8">
        <f>IF(B61="","",IF(M61&lt;0,"Loss",IF(N61&lt;Settings!$C$28,"Below target","On target")))</f>
        <v/>
      </c>
      <c r="P61" s="14">
        <f>IF(B61="","",IF(1-(INDEX(Settings!$E$8:$E$15,MATCH(Settings!$C$4,Settings!$B$8:$B$15,0))+INDEX(Settings!$F$8:$F$15,MATCH(Settings!$C$4,Settings!$B$8:$B$15,0))*(1+Settings!$C$26)+N(I61)*Settings!$C$23+INDEX(Settings!$H$8:$H$15,MATCH(Settings!$C$4,Settings!$B$8:$B$15,0))+IF(Settings!$C$25="Yes",0.025,0)+INDEX(Settings!$I$8:$I$15,MATCH(Settings!$C$4,Settings!$B$8:$B$15,0))*(INDEX(Settings!$E$8:$E$15,MATCH(Settings!$C$4,Settings!$B$8:$B$15,0))+N(I61)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61)/(1-(INDEX(Settings!$E$8:$E$15,MATCH(Settings!$C$4,Settings!$B$8:$B$15,0))+INDEX(Settings!$F$8:$F$15,MATCH(Settings!$C$4,Settings!$B$8:$B$15,0))*(1+Settings!$C$26)+N(I61)*Settings!$C$23+INDEX(Settings!$H$8:$H$15,MATCH(Settings!$C$4,Settings!$B$8:$B$15,0))+IF(Settings!$C$25="Yes",0.025,0)+INDEX(Settings!$I$8:$I$15,MATCH(Settings!$C$4,Settings!$B$8:$B$15,0))*(INDEX(Settings!$E$8:$E$15,MATCH(Settings!$C$4,Settings!$B$8:$B$15,0))+N(I61)*Settings!$C$23+INDEX(Settings!$H$8:$H$15,MATCH(Settings!$C$4,Settings!$B$8:$B$15,0))))-Settings!$C$28)-N(D61))))</f>
        <v/>
      </c>
      <c r="Q61" s="1" t="n"/>
    </row>
    <row r="62">
      <c r="A62" s="1" t="n"/>
      <c r="B62" s="25" t="n"/>
      <c r="C62" s="7" t="n"/>
      <c r="D62" s="7" t="n"/>
      <c r="E62" s="7" t="n"/>
      <c r="F62" s="7" t="n"/>
      <c r="G62" s="7" t="n"/>
      <c r="H62" s="12" t="n"/>
      <c r="I62" s="11" t="n"/>
      <c r="J62" s="9">
        <f>IF(B62="","",(N(C62)+N(D62)))</f>
        <v/>
      </c>
      <c r="K62" s="9">
        <f>IF(B62="","",INDEX(Settings!$D$8:$D$15,MATCH(Settings!$C$4,Settings!$B$8:$B$15,0))+INDEX(Settings!$E$8:$E$15,MATCH(Settings!$C$4,Settings!$B$8:$B$15,0))*(N(C62)+N(D62))+INDEX(Settings!$F$8:$F$15,MATCH(Settings!$C$4,Settings!$B$8:$B$15,0))*(N(C62)+N(D62))*(1+Settings!$C$26)+INDEX(Settings!$G$8:$G$15,MATCH(Settings!$C$4,Settings!$B$8:$B$15,0))+N(I62)*MIN(Settings!$C$23*(N(C62)+N(D62)),Settings!$C$24)+INDEX(Settings!$H$8:$H$15,MATCH(Settings!$C$4,Settings!$B$8:$B$15,0))*(N(C62)+N(D62))+IF(Settings!$C$25="Yes",0.025,0)*(N(C62)+N(D62))+INDEX(Settings!$I$8:$I$15,MATCH(Settings!$C$4,Settings!$B$8:$B$15,0))*(INDEX(Settings!$D$8:$D$15,MATCH(Settings!$C$4,Settings!$B$8:$B$15,0))+INDEX(Settings!$E$8:$E$15,MATCH(Settings!$C$4,Settings!$B$8:$B$15,0))*(N(C62)+N(D62))+N(I62)*MIN(Settings!$C$23*(N(C62)+N(D62)),Settings!$C$24)+INDEX(Settings!$H$8:$H$15,MATCH(Settings!$C$4,Settings!$B$8:$B$15,0))*(N(C62)+N(D62))))</f>
        <v/>
      </c>
      <c r="L62" s="9">
        <f>IF(B62="","",N(E62)+N(F62)+N(G62)+N(H62)/60*Settings!$C$27)</f>
        <v/>
      </c>
      <c r="M62" s="20">
        <f>IF(B62="","",J62-K62-L62)</f>
        <v/>
      </c>
      <c r="N62" s="26">
        <f>IF(OR(B62="",N(J62)=0),"",M62/J62)</f>
        <v/>
      </c>
      <c r="O62" s="8">
        <f>IF(B62="","",IF(M62&lt;0,"Loss",IF(N62&lt;Settings!$C$28,"Below target","On target")))</f>
        <v/>
      </c>
      <c r="P62" s="14">
        <f>IF(B62="","",IF(1-(INDEX(Settings!$E$8:$E$15,MATCH(Settings!$C$4,Settings!$B$8:$B$15,0))+INDEX(Settings!$F$8:$F$15,MATCH(Settings!$C$4,Settings!$B$8:$B$15,0))*(1+Settings!$C$26)+N(I62)*Settings!$C$23+INDEX(Settings!$H$8:$H$15,MATCH(Settings!$C$4,Settings!$B$8:$B$15,0))+IF(Settings!$C$25="Yes",0.025,0)+INDEX(Settings!$I$8:$I$15,MATCH(Settings!$C$4,Settings!$B$8:$B$15,0))*(INDEX(Settings!$E$8:$E$15,MATCH(Settings!$C$4,Settings!$B$8:$B$15,0))+N(I62)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62)/(1-(INDEX(Settings!$E$8:$E$15,MATCH(Settings!$C$4,Settings!$B$8:$B$15,0))+INDEX(Settings!$F$8:$F$15,MATCH(Settings!$C$4,Settings!$B$8:$B$15,0))*(1+Settings!$C$26)+N(I62)*Settings!$C$23+INDEX(Settings!$H$8:$H$15,MATCH(Settings!$C$4,Settings!$B$8:$B$15,0))+IF(Settings!$C$25="Yes",0.025,0)+INDEX(Settings!$I$8:$I$15,MATCH(Settings!$C$4,Settings!$B$8:$B$15,0))*(INDEX(Settings!$E$8:$E$15,MATCH(Settings!$C$4,Settings!$B$8:$B$15,0))+N(I62)*Settings!$C$23+INDEX(Settings!$H$8:$H$15,MATCH(Settings!$C$4,Settings!$B$8:$B$15,0))))-Settings!$C$28)-N(D62))))</f>
        <v/>
      </c>
      <c r="Q62" s="1" t="n"/>
    </row>
    <row r="63">
      <c r="A63" s="1" t="n"/>
      <c r="B63" s="25" t="n"/>
      <c r="C63" s="7" t="n"/>
      <c r="D63" s="7" t="n"/>
      <c r="E63" s="7" t="n"/>
      <c r="F63" s="7" t="n"/>
      <c r="G63" s="7" t="n"/>
      <c r="H63" s="12" t="n"/>
      <c r="I63" s="11" t="n"/>
      <c r="J63" s="9">
        <f>IF(B63="","",(N(C63)+N(D63)))</f>
        <v/>
      </c>
      <c r="K63" s="9">
        <f>IF(B63="","",INDEX(Settings!$D$8:$D$15,MATCH(Settings!$C$4,Settings!$B$8:$B$15,0))+INDEX(Settings!$E$8:$E$15,MATCH(Settings!$C$4,Settings!$B$8:$B$15,0))*(N(C63)+N(D63))+INDEX(Settings!$F$8:$F$15,MATCH(Settings!$C$4,Settings!$B$8:$B$15,0))*(N(C63)+N(D63))*(1+Settings!$C$26)+INDEX(Settings!$G$8:$G$15,MATCH(Settings!$C$4,Settings!$B$8:$B$15,0))+N(I63)*MIN(Settings!$C$23*(N(C63)+N(D63)),Settings!$C$24)+INDEX(Settings!$H$8:$H$15,MATCH(Settings!$C$4,Settings!$B$8:$B$15,0))*(N(C63)+N(D63))+IF(Settings!$C$25="Yes",0.025,0)*(N(C63)+N(D63))+INDEX(Settings!$I$8:$I$15,MATCH(Settings!$C$4,Settings!$B$8:$B$15,0))*(INDEX(Settings!$D$8:$D$15,MATCH(Settings!$C$4,Settings!$B$8:$B$15,0))+INDEX(Settings!$E$8:$E$15,MATCH(Settings!$C$4,Settings!$B$8:$B$15,0))*(N(C63)+N(D63))+N(I63)*MIN(Settings!$C$23*(N(C63)+N(D63)),Settings!$C$24)+INDEX(Settings!$H$8:$H$15,MATCH(Settings!$C$4,Settings!$B$8:$B$15,0))*(N(C63)+N(D63))))</f>
        <v/>
      </c>
      <c r="L63" s="9">
        <f>IF(B63="","",N(E63)+N(F63)+N(G63)+N(H63)/60*Settings!$C$27)</f>
        <v/>
      </c>
      <c r="M63" s="20">
        <f>IF(B63="","",J63-K63-L63)</f>
        <v/>
      </c>
      <c r="N63" s="26">
        <f>IF(OR(B63="",N(J63)=0),"",M63/J63)</f>
        <v/>
      </c>
      <c r="O63" s="8">
        <f>IF(B63="","",IF(M63&lt;0,"Loss",IF(N63&lt;Settings!$C$28,"Below target","On target")))</f>
        <v/>
      </c>
      <c r="P63" s="14">
        <f>IF(B63="","",IF(1-(INDEX(Settings!$E$8:$E$15,MATCH(Settings!$C$4,Settings!$B$8:$B$15,0))+INDEX(Settings!$F$8:$F$15,MATCH(Settings!$C$4,Settings!$B$8:$B$15,0))*(1+Settings!$C$26)+N(I63)*Settings!$C$23+INDEX(Settings!$H$8:$H$15,MATCH(Settings!$C$4,Settings!$B$8:$B$15,0))+IF(Settings!$C$25="Yes",0.025,0)+INDEX(Settings!$I$8:$I$15,MATCH(Settings!$C$4,Settings!$B$8:$B$15,0))*(INDEX(Settings!$E$8:$E$15,MATCH(Settings!$C$4,Settings!$B$8:$B$15,0))+N(I63)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63)/(1-(INDEX(Settings!$E$8:$E$15,MATCH(Settings!$C$4,Settings!$B$8:$B$15,0))+INDEX(Settings!$F$8:$F$15,MATCH(Settings!$C$4,Settings!$B$8:$B$15,0))*(1+Settings!$C$26)+N(I63)*Settings!$C$23+INDEX(Settings!$H$8:$H$15,MATCH(Settings!$C$4,Settings!$B$8:$B$15,0))+IF(Settings!$C$25="Yes",0.025,0)+INDEX(Settings!$I$8:$I$15,MATCH(Settings!$C$4,Settings!$B$8:$B$15,0))*(INDEX(Settings!$E$8:$E$15,MATCH(Settings!$C$4,Settings!$B$8:$B$15,0))+N(I63)*Settings!$C$23+INDEX(Settings!$H$8:$H$15,MATCH(Settings!$C$4,Settings!$B$8:$B$15,0))))-Settings!$C$28)-N(D63))))</f>
        <v/>
      </c>
      <c r="Q63" s="1" t="n"/>
    </row>
    <row r="64">
      <c r="A64" s="1" t="n"/>
      <c r="B64" s="25" t="n"/>
      <c r="C64" s="7" t="n"/>
      <c r="D64" s="7" t="n"/>
      <c r="E64" s="7" t="n"/>
      <c r="F64" s="7" t="n"/>
      <c r="G64" s="7" t="n"/>
      <c r="H64" s="12" t="n"/>
      <c r="I64" s="11" t="n"/>
      <c r="J64" s="9">
        <f>IF(B64="","",(N(C64)+N(D64)))</f>
        <v/>
      </c>
      <c r="K64" s="9">
        <f>IF(B64="","",INDEX(Settings!$D$8:$D$15,MATCH(Settings!$C$4,Settings!$B$8:$B$15,0))+INDEX(Settings!$E$8:$E$15,MATCH(Settings!$C$4,Settings!$B$8:$B$15,0))*(N(C64)+N(D64))+INDEX(Settings!$F$8:$F$15,MATCH(Settings!$C$4,Settings!$B$8:$B$15,0))*(N(C64)+N(D64))*(1+Settings!$C$26)+INDEX(Settings!$G$8:$G$15,MATCH(Settings!$C$4,Settings!$B$8:$B$15,0))+N(I64)*MIN(Settings!$C$23*(N(C64)+N(D64)),Settings!$C$24)+INDEX(Settings!$H$8:$H$15,MATCH(Settings!$C$4,Settings!$B$8:$B$15,0))*(N(C64)+N(D64))+IF(Settings!$C$25="Yes",0.025,0)*(N(C64)+N(D64))+INDEX(Settings!$I$8:$I$15,MATCH(Settings!$C$4,Settings!$B$8:$B$15,0))*(INDEX(Settings!$D$8:$D$15,MATCH(Settings!$C$4,Settings!$B$8:$B$15,0))+INDEX(Settings!$E$8:$E$15,MATCH(Settings!$C$4,Settings!$B$8:$B$15,0))*(N(C64)+N(D64))+N(I64)*MIN(Settings!$C$23*(N(C64)+N(D64)),Settings!$C$24)+INDEX(Settings!$H$8:$H$15,MATCH(Settings!$C$4,Settings!$B$8:$B$15,0))*(N(C64)+N(D64))))</f>
        <v/>
      </c>
      <c r="L64" s="9">
        <f>IF(B64="","",N(E64)+N(F64)+N(G64)+N(H64)/60*Settings!$C$27)</f>
        <v/>
      </c>
      <c r="M64" s="20">
        <f>IF(B64="","",J64-K64-L64)</f>
        <v/>
      </c>
      <c r="N64" s="26">
        <f>IF(OR(B64="",N(J64)=0),"",M64/J64)</f>
        <v/>
      </c>
      <c r="O64" s="8">
        <f>IF(B64="","",IF(M64&lt;0,"Loss",IF(N64&lt;Settings!$C$28,"Below target","On target")))</f>
        <v/>
      </c>
      <c r="P64" s="14">
        <f>IF(B64="","",IF(1-(INDEX(Settings!$E$8:$E$15,MATCH(Settings!$C$4,Settings!$B$8:$B$15,0))+INDEX(Settings!$F$8:$F$15,MATCH(Settings!$C$4,Settings!$B$8:$B$15,0))*(1+Settings!$C$26)+N(I64)*Settings!$C$23+INDEX(Settings!$H$8:$H$15,MATCH(Settings!$C$4,Settings!$B$8:$B$15,0))+IF(Settings!$C$25="Yes",0.025,0)+INDEX(Settings!$I$8:$I$15,MATCH(Settings!$C$4,Settings!$B$8:$B$15,0))*(INDEX(Settings!$E$8:$E$15,MATCH(Settings!$C$4,Settings!$B$8:$B$15,0))+N(I64)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64)/(1-(INDEX(Settings!$E$8:$E$15,MATCH(Settings!$C$4,Settings!$B$8:$B$15,0))+INDEX(Settings!$F$8:$F$15,MATCH(Settings!$C$4,Settings!$B$8:$B$15,0))*(1+Settings!$C$26)+N(I64)*Settings!$C$23+INDEX(Settings!$H$8:$H$15,MATCH(Settings!$C$4,Settings!$B$8:$B$15,0))+IF(Settings!$C$25="Yes",0.025,0)+INDEX(Settings!$I$8:$I$15,MATCH(Settings!$C$4,Settings!$B$8:$B$15,0))*(INDEX(Settings!$E$8:$E$15,MATCH(Settings!$C$4,Settings!$B$8:$B$15,0))+N(I64)*Settings!$C$23+INDEX(Settings!$H$8:$H$15,MATCH(Settings!$C$4,Settings!$B$8:$B$15,0))))-Settings!$C$28)-N(D64))))</f>
        <v/>
      </c>
      <c r="Q64" s="1" t="n"/>
    </row>
    <row r="65">
      <c r="A65" s="1" t="n"/>
      <c r="B65" s="25" t="n"/>
      <c r="C65" s="7" t="n"/>
      <c r="D65" s="7" t="n"/>
      <c r="E65" s="7" t="n"/>
      <c r="F65" s="7" t="n"/>
      <c r="G65" s="7" t="n"/>
      <c r="H65" s="12" t="n"/>
      <c r="I65" s="11" t="n"/>
      <c r="J65" s="9">
        <f>IF(B65="","",(N(C65)+N(D65)))</f>
        <v/>
      </c>
      <c r="K65" s="9">
        <f>IF(B65="","",INDEX(Settings!$D$8:$D$15,MATCH(Settings!$C$4,Settings!$B$8:$B$15,0))+INDEX(Settings!$E$8:$E$15,MATCH(Settings!$C$4,Settings!$B$8:$B$15,0))*(N(C65)+N(D65))+INDEX(Settings!$F$8:$F$15,MATCH(Settings!$C$4,Settings!$B$8:$B$15,0))*(N(C65)+N(D65))*(1+Settings!$C$26)+INDEX(Settings!$G$8:$G$15,MATCH(Settings!$C$4,Settings!$B$8:$B$15,0))+N(I65)*MIN(Settings!$C$23*(N(C65)+N(D65)),Settings!$C$24)+INDEX(Settings!$H$8:$H$15,MATCH(Settings!$C$4,Settings!$B$8:$B$15,0))*(N(C65)+N(D65))+IF(Settings!$C$25="Yes",0.025,0)*(N(C65)+N(D65))+INDEX(Settings!$I$8:$I$15,MATCH(Settings!$C$4,Settings!$B$8:$B$15,0))*(INDEX(Settings!$D$8:$D$15,MATCH(Settings!$C$4,Settings!$B$8:$B$15,0))+INDEX(Settings!$E$8:$E$15,MATCH(Settings!$C$4,Settings!$B$8:$B$15,0))*(N(C65)+N(D65))+N(I65)*MIN(Settings!$C$23*(N(C65)+N(D65)),Settings!$C$24)+INDEX(Settings!$H$8:$H$15,MATCH(Settings!$C$4,Settings!$B$8:$B$15,0))*(N(C65)+N(D65))))</f>
        <v/>
      </c>
      <c r="L65" s="9">
        <f>IF(B65="","",N(E65)+N(F65)+N(G65)+N(H65)/60*Settings!$C$27)</f>
        <v/>
      </c>
      <c r="M65" s="20">
        <f>IF(B65="","",J65-K65-L65)</f>
        <v/>
      </c>
      <c r="N65" s="26">
        <f>IF(OR(B65="",N(J65)=0),"",M65/J65)</f>
        <v/>
      </c>
      <c r="O65" s="8">
        <f>IF(B65="","",IF(M65&lt;0,"Loss",IF(N65&lt;Settings!$C$28,"Below target","On target")))</f>
        <v/>
      </c>
      <c r="P65" s="14">
        <f>IF(B65="","",IF(1-(INDEX(Settings!$E$8:$E$15,MATCH(Settings!$C$4,Settings!$B$8:$B$15,0))+INDEX(Settings!$F$8:$F$15,MATCH(Settings!$C$4,Settings!$B$8:$B$15,0))*(1+Settings!$C$26)+N(I65)*Settings!$C$23+INDEX(Settings!$H$8:$H$15,MATCH(Settings!$C$4,Settings!$B$8:$B$15,0))+IF(Settings!$C$25="Yes",0.025,0)+INDEX(Settings!$I$8:$I$15,MATCH(Settings!$C$4,Settings!$B$8:$B$15,0))*(INDEX(Settings!$E$8:$E$15,MATCH(Settings!$C$4,Settings!$B$8:$B$15,0))+N(I65)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65)/(1-(INDEX(Settings!$E$8:$E$15,MATCH(Settings!$C$4,Settings!$B$8:$B$15,0))+INDEX(Settings!$F$8:$F$15,MATCH(Settings!$C$4,Settings!$B$8:$B$15,0))*(1+Settings!$C$26)+N(I65)*Settings!$C$23+INDEX(Settings!$H$8:$H$15,MATCH(Settings!$C$4,Settings!$B$8:$B$15,0))+IF(Settings!$C$25="Yes",0.025,0)+INDEX(Settings!$I$8:$I$15,MATCH(Settings!$C$4,Settings!$B$8:$B$15,0))*(INDEX(Settings!$E$8:$E$15,MATCH(Settings!$C$4,Settings!$B$8:$B$15,0))+N(I65)*Settings!$C$23+INDEX(Settings!$H$8:$H$15,MATCH(Settings!$C$4,Settings!$B$8:$B$15,0))))-Settings!$C$28)-N(D65))))</f>
        <v/>
      </c>
      <c r="Q65" s="1" t="n"/>
    </row>
    <row r="66">
      <c r="A66" s="1" t="n"/>
      <c r="B66" s="25" t="n"/>
      <c r="C66" s="7" t="n"/>
      <c r="D66" s="7" t="n"/>
      <c r="E66" s="7" t="n"/>
      <c r="F66" s="7" t="n"/>
      <c r="G66" s="7" t="n"/>
      <c r="H66" s="12" t="n"/>
      <c r="I66" s="11" t="n"/>
      <c r="J66" s="9">
        <f>IF(B66="","",(N(C66)+N(D66)))</f>
        <v/>
      </c>
      <c r="K66" s="9">
        <f>IF(B66="","",INDEX(Settings!$D$8:$D$15,MATCH(Settings!$C$4,Settings!$B$8:$B$15,0))+INDEX(Settings!$E$8:$E$15,MATCH(Settings!$C$4,Settings!$B$8:$B$15,0))*(N(C66)+N(D66))+INDEX(Settings!$F$8:$F$15,MATCH(Settings!$C$4,Settings!$B$8:$B$15,0))*(N(C66)+N(D66))*(1+Settings!$C$26)+INDEX(Settings!$G$8:$G$15,MATCH(Settings!$C$4,Settings!$B$8:$B$15,0))+N(I66)*MIN(Settings!$C$23*(N(C66)+N(D66)),Settings!$C$24)+INDEX(Settings!$H$8:$H$15,MATCH(Settings!$C$4,Settings!$B$8:$B$15,0))*(N(C66)+N(D66))+IF(Settings!$C$25="Yes",0.025,0)*(N(C66)+N(D66))+INDEX(Settings!$I$8:$I$15,MATCH(Settings!$C$4,Settings!$B$8:$B$15,0))*(INDEX(Settings!$D$8:$D$15,MATCH(Settings!$C$4,Settings!$B$8:$B$15,0))+INDEX(Settings!$E$8:$E$15,MATCH(Settings!$C$4,Settings!$B$8:$B$15,0))*(N(C66)+N(D66))+N(I66)*MIN(Settings!$C$23*(N(C66)+N(D66)),Settings!$C$24)+INDEX(Settings!$H$8:$H$15,MATCH(Settings!$C$4,Settings!$B$8:$B$15,0))*(N(C66)+N(D66))))</f>
        <v/>
      </c>
      <c r="L66" s="9">
        <f>IF(B66="","",N(E66)+N(F66)+N(G66)+N(H66)/60*Settings!$C$27)</f>
        <v/>
      </c>
      <c r="M66" s="20">
        <f>IF(B66="","",J66-K66-L66)</f>
        <v/>
      </c>
      <c r="N66" s="26">
        <f>IF(OR(B66="",N(J66)=0),"",M66/J66)</f>
        <v/>
      </c>
      <c r="O66" s="8">
        <f>IF(B66="","",IF(M66&lt;0,"Loss",IF(N66&lt;Settings!$C$28,"Below target","On target")))</f>
        <v/>
      </c>
      <c r="P66" s="14">
        <f>IF(B66="","",IF(1-(INDEX(Settings!$E$8:$E$15,MATCH(Settings!$C$4,Settings!$B$8:$B$15,0))+INDEX(Settings!$F$8:$F$15,MATCH(Settings!$C$4,Settings!$B$8:$B$15,0))*(1+Settings!$C$26)+N(I66)*Settings!$C$23+INDEX(Settings!$H$8:$H$15,MATCH(Settings!$C$4,Settings!$B$8:$B$15,0))+IF(Settings!$C$25="Yes",0.025,0)+INDEX(Settings!$I$8:$I$15,MATCH(Settings!$C$4,Settings!$B$8:$B$15,0))*(INDEX(Settings!$E$8:$E$15,MATCH(Settings!$C$4,Settings!$B$8:$B$15,0))+N(I66)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66)/(1-(INDEX(Settings!$E$8:$E$15,MATCH(Settings!$C$4,Settings!$B$8:$B$15,0))+INDEX(Settings!$F$8:$F$15,MATCH(Settings!$C$4,Settings!$B$8:$B$15,0))*(1+Settings!$C$26)+N(I66)*Settings!$C$23+INDEX(Settings!$H$8:$H$15,MATCH(Settings!$C$4,Settings!$B$8:$B$15,0))+IF(Settings!$C$25="Yes",0.025,0)+INDEX(Settings!$I$8:$I$15,MATCH(Settings!$C$4,Settings!$B$8:$B$15,0))*(INDEX(Settings!$E$8:$E$15,MATCH(Settings!$C$4,Settings!$B$8:$B$15,0))+N(I66)*Settings!$C$23+INDEX(Settings!$H$8:$H$15,MATCH(Settings!$C$4,Settings!$B$8:$B$15,0))))-Settings!$C$28)-N(D66))))</f>
        <v/>
      </c>
      <c r="Q66" s="1" t="n"/>
    </row>
    <row r="67">
      <c r="A67" s="1" t="n"/>
      <c r="B67" s="25" t="n"/>
      <c r="C67" s="7" t="n"/>
      <c r="D67" s="7" t="n"/>
      <c r="E67" s="7" t="n"/>
      <c r="F67" s="7" t="n"/>
      <c r="G67" s="7" t="n"/>
      <c r="H67" s="12" t="n"/>
      <c r="I67" s="11" t="n"/>
      <c r="J67" s="9">
        <f>IF(B67="","",(N(C67)+N(D67)))</f>
        <v/>
      </c>
      <c r="K67" s="9">
        <f>IF(B67="","",INDEX(Settings!$D$8:$D$15,MATCH(Settings!$C$4,Settings!$B$8:$B$15,0))+INDEX(Settings!$E$8:$E$15,MATCH(Settings!$C$4,Settings!$B$8:$B$15,0))*(N(C67)+N(D67))+INDEX(Settings!$F$8:$F$15,MATCH(Settings!$C$4,Settings!$B$8:$B$15,0))*(N(C67)+N(D67))*(1+Settings!$C$26)+INDEX(Settings!$G$8:$G$15,MATCH(Settings!$C$4,Settings!$B$8:$B$15,0))+N(I67)*MIN(Settings!$C$23*(N(C67)+N(D67)),Settings!$C$24)+INDEX(Settings!$H$8:$H$15,MATCH(Settings!$C$4,Settings!$B$8:$B$15,0))*(N(C67)+N(D67))+IF(Settings!$C$25="Yes",0.025,0)*(N(C67)+N(D67))+INDEX(Settings!$I$8:$I$15,MATCH(Settings!$C$4,Settings!$B$8:$B$15,0))*(INDEX(Settings!$D$8:$D$15,MATCH(Settings!$C$4,Settings!$B$8:$B$15,0))+INDEX(Settings!$E$8:$E$15,MATCH(Settings!$C$4,Settings!$B$8:$B$15,0))*(N(C67)+N(D67))+N(I67)*MIN(Settings!$C$23*(N(C67)+N(D67)),Settings!$C$24)+INDEX(Settings!$H$8:$H$15,MATCH(Settings!$C$4,Settings!$B$8:$B$15,0))*(N(C67)+N(D67))))</f>
        <v/>
      </c>
      <c r="L67" s="9">
        <f>IF(B67="","",N(E67)+N(F67)+N(G67)+N(H67)/60*Settings!$C$27)</f>
        <v/>
      </c>
      <c r="M67" s="20">
        <f>IF(B67="","",J67-K67-L67)</f>
        <v/>
      </c>
      <c r="N67" s="26">
        <f>IF(OR(B67="",N(J67)=0),"",M67/J67)</f>
        <v/>
      </c>
      <c r="O67" s="8">
        <f>IF(B67="","",IF(M67&lt;0,"Loss",IF(N67&lt;Settings!$C$28,"Below target","On target")))</f>
        <v/>
      </c>
      <c r="P67" s="14">
        <f>IF(B67="","",IF(1-(INDEX(Settings!$E$8:$E$15,MATCH(Settings!$C$4,Settings!$B$8:$B$15,0))+INDEX(Settings!$F$8:$F$15,MATCH(Settings!$C$4,Settings!$B$8:$B$15,0))*(1+Settings!$C$26)+N(I67)*Settings!$C$23+INDEX(Settings!$H$8:$H$15,MATCH(Settings!$C$4,Settings!$B$8:$B$15,0))+IF(Settings!$C$25="Yes",0.025,0)+INDEX(Settings!$I$8:$I$15,MATCH(Settings!$C$4,Settings!$B$8:$B$15,0))*(INDEX(Settings!$E$8:$E$15,MATCH(Settings!$C$4,Settings!$B$8:$B$15,0))+N(I67)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67)/(1-(INDEX(Settings!$E$8:$E$15,MATCH(Settings!$C$4,Settings!$B$8:$B$15,0))+INDEX(Settings!$F$8:$F$15,MATCH(Settings!$C$4,Settings!$B$8:$B$15,0))*(1+Settings!$C$26)+N(I67)*Settings!$C$23+INDEX(Settings!$H$8:$H$15,MATCH(Settings!$C$4,Settings!$B$8:$B$15,0))+IF(Settings!$C$25="Yes",0.025,0)+INDEX(Settings!$I$8:$I$15,MATCH(Settings!$C$4,Settings!$B$8:$B$15,0))*(INDEX(Settings!$E$8:$E$15,MATCH(Settings!$C$4,Settings!$B$8:$B$15,0))+N(I67)*Settings!$C$23+INDEX(Settings!$H$8:$H$15,MATCH(Settings!$C$4,Settings!$B$8:$B$15,0))))-Settings!$C$28)-N(D67))))</f>
        <v/>
      </c>
      <c r="Q67" s="1" t="n"/>
    </row>
    <row r="68">
      <c r="A68" s="1" t="n"/>
      <c r="B68" s="25" t="n"/>
      <c r="C68" s="7" t="n"/>
      <c r="D68" s="7" t="n"/>
      <c r="E68" s="7" t="n"/>
      <c r="F68" s="7" t="n"/>
      <c r="G68" s="7" t="n"/>
      <c r="H68" s="12" t="n"/>
      <c r="I68" s="11" t="n"/>
      <c r="J68" s="9">
        <f>IF(B68="","",(N(C68)+N(D68)))</f>
        <v/>
      </c>
      <c r="K68" s="9">
        <f>IF(B68="","",INDEX(Settings!$D$8:$D$15,MATCH(Settings!$C$4,Settings!$B$8:$B$15,0))+INDEX(Settings!$E$8:$E$15,MATCH(Settings!$C$4,Settings!$B$8:$B$15,0))*(N(C68)+N(D68))+INDEX(Settings!$F$8:$F$15,MATCH(Settings!$C$4,Settings!$B$8:$B$15,0))*(N(C68)+N(D68))*(1+Settings!$C$26)+INDEX(Settings!$G$8:$G$15,MATCH(Settings!$C$4,Settings!$B$8:$B$15,0))+N(I68)*MIN(Settings!$C$23*(N(C68)+N(D68)),Settings!$C$24)+INDEX(Settings!$H$8:$H$15,MATCH(Settings!$C$4,Settings!$B$8:$B$15,0))*(N(C68)+N(D68))+IF(Settings!$C$25="Yes",0.025,0)*(N(C68)+N(D68))+INDEX(Settings!$I$8:$I$15,MATCH(Settings!$C$4,Settings!$B$8:$B$15,0))*(INDEX(Settings!$D$8:$D$15,MATCH(Settings!$C$4,Settings!$B$8:$B$15,0))+INDEX(Settings!$E$8:$E$15,MATCH(Settings!$C$4,Settings!$B$8:$B$15,0))*(N(C68)+N(D68))+N(I68)*MIN(Settings!$C$23*(N(C68)+N(D68)),Settings!$C$24)+INDEX(Settings!$H$8:$H$15,MATCH(Settings!$C$4,Settings!$B$8:$B$15,0))*(N(C68)+N(D68))))</f>
        <v/>
      </c>
      <c r="L68" s="9">
        <f>IF(B68="","",N(E68)+N(F68)+N(G68)+N(H68)/60*Settings!$C$27)</f>
        <v/>
      </c>
      <c r="M68" s="20">
        <f>IF(B68="","",J68-K68-L68)</f>
        <v/>
      </c>
      <c r="N68" s="26">
        <f>IF(OR(B68="",N(J68)=0),"",M68/J68)</f>
        <v/>
      </c>
      <c r="O68" s="8">
        <f>IF(B68="","",IF(M68&lt;0,"Loss",IF(N68&lt;Settings!$C$28,"Below target","On target")))</f>
        <v/>
      </c>
      <c r="P68" s="14">
        <f>IF(B68="","",IF(1-(INDEX(Settings!$E$8:$E$15,MATCH(Settings!$C$4,Settings!$B$8:$B$15,0))+INDEX(Settings!$F$8:$F$15,MATCH(Settings!$C$4,Settings!$B$8:$B$15,0))*(1+Settings!$C$26)+N(I68)*Settings!$C$23+INDEX(Settings!$H$8:$H$15,MATCH(Settings!$C$4,Settings!$B$8:$B$15,0))+IF(Settings!$C$25="Yes",0.025,0)+INDEX(Settings!$I$8:$I$15,MATCH(Settings!$C$4,Settings!$B$8:$B$15,0))*(INDEX(Settings!$E$8:$E$15,MATCH(Settings!$C$4,Settings!$B$8:$B$15,0))+N(I68)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68)/(1-(INDEX(Settings!$E$8:$E$15,MATCH(Settings!$C$4,Settings!$B$8:$B$15,0))+INDEX(Settings!$F$8:$F$15,MATCH(Settings!$C$4,Settings!$B$8:$B$15,0))*(1+Settings!$C$26)+N(I68)*Settings!$C$23+INDEX(Settings!$H$8:$H$15,MATCH(Settings!$C$4,Settings!$B$8:$B$15,0))+IF(Settings!$C$25="Yes",0.025,0)+INDEX(Settings!$I$8:$I$15,MATCH(Settings!$C$4,Settings!$B$8:$B$15,0))*(INDEX(Settings!$E$8:$E$15,MATCH(Settings!$C$4,Settings!$B$8:$B$15,0))+N(I68)*Settings!$C$23+INDEX(Settings!$H$8:$H$15,MATCH(Settings!$C$4,Settings!$B$8:$B$15,0))))-Settings!$C$28)-N(D68))))</f>
        <v/>
      </c>
      <c r="Q68" s="1" t="n"/>
    </row>
    <row r="69">
      <c r="A69" s="1" t="n"/>
      <c r="B69" s="25" t="n"/>
      <c r="C69" s="7" t="n"/>
      <c r="D69" s="7" t="n"/>
      <c r="E69" s="7" t="n"/>
      <c r="F69" s="7" t="n"/>
      <c r="G69" s="7" t="n"/>
      <c r="H69" s="12" t="n"/>
      <c r="I69" s="11" t="n"/>
      <c r="J69" s="9">
        <f>IF(B69="","",(N(C69)+N(D69)))</f>
        <v/>
      </c>
      <c r="K69" s="9">
        <f>IF(B69="","",INDEX(Settings!$D$8:$D$15,MATCH(Settings!$C$4,Settings!$B$8:$B$15,0))+INDEX(Settings!$E$8:$E$15,MATCH(Settings!$C$4,Settings!$B$8:$B$15,0))*(N(C69)+N(D69))+INDEX(Settings!$F$8:$F$15,MATCH(Settings!$C$4,Settings!$B$8:$B$15,0))*(N(C69)+N(D69))*(1+Settings!$C$26)+INDEX(Settings!$G$8:$G$15,MATCH(Settings!$C$4,Settings!$B$8:$B$15,0))+N(I69)*MIN(Settings!$C$23*(N(C69)+N(D69)),Settings!$C$24)+INDEX(Settings!$H$8:$H$15,MATCH(Settings!$C$4,Settings!$B$8:$B$15,0))*(N(C69)+N(D69))+IF(Settings!$C$25="Yes",0.025,0)*(N(C69)+N(D69))+INDEX(Settings!$I$8:$I$15,MATCH(Settings!$C$4,Settings!$B$8:$B$15,0))*(INDEX(Settings!$D$8:$D$15,MATCH(Settings!$C$4,Settings!$B$8:$B$15,0))+INDEX(Settings!$E$8:$E$15,MATCH(Settings!$C$4,Settings!$B$8:$B$15,0))*(N(C69)+N(D69))+N(I69)*MIN(Settings!$C$23*(N(C69)+N(D69)),Settings!$C$24)+INDEX(Settings!$H$8:$H$15,MATCH(Settings!$C$4,Settings!$B$8:$B$15,0))*(N(C69)+N(D69))))</f>
        <v/>
      </c>
      <c r="L69" s="9">
        <f>IF(B69="","",N(E69)+N(F69)+N(G69)+N(H69)/60*Settings!$C$27)</f>
        <v/>
      </c>
      <c r="M69" s="20">
        <f>IF(B69="","",J69-K69-L69)</f>
        <v/>
      </c>
      <c r="N69" s="26">
        <f>IF(OR(B69="",N(J69)=0),"",M69/J69)</f>
        <v/>
      </c>
      <c r="O69" s="8">
        <f>IF(B69="","",IF(M69&lt;0,"Loss",IF(N69&lt;Settings!$C$28,"Below target","On target")))</f>
        <v/>
      </c>
      <c r="P69" s="14">
        <f>IF(B69="","",IF(1-(INDEX(Settings!$E$8:$E$15,MATCH(Settings!$C$4,Settings!$B$8:$B$15,0))+INDEX(Settings!$F$8:$F$15,MATCH(Settings!$C$4,Settings!$B$8:$B$15,0))*(1+Settings!$C$26)+N(I69)*Settings!$C$23+INDEX(Settings!$H$8:$H$15,MATCH(Settings!$C$4,Settings!$B$8:$B$15,0))+IF(Settings!$C$25="Yes",0.025,0)+INDEX(Settings!$I$8:$I$15,MATCH(Settings!$C$4,Settings!$B$8:$B$15,0))*(INDEX(Settings!$E$8:$E$15,MATCH(Settings!$C$4,Settings!$B$8:$B$15,0))+N(I69)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69)/(1-(INDEX(Settings!$E$8:$E$15,MATCH(Settings!$C$4,Settings!$B$8:$B$15,0))+INDEX(Settings!$F$8:$F$15,MATCH(Settings!$C$4,Settings!$B$8:$B$15,0))*(1+Settings!$C$26)+N(I69)*Settings!$C$23+INDEX(Settings!$H$8:$H$15,MATCH(Settings!$C$4,Settings!$B$8:$B$15,0))+IF(Settings!$C$25="Yes",0.025,0)+INDEX(Settings!$I$8:$I$15,MATCH(Settings!$C$4,Settings!$B$8:$B$15,0))*(INDEX(Settings!$E$8:$E$15,MATCH(Settings!$C$4,Settings!$B$8:$B$15,0))+N(I69)*Settings!$C$23+INDEX(Settings!$H$8:$H$15,MATCH(Settings!$C$4,Settings!$B$8:$B$15,0))))-Settings!$C$28)-N(D69))))</f>
        <v/>
      </c>
      <c r="Q69" s="1" t="n"/>
    </row>
    <row r="70">
      <c r="A70" s="1" t="n"/>
      <c r="B70" s="25" t="n"/>
      <c r="C70" s="7" t="n"/>
      <c r="D70" s="7" t="n"/>
      <c r="E70" s="7" t="n"/>
      <c r="F70" s="7" t="n"/>
      <c r="G70" s="7" t="n"/>
      <c r="H70" s="12" t="n"/>
      <c r="I70" s="11" t="n"/>
      <c r="J70" s="9">
        <f>IF(B70="","",(N(C70)+N(D70)))</f>
        <v/>
      </c>
      <c r="K70" s="9">
        <f>IF(B70="","",INDEX(Settings!$D$8:$D$15,MATCH(Settings!$C$4,Settings!$B$8:$B$15,0))+INDEX(Settings!$E$8:$E$15,MATCH(Settings!$C$4,Settings!$B$8:$B$15,0))*(N(C70)+N(D70))+INDEX(Settings!$F$8:$F$15,MATCH(Settings!$C$4,Settings!$B$8:$B$15,0))*(N(C70)+N(D70))*(1+Settings!$C$26)+INDEX(Settings!$G$8:$G$15,MATCH(Settings!$C$4,Settings!$B$8:$B$15,0))+N(I70)*MIN(Settings!$C$23*(N(C70)+N(D70)),Settings!$C$24)+INDEX(Settings!$H$8:$H$15,MATCH(Settings!$C$4,Settings!$B$8:$B$15,0))*(N(C70)+N(D70))+IF(Settings!$C$25="Yes",0.025,0)*(N(C70)+N(D70))+INDEX(Settings!$I$8:$I$15,MATCH(Settings!$C$4,Settings!$B$8:$B$15,0))*(INDEX(Settings!$D$8:$D$15,MATCH(Settings!$C$4,Settings!$B$8:$B$15,0))+INDEX(Settings!$E$8:$E$15,MATCH(Settings!$C$4,Settings!$B$8:$B$15,0))*(N(C70)+N(D70))+N(I70)*MIN(Settings!$C$23*(N(C70)+N(D70)),Settings!$C$24)+INDEX(Settings!$H$8:$H$15,MATCH(Settings!$C$4,Settings!$B$8:$B$15,0))*(N(C70)+N(D70))))</f>
        <v/>
      </c>
      <c r="L70" s="9">
        <f>IF(B70="","",N(E70)+N(F70)+N(G70)+N(H70)/60*Settings!$C$27)</f>
        <v/>
      </c>
      <c r="M70" s="20">
        <f>IF(B70="","",J70-K70-L70)</f>
        <v/>
      </c>
      <c r="N70" s="26">
        <f>IF(OR(B70="",N(J70)=0),"",M70/J70)</f>
        <v/>
      </c>
      <c r="O70" s="8">
        <f>IF(B70="","",IF(M70&lt;0,"Loss",IF(N70&lt;Settings!$C$28,"Below target","On target")))</f>
        <v/>
      </c>
      <c r="P70" s="14">
        <f>IF(B70="","",IF(1-(INDEX(Settings!$E$8:$E$15,MATCH(Settings!$C$4,Settings!$B$8:$B$15,0))+INDEX(Settings!$F$8:$F$15,MATCH(Settings!$C$4,Settings!$B$8:$B$15,0))*(1+Settings!$C$26)+N(I70)*Settings!$C$23+INDEX(Settings!$H$8:$H$15,MATCH(Settings!$C$4,Settings!$B$8:$B$15,0))+IF(Settings!$C$25="Yes",0.025,0)+INDEX(Settings!$I$8:$I$15,MATCH(Settings!$C$4,Settings!$B$8:$B$15,0))*(INDEX(Settings!$E$8:$E$15,MATCH(Settings!$C$4,Settings!$B$8:$B$15,0))+N(I70)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70)/(1-(INDEX(Settings!$E$8:$E$15,MATCH(Settings!$C$4,Settings!$B$8:$B$15,0))+INDEX(Settings!$F$8:$F$15,MATCH(Settings!$C$4,Settings!$B$8:$B$15,0))*(1+Settings!$C$26)+N(I70)*Settings!$C$23+INDEX(Settings!$H$8:$H$15,MATCH(Settings!$C$4,Settings!$B$8:$B$15,0))+IF(Settings!$C$25="Yes",0.025,0)+INDEX(Settings!$I$8:$I$15,MATCH(Settings!$C$4,Settings!$B$8:$B$15,0))*(INDEX(Settings!$E$8:$E$15,MATCH(Settings!$C$4,Settings!$B$8:$B$15,0))+N(I70)*Settings!$C$23+INDEX(Settings!$H$8:$H$15,MATCH(Settings!$C$4,Settings!$B$8:$B$15,0))))-Settings!$C$28)-N(D70))))</f>
        <v/>
      </c>
      <c r="Q70" s="1" t="n"/>
    </row>
    <row r="71">
      <c r="A71" s="1" t="n"/>
      <c r="B71" s="25" t="n"/>
      <c r="C71" s="7" t="n"/>
      <c r="D71" s="7" t="n"/>
      <c r="E71" s="7" t="n"/>
      <c r="F71" s="7" t="n"/>
      <c r="G71" s="7" t="n"/>
      <c r="H71" s="12" t="n"/>
      <c r="I71" s="11" t="n"/>
      <c r="J71" s="9">
        <f>IF(B71="","",(N(C71)+N(D71)))</f>
        <v/>
      </c>
      <c r="K71" s="9">
        <f>IF(B71="","",INDEX(Settings!$D$8:$D$15,MATCH(Settings!$C$4,Settings!$B$8:$B$15,0))+INDEX(Settings!$E$8:$E$15,MATCH(Settings!$C$4,Settings!$B$8:$B$15,0))*(N(C71)+N(D71))+INDEX(Settings!$F$8:$F$15,MATCH(Settings!$C$4,Settings!$B$8:$B$15,0))*(N(C71)+N(D71))*(1+Settings!$C$26)+INDEX(Settings!$G$8:$G$15,MATCH(Settings!$C$4,Settings!$B$8:$B$15,0))+N(I71)*MIN(Settings!$C$23*(N(C71)+N(D71)),Settings!$C$24)+INDEX(Settings!$H$8:$H$15,MATCH(Settings!$C$4,Settings!$B$8:$B$15,0))*(N(C71)+N(D71))+IF(Settings!$C$25="Yes",0.025,0)*(N(C71)+N(D71))+INDEX(Settings!$I$8:$I$15,MATCH(Settings!$C$4,Settings!$B$8:$B$15,0))*(INDEX(Settings!$D$8:$D$15,MATCH(Settings!$C$4,Settings!$B$8:$B$15,0))+INDEX(Settings!$E$8:$E$15,MATCH(Settings!$C$4,Settings!$B$8:$B$15,0))*(N(C71)+N(D71))+N(I71)*MIN(Settings!$C$23*(N(C71)+N(D71)),Settings!$C$24)+INDEX(Settings!$H$8:$H$15,MATCH(Settings!$C$4,Settings!$B$8:$B$15,0))*(N(C71)+N(D71))))</f>
        <v/>
      </c>
      <c r="L71" s="9">
        <f>IF(B71="","",N(E71)+N(F71)+N(G71)+N(H71)/60*Settings!$C$27)</f>
        <v/>
      </c>
      <c r="M71" s="20">
        <f>IF(B71="","",J71-K71-L71)</f>
        <v/>
      </c>
      <c r="N71" s="26">
        <f>IF(OR(B71="",N(J71)=0),"",M71/J71)</f>
        <v/>
      </c>
      <c r="O71" s="8">
        <f>IF(B71="","",IF(M71&lt;0,"Loss",IF(N71&lt;Settings!$C$28,"Below target","On target")))</f>
        <v/>
      </c>
      <c r="P71" s="14">
        <f>IF(B71="","",IF(1-(INDEX(Settings!$E$8:$E$15,MATCH(Settings!$C$4,Settings!$B$8:$B$15,0))+INDEX(Settings!$F$8:$F$15,MATCH(Settings!$C$4,Settings!$B$8:$B$15,0))*(1+Settings!$C$26)+N(I71)*Settings!$C$23+INDEX(Settings!$H$8:$H$15,MATCH(Settings!$C$4,Settings!$B$8:$B$15,0))+IF(Settings!$C$25="Yes",0.025,0)+INDEX(Settings!$I$8:$I$15,MATCH(Settings!$C$4,Settings!$B$8:$B$15,0))*(INDEX(Settings!$E$8:$E$15,MATCH(Settings!$C$4,Settings!$B$8:$B$15,0))+N(I71)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71)/(1-(INDEX(Settings!$E$8:$E$15,MATCH(Settings!$C$4,Settings!$B$8:$B$15,0))+INDEX(Settings!$F$8:$F$15,MATCH(Settings!$C$4,Settings!$B$8:$B$15,0))*(1+Settings!$C$26)+N(I71)*Settings!$C$23+INDEX(Settings!$H$8:$H$15,MATCH(Settings!$C$4,Settings!$B$8:$B$15,0))+IF(Settings!$C$25="Yes",0.025,0)+INDEX(Settings!$I$8:$I$15,MATCH(Settings!$C$4,Settings!$B$8:$B$15,0))*(INDEX(Settings!$E$8:$E$15,MATCH(Settings!$C$4,Settings!$B$8:$B$15,0))+N(I71)*Settings!$C$23+INDEX(Settings!$H$8:$H$15,MATCH(Settings!$C$4,Settings!$B$8:$B$15,0))))-Settings!$C$28)-N(D71))))</f>
        <v/>
      </c>
      <c r="Q71" s="1" t="n"/>
    </row>
    <row r="72">
      <c r="A72" s="1" t="n"/>
      <c r="B72" s="25" t="n"/>
      <c r="C72" s="7" t="n"/>
      <c r="D72" s="7" t="n"/>
      <c r="E72" s="7" t="n"/>
      <c r="F72" s="7" t="n"/>
      <c r="G72" s="7" t="n"/>
      <c r="H72" s="12" t="n"/>
      <c r="I72" s="11" t="n"/>
      <c r="J72" s="9">
        <f>IF(B72="","",(N(C72)+N(D72)))</f>
        <v/>
      </c>
      <c r="K72" s="9">
        <f>IF(B72="","",INDEX(Settings!$D$8:$D$15,MATCH(Settings!$C$4,Settings!$B$8:$B$15,0))+INDEX(Settings!$E$8:$E$15,MATCH(Settings!$C$4,Settings!$B$8:$B$15,0))*(N(C72)+N(D72))+INDEX(Settings!$F$8:$F$15,MATCH(Settings!$C$4,Settings!$B$8:$B$15,0))*(N(C72)+N(D72))*(1+Settings!$C$26)+INDEX(Settings!$G$8:$G$15,MATCH(Settings!$C$4,Settings!$B$8:$B$15,0))+N(I72)*MIN(Settings!$C$23*(N(C72)+N(D72)),Settings!$C$24)+INDEX(Settings!$H$8:$H$15,MATCH(Settings!$C$4,Settings!$B$8:$B$15,0))*(N(C72)+N(D72))+IF(Settings!$C$25="Yes",0.025,0)*(N(C72)+N(D72))+INDEX(Settings!$I$8:$I$15,MATCH(Settings!$C$4,Settings!$B$8:$B$15,0))*(INDEX(Settings!$D$8:$D$15,MATCH(Settings!$C$4,Settings!$B$8:$B$15,0))+INDEX(Settings!$E$8:$E$15,MATCH(Settings!$C$4,Settings!$B$8:$B$15,0))*(N(C72)+N(D72))+N(I72)*MIN(Settings!$C$23*(N(C72)+N(D72)),Settings!$C$24)+INDEX(Settings!$H$8:$H$15,MATCH(Settings!$C$4,Settings!$B$8:$B$15,0))*(N(C72)+N(D72))))</f>
        <v/>
      </c>
      <c r="L72" s="9">
        <f>IF(B72="","",N(E72)+N(F72)+N(G72)+N(H72)/60*Settings!$C$27)</f>
        <v/>
      </c>
      <c r="M72" s="20">
        <f>IF(B72="","",J72-K72-L72)</f>
        <v/>
      </c>
      <c r="N72" s="26">
        <f>IF(OR(B72="",N(J72)=0),"",M72/J72)</f>
        <v/>
      </c>
      <c r="O72" s="8">
        <f>IF(B72="","",IF(M72&lt;0,"Loss",IF(N72&lt;Settings!$C$28,"Below target","On target")))</f>
        <v/>
      </c>
      <c r="P72" s="14">
        <f>IF(B72="","",IF(1-(INDEX(Settings!$E$8:$E$15,MATCH(Settings!$C$4,Settings!$B$8:$B$15,0))+INDEX(Settings!$F$8:$F$15,MATCH(Settings!$C$4,Settings!$B$8:$B$15,0))*(1+Settings!$C$26)+N(I72)*Settings!$C$23+INDEX(Settings!$H$8:$H$15,MATCH(Settings!$C$4,Settings!$B$8:$B$15,0))+IF(Settings!$C$25="Yes",0.025,0)+INDEX(Settings!$I$8:$I$15,MATCH(Settings!$C$4,Settings!$B$8:$B$15,0))*(INDEX(Settings!$E$8:$E$15,MATCH(Settings!$C$4,Settings!$B$8:$B$15,0))+N(I72)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72)/(1-(INDEX(Settings!$E$8:$E$15,MATCH(Settings!$C$4,Settings!$B$8:$B$15,0))+INDEX(Settings!$F$8:$F$15,MATCH(Settings!$C$4,Settings!$B$8:$B$15,0))*(1+Settings!$C$26)+N(I72)*Settings!$C$23+INDEX(Settings!$H$8:$H$15,MATCH(Settings!$C$4,Settings!$B$8:$B$15,0))+IF(Settings!$C$25="Yes",0.025,0)+INDEX(Settings!$I$8:$I$15,MATCH(Settings!$C$4,Settings!$B$8:$B$15,0))*(INDEX(Settings!$E$8:$E$15,MATCH(Settings!$C$4,Settings!$B$8:$B$15,0))+N(I72)*Settings!$C$23+INDEX(Settings!$H$8:$H$15,MATCH(Settings!$C$4,Settings!$B$8:$B$15,0))))-Settings!$C$28)-N(D72))))</f>
        <v/>
      </c>
      <c r="Q72" s="1" t="n"/>
    </row>
    <row r="73">
      <c r="A73" s="1" t="n"/>
      <c r="B73" s="25" t="n"/>
      <c r="C73" s="7" t="n"/>
      <c r="D73" s="7" t="n"/>
      <c r="E73" s="7" t="n"/>
      <c r="F73" s="7" t="n"/>
      <c r="G73" s="7" t="n"/>
      <c r="H73" s="12" t="n"/>
      <c r="I73" s="11" t="n"/>
      <c r="J73" s="9">
        <f>IF(B73="","",(N(C73)+N(D73)))</f>
        <v/>
      </c>
      <c r="K73" s="9">
        <f>IF(B73="","",INDEX(Settings!$D$8:$D$15,MATCH(Settings!$C$4,Settings!$B$8:$B$15,0))+INDEX(Settings!$E$8:$E$15,MATCH(Settings!$C$4,Settings!$B$8:$B$15,0))*(N(C73)+N(D73))+INDEX(Settings!$F$8:$F$15,MATCH(Settings!$C$4,Settings!$B$8:$B$15,0))*(N(C73)+N(D73))*(1+Settings!$C$26)+INDEX(Settings!$G$8:$G$15,MATCH(Settings!$C$4,Settings!$B$8:$B$15,0))+N(I73)*MIN(Settings!$C$23*(N(C73)+N(D73)),Settings!$C$24)+INDEX(Settings!$H$8:$H$15,MATCH(Settings!$C$4,Settings!$B$8:$B$15,0))*(N(C73)+N(D73))+IF(Settings!$C$25="Yes",0.025,0)*(N(C73)+N(D73))+INDEX(Settings!$I$8:$I$15,MATCH(Settings!$C$4,Settings!$B$8:$B$15,0))*(INDEX(Settings!$D$8:$D$15,MATCH(Settings!$C$4,Settings!$B$8:$B$15,0))+INDEX(Settings!$E$8:$E$15,MATCH(Settings!$C$4,Settings!$B$8:$B$15,0))*(N(C73)+N(D73))+N(I73)*MIN(Settings!$C$23*(N(C73)+N(D73)),Settings!$C$24)+INDEX(Settings!$H$8:$H$15,MATCH(Settings!$C$4,Settings!$B$8:$B$15,0))*(N(C73)+N(D73))))</f>
        <v/>
      </c>
      <c r="L73" s="9">
        <f>IF(B73="","",N(E73)+N(F73)+N(G73)+N(H73)/60*Settings!$C$27)</f>
        <v/>
      </c>
      <c r="M73" s="20">
        <f>IF(B73="","",J73-K73-L73)</f>
        <v/>
      </c>
      <c r="N73" s="26">
        <f>IF(OR(B73="",N(J73)=0),"",M73/J73)</f>
        <v/>
      </c>
      <c r="O73" s="8">
        <f>IF(B73="","",IF(M73&lt;0,"Loss",IF(N73&lt;Settings!$C$28,"Below target","On target")))</f>
        <v/>
      </c>
      <c r="P73" s="14">
        <f>IF(B73="","",IF(1-(INDEX(Settings!$E$8:$E$15,MATCH(Settings!$C$4,Settings!$B$8:$B$15,0))+INDEX(Settings!$F$8:$F$15,MATCH(Settings!$C$4,Settings!$B$8:$B$15,0))*(1+Settings!$C$26)+N(I73)*Settings!$C$23+INDEX(Settings!$H$8:$H$15,MATCH(Settings!$C$4,Settings!$B$8:$B$15,0))+IF(Settings!$C$25="Yes",0.025,0)+INDEX(Settings!$I$8:$I$15,MATCH(Settings!$C$4,Settings!$B$8:$B$15,0))*(INDEX(Settings!$E$8:$E$15,MATCH(Settings!$C$4,Settings!$B$8:$B$15,0))+N(I73)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73)/(1-(INDEX(Settings!$E$8:$E$15,MATCH(Settings!$C$4,Settings!$B$8:$B$15,0))+INDEX(Settings!$F$8:$F$15,MATCH(Settings!$C$4,Settings!$B$8:$B$15,0))*(1+Settings!$C$26)+N(I73)*Settings!$C$23+INDEX(Settings!$H$8:$H$15,MATCH(Settings!$C$4,Settings!$B$8:$B$15,0))+IF(Settings!$C$25="Yes",0.025,0)+INDEX(Settings!$I$8:$I$15,MATCH(Settings!$C$4,Settings!$B$8:$B$15,0))*(INDEX(Settings!$E$8:$E$15,MATCH(Settings!$C$4,Settings!$B$8:$B$15,0))+N(I73)*Settings!$C$23+INDEX(Settings!$H$8:$H$15,MATCH(Settings!$C$4,Settings!$B$8:$B$15,0))))-Settings!$C$28)-N(D73))))</f>
        <v/>
      </c>
      <c r="Q73" s="1" t="n"/>
    </row>
    <row r="74">
      <c r="A74" s="1" t="n"/>
      <c r="B74" s="25" t="n"/>
      <c r="C74" s="7" t="n"/>
      <c r="D74" s="7" t="n"/>
      <c r="E74" s="7" t="n"/>
      <c r="F74" s="7" t="n"/>
      <c r="G74" s="7" t="n"/>
      <c r="H74" s="12" t="n"/>
      <c r="I74" s="11" t="n"/>
      <c r="J74" s="9">
        <f>IF(B74="","",(N(C74)+N(D74)))</f>
        <v/>
      </c>
      <c r="K74" s="9">
        <f>IF(B74="","",INDEX(Settings!$D$8:$D$15,MATCH(Settings!$C$4,Settings!$B$8:$B$15,0))+INDEX(Settings!$E$8:$E$15,MATCH(Settings!$C$4,Settings!$B$8:$B$15,0))*(N(C74)+N(D74))+INDEX(Settings!$F$8:$F$15,MATCH(Settings!$C$4,Settings!$B$8:$B$15,0))*(N(C74)+N(D74))*(1+Settings!$C$26)+INDEX(Settings!$G$8:$G$15,MATCH(Settings!$C$4,Settings!$B$8:$B$15,0))+N(I74)*MIN(Settings!$C$23*(N(C74)+N(D74)),Settings!$C$24)+INDEX(Settings!$H$8:$H$15,MATCH(Settings!$C$4,Settings!$B$8:$B$15,0))*(N(C74)+N(D74))+IF(Settings!$C$25="Yes",0.025,0)*(N(C74)+N(D74))+INDEX(Settings!$I$8:$I$15,MATCH(Settings!$C$4,Settings!$B$8:$B$15,0))*(INDEX(Settings!$D$8:$D$15,MATCH(Settings!$C$4,Settings!$B$8:$B$15,0))+INDEX(Settings!$E$8:$E$15,MATCH(Settings!$C$4,Settings!$B$8:$B$15,0))*(N(C74)+N(D74))+N(I74)*MIN(Settings!$C$23*(N(C74)+N(D74)),Settings!$C$24)+INDEX(Settings!$H$8:$H$15,MATCH(Settings!$C$4,Settings!$B$8:$B$15,0))*(N(C74)+N(D74))))</f>
        <v/>
      </c>
      <c r="L74" s="9">
        <f>IF(B74="","",N(E74)+N(F74)+N(G74)+N(H74)/60*Settings!$C$27)</f>
        <v/>
      </c>
      <c r="M74" s="20">
        <f>IF(B74="","",J74-K74-L74)</f>
        <v/>
      </c>
      <c r="N74" s="26">
        <f>IF(OR(B74="",N(J74)=0),"",M74/J74)</f>
        <v/>
      </c>
      <c r="O74" s="8">
        <f>IF(B74="","",IF(M74&lt;0,"Loss",IF(N74&lt;Settings!$C$28,"Below target","On target")))</f>
        <v/>
      </c>
      <c r="P74" s="14">
        <f>IF(B74="","",IF(1-(INDEX(Settings!$E$8:$E$15,MATCH(Settings!$C$4,Settings!$B$8:$B$15,0))+INDEX(Settings!$F$8:$F$15,MATCH(Settings!$C$4,Settings!$B$8:$B$15,0))*(1+Settings!$C$26)+N(I74)*Settings!$C$23+INDEX(Settings!$H$8:$H$15,MATCH(Settings!$C$4,Settings!$B$8:$B$15,0))+IF(Settings!$C$25="Yes",0.025,0)+INDEX(Settings!$I$8:$I$15,MATCH(Settings!$C$4,Settings!$B$8:$B$15,0))*(INDEX(Settings!$E$8:$E$15,MATCH(Settings!$C$4,Settings!$B$8:$B$15,0))+N(I74)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74)/(1-(INDEX(Settings!$E$8:$E$15,MATCH(Settings!$C$4,Settings!$B$8:$B$15,0))+INDEX(Settings!$F$8:$F$15,MATCH(Settings!$C$4,Settings!$B$8:$B$15,0))*(1+Settings!$C$26)+N(I74)*Settings!$C$23+INDEX(Settings!$H$8:$H$15,MATCH(Settings!$C$4,Settings!$B$8:$B$15,0))+IF(Settings!$C$25="Yes",0.025,0)+INDEX(Settings!$I$8:$I$15,MATCH(Settings!$C$4,Settings!$B$8:$B$15,0))*(INDEX(Settings!$E$8:$E$15,MATCH(Settings!$C$4,Settings!$B$8:$B$15,0))+N(I74)*Settings!$C$23+INDEX(Settings!$H$8:$H$15,MATCH(Settings!$C$4,Settings!$B$8:$B$15,0))))-Settings!$C$28)-N(D74))))</f>
        <v/>
      </c>
      <c r="Q74" s="1" t="n"/>
    </row>
    <row r="75">
      <c r="A75" s="1" t="n"/>
      <c r="B75" s="25" t="n"/>
      <c r="C75" s="7" t="n"/>
      <c r="D75" s="7" t="n"/>
      <c r="E75" s="7" t="n"/>
      <c r="F75" s="7" t="n"/>
      <c r="G75" s="7" t="n"/>
      <c r="H75" s="12" t="n"/>
      <c r="I75" s="11" t="n"/>
      <c r="J75" s="9">
        <f>IF(B75="","",(N(C75)+N(D75)))</f>
        <v/>
      </c>
      <c r="K75" s="9">
        <f>IF(B75="","",INDEX(Settings!$D$8:$D$15,MATCH(Settings!$C$4,Settings!$B$8:$B$15,0))+INDEX(Settings!$E$8:$E$15,MATCH(Settings!$C$4,Settings!$B$8:$B$15,0))*(N(C75)+N(D75))+INDEX(Settings!$F$8:$F$15,MATCH(Settings!$C$4,Settings!$B$8:$B$15,0))*(N(C75)+N(D75))*(1+Settings!$C$26)+INDEX(Settings!$G$8:$G$15,MATCH(Settings!$C$4,Settings!$B$8:$B$15,0))+N(I75)*MIN(Settings!$C$23*(N(C75)+N(D75)),Settings!$C$24)+INDEX(Settings!$H$8:$H$15,MATCH(Settings!$C$4,Settings!$B$8:$B$15,0))*(N(C75)+N(D75))+IF(Settings!$C$25="Yes",0.025,0)*(N(C75)+N(D75))+INDEX(Settings!$I$8:$I$15,MATCH(Settings!$C$4,Settings!$B$8:$B$15,0))*(INDEX(Settings!$D$8:$D$15,MATCH(Settings!$C$4,Settings!$B$8:$B$15,0))+INDEX(Settings!$E$8:$E$15,MATCH(Settings!$C$4,Settings!$B$8:$B$15,0))*(N(C75)+N(D75))+N(I75)*MIN(Settings!$C$23*(N(C75)+N(D75)),Settings!$C$24)+INDEX(Settings!$H$8:$H$15,MATCH(Settings!$C$4,Settings!$B$8:$B$15,0))*(N(C75)+N(D75))))</f>
        <v/>
      </c>
      <c r="L75" s="9">
        <f>IF(B75="","",N(E75)+N(F75)+N(G75)+N(H75)/60*Settings!$C$27)</f>
        <v/>
      </c>
      <c r="M75" s="20">
        <f>IF(B75="","",J75-K75-L75)</f>
        <v/>
      </c>
      <c r="N75" s="26">
        <f>IF(OR(B75="",N(J75)=0),"",M75/J75)</f>
        <v/>
      </c>
      <c r="O75" s="8">
        <f>IF(B75="","",IF(M75&lt;0,"Loss",IF(N75&lt;Settings!$C$28,"Below target","On target")))</f>
        <v/>
      </c>
      <c r="P75" s="14">
        <f>IF(B75="","",IF(1-(INDEX(Settings!$E$8:$E$15,MATCH(Settings!$C$4,Settings!$B$8:$B$15,0))+INDEX(Settings!$F$8:$F$15,MATCH(Settings!$C$4,Settings!$B$8:$B$15,0))*(1+Settings!$C$26)+N(I75)*Settings!$C$23+INDEX(Settings!$H$8:$H$15,MATCH(Settings!$C$4,Settings!$B$8:$B$15,0))+IF(Settings!$C$25="Yes",0.025,0)+INDEX(Settings!$I$8:$I$15,MATCH(Settings!$C$4,Settings!$B$8:$B$15,0))*(INDEX(Settings!$E$8:$E$15,MATCH(Settings!$C$4,Settings!$B$8:$B$15,0))+N(I75)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75)/(1-(INDEX(Settings!$E$8:$E$15,MATCH(Settings!$C$4,Settings!$B$8:$B$15,0))+INDEX(Settings!$F$8:$F$15,MATCH(Settings!$C$4,Settings!$B$8:$B$15,0))*(1+Settings!$C$26)+N(I75)*Settings!$C$23+INDEX(Settings!$H$8:$H$15,MATCH(Settings!$C$4,Settings!$B$8:$B$15,0))+IF(Settings!$C$25="Yes",0.025,0)+INDEX(Settings!$I$8:$I$15,MATCH(Settings!$C$4,Settings!$B$8:$B$15,0))*(INDEX(Settings!$E$8:$E$15,MATCH(Settings!$C$4,Settings!$B$8:$B$15,0))+N(I75)*Settings!$C$23+INDEX(Settings!$H$8:$H$15,MATCH(Settings!$C$4,Settings!$B$8:$B$15,0))))-Settings!$C$28)-N(D75))))</f>
        <v/>
      </c>
      <c r="Q75" s="1" t="n"/>
    </row>
    <row r="76">
      <c r="A76" s="1" t="n"/>
      <c r="B76" s="25" t="n"/>
      <c r="C76" s="7" t="n"/>
      <c r="D76" s="7" t="n"/>
      <c r="E76" s="7" t="n"/>
      <c r="F76" s="7" t="n"/>
      <c r="G76" s="7" t="n"/>
      <c r="H76" s="12" t="n"/>
      <c r="I76" s="11" t="n"/>
      <c r="J76" s="9">
        <f>IF(B76="","",(N(C76)+N(D76)))</f>
        <v/>
      </c>
      <c r="K76" s="9">
        <f>IF(B76="","",INDEX(Settings!$D$8:$D$15,MATCH(Settings!$C$4,Settings!$B$8:$B$15,0))+INDEX(Settings!$E$8:$E$15,MATCH(Settings!$C$4,Settings!$B$8:$B$15,0))*(N(C76)+N(D76))+INDEX(Settings!$F$8:$F$15,MATCH(Settings!$C$4,Settings!$B$8:$B$15,0))*(N(C76)+N(D76))*(1+Settings!$C$26)+INDEX(Settings!$G$8:$G$15,MATCH(Settings!$C$4,Settings!$B$8:$B$15,0))+N(I76)*MIN(Settings!$C$23*(N(C76)+N(D76)),Settings!$C$24)+INDEX(Settings!$H$8:$H$15,MATCH(Settings!$C$4,Settings!$B$8:$B$15,0))*(N(C76)+N(D76))+IF(Settings!$C$25="Yes",0.025,0)*(N(C76)+N(D76))+INDEX(Settings!$I$8:$I$15,MATCH(Settings!$C$4,Settings!$B$8:$B$15,0))*(INDEX(Settings!$D$8:$D$15,MATCH(Settings!$C$4,Settings!$B$8:$B$15,0))+INDEX(Settings!$E$8:$E$15,MATCH(Settings!$C$4,Settings!$B$8:$B$15,0))*(N(C76)+N(D76))+N(I76)*MIN(Settings!$C$23*(N(C76)+N(D76)),Settings!$C$24)+INDEX(Settings!$H$8:$H$15,MATCH(Settings!$C$4,Settings!$B$8:$B$15,0))*(N(C76)+N(D76))))</f>
        <v/>
      </c>
      <c r="L76" s="9">
        <f>IF(B76="","",N(E76)+N(F76)+N(G76)+N(H76)/60*Settings!$C$27)</f>
        <v/>
      </c>
      <c r="M76" s="20">
        <f>IF(B76="","",J76-K76-L76)</f>
        <v/>
      </c>
      <c r="N76" s="26">
        <f>IF(OR(B76="",N(J76)=0),"",M76/J76)</f>
        <v/>
      </c>
      <c r="O76" s="8">
        <f>IF(B76="","",IF(M76&lt;0,"Loss",IF(N76&lt;Settings!$C$28,"Below target","On target")))</f>
        <v/>
      </c>
      <c r="P76" s="14">
        <f>IF(B76="","",IF(1-(INDEX(Settings!$E$8:$E$15,MATCH(Settings!$C$4,Settings!$B$8:$B$15,0))+INDEX(Settings!$F$8:$F$15,MATCH(Settings!$C$4,Settings!$B$8:$B$15,0))*(1+Settings!$C$26)+N(I76)*Settings!$C$23+INDEX(Settings!$H$8:$H$15,MATCH(Settings!$C$4,Settings!$B$8:$B$15,0))+IF(Settings!$C$25="Yes",0.025,0)+INDEX(Settings!$I$8:$I$15,MATCH(Settings!$C$4,Settings!$B$8:$B$15,0))*(INDEX(Settings!$E$8:$E$15,MATCH(Settings!$C$4,Settings!$B$8:$B$15,0))+N(I76)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76)/(1-(INDEX(Settings!$E$8:$E$15,MATCH(Settings!$C$4,Settings!$B$8:$B$15,0))+INDEX(Settings!$F$8:$F$15,MATCH(Settings!$C$4,Settings!$B$8:$B$15,0))*(1+Settings!$C$26)+N(I76)*Settings!$C$23+INDEX(Settings!$H$8:$H$15,MATCH(Settings!$C$4,Settings!$B$8:$B$15,0))+IF(Settings!$C$25="Yes",0.025,0)+INDEX(Settings!$I$8:$I$15,MATCH(Settings!$C$4,Settings!$B$8:$B$15,0))*(INDEX(Settings!$E$8:$E$15,MATCH(Settings!$C$4,Settings!$B$8:$B$15,0))+N(I76)*Settings!$C$23+INDEX(Settings!$H$8:$H$15,MATCH(Settings!$C$4,Settings!$B$8:$B$15,0))))-Settings!$C$28)-N(D76))))</f>
        <v/>
      </c>
      <c r="Q76" s="1" t="n"/>
    </row>
    <row r="77">
      <c r="A77" s="1" t="n"/>
      <c r="B77" s="25" t="n"/>
      <c r="C77" s="7" t="n"/>
      <c r="D77" s="7" t="n"/>
      <c r="E77" s="7" t="n"/>
      <c r="F77" s="7" t="n"/>
      <c r="G77" s="7" t="n"/>
      <c r="H77" s="12" t="n"/>
      <c r="I77" s="11" t="n"/>
      <c r="J77" s="9">
        <f>IF(B77="","",(N(C77)+N(D77)))</f>
        <v/>
      </c>
      <c r="K77" s="9">
        <f>IF(B77="","",INDEX(Settings!$D$8:$D$15,MATCH(Settings!$C$4,Settings!$B$8:$B$15,0))+INDEX(Settings!$E$8:$E$15,MATCH(Settings!$C$4,Settings!$B$8:$B$15,0))*(N(C77)+N(D77))+INDEX(Settings!$F$8:$F$15,MATCH(Settings!$C$4,Settings!$B$8:$B$15,0))*(N(C77)+N(D77))*(1+Settings!$C$26)+INDEX(Settings!$G$8:$G$15,MATCH(Settings!$C$4,Settings!$B$8:$B$15,0))+N(I77)*MIN(Settings!$C$23*(N(C77)+N(D77)),Settings!$C$24)+INDEX(Settings!$H$8:$H$15,MATCH(Settings!$C$4,Settings!$B$8:$B$15,0))*(N(C77)+N(D77))+IF(Settings!$C$25="Yes",0.025,0)*(N(C77)+N(D77))+INDEX(Settings!$I$8:$I$15,MATCH(Settings!$C$4,Settings!$B$8:$B$15,0))*(INDEX(Settings!$D$8:$D$15,MATCH(Settings!$C$4,Settings!$B$8:$B$15,0))+INDEX(Settings!$E$8:$E$15,MATCH(Settings!$C$4,Settings!$B$8:$B$15,0))*(N(C77)+N(D77))+N(I77)*MIN(Settings!$C$23*(N(C77)+N(D77)),Settings!$C$24)+INDEX(Settings!$H$8:$H$15,MATCH(Settings!$C$4,Settings!$B$8:$B$15,0))*(N(C77)+N(D77))))</f>
        <v/>
      </c>
      <c r="L77" s="9">
        <f>IF(B77="","",N(E77)+N(F77)+N(G77)+N(H77)/60*Settings!$C$27)</f>
        <v/>
      </c>
      <c r="M77" s="20">
        <f>IF(B77="","",J77-K77-L77)</f>
        <v/>
      </c>
      <c r="N77" s="26">
        <f>IF(OR(B77="",N(J77)=0),"",M77/J77)</f>
        <v/>
      </c>
      <c r="O77" s="8">
        <f>IF(B77="","",IF(M77&lt;0,"Loss",IF(N77&lt;Settings!$C$28,"Below target","On target")))</f>
        <v/>
      </c>
      <c r="P77" s="14">
        <f>IF(B77="","",IF(1-(INDEX(Settings!$E$8:$E$15,MATCH(Settings!$C$4,Settings!$B$8:$B$15,0))+INDEX(Settings!$F$8:$F$15,MATCH(Settings!$C$4,Settings!$B$8:$B$15,0))*(1+Settings!$C$26)+N(I77)*Settings!$C$23+INDEX(Settings!$H$8:$H$15,MATCH(Settings!$C$4,Settings!$B$8:$B$15,0))+IF(Settings!$C$25="Yes",0.025,0)+INDEX(Settings!$I$8:$I$15,MATCH(Settings!$C$4,Settings!$B$8:$B$15,0))*(INDEX(Settings!$E$8:$E$15,MATCH(Settings!$C$4,Settings!$B$8:$B$15,0))+N(I77)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77)/(1-(INDEX(Settings!$E$8:$E$15,MATCH(Settings!$C$4,Settings!$B$8:$B$15,0))+INDEX(Settings!$F$8:$F$15,MATCH(Settings!$C$4,Settings!$B$8:$B$15,0))*(1+Settings!$C$26)+N(I77)*Settings!$C$23+INDEX(Settings!$H$8:$H$15,MATCH(Settings!$C$4,Settings!$B$8:$B$15,0))+IF(Settings!$C$25="Yes",0.025,0)+INDEX(Settings!$I$8:$I$15,MATCH(Settings!$C$4,Settings!$B$8:$B$15,0))*(INDEX(Settings!$E$8:$E$15,MATCH(Settings!$C$4,Settings!$B$8:$B$15,0))+N(I77)*Settings!$C$23+INDEX(Settings!$H$8:$H$15,MATCH(Settings!$C$4,Settings!$B$8:$B$15,0))))-Settings!$C$28)-N(D77))))</f>
        <v/>
      </c>
      <c r="Q77" s="1" t="n"/>
    </row>
    <row r="78">
      <c r="A78" s="1" t="n"/>
      <c r="B78" s="25" t="n"/>
      <c r="C78" s="7" t="n"/>
      <c r="D78" s="7" t="n"/>
      <c r="E78" s="7" t="n"/>
      <c r="F78" s="7" t="n"/>
      <c r="G78" s="7" t="n"/>
      <c r="H78" s="12" t="n"/>
      <c r="I78" s="11" t="n"/>
      <c r="J78" s="9">
        <f>IF(B78="","",(N(C78)+N(D78)))</f>
        <v/>
      </c>
      <c r="K78" s="9">
        <f>IF(B78="","",INDEX(Settings!$D$8:$D$15,MATCH(Settings!$C$4,Settings!$B$8:$B$15,0))+INDEX(Settings!$E$8:$E$15,MATCH(Settings!$C$4,Settings!$B$8:$B$15,0))*(N(C78)+N(D78))+INDEX(Settings!$F$8:$F$15,MATCH(Settings!$C$4,Settings!$B$8:$B$15,0))*(N(C78)+N(D78))*(1+Settings!$C$26)+INDEX(Settings!$G$8:$G$15,MATCH(Settings!$C$4,Settings!$B$8:$B$15,0))+N(I78)*MIN(Settings!$C$23*(N(C78)+N(D78)),Settings!$C$24)+INDEX(Settings!$H$8:$H$15,MATCH(Settings!$C$4,Settings!$B$8:$B$15,0))*(N(C78)+N(D78))+IF(Settings!$C$25="Yes",0.025,0)*(N(C78)+N(D78))+INDEX(Settings!$I$8:$I$15,MATCH(Settings!$C$4,Settings!$B$8:$B$15,0))*(INDEX(Settings!$D$8:$D$15,MATCH(Settings!$C$4,Settings!$B$8:$B$15,0))+INDEX(Settings!$E$8:$E$15,MATCH(Settings!$C$4,Settings!$B$8:$B$15,0))*(N(C78)+N(D78))+N(I78)*MIN(Settings!$C$23*(N(C78)+N(D78)),Settings!$C$24)+INDEX(Settings!$H$8:$H$15,MATCH(Settings!$C$4,Settings!$B$8:$B$15,0))*(N(C78)+N(D78))))</f>
        <v/>
      </c>
      <c r="L78" s="9">
        <f>IF(B78="","",N(E78)+N(F78)+N(G78)+N(H78)/60*Settings!$C$27)</f>
        <v/>
      </c>
      <c r="M78" s="20">
        <f>IF(B78="","",J78-K78-L78)</f>
        <v/>
      </c>
      <c r="N78" s="26">
        <f>IF(OR(B78="",N(J78)=0),"",M78/J78)</f>
        <v/>
      </c>
      <c r="O78" s="8">
        <f>IF(B78="","",IF(M78&lt;0,"Loss",IF(N78&lt;Settings!$C$28,"Below target","On target")))</f>
        <v/>
      </c>
      <c r="P78" s="14">
        <f>IF(B78="","",IF(1-(INDEX(Settings!$E$8:$E$15,MATCH(Settings!$C$4,Settings!$B$8:$B$15,0))+INDEX(Settings!$F$8:$F$15,MATCH(Settings!$C$4,Settings!$B$8:$B$15,0))*(1+Settings!$C$26)+N(I78)*Settings!$C$23+INDEX(Settings!$H$8:$H$15,MATCH(Settings!$C$4,Settings!$B$8:$B$15,0))+IF(Settings!$C$25="Yes",0.025,0)+INDEX(Settings!$I$8:$I$15,MATCH(Settings!$C$4,Settings!$B$8:$B$15,0))*(INDEX(Settings!$E$8:$E$15,MATCH(Settings!$C$4,Settings!$B$8:$B$15,0))+N(I78)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78)/(1-(INDEX(Settings!$E$8:$E$15,MATCH(Settings!$C$4,Settings!$B$8:$B$15,0))+INDEX(Settings!$F$8:$F$15,MATCH(Settings!$C$4,Settings!$B$8:$B$15,0))*(1+Settings!$C$26)+N(I78)*Settings!$C$23+INDEX(Settings!$H$8:$H$15,MATCH(Settings!$C$4,Settings!$B$8:$B$15,0))+IF(Settings!$C$25="Yes",0.025,0)+INDEX(Settings!$I$8:$I$15,MATCH(Settings!$C$4,Settings!$B$8:$B$15,0))*(INDEX(Settings!$E$8:$E$15,MATCH(Settings!$C$4,Settings!$B$8:$B$15,0))+N(I78)*Settings!$C$23+INDEX(Settings!$H$8:$H$15,MATCH(Settings!$C$4,Settings!$B$8:$B$15,0))))-Settings!$C$28)-N(D78))))</f>
        <v/>
      </c>
      <c r="Q78" s="1" t="n"/>
    </row>
    <row r="79">
      <c r="A79" s="1" t="n"/>
      <c r="B79" s="25" t="n"/>
      <c r="C79" s="7" t="n"/>
      <c r="D79" s="7" t="n"/>
      <c r="E79" s="7" t="n"/>
      <c r="F79" s="7" t="n"/>
      <c r="G79" s="7" t="n"/>
      <c r="H79" s="12" t="n"/>
      <c r="I79" s="11" t="n"/>
      <c r="J79" s="9">
        <f>IF(B79="","",(N(C79)+N(D79)))</f>
        <v/>
      </c>
      <c r="K79" s="9">
        <f>IF(B79="","",INDEX(Settings!$D$8:$D$15,MATCH(Settings!$C$4,Settings!$B$8:$B$15,0))+INDEX(Settings!$E$8:$E$15,MATCH(Settings!$C$4,Settings!$B$8:$B$15,0))*(N(C79)+N(D79))+INDEX(Settings!$F$8:$F$15,MATCH(Settings!$C$4,Settings!$B$8:$B$15,0))*(N(C79)+N(D79))*(1+Settings!$C$26)+INDEX(Settings!$G$8:$G$15,MATCH(Settings!$C$4,Settings!$B$8:$B$15,0))+N(I79)*MIN(Settings!$C$23*(N(C79)+N(D79)),Settings!$C$24)+INDEX(Settings!$H$8:$H$15,MATCH(Settings!$C$4,Settings!$B$8:$B$15,0))*(N(C79)+N(D79))+IF(Settings!$C$25="Yes",0.025,0)*(N(C79)+N(D79))+INDEX(Settings!$I$8:$I$15,MATCH(Settings!$C$4,Settings!$B$8:$B$15,0))*(INDEX(Settings!$D$8:$D$15,MATCH(Settings!$C$4,Settings!$B$8:$B$15,0))+INDEX(Settings!$E$8:$E$15,MATCH(Settings!$C$4,Settings!$B$8:$B$15,0))*(N(C79)+N(D79))+N(I79)*MIN(Settings!$C$23*(N(C79)+N(D79)),Settings!$C$24)+INDEX(Settings!$H$8:$H$15,MATCH(Settings!$C$4,Settings!$B$8:$B$15,0))*(N(C79)+N(D79))))</f>
        <v/>
      </c>
      <c r="L79" s="9">
        <f>IF(B79="","",N(E79)+N(F79)+N(G79)+N(H79)/60*Settings!$C$27)</f>
        <v/>
      </c>
      <c r="M79" s="20">
        <f>IF(B79="","",J79-K79-L79)</f>
        <v/>
      </c>
      <c r="N79" s="26">
        <f>IF(OR(B79="",N(J79)=0),"",M79/J79)</f>
        <v/>
      </c>
      <c r="O79" s="8">
        <f>IF(B79="","",IF(M79&lt;0,"Loss",IF(N79&lt;Settings!$C$28,"Below target","On target")))</f>
        <v/>
      </c>
      <c r="P79" s="14">
        <f>IF(B79="","",IF(1-(INDEX(Settings!$E$8:$E$15,MATCH(Settings!$C$4,Settings!$B$8:$B$15,0))+INDEX(Settings!$F$8:$F$15,MATCH(Settings!$C$4,Settings!$B$8:$B$15,0))*(1+Settings!$C$26)+N(I79)*Settings!$C$23+INDEX(Settings!$H$8:$H$15,MATCH(Settings!$C$4,Settings!$B$8:$B$15,0))+IF(Settings!$C$25="Yes",0.025,0)+INDEX(Settings!$I$8:$I$15,MATCH(Settings!$C$4,Settings!$B$8:$B$15,0))*(INDEX(Settings!$E$8:$E$15,MATCH(Settings!$C$4,Settings!$B$8:$B$15,0))+N(I79)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79)/(1-(INDEX(Settings!$E$8:$E$15,MATCH(Settings!$C$4,Settings!$B$8:$B$15,0))+INDEX(Settings!$F$8:$F$15,MATCH(Settings!$C$4,Settings!$B$8:$B$15,0))*(1+Settings!$C$26)+N(I79)*Settings!$C$23+INDEX(Settings!$H$8:$H$15,MATCH(Settings!$C$4,Settings!$B$8:$B$15,0))+IF(Settings!$C$25="Yes",0.025,0)+INDEX(Settings!$I$8:$I$15,MATCH(Settings!$C$4,Settings!$B$8:$B$15,0))*(INDEX(Settings!$E$8:$E$15,MATCH(Settings!$C$4,Settings!$B$8:$B$15,0))+N(I79)*Settings!$C$23+INDEX(Settings!$H$8:$H$15,MATCH(Settings!$C$4,Settings!$B$8:$B$15,0))))-Settings!$C$28)-N(D79))))</f>
        <v/>
      </c>
      <c r="Q79" s="1" t="n"/>
    </row>
    <row r="80">
      <c r="A80" s="1" t="n"/>
      <c r="B80" s="25" t="n"/>
      <c r="C80" s="7" t="n"/>
      <c r="D80" s="7" t="n"/>
      <c r="E80" s="7" t="n"/>
      <c r="F80" s="7" t="n"/>
      <c r="G80" s="7" t="n"/>
      <c r="H80" s="12" t="n"/>
      <c r="I80" s="11" t="n"/>
      <c r="J80" s="9">
        <f>IF(B80="","",(N(C80)+N(D80)))</f>
        <v/>
      </c>
      <c r="K80" s="9">
        <f>IF(B80="","",INDEX(Settings!$D$8:$D$15,MATCH(Settings!$C$4,Settings!$B$8:$B$15,0))+INDEX(Settings!$E$8:$E$15,MATCH(Settings!$C$4,Settings!$B$8:$B$15,0))*(N(C80)+N(D80))+INDEX(Settings!$F$8:$F$15,MATCH(Settings!$C$4,Settings!$B$8:$B$15,0))*(N(C80)+N(D80))*(1+Settings!$C$26)+INDEX(Settings!$G$8:$G$15,MATCH(Settings!$C$4,Settings!$B$8:$B$15,0))+N(I80)*MIN(Settings!$C$23*(N(C80)+N(D80)),Settings!$C$24)+INDEX(Settings!$H$8:$H$15,MATCH(Settings!$C$4,Settings!$B$8:$B$15,0))*(N(C80)+N(D80))+IF(Settings!$C$25="Yes",0.025,0)*(N(C80)+N(D80))+INDEX(Settings!$I$8:$I$15,MATCH(Settings!$C$4,Settings!$B$8:$B$15,0))*(INDEX(Settings!$D$8:$D$15,MATCH(Settings!$C$4,Settings!$B$8:$B$15,0))+INDEX(Settings!$E$8:$E$15,MATCH(Settings!$C$4,Settings!$B$8:$B$15,0))*(N(C80)+N(D80))+N(I80)*MIN(Settings!$C$23*(N(C80)+N(D80)),Settings!$C$24)+INDEX(Settings!$H$8:$H$15,MATCH(Settings!$C$4,Settings!$B$8:$B$15,0))*(N(C80)+N(D80))))</f>
        <v/>
      </c>
      <c r="L80" s="9">
        <f>IF(B80="","",N(E80)+N(F80)+N(G80)+N(H80)/60*Settings!$C$27)</f>
        <v/>
      </c>
      <c r="M80" s="20">
        <f>IF(B80="","",J80-K80-L80)</f>
        <v/>
      </c>
      <c r="N80" s="26">
        <f>IF(OR(B80="",N(J80)=0),"",M80/J80)</f>
        <v/>
      </c>
      <c r="O80" s="8">
        <f>IF(B80="","",IF(M80&lt;0,"Loss",IF(N80&lt;Settings!$C$28,"Below target","On target")))</f>
        <v/>
      </c>
      <c r="P80" s="14">
        <f>IF(B80="","",IF(1-(INDEX(Settings!$E$8:$E$15,MATCH(Settings!$C$4,Settings!$B$8:$B$15,0))+INDEX(Settings!$F$8:$F$15,MATCH(Settings!$C$4,Settings!$B$8:$B$15,0))*(1+Settings!$C$26)+N(I80)*Settings!$C$23+INDEX(Settings!$H$8:$H$15,MATCH(Settings!$C$4,Settings!$B$8:$B$15,0))+IF(Settings!$C$25="Yes",0.025,0)+INDEX(Settings!$I$8:$I$15,MATCH(Settings!$C$4,Settings!$B$8:$B$15,0))*(INDEX(Settings!$E$8:$E$15,MATCH(Settings!$C$4,Settings!$B$8:$B$15,0))+N(I80)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80)/(1-(INDEX(Settings!$E$8:$E$15,MATCH(Settings!$C$4,Settings!$B$8:$B$15,0))+INDEX(Settings!$F$8:$F$15,MATCH(Settings!$C$4,Settings!$B$8:$B$15,0))*(1+Settings!$C$26)+N(I80)*Settings!$C$23+INDEX(Settings!$H$8:$H$15,MATCH(Settings!$C$4,Settings!$B$8:$B$15,0))+IF(Settings!$C$25="Yes",0.025,0)+INDEX(Settings!$I$8:$I$15,MATCH(Settings!$C$4,Settings!$B$8:$B$15,0))*(INDEX(Settings!$E$8:$E$15,MATCH(Settings!$C$4,Settings!$B$8:$B$15,0))+N(I80)*Settings!$C$23+INDEX(Settings!$H$8:$H$15,MATCH(Settings!$C$4,Settings!$B$8:$B$15,0))))-Settings!$C$28)-N(D80))))</f>
        <v/>
      </c>
      <c r="Q80" s="1" t="n"/>
    </row>
    <row r="81">
      <c r="A81" s="1" t="n"/>
      <c r="B81" s="25" t="n"/>
      <c r="C81" s="7" t="n"/>
      <c r="D81" s="7" t="n"/>
      <c r="E81" s="7" t="n"/>
      <c r="F81" s="7" t="n"/>
      <c r="G81" s="7" t="n"/>
      <c r="H81" s="12" t="n"/>
      <c r="I81" s="11" t="n"/>
      <c r="J81" s="9">
        <f>IF(B81="","",(N(C81)+N(D81)))</f>
        <v/>
      </c>
      <c r="K81" s="9">
        <f>IF(B81="","",INDEX(Settings!$D$8:$D$15,MATCH(Settings!$C$4,Settings!$B$8:$B$15,0))+INDEX(Settings!$E$8:$E$15,MATCH(Settings!$C$4,Settings!$B$8:$B$15,0))*(N(C81)+N(D81))+INDEX(Settings!$F$8:$F$15,MATCH(Settings!$C$4,Settings!$B$8:$B$15,0))*(N(C81)+N(D81))*(1+Settings!$C$26)+INDEX(Settings!$G$8:$G$15,MATCH(Settings!$C$4,Settings!$B$8:$B$15,0))+N(I81)*MIN(Settings!$C$23*(N(C81)+N(D81)),Settings!$C$24)+INDEX(Settings!$H$8:$H$15,MATCH(Settings!$C$4,Settings!$B$8:$B$15,0))*(N(C81)+N(D81))+IF(Settings!$C$25="Yes",0.025,0)*(N(C81)+N(D81))+INDEX(Settings!$I$8:$I$15,MATCH(Settings!$C$4,Settings!$B$8:$B$15,0))*(INDEX(Settings!$D$8:$D$15,MATCH(Settings!$C$4,Settings!$B$8:$B$15,0))+INDEX(Settings!$E$8:$E$15,MATCH(Settings!$C$4,Settings!$B$8:$B$15,0))*(N(C81)+N(D81))+N(I81)*MIN(Settings!$C$23*(N(C81)+N(D81)),Settings!$C$24)+INDEX(Settings!$H$8:$H$15,MATCH(Settings!$C$4,Settings!$B$8:$B$15,0))*(N(C81)+N(D81))))</f>
        <v/>
      </c>
      <c r="L81" s="9">
        <f>IF(B81="","",N(E81)+N(F81)+N(G81)+N(H81)/60*Settings!$C$27)</f>
        <v/>
      </c>
      <c r="M81" s="20">
        <f>IF(B81="","",J81-K81-L81)</f>
        <v/>
      </c>
      <c r="N81" s="26">
        <f>IF(OR(B81="",N(J81)=0),"",M81/J81)</f>
        <v/>
      </c>
      <c r="O81" s="8">
        <f>IF(B81="","",IF(M81&lt;0,"Loss",IF(N81&lt;Settings!$C$28,"Below target","On target")))</f>
        <v/>
      </c>
      <c r="P81" s="14">
        <f>IF(B81="","",IF(1-(INDEX(Settings!$E$8:$E$15,MATCH(Settings!$C$4,Settings!$B$8:$B$15,0))+INDEX(Settings!$F$8:$F$15,MATCH(Settings!$C$4,Settings!$B$8:$B$15,0))*(1+Settings!$C$26)+N(I81)*Settings!$C$23+INDEX(Settings!$H$8:$H$15,MATCH(Settings!$C$4,Settings!$B$8:$B$15,0))+IF(Settings!$C$25="Yes",0.025,0)+INDEX(Settings!$I$8:$I$15,MATCH(Settings!$C$4,Settings!$B$8:$B$15,0))*(INDEX(Settings!$E$8:$E$15,MATCH(Settings!$C$4,Settings!$B$8:$B$15,0))+N(I81)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81)/(1-(INDEX(Settings!$E$8:$E$15,MATCH(Settings!$C$4,Settings!$B$8:$B$15,0))+INDEX(Settings!$F$8:$F$15,MATCH(Settings!$C$4,Settings!$B$8:$B$15,0))*(1+Settings!$C$26)+N(I81)*Settings!$C$23+INDEX(Settings!$H$8:$H$15,MATCH(Settings!$C$4,Settings!$B$8:$B$15,0))+IF(Settings!$C$25="Yes",0.025,0)+INDEX(Settings!$I$8:$I$15,MATCH(Settings!$C$4,Settings!$B$8:$B$15,0))*(INDEX(Settings!$E$8:$E$15,MATCH(Settings!$C$4,Settings!$B$8:$B$15,0))+N(I81)*Settings!$C$23+INDEX(Settings!$H$8:$H$15,MATCH(Settings!$C$4,Settings!$B$8:$B$15,0))))-Settings!$C$28)-N(D81))))</f>
        <v/>
      </c>
      <c r="Q81" s="1" t="n"/>
    </row>
    <row r="82">
      <c r="A82" s="1" t="n"/>
      <c r="B82" s="25" t="n"/>
      <c r="C82" s="7" t="n"/>
      <c r="D82" s="7" t="n"/>
      <c r="E82" s="7" t="n"/>
      <c r="F82" s="7" t="n"/>
      <c r="G82" s="7" t="n"/>
      <c r="H82" s="12" t="n"/>
      <c r="I82" s="11" t="n"/>
      <c r="J82" s="9">
        <f>IF(B82="","",(N(C82)+N(D82)))</f>
        <v/>
      </c>
      <c r="K82" s="9">
        <f>IF(B82="","",INDEX(Settings!$D$8:$D$15,MATCH(Settings!$C$4,Settings!$B$8:$B$15,0))+INDEX(Settings!$E$8:$E$15,MATCH(Settings!$C$4,Settings!$B$8:$B$15,0))*(N(C82)+N(D82))+INDEX(Settings!$F$8:$F$15,MATCH(Settings!$C$4,Settings!$B$8:$B$15,0))*(N(C82)+N(D82))*(1+Settings!$C$26)+INDEX(Settings!$G$8:$G$15,MATCH(Settings!$C$4,Settings!$B$8:$B$15,0))+N(I82)*MIN(Settings!$C$23*(N(C82)+N(D82)),Settings!$C$24)+INDEX(Settings!$H$8:$H$15,MATCH(Settings!$C$4,Settings!$B$8:$B$15,0))*(N(C82)+N(D82))+IF(Settings!$C$25="Yes",0.025,0)*(N(C82)+N(D82))+INDEX(Settings!$I$8:$I$15,MATCH(Settings!$C$4,Settings!$B$8:$B$15,0))*(INDEX(Settings!$D$8:$D$15,MATCH(Settings!$C$4,Settings!$B$8:$B$15,0))+INDEX(Settings!$E$8:$E$15,MATCH(Settings!$C$4,Settings!$B$8:$B$15,0))*(N(C82)+N(D82))+N(I82)*MIN(Settings!$C$23*(N(C82)+N(D82)),Settings!$C$24)+INDEX(Settings!$H$8:$H$15,MATCH(Settings!$C$4,Settings!$B$8:$B$15,0))*(N(C82)+N(D82))))</f>
        <v/>
      </c>
      <c r="L82" s="9">
        <f>IF(B82="","",N(E82)+N(F82)+N(G82)+N(H82)/60*Settings!$C$27)</f>
        <v/>
      </c>
      <c r="M82" s="20">
        <f>IF(B82="","",J82-K82-L82)</f>
        <v/>
      </c>
      <c r="N82" s="26">
        <f>IF(OR(B82="",N(J82)=0),"",M82/J82)</f>
        <v/>
      </c>
      <c r="O82" s="8">
        <f>IF(B82="","",IF(M82&lt;0,"Loss",IF(N82&lt;Settings!$C$28,"Below target","On target")))</f>
        <v/>
      </c>
      <c r="P82" s="14">
        <f>IF(B82="","",IF(1-(INDEX(Settings!$E$8:$E$15,MATCH(Settings!$C$4,Settings!$B$8:$B$15,0))+INDEX(Settings!$F$8:$F$15,MATCH(Settings!$C$4,Settings!$B$8:$B$15,0))*(1+Settings!$C$26)+N(I82)*Settings!$C$23+INDEX(Settings!$H$8:$H$15,MATCH(Settings!$C$4,Settings!$B$8:$B$15,0))+IF(Settings!$C$25="Yes",0.025,0)+INDEX(Settings!$I$8:$I$15,MATCH(Settings!$C$4,Settings!$B$8:$B$15,0))*(INDEX(Settings!$E$8:$E$15,MATCH(Settings!$C$4,Settings!$B$8:$B$15,0))+N(I82)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82)/(1-(INDEX(Settings!$E$8:$E$15,MATCH(Settings!$C$4,Settings!$B$8:$B$15,0))+INDEX(Settings!$F$8:$F$15,MATCH(Settings!$C$4,Settings!$B$8:$B$15,0))*(1+Settings!$C$26)+N(I82)*Settings!$C$23+INDEX(Settings!$H$8:$H$15,MATCH(Settings!$C$4,Settings!$B$8:$B$15,0))+IF(Settings!$C$25="Yes",0.025,0)+INDEX(Settings!$I$8:$I$15,MATCH(Settings!$C$4,Settings!$B$8:$B$15,0))*(INDEX(Settings!$E$8:$E$15,MATCH(Settings!$C$4,Settings!$B$8:$B$15,0))+N(I82)*Settings!$C$23+INDEX(Settings!$H$8:$H$15,MATCH(Settings!$C$4,Settings!$B$8:$B$15,0))))-Settings!$C$28)-N(D82))))</f>
        <v/>
      </c>
      <c r="Q82" s="1" t="n"/>
    </row>
    <row r="83">
      <c r="A83" s="1" t="n"/>
      <c r="B83" s="25" t="n"/>
      <c r="C83" s="7" t="n"/>
      <c r="D83" s="7" t="n"/>
      <c r="E83" s="7" t="n"/>
      <c r="F83" s="7" t="n"/>
      <c r="G83" s="7" t="n"/>
      <c r="H83" s="12" t="n"/>
      <c r="I83" s="11" t="n"/>
      <c r="J83" s="9">
        <f>IF(B83="","",(N(C83)+N(D83)))</f>
        <v/>
      </c>
      <c r="K83" s="9">
        <f>IF(B83="","",INDEX(Settings!$D$8:$D$15,MATCH(Settings!$C$4,Settings!$B$8:$B$15,0))+INDEX(Settings!$E$8:$E$15,MATCH(Settings!$C$4,Settings!$B$8:$B$15,0))*(N(C83)+N(D83))+INDEX(Settings!$F$8:$F$15,MATCH(Settings!$C$4,Settings!$B$8:$B$15,0))*(N(C83)+N(D83))*(1+Settings!$C$26)+INDEX(Settings!$G$8:$G$15,MATCH(Settings!$C$4,Settings!$B$8:$B$15,0))+N(I83)*MIN(Settings!$C$23*(N(C83)+N(D83)),Settings!$C$24)+INDEX(Settings!$H$8:$H$15,MATCH(Settings!$C$4,Settings!$B$8:$B$15,0))*(N(C83)+N(D83))+IF(Settings!$C$25="Yes",0.025,0)*(N(C83)+N(D83))+INDEX(Settings!$I$8:$I$15,MATCH(Settings!$C$4,Settings!$B$8:$B$15,0))*(INDEX(Settings!$D$8:$D$15,MATCH(Settings!$C$4,Settings!$B$8:$B$15,0))+INDEX(Settings!$E$8:$E$15,MATCH(Settings!$C$4,Settings!$B$8:$B$15,0))*(N(C83)+N(D83))+N(I83)*MIN(Settings!$C$23*(N(C83)+N(D83)),Settings!$C$24)+INDEX(Settings!$H$8:$H$15,MATCH(Settings!$C$4,Settings!$B$8:$B$15,0))*(N(C83)+N(D83))))</f>
        <v/>
      </c>
      <c r="L83" s="9">
        <f>IF(B83="","",N(E83)+N(F83)+N(G83)+N(H83)/60*Settings!$C$27)</f>
        <v/>
      </c>
      <c r="M83" s="20">
        <f>IF(B83="","",J83-K83-L83)</f>
        <v/>
      </c>
      <c r="N83" s="26">
        <f>IF(OR(B83="",N(J83)=0),"",M83/J83)</f>
        <v/>
      </c>
      <c r="O83" s="8">
        <f>IF(B83="","",IF(M83&lt;0,"Loss",IF(N83&lt;Settings!$C$28,"Below target","On target")))</f>
        <v/>
      </c>
      <c r="P83" s="14">
        <f>IF(B83="","",IF(1-(INDEX(Settings!$E$8:$E$15,MATCH(Settings!$C$4,Settings!$B$8:$B$15,0))+INDEX(Settings!$F$8:$F$15,MATCH(Settings!$C$4,Settings!$B$8:$B$15,0))*(1+Settings!$C$26)+N(I83)*Settings!$C$23+INDEX(Settings!$H$8:$H$15,MATCH(Settings!$C$4,Settings!$B$8:$B$15,0))+IF(Settings!$C$25="Yes",0.025,0)+INDEX(Settings!$I$8:$I$15,MATCH(Settings!$C$4,Settings!$B$8:$B$15,0))*(INDEX(Settings!$E$8:$E$15,MATCH(Settings!$C$4,Settings!$B$8:$B$15,0))+N(I83)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83)/(1-(INDEX(Settings!$E$8:$E$15,MATCH(Settings!$C$4,Settings!$B$8:$B$15,0))+INDEX(Settings!$F$8:$F$15,MATCH(Settings!$C$4,Settings!$B$8:$B$15,0))*(1+Settings!$C$26)+N(I83)*Settings!$C$23+INDEX(Settings!$H$8:$H$15,MATCH(Settings!$C$4,Settings!$B$8:$B$15,0))+IF(Settings!$C$25="Yes",0.025,0)+INDEX(Settings!$I$8:$I$15,MATCH(Settings!$C$4,Settings!$B$8:$B$15,0))*(INDEX(Settings!$E$8:$E$15,MATCH(Settings!$C$4,Settings!$B$8:$B$15,0))+N(I83)*Settings!$C$23+INDEX(Settings!$H$8:$H$15,MATCH(Settings!$C$4,Settings!$B$8:$B$15,0))))-Settings!$C$28)-N(D83))))</f>
        <v/>
      </c>
      <c r="Q83" s="1" t="n"/>
    </row>
    <row r="84">
      <c r="A84" s="1" t="n"/>
      <c r="B84" s="25" t="n"/>
      <c r="C84" s="7" t="n"/>
      <c r="D84" s="7" t="n"/>
      <c r="E84" s="7" t="n"/>
      <c r="F84" s="7" t="n"/>
      <c r="G84" s="7" t="n"/>
      <c r="H84" s="12" t="n"/>
      <c r="I84" s="11" t="n"/>
      <c r="J84" s="9">
        <f>IF(B84="","",(N(C84)+N(D84)))</f>
        <v/>
      </c>
      <c r="K84" s="9">
        <f>IF(B84="","",INDEX(Settings!$D$8:$D$15,MATCH(Settings!$C$4,Settings!$B$8:$B$15,0))+INDEX(Settings!$E$8:$E$15,MATCH(Settings!$C$4,Settings!$B$8:$B$15,0))*(N(C84)+N(D84))+INDEX(Settings!$F$8:$F$15,MATCH(Settings!$C$4,Settings!$B$8:$B$15,0))*(N(C84)+N(D84))*(1+Settings!$C$26)+INDEX(Settings!$G$8:$G$15,MATCH(Settings!$C$4,Settings!$B$8:$B$15,0))+N(I84)*MIN(Settings!$C$23*(N(C84)+N(D84)),Settings!$C$24)+INDEX(Settings!$H$8:$H$15,MATCH(Settings!$C$4,Settings!$B$8:$B$15,0))*(N(C84)+N(D84))+IF(Settings!$C$25="Yes",0.025,0)*(N(C84)+N(D84))+INDEX(Settings!$I$8:$I$15,MATCH(Settings!$C$4,Settings!$B$8:$B$15,0))*(INDEX(Settings!$D$8:$D$15,MATCH(Settings!$C$4,Settings!$B$8:$B$15,0))+INDEX(Settings!$E$8:$E$15,MATCH(Settings!$C$4,Settings!$B$8:$B$15,0))*(N(C84)+N(D84))+N(I84)*MIN(Settings!$C$23*(N(C84)+N(D84)),Settings!$C$24)+INDEX(Settings!$H$8:$H$15,MATCH(Settings!$C$4,Settings!$B$8:$B$15,0))*(N(C84)+N(D84))))</f>
        <v/>
      </c>
      <c r="L84" s="9">
        <f>IF(B84="","",N(E84)+N(F84)+N(G84)+N(H84)/60*Settings!$C$27)</f>
        <v/>
      </c>
      <c r="M84" s="20">
        <f>IF(B84="","",J84-K84-L84)</f>
        <v/>
      </c>
      <c r="N84" s="26">
        <f>IF(OR(B84="",N(J84)=0),"",M84/J84)</f>
        <v/>
      </c>
      <c r="O84" s="8">
        <f>IF(B84="","",IF(M84&lt;0,"Loss",IF(N84&lt;Settings!$C$28,"Below target","On target")))</f>
        <v/>
      </c>
      <c r="P84" s="14">
        <f>IF(B84="","",IF(1-(INDEX(Settings!$E$8:$E$15,MATCH(Settings!$C$4,Settings!$B$8:$B$15,0))+INDEX(Settings!$F$8:$F$15,MATCH(Settings!$C$4,Settings!$B$8:$B$15,0))*(1+Settings!$C$26)+N(I84)*Settings!$C$23+INDEX(Settings!$H$8:$H$15,MATCH(Settings!$C$4,Settings!$B$8:$B$15,0))+IF(Settings!$C$25="Yes",0.025,0)+INDEX(Settings!$I$8:$I$15,MATCH(Settings!$C$4,Settings!$B$8:$B$15,0))*(INDEX(Settings!$E$8:$E$15,MATCH(Settings!$C$4,Settings!$B$8:$B$15,0))+N(I84)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84)/(1-(INDEX(Settings!$E$8:$E$15,MATCH(Settings!$C$4,Settings!$B$8:$B$15,0))+INDEX(Settings!$F$8:$F$15,MATCH(Settings!$C$4,Settings!$B$8:$B$15,0))*(1+Settings!$C$26)+N(I84)*Settings!$C$23+INDEX(Settings!$H$8:$H$15,MATCH(Settings!$C$4,Settings!$B$8:$B$15,0))+IF(Settings!$C$25="Yes",0.025,0)+INDEX(Settings!$I$8:$I$15,MATCH(Settings!$C$4,Settings!$B$8:$B$15,0))*(INDEX(Settings!$E$8:$E$15,MATCH(Settings!$C$4,Settings!$B$8:$B$15,0))+N(I84)*Settings!$C$23+INDEX(Settings!$H$8:$H$15,MATCH(Settings!$C$4,Settings!$B$8:$B$15,0))))-Settings!$C$28)-N(D84))))</f>
        <v/>
      </c>
      <c r="Q84" s="1" t="n"/>
    </row>
    <row r="85">
      <c r="A85" s="1" t="n"/>
      <c r="B85" s="25" t="n"/>
      <c r="C85" s="7" t="n"/>
      <c r="D85" s="7" t="n"/>
      <c r="E85" s="7" t="n"/>
      <c r="F85" s="7" t="n"/>
      <c r="G85" s="7" t="n"/>
      <c r="H85" s="12" t="n"/>
      <c r="I85" s="11" t="n"/>
      <c r="J85" s="9">
        <f>IF(B85="","",(N(C85)+N(D85)))</f>
        <v/>
      </c>
      <c r="K85" s="9">
        <f>IF(B85="","",INDEX(Settings!$D$8:$D$15,MATCH(Settings!$C$4,Settings!$B$8:$B$15,0))+INDEX(Settings!$E$8:$E$15,MATCH(Settings!$C$4,Settings!$B$8:$B$15,0))*(N(C85)+N(D85))+INDEX(Settings!$F$8:$F$15,MATCH(Settings!$C$4,Settings!$B$8:$B$15,0))*(N(C85)+N(D85))*(1+Settings!$C$26)+INDEX(Settings!$G$8:$G$15,MATCH(Settings!$C$4,Settings!$B$8:$B$15,0))+N(I85)*MIN(Settings!$C$23*(N(C85)+N(D85)),Settings!$C$24)+INDEX(Settings!$H$8:$H$15,MATCH(Settings!$C$4,Settings!$B$8:$B$15,0))*(N(C85)+N(D85))+IF(Settings!$C$25="Yes",0.025,0)*(N(C85)+N(D85))+INDEX(Settings!$I$8:$I$15,MATCH(Settings!$C$4,Settings!$B$8:$B$15,0))*(INDEX(Settings!$D$8:$D$15,MATCH(Settings!$C$4,Settings!$B$8:$B$15,0))+INDEX(Settings!$E$8:$E$15,MATCH(Settings!$C$4,Settings!$B$8:$B$15,0))*(N(C85)+N(D85))+N(I85)*MIN(Settings!$C$23*(N(C85)+N(D85)),Settings!$C$24)+INDEX(Settings!$H$8:$H$15,MATCH(Settings!$C$4,Settings!$B$8:$B$15,0))*(N(C85)+N(D85))))</f>
        <v/>
      </c>
      <c r="L85" s="9">
        <f>IF(B85="","",N(E85)+N(F85)+N(G85)+N(H85)/60*Settings!$C$27)</f>
        <v/>
      </c>
      <c r="M85" s="20">
        <f>IF(B85="","",J85-K85-L85)</f>
        <v/>
      </c>
      <c r="N85" s="26">
        <f>IF(OR(B85="",N(J85)=0),"",M85/J85)</f>
        <v/>
      </c>
      <c r="O85" s="8">
        <f>IF(B85="","",IF(M85&lt;0,"Loss",IF(N85&lt;Settings!$C$28,"Below target","On target")))</f>
        <v/>
      </c>
      <c r="P85" s="14">
        <f>IF(B85="","",IF(1-(INDEX(Settings!$E$8:$E$15,MATCH(Settings!$C$4,Settings!$B$8:$B$15,0))+INDEX(Settings!$F$8:$F$15,MATCH(Settings!$C$4,Settings!$B$8:$B$15,0))*(1+Settings!$C$26)+N(I85)*Settings!$C$23+INDEX(Settings!$H$8:$H$15,MATCH(Settings!$C$4,Settings!$B$8:$B$15,0))+IF(Settings!$C$25="Yes",0.025,0)+INDEX(Settings!$I$8:$I$15,MATCH(Settings!$C$4,Settings!$B$8:$B$15,0))*(INDEX(Settings!$E$8:$E$15,MATCH(Settings!$C$4,Settings!$B$8:$B$15,0))+N(I85)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85)/(1-(INDEX(Settings!$E$8:$E$15,MATCH(Settings!$C$4,Settings!$B$8:$B$15,0))+INDEX(Settings!$F$8:$F$15,MATCH(Settings!$C$4,Settings!$B$8:$B$15,0))*(1+Settings!$C$26)+N(I85)*Settings!$C$23+INDEX(Settings!$H$8:$H$15,MATCH(Settings!$C$4,Settings!$B$8:$B$15,0))+IF(Settings!$C$25="Yes",0.025,0)+INDEX(Settings!$I$8:$I$15,MATCH(Settings!$C$4,Settings!$B$8:$B$15,0))*(INDEX(Settings!$E$8:$E$15,MATCH(Settings!$C$4,Settings!$B$8:$B$15,0))+N(I85)*Settings!$C$23+INDEX(Settings!$H$8:$H$15,MATCH(Settings!$C$4,Settings!$B$8:$B$15,0))))-Settings!$C$28)-N(D85))))</f>
        <v/>
      </c>
      <c r="Q85" s="1" t="n"/>
    </row>
    <row r="86">
      <c r="A86" s="1" t="n"/>
      <c r="B86" s="25" t="n"/>
      <c r="C86" s="7" t="n"/>
      <c r="D86" s="7" t="n"/>
      <c r="E86" s="7" t="n"/>
      <c r="F86" s="7" t="n"/>
      <c r="G86" s="7" t="n"/>
      <c r="H86" s="12" t="n"/>
      <c r="I86" s="11" t="n"/>
      <c r="J86" s="9">
        <f>IF(B86="","",(N(C86)+N(D86)))</f>
        <v/>
      </c>
      <c r="K86" s="9">
        <f>IF(B86="","",INDEX(Settings!$D$8:$D$15,MATCH(Settings!$C$4,Settings!$B$8:$B$15,0))+INDEX(Settings!$E$8:$E$15,MATCH(Settings!$C$4,Settings!$B$8:$B$15,0))*(N(C86)+N(D86))+INDEX(Settings!$F$8:$F$15,MATCH(Settings!$C$4,Settings!$B$8:$B$15,0))*(N(C86)+N(D86))*(1+Settings!$C$26)+INDEX(Settings!$G$8:$G$15,MATCH(Settings!$C$4,Settings!$B$8:$B$15,0))+N(I86)*MIN(Settings!$C$23*(N(C86)+N(D86)),Settings!$C$24)+INDEX(Settings!$H$8:$H$15,MATCH(Settings!$C$4,Settings!$B$8:$B$15,0))*(N(C86)+N(D86))+IF(Settings!$C$25="Yes",0.025,0)*(N(C86)+N(D86))+INDEX(Settings!$I$8:$I$15,MATCH(Settings!$C$4,Settings!$B$8:$B$15,0))*(INDEX(Settings!$D$8:$D$15,MATCH(Settings!$C$4,Settings!$B$8:$B$15,0))+INDEX(Settings!$E$8:$E$15,MATCH(Settings!$C$4,Settings!$B$8:$B$15,0))*(N(C86)+N(D86))+N(I86)*MIN(Settings!$C$23*(N(C86)+N(D86)),Settings!$C$24)+INDEX(Settings!$H$8:$H$15,MATCH(Settings!$C$4,Settings!$B$8:$B$15,0))*(N(C86)+N(D86))))</f>
        <v/>
      </c>
      <c r="L86" s="9">
        <f>IF(B86="","",N(E86)+N(F86)+N(G86)+N(H86)/60*Settings!$C$27)</f>
        <v/>
      </c>
      <c r="M86" s="20">
        <f>IF(B86="","",J86-K86-L86)</f>
        <v/>
      </c>
      <c r="N86" s="26">
        <f>IF(OR(B86="",N(J86)=0),"",M86/J86)</f>
        <v/>
      </c>
      <c r="O86" s="8">
        <f>IF(B86="","",IF(M86&lt;0,"Loss",IF(N86&lt;Settings!$C$28,"Below target","On target")))</f>
        <v/>
      </c>
      <c r="P86" s="14">
        <f>IF(B86="","",IF(1-(INDEX(Settings!$E$8:$E$15,MATCH(Settings!$C$4,Settings!$B$8:$B$15,0))+INDEX(Settings!$F$8:$F$15,MATCH(Settings!$C$4,Settings!$B$8:$B$15,0))*(1+Settings!$C$26)+N(I86)*Settings!$C$23+INDEX(Settings!$H$8:$H$15,MATCH(Settings!$C$4,Settings!$B$8:$B$15,0))+IF(Settings!$C$25="Yes",0.025,0)+INDEX(Settings!$I$8:$I$15,MATCH(Settings!$C$4,Settings!$B$8:$B$15,0))*(INDEX(Settings!$E$8:$E$15,MATCH(Settings!$C$4,Settings!$B$8:$B$15,0))+N(I86)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86)/(1-(INDEX(Settings!$E$8:$E$15,MATCH(Settings!$C$4,Settings!$B$8:$B$15,0))+INDEX(Settings!$F$8:$F$15,MATCH(Settings!$C$4,Settings!$B$8:$B$15,0))*(1+Settings!$C$26)+N(I86)*Settings!$C$23+INDEX(Settings!$H$8:$H$15,MATCH(Settings!$C$4,Settings!$B$8:$B$15,0))+IF(Settings!$C$25="Yes",0.025,0)+INDEX(Settings!$I$8:$I$15,MATCH(Settings!$C$4,Settings!$B$8:$B$15,0))*(INDEX(Settings!$E$8:$E$15,MATCH(Settings!$C$4,Settings!$B$8:$B$15,0))+N(I86)*Settings!$C$23+INDEX(Settings!$H$8:$H$15,MATCH(Settings!$C$4,Settings!$B$8:$B$15,0))))-Settings!$C$28)-N(D86))))</f>
        <v/>
      </c>
      <c r="Q86" s="1" t="n"/>
    </row>
    <row r="87">
      <c r="A87" s="1" t="n"/>
      <c r="B87" s="25" t="n"/>
      <c r="C87" s="7" t="n"/>
      <c r="D87" s="7" t="n"/>
      <c r="E87" s="7" t="n"/>
      <c r="F87" s="7" t="n"/>
      <c r="G87" s="7" t="n"/>
      <c r="H87" s="12" t="n"/>
      <c r="I87" s="11" t="n"/>
      <c r="J87" s="9">
        <f>IF(B87="","",(N(C87)+N(D87)))</f>
        <v/>
      </c>
      <c r="K87" s="9">
        <f>IF(B87="","",INDEX(Settings!$D$8:$D$15,MATCH(Settings!$C$4,Settings!$B$8:$B$15,0))+INDEX(Settings!$E$8:$E$15,MATCH(Settings!$C$4,Settings!$B$8:$B$15,0))*(N(C87)+N(D87))+INDEX(Settings!$F$8:$F$15,MATCH(Settings!$C$4,Settings!$B$8:$B$15,0))*(N(C87)+N(D87))*(1+Settings!$C$26)+INDEX(Settings!$G$8:$G$15,MATCH(Settings!$C$4,Settings!$B$8:$B$15,0))+N(I87)*MIN(Settings!$C$23*(N(C87)+N(D87)),Settings!$C$24)+INDEX(Settings!$H$8:$H$15,MATCH(Settings!$C$4,Settings!$B$8:$B$15,0))*(N(C87)+N(D87))+IF(Settings!$C$25="Yes",0.025,0)*(N(C87)+N(D87))+INDEX(Settings!$I$8:$I$15,MATCH(Settings!$C$4,Settings!$B$8:$B$15,0))*(INDEX(Settings!$D$8:$D$15,MATCH(Settings!$C$4,Settings!$B$8:$B$15,0))+INDEX(Settings!$E$8:$E$15,MATCH(Settings!$C$4,Settings!$B$8:$B$15,0))*(N(C87)+N(D87))+N(I87)*MIN(Settings!$C$23*(N(C87)+N(D87)),Settings!$C$24)+INDEX(Settings!$H$8:$H$15,MATCH(Settings!$C$4,Settings!$B$8:$B$15,0))*(N(C87)+N(D87))))</f>
        <v/>
      </c>
      <c r="L87" s="9">
        <f>IF(B87="","",N(E87)+N(F87)+N(G87)+N(H87)/60*Settings!$C$27)</f>
        <v/>
      </c>
      <c r="M87" s="20">
        <f>IF(B87="","",J87-K87-L87)</f>
        <v/>
      </c>
      <c r="N87" s="26">
        <f>IF(OR(B87="",N(J87)=0),"",M87/J87)</f>
        <v/>
      </c>
      <c r="O87" s="8">
        <f>IF(B87="","",IF(M87&lt;0,"Loss",IF(N87&lt;Settings!$C$28,"Below target","On target")))</f>
        <v/>
      </c>
      <c r="P87" s="14">
        <f>IF(B87="","",IF(1-(INDEX(Settings!$E$8:$E$15,MATCH(Settings!$C$4,Settings!$B$8:$B$15,0))+INDEX(Settings!$F$8:$F$15,MATCH(Settings!$C$4,Settings!$B$8:$B$15,0))*(1+Settings!$C$26)+N(I87)*Settings!$C$23+INDEX(Settings!$H$8:$H$15,MATCH(Settings!$C$4,Settings!$B$8:$B$15,0))+IF(Settings!$C$25="Yes",0.025,0)+INDEX(Settings!$I$8:$I$15,MATCH(Settings!$C$4,Settings!$B$8:$B$15,0))*(INDEX(Settings!$E$8:$E$15,MATCH(Settings!$C$4,Settings!$B$8:$B$15,0))+N(I87)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87)/(1-(INDEX(Settings!$E$8:$E$15,MATCH(Settings!$C$4,Settings!$B$8:$B$15,0))+INDEX(Settings!$F$8:$F$15,MATCH(Settings!$C$4,Settings!$B$8:$B$15,0))*(1+Settings!$C$26)+N(I87)*Settings!$C$23+INDEX(Settings!$H$8:$H$15,MATCH(Settings!$C$4,Settings!$B$8:$B$15,0))+IF(Settings!$C$25="Yes",0.025,0)+INDEX(Settings!$I$8:$I$15,MATCH(Settings!$C$4,Settings!$B$8:$B$15,0))*(INDEX(Settings!$E$8:$E$15,MATCH(Settings!$C$4,Settings!$B$8:$B$15,0))+N(I87)*Settings!$C$23+INDEX(Settings!$H$8:$H$15,MATCH(Settings!$C$4,Settings!$B$8:$B$15,0))))-Settings!$C$28)-N(D87))))</f>
        <v/>
      </c>
      <c r="Q87" s="1" t="n"/>
    </row>
    <row r="88">
      <c r="A88" s="1" t="n"/>
      <c r="B88" s="25" t="n"/>
      <c r="C88" s="7" t="n"/>
      <c r="D88" s="7" t="n"/>
      <c r="E88" s="7" t="n"/>
      <c r="F88" s="7" t="n"/>
      <c r="G88" s="7" t="n"/>
      <c r="H88" s="12" t="n"/>
      <c r="I88" s="11" t="n"/>
      <c r="J88" s="9">
        <f>IF(B88="","",(N(C88)+N(D88)))</f>
        <v/>
      </c>
      <c r="K88" s="9">
        <f>IF(B88="","",INDEX(Settings!$D$8:$D$15,MATCH(Settings!$C$4,Settings!$B$8:$B$15,0))+INDEX(Settings!$E$8:$E$15,MATCH(Settings!$C$4,Settings!$B$8:$B$15,0))*(N(C88)+N(D88))+INDEX(Settings!$F$8:$F$15,MATCH(Settings!$C$4,Settings!$B$8:$B$15,0))*(N(C88)+N(D88))*(1+Settings!$C$26)+INDEX(Settings!$G$8:$G$15,MATCH(Settings!$C$4,Settings!$B$8:$B$15,0))+N(I88)*MIN(Settings!$C$23*(N(C88)+N(D88)),Settings!$C$24)+INDEX(Settings!$H$8:$H$15,MATCH(Settings!$C$4,Settings!$B$8:$B$15,0))*(N(C88)+N(D88))+IF(Settings!$C$25="Yes",0.025,0)*(N(C88)+N(D88))+INDEX(Settings!$I$8:$I$15,MATCH(Settings!$C$4,Settings!$B$8:$B$15,0))*(INDEX(Settings!$D$8:$D$15,MATCH(Settings!$C$4,Settings!$B$8:$B$15,0))+INDEX(Settings!$E$8:$E$15,MATCH(Settings!$C$4,Settings!$B$8:$B$15,0))*(N(C88)+N(D88))+N(I88)*MIN(Settings!$C$23*(N(C88)+N(D88)),Settings!$C$24)+INDEX(Settings!$H$8:$H$15,MATCH(Settings!$C$4,Settings!$B$8:$B$15,0))*(N(C88)+N(D88))))</f>
        <v/>
      </c>
      <c r="L88" s="9">
        <f>IF(B88="","",N(E88)+N(F88)+N(G88)+N(H88)/60*Settings!$C$27)</f>
        <v/>
      </c>
      <c r="M88" s="20">
        <f>IF(B88="","",J88-K88-L88)</f>
        <v/>
      </c>
      <c r="N88" s="26">
        <f>IF(OR(B88="",N(J88)=0),"",M88/J88)</f>
        <v/>
      </c>
      <c r="O88" s="8">
        <f>IF(B88="","",IF(M88&lt;0,"Loss",IF(N88&lt;Settings!$C$28,"Below target","On target")))</f>
        <v/>
      </c>
      <c r="P88" s="14">
        <f>IF(B88="","",IF(1-(INDEX(Settings!$E$8:$E$15,MATCH(Settings!$C$4,Settings!$B$8:$B$15,0))+INDEX(Settings!$F$8:$F$15,MATCH(Settings!$C$4,Settings!$B$8:$B$15,0))*(1+Settings!$C$26)+N(I88)*Settings!$C$23+INDEX(Settings!$H$8:$H$15,MATCH(Settings!$C$4,Settings!$B$8:$B$15,0))+IF(Settings!$C$25="Yes",0.025,0)+INDEX(Settings!$I$8:$I$15,MATCH(Settings!$C$4,Settings!$B$8:$B$15,0))*(INDEX(Settings!$E$8:$E$15,MATCH(Settings!$C$4,Settings!$B$8:$B$15,0))+N(I88)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88)/(1-(INDEX(Settings!$E$8:$E$15,MATCH(Settings!$C$4,Settings!$B$8:$B$15,0))+INDEX(Settings!$F$8:$F$15,MATCH(Settings!$C$4,Settings!$B$8:$B$15,0))*(1+Settings!$C$26)+N(I88)*Settings!$C$23+INDEX(Settings!$H$8:$H$15,MATCH(Settings!$C$4,Settings!$B$8:$B$15,0))+IF(Settings!$C$25="Yes",0.025,0)+INDEX(Settings!$I$8:$I$15,MATCH(Settings!$C$4,Settings!$B$8:$B$15,0))*(INDEX(Settings!$E$8:$E$15,MATCH(Settings!$C$4,Settings!$B$8:$B$15,0))+N(I88)*Settings!$C$23+INDEX(Settings!$H$8:$H$15,MATCH(Settings!$C$4,Settings!$B$8:$B$15,0))))-Settings!$C$28)-N(D88))))</f>
        <v/>
      </c>
      <c r="Q88" s="1" t="n"/>
    </row>
    <row r="89">
      <c r="A89" s="1" t="n"/>
      <c r="B89" s="25" t="n"/>
      <c r="C89" s="7" t="n"/>
      <c r="D89" s="7" t="n"/>
      <c r="E89" s="7" t="n"/>
      <c r="F89" s="7" t="n"/>
      <c r="G89" s="7" t="n"/>
      <c r="H89" s="12" t="n"/>
      <c r="I89" s="11" t="n"/>
      <c r="J89" s="9">
        <f>IF(B89="","",(N(C89)+N(D89)))</f>
        <v/>
      </c>
      <c r="K89" s="9">
        <f>IF(B89="","",INDEX(Settings!$D$8:$D$15,MATCH(Settings!$C$4,Settings!$B$8:$B$15,0))+INDEX(Settings!$E$8:$E$15,MATCH(Settings!$C$4,Settings!$B$8:$B$15,0))*(N(C89)+N(D89))+INDEX(Settings!$F$8:$F$15,MATCH(Settings!$C$4,Settings!$B$8:$B$15,0))*(N(C89)+N(D89))*(1+Settings!$C$26)+INDEX(Settings!$G$8:$G$15,MATCH(Settings!$C$4,Settings!$B$8:$B$15,0))+N(I89)*MIN(Settings!$C$23*(N(C89)+N(D89)),Settings!$C$24)+INDEX(Settings!$H$8:$H$15,MATCH(Settings!$C$4,Settings!$B$8:$B$15,0))*(N(C89)+N(D89))+IF(Settings!$C$25="Yes",0.025,0)*(N(C89)+N(D89))+INDEX(Settings!$I$8:$I$15,MATCH(Settings!$C$4,Settings!$B$8:$B$15,0))*(INDEX(Settings!$D$8:$D$15,MATCH(Settings!$C$4,Settings!$B$8:$B$15,0))+INDEX(Settings!$E$8:$E$15,MATCH(Settings!$C$4,Settings!$B$8:$B$15,0))*(N(C89)+N(D89))+N(I89)*MIN(Settings!$C$23*(N(C89)+N(D89)),Settings!$C$24)+INDEX(Settings!$H$8:$H$15,MATCH(Settings!$C$4,Settings!$B$8:$B$15,0))*(N(C89)+N(D89))))</f>
        <v/>
      </c>
      <c r="L89" s="9">
        <f>IF(B89="","",N(E89)+N(F89)+N(G89)+N(H89)/60*Settings!$C$27)</f>
        <v/>
      </c>
      <c r="M89" s="20">
        <f>IF(B89="","",J89-K89-L89)</f>
        <v/>
      </c>
      <c r="N89" s="26">
        <f>IF(OR(B89="",N(J89)=0),"",M89/J89)</f>
        <v/>
      </c>
      <c r="O89" s="8">
        <f>IF(B89="","",IF(M89&lt;0,"Loss",IF(N89&lt;Settings!$C$28,"Below target","On target")))</f>
        <v/>
      </c>
      <c r="P89" s="14">
        <f>IF(B89="","",IF(1-(INDEX(Settings!$E$8:$E$15,MATCH(Settings!$C$4,Settings!$B$8:$B$15,0))+INDEX(Settings!$F$8:$F$15,MATCH(Settings!$C$4,Settings!$B$8:$B$15,0))*(1+Settings!$C$26)+N(I89)*Settings!$C$23+INDEX(Settings!$H$8:$H$15,MATCH(Settings!$C$4,Settings!$B$8:$B$15,0))+IF(Settings!$C$25="Yes",0.025,0)+INDEX(Settings!$I$8:$I$15,MATCH(Settings!$C$4,Settings!$B$8:$B$15,0))*(INDEX(Settings!$E$8:$E$15,MATCH(Settings!$C$4,Settings!$B$8:$B$15,0))+N(I89)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89)/(1-(INDEX(Settings!$E$8:$E$15,MATCH(Settings!$C$4,Settings!$B$8:$B$15,0))+INDEX(Settings!$F$8:$F$15,MATCH(Settings!$C$4,Settings!$B$8:$B$15,0))*(1+Settings!$C$26)+N(I89)*Settings!$C$23+INDEX(Settings!$H$8:$H$15,MATCH(Settings!$C$4,Settings!$B$8:$B$15,0))+IF(Settings!$C$25="Yes",0.025,0)+INDEX(Settings!$I$8:$I$15,MATCH(Settings!$C$4,Settings!$B$8:$B$15,0))*(INDEX(Settings!$E$8:$E$15,MATCH(Settings!$C$4,Settings!$B$8:$B$15,0))+N(I89)*Settings!$C$23+INDEX(Settings!$H$8:$H$15,MATCH(Settings!$C$4,Settings!$B$8:$B$15,0))))-Settings!$C$28)-N(D89))))</f>
        <v/>
      </c>
      <c r="Q89" s="1" t="n"/>
    </row>
    <row r="90">
      <c r="A90" s="1" t="n"/>
      <c r="B90" s="25" t="n"/>
      <c r="C90" s="7" t="n"/>
      <c r="D90" s="7" t="n"/>
      <c r="E90" s="7" t="n"/>
      <c r="F90" s="7" t="n"/>
      <c r="G90" s="7" t="n"/>
      <c r="H90" s="12" t="n"/>
      <c r="I90" s="11" t="n"/>
      <c r="J90" s="9">
        <f>IF(B90="","",(N(C90)+N(D90)))</f>
        <v/>
      </c>
      <c r="K90" s="9">
        <f>IF(B90="","",INDEX(Settings!$D$8:$D$15,MATCH(Settings!$C$4,Settings!$B$8:$B$15,0))+INDEX(Settings!$E$8:$E$15,MATCH(Settings!$C$4,Settings!$B$8:$B$15,0))*(N(C90)+N(D90))+INDEX(Settings!$F$8:$F$15,MATCH(Settings!$C$4,Settings!$B$8:$B$15,0))*(N(C90)+N(D90))*(1+Settings!$C$26)+INDEX(Settings!$G$8:$G$15,MATCH(Settings!$C$4,Settings!$B$8:$B$15,0))+N(I90)*MIN(Settings!$C$23*(N(C90)+N(D90)),Settings!$C$24)+INDEX(Settings!$H$8:$H$15,MATCH(Settings!$C$4,Settings!$B$8:$B$15,0))*(N(C90)+N(D90))+IF(Settings!$C$25="Yes",0.025,0)*(N(C90)+N(D90))+INDEX(Settings!$I$8:$I$15,MATCH(Settings!$C$4,Settings!$B$8:$B$15,0))*(INDEX(Settings!$D$8:$D$15,MATCH(Settings!$C$4,Settings!$B$8:$B$15,0))+INDEX(Settings!$E$8:$E$15,MATCH(Settings!$C$4,Settings!$B$8:$B$15,0))*(N(C90)+N(D90))+N(I90)*MIN(Settings!$C$23*(N(C90)+N(D90)),Settings!$C$24)+INDEX(Settings!$H$8:$H$15,MATCH(Settings!$C$4,Settings!$B$8:$B$15,0))*(N(C90)+N(D90))))</f>
        <v/>
      </c>
      <c r="L90" s="9">
        <f>IF(B90="","",N(E90)+N(F90)+N(G90)+N(H90)/60*Settings!$C$27)</f>
        <v/>
      </c>
      <c r="M90" s="20">
        <f>IF(B90="","",J90-K90-L90)</f>
        <v/>
      </c>
      <c r="N90" s="26">
        <f>IF(OR(B90="",N(J90)=0),"",M90/J90)</f>
        <v/>
      </c>
      <c r="O90" s="8">
        <f>IF(B90="","",IF(M90&lt;0,"Loss",IF(N90&lt;Settings!$C$28,"Below target","On target")))</f>
        <v/>
      </c>
      <c r="P90" s="14">
        <f>IF(B90="","",IF(1-(INDEX(Settings!$E$8:$E$15,MATCH(Settings!$C$4,Settings!$B$8:$B$15,0))+INDEX(Settings!$F$8:$F$15,MATCH(Settings!$C$4,Settings!$B$8:$B$15,0))*(1+Settings!$C$26)+N(I90)*Settings!$C$23+INDEX(Settings!$H$8:$H$15,MATCH(Settings!$C$4,Settings!$B$8:$B$15,0))+IF(Settings!$C$25="Yes",0.025,0)+INDEX(Settings!$I$8:$I$15,MATCH(Settings!$C$4,Settings!$B$8:$B$15,0))*(INDEX(Settings!$E$8:$E$15,MATCH(Settings!$C$4,Settings!$B$8:$B$15,0))+N(I90)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90)/(1-(INDEX(Settings!$E$8:$E$15,MATCH(Settings!$C$4,Settings!$B$8:$B$15,0))+INDEX(Settings!$F$8:$F$15,MATCH(Settings!$C$4,Settings!$B$8:$B$15,0))*(1+Settings!$C$26)+N(I90)*Settings!$C$23+INDEX(Settings!$H$8:$H$15,MATCH(Settings!$C$4,Settings!$B$8:$B$15,0))+IF(Settings!$C$25="Yes",0.025,0)+INDEX(Settings!$I$8:$I$15,MATCH(Settings!$C$4,Settings!$B$8:$B$15,0))*(INDEX(Settings!$E$8:$E$15,MATCH(Settings!$C$4,Settings!$B$8:$B$15,0))+N(I90)*Settings!$C$23+INDEX(Settings!$H$8:$H$15,MATCH(Settings!$C$4,Settings!$B$8:$B$15,0))))-Settings!$C$28)-N(D90))))</f>
        <v/>
      </c>
      <c r="Q90" s="1" t="n"/>
    </row>
    <row r="91">
      <c r="A91" s="1" t="n"/>
      <c r="B91" s="25" t="n"/>
      <c r="C91" s="7" t="n"/>
      <c r="D91" s="7" t="n"/>
      <c r="E91" s="7" t="n"/>
      <c r="F91" s="7" t="n"/>
      <c r="G91" s="7" t="n"/>
      <c r="H91" s="12" t="n"/>
      <c r="I91" s="11" t="n"/>
      <c r="J91" s="9">
        <f>IF(B91="","",(N(C91)+N(D91)))</f>
        <v/>
      </c>
      <c r="K91" s="9">
        <f>IF(B91="","",INDEX(Settings!$D$8:$D$15,MATCH(Settings!$C$4,Settings!$B$8:$B$15,0))+INDEX(Settings!$E$8:$E$15,MATCH(Settings!$C$4,Settings!$B$8:$B$15,0))*(N(C91)+N(D91))+INDEX(Settings!$F$8:$F$15,MATCH(Settings!$C$4,Settings!$B$8:$B$15,0))*(N(C91)+N(D91))*(1+Settings!$C$26)+INDEX(Settings!$G$8:$G$15,MATCH(Settings!$C$4,Settings!$B$8:$B$15,0))+N(I91)*MIN(Settings!$C$23*(N(C91)+N(D91)),Settings!$C$24)+INDEX(Settings!$H$8:$H$15,MATCH(Settings!$C$4,Settings!$B$8:$B$15,0))*(N(C91)+N(D91))+IF(Settings!$C$25="Yes",0.025,0)*(N(C91)+N(D91))+INDEX(Settings!$I$8:$I$15,MATCH(Settings!$C$4,Settings!$B$8:$B$15,0))*(INDEX(Settings!$D$8:$D$15,MATCH(Settings!$C$4,Settings!$B$8:$B$15,0))+INDEX(Settings!$E$8:$E$15,MATCH(Settings!$C$4,Settings!$B$8:$B$15,0))*(N(C91)+N(D91))+N(I91)*MIN(Settings!$C$23*(N(C91)+N(D91)),Settings!$C$24)+INDEX(Settings!$H$8:$H$15,MATCH(Settings!$C$4,Settings!$B$8:$B$15,0))*(N(C91)+N(D91))))</f>
        <v/>
      </c>
      <c r="L91" s="9">
        <f>IF(B91="","",N(E91)+N(F91)+N(G91)+N(H91)/60*Settings!$C$27)</f>
        <v/>
      </c>
      <c r="M91" s="20">
        <f>IF(B91="","",J91-K91-L91)</f>
        <v/>
      </c>
      <c r="N91" s="26">
        <f>IF(OR(B91="",N(J91)=0),"",M91/J91)</f>
        <v/>
      </c>
      <c r="O91" s="8">
        <f>IF(B91="","",IF(M91&lt;0,"Loss",IF(N91&lt;Settings!$C$28,"Below target","On target")))</f>
        <v/>
      </c>
      <c r="P91" s="14">
        <f>IF(B91="","",IF(1-(INDEX(Settings!$E$8:$E$15,MATCH(Settings!$C$4,Settings!$B$8:$B$15,0))+INDEX(Settings!$F$8:$F$15,MATCH(Settings!$C$4,Settings!$B$8:$B$15,0))*(1+Settings!$C$26)+N(I91)*Settings!$C$23+INDEX(Settings!$H$8:$H$15,MATCH(Settings!$C$4,Settings!$B$8:$B$15,0))+IF(Settings!$C$25="Yes",0.025,0)+INDEX(Settings!$I$8:$I$15,MATCH(Settings!$C$4,Settings!$B$8:$B$15,0))*(INDEX(Settings!$E$8:$E$15,MATCH(Settings!$C$4,Settings!$B$8:$B$15,0))+N(I91)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91)/(1-(INDEX(Settings!$E$8:$E$15,MATCH(Settings!$C$4,Settings!$B$8:$B$15,0))+INDEX(Settings!$F$8:$F$15,MATCH(Settings!$C$4,Settings!$B$8:$B$15,0))*(1+Settings!$C$26)+N(I91)*Settings!$C$23+INDEX(Settings!$H$8:$H$15,MATCH(Settings!$C$4,Settings!$B$8:$B$15,0))+IF(Settings!$C$25="Yes",0.025,0)+INDEX(Settings!$I$8:$I$15,MATCH(Settings!$C$4,Settings!$B$8:$B$15,0))*(INDEX(Settings!$E$8:$E$15,MATCH(Settings!$C$4,Settings!$B$8:$B$15,0))+N(I91)*Settings!$C$23+INDEX(Settings!$H$8:$H$15,MATCH(Settings!$C$4,Settings!$B$8:$B$15,0))))-Settings!$C$28)-N(D91))))</f>
        <v/>
      </c>
      <c r="Q91" s="1" t="n"/>
    </row>
    <row r="92">
      <c r="A92" s="1" t="n"/>
      <c r="B92" s="25" t="n"/>
      <c r="C92" s="7" t="n"/>
      <c r="D92" s="7" t="n"/>
      <c r="E92" s="7" t="n"/>
      <c r="F92" s="7" t="n"/>
      <c r="G92" s="7" t="n"/>
      <c r="H92" s="12" t="n"/>
      <c r="I92" s="11" t="n"/>
      <c r="J92" s="9">
        <f>IF(B92="","",(N(C92)+N(D92)))</f>
        <v/>
      </c>
      <c r="K92" s="9">
        <f>IF(B92="","",INDEX(Settings!$D$8:$D$15,MATCH(Settings!$C$4,Settings!$B$8:$B$15,0))+INDEX(Settings!$E$8:$E$15,MATCH(Settings!$C$4,Settings!$B$8:$B$15,0))*(N(C92)+N(D92))+INDEX(Settings!$F$8:$F$15,MATCH(Settings!$C$4,Settings!$B$8:$B$15,0))*(N(C92)+N(D92))*(1+Settings!$C$26)+INDEX(Settings!$G$8:$G$15,MATCH(Settings!$C$4,Settings!$B$8:$B$15,0))+N(I92)*MIN(Settings!$C$23*(N(C92)+N(D92)),Settings!$C$24)+INDEX(Settings!$H$8:$H$15,MATCH(Settings!$C$4,Settings!$B$8:$B$15,0))*(N(C92)+N(D92))+IF(Settings!$C$25="Yes",0.025,0)*(N(C92)+N(D92))+INDEX(Settings!$I$8:$I$15,MATCH(Settings!$C$4,Settings!$B$8:$B$15,0))*(INDEX(Settings!$D$8:$D$15,MATCH(Settings!$C$4,Settings!$B$8:$B$15,0))+INDEX(Settings!$E$8:$E$15,MATCH(Settings!$C$4,Settings!$B$8:$B$15,0))*(N(C92)+N(D92))+N(I92)*MIN(Settings!$C$23*(N(C92)+N(D92)),Settings!$C$24)+INDEX(Settings!$H$8:$H$15,MATCH(Settings!$C$4,Settings!$B$8:$B$15,0))*(N(C92)+N(D92))))</f>
        <v/>
      </c>
      <c r="L92" s="9">
        <f>IF(B92="","",N(E92)+N(F92)+N(G92)+N(H92)/60*Settings!$C$27)</f>
        <v/>
      </c>
      <c r="M92" s="20">
        <f>IF(B92="","",J92-K92-L92)</f>
        <v/>
      </c>
      <c r="N92" s="26">
        <f>IF(OR(B92="",N(J92)=0),"",M92/J92)</f>
        <v/>
      </c>
      <c r="O92" s="8">
        <f>IF(B92="","",IF(M92&lt;0,"Loss",IF(N92&lt;Settings!$C$28,"Below target","On target")))</f>
        <v/>
      </c>
      <c r="P92" s="14">
        <f>IF(B92="","",IF(1-(INDEX(Settings!$E$8:$E$15,MATCH(Settings!$C$4,Settings!$B$8:$B$15,0))+INDEX(Settings!$F$8:$F$15,MATCH(Settings!$C$4,Settings!$B$8:$B$15,0))*(1+Settings!$C$26)+N(I92)*Settings!$C$23+INDEX(Settings!$H$8:$H$15,MATCH(Settings!$C$4,Settings!$B$8:$B$15,0))+IF(Settings!$C$25="Yes",0.025,0)+INDEX(Settings!$I$8:$I$15,MATCH(Settings!$C$4,Settings!$B$8:$B$15,0))*(INDEX(Settings!$E$8:$E$15,MATCH(Settings!$C$4,Settings!$B$8:$B$15,0))+N(I92)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92)/(1-(INDEX(Settings!$E$8:$E$15,MATCH(Settings!$C$4,Settings!$B$8:$B$15,0))+INDEX(Settings!$F$8:$F$15,MATCH(Settings!$C$4,Settings!$B$8:$B$15,0))*(1+Settings!$C$26)+N(I92)*Settings!$C$23+INDEX(Settings!$H$8:$H$15,MATCH(Settings!$C$4,Settings!$B$8:$B$15,0))+IF(Settings!$C$25="Yes",0.025,0)+INDEX(Settings!$I$8:$I$15,MATCH(Settings!$C$4,Settings!$B$8:$B$15,0))*(INDEX(Settings!$E$8:$E$15,MATCH(Settings!$C$4,Settings!$B$8:$B$15,0))+N(I92)*Settings!$C$23+INDEX(Settings!$H$8:$H$15,MATCH(Settings!$C$4,Settings!$B$8:$B$15,0))))-Settings!$C$28)-N(D92))))</f>
        <v/>
      </c>
      <c r="Q92" s="1" t="n"/>
    </row>
    <row r="93">
      <c r="A93" s="1" t="n"/>
      <c r="B93" s="25" t="n"/>
      <c r="C93" s="7" t="n"/>
      <c r="D93" s="7" t="n"/>
      <c r="E93" s="7" t="n"/>
      <c r="F93" s="7" t="n"/>
      <c r="G93" s="7" t="n"/>
      <c r="H93" s="12" t="n"/>
      <c r="I93" s="11" t="n"/>
      <c r="J93" s="9">
        <f>IF(B93="","",(N(C93)+N(D93)))</f>
        <v/>
      </c>
      <c r="K93" s="9">
        <f>IF(B93="","",INDEX(Settings!$D$8:$D$15,MATCH(Settings!$C$4,Settings!$B$8:$B$15,0))+INDEX(Settings!$E$8:$E$15,MATCH(Settings!$C$4,Settings!$B$8:$B$15,0))*(N(C93)+N(D93))+INDEX(Settings!$F$8:$F$15,MATCH(Settings!$C$4,Settings!$B$8:$B$15,0))*(N(C93)+N(D93))*(1+Settings!$C$26)+INDEX(Settings!$G$8:$G$15,MATCH(Settings!$C$4,Settings!$B$8:$B$15,0))+N(I93)*MIN(Settings!$C$23*(N(C93)+N(D93)),Settings!$C$24)+INDEX(Settings!$H$8:$H$15,MATCH(Settings!$C$4,Settings!$B$8:$B$15,0))*(N(C93)+N(D93))+IF(Settings!$C$25="Yes",0.025,0)*(N(C93)+N(D93))+INDEX(Settings!$I$8:$I$15,MATCH(Settings!$C$4,Settings!$B$8:$B$15,0))*(INDEX(Settings!$D$8:$D$15,MATCH(Settings!$C$4,Settings!$B$8:$B$15,0))+INDEX(Settings!$E$8:$E$15,MATCH(Settings!$C$4,Settings!$B$8:$B$15,0))*(N(C93)+N(D93))+N(I93)*MIN(Settings!$C$23*(N(C93)+N(D93)),Settings!$C$24)+INDEX(Settings!$H$8:$H$15,MATCH(Settings!$C$4,Settings!$B$8:$B$15,0))*(N(C93)+N(D93))))</f>
        <v/>
      </c>
      <c r="L93" s="9">
        <f>IF(B93="","",N(E93)+N(F93)+N(G93)+N(H93)/60*Settings!$C$27)</f>
        <v/>
      </c>
      <c r="M93" s="20">
        <f>IF(B93="","",J93-K93-L93)</f>
        <v/>
      </c>
      <c r="N93" s="26">
        <f>IF(OR(B93="",N(J93)=0),"",M93/J93)</f>
        <v/>
      </c>
      <c r="O93" s="8">
        <f>IF(B93="","",IF(M93&lt;0,"Loss",IF(N93&lt;Settings!$C$28,"Below target","On target")))</f>
        <v/>
      </c>
      <c r="P93" s="14">
        <f>IF(B93="","",IF(1-(INDEX(Settings!$E$8:$E$15,MATCH(Settings!$C$4,Settings!$B$8:$B$15,0))+INDEX(Settings!$F$8:$F$15,MATCH(Settings!$C$4,Settings!$B$8:$B$15,0))*(1+Settings!$C$26)+N(I93)*Settings!$C$23+INDEX(Settings!$H$8:$H$15,MATCH(Settings!$C$4,Settings!$B$8:$B$15,0))+IF(Settings!$C$25="Yes",0.025,0)+INDEX(Settings!$I$8:$I$15,MATCH(Settings!$C$4,Settings!$B$8:$B$15,0))*(INDEX(Settings!$E$8:$E$15,MATCH(Settings!$C$4,Settings!$B$8:$B$15,0))+N(I93)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93)/(1-(INDEX(Settings!$E$8:$E$15,MATCH(Settings!$C$4,Settings!$B$8:$B$15,0))+INDEX(Settings!$F$8:$F$15,MATCH(Settings!$C$4,Settings!$B$8:$B$15,0))*(1+Settings!$C$26)+N(I93)*Settings!$C$23+INDEX(Settings!$H$8:$H$15,MATCH(Settings!$C$4,Settings!$B$8:$B$15,0))+IF(Settings!$C$25="Yes",0.025,0)+INDEX(Settings!$I$8:$I$15,MATCH(Settings!$C$4,Settings!$B$8:$B$15,0))*(INDEX(Settings!$E$8:$E$15,MATCH(Settings!$C$4,Settings!$B$8:$B$15,0))+N(I93)*Settings!$C$23+INDEX(Settings!$H$8:$H$15,MATCH(Settings!$C$4,Settings!$B$8:$B$15,0))))-Settings!$C$28)-N(D93))))</f>
        <v/>
      </c>
      <c r="Q93" s="1" t="n"/>
    </row>
    <row r="94">
      <c r="A94" s="1" t="n"/>
      <c r="B94" s="25" t="n"/>
      <c r="C94" s="7" t="n"/>
      <c r="D94" s="7" t="n"/>
      <c r="E94" s="7" t="n"/>
      <c r="F94" s="7" t="n"/>
      <c r="G94" s="7" t="n"/>
      <c r="H94" s="12" t="n"/>
      <c r="I94" s="11" t="n"/>
      <c r="J94" s="9">
        <f>IF(B94="","",(N(C94)+N(D94)))</f>
        <v/>
      </c>
      <c r="K94" s="9">
        <f>IF(B94="","",INDEX(Settings!$D$8:$D$15,MATCH(Settings!$C$4,Settings!$B$8:$B$15,0))+INDEX(Settings!$E$8:$E$15,MATCH(Settings!$C$4,Settings!$B$8:$B$15,0))*(N(C94)+N(D94))+INDEX(Settings!$F$8:$F$15,MATCH(Settings!$C$4,Settings!$B$8:$B$15,0))*(N(C94)+N(D94))*(1+Settings!$C$26)+INDEX(Settings!$G$8:$G$15,MATCH(Settings!$C$4,Settings!$B$8:$B$15,0))+N(I94)*MIN(Settings!$C$23*(N(C94)+N(D94)),Settings!$C$24)+INDEX(Settings!$H$8:$H$15,MATCH(Settings!$C$4,Settings!$B$8:$B$15,0))*(N(C94)+N(D94))+IF(Settings!$C$25="Yes",0.025,0)*(N(C94)+N(D94))+INDEX(Settings!$I$8:$I$15,MATCH(Settings!$C$4,Settings!$B$8:$B$15,0))*(INDEX(Settings!$D$8:$D$15,MATCH(Settings!$C$4,Settings!$B$8:$B$15,0))+INDEX(Settings!$E$8:$E$15,MATCH(Settings!$C$4,Settings!$B$8:$B$15,0))*(N(C94)+N(D94))+N(I94)*MIN(Settings!$C$23*(N(C94)+N(D94)),Settings!$C$24)+INDEX(Settings!$H$8:$H$15,MATCH(Settings!$C$4,Settings!$B$8:$B$15,0))*(N(C94)+N(D94))))</f>
        <v/>
      </c>
      <c r="L94" s="9">
        <f>IF(B94="","",N(E94)+N(F94)+N(G94)+N(H94)/60*Settings!$C$27)</f>
        <v/>
      </c>
      <c r="M94" s="20">
        <f>IF(B94="","",J94-K94-L94)</f>
        <v/>
      </c>
      <c r="N94" s="26">
        <f>IF(OR(B94="",N(J94)=0),"",M94/J94)</f>
        <v/>
      </c>
      <c r="O94" s="8">
        <f>IF(B94="","",IF(M94&lt;0,"Loss",IF(N94&lt;Settings!$C$28,"Below target","On target")))</f>
        <v/>
      </c>
      <c r="P94" s="14">
        <f>IF(B94="","",IF(1-(INDEX(Settings!$E$8:$E$15,MATCH(Settings!$C$4,Settings!$B$8:$B$15,0))+INDEX(Settings!$F$8:$F$15,MATCH(Settings!$C$4,Settings!$B$8:$B$15,0))*(1+Settings!$C$26)+N(I94)*Settings!$C$23+INDEX(Settings!$H$8:$H$15,MATCH(Settings!$C$4,Settings!$B$8:$B$15,0))+IF(Settings!$C$25="Yes",0.025,0)+INDEX(Settings!$I$8:$I$15,MATCH(Settings!$C$4,Settings!$B$8:$B$15,0))*(INDEX(Settings!$E$8:$E$15,MATCH(Settings!$C$4,Settings!$B$8:$B$15,0))+N(I94)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94)/(1-(INDEX(Settings!$E$8:$E$15,MATCH(Settings!$C$4,Settings!$B$8:$B$15,0))+INDEX(Settings!$F$8:$F$15,MATCH(Settings!$C$4,Settings!$B$8:$B$15,0))*(1+Settings!$C$26)+N(I94)*Settings!$C$23+INDEX(Settings!$H$8:$H$15,MATCH(Settings!$C$4,Settings!$B$8:$B$15,0))+IF(Settings!$C$25="Yes",0.025,0)+INDEX(Settings!$I$8:$I$15,MATCH(Settings!$C$4,Settings!$B$8:$B$15,0))*(INDEX(Settings!$E$8:$E$15,MATCH(Settings!$C$4,Settings!$B$8:$B$15,0))+N(I94)*Settings!$C$23+INDEX(Settings!$H$8:$H$15,MATCH(Settings!$C$4,Settings!$B$8:$B$15,0))))-Settings!$C$28)-N(D94))))</f>
        <v/>
      </c>
      <c r="Q94" s="1" t="n"/>
    </row>
    <row r="95">
      <c r="A95" s="1" t="n"/>
      <c r="B95" s="25" t="n"/>
      <c r="C95" s="7" t="n"/>
      <c r="D95" s="7" t="n"/>
      <c r="E95" s="7" t="n"/>
      <c r="F95" s="7" t="n"/>
      <c r="G95" s="7" t="n"/>
      <c r="H95" s="12" t="n"/>
      <c r="I95" s="11" t="n"/>
      <c r="J95" s="9">
        <f>IF(B95="","",(N(C95)+N(D95)))</f>
        <v/>
      </c>
      <c r="K95" s="9">
        <f>IF(B95="","",INDEX(Settings!$D$8:$D$15,MATCH(Settings!$C$4,Settings!$B$8:$B$15,0))+INDEX(Settings!$E$8:$E$15,MATCH(Settings!$C$4,Settings!$B$8:$B$15,0))*(N(C95)+N(D95))+INDEX(Settings!$F$8:$F$15,MATCH(Settings!$C$4,Settings!$B$8:$B$15,0))*(N(C95)+N(D95))*(1+Settings!$C$26)+INDEX(Settings!$G$8:$G$15,MATCH(Settings!$C$4,Settings!$B$8:$B$15,0))+N(I95)*MIN(Settings!$C$23*(N(C95)+N(D95)),Settings!$C$24)+INDEX(Settings!$H$8:$H$15,MATCH(Settings!$C$4,Settings!$B$8:$B$15,0))*(N(C95)+N(D95))+IF(Settings!$C$25="Yes",0.025,0)*(N(C95)+N(D95))+INDEX(Settings!$I$8:$I$15,MATCH(Settings!$C$4,Settings!$B$8:$B$15,0))*(INDEX(Settings!$D$8:$D$15,MATCH(Settings!$C$4,Settings!$B$8:$B$15,0))+INDEX(Settings!$E$8:$E$15,MATCH(Settings!$C$4,Settings!$B$8:$B$15,0))*(N(C95)+N(D95))+N(I95)*MIN(Settings!$C$23*(N(C95)+N(D95)),Settings!$C$24)+INDEX(Settings!$H$8:$H$15,MATCH(Settings!$C$4,Settings!$B$8:$B$15,0))*(N(C95)+N(D95))))</f>
        <v/>
      </c>
      <c r="L95" s="9">
        <f>IF(B95="","",N(E95)+N(F95)+N(G95)+N(H95)/60*Settings!$C$27)</f>
        <v/>
      </c>
      <c r="M95" s="20">
        <f>IF(B95="","",J95-K95-L95)</f>
        <v/>
      </c>
      <c r="N95" s="26">
        <f>IF(OR(B95="",N(J95)=0),"",M95/J95)</f>
        <v/>
      </c>
      <c r="O95" s="8">
        <f>IF(B95="","",IF(M95&lt;0,"Loss",IF(N95&lt;Settings!$C$28,"Below target","On target")))</f>
        <v/>
      </c>
      <c r="P95" s="14">
        <f>IF(B95="","",IF(1-(INDEX(Settings!$E$8:$E$15,MATCH(Settings!$C$4,Settings!$B$8:$B$15,0))+INDEX(Settings!$F$8:$F$15,MATCH(Settings!$C$4,Settings!$B$8:$B$15,0))*(1+Settings!$C$26)+N(I95)*Settings!$C$23+INDEX(Settings!$H$8:$H$15,MATCH(Settings!$C$4,Settings!$B$8:$B$15,0))+IF(Settings!$C$25="Yes",0.025,0)+INDEX(Settings!$I$8:$I$15,MATCH(Settings!$C$4,Settings!$B$8:$B$15,0))*(INDEX(Settings!$E$8:$E$15,MATCH(Settings!$C$4,Settings!$B$8:$B$15,0))+N(I95)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95)/(1-(INDEX(Settings!$E$8:$E$15,MATCH(Settings!$C$4,Settings!$B$8:$B$15,0))+INDEX(Settings!$F$8:$F$15,MATCH(Settings!$C$4,Settings!$B$8:$B$15,0))*(1+Settings!$C$26)+N(I95)*Settings!$C$23+INDEX(Settings!$H$8:$H$15,MATCH(Settings!$C$4,Settings!$B$8:$B$15,0))+IF(Settings!$C$25="Yes",0.025,0)+INDEX(Settings!$I$8:$I$15,MATCH(Settings!$C$4,Settings!$B$8:$B$15,0))*(INDEX(Settings!$E$8:$E$15,MATCH(Settings!$C$4,Settings!$B$8:$B$15,0))+N(I95)*Settings!$C$23+INDEX(Settings!$H$8:$H$15,MATCH(Settings!$C$4,Settings!$B$8:$B$15,0))))-Settings!$C$28)-N(D95))))</f>
        <v/>
      </c>
      <c r="Q95" s="1" t="n"/>
    </row>
    <row r="96">
      <c r="A96" s="1" t="n"/>
      <c r="B96" s="25" t="n"/>
      <c r="C96" s="7" t="n"/>
      <c r="D96" s="7" t="n"/>
      <c r="E96" s="7" t="n"/>
      <c r="F96" s="7" t="n"/>
      <c r="G96" s="7" t="n"/>
      <c r="H96" s="12" t="n"/>
      <c r="I96" s="11" t="n"/>
      <c r="J96" s="9">
        <f>IF(B96="","",(N(C96)+N(D96)))</f>
        <v/>
      </c>
      <c r="K96" s="9">
        <f>IF(B96="","",INDEX(Settings!$D$8:$D$15,MATCH(Settings!$C$4,Settings!$B$8:$B$15,0))+INDEX(Settings!$E$8:$E$15,MATCH(Settings!$C$4,Settings!$B$8:$B$15,0))*(N(C96)+N(D96))+INDEX(Settings!$F$8:$F$15,MATCH(Settings!$C$4,Settings!$B$8:$B$15,0))*(N(C96)+N(D96))*(1+Settings!$C$26)+INDEX(Settings!$G$8:$G$15,MATCH(Settings!$C$4,Settings!$B$8:$B$15,0))+N(I96)*MIN(Settings!$C$23*(N(C96)+N(D96)),Settings!$C$24)+INDEX(Settings!$H$8:$H$15,MATCH(Settings!$C$4,Settings!$B$8:$B$15,0))*(N(C96)+N(D96))+IF(Settings!$C$25="Yes",0.025,0)*(N(C96)+N(D96))+INDEX(Settings!$I$8:$I$15,MATCH(Settings!$C$4,Settings!$B$8:$B$15,0))*(INDEX(Settings!$D$8:$D$15,MATCH(Settings!$C$4,Settings!$B$8:$B$15,0))+INDEX(Settings!$E$8:$E$15,MATCH(Settings!$C$4,Settings!$B$8:$B$15,0))*(N(C96)+N(D96))+N(I96)*MIN(Settings!$C$23*(N(C96)+N(D96)),Settings!$C$24)+INDEX(Settings!$H$8:$H$15,MATCH(Settings!$C$4,Settings!$B$8:$B$15,0))*(N(C96)+N(D96))))</f>
        <v/>
      </c>
      <c r="L96" s="9">
        <f>IF(B96="","",N(E96)+N(F96)+N(G96)+N(H96)/60*Settings!$C$27)</f>
        <v/>
      </c>
      <c r="M96" s="20">
        <f>IF(B96="","",J96-K96-L96)</f>
        <v/>
      </c>
      <c r="N96" s="26">
        <f>IF(OR(B96="",N(J96)=0),"",M96/J96)</f>
        <v/>
      </c>
      <c r="O96" s="8">
        <f>IF(B96="","",IF(M96&lt;0,"Loss",IF(N96&lt;Settings!$C$28,"Below target","On target")))</f>
        <v/>
      </c>
      <c r="P96" s="14">
        <f>IF(B96="","",IF(1-(INDEX(Settings!$E$8:$E$15,MATCH(Settings!$C$4,Settings!$B$8:$B$15,0))+INDEX(Settings!$F$8:$F$15,MATCH(Settings!$C$4,Settings!$B$8:$B$15,0))*(1+Settings!$C$26)+N(I96)*Settings!$C$23+INDEX(Settings!$H$8:$H$15,MATCH(Settings!$C$4,Settings!$B$8:$B$15,0))+IF(Settings!$C$25="Yes",0.025,0)+INDEX(Settings!$I$8:$I$15,MATCH(Settings!$C$4,Settings!$B$8:$B$15,0))*(INDEX(Settings!$E$8:$E$15,MATCH(Settings!$C$4,Settings!$B$8:$B$15,0))+N(I96)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96)/(1-(INDEX(Settings!$E$8:$E$15,MATCH(Settings!$C$4,Settings!$B$8:$B$15,0))+INDEX(Settings!$F$8:$F$15,MATCH(Settings!$C$4,Settings!$B$8:$B$15,0))*(1+Settings!$C$26)+N(I96)*Settings!$C$23+INDEX(Settings!$H$8:$H$15,MATCH(Settings!$C$4,Settings!$B$8:$B$15,0))+IF(Settings!$C$25="Yes",0.025,0)+INDEX(Settings!$I$8:$I$15,MATCH(Settings!$C$4,Settings!$B$8:$B$15,0))*(INDEX(Settings!$E$8:$E$15,MATCH(Settings!$C$4,Settings!$B$8:$B$15,0))+N(I96)*Settings!$C$23+INDEX(Settings!$H$8:$H$15,MATCH(Settings!$C$4,Settings!$B$8:$B$15,0))))-Settings!$C$28)-N(D96))))</f>
        <v/>
      </c>
      <c r="Q96" s="1" t="n"/>
    </row>
    <row r="97">
      <c r="A97" s="1" t="n"/>
      <c r="B97" s="25" t="n"/>
      <c r="C97" s="7" t="n"/>
      <c r="D97" s="7" t="n"/>
      <c r="E97" s="7" t="n"/>
      <c r="F97" s="7" t="n"/>
      <c r="G97" s="7" t="n"/>
      <c r="H97" s="12" t="n"/>
      <c r="I97" s="11" t="n"/>
      <c r="J97" s="9">
        <f>IF(B97="","",(N(C97)+N(D97)))</f>
        <v/>
      </c>
      <c r="K97" s="9">
        <f>IF(B97="","",INDEX(Settings!$D$8:$D$15,MATCH(Settings!$C$4,Settings!$B$8:$B$15,0))+INDEX(Settings!$E$8:$E$15,MATCH(Settings!$C$4,Settings!$B$8:$B$15,0))*(N(C97)+N(D97))+INDEX(Settings!$F$8:$F$15,MATCH(Settings!$C$4,Settings!$B$8:$B$15,0))*(N(C97)+N(D97))*(1+Settings!$C$26)+INDEX(Settings!$G$8:$G$15,MATCH(Settings!$C$4,Settings!$B$8:$B$15,0))+N(I97)*MIN(Settings!$C$23*(N(C97)+N(D97)),Settings!$C$24)+INDEX(Settings!$H$8:$H$15,MATCH(Settings!$C$4,Settings!$B$8:$B$15,0))*(N(C97)+N(D97))+IF(Settings!$C$25="Yes",0.025,0)*(N(C97)+N(D97))+INDEX(Settings!$I$8:$I$15,MATCH(Settings!$C$4,Settings!$B$8:$B$15,0))*(INDEX(Settings!$D$8:$D$15,MATCH(Settings!$C$4,Settings!$B$8:$B$15,0))+INDEX(Settings!$E$8:$E$15,MATCH(Settings!$C$4,Settings!$B$8:$B$15,0))*(N(C97)+N(D97))+N(I97)*MIN(Settings!$C$23*(N(C97)+N(D97)),Settings!$C$24)+INDEX(Settings!$H$8:$H$15,MATCH(Settings!$C$4,Settings!$B$8:$B$15,0))*(N(C97)+N(D97))))</f>
        <v/>
      </c>
      <c r="L97" s="9">
        <f>IF(B97="","",N(E97)+N(F97)+N(G97)+N(H97)/60*Settings!$C$27)</f>
        <v/>
      </c>
      <c r="M97" s="20">
        <f>IF(B97="","",J97-K97-L97)</f>
        <v/>
      </c>
      <c r="N97" s="26">
        <f>IF(OR(B97="",N(J97)=0),"",M97/J97)</f>
        <v/>
      </c>
      <c r="O97" s="8">
        <f>IF(B97="","",IF(M97&lt;0,"Loss",IF(N97&lt;Settings!$C$28,"Below target","On target")))</f>
        <v/>
      </c>
      <c r="P97" s="14">
        <f>IF(B97="","",IF(1-(INDEX(Settings!$E$8:$E$15,MATCH(Settings!$C$4,Settings!$B$8:$B$15,0))+INDEX(Settings!$F$8:$F$15,MATCH(Settings!$C$4,Settings!$B$8:$B$15,0))*(1+Settings!$C$26)+N(I97)*Settings!$C$23+INDEX(Settings!$H$8:$H$15,MATCH(Settings!$C$4,Settings!$B$8:$B$15,0))+IF(Settings!$C$25="Yes",0.025,0)+INDEX(Settings!$I$8:$I$15,MATCH(Settings!$C$4,Settings!$B$8:$B$15,0))*(INDEX(Settings!$E$8:$E$15,MATCH(Settings!$C$4,Settings!$B$8:$B$15,0))+N(I97)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97)/(1-(INDEX(Settings!$E$8:$E$15,MATCH(Settings!$C$4,Settings!$B$8:$B$15,0))+INDEX(Settings!$F$8:$F$15,MATCH(Settings!$C$4,Settings!$B$8:$B$15,0))*(1+Settings!$C$26)+N(I97)*Settings!$C$23+INDEX(Settings!$H$8:$H$15,MATCH(Settings!$C$4,Settings!$B$8:$B$15,0))+IF(Settings!$C$25="Yes",0.025,0)+INDEX(Settings!$I$8:$I$15,MATCH(Settings!$C$4,Settings!$B$8:$B$15,0))*(INDEX(Settings!$E$8:$E$15,MATCH(Settings!$C$4,Settings!$B$8:$B$15,0))+N(I97)*Settings!$C$23+INDEX(Settings!$H$8:$H$15,MATCH(Settings!$C$4,Settings!$B$8:$B$15,0))))-Settings!$C$28)-N(D97))))</f>
        <v/>
      </c>
      <c r="Q97" s="1" t="n"/>
    </row>
    <row r="98">
      <c r="A98" s="1" t="n"/>
      <c r="B98" s="25" t="n"/>
      <c r="C98" s="7" t="n"/>
      <c r="D98" s="7" t="n"/>
      <c r="E98" s="7" t="n"/>
      <c r="F98" s="7" t="n"/>
      <c r="G98" s="7" t="n"/>
      <c r="H98" s="12" t="n"/>
      <c r="I98" s="11" t="n"/>
      <c r="J98" s="9">
        <f>IF(B98="","",(N(C98)+N(D98)))</f>
        <v/>
      </c>
      <c r="K98" s="9">
        <f>IF(B98="","",INDEX(Settings!$D$8:$D$15,MATCH(Settings!$C$4,Settings!$B$8:$B$15,0))+INDEX(Settings!$E$8:$E$15,MATCH(Settings!$C$4,Settings!$B$8:$B$15,0))*(N(C98)+N(D98))+INDEX(Settings!$F$8:$F$15,MATCH(Settings!$C$4,Settings!$B$8:$B$15,0))*(N(C98)+N(D98))*(1+Settings!$C$26)+INDEX(Settings!$G$8:$G$15,MATCH(Settings!$C$4,Settings!$B$8:$B$15,0))+N(I98)*MIN(Settings!$C$23*(N(C98)+N(D98)),Settings!$C$24)+INDEX(Settings!$H$8:$H$15,MATCH(Settings!$C$4,Settings!$B$8:$B$15,0))*(N(C98)+N(D98))+IF(Settings!$C$25="Yes",0.025,0)*(N(C98)+N(D98))+INDEX(Settings!$I$8:$I$15,MATCH(Settings!$C$4,Settings!$B$8:$B$15,0))*(INDEX(Settings!$D$8:$D$15,MATCH(Settings!$C$4,Settings!$B$8:$B$15,0))+INDEX(Settings!$E$8:$E$15,MATCH(Settings!$C$4,Settings!$B$8:$B$15,0))*(N(C98)+N(D98))+N(I98)*MIN(Settings!$C$23*(N(C98)+N(D98)),Settings!$C$24)+INDEX(Settings!$H$8:$H$15,MATCH(Settings!$C$4,Settings!$B$8:$B$15,0))*(N(C98)+N(D98))))</f>
        <v/>
      </c>
      <c r="L98" s="9">
        <f>IF(B98="","",N(E98)+N(F98)+N(G98)+N(H98)/60*Settings!$C$27)</f>
        <v/>
      </c>
      <c r="M98" s="20">
        <f>IF(B98="","",J98-K98-L98)</f>
        <v/>
      </c>
      <c r="N98" s="26">
        <f>IF(OR(B98="",N(J98)=0),"",M98/J98)</f>
        <v/>
      </c>
      <c r="O98" s="8">
        <f>IF(B98="","",IF(M98&lt;0,"Loss",IF(N98&lt;Settings!$C$28,"Below target","On target")))</f>
        <v/>
      </c>
      <c r="P98" s="14">
        <f>IF(B98="","",IF(1-(INDEX(Settings!$E$8:$E$15,MATCH(Settings!$C$4,Settings!$B$8:$B$15,0))+INDEX(Settings!$F$8:$F$15,MATCH(Settings!$C$4,Settings!$B$8:$B$15,0))*(1+Settings!$C$26)+N(I98)*Settings!$C$23+INDEX(Settings!$H$8:$H$15,MATCH(Settings!$C$4,Settings!$B$8:$B$15,0))+IF(Settings!$C$25="Yes",0.025,0)+INDEX(Settings!$I$8:$I$15,MATCH(Settings!$C$4,Settings!$B$8:$B$15,0))*(INDEX(Settings!$E$8:$E$15,MATCH(Settings!$C$4,Settings!$B$8:$B$15,0))+N(I98)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98)/(1-(INDEX(Settings!$E$8:$E$15,MATCH(Settings!$C$4,Settings!$B$8:$B$15,0))+INDEX(Settings!$F$8:$F$15,MATCH(Settings!$C$4,Settings!$B$8:$B$15,0))*(1+Settings!$C$26)+N(I98)*Settings!$C$23+INDEX(Settings!$H$8:$H$15,MATCH(Settings!$C$4,Settings!$B$8:$B$15,0))+IF(Settings!$C$25="Yes",0.025,0)+INDEX(Settings!$I$8:$I$15,MATCH(Settings!$C$4,Settings!$B$8:$B$15,0))*(INDEX(Settings!$E$8:$E$15,MATCH(Settings!$C$4,Settings!$B$8:$B$15,0))+N(I98)*Settings!$C$23+INDEX(Settings!$H$8:$H$15,MATCH(Settings!$C$4,Settings!$B$8:$B$15,0))))-Settings!$C$28)-N(D98))))</f>
        <v/>
      </c>
      <c r="Q98" s="1" t="n"/>
    </row>
    <row r="99">
      <c r="A99" s="1" t="n"/>
      <c r="B99" s="25" t="n"/>
      <c r="C99" s="7" t="n"/>
      <c r="D99" s="7" t="n"/>
      <c r="E99" s="7" t="n"/>
      <c r="F99" s="7" t="n"/>
      <c r="G99" s="7" t="n"/>
      <c r="H99" s="12" t="n"/>
      <c r="I99" s="11" t="n"/>
      <c r="J99" s="9">
        <f>IF(B99="","",(N(C99)+N(D99)))</f>
        <v/>
      </c>
      <c r="K99" s="9">
        <f>IF(B99="","",INDEX(Settings!$D$8:$D$15,MATCH(Settings!$C$4,Settings!$B$8:$B$15,0))+INDEX(Settings!$E$8:$E$15,MATCH(Settings!$C$4,Settings!$B$8:$B$15,0))*(N(C99)+N(D99))+INDEX(Settings!$F$8:$F$15,MATCH(Settings!$C$4,Settings!$B$8:$B$15,0))*(N(C99)+N(D99))*(1+Settings!$C$26)+INDEX(Settings!$G$8:$G$15,MATCH(Settings!$C$4,Settings!$B$8:$B$15,0))+N(I99)*MIN(Settings!$C$23*(N(C99)+N(D99)),Settings!$C$24)+INDEX(Settings!$H$8:$H$15,MATCH(Settings!$C$4,Settings!$B$8:$B$15,0))*(N(C99)+N(D99))+IF(Settings!$C$25="Yes",0.025,0)*(N(C99)+N(D99))+INDEX(Settings!$I$8:$I$15,MATCH(Settings!$C$4,Settings!$B$8:$B$15,0))*(INDEX(Settings!$D$8:$D$15,MATCH(Settings!$C$4,Settings!$B$8:$B$15,0))+INDEX(Settings!$E$8:$E$15,MATCH(Settings!$C$4,Settings!$B$8:$B$15,0))*(N(C99)+N(D99))+N(I99)*MIN(Settings!$C$23*(N(C99)+N(D99)),Settings!$C$24)+INDEX(Settings!$H$8:$H$15,MATCH(Settings!$C$4,Settings!$B$8:$B$15,0))*(N(C99)+N(D99))))</f>
        <v/>
      </c>
      <c r="L99" s="9">
        <f>IF(B99="","",N(E99)+N(F99)+N(G99)+N(H99)/60*Settings!$C$27)</f>
        <v/>
      </c>
      <c r="M99" s="20">
        <f>IF(B99="","",J99-K99-L99)</f>
        <v/>
      </c>
      <c r="N99" s="26">
        <f>IF(OR(B99="",N(J99)=0),"",M99/J99)</f>
        <v/>
      </c>
      <c r="O99" s="8">
        <f>IF(B99="","",IF(M99&lt;0,"Loss",IF(N99&lt;Settings!$C$28,"Below target","On target")))</f>
        <v/>
      </c>
      <c r="P99" s="14">
        <f>IF(B99="","",IF(1-(INDEX(Settings!$E$8:$E$15,MATCH(Settings!$C$4,Settings!$B$8:$B$15,0))+INDEX(Settings!$F$8:$F$15,MATCH(Settings!$C$4,Settings!$B$8:$B$15,0))*(1+Settings!$C$26)+N(I99)*Settings!$C$23+INDEX(Settings!$H$8:$H$15,MATCH(Settings!$C$4,Settings!$B$8:$B$15,0))+IF(Settings!$C$25="Yes",0.025,0)+INDEX(Settings!$I$8:$I$15,MATCH(Settings!$C$4,Settings!$B$8:$B$15,0))*(INDEX(Settings!$E$8:$E$15,MATCH(Settings!$C$4,Settings!$B$8:$B$15,0))+N(I99)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99)/(1-(INDEX(Settings!$E$8:$E$15,MATCH(Settings!$C$4,Settings!$B$8:$B$15,0))+INDEX(Settings!$F$8:$F$15,MATCH(Settings!$C$4,Settings!$B$8:$B$15,0))*(1+Settings!$C$26)+N(I99)*Settings!$C$23+INDEX(Settings!$H$8:$H$15,MATCH(Settings!$C$4,Settings!$B$8:$B$15,0))+IF(Settings!$C$25="Yes",0.025,0)+INDEX(Settings!$I$8:$I$15,MATCH(Settings!$C$4,Settings!$B$8:$B$15,0))*(INDEX(Settings!$E$8:$E$15,MATCH(Settings!$C$4,Settings!$B$8:$B$15,0))+N(I99)*Settings!$C$23+INDEX(Settings!$H$8:$H$15,MATCH(Settings!$C$4,Settings!$B$8:$B$15,0))))-Settings!$C$28)-N(D99))))</f>
        <v/>
      </c>
      <c r="Q99" s="1" t="n"/>
    </row>
    <row r="100">
      <c r="A100" s="1" t="n"/>
      <c r="B100" s="25" t="n"/>
      <c r="C100" s="7" t="n"/>
      <c r="D100" s="7" t="n"/>
      <c r="E100" s="7" t="n"/>
      <c r="F100" s="7" t="n"/>
      <c r="G100" s="7" t="n"/>
      <c r="H100" s="12" t="n"/>
      <c r="I100" s="11" t="n"/>
      <c r="J100" s="9">
        <f>IF(B100="","",(N(C100)+N(D100)))</f>
        <v/>
      </c>
      <c r="K100" s="9">
        <f>IF(B100="","",INDEX(Settings!$D$8:$D$15,MATCH(Settings!$C$4,Settings!$B$8:$B$15,0))+INDEX(Settings!$E$8:$E$15,MATCH(Settings!$C$4,Settings!$B$8:$B$15,0))*(N(C100)+N(D100))+INDEX(Settings!$F$8:$F$15,MATCH(Settings!$C$4,Settings!$B$8:$B$15,0))*(N(C100)+N(D100))*(1+Settings!$C$26)+INDEX(Settings!$G$8:$G$15,MATCH(Settings!$C$4,Settings!$B$8:$B$15,0))+N(I100)*MIN(Settings!$C$23*(N(C100)+N(D100)),Settings!$C$24)+INDEX(Settings!$H$8:$H$15,MATCH(Settings!$C$4,Settings!$B$8:$B$15,0))*(N(C100)+N(D100))+IF(Settings!$C$25="Yes",0.025,0)*(N(C100)+N(D100))+INDEX(Settings!$I$8:$I$15,MATCH(Settings!$C$4,Settings!$B$8:$B$15,0))*(INDEX(Settings!$D$8:$D$15,MATCH(Settings!$C$4,Settings!$B$8:$B$15,0))+INDEX(Settings!$E$8:$E$15,MATCH(Settings!$C$4,Settings!$B$8:$B$15,0))*(N(C100)+N(D100))+N(I100)*MIN(Settings!$C$23*(N(C100)+N(D100)),Settings!$C$24)+INDEX(Settings!$H$8:$H$15,MATCH(Settings!$C$4,Settings!$B$8:$B$15,0))*(N(C100)+N(D100))))</f>
        <v/>
      </c>
      <c r="L100" s="9">
        <f>IF(B100="","",N(E100)+N(F100)+N(G100)+N(H100)/60*Settings!$C$27)</f>
        <v/>
      </c>
      <c r="M100" s="20">
        <f>IF(B100="","",J100-K100-L100)</f>
        <v/>
      </c>
      <c r="N100" s="26">
        <f>IF(OR(B100="",N(J100)=0),"",M100/J100)</f>
        <v/>
      </c>
      <c r="O100" s="8">
        <f>IF(B100="","",IF(M100&lt;0,"Loss",IF(N100&lt;Settings!$C$28,"Below target","On target")))</f>
        <v/>
      </c>
      <c r="P100" s="14">
        <f>IF(B100="","",IF(1-(INDEX(Settings!$E$8:$E$15,MATCH(Settings!$C$4,Settings!$B$8:$B$15,0))+INDEX(Settings!$F$8:$F$15,MATCH(Settings!$C$4,Settings!$B$8:$B$15,0))*(1+Settings!$C$26)+N(I100)*Settings!$C$23+INDEX(Settings!$H$8:$H$15,MATCH(Settings!$C$4,Settings!$B$8:$B$15,0))+IF(Settings!$C$25="Yes",0.025,0)+INDEX(Settings!$I$8:$I$15,MATCH(Settings!$C$4,Settings!$B$8:$B$15,0))*(INDEX(Settings!$E$8:$E$15,MATCH(Settings!$C$4,Settings!$B$8:$B$15,0))+N(I100)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100)/(1-(INDEX(Settings!$E$8:$E$15,MATCH(Settings!$C$4,Settings!$B$8:$B$15,0))+INDEX(Settings!$F$8:$F$15,MATCH(Settings!$C$4,Settings!$B$8:$B$15,0))*(1+Settings!$C$26)+N(I100)*Settings!$C$23+INDEX(Settings!$H$8:$H$15,MATCH(Settings!$C$4,Settings!$B$8:$B$15,0))+IF(Settings!$C$25="Yes",0.025,0)+INDEX(Settings!$I$8:$I$15,MATCH(Settings!$C$4,Settings!$B$8:$B$15,0))*(INDEX(Settings!$E$8:$E$15,MATCH(Settings!$C$4,Settings!$B$8:$B$15,0))+N(I100)*Settings!$C$23+INDEX(Settings!$H$8:$H$15,MATCH(Settings!$C$4,Settings!$B$8:$B$15,0))))-Settings!$C$28)-N(D100))))</f>
        <v/>
      </c>
      <c r="Q100" s="1" t="n"/>
    </row>
    <row r="101">
      <c r="A101" s="1" t="n"/>
      <c r="B101" s="25" t="n"/>
      <c r="C101" s="7" t="n"/>
      <c r="D101" s="7" t="n"/>
      <c r="E101" s="7" t="n"/>
      <c r="F101" s="7" t="n"/>
      <c r="G101" s="7" t="n"/>
      <c r="H101" s="12" t="n"/>
      <c r="I101" s="11" t="n"/>
      <c r="J101" s="9">
        <f>IF(B101="","",(N(C101)+N(D101)))</f>
        <v/>
      </c>
      <c r="K101" s="9">
        <f>IF(B101="","",INDEX(Settings!$D$8:$D$15,MATCH(Settings!$C$4,Settings!$B$8:$B$15,0))+INDEX(Settings!$E$8:$E$15,MATCH(Settings!$C$4,Settings!$B$8:$B$15,0))*(N(C101)+N(D101))+INDEX(Settings!$F$8:$F$15,MATCH(Settings!$C$4,Settings!$B$8:$B$15,0))*(N(C101)+N(D101))*(1+Settings!$C$26)+INDEX(Settings!$G$8:$G$15,MATCH(Settings!$C$4,Settings!$B$8:$B$15,0))+N(I101)*MIN(Settings!$C$23*(N(C101)+N(D101)),Settings!$C$24)+INDEX(Settings!$H$8:$H$15,MATCH(Settings!$C$4,Settings!$B$8:$B$15,0))*(N(C101)+N(D101))+IF(Settings!$C$25="Yes",0.025,0)*(N(C101)+N(D101))+INDEX(Settings!$I$8:$I$15,MATCH(Settings!$C$4,Settings!$B$8:$B$15,0))*(INDEX(Settings!$D$8:$D$15,MATCH(Settings!$C$4,Settings!$B$8:$B$15,0))+INDEX(Settings!$E$8:$E$15,MATCH(Settings!$C$4,Settings!$B$8:$B$15,0))*(N(C101)+N(D101))+N(I101)*MIN(Settings!$C$23*(N(C101)+N(D101)),Settings!$C$24)+INDEX(Settings!$H$8:$H$15,MATCH(Settings!$C$4,Settings!$B$8:$B$15,0))*(N(C101)+N(D101))))</f>
        <v/>
      </c>
      <c r="L101" s="9">
        <f>IF(B101="","",N(E101)+N(F101)+N(G101)+N(H101)/60*Settings!$C$27)</f>
        <v/>
      </c>
      <c r="M101" s="20">
        <f>IF(B101="","",J101-K101-L101)</f>
        <v/>
      </c>
      <c r="N101" s="26">
        <f>IF(OR(B101="",N(J101)=0),"",M101/J101)</f>
        <v/>
      </c>
      <c r="O101" s="8">
        <f>IF(B101="","",IF(M101&lt;0,"Loss",IF(N101&lt;Settings!$C$28,"Below target","On target")))</f>
        <v/>
      </c>
      <c r="P101" s="14">
        <f>IF(B101="","",IF(1-(INDEX(Settings!$E$8:$E$15,MATCH(Settings!$C$4,Settings!$B$8:$B$15,0))+INDEX(Settings!$F$8:$F$15,MATCH(Settings!$C$4,Settings!$B$8:$B$15,0))*(1+Settings!$C$26)+N(I101)*Settings!$C$23+INDEX(Settings!$H$8:$H$15,MATCH(Settings!$C$4,Settings!$B$8:$B$15,0))+IF(Settings!$C$25="Yes",0.025,0)+INDEX(Settings!$I$8:$I$15,MATCH(Settings!$C$4,Settings!$B$8:$B$15,0))*(INDEX(Settings!$E$8:$E$15,MATCH(Settings!$C$4,Settings!$B$8:$B$15,0))+N(I101)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101)/(1-(INDEX(Settings!$E$8:$E$15,MATCH(Settings!$C$4,Settings!$B$8:$B$15,0))+INDEX(Settings!$F$8:$F$15,MATCH(Settings!$C$4,Settings!$B$8:$B$15,0))*(1+Settings!$C$26)+N(I101)*Settings!$C$23+INDEX(Settings!$H$8:$H$15,MATCH(Settings!$C$4,Settings!$B$8:$B$15,0))+IF(Settings!$C$25="Yes",0.025,0)+INDEX(Settings!$I$8:$I$15,MATCH(Settings!$C$4,Settings!$B$8:$B$15,0))*(INDEX(Settings!$E$8:$E$15,MATCH(Settings!$C$4,Settings!$B$8:$B$15,0))+N(I101)*Settings!$C$23+INDEX(Settings!$H$8:$H$15,MATCH(Settings!$C$4,Settings!$B$8:$B$15,0))))-Settings!$C$28)-N(D101))))</f>
        <v/>
      </c>
      <c r="Q101" s="1" t="n"/>
    </row>
    <row r="102">
      <c r="A102" s="1" t="n"/>
      <c r="B102" s="25" t="n"/>
      <c r="C102" s="7" t="n"/>
      <c r="D102" s="7" t="n"/>
      <c r="E102" s="7" t="n"/>
      <c r="F102" s="7" t="n"/>
      <c r="G102" s="7" t="n"/>
      <c r="H102" s="12" t="n"/>
      <c r="I102" s="11" t="n"/>
      <c r="J102" s="9">
        <f>IF(B102="","",(N(C102)+N(D102)))</f>
        <v/>
      </c>
      <c r="K102" s="9">
        <f>IF(B102="","",INDEX(Settings!$D$8:$D$15,MATCH(Settings!$C$4,Settings!$B$8:$B$15,0))+INDEX(Settings!$E$8:$E$15,MATCH(Settings!$C$4,Settings!$B$8:$B$15,0))*(N(C102)+N(D102))+INDEX(Settings!$F$8:$F$15,MATCH(Settings!$C$4,Settings!$B$8:$B$15,0))*(N(C102)+N(D102))*(1+Settings!$C$26)+INDEX(Settings!$G$8:$G$15,MATCH(Settings!$C$4,Settings!$B$8:$B$15,0))+N(I102)*MIN(Settings!$C$23*(N(C102)+N(D102)),Settings!$C$24)+INDEX(Settings!$H$8:$H$15,MATCH(Settings!$C$4,Settings!$B$8:$B$15,0))*(N(C102)+N(D102))+IF(Settings!$C$25="Yes",0.025,0)*(N(C102)+N(D102))+INDEX(Settings!$I$8:$I$15,MATCH(Settings!$C$4,Settings!$B$8:$B$15,0))*(INDEX(Settings!$D$8:$D$15,MATCH(Settings!$C$4,Settings!$B$8:$B$15,0))+INDEX(Settings!$E$8:$E$15,MATCH(Settings!$C$4,Settings!$B$8:$B$15,0))*(N(C102)+N(D102))+N(I102)*MIN(Settings!$C$23*(N(C102)+N(D102)),Settings!$C$24)+INDEX(Settings!$H$8:$H$15,MATCH(Settings!$C$4,Settings!$B$8:$B$15,0))*(N(C102)+N(D102))))</f>
        <v/>
      </c>
      <c r="L102" s="9">
        <f>IF(B102="","",N(E102)+N(F102)+N(G102)+N(H102)/60*Settings!$C$27)</f>
        <v/>
      </c>
      <c r="M102" s="20">
        <f>IF(B102="","",J102-K102-L102)</f>
        <v/>
      </c>
      <c r="N102" s="26">
        <f>IF(OR(B102="",N(J102)=0),"",M102/J102)</f>
        <v/>
      </c>
      <c r="O102" s="8">
        <f>IF(B102="","",IF(M102&lt;0,"Loss",IF(N102&lt;Settings!$C$28,"Below target","On target")))</f>
        <v/>
      </c>
      <c r="P102" s="14">
        <f>IF(B102="","",IF(1-(INDEX(Settings!$E$8:$E$15,MATCH(Settings!$C$4,Settings!$B$8:$B$15,0))+INDEX(Settings!$F$8:$F$15,MATCH(Settings!$C$4,Settings!$B$8:$B$15,0))*(1+Settings!$C$26)+N(I102)*Settings!$C$23+INDEX(Settings!$H$8:$H$15,MATCH(Settings!$C$4,Settings!$B$8:$B$15,0))+IF(Settings!$C$25="Yes",0.025,0)+INDEX(Settings!$I$8:$I$15,MATCH(Settings!$C$4,Settings!$B$8:$B$15,0))*(INDEX(Settings!$E$8:$E$15,MATCH(Settings!$C$4,Settings!$B$8:$B$15,0))+N(I102)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102)/(1-(INDEX(Settings!$E$8:$E$15,MATCH(Settings!$C$4,Settings!$B$8:$B$15,0))+INDEX(Settings!$F$8:$F$15,MATCH(Settings!$C$4,Settings!$B$8:$B$15,0))*(1+Settings!$C$26)+N(I102)*Settings!$C$23+INDEX(Settings!$H$8:$H$15,MATCH(Settings!$C$4,Settings!$B$8:$B$15,0))+IF(Settings!$C$25="Yes",0.025,0)+INDEX(Settings!$I$8:$I$15,MATCH(Settings!$C$4,Settings!$B$8:$B$15,0))*(INDEX(Settings!$E$8:$E$15,MATCH(Settings!$C$4,Settings!$B$8:$B$15,0))+N(I102)*Settings!$C$23+INDEX(Settings!$H$8:$H$15,MATCH(Settings!$C$4,Settings!$B$8:$B$15,0))))-Settings!$C$28)-N(D102))))</f>
        <v/>
      </c>
      <c r="Q102" s="1" t="n"/>
    </row>
    <row r="103">
      <c r="A103" s="1" t="n"/>
      <c r="B103" s="25" t="n"/>
      <c r="C103" s="7" t="n"/>
      <c r="D103" s="7" t="n"/>
      <c r="E103" s="7" t="n"/>
      <c r="F103" s="7" t="n"/>
      <c r="G103" s="7" t="n"/>
      <c r="H103" s="12" t="n"/>
      <c r="I103" s="11" t="n"/>
      <c r="J103" s="9">
        <f>IF(B103="","",(N(C103)+N(D103)))</f>
        <v/>
      </c>
      <c r="K103" s="9">
        <f>IF(B103="","",INDEX(Settings!$D$8:$D$15,MATCH(Settings!$C$4,Settings!$B$8:$B$15,0))+INDEX(Settings!$E$8:$E$15,MATCH(Settings!$C$4,Settings!$B$8:$B$15,0))*(N(C103)+N(D103))+INDEX(Settings!$F$8:$F$15,MATCH(Settings!$C$4,Settings!$B$8:$B$15,0))*(N(C103)+N(D103))*(1+Settings!$C$26)+INDEX(Settings!$G$8:$G$15,MATCH(Settings!$C$4,Settings!$B$8:$B$15,0))+N(I103)*MIN(Settings!$C$23*(N(C103)+N(D103)),Settings!$C$24)+INDEX(Settings!$H$8:$H$15,MATCH(Settings!$C$4,Settings!$B$8:$B$15,0))*(N(C103)+N(D103))+IF(Settings!$C$25="Yes",0.025,0)*(N(C103)+N(D103))+INDEX(Settings!$I$8:$I$15,MATCH(Settings!$C$4,Settings!$B$8:$B$15,0))*(INDEX(Settings!$D$8:$D$15,MATCH(Settings!$C$4,Settings!$B$8:$B$15,0))+INDEX(Settings!$E$8:$E$15,MATCH(Settings!$C$4,Settings!$B$8:$B$15,0))*(N(C103)+N(D103))+N(I103)*MIN(Settings!$C$23*(N(C103)+N(D103)),Settings!$C$24)+INDEX(Settings!$H$8:$H$15,MATCH(Settings!$C$4,Settings!$B$8:$B$15,0))*(N(C103)+N(D103))))</f>
        <v/>
      </c>
      <c r="L103" s="9">
        <f>IF(B103="","",N(E103)+N(F103)+N(G103)+N(H103)/60*Settings!$C$27)</f>
        <v/>
      </c>
      <c r="M103" s="20">
        <f>IF(B103="","",J103-K103-L103)</f>
        <v/>
      </c>
      <c r="N103" s="26">
        <f>IF(OR(B103="",N(J103)=0),"",M103/J103)</f>
        <v/>
      </c>
      <c r="O103" s="8">
        <f>IF(B103="","",IF(M103&lt;0,"Loss",IF(N103&lt;Settings!$C$28,"Below target","On target")))</f>
        <v/>
      </c>
      <c r="P103" s="14">
        <f>IF(B103="","",IF(1-(INDEX(Settings!$E$8:$E$15,MATCH(Settings!$C$4,Settings!$B$8:$B$15,0))+INDEX(Settings!$F$8:$F$15,MATCH(Settings!$C$4,Settings!$B$8:$B$15,0))*(1+Settings!$C$26)+N(I103)*Settings!$C$23+INDEX(Settings!$H$8:$H$15,MATCH(Settings!$C$4,Settings!$B$8:$B$15,0))+IF(Settings!$C$25="Yes",0.025,0)+INDEX(Settings!$I$8:$I$15,MATCH(Settings!$C$4,Settings!$B$8:$B$15,0))*(INDEX(Settings!$E$8:$E$15,MATCH(Settings!$C$4,Settings!$B$8:$B$15,0))+N(I103)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103)/(1-(INDEX(Settings!$E$8:$E$15,MATCH(Settings!$C$4,Settings!$B$8:$B$15,0))+INDEX(Settings!$F$8:$F$15,MATCH(Settings!$C$4,Settings!$B$8:$B$15,0))*(1+Settings!$C$26)+N(I103)*Settings!$C$23+INDEX(Settings!$H$8:$H$15,MATCH(Settings!$C$4,Settings!$B$8:$B$15,0))+IF(Settings!$C$25="Yes",0.025,0)+INDEX(Settings!$I$8:$I$15,MATCH(Settings!$C$4,Settings!$B$8:$B$15,0))*(INDEX(Settings!$E$8:$E$15,MATCH(Settings!$C$4,Settings!$B$8:$B$15,0))+N(I103)*Settings!$C$23+INDEX(Settings!$H$8:$H$15,MATCH(Settings!$C$4,Settings!$B$8:$B$15,0))))-Settings!$C$28)-N(D103))))</f>
        <v/>
      </c>
      <c r="Q103" s="1" t="n"/>
    </row>
    <row r="104">
      <c r="A104" s="1" t="n"/>
      <c r="B104" s="25" t="n"/>
      <c r="C104" s="7" t="n"/>
      <c r="D104" s="7" t="n"/>
      <c r="E104" s="7" t="n"/>
      <c r="F104" s="7" t="n"/>
      <c r="G104" s="7" t="n"/>
      <c r="H104" s="12" t="n"/>
      <c r="I104" s="11" t="n"/>
      <c r="J104" s="9">
        <f>IF(B104="","",(N(C104)+N(D104)))</f>
        <v/>
      </c>
      <c r="K104" s="9">
        <f>IF(B104="","",INDEX(Settings!$D$8:$D$15,MATCH(Settings!$C$4,Settings!$B$8:$B$15,0))+INDEX(Settings!$E$8:$E$15,MATCH(Settings!$C$4,Settings!$B$8:$B$15,0))*(N(C104)+N(D104))+INDEX(Settings!$F$8:$F$15,MATCH(Settings!$C$4,Settings!$B$8:$B$15,0))*(N(C104)+N(D104))*(1+Settings!$C$26)+INDEX(Settings!$G$8:$G$15,MATCH(Settings!$C$4,Settings!$B$8:$B$15,0))+N(I104)*MIN(Settings!$C$23*(N(C104)+N(D104)),Settings!$C$24)+INDEX(Settings!$H$8:$H$15,MATCH(Settings!$C$4,Settings!$B$8:$B$15,0))*(N(C104)+N(D104))+IF(Settings!$C$25="Yes",0.025,0)*(N(C104)+N(D104))+INDEX(Settings!$I$8:$I$15,MATCH(Settings!$C$4,Settings!$B$8:$B$15,0))*(INDEX(Settings!$D$8:$D$15,MATCH(Settings!$C$4,Settings!$B$8:$B$15,0))+INDEX(Settings!$E$8:$E$15,MATCH(Settings!$C$4,Settings!$B$8:$B$15,0))*(N(C104)+N(D104))+N(I104)*MIN(Settings!$C$23*(N(C104)+N(D104)),Settings!$C$24)+INDEX(Settings!$H$8:$H$15,MATCH(Settings!$C$4,Settings!$B$8:$B$15,0))*(N(C104)+N(D104))))</f>
        <v/>
      </c>
      <c r="L104" s="9">
        <f>IF(B104="","",N(E104)+N(F104)+N(G104)+N(H104)/60*Settings!$C$27)</f>
        <v/>
      </c>
      <c r="M104" s="20">
        <f>IF(B104="","",J104-K104-L104)</f>
        <v/>
      </c>
      <c r="N104" s="26">
        <f>IF(OR(B104="",N(J104)=0),"",M104/J104)</f>
        <v/>
      </c>
      <c r="O104" s="8">
        <f>IF(B104="","",IF(M104&lt;0,"Loss",IF(N104&lt;Settings!$C$28,"Below target","On target")))</f>
        <v/>
      </c>
      <c r="P104" s="14">
        <f>IF(B104="","",IF(1-(INDEX(Settings!$E$8:$E$15,MATCH(Settings!$C$4,Settings!$B$8:$B$15,0))+INDEX(Settings!$F$8:$F$15,MATCH(Settings!$C$4,Settings!$B$8:$B$15,0))*(1+Settings!$C$26)+N(I104)*Settings!$C$23+INDEX(Settings!$H$8:$H$15,MATCH(Settings!$C$4,Settings!$B$8:$B$15,0))+IF(Settings!$C$25="Yes",0.025,0)+INDEX(Settings!$I$8:$I$15,MATCH(Settings!$C$4,Settings!$B$8:$B$15,0))*(INDEX(Settings!$E$8:$E$15,MATCH(Settings!$C$4,Settings!$B$8:$B$15,0))+N(I104)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104)/(1-(INDEX(Settings!$E$8:$E$15,MATCH(Settings!$C$4,Settings!$B$8:$B$15,0))+INDEX(Settings!$F$8:$F$15,MATCH(Settings!$C$4,Settings!$B$8:$B$15,0))*(1+Settings!$C$26)+N(I104)*Settings!$C$23+INDEX(Settings!$H$8:$H$15,MATCH(Settings!$C$4,Settings!$B$8:$B$15,0))+IF(Settings!$C$25="Yes",0.025,0)+INDEX(Settings!$I$8:$I$15,MATCH(Settings!$C$4,Settings!$B$8:$B$15,0))*(INDEX(Settings!$E$8:$E$15,MATCH(Settings!$C$4,Settings!$B$8:$B$15,0))+N(I104)*Settings!$C$23+INDEX(Settings!$H$8:$H$15,MATCH(Settings!$C$4,Settings!$B$8:$B$15,0))))-Settings!$C$28)-N(D104))))</f>
        <v/>
      </c>
      <c r="Q104" s="1" t="n"/>
    </row>
    <row r="105">
      <c r="A105" s="1" t="n"/>
      <c r="B105" s="25" t="n"/>
      <c r="C105" s="7" t="n"/>
      <c r="D105" s="7" t="n"/>
      <c r="E105" s="7" t="n"/>
      <c r="F105" s="7" t="n"/>
      <c r="G105" s="7" t="n"/>
      <c r="H105" s="12" t="n"/>
      <c r="I105" s="11" t="n"/>
      <c r="J105" s="9">
        <f>IF(B105="","",(N(C105)+N(D105)))</f>
        <v/>
      </c>
      <c r="K105" s="9">
        <f>IF(B105="","",INDEX(Settings!$D$8:$D$15,MATCH(Settings!$C$4,Settings!$B$8:$B$15,0))+INDEX(Settings!$E$8:$E$15,MATCH(Settings!$C$4,Settings!$B$8:$B$15,0))*(N(C105)+N(D105))+INDEX(Settings!$F$8:$F$15,MATCH(Settings!$C$4,Settings!$B$8:$B$15,0))*(N(C105)+N(D105))*(1+Settings!$C$26)+INDEX(Settings!$G$8:$G$15,MATCH(Settings!$C$4,Settings!$B$8:$B$15,0))+N(I105)*MIN(Settings!$C$23*(N(C105)+N(D105)),Settings!$C$24)+INDEX(Settings!$H$8:$H$15,MATCH(Settings!$C$4,Settings!$B$8:$B$15,0))*(N(C105)+N(D105))+IF(Settings!$C$25="Yes",0.025,0)*(N(C105)+N(D105))+INDEX(Settings!$I$8:$I$15,MATCH(Settings!$C$4,Settings!$B$8:$B$15,0))*(INDEX(Settings!$D$8:$D$15,MATCH(Settings!$C$4,Settings!$B$8:$B$15,0))+INDEX(Settings!$E$8:$E$15,MATCH(Settings!$C$4,Settings!$B$8:$B$15,0))*(N(C105)+N(D105))+N(I105)*MIN(Settings!$C$23*(N(C105)+N(D105)),Settings!$C$24)+INDEX(Settings!$H$8:$H$15,MATCH(Settings!$C$4,Settings!$B$8:$B$15,0))*(N(C105)+N(D105))))</f>
        <v/>
      </c>
      <c r="L105" s="9">
        <f>IF(B105="","",N(E105)+N(F105)+N(G105)+N(H105)/60*Settings!$C$27)</f>
        <v/>
      </c>
      <c r="M105" s="20">
        <f>IF(B105="","",J105-K105-L105)</f>
        <v/>
      </c>
      <c r="N105" s="26">
        <f>IF(OR(B105="",N(J105)=0),"",M105/J105)</f>
        <v/>
      </c>
      <c r="O105" s="8">
        <f>IF(B105="","",IF(M105&lt;0,"Loss",IF(N105&lt;Settings!$C$28,"Below target","On target")))</f>
        <v/>
      </c>
      <c r="P105" s="14">
        <f>IF(B105="","",IF(1-(INDEX(Settings!$E$8:$E$15,MATCH(Settings!$C$4,Settings!$B$8:$B$15,0))+INDEX(Settings!$F$8:$F$15,MATCH(Settings!$C$4,Settings!$B$8:$B$15,0))*(1+Settings!$C$26)+N(I105)*Settings!$C$23+INDEX(Settings!$H$8:$H$15,MATCH(Settings!$C$4,Settings!$B$8:$B$15,0))+IF(Settings!$C$25="Yes",0.025,0)+INDEX(Settings!$I$8:$I$15,MATCH(Settings!$C$4,Settings!$B$8:$B$15,0))*(INDEX(Settings!$E$8:$E$15,MATCH(Settings!$C$4,Settings!$B$8:$B$15,0))+N(I105)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105)/(1-(INDEX(Settings!$E$8:$E$15,MATCH(Settings!$C$4,Settings!$B$8:$B$15,0))+INDEX(Settings!$F$8:$F$15,MATCH(Settings!$C$4,Settings!$B$8:$B$15,0))*(1+Settings!$C$26)+N(I105)*Settings!$C$23+INDEX(Settings!$H$8:$H$15,MATCH(Settings!$C$4,Settings!$B$8:$B$15,0))+IF(Settings!$C$25="Yes",0.025,0)+INDEX(Settings!$I$8:$I$15,MATCH(Settings!$C$4,Settings!$B$8:$B$15,0))*(INDEX(Settings!$E$8:$E$15,MATCH(Settings!$C$4,Settings!$B$8:$B$15,0))+N(I105)*Settings!$C$23+INDEX(Settings!$H$8:$H$15,MATCH(Settings!$C$4,Settings!$B$8:$B$15,0))))-Settings!$C$28)-N(D105))))</f>
        <v/>
      </c>
      <c r="Q105" s="1" t="n"/>
    </row>
    <row r="106">
      <c r="A106" s="1" t="n"/>
      <c r="B106" s="25" t="n"/>
      <c r="C106" s="7" t="n"/>
      <c r="D106" s="7" t="n"/>
      <c r="E106" s="7" t="n"/>
      <c r="F106" s="7" t="n"/>
      <c r="G106" s="7" t="n"/>
      <c r="H106" s="12" t="n"/>
      <c r="I106" s="11" t="n"/>
      <c r="J106" s="9">
        <f>IF(B106="","",(N(C106)+N(D106)))</f>
        <v/>
      </c>
      <c r="K106" s="9">
        <f>IF(B106="","",INDEX(Settings!$D$8:$D$15,MATCH(Settings!$C$4,Settings!$B$8:$B$15,0))+INDEX(Settings!$E$8:$E$15,MATCH(Settings!$C$4,Settings!$B$8:$B$15,0))*(N(C106)+N(D106))+INDEX(Settings!$F$8:$F$15,MATCH(Settings!$C$4,Settings!$B$8:$B$15,0))*(N(C106)+N(D106))*(1+Settings!$C$26)+INDEX(Settings!$G$8:$G$15,MATCH(Settings!$C$4,Settings!$B$8:$B$15,0))+N(I106)*MIN(Settings!$C$23*(N(C106)+N(D106)),Settings!$C$24)+INDEX(Settings!$H$8:$H$15,MATCH(Settings!$C$4,Settings!$B$8:$B$15,0))*(N(C106)+N(D106))+IF(Settings!$C$25="Yes",0.025,0)*(N(C106)+N(D106))+INDEX(Settings!$I$8:$I$15,MATCH(Settings!$C$4,Settings!$B$8:$B$15,0))*(INDEX(Settings!$D$8:$D$15,MATCH(Settings!$C$4,Settings!$B$8:$B$15,0))+INDEX(Settings!$E$8:$E$15,MATCH(Settings!$C$4,Settings!$B$8:$B$15,0))*(N(C106)+N(D106))+N(I106)*MIN(Settings!$C$23*(N(C106)+N(D106)),Settings!$C$24)+INDEX(Settings!$H$8:$H$15,MATCH(Settings!$C$4,Settings!$B$8:$B$15,0))*(N(C106)+N(D106))))</f>
        <v/>
      </c>
      <c r="L106" s="9">
        <f>IF(B106="","",N(E106)+N(F106)+N(G106)+N(H106)/60*Settings!$C$27)</f>
        <v/>
      </c>
      <c r="M106" s="20">
        <f>IF(B106="","",J106-K106-L106)</f>
        <v/>
      </c>
      <c r="N106" s="26">
        <f>IF(OR(B106="",N(J106)=0),"",M106/J106)</f>
        <v/>
      </c>
      <c r="O106" s="8">
        <f>IF(B106="","",IF(M106&lt;0,"Loss",IF(N106&lt;Settings!$C$28,"Below target","On target")))</f>
        <v/>
      </c>
      <c r="P106" s="14">
        <f>IF(B106="","",IF(1-(INDEX(Settings!$E$8:$E$15,MATCH(Settings!$C$4,Settings!$B$8:$B$15,0))+INDEX(Settings!$F$8:$F$15,MATCH(Settings!$C$4,Settings!$B$8:$B$15,0))*(1+Settings!$C$26)+N(I106)*Settings!$C$23+INDEX(Settings!$H$8:$H$15,MATCH(Settings!$C$4,Settings!$B$8:$B$15,0))+IF(Settings!$C$25="Yes",0.025,0)+INDEX(Settings!$I$8:$I$15,MATCH(Settings!$C$4,Settings!$B$8:$B$15,0))*(INDEX(Settings!$E$8:$E$15,MATCH(Settings!$C$4,Settings!$B$8:$B$15,0))+N(I106)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106)/(1-(INDEX(Settings!$E$8:$E$15,MATCH(Settings!$C$4,Settings!$B$8:$B$15,0))+INDEX(Settings!$F$8:$F$15,MATCH(Settings!$C$4,Settings!$B$8:$B$15,0))*(1+Settings!$C$26)+N(I106)*Settings!$C$23+INDEX(Settings!$H$8:$H$15,MATCH(Settings!$C$4,Settings!$B$8:$B$15,0))+IF(Settings!$C$25="Yes",0.025,0)+INDEX(Settings!$I$8:$I$15,MATCH(Settings!$C$4,Settings!$B$8:$B$15,0))*(INDEX(Settings!$E$8:$E$15,MATCH(Settings!$C$4,Settings!$B$8:$B$15,0))+N(I106)*Settings!$C$23+INDEX(Settings!$H$8:$H$15,MATCH(Settings!$C$4,Settings!$B$8:$B$15,0))))-Settings!$C$28)-N(D106))))</f>
        <v/>
      </c>
      <c r="Q106" s="1" t="n"/>
    </row>
    <row r="107">
      <c r="A107" s="1" t="n"/>
      <c r="B107" s="25" t="n"/>
      <c r="C107" s="7" t="n"/>
      <c r="D107" s="7" t="n"/>
      <c r="E107" s="7" t="n"/>
      <c r="F107" s="7" t="n"/>
      <c r="G107" s="7" t="n"/>
      <c r="H107" s="12" t="n"/>
      <c r="I107" s="11" t="n"/>
      <c r="J107" s="9">
        <f>IF(B107="","",(N(C107)+N(D107)))</f>
        <v/>
      </c>
      <c r="K107" s="9">
        <f>IF(B107="","",INDEX(Settings!$D$8:$D$15,MATCH(Settings!$C$4,Settings!$B$8:$B$15,0))+INDEX(Settings!$E$8:$E$15,MATCH(Settings!$C$4,Settings!$B$8:$B$15,0))*(N(C107)+N(D107))+INDEX(Settings!$F$8:$F$15,MATCH(Settings!$C$4,Settings!$B$8:$B$15,0))*(N(C107)+N(D107))*(1+Settings!$C$26)+INDEX(Settings!$G$8:$G$15,MATCH(Settings!$C$4,Settings!$B$8:$B$15,0))+N(I107)*MIN(Settings!$C$23*(N(C107)+N(D107)),Settings!$C$24)+INDEX(Settings!$H$8:$H$15,MATCH(Settings!$C$4,Settings!$B$8:$B$15,0))*(N(C107)+N(D107))+IF(Settings!$C$25="Yes",0.025,0)*(N(C107)+N(D107))+INDEX(Settings!$I$8:$I$15,MATCH(Settings!$C$4,Settings!$B$8:$B$15,0))*(INDEX(Settings!$D$8:$D$15,MATCH(Settings!$C$4,Settings!$B$8:$B$15,0))+INDEX(Settings!$E$8:$E$15,MATCH(Settings!$C$4,Settings!$B$8:$B$15,0))*(N(C107)+N(D107))+N(I107)*MIN(Settings!$C$23*(N(C107)+N(D107)),Settings!$C$24)+INDEX(Settings!$H$8:$H$15,MATCH(Settings!$C$4,Settings!$B$8:$B$15,0))*(N(C107)+N(D107))))</f>
        <v/>
      </c>
      <c r="L107" s="9">
        <f>IF(B107="","",N(E107)+N(F107)+N(G107)+N(H107)/60*Settings!$C$27)</f>
        <v/>
      </c>
      <c r="M107" s="20">
        <f>IF(B107="","",J107-K107-L107)</f>
        <v/>
      </c>
      <c r="N107" s="26">
        <f>IF(OR(B107="",N(J107)=0),"",M107/J107)</f>
        <v/>
      </c>
      <c r="O107" s="8">
        <f>IF(B107="","",IF(M107&lt;0,"Loss",IF(N107&lt;Settings!$C$28,"Below target","On target")))</f>
        <v/>
      </c>
      <c r="P107" s="14">
        <f>IF(B107="","",IF(1-(INDEX(Settings!$E$8:$E$15,MATCH(Settings!$C$4,Settings!$B$8:$B$15,0))+INDEX(Settings!$F$8:$F$15,MATCH(Settings!$C$4,Settings!$B$8:$B$15,0))*(1+Settings!$C$26)+N(I107)*Settings!$C$23+INDEX(Settings!$H$8:$H$15,MATCH(Settings!$C$4,Settings!$B$8:$B$15,0))+IF(Settings!$C$25="Yes",0.025,0)+INDEX(Settings!$I$8:$I$15,MATCH(Settings!$C$4,Settings!$B$8:$B$15,0))*(INDEX(Settings!$E$8:$E$15,MATCH(Settings!$C$4,Settings!$B$8:$B$15,0))+N(I107)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107)/(1-(INDEX(Settings!$E$8:$E$15,MATCH(Settings!$C$4,Settings!$B$8:$B$15,0))+INDEX(Settings!$F$8:$F$15,MATCH(Settings!$C$4,Settings!$B$8:$B$15,0))*(1+Settings!$C$26)+N(I107)*Settings!$C$23+INDEX(Settings!$H$8:$H$15,MATCH(Settings!$C$4,Settings!$B$8:$B$15,0))+IF(Settings!$C$25="Yes",0.025,0)+INDEX(Settings!$I$8:$I$15,MATCH(Settings!$C$4,Settings!$B$8:$B$15,0))*(INDEX(Settings!$E$8:$E$15,MATCH(Settings!$C$4,Settings!$B$8:$B$15,0))+N(I107)*Settings!$C$23+INDEX(Settings!$H$8:$H$15,MATCH(Settings!$C$4,Settings!$B$8:$B$15,0))))-Settings!$C$28)-N(D107))))</f>
        <v/>
      </c>
      <c r="Q107" s="1" t="n"/>
    </row>
    <row r="108">
      <c r="A108" s="1" t="n"/>
      <c r="B108" s="25" t="n"/>
      <c r="C108" s="7" t="n"/>
      <c r="D108" s="7" t="n"/>
      <c r="E108" s="7" t="n"/>
      <c r="F108" s="7" t="n"/>
      <c r="G108" s="7" t="n"/>
      <c r="H108" s="12" t="n"/>
      <c r="I108" s="11" t="n"/>
      <c r="J108" s="9">
        <f>IF(B108="","",(N(C108)+N(D108)))</f>
        <v/>
      </c>
      <c r="K108" s="9">
        <f>IF(B108="","",INDEX(Settings!$D$8:$D$15,MATCH(Settings!$C$4,Settings!$B$8:$B$15,0))+INDEX(Settings!$E$8:$E$15,MATCH(Settings!$C$4,Settings!$B$8:$B$15,0))*(N(C108)+N(D108))+INDEX(Settings!$F$8:$F$15,MATCH(Settings!$C$4,Settings!$B$8:$B$15,0))*(N(C108)+N(D108))*(1+Settings!$C$26)+INDEX(Settings!$G$8:$G$15,MATCH(Settings!$C$4,Settings!$B$8:$B$15,0))+N(I108)*MIN(Settings!$C$23*(N(C108)+N(D108)),Settings!$C$24)+INDEX(Settings!$H$8:$H$15,MATCH(Settings!$C$4,Settings!$B$8:$B$15,0))*(N(C108)+N(D108))+IF(Settings!$C$25="Yes",0.025,0)*(N(C108)+N(D108))+INDEX(Settings!$I$8:$I$15,MATCH(Settings!$C$4,Settings!$B$8:$B$15,0))*(INDEX(Settings!$D$8:$D$15,MATCH(Settings!$C$4,Settings!$B$8:$B$15,0))+INDEX(Settings!$E$8:$E$15,MATCH(Settings!$C$4,Settings!$B$8:$B$15,0))*(N(C108)+N(D108))+N(I108)*MIN(Settings!$C$23*(N(C108)+N(D108)),Settings!$C$24)+INDEX(Settings!$H$8:$H$15,MATCH(Settings!$C$4,Settings!$B$8:$B$15,0))*(N(C108)+N(D108))))</f>
        <v/>
      </c>
      <c r="L108" s="9">
        <f>IF(B108="","",N(E108)+N(F108)+N(G108)+N(H108)/60*Settings!$C$27)</f>
        <v/>
      </c>
      <c r="M108" s="20">
        <f>IF(B108="","",J108-K108-L108)</f>
        <v/>
      </c>
      <c r="N108" s="26">
        <f>IF(OR(B108="",N(J108)=0),"",M108/J108)</f>
        <v/>
      </c>
      <c r="O108" s="8">
        <f>IF(B108="","",IF(M108&lt;0,"Loss",IF(N108&lt;Settings!$C$28,"Below target","On target")))</f>
        <v/>
      </c>
      <c r="P108" s="14">
        <f>IF(B108="","",IF(1-(INDEX(Settings!$E$8:$E$15,MATCH(Settings!$C$4,Settings!$B$8:$B$15,0))+INDEX(Settings!$F$8:$F$15,MATCH(Settings!$C$4,Settings!$B$8:$B$15,0))*(1+Settings!$C$26)+N(I108)*Settings!$C$23+INDEX(Settings!$H$8:$H$15,MATCH(Settings!$C$4,Settings!$B$8:$B$15,0))+IF(Settings!$C$25="Yes",0.025,0)+INDEX(Settings!$I$8:$I$15,MATCH(Settings!$C$4,Settings!$B$8:$B$15,0))*(INDEX(Settings!$E$8:$E$15,MATCH(Settings!$C$4,Settings!$B$8:$B$15,0))+N(I108)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108)/(1-(INDEX(Settings!$E$8:$E$15,MATCH(Settings!$C$4,Settings!$B$8:$B$15,0))+INDEX(Settings!$F$8:$F$15,MATCH(Settings!$C$4,Settings!$B$8:$B$15,0))*(1+Settings!$C$26)+N(I108)*Settings!$C$23+INDEX(Settings!$H$8:$H$15,MATCH(Settings!$C$4,Settings!$B$8:$B$15,0))+IF(Settings!$C$25="Yes",0.025,0)+INDEX(Settings!$I$8:$I$15,MATCH(Settings!$C$4,Settings!$B$8:$B$15,0))*(INDEX(Settings!$E$8:$E$15,MATCH(Settings!$C$4,Settings!$B$8:$B$15,0))+N(I108)*Settings!$C$23+INDEX(Settings!$H$8:$H$15,MATCH(Settings!$C$4,Settings!$B$8:$B$15,0))))-Settings!$C$28)-N(D108))))</f>
        <v/>
      </c>
      <c r="Q108" s="1" t="n"/>
    </row>
    <row r="109">
      <c r="A109" s="1" t="n"/>
      <c r="B109" s="25" t="n"/>
      <c r="C109" s="7" t="n"/>
      <c r="D109" s="7" t="n"/>
      <c r="E109" s="7" t="n"/>
      <c r="F109" s="7" t="n"/>
      <c r="G109" s="7" t="n"/>
      <c r="H109" s="12" t="n"/>
      <c r="I109" s="11" t="n"/>
      <c r="J109" s="9">
        <f>IF(B109="","",(N(C109)+N(D109)))</f>
        <v/>
      </c>
      <c r="K109" s="9">
        <f>IF(B109="","",INDEX(Settings!$D$8:$D$15,MATCH(Settings!$C$4,Settings!$B$8:$B$15,0))+INDEX(Settings!$E$8:$E$15,MATCH(Settings!$C$4,Settings!$B$8:$B$15,0))*(N(C109)+N(D109))+INDEX(Settings!$F$8:$F$15,MATCH(Settings!$C$4,Settings!$B$8:$B$15,0))*(N(C109)+N(D109))*(1+Settings!$C$26)+INDEX(Settings!$G$8:$G$15,MATCH(Settings!$C$4,Settings!$B$8:$B$15,0))+N(I109)*MIN(Settings!$C$23*(N(C109)+N(D109)),Settings!$C$24)+INDEX(Settings!$H$8:$H$15,MATCH(Settings!$C$4,Settings!$B$8:$B$15,0))*(N(C109)+N(D109))+IF(Settings!$C$25="Yes",0.025,0)*(N(C109)+N(D109))+INDEX(Settings!$I$8:$I$15,MATCH(Settings!$C$4,Settings!$B$8:$B$15,0))*(INDEX(Settings!$D$8:$D$15,MATCH(Settings!$C$4,Settings!$B$8:$B$15,0))+INDEX(Settings!$E$8:$E$15,MATCH(Settings!$C$4,Settings!$B$8:$B$15,0))*(N(C109)+N(D109))+N(I109)*MIN(Settings!$C$23*(N(C109)+N(D109)),Settings!$C$24)+INDEX(Settings!$H$8:$H$15,MATCH(Settings!$C$4,Settings!$B$8:$B$15,0))*(N(C109)+N(D109))))</f>
        <v/>
      </c>
      <c r="L109" s="9">
        <f>IF(B109="","",N(E109)+N(F109)+N(G109)+N(H109)/60*Settings!$C$27)</f>
        <v/>
      </c>
      <c r="M109" s="20">
        <f>IF(B109="","",J109-K109-L109)</f>
        <v/>
      </c>
      <c r="N109" s="26">
        <f>IF(OR(B109="",N(J109)=0),"",M109/J109)</f>
        <v/>
      </c>
      <c r="O109" s="8">
        <f>IF(B109="","",IF(M109&lt;0,"Loss",IF(N109&lt;Settings!$C$28,"Below target","On target")))</f>
        <v/>
      </c>
      <c r="P109" s="14">
        <f>IF(B109="","",IF(1-(INDEX(Settings!$E$8:$E$15,MATCH(Settings!$C$4,Settings!$B$8:$B$15,0))+INDEX(Settings!$F$8:$F$15,MATCH(Settings!$C$4,Settings!$B$8:$B$15,0))*(1+Settings!$C$26)+N(I109)*Settings!$C$23+INDEX(Settings!$H$8:$H$15,MATCH(Settings!$C$4,Settings!$B$8:$B$15,0))+IF(Settings!$C$25="Yes",0.025,0)+INDEX(Settings!$I$8:$I$15,MATCH(Settings!$C$4,Settings!$B$8:$B$15,0))*(INDEX(Settings!$E$8:$E$15,MATCH(Settings!$C$4,Settings!$B$8:$B$15,0))+N(I109)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109)/(1-(INDEX(Settings!$E$8:$E$15,MATCH(Settings!$C$4,Settings!$B$8:$B$15,0))+INDEX(Settings!$F$8:$F$15,MATCH(Settings!$C$4,Settings!$B$8:$B$15,0))*(1+Settings!$C$26)+N(I109)*Settings!$C$23+INDEX(Settings!$H$8:$H$15,MATCH(Settings!$C$4,Settings!$B$8:$B$15,0))+IF(Settings!$C$25="Yes",0.025,0)+INDEX(Settings!$I$8:$I$15,MATCH(Settings!$C$4,Settings!$B$8:$B$15,0))*(INDEX(Settings!$E$8:$E$15,MATCH(Settings!$C$4,Settings!$B$8:$B$15,0))+N(I109)*Settings!$C$23+INDEX(Settings!$H$8:$H$15,MATCH(Settings!$C$4,Settings!$B$8:$B$15,0))))-Settings!$C$28)-N(D109))))</f>
        <v/>
      </c>
      <c r="Q109" s="1" t="n"/>
    </row>
    <row r="110">
      <c r="A110" s="1" t="n"/>
      <c r="B110" s="25" t="n"/>
      <c r="C110" s="7" t="n"/>
      <c r="D110" s="7" t="n"/>
      <c r="E110" s="7" t="n"/>
      <c r="F110" s="7" t="n"/>
      <c r="G110" s="7" t="n"/>
      <c r="H110" s="12" t="n"/>
      <c r="I110" s="11" t="n"/>
      <c r="J110" s="9">
        <f>IF(B110="","",(N(C110)+N(D110)))</f>
        <v/>
      </c>
      <c r="K110" s="9">
        <f>IF(B110="","",INDEX(Settings!$D$8:$D$15,MATCH(Settings!$C$4,Settings!$B$8:$B$15,0))+INDEX(Settings!$E$8:$E$15,MATCH(Settings!$C$4,Settings!$B$8:$B$15,0))*(N(C110)+N(D110))+INDEX(Settings!$F$8:$F$15,MATCH(Settings!$C$4,Settings!$B$8:$B$15,0))*(N(C110)+N(D110))*(1+Settings!$C$26)+INDEX(Settings!$G$8:$G$15,MATCH(Settings!$C$4,Settings!$B$8:$B$15,0))+N(I110)*MIN(Settings!$C$23*(N(C110)+N(D110)),Settings!$C$24)+INDEX(Settings!$H$8:$H$15,MATCH(Settings!$C$4,Settings!$B$8:$B$15,0))*(N(C110)+N(D110))+IF(Settings!$C$25="Yes",0.025,0)*(N(C110)+N(D110))+INDEX(Settings!$I$8:$I$15,MATCH(Settings!$C$4,Settings!$B$8:$B$15,0))*(INDEX(Settings!$D$8:$D$15,MATCH(Settings!$C$4,Settings!$B$8:$B$15,0))+INDEX(Settings!$E$8:$E$15,MATCH(Settings!$C$4,Settings!$B$8:$B$15,0))*(N(C110)+N(D110))+N(I110)*MIN(Settings!$C$23*(N(C110)+N(D110)),Settings!$C$24)+INDEX(Settings!$H$8:$H$15,MATCH(Settings!$C$4,Settings!$B$8:$B$15,0))*(N(C110)+N(D110))))</f>
        <v/>
      </c>
      <c r="L110" s="9">
        <f>IF(B110="","",N(E110)+N(F110)+N(G110)+N(H110)/60*Settings!$C$27)</f>
        <v/>
      </c>
      <c r="M110" s="20">
        <f>IF(B110="","",J110-K110-L110)</f>
        <v/>
      </c>
      <c r="N110" s="26">
        <f>IF(OR(B110="",N(J110)=0),"",M110/J110)</f>
        <v/>
      </c>
      <c r="O110" s="8">
        <f>IF(B110="","",IF(M110&lt;0,"Loss",IF(N110&lt;Settings!$C$28,"Below target","On target")))</f>
        <v/>
      </c>
      <c r="P110" s="14">
        <f>IF(B110="","",IF(1-(INDEX(Settings!$E$8:$E$15,MATCH(Settings!$C$4,Settings!$B$8:$B$15,0))+INDEX(Settings!$F$8:$F$15,MATCH(Settings!$C$4,Settings!$B$8:$B$15,0))*(1+Settings!$C$26)+N(I110)*Settings!$C$23+INDEX(Settings!$H$8:$H$15,MATCH(Settings!$C$4,Settings!$B$8:$B$15,0))+IF(Settings!$C$25="Yes",0.025,0)+INDEX(Settings!$I$8:$I$15,MATCH(Settings!$C$4,Settings!$B$8:$B$15,0))*(INDEX(Settings!$E$8:$E$15,MATCH(Settings!$C$4,Settings!$B$8:$B$15,0))+N(I110)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110)/(1-(INDEX(Settings!$E$8:$E$15,MATCH(Settings!$C$4,Settings!$B$8:$B$15,0))+INDEX(Settings!$F$8:$F$15,MATCH(Settings!$C$4,Settings!$B$8:$B$15,0))*(1+Settings!$C$26)+N(I110)*Settings!$C$23+INDEX(Settings!$H$8:$H$15,MATCH(Settings!$C$4,Settings!$B$8:$B$15,0))+IF(Settings!$C$25="Yes",0.025,0)+INDEX(Settings!$I$8:$I$15,MATCH(Settings!$C$4,Settings!$B$8:$B$15,0))*(INDEX(Settings!$E$8:$E$15,MATCH(Settings!$C$4,Settings!$B$8:$B$15,0))+N(I110)*Settings!$C$23+INDEX(Settings!$H$8:$H$15,MATCH(Settings!$C$4,Settings!$B$8:$B$15,0))))-Settings!$C$28)-N(D110))))</f>
        <v/>
      </c>
      <c r="Q110" s="1" t="n"/>
    </row>
    <row r="111">
      <c r="A111" s="1" t="n"/>
      <c r="B111" s="25" t="n"/>
      <c r="C111" s="7" t="n"/>
      <c r="D111" s="7" t="n"/>
      <c r="E111" s="7" t="n"/>
      <c r="F111" s="7" t="n"/>
      <c r="G111" s="7" t="n"/>
      <c r="H111" s="12" t="n"/>
      <c r="I111" s="11" t="n"/>
      <c r="J111" s="9">
        <f>IF(B111="","",(N(C111)+N(D111)))</f>
        <v/>
      </c>
      <c r="K111" s="9">
        <f>IF(B111="","",INDEX(Settings!$D$8:$D$15,MATCH(Settings!$C$4,Settings!$B$8:$B$15,0))+INDEX(Settings!$E$8:$E$15,MATCH(Settings!$C$4,Settings!$B$8:$B$15,0))*(N(C111)+N(D111))+INDEX(Settings!$F$8:$F$15,MATCH(Settings!$C$4,Settings!$B$8:$B$15,0))*(N(C111)+N(D111))*(1+Settings!$C$26)+INDEX(Settings!$G$8:$G$15,MATCH(Settings!$C$4,Settings!$B$8:$B$15,0))+N(I111)*MIN(Settings!$C$23*(N(C111)+N(D111)),Settings!$C$24)+INDEX(Settings!$H$8:$H$15,MATCH(Settings!$C$4,Settings!$B$8:$B$15,0))*(N(C111)+N(D111))+IF(Settings!$C$25="Yes",0.025,0)*(N(C111)+N(D111))+INDEX(Settings!$I$8:$I$15,MATCH(Settings!$C$4,Settings!$B$8:$B$15,0))*(INDEX(Settings!$D$8:$D$15,MATCH(Settings!$C$4,Settings!$B$8:$B$15,0))+INDEX(Settings!$E$8:$E$15,MATCH(Settings!$C$4,Settings!$B$8:$B$15,0))*(N(C111)+N(D111))+N(I111)*MIN(Settings!$C$23*(N(C111)+N(D111)),Settings!$C$24)+INDEX(Settings!$H$8:$H$15,MATCH(Settings!$C$4,Settings!$B$8:$B$15,0))*(N(C111)+N(D111))))</f>
        <v/>
      </c>
      <c r="L111" s="9">
        <f>IF(B111="","",N(E111)+N(F111)+N(G111)+N(H111)/60*Settings!$C$27)</f>
        <v/>
      </c>
      <c r="M111" s="20">
        <f>IF(B111="","",J111-K111-L111)</f>
        <v/>
      </c>
      <c r="N111" s="26">
        <f>IF(OR(B111="",N(J111)=0),"",M111/J111)</f>
        <v/>
      </c>
      <c r="O111" s="8">
        <f>IF(B111="","",IF(M111&lt;0,"Loss",IF(N111&lt;Settings!$C$28,"Below target","On target")))</f>
        <v/>
      </c>
      <c r="P111" s="14">
        <f>IF(B111="","",IF(1-(INDEX(Settings!$E$8:$E$15,MATCH(Settings!$C$4,Settings!$B$8:$B$15,0))+INDEX(Settings!$F$8:$F$15,MATCH(Settings!$C$4,Settings!$B$8:$B$15,0))*(1+Settings!$C$26)+N(I111)*Settings!$C$23+INDEX(Settings!$H$8:$H$15,MATCH(Settings!$C$4,Settings!$B$8:$B$15,0))+IF(Settings!$C$25="Yes",0.025,0)+INDEX(Settings!$I$8:$I$15,MATCH(Settings!$C$4,Settings!$B$8:$B$15,0))*(INDEX(Settings!$E$8:$E$15,MATCH(Settings!$C$4,Settings!$B$8:$B$15,0))+N(I111)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111)/(1-(INDEX(Settings!$E$8:$E$15,MATCH(Settings!$C$4,Settings!$B$8:$B$15,0))+INDEX(Settings!$F$8:$F$15,MATCH(Settings!$C$4,Settings!$B$8:$B$15,0))*(1+Settings!$C$26)+N(I111)*Settings!$C$23+INDEX(Settings!$H$8:$H$15,MATCH(Settings!$C$4,Settings!$B$8:$B$15,0))+IF(Settings!$C$25="Yes",0.025,0)+INDEX(Settings!$I$8:$I$15,MATCH(Settings!$C$4,Settings!$B$8:$B$15,0))*(INDEX(Settings!$E$8:$E$15,MATCH(Settings!$C$4,Settings!$B$8:$B$15,0))+N(I111)*Settings!$C$23+INDEX(Settings!$H$8:$H$15,MATCH(Settings!$C$4,Settings!$B$8:$B$15,0))))-Settings!$C$28)-N(D111))))</f>
        <v/>
      </c>
      <c r="Q111" s="1" t="n"/>
    </row>
    <row r="112">
      <c r="A112" s="1" t="n"/>
      <c r="B112" s="25" t="n"/>
      <c r="C112" s="7" t="n"/>
      <c r="D112" s="7" t="n"/>
      <c r="E112" s="7" t="n"/>
      <c r="F112" s="7" t="n"/>
      <c r="G112" s="7" t="n"/>
      <c r="H112" s="12" t="n"/>
      <c r="I112" s="11" t="n"/>
      <c r="J112" s="9">
        <f>IF(B112="","",(N(C112)+N(D112)))</f>
        <v/>
      </c>
      <c r="K112" s="9">
        <f>IF(B112="","",INDEX(Settings!$D$8:$D$15,MATCH(Settings!$C$4,Settings!$B$8:$B$15,0))+INDEX(Settings!$E$8:$E$15,MATCH(Settings!$C$4,Settings!$B$8:$B$15,0))*(N(C112)+N(D112))+INDEX(Settings!$F$8:$F$15,MATCH(Settings!$C$4,Settings!$B$8:$B$15,0))*(N(C112)+N(D112))*(1+Settings!$C$26)+INDEX(Settings!$G$8:$G$15,MATCH(Settings!$C$4,Settings!$B$8:$B$15,0))+N(I112)*MIN(Settings!$C$23*(N(C112)+N(D112)),Settings!$C$24)+INDEX(Settings!$H$8:$H$15,MATCH(Settings!$C$4,Settings!$B$8:$B$15,0))*(N(C112)+N(D112))+IF(Settings!$C$25="Yes",0.025,0)*(N(C112)+N(D112))+INDEX(Settings!$I$8:$I$15,MATCH(Settings!$C$4,Settings!$B$8:$B$15,0))*(INDEX(Settings!$D$8:$D$15,MATCH(Settings!$C$4,Settings!$B$8:$B$15,0))+INDEX(Settings!$E$8:$E$15,MATCH(Settings!$C$4,Settings!$B$8:$B$15,0))*(N(C112)+N(D112))+N(I112)*MIN(Settings!$C$23*(N(C112)+N(D112)),Settings!$C$24)+INDEX(Settings!$H$8:$H$15,MATCH(Settings!$C$4,Settings!$B$8:$B$15,0))*(N(C112)+N(D112))))</f>
        <v/>
      </c>
      <c r="L112" s="9">
        <f>IF(B112="","",N(E112)+N(F112)+N(G112)+N(H112)/60*Settings!$C$27)</f>
        <v/>
      </c>
      <c r="M112" s="20">
        <f>IF(B112="","",J112-K112-L112)</f>
        <v/>
      </c>
      <c r="N112" s="26">
        <f>IF(OR(B112="",N(J112)=0),"",M112/J112)</f>
        <v/>
      </c>
      <c r="O112" s="8">
        <f>IF(B112="","",IF(M112&lt;0,"Loss",IF(N112&lt;Settings!$C$28,"Below target","On target")))</f>
        <v/>
      </c>
      <c r="P112" s="14">
        <f>IF(B112="","",IF(1-(INDEX(Settings!$E$8:$E$15,MATCH(Settings!$C$4,Settings!$B$8:$B$15,0))+INDEX(Settings!$F$8:$F$15,MATCH(Settings!$C$4,Settings!$B$8:$B$15,0))*(1+Settings!$C$26)+N(I112)*Settings!$C$23+INDEX(Settings!$H$8:$H$15,MATCH(Settings!$C$4,Settings!$B$8:$B$15,0))+IF(Settings!$C$25="Yes",0.025,0)+INDEX(Settings!$I$8:$I$15,MATCH(Settings!$C$4,Settings!$B$8:$B$15,0))*(INDEX(Settings!$E$8:$E$15,MATCH(Settings!$C$4,Settings!$B$8:$B$15,0))+N(I112)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112)/(1-(INDEX(Settings!$E$8:$E$15,MATCH(Settings!$C$4,Settings!$B$8:$B$15,0))+INDEX(Settings!$F$8:$F$15,MATCH(Settings!$C$4,Settings!$B$8:$B$15,0))*(1+Settings!$C$26)+N(I112)*Settings!$C$23+INDEX(Settings!$H$8:$H$15,MATCH(Settings!$C$4,Settings!$B$8:$B$15,0))+IF(Settings!$C$25="Yes",0.025,0)+INDEX(Settings!$I$8:$I$15,MATCH(Settings!$C$4,Settings!$B$8:$B$15,0))*(INDEX(Settings!$E$8:$E$15,MATCH(Settings!$C$4,Settings!$B$8:$B$15,0))+N(I112)*Settings!$C$23+INDEX(Settings!$H$8:$H$15,MATCH(Settings!$C$4,Settings!$B$8:$B$15,0))))-Settings!$C$28)-N(D112))))</f>
        <v/>
      </c>
      <c r="Q112" s="1" t="n"/>
    </row>
    <row r="113">
      <c r="A113" s="1" t="n"/>
      <c r="B113" s="25" t="n"/>
      <c r="C113" s="7" t="n"/>
      <c r="D113" s="7" t="n"/>
      <c r="E113" s="7" t="n"/>
      <c r="F113" s="7" t="n"/>
      <c r="G113" s="7" t="n"/>
      <c r="H113" s="12" t="n"/>
      <c r="I113" s="11" t="n"/>
      <c r="J113" s="9">
        <f>IF(B113="","",(N(C113)+N(D113)))</f>
        <v/>
      </c>
      <c r="K113" s="9">
        <f>IF(B113="","",INDEX(Settings!$D$8:$D$15,MATCH(Settings!$C$4,Settings!$B$8:$B$15,0))+INDEX(Settings!$E$8:$E$15,MATCH(Settings!$C$4,Settings!$B$8:$B$15,0))*(N(C113)+N(D113))+INDEX(Settings!$F$8:$F$15,MATCH(Settings!$C$4,Settings!$B$8:$B$15,0))*(N(C113)+N(D113))*(1+Settings!$C$26)+INDEX(Settings!$G$8:$G$15,MATCH(Settings!$C$4,Settings!$B$8:$B$15,0))+N(I113)*MIN(Settings!$C$23*(N(C113)+N(D113)),Settings!$C$24)+INDEX(Settings!$H$8:$H$15,MATCH(Settings!$C$4,Settings!$B$8:$B$15,0))*(N(C113)+N(D113))+IF(Settings!$C$25="Yes",0.025,0)*(N(C113)+N(D113))+INDEX(Settings!$I$8:$I$15,MATCH(Settings!$C$4,Settings!$B$8:$B$15,0))*(INDEX(Settings!$D$8:$D$15,MATCH(Settings!$C$4,Settings!$B$8:$B$15,0))+INDEX(Settings!$E$8:$E$15,MATCH(Settings!$C$4,Settings!$B$8:$B$15,0))*(N(C113)+N(D113))+N(I113)*MIN(Settings!$C$23*(N(C113)+N(D113)),Settings!$C$24)+INDEX(Settings!$H$8:$H$15,MATCH(Settings!$C$4,Settings!$B$8:$B$15,0))*(N(C113)+N(D113))))</f>
        <v/>
      </c>
      <c r="L113" s="9">
        <f>IF(B113="","",N(E113)+N(F113)+N(G113)+N(H113)/60*Settings!$C$27)</f>
        <v/>
      </c>
      <c r="M113" s="20">
        <f>IF(B113="","",J113-K113-L113)</f>
        <v/>
      </c>
      <c r="N113" s="26">
        <f>IF(OR(B113="",N(J113)=0),"",M113/J113)</f>
        <v/>
      </c>
      <c r="O113" s="8">
        <f>IF(B113="","",IF(M113&lt;0,"Loss",IF(N113&lt;Settings!$C$28,"Below target","On target")))</f>
        <v/>
      </c>
      <c r="P113" s="14">
        <f>IF(B113="","",IF(1-(INDEX(Settings!$E$8:$E$15,MATCH(Settings!$C$4,Settings!$B$8:$B$15,0))+INDEX(Settings!$F$8:$F$15,MATCH(Settings!$C$4,Settings!$B$8:$B$15,0))*(1+Settings!$C$26)+N(I113)*Settings!$C$23+INDEX(Settings!$H$8:$H$15,MATCH(Settings!$C$4,Settings!$B$8:$B$15,0))+IF(Settings!$C$25="Yes",0.025,0)+INDEX(Settings!$I$8:$I$15,MATCH(Settings!$C$4,Settings!$B$8:$B$15,0))*(INDEX(Settings!$E$8:$E$15,MATCH(Settings!$C$4,Settings!$B$8:$B$15,0))+N(I113)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113)/(1-(INDEX(Settings!$E$8:$E$15,MATCH(Settings!$C$4,Settings!$B$8:$B$15,0))+INDEX(Settings!$F$8:$F$15,MATCH(Settings!$C$4,Settings!$B$8:$B$15,0))*(1+Settings!$C$26)+N(I113)*Settings!$C$23+INDEX(Settings!$H$8:$H$15,MATCH(Settings!$C$4,Settings!$B$8:$B$15,0))+IF(Settings!$C$25="Yes",0.025,0)+INDEX(Settings!$I$8:$I$15,MATCH(Settings!$C$4,Settings!$B$8:$B$15,0))*(INDEX(Settings!$E$8:$E$15,MATCH(Settings!$C$4,Settings!$B$8:$B$15,0))+N(I113)*Settings!$C$23+INDEX(Settings!$H$8:$H$15,MATCH(Settings!$C$4,Settings!$B$8:$B$15,0))))-Settings!$C$28)-N(D113))))</f>
        <v/>
      </c>
      <c r="Q113" s="1" t="n"/>
    </row>
    <row r="114">
      <c r="A114" s="1" t="n"/>
      <c r="B114" s="25" t="n"/>
      <c r="C114" s="7" t="n"/>
      <c r="D114" s="7" t="n"/>
      <c r="E114" s="7" t="n"/>
      <c r="F114" s="7" t="n"/>
      <c r="G114" s="7" t="n"/>
      <c r="H114" s="12" t="n"/>
      <c r="I114" s="11" t="n"/>
      <c r="J114" s="9">
        <f>IF(B114="","",(N(C114)+N(D114)))</f>
        <v/>
      </c>
      <c r="K114" s="9">
        <f>IF(B114="","",INDEX(Settings!$D$8:$D$15,MATCH(Settings!$C$4,Settings!$B$8:$B$15,0))+INDEX(Settings!$E$8:$E$15,MATCH(Settings!$C$4,Settings!$B$8:$B$15,0))*(N(C114)+N(D114))+INDEX(Settings!$F$8:$F$15,MATCH(Settings!$C$4,Settings!$B$8:$B$15,0))*(N(C114)+N(D114))*(1+Settings!$C$26)+INDEX(Settings!$G$8:$G$15,MATCH(Settings!$C$4,Settings!$B$8:$B$15,0))+N(I114)*MIN(Settings!$C$23*(N(C114)+N(D114)),Settings!$C$24)+INDEX(Settings!$H$8:$H$15,MATCH(Settings!$C$4,Settings!$B$8:$B$15,0))*(N(C114)+N(D114))+IF(Settings!$C$25="Yes",0.025,0)*(N(C114)+N(D114))+INDEX(Settings!$I$8:$I$15,MATCH(Settings!$C$4,Settings!$B$8:$B$15,0))*(INDEX(Settings!$D$8:$D$15,MATCH(Settings!$C$4,Settings!$B$8:$B$15,0))+INDEX(Settings!$E$8:$E$15,MATCH(Settings!$C$4,Settings!$B$8:$B$15,0))*(N(C114)+N(D114))+N(I114)*MIN(Settings!$C$23*(N(C114)+N(D114)),Settings!$C$24)+INDEX(Settings!$H$8:$H$15,MATCH(Settings!$C$4,Settings!$B$8:$B$15,0))*(N(C114)+N(D114))))</f>
        <v/>
      </c>
      <c r="L114" s="9">
        <f>IF(B114="","",N(E114)+N(F114)+N(G114)+N(H114)/60*Settings!$C$27)</f>
        <v/>
      </c>
      <c r="M114" s="20">
        <f>IF(B114="","",J114-K114-L114)</f>
        <v/>
      </c>
      <c r="N114" s="26">
        <f>IF(OR(B114="",N(J114)=0),"",M114/J114)</f>
        <v/>
      </c>
      <c r="O114" s="8">
        <f>IF(B114="","",IF(M114&lt;0,"Loss",IF(N114&lt;Settings!$C$28,"Below target","On target")))</f>
        <v/>
      </c>
      <c r="P114" s="14">
        <f>IF(B114="","",IF(1-(INDEX(Settings!$E$8:$E$15,MATCH(Settings!$C$4,Settings!$B$8:$B$15,0))+INDEX(Settings!$F$8:$F$15,MATCH(Settings!$C$4,Settings!$B$8:$B$15,0))*(1+Settings!$C$26)+N(I114)*Settings!$C$23+INDEX(Settings!$H$8:$H$15,MATCH(Settings!$C$4,Settings!$B$8:$B$15,0))+IF(Settings!$C$25="Yes",0.025,0)+INDEX(Settings!$I$8:$I$15,MATCH(Settings!$C$4,Settings!$B$8:$B$15,0))*(INDEX(Settings!$E$8:$E$15,MATCH(Settings!$C$4,Settings!$B$8:$B$15,0))+N(I114)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114)/(1-(INDEX(Settings!$E$8:$E$15,MATCH(Settings!$C$4,Settings!$B$8:$B$15,0))+INDEX(Settings!$F$8:$F$15,MATCH(Settings!$C$4,Settings!$B$8:$B$15,0))*(1+Settings!$C$26)+N(I114)*Settings!$C$23+INDEX(Settings!$H$8:$H$15,MATCH(Settings!$C$4,Settings!$B$8:$B$15,0))+IF(Settings!$C$25="Yes",0.025,0)+INDEX(Settings!$I$8:$I$15,MATCH(Settings!$C$4,Settings!$B$8:$B$15,0))*(INDEX(Settings!$E$8:$E$15,MATCH(Settings!$C$4,Settings!$B$8:$B$15,0))+N(I114)*Settings!$C$23+INDEX(Settings!$H$8:$H$15,MATCH(Settings!$C$4,Settings!$B$8:$B$15,0))))-Settings!$C$28)-N(D114))))</f>
        <v/>
      </c>
      <c r="Q114" s="1" t="n"/>
    </row>
    <row r="115">
      <c r="A115" s="1" t="n"/>
      <c r="B115" s="25" t="n"/>
      <c r="C115" s="7" t="n"/>
      <c r="D115" s="7" t="n"/>
      <c r="E115" s="7" t="n"/>
      <c r="F115" s="7" t="n"/>
      <c r="G115" s="7" t="n"/>
      <c r="H115" s="12" t="n"/>
      <c r="I115" s="11" t="n"/>
      <c r="J115" s="9">
        <f>IF(B115="","",(N(C115)+N(D115)))</f>
        <v/>
      </c>
      <c r="K115" s="9">
        <f>IF(B115="","",INDEX(Settings!$D$8:$D$15,MATCH(Settings!$C$4,Settings!$B$8:$B$15,0))+INDEX(Settings!$E$8:$E$15,MATCH(Settings!$C$4,Settings!$B$8:$B$15,0))*(N(C115)+N(D115))+INDEX(Settings!$F$8:$F$15,MATCH(Settings!$C$4,Settings!$B$8:$B$15,0))*(N(C115)+N(D115))*(1+Settings!$C$26)+INDEX(Settings!$G$8:$G$15,MATCH(Settings!$C$4,Settings!$B$8:$B$15,0))+N(I115)*MIN(Settings!$C$23*(N(C115)+N(D115)),Settings!$C$24)+INDEX(Settings!$H$8:$H$15,MATCH(Settings!$C$4,Settings!$B$8:$B$15,0))*(N(C115)+N(D115))+IF(Settings!$C$25="Yes",0.025,0)*(N(C115)+N(D115))+INDEX(Settings!$I$8:$I$15,MATCH(Settings!$C$4,Settings!$B$8:$B$15,0))*(INDEX(Settings!$D$8:$D$15,MATCH(Settings!$C$4,Settings!$B$8:$B$15,0))+INDEX(Settings!$E$8:$E$15,MATCH(Settings!$C$4,Settings!$B$8:$B$15,0))*(N(C115)+N(D115))+N(I115)*MIN(Settings!$C$23*(N(C115)+N(D115)),Settings!$C$24)+INDEX(Settings!$H$8:$H$15,MATCH(Settings!$C$4,Settings!$B$8:$B$15,0))*(N(C115)+N(D115))))</f>
        <v/>
      </c>
      <c r="L115" s="9">
        <f>IF(B115="","",N(E115)+N(F115)+N(G115)+N(H115)/60*Settings!$C$27)</f>
        <v/>
      </c>
      <c r="M115" s="20">
        <f>IF(B115="","",J115-K115-L115)</f>
        <v/>
      </c>
      <c r="N115" s="26">
        <f>IF(OR(B115="",N(J115)=0),"",M115/J115)</f>
        <v/>
      </c>
      <c r="O115" s="8">
        <f>IF(B115="","",IF(M115&lt;0,"Loss",IF(N115&lt;Settings!$C$28,"Below target","On target")))</f>
        <v/>
      </c>
      <c r="P115" s="14">
        <f>IF(B115="","",IF(1-(INDEX(Settings!$E$8:$E$15,MATCH(Settings!$C$4,Settings!$B$8:$B$15,0))+INDEX(Settings!$F$8:$F$15,MATCH(Settings!$C$4,Settings!$B$8:$B$15,0))*(1+Settings!$C$26)+N(I115)*Settings!$C$23+INDEX(Settings!$H$8:$H$15,MATCH(Settings!$C$4,Settings!$B$8:$B$15,0))+IF(Settings!$C$25="Yes",0.025,0)+INDEX(Settings!$I$8:$I$15,MATCH(Settings!$C$4,Settings!$B$8:$B$15,0))*(INDEX(Settings!$E$8:$E$15,MATCH(Settings!$C$4,Settings!$B$8:$B$15,0))+N(I115)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115)/(1-(INDEX(Settings!$E$8:$E$15,MATCH(Settings!$C$4,Settings!$B$8:$B$15,0))+INDEX(Settings!$F$8:$F$15,MATCH(Settings!$C$4,Settings!$B$8:$B$15,0))*(1+Settings!$C$26)+N(I115)*Settings!$C$23+INDEX(Settings!$H$8:$H$15,MATCH(Settings!$C$4,Settings!$B$8:$B$15,0))+IF(Settings!$C$25="Yes",0.025,0)+INDEX(Settings!$I$8:$I$15,MATCH(Settings!$C$4,Settings!$B$8:$B$15,0))*(INDEX(Settings!$E$8:$E$15,MATCH(Settings!$C$4,Settings!$B$8:$B$15,0))+N(I115)*Settings!$C$23+INDEX(Settings!$H$8:$H$15,MATCH(Settings!$C$4,Settings!$B$8:$B$15,0))))-Settings!$C$28)-N(D115))))</f>
        <v/>
      </c>
      <c r="Q115" s="1" t="n"/>
    </row>
    <row r="116">
      <c r="A116" s="1" t="n"/>
      <c r="B116" s="25" t="n"/>
      <c r="C116" s="7" t="n"/>
      <c r="D116" s="7" t="n"/>
      <c r="E116" s="7" t="n"/>
      <c r="F116" s="7" t="n"/>
      <c r="G116" s="7" t="n"/>
      <c r="H116" s="12" t="n"/>
      <c r="I116" s="11" t="n"/>
      <c r="J116" s="9">
        <f>IF(B116="","",(N(C116)+N(D116)))</f>
        <v/>
      </c>
      <c r="K116" s="9">
        <f>IF(B116="","",INDEX(Settings!$D$8:$D$15,MATCH(Settings!$C$4,Settings!$B$8:$B$15,0))+INDEX(Settings!$E$8:$E$15,MATCH(Settings!$C$4,Settings!$B$8:$B$15,0))*(N(C116)+N(D116))+INDEX(Settings!$F$8:$F$15,MATCH(Settings!$C$4,Settings!$B$8:$B$15,0))*(N(C116)+N(D116))*(1+Settings!$C$26)+INDEX(Settings!$G$8:$G$15,MATCH(Settings!$C$4,Settings!$B$8:$B$15,0))+N(I116)*MIN(Settings!$C$23*(N(C116)+N(D116)),Settings!$C$24)+INDEX(Settings!$H$8:$H$15,MATCH(Settings!$C$4,Settings!$B$8:$B$15,0))*(N(C116)+N(D116))+IF(Settings!$C$25="Yes",0.025,0)*(N(C116)+N(D116))+INDEX(Settings!$I$8:$I$15,MATCH(Settings!$C$4,Settings!$B$8:$B$15,0))*(INDEX(Settings!$D$8:$D$15,MATCH(Settings!$C$4,Settings!$B$8:$B$15,0))+INDEX(Settings!$E$8:$E$15,MATCH(Settings!$C$4,Settings!$B$8:$B$15,0))*(N(C116)+N(D116))+N(I116)*MIN(Settings!$C$23*(N(C116)+N(D116)),Settings!$C$24)+INDEX(Settings!$H$8:$H$15,MATCH(Settings!$C$4,Settings!$B$8:$B$15,0))*(N(C116)+N(D116))))</f>
        <v/>
      </c>
      <c r="L116" s="9">
        <f>IF(B116="","",N(E116)+N(F116)+N(G116)+N(H116)/60*Settings!$C$27)</f>
        <v/>
      </c>
      <c r="M116" s="20">
        <f>IF(B116="","",J116-K116-L116)</f>
        <v/>
      </c>
      <c r="N116" s="26">
        <f>IF(OR(B116="",N(J116)=0),"",M116/J116)</f>
        <v/>
      </c>
      <c r="O116" s="8">
        <f>IF(B116="","",IF(M116&lt;0,"Loss",IF(N116&lt;Settings!$C$28,"Below target","On target")))</f>
        <v/>
      </c>
      <c r="P116" s="14">
        <f>IF(B116="","",IF(1-(INDEX(Settings!$E$8:$E$15,MATCH(Settings!$C$4,Settings!$B$8:$B$15,0))+INDEX(Settings!$F$8:$F$15,MATCH(Settings!$C$4,Settings!$B$8:$B$15,0))*(1+Settings!$C$26)+N(I116)*Settings!$C$23+INDEX(Settings!$H$8:$H$15,MATCH(Settings!$C$4,Settings!$B$8:$B$15,0))+IF(Settings!$C$25="Yes",0.025,0)+INDEX(Settings!$I$8:$I$15,MATCH(Settings!$C$4,Settings!$B$8:$B$15,0))*(INDEX(Settings!$E$8:$E$15,MATCH(Settings!$C$4,Settings!$B$8:$B$15,0))+N(I116)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116)/(1-(INDEX(Settings!$E$8:$E$15,MATCH(Settings!$C$4,Settings!$B$8:$B$15,0))+INDEX(Settings!$F$8:$F$15,MATCH(Settings!$C$4,Settings!$B$8:$B$15,0))*(1+Settings!$C$26)+N(I116)*Settings!$C$23+INDEX(Settings!$H$8:$H$15,MATCH(Settings!$C$4,Settings!$B$8:$B$15,0))+IF(Settings!$C$25="Yes",0.025,0)+INDEX(Settings!$I$8:$I$15,MATCH(Settings!$C$4,Settings!$B$8:$B$15,0))*(INDEX(Settings!$E$8:$E$15,MATCH(Settings!$C$4,Settings!$B$8:$B$15,0))+N(I116)*Settings!$C$23+INDEX(Settings!$H$8:$H$15,MATCH(Settings!$C$4,Settings!$B$8:$B$15,0))))-Settings!$C$28)-N(D116))))</f>
        <v/>
      </c>
      <c r="Q116" s="1" t="n"/>
    </row>
    <row r="117">
      <c r="A117" s="1" t="n"/>
      <c r="B117" s="25" t="n"/>
      <c r="C117" s="7" t="n"/>
      <c r="D117" s="7" t="n"/>
      <c r="E117" s="7" t="n"/>
      <c r="F117" s="7" t="n"/>
      <c r="G117" s="7" t="n"/>
      <c r="H117" s="12" t="n"/>
      <c r="I117" s="11" t="n"/>
      <c r="J117" s="9">
        <f>IF(B117="","",(N(C117)+N(D117)))</f>
        <v/>
      </c>
      <c r="K117" s="9">
        <f>IF(B117="","",INDEX(Settings!$D$8:$D$15,MATCH(Settings!$C$4,Settings!$B$8:$B$15,0))+INDEX(Settings!$E$8:$E$15,MATCH(Settings!$C$4,Settings!$B$8:$B$15,0))*(N(C117)+N(D117))+INDEX(Settings!$F$8:$F$15,MATCH(Settings!$C$4,Settings!$B$8:$B$15,0))*(N(C117)+N(D117))*(1+Settings!$C$26)+INDEX(Settings!$G$8:$G$15,MATCH(Settings!$C$4,Settings!$B$8:$B$15,0))+N(I117)*MIN(Settings!$C$23*(N(C117)+N(D117)),Settings!$C$24)+INDEX(Settings!$H$8:$H$15,MATCH(Settings!$C$4,Settings!$B$8:$B$15,0))*(N(C117)+N(D117))+IF(Settings!$C$25="Yes",0.025,0)*(N(C117)+N(D117))+INDEX(Settings!$I$8:$I$15,MATCH(Settings!$C$4,Settings!$B$8:$B$15,0))*(INDEX(Settings!$D$8:$D$15,MATCH(Settings!$C$4,Settings!$B$8:$B$15,0))+INDEX(Settings!$E$8:$E$15,MATCH(Settings!$C$4,Settings!$B$8:$B$15,0))*(N(C117)+N(D117))+N(I117)*MIN(Settings!$C$23*(N(C117)+N(D117)),Settings!$C$24)+INDEX(Settings!$H$8:$H$15,MATCH(Settings!$C$4,Settings!$B$8:$B$15,0))*(N(C117)+N(D117))))</f>
        <v/>
      </c>
      <c r="L117" s="9">
        <f>IF(B117="","",N(E117)+N(F117)+N(G117)+N(H117)/60*Settings!$C$27)</f>
        <v/>
      </c>
      <c r="M117" s="20">
        <f>IF(B117="","",J117-K117-L117)</f>
        <v/>
      </c>
      <c r="N117" s="26">
        <f>IF(OR(B117="",N(J117)=0),"",M117/J117)</f>
        <v/>
      </c>
      <c r="O117" s="8">
        <f>IF(B117="","",IF(M117&lt;0,"Loss",IF(N117&lt;Settings!$C$28,"Below target","On target")))</f>
        <v/>
      </c>
      <c r="P117" s="14">
        <f>IF(B117="","",IF(1-(INDEX(Settings!$E$8:$E$15,MATCH(Settings!$C$4,Settings!$B$8:$B$15,0))+INDEX(Settings!$F$8:$F$15,MATCH(Settings!$C$4,Settings!$B$8:$B$15,0))*(1+Settings!$C$26)+N(I117)*Settings!$C$23+INDEX(Settings!$H$8:$H$15,MATCH(Settings!$C$4,Settings!$B$8:$B$15,0))+IF(Settings!$C$25="Yes",0.025,0)+INDEX(Settings!$I$8:$I$15,MATCH(Settings!$C$4,Settings!$B$8:$B$15,0))*(INDEX(Settings!$E$8:$E$15,MATCH(Settings!$C$4,Settings!$B$8:$B$15,0))+N(I117)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117)/(1-(INDEX(Settings!$E$8:$E$15,MATCH(Settings!$C$4,Settings!$B$8:$B$15,0))+INDEX(Settings!$F$8:$F$15,MATCH(Settings!$C$4,Settings!$B$8:$B$15,0))*(1+Settings!$C$26)+N(I117)*Settings!$C$23+INDEX(Settings!$H$8:$H$15,MATCH(Settings!$C$4,Settings!$B$8:$B$15,0))+IF(Settings!$C$25="Yes",0.025,0)+INDEX(Settings!$I$8:$I$15,MATCH(Settings!$C$4,Settings!$B$8:$B$15,0))*(INDEX(Settings!$E$8:$E$15,MATCH(Settings!$C$4,Settings!$B$8:$B$15,0))+N(I117)*Settings!$C$23+INDEX(Settings!$H$8:$H$15,MATCH(Settings!$C$4,Settings!$B$8:$B$15,0))))-Settings!$C$28)-N(D117))))</f>
        <v/>
      </c>
      <c r="Q117" s="1" t="n"/>
    </row>
    <row r="118">
      <c r="A118" s="1" t="n"/>
      <c r="B118" s="25" t="n"/>
      <c r="C118" s="7" t="n"/>
      <c r="D118" s="7" t="n"/>
      <c r="E118" s="7" t="n"/>
      <c r="F118" s="7" t="n"/>
      <c r="G118" s="7" t="n"/>
      <c r="H118" s="12" t="n"/>
      <c r="I118" s="11" t="n"/>
      <c r="J118" s="9">
        <f>IF(B118="","",(N(C118)+N(D118)))</f>
        <v/>
      </c>
      <c r="K118" s="9">
        <f>IF(B118="","",INDEX(Settings!$D$8:$D$15,MATCH(Settings!$C$4,Settings!$B$8:$B$15,0))+INDEX(Settings!$E$8:$E$15,MATCH(Settings!$C$4,Settings!$B$8:$B$15,0))*(N(C118)+N(D118))+INDEX(Settings!$F$8:$F$15,MATCH(Settings!$C$4,Settings!$B$8:$B$15,0))*(N(C118)+N(D118))*(1+Settings!$C$26)+INDEX(Settings!$G$8:$G$15,MATCH(Settings!$C$4,Settings!$B$8:$B$15,0))+N(I118)*MIN(Settings!$C$23*(N(C118)+N(D118)),Settings!$C$24)+INDEX(Settings!$H$8:$H$15,MATCH(Settings!$C$4,Settings!$B$8:$B$15,0))*(N(C118)+N(D118))+IF(Settings!$C$25="Yes",0.025,0)*(N(C118)+N(D118))+INDEX(Settings!$I$8:$I$15,MATCH(Settings!$C$4,Settings!$B$8:$B$15,0))*(INDEX(Settings!$D$8:$D$15,MATCH(Settings!$C$4,Settings!$B$8:$B$15,0))+INDEX(Settings!$E$8:$E$15,MATCH(Settings!$C$4,Settings!$B$8:$B$15,0))*(N(C118)+N(D118))+N(I118)*MIN(Settings!$C$23*(N(C118)+N(D118)),Settings!$C$24)+INDEX(Settings!$H$8:$H$15,MATCH(Settings!$C$4,Settings!$B$8:$B$15,0))*(N(C118)+N(D118))))</f>
        <v/>
      </c>
      <c r="L118" s="9">
        <f>IF(B118="","",N(E118)+N(F118)+N(G118)+N(H118)/60*Settings!$C$27)</f>
        <v/>
      </c>
      <c r="M118" s="20">
        <f>IF(B118="","",J118-K118-L118)</f>
        <v/>
      </c>
      <c r="N118" s="26">
        <f>IF(OR(B118="",N(J118)=0),"",M118/J118)</f>
        <v/>
      </c>
      <c r="O118" s="8">
        <f>IF(B118="","",IF(M118&lt;0,"Loss",IF(N118&lt;Settings!$C$28,"Below target","On target")))</f>
        <v/>
      </c>
      <c r="P118" s="14">
        <f>IF(B118="","",IF(1-(INDEX(Settings!$E$8:$E$15,MATCH(Settings!$C$4,Settings!$B$8:$B$15,0))+INDEX(Settings!$F$8:$F$15,MATCH(Settings!$C$4,Settings!$B$8:$B$15,0))*(1+Settings!$C$26)+N(I118)*Settings!$C$23+INDEX(Settings!$H$8:$H$15,MATCH(Settings!$C$4,Settings!$B$8:$B$15,0))+IF(Settings!$C$25="Yes",0.025,0)+INDEX(Settings!$I$8:$I$15,MATCH(Settings!$C$4,Settings!$B$8:$B$15,0))*(INDEX(Settings!$E$8:$E$15,MATCH(Settings!$C$4,Settings!$B$8:$B$15,0))+N(I118)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118)/(1-(INDEX(Settings!$E$8:$E$15,MATCH(Settings!$C$4,Settings!$B$8:$B$15,0))+INDEX(Settings!$F$8:$F$15,MATCH(Settings!$C$4,Settings!$B$8:$B$15,0))*(1+Settings!$C$26)+N(I118)*Settings!$C$23+INDEX(Settings!$H$8:$H$15,MATCH(Settings!$C$4,Settings!$B$8:$B$15,0))+IF(Settings!$C$25="Yes",0.025,0)+INDEX(Settings!$I$8:$I$15,MATCH(Settings!$C$4,Settings!$B$8:$B$15,0))*(INDEX(Settings!$E$8:$E$15,MATCH(Settings!$C$4,Settings!$B$8:$B$15,0))+N(I118)*Settings!$C$23+INDEX(Settings!$H$8:$H$15,MATCH(Settings!$C$4,Settings!$B$8:$B$15,0))))-Settings!$C$28)-N(D118))))</f>
        <v/>
      </c>
      <c r="Q118" s="1" t="n"/>
    </row>
    <row r="119">
      <c r="A119" s="1" t="n"/>
      <c r="B119" s="25" t="n"/>
      <c r="C119" s="7" t="n"/>
      <c r="D119" s="7" t="n"/>
      <c r="E119" s="7" t="n"/>
      <c r="F119" s="7" t="n"/>
      <c r="G119" s="7" t="n"/>
      <c r="H119" s="12" t="n"/>
      <c r="I119" s="11" t="n"/>
      <c r="J119" s="9">
        <f>IF(B119="","",(N(C119)+N(D119)))</f>
        <v/>
      </c>
      <c r="K119" s="9">
        <f>IF(B119="","",INDEX(Settings!$D$8:$D$15,MATCH(Settings!$C$4,Settings!$B$8:$B$15,0))+INDEX(Settings!$E$8:$E$15,MATCH(Settings!$C$4,Settings!$B$8:$B$15,0))*(N(C119)+N(D119))+INDEX(Settings!$F$8:$F$15,MATCH(Settings!$C$4,Settings!$B$8:$B$15,0))*(N(C119)+N(D119))*(1+Settings!$C$26)+INDEX(Settings!$G$8:$G$15,MATCH(Settings!$C$4,Settings!$B$8:$B$15,0))+N(I119)*MIN(Settings!$C$23*(N(C119)+N(D119)),Settings!$C$24)+INDEX(Settings!$H$8:$H$15,MATCH(Settings!$C$4,Settings!$B$8:$B$15,0))*(N(C119)+N(D119))+IF(Settings!$C$25="Yes",0.025,0)*(N(C119)+N(D119))+INDEX(Settings!$I$8:$I$15,MATCH(Settings!$C$4,Settings!$B$8:$B$15,0))*(INDEX(Settings!$D$8:$D$15,MATCH(Settings!$C$4,Settings!$B$8:$B$15,0))+INDEX(Settings!$E$8:$E$15,MATCH(Settings!$C$4,Settings!$B$8:$B$15,0))*(N(C119)+N(D119))+N(I119)*MIN(Settings!$C$23*(N(C119)+N(D119)),Settings!$C$24)+INDEX(Settings!$H$8:$H$15,MATCH(Settings!$C$4,Settings!$B$8:$B$15,0))*(N(C119)+N(D119))))</f>
        <v/>
      </c>
      <c r="L119" s="9">
        <f>IF(B119="","",N(E119)+N(F119)+N(G119)+N(H119)/60*Settings!$C$27)</f>
        <v/>
      </c>
      <c r="M119" s="20">
        <f>IF(B119="","",J119-K119-L119)</f>
        <v/>
      </c>
      <c r="N119" s="26">
        <f>IF(OR(B119="",N(J119)=0),"",M119/J119)</f>
        <v/>
      </c>
      <c r="O119" s="8">
        <f>IF(B119="","",IF(M119&lt;0,"Loss",IF(N119&lt;Settings!$C$28,"Below target","On target")))</f>
        <v/>
      </c>
      <c r="P119" s="14">
        <f>IF(B119="","",IF(1-(INDEX(Settings!$E$8:$E$15,MATCH(Settings!$C$4,Settings!$B$8:$B$15,0))+INDEX(Settings!$F$8:$F$15,MATCH(Settings!$C$4,Settings!$B$8:$B$15,0))*(1+Settings!$C$26)+N(I119)*Settings!$C$23+INDEX(Settings!$H$8:$H$15,MATCH(Settings!$C$4,Settings!$B$8:$B$15,0))+IF(Settings!$C$25="Yes",0.025,0)+INDEX(Settings!$I$8:$I$15,MATCH(Settings!$C$4,Settings!$B$8:$B$15,0))*(INDEX(Settings!$E$8:$E$15,MATCH(Settings!$C$4,Settings!$B$8:$B$15,0))+N(I119)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119)/(1-(INDEX(Settings!$E$8:$E$15,MATCH(Settings!$C$4,Settings!$B$8:$B$15,0))+INDEX(Settings!$F$8:$F$15,MATCH(Settings!$C$4,Settings!$B$8:$B$15,0))*(1+Settings!$C$26)+N(I119)*Settings!$C$23+INDEX(Settings!$H$8:$H$15,MATCH(Settings!$C$4,Settings!$B$8:$B$15,0))+IF(Settings!$C$25="Yes",0.025,0)+INDEX(Settings!$I$8:$I$15,MATCH(Settings!$C$4,Settings!$B$8:$B$15,0))*(INDEX(Settings!$E$8:$E$15,MATCH(Settings!$C$4,Settings!$B$8:$B$15,0))+N(I119)*Settings!$C$23+INDEX(Settings!$H$8:$H$15,MATCH(Settings!$C$4,Settings!$B$8:$B$15,0))))-Settings!$C$28)-N(D119))))</f>
        <v/>
      </c>
      <c r="Q119" s="1" t="n"/>
    </row>
    <row r="120">
      <c r="A120" s="1" t="n"/>
      <c r="B120" s="25" t="n"/>
      <c r="C120" s="7" t="n"/>
      <c r="D120" s="7" t="n"/>
      <c r="E120" s="7" t="n"/>
      <c r="F120" s="7" t="n"/>
      <c r="G120" s="7" t="n"/>
      <c r="H120" s="12" t="n"/>
      <c r="I120" s="11" t="n"/>
      <c r="J120" s="9">
        <f>IF(B120="","",(N(C120)+N(D120)))</f>
        <v/>
      </c>
      <c r="K120" s="9">
        <f>IF(B120="","",INDEX(Settings!$D$8:$D$15,MATCH(Settings!$C$4,Settings!$B$8:$B$15,0))+INDEX(Settings!$E$8:$E$15,MATCH(Settings!$C$4,Settings!$B$8:$B$15,0))*(N(C120)+N(D120))+INDEX(Settings!$F$8:$F$15,MATCH(Settings!$C$4,Settings!$B$8:$B$15,0))*(N(C120)+N(D120))*(1+Settings!$C$26)+INDEX(Settings!$G$8:$G$15,MATCH(Settings!$C$4,Settings!$B$8:$B$15,0))+N(I120)*MIN(Settings!$C$23*(N(C120)+N(D120)),Settings!$C$24)+INDEX(Settings!$H$8:$H$15,MATCH(Settings!$C$4,Settings!$B$8:$B$15,0))*(N(C120)+N(D120))+IF(Settings!$C$25="Yes",0.025,0)*(N(C120)+N(D120))+INDEX(Settings!$I$8:$I$15,MATCH(Settings!$C$4,Settings!$B$8:$B$15,0))*(INDEX(Settings!$D$8:$D$15,MATCH(Settings!$C$4,Settings!$B$8:$B$15,0))+INDEX(Settings!$E$8:$E$15,MATCH(Settings!$C$4,Settings!$B$8:$B$15,0))*(N(C120)+N(D120))+N(I120)*MIN(Settings!$C$23*(N(C120)+N(D120)),Settings!$C$24)+INDEX(Settings!$H$8:$H$15,MATCH(Settings!$C$4,Settings!$B$8:$B$15,0))*(N(C120)+N(D120))))</f>
        <v/>
      </c>
      <c r="L120" s="9">
        <f>IF(B120="","",N(E120)+N(F120)+N(G120)+N(H120)/60*Settings!$C$27)</f>
        <v/>
      </c>
      <c r="M120" s="20">
        <f>IF(B120="","",J120-K120-L120)</f>
        <v/>
      </c>
      <c r="N120" s="26">
        <f>IF(OR(B120="",N(J120)=0),"",M120/J120)</f>
        <v/>
      </c>
      <c r="O120" s="8">
        <f>IF(B120="","",IF(M120&lt;0,"Loss",IF(N120&lt;Settings!$C$28,"Below target","On target")))</f>
        <v/>
      </c>
      <c r="P120" s="14">
        <f>IF(B120="","",IF(1-(INDEX(Settings!$E$8:$E$15,MATCH(Settings!$C$4,Settings!$B$8:$B$15,0))+INDEX(Settings!$F$8:$F$15,MATCH(Settings!$C$4,Settings!$B$8:$B$15,0))*(1+Settings!$C$26)+N(I120)*Settings!$C$23+INDEX(Settings!$H$8:$H$15,MATCH(Settings!$C$4,Settings!$B$8:$B$15,0))+IF(Settings!$C$25="Yes",0.025,0)+INDEX(Settings!$I$8:$I$15,MATCH(Settings!$C$4,Settings!$B$8:$B$15,0))*(INDEX(Settings!$E$8:$E$15,MATCH(Settings!$C$4,Settings!$B$8:$B$15,0))+N(I120)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120)/(1-(INDEX(Settings!$E$8:$E$15,MATCH(Settings!$C$4,Settings!$B$8:$B$15,0))+INDEX(Settings!$F$8:$F$15,MATCH(Settings!$C$4,Settings!$B$8:$B$15,0))*(1+Settings!$C$26)+N(I120)*Settings!$C$23+INDEX(Settings!$H$8:$H$15,MATCH(Settings!$C$4,Settings!$B$8:$B$15,0))+IF(Settings!$C$25="Yes",0.025,0)+INDEX(Settings!$I$8:$I$15,MATCH(Settings!$C$4,Settings!$B$8:$B$15,0))*(INDEX(Settings!$E$8:$E$15,MATCH(Settings!$C$4,Settings!$B$8:$B$15,0))+N(I120)*Settings!$C$23+INDEX(Settings!$H$8:$H$15,MATCH(Settings!$C$4,Settings!$B$8:$B$15,0))))-Settings!$C$28)-N(D120))))</f>
        <v/>
      </c>
      <c r="Q120" s="1" t="n"/>
    </row>
    <row r="121">
      <c r="A121" s="1" t="n"/>
      <c r="B121" s="25" t="n"/>
      <c r="C121" s="7" t="n"/>
      <c r="D121" s="7" t="n"/>
      <c r="E121" s="7" t="n"/>
      <c r="F121" s="7" t="n"/>
      <c r="G121" s="7" t="n"/>
      <c r="H121" s="12" t="n"/>
      <c r="I121" s="11" t="n"/>
      <c r="J121" s="9">
        <f>IF(B121="","",(N(C121)+N(D121)))</f>
        <v/>
      </c>
      <c r="K121" s="9">
        <f>IF(B121="","",INDEX(Settings!$D$8:$D$15,MATCH(Settings!$C$4,Settings!$B$8:$B$15,0))+INDEX(Settings!$E$8:$E$15,MATCH(Settings!$C$4,Settings!$B$8:$B$15,0))*(N(C121)+N(D121))+INDEX(Settings!$F$8:$F$15,MATCH(Settings!$C$4,Settings!$B$8:$B$15,0))*(N(C121)+N(D121))*(1+Settings!$C$26)+INDEX(Settings!$G$8:$G$15,MATCH(Settings!$C$4,Settings!$B$8:$B$15,0))+N(I121)*MIN(Settings!$C$23*(N(C121)+N(D121)),Settings!$C$24)+INDEX(Settings!$H$8:$H$15,MATCH(Settings!$C$4,Settings!$B$8:$B$15,0))*(N(C121)+N(D121))+IF(Settings!$C$25="Yes",0.025,0)*(N(C121)+N(D121))+INDEX(Settings!$I$8:$I$15,MATCH(Settings!$C$4,Settings!$B$8:$B$15,0))*(INDEX(Settings!$D$8:$D$15,MATCH(Settings!$C$4,Settings!$B$8:$B$15,0))+INDEX(Settings!$E$8:$E$15,MATCH(Settings!$C$4,Settings!$B$8:$B$15,0))*(N(C121)+N(D121))+N(I121)*MIN(Settings!$C$23*(N(C121)+N(D121)),Settings!$C$24)+INDEX(Settings!$H$8:$H$15,MATCH(Settings!$C$4,Settings!$B$8:$B$15,0))*(N(C121)+N(D121))))</f>
        <v/>
      </c>
      <c r="L121" s="9">
        <f>IF(B121="","",N(E121)+N(F121)+N(G121)+N(H121)/60*Settings!$C$27)</f>
        <v/>
      </c>
      <c r="M121" s="20">
        <f>IF(B121="","",J121-K121-L121)</f>
        <v/>
      </c>
      <c r="N121" s="26">
        <f>IF(OR(B121="",N(J121)=0),"",M121/J121)</f>
        <v/>
      </c>
      <c r="O121" s="8">
        <f>IF(B121="","",IF(M121&lt;0,"Loss",IF(N121&lt;Settings!$C$28,"Below target","On target")))</f>
        <v/>
      </c>
      <c r="P121" s="14">
        <f>IF(B121="","",IF(1-(INDEX(Settings!$E$8:$E$15,MATCH(Settings!$C$4,Settings!$B$8:$B$15,0))+INDEX(Settings!$F$8:$F$15,MATCH(Settings!$C$4,Settings!$B$8:$B$15,0))*(1+Settings!$C$26)+N(I121)*Settings!$C$23+INDEX(Settings!$H$8:$H$15,MATCH(Settings!$C$4,Settings!$B$8:$B$15,0))+IF(Settings!$C$25="Yes",0.025,0)+INDEX(Settings!$I$8:$I$15,MATCH(Settings!$C$4,Settings!$B$8:$B$15,0))*(INDEX(Settings!$E$8:$E$15,MATCH(Settings!$C$4,Settings!$B$8:$B$15,0))+N(I121)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121)/(1-(INDEX(Settings!$E$8:$E$15,MATCH(Settings!$C$4,Settings!$B$8:$B$15,0))+INDEX(Settings!$F$8:$F$15,MATCH(Settings!$C$4,Settings!$B$8:$B$15,0))*(1+Settings!$C$26)+N(I121)*Settings!$C$23+INDEX(Settings!$H$8:$H$15,MATCH(Settings!$C$4,Settings!$B$8:$B$15,0))+IF(Settings!$C$25="Yes",0.025,0)+INDEX(Settings!$I$8:$I$15,MATCH(Settings!$C$4,Settings!$B$8:$B$15,0))*(INDEX(Settings!$E$8:$E$15,MATCH(Settings!$C$4,Settings!$B$8:$B$15,0))+N(I121)*Settings!$C$23+INDEX(Settings!$H$8:$H$15,MATCH(Settings!$C$4,Settings!$B$8:$B$15,0))))-Settings!$C$28)-N(D121))))</f>
        <v/>
      </c>
      <c r="Q121" s="1" t="n"/>
    </row>
    <row r="122">
      <c r="A122" s="1" t="n"/>
      <c r="B122" s="25" t="n"/>
      <c r="C122" s="7" t="n"/>
      <c r="D122" s="7" t="n"/>
      <c r="E122" s="7" t="n"/>
      <c r="F122" s="7" t="n"/>
      <c r="G122" s="7" t="n"/>
      <c r="H122" s="12" t="n"/>
      <c r="I122" s="11" t="n"/>
      <c r="J122" s="9">
        <f>IF(B122="","",(N(C122)+N(D122)))</f>
        <v/>
      </c>
      <c r="K122" s="9">
        <f>IF(B122="","",INDEX(Settings!$D$8:$D$15,MATCH(Settings!$C$4,Settings!$B$8:$B$15,0))+INDEX(Settings!$E$8:$E$15,MATCH(Settings!$C$4,Settings!$B$8:$B$15,0))*(N(C122)+N(D122))+INDEX(Settings!$F$8:$F$15,MATCH(Settings!$C$4,Settings!$B$8:$B$15,0))*(N(C122)+N(D122))*(1+Settings!$C$26)+INDEX(Settings!$G$8:$G$15,MATCH(Settings!$C$4,Settings!$B$8:$B$15,0))+N(I122)*MIN(Settings!$C$23*(N(C122)+N(D122)),Settings!$C$24)+INDEX(Settings!$H$8:$H$15,MATCH(Settings!$C$4,Settings!$B$8:$B$15,0))*(N(C122)+N(D122))+IF(Settings!$C$25="Yes",0.025,0)*(N(C122)+N(D122))+INDEX(Settings!$I$8:$I$15,MATCH(Settings!$C$4,Settings!$B$8:$B$15,0))*(INDEX(Settings!$D$8:$D$15,MATCH(Settings!$C$4,Settings!$B$8:$B$15,0))+INDEX(Settings!$E$8:$E$15,MATCH(Settings!$C$4,Settings!$B$8:$B$15,0))*(N(C122)+N(D122))+N(I122)*MIN(Settings!$C$23*(N(C122)+N(D122)),Settings!$C$24)+INDEX(Settings!$H$8:$H$15,MATCH(Settings!$C$4,Settings!$B$8:$B$15,0))*(N(C122)+N(D122))))</f>
        <v/>
      </c>
      <c r="L122" s="9">
        <f>IF(B122="","",N(E122)+N(F122)+N(G122)+N(H122)/60*Settings!$C$27)</f>
        <v/>
      </c>
      <c r="M122" s="20">
        <f>IF(B122="","",J122-K122-L122)</f>
        <v/>
      </c>
      <c r="N122" s="26">
        <f>IF(OR(B122="",N(J122)=0),"",M122/J122)</f>
        <v/>
      </c>
      <c r="O122" s="8">
        <f>IF(B122="","",IF(M122&lt;0,"Loss",IF(N122&lt;Settings!$C$28,"Below target","On target")))</f>
        <v/>
      </c>
      <c r="P122" s="14">
        <f>IF(B122="","",IF(1-(INDEX(Settings!$E$8:$E$15,MATCH(Settings!$C$4,Settings!$B$8:$B$15,0))+INDEX(Settings!$F$8:$F$15,MATCH(Settings!$C$4,Settings!$B$8:$B$15,0))*(1+Settings!$C$26)+N(I122)*Settings!$C$23+INDEX(Settings!$H$8:$H$15,MATCH(Settings!$C$4,Settings!$B$8:$B$15,0))+IF(Settings!$C$25="Yes",0.025,0)+INDEX(Settings!$I$8:$I$15,MATCH(Settings!$C$4,Settings!$B$8:$B$15,0))*(INDEX(Settings!$E$8:$E$15,MATCH(Settings!$C$4,Settings!$B$8:$B$15,0))+N(I122)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122)/(1-(INDEX(Settings!$E$8:$E$15,MATCH(Settings!$C$4,Settings!$B$8:$B$15,0))+INDEX(Settings!$F$8:$F$15,MATCH(Settings!$C$4,Settings!$B$8:$B$15,0))*(1+Settings!$C$26)+N(I122)*Settings!$C$23+INDEX(Settings!$H$8:$H$15,MATCH(Settings!$C$4,Settings!$B$8:$B$15,0))+IF(Settings!$C$25="Yes",0.025,0)+INDEX(Settings!$I$8:$I$15,MATCH(Settings!$C$4,Settings!$B$8:$B$15,0))*(INDEX(Settings!$E$8:$E$15,MATCH(Settings!$C$4,Settings!$B$8:$B$15,0))+N(I122)*Settings!$C$23+INDEX(Settings!$H$8:$H$15,MATCH(Settings!$C$4,Settings!$B$8:$B$15,0))))-Settings!$C$28)-N(D122))))</f>
        <v/>
      </c>
      <c r="Q122" s="1" t="n"/>
    </row>
    <row r="123">
      <c r="A123" s="1" t="n"/>
      <c r="B123" s="25" t="n"/>
      <c r="C123" s="7" t="n"/>
      <c r="D123" s="7" t="n"/>
      <c r="E123" s="7" t="n"/>
      <c r="F123" s="7" t="n"/>
      <c r="G123" s="7" t="n"/>
      <c r="H123" s="12" t="n"/>
      <c r="I123" s="11" t="n"/>
      <c r="J123" s="9">
        <f>IF(B123="","",(N(C123)+N(D123)))</f>
        <v/>
      </c>
      <c r="K123" s="9">
        <f>IF(B123="","",INDEX(Settings!$D$8:$D$15,MATCH(Settings!$C$4,Settings!$B$8:$B$15,0))+INDEX(Settings!$E$8:$E$15,MATCH(Settings!$C$4,Settings!$B$8:$B$15,0))*(N(C123)+N(D123))+INDEX(Settings!$F$8:$F$15,MATCH(Settings!$C$4,Settings!$B$8:$B$15,0))*(N(C123)+N(D123))*(1+Settings!$C$26)+INDEX(Settings!$G$8:$G$15,MATCH(Settings!$C$4,Settings!$B$8:$B$15,0))+N(I123)*MIN(Settings!$C$23*(N(C123)+N(D123)),Settings!$C$24)+INDEX(Settings!$H$8:$H$15,MATCH(Settings!$C$4,Settings!$B$8:$B$15,0))*(N(C123)+N(D123))+IF(Settings!$C$25="Yes",0.025,0)*(N(C123)+N(D123))+INDEX(Settings!$I$8:$I$15,MATCH(Settings!$C$4,Settings!$B$8:$B$15,0))*(INDEX(Settings!$D$8:$D$15,MATCH(Settings!$C$4,Settings!$B$8:$B$15,0))+INDEX(Settings!$E$8:$E$15,MATCH(Settings!$C$4,Settings!$B$8:$B$15,0))*(N(C123)+N(D123))+N(I123)*MIN(Settings!$C$23*(N(C123)+N(D123)),Settings!$C$24)+INDEX(Settings!$H$8:$H$15,MATCH(Settings!$C$4,Settings!$B$8:$B$15,0))*(N(C123)+N(D123))))</f>
        <v/>
      </c>
      <c r="L123" s="9">
        <f>IF(B123="","",N(E123)+N(F123)+N(G123)+N(H123)/60*Settings!$C$27)</f>
        <v/>
      </c>
      <c r="M123" s="20">
        <f>IF(B123="","",J123-K123-L123)</f>
        <v/>
      </c>
      <c r="N123" s="26">
        <f>IF(OR(B123="",N(J123)=0),"",M123/J123)</f>
        <v/>
      </c>
      <c r="O123" s="8">
        <f>IF(B123="","",IF(M123&lt;0,"Loss",IF(N123&lt;Settings!$C$28,"Below target","On target")))</f>
        <v/>
      </c>
      <c r="P123" s="14">
        <f>IF(B123="","",IF(1-(INDEX(Settings!$E$8:$E$15,MATCH(Settings!$C$4,Settings!$B$8:$B$15,0))+INDEX(Settings!$F$8:$F$15,MATCH(Settings!$C$4,Settings!$B$8:$B$15,0))*(1+Settings!$C$26)+N(I123)*Settings!$C$23+INDEX(Settings!$H$8:$H$15,MATCH(Settings!$C$4,Settings!$B$8:$B$15,0))+IF(Settings!$C$25="Yes",0.025,0)+INDEX(Settings!$I$8:$I$15,MATCH(Settings!$C$4,Settings!$B$8:$B$15,0))*(INDEX(Settings!$E$8:$E$15,MATCH(Settings!$C$4,Settings!$B$8:$B$15,0))+N(I123)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123)/(1-(INDEX(Settings!$E$8:$E$15,MATCH(Settings!$C$4,Settings!$B$8:$B$15,0))+INDEX(Settings!$F$8:$F$15,MATCH(Settings!$C$4,Settings!$B$8:$B$15,0))*(1+Settings!$C$26)+N(I123)*Settings!$C$23+INDEX(Settings!$H$8:$H$15,MATCH(Settings!$C$4,Settings!$B$8:$B$15,0))+IF(Settings!$C$25="Yes",0.025,0)+INDEX(Settings!$I$8:$I$15,MATCH(Settings!$C$4,Settings!$B$8:$B$15,0))*(INDEX(Settings!$E$8:$E$15,MATCH(Settings!$C$4,Settings!$B$8:$B$15,0))+N(I123)*Settings!$C$23+INDEX(Settings!$H$8:$H$15,MATCH(Settings!$C$4,Settings!$B$8:$B$15,0))))-Settings!$C$28)-N(D123))))</f>
        <v/>
      </c>
      <c r="Q123" s="1" t="n"/>
    </row>
    <row r="124">
      <c r="A124" s="1" t="n"/>
      <c r="B124" s="25" t="n"/>
      <c r="C124" s="7" t="n"/>
      <c r="D124" s="7" t="n"/>
      <c r="E124" s="7" t="n"/>
      <c r="F124" s="7" t="n"/>
      <c r="G124" s="7" t="n"/>
      <c r="H124" s="12" t="n"/>
      <c r="I124" s="11" t="n"/>
      <c r="J124" s="9">
        <f>IF(B124="","",(N(C124)+N(D124)))</f>
        <v/>
      </c>
      <c r="K124" s="9">
        <f>IF(B124="","",INDEX(Settings!$D$8:$D$15,MATCH(Settings!$C$4,Settings!$B$8:$B$15,0))+INDEX(Settings!$E$8:$E$15,MATCH(Settings!$C$4,Settings!$B$8:$B$15,0))*(N(C124)+N(D124))+INDEX(Settings!$F$8:$F$15,MATCH(Settings!$C$4,Settings!$B$8:$B$15,0))*(N(C124)+N(D124))*(1+Settings!$C$26)+INDEX(Settings!$G$8:$G$15,MATCH(Settings!$C$4,Settings!$B$8:$B$15,0))+N(I124)*MIN(Settings!$C$23*(N(C124)+N(D124)),Settings!$C$24)+INDEX(Settings!$H$8:$H$15,MATCH(Settings!$C$4,Settings!$B$8:$B$15,0))*(N(C124)+N(D124))+IF(Settings!$C$25="Yes",0.025,0)*(N(C124)+N(D124))+INDEX(Settings!$I$8:$I$15,MATCH(Settings!$C$4,Settings!$B$8:$B$15,0))*(INDEX(Settings!$D$8:$D$15,MATCH(Settings!$C$4,Settings!$B$8:$B$15,0))+INDEX(Settings!$E$8:$E$15,MATCH(Settings!$C$4,Settings!$B$8:$B$15,0))*(N(C124)+N(D124))+N(I124)*MIN(Settings!$C$23*(N(C124)+N(D124)),Settings!$C$24)+INDEX(Settings!$H$8:$H$15,MATCH(Settings!$C$4,Settings!$B$8:$B$15,0))*(N(C124)+N(D124))))</f>
        <v/>
      </c>
      <c r="L124" s="9">
        <f>IF(B124="","",N(E124)+N(F124)+N(G124)+N(H124)/60*Settings!$C$27)</f>
        <v/>
      </c>
      <c r="M124" s="20">
        <f>IF(B124="","",J124-K124-L124)</f>
        <v/>
      </c>
      <c r="N124" s="26">
        <f>IF(OR(B124="",N(J124)=0),"",M124/J124)</f>
        <v/>
      </c>
      <c r="O124" s="8">
        <f>IF(B124="","",IF(M124&lt;0,"Loss",IF(N124&lt;Settings!$C$28,"Below target","On target")))</f>
        <v/>
      </c>
      <c r="P124" s="14">
        <f>IF(B124="","",IF(1-(INDEX(Settings!$E$8:$E$15,MATCH(Settings!$C$4,Settings!$B$8:$B$15,0))+INDEX(Settings!$F$8:$F$15,MATCH(Settings!$C$4,Settings!$B$8:$B$15,0))*(1+Settings!$C$26)+N(I124)*Settings!$C$23+INDEX(Settings!$H$8:$H$15,MATCH(Settings!$C$4,Settings!$B$8:$B$15,0))+IF(Settings!$C$25="Yes",0.025,0)+INDEX(Settings!$I$8:$I$15,MATCH(Settings!$C$4,Settings!$B$8:$B$15,0))*(INDEX(Settings!$E$8:$E$15,MATCH(Settings!$C$4,Settings!$B$8:$B$15,0))+N(I124)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124)/(1-(INDEX(Settings!$E$8:$E$15,MATCH(Settings!$C$4,Settings!$B$8:$B$15,0))+INDEX(Settings!$F$8:$F$15,MATCH(Settings!$C$4,Settings!$B$8:$B$15,0))*(1+Settings!$C$26)+N(I124)*Settings!$C$23+INDEX(Settings!$H$8:$H$15,MATCH(Settings!$C$4,Settings!$B$8:$B$15,0))+IF(Settings!$C$25="Yes",0.025,0)+INDEX(Settings!$I$8:$I$15,MATCH(Settings!$C$4,Settings!$B$8:$B$15,0))*(INDEX(Settings!$E$8:$E$15,MATCH(Settings!$C$4,Settings!$B$8:$B$15,0))+N(I124)*Settings!$C$23+INDEX(Settings!$H$8:$H$15,MATCH(Settings!$C$4,Settings!$B$8:$B$15,0))))-Settings!$C$28)-N(D124))))</f>
        <v/>
      </c>
      <c r="Q124" s="1" t="n"/>
    </row>
    <row r="125">
      <c r="A125" s="1" t="n"/>
      <c r="B125" s="25" t="n"/>
      <c r="C125" s="7" t="n"/>
      <c r="D125" s="7" t="n"/>
      <c r="E125" s="7" t="n"/>
      <c r="F125" s="7" t="n"/>
      <c r="G125" s="7" t="n"/>
      <c r="H125" s="12" t="n"/>
      <c r="I125" s="11" t="n"/>
      <c r="J125" s="9">
        <f>IF(B125="","",(N(C125)+N(D125)))</f>
        <v/>
      </c>
      <c r="K125" s="9">
        <f>IF(B125="","",INDEX(Settings!$D$8:$D$15,MATCH(Settings!$C$4,Settings!$B$8:$B$15,0))+INDEX(Settings!$E$8:$E$15,MATCH(Settings!$C$4,Settings!$B$8:$B$15,0))*(N(C125)+N(D125))+INDEX(Settings!$F$8:$F$15,MATCH(Settings!$C$4,Settings!$B$8:$B$15,0))*(N(C125)+N(D125))*(1+Settings!$C$26)+INDEX(Settings!$G$8:$G$15,MATCH(Settings!$C$4,Settings!$B$8:$B$15,0))+N(I125)*MIN(Settings!$C$23*(N(C125)+N(D125)),Settings!$C$24)+INDEX(Settings!$H$8:$H$15,MATCH(Settings!$C$4,Settings!$B$8:$B$15,0))*(N(C125)+N(D125))+IF(Settings!$C$25="Yes",0.025,0)*(N(C125)+N(D125))+INDEX(Settings!$I$8:$I$15,MATCH(Settings!$C$4,Settings!$B$8:$B$15,0))*(INDEX(Settings!$D$8:$D$15,MATCH(Settings!$C$4,Settings!$B$8:$B$15,0))+INDEX(Settings!$E$8:$E$15,MATCH(Settings!$C$4,Settings!$B$8:$B$15,0))*(N(C125)+N(D125))+N(I125)*MIN(Settings!$C$23*(N(C125)+N(D125)),Settings!$C$24)+INDEX(Settings!$H$8:$H$15,MATCH(Settings!$C$4,Settings!$B$8:$B$15,0))*(N(C125)+N(D125))))</f>
        <v/>
      </c>
      <c r="L125" s="9">
        <f>IF(B125="","",N(E125)+N(F125)+N(G125)+N(H125)/60*Settings!$C$27)</f>
        <v/>
      </c>
      <c r="M125" s="20">
        <f>IF(B125="","",J125-K125-L125)</f>
        <v/>
      </c>
      <c r="N125" s="26">
        <f>IF(OR(B125="",N(J125)=0),"",M125/J125)</f>
        <v/>
      </c>
      <c r="O125" s="8">
        <f>IF(B125="","",IF(M125&lt;0,"Loss",IF(N125&lt;Settings!$C$28,"Below target","On target")))</f>
        <v/>
      </c>
      <c r="P125" s="14">
        <f>IF(B125="","",IF(1-(INDEX(Settings!$E$8:$E$15,MATCH(Settings!$C$4,Settings!$B$8:$B$15,0))+INDEX(Settings!$F$8:$F$15,MATCH(Settings!$C$4,Settings!$B$8:$B$15,0))*(1+Settings!$C$26)+N(I125)*Settings!$C$23+INDEX(Settings!$H$8:$H$15,MATCH(Settings!$C$4,Settings!$B$8:$B$15,0))+IF(Settings!$C$25="Yes",0.025,0)+INDEX(Settings!$I$8:$I$15,MATCH(Settings!$C$4,Settings!$B$8:$B$15,0))*(INDEX(Settings!$E$8:$E$15,MATCH(Settings!$C$4,Settings!$B$8:$B$15,0))+N(I125)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125)/(1-(INDEX(Settings!$E$8:$E$15,MATCH(Settings!$C$4,Settings!$B$8:$B$15,0))+INDEX(Settings!$F$8:$F$15,MATCH(Settings!$C$4,Settings!$B$8:$B$15,0))*(1+Settings!$C$26)+N(I125)*Settings!$C$23+INDEX(Settings!$H$8:$H$15,MATCH(Settings!$C$4,Settings!$B$8:$B$15,0))+IF(Settings!$C$25="Yes",0.025,0)+INDEX(Settings!$I$8:$I$15,MATCH(Settings!$C$4,Settings!$B$8:$B$15,0))*(INDEX(Settings!$E$8:$E$15,MATCH(Settings!$C$4,Settings!$B$8:$B$15,0))+N(I125)*Settings!$C$23+INDEX(Settings!$H$8:$H$15,MATCH(Settings!$C$4,Settings!$B$8:$B$15,0))))-Settings!$C$28)-N(D125))))</f>
        <v/>
      </c>
      <c r="Q125" s="1" t="n"/>
    </row>
    <row r="126">
      <c r="A126" s="1" t="n"/>
      <c r="B126" s="25" t="n"/>
      <c r="C126" s="7" t="n"/>
      <c r="D126" s="7" t="n"/>
      <c r="E126" s="7" t="n"/>
      <c r="F126" s="7" t="n"/>
      <c r="G126" s="7" t="n"/>
      <c r="H126" s="12" t="n"/>
      <c r="I126" s="11" t="n"/>
      <c r="J126" s="9">
        <f>IF(B126="","",(N(C126)+N(D126)))</f>
        <v/>
      </c>
      <c r="K126" s="9">
        <f>IF(B126="","",INDEX(Settings!$D$8:$D$15,MATCH(Settings!$C$4,Settings!$B$8:$B$15,0))+INDEX(Settings!$E$8:$E$15,MATCH(Settings!$C$4,Settings!$B$8:$B$15,0))*(N(C126)+N(D126))+INDEX(Settings!$F$8:$F$15,MATCH(Settings!$C$4,Settings!$B$8:$B$15,0))*(N(C126)+N(D126))*(1+Settings!$C$26)+INDEX(Settings!$G$8:$G$15,MATCH(Settings!$C$4,Settings!$B$8:$B$15,0))+N(I126)*MIN(Settings!$C$23*(N(C126)+N(D126)),Settings!$C$24)+INDEX(Settings!$H$8:$H$15,MATCH(Settings!$C$4,Settings!$B$8:$B$15,0))*(N(C126)+N(D126))+IF(Settings!$C$25="Yes",0.025,0)*(N(C126)+N(D126))+INDEX(Settings!$I$8:$I$15,MATCH(Settings!$C$4,Settings!$B$8:$B$15,0))*(INDEX(Settings!$D$8:$D$15,MATCH(Settings!$C$4,Settings!$B$8:$B$15,0))+INDEX(Settings!$E$8:$E$15,MATCH(Settings!$C$4,Settings!$B$8:$B$15,0))*(N(C126)+N(D126))+N(I126)*MIN(Settings!$C$23*(N(C126)+N(D126)),Settings!$C$24)+INDEX(Settings!$H$8:$H$15,MATCH(Settings!$C$4,Settings!$B$8:$B$15,0))*(N(C126)+N(D126))))</f>
        <v/>
      </c>
      <c r="L126" s="9">
        <f>IF(B126="","",N(E126)+N(F126)+N(G126)+N(H126)/60*Settings!$C$27)</f>
        <v/>
      </c>
      <c r="M126" s="20">
        <f>IF(B126="","",J126-K126-L126)</f>
        <v/>
      </c>
      <c r="N126" s="26">
        <f>IF(OR(B126="",N(J126)=0),"",M126/J126)</f>
        <v/>
      </c>
      <c r="O126" s="8">
        <f>IF(B126="","",IF(M126&lt;0,"Loss",IF(N126&lt;Settings!$C$28,"Below target","On target")))</f>
        <v/>
      </c>
      <c r="P126" s="14">
        <f>IF(B126="","",IF(1-(INDEX(Settings!$E$8:$E$15,MATCH(Settings!$C$4,Settings!$B$8:$B$15,0))+INDEX(Settings!$F$8:$F$15,MATCH(Settings!$C$4,Settings!$B$8:$B$15,0))*(1+Settings!$C$26)+N(I126)*Settings!$C$23+INDEX(Settings!$H$8:$H$15,MATCH(Settings!$C$4,Settings!$B$8:$B$15,0))+IF(Settings!$C$25="Yes",0.025,0)+INDEX(Settings!$I$8:$I$15,MATCH(Settings!$C$4,Settings!$B$8:$B$15,0))*(INDEX(Settings!$E$8:$E$15,MATCH(Settings!$C$4,Settings!$B$8:$B$15,0))+N(I126)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126)/(1-(INDEX(Settings!$E$8:$E$15,MATCH(Settings!$C$4,Settings!$B$8:$B$15,0))+INDEX(Settings!$F$8:$F$15,MATCH(Settings!$C$4,Settings!$B$8:$B$15,0))*(1+Settings!$C$26)+N(I126)*Settings!$C$23+INDEX(Settings!$H$8:$H$15,MATCH(Settings!$C$4,Settings!$B$8:$B$15,0))+IF(Settings!$C$25="Yes",0.025,0)+INDEX(Settings!$I$8:$I$15,MATCH(Settings!$C$4,Settings!$B$8:$B$15,0))*(INDEX(Settings!$E$8:$E$15,MATCH(Settings!$C$4,Settings!$B$8:$B$15,0))+N(I126)*Settings!$C$23+INDEX(Settings!$H$8:$H$15,MATCH(Settings!$C$4,Settings!$B$8:$B$15,0))))-Settings!$C$28)-N(D126))))</f>
        <v/>
      </c>
      <c r="Q126" s="1" t="n"/>
    </row>
    <row r="127">
      <c r="A127" s="1" t="n"/>
      <c r="B127" s="25" t="n"/>
      <c r="C127" s="7" t="n"/>
      <c r="D127" s="7" t="n"/>
      <c r="E127" s="7" t="n"/>
      <c r="F127" s="7" t="n"/>
      <c r="G127" s="7" t="n"/>
      <c r="H127" s="12" t="n"/>
      <c r="I127" s="11" t="n"/>
      <c r="J127" s="9">
        <f>IF(B127="","",(N(C127)+N(D127)))</f>
        <v/>
      </c>
      <c r="K127" s="9">
        <f>IF(B127="","",INDEX(Settings!$D$8:$D$15,MATCH(Settings!$C$4,Settings!$B$8:$B$15,0))+INDEX(Settings!$E$8:$E$15,MATCH(Settings!$C$4,Settings!$B$8:$B$15,0))*(N(C127)+N(D127))+INDEX(Settings!$F$8:$F$15,MATCH(Settings!$C$4,Settings!$B$8:$B$15,0))*(N(C127)+N(D127))*(1+Settings!$C$26)+INDEX(Settings!$G$8:$G$15,MATCH(Settings!$C$4,Settings!$B$8:$B$15,0))+N(I127)*MIN(Settings!$C$23*(N(C127)+N(D127)),Settings!$C$24)+INDEX(Settings!$H$8:$H$15,MATCH(Settings!$C$4,Settings!$B$8:$B$15,0))*(N(C127)+N(D127))+IF(Settings!$C$25="Yes",0.025,0)*(N(C127)+N(D127))+INDEX(Settings!$I$8:$I$15,MATCH(Settings!$C$4,Settings!$B$8:$B$15,0))*(INDEX(Settings!$D$8:$D$15,MATCH(Settings!$C$4,Settings!$B$8:$B$15,0))+INDEX(Settings!$E$8:$E$15,MATCH(Settings!$C$4,Settings!$B$8:$B$15,0))*(N(C127)+N(D127))+N(I127)*MIN(Settings!$C$23*(N(C127)+N(D127)),Settings!$C$24)+INDEX(Settings!$H$8:$H$15,MATCH(Settings!$C$4,Settings!$B$8:$B$15,0))*(N(C127)+N(D127))))</f>
        <v/>
      </c>
      <c r="L127" s="9">
        <f>IF(B127="","",N(E127)+N(F127)+N(G127)+N(H127)/60*Settings!$C$27)</f>
        <v/>
      </c>
      <c r="M127" s="20">
        <f>IF(B127="","",J127-K127-L127)</f>
        <v/>
      </c>
      <c r="N127" s="26">
        <f>IF(OR(B127="",N(J127)=0),"",M127/J127)</f>
        <v/>
      </c>
      <c r="O127" s="8">
        <f>IF(B127="","",IF(M127&lt;0,"Loss",IF(N127&lt;Settings!$C$28,"Below target","On target")))</f>
        <v/>
      </c>
      <c r="P127" s="14">
        <f>IF(B127="","",IF(1-(INDEX(Settings!$E$8:$E$15,MATCH(Settings!$C$4,Settings!$B$8:$B$15,0))+INDEX(Settings!$F$8:$F$15,MATCH(Settings!$C$4,Settings!$B$8:$B$15,0))*(1+Settings!$C$26)+N(I127)*Settings!$C$23+INDEX(Settings!$H$8:$H$15,MATCH(Settings!$C$4,Settings!$B$8:$B$15,0))+IF(Settings!$C$25="Yes",0.025,0)+INDEX(Settings!$I$8:$I$15,MATCH(Settings!$C$4,Settings!$B$8:$B$15,0))*(INDEX(Settings!$E$8:$E$15,MATCH(Settings!$C$4,Settings!$B$8:$B$15,0))+N(I127)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127)/(1-(INDEX(Settings!$E$8:$E$15,MATCH(Settings!$C$4,Settings!$B$8:$B$15,0))+INDEX(Settings!$F$8:$F$15,MATCH(Settings!$C$4,Settings!$B$8:$B$15,0))*(1+Settings!$C$26)+N(I127)*Settings!$C$23+INDEX(Settings!$H$8:$H$15,MATCH(Settings!$C$4,Settings!$B$8:$B$15,0))+IF(Settings!$C$25="Yes",0.025,0)+INDEX(Settings!$I$8:$I$15,MATCH(Settings!$C$4,Settings!$B$8:$B$15,0))*(INDEX(Settings!$E$8:$E$15,MATCH(Settings!$C$4,Settings!$B$8:$B$15,0))+N(I127)*Settings!$C$23+INDEX(Settings!$H$8:$H$15,MATCH(Settings!$C$4,Settings!$B$8:$B$15,0))))-Settings!$C$28)-N(D127))))</f>
        <v/>
      </c>
      <c r="Q127" s="1" t="n"/>
    </row>
    <row r="128">
      <c r="A128" s="1" t="n"/>
      <c r="B128" s="25" t="n"/>
      <c r="C128" s="7" t="n"/>
      <c r="D128" s="7" t="n"/>
      <c r="E128" s="7" t="n"/>
      <c r="F128" s="7" t="n"/>
      <c r="G128" s="7" t="n"/>
      <c r="H128" s="12" t="n"/>
      <c r="I128" s="11" t="n"/>
      <c r="J128" s="9">
        <f>IF(B128="","",(N(C128)+N(D128)))</f>
        <v/>
      </c>
      <c r="K128" s="9">
        <f>IF(B128="","",INDEX(Settings!$D$8:$D$15,MATCH(Settings!$C$4,Settings!$B$8:$B$15,0))+INDEX(Settings!$E$8:$E$15,MATCH(Settings!$C$4,Settings!$B$8:$B$15,0))*(N(C128)+N(D128))+INDEX(Settings!$F$8:$F$15,MATCH(Settings!$C$4,Settings!$B$8:$B$15,0))*(N(C128)+N(D128))*(1+Settings!$C$26)+INDEX(Settings!$G$8:$G$15,MATCH(Settings!$C$4,Settings!$B$8:$B$15,0))+N(I128)*MIN(Settings!$C$23*(N(C128)+N(D128)),Settings!$C$24)+INDEX(Settings!$H$8:$H$15,MATCH(Settings!$C$4,Settings!$B$8:$B$15,0))*(N(C128)+N(D128))+IF(Settings!$C$25="Yes",0.025,0)*(N(C128)+N(D128))+INDEX(Settings!$I$8:$I$15,MATCH(Settings!$C$4,Settings!$B$8:$B$15,0))*(INDEX(Settings!$D$8:$D$15,MATCH(Settings!$C$4,Settings!$B$8:$B$15,0))+INDEX(Settings!$E$8:$E$15,MATCH(Settings!$C$4,Settings!$B$8:$B$15,0))*(N(C128)+N(D128))+N(I128)*MIN(Settings!$C$23*(N(C128)+N(D128)),Settings!$C$24)+INDEX(Settings!$H$8:$H$15,MATCH(Settings!$C$4,Settings!$B$8:$B$15,0))*(N(C128)+N(D128))))</f>
        <v/>
      </c>
      <c r="L128" s="9">
        <f>IF(B128="","",N(E128)+N(F128)+N(G128)+N(H128)/60*Settings!$C$27)</f>
        <v/>
      </c>
      <c r="M128" s="20">
        <f>IF(B128="","",J128-K128-L128)</f>
        <v/>
      </c>
      <c r="N128" s="26">
        <f>IF(OR(B128="",N(J128)=0),"",M128/J128)</f>
        <v/>
      </c>
      <c r="O128" s="8">
        <f>IF(B128="","",IF(M128&lt;0,"Loss",IF(N128&lt;Settings!$C$28,"Below target","On target")))</f>
        <v/>
      </c>
      <c r="P128" s="14">
        <f>IF(B128="","",IF(1-(INDEX(Settings!$E$8:$E$15,MATCH(Settings!$C$4,Settings!$B$8:$B$15,0))+INDEX(Settings!$F$8:$F$15,MATCH(Settings!$C$4,Settings!$B$8:$B$15,0))*(1+Settings!$C$26)+N(I128)*Settings!$C$23+INDEX(Settings!$H$8:$H$15,MATCH(Settings!$C$4,Settings!$B$8:$B$15,0))+IF(Settings!$C$25="Yes",0.025,0)+INDEX(Settings!$I$8:$I$15,MATCH(Settings!$C$4,Settings!$B$8:$B$15,0))*(INDEX(Settings!$E$8:$E$15,MATCH(Settings!$C$4,Settings!$B$8:$B$15,0))+N(I128)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128)/(1-(INDEX(Settings!$E$8:$E$15,MATCH(Settings!$C$4,Settings!$B$8:$B$15,0))+INDEX(Settings!$F$8:$F$15,MATCH(Settings!$C$4,Settings!$B$8:$B$15,0))*(1+Settings!$C$26)+N(I128)*Settings!$C$23+INDEX(Settings!$H$8:$H$15,MATCH(Settings!$C$4,Settings!$B$8:$B$15,0))+IF(Settings!$C$25="Yes",0.025,0)+INDEX(Settings!$I$8:$I$15,MATCH(Settings!$C$4,Settings!$B$8:$B$15,0))*(INDEX(Settings!$E$8:$E$15,MATCH(Settings!$C$4,Settings!$B$8:$B$15,0))+N(I128)*Settings!$C$23+INDEX(Settings!$H$8:$H$15,MATCH(Settings!$C$4,Settings!$B$8:$B$15,0))))-Settings!$C$28)-N(D128))))</f>
        <v/>
      </c>
      <c r="Q128" s="1" t="n"/>
    </row>
    <row r="129">
      <c r="A129" s="1" t="n"/>
      <c r="B129" s="25" t="n"/>
      <c r="C129" s="7" t="n"/>
      <c r="D129" s="7" t="n"/>
      <c r="E129" s="7" t="n"/>
      <c r="F129" s="7" t="n"/>
      <c r="G129" s="7" t="n"/>
      <c r="H129" s="12" t="n"/>
      <c r="I129" s="11" t="n"/>
      <c r="J129" s="9">
        <f>IF(B129="","",(N(C129)+N(D129)))</f>
        <v/>
      </c>
      <c r="K129" s="9">
        <f>IF(B129="","",INDEX(Settings!$D$8:$D$15,MATCH(Settings!$C$4,Settings!$B$8:$B$15,0))+INDEX(Settings!$E$8:$E$15,MATCH(Settings!$C$4,Settings!$B$8:$B$15,0))*(N(C129)+N(D129))+INDEX(Settings!$F$8:$F$15,MATCH(Settings!$C$4,Settings!$B$8:$B$15,0))*(N(C129)+N(D129))*(1+Settings!$C$26)+INDEX(Settings!$G$8:$G$15,MATCH(Settings!$C$4,Settings!$B$8:$B$15,0))+N(I129)*MIN(Settings!$C$23*(N(C129)+N(D129)),Settings!$C$24)+INDEX(Settings!$H$8:$H$15,MATCH(Settings!$C$4,Settings!$B$8:$B$15,0))*(N(C129)+N(D129))+IF(Settings!$C$25="Yes",0.025,0)*(N(C129)+N(D129))+INDEX(Settings!$I$8:$I$15,MATCH(Settings!$C$4,Settings!$B$8:$B$15,0))*(INDEX(Settings!$D$8:$D$15,MATCH(Settings!$C$4,Settings!$B$8:$B$15,0))+INDEX(Settings!$E$8:$E$15,MATCH(Settings!$C$4,Settings!$B$8:$B$15,0))*(N(C129)+N(D129))+N(I129)*MIN(Settings!$C$23*(N(C129)+N(D129)),Settings!$C$24)+INDEX(Settings!$H$8:$H$15,MATCH(Settings!$C$4,Settings!$B$8:$B$15,0))*(N(C129)+N(D129))))</f>
        <v/>
      </c>
      <c r="L129" s="9">
        <f>IF(B129="","",N(E129)+N(F129)+N(G129)+N(H129)/60*Settings!$C$27)</f>
        <v/>
      </c>
      <c r="M129" s="20">
        <f>IF(B129="","",J129-K129-L129)</f>
        <v/>
      </c>
      <c r="N129" s="26">
        <f>IF(OR(B129="",N(J129)=0),"",M129/J129)</f>
        <v/>
      </c>
      <c r="O129" s="8">
        <f>IF(B129="","",IF(M129&lt;0,"Loss",IF(N129&lt;Settings!$C$28,"Below target","On target")))</f>
        <v/>
      </c>
      <c r="P129" s="14">
        <f>IF(B129="","",IF(1-(INDEX(Settings!$E$8:$E$15,MATCH(Settings!$C$4,Settings!$B$8:$B$15,0))+INDEX(Settings!$F$8:$F$15,MATCH(Settings!$C$4,Settings!$B$8:$B$15,0))*(1+Settings!$C$26)+N(I129)*Settings!$C$23+INDEX(Settings!$H$8:$H$15,MATCH(Settings!$C$4,Settings!$B$8:$B$15,0))+IF(Settings!$C$25="Yes",0.025,0)+INDEX(Settings!$I$8:$I$15,MATCH(Settings!$C$4,Settings!$B$8:$B$15,0))*(INDEX(Settings!$E$8:$E$15,MATCH(Settings!$C$4,Settings!$B$8:$B$15,0))+N(I129)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129)/(1-(INDEX(Settings!$E$8:$E$15,MATCH(Settings!$C$4,Settings!$B$8:$B$15,0))+INDEX(Settings!$F$8:$F$15,MATCH(Settings!$C$4,Settings!$B$8:$B$15,0))*(1+Settings!$C$26)+N(I129)*Settings!$C$23+INDEX(Settings!$H$8:$H$15,MATCH(Settings!$C$4,Settings!$B$8:$B$15,0))+IF(Settings!$C$25="Yes",0.025,0)+INDEX(Settings!$I$8:$I$15,MATCH(Settings!$C$4,Settings!$B$8:$B$15,0))*(INDEX(Settings!$E$8:$E$15,MATCH(Settings!$C$4,Settings!$B$8:$B$15,0))+N(I129)*Settings!$C$23+INDEX(Settings!$H$8:$H$15,MATCH(Settings!$C$4,Settings!$B$8:$B$15,0))))-Settings!$C$28)-N(D129))))</f>
        <v/>
      </c>
      <c r="Q129" s="1" t="n"/>
    </row>
    <row r="130">
      <c r="A130" s="1" t="n"/>
      <c r="B130" s="25" t="n"/>
      <c r="C130" s="7" t="n"/>
      <c r="D130" s="7" t="n"/>
      <c r="E130" s="7" t="n"/>
      <c r="F130" s="7" t="n"/>
      <c r="G130" s="7" t="n"/>
      <c r="H130" s="12" t="n"/>
      <c r="I130" s="11" t="n"/>
      <c r="J130" s="9">
        <f>IF(B130="","",(N(C130)+N(D130)))</f>
        <v/>
      </c>
      <c r="K130" s="9">
        <f>IF(B130="","",INDEX(Settings!$D$8:$D$15,MATCH(Settings!$C$4,Settings!$B$8:$B$15,0))+INDEX(Settings!$E$8:$E$15,MATCH(Settings!$C$4,Settings!$B$8:$B$15,0))*(N(C130)+N(D130))+INDEX(Settings!$F$8:$F$15,MATCH(Settings!$C$4,Settings!$B$8:$B$15,0))*(N(C130)+N(D130))*(1+Settings!$C$26)+INDEX(Settings!$G$8:$G$15,MATCH(Settings!$C$4,Settings!$B$8:$B$15,0))+N(I130)*MIN(Settings!$C$23*(N(C130)+N(D130)),Settings!$C$24)+INDEX(Settings!$H$8:$H$15,MATCH(Settings!$C$4,Settings!$B$8:$B$15,0))*(N(C130)+N(D130))+IF(Settings!$C$25="Yes",0.025,0)*(N(C130)+N(D130))+INDEX(Settings!$I$8:$I$15,MATCH(Settings!$C$4,Settings!$B$8:$B$15,0))*(INDEX(Settings!$D$8:$D$15,MATCH(Settings!$C$4,Settings!$B$8:$B$15,0))+INDEX(Settings!$E$8:$E$15,MATCH(Settings!$C$4,Settings!$B$8:$B$15,0))*(N(C130)+N(D130))+N(I130)*MIN(Settings!$C$23*(N(C130)+N(D130)),Settings!$C$24)+INDEX(Settings!$H$8:$H$15,MATCH(Settings!$C$4,Settings!$B$8:$B$15,0))*(N(C130)+N(D130))))</f>
        <v/>
      </c>
      <c r="L130" s="9">
        <f>IF(B130="","",N(E130)+N(F130)+N(G130)+N(H130)/60*Settings!$C$27)</f>
        <v/>
      </c>
      <c r="M130" s="20">
        <f>IF(B130="","",J130-K130-L130)</f>
        <v/>
      </c>
      <c r="N130" s="26">
        <f>IF(OR(B130="",N(J130)=0),"",M130/J130)</f>
        <v/>
      </c>
      <c r="O130" s="8">
        <f>IF(B130="","",IF(M130&lt;0,"Loss",IF(N130&lt;Settings!$C$28,"Below target","On target")))</f>
        <v/>
      </c>
      <c r="P130" s="14">
        <f>IF(B130="","",IF(1-(INDEX(Settings!$E$8:$E$15,MATCH(Settings!$C$4,Settings!$B$8:$B$15,0))+INDEX(Settings!$F$8:$F$15,MATCH(Settings!$C$4,Settings!$B$8:$B$15,0))*(1+Settings!$C$26)+N(I130)*Settings!$C$23+INDEX(Settings!$H$8:$H$15,MATCH(Settings!$C$4,Settings!$B$8:$B$15,0))+IF(Settings!$C$25="Yes",0.025,0)+INDEX(Settings!$I$8:$I$15,MATCH(Settings!$C$4,Settings!$B$8:$B$15,0))*(INDEX(Settings!$E$8:$E$15,MATCH(Settings!$C$4,Settings!$B$8:$B$15,0))+N(I130)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130)/(1-(INDEX(Settings!$E$8:$E$15,MATCH(Settings!$C$4,Settings!$B$8:$B$15,0))+INDEX(Settings!$F$8:$F$15,MATCH(Settings!$C$4,Settings!$B$8:$B$15,0))*(1+Settings!$C$26)+N(I130)*Settings!$C$23+INDEX(Settings!$H$8:$H$15,MATCH(Settings!$C$4,Settings!$B$8:$B$15,0))+IF(Settings!$C$25="Yes",0.025,0)+INDEX(Settings!$I$8:$I$15,MATCH(Settings!$C$4,Settings!$B$8:$B$15,0))*(INDEX(Settings!$E$8:$E$15,MATCH(Settings!$C$4,Settings!$B$8:$B$15,0))+N(I130)*Settings!$C$23+INDEX(Settings!$H$8:$H$15,MATCH(Settings!$C$4,Settings!$B$8:$B$15,0))))-Settings!$C$28)-N(D130))))</f>
        <v/>
      </c>
      <c r="Q130" s="1" t="n"/>
    </row>
    <row r="131">
      <c r="A131" s="1" t="n"/>
      <c r="B131" s="25" t="n"/>
      <c r="C131" s="7" t="n"/>
      <c r="D131" s="7" t="n"/>
      <c r="E131" s="7" t="n"/>
      <c r="F131" s="7" t="n"/>
      <c r="G131" s="7" t="n"/>
      <c r="H131" s="12" t="n"/>
      <c r="I131" s="11" t="n"/>
      <c r="J131" s="9">
        <f>IF(B131="","",(N(C131)+N(D131)))</f>
        <v/>
      </c>
      <c r="K131" s="9">
        <f>IF(B131="","",INDEX(Settings!$D$8:$D$15,MATCH(Settings!$C$4,Settings!$B$8:$B$15,0))+INDEX(Settings!$E$8:$E$15,MATCH(Settings!$C$4,Settings!$B$8:$B$15,0))*(N(C131)+N(D131))+INDEX(Settings!$F$8:$F$15,MATCH(Settings!$C$4,Settings!$B$8:$B$15,0))*(N(C131)+N(D131))*(1+Settings!$C$26)+INDEX(Settings!$G$8:$G$15,MATCH(Settings!$C$4,Settings!$B$8:$B$15,0))+N(I131)*MIN(Settings!$C$23*(N(C131)+N(D131)),Settings!$C$24)+INDEX(Settings!$H$8:$H$15,MATCH(Settings!$C$4,Settings!$B$8:$B$15,0))*(N(C131)+N(D131))+IF(Settings!$C$25="Yes",0.025,0)*(N(C131)+N(D131))+INDEX(Settings!$I$8:$I$15,MATCH(Settings!$C$4,Settings!$B$8:$B$15,0))*(INDEX(Settings!$D$8:$D$15,MATCH(Settings!$C$4,Settings!$B$8:$B$15,0))+INDEX(Settings!$E$8:$E$15,MATCH(Settings!$C$4,Settings!$B$8:$B$15,0))*(N(C131)+N(D131))+N(I131)*MIN(Settings!$C$23*(N(C131)+N(D131)),Settings!$C$24)+INDEX(Settings!$H$8:$H$15,MATCH(Settings!$C$4,Settings!$B$8:$B$15,0))*(N(C131)+N(D131))))</f>
        <v/>
      </c>
      <c r="L131" s="9">
        <f>IF(B131="","",N(E131)+N(F131)+N(G131)+N(H131)/60*Settings!$C$27)</f>
        <v/>
      </c>
      <c r="M131" s="20">
        <f>IF(B131="","",J131-K131-L131)</f>
        <v/>
      </c>
      <c r="N131" s="26">
        <f>IF(OR(B131="",N(J131)=0),"",M131/J131)</f>
        <v/>
      </c>
      <c r="O131" s="8">
        <f>IF(B131="","",IF(M131&lt;0,"Loss",IF(N131&lt;Settings!$C$28,"Below target","On target")))</f>
        <v/>
      </c>
      <c r="P131" s="14">
        <f>IF(B131="","",IF(1-(INDEX(Settings!$E$8:$E$15,MATCH(Settings!$C$4,Settings!$B$8:$B$15,0))+INDEX(Settings!$F$8:$F$15,MATCH(Settings!$C$4,Settings!$B$8:$B$15,0))*(1+Settings!$C$26)+N(I131)*Settings!$C$23+INDEX(Settings!$H$8:$H$15,MATCH(Settings!$C$4,Settings!$B$8:$B$15,0))+IF(Settings!$C$25="Yes",0.025,0)+INDEX(Settings!$I$8:$I$15,MATCH(Settings!$C$4,Settings!$B$8:$B$15,0))*(INDEX(Settings!$E$8:$E$15,MATCH(Settings!$C$4,Settings!$B$8:$B$15,0))+N(I131)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131)/(1-(INDEX(Settings!$E$8:$E$15,MATCH(Settings!$C$4,Settings!$B$8:$B$15,0))+INDEX(Settings!$F$8:$F$15,MATCH(Settings!$C$4,Settings!$B$8:$B$15,0))*(1+Settings!$C$26)+N(I131)*Settings!$C$23+INDEX(Settings!$H$8:$H$15,MATCH(Settings!$C$4,Settings!$B$8:$B$15,0))+IF(Settings!$C$25="Yes",0.025,0)+INDEX(Settings!$I$8:$I$15,MATCH(Settings!$C$4,Settings!$B$8:$B$15,0))*(INDEX(Settings!$E$8:$E$15,MATCH(Settings!$C$4,Settings!$B$8:$B$15,0))+N(I131)*Settings!$C$23+INDEX(Settings!$H$8:$H$15,MATCH(Settings!$C$4,Settings!$B$8:$B$15,0))))-Settings!$C$28)-N(D131))))</f>
        <v/>
      </c>
      <c r="Q131" s="1" t="n"/>
    </row>
    <row r="132">
      <c r="A132" s="1" t="n"/>
      <c r="B132" s="25" t="n"/>
      <c r="C132" s="7" t="n"/>
      <c r="D132" s="7" t="n"/>
      <c r="E132" s="7" t="n"/>
      <c r="F132" s="7" t="n"/>
      <c r="G132" s="7" t="n"/>
      <c r="H132" s="12" t="n"/>
      <c r="I132" s="11" t="n"/>
      <c r="J132" s="9">
        <f>IF(B132="","",(N(C132)+N(D132)))</f>
        <v/>
      </c>
      <c r="K132" s="9">
        <f>IF(B132="","",INDEX(Settings!$D$8:$D$15,MATCH(Settings!$C$4,Settings!$B$8:$B$15,0))+INDEX(Settings!$E$8:$E$15,MATCH(Settings!$C$4,Settings!$B$8:$B$15,0))*(N(C132)+N(D132))+INDEX(Settings!$F$8:$F$15,MATCH(Settings!$C$4,Settings!$B$8:$B$15,0))*(N(C132)+N(D132))*(1+Settings!$C$26)+INDEX(Settings!$G$8:$G$15,MATCH(Settings!$C$4,Settings!$B$8:$B$15,0))+N(I132)*MIN(Settings!$C$23*(N(C132)+N(D132)),Settings!$C$24)+INDEX(Settings!$H$8:$H$15,MATCH(Settings!$C$4,Settings!$B$8:$B$15,0))*(N(C132)+N(D132))+IF(Settings!$C$25="Yes",0.025,0)*(N(C132)+N(D132))+INDEX(Settings!$I$8:$I$15,MATCH(Settings!$C$4,Settings!$B$8:$B$15,0))*(INDEX(Settings!$D$8:$D$15,MATCH(Settings!$C$4,Settings!$B$8:$B$15,0))+INDEX(Settings!$E$8:$E$15,MATCH(Settings!$C$4,Settings!$B$8:$B$15,0))*(N(C132)+N(D132))+N(I132)*MIN(Settings!$C$23*(N(C132)+N(D132)),Settings!$C$24)+INDEX(Settings!$H$8:$H$15,MATCH(Settings!$C$4,Settings!$B$8:$B$15,0))*(N(C132)+N(D132))))</f>
        <v/>
      </c>
      <c r="L132" s="9">
        <f>IF(B132="","",N(E132)+N(F132)+N(G132)+N(H132)/60*Settings!$C$27)</f>
        <v/>
      </c>
      <c r="M132" s="20">
        <f>IF(B132="","",J132-K132-L132)</f>
        <v/>
      </c>
      <c r="N132" s="26">
        <f>IF(OR(B132="",N(J132)=0),"",M132/J132)</f>
        <v/>
      </c>
      <c r="O132" s="8">
        <f>IF(B132="","",IF(M132&lt;0,"Loss",IF(N132&lt;Settings!$C$28,"Below target","On target")))</f>
        <v/>
      </c>
      <c r="P132" s="14">
        <f>IF(B132="","",IF(1-(INDEX(Settings!$E$8:$E$15,MATCH(Settings!$C$4,Settings!$B$8:$B$15,0))+INDEX(Settings!$F$8:$F$15,MATCH(Settings!$C$4,Settings!$B$8:$B$15,0))*(1+Settings!$C$26)+N(I132)*Settings!$C$23+INDEX(Settings!$H$8:$H$15,MATCH(Settings!$C$4,Settings!$B$8:$B$15,0))+IF(Settings!$C$25="Yes",0.025,0)+INDEX(Settings!$I$8:$I$15,MATCH(Settings!$C$4,Settings!$B$8:$B$15,0))*(INDEX(Settings!$E$8:$E$15,MATCH(Settings!$C$4,Settings!$B$8:$B$15,0))+N(I132)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132)/(1-(INDEX(Settings!$E$8:$E$15,MATCH(Settings!$C$4,Settings!$B$8:$B$15,0))+INDEX(Settings!$F$8:$F$15,MATCH(Settings!$C$4,Settings!$B$8:$B$15,0))*(1+Settings!$C$26)+N(I132)*Settings!$C$23+INDEX(Settings!$H$8:$H$15,MATCH(Settings!$C$4,Settings!$B$8:$B$15,0))+IF(Settings!$C$25="Yes",0.025,0)+INDEX(Settings!$I$8:$I$15,MATCH(Settings!$C$4,Settings!$B$8:$B$15,0))*(INDEX(Settings!$E$8:$E$15,MATCH(Settings!$C$4,Settings!$B$8:$B$15,0))+N(I132)*Settings!$C$23+INDEX(Settings!$H$8:$H$15,MATCH(Settings!$C$4,Settings!$B$8:$B$15,0))))-Settings!$C$28)-N(D132))))</f>
        <v/>
      </c>
      <c r="Q132" s="1" t="n"/>
    </row>
    <row r="133">
      <c r="A133" s="1" t="n"/>
      <c r="B133" s="25" t="n"/>
      <c r="C133" s="7" t="n"/>
      <c r="D133" s="7" t="n"/>
      <c r="E133" s="7" t="n"/>
      <c r="F133" s="7" t="n"/>
      <c r="G133" s="7" t="n"/>
      <c r="H133" s="12" t="n"/>
      <c r="I133" s="11" t="n"/>
      <c r="J133" s="9">
        <f>IF(B133="","",(N(C133)+N(D133)))</f>
        <v/>
      </c>
      <c r="K133" s="9">
        <f>IF(B133="","",INDEX(Settings!$D$8:$D$15,MATCH(Settings!$C$4,Settings!$B$8:$B$15,0))+INDEX(Settings!$E$8:$E$15,MATCH(Settings!$C$4,Settings!$B$8:$B$15,0))*(N(C133)+N(D133))+INDEX(Settings!$F$8:$F$15,MATCH(Settings!$C$4,Settings!$B$8:$B$15,0))*(N(C133)+N(D133))*(1+Settings!$C$26)+INDEX(Settings!$G$8:$G$15,MATCH(Settings!$C$4,Settings!$B$8:$B$15,0))+N(I133)*MIN(Settings!$C$23*(N(C133)+N(D133)),Settings!$C$24)+INDEX(Settings!$H$8:$H$15,MATCH(Settings!$C$4,Settings!$B$8:$B$15,0))*(N(C133)+N(D133))+IF(Settings!$C$25="Yes",0.025,0)*(N(C133)+N(D133))+INDEX(Settings!$I$8:$I$15,MATCH(Settings!$C$4,Settings!$B$8:$B$15,0))*(INDEX(Settings!$D$8:$D$15,MATCH(Settings!$C$4,Settings!$B$8:$B$15,0))+INDEX(Settings!$E$8:$E$15,MATCH(Settings!$C$4,Settings!$B$8:$B$15,0))*(N(C133)+N(D133))+N(I133)*MIN(Settings!$C$23*(N(C133)+N(D133)),Settings!$C$24)+INDEX(Settings!$H$8:$H$15,MATCH(Settings!$C$4,Settings!$B$8:$B$15,0))*(N(C133)+N(D133))))</f>
        <v/>
      </c>
      <c r="L133" s="9">
        <f>IF(B133="","",N(E133)+N(F133)+N(G133)+N(H133)/60*Settings!$C$27)</f>
        <v/>
      </c>
      <c r="M133" s="20">
        <f>IF(B133="","",J133-K133-L133)</f>
        <v/>
      </c>
      <c r="N133" s="26">
        <f>IF(OR(B133="",N(J133)=0),"",M133/J133)</f>
        <v/>
      </c>
      <c r="O133" s="8">
        <f>IF(B133="","",IF(M133&lt;0,"Loss",IF(N133&lt;Settings!$C$28,"Below target","On target")))</f>
        <v/>
      </c>
      <c r="P133" s="14">
        <f>IF(B133="","",IF(1-(INDEX(Settings!$E$8:$E$15,MATCH(Settings!$C$4,Settings!$B$8:$B$15,0))+INDEX(Settings!$F$8:$F$15,MATCH(Settings!$C$4,Settings!$B$8:$B$15,0))*(1+Settings!$C$26)+N(I133)*Settings!$C$23+INDEX(Settings!$H$8:$H$15,MATCH(Settings!$C$4,Settings!$B$8:$B$15,0))+IF(Settings!$C$25="Yes",0.025,0)+INDEX(Settings!$I$8:$I$15,MATCH(Settings!$C$4,Settings!$B$8:$B$15,0))*(INDEX(Settings!$E$8:$E$15,MATCH(Settings!$C$4,Settings!$B$8:$B$15,0))+N(I133)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133)/(1-(INDEX(Settings!$E$8:$E$15,MATCH(Settings!$C$4,Settings!$B$8:$B$15,0))+INDEX(Settings!$F$8:$F$15,MATCH(Settings!$C$4,Settings!$B$8:$B$15,0))*(1+Settings!$C$26)+N(I133)*Settings!$C$23+INDEX(Settings!$H$8:$H$15,MATCH(Settings!$C$4,Settings!$B$8:$B$15,0))+IF(Settings!$C$25="Yes",0.025,0)+INDEX(Settings!$I$8:$I$15,MATCH(Settings!$C$4,Settings!$B$8:$B$15,0))*(INDEX(Settings!$E$8:$E$15,MATCH(Settings!$C$4,Settings!$B$8:$B$15,0))+N(I133)*Settings!$C$23+INDEX(Settings!$H$8:$H$15,MATCH(Settings!$C$4,Settings!$B$8:$B$15,0))))-Settings!$C$28)-N(D133))))</f>
        <v/>
      </c>
      <c r="Q133" s="1" t="n"/>
    </row>
    <row r="134">
      <c r="A134" s="1" t="n"/>
      <c r="B134" s="25" t="n"/>
      <c r="C134" s="7" t="n"/>
      <c r="D134" s="7" t="n"/>
      <c r="E134" s="7" t="n"/>
      <c r="F134" s="7" t="n"/>
      <c r="G134" s="7" t="n"/>
      <c r="H134" s="12" t="n"/>
      <c r="I134" s="11" t="n"/>
      <c r="J134" s="9">
        <f>IF(B134="","",(N(C134)+N(D134)))</f>
        <v/>
      </c>
      <c r="K134" s="9">
        <f>IF(B134="","",INDEX(Settings!$D$8:$D$15,MATCH(Settings!$C$4,Settings!$B$8:$B$15,0))+INDEX(Settings!$E$8:$E$15,MATCH(Settings!$C$4,Settings!$B$8:$B$15,0))*(N(C134)+N(D134))+INDEX(Settings!$F$8:$F$15,MATCH(Settings!$C$4,Settings!$B$8:$B$15,0))*(N(C134)+N(D134))*(1+Settings!$C$26)+INDEX(Settings!$G$8:$G$15,MATCH(Settings!$C$4,Settings!$B$8:$B$15,0))+N(I134)*MIN(Settings!$C$23*(N(C134)+N(D134)),Settings!$C$24)+INDEX(Settings!$H$8:$H$15,MATCH(Settings!$C$4,Settings!$B$8:$B$15,0))*(N(C134)+N(D134))+IF(Settings!$C$25="Yes",0.025,0)*(N(C134)+N(D134))+INDEX(Settings!$I$8:$I$15,MATCH(Settings!$C$4,Settings!$B$8:$B$15,0))*(INDEX(Settings!$D$8:$D$15,MATCH(Settings!$C$4,Settings!$B$8:$B$15,0))+INDEX(Settings!$E$8:$E$15,MATCH(Settings!$C$4,Settings!$B$8:$B$15,0))*(N(C134)+N(D134))+N(I134)*MIN(Settings!$C$23*(N(C134)+N(D134)),Settings!$C$24)+INDEX(Settings!$H$8:$H$15,MATCH(Settings!$C$4,Settings!$B$8:$B$15,0))*(N(C134)+N(D134))))</f>
        <v/>
      </c>
      <c r="L134" s="9">
        <f>IF(B134="","",N(E134)+N(F134)+N(G134)+N(H134)/60*Settings!$C$27)</f>
        <v/>
      </c>
      <c r="M134" s="20">
        <f>IF(B134="","",J134-K134-L134)</f>
        <v/>
      </c>
      <c r="N134" s="26">
        <f>IF(OR(B134="",N(J134)=0),"",M134/J134)</f>
        <v/>
      </c>
      <c r="O134" s="8">
        <f>IF(B134="","",IF(M134&lt;0,"Loss",IF(N134&lt;Settings!$C$28,"Below target","On target")))</f>
        <v/>
      </c>
      <c r="P134" s="14">
        <f>IF(B134="","",IF(1-(INDEX(Settings!$E$8:$E$15,MATCH(Settings!$C$4,Settings!$B$8:$B$15,0))+INDEX(Settings!$F$8:$F$15,MATCH(Settings!$C$4,Settings!$B$8:$B$15,0))*(1+Settings!$C$26)+N(I134)*Settings!$C$23+INDEX(Settings!$H$8:$H$15,MATCH(Settings!$C$4,Settings!$B$8:$B$15,0))+IF(Settings!$C$25="Yes",0.025,0)+INDEX(Settings!$I$8:$I$15,MATCH(Settings!$C$4,Settings!$B$8:$B$15,0))*(INDEX(Settings!$E$8:$E$15,MATCH(Settings!$C$4,Settings!$B$8:$B$15,0))+N(I134)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134)/(1-(INDEX(Settings!$E$8:$E$15,MATCH(Settings!$C$4,Settings!$B$8:$B$15,0))+INDEX(Settings!$F$8:$F$15,MATCH(Settings!$C$4,Settings!$B$8:$B$15,0))*(1+Settings!$C$26)+N(I134)*Settings!$C$23+INDEX(Settings!$H$8:$H$15,MATCH(Settings!$C$4,Settings!$B$8:$B$15,0))+IF(Settings!$C$25="Yes",0.025,0)+INDEX(Settings!$I$8:$I$15,MATCH(Settings!$C$4,Settings!$B$8:$B$15,0))*(INDEX(Settings!$E$8:$E$15,MATCH(Settings!$C$4,Settings!$B$8:$B$15,0))+N(I134)*Settings!$C$23+INDEX(Settings!$H$8:$H$15,MATCH(Settings!$C$4,Settings!$B$8:$B$15,0))))-Settings!$C$28)-N(D134))))</f>
        <v/>
      </c>
      <c r="Q134" s="1" t="n"/>
    </row>
    <row r="135">
      <c r="A135" s="1" t="n"/>
      <c r="B135" s="25" t="n"/>
      <c r="C135" s="7" t="n"/>
      <c r="D135" s="7" t="n"/>
      <c r="E135" s="7" t="n"/>
      <c r="F135" s="7" t="n"/>
      <c r="G135" s="7" t="n"/>
      <c r="H135" s="12" t="n"/>
      <c r="I135" s="11" t="n"/>
      <c r="J135" s="9">
        <f>IF(B135="","",(N(C135)+N(D135)))</f>
        <v/>
      </c>
      <c r="K135" s="9">
        <f>IF(B135="","",INDEX(Settings!$D$8:$D$15,MATCH(Settings!$C$4,Settings!$B$8:$B$15,0))+INDEX(Settings!$E$8:$E$15,MATCH(Settings!$C$4,Settings!$B$8:$B$15,0))*(N(C135)+N(D135))+INDEX(Settings!$F$8:$F$15,MATCH(Settings!$C$4,Settings!$B$8:$B$15,0))*(N(C135)+N(D135))*(1+Settings!$C$26)+INDEX(Settings!$G$8:$G$15,MATCH(Settings!$C$4,Settings!$B$8:$B$15,0))+N(I135)*MIN(Settings!$C$23*(N(C135)+N(D135)),Settings!$C$24)+INDEX(Settings!$H$8:$H$15,MATCH(Settings!$C$4,Settings!$B$8:$B$15,0))*(N(C135)+N(D135))+IF(Settings!$C$25="Yes",0.025,0)*(N(C135)+N(D135))+INDEX(Settings!$I$8:$I$15,MATCH(Settings!$C$4,Settings!$B$8:$B$15,0))*(INDEX(Settings!$D$8:$D$15,MATCH(Settings!$C$4,Settings!$B$8:$B$15,0))+INDEX(Settings!$E$8:$E$15,MATCH(Settings!$C$4,Settings!$B$8:$B$15,0))*(N(C135)+N(D135))+N(I135)*MIN(Settings!$C$23*(N(C135)+N(D135)),Settings!$C$24)+INDEX(Settings!$H$8:$H$15,MATCH(Settings!$C$4,Settings!$B$8:$B$15,0))*(N(C135)+N(D135))))</f>
        <v/>
      </c>
      <c r="L135" s="9">
        <f>IF(B135="","",N(E135)+N(F135)+N(G135)+N(H135)/60*Settings!$C$27)</f>
        <v/>
      </c>
      <c r="M135" s="20">
        <f>IF(B135="","",J135-K135-L135)</f>
        <v/>
      </c>
      <c r="N135" s="26">
        <f>IF(OR(B135="",N(J135)=0),"",M135/J135)</f>
        <v/>
      </c>
      <c r="O135" s="8">
        <f>IF(B135="","",IF(M135&lt;0,"Loss",IF(N135&lt;Settings!$C$28,"Below target","On target")))</f>
        <v/>
      </c>
      <c r="P135" s="14">
        <f>IF(B135="","",IF(1-(INDEX(Settings!$E$8:$E$15,MATCH(Settings!$C$4,Settings!$B$8:$B$15,0))+INDEX(Settings!$F$8:$F$15,MATCH(Settings!$C$4,Settings!$B$8:$B$15,0))*(1+Settings!$C$26)+N(I135)*Settings!$C$23+INDEX(Settings!$H$8:$H$15,MATCH(Settings!$C$4,Settings!$B$8:$B$15,0))+IF(Settings!$C$25="Yes",0.025,0)+INDEX(Settings!$I$8:$I$15,MATCH(Settings!$C$4,Settings!$B$8:$B$15,0))*(INDEX(Settings!$E$8:$E$15,MATCH(Settings!$C$4,Settings!$B$8:$B$15,0))+N(I135)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135)/(1-(INDEX(Settings!$E$8:$E$15,MATCH(Settings!$C$4,Settings!$B$8:$B$15,0))+INDEX(Settings!$F$8:$F$15,MATCH(Settings!$C$4,Settings!$B$8:$B$15,0))*(1+Settings!$C$26)+N(I135)*Settings!$C$23+INDEX(Settings!$H$8:$H$15,MATCH(Settings!$C$4,Settings!$B$8:$B$15,0))+IF(Settings!$C$25="Yes",0.025,0)+INDEX(Settings!$I$8:$I$15,MATCH(Settings!$C$4,Settings!$B$8:$B$15,0))*(INDEX(Settings!$E$8:$E$15,MATCH(Settings!$C$4,Settings!$B$8:$B$15,0))+N(I135)*Settings!$C$23+INDEX(Settings!$H$8:$H$15,MATCH(Settings!$C$4,Settings!$B$8:$B$15,0))))-Settings!$C$28)-N(D135))))</f>
        <v/>
      </c>
      <c r="Q135" s="1" t="n"/>
    </row>
    <row r="136">
      <c r="A136" s="1" t="n"/>
      <c r="B136" s="25" t="n"/>
      <c r="C136" s="7" t="n"/>
      <c r="D136" s="7" t="n"/>
      <c r="E136" s="7" t="n"/>
      <c r="F136" s="7" t="n"/>
      <c r="G136" s="7" t="n"/>
      <c r="H136" s="12" t="n"/>
      <c r="I136" s="11" t="n"/>
      <c r="J136" s="9">
        <f>IF(B136="","",(N(C136)+N(D136)))</f>
        <v/>
      </c>
      <c r="K136" s="9">
        <f>IF(B136="","",INDEX(Settings!$D$8:$D$15,MATCH(Settings!$C$4,Settings!$B$8:$B$15,0))+INDEX(Settings!$E$8:$E$15,MATCH(Settings!$C$4,Settings!$B$8:$B$15,0))*(N(C136)+N(D136))+INDEX(Settings!$F$8:$F$15,MATCH(Settings!$C$4,Settings!$B$8:$B$15,0))*(N(C136)+N(D136))*(1+Settings!$C$26)+INDEX(Settings!$G$8:$G$15,MATCH(Settings!$C$4,Settings!$B$8:$B$15,0))+N(I136)*MIN(Settings!$C$23*(N(C136)+N(D136)),Settings!$C$24)+INDEX(Settings!$H$8:$H$15,MATCH(Settings!$C$4,Settings!$B$8:$B$15,0))*(N(C136)+N(D136))+IF(Settings!$C$25="Yes",0.025,0)*(N(C136)+N(D136))+INDEX(Settings!$I$8:$I$15,MATCH(Settings!$C$4,Settings!$B$8:$B$15,0))*(INDEX(Settings!$D$8:$D$15,MATCH(Settings!$C$4,Settings!$B$8:$B$15,0))+INDEX(Settings!$E$8:$E$15,MATCH(Settings!$C$4,Settings!$B$8:$B$15,0))*(N(C136)+N(D136))+N(I136)*MIN(Settings!$C$23*(N(C136)+N(D136)),Settings!$C$24)+INDEX(Settings!$H$8:$H$15,MATCH(Settings!$C$4,Settings!$B$8:$B$15,0))*(N(C136)+N(D136))))</f>
        <v/>
      </c>
      <c r="L136" s="9">
        <f>IF(B136="","",N(E136)+N(F136)+N(G136)+N(H136)/60*Settings!$C$27)</f>
        <v/>
      </c>
      <c r="M136" s="20">
        <f>IF(B136="","",J136-K136-L136)</f>
        <v/>
      </c>
      <c r="N136" s="26">
        <f>IF(OR(B136="",N(J136)=0),"",M136/J136)</f>
        <v/>
      </c>
      <c r="O136" s="8">
        <f>IF(B136="","",IF(M136&lt;0,"Loss",IF(N136&lt;Settings!$C$28,"Below target","On target")))</f>
        <v/>
      </c>
      <c r="P136" s="14">
        <f>IF(B136="","",IF(1-(INDEX(Settings!$E$8:$E$15,MATCH(Settings!$C$4,Settings!$B$8:$B$15,0))+INDEX(Settings!$F$8:$F$15,MATCH(Settings!$C$4,Settings!$B$8:$B$15,0))*(1+Settings!$C$26)+N(I136)*Settings!$C$23+INDEX(Settings!$H$8:$H$15,MATCH(Settings!$C$4,Settings!$B$8:$B$15,0))+IF(Settings!$C$25="Yes",0.025,0)+INDEX(Settings!$I$8:$I$15,MATCH(Settings!$C$4,Settings!$B$8:$B$15,0))*(INDEX(Settings!$E$8:$E$15,MATCH(Settings!$C$4,Settings!$B$8:$B$15,0))+N(I136)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136)/(1-(INDEX(Settings!$E$8:$E$15,MATCH(Settings!$C$4,Settings!$B$8:$B$15,0))+INDEX(Settings!$F$8:$F$15,MATCH(Settings!$C$4,Settings!$B$8:$B$15,0))*(1+Settings!$C$26)+N(I136)*Settings!$C$23+INDEX(Settings!$H$8:$H$15,MATCH(Settings!$C$4,Settings!$B$8:$B$15,0))+IF(Settings!$C$25="Yes",0.025,0)+INDEX(Settings!$I$8:$I$15,MATCH(Settings!$C$4,Settings!$B$8:$B$15,0))*(INDEX(Settings!$E$8:$E$15,MATCH(Settings!$C$4,Settings!$B$8:$B$15,0))+N(I136)*Settings!$C$23+INDEX(Settings!$H$8:$H$15,MATCH(Settings!$C$4,Settings!$B$8:$B$15,0))))-Settings!$C$28)-N(D136))))</f>
        <v/>
      </c>
      <c r="Q136" s="1" t="n"/>
    </row>
    <row r="137">
      <c r="A137" s="1" t="n"/>
      <c r="B137" s="25" t="n"/>
      <c r="C137" s="7" t="n"/>
      <c r="D137" s="7" t="n"/>
      <c r="E137" s="7" t="n"/>
      <c r="F137" s="7" t="n"/>
      <c r="G137" s="7" t="n"/>
      <c r="H137" s="12" t="n"/>
      <c r="I137" s="11" t="n"/>
      <c r="J137" s="9">
        <f>IF(B137="","",(N(C137)+N(D137)))</f>
        <v/>
      </c>
      <c r="K137" s="9">
        <f>IF(B137="","",INDEX(Settings!$D$8:$D$15,MATCH(Settings!$C$4,Settings!$B$8:$B$15,0))+INDEX(Settings!$E$8:$E$15,MATCH(Settings!$C$4,Settings!$B$8:$B$15,0))*(N(C137)+N(D137))+INDEX(Settings!$F$8:$F$15,MATCH(Settings!$C$4,Settings!$B$8:$B$15,0))*(N(C137)+N(D137))*(1+Settings!$C$26)+INDEX(Settings!$G$8:$G$15,MATCH(Settings!$C$4,Settings!$B$8:$B$15,0))+N(I137)*MIN(Settings!$C$23*(N(C137)+N(D137)),Settings!$C$24)+INDEX(Settings!$H$8:$H$15,MATCH(Settings!$C$4,Settings!$B$8:$B$15,0))*(N(C137)+N(D137))+IF(Settings!$C$25="Yes",0.025,0)*(N(C137)+N(D137))+INDEX(Settings!$I$8:$I$15,MATCH(Settings!$C$4,Settings!$B$8:$B$15,0))*(INDEX(Settings!$D$8:$D$15,MATCH(Settings!$C$4,Settings!$B$8:$B$15,0))+INDEX(Settings!$E$8:$E$15,MATCH(Settings!$C$4,Settings!$B$8:$B$15,0))*(N(C137)+N(D137))+N(I137)*MIN(Settings!$C$23*(N(C137)+N(D137)),Settings!$C$24)+INDEX(Settings!$H$8:$H$15,MATCH(Settings!$C$4,Settings!$B$8:$B$15,0))*(N(C137)+N(D137))))</f>
        <v/>
      </c>
      <c r="L137" s="9">
        <f>IF(B137="","",N(E137)+N(F137)+N(G137)+N(H137)/60*Settings!$C$27)</f>
        <v/>
      </c>
      <c r="M137" s="20">
        <f>IF(B137="","",J137-K137-L137)</f>
        <v/>
      </c>
      <c r="N137" s="26">
        <f>IF(OR(B137="",N(J137)=0),"",M137/J137)</f>
        <v/>
      </c>
      <c r="O137" s="8">
        <f>IF(B137="","",IF(M137&lt;0,"Loss",IF(N137&lt;Settings!$C$28,"Below target","On target")))</f>
        <v/>
      </c>
      <c r="P137" s="14">
        <f>IF(B137="","",IF(1-(INDEX(Settings!$E$8:$E$15,MATCH(Settings!$C$4,Settings!$B$8:$B$15,0))+INDEX(Settings!$F$8:$F$15,MATCH(Settings!$C$4,Settings!$B$8:$B$15,0))*(1+Settings!$C$26)+N(I137)*Settings!$C$23+INDEX(Settings!$H$8:$H$15,MATCH(Settings!$C$4,Settings!$B$8:$B$15,0))+IF(Settings!$C$25="Yes",0.025,0)+INDEX(Settings!$I$8:$I$15,MATCH(Settings!$C$4,Settings!$B$8:$B$15,0))*(INDEX(Settings!$E$8:$E$15,MATCH(Settings!$C$4,Settings!$B$8:$B$15,0))+N(I137)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137)/(1-(INDEX(Settings!$E$8:$E$15,MATCH(Settings!$C$4,Settings!$B$8:$B$15,0))+INDEX(Settings!$F$8:$F$15,MATCH(Settings!$C$4,Settings!$B$8:$B$15,0))*(1+Settings!$C$26)+N(I137)*Settings!$C$23+INDEX(Settings!$H$8:$H$15,MATCH(Settings!$C$4,Settings!$B$8:$B$15,0))+IF(Settings!$C$25="Yes",0.025,0)+INDEX(Settings!$I$8:$I$15,MATCH(Settings!$C$4,Settings!$B$8:$B$15,0))*(INDEX(Settings!$E$8:$E$15,MATCH(Settings!$C$4,Settings!$B$8:$B$15,0))+N(I137)*Settings!$C$23+INDEX(Settings!$H$8:$H$15,MATCH(Settings!$C$4,Settings!$B$8:$B$15,0))))-Settings!$C$28)-N(D137))))</f>
        <v/>
      </c>
      <c r="Q137" s="1" t="n"/>
    </row>
    <row r="138">
      <c r="A138" s="1" t="n"/>
      <c r="B138" s="25" t="n"/>
      <c r="C138" s="7" t="n"/>
      <c r="D138" s="7" t="n"/>
      <c r="E138" s="7" t="n"/>
      <c r="F138" s="7" t="n"/>
      <c r="G138" s="7" t="n"/>
      <c r="H138" s="12" t="n"/>
      <c r="I138" s="11" t="n"/>
      <c r="J138" s="9">
        <f>IF(B138="","",(N(C138)+N(D138)))</f>
        <v/>
      </c>
      <c r="K138" s="9">
        <f>IF(B138="","",INDEX(Settings!$D$8:$D$15,MATCH(Settings!$C$4,Settings!$B$8:$B$15,0))+INDEX(Settings!$E$8:$E$15,MATCH(Settings!$C$4,Settings!$B$8:$B$15,0))*(N(C138)+N(D138))+INDEX(Settings!$F$8:$F$15,MATCH(Settings!$C$4,Settings!$B$8:$B$15,0))*(N(C138)+N(D138))*(1+Settings!$C$26)+INDEX(Settings!$G$8:$G$15,MATCH(Settings!$C$4,Settings!$B$8:$B$15,0))+N(I138)*MIN(Settings!$C$23*(N(C138)+N(D138)),Settings!$C$24)+INDEX(Settings!$H$8:$H$15,MATCH(Settings!$C$4,Settings!$B$8:$B$15,0))*(N(C138)+N(D138))+IF(Settings!$C$25="Yes",0.025,0)*(N(C138)+N(D138))+INDEX(Settings!$I$8:$I$15,MATCH(Settings!$C$4,Settings!$B$8:$B$15,0))*(INDEX(Settings!$D$8:$D$15,MATCH(Settings!$C$4,Settings!$B$8:$B$15,0))+INDEX(Settings!$E$8:$E$15,MATCH(Settings!$C$4,Settings!$B$8:$B$15,0))*(N(C138)+N(D138))+N(I138)*MIN(Settings!$C$23*(N(C138)+N(D138)),Settings!$C$24)+INDEX(Settings!$H$8:$H$15,MATCH(Settings!$C$4,Settings!$B$8:$B$15,0))*(N(C138)+N(D138))))</f>
        <v/>
      </c>
      <c r="L138" s="9">
        <f>IF(B138="","",N(E138)+N(F138)+N(G138)+N(H138)/60*Settings!$C$27)</f>
        <v/>
      </c>
      <c r="M138" s="20">
        <f>IF(B138="","",J138-K138-L138)</f>
        <v/>
      </c>
      <c r="N138" s="26">
        <f>IF(OR(B138="",N(J138)=0),"",M138/J138)</f>
        <v/>
      </c>
      <c r="O138" s="8">
        <f>IF(B138="","",IF(M138&lt;0,"Loss",IF(N138&lt;Settings!$C$28,"Below target","On target")))</f>
        <v/>
      </c>
      <c r="P138" s="14">
        <f>IF(B138="","",IF(1-(INDEX(Settings!$E$8:$E$15,MATCH(Settings!$C$4,Settings!$B$8:$B$15,0))+INDEX(Settings!$F$8:$F$15,MATCH(Settings!$C$4,Settings!$B$8:$B$15,0))*(1+Settings!$C$26)+N(I138)*Settings!$C$23+INDEX(Settings!$H$8:$H$15,MATCH(Settings!$C$4,Settings!$B$8:$B$15,0))+IF(Settings!$C$25="Yes",0.025,0)+INDEX(Settings!$I$8:$I$15,MATCH(Settings!$C$4,Settings!$B$8:$B$15,0))*(INDEX(Settings!$E$8:$E$15,MATCH(Settings!$C$4,Settings!$B$8:$B$15,0))+N(I138)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138)/(1-(INDEX(Settings!$E$8:$E$15,MATCH(Settings!$C$4,Settings!$B$8:$B$15,0))+INDEX(Settings!$F$8:$F$15,MATCH(Settings!$C$4,Settings!$B$8:$B$15,0))*(1+Settings!$C$26)+N(I138)*Settings!$C$23+INDEX(Settings!$H$8:$H$15,MATCH(Settings!$C$4,Settings!$B$8:$B$15,0))+IF(Settings!$C$25="Yes",0.025,0)+INDEX(Settings!$I$8:$I$15,MATCH(Settings!$C$4,Settings!$B$8:$B$15,0))*(INDEX(Settings!$E$8:$E$15,MATCH(Settings!$C$4,Settings!$B$8:$B$15,0))+N(I138)*Settings!$C$23+INDEX(Settings!$H$8:$H$15,MATCH(Settings!$C$4,Settings!$B$8:$B$15,0))))-Settings!$C$28)-N(D138))))</f>
        <v/>
      </c>
      <c r="Q138" s="1" t="n"/>
    </row>
    <row r="139">
      <c r="A139" s="1" t="n"/>
      <c r="B139" s="25" t="n"/>
      <c r="C139" s="7" t="n"/>
      <c r="D139" s="7" t="n"/>
      <c r="E139" s="7" t="n"/>
      <c r="F139" s="7" t="n"/>
      <c r="G139" s="7" t="n"/>
      <c r="H139" s="12" t="n"/>
      <c r="I139" s="11" t="n"/>
      <c r="J139" s="9">
        <f>IF(B139="","",(N(C139)+N(D139)))</f>
        <v/>
      </c>
      <c r="K139" s="9">
        <f>IF(B139="","",INDEX(Settings!$D$8:$D$15,MATCH(Settings!$C$4,Settings!$B$8:$B$15,0))+INDEX(Settings!$E$8:$E$15,MATCH(Settings!$C$4,Settings!$B$8:$B$15,0))*(N(C139)+N(D139))+INDEX(Settings!$F$8:$F$15,MATCH(Settings!$C$4,Settings!$B$8:$B$15,0))*(N(C139)+N(D139))*(1+Settings!$C$26)+INDEX(Settings!$G$8:$G$15,MATCH(Settings!$C$4,Settings!$B$8:$B$15,0))+N(I139)*MIN(Settings!$C$23*(N(C139)+N(D139)),Settings!$C$24)+INDEX(Settings!$H$8:$H$15,MATCH(Settings!$C$4,Settings!$B$8:$B$15,0))*(N(C139)+N(D139))+IF(Settings!$C$25="Yes",0.025,0)*(N(C139)+N(D139))+INDEX(Settings!$I$8:$I$15,MATCH(Settings!$C$4,Settings!$B$8:$B$15,0))*(INDEX(Settings!$D$8:$D$15,MATCH(Settings!$C$4,Settings!$B$8:$B$15,0))+INDEX(Settings!$E$8:$E$15,MATCH(Settings!$C$4,Settings!$B$8:$B$15,0))*(N(C139)+N(D139))+N(I139)*MIN(Settings!$C$23*(N(C139)+N(D139)),Settings!$C$24)+INDEX(Settings!$H$8:$H$15,MATCH(Settings!$C$4,Settings!$B$8:$B$15,0))*(N(C139)+N(D139))))</f>
        <v/>
      </c>
      <c r="L139" s="9">
        <f>IF(B139="","",N(E139)+N(F139)+N(G139)+N(H139)/60*Settings!$C$27)</f>
        <v/>
      </c>
      <c r="M139" s="20">
        <f>IF(B139="","",J139-K139-L139)</f>
        <v/>
      </c>
      <c r="N139" s="26">
        <f>IF(OR(B139="",N(J139)=0),"",M139/J139)</f>
        <v/>
      </c>
      <c r="O139" s="8">
        <f>IF(B139="","",IF(M139&lt;0,"Loss",IF(N139&lt;Settings!$C$28,"Below target","On target")))</f>
        <v/>
      </c>
      <c r="P139" s="14">
        <f>IF(B139="","",IF(1-(INDEX(Settings!$E$8:$E$15,MATCH(Settings!$C$4,Settings!$B$8:$B$15,0))+INDEX(Settings!$F$8:$F$15,MATCH(Settings!$C$4,Settings!$B$8:$B$15,0))*(1+Settings!$C$26)+N(I139)*Settings!$C$23+INDEX(Settings!$H$8:$H$15,MATCH(Settings!$C$4,Settings!$B$8:$B$15,0))+IF(Settings!$C$25="Yes",0.025,0)+INDEX(Settings!$I$8:$I$15,MATCH(Settings!$C$4,Settings!$B$8:$B$15,0))*(INDEX(Settings!$E$8:$E$15,MATCH(Settings!$C$4,Settings!$B$8:$B$15,0))+N(I139)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139)/(1-(INDEX(Settings!$E$8:$E$15,MATCH(Settings!$C$4,Settings!$B$8:$B$15,0))+INDEX(Settings!$F$8:$F$15,MATCH(Settings!$C$4,Settings!$B$8:$B$15,0))*(1+Settings!$C$26)+N(I139)*Settings!$C$23+INDEX(Settings!$H$8:$H$15,MATCH(Settings!$C$4,Settings!$B$8:$B$15,0))+IF(Settings!$C$25="Yes",0.025,0)+INDEX(Settings!$I$8:$I$15,MATCH(Settings!$C$4,Settings!$B$8:$B$15,0))*(INDEX(Settings!$E$8:$E$15,MATCH(Settings!$C$4,Settings!$B$8:$B$15,0))+N(I139)*Settings!$C$23+INDEX(Settings!$H$8:$H$15,MATCH(Settings!$C$4,Settings!$B$8:$B$15,0))))-Settings!$C$28)-N(D139))))</f>
        <v/>
      </c>
      <c r="Q139" s="1" t="n"/>
    </row>
    <row r="140">
      <c r="A140" s="1" t="n"/>
      <c r="B140" s="25" t="n"/>
      <c r="C140" s="7" t="n"/>
      <c r="D140" s="7" t="n"/>
      <c r="E140" s="7" t="n"/>
      <c r="F140" s="7" t="n"/>
      <c r="G140" s="7" t="n"/>
      <c r="H140" s="12" t="n"/>
      <c r="I140" s="11" t="n"/>
      <c r="J140" s="9">
        <f>IF(B140="","",(N(C140)+N(D140)))</f>
        <v/>
      </c>
      <c r="K140" s="9">
        <f>IF(B140="","",INDEX(Settings!$D$8:$D$15,MATCH(Settings!$C$4,Settings!$B$8:$B$15,0))+INDEX(Settings!$E$8:$E$15,MATCH(Settings!$C$4,Settings!$B$8:$B$15,0))*(N(C140)+N(D140))+INDEX(Settings!$F$8:$F$15,MATCH(Settings!$C$4,Settings!$B$8:$B$15,0))*(N(C140)+N(D140))*(1+Settings!$C$26)+INDEX(Settings!$G$8:$G$15,MATCH(Settings!$C$4,Settings!$B$8:$B$15,0))+N(I140)*MIN(Settings!$C$23*(N(C140)+N(D140)),Settings!$C$24)+INDEX(Settings!$H$8:$H$15,MATCH(Settings!$C$4,Settings!$B$8:$B$15,0))*(N(C140)+N(D140))+IF(Settings!$C$25="Yes",0.025,0)*(N(C140)+N(D140))+INDEX(Settings!$I$8:$I$15,MATCH(Settings!$C$4,Settings!$B$8:$B$15,0))*(INDEX(Settings!$D$8:$D$15,MATCH(Settings!$C$4,Settings!$B$8:$B$15,0))+INDEX(Settings!$E$8:$E$15,MATCH(Settings!$C$4,Settings!$B$8:$B$15,0))*(N(C140)+N(D140))+N(I140)*MIN(Settings!$C$23*(N(C140)+N(D140)),Settings!$C$24)+INDEX(Settings!$H$8:$H$15,MATCH(Settings!$C$4,Settings!$B$8:$B$15,0))*(N(C140)+N(D140))))</f>
        <v/>
      </c>
      <c r="L140" s="9">
        <f>IF(B140="","",N(E140)+N(F140)+N(G140)+N(H140)/60*Settings!$C$27)</f>
        <v/>
      </c>
      <c r="M140" s="20">
        <f>IF(B140="","",J140-K140-L140)</f>
        <v/>
      </c>
      <c r="N140" s="26">
        <f>IF(OR(B140="",N(J140)=0),"",M140/J140)</f>
        <v/>
      </c>
      <c r="O140" s="8">
        <f>IF(B140="","",IF(M140&lt;0,"Loss",IF(N140&lt;Settings!$C$28,"Below target","On target")))</f>
        <v/>
      </c>
      <c r="P140" s="14">
        <f>IF(B140="","",IF(1-(INDEX(Settings!$E$8:$E$15,MATCH(Settings!$C$4,Settings!$B$8:$B$15,0))+INDEX(Settings!$F$8:$F$15,MATCH(Settings!$C$4,Settings!$B$8:$B$15,0))*(1+Settings!$C$26)+N(I140)*Settings!$C$23+INDEX(Settings!$H$8:$H$15,MATCH(Settings!$C$4,Settings!$B$8:$B$15,0))+IF(Settings!$C$25="Yes",0.025,0)+INDEX(Settings!$I$8:$I$15,MATCH(Settings!$C$4,Settings!$B$8:$B$15,0))*(INDEX(Settings!$E$8:$E$15,MATCH(Settings!$C$4,Settings!$B$8:$B$15,0))+N(I140)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140)/(1-(INDEX(Settings!$E$8:$E$15,MATCH(Settings!$C$4,Settings!$B$8:$B$15,0))+INDEX(Settings!$F$8:$F$15,MATCH(Settings!$C$4,Settings!$B$8:$B$15,0))*(1+Settings!$C$26)+N(I140)*Settings!$C$23+INDEX(Settings!$H$8:$H$15,MATCH(Settings!$C$4,Settings!$B$8:$B$15,0))+IF(Settings!$C$25="Yes",0.025,0)+INDEX(Settings!$I$8:$I$15,MATCH(Settings!$C$4,Settings!$B$8:$B$15,0))*(INDEX(Settings!$E$8:$E$15,MATCH(Settings!$C$4,Settings!$B$8:$B$15,0))+N(I140)*Settings!$C$23+INDEX(Settings!$H$8:$H$15,MATCH(Settings!$C$4,Settings!$B$8:$B$15,0))))-Settings!$C$28)-N(D140))))</f>
        <v/>
      </c>
      <c r="Q140" s="1" t="n"/>
    </row>
    <row r="141">
      <c r="A141" s="1" t="n"/>
      <c r="B141" s="25" t="n"/>
      <c r="C141" s="7" t="n"/>
      <c r="D141" s="7" t="n"/>
      <c r="E141" s="7" t="n"/>
      <c r="F141" s="7" t="n"/>
      <c r="G141" s="7" t="n"/>
      <c r="H141" s="12" t="n"/>
      <c r="I141" s="11" t="n"/>
      <c r="J141" s="9">
        <f>IF(B141="","",(N(C141)+N(D141)))</f>
        <v/>
      </c>
      <c r="K141" s="9">
        <f>IF(B141="","",INDEX(Settings!$D$8:$D$15,MATCH(Settings!$C$4,Settings!$B$8:$B$15,0))+INDEX(Settings!$E$8:$E$15,MATCH(Settings!$C$4,Settings!$B$8:$B$15,0))*(N(C141)+N(D141))+INDEX(Settings!$F$8:$F$15,MATCH(Settings!$C$4,Settings!$B$8:$B$15,0))*(N(C141)+N(D141))*(1+Settings!$C$26)+INDEX(Settings!$G$8:$G$15,MATCH(Settings!$C$4,Settings!$B$8:$B$15,0))+N(I141)*MIN(Settings!$C$23*(N(C141)+N(D141)),Settings!$C$24)+INDEX(Settings!$H$8:$H$15,MATCH(Settings!$C$4,Settings!$B$8:$B$15,0))*(N(C141)+N(D141))+IF(Settings!$C$25="Yes",0.025,0)*(N(C141)+N(D141))+INDEX(Settings!$I$8:$I$15,MATCH(Settings!$C$4,Settings!$B$8:$B$15,0))*(INDEX(Settings!$D$8:$D$15,MATCH(Settings!$C$4,Settings!$B$8:$B$15,0))+INDEX(Settings!$E$8:$E$15,MATCH(Settings!$C$4,Settings!$B$8:$B$15,0))*(N(C141)+N(D141))+N(I141)*MIN(Settings!$C$23*(N(C141)+N(D141)),Settings!$C$24)+INDEX(Settings!$H$8:$H$15,MATCH(Settings!$C$4,Settings!$B$8:$B$15,0))*(N(C141)+N(D141))))</f>
        <v/>
      </c>
      <c r="L141" s="9">
        <f>IF(B141="","",N(E141)+N(F141)+N(G141)+N(H141)/60*Settings!$C$27)</f>
        <v/>
      </c>
      <c r="M141" s="20">
        <f>IF(B141="","",J141-K141-L141)</f>
        <v/>
      </c>
      <c r="N141" s="26">
        <f>IF(OR(B141="",N(J141)=0),"",M141/J141)</f>
        <v/>
      </c>
      <c r="O141" s="8">
        <f>IF(B141="","",IF(M141&lt;0,"Loss",IF(N141&lt;Settings!$C$28,"Below target","On target")))</f>
        <v/>
      </c>
      <c r="P141" s="14">
        <f>IF(B141="","",IF(1-(INDEX(Settings!$E$8:$E$15,MATCH(Settings!$C$4,Settings!$B$8:$B$15,0))+INDEX(Settings!$F$8:$F$15,MATCH(Settings!$C$4,Settings!$B$8:$B$15,0))*(1+Settings!$C$26)+N(I141)*Settings!$C$23+INDEX(Settings!$H$8:$H$15,MATCH(Settings!$C$4,Settings!$B$8:$B$15,0))+IF(Settings!$C$25="Yes",0.025,0)+INDEX(Settings!$I$8:$I$15,MATCH(Settings!$C$4,Settings!$B$8:$B$15,0))*(INDEX(Settings!$E$8:$E$15,MATCH(Settings!$C$4,Settings!$B$8:$B$15,0))+N(I141)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141)/(1-(INDEX(Settings!$E$8:$E$15,MATCH(Settings!$C$4,Settings!$B$8:$B$15,0))+INDEX(Settings!$F$8:$F$15,MATCH(Settings!$C$4,Settings!$B$8:$B$15,0))*(1+Settings!$C$26)+N(I141)*Settings!$C$23+INDEX(Settings!$H$8:$H$15,MATCH(Settings!$C$4,Settings!$B$8:$B$15,0))+IF(Settings!$C$25="Yes",0.025,0)+INDEX(Settings!$I$8:$I$15,MATCH(Settings!$C$4,Settings!$B$8:$B$15,0))*(INDEX(Settings!$E$8:$E$15,MATCH(Settings!$C$4,Settings!$B$8:$B$15,0))+N(I141)*Settings!$C$23+INDEX(Settings!$H$8:$H$15,MATCH(Settings!$C$4,Settings!$B$8:$B$15,0))))-Settings!$C$28)-N(D141))))</f>
        <v/>
      </c>
      <c r="Q141" s="1" t="n"/>
    </row>
    <row r="142">
      <c r="A142" s="1" t="n"/>
      <c r="B142" s="25" t="n"/>
      <c r="C142" s="7" t="n"/>
      <c r="D142" s="7" t="n"/>
      <c r="E142" s="7" t="n"/>
      <c r="F142" s="7" t="n"/>
      <c r="G142" s="7" t="n"/>
      <c r="H142" s="12" t="n"/>
      <c r="I142" s="11" t="n"/>
      <c r="J142" s="9">
        <f>IF(B142="","",(N(C142)+N(D142)))</f>
        <v/>
      </c>
      <c r="K142" s="9">
        <f>IF(B142="","",INDEX(Settings!$D$8:$D$15,MATCH(Settings!$C$4,Settings!$B$8:$B$15,0))+INDEX(Settings!$E$8:$E$15,MATCH(Settings!$C$4,Settings!$B$8:$B$15,0))*(N(C142)+N(D142))+INDEX(Settings!$F$8:$F$15,MATCH(Settings!$C$4,Settings!$B$8:$B$15,0))*(N(C142)+N(D142))*(1+Settings!$C$26)+INDEX(Settings!$G$8:$G$15,MATCH(Settings!$C$4,Settings!$B$8:$B$15,0))+N(I142)*MIN(Settings!$C$23*(N(C142)+N(D142)),Settings!$C$24)+INDEX(Settings!$H$8:$H$15,MATCH(Settings!$C$4,Settings!$B$8:$B$15,0))*(N(C142)+N(D142))+IF(Settings!$C$25="Yes",0.025,0)*(N(C142)+N(D142))+INDEX(Settings!$I$8:$I$15,MATCH(Settings!$C$4,Settings!$B$8:$B$15,0))*(INDEX(Settings!$D$8:$D$15,MATCH(Settings!$C$4,Settings!$B$8:$B$15,0))+INDEX(Settings!$E$8:$E$15,MATCH(Settings!$C$4,Settings!$B$8:$B$15,0))*(N(C142)+N(D142))+N(I142)*MIN(Settings!$C$23*(N(C142)+N(D142)),Settings!$C$24)+INDEX(Settings!$H$8:$H$15,MATCH(Settings!$C$4,Settings!$B$8:$B$15,0))*(N(C142)+N(D142))))</f>
        <v/>
      </c>
      <c r="L142" s="9">
        <f>IF(B142="","",N(E142)+N(F142)+N(G142)+N(H142)/60*Settings!$C$27)</f>
        <v/>
      </c>
      <c r="M142" s="20">
        <f>IF(B142="","",J142-K142-L142)</f>
        <v/>
      </c>
      <c r="N142" s="26">
        <f>IF(OR(B142="",N(J142)=0),"",M142/J142)</f>
        <v/>
      </c>
      <c r="O142" s="8">
        <f>IF(B142="","",IF(M142&lt;0,"Loss",IF(N142&lt;Settings!$C$28,"Below target","On target")))</f>
        <v/>
      </c>
      <c r="P142" s="14">
        <f>IF(B142="","",IF(1-(INDEX(Settings!$E$8:$E$15,MATCH(Settings!$C$4,Settings!$B$8:$B$15,0))+INDEX(Settings!$F$8:$F$15,MATCH(Settings!$C$4,Settings!$B$8:$B$15,0))*(1+Settings!$C$26)+N(I142)*Settings!$C$23+INDEX(Settings!$H$8:$H$15,MATCH(Settings!$C$4,Settings!$B$8:$B$15,0))+IF(Settings!$C$25="Yes",0.025,0)+INDEX(Settings!$I$8:$I$15,MATCH(Settings!$C$4,Settings!$B$8:$B$15,0))*(INDEX(Settings!$E$8:$E$15,MATCH(Settings!$C$4,Settings!$B$8:$B$15,0))+N(I142)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142)/(1-(INDEX(Settings!$E$8:$E$15,MATCH(Settings!$C$4,Settings!$B$8:$B$15,0))+INDEX(Settings!$F$8:$F$15,MATCH(Settings!$C$4,Settings!$B$8:$B$15,0))*(1+Settings!$C$26)+N(I142)*Settings!$C$23+INDEX(Settings!$H$8:$H$15,MATCH(Settings!$C$4,Settings!$B$8:$B$15,0))+IF(Settings!$C$25="Yes",0.025,0)+INDEX(Settings!$I$8:$I$15,MATCH(Settings!$C$4,Settings!$B$8:$B$15,0))*(INDEX(Settings!$E$8:$E$15,MATCH(Settings!$C$4,Settings!$B$8:$B$15,0))+N(I142)*Settings!$C$23+INDEX(Settings!$H$8:$H$15,MATCH(Settings!$C$4,Settings!$B$8:$B$15,0))))-Settings!$C$28)-N(D142))))</f>
        <v/>
      </c>
      <c r="Q142" s="1" t="n"/>
    </row>
    <row r="143">
      <c r="A143" s="1" t="n"/>
      <c r="B143" s="25" t="n"/>
      <c r="C143" s="7" t="n"/>
      <c r="D143" s="7" t="n"/>
      <c r="E143" s="7" t="n"/>
      <c r="F143" s="7" t="n"/>
      <c r="G143" s="7" t="n"/>
      <c r="H143" s="12" t="n"/>
      <c r="I143" s="11" t="n"/>
      <c r="J143" s="9">
        <f>IF(B143="","",(N(C143)+N(D143)))</f>
        <v/>
      </c>
      <c r="K143" s="9">
        <f>IF(B143="","",INDEX(Settings!$D$8:$D$15,MATCH(Settings!$C$4,Settings!$B$8:$B$15,0))+INDEX(Settings!$E$8:$E$15,MATCH(Settings!$C$4,Settings!$B$8:$B$15,0))*(N(C143)+N(D143))+INDEX(Settings!$F$8:$F$15,MATCH(Settings!$C$4,Settings!$B$8:$B$15,0))*(N(C143)+N(D143))*(1+Settings!$C$26)+INDEX(Settings!$G$8:$G$15,MATCH(Settings!$C$4,Settings!$B$8:$B$15,0))+N(I143)*MIN(Settings!$C$23*(N(C143)+N(D143)),Settings!$C$24)+INDEX(Settings!$H$8:$H$15,MATCH(Settings!$C$4,Settings!$B$8:$B$15,0))*(N(C143)+N(D143))+IF(Settings!$C$25="Yes",0.025,0)*(N(C143)+N(D143))+INDEX(Settings!$I$8:$I$15,MATCH(Settings!$C$4,Settings!$B$8:$B$15,0))*(INDEX(Settings!$D$8:$D$15,MATCH(Settings!$C$4,Settings!$B$8:$B$15,0))+INDEX(Settings!$E$8:$E$15,MATCH(Settings!$C$4,Settings!$B$8:$B$15,0))*(N(C143)+N(D143))+N(I143)*MIN(Settings!$C$23*(N(C143)+N(D143)),Settings!$C$24)+INDEX(Settings!$H$8:$H$15,MATCH(Settings!$C$4,Settings!$B$8:$B$15,0))*(N(C143)+N(D143))))</f>
        <v/>
      </c>
      <c r="L143" s="9">
        <f>IF(B143="","",N(E143)+N(F143)+N(G143)+N(H143)/60*Settings!$C$27)</f>
        <v/>
      </c>
      <c r="M143" s="20">
        <f>IF(B143="","",J143-K143-L143)</f>
        <v/>
      </c>
      <c r="N143" s="26">
        <f>IF(OR(B143="",N(J143)=0),"",M143/J143)</f>
        <v/>
      </c>
      <c r="O143" s="8">
        <f>IF(B143="","",IF(M143&lt;0,"Loss",IF(N143&lt;Settings!$C$28,"Below target","On target")))</f>
        <v/>
      </c>
      <c r="P143" s="14">
        <f>IF(B143="","",IF(1-(INDEX(Settings!$E$8:$E$15,MATCH(Settings!$C$4,Settings!$B$8:$B$15,0))+INDEX(Settings!$F$8:$F$15,MATCH(Settings!$C$4,Settings!$B$8:$B$15,0))*(1+Settings!$C$26)+N(I143)*Settings!$C$23+INDEX(Settings!$H$8:$H$15,MATCH(Settings!$C$4,Settings!$B$8:$B$15,0))+IF(Settings!$C$25="Yes",0.025,0)+INDEX(Settings!$I$8:$I$15,MATCH(Settings!$C$4,Settings!$B$8:$B$15,0))*(INDEX(Settings!$E$8:$E$15,MATCH(Settings!$C$4,Settings!$B$8:$B$15,0))+N(I143)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143)/(1-(INDEX(Settings!$E$8:$E$15,MATCH(Settings!$C$4,Settings!$B$8:$B$15,0))+INDEX(Settings!$F$8:$F$15,MATCH(Settings!$C$4,Settings!$B$8:$B$15,0))*(1+Settings!$C$26)+N(I143)*Settings!$C$23+INDEX(Settings!$H$8:$H$15,MATCH(Settings!$C$4,Settings!$B$8:$B$15,0))+IF(Settings!$C$25="Yes",0.025,0)+INDEX(Settings!$I$8:$I$15,MATCH(Settings!$C$4,Settings!$B$8:$B$15,0))*(INDEX(Settings!$E$8:$E$15,MATCH(Settings!$C$4,Settings!$B$8:$B$15,0))+N(I143)*Settings!$C$23+INDEX(Settings!$H$8:$H$15,MATCH(Settings!$C$4,Settings!$B$8:$B$15,0))))-Settings!$C$28)-N(D143))))</f>
        <v/>
      </c>
      <c r="Q143" s="1" t="n"/>
    </row>
    <row r="144">
      <c r="A144" s="1" t="n"/>
      <c r="B144" s="25" t="n"/>
      <c r="C144" s="7" t="n"/>
      <c r="D144" s="7" t="n"/>
      <c r="E144" s="7" t="n"/>
      <c r="F144" s="7" t="n"/>
      <c r="G144" s="7" t="n"/>
      <c r="H144" s="12" t="n"/>
      <c r="I144" s="11" t="n"/>
      <c r="J144" s="9">
        <f>IF(B144="","",(N(C144)+N(D144)))</f>
        <v/>
      </c>
      <c r="K144" s="9">
        <f>IF(B144="","",INDEX(Settings!$D$8:$D$15,MATCH(Settings!$C$4,Settings!$B$8:$B$15,0))+INDEX(Settings!$E$8:$E$15,MATCH(Settings!$C$4,Settings!$B$8:$B$15,0))*(N(C144)+N(D144))+INDEX(Settings!$F$8:$F$15,MATCH(Settings!$C$4,Settings!$B$8:$B$15,0))*(N(C144)+N(D144))*(1+Settings!$C$26)+INDEX(Settings!$G$8:$G$15,MATCH(Settings!$C$4,Settings!$B$8:$B$15,0))+N(I144)*MIN(Settings!$C$23*(N(C144)+N(D144)),Settings!$C$24)+INDEX(Settings!$H$8:$H$15,MATCH(Settings!$C$4,Settings!$B$8:$B$15,0))*(N(C144)+N(D144))+IF(Settings!$C$25="Yes",0.025,0)*(N(C144)+N(D144))+INDEX(Settings!$I$8:$I$15,MATCH(Settings!$C$4,Settings!$B$8:$B$15,0))*(INDEX(Settings!$D$8:$D$15,MATCH(Settings!$C$4,Settings!$B$8:$B$15,0))+INDEX(Settings!$E$8:$E$15,MATCH(Settings!$C$4,Settings!$B$8:$B$15,0))*(N(C144)+N(D144))+N(I144)*MIN(Settings!$C$23*(N(C144)+N(D144)),Settings!$C$24)+INDEX(Settings!$H$8:$H$15,MATCH(Settings!$C$4,Settings!$B$8:$B$15,0))*(N(C144)+N(D144))))</f>
        <v/>
      </c>
      <c r="L144" s="9">
        <f>IF(B144="","",N(E144)+N(F144)+N(G144)+N(H144)/60*Settings!$C$27)</f>
        <v/>
      </c>
      <c r="M144" s="20">
        <f>IF(B144="","",J144-K144-L144)</f>
        <v/>
      </c>
      <c r="N144" s="26">
        <f>IF(OR(B144="",N(J144)=0),"",M144/J144)</f>
        <v/>
      </c>
      <c r="O144" s="8">
        <f>IF(B144="","",IF(M144&lt;0,"Loss",IF(N144&lt;Settings!$C$28,"Below target","On target")))</f>
        <v/>
      </c>
      <c r="P144" s="14">
        <f>IF(B144="","",IF(1-(INDEX(Settings!$E$8:$E$15,MATCH(Settings!$C$4,Settings!$B$8:$B$15,0))+INDEX(Settings!$F$8:$F$15,MATCH(Settings!$C$4,Settings!$B$8:$B$15,0))*(1+Settings!$C$26)+N(I144)*Settings!$C$23+INDEX(Settings!$H$8:$H$15,MATCH(Settings!$C$4,Settings!$B$8:$B$15,0))+IF(Settings!$C$25="Yes",0.025,0)+INDEX(Settings!$I$8:$I$15,MATCH(Settings!$C$4,Settings!$B$8:$B$15,0))*(INDEX(Settings!$E$8:$E$15,MATCH(Settings!$C$4,Settings!$B$8:$B$15,0))+N(I144)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144)/(1-(INDEX(Settings!$E$8:$E$15,MATCH(Settings!$C$4,Settings!$B$8:$B$15,0))+INDEX(Settings!$F$8:$F$15,MATCH(Settings!$C$4,Settings!$B$8:$B$15,0))*(1+Settings!$C$26)+N(I144)*Settings!$C$23+INDEX(Settings!$H$8:$H$15,MATCH(Settings!$C$4,Settings!$B$8:$B$15,0))+IF(Settings!$C$25="Yes",0.025,0)+INDEX(Settings!$I$8:$I$15,MATCH(Settings!$C$4,Settings!$B$8:$B$15,0))*(INDEX(Settings!$E$8:$E$15,MATCH(Settings!$C$4,Settings!$B$8:$B$15,0))+N(I144)*Settings!$C$23+INDEX(Settings!$H$8:$H$15,MATCH(Settings!$C$4,Settings!$B$8:$B$15,0))))-Settings!$C$28)-N(D144))))</f>
        <v/>
      </c>
      <c r="Q144" s="1" t="n"/>
    </row>
    <row r="145">
      <c r="A145" s="1" t="n"/>
      <c r="B145" s="25" t="n"/>
      <c r="C145" s="7" t="n"/>
      <c r="D145" s="7" t="n"/>
      <c r="E145" s="7" t="n"/>
      <c r="F145" s="7" t="n"/>
      <c r="G145" s="7" t="n"/>
      <c r="H145" s="12" t="n"/>
      <c r="I145" s="11" t="n"/>
      <c r="J145" s="9">
        <f>IF(B145="","",(N(C145)+N(D145)))</f>
        <v/>
      </c>
      <c r="K145" s="9">
        <f>IF(B145="","",INDEX(Settings!$D$8:$D$15,MATCH(Settings!$C$4,Settings!$B$8:$B$15,0))+INDEX(Settings!$E$8:$E$15,MATCH(Settings!$C$4,Settings!$B$8:$B$15,0))*(N(C145)+N(D145))+INDEX(Settings!$F$8:$F$15,MATCH(Settings!$C$4,Settings!$B$8:$B$15,0))*(N(C145)+N(D145))*(1+Settings!$C$26)+INDEX(Settings!$G$8:$G$15,MATCH(Settings!$C$4,Settings!$B$8:$B$15,0))+N(I145)*MIN(Settings!$C$23*(N(C145)+N(D145)),Settings!$C$24)+INDEX(Settings!$H$8:$H$15,MATCH(Settings!$C$4,Settings!$B$8:$B$15,0))*(N(C145)+N(D145))+IF(Settings!$C$25="Yes",0.025,0)*(N(C145)+N(D145))+INDEX(Settings!$I$8:$I$15,MATCH(Settings!$C$4,Settings!$B$8:$B$15,0))*(INDEX(Settings!$D$8:$D$15,MATCH(Settings!$C$4,Settings!$B$8:$B$15,0))+INDEX(Settings!$E$8:$E$15,MATCH(Settings!$C$4,Settings!$B$8:$B$15,0))*(N(C145)+N(D145))+N(I145)*MIN(Settings!$C$23*(N(C145)+N(D145)),Settings!$C$24)+INDEX(Settings!$H$8:$H$15,MATCH(Settings!$C$4,Settings!$B$8:$B$15,0))*(N(C145)+N(D145))))</f>
        <v/>
      </c>
      <c r="L145" s="9">
        <f>IF(B145="","",N(E145)+N(F145)+N(G145)+N(H145)/60*Settings!$C$27)</f>
        <v/>
      </c>
      <c r="M145" s="20">
        <f>IF(B145="","",J145-K145-L145)</f>
        <v/>
      </c>
      <c r="N145" s="26">
        <f>IF(OR(B145="",N(J145)=0),"",M145/J145)</f>
        <v/>
      </c>
      <c r="O145" s="8">
        <f>IF(B145="","",IF(M145&lt;0,"Loss",IF(N145&lt;Settings!$C$28,"Below target","On target")))</f>
        <v/>
      </c>
      <c r="P145" s="14">
        <f>IF(B145="","",IF(1-(INDEX(Settings!$E$8:$E$15,MATCH(Settings!$C$4,Settings!$B$8:$B$15,0))+INDEX(Settings!$F$8:$F$15,MATCH(Settings!$C$4,Settings!$B$8:$B$15,0))*(1+Settings!$C$26)+N(I145)*Settings!$C$23+INDEX(Settings!$H$8:$H$15,MATCH(Settings!$C$4,Settings!$B$8:$B$15,0))+IF(Settings!$C$25="Yes",0.025,0)+INDEX(Settings!$I$8:$I$15,MATCH(Settings!$C$4,Settings!$B$8:$B$15,0))*(INDEX(Settings!$E$8:$E$15,MATCH(Settings!$C$4,Settings!$B$8:$B$15,0))+N(I145)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145)/(1-(INDEX(Settings!$E$8:$E$15,MATCH(Settings!$C$4,Settings!$B$8:$B$15,0))+INDEX(Settings!$F$8:$F$15,MATCH(Settings!$C$4,Settings!$B$8:$B$15,0))*(1+Settings!$C$26)+N(I145)*Settings!$C$23+INDEX(Settings!$H$8:$H$15,MATCH(Settings!$C$4,Settings!$B$8:$B$15,0))+IF(Settings!$C$25="Yes",0.025,0)+INDEX(Settings!$I$8:$I$15,MATCH(Settings!$C$4,Settings!$B$8:$B$15,0))*(INDEX(Settings!$E$8:$E$15,MATCH(Settings!$C$4,Settings!$B$8:$B$15,0))+N(I145)*Settings!$C$23+INDEX(Settings!$H$8:$H$15,MATCH(Settings!$C$4,Settings!$B$8:$B$15,0))))-Settings!$C$28)-N(D145))))</f>
        <v/>
      </c>
      <c r="Q145" s="1" t="n"/>
    </row>
    <row r="146">
      <c r="A146" s="1" t="n"/>
      <c r="B146" s="25" t="n"/>
      <c r="C146" s="7" t="n"/>
      <c r="D146" s="7" t="n"/>
      <c r="E146" s="7" t="n"/>
      <c r="F146" s="7" t="n"/>
      <c r="G146" s="7" t="n"/>
      <c r="H146" s="12" t="n"/>
      <c r="I146" s="11" t="n"/>
      <c r="J146" s="9">
        <f>IF(B146="","",(N(C146)+N(D146)))</f>
        <v/>
      </c>
      <c r="K146" s="9">
        <f>IF(B146="","",INDEX(Settings!$D$8:$D$15,MATCH(Settings!$C$4,Settings!$B$8:$B$15,0))+INDEX(Settings!$E$8:$E$15,MATCH(Settings!$C$4,Settings!$B$8:$B$15,0))*(N(C146)+N(D146))+INDEX(Settings!$F$8:$F$15,MATCH(Settings!$C$4,Settings!$B$8:$B$15,0))*(N(C146)+N(D146))*(1+Settings!$C$26)+INDEX(Settings!$G$8:$G$15,MATCH(Settings!$C$4,Settings!$B$8:$B$15,0))+N(I146)*MIN(Settings!$C$23*(N(C146)+N(D146)),Settings!$C$24)+INDEX(Settings!$H$8:$H$15,MATCH(Settings!$C$4,Settings!$B$8:$B$15,0))*(N(C146)+N(D146))+IF(Settings!$C$25="Yes",0.025,0)*(N(C146)+N(D146))+INDEX(Settings!$I$8:$I$15,MATCH(Settings!$C$4,Settings!$B$8:$B$15,0))*(INDEX(Settings!$D$8:$D$15,MATCH(Settings!$C$4,Settings!$B$8:$B$15,0))+INDEX(Settings!$E$8:$E$15,MATCH(Settings!$C$4,Settings!$B$8:$B$15,0))*(N(C146)+N(D146))+N(I146)*MIN(Settings!$C$23*(N(C146)+N(D146)),Settings!$C$24)+INDEX(Settings!$H$8:$H$15,MATCH(Settings!$C$4,Settings!$B$8:$B$15,0))*(N(C146)+N(D146))))</f>
        <v/>
      </c>
      <c r="L146" s="9">
        <f>IF(B146="","",N(E146)+N(F146)+N(G146)+N(H146)/60*Settings!$C$27)</f>
        <v/>
      </c>
      <c r="M146" s="20">
        <f>IF(B146="","",J146-K146-L146)</f>
        <v/>
      </c>
      <c r="N146" s="26">
        <f>IF(OR(B146="",N(J146)=0),"",M146/J146)</f>
        <v/>
      </c>
      <c r="O146" s="8">
        <f>IF(B146="","",IF(M146&lt;0,"Loss",IF(N146&lt;Settings!$C$28,"Below target","On target")))</f>
        <v/>
      </c>
      <c r="P146" s="14">
        <f>IF(B146="","",IF(1-(INDEX(Settings!$E$8:$E$15,MATCH(Settings!$C$4,Settings!$B$8:$B$15,0))+INDEX(Settings!$F$8:$F$15,MATCH(Settings!$C$4,Settings!$B$8:$B$15,0))*(1+Settings!$C$26)+N(I146)*Settings!$C$23+INDEX(Settings!$H$8:$H$15,MATCH(Settings!$C$4,Settings!$B$8:$B$15,0))+IF(Settings!$C$25="Yes",0.025,0)+INDEX(Settings!$I$8:$I$15,MATCH(Settings!$C$4,Settings!$B$8:$B$15,0))*(INDEX(Settings!$E$8:$E$15,MATCH(Settings!$C$4,Settings!$B$8:$B$15,0))+N(I146)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146)/(1-(INDEX(Settings!$E$8:$E$15,MATCH(Settings!$C$4,Settings!$B$8:$B$15,0))+INDEX(Settings!$F$8:$F$15,MATCH(Settings!$C$4,Settings!$B$8:$B$15,0))*(1+Settings!$C$26)+N(I146)*Settings!$C$23+INDEX(Settings!$H$8:$H$15,MATCH(Settings!$C$4,Settings!$B$8:$B$15,0))+IF(Settings!$C$25="Yes",0.025,0)+INDEX(Settings!$I$8:$I$15,MATCH(Settings!$C$4,Settings!$B$8:$B$15,0))*(INDEX(Settings!$E$8:$E$15,MATCH(Settings!$C$4,Settings!$B$8:$B$15,0))+N(I146)*Settings!$C$23+INDEX(Settings!$H$8:$H$15,MATCH(Settings!$C$4,Settings!$B$8:$B$15,0))))-Settings!$C$28)-N(D146))))</f>
        <v/>
      </c>
      <c r="Q146" s="1" t="n"/>
    </row>
    <row r="147">
      <c r="A147" s="1" t="n"/>
      <c r="B147" s="25" t="n"/>
      <c r="C147" s="7" t="n"/>
      <c r="D147" s="7" t="n"/>
      <c r="E147" s="7" t="n"/>
      <c r="F147" s="7" t="n"/>
      <c r="G147" s="7" t="n"/>
      <c r="H147" s="12" t="n"/>
      <c r="I147" s="11" t="n"/>
      <c r="J147" s="9">
        <f>IF(B147="","",(N(C147)+N(D147)))</f>
        <v/>
      </c>
      <c r="K147" s="9">
        <f>IF(B147="","",INDEX(Settings!$D$8:$D$15,MATCH(Settings!$C$4,Settings!$B$8:$B$15,0))+INDEX(Settings!$E$8:$E$15,MATCH(Settings!$C$4,Settings!$B$8:$B$15,0))*(N(C147)+N(D147))+INDEX(Settings!$F$8:$F$15,MATCH(Settings!$C$4,Settings!$B$8:$B$15,0))*(N(C147)+N(D147))*(1+Settings!$C$26)+INDEX(Settings!$G$8:$G$15,MATCH(Settings!$C$4,Settings!$B$8:$B$15,0))+N(I147)*MIN(Settings!$C$23*(N(C147)+N(D147)),Settings!$C$24)+INDEX(Settings!$H$8:$H$15,MATCH(Settings!$C$4,Settings!$B$8:$B$15,0))*(N(C147)+N(D147))+IF(Settings!$C$25="Yes",0.025,0)*(N(C147)+N(D147))+INDEX(Settings!$I$8:$I$15,MATCH(Settings!$C$4,Settings!$B$8:$B$15,0))*(INDEX(Settings!$D$8:$D$15,MATCH(Settings!$C$4,Settings!$B$8:$B$15,0))+INDEX(Settings!$E$8:$E$15,MATCH(Settings!$C$4,Settings!$B$8:$B$15,0))*(N(C147)+N(D147))+N(I147)*MIN(Settings!$C$23*(N(C147)+N(D147)),Settings!$C$24)+INDEX(Settings!$H$8:$H$15,MATCH(Settings!$C$4,Settings!$B$8:$B$15,0))*(N(C147)+N(D147))))</f>
        <v/>
      </c>
      <c r="L147" s="9">
        <f>IF(B147="","",N(E147)+N(F147)+N(G147)+N(H147)/60*Settings!$C$27)</f>
        <v/>
      </c>
      <c r="M147" s="20">
        <f>IF(B147="","",J147-K147-L147)</f>
        <v/>
      </c>
      <c r="N147" s="26">
        <f>IF(OR(B147="",N(J147)=0),"",M147/J147)</f>
        <v/>
      </c>
      <c r="O147" s="8">
        <f>IF(B147="","",IF(M147&lt;0,"Loss",IF(N147&lt;Settings!$C$28,"Below target","On target")))</f>
        <v/>
      </c>
      <c r="P147" s="14">
        <f>IF(B147="","",IF(1-(INDEX(Settings!$E$8:$E$15,MATCH(Settings!$C$4,Settings!$B$8:$B$15,0))+INDEX(Settings!$F$8:$F$15,MATCH(Settings!$C$4,Settings!$B$8:$B$15,0))*(1+Settings!$C$26)+N(I147)*Settings!$C$23+INDEX(Settings!$H$8:$H$15,MATCH(Settings!$C$4,Settings!$B$8:$B$15,0))+IF(Settings!$C$25="Yes",0.025,0)+INDEX(Settings!$I$8:$I$15,MATCH(Settings!$C$4,Settings!$B$8:$B$15,0))*(INDEX(Settings!$E$8:$E$15,MATCH(Settings!$C$4,Settings!$B$8:$B$15,0))+N(I147)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147)/(1-(INDEX(Settings!$E$8:$E$15,MATCH(Settings!$C$4,Settings!$B$8:$B$15,0))+INDEX(Settings!$F$8:$F$15,MATCH(Settings!$C$4,Settings!$B$8:$B$15,0))*(1+Settings!$C$26)+N(I147)*Settings!$C$23+INDEX(Settings!$H$8:$H$15,MATCH(Settings!$C$4,Settings!$B$8:$B$15,0))+IF(Settings!$C$25="Yes",0.025,0)+INDEX(Settings!$I$8:$I$15,MATCH(Settings!$C$4,Settings!$B$8:$B$15,0))*(INDEX(Settings!$E$8:$E$15,MATCH(Settings!$C$4,Settings!$B$8:$B$15,0))+N(I147)*Settings!$C$23+INDEX(Settings!$H$8:$H$15,MATCH(Settings!$C$4,Settings!$B$8:$B$15,0))))-Settings!$C$28)-N(D147))))</f>
        <v/>
      </c>
      <c r="Q147" s="1" t="n"/>
    </row>
    <row r="148">
      <c r="A148" s="1" t="n"/>
      <c r="B148" s="25" t="n"/>
      <c r="C148" s="7" t="n"/>
      <c r="D148" s="7" t="n"/>
      <c r="E148" s="7" t="n"/>
      <c r="F148" s="7" t="n"/>
      <c r="G148" s="7" t="n"/>
      <c r="H148" s="12" t="n"/>
      <c r="I148" s="11" t="n"/>
      <c r="J148" s="9">
        <f>IF(B148="","",(N(C148)+N(D148)))</f>
        <v/>
      </c>
      <c r="K148" s="9">
        <f>IF(B148="","",INDEX(Settings!$D$8:$D$15,MATCH(Settings!$C$4,Settings!$B$8:$B$15,0))+INDEX(Settings!$E$8:$E$15,MATCH(Settings!$C$4,Settings!$B$8:$B$15,0))*(N(C148)+N(D148))+INDEX(Settings!$F$8:$F$15,MATCH(Settings!$C$4,Settings!$B$8:$B$15,0))*(N(C148)+N(D148))*(1+Settings!$C$26)+INDEX(Settings!$G$8:$G$15,MATCH(Settings!$C$4,Settings!$B$8:$B$15,0))+N(I148)*MIN(Settings!$C$23*(N(C148)+N(D148)),Settings!$C$24)+INDEX(Settings!$H$8:$H$15,MATCH(Settings!$C$4,Settings!$B$8:$B$15,0))*(N(C148)+N(D148))+IF(Settings!$C$25="Yes",0.025,0)*(N(C148)+N(D148))+INDEX(Settings!$I$8:$I$15,MATCH(Settings!$C$4,Settings!$B$8:$B$15,0))*(INDEX(Settings!$D$8:$D$15,MATCH(Settings!$C$4,Settings!$B$8:$B$15,0))+INDEX(Settings!$E$8:$E$15,MATCH(Settings!$C$4,Settings!$B$8:$B$15,0))*(N(C148)+N(D148))+N(I148)*MIN(Settings!$C$23*(N(C148)+N(D148)),Settings!$C$24)+INDEX(Settings!$H$8:$H$15,MATCH(Settings!$C$4,Settings!$B$8:$B$15,0))*(N(C148)+N(D148))))</f>
        <v/>
      </c>
      <c r="L148" s="9">
        <f>IF(B148="","",N(E148)+N(F148)+N(G148)+N(H148)/60*Settings!$C$27)</f>
        <v/>
      </c>
      <c r="M148" s="20">
        <f>IF(B148="","",J148-K148-L148)</f>
        <v/>
      </c>
      <c r="N148" s="26">
        <f>IF(OR(B148="",N(J148)=0),"",M148/J148)</f>
        <v/>
      </c>
      <c r="O148" s="8">
        <f>IF(B148="","",IF(M148&lt;0,"Loss",IF(N148&lt;Settings!$C$28,"Below target","On target")))</f>
        <v/>
      </c>
      <c r="P148" s="14">
        <f>IF(B148="","",IF(1-(INDEX(Settings!$E$8:$E$15,MATCH(Settings!$C$4,Settings!$B$8:$B$15,0))+INDEX(Settings!$F$8:$F$15,MATCH(Settings!$C$4,Settings!$B$8:$B$15,0))*(1+Settings!$C$26)+N(I148)*Settings!$C$23+INDEX(Settings!$H$8:$H$15,MATCH(Settings!$C$4,Settings!$B$8:$B$15,0))+IF(Settings!$C$25="Yes",0.025,0)+INDEX(Settings!$I$8:$I$15,MATCH(Settings!$C$4,Settings!$B$8:$B$15,0))*(INDEX(Settings!$E$8:$E$15,MATCH(Settings!$C$4,Settings!$B$8:$B$15,0))+N(I148)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148)/(1-(INDEX(Settings!$E$8:$E$15,MATCH(Settings!$C$4,Settings!$B$8:$B$15,0))+INDEX(Settings!$F$8:$F$15,MATCH(Settings!$C$4,Settings!$B$8:$B$15,0))*(1+Settings!$C$26)+N(I148)*Settings!$C$23+INDEX(Settings!$H$8:$H$15,MATCH(Settings!$C$4,Settings!$B$8:$B$15,0))+IF(Settings!$C$25="Yes",0.025,0)+INDEX(Settings!$I$8:$I$15,MATCH(Settings!$C$4,Settings!$B$8:$B$15,0))*(INDEX(Settings!$E$8:$E$15,MATCH(Settings!$C$4,Settings!$B$8:$B$15,0))+N(I148)*Settings!$C$23+INDEX(Settings!$H$8:$H$15,MATCH(Settings!$C$4,Settings!$B$8:$B$15,0))))-Settings!$C$28)-N(D148))))</f>
        <v/>
      </c>
      <c r="Q148" s="1" t="n"/>
    </row>
    <row r="149">
      <c r="A149" s="1" t="n"/>
      <c r="B149" s="25" t="n"/>
      <c r="C149" s="7" t="n"/>
      <c r="D149" s="7" t="n"/>
      <c r="E149" s="7" t="n"/>
      <c r="F149" s="7" t="n"/>
      <c r="G149" s="7" t="n"/>
      <c r="H149" s="12" t="n"/>
      <c r="I149" s="11" t="n"/>
      <c r="J149" s="9">
        <f>IF(B149="","",(N(C149)+N(D149)))</f>
        <v/>
      </c>
      <c r="K149" s="9">
        <f>IF(B149="","",INDEX(Settings!$D$8:$D$15,MATCH(Settings!$C$4,Settings!$B$8:$B$15,0))+INDEX(Settings!$E$8:$E$15,MATCH(Settings!$C$4,Settings!$B$8:$B$15,0))*(N(C149)+N(D149))+INDEX(Settings!$F$8:$F$15,MATCH(Settings!$C$4,Settings!$B$8:$B$15,0))*(N(C149)+N(D149))*(1+Settings!$C$26)+INDEX(Settings!$G$8:$G$15,MATCH(Settings!$C$4,Settings!$B$8:$B$15,0))+N(I149)*MIN(Settings!$C$23*(N(C149)+N(D149)),Settings!$C$24)+INDEX(Settings!$H$8:$H$15,MATCH(Settings!$C$4,Settings!$B$8:$B$15,0))*(N(C149)+N(D149))+IF(Settings!$C$25="Yes",0.025,0)*(N(C149)+N(D149))+INDEX(Settings!$I$8:$I$15,MATCH(Settings!$C$4,Settings!$B$8:$B$15,0))*(INDEX(Settings!$D$8:$D$15,MATCH(Settings!$C$4,Settings!$B$8:$B$15,0))+INDEX(Settings!$E$8:$E$15,MATCH(Settings!$C$4,Settings!$B$8:$B$15,0))*(N(C149)+N(D149))+N(I149)*MIN(Settings!$C$23*(N(C149)+N(D149)),Settings!$C$24)+INDEX(Settings!$H$8:$H$15,MATCH(Settings!$C$4,Settings!$B$8:$B$15,0))*(N(C149)+N(D149))))</f>
        <v/>
      </c>
      <c r="L149" s="9">
        <f>IF(B149="","",N(E149)+N(F149)+N(G149)+N(H149)/60*Settings!$C$27)</f>
        <v/>
      </c>
      <c r="M149" s="20">
        <f>IF(B149="","",J149-K149-L149)</f>
        <v/>
      </c>
      <c r="N149" s="26">
        <f>IF(OR(B149="",N(J149)=0),"",M149/J149)</f>
        <v/>
      </c>
      <c r="O149" s="8">
        <f>IF(B149="","",IF(M149&lt;0,"Loss",IF(N149&lt;Settings!$C$28,"Below target","On target")))</f>
        <v/>
      </c>
      <c r="P149" s="14">
        <f>IF(B149="","",IF(1-(INDEX(Settings!$E$8:$E$15,MATCH(Settings!$C$4,Settings!$B$8:$B$15,0))+INDEX(Settings!$F$8:$F$15,MATCH(Settings!$C$4,Settings!$B$8:$B$15,0))*(1+Settings!$C$26)+N(I149)*Settings!$C$23+INDEX(Settings!$H$8:$H$15,MATCH(Settings!$C$4,Settings!$B$8:$B$15,0))+IF(Settings!$C$25="Yes",0.025,0)+INDEX(Settings!$I$8:$I$15,MATCH(Settings!$C$4,Settings!$B$8:$B$15,0))*(INDEX(Settings!$E$8:$E$15,MATCH(Settings!$C$4,Settings!$B$8:$B$15,0))+N(I149)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149)/(1-(INDEX(Settings!$E$8:$E$15,MATCH(Settings!$C$4,Settings!$B$8:$B$15,0))+INDEX(Settings!$F$8:$F$15,MATCH(Settings!$C$4,Settings!$B$8:$B$15,0))*(1+Settings!$C$26)+N(I149)*Settings!$C$23+INDEX(Settings!$H$8:$H$15,MATCH(Settings!$C$4,Settings!$B$8:$B$15,0))+IF(Settings!$C$25="Yes",0.025,0)+INDEX(Settings!$I$8:$I$15,MATCH(Settings!$C$4,Settings!$B$8:$B$15,0))*(INDEX(Settings!$E$8:$E$15,MATCH(Settings!$C$4,Settings!$B$8:$B$15,0))+N(I149)*Settings!$C$23+INDEX(Settings!$H$8:$H$15,MATCH(Settings!$C$4,Settings!$B$8:$B$15,0))))-Settings!$C$28)-N(D149))))</f>
        <v/>
      </c>
      <c r="Q149" s="1" t="n"/>
    </row>
    <row r="150">
      <c r="A150" s="1" t="n"/>
      <c r="B150" s="25" t="n"/>
      <c r="C150" s="7" t="n"/>
      <c r="D150" s="7" t="n"/>
      <c r="E150" s="7" t="n"/>
      <c r="F150" s="7" t="n"/>
      <c r="G150" s="7" t="n"/>
      <c r="H150" s="12" t="n"/>
      <c r="I150" s="11" t="n"/>
      <c r="J150" s="9">
        <f>IF(B150="","",(N(C150)+N(D150)))</f>
        <v/>
      </c>
      <c r="K150" s="9">
        <f>IF(B150="","",INDEX(Settings!$D$8:$D$15,MATCH(Settings!$C$4,Settings!$B$8:$B$15,0))+INDEX(Settings!$E$8:$E$15,MATCH(Settings!$C$4,Settings!$B$8:$B$15,0))*(N(C150)+N(D150))+INDEX(Settings!$F$8:$F$15,MATCH(Settings!$C$4,Settings!$B$8:$B$15,0))*(N(C150)+N(D150))*(1+Settings!$C$26)+INDEX(Settings!$G$8:$G$15,MATCH(Settings!$C$4,Settings!$B$8:$B$15,0))+N(I150)*MIN(Settings!$C$23*(N(C150)+N(D150)),Settings!$C$24)+INDEX(Settings!$H$8:$H$15,MATCH(Settings!$C$4,Settings!$B$8:$B$15,0))*(N(C150)+N(D150))+IF(Settings!$C$25="Yes",0.025,0)*(N(C150)+N(D150))+INDEX(Settings!$I$8:$I$15,MATCH(Settings!$C$4,Settings!$B$8:$B$15,0))*(INDEX(Settings!$D$8:$D$15,MATCH(Settings!$C$4,Settings!$B$8:$B$15,0))+INDEX(Settings!$E$8:$E$15,MATCH(Settings!$C$4,Settings!$B$8:$B$15,0))*(N(C150)+N(D150))+N(I150)*MIN(Settings!$C$23*(N(C150)+N(D150)),Settings!$C$24)+INDEX(Settings!$H$8:$H$15,MATCH(Settings!$C$4,Settings!$B$8:$B$15,0))*(N(C150)+N(D150))))</f>
        <v/>
      </c>
      <c r="L150" s="9">
        <f>IF(B150="","",N(E150)+N(F150)+N(G150)+N(H150)/60*Settings!$C$27)</f>
        <v/>
      </c>
      <c r="M150" s="20">
        <f>IF(B150="","",J150-K150-L150)</f>
        <v/>
      </c>
      <c r="N150" s="26">
        <f>IF(OR(B150="",N(J150)=0),"",M150/J150)</f>
        <v/>
      </c>
      <c r="O150" s="8">
        <f>IF(B150="","",IF(M150&lt;0,"Loss",IF(N150&lt;Settings!$C$28,"Below target","On target")))</f>
        <v/>
      </c>
      <c r="P150" s="14">
        <f>IF(B150="","",IF(1-(INDEX(Settings!$E$8:$E$15,MATCH(Settings!$C$4,Settings!$B$8:$B$15,0))+INDEX(Settings!$F$8:$F$15,MATCH(Settings!$C$4,Settings!$B$8:$B$15,0))*(1+Settings!$C$26)+N(I150)*Settings!$C$23+INDEX(Settings!$H$8:$H$15,MATCH(Settings!$C$4,Settings!$B$8:$B$15,0))+IF(Settings!$C$25="Yes",0.025,0)+INDEX(Settings!$I$8:$I$15,MATCH(Settings!$C$4,Settings!$B$8:$B$15,0))*(INDEX(Settings!$E$8:$E$15,MATCH(Settings!$C$4,Settings!$B$8:$B$15,0))+N(I150)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150)/(1-(INDEX(Settings!$E$8:$E$15,MATCH(Settings!$C$4,Settings!$B$8:$B$15,0))+INDEX(Settings!$F$8:$F$15,MATCH(Settings!$C$4,Settings!$B$8:$B$15,0))*(1+Settings!$C$26)+N(I150)*Settings!$C$23+INDEX(Settings!$H$8:$H$15,MATCH(Settings!$C$4,Settings!$B$8:$B$15,0))+IF(Settings!$C$25="Yes",0.025,0)+INDEX(Settings!$I$8:$I$15,MATCH(Settings!$C$4,Settings!$B$8:$B$15,0))*(INDEX(Settings!$E$8:$E$15,MATCH(Settings!$C$4,Settings!$B$8:$B$15,0))+N(I150)*Settings!$C$23+INDEX(Settings!$H$8:$H$15,MATCH(Settings!$C$4,Settings!$B$8:$B$15,0))))-Settings!$C$28)-N(D150))))</f>
        <v/>
      </c>
      <c r="Q150" s="1" t="n"/>
    </row>
    <row r="151">
      <c r="A151" s="1" t="n"/>
      <c r="B151" s="25" t="n"/>
      <c r="C151" s="7" t="n"/>
      <c r="D151" s="7" t="n"/>
      <c r="E151" s="7" t="n"/>
      <c r="F151" s="7" t="n"/>
      <c r="G151" s="7" t="n"/>
      <c r="H151" s="12" t="n"/>
      <c r="I151" s="11" t="n"/>
      <c r="J151" s="9">
        <f>IF(B151="","",(N(C151)+N(D151)))</f>
        <v/>
      </c>
      <c r="K151" s="9">
        <f>IF(B151="","",INDEX(Settings!$D$8:$D$15,MATCH(Settings!$C$4,Settings!$B$8:$B$15,0))+INDEX(Settings!$E$8:$E$15,MATCH(Settings!$C$4,Settings!$B$8:$B$15,0))*(N(C151)+N(D151))+INDEX(Settings!$F$8:$F$15,MATCH(Settings!$C$4,Settings!$B$8:$B$15,0))*(N(C151)+N(D151))*(1+Settings!$C$26)+INDEX(Settings!$G$8:$G$15,MATCH(Settings!$C$4,Settings!$B$8:$B$15,0))+N(I151)*MIN(Settings!$C$23*(N(C151)+N(D151)),Settings!$C$24)+INDEX(Settings!$H$8:$H$15,MATCH(Settings!$C$4,Settings!$B$8:$B$15,0))*(N(C151)+N(D151))+IF(Settings!$C$25="Yes",0.025,0)*(N(C151)+N(D151))+INDEX(Settings!$I$8:$I$15,MATCH(Settings!$C$4,Settings!$B$8:$B$15,0))*(INDEX(Settings!$D$8:$D$15,MATCH(Settings!$C$4,Settings!$B$8:$B$15,0))+INDEX(Settings!$E$8:$E$15,MATCH(Settings!$C$4,Settings!$B$8:$B$15,0))*(N(C151)+N(D151))+N(I151)*MIN(Settings!$C$23*(N(C151)+N(D151)),Settings!$C$24)+INDEX(Settings!$H$8:$H$15,MATCH(Settings!$C$4,Settings!$B$8:$B$15,0))*(N(C151)+N(D151))))</f>
        <v/>
      </c>
      <c r="L151" s="9">
        <f>IF(B151="","",N(E151)+N(F151)+N(G151)+N(H151)/60*Settings!$C$27)</f>
        <v/>
      </c>
      <c r="M151" s="20">
        <f>IF(B151="","",J151-K151-L151)</f>
        <v/>
      </c>
      <c r="N151" s="26">
        <f>IF(OR(B151="",N(J151)=0),"",M151/J151)</f>
        <v/>
      </c>
      <c r="O151" s="8">
        <f>IF(B151="","",IF(M151&lt;0,"Loss",IF(N151&lt;Settings!$C$28,"Below target","On target")))</f>
        <v/>
      </c>
      <c r="P151" s="14">
        <f>IF(B151="","",IF(1-(INDEX(Settings!$E$8:$E$15,MATCH(Settings!$C$4,Settings!$B$8:$B$15,0))+INDEX(Settings!$F$8:$F$15,MATCH(Settings!$C$4,Settings!$B$8:$B$15,0))*(1+Settings!$C$26)+N(I151)*Settings!$C$23+INDEX(Settings!$H$8:$H$15,MATCH(Settings!$C$4,Settings!$B$8:$B$15,0))+IF(Settings!$C$25="Yes",0.025,0)+INDEX(Settings!$I$8:$I$15,MATCH(Settings!$C$4,Settings!$B$8:$B$15,0))*(INDEX(Settings!$E$8:$E$15,MATCH(Settings!$C$4,Settings!$B$8:$B$15,0))+N(I151)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151)/(1-(INDEX(Settings!$E$8:$E$15,MATCH(Settings!$C$4,Settings!$B$8:$B$15,0))+INDEX(Settings!$F$8:$F$15,MATCH(Settings!$C$4,Settings!$B$8:$B$15,0))*(1+Settings!$C$26)+N(I151)*Settings!$C$23+INDEX(Settings!$H$8:$H$15,MATCH(Settings!$C$4,Settings!$B$8:$B$15,0))+IF(Settings!$C$25="Yes",0.025,0)+INDEX(Settings!$I$8:$I$15,MATCH(Settings!$C$4,Settings!$B$8:$B$15,0))*(INDEX(Settings!$E$8:$E$15,MATCH(Settings!$C$4,Settings!$B$8:$B$15,0))+N(I151)*Settings!$C$23+INDEX(Settings!$H$8:$H$15,MATCH(Settings!$C$4,Settings!$B$8:$B$15,0))))-Settings!$C$28)-N(D151))))</f>
        <v/>
      </c>
      <c r="Q151" s="1" t="n"/>
    </row>
    <row r="152">
      <c r="A152" s="1" t="n"/>
      <c r="B152" s="25" t="n"/>
      <c r="C152" s="7" t="n"/>
      <c r="D152" s="7" t="n"/>
      <c r="E152" s="7" t="n"/>
      <c r="F152" s="7" t="n"/>
      <c r="G152" s="7" t="n"/>
      <c r="H152" s="12" t="n"/>
      <c r="I152" s="11" t="n"/>
      <c r="J152" s="9">
        <f>IF(B152="","",(N(C152)+N(D152)))</f>
        <v/>
      </c>
      <c r="K152" s="9">
        <f>IF(B152="","",INDEX(Settings!$D$8:$D$15,MATCH(Settings!$C$4,Settings!$B$8:$B$15,0))+INDEX(Settings!$E$8:$E$15,MATCH(Settings!$C$4,Settings!$B$8:$B$15,0))*(N(C152)+N(D152))+INDEX(Settings!$F$8:$F$15,MATCH(Settings!$C$4,Settings!$B$8:$B$15,0))*(N(C152)+N(D152))*(1+Settings!$C$26)+INDEX(Settings!$G$8:$G$15,MATCH(Settings!$C$4,Settings!$B$8:$B$15,0))+N(I152)*MIN(Settings!$C$23*(N(C152)+N(D152)),Settings!$C$24)+INDEX(Settings!$H$8:$H$15,MATCH(Settings!$C$4,Settings!$B$8:$B$15,0))*(N(C152)+N(D152))+IF(Settings!$C$25="Yes",0.025,0)*(N(C152)+N(D152))+INDEX(Settings!$I$8:$I$15,MATCH(Settings!$C$4,Settings!$B$8:$B$15,0))*(INDEX(Settings!$D$8:$D$15,MATCH(Settings!$C$4,Settings!$B$8:$B$15,0))+INDEX(Settings!$E$8:$E$15,MATCH(Settings!$C$4,Settings!$B$8:$B$15,0))*(N(C152)+N(D152))+N(I152)*MIN(Settings!$C$23*(N(C152)+N(D152)),Settings!$C$24)+INDEX(Settings!$H$8:$H$15,MATCH(Settings!$C$4,Settings!$B$8:$B$15,0))*(N(C152)+N(D152))))</f>
        <v/>
      </c>
      <c r="L152" s="9">
        <f>IF(B152="","",N(E152)+N(F152)+N(G152)+N(H152)/60*Settings!$C$27)</f>
        <v/>
      </c>
      <c r="M152" s="20">
        <f>IF(B152="","",J152-K152-L152)</f>
        <v/>
      </c>
      <c r="N152" s="26">
        <f>IF(OR(B152="",N(J152)=0),"",M152/J152)</f>
        <v/>
      </c>
      <c r="O152" s="8">
        <f>IF(B152="","",IF(M152&lt;0,"Loss",IF(N152&lt;Settings!$C$28,"Below target","On target")))</f>
        <v/>
      </c>
      <c r="P152" s="14">
        <f>IF(B152="","",IF(1-(INDEX(Settings!$E$8:$E$15,MATCH(Settings!$C$4,Settings!$B$8:$B$15,0))+INDEX(Settings!$F$8:$F$15,MATCH(Settings!$C$4,Settings!$B$8:$B$15,0))*(1+Settings!$C$26)+N(I152)*Settings!$C$23+INDEX(Settings!$H$8:$H$15,MATCH(Settings!$C$4,Settings!$B$8:$B$15,0))+IF(Settings!$C$25="Yes",0.025,0)+INDEX(Settings!$I$8:$I$15,MATCH(Settings!$C$4,Settings!$B$8:$B$15,0))*(INDEX(Settings!$E$8:$E$15,MATCH(Settings!$C$4,Settings!$B$8:$B$15,0))+N(I152)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152)/(1-(INDEX(Settings!$E$8:$E$15,MATCH(Settings!$C$4,Settings!$B$8:$B$15,0))+INDEX(Settings!$F$8:$F$15,MATCH(Settings!$C$4,Settings!$B$8:$B$15,0))*(1+Settings!$C$26)+N(I152)*Settings!$C$23+INDEX(Settings!$H$8:$H$15,MATCH(Settings!$C$4,Settings!$B$8:$B$15,0))+IF(Settings!$C$25="Yes",0.025,0)+INDEX(Settings!$I$8:$I$15,MATCH(Settings!$C$4,Settings!$B$8:$B$15,0))*(INDEX(Settings!$E$8:$E$15,MATCH(Settings!$C$4,Settings!$B$8:$B$15,0))+N(I152)*Settings!$C$23+INDEX(Settings!$H$8:$H$15,MATCH(Settings!$C$4,Settings!$B$8:$B$15,0))))-Settings!$C$28)-N(D152))))</f>
        <v/>
      </c>
      <c r="Q152" s="1" t="n"/>
    </row>
    <row r="153">
      <c r="A153" s="1" t="n"/>
      <c r="B153" s="25" t="n"/>
      <c r="C153" s="7" t="n"/>
      <c r="D153" s="7" t="n"/>
      <c r="E153" s="7" t="n"/>
      <c r="F153" s="7" t="n"/>
      <c r="G153" s="7" t="n"/>
      <c r="H153" s="12" t="n"/>
      <c r="I153" s="11" t="n"/>
      <c r="J153" s="9">
        <f>IF(B153="","",(N(C153)+N(D153)))</f>
        <v/>
      </c>
      <c r="K153" s="9">
        <f>IF(B153="","",INDEX(Settings!$D$8:$D$15,MATCH(Settings!$C$4,Settings!$B$8:$B$15,0))+INDEX(Settings!$E$8:$E$15,MATCH(Settings!$C$4,Settings!$B$8:$B$15,0))*(N(C153)+N(D153))+INDEX(Settings!$F$8:$F$15,MATCH(Settings!$C$4,Settings!$B$8:$B$15,0))*(N(C153)+N(D153))*(1+Settings!$C$26)+INDEX(Settings!$G$8:$G$15,MATCH(Settings!$C$4,Settings!$B$8:$B$15,0))+N(I153)*MIN(Settings!$C$23*(N(C153)+N(D153)),Settings!$C$24)+INDEX(Settings!$H$8:$H$15,MATCH(Settings!$C$4,Settings!$B$8:$B$15,0))*(N(C153)+N(D153))+IF(Settings!$C$25="Yes",0.025,0)*(N(C153)+N(D153))+INDEX(Settings!$I$8:$I$15,MATCH(Settings!$C$4,Settings!$B$8:$B$15,0))*(INDEX(Settings!$D$8:$D$15,MATCH(Settings!$C$4,Settings!$B$8:$B$15,0))+INDEX(Settings!$E$8:$E$15,MATCH(Settings!$C$4,Settings!$B$8:$B$15,0))*(N(C153)+N(D153))+N(I153)*MIN(Settings!$C$23*(N(C153)+N(D153)),Settings!$C$24)+INDEX(Settings!$H$8:$H$15,MATCH(Settings!$C$4,Settings!$B$8:$B$15,0))*(N(C153)+N(D153))))</f>
        <v/>
      </c>
      <c r="L153" s="9">
        <f>IF(B153="","",N(E153)+N(F153)+N(G153)+N(H153)/60*Settings!$C$27)</f>
        <v/>
      </c>
      <c r="M153" s="20">
        <f>IF(B153="","",J153-K153-L153)</f>
        <v/>
      </c>
      <c r="N153" s="26">
        <f>IF(OR(B153="",N(J153)=0),"",M153/J153)</f>
        <v/>
      </c>
      <c r="O153" s="8">
        <f>IF(B153="","",IF(M153&lt;0,"Loss",IF(N153&lt;Settings!$C$28,"Below target","On target")))</f>
        <v/>
      </c>
      <c r="P153" s="14">
        <f>IF(B153="","",IF(1-(INDEX(Settings!$E$8:$E$15,MATCH(Settings!$C$4,Settings!$B$8:$B$15,0))+INDEX(Settings!$F$8:$F$15,MATCH(Settings!$C$4,Settings!$B$8:$B$15,0))*(1+Settings!$C$26)+N(I153)*Settings!$C$23+INDEX(Settings!$H$8:$H$15,MATCH(Settings!$C$4,Settings!$B$8:$B$15,0))+IF(Settings!$C$25="Yes",0.025,0)+INDEX(Settings!$I$8:$I$15,MATCH(Settings!$C$4,Settings!$B$8:$B$15,0))*(INDEX(Settings!$E$8:$E$15,MATCH(Settings!$C$4,Settings!$B$8:$B$15,0))+N(I153)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153)/(1-(INDEX(Settings!$E$8:$E$15,MATCH(Settings!$C$4,Settings!$B$8:$B$15,0))+INDEX(Settings!$F$8:$F$15,MATCH(Settings!$C$4,Settings!$B$8:$B$15,0))*(1+Settings!$C$26)+N(I153)*Settings!$C$23+INDEX(Settings!$H$8:$H$15,MATCH(Settings!$C$4,Settings!$B$8:$B$15,0))+IF(Settings!$C$25="Yes",0.025,0)+INDEX(Settings!$I$8:$I$15,MATCH(Settings!$C$4,Settings!$B$8:$B$15,0))*(INDEX(Settings!$E$8:$E$15,MATCH(Settings!$C$4,Settings!$B$8:$B$15,0))+N(I153)*Settings!$C$23+INDEX(Settings!$H$8:$H$15,MATCH(Settings!$C$4,Settings!$B$8:$B$15,0))))-Settings!$C$28)-N(D153))))</f>
        <v/>
      </c>
      <c r="Q153" s="1" t="n"/>
    </row>
    <row r="154">
      <c r="A154" s="1" t="n"/>
      <c r="B154" s="25" t="n"/>
      <c r="C154" s="7" t="n"/>
      <c r="D154" s="7" t="n"/>
      <c r="E154" s="7" t="n"/>
      <c r="F154" s="7" t="n"/>
      <c r="G154" s="7" t="n"/>
      <c r="H154" s="12" t="n"/>
      <c r="I154" s="11" t="n"/>
      <c r="J154" s="9">
        <f>IF(B154="","",(N(C154)+N(D154)))</f>
        <v/>
      </c>
      <c r="K154" s="9">
        <f>IF(B154="","",INDEX(Settings!$D$8:$D$15,MATCH(Settings!$C$4,Settings!$B$8:$B$15,0))+INDEX(Settings!$E$8:$E$15,MATCH(Settings!$C$4,Settings!$B$8:$B$15,0))*(N(C154)+N(D154))+INDEX(Settings!$F$8:$F$15,MATCH(Settings!$C$4,Settings!$B$8:$B$15,0))*(N(C154)+N(D154))*(1+Settings!$C$26)+INDEX(Settings!$G$8:$G$15,MATCH(Settings!$C$4,Settings!$B$8:$B$15,0))+N(I154)*MIN(Settings!$C$23*(N(C154)+N(D154)),Settings!$C$24)+INDEX(Settings!$H$8:$H$15,MATCH(Settings!$C$4,Settings!$B$8:$B$15,0))*(N(C154)+N(D154))+IF(Settings!$C$25="Yes",0.025,0)*(N(C154)+N(D154))+INDEX(Settings!$I$8:$I$15,MATCH(Settings!$C$4,Settings!$B$8:$B$15,0))*(INDEX(Settings!$D$8:$D$15,MATCH(Settings!$C$4,Settings!$B$8:$B$15,0))+INDEX(Settings!$E$8:$E$15,MATCH(Settings!$C$4,Settings!$B$8:$B$15,0))*(N(C154)+N(D154))+N(I154)*MIN(Settings!$C$23*(N(C154)+N(D154)),Settings!$C$24)+INDEX(Settings!$H$8:$H$15,MATCH(Settings!$C$4,Settings!$B$8:$B$15,0))*(N(C154)+N(D154))))</f>
        <v/>
      </c>
      <c r="L154" s="9">
        <f>IF(B154="","",N(E154)+N(F154)+N(G154)+N(H154)/60*Settings!$C$27)</f>
        <v/>
      </c>
      <c r="M154" s="20">
        <f>IF(B154="","",J154-K154-L154)</f>
        <v/>
      </c>
      <c r="N154" s="26">
        <f>IF(OR(B154="",N(J154)=0),"",M154/J154)</f>
        <v/>
      </c>
      <c r="O154" s="8">
        <f>IF(B154="","",IF(M154&lt;0,"Loss",IF(N154&lt;Settings!$C$28,"Below target","On target")))</f>
        <v/>
      </c>
      <c r="P154" s="14">
        <f>IF(B154="","",IF(1-(INDEX(Settings!$E$8:$E$15,MATCH(Settings!$C$4,Settings!$B$8:$B$15,0))+INDEX(Settings!$F$8:$F$15,MATCH(Settings!$C$4,Settings!$B$8:$B$15,0))*(1+Settings!$C$26)+N(I154)*Settings!$C$23+INDEX(Settings!$H$8:$H$15,MATCH(Settings!$C$4,Settings!$B$8:$B$15,0))+IF(Settings!$C$25="Yes",0.025,0)+INDEX(Settings!$I$8:$I$15,MATCH(Settings!$C$4,Settings!$B$8:$B$15,0))*(INDEX(Settings!$E$8:$E$15,MATCH(Settings!$C$4,Settings!$B$8:$B$15,0))+N(I154)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154)/(1-(INDEX(Settings!$E$8:$E$15,MATCH(Settings!$C$4,Settings!$B$8:$B$15,0))+INDEX(Settings!$F$8:$F$15,MATCH(Settings!$C$4,Settings!$B$8:$B$15,0))*(1+Settings!$C$26)+N(I154)*Settings!$C$23+INDEX(Settings!$H$8:$H$15,MATCH(Settings!$C$4,Settings!$B$8:$B$15,0))+IF(Settings!$C$25="Yes",0.025,0)+INDEX(Settings!$I$8:$I$15,MATCH(Settings!$C$4,Settings!$B$8:$B$15,0))*(INDEX(Settings!$E$8:$E$15,MATCH(Settings!$C$4,Settings!$B$8:$B$15,0))+N(I154)*Settings!$C$23+INDEX(Settings!$H$8:$H$15,MATCH(Settings!$C$4,Settings!$B$8:$B$15,0))))-Settings!$C$28)-N(D154))))</f>
        <v/>
      </c>
      <c r="Q154" s="1" t="n"/>
    </row>
    <row r="155">
      <c r="A155" s="1" t="n"/>
      <c r="B155" s="25" t="n"/>
      <c r="C155" s="7" t="n"/>
      <c r="D155" s="7" t="n"/>
      <c r="E155" s="7" t="n"/>
      <c r="F155" s="7" t="n"/>
      <c r="G155" s="7" t="n"/>
      <c r="H155" s="12" t="n"/>
      <c r="I155" s="11" t="n"/>
      <c r="J155" s="9">
        <f>IF(B155="","",(N(C155)+N(D155)))</f>
        <v/>
      </c>
      <c r="K155" s="9">
        <f>IF(B155="","",INDEX(Settings!$D$8:$D$15,MATCH(Settings!$C$4,Settings!$B$8:$B$15,0))+INDEX(Settings!$E$8:$E$15,MATCH(Settings!$C$4,Settings!$B$8:$B$15,0))*(N(C155)+N(D155))+INDEX(Settings!$F$8:$F$15,MATCH(Settings!$C$4,Settings!$B$8:$B$15,0))*(N(C155)+N(D155))*(1+Settings!$C$26)+INDEX(Settings!$G$8:$G$15,MATCH(Settings!$C$4,Settings!$B$8:$B$15,0))+N(I155)*MIN(Settings!$C$23*(N(C155)+N(D155)),Settings!$C$24)+INDEX(Settings!$H$8:$H$15,MATCH(Settings!$C$4,Settings!$B$8:$B$15,0))*(N(C155)+N(D155))+IF(Settings!$C$25="Yes",0.025,0)*(N(C155)+N(D155))+INDEX(Settings!$I$8:$I$15,MATCH(Settings!$C$4,Settings!$B$8:$B$15,0))*(INDEX(Settings!$D$8:$D$15,MATCH(Settings!$C$4,Settings!$B$8:$B$15,0))+INDEX(Settings!$E$8:$E$15,MATCH(Settings!$C$4,Settings!$B$8:$B$15,0))*(N(C155)+N(D155))+N(I155)*MIN(Settings!$C$23*(N(C155)+N(D155)),Settings!$C$24)+INDEX(Settings!$H$8:$H$15,MATCH(Settings!$C$4,Settings!$B$8:$B$15,0))*(N(C155)+N(D155))))</f>
        <v/>
      </c>
      <c r="L155" s="9">
        <f>IF(B155="","",N(E155)+N(F155)+N(G155)+N(H155)/60*Settings!$C$27)</f>
        <v/>
      </c>
      <c r="M155" s="20">
        <f>IF(B155="","",J155-K155-L155)</f>
        <v/>
      </c>
      <c r="N155" s="26">
        <f>IF(OR(B155="",N(J155)=0),"",M155/J155)</f>
        <v/>
      </c>
      <c r="O155" s="8">
        <f>IF(B155="","",IF(M155&lt;0,"Loss",IF(N155&lt;Settings!$C$28,"Below target","On target")))</f>
        <v/>
      </c>
      <c r="P155" s="14">
        <f>IF(B155="","",IF(1-(INDEX(Settings!$E$8:$E$15,MATCH(Settings!$C$4,Settings!$B$8:$B$15,0))+INDEX(Settings!$F$8:$F$15,MATCH(Settings!$C$4,Settings!$B$8:$B$15,0))*(1+Settings!$C$26)+N(I155)*Settings!$C$23+INDEX(Settings!$H$8:$H$15,MATCH(Settings!$C$4,Settings!$B$8:$B$15,0))+IF(Settings!$C$25="Yes",0.025,0)+INDEX(Settings!$I$8:$I$15,MATCH(Settings!$C$4,Settings!$B$8:$B$15,0))*(INDEX(Settings!$E$8:$E$15,MATCH(Settings!$C$4,Settings!$B$8:$B$15,0))+N(I155)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155)/(1-(INDEX(Settings!$E$8:$E$15,MATCH(Settings!$C$4,Settings!$B$8:$B$15,0))+INDEX(Settings!$F$8:$F$15,MATCH(Settings!$C$4,Settings!$B$8:$B$15,0))*(1+Settings!$C$26)+N(I155)*Settings!$C$23+INDEX(Settings!$H$8:$H$15,MATCH(Settings!$C$4,Settings!$B$8:$B$15,0))+IF(Settings!$C$25="Yes",0.025,0)+INDEX(Settings!$I$8:$I$15,MATCH(Settings!$C$4,Settings!$B$8:$B$15,0))*(INDEX(Settings!$E$8:$E$15,MATCH(Settings!$C$4,Settings!$B$8:$B$15,0))+N(I155)*Settings!$C$23+INDEX(Settings!$H$8:$H$15,MATCH(Settings!$C$4,Settings!$B$8:$B$15,0))))-Settings!$C$28)-N(D155))))</f>
        <v/>
      </c>
      <c r="Q155" s="1" t="n"/>
    </row>
    <row r="156">
      <c r="A156" s="1" t="n"/>
      <c r="B156" s="25" t="n"/>
      <c r="C156" s="7" t="n"/>
      <c r="D156" s="7" t="n"/>
      <c r="E156" s="7" t="n"/>
      <c r="F156" s="7" t="n"/>
      <c r="G156" s="7" t="n"/>
      <c r="H156" s="12" t="n"/>
      <c r="I156" s="11" t="n"/>
      <c r="J156" s="9">
        <f>IF(B156="","",(N(C156)+N(D156)))</f>
        <v/>
      </c>
      <c r="K156" s="9">
        <f>IF(B156="","",INDEX(Settings!$D$8:$D$15,MATCH(Settings!$C$4,Settings!$B$8:$B$15,0))+INDEX(Settings!$E$8:$E$15,MATCH(Settings!$C$4,Settings!$B$8:$B$15,0))*(N(C156)+N(D156))+INDEX(Settings!$F$8:$F$15,MATCH(Settings!$C$4,Settings!$B$8:$B$15,0))*(N(C156)+N(D156))*(1+Settings!$C$26)+INDEX(Settings!$G$8:$G$15,MATCH(Settings!$C$4,Settings!$B$8:$B$15,0))+N(I156)*MIN(Settings!$C$23*(N(C156)+N(D156)),Settings!$C$24)+INDEX(Settings!$H$8:$H$15,MATCH(Settings!$C$4,Settings!$B$8:$B$15,0))*(N(C156)+N(D156))+IF(Settings!$C$25="Yes",0.025,0)*(N(C156)+N(D156))+INDEX(Settings!$I$8:$I$15,MATCH(Settings!$C$4,Settings!$B$8:$B$15,0))*(INDEX(Settings!$D$8:$D$15,MATCH(Settings!$C$4,Settings!$B$8:$B$15,0))+INDEX(Settings!$E$8:$E$15,MATCH(Settings!$C$4,Settings!$B$8:$B$15,0))*(N(C156)+N(D156))+N(I156)*MIN(Settings!$C$23*(N(C156)+N(D156)),Settings!$C$24)+INDEX(Settings!$H$8:$H$15,MATCH(Settings!$C$4,Settings!$B$8:$B$15,0))*(N(C156)+N(D156))))</f>
        <v/>
      </c>
      <c r="L156" s="9">
        <f>IF(B156="","",N(E156)+N(F156)+N(G156)+N(H156)/60*Settings!$C$27)</f>
        <v/>
      </c>
      <c r="M156" s="20">
        <f>IF(B156="","",J156-K156-L156)</f>
        <v/>
      </c>
      <c r="N156" s="26">
        <f>IF(OR(B156="",N(J156)=0),"",M156/J156)</f>
        <v/>
      </c>
      <c r="O156" s="8">
        <f>IF(B156="","",IF(M156&lt;0,"Loss",IF(N156&lt;Settings!$C$28,"Below target","On target")))</f>
        <v/>
      </c>
      <c r="P156" s="14">
        <f>IF(B156="","",IF(1-(INDEX(Settings!$E$8:$E$15,MATCH(Settings!$C$4,Settings!$B$8:$B$15,0))+INDEX(Settings!$F$8:$F$15,MATCH(Settings!$C$4,Settings!$B$8:$B$15,0))*(1+Settings!$C$26)+N(I156)*Settings!$C$23+INDEX(Settings!$H$8:$H$15,MATCH(Settings!$C$4,Settings!$B$8:$B$15,0))+IF(Settings!$C$25="Yes",0.025,0)+INDEX(Settings!$I$8:$I$15,MATCH(Settings!$C$4,Settings!$B$8:$B$15,0))*(INDEX(Settings!$E$8:$E$15,MATCH(Settings!$C$4,Settings!$B$8:$B$15,0))+N(I156)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156)/(1-(INDEX(Settings!$E$8:$E$15,MATCH(Settings!$C$4,Settings!$B$8:$B$15,0))+INDEX(Settings!$F$8:$F$15,MATCH(Settings!$C$4,Settings!$B$8:$B$15,0))*(1+Settings!$C$26)+N(I156)*Settings!$C$23+INDEX(Settings!$H$8:$H$15,MATCH(Settings!$C$4,Settings!$B$8:$B$15,0))+IF(Settings!$C$25="Yes",0.025,0)+INDEX(Settings!$I$8:$I$15,MATCH(Settings!$C$4,Settings!$B$8:$B$15,0))*(INDEX(Settings!$E$8:$E$15,MATCH(Settings!$C$4,Settings!$B$8:$B$15,0))+N(I156)*Settings!$C$23+INDEX(Settings!$H$8:$H$15,MATCH(Settings!$C$4,Settings!$B$8:$B$15,0))))-Settings!$C$28)-N(D156))))</f>
        <v/>
      </c>
      <c r="Q156" s="1" t="n"/>
    </row>
    <row r="157">
      <c r="A157" s="1" t="n"/>
      <c r="B157" s="25" t="n"/>
      <c r="C157" s="7" t="n"/>
      <c r="D157" s="7" t="n"/>
      <c r="E157" s="7" t="n"/>
      <c r="F157" s="7" t="n"/>
      <c r="G157" s="7" t="n"/>
      <c r="H157" s="12" t="n"/>
      <c r="I157" s="11" t="n"/>
      <c r="J157" s="9">
        <f>IF(B157="","",(N(C157)+N(D157)))</f>
        <v/>
      </c>
      <c r="K157" s="9">
        <f>IF(B157="","",INDEX(Settings!$D$8:$D$15,MATCH(Settings!$C$4,Settings!$B$8:$B$15,0))+INDEX(Settings!$E$8:$E$15,MATCH(Settings!$C$4,Settings!$B$8:$B$15,0))*(N(C157)+N(D157))+INDEX(Settings!$F$8:$F$15,MATCH(Settings!$C$4,Settings!$B$8:$B$15,0))*(N(C157)+N(D157))*(1+Settings!$C$26)+INDEX(Settings!$G$8:$G$15,MATCH(Settings!$C$4,Settings!$B$8:$B$15,0))+N(I157)*MIN(Settings!$C$23*(N(C157)+N(D157)),Settings!$C$24)+INDEX(Settings!$H$8:$H$15,MATCH(Settings!$C$4,Settings!$B$8:$B$15,0))*(N(C157)+N(D157))+IF(Settings!$C$25="Yes",0.025,0)*(N(C157)+N(D157))+INDEX(Settings!$I$8:$I$15,MATCH(Settings!$C$4,Settings!$B$8:$B$15,0))*(INDEX(Settings!$D$8:$D$15,MATCH(Settings!$C$4,Settings!$B$8:$B$15,0))+INDEX(Settings!$E$8:$E$15,MATCH(Settings!$C$4,Settings!$B$8:$B$15,0))*(N(C157)+N(D157))+N(I157)*MIN(Settings!$C$23*(N(C157)+N(D157)),Settings!$C$24)+INDEX(Settings!$H$8:$H$15,MATCH(Settings!$C$4,Settings!$B$8:$B$15,0))*(N(C157)+N(D157))))</f>
        <v/>
      </c>
      <c r="L157" s="9">
        <f>IF(B157="","",N(E157)+N(F157)+N(G157)+N(H157)/60*Settings!$C$27)</f>
        <v/>
      </c>
      <c r="M157" s="20">
        <f>IF(B157="","",J157-K157-L157)</f>
        <v/>
      </c>
      <c r="N157" s="26">
        <f>IF(OR(B157="",N(J157)=0),"",M157/J157)</f>
        <v/>
      </c>
      <c r="O157" s="8">
        <f>IF(B157="","",IF(M157&lt;0,"Loss",IF(N157&lt;Settings!$C$28,"Below target","On target")))</f>
        <v/>
      </c>
      <c r="P157" s="14">
        <f>IF(B157="","",IF(1-(INDEX(Settings!$E$8:$E$15,MATCH(Settings!$C$4,Settings!$B$8:$B$15,0))+INDEX(Settings!$F$8:$F$15,MATCH(Settings!$C$4,Settings!$B$8:$B$15,0))*(1+Settings!$C$26)+N(I157)*Settings!$C$23+INDEX(Settings!$H$8:$H$15,MATCH(Settings!$C$4,Settings!$B$8:$B$15,0))+IF(Settings!$C$25="Yes",0.025,0)+INDEX(Settings!$I$8:$I$15,MATCH(Settings!$C$4,Settings!$B$8:$B$15,0))*(INDEX(Settings!$E$8:$E$15,MATCH(Settings!$C$4,Settings!$B$8:$B$15,0))+N(I157)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157)/(1-(INDEX(Settings!$E$8:$E$15,MATCH(Settings!$C$4,Settings!$B$8:$B$15,0))+INDEX(Settings!$F$8:$F$15,MATCH(Settings!$C$4,Settings!$B$8:$B$15,0))*(1+Settings!$C$26)+N(I157)*Settings!$C$23+INDEX(Settings!$H$8:$H$15,MATCH(Settings!$C$4,Settings!$B$8:$B$15,0))+IF(Settings!$C$25="Yes",0.025,0)+INDEX(Settings!$I$8:$I$15,MATCH(Settings!$C$4,Settings!$B$8:$B$15,0))*(INDEX(Settings!$E$8:$E$15,MATCH(Settings!$C$4,Settings!$B$8:$B$15,0))+N(I157)*Settings!$C$23+INDEX(Settings!$H$8:$H$15,MATCH(Settings!$C$4,Settings!$B$8:$B$15,0))))-Settings!$C$28)-N(D157))))</f>
        <v/>
      </c>
      <c r="Q157" s="1" t="n"/>
    </row>
    <row r="158">
      <c r="A158" s="1" t="n"/>
      <c r="B158" s="25" t="n"/>
      <c r="C158" s="7" t="n"/>
      <c r="D158" s="7" t="n"/>
      <c r="E158" s="7" t="n"/>
      <c r="F158" s="7" t="n"/>
      <c r="G158" s="7" t="n"/>
      <c r="H158" s="12" t="n"/>
      <c r="I158" s="11" t="n"/>
      <c r="J158" s="9">
        <f>IF(B158="","",(N(C158)+N(D158)))</f>
        <v/>
      </c>
      <c r="K158" s="9">
        <f>IF(B158="","",INDEX(Settings!$D$8:$D$15,MATCH(Settings!$C$4,Settings!$B$8:$B$15,0))+INDEX(Settings!$E$8:$E$15,MATCH(Settings!$C$4,Settings!$B$8:$B$15,0))*(N(C158)+N(D158))+INDEX(Settings!$F$8:$F$15,MATCH(Settings!$C$4,Settings!$B$8:$B$15,0))*(N(C158)+N(D158))*(1+Settings!$C$26)+INDEX(Settings!$G$8:$G$15,MATCH(Settings!$C$4,Settings!$B$8:$B$15,0))+N(I158)*MIN(Settings!$C$23*(N(C158)+N(D158)),Settings!$C$24)+INDEX(Settings!$H$8:$H$15,MATCH(Settings!$C$4,Settings!$B$8:$B$15,0))*(N(C158)+N(D158))+IF(Settings!$C$25="Yes",0.025,0)*(N(C158)+N(D158))+INDEX(Settings!$I$8:$I$15,MATCH(Settings!$C$4,Settings!$B$8:$B$15,0))*(INDEX(Settings!$D$8:$D$15,MATCH(Settings!$C$4,Settings!$B$8:$B$15,0))+INDEX(Settings!$E$8:$E$15,MATCH(Settings!$C$4,Settings!$B$8:$B$15,0))*(N(C158)+N(D158))+N(I158)*MIN(Settings!$C$23*(N(C158)+N(D158)),Settings!$C$24)+INDEX(Settings!$H$8:$H$15,MATCH(Settings!$C$4,Settings!$B$8:$B$15,0))*(N(C158)+N(D158))))</f>
        <v/>
      </c>
      <c r="L158" s="9">
        <f>IF(B158="","",N(E158)+N(F158)+N(G158)+N(H158)/60*Settings!$C$27)</f>
        <v/>
      </c>
      <c r="M158" s="20">
        <f>IF(B158="","",J158-K158-L158)</f>
        <v/>
      </c>
      <c r="N158" s="26">
        <f>IF(OR(B158="",N(J158)=0),"",M158/J158)</f>
        <v/>
      </c>
      <c r="O158" s="8">
        <f>IF(B158="","",IF(M158&lt;0,"Loss",IF(N158&lt;Settings!$C$28,"Below target","On target")))</f>
        <v/>
      </c>
      <c r="P158" s="14">
        <f>IF(B158="","",IF(1-(INDEX(Settings!$E$8:$E$15,MATCH(Settings!$C$4,Settings!$B$8:$B$15,0))+INDEX(Settings!$F$8:$F$15,MATCH(Settings!$C$4,Settings!$B$8:$B$15,0))*(1+Settings!$C$26)+N(I158)*Settings!$C$23+INDEX(Settings!$H$8:$H$15,MATCH(Settings!$C$4,Settings!$B$8:$B$15,0))+IF(Settings!$C$25="Yes",0.025,0)+INDEX(Settings!$I$8:$I$15,MATCH(Settings!$C$4,Settings!$B$8:$B$15,0))*(INDEX(Settings!$E$8:$E$15,MATCH(Settings!$C$4,Settings!$B$8:$B$15,0))+N(I158)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158)/(1-(INDEX(Settings!$E$8:$E$15,MATCH(Settings!$C$4,Settings!$B$8:$B$15,0))+INDEX(Settings!$F$8:$F$15,MATCH(Settings!$C$4,Settings!$B$8:$B$15,0))*(1+Settings!$C$26)+N(I158)*Settings!$C$23+INDEX(Settings!$H$8:$H$15,MATCH(Settings!$C$4,Settings!$B$8:$B$15,0))+IF(Settings!$C$25="Yes",0.025,0)+INDEX(Settings!$I$8:$I$15,MATCH(Settings!$C$4,Settings!$B$8:$B$15,0))*(INDEX(Settings!$E$8:$E$15,MATCH(Settings!$C$4,Settings!$B$8:$B$15,0))+N(I158)*Settings!$C$23+INDEX(Settings!$H$8:$H$15,MATCH(Settings!$C$4,Settings!$B$8:$B$15,0))))-Settings!$C$28)-N(D158))))</f>
        <v/>
      </c>
      <c r="Q158" s="1" t="n"/>
    </row>
    <row r="159">
      <c r="A159" s="1" t="n"/>
      <c r="B159" s="25" t="n"/>
      <c r="C159" s="7" t="n"/>
      <c r="D159" s="7" t="n"/>
      <c r="E159" s="7" t="n"/>
      <c r="F159" s="7" t="n"/>
      <c r="G159" s="7" t="n"/>
      <c r="H159" s="12" t="n"/>
      <c r="I159" s="11" t="n"/>
      <c r="J159" s="9">
        <f>IF(B159="","",(N(C159)+N(D159)))</f>
        <v/>
      </c>
      <c r="K159" s="9">
        <f>IF(B159="","",INDEX(Settings!$D$8:$D$15,MATCH(Settings!$C$4,Settings!$B$8:$B$15,0))+INDEX(Settings!$E$8:$E$15,MATCH(Settings!$C$4,Settings!$B$8:$B$15,0))*(N(C159)+N(D159))+INDEX(Settings!$F$8:$F$15,MATCH(Settings!$C$4,Settings!$B$8:$B$15,0))*(N(C159)+N(D159))*(1+Settings!$C$26)+INDEX(Settings!$G$8:$G$15,MATCH(Settings!$C$4,Settings!$B$8:$B$15,0))+N(I159)*MIN(Settings!$C$23*(N(C159)+N(D159)),Settings!$C$24)+INDEX(Settings!$H$8:$H$15,MATCH(Settings!$C$4,Settings!$B$8:$B$15,0))*(N(C159)+N(D159))+IF(Settings!$C$25="Yes",0.025,0)*(N(C159)+N(D159))+INDEX(Settings!$I$8:$I$15,MATCH(Settings!$C$4,Settings!$B$8:$B$15,0))*(INDEX(Settings!$D$8:$D$15,MATCH(Settings!$C$4,Settings!$B$8:$B$15,0))+INDEX(Settings!$E$8:$E$15,MATCH(Settings!$C$4,Settings!$B$8:$B$15,0))*(N(C159)+N(D159))+N(I159)*MIN(Settings!$C$23*(N(C159)+N(D159)),Settings!$C$24)+INDEX(Settings!$H$8:$H$15,MATCH(Settings!$C$4,Settings!$B$8:$B$15,0))*(N(C159)+N(D159))))</f>
        <v/>
      </c>
      <c r="L159" s="9">
        <f>IF(B159="","",N(E159)+N(F159)+N(G159)+N(H159)/60*Settings!$C$27)</f>
        <v/>
      </c>
      <c r="M159" s="20">
        <f>IF(B159="","",J159-K159-L159)</f>
        <v/>
      </c>
      <c r="N159" s="26">
        <f>IF(OR(B159="",N(J159)=0),"",M159/J159)</f>
        <v/>
      </c>
      <c r="O159" s="8">
        <f>IF(B159="","",IF(M159&lt;0,"Loss",IF(N159&lt;Settings!$C$28,"Below target","On target")))</f>
        <v/>
      </c>
      <c r="P159" s="14">
        <f>IF(B159="","",IF(1-(INDEX(Settings!$E$8:$E$15,MATCH(Settings!$C$4,Settings!$B$8:$B$15,0))+INDEX(Settings!$F$8:$F$15,MATCH(Settings!$C$4,Settings!$B$8:$B$15,0))*(1+Settings!$C$26)+N(I159)*Settings!$C$23+INDEX(Settings!$H$8:$H$15,MATCH(Settings!$C$4,Settings!$B$8:$B$15,0))+IF(Settings!$C$25="Yes",0.025,0)+INDEX(Settings!$I$8:$I$15,MATCH(Settings!$C$4,Settings!$B$8:$B$15,0))*(INDEX(Settings!$E$8:$E$15,MATCH(Settings!$C$4,Settings!$B$8:$B$15,0))+N(I159)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159)/(1-(INDEX(Settings!$E$8:$E$15,MATCH(Settings!$C$4,Settings!$B$8:$B$15,0))+INDEX(Settings!$F$8:$F$15,MATCH(Settings!$C$4,Settings!$B$8:$B$15,0))*(1+Settings!$C$26)+N(I159)*Settings!$C$23+INDEX(Settings!$H$8:$H$15,MATCH(Settings!$C$4,Settings!$B$8:$B$15,0))+IF(Settings!$C$25="Yes",0.025,0)+INDEX(Settings!$I$8:$I$15,MATCH(Settings!$C$4,Settings!$B$8:$B$15,0))*(INDEX(Settings!$E$8:$E$15,MATCH(Settings!$C$4,Settings!$B$8:$B$15,0))+N(I159)*Settings!$C$23+INDEX(Settings!$H$8:$H$15,MATCH(Settings!$C$4,Settings!$B$8:$B$15,0))))-Settings!$C$28)-N(D159))))</f>
        <v/>
      </c>
      <c r="Q159" s="1" t="n"/>
    </row>
    <row r="160">
      <c r="A160" s="1" t="n"/>
      <c r="B160" s="25" t="n"/>
      <c r="C160" s="7" t="n"/>
      <c r="D160" s="7" t="n"/>
      <c r="E160" s="7" t="n"/>
      <c r="F160" s="7" t="n"/>
      <c r="G160" s="7" t="n"/>
      <c r="H160" s="12" t="n"/>
      <c r="I160" s="11" t="n"/>
      <c r="J160" s="9">
        <f>IF(B160="","",(N(C160)+N(D160)))</f>
        <v/>
      </c>
      <c r="K160" s="9">
        <f>IF(B160="","",INDEX(Settings!$D$8:$D$15,MATCH(Settings!$C$4,Settings!$B$8:$B$15,0))+INDEX(Settings!$E$8:$E$15,MATCH(Settings!$C$4,Settings!$B$8:$B$15,0))*(N(C160)+N(D160))+INDEX(Settings!$F$8:$F$15,MATCH(Settings!$C$4,Settings!$B$8:$B$15,0))*(N(C160)+N(D160))*(1+Settings!$C$26)+INDEX(Settings!$G$8:$G$15,MATCH(Settings!$C$4,Settings!$B$8:$B$15,0))+N(I160)*MIN(Settings!$C$23*(N(C160)+N(D160)),Settings!$C$24)+INDEX(Settings!$H$8:$H$15,MATCH(Settings!$C$4,Settings!$B$8:$B$15,0))*(N(C160)+N(D160))+IF(Settings!$C$25="Yes",0.025,0)*(N(C160)+N(D160))+INDEX(Settings!$I$8:$I$15,MATCH(Settings!$C$4,Settings!$B$8:$B$15,0))*(INDEX(Settings!$D$8:$D$15,MATCH(Settings!$C$4,Settings!$B$8:$B$15,0))+INDEX(Settings!$E$8:$E$15,MATCH(Settings!$C$4,Settings!$B$8:$B$15,0))*(N(C160)+N(D160))+N(I160)*MIN(Settings!$C$23*(N(C160)+N(D160)),Settings!$C$24)+INDEX(Settings!$H$8:$H$15,MATCH(Settings!$C$4,Settings!$B$8:$B$15,0))*(N(C160)+N(D160))))</f>
        <v/>
      </c>
      <c r="L160" s="9">
        <f>IF(B160="","",N(E160)+N(F160)+N(G160)+N(H160)/60*Settings!$C$27)</f>
        <v/>
      </c>
      <c r="M160" s="20">
        <f>IF(B160="","",J160-K160-L160)</f>
        <v/>
      </c>
      <c r="N160" s="26">
        <f>IF(OR(B160="",N(J160)=0),"",M160/J160)</f>
        <v/>
      </c>
      <c r="O160" s="8">
        <f>IF(B160="","",IF(M160&lt;0,"Loss",IF(N160&lt;Settings!$C$28,"Below target","On target")))</f>
        <v/>
      </c>
      <c r="P160" s="14">
        <f>IF(B160="","",IF(1-(INDEX(Settings!$E$8:$E$15,MATCH(Settings!$C$4,Settings!$B$8:$B$15,0))+INDEX(Settings!$F$8:$F$15,MATCH(Settings!$C$4,Settings!$B$8:$B$15,0))*(1+Settings!$C$26)+N(I160)*Settings!$C$23+INDEX(Settings!$H$8:$H$15,MATCH(Settings!$C$4,Settings!$B$8:$B$15,0))+IF(Settings!$C$25="Yes",0.025,0)+INDEX(Settings!$I$8:$I$15,MATCH(Settings!$C$4,Settings!$B$8:$B$15,0))*(INDEX(Settings!$E$8:$E$15,MATCH(Settings!$C$4,Settings!$B$8:$B$15,0))+N(I160)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160)/(1-(INDEX(Settings!$E$8:$E$15,MATCH(Settings!$C$4,Settings!$B$8:$B$15,0))+INDEX(Settings!$F$8:$F$15,MATCH(Settings!$C$4,Settings!$B$8:$B$15,0))*(1+Settings!$C$26)+N(I160)*Settings!$C$23+INDEX(Settings!$H$8:$H$15,MATCH(Settings!$C$4,Settings!$B$8:$B$15,0))+IF(Settings!$C$25="Yes",0.025,0)+INDEX(Settings!$I$8:$I$15,MATCH(Settings!$C$4,Settings!$B$8:$B$15,0))*(INDEX(Settings!$E$8:$E$15,MATCH(Settings!$C$4,Settings!$B$8:$B$15,0))+N(I160)*Settings!$C$23+INDEX(Settings!$H$8:$H$15,MATCH(Settings!$C$4,Settings!$B$8:$B$15,0))))-Settings!$C$28)-N(D160))))</f>
        <v/>
      </c>
      <c r="Q160" s="1" t="n"/>
    </row>
    <row r="161">
      <c r="A161" s="1" t="n"/>
      <c r="B161" s="25" t="n"/>
      <c r="C161" s="7" t="n"/>
      <c r="D161" s="7" t="n"/>
      <c r="E161" s="7" t="n"/>
      <c r="F161" s="7" t="n"/>
      <c r="G161" s="7" t="n"/>
      <c r="H161" s="12" t="n"/>
      <c r="I161" s="11" t="n"/>
      <c r="J161" s="9">
        <f>IF(B161="","",(N(C161)+N(D161)))</f>
        <v/>
      </c>
      <c r="K161" s="9">
        <f>IF(B161="","",INDEX(Settings!$D$8:$D$15,MATCH(Settings!$C$4,Settings!$B$8:$B$15,0))+INDEX(Settings!$E$8:$E$15,MATCH(Settings!$C$4,Settings!$B$8:$B$15,0))*(N(C161)+N(D161))+INDEX(Settings!$F$8:$F$15,MATCH(Settings!$C$4,Settings!$B$8:$B$15,0))*(N(C161)+N(D161))*(1+Settings!$C$26)+INDEX(Settings!$G$8:$G$15,MATCH(Settings!$C$4,Settings!$B$8:$B$15,0))+N(I161)*MIN(Settings!$C$23*(N(C161)+N(D161)),Settings!$C$24)+INDEX(Settings!$H$8:$H$15,MATCH(Settings!$C$4,Settings!$B$8:$B$15,0))*(N(C161)+N(D161))+IF(Settings!$C$25="Yes",0.025,0)*(N(C161)+N(D161))+INDEX(Settings!$I$8:$I$15,MATCH(Settings!$C$4,Settings!$B$8:$B$15,0))*(INDEX(Settings!$D$8:$D$15,MATCH(Settings!$C$4,Settings!$B$8:$B$15,0))+INDEX(Settings!$E$8:$E$15,MATCH(Settings!$C$4,Settings!$B$8:$B$15,0))*(N(C161)+N(D161))+N(I161)*MIN(Settings!$C$23*(N(C161)+N(D161)),Settings!$C$24)+INDEX(Settings!$H$8:$H$15,MATCH(Settings!$C$4,Settings!$B$8:$B$15,0))*(N(C161)+N(D161))))</f>
        <v/>
      </c>
      <c r="L161" s="9">
        <f>IF(B161="","",N(E161)+N(F161)+N(G161)+N(H161)/60*Settings!$C$27)</f>
        <v/>
      </c>
      <c r="M161" s="20">
        <f>IF(B161="","",J161-K161-L161)</f>
        <v/>
      </c>
      <c r="N161" s="26">
        <f>IF(OR(B161="",N(J161)=0),"",M161/J161)</f>
        <v/>
      </c>
      <c r="O161" s="8">
        <f>IF(B161="","",IF(M161&lt;0,"Loss",IF(N161&lt;Settings!$C$28,"Below target","On target")))</f>
        <v/>
      </c>
      <c r="P161" s="14">
        <f>IF(B161="","",IF(1-(INDEX(Settings!$E$8:$E$15,MATCH(Settings!$C$4,Settings!$B$8:$B$15,0))+INDEX(Settings!$F$8:$F$15,MATCH(Settings!$C$4,Settings!$B$8:$B$15,0))*(1+Settings!$C$26)+N(I161)*Settings!$C$23+INDEX(Settings!$H$8:$H$15,MATCH(Settings!$C$4,Settings!$B$8:$B$15,0))+IF(Settings!$C$25="Yes",0.025,0)+INDEX(Settings!$I$8:$I$15,MATCH(Settings!$C$4,Settings!$B$8:$B$15,0))*(INDEX(Settings!$E$8:$E$15,MATCH(Settings!$C$4,Settings!$B$8:$B$15,0))+N(I161)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161)/(1-(INDEX(Settings!$E$8:$E$15,MATCH(Settings!$C$4,Settings!$B$8:$B$15,0))+INDEX(Settings!$F$8:$F$15,MATCH(Settings!$C$4,Settings!$B$8:$B$15,0))*(1+Settings!$C$26)+N(I161)*Settings!$C$23+INDEX(Settings!$H$8:$H$15,MATCH(Settings!$C$4,Settings!$B$8:$B$15,0))+IF(Settings!$C$25="Yes",0.025,0)+INDEX(Settings!$I$8:$I$15,MATCH(Settings!$C$4,Settings!$B$8:$B$15,0))*(INDEX(Settings!$E$8:$E$15,MATCH(Settings!$C$4,Settings!$B$8:$B$15,0))+N(I161)*Settings!$C$23+INDEX(Settings!$H$8:$H$15,MATCH(Settings!$C$4,Settings!$B$8:$B$15,0))))-Settings!$C$28)-N(D161))))</f>
        <v/>
      </c>
      <c r="Q161" s="1" t="n"/>
    </row>
    <row r="162">
      <c r="A162" s="1" t="n"/>
      <c r="B162" s="25" t="n"/>
      <c r="C162" s="7" t="n"/>
      <c r="D162" s="7" t="n"/>
      <c r="E162" s="7" t="n"/>
      <c r="F162" s="7" t="n"/>
      <c r="G162" s="7" t="n"/>
      <c r="H162" s="12" t="n"/>
      <c r="I162" s="11" t="n"/>
      <c r="J162" s="9">
        <f>IF(B162="","",(N(C162)+N(D162)))</f>
        <v/>
      </c>
      <c r="K162" s="9">
        <f>IF(B162="","",INDEX(Settings!$D$8:$D$15,MATCH(Settings!$C$4,Settings!$B$8:$B$15,0))+INDEX(Settings!$E$8:$E$15,MATCH(Settings!$C$4,Settings!$B$8:$B$15,0))*(N(C162)+N(D162))+INDEX(Settings!$F$8:$F$15,MATCH(Settings!$C$4,Settings!$B$8:$B$15,0))*(N(C162)+N(D162))*(1+Settings!$C$26)+INDEX(Settings!$G$8:$G$15,MATCH(Settings!$C$4,Settings!$B$8:$B$15,0))+N(I162)*MIN(Settings!$C$23*(N(C162)+N(D162)),Settings!$C$24)+INDEX(Settings!$H$8:$H$15,MATCH(Settings!$C$4,Settings!$B$8:$B$15,0))*(N(C162)+N(D162))+IF(Settings!$C$25="Yes",0.025,0)*(N(C162)+N(D162))+INDEX(Settings!$I$8:$I$15,MATCH(Settings!$C$4,Settings!$B$8:$B$15,0))*(INDEX(Settings!$D$8:$D$15,MATCH(Settings!$C$4,Settings!$B$8:$B$15,0))+INDEX(Settings!$E$8:$E$15,MATCH(Settings!$C$4,Settings!$B$8:$B$15,0))*(N(C162)+N(D162))+N(I162)*MIN(Settings!$C$23*(N(C162)+N(D162)),Settings!$C$24)+INDEX(Settings!$H$8:$H$15,MATCH(Settings!$C$4,Settings!$B$8:$B$15,0))*(N(C162)+N(D162))))</f>
        <v/>
      </c>
      <c r="L162" s="9">
        <f>IF(B162="","",N(E162)+N(F162)+N(G162)+N(H162)/60*Settings!$C$27)</f>
        <v/>
      </c>
      <c r="M162" s="20">
        <f>IF(B162="","",J162-K162-L162)</f>
        <v/>
      </c>
      <c r="N162" s="26">
        <f>IF(OR(B162="",N(J162)=0),"",M162/J162)</f>
        <v/>
      </c>
      <c r="O162" s="8">
        <f>IF(B162="","",IF(M162&lt;0,"Loss",IF(N162&lt;Settings!$C$28,"Below target","On target")))</f>
        <v/>
      </c>
      <c r="P162" s="14">
        <f>IF(B162="","",IF(1-(INDEX(Settings!$E$8:$E$15,MATCH(Settings!$C$4,Settings!$B$8:$B$15,0))+INDEX(Settings!$F$8:$F$15,MATCH(Settings!$C$4,Settings!$B$8:$B$15,0))*(1+Settings!$C$26)+N(I162)*Settings!$C$23+INDEX(Settings!$H$8:$H$15,MATCH(Settings!$C$4,Settings!$B$8:$B$15,0))+IF(Settings!$C$25="Yes",0.025,0)+INDEX(Settings!$I$8:$I$15,MATCH(Settings!$C$4,Settings!$B$8:$B$15,0))*(INDEX(Settings!$E$8:$E$15,MATCH(Settings!$C$4,Settings!$B$8:$B$15,0))+N(I162)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162)/(1-(INDEX(Settings!$E$8:$E$15,MATCH(Settings!$C$4,Settings!$B$8:$B$15,0))+INDEX(Settings!$F$8:$F$15,MATCH(Settings!$C$4,Settings!$B$8:$B$15,0))*(1+Settings!$C$26)+N(I162)*Settings!$C$23+INDEX(Settings!$H$8:$H$15,MATCH(Settings!$C$4,Settings!$B$8:$B$15,0))+IF(Settings!$C$25="Yes",0.025,0)+INDEX(Settings!$I$8:$I$15,MATCH(Settings!$C$4,Settings!$B$8:$B$15,0))*(INDEX(Settings!$E$8:$E$15,MATCH(Settings!$C$4,Settings!$B$8:$B$15,0))+N(I162)*Settings!$C$23+INDEX(Settings!$H$8:$H$15,MATCH(Settings!$C$4,Settings!$B$8:$B$15,0))))-Settings!$C$28)-N(D162))))</f>
        <v/>
      </c>
      <c r="Q162" s="1" t="n"/>
    </row>
    <row r="163">
      <c r="A163" s="1" t="n"/>
      <c r="B163" s="25" t="n"/>
      <c r="C163" s="7" t="n"/>
      <c r="D163" s="7" t="n"/>
      <c r="E163" s="7" t="n"/>
      <c r="F163" s="7" t="n"/>
      <c r="G163" s="7" t="n"/>
      <c r="H163" s="12" t="n"/>
      <c r="I163" s="11" t="n"/>
      <c r="J163" s="9">
        <f>IF(B163="","",(N(C163)+N(D163)))</f>
        <v/>
      </c>
      <c r="K163" s="9">
        <f>IF(B163="","",INDEX(Settings!$D$8:$D$15,MATCH(Settings!$C$4,Settings!$B$8:$B$15,0))+INDEX(Settings!$E$8:$E$15,MATCH(Settings!$C$4,Settings!$B$8:$B$15,0))*(N(C163)+N(D163))+INDEX(Settings!$F$8:$F$15,MATCH(Settings!$C$4,Settings!$B$8:$B$15,0))*(N(C163)+N(D163))*(1+Settings!$C$26)+INDEX(Settings!$G$8:$G$15,MATCH(Settings!$C$4,Settings!$B$8:$B$15,0))+N(I163)*MIN(Settings!$C$23*(N(C163)+N(D163)),Settings!$C$24)+INDEX(Settings!$H$8:$H$15,MATCH(Settings!$C$4,Settings!$B$8:$B$15,0))*(N(C163)+N(D163))+IF(Settings!$C$25="Yes",0.025,0)*(N(C163)+N(D163))+INDEX(Settings!$I$8:$I$15,MATCH(Settings!$C$4,Settings!$B$8:$B$15,0))*(INDEX(Settings!$D$8:$D$15,MATCH(Settings!$C$4,Settings!$B$8:$B$15,0))+INDEX(Settings!$E$8:$E$15,MATCH(Settings!$C$4,Settings!$B$8:$B$15,0))*(N(C163)+N(D163))+N(I163)*MIN(Settings!$C$23*(N(C163)+N(D163)),Settings!$C$24)+INDEX(Settings!$H$8:$H$15,MATCH(Settings!$C$4,Settings!$B$8:$B$15,0))*(N(C163)+N(D163))))</f>
        <v/>
      </c>
      <c r="L163" s="9">
        <f>IF(B163="","",N(E163)+N(F163)+N(G163)+N(H163)/60*Settings!$C$27)</f>
        <v/>
      </c>
      <c r="M163" s="20">
        <f>IF(B163="","",J163-K163-L163)</f>
        <v/>
      </c>
      <c r="N163" s="26">
        <f>IF(OR(B163="",N(J163)=0),"",M163/J163)</f>
        <v/>
      </c>
      <c r="O163" s="8">
        <f>IF(B163="","",IF(M163&lt;0,"Loss",IF(N163&lt;Settings!$C$28,"Below target","On target")))</f>
        <v/>
      </c>
      <c r="P163" s="14">
        <f>IF(B163="","",IF(1-(INDEX(Settings!$E$8:$E$15,MATCH(Settings!$C$4,Settings!$B$8:$B$15,0))+INDEX(Settings!$F$8:$F$15,MATCH(Settings!$C$4,Settings!$B$8:$B$15,0))*(1+Settings!$C$26)+N(I163)*Settings!$C$23+INDEX(Settings!$H$8:$H$15,MATCH(Settings!$C$4,Settings!$B$8:$B$15,0))+IF(Settings!$C$25="Yes",0.025,0)+INDEX(Settings!$I$8:$I$15,MATCH(Settings!$C$4,Settings!$B$8:$B$15,0))*(INDEX(Settings!$E$8:$E$15,MATCH(Settings!$C$4,Settings!$B$8:$B$15,0))+N(I163)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163)/(1-(INDEX(Settings!$E$8:$E$15,MATCH(Settings!$C$4,Settings!$B$8:$B$15,0))+INDEX(Settings!$F$8:$F$15,MATCH(Settings!$C$4,Settings!$B$8:$B$15,0))*(1+Settings!$C$26)+N(I163)*Settings!$C$23+INDEX(Settings!$H$8:$H$15,MATCH(Settings!$C$4,Settings!$B$8:$B$15,0))+IF(Settings!$C$25="Yes",0.025,0)+INDEX(Settings!$I$8:$I$15,MATCH(Settings!$C$4,Settings!$B$8:$B$15,0))*(INDEX(Settings!$E$8:$E$15,MATCH(Settings!$C$4,Settings!$B$8:$B$15,0))+N(I163)*Settings!$C$23+INDEX(Settings!$H$8:$H$15,MATCH(Settings!$C$4,Settings!$B$8:$B$15,0))))-Settings!$C$28)-N(D163))))</f>
        <v/>
      </c>
      <c r="Q163" s="1" t="n"/>
    </row>
    <row r="164">
      <c r="A164" s="1" t="n"/>
      <c r="B164" s="25" t="n"/>
      <c r="C164" s="7" t="n"/>
      <c r="D164" s="7" t="n"/>
      <c r="E164" s="7" t="n"/>
      <c r="F164" s="7" t="n"/>
      <c r="G164" s="7" t="n"/>
      <c r="H164" s="12" t="n"/>
      <c r="I164" s="11" t="n"/>
      <c r="J164" s="9">
        <f>IF(B164="","",(N(C164)+N(D164)))</f>
        <v/>
      </c>
      <c r="K164" s="9">
        <f>IF(B164="","",INDEX(Settings!$D$8:$D$15,MATCH(Settings!$C$4,Settings!$B$8:$B$15,0))+INDEX(Settings!$E$8:$E$15,MATCH(Settings!$C$4,Settings!$B$8:$B$15,0))*(N(C164)+N(D164))+INDEX(Settings!$F$8:$F$15,MATCH(Settings!$C$4,Settings!$B$8:$B$15,0))*(N(C164)+N(D164))*(1+Settings!$C$26)+INDEX(Settings!$G$8:$G$15,MATCH(Settings!$C$4,Settings!$B$8:$B$15,0))+N(I164)*MIN(Settings!$C$23*(N(C164)+N(D164)),Settings!$C$24)+INDEX(Settings!$H$8:$H$15,MATCH(Settings!$C$4,Settings!$B$8:$B$15,0))*(N(C164)+N(D164))+IF(Settings!$C$25="Yes",0.025,0)*(N(C164)+N(D164))+INDEX(Settings!$I$8:$I$15,MATCH(Settings!$C$4,Settings!$B$8:$B$15,0))*(INDEX(Settings!$D$8:$D$15,MATCH(Settings!$C$4,Settings!$B$8:$B$15,0))+INDEX(Settings!$E$8:$E$15,MATCH(Settings!$C$4,Settings!$B$8:$B$15,0))*(N(C164)+N(D164))+N(I164)*MIN(Settings!$C$23*(N(C164)+N(D164)),Settings!$C$24)+INDEX(Settings!$H$8:$H$15,MATCH(Settings!$C$4,Settings!$B$8:$B$15,0))*(N(C164)+N(D164))))</f>
        <v/>
      </c>
      <c r="L164" s="9">
        <f>IF(B164="","",N(E164)+N(F164)+N(G164)+N(H164)/60*Settings!$C$27)</f>
        <v/>
      </c>
      <c r="M164" s="20">
        <f>IF(B164="","",J164-K164-L164)</f>
        <v/>
      </c>
      <c r="N164" s="26">
        <f>IF(OR(B164="",N(J164)=0),"",M164/J164)</f>
        <v/>
      </c>
      <c r="O164" s="8">
        <f>IF(B164="","",IF(M164&lt;0,"Loss",IF(N164&lt;Settings!$C$28,"Below target","On target")))</f>
        <v/>
      </c>
      <c r="P164" s="14">
        <f>IF(B164="","",IF(1-(INDEX(Settings!$E$8:$E$15,MATCH(Settings!$C$4,Settings!$B$8:$B$15,0))+INDEX(Settings!$F$8:$F$15,MATCH(Settings!$C$4,Settings!$B$8:$B$15,0))*(1+Settings!$C$26)+N(I164)*Settings!$C$23+INDEX(Settings!$H$8:$H$15,MATCH(Settings!$C$4,Settings!$B$8:$B$15,0))+IF(Settings!$C$25="Yes",0.025,0)+INDEX(Settings!$I$8:$I$15,MATCH(Settings!$C$4,Settings!$B$8:$B$15,0))*(INDEX(Settings!$E$8:$E$15,MATCH(Settings!$C$4,Settings!$B$8:$B$15,0))+N(I164)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164)/(1-(INDEX(Settings!$E$8:$E$15,MATCH(Settings!$C$4,Settings!$B$8:$B$15,0))+INDEX(Settings!$F$8:$F$15,MATCH(Settings!$C$4,Settings!$B$8:$B$15,0))*(1+Settings!$C$26)+N(I164)*Settings!$C$23+INDEX(Settings!$H$8:$H$15,MATCH(Settings!$C$4,Settings!$B$8:$B$15,0))+IF(Settings!$C$25="Yes",0.025,0)+INDEX(Settings!$I$8:$I$15,MATCH(Settings!$C$4,Settings!$B$8:$B$15,0))*(INDEX(Settings!$E$8:$E$15,MATCH(Settings!$C$4,Settings!$B$8:$B$15,0))+N(I164)*Settings!$C$23+INDEX(Settings!$H$8:$H$15,MATCH(Settings!$C$4,Settings!$B$8:$B$15,0))))-Settings!$C$28)-N(D164))))</f>
        <v/>
      </c>
      <c r="Q164" s="1" t="n"/>
    </row>
    <row r="165">
      <c r="A165" s="1" t="n"/>
      <c r="B165" s="25" t="n"/>
      <c r="C165" s="7" t="n"/>
      <c r="D165" s="7" t="n"/>
      <c r="E165" s="7" t="n"/>
      <c r="F165" s="7" t="n"/>
      <c r="G165" s="7" t="n"/>
      <c r="H165" s="12" t="n"/>
      <c r="I165" s="11" t="n"/>
      <c r="J165" s="9">
        <f>IF(B165="","",(N(C165)+N(D165)))</f>
        <v/>
      </c>
      <c r="K165" s="9">
        <f>IF(B165="","",INDEX(Settings!$D$8:$D$15,MATCH(Settings!$C$4,Settings!$B$8:$B$15,0))+INDEX(Settings!$E$8:$E$15,MATCH(Settings!$C$4,Settings!$B$8:$B$15,0))*(N(C165)+N(D165))+INDEX(Settings!$F$8:$F$15,MATCH(Settings!$C$4,Settings!$B$8:$B$15,0))*(N(C165)+N(D165))*(1+Settings!$C$26)+INDEX(Settings!$G$8:$G$15,MATCH(Settings!$C$4,Settings!$B$8:$B$15,0))+N(I165)*MIN(Settings!$C$23*(N(C165)+N(D165)),Settings!$C$24)+INDEX(Settings!$H$8:$H$15,MATCH(Settings!$C$4,Settings!$B$8:$B$15,0))*(N(C165)+N(D165))+IF(Settings!$C$25="Yes",0.025,0)*(N(C165)+N(D165))+INDEX(Settings!$I$8:$I$15,MATCH(Settings!$C$4,Settings!$B$8:$B$15,0))*(INDEX(Settings!$D$8:$D$15,MATCH(Settings!$C$4,Settings!$B$8:$B$15,0))+INDEX(Settings!$E$8:$E$15,MATCH(Settings!$C$4,Settings!$B$8:$B$15,0))*(N(C165)+N(D165))+N(I165)*MIN(Settings!$C$23*(N(C165)+N(D165)),Settings!$C$24)+INDEX(Settings!$H$8:$H$15,MATCH(Settings!$C$4,Settings!$B$8:$B$15,0))*(N(C165)+N(D165))))</f>
        <v/>
      </c>
      <c r="L165" s="9">
        <f>IF(B165="","",N(E165)+N(F165)+N(G165)+N(H165)/60*Settings!$C$27)</f>
        <v/>
      </c>
      <c r="M165" s="20">
        <f>IF(B165="","",J165-K165-L165)</f>
        <v/>
      </c>
      <c r="N165" s="26">
        <f>IF(OR(B165="",N(J165)=0),"",M165/J165)</f>
        <v/>
      </c>
      <c r="O165" s="8">
        <f>IF(B165="","",IF(M165&lt;0,"Loss",IF(N165&lt;Settings!$C$28,"Below target","On target")))</f>
        <v/>
      </c>
      <c r="P165" s="14">
        <f>IF(B165="","",IF(1-(INDEX(Settings!$E$8:$E$15,MATCH(Settings!$C$4,Settings!$B$8:$B$15,0))+INDEX(Settings!$F$8:$F$15,MATCH(Settings!$C$4,Settings!$B$8:$B$15,0))*(1+Settings!$C$26)+N(I165)*Settings!$C$23+INDEX(Settings!$H$8:$H$15,MATCH(Settings!$C$4,Settings!$B$8:$B$15,0))+IF(Settings!$C$25="Yes",0.025,0)+INDEX(Settings!$I$8:$I$15,MATCH(Settings!$C$4,Settings!$B$8:$B$15,0))*(INDEX(Settings!$E$8:$E$15,MATCH(Settings!$C$4,Settings!$B$8:$B$15,0))+N(I165)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165)/(1-(INDEX(Settings!$E$8:$E$15,MATCH(Settings!$C$4,Settings!$B$8:$B$15,0))+INDEX(Settings!$F$8:$F$15,MATCH(Settings!$C$4,Settings!$B$8:$B$15,0))*(1+Settings!$C$26)+N(I165)*Settings!$C$23+INDEX(Settings!$H$8:$H$15,MATCH(Settings!$C$4,Settings!$B$8:$B$15,0))+IF(Settings!$C$25="Yes",0.025,0)+INDEX(Settings!$I$8:$I$15,MATCH(Settings!$C$4,Settings!$B$8:$B$15,0))*(INDEX(Settings!$E$8:$E$15,MATCH(Settings!$C$4,Settings!$B$8:$B$15,0))+N(I165)*Settings!$C$23+INDEX(Settings!$H$8:$H$15,MATCH(Settings!$C$4,Settings!$B$8:$B$15,0))))-Settings!$C$28)-N(D165))))</f>
        <v/>
      </c>
      <c r="Q165" s="1" t="n"/>
    </row>
    <row r="166">
      <c r="A166" s="1" t="n"/>
      <c r="B166" s="25" t="n"/>
      <c r="C166" s="7" t="n"/>
      <c r="D166" s="7" t="n"/>
      <c r="E166" s="7" t="n"/>
      <c r="F166" s="7" t="n"/>
      <c r="G166" s="7" t="n"/>
      <c r="H166" s="12" t="n"/>
      <c r="I166" s="11" t="n"/>
      <c r="J166" s="9">
        <f>IF(B166="","",(N(C166)+N(D166)))</f>
        <v/>
      </c>
      <c r="K166" s="9">
        <f>IF(B166="","",INDEX(Settings!$D$8:$D$15,MATCH(Settings!$C$4,Settings!$B$8:$B$15,0))+INDEX(Settings!$E$8:$E$15,MATCH(Settings!$C$4,Settings!$B$8:$B$15,0))*(N(C166)+N(D166))+INDEX(Settings!$F$8:$F$15,MATCH(Settings!$C$4,Settings!$B$8:$B$15,0))*(N(C166)+N(D166))*(1+Settings!$C$26)+INDEX(Settings!$G$8:$G$15,MATCH(Settings!$C$4,Settings!$B$8:$B$15,0))+N(I166)*MIN(Settings!$C$23*(N(C166)+N(D166)),Settings!$C$24)+INDEX(Settings!$H$8:$H$15,MATCH(Settings!$C$4,Settings!$B$8:$B$15,0))*(N(C166)+N(D166))+IF(Settings!$C$25="Yes",0.025,0)*(N(C166)+N(D166))+INDEX(Settings!$I$8:$I$15,MATCH(Settings!$C$4,Settings!$B$8:$B$15,0))*(INDEX(Settings!$D$8:$D$15,MATCH(Settings!$C$4,Settings!$B$8:$B$15,0))+INDEX(Settings!$E$8:$E$15,MATCH(Settings!$C$4,Settings!$B$8:$B$15,0))*(N(C166)+N(D166))+N(I166)*MIN(Settings!$C$23*(N(C166)+N(D166)),Settings!$C$24)+INDEX(Settings!$H$8:$H$15,MATCH(Settings!$C$4,Settings!$B$8:$B$15,0))*(N(C166)+N(D166))))</f>
        <v/>
      </c>
      <c r="L166" s="9">
        <f>IF(B166="","",N(E166)+N(F166)+N(G166)+N(H166)/60*Settings!$C$27)</f>
        <v/>
      </c>
      <c r="M166" s="20">
        <f>IF(B166="","",J166-K166-L166)</f>
        <v/>
      </c>
      <c r="N166" s="26">
        <f>IF(OR(B166="",N(J166)=0),"",M166/J166)</f>
        <v/>
      </c>
      <c r="O166" s="8">
        <f>IF(B166="","",IF(M166&lt;0,"Loss",IF(N166&lt;Settings!$C$28,"Below target","On target")))</f>
        <v/>
      </c>
      <c r="P166" s="14">
        <f>IF(B166="","",IF(1-(INDEX(Settings!$E$8:$E$15,MATCH(Settings!$C$4,Settings!$B$8:$B$15,0))+INDEX(Settings!$F$8:$F$15,MATCH(Settings!$C$4,Settings!$B$8:$B$15,0))*(1+Settings!$C$26)+N(I166)*Settings!$C$23+INDEX(Settings!$H$8:$H$15,MATCH(Settings!$C$4,Settings!$B$8:$B$15,0))+IF(Settings!$C$25="Yes",0.025,0)+INDEX(Settings!$I$8:$I$15,MATCH(Settings!$C$4,Settings!$B$8:$B$15,0))*(INDEX(Settings!$E$8:$E$15,MATCH(Settings!$C$4,Settings!$B$8:$B$15,0))+N(I166)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166)/(1-(INDEX(Settings!$E$8:$E$15,MATCH(Settings!$C$4,Settings!$B$8:$B$15,0))+INDEX(Settings!$F$8:$F$15,MATCH(Settings!$C$4,Settings!$B$8:$B$15,0))*(1+Settings!$C$26)+N(I166)*Settings!$C$23+INDEX(Settings!$H$8:$H$15,MATCH(Settings!$C$4,Settings!$B$8:$B$15,0))+IF(Settings!$C$25="Yes",0.025,0)+INDEX(Settings!$I$8:$I$15,MATCH(Settings!$C$4,Settings!$B$8:$B$15,0))*(INDEX(Settings!$E$8:$E$15,MATCH(Settings!$C$4,Settings!$B$8:$B$15,0))+N(I166)*Settings!$C$23+INDEX(Settings!$H$8:$H$15,MATCH(Settings!$C$4,Settings!$B$8:$B$15,0))))-Settings!$C$28)-N(D166))))</f>
        <v/>
      </c>
      <c r="Q166" s="1" t="n"/>
    </row>
    <row r="167">
      <c r="A167" s="1" t="n"/>
      <c r="B167" s="25" t="n"/>
      <c r="C167" s="7" t="n"/>
      <c r="D167" s="7" t="n"/>
      <c r="E167" s="7" t="n"/>
      <c r="F167" s="7" t="n"/>
      <c r="G167" s="7" t="n"/>
      <c r="H167" s="12" t="n"/>
      <c r="I167" s="11" t="n"/>
      <c r="J167" s="9">
        <f>IF(B167="","",(N(C167)+N(D167)))</f>
        <v/>
      </c>
      <c r="K167" s="9">
        <f>IF(B167="","",INDEX(Settings!$D$8:$D$15,MATCH(Settings!$C$4,Settings!$B$8:$B$15,0))+INDEX(Settings!$E$8:$E$15,MATCH(Settings!$C$4,Settings!$B$8:$B$15,0))*(N(C167)+N(D167))+INDEX(Settings!$F$8:$F$15,MATCH(Settings!$C$4,Settings!$B$8:$B$15,0))*(N(C167)+N(D167))*(1+Settings!$C$26)+INDEX(Settings!$G$8:$G$15,MATCH(Settings!$C$4,Settings!$B$8:$B$15,0))+N(I167)*MIN(Settings!$C$23*(N(C167)+N(D167)),Settings!$C$24)+INDEX(Settings!$H$8:$H$15,MATCH(Settings!$C$4,Settings!$B$8:$B$15,0))*(N(C167)+N(D167))+IF(Settings!$C$25="Yes",0.025,0)*(N(C167)+N(D167))+INDEX(Settings!$I$8:$I$15,MATCH(Settings!$C$4,Settings!$B$8:$B$15,0))*(INDEX(Settings!$D$8:$D$15,MATCH(Settings!$C$4,Settings!$B$8:$B$15,0))+INDEX(Settings!$E$8:$E$15,MATCH(Settings!$C$4,Settings!$B$8:$B$15,0))*(N(C167)+N(D167))+N(I167)*MIN(Settings!$C$23*(N(C167)+N(D167)),Settings!$C$24)+INDEX(Settings!$H$8:$H$15,MATCH(Settings!$C$4,Settings!$B$8:$B$15,0))*(N(C167)+N(D167))))</f>
        <v/>
      </c>
      <c r="L167" s="9">
        <f>IF(B167="","",N(E167)+N(F167)+N(G167)+N(H167)/60*Settings!$C$27)</f>
        <v/>
      </c>
      <c r="M167" s="20">
        <f>IF(B167="","",J167-K167-L167)</f>
        <v/>
      </c>
      <c r="N167" s="26">
        <f>IF(OR(B167="",N(J167)=0),"",M167/J167)</f>
        <v/>
      </c>
      <c r="O167" s="8">
        <f>IF(B167="","",IF(M167&lt;0,"Loss",IF(N167&lt;Settings!$C$28,"Below target","On target")))</f>
        <v/>
      </c>
      <c r="P167" s="14">
        <f>IF(B167="","",IF(1-(INDEX(Settings!$E$8:$E$15,MATCH(Settings!$C$4,Settings!$B$8:$B$15,0))+INDEX(Settings!$F$8:$F$15,MATCH(Settings!$C$4,Settings!$B$8:$B$15,0))*(1+Settings!$C$26)+N(I167)*Settings!$C$23+INDEX(Settings!$H$8:$H$15,MATCH(Settings!$C$4,Settings!$B$8:$B$15,0))+IF(Settings!$C$25="Yes",0.025,0)+INDEX(Settings!$I$8:$I$15,MATCH(Settings!$C$4,Settings!$B$8:$B$15,0))*(INDEX(Settings!$E$8:$E$15,MATCH(Settings!$C$4,Settings!$B$8:$B$15,0))+N(I167)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167)/(1-(INDEX(Settings!$E$8:$E$15,MATCH(Settings!$C$4,Settings!$B$8:$B$15,0))+INDEX(Settings!$F$8:$F$15,MATCH(Settings!$C$4,Settings!$B$8:$B$15,0))*(1+Settings!$C$26)+N(I167)*Settings!$C$23+INDEX(Settings!$H$8:$H$15,MATCH(Settings!$C$4,Settings!$B$8:$B$15,0))+IF(Settings!$C$25="Yes",0.025,0)+INDEX(Settings!$I$8:$I$15,MATCH(Settings!$C$4,Settings!$B$8:$B$15,0))*(INDEX(Settings!$E$8:$E$15,MATCH(Settings!$C$4,Settings!$B$8:$B$15,0))+N(I167)*Settings!$C$23+INDEX(Settings!$H$8:$H$15,MATCH(Settings!$C$4,Settings!$B$8:$B$15,0))))-Settings!$C$28)-N(D167))))</f>
        <v/>
      </c>
      <c r="Q167" s="1" t="n"/>
    </row>
    <row r="168">
      <c r="A168" s="1" t="n"/>
      <c r="B168" s="25" t="n"/>
      <c r="C168" s="7" t="n"/>
      <c r="D168" s="7" t="n"/>
      <c r="E168" s="7" t="n"/>
      <c r="F168" s="7" t="n"/>
      <c r="G168" s="7" t="n"/>
      <c r="H168" s="12" t="n"/>
      <c r="I168" s="11" t="n"/>
      <c r="J168" s="9">
        <f>IF(B168="","",(N(C168)+N(D168)))</f>
        <v/>
      </c>
      <c r="K168" s="9">
        <f>IF(B168="","",INDEX(Settings!$D$8:$D$15,MATCH(Settings!$C$4,Settings!$B$8:$B$15,0))+INDEX(Settings!$E$8:$E$15,MATCH(Settings!$C$4,Settings!$B$8:$B$15,0))*(N(C168)+N(D168))+INDEX(Settings!$F$8:$F$15,MATCH(Settings!$C$4,Settings!$B$8:$B$15,0))*(N(C168)+N(D168))*(1+Settings!$C$26)+INDEX(Settings!$G$8:$G$15,MATCH(Settings!$C$4,Settings!$B$8:$B$15,0))+N(I168)*MIN(Settings!$C$23*(N(C168)+N(D168)),Settings!$C$24)+INDEX(Settings!$H$8:$H$15,MATCH(Settings!$C$4,Settings!$B$8:$B$15,0))*(N(C168)+N(D168))+IF(Settings!$C$25="Yes",0.025,0)*(N(C168)+N(D168))+INDEX(Settings!$I$8:$I$15,MATCH(Settings!$C$4,Settings!$B$8:$B$15,0))*(INDEX(Settings!$D$8:$D$15,MATCH(Settings!$C$4,Settings!$B$8:$B$15,0))+INDEX(Settings!$E$8:$E$15,MATCH(Settings!$C$4,Settings!$B$8:$B$15,0))*(N(C168)+N(D168))+N(I168)*MIN(Settings!$C$23*(N(C168)+N(D168)),Settings!$C$24)+INDEX(Settings!$H$8:$H$15,MATCH(Settings!$C$4,Settings!$B$8:$B$15,0))*(N(C168)+N(D168))))</f>
        <v/>
      </c>
      <c r="L168" s="9">
        <f>IF(B168="","",N(E168)+N(F168)+N(G168)+N(H168)/60*Settings!$C$27)</f>
        <v/>
      </c>
      <c r="M168" s="20">
        <f>IF(B168="","",J168-K168-L168)</f>
        <v/>
      </c>
      <c r="N168" s="26">
        <f>IF(OR(B168="",N(J168)=0),"",M168/J168)</f>
        <v/>
      </c>
      <c r="O168" s="8">
        <f>IF(B168="","",IF(M168&lt;0,"Loss",IF(N168&lt;Settings!$C$28,"Below target","On target")))</f>
        <v/>
      </c>
      <c r="P168" s="14">
        <f>IF(B168="","",IF(1-(INDEX(Settings!$E$8:$E$15,MATCH(Settings!$C$4,Settings!$B$8:$B$15,0))+INDEX(Settings!$F$8:$F$15,MATCH(Settings!$C$4,Settings!$B$8:$B$15,0))*(1+Settings!$C$26)+N(I168)*Settings!$C$23+INDEX(Settings!$H$8:$H$15,MATCH(Settings!$C$4,Settings!$B$8:$B$15,0))+IF(Settings!$C$25="Yes",0.025,0)+INDEX(Settings!$I$8:$I$15,MATCH(Settings!$C$4,Settings!$B$8:$B$15,0))*(INDEX(Settings!$E$8:$E$15,MATCH(Settings!$C$4,Settings!$B$8:$B$15,0))+N(I168)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168)/(1-(INDEX(Settings!$E$8:$E$15,MATCH(Settings!$C$4,Settings!$B$8:$B$15,0))+INDEX(Settings!$F$8:$F$15,MATCH(Settings!$C$4,Settings!$B$8:$B$15,0))*(1+Settings!$C$26)+N(I168)*Settings!$C$23+INDEX(Settings!$H$8:$H$15,MATCH(Settings!$C$4,Settings!$B$8:$B$15,0))+IF(Settings!$C$25="Yes",0.025,0)+INDEX(Settings!$I$8:$I$15,MATCH(Settings!$C$4,Settings!$B$8:$B$15,0))*(INDEX(Settings!$E$8:$E$15,MATCH(Settings!$C$4,Settings!$B$8:$B$15,0))+N(I168)*Settings!$C$23+INDEX(Settings!$H$8:$H$15,MATCH(Settings!$C$4,Settings!$B$8:$B$15,0))))-Settings!$C$28)-N(D168))))</f>
        <v/>
      </c>
      <c r="Q168" s="1" t="n"/>
    </row>
    <row r="169">
      <c r="A169" s="1" t="n"/>
      <c r="B169" s="25" t="n"/>
      <c r="C169" s="7" t="n"/>
      <c r="D169" s="7" t="n"/>
      <c r="E169" s="7" t="n"/>
      <c r="F169" s="7" t="n"/>
      <c r="G169" s="7" t="n"/>
      <c r="H169" s="12" t="n"/>
      <c r="I169" s="11" t="n"/>
      <c r="J169" s="9">
        <f>IF(B169="","",(N(C169)+N(D169)))</f>
        <v/>
      </c>
      <c r="K169" s="9">
        <f>IF(B169="","",INDEX(Settings!$D$8:$D$15,MATCH(Settings!$C$4,Settings!$B$8:$B$15,0))+INDEX(Settings!$E$8:$E$15,MATCH(Settings!$C$4,Settings!$B$8:$B$15,0))*(N(C169)+N(D169))+INDEX(Settings!$F$8:$F$15,MATCH(Settings!$C$4,Settings!$B$8:$B$15,0))*(N(C169)+N(D169))*(1+Settings!$C$26)+INDEX(Settings!$G$8:$G$15,MATCH(Settings!$C$4,Settings!$B$8:$B$15,0))+N(I169)*MIN(Settings!$C$23*(N(C169)+N(D169)),Settings!$C$24)+INDEX(Settings!$H$8:$H$15,MATCH(Settings!$C$4,Settings!$B$8:$B$15,0))*(N(C169)+N(D169))+IF(Settings!$C$25="Yes",0.025,0)*(N(C169)+N(D169))+INDEX(Settings!$I$8:$I$15,MATCH(Settings!$C$4,Settings!$B$8:$B$15,0))*(INDEX(Settings!$D$8:$D$15,MATCH(Settings!$C$4,Settings!$B$8:$B$15,0))+INDEX(Settings!$E$8:$E$15,MATCH(Settings!$C$4,Settings!$B$8:$B$15,0))*(N(C169)+N(D169))+N(I169)*MIN(Settings!$C$23*(N(C169)+N(D169)),Settings!$C$24)+INDEX(Settings!$H$8:$H$15,MATCH(Settings!$C$4,Settings!$B$8:$B$15,0))*(N(C169)+N(D169))))</f>
        <v/>
      </c>
      <c r="L169" s="9">
        <f>IF(B169="","",N(E169)+N(F169)+N(G169)+N(H169)/60*Settings!$C$27)</f>
        <v/>
      </c>
      <c r="M169" s="20">
        <f>IF(B169="","",J169-K169-L169)</f>
        <v/>
      </c>
      <c r="N169" s="26">
        <f>IF(OR(B169="",N(J169)=0),"",M169/J169)</f>
        <v/>
      </c>
      <c r="O169" s="8">
        <f>IF(B169="","",IF(M169&lt;0,"Loss",IF(N169&lt;Settings!$C$28,"Below target","On target")))</f>
        <v/>
      </c>
      <c r="P169" s="14">
        <f>IF(B169="","",IF(1-(INDEX(Settings!$E$8:$E$15,MATCH(Settings!$C$4,Settings!$B$8:$B$15,0))+INDEX(Settings!$F$8:$F$15,MATCH(Settings!$C$4,Settings!$B$8:$B$15,0))*(1+Settings!$C$26)+N(I169)*Settings!$C$23+INDEX(Settings!$H$8:$H$15,MATCH(Settings!$C$4,Settings!$B$8:$B$15,0))+IF(Settings!$C$25="Yes",0.025,0)+INDEX(Settings!$I$8:$I$15,MATCH(Settings!$C$4,Settings!$B$8:$B$15,0))*(INDEX(Settings!$E$8:$E$15,MATCH(Settings!$C$4,Settings!$B$8:$B$15,0))+N(I169)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169)/(1-(INDEX(Settings!$E$8:$E$15,MATCH(Settings!$C$4,Settings!$B$8:$B$15,0))+INDEX(Settings!$F$8:$F$15,MATCH(Settings!$C$4,Settings!$B$8:$B$15,0))*(1+Settings!$C$26)+N(I169)*Settings!$C$23+INDEX(Settings!$H$8:$H$15,MATCH(Settings!$C$4,Settings!$B$8:$B$15,0))+IF(Settings!$C$25="Yes",0.025,0)+INDEX(Settings!$I$8:$I$15,MATCH(Settings!$C$4,Settings!$B$8:$B$15,0))*(INDEX(Settings!$E$8:$E$15,MATCH(Settings!$C$4,Settings!$B$8:$B$15,0))+N(I169)*Settings!$C$23+INDEX(Settings!$H$8:$H$15,MATCH(Settings!$C$4,Settings!$B$8:$B$15,0))))-Settings!$C$28)-N(D169))))</f>
        <v/>
      </c>
      <c r="Q169" s="1" t="n"/>
    </row>
    <row r="170">
      <c r="A170" s="1" t="n"/>
      <c r="B170" s="25" t="n"/>
      <c r="C170" s="7" t="n"/>
      <c r="D170" s="7" t="n"/>
      <c r="E170" s="7" t="n"/>
      <c r="F170" s="7" t="n"/>
      <c r="G170" s="7" t="n"/>
      <c r="H170" s="12" t="n"/>
      <c r="I170" s="11" t="n"/>
      <c r="J170" s="9">
        <f>IF(B170="","",(N(C170)+N(D170)))</f>
        <v/>
      </c>
      <c r="K170" s="9">
        <f>IF(B170="","",INDEX(Settings!$D$8:$D$15,MATCH(Settings!$C$4,Settings!$B$8:$B$15,0))+INDEX(Settings!$E$8:$E$15,MATCH(Settings!$C$4,Settings!$B$8:$B$15,0))*(N(C170)+N(D170))+INDEX(Settings!$F$8:$F$15,MATCH(Settings!$C$4,Settings!$B$8:$B$15,0))*(N(C170)+N(D170))*(1+Settings!$C$26)+INDEX(Settings!$G$8:$G$15,MATCH(Settings!$C$4,Settings!$B$8:$B$15,0))+N(I170)*MIN(Settings!$C$23*(N(C170)+N(D170)),Settings!$C$24)+INDEX(Settings!$H$8:$H$15,MATCH(Settings!$C$4,Settings!$B$8:$B$15,0))*(N(C170)+N(D170))+IF(Settings!$C$25="Yes",0.025,0)*(N(C170)+N(D170))+INDEX(Settings!$I$8:$I$15,MATCH(Settings!$C$4,Settings!$B$8:$B$15,0))*(INDEX(Settings!$D$8:$D$15,MATCH(Settings!$C$4,Settings!$B$8:$B$15,0))+INDEX(Settings!$E$8:$E$15,MATCH(Settings!$C$4,Settings!$B$8:$B$15,0))*(N(C170)+N(D170))+N(I170)*MIN(Settings!$C$23*(N(C170)+N(D170)),Settings!$C$24)+INDEX(Settings!$H$8:$H$15,MATCH(Settings!$C$4,Settings!$B$8:$B$15,0))*(N(C170)+N(D170))))</f>
        <v/>
      </c>
      <c r="L170" s="9">
        <f>IF(B170="","",N(E170)+N(F170)+N(G170)+N(H170)/60*Settings!$C$27)</f>
        <v/>
      </c>
      <c r="M170" s="20">
        <f>IF(B170="","",J170-K170-L170)</f>
        <v/>
      </c>
      <c r="N170" s="26">
        <f>IF(OR(B170="",N(J170)=0),"",M170/J170)</f>
        <v/>
      </c>
      <c r="O170" s="8">
        <f>IF(B170="","",IF(M170&lt;0,"Loss",IF(N170&lt;Settings!$C$28,"Below target","On target")))</f>
        <v/>
      </c>
      <c r="P170" s="14">
        <f>IF(B170="","",IF(1-(INDEX(Settings!$E$8:$E$15,MATCH(Settings!$C$4,Settings!$B$8:$B$15,0))+INDEX(Settings!$F$8:$F$15,MATCH(Settings!$C$4,Settings!$B$8:$B$15,0))*(1+Settings!$C$26)+N(I170)*Settings!$C$23+INDEX(Settings!$H$8:$H$15,MATCH(Settings!$C$4,Settings!$B$8:$B$15,0))+IF(Settings!$C$25="Yes",0.025,0)+INDEX(Settings!$I$8:$I$15,MATCH(Settings!$C$4,Settings!$B$8:$B$15,0))*(INDEX(Settings!$E$8:$E$15,MATCH(Settings!$C$4,Settings!$B$8:$B$15,0))+N(I170)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170)/(1-(INDEX(Settings!$E$8:$E$15,MATCH(Settings!$C$4,Settings!$B$8:$B$15,0))+INDEX(Settings!$F$8:$F$15,MATCH(Settings!$C$4,Settings!$B$8:$B$15,0))*(1+Settings!$C$26)+N(I170)*Settings!$C$23+INDEX(Settings!$H$8:$H$15,MATCH(Settings!$C$4,Settings!$B$8:$B$15,0))+IF(Settings!$C$25="Yes",0.025,0)+INDEX(Settings!$I$8:$I$15,MATCH(Settings!$C$4,Settings!$B$8:$B$15,0))*(INDEX(Settings!$E$8:$E$15,MATCH(Settings!$C$4,Settings!$B$8:$B$15,0))+N(I170)*Settings!$C$23+INDEX(Settings!$H$8:$H$15,MATCH(Settings!$C$4,Settings!$B$8:$B$15,0))))-Settings!$C$28)-N(D170))))</f>
        <v/>
      </c>
      <c r="Q170" s="1" t="n"/>
    </row>
    <row r="171">
      <c r="A171" s="1" t="n"/>
      <c r="B171" s="25" t="n"/>
      <c r="C171" s="7" t="n"/>
      <c r="D171" s="7" t="n"/>
      <c r="E171" s="7" t="n"/>
      <c r="F171" s="7" t="n"/>
      <c r="G171" s="7" t="n"/>
      <c r="H171" s="12" t="n"/>
      <c r="I171" s="11" t="n"/>
      <c r="J171" s="9">
        <f>IF(B171="","",(N(C171)+N(D171)))</f>
        <v/>
      </c>
      <c r="K171" s="9">
        <f>IF(B171="","",INDEX(Settings!$D$8:$D$15,MATCH(Settings!$C$4,Settings!$B$8:$B$15,0))+INDEX(Settings!$E$8:$E$15,MATCH(Settings!$C$4,Settings!$B$8:$B$15,0))*(N(C171)+N(D171))+INDEX(Settings!$F$8:$F$15,MATCH(Settings!$C$4,Settings!$B$8:$B$15,0))*(N(C171)+N(D171))*(1+Settings!$C$26)+INDEX(Settings!$G$8:$G$15,MATCH(Settings!$C$4,Settings!$B$8:$B$15,0))+N(I171)*MIN(Settings!$C$23*(N(C171)+N(D171)),Settings!$C$24)+INDEX(Settings!$H$8:$H$15,MATCH(Settings!$C$4,Settings!$B$8:$B$15,0))*(N(C171)+N(D171))+IF(Settings!$C$25="Yes",0.025,0)*(N(C171)+N(D171))+INDEX(Settings!$I$8:$I$15,MATCH(Settings!$C$4,Settings!$B$8:$B$15,0))*(INDEX(Settings!$D$8:$D$15,MATCH(Settings!$C$4,Settings!$B$8:$B$15,0))+INDEX(Settings!$E$8:$E$15,MATCH(Settings!$C$4,Settings!$B$8:$B$15,0))*(N(C171)+N(D171))+N(I171)*MIN(Settings!$C$23*(N(C171)+N(D171)),Settings!$C$24)+INDEX(Settings!$H$8:$H$15,MATCH(Settings!$C$4,Settings!$B$8:$B$15,0))*(N(C171)+N(D171))))</f>
        <v/>
      </c>
      <c r="L171" s="9">
        <f>IF(B171="","",N(E171)+N(F171)+N(G171)+N(H171)/60*Settings!$C$27)</f>
        <v/>
      </c>
      <c r="M171" s="20">
        <f>IF(B171="","",J171-K171-L171)</f>
        <v/>
      </c>
      <c r="N171" s="26">
        <f>IF(OR(B171="",N(J171)=0),"",M171/J171)</f>
        <v/>
      </c>
      <c r="O171" s="8">
        <f>IF(B171="","",IF(M171&lt;0,"Loss",IF(N171&lt;Settings!$C$28,"Below target","On target")))</f>
        <v/>
      </c>
      <c r="P171" s="14">
        <f>IF(B171="","",IF(1-(INDEX(Settings!$E$8:$E$15,MATCH(Settings!$C$4,Settings!$B$8:$B$15,0))+INDEX(Settings!$F$8:$F$15,MATCH(Settings!$C$4,Settings!$B$8:$B$15,0))*(1+Settings!$C$26)+N(I171)*Settings!$C$23+INDEX(Settings!$H$8:$H$15,MATCH(Settings!$C$4,Settings!$B$8:$B$15,0))+IF(Settings!$C$25="Yes",0.025,0)+INDEX(Settings!$I$8:$I$15,MATCH(Settings!$C$4,Settings!$B$8:$B$15,0))*(INDEX(Settings!$E$8:$E$15,MATCH(Settings!$C$4,Settings!$B$8:$B$15,0))+N(I171)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171)/(1-(INDEX(Settings!$E$8:$E$15,MATCH(Settings!$C$4,Settings!$B$8:$B$15,0))+INDEX(Settings!$F$8:$F$15,MATCH(Settings!$C$4,Settings!$B$8:$B$15,0))*(1+Settings!$C$26)+N(I171)*Settings!$C$23+INDEX(Settings!$H$8:$H$15,MATCH(Settings!$C$4,Settings!$B$8:$B$15,0))+IF(Settings!$C$25="Yes",0.025,0)+INDEX(Settings!$I$8:$I$15,MATCH(Settings!$C$4,Settings!$B$8:$B$15,0))*(INDEX(Settings!$E$8:$E$15,MATCH(Settings!$C$4,Settings!$B$8:$B$15,0))+N(I171)*Settings!$C$23+INDEX(Settings!$H$8:$H$15,MATCH(Settings!$C$4,Settings!$B$8:$B$15,0))))-Settings!$C$28)-N(D171))))</f>
        <v/>
      </c>
      <c r="Q171" s="1" t="n"/>
    </row>
    <row r="172">
      <c r="A172" s="1" t="n"/>
      <c r="B172" s="25" t="n"/>
      <c r="C172" s="7" t="n"/>
      <c r="D172" s="7" t="n"/>
      <c r="E172" s="7" t="n"/>
      <c r="F172" s="7" t="n"/>
      <c r="G172" s="7" t="n"/>
      <c r="H172" s="12" t="n"/>
      <c r="I172" s="11" t="n"/>
      <c r="J172" s="9">
        <f>IF(B172="","",(N(C172)+N(D172)))</f>
        <v/>
      </c>
      <c r="K172" s="9">
        <f>IF(B172="","",INDEX(Settings!$D$8:$D$15,MATCH(Settings!$C$4,Settings!$B$8:$B$15,0))+INDEX(Settings!$E$8:$E$15,MATCH(Settings!$C$4,Settings!$B$8:$B$15,0))*(N(C172)+N(D172))+INDEX(Settings!$F$8:$F$15,MATCH(Settings!$C$4,Settings!$B$8:$B$15,0))*(N(C172)+N(D172))*(1+Settings!$C$26)+INDEX(Settings!$G$8:$G$15,MATCH(Settings!$C$4,Settings!$B$8:$B$15,0))+N(I172)*MIN(Settings!$C$23*(N(C172)+N(D172)),Settings!$C$24)+INDEX(Settings!$H$8:$H$15,MATCH(Settings!$C$4,Settings!$B$8:$B$15,0))*(N(C172)+N(D172))+IF(Settings!$C$25="Yes",0.025,0)*(N(C172)+N(D172))+INDEX(Settings!$I$8:$I$15,MATCH(Settings!$C$4,Settings!$B$8:$B$15,0))*(INDEX(Settings!$D$8:$D$15,MATCH(Settings!$C$4,Settings!$B$8:$B$15,0))+INDEX(Settings!$E$8:$E$15,MATCH(Settings!$C$4,Settings!$B$8:$B$15,0))*(N(C172)+N(D172))+N(I172)*MIN(Settings!$C$23*(N(C172)+N(D172)),Settings!$C$24)+INDEX(Settings!$H$8:$H$15,MATCH(Settings!$C$4,Settings!$B$8:$B$15,0))*(N(C172)+N(D172))))</f>
        <v/>
      </c>
      <c r="L172" s="9">
        <f>IF(B172="","",N(E172)+N(F172)+N(G172)+N(H172)/60*Settings!$C$27)</f>
        <v/>
      </c>
      <c r="M172" s="20">
        <f>IF(B172="","",J172-K172-L172)</f>
        <v/>
      </c>
      <c r="N172" s="26">
        <f>IF(OR(B172="",N(J172)=0),"",M172/J172)</f>
        <v/>
      </c>
      <c r="O172" s="8">
        <f>IF(B172="","",IF(M172&lt;0,"Loss",IF(N172&lt;Settings!$C$28,"Below target","On target")))</f>
        <v/>
      </c>
      <c r="P172" s="14">
        <f>IF(B172="","",IF(1-(INDEX(Settings!$E$8:$E$15,MATCH(Settings!$C$4,Settings!$B$8:$B$15,0))+INDEX(Settings!$F$8:$F$15,MATCH(Settings!$C$4,Settings!$B$8:$B$15,0))*(1+Settings!$C$26)+N(I172)*Settings!$C$23+INDEX(Settings!$H$8:$H$15,MATCH(Settings!$C$4,Settings!$B$8:$B$15,0))+IF(Settings!$C$25="Yes",0.025,0)+INDEX(Settings!$I$8:$I$15,MATCH(Settings!$C$4,Settings!$B$8:$B$15,0))*(INDEX(Settings!$E$8:$E$15,MATCH(Settings!$C$4,Settings!$B$8:$B$15,0))+N(I172)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172)/(1-(INDEX(Settings!$E$8:$E$15,MATCH(Settings!$C$4,Settings!$B$8:$B$15,0))+INDEX(Settings!$F$8:$F$15,MATCH(Settings!$C$4,Settings!$B$8:$B$15,0))*(1+Settings!$C$26)+N(I172)*Settings!$C$23+INDEX(Settings!$H$8:$H$15,MATCH(Settings!$C$4,Settings!$B$8:$B$15,0))+IF(Settings!$C$25="Yes",0.025,0)+INDEX(Settings!$I$8:$I$15,MATCH(Settings!$C$4,Settings!$B$8:$B$15,0))*(INDEX(Settings!$E$8:$E$15,MATCH(Settings!$C$4,Settings!$B$8:$B$15,0))+N(I172)*Settings!$C$23+INDEX(Settings!$H$8:$H$15,MATCH(Settings!$C$4,Settings!$B$8:$B$15,0))))-Settings!$C$28)-N(D172))))</f>
        <v/>
      </c>
      <c r="Q172" s="1" t="n"/>
    </row>
    <row r="173">
      <c r="A173" s="1" t="n"/>
      <c r="B173" s="25" t="n"/>
      <c r="C173" s="7" t="n"/>
      <c r="D173" s="7" t="n"/>
      <c r="E173" s="7" t="n"/>
      <c r="F173" s="7" t="n"/>
      <c r="G173" s="7" t="n"/>
      <c r="H173" s="12" t="n"/>
      <c r="I173" s="11" t="n"/>
      <c r="J173" s="9">
        <f>IF(B173="","",(N(C173)+N(D173)))</f>
        <v/>
      </c>
      <c r="K173" s="9">
        <f>IF(B173="","",INDEX(Settings!$D$8:$D$15,MATCH(Settings!$C$4,Settings!$B$8:$B$15,0))+INDEX(Settings!$E$8:$E$15,MATCH(Settings!$C$4,Settings!$B$8:$B$15,0))*(N(C173)+N(D173))+INDEX(Settings!$F$8:$F$15,MATCH(Settings!$C$4,Settings!$B$8:$B$15,0))*(N(C173)+N(D173))*(1+Settings!$C$26)+INDEX(Settings!$G$8:$G$15,MATCH(Settings!$C$4,Settings!$B$8:$B$15,0))+N(I173)*MIN(Settings!$C$23*(N(C173)+N(D173)),Settings!$C$24)+INDEX(Settings!$H$8:$H$15,MATCH(Settings!$C$4,Settings!$B$8:$B$15,0))*(N(C173)+N(D173))+IF(Settings!$C$25="Yes",0.025,0)*(N(C173)+N(D173))+INDEX(Settings!$I$8:$I$15,MATCH(Settings!$C$4,Settings!$B$8:$B$15,0))*(INDEX(Settings!$D$8:$D$15,MATCH(Settings!$C$4,Settings!$B$8:$B$15,0))+INDEX(Settings!$E$8:$E$15,MATCH(Settings!$C$4,Settings!$B$8:$B$15,0))*(N(C173)+N(D173))+N(I173)*MIN(Settings!$C$23*(N(C173)+N(D173)),Settings!$C$24)+INDEX(Settings!$H$8:$H$15,MATCH(Settings!$C$4,Settings!$B$8:$B$15,0))*(N(C173)+N(D173))))</f>
        <v/>
      </c>
      <c r="L173" s="9">
        <f>IF(B173="","",N(E173)+N(F173)+N(G173)+N(H173)/60*Settings!$C$27)</f>
        <v/>
      </c>
      <c r="M173" s="20">
        <f>IF(B173="","",J173-K173-L173)</f>
        <v/>
      </c>
      <c r="N173" s="26">
        <f>IF(OR(B173="",N(J173)=0),"",M173/J173)</f>
        <v/>
      </c>
      <c r="O173" s="8">
        <f>IF(B173="","",IF(M173&lt;0,"Loss",IF(N173&lt;Settings!$C$28,"Below target","On target")))</f>
        <v/>
      </c>
      <c r="P173" s="14">
        <f>IF(B173="","",IF(1-(INDEX(Settings!$E$8:$E$15,MATCH(Settings!$C$4,Settings!$B$8:$B$15,0))+INDEX(Settings!$F$8:$F$15,MATCH(Settings!$C$4,Settings!$B$8:$B$15,0))*(1+Settings!$C$26)+N(I173)*Settings!$C$23+INDEX(Settings!$H$8:$H$15,MATCH(Settings!$C$4,Settings!$B$8:$B$15,0))+IF(Settings!$C$25="Yes",0.025,0)+INDEX(Settings!$I$8:$I$15,MATCH(Settings!$C$4,Settings!$B$8:$B$15,0))*(INDEX(Settings!$E$8:$E$15,MATCH(Settings!$C$4,Settings!$B$8:$B$15,0))+N(I173)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173)/(1-(INDEX(Settings!$E$8:$E$15,MATCH(Settings!$C$4,Settings!$B$8:$B$15,0))+INDEX(Settings!$F$8:$F$15,MATCH(Settings!$C$4,Settings!$B$8:$B$15,0))*(1+Settings!$C$26)+N(I173)*Settings!$C$23+INDEX(Settings!$H$8:$H$15,MATCH(Settings!$C$4,Settings!$B$8:$B$15,0))+IF(Settings!$C$25="Yes",0.025,0)+INDEX(Settings!$I$8:$I$15,MATCH(Settings!$C$4,Settings!$B$8:$B$15,0))*(INDEX(Settings!$E$8:$E$15,MATCH(Settings!$C$4,Settings!$B$8:$B$15,0))+N(I173)*Settings!$C$23+INDEX(Settings!$H$8:$H$15,MATCH(Settings!$C$4,Settings!$B$8:$B$15,0))))-Settings!$C$28)-N(D173))))</f>
        <v/>
      </c>
      <c r="Q173" s="1" t="n"/>
    </row>
    <row r="174">
      <c r="A174" s="1" t="n"/>
      <c r="B174" s="25" t="n"/>
      <c r="C174" s="7" t="n"/>
      <c r="D174" s="7" t="n"/>
      <c r="E174" s="7" t="n"/>
      <c r="F174" s="7" t="n"/>
      <c r="G174" s="7" t="n"/>
      <c r="H174" s="12" t="n"/>
      <c r="I174" s="11" t="n"/>
      <c r="J174" s="9">
        <f>IF(B174="","",(N(C174)+N(D174)))</f>
        <v/>
      </c>
      <c r="K174" s="9">
        <f>IF(B174="","",INDEX(Settings!$D$8:$D$15,MATCH(Settings!$C$4,Settings!$B$8:$B$15,0))+INDEX(Settings!$E$8:$E$15,MATCH(Settings!$C$4,Settings!$B$8:$B$15,0))*(N(C174)+N(D174))+INDEX(Settings!$F$8:$F$15,MATCH(Settings!$C$4,Settings!$B$8:$B$15,0))*(N(C174)+N(D174))*(1+Settings!$C$26)+INDEX(Settings!$G$8:$G$15,MATCH(Settings!$C$4,Settings!$B$8:$B$15,0))+N(I174)*MIN(Settings!$C$23*(N(C174)+N(D174)),Settings!$C$24)+INDEX(Settings!$H$8:$H$15,MATCH(Settings!$C$4,Settings!$B$8:$B$15,0))*(N(C174)+N(D174))+IF(Settings!$C$25="Yes",0.025,0)*(N(C174)+N(D174))+INDEX(Settings!$I$8:$I$15,MATCH(Settings!$C$4,Settings!$B$8:$B$15,0))*(INDEX(Settings!$D$8:$D$15,MATCH(Settings!$C$4,Settings!$B$8:$B$15,0))+INDEX(Settings!$E$8:$E$15,MATCH(Settings!$C$4,Settings!$B$8:$B$15,0))*(N(C174)+N(D174))+N(I174)*MIN(Settings!$C$23*(N(C174)+N(D174)),Settings!$C$24)+INDEX(Settings!$H$8:$H$15,MATCH(Settings!$C$4,Settings!$B$8:$B$15,0))*(N(C174)+N(D174))))</f>
        <v/>
      </c>
      <c r="L174" s="9">
        <f>IF(B174="","",N(E174)+N(F174)+N(G174)+N(H174)/60*Settings!$C$27)</f>
        <v/>
      </c>
      <c r="M174" s="20">
        <f>IF(B174="","",J174-K174-L174)</f>
        <v/>
      </c>
      <c r="N174" s="26">
        <f>IF(OR(B174="",N(J174)=0),"",M174/J174)</f>
        <v/>
      </c>
      <c r="O174" s="8">
        <f>IF(B174="","",IF(M174&lt;0,"Loss",IF(N174&lt;Settings!$C$28,"Below target","On target")))</f>
        <v/>
      </c>
      <c r="P174" s="14">
        <f>IF(B174="","",IF(1-(INDEX(Settings!$E$8:$E$15,MATCH(Settings!$C$4,Settings!$B$8:$B$15,0))+INDEX(Settings!$F$8:$F$15,MATCH(Settings!$C$4,Settings!$B$8:$B$15,0))*(1+Settings!$C$26)+N(I174)*Settings!$C$23+INDEX(Settings!$H$8:$H$15,MATCH(Settings!$C$4,Settings!$B$8:$B$15,0))+IF(Settings!$C$25="Yes",0.025,0)+INDEX(Settings!$I$8:$I$15,MATCH(Settings!$C$4,Settings!$B$8:$B$15,0))*(INDEX(Settings!$E$8:$E$15,MATCH(Settings!$C$4,Settings!$B$8:$B$15,0))+N(I174)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174)/(1-(INDEX(Settings!$E$8:$E$15,MATCH(Settings!$C$4,Settings!$B$8:$B$15,0))+INDEX(Settings!$F$8:$F$15,MATCH(Settings!$C$4,Settings!$B$8:$B$15,0))*(1+Settings!$C$26)+N(I174)*Settings!$C$23+INDEX(Settings!$H$8:$H$15,MATCH(Settings!$C$4,Settings!$B$8:$B$15,0))+IF(Settings!$C$25="Yes",0.025,0)+INDEX(Settings!$I$8:$I$15,MATCH(Settings!$C$4,Settings!$B$8:$B$15,0))*(INDEX(Settings!$E$8:$E$15,MATCH(Settings!$C$4,Settings!$B$8:$B$15,0))+N(I174)*Settings!$C$23+INDEX(Settings!$H$8:$H$15,MATCH(Settings!$C$4,Settings!$B$8:$B$15,0))))-Settings!$C$28)-N(D174))))</f>
        <v/>
      </c>
      <c r="Q174" s="1" t="n"/>
    </row>
    <row r="175">
      <c r="A175" s="1" t="n"/>
      <c r="B175" s="25" t="n"/>
      <c r="C175" s="7" t="n"/>
      <c r="D175" s="7" t="n"/>
      <c r="E175" s="7" t="n"/>
      <c r="F175" s="7" t="n"/>
      <c r="G175" s="7" t="n"/>
      <c r="H175" s="12" t="n"/>
      <c r="I175" s="11" t="n"/>
      <c r="J175" s="9">
        <f>IF(B175="","",(N(C175)+N(D175)))</f>
        <v/>
      </c>
      <c r="K175" s="9">
        <f>IF(B175="","",INDEX(Settings!$D$8:$D$15,MATCH(Settings!$C$4,Settings!$B$8:$B$15,0))+INDEX(Settings!$E$8:$E$15,MATCH(Settings!$C$4,Settings!$B$8:$B$15,0))*(N(C175)+N(D175))+INDEX(Settings!$F$8:$F$15,MATCH(Settings!$C$4,Settings!$B$8:$B$15,0))*(N(C175)+N(D175))*(1+Settings!$C$26)+INDEX(Settings!$G$8:$G$15,MATCH(Settings!$C$4,Settings!$B$8:$B$15,0))+N(I175)*MIN(Settings!$C$23*(N(C175)+N(D175)),Settings!$C$24)+INDEX(Settings!$H$8:$H$15,MATCH(Settings!$C$4,Settings!$B$8:$B$15,0))*(N(C175)+N(D175))+IF(Settings!$C$25="Yes",0.025,0)*(N(C175)+N(D175))+INDEX(Settings!$I$8:$I$15,MATCH(Settings!$C$4,Settings!$B$8:$B$15,0))*(INDEX(Settings!$D$8:$D$15,MATCH(Settings!$C$4,Settings!$B$8:$B$15,0))+INDEX(Settings!$E$8:$E$15,MATCH(Settings!$C$4,Settings!$B$8:$B$15,0))*(N(C175)+N(D175))+N(I175)*MIN(Settings!$C$23*(N(C175)+N(D175)),Settings!$C$24)+INDEX(Settings!$H$8:$H$15,MATCH(Settings!$C$4,Settings!$B$8:$B$15,0))*(N(C175)+N(D175))))</f>
        <v/>
      </c>
      <c r="L175" s="9">
        <f>IF(B175="","",N(E175)+N(F175)+N(G175)+N(H175)/60*Settings!$C$27)</f>
        <v/>
      </c>
      <c r="M175" s="20">
        <f>IF(B175="","",J175-K175-L175)</f>
        <v/>
      </c>
      <c r="N175" s="26">
        <f>IF(OR(B175="",N(J175)=0),"",M175/J175)</f>
        <v/>
      </c>
      <c r="O175" s="8">
        <f>IF(B175="","",IF(M175&lt;0,"Loss",IF(N175&lt;Settings!$C$28,"Below target","On target")))</f>
        <v/>
      </c>
      <c r="P175" s="14">
        <f>IF(B175="","",IF(1-(INDEX(Settings!$E$8:$E$15,MATCH(Settings!$C$4,Settings!$B$8:$B$15,0))+INDEX(Settings!$F$8:$F$15,MATCH(Settings!$C$4,Settings!$B$8:$B$15,0))*(1+Settings!$C$26)+N(I175)*Settings!$C$23+INDEX(Settings!$H$8:$H$15,MATCH(Settings!$C$4,Settings!$B$8:$B$15,0))+IF(Settings!$C$25="Yes",0.025,0)+INDEX(Settings!$I$8:$I$15,MATCH(Settings!$C$4,Settings!$B$8:$B$15,0))*(INDEX(Settings!$E$8:$E$15,MATCH(Settings!$C$4,Settings!$B$8:$B$15,0))+N(I175)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175)/(1-(INDEX(Settings!$E$8:$E$15,MATCH(Settings!$C$4,Settings!$B$8:$B$15,0))+INDEX(Settings!$F$8:$F$15,MATCH(Settings!$C$4,Settings!$B$8:$B$15,0))*(1+Settings!$C$26)+N(I175)*Settings!$C$23+INDEX(Settings!$H$8:$H$15,MATCH(Settings!$C$4,Settings!$B$8:$B$15,0))+IF(Settings!$C$25="Yes",0.025,0)+INDEX(Settings!$I$8:$I$15,MATCH(Settings!$C$4,Settings!$B$8:$B$15,0))*(INDEX(Settings!$E$8:$E$15,MATCH(Settings!$C$4,Settings!$B$8:$B$15,0))+N(I175)*Settings!$C$23+INDEX(Settings!$H$8:$H$15,MATCH(Settings!$C$4,Settings!$B$8:$B$15,0))))-Settings!$C$28)-N(D175))))</f>
        <v/>
      </c>
      <c r="Q175" s="1" t="n"/>
    </row>
    <row r="176">
      <c r="A176" s="1" t="n"/>
      <c r="B176" s="25" t="n"/>
      <c r="C176" s="7" t="n"/>
      <c r="D176" s="7" t="n"/>
      <c r="E176" s="7" t="n"/>
      <c r="F176" s="7" t="n"/>
      <c r="G176" s="7" t="n"/>
      <c r="H176" s="12" t="n"/>
      <c r="I176" s="11" t="n"/>
      <c r="J176" s="9">
        <f>IF(B176="","",(N(C176)+N(D176)))</f>
        <v/>
      </c>
      <c r="K176" s="9">
        <f>IF(B176="","",INDEX(Settings!$D$8:$D$15,MATCH(Settings!$C$4,Settings!$B$8:$B$15,0))+INDEX(Settings!$E$8:$E$15,MATCH(Settings!$C$4,Settings!$B$8:$B$15,0))*(N(C176)+N(D176))+INDEX(Settings!$F$8:$F$15,MATCH(Settings!$C$4,Settings!$B$8:$B$15,0))*(N(C176)+N(D176))*(1+Settings!$C$26)+INDEX(Settings!$G$8:$G$15,MATCH(Settings!$C$4,Settings!$B$8:$B$15,0))+N(I176)*MIN(Settings!$C$23*(N(C176)+N(D176)),Settings!$C$24)+INDEX(Settings!$H$8:$H$15,MATCH(Settings!$C$4,Settings!$B$8:$B$15,0))*(N(C176)+N(D176))+IF(Settings!$C$25="Yes",0.025,0)*(N(C176)+N(D176))+INDEX(Settings!$I$8:$I$15,MATCH(Settings!$C$4,Settings!$B$8:$B$15,0))*(INDEX(Settings!$D$8:$D$15,MATCH(Settings!$C$4,Settings!$B$8:$B$15,0))+INDEX(Settings!$E$8:$E$15,MATCH(Settings!$C$4,Settings!$B$8:$B$15,0))*(N(C176)+N(D176))+N(I176)*MIN(Settings!$C$23*(N(C176)+N(D176)),Settings!$C$24)+INDEX(Settings!$H$8:$H$15,MATCH(Settings!$C$4,Settings!$B$8:$B$15,0))*(N(C176)+N(D176))))</f>
        <v/>
      </c>
      <c r="L176" s="9">
        <f>IF(B176="","",N(E176)+N(F176)+N(G176)+N(H176)/60*Settings!$C$27)</f>
        <v/>
      </c>
      <c r="M176" s="20">
        <f>IF(B176="","",J176-K176-L176)</f>
        <v/>
      </c>
      <c r="N176" s="26">
        <f>IF(OR(B176="",N(J176)=0),"",M176/J176)</f>
        <v/>
      </c>
      <c r="O176" s="8">
        <f>IF(B176="","",IF(M176&lt;0,"Loss",IF(N176&lt;Settings!$C$28,"Below target","On target")))</f>
        <v/>
      </c>
      <c r="P176" s="14">
        <f>IF(B176="","",IF(1-(INDEX(Settings!$E$8:$E$15,MATCH(Settings!$C$4,Settings!$B$8:$B$15,0))+INDEX(Settings!$F$8:$F$15,MATCH(Settings!$C$4,Settings!$B$8:$B$15,0))*(1+Settings!$C$26)+N(I176)*Settings!$C$23+INDEX(Settings!$H$8:$H$15,MATCH(Settings!$C$4,Settings!$B$8:$B$15,0))+IF(Settings!$C$25="Yes",0.025,0)+INDEX(Settings!$I$8:$I$15,MATCH(Settings!$C$4,Settings!$B$8:$B$15,0))*(INDEX(Settings!$E$8:$E$15,MATCH(Settings!$C$4,Settings!$B$8:$B$15,0))+N(I176)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176)/(1-(INDEX(Settings!$E$8:$E$15,MATCH(Settings!$C$4,Settings!$B$8:$B$15,0))+INDEX(Settings!$F$8:$F$15,MATCH(Settings!$C$4,Settings!$B$8:$B$15,0))*(1+Settings!$C$26)+N(I176)*Settings!$C$23+INDEX(Settings!$H$8:$H$15,MATCH(Settings!$C$4,Settings!$B$8:$B$15,0))+IF(Settings!$C$25="Yes",0.025,0)+INDEX(Settings!$I$8:$I$15,MATCH(Settings!$C$4,Settings!$B$8:$B$15,0))*(INDEX(Settings!$E$8:$E$15,MATCH(Settings!$C$4,Settings!$B$8:$B$15,0))+N(I176)*Settings!$C$23+INDEX(Settings!$H$8:$H$15,MATCH(Settings!$C$4,Settings!$B$8:$B$15,0))))-Settings!$C$28)-N(D176))))</f>
        <v/>
      </c>
      <c r="Q176" s="1" t="n"/>
    </row>
    <row r="177">
      <c r="A177" s="1" t="n"/>
      <c r="B177" s="25" t="n"/>
      <c r="C177" s="7" t="n"/>
      <c r="D177" s="7" t="n"/>
      <c r="E177" s="7" t="n"/>
      <c r="F177" s="7" t="n"/>
      <c r="G177" s="7" t="n"/>
      <c r="H177" s="12" t="n"/>
      <c r="I177" s="11" t="n"/>
      <c r="J177" s="9">
        <f>IF(B177="","",(N(C177)+N(D177)))</f>
        <v/>
      </c>
      <c r="K177" s="9">
        <f>IF(B177="","",INDEX(Settings!$D$8:$D$15,MATCH(Settings!$C$4,Settings!$B$8:$B$15,0))+INDEX(Settings!$E$8:$E$15,MATCH(Settings!$C$4,Settings!$B$8:$B$15,0))*(N(C177)+N(D177))+INDEX(Settings!$F$8:$F$15,MATCH(Settings!$C$4,Settings!$B$8:$B$15,0))*(N(C177)+N(D177))*(1+Settings!$C$26)+INDEX(Settings!$G$8:$G$15,MATCH(Settings!$C$4,Settings!$B$8:$B$15,0))+N(I177)*MIN(Settings!$C$23*(N(C177)+N(D177)),Settings!$C$24)+INDEX(Settings!$H$8:$H$15,MATCH(Settings!$C$4,Settings!$B$8:$B$15,0))*(N(C177)+N(D177))+IF(Settings!$C$25="Yes",0.025,0)*(N(C177)+N(D177))+INDEX(Settings!$I$8:$I$15,MATCH(Settings!$C$4,Settings!$B$8:$B$15,0))*(INDEX(Settings!$D$8:$D$15,MATCH(Settings!$C$4,Settings!$B$8:$B$15,0))+INDEX(Settings!$E$8:$E$15,MATCH(Settings!$C$4,Settings!$B$8:$B$15,0))*(N(C177)+N(D177))+N(I177)*MIN(Settings!$C$23*(N(C177)+N(D177)),Settings!$C$24)+INDEX(Settings!$H$8:$H$15,MATCH(Settings!$C$4,Settings!$B$8:$B$15,0))*(N(C177)+N(D177))))</f>
        <v/>
      </c>
      <c r="L177" s="9">
        <f>IF(B177="","",N(E177)+N(F177)+N(G177)+N(H177)/60*Settings!$C$27)</f>
        <v/>
      </c>
      <c r="M177" s="20">
        <f>IF(B177="","",J177-K177-L177)</f>
        <v/>
      </c>
      <c r="N177" s="26">
        <f>IF(OR(B177="",N(J177)=0),"",M177/J177)</f>
        <v/>
      </c>
      <c r="O177" s="8">
        <f>IF(B177="","",IF(M177&lt;0,"Loss",IF(N177&lt;Settings!$C$28,"Below target","On target")))</f>
        <v/>
      </c>
      <c r="P177" s="14">
        <f>IF(B177="","",IF(1-(INDEX(Settings!$E$8:$E$15,MATCH(Settings!$C$4,Settings!$B$8:$B$15,0))+INDEX(Settings!$F$8:$F$15,MATCH(Settings!$C$4,Settings!$B$8:$B$15,0))*(1+Settings!$C$26)+N(I177)*Settings!$C$23+INDEX(Settings!$H$8:$H$15,MATCH(Settings!$C$4,Settings!$B$8:$B$15,0))+IF(Settings!$C$25="Yes",0.025,0)+INDEX(Settings!$I$8:$I$15,MATCH(Settings!$C$4,Settings!$B$8:$B$15,0))*(INDEX(Settings!$E$8:$E$15,MATCH(Settings!$C$4,Settings!$B$8:$B$15,0))+N(I177)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177)/(1-(INDEX(Settings!$E$8:$E$15,MATCH(Settings!$C$4,Settings!$B$8:$B$15,0))+INDEX(Settings!$F$8:$F$15,MATCH(Settings!$C$4,Settings!$B$8:$B$15,0))*(1+Settings!$C$26)+N(I177)*Settings!$C$23+INDEX(Settings!$H$8:$H$15,MATCH(Settings!$C$4,Settings!$B$8:$B$15,0))+IF(Settings!$C$25="Yes",0.025,0)+INDEX(Settings!$I$8:$I$15,MATCH(Settings!$C$4,Settings!$B$8:$B$15,0))*(INDEX(Settings!$E$8:$E$15,MATCH(Settings!$C$4,Settings!$B$8:$B$15,0))+N(I177)*Settings!$C$23+INDEX(Settings!$H$8:$H$15,MATCH(Settings!$C$4,Settings!$B$8:$B$15,0))))-Settings!$C$28)-N(D177))))</f>
        <v/>
      </c>
      <c r="Q177" s="1" t="n"/>
    </row>
    <row r="178">
      <c r="A178" s="1" t="n"/>
      <c r="B178" s="25" t="n"/>
      <c r="C178" s="7" t="n"/>
      <c r="D178" s="7" t="n"/>
      <c r="E178" s="7" t="n"/>
      <c r="F178" s="7" t="n"/>
      <c r="G178" s="7" t="n"/>
      <c r="H178" s="12" t="n"/>
      <c r="I178" s="11" t="n"/>
      <c r="J178" s="9">
        <f>IF(B178="","",(N(C178)+N(D178)))</f>
        <v/>
      </c>
      <c r="K178" s="9">
        <f>IF(B178="","",INDEX(Settings!$D$8:$D$15,MATCH(Settings!$C$4,Settings!$B$8:$B$15,0))+INDEX(Settings!$E$8:$E$15,MATCH(Settings!$C$4,Settings!$B$8:$B$15,0))*(N(C178)+N(D178))+INDEX(Settings!$F$8:$F$15,MATCH(Settings!$C$4,Settings!$B$8:$B$15,0))*(N(C178)+N(D178))*(1+Settings!$C$26)+INDEX(Settings!$G$8:$G$15,MATCH(Settings!$C$4,Settings!$B$8:$B$15,0))+N(I178)*MIN(Settings!$C$23*(N(C178)+N(D178)),Settings!$C$24)+INDEX(Settings!$H$8:$H$15,MATCH(Settings!$C$4,Settings!$B$8:$B$15,0))*(N(C178)+N(D178))+IF(Settings!$C$25="Yes",0.025,0)*(N(C178)+N(D178))+INDEX(Settings!$I$8:$I$15,MATCH(Settings!$C$4,Settings!$B$8:$B$15,0))*(INDEX(Settings!$D$8:$D$15,MATCH(Settings!$C$4,Settings!$B$8:$B$15,0))+INDEX(Settings!$E$8:$E$15,MATCH(Settings!$C$4,Settings!$B$8:$B$15,0))*(N(C178)+N(D178))+N(I178)*MIN(Settings!$C$23*(N(C178)+N(D178)),Settings!$C$24)+INDEX(Settings!$H$8:$H$15,MATCH(Settings!$C$4,Settings!$B$8:$B$15,0))*(N(C178)+N(D178))))</f>
        <v/>
      </c>
      <c r="L178" s="9">
        <f>IF(B178="","",N(E178)+N(F178)+N(G178)+N(H178)/60*Settings!$C$27)</f>
        <v/>
      </c>
      <c r="M178" s="20">
        <f>IF(B178="","",J178-K178-L178)</f>
        <v/>
      </c>
      <c r="N178" s="26">
        <f>IF(OR(B178="",N(J178)=0),"",M178/J178)</f>
        <v/>
      </c>
      <c r="O178" s="8">
        <f>IF(B178="","",IF(M178&lt;0,"Loss",IF(N178&lt;Settings!$C$28,"Below target","On target")))</f>
        <v/>
      </c>
      <c r="P178" s="14">
        <f>IF(B178="","",IF(1-(INDEX(Settings!$E$8:$E$15,MATCH(Settings!$C$4,Settings!$B$8:$B$15,0))+INDEX(Settings!$F$8:$F$15,MATCH(Settings!$C$4,Settings!$B$8:$B$15,0))*(1+Settings!$C$26)+N(I178)*Settings!$C$23+INDEX(Settings!$H$8:$H$15,MATCH(Settings!$C$4,Settings!$B$8:$B$15,0))+IF(Settings!$C$25="Yes",0.025,0)+INDEX(Settings!$I$8:$I$15,MATCH(Settings!$C$4,Settings!$B$8:$B$15,0))*(INDEX(Settings!$E$8:$E$15,MATCH(Settings!$C$4,Settings!$B$8:$B$15,0))+N(I178)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178)/(1-(INDEX(Settings!$E$8:$E$15,MATCH(Settings!$C$4,Settings!$B$8:$B$15,0))+INDEX(Settings!$F$8:$F$15,MATCH(Settings!$C$4,Settings!$B$8:$B$15,0))*(1+Settings!$C$26)+N(I178)*Settings!$C$23+INDEX(Settings!$H$8:$H$15,MATCH(Settings!$C$4,Settings!$B$8:$B$15,0))+IF(Settings!$C$25="Yes",0.025,0)+INDEX(Settings!$I$8:$I$15,MATCH(Settings!$C$4,Settings!$B$8:$B$15,0))*(INDEX(Settings!$E$8:$E$15,MATCH(Settings!$C$4,Settings!$B$8:$B$15,0))+N(I178)*Settings!$C$23+INDEX(Settings!$H$8:$H$15,MATCH(Settings!$C$4,Settings!$B$8:$B$15,0))))-Settings!$C$28)-N(D178))))</f>
        <v/>
      </c>
      <c r="Q178" s="1" t="n"/>
    </row>
    <row r="179">
      <c r="A179" s="1" t="n"/>
      <c r="B179" s="25" t="n"/>
      <c r="C179" s="7" t="n"/>
      <c r="D179" s="7" t="n"/>
      <c r="E179" s="7" t="n"/>
      <c r="F179" s="7" t="n"/>
      <c r="G179" s="7" t="n"/>
      <c r="H179" s="12" t="n"/>
      <c r="I179" s="11" t="n"/>
      <c r="J179" s="9">
        <f>IF(B179="","",(N(C179)+N(D179)))</f>
        <v/>
      </c>
      <c r="K179" s="9">
        <f>IF(B179="","",INDEX(Settings!$D$8:$D$15,MATCH(Settings!$C$4,Settings!$B$8:$B$15,0))+INDEX(Settings!$E$8:$E$15,MATCH(Settings!$C$4,Settings!$B$8:$B$15,0))*(N(C179)+N(D179))+INDEX(Settings!$F$8:$F$15,MATCH(Settings!$C$4,Settings!$B$8:$B$15,0))*(N(C179)+N(D179))*(1+Settings!$C$26)+INDEX(Settings!$G$8:$G$15,MATCH(Settings!$C$4,Settings!$B$8:$B$15,0))+N(I179)*MIN(Settings!$C$23*(N(C179)+N(D179)),Settings!$C$24)+INDEX(Settings!$H$8:$H$15,MATCH(Settings!$C$4,Settings!$B$8:$B$15,0))*(N(C179)+N(D179))+IF(Settings!$C$25="Yes",0.025,0)*(N(C179)+N(D179))+INDEX(Settings!$I$8:$I$15,MATCH(Settings!$C$4,Settings!$B$8:$B$15,0))*(INDEX(Settings!$D$8:$D$15,MATCH(Settings!$C$4,Settings!$B$8:$B$15,0))+INDEX(Settings!$E$8:$E$15,MATCH(Settings!$C$4,Settings!$B$8:$B$15,0))*(N(C179)+N(D179))+N(I179)*MIN(Settings!$C$23*(N(C179)+N(D179)),Settings!$C$24)+INDEX(Settings!$H$8:$H$15,MATCH(Settings!$C$4,Settings!$B$8:$B$15,0))*(N(C179)+N(D179))))</f>
        <v/>
      </c>
      <c r="L179" s="9">
        <f>IF(B179="","",N(E179)+N(F179)+N(G179)+N(H179)/60*Settings!$C$27)</f>
        <v/>
      </c>
      <c r="M179" s="20">
        <f>IF(B179="","",J179-K179-L179)</f>
        <v/>
      </c>
      <c r="N179" s="26">
        <f>IF(OR(B179="",N(J179)=0),"",M179/J179)</f>
        <v/>
      </c>
      <c r="O179" s="8">
        <f>IF(B179="","",IF(M179&lt;0,"Loss",IF(N179&lt;Settings!$C$28,"Below target","On target")))</f>
        <v/>
      </c>
      <c r="P179" s="14">
        <f>IF(B179="","",IF(1-(INDEX(Settings!$E$8:$E$15,MATCH(Settings!$C$4,Settings!$B$8:$B$15,0))+INDEX(Settings!$F$8:$F$15,MATCH(Settings!$C$4,Settings!$B$8:$B$15,0))*(1+Settings!$C$26)+N(I179)*Settings!$C$23+INDEX(Settings!$H$8:$H$15,MATCH(Settings!$C$4,Settings!$B$8:$B$15,0))+IF(Settings!$C$25="Yes",0.025,0)+INDEX(Settings!$I$8:$I$15,MATCH(Settings!$C$4,Settings!$B$8:$B$15,0))*(INDEX(Settings!$E$8:$E$15,MATCH(Settings!$C$4,Settings!$B$8:$B$15,0))+N(I179)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179)/(1-(INDEX(Settings!$E$8:$E$15,MATCH(Settings!$C$4,Settings!$B$8:$B$15,0))+INDEX(Settings!$F$8:$F$15,MATCH(Settings!$C$4,Settings!$B$8:$B$15,0))*(1+Settings!$C$26)+N(I179)*Settings!$C$23+INDEX(Settings!$H$8:$H$15,MATCH(Settings!$C$4,Settings!$B$8:$B$15,0))+IF(Settings!$C$25="Yes",0.025,0)+INDEX(Settings!$I$8:$I$15,MATCH(Settings!$C$4,Settings!$B$8:$B$15,0))*(INDEX(Settings!$E$8:$E$15,MATCH(Settings!$C$4,Settings!$B$8:$B$15,0))+N(I179)*Settings!$C$23+INDEX(Settings!$H$8:$H$15,MATCH(Settings!$C$4,Settings!$B$8:$B$15,0))))-Settings!$C$28)-N(D179))))</f>
        <v/>
      </c>
      <c r="Q179" s="1" t="n"/>
    </row>
    <row r="180">
      <c r="A180" s="1" t="n"/>
      <c r="B180" s="25" t="n"/>
      <c r="C180" s="7" t="n"/>
      <c r="D180" s="7" t="n"/>
      <c r="E180" s="7" t="n"/>
      <c r="F180" s="7" t="n"/>
      <c r="G180" s="7" t="n"/>
      <c r="H180" s="12" t="n"/>
      <c r="I180" s="11" t="n"/>
      <c r="J180" s="9">
        <f>IF(B180="","",(N(C180)+N(D180)))</f>
        <v/>
      </c>
      <c r="K180" s="9">
        <f>IF(B180="","",INDEX(Settings!$D$8:$D$15,MATCH(Settings!$C$4,Settings!$B$8:$B$15,0))+INDEX(Settings!$E$8:$E$15,MATCH(Settings!$C$4,Settings!$B$8:$B$15,0))*(N(C180)+N(D180))+INDEX(Settings!$F$8:$F$15,MATCH(Settings!$C$4,Settings!$B$8:$B$15,0))*(N(C180)+N(D180))*(1+Settings!$C$26)+INDEX(Settings!$G$8:$G$15,MATCH(Settings!$C$4,Settings!$B$8:$B$15,0))+N(I180)*MIN(Settings!$C$23*(N(C180)+N(D180)),Settings!$C$24)+INDEX(Settings!$H$8:$H$15,MATCH(Settings!$C$4,Settings!$B$8:$B$15,0))*(N(C180)+N(D180))+IF(Settings!$C$25="Yes",0.025,0)*(N(C180)+N(D180))+INDEX(Settings!$I$8:$I$15,MATCH(Settings!$C$4,Settings!$B$8:$B$15,0))*(INDEX(Settings!$D$8:$D$15,MATCH(Settings!$C$4,Settings!$B$8:$B$15,0))+INDEX(Settings!$E$8:$E$15,MATCH(Settings!$C$4,Settings!$B$8:$B$15,0))*(N(C180)+N(D180))+N(I180)*MIN(Settings!$C$23*(N(C180)+N(D180)),Settings!$C$24)+INDEX(Settings!$H$8:$H$15,MATCH(Settings!$C$4,Settings!$B$8:$B$15,0))*(N(C180)+N(D180))))</f>
        <v/>
      </c>
      <c r="L180" s="9">
        <f>IF(B180="","",N(E180)+N(F180)+N(G180)+N(H180)/60*Settings!$C$27)</f>
        <v/>
      </c>
      <c r="M180" s="20">
        <f>IF(B180="","",J180-K180-L180)</f>
        <v/>
      </c>
      <c r="N180" s="26">
        <f>IF(OR(B180="",N(J180)=0),"",M180/J180)</f>
        <v/>
      </c>
      <c r="O180" s="8">
        <f>IF(B180="","",IF(M180&lt;0,"Loss",IF(N180&lt;Settings!$C$28,"Below target","On target")))</f>
        <v/>
      </c>
      <c r="P180" s="14">
        <f>IF(B180="","",IF(1-(INDEX(Settings!$E$8:$E$15,MATCH(Settings!$C$4,Settings!$B$8:$B$15,0))+INDEX(Settings!$F$8:$F$15,MATCH(Settings!$C$4,Settings!$B$8:$B$15,0))*(1+Settings!$C$26)+N(I180)*Settings!$C$23+INDEX(Settings!$H$8:$H$15,MATCH(Settings!$C$4,Settings!$B$8:$B$15,0))+IF(Settings!$C$25="Yes",0.025,0)+INDEX(Settings!$I$8:$I$15,MATCH(Settings!$C$4,Settings!$B$8:$B$15,0))*(INDEX(Settings!$E$8:$E$15,MATCH(Settings!$C$4,Settings!$B$8:$B$15,0))+N(I180)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180)/(1-(INDEX(Settings!$E$8:$E$15,MATCH(Settings!$C$4,Settings!$B$8:$B$15,0))+INDEX(Settings!$F$8:$F$15,MATCH(Settings!$C$4,Settings!$B$8:$B$15,0))*(1+Settings!$C$26)+N(I180)*Settings!$C$23+INDEX(Settings!$H$8:$H$15,MATCH(Settings!$C$4,Settings!$B$8:$B$15,0))+IF(Settings!$C$25="Yes",0.025,0)+INDEX(Settings!$I$8:$I$15,MATCH(Settings!$C$4,Settings!$B$8:$B$15,0))*(INDEX(Settings!$E$8:$E$15,MATCH(Settings!$C$4,Settings!$B$8:$B$15,0))+N(I180)*Settings!$C$23+INDEX(Settings!$H$8:$H$15,MATCH(Settings!$C$4,Settings!$B$8:$B$15,0))))-Settings!$C$28)-N(D180))))</f>
        <v/>
      </c>
      <c r="Q180" s="1" t="n"/>
    </row>
    <row r="181">
      <c r="A181" s="1" t="n"/>
      <c r="B181" s="25" t="n"/>
      <c r="C181" s="7" t="n"/>
      <c r="D181" s="7" t="n"/>
      <c r="E181" s="7" t="n"/>
      <c r="F181" s="7" t="n"/>
      <c r="G181" s="7" t="n"/>
      <c r="H181" s="12" t="n"/>
      <c r="I181" s="11" t="n"/>
      <c r="J181" s="9">
        <f>IF(B181="","",(N(C181)+N(D181)))</f>
        <v/>
      </c>
      <c r="K181" s="9">
        <f>IF(B181="","",INDEX(Settings!$D$8:$D$15,MATCH(Settings!$C$4,Settings!$B$8:$B$15,0))+INDEX(Settings!$E$8:$E$15,MATCH(Settings!$C$4,Settings!$B$8:$B$15,0))*(N(C181)+N(D181))+INDEX(Settings!$F$8:$F$15,MATCH(Settings!$C$4,Settings!$B$8:$B$15,0))*(N(C181)+N(D181))*(1+Settings!$C$26)+INDEX(Settings!$G$8:$G$15,MATCH(Settings!$C$4,Settings!$B$8:$B$15,0))+N(I181)*MIN(Settings!$C$23*(N(C181)+N(D181)),Settings!$C$24)+INDEX(Settings!$H$8:$H$15,MATCH(Settings!$C$4,Settings!$B$8:$B$15,0))*(N(C181)+N(D181))+IF(Settings!$C$25="Yes",0.025,0)*(N(C181)+N(D181))+INDEX(Settings!$I$8:$I$15,MATCH(Settings!$C$4,Settings!$B$8:$B$15,0))*(INDEX(Settings!$D$8:$D$15,MATCH(Settings!$C$4,Settings!$B$8:$B$15,0))+INDEX(Settings!$E$8:$E$15,MATCH(Settings!$C$4,Settings!$B$8:$B$15,0))*(N(C181)+N(D181))+N(I181)*MIN(Settings!$C$23*(N(C181)+N(D181)),Settings!$C$24)+INDEX(Settings!$H$8:$H$15,MATCH(Settings!$C$4,Settings!$B$8:$B$15,0))*(N(C181)+N(D181))))</f>
        <v/>
      </c>
      <c r="L181" s="9">
        <f>IF(B181="","",N(E181)+N(F181)+N(G181)+N(H181)/60*Settings!$C$27)</f>
        <v/>
      </c>
      <c r="M181" s="20">
        <f>IF(B181="","",J181-K181-L181)</f>
        <v/>
      </c>
      <c r="N181" s="26">
        <f>IF(OR(B181="",N(J181)=0),"",M181/J181)</f>
        <v/>
      </c>
      <c r="O181" s="8">
        <f>IF(B181="","",IF(M181&lt;0,"Loss",IF(N181&lt;Settings!$C$28,"Below target","On target")))</f>
        <v/>
      </c>
      <c r="P181" s="14">
        <f>IF(B181="","",IF(1-(INDEX(Settings!$E$8:$E$15,MATCH(Settings!$C$4,Settings!$B$8:$B$15,0))+INDEX(Settings!$F$8:$F$15,MATCH(Settings!$C$4,Settings!$B$8:$B$15,0))*(1+Settings!$C$26)+N(I181)*Settings!$C$23+INDEX(Settings!$H$8:$H$15,MATCH(Settings!$C$4,Settings!$B$8:$B$15,0))+IF(Settings!$C$25="Yes",0.025,0)+INDEX(Settings!$I$8:$I$15,MATCH(Settings!$C$4,Settings!$B$8:$B$15,0))*(INDEX(Settings!$E$8:$E$15,MATCH(Settings!$C$4,Settings!$B$8:$B$15,0))+N(I181)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181)/(1-(INDEX(Settings!$E$8:$E$15,MATCH(Settings!$C$4,Settings!$B$8:$B$15,0))+INDEX(Settings!$F$8:$F$15,MATCH(Settings!$C$4,Settings!$B$8:$B$15,0))*(1+Settings!$C$26)+N(I181)*Settings!$C$23+INDEX(Settings!$H$8:$H$15,MATCH(Settings!$C$4,Settings!$B$8:$B$15,0))+IF(Settings!$C$25="Yes",0.025,0)+INDEX(Settings!$I$8:$I$15,MATCH(Settings!$C$4,Settings!$B$8:$B$15,0))*(INDEX(Settings!$E$8:$E$15,MATCH(Settings!$C$4,Settings!$B$8:$B$15,0))+N(I181)*Settings!$C$23+INDEX(Settings!$H$8:$H$15,MATCH(Settings!$C$4,Settings!$B$8:$B$15,0))))-Settings!$C$28)-N(D181))))</f>
        <v/>
      </c>
      <c r="Q181" s="1" t="n"/>
    </row>
    <row r="182">
      <c r="A182" s="1" t="n"/>
      <c r="B182" s="25" t="n"/>
      <c r="C182" s="7" t="n"/>
      <c r="D182" s="7" t="n"/>
      <c r="E182" s="7" t="n"/>
      <c r="F182" s="7" t="n"/>
      <c r="G182" s="7" t="n"/>
      <c r="H182" s="12" t="n"/>
      <c r="I182" s="11" t="n"/>
      <c r="J182" s="9">
        <f>IF(B182="","",(N(C182)+N(D182)))</f>
        <v/>
      </c>
      <c r="K182" s="9">
        <f>IF(B182="","",INDEX(Settings!$D$8:$D$15,MATCH(Settings!$C$4,Settings!$B$8:$B$15,0))+INDEX(Settings!$E$8:$E$15,MATCH(Settings!$C$4,Settings!$B$8:$B$15,0))*(N(C182)+N(D182))+INDEX(Settings!$F$8:$F$15,MATCH(Settings!$C$4,Settings!$B$8:$B$15,0))*(N(C182)+N(D182))*(1+Settings!$C$26)+INDEX(Settings!$G$8:$G$15,MATCH(Settings!$C$4,Settings!$B$8:$B$15,0))+N(I182)*MIN(Settings!$C$23*(N(C182)+N(D182)),Settings!$C$24)+INDEX(Settings!$H$8:$H$15,MATCH(Settings!$C$4,Settings!$B$8:$B$15,0))*(N(C182)+N(D182))+IF(Settings!$C$25="Yes",0.025,0)*(N(C182)+N(D182))+INDEX(Settings!$I$8:$I$15,MATCH(Settings!$C$4,Settings!$B$8:$B$15,0))*(INDEX(Settings!$D$8:$D$15,MATCH(Settings!$C$4,Settings!$B$8:$B$15,0))+INDEX(Settings!$E$8:$E$15,MATCH(Settings!$C$4,Settings!$B$8:$B$15,0))*(N(C182)+N(D182))+N(I182)*MIN(Settings!$C$23*(N(C182)+N(D182)),Settings!$C$24)+INDEX(Settings!$H$8:$H$15,MATCH(Settings!$C$4,Settings!$B$8:$B$15,0))*(N(C182)+N(D182))))</f>
        <v/>
      </c>
      <c r="L182" s="9">
        <f>IF(B182="","",N(E182)+N(F182)+N(G182)+N(H182)/60*Settings!$C$27)</f>
        <v/>
      </c>
      <c r="M182" s="20">
        <f>IF(B182="","",J182-K182-L182)</f>
        <v/>
      </c>
      <c r="N182" s="26">
        <f>IF(OR(B182="",N(J182)=0),"",M182/J182)</f>
        <v/>
      </c>
      <c r="O182" s="8">
        <f>IF(B182="","",IF(M182&lt;0,"Loss",IF(N182&lt;Settings!$C$28,"Below target","On target")))</f>
        <v/>
      </c>
      <c r="P182" s="14">
        <f>IF(B182="","",IF(1-(INDEX(Settings!$E$8:$E$15,MATCH(Settings!$C$4,Settings!$B$8:$B$15,0))+INDEX(Settings!$F$8:$F$15,MATCH(Settings!$C$4,Settings!$B$8:$B$15,0))*(1+Settings!$C$26)+N(I182)*Settings!$C$23+INDEX(Settings!$H$8:$H$15,MATCH(Settings!$C$4,Settings!$B$8:$B$15,0))+IF(Settings!$C$25="Yes",0.025,0)+INDEX(Settings!$I$8:$I$15,MATCH(Settings!$C$4,Settings!$B$8:$B$15,0))*(INDEX(Settings!$E$8:$E$15,MATCH(Settings!$C$4,Settings!$B$8:$B$15,0))+N(I182)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182)/(1-(INDEX(Settings!$E$8:$E$15,MATCH(Settings!$C$4,Settings!$B$8:$B$15,0))+INDEX(Settings!$F$8:$F$15,MATCH(Settings!$C$4,Settings!$B$8:$B$15,0))*(1+Settings!$C$26)+N(I182)*Settings!$C$23+INDEX(Settings!$H$8:$H$15,MATCH(Settings!$C$4,Settings!$B$8:$B$15,0))+IF(Settings!$C$25="Yes",0.025,0)+INDEX(Settings!$I$8:$I$15,MATCH(Settings!$C$4,Settings!$B$8:$B$15,0))*(INDEX(Settings!$E$8:$E$15,MATCH(Settings!$C$4,Settings!$B$8:$B$15,0))+N(I182)*Settings!$C$23+INDEX(Settings!$H$8:$H$15,MATCH(Settings!$C$4,Settings!$B$8:$B$15,0))))-Settings!$C$28)-N(D182))))</f>
        <v/>
      </c>
      <c r="Q182" s="1" t="n"/>
    </row>
    <row r="183">
      <c r="A183" s="1" t="n"/>
      <c r="B183" s="25" t="n"/>
      <c r="C183" s="7" t="n"/>
      <c r="D183" s="7" t="n"/>
      <c r="E183" s="7" t="n"/>
      <c r="F183" s="7" t="n"/>
      <c r="G183" s="7" t="n"/>
      <c r="H183" s="12" t="n"/>
      <c r="I183" s="11" t="n"/>
      <c r="J183" s="9">
        <f>IF(B183="","",(N(C183)+N(D183)))</f>
        <v/>
      </c>
      <c r="K183" s="9">
        <f>IF(B183="","",INDEX(Settings!$D$8:$D$15,MATCH(Settings!$C$4,Settings!$B$8:$B$15,0))+INDEX(Settings!$E$8:$E$15,MATCH(Settings!$C$4,Settings!$B$8:$B$15,0))*(N(C183)+N(D183))+INDEX(Settings!$F$8:$F$15,MATCH(Settings!$C$4,Settings!$B$8:$B$15,0))*(N(C183)+N(D183))*(1+Settings!$C$26)+INDEX(Settings!$G$8:$G$15,MATCH(Settings!$C$4,Settings!$B$8:$B$15,0))+N(I183)*MIN(Settings!$C$23*(N(C183)+N(D183)),Settings!$C$24)+INDEX(Settings!$H$8:$H$15,MATCH(Settings!$C$4,Settings!$B$8:$B$15,0))*(N(C183)+N(D183))+IF(Settings!$C$25="Yes",0.025,0)*(N(C183)+N(D183))+INDEX(Settings!$I$8:$I$15,MATCH(Settings!$C$4,Settings!$B$8:$B$15,0))*(INDEX(Settings!$D$8:$D$15,MATCH(Settings!$C$4,Settings!$B$8:$B$15,0))+INDEX(Settings!$E$8:$E$15,MATCH(Settings!$C$4,Settings!$B$8:$B$15,0))*(N(C183)+N(D183))+N(I183)*MIN(Settings!$C$23*(N(C183)+N(D183)),Settings!$C$24)+INDEX(Settings!$H$8:$H$15,MATCH(Settings!$C$4,Settings!$B$8:$B$15,0))*(N(C183)+N(D183))))</f>
        <v/>
      </c>
      <c r="L183" s="9">
        <f>IF(B183="","",N(E183)+N(F183)+N(G183)+N(H183)/60*Settings!$C$27)</f>
        <v/>
      </c>
      <c r="M183" s="20">
        <f>IF(B183="","",J183-K183-L183)</f>
        <v/>
      </c>
      <c r="N183" s="26">
        <f>IF(OR(B183="",N(J183)=0),"",M183/J183)</f>
        <v/>
      </c>
      <c r="O183" s="8">
        <f>IF(B183="","",IF(M183&lt;0,"Loss",IF(N183&lt;Settings!$C$28,"Below target","On target")))</f>
        <v/>
      </c>
      <c r="P183" s="14">
        <f>IF(B183="","",IF(1-(INDEX(Settings!$E$8:$E$15,MATCH(Settings!$C$4,Settings!$B$8:$B$15,0))+INDEX(Settings!$F$8:$F$15,MATCH(Settings!$C$4,Settings!$B$8:$B$15,0))*(1+Settings!$C$26)+N(I183)*Settings!$C$23+INDEX(Settings!$H$8:$H$15,MATCH(Settings!$C$4,Settings!$B$8:$B$15,0))+IF(Settings!$C$25="Yes",0.025,0)+INDEX(Settings!$I$8:$I$15,MATCH(Settings!$C$4,Settings!$B$8:$B$15,0))*(INDEX(Settings!$E$8:$E$15,MATCH(Settings!$C$4,Settings!$B$8:$B$15,0))+N(I183)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183)/(1-(INDEX(Settings!$E$8:$E$15,MATCH(Settings!$C$4,Settings!$B$8:$B$15,0))+INDEX(Settings!$F$8:$F$15,MATCH(Settings!$C$4,Settings!$B$8:$B$15,0))*(1+Settings!$C$26)+N(I183)*Settings!$C$23+INDEX(Settings!$H$8:$H$15,MATCH(Settings!$C$4,Settings!$B$8:$B$15,0))+IF(Settings!$C$25="Yes",0.025,0)+INDEX(Settings!$I$8:$I$15,MATCH(Settings!$C$4,Settings!$B$8:$B$15,0))*(INDEX(Settings!$E$8:$E$15,MATCH(Settings!$C$4,Settings!$B$8:$B$15,0))+N(I183)*Settings!$C$23+INDEX(Settings!$H$8:$H$15,MATCH(Settings!$C$4,Settings!$B$8:$B$15,0))))-Settings!$C$28)-N(D183))))</f>
        <v/>
      </c>
      <c r="Q183" s="1" t="n"/>
    </row>
    <row r="184">
      <c r="A184" s="1" t="n"/>
      <c r="B184" s="25" t="n"/>
      <c r="C184" s="7" t="n"/>
      <c r="D184" s="7" t="n"/>
      <c r="E184" s="7" t="n"/>
      <c r="F184" s="7" t="n"/>
      <c r="G184" s="7" t="n"/>
      <c r="H184" s="12" t="n"/>
      <c r="I184" s="11" t="n"/>
      <c r="J184" s="9">
        <f>IF(B184="","",(N(C184)+N(D184)))</f>
        <v/>
      </c>
      <c r="K184" s="9">
        <f>IF(B184="","",INDEX(Settings!$D$8:$D$15,MATCH(Settings!$C$4,Settings!$B$8:$B$15,0))+INDEX(Settings!$E$8:$E$15,MATCH(Settings!$C$4,Settings!$B$8:$B$15,0))*(N(C184)+N(D184))+INDEX(Settings!$F$8:$F$15,MATCH(Settings!$C$4,Settings!$B$8:$B$15,0))*(N(C184)+N(D184))*(1+Settings!$C$26)+INDEX(Settings!$G$8:$G$15,MATCH(Settings!$C$4,Settings!$B$8:$B$15,0))+N(I184)*MIN(Settings!$C$23*(N(C184)+N(D184)),Settings!$C$24)+INDEX(Settings!$H$8:$H$15,MATCH(Settings!$C$4,Settings!$B$8:$B$15,0))*(N(C184)+N(D184))+IF(Settings!$C$25="Yes",0.025,0)*(N(C184)+N(D184))+INDEX(Settings!$I$8:$I$15,MATCH(Settings!$C$4,Settings!$B$8:$B$15,0))*(INDEX(Settings!$D$8:$D$15,MATCH(Settings!$C$4,Settings!$B$8:$B$15,0))+INDEX(Settings!$E$8:$E$15,MATCH(Settings!$C$4,Settings!$B$8:$B$15,0))*(N(C184)+N(D184))+N(I184)*MIN(Settings!$C$23*(N(C184)+N(D184)),Settings!$C$24)+INDEX(Settings!$H$8:$H$15,MATCH(Settings!$C$4,Settings!$B$8:$B$15,0))*(N(C184)+N(D184))))</f>
        <v/>
      </c>
      <c r="L184" s="9">
        <f>IF(B184="","",N(E184)+N(F184)+N(G184)+N(H184)/60*Settings!$C$27)</f>
        <v/>
      </c>
      <c r="M184" s="20">
        <f>IF(B184="","",J184-K184-L184)</f>
        <v/>
      </c>
      <c r="N184" s="26">
        <f>IF(OR(B184="",N(J184)=0),"",M184/J184)</f>
        <v/>
      </c>
      <c r="O184" s="8">
        <f>IF(B184="","",IF(M184&lt;0,"Loss",IF(N184&lt;Settings!$C$28,"Below target","On target")))</f>
        <v/>
      </c>
      <c r="P184" s="14">
        <f>IF(B184="","",IF(1-(INDEX(Settings!$E$8:$E$15,MATCH(Settings!$C$4,Settings!$B$8:$B$15,0))+INDEX(Settings!$F$8:$F$15,MATCH(Settings!$C$4,Settings!$B$8:$B$15,0))*(1+Settings!$C$26)+N(I184)*Settings!$C$23+INDEX(Settings!$H$8:$H$15,MATCH(Settings!$C$4,Settings!$B$8:$B$15,0))+IF(Settings!$C$25="Yes",0.025,0)+INDEX(Settings!$I$8:$I$15,MATCH(Settings!$C$4,Settings!$B$8:$B$15,0))*(INDEX(Settings!$E$8:$E$15,MATCH(Settings!$C$4,Settings!$B$8:$B$15,0))+N(I184)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184)/(1-(INDEX(Settings!$E$8:$E$15,MATCH(Settings!$C$4,Settings!$B$8:$B$15,0))+INDEX(Settings!$F$8:$F$15,MATCH(Settings!$C$4,Settings!$B$8:$B$15,0))*(1+Settings!$C$26)+N(I184)*Settings!$C$23+INDEX(Settings!$H$8:$H$15,MATCH(Settings!$C$4,Settings!$B$8:$B$15,0))+IF(Settings!$C$25="Yes",0.025,0)+INDEX(Settings!$I$8:$I$15,MATCH(Settings!$C$4,Settings!$B$8:$B$15,0))*(INDEX(Settings!$E$8:$E$15,MATCH(Settings!$C$4,Settings!$B$8:$B$15,0))+N(I184)*Settings!$C$23+INDEX(Settings!$H$8:$H$15,MATCH(Settings!$C$4,Settings!$B$8:$B$15,0))))-Settings!$C$28)-N(D184))))</f>
        <v/>
      </c>
      <c r="Q184" s="1" t="n"/>
    </row>
    <row r="185">
      <c r="A185" s="1" t="n"/>
      <c r="B185" s="25" t="n"/>
      <c r="C185" s="7" t="n"/>
      <c r="D185" s="7" t="n"/>
      <c r="E185" s="7" t="n"/>
      <c r="F185" s="7" t="n"/>
      <c r="G185" s="7" t="n"/>
      <c r="H185" s="12" t="n"/>
      <c r="I185" s="11" t="n"/>
      <c r="J185" s="9">
        <f>IF(B185="","",(N(C185)+N(D185)))</f>
        <v/>
      </c>
      <c r="K185" s="9">
        <f>IF(B185="","",INDEX(Settings!$D$8:$D$15,MATCH(Settings!$C$4,Settings!$B$8:$B$15,0))+INDEX(Settings!$E$8:$E$15,MATCH(Settings!$C$4,Settings!$B$8:$B$15,0))*(N(C185)+N(D185))+INDEX(Settings!$F$8:$F$15,MATCH(Settings!$C$4,Settings!$B$8:$B$15,0))*(N(C185)+N(D185))*(1+Settings!$C$26)+INDEX(Settings!$G$8:$G$15,MATCH(Settings!$C$4,Settings!$B$8:$B$15,0))+N(I185)*MIN(Settings!$C$23*(N(C185)+N(D185)),Settings!$C$24)+INDEX(Settings!$H$8:$H$15,MATCH(Settings!$C$4,Settings!$B$8:$B$15,0))*(N(C185)+N(D185))+IF(Settings!$C$25="Yes",0.025,0)*(N(C185)+N(D185))+INDEX(Settings!$I$8:$I$15,MATCH(Settings!$C$4,Settings!$B$8:$B$15,0))*(INDEX(Settings!$D$8:$D$15,MATCH(Settings!$C$4,Settings!$B$8:$B$15,0))+INDEX(Settings!$E$8:$E$15,MATCH(Settings!$C$4,Settings!$B$8:$B$15,0))*(N(C185)+N(D185))+N(I185)*MIN(Settings!$C$23*(N(C185)+N(D185)),Settings!$C$24)+INDEX(Settings!$H$8:$H$15,MATCH(Settings!$C$4,Settings!$B$8:$B$15,0))*(N(C185)+N(D185))))</f>
        <v/>
      </c>
      <c r="L185" s="9">
        <f>IF(B185="","",N(E185)+N(F185)+N(G185)+N(H185)/60*Settings!$C$27)</f>
        <v/>
      </c>
      <c r="M185" s="20">
        <f>IF(B185="","",J185-K185-L185)</f>
        <v/>
      </c>
      <c r="N185" s="26">
        <f>IF(OR(B185="",N(J185)=0),"",M185/J185)</f>
        <v/>
      </c>
      <c r="O185" s="8">
        <f>IF(B185="","",IF(M185&lt;0,"Loss",IF(N185&lt;Settings!$C$28,"Below target","On target")))</f>
        <v/>
      </c>
      <c r="P185" s="14">
        <f>IF(B185="","",IF(1-(INDEX(Settings!$E$8:$E$15,MATCH(Settings!$C$4,Settings!$B$8:$B$15,0))+INDEX(Settings!$F$8:$F$15,MATCH(Settings!$C$4,Settings!$B$8:$B$15,0))*(1+Settings!$C$26)+N(I185)*Settings!$C$23+INDEX(Settings!$H$8:$H$15,MATCH(Settings!$C$4,Settings!$B$8:$B$15,0))+IF(Settings!$C$25="Yes",0.025,0)+INDEX(Settings!$I$8:$I$15,MATCH(Settings!$C$4,Settings!$B$8:$B$15,0))*(INDEX(Settings!$E$8:$E$15,MATCH(Settings!$C$4,Settings!$B$8:$B$15,0))+N(I185)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185)/(1-(INDEX(Settings!$E$8:$E$15,MATCH(Settings!$C$4,Settings!$B$8:$B$15,0))+INDEX(Settings!$F$8:$F$15,MATCH(Settings!$C$4,Settings!$B$8:$B$15,0))*(1+Settings!$C$26)+N(I185)*Settings!$C$23+INDEX(Settings!$H$8:$H$15,MATCH(Settings!$C$4,Settings!$B$8:$B$15,0))+IF(Settings!$C$25="Yes",0.025,0)+INDEX(Settings!$I$8:$I$15,MATCH(Settings!$C$4,Settings!$B$8:$B$15,0))*(INDEX(Settings!$E$8:$E$15,MATCH(Settings!$C$4,Settings!$B$8:$B$15,0))+N(I185)*Settings!$C$23+INDEX(Settings!$H$8:$H$15,MATCH(Settings!$C$4,Settings!$B$8:$B$15,0))))-Settings!$C$28)-N(D185))))</f>
        <v/>
      </c>
      <c r="Q185" s="1" t="n"/>
    </row>
    <row r="186">
      <c r="A186" s="1" t="n"/>
      <c r="B186" s="25" t="n"/>
      <c r="C186" s="7" t="n"/>
      <c r="D186" s="7" t="n"/>
      <c r="E186" s="7" t="n"/>
      <c r="F186" s="7" t="n"/>
      <c r="G186" s="7" t="n"/>
      <c r="H186" s="12" t="n"/>
      <c r="I186" s="11" t="n"/>
      <c r="J186" s="9">
        <f>IF(B186="","",(N(C186)+N(D186)))</f>
        <v/>
      </c>
      <c r="K186" s="9">
        <f>IF(B186="","",INDEX(Settings!$D$8:$D$15,MATCH(Settings!$C$4,Settings!$B$8:$B$15,0))+INDEX(Settings!$E$8:$E$15,MATCH(Settings!$C$4,Settings!$B$8:$B$15,0))*(N(C186)+N(D186))+INDEX(Settings!$F$8:$F$15,MATCH(Settings!$C$4,Settings!$B$8:$B$15,0))*(N(C186)+N(D186))*(1+Settings!$C$26)+INDEX(Settings!$G$8:$G$15,MATCH(Settings!$C$4,Settings!$B$8:$B$15,0))+N(I186)*MIN(Settings!$C$23*(N(C186)+N(D186)),Settings!$C$24)+INDEX(Settings!$H$8:$H$15,MATCH(Settings!$C$4,Settings!$B$8:$B$15,0))*(N(C186)+N(D186))+IF(Settings!$C$25="Yes",0.025,0)*(N(C186)+N(D186))+INDEX(Settings!$I$8:$I$15,MATCH(Settings!$C$4,Settings!$B$8:$B$15,0))*(INDEX(Settings!$D$8:$D$15,MATCH(Settings!$C$4,Settings!$B$8:$B$15,0))+INDEX(Settings!$E$8:$E$15,MATCH(Settings!$C$4,Settings!$B$8:$B$15,0))*(N(C186)+N(D186))+N(I186)*MIN(Settings!$C$23*(N(C186)+N(D186)),Settings!$C$24)+INDEX(Settings!$H$8:$H$15,MATCH(Settings!$C$4,Settings!$B$8:$B$15,0))*(N(C186)+N(D186))))</f>
        <v/>
      </c>
      <c r="L186" s="9">
        <f>IF(B186="","",N(E186)+N(F186)+N(G186)+N(H186)/60*Settings!$C$27)</f>
        <v/>
      </c>
      <c r="M186" s="20">
        <f>IF(B186="","",J186-K186-L186)</f>
        <v/>
      </c>
      <c r="N186" s="26">
        <f>IF(OR(B186="",N(J186)=0),"",M186/J186)</f>
        <v/>
      </c>
      <c r="O186" s="8">
        <f>IF(B186="","",IF(M186&lt;0,"Loss",IF(N186&lt;Settings!$C$28,"Below target","On target")))</f>
        <v/>
      </c>
      <c r="P186" s="14">
        <f>IF(B186="","",IF(1-(INDEX(Settings!$E$8:$E$15,MATCH(Settings!$C$4,Settings!$B$8:$B$15,0))+INDEX(Settings!$F$8:$F$15,MATCH(Settings!$C$4,Settings!$B$8:$B$15,0))*(1+Settings!$C$26)+N(I186)*Settings!$C$23+INDEX(Settings!$H$8:$H$15,MATCH(Settings!$C$4,Settings!$B$8:$B$15,0))+IF(Settings!$C$25="Yes",0.025,0)+INDEX(Settings!$I$8:$I$15,MATCH(Settings!$C$4,Settings!$B$8:$B$15,0))*(INDEX(Settings!$E$8:$E$15,MATCH(Settings!$C$4,Settings!$B$8:$B$15,0))+N(I186)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186)/(1-(INDEX(Settings!$E$8:$E$15,MATCH(Settings!$C$4,Settings!$B$8:$B$15,0))+INDEX(Settings!$F$8:$F$15,MATCH(Settings!$C$4,Settings!$B$8:$B$15,0))*(1+Settings!$C$26)+N(I186)*Settings!$C$23+INDEX(Settings!$H$8:$H$15,MATCH(Settings!$C$4,Settings!$B$8:$B$15,0))+IF(Settings!$C$25="Yes",0.025,0)+INDEX(Settings!$I$8:$I$15,MATCH(Settings!$C$4,Settings!$B$8:$B$15,0))*(INDEX(Settings!$E$8:$E$15,MATCH(Settings!$C$4,Settings!$B$8:$B$15,0))+N(I186)*Settings!$C$23+INDEX(Settings!$H$8:$H$15,MATCH(Settings!$C$4,Settings!$B$8:$B$15,0))))-Settings!$C$28)-N(D186))))</f>
        <v/>
      </c>
      <c r="Q186" s="1" t="n"/>
    </row>
    <row r="187">
      <c r="A187" s="1" t="n"/>
      <c r="B187" s="25" t="n"/>
      <c r="C187" s="7" t="n"/>
      <c r="D187" s="7" t="n"/>
      <c r="E187" s="7" t="n"/>
      <c r="F187" s="7" t="n"/>
      <c r="G187" s="7" t="n"/>
      <c r="H187" s="12" t="n"/>
      <c r="I187" s="11" t="n"/>
      <c r="J187" s="9">
        <f>IF(B187="","",(N(C187)+N(D187)))</f>
        <v/>
      </c>
      <c r="K187" s="9">
        <f>IF(B187="","",INDEX(Settings!$D$8:$D$15,MATCH(Settings!$C$4,Settings!$B$8:$B$15,0))+INDEX(Settings!$E$8:$E$15,MATCH(Settings!$C$4,Settings!$B$8:$B$15,0))*(N(C187)+N(D187))+INDEX(Settings!$F$8:$F$15,MATCH(Settings!$C$4,Settings!$B$8:$B$15,0))*(N(C187)+N(D187))*(1+Settings!$C$26)+INDEX(Settings!$G$8:$G$15,MATCH(Settings!$C$4,Settings!$B$8:$B$15,0))+N(I187)*MIN(Settings!$C$23*(N(C187)+N(D187)),Settings!$C$24)+INDEX(Settings!$H$8:$H$15,MATCH(Settings!$C$4,Settings!$B$8:$B$15,0))*(N(C187)+N(D187))+IF(Settings!$C$25="Yes",0.025,0)*(N(C187)+N(D187))+INDEX(Settings!$I$8:$I$15,MATCH(Settings!$C$4,Settings!$B$8:$B$15,0))*(INDEX(Settings!$D$8:$D$15,MATCH(Settings!$C$4,Settings!$B$8:$B$15,0))+INDEX(Settings!$E$8:$E$15,MATCH(Settings!$C$4,Settings!$B$8:$B$15,0))*(N(C187)+N(D187))+N(I187)*MIN(Settings!$C$23*(N(C187)+N(D187)),Settings!$C$24)+INDEX(Settings!$H$8:$H$15,MATCH(Settings!$C$4,Settings!$B$8:$B$15,0))*(N(C187)+N(D187))))</f>
        <v/>
      </c>
      <c r="L187" s="9">
        <f>IF(B187="","",N(E187)+N(F187)+N(G187)+N(H187)/60*Settings!$C$27)</f>
        <v/>
      </c>
      <c r="M187" s="20">
        <f>IF(B187="","",J187-K187-L187)</f>
        <v/>
      </c>
      <c r="N187" s="26">
        <f>IF(OR(B187="",N(J187)=0),"",M187/J187)</f>
        <v/>
      </c>
      <c r="O187" s="8">
        <f>IF(B187="","",IF(M187&lt;0,"Loss",IF(N187&lt;Settings!$C$28,"Below target","On target")))</f>
        <v/>
      </c>
      <c r="P187" s="14">
        <f>IF(B187="","",IF(1-(INDEX(Settings!$E$8:$E$15,MATCH(Settings!$C$4,Settings!$B$8:$B$15,0))+INDEX(Settings!$F$8:$F$15,MATCH(Settings!$C$4,Settings!$B$8:$B$15,0))*(1+Settings!$C$26)+N(I187)*Settings!$C$23+INDEX(Settings!$H$8:$H$15,MATCH(Settings!$C$4,Settings!$B$8:$B$15,0))+IF(Settings!$C$25="Yes",0.025,0)+INDEX(Settings!$I$8:$I$15,MATCH(Settings!$C$4,Settings!$B$8:$B$15,0))*(INDEX(Settings!$E$8:$E$15,MATCH(Settings!$C$4,Settings!$B$8:$B$15,0))+N(I187)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187)/(1-(INDEX(Settings!$E$8:$E$15,MATCH(Settings!$C$4,Settings!$B$8:$B$15,0))+INDEX(Settings!$F$8:$F$15,MATCH(Settings!$C$4,Settings!$B$8:$B$15,0))*(1+Settings!$C$26)+N(I187)*Settings!$C$23+INDEX(Settings!$H$8:$H$15,MATCH(Settings!$C$4,Settings!$B$8:$B$15,0))+IF(Settings!$C$25="Yes",0.025,0)+INDEX(Settings!$I$8:$I$15,MATCH(Settings!$C$4,Settings!$B$8:$B$15,0))*(INDEX(Settings!$E$8:$E$15,MATCH(Settings!$C$4,Settings!$B$8:$B$15,0))+N(I187)*Settings!$C$23+INDEX(Settings!$H$8:$H$15,MATCH(Settings!$C$4,Settings!$B$8:$B$15,0))))-Settings!$C$28)-N(D187))))</f>
        <v/>
      </c>
      <c r="Q187" s="1" t="n"/>
    </row>
    <row r="188">
      <c r="A188" s="1" t="n"/>
      <c r="B188" s="25" t="n"/>
      <c r="C188" s="7" t="n"/>
      <c r="D188" s="7" t="n"/>
      <c r="E188" s="7" t="n"/>
      <c r="F188" s="7" t="n"/>
      <c r="G188" s="7" t="n"/>
      <c r="H188" s="12" t="n"/>
      <c r="I188" s="11" t="n"/>
      <c r="J188" s="9">
        <f>IF(B188="","",(N(C188)+N(D188)))</f>
        <v/>
      </c>
      <c r="K188" s="9">
        <f>IF(B188="","",INDEX(Settings!$D$8:$D$15,MATCH(Settings!$C$4,Settings!$B$8:$B$15,0))+INDEX(Settings!$E$8:$E$15,MATCH(Settings!$C$4,Settings!$B$8:$B$15,0))*(N(C188)+N(D188))+INDEX(Settings!$F$8:$F$15,MATCH(Settings!$C$4,Settings!$B$8:$B$15,0))*(N(C188)+N(D188))*(1+Settings!$C$26)+INDEX(Settings!$G$8:$G$15,MATCH(Settings!$C$4,Settings!$B$8:$B$15,0))+N(I188)*MIN(Settings!$C$23*(N(C188)+N(D188)),Settings!$C$24)+INDEX(Settings!$H$8:$H$15,MATCH(Settings!$C$4,Settings!$B$8:$B$15,0))*(N(C188)+N(D188))+IF(Settings!$C$25="Yes",0.025,0)*(N(C188)+N(D188))+INDEX(Settings!$I$8:$I$15,MATCH(Settings!$C$4,Settings!$B$8:$B$15,0))*(INDEX(Settings!$D$8:$D$15,MATCH(Settings!$C$4,Settings!$B$8:$B$15,0))+INDEX(Settings!$E$8:$E$15,MATCH(Settings!$C$4,Settings!$B$8:$B$15,0))*(N(C188)+N(D188))+N(I188)*MIN(Settings!$C$23*(N(C188)+N(D188)),Settings!$C$24)+INDEX(Settings!$H$8:$H$15,MATCH(Settings!$C$4,Settings!$B$8:$B$15,0))*(N(C188)+N(D188))))</f>
        <v/>
      </c>
      <c r="L188" s="9">
        <f>IF(B188="","",N(E188)+N(F188)+N(G188)+N(H188)/60*Settings!$C$27)</f>
        <v/>
      </c>
      <c r="M188" s="20">
        <f>IF(B188="","",J188-K188-L188)</f>
        <v/>
      </c>
      <c r="N188" s="26">
        <f>IF(OR(B188="",N(J188)=0),"",M188/J188)</f>
        <v/>
      </c>
      <c r="O188" s="8">
        <f>IF(B188="","",IF(M188&lt;0,"Loss",IF(N188&lt;Settings!$C$28,"Below target","On target")))</f>
        <v/>
      </c>
      <c r="P188" s="14">
        <f>IF(B188="","",IF(1-(INDEX(Settings!$E$8:$E$15,MATCH(Settings!$C$4,Settings!$B$8:$B$15,0))+INDEX(Settings!$F$8:$F$15,MATCH(Settings!$C$4,Settings!$B$8:$B$15,0))*(1+Settings!$C$26)+N(I188)*Settings!$C$23+INDEX(Settings!$H$8:$H$15,MATCH(Settings!$C$4,Settings!$B$8:$B$15,0))+IF(Settings!$C$25="Yes",0.025,0)+INDEX(Settings!$I$8:$I$15,MATCH(Settings!$C$4,Settings!$B$8:$B$15,0))*(INDEX(Settings!$E$8:$E$15,MATCH(Settings!$C$4,Settings!$B$8:$B$15,0))+N(I188)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188)/(1-(INDEX(Settings!$E$8:$E$15,MATCH(Settings!$C$4,Settings!$B$8:$B$15,0))+INDEX(Settings!$F$8:$F$15,MATCH(Settings!$C$4,Settings!$B$8:$B$15,0))*(1+Settings!$C$26)+N(I188)*Settings!$C$23+INDEX(Settings!$H$8:$H$15,MATCH(Settings!$C$4,Settings!$B$8:$B$15,0))+IF(Settings!$C$25="Yes",0.025,0)+INDEX(Settings!$I$8:$I$15,MATCH(Settings!$C$4,Settings!$B$8:$B$15,0))*(INDEX(Settings!$E$8:$E$15,MATCH(Settings!$C$4,Settings!$B$8:$B$15,0))+N(I188)*Settings!$C$23+INDEX(Settings!$H$8:$H$15,MATCH(Settings!$C$4,Settings!$B$8:$B$15,0))))-Settings!$C$28)-N(D188))))</f>
        <v/>
      </c>
      <c r="Q188" s="1" t="n"/>
    </row>
    <row r="189">
      <c r="A189" s="1" t="n"/>
      <c r="B189" s="25" t="n"/>
      <c r="C189" s="7" t="n"/>
      <c r="D189" s="7" t="n"/>
      <c r="E189" s="7" t="n"/>
      <c r="F189" s="7" t="n"/>
      <c r="G189" s="7" t="n"/>
      <c r="H189" s="12" t="n"/>
      <c r="I189" s="11" t="n"/>
      <c r="J189" s="9">
        <f>IF(B189="","",(N(C189)+N(D189)))</f>
        <v/>
      </c>
      <c r="K189" s="9">
        <f>IF(B189="","",INDEX(Settings!$D$8:$D$15,MATCH(Settings!$C$4,Settings!$B$8:$B$15,0))+INDEX(Settings!$E$8:$E$15,MATCH(Settings!$C$4,Settings!$B$8:$B$15,0))*(N(C189)+N(D189))+INDEX(Settings!$F$8:$F$15,MATCH(Settings!$C$4,Settings!$B$8:$B$15,0))*(N(C189)+N(D189))*(1+Settings!$C$26)+INDEX(Settings!$G$8:$G$15,MATCH(Settings!$C$4,Settings!$B$8:$B$15,0))+N(I189)*MIN(Settings!$C$23*(N(C189)+N(D189)),Settings!$C$24)+INDEX(Settings!$H$8:$H$15,MATCH(Settings!$C$4,Settings!$B$8:$B$15,0))*(N(C189)+N(D189))+IF(Settings!$C$25="Yes",0.025,0)*(N(C189)+N(D189))+INDEX(Settings!$I$8:$I$15,MATCH(Settings!$C$4,Settings!$B$8:$B$15,0))*(INDEX(Settings!$D$8:$D$15,MATCH(Settings!$C$4,Settings!$B$8:$B$15,0))+INDEX(Settings!$E$8:$E$15,MATCH(Settings!$C$4,Settings!$B$8:$B$15,0))*(N(C189)+N(D189))+N(I189)*MIN(Settings!$C$23*(N(C189)+N(D189)),Settings!$C$24)+INDEX(Settings!$H$8:$H$15,MATCH(Settings!$C$4,Settings!$B$8:$B$15,0))*(N(C189)+N(D189))))</f>
        <v/>
      </c>
      <c r="L189" s="9">
        <f>IF(B189="","",N(E189)+N(F189)+N(G189)+N(H189)/60*Settings!$C$27)</f>
        <v/>
      </c>
      <c r="M189" s="20">
        <f>IF(B189="","",J189-K189-L189)</f>
        <v/>
      </c>
      <c r="N189" s="26">
        <f>IF(OR(B189="",N(J189)=0),"",M189/J189)</f>
        <v/>
      </c>
      <c r="O189" s="8">
        <f>IF(B189="","",IF(M189&lt;0,"Loss",IF(N189&lt;Settings!$C$28,"Below target","On target")))</f>
        <v/>
      </c>
      <c r="P189" s="14">
        <f>IF(B189="","",IF(1-(INDEX(Settings!$E$8:$E$15,MATCH(Settings!$C$4,Settings!$B$8:$B$15,0))+INDEX(Settings!$F$8:$F$15,MATCH(Settings!$C$4,Settings!$B$8:$B$15,0))*(1+Settings!$C$26)+N(I189)*Settings!$C$23+INDEX(Settings!$H$8:$H$15,MATCH(Settings!$C$4,Settings!$B$8:$B$15,0))+IF(Settings!$C$25="Yes",0.025,0)+INDEX(Settings!$I$8:$I$15,MATCH(Settings!$C$4,Settings!$B$8:$B$15,0))*(INDEX(Settings!$E$8:$E$15,MATCH(Settings!$C$4,Settings!$B$8:$B$15,0))+N(I189)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189)/(1-(INDEX(Settings!$E$8:$E$15,MATCH(Settings!$C$4,Settings!$B$8:$B$15,0))+INDEX(Settings!$F$8:$F$15,MATCH(Settings!$C$4,Settings!$B$8:$B$15,0))*(1+Settings!$C$26)+N(I189)*Settings!$C$23+INDEX(Settings!$H$8:$H$15,MATCH(Settings!$C$4,Settings!$B$8:$B$15,0))+IF(Settings!$C$25="Yes",0.025,0)+INDEX(Settings!$I$8:$I$15,MATCH(Settings!$C$4,Settings!$B$8:$B$15,0))*(INDEX(Settings!$E$8:$E$15,MATCH(Settings!$C$4,Settings!$B$8:$B$15,0))+N(I189)*Settings!$C$23+INDEX(Settings!$H$8:$H$15,MATCH(Settings!$C$4,Settings!$B$8:$B$15,0))))-Settings!$C$28)-N(D189))))</f>
        <v/>
      </c>
      <c r="Q189" s="1" t="n"/>
    </row>
    <row r="190">
      <c r="A190" s="1" t="n"/>
      <c r="B190" s="25" t="n"/>
      <c r="C190" s="7" t="n"/>
      <c r="D190" s="7" t="n"/>
      <c r="E190" s="7" t="n"/>
      <c r="F190" s="7" t="n"/>
      <c r="G190" s="7" t="n"/>
      <c r="H190" s="12" t="n"/>
      <c r="I190" s="11" t="n"/>
      <c r="J190" s="9">
        <f>IF(B190="","",(N(C190)+N(D190)))</f>
        <v/>
      </c>
      <c r="K190" s="9">
        <f>IF(B190="","",INDEX(Settings!$D$8:$D$15,MATCH(Settings!$C$4,Settings!$B$8:$B$15,0))+INDEX(Settings!$E$8:$E$15,MATCH(Settings!$C$4,Settings!$B$8:$B$15,0))*(N(C190)+N(D190))+INDEX(Settings!$F$8:$F$15,MATCH(Settings!$C$4,Settings!$B$8:$B$15,0))*(N(C190)+N(D190))*(1+Settings!$C$26)+INDEX(Settings!$G$8:$G$15,MATCH(Settings!$C$4,Settings!$B$8:$B$15,0))+N(I190)*MIN(Settings!$C$23*(N(C190)+N(D190)),Settings!$C$24)+INDEX(Settings!$H$8:$H$15,MATCH(Settings!$C$4,Settings!$B$8:$B$15,0))*(N(C190)+N(D190))+IF(Settings!$C$25="Yes",0.025,0)*(N(C190)+N(D190))+INDEX(Settings!$I$8:$I$15,MATCH(Settings!$C$4,Settings!$B$8:$B$15,0))*(INDEX(Settings!$D$8:$D$15,MATCH(Settings!$C$4,Settings!$B$8:$B$15,0))+INDEX(Settings!$E$8:$E$15,MATCH(Settings!$C$4,Settings!$B$8:$B$15,0))*(N(C190)+N(D190))+N(I190)*MIN(Settings!$C$23*(N(C190)+N(D190)),Settings!$C$24)+INDEX(Settings!$H$8:$H$15,MATCH(Settings!$C$4,Settings!$B$8:$B$15,0))*(N(C190)+N(D190))))</f>
        <v/>
      </c>
      <c r="L190" s="9">
        <f>IF(B190="","",N(E190)+N(F190)+N(G190)+N(H190)/60*Settings!$C$27)</f>
        <v/>
      </c>
      <c r="M190" s="20">
        <f>IF(B190="","",J190-K190-L190)</f>
        <v/>
      </c>
      <c r="N190" s="26">
        <f>IF(OR(B190="",N(J190)=0),"",M190/J190)</f>
        <v/>
      </c>
      <c r="O190" s="8">
        <f>IF(B190="","",IF(M190&lt;0,"Loss",IF(N190&lt;Settings!$C$28,"Below target","On target")))</f>
        <v/>
      </c>
      <c r="P190" s="14">
        <f>IF(B190="","",IF(1-(INDEX(Settings!$E$8:$E$15,MATCH(Settings!$C$4,Settings!$B$8:$B$15,0))+INDEX(Settings!$F$8:$F$15,MATCH(Settings!$C$4,Settings!$B$8:$B$15,0))*(1+Settings!$C$26)+N(I190)*Settings!$C$23+INDEX(Settings!$H$8:$H$15,MATCH(Settings!$C$4,Settings!$B$8:$B$15,0))+IF(Settings!$C$25="Yes",0.025,0)+INDEX(Settings!$I$8:$I$15,MATCH(Settings!$C$4,Settings!$B$8:$B$15,0))*(INDEX(Settings!$E$8:$E$15,MATCH(Settings!$C$4,Settings!$B$8:$B$15,0))+N(I190)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190)/(1-(INDEX(Settings!$E$8:$E$15,MATCH(Settings!$C$4,Settings!$B$8:$B$15,0))+INDEX(Settings!$F$8:$F$15,MATCH(Settings!$C$4,Settings!$B$8:$B$15,0))*(1+Settings!$C$26)+N(I190)*Settings!$C$23+INDEX(Settings!$H$8:$H$15,MATCH(Settings!$C$4,Settings!$B$8:$B$15,0))+IF(Settings!$C$25="Yes",0.025,0)+INDEX(Settings!$I$8:$I$15,MATCH(Settings!$C$4,Settings!$B$8:$B$15,0))*(INDEX(Settings!$E$8:$E$15,MATCH(Settings!$C$4,Settings!$B$8:$B$15,0))+N(I190)*Settings!$C$23+INDEX(Settings!$H$8:$H$15,MATCH(Settings!$C$4,Settings!$B$8:$B$15,0))))-Settings!$C$28)-N(D190))))</f>
        <v/>
      </c>
      <c r="Q190" s="1" t="n"/>
    </row>
    <row r="191">
      <c r="A191" s="1" t="n"/>
      <c r="B191" s="25" t="n"/>
      <c r="C191" s="7" t="n"/>
      <c r="D191" s="7" t="n"/>
      <c r="E191" s="7" t="n"/>
      <c r="F191" s="7" t="n"/>
      <c r="G191" s="7" t="n"/>
      <c r="H191" s="12" t="n"/>
      <c r="I191" s="11" t="n"/>
      <c r="J191" s="9">
        <f>IF(B191="","",(N(C191)+N(D191)))</f>
        <v/>
      </c>
      <c r="K191" s="9">
        <f>IF(B191="","",INDEX(Settings!$D$8:$D$15,MATCH(Settings!$C$4,Settings!$B$8:$B$15,0))+INDEX(Settings!$E$8:$E$15,MATCH(Settings!$C$4,Settings!$B$8:$B$15,0))*(N(C191)+N(D191))+INDEX(Settings!$F$8:$F$15,MATCH(Settings!$C$4,Settings!$B$8:$B$15,0))*(N(C191)+N(D191))*(1+Settings!$C$26)+INDEX(Settings!$G$8:$G$15,MATCH(Settings!$C$4,Settings!$B$8:$B$15,0))+N(I191)*MIN(Settings!$C$23*(N(C191)+N(D191)),Settings!$C$24)+INDEX(Settings!$H$8:$H$15,MATCH(Settings!$C$4,Settings!$B$8:$B$15,0))*(N(C191)+N(D191))+IF(Settings!$C$25="Yes",0.025,0)*(N(C191)+N(D191))+INDEX(Settings!$I$8:$I$15,MATCH(Settings!$C$4,Settings!$B$8:$B$15,0))*(INDEX(Settings!$D$8:$D$15,MATCH(Settings!$C$4,Settings!$B$8:$B$15,0))+INDEX(Settings!$E$8:$E$15,MATCH(Settings!$C$4,Settings!$B$8:$B$15,0))*(N(C191)+N(D191))+N(I191)*MIN(Settings!$C$23*(N(C191)+N(D191)),Settings!$C$24)+INDEX(Settings!$H$8:$H$15,MATCH(Settings!$C$4,Settings!$B$8:$B$15,0))*(N(C191)+N(D191))))</f>
        <v/>
      </c>
      <c r="L191" s="9">
        <f>IF(B191="","",N(E191)+N(F191)+N(G191)+N(H191)/60*Settings!$C$27)</f>
        <v/>
      </c>
      <c r="M191" s="20">
        <f>IF(B191="","",J191-K191-L191)</f>
        <v/>
      </c>
      <c r="N191" s="26">
        <f>IF(OR(B191="",N(J191)=0),"",M191/J191)</f>
        <v/>
      </c>
      <c r="O191" s="8">
        <f>IF(B191="","",IF(M191&lt;0,"Loss",IF(N191&lt;Settings!$C$28,"Below target","On target")))</f>
        <v/>
      </c>
      <c r="P191" s="14">
        <f>IF(B191="","",IF(1-(INDEX(Settings!$E$8:$E$15,MATCH(Settings!$C$4,Settings!$B$8:$B$15,0))+INDEX(Settings!$F$8:$F$15,MATCH(Settings!$C$4,Settings!$B$8:$B$15,0))*(1+Settings!$C$26)+N(I191)*Settings!$C$23+INDEX(Settings!$H$8:$H$15,MATCH(Settings!$C$4,Settings!$B$8:$B$15,0))+IF(Settings!$C$25="Yes",0.025,0)+INDEX(Settings!$I$8:$I$15,MATCH(Settings!$C$4,Settings!$B$8:$B$15,0))*(INDEX(Settings!$E$8:$E$15,MATCH(Settings!$C$4,Settings!$B$8:$B$15,0))+N(I191)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191)/(1-(INDEX(Settings!$E$8:$E$15,MATCH(Settings!$C$4,Settings!$B$8:$B$15,0))+INDEX(Settings!$F$8:$F$15,MATCH(Settings!$C$4,Settings!$B$8:$B$15,0))*(1+Settings!$C$26)+N(I191)*Settings!$C$23+INDEX(Settings!$H$8:$H$15,MATCH(Settings!$C$4,Settings!$B$8:$B$15,0))+IF(Settings!$C$25="Yes",0.025,0)+INDEX(Settings!$I$8:$I$15,MATCH(Settings!$C$4,Settings!$B$8:$B$15,0))*(INDEX(Settings!$E$8:$E$15,MATCH(Settings!$C$4,Settings!$B$8:$B$15,0))+N(I191)*Settings!$C$23+INDEX(Settings!$H$8:$H$15,MATCH(Settings!$C$4,Settings!$B$8:$B$15,0))))-Settings!$C$28)-N(D191))))</f>
        <v/>
      </c>
      <c r="Q191" s="1" t="n"/>
    </row>
    <row r="192">
      <c r="A192" s="1" t="n"/>
      <c r="B192" s="25" t="n"/>
      <c r="C192" s="7" t="n"/>
      <c r="D192" s="7" t="n"/>
      <c r="E192" s="7" t="n"/>
      <c r="F192" s="7" t="n"/>
      <c r="G192" s="7" t="n"/>
      <c r="H192" s="12" t="n"/>
      <c r="I192" s="11" t="n"/>
      <c r="J192" s="9">
        <f>IF(B192="","",(N(C192)+N(D192)))</f>
        <v/>
      </c>
      <c r="K192" s="9">
        <f>IF(B192="","",INDEX(Settings!$D$8:$D$15,MATCH(Settings!$C$4,Settings!$B$8:$B$15,0))+INDEX(Settings!$E$8:$E$15,MATCH(Settings!$C$4,Settings!$B$8:$B$15,0))*(N(C192)+N(D192))+INDEX(Settings!$F$8:$F$15,MATCH(Settings!$C$4,Settings!$B$8:$B$15,0))*(N(C192)+N(D192))*(1+Settings!$C$26)+INDEX(Settings!$G$8:$G$15,MATCH(Settings!$C$4,Settings!$B$8:$B$15,0))+N(I192)*MIN(Settings!$C$23*(N(C192)+N(D192)),Settings!$C$24)+INDEX(Settings!$H$8:$H$15,MATCH(Settings!$C$4,Settings!$B$8:$B$15,0))*(N(C192)+N(D192))+IF(Settings!$C$25="Yes",0.025,0)*(N(C192)+N(D192))+INDEX(Settings!$I$8:$I$15,MATCH(Settings!$C$4,Settings!$B$8:$B$15,0))*(INDEX(Settings!$D$8:$D$15,MATCH(Settings!$C$4,Settings!$B$8:$B$15,0))+INDEX(Settings!$E$8:$E$15,MATCH(Settings!$C$4,Settings!$B$8:$B$15,0))*(N(C192)+N(D192))+N(I192)*MIN(Settings!$C$23*(N(C192)+N(D192)),Settings!$C$24)+INDEX(Settings!$H$8:$H$15,MATCH(Settings!$C$4,Settings!$B$8:$B$15,0))*(N(C192)+N(D192))))</f>
        <v/>
      </c>
      <c r="L192" s="9">
        <f>IF(B192="","",N(E192)+N(F192)+N(G192)+N(H192)/60*Settings!$C$27)</f>
        <v/>
      </c>
      <c r="M192" s="20">
        <f>IF(B192="","",J192-K192-L192)</f>
        <v/>
      </c>
      <c r="N192" s="26">
        <f>IF(OR(B192="",N(J192)=0),"",M192/J192)</f>
        <v/>
      </c>
      <c r="O192" s="8">
        <f>IF(B192="","",IF(M192&lt;0,"Loss",IF(N192&lt;Settings!$C$28,"Below target","On target")))</f>
        <v/>
      </c>
      <c r="P192" s="14">
        <f>IF(B192="","",IF(1-(INDEX(Settings!$E$8:$E$15,MATCH(Settings!$C$4,Settings!$B$8:$B$15,0))+INDEX(Settings!$F$8:$F$15,MATCH(Settings!$C$4,Settings!$B$8:$B$15,0))*(1+Settings!$C$26)+N(I192)*Settings!$C$23+INDEX(Settings!$H$8:$H$15,MATCH(Settings!$C$4,Settings!$B$8:$B$15,0))+IF(Settings!$C$25="Yes",0.025,0)+INDEX(Settings!$I$8:$I$15,MATCH(Settings!$C$4,Settings!$B$8:$B$15,0))*(INDEX(Settings!$E$8:$E$15,MATCH(Settings!$C$4,Settings!$B$8:$B$15,0))+N(I192)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192)/(1-(INDEX(Settings!$E$8:$E$15,MATCH(Settings!$C$4,Settings!$B$8:$B$15,0))+INDEX(Settings!$F$8:$F$15,MATCH(Settings!$C$4,Settings!$B$8:$B$15,0))*(1+Settings!$C$26)+N(I192)*Settings!$C$23+INDEX(Settings!$H$8:$H$15,MATCH(Settings!$C$4,Settings!$B$8:$B$15,0))+IF(Settings!$C$25="Yes",0.025,0)+INDEX(Settings!$I$8:$I$15,MATCH(Settings!$C$4,Settings!$B$8:$B$15,0))*(INDEX(Settings!$E$8:$E$15,MATCH(Settings!$C$4,Settings!$B$8:$B$15,0))+N(I192)*Settings!$C$23+INDEX(Settings!$H$8:$H$15,MATCH(Settings!$C$4,Settings!$B$8:$B$15,0))))-Settings!$C$28)-N(D192))))</f>
        <v/>
      </c>
      <c r="Q192" s="1" t="n"/>
    </row>
    <row r="193">
      <c r="A193" s="1" t="n"/>
      <c r="B193" s="25" t="n"/>
      <c r="C193" s="7" t="n"/>
      <c r="D193" s="7" t="n"/>
      <c r="E193" s="7" t="n"/>
      <c r="F193" s="7" t="n"/>
      <c r="G193" s="7" t="n"/>
      <c r="H193" s="12" t="n"/>
      <c r="I193" s="11" t="n"/>
      <c r="J193" s="9">
        <f>IF(B193="","",(N(C193)+N(D193)))</f>
        <v/>
      </c>
      <c r="K193" s="9">
        <f>IF(B193="","",INDEX(Settings!$D$8:$D$15,MATCH(Settings!$C$4,Settings!$B$8:$B$15,0))+INDEX(Settings!$E$8:$E$15,MATCH(Settings!$C$4,Settings!$B$8:$B$15,0))*(N(C193)+N(D193))+INDEX(Settings!$F$8:$F$15,MATCH(Settings!$C$4,Settings!$B$8:$B$15,0))*(N(C193)+N(D193))*(1+Settings!$C$26)+INDEX(Settings!$G$8:$G$15,MATCH(Settings!$C$4,Settings!$B$8:$B$15,0))+N(I193)*MIN(Settings!$C$23*(N(C193)+N(D193)),Settings!$C$24)+INDEX(Settings!$H$8:$H$15,MATCH(Settings!$C$4,Settings!$B$8:$B$15,0))*(N(C193)+N(D193))+IF(Settings!$C$25="Yes",0.025,0)*(N(C193)+N(D193))+INDEX(Settings!$I$8:$I$15,MATCH(Settings!$C$4,Settings!$B$8:$B$15,0))*(INDEX(Settings!$D$8:$D$15,MATCH(Settings!$C$4,Settings!$B$8:$B$15,0))+INDEX(Settings!$E$8:$E$15,MATCH(Settings!$C$4,Settings!$B$8:$B$15,0))*(N(C193)+N(D193))+N(I193)*MIN(Settings!$C$23*(N(C193)+N(D193)),Settings!$C$24)+INDEX(Settings!$H$8:$H$15,MATCH(Settings!$C$4,Settings!$B$8:$B$15,0))*(N(C193)+N(D193))))</f>
        <v/>
      </c>
      <c r="L193" s="9">
        <f>IF(B193="","",N(E193)+N(F193)+N(G193)+N(H193)/60*Settings!$C$27)</f>
        <v/>
      </c>
      <c r="M193" s="20">
        <f>IF(B193="","",J193-K193-L193)</f>
        <v/>
      </c>
      <c r="N193" s="26">
        <f>IF(OR(B193="",N(J193)=0),"",M193/J193)</f>
        <v/>
      </c>
      <c r="O193" s="8">
        <f>IF(B193="","",IF(M193&lt;0,"Loss",IF(N193&lt;Settings!$C$28,"Below target","On target")))</f>
        <v/>
      </c>
      <c r="P193" s="14">
        <f>IF(B193="","",IF(1-(INDEX(Settings!$E$8:$E$15,MATCH(Settings!$C$4,Settings!$B$8:$B$15,0))+INDEX(Settings!$F$8:$F$15,MATCH(Settings!$C$4,Settings!$B$8:$B$15,0))*(1+Settings!$C$26)+N(I193)*Settings!$C$23+INDEX(Settings!$H$8:$H$15,MATCH(Settings!$C$4,Settings!$B$8:$B$15,0))+IF(Settings!$C$25="Yes",0.025,0)+INDEX(Settings!$I$8:$I$15,MATCH(Settings!$C$4,Settings!$B$8:$B$15,0))*(INDEX(Settings!$E$8:$E$15,MATCH(Settings!$C$4,Settings!$B$8:$B$15,0))+N(I193)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193)/(1-(INDEX(Settings!$E$8:$E$15,MATCH(Settings!$C$4,Settings!$B$8:$B$15,0))+INDEX(Settings!$F$8:$F$15,MATCH(Settings!$C$4,Settings!$B$8:$B$15,0))*(1+Settings!$C$26)+N(I193)*Settings!$C$23+INDEX(Settings!$H$8:$H$15,MATCH(Settings!$C$4,Settings!$B$8:$B$15,0))+IF(Settings!$C$25="Yes",0.025,0)+INDEX(Settings!$I$8:$I$15,MATCH(Settings!$C$4,Settings!$B$8:$B$15,0))*(INDEX(Settings!$E$8:$E$15,MATCH(Settings!$C$4,Settings!$B$8:$B$15,0))+N(I193)*Settings!$C$23+INDEX(Settings!$H$8:$H$15,MATCH(Settings!$C$4,Settings!$B$8:$B$15,0))))-Settings!$C$28)-N(D193))))</f>
        <v/>
      </c>
      <c r="Q193" s="1" t="n"/>
    </row>
    <row r="194">
      <c r="A194" s="1" t="n"/>
      <c r="B194" s="25" t="n"/>
      <c r="C194" s="7" t="n"/>
      <c r="D194" s="7" t="n"/>
      <c r="E194" s="7" t="n"/>
      <c r="F194" s="7" t="n"/>
      <c r="G194" s="7" t="n"/>
      <c r="H194" s="12" t="n"/>
      <c r="I194" s="11" t="n"/>
      <c r="J194" s="9">
        <f>IF(B194="","",(N(C194)+N(D194)))</f>
        <v/>
      </c>
      <c r="K194" s="9">
        <f>IF(B194="","",INDEX(Settings!$D$8:$D$15,MATCH(Settings!$C$4,Settings!$B$8:$B$15,0))+INDEX(Settings!$E$8:$E$15,MATCH(Settings!$C$4,Settings!$B$8:$B$15,0))*(N(C194)+N(D194))+INDEX(Settings!$F$8:$F$15,MATCH(Settings!$C$4,Settings!$B$8:$B$15,0))*(N(C194)+N(D194))*(1+Settings!$C$26)+INDEX(Settings!$G$8:$G$15,MATCH(Settings!$C$4,Settings!$B$8:$B$15,0))+N(I194)*MIN(Settings!$C$23*(N(C194)+N(D194)),Settings!$C$24)+INDEX(Settings!$H$8:$H$15,MATCH(Settings!$C$4,Settings!$B$8:$B$15,0))*(N(C194)+N(D194))+IF(Settings!$C$25="Yes",0.025,0)*(N(C194)+N(D194))+INDEX(Settings!$I$8:$I$15,MATCH(Settings!$C$4,Settings!$B$8:$B$15,0))*(INDEX(Settings!$D$8:$D$15,MATCH(Settings!$C$4,Settings!$B$8:$B$15,0))+INDEX(Settings!$E$8:$E$15,MATCH(Settings!$C$4,Settings!$B$8:$B$15,0))*(N(C194)+N(D194))+N(I194)*MIN(Settings!$C$23*(N(C194)+N(D194)),Settings!$C$24)+INDEX(Settings!$H$8:$H$15,MATCH(Settings!$C$4,Settings!$B$8:$B$15,0))*(N(C194)+N(D194))))</f>
        <v/>
      </c>
      <c r="L194" s="9">
        <f>IF(B194="","",N(E194)+N(F194)+N(G194)+N(H194)/60*Settings!$C$27)</f>
        <v/>
      </c>
      <c r="M194" s="20">
        <f>IF(B194="","",J194-K194-L194)</f>
        <v/>
      </c>
      <c r="N194" s="26">
        <f>IF(OR(B194="",N(J194)=0),"",M194/J194)</f>
        <v/>
      </c>
      <c r="O194" s="8">
        <f>IF(B194="","",IF(M194&lt;0,"Loss",IF(N194&lt;Settings!$C$28,"Below target","On target")))</f>
        <v/>
      </c>
      <c r="P194" s="14">
        <f>IF(B194="","",IF(1-(INDEX(Settings!$E$8:$E$15,MATCH(Settings!$C$4,Settings!$B$8:$B$15,0))+INDEX(Settings!$F$8:$F$15,MATCH(Settings!$C$4,Settings!$B$8:$B$15,0))*(1+Settings!$C$26)+N(I194)*Settings!$C$23+INDEX(Settings!$H$8:$H$15,MATCH(Settings!$C$4,Settings!$B$8:$B$15,0))+IF(Settings!$C$25="Yes",0.025,0)+INDEX(Settings!$I$8:$I$15,MATCH(Settings!$C$4,Settings!$B$8:$B$15,0))*(INDEX(Settings!$E$8:$E$15,MATCH(Settings!$C$4,Settings!$B$8:$B$15,0))+N(I194)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194)/(1-(INDEX(Settings!$E$8:$E$15,MATCH(Settings!$C$4,Settings!$B$8:$B$15,0))+INDEX(Settings!$F$8:$F$15,MATCH(Settings!$C$4,Settings!$B$8:$B$15,0))*(1+Settings!$C$26)+N(I194)*Settings!$C$23+INDEX(Settings!$H$8:$H$15,MATCH(Settings!$C$4,Settings!$B$8:$B$15,0))+IF(Settings!$C$25="Yes",0.025,0)+INDEX(Settings!$I$8:$I$15,MATCH(Settings!$C$4,Settings!$B$8:$B$15,0))*(INDEX(Settings!$E$8:$E$15,MATCH(Settings!$C$4,Settings!$B$8:$B$15,0))+N(I194)*Settings!$C$23+INDEX(Settings!$H$8:$H$15,MATCH(Settings!$C$4,Settings!$B$8:$B$15,0))))-Settings!$C$28)-N(D194))))</f>
        <v/>
      </c>
      <c r="Q194" s="1" t="n"/>
    </row>
    <row r="195">
      <c r="A195" s="1" t="n"/>
      <c r="B195" s="25" t="n"/>
      <c r="C195" s="7" t="n"/>
      <c r="D195" s="7" t="n"/>
      <c r="E195" s="7" t="n"/>
      <c r="F195" s="7" t="n"/>
      <c r="G195" s="7" t="n"/>
      <c r="H195" s="12" t="n"/>
      <c r="I195" s="11" t="n"/>
      <c r="J195" s="9">
        <f>IF(B195="","",(N(C195)+N(D195)))</f>
        <v/>
      </c>
      <c r="K195" s="9">
        <f>IF(B195="","",INDEX(Settings!$D$8:$D$15,MATCH(Settings!$C$4,Settings!$B$8:$B$15,0))+INDEX(Settings!$E$8:$E$15,MATCH(Settings!$C$4,Settings!$B$8:$B$15,0))*(N(C195)+N(D195))+INDEX(Settings!$F$8:$F$15,MATCH(Settings!$C$4,Settings!$B$8:$B$15,0))*(N(C195)+N(D195))*(1+Settings!$C$26)+INDEX(Settings!$G$8:$G$15,MATCH(Settings!$C$4,Settings!$B$8:$B$15,0))+N(I195)*MIN(Settings!$C$23*(N(C195)+N(D195)),Settings!$C$24)+INDEX(Settings!$H$8:$H$15,MATCH(Settings!$C$4,Settings!$B$8:$B$15,0))*(N(C195)+N(D195))+IF(Settings!$C$25="Yes",0.025,0)*(N(C195)+N(D195))+INDEX(Settings!$I$8:$I$15,MATCH(Settings!$C$4,Settings!$B$8:$B$15,0))*(INDEX(Settings!$D$8:$D$15,MATCH(Settings!$C$4,Settings!$B$8:$B$15,0))+INDEX(Settings!$E$8:$E$15,MATCH(Settings!$C$4,Settings!$B$8:$B$15,0))*(N(C195)+N(D195))+N(I195)*MIN(Settings!$C$23*(N(C195)+N(D195)),Settings!$C$24)+INDEX(Settings!$H$8:$H$15,MATCH(Settings!$C$4,Settings!$B$8:$B$15,0))*(N(C195)+N(D195))))</f>
        <v/>
      </c>
      <c r="L195" s="9">
        <f>IF(B195="","",N(E195)+N(F195)+N(G195)+N(H195)/60*Settings!$C$27)</f>
        <v/>
      </c>
      <c r="M195" s="20">
        <f>IF(B195="","",J195-K195-L195)</f>
        <v/>
      </c>
      <c r="N195" s="26">
        <f>IF(OR(B195="",N(J195)=0),"",M195/J195)</f>
        <v/>
      </c>
      <c r="O195" s="8">
        <f>IF(B195="","",IF(M195&lt;0,"Loss",IF(N195&lt;Settings!$C$28,"Below target","On target")))</f>
        <v/>
      </c>
      <c r="P195" s="14">
        <f>IF(B195="","",IF(1-(INDEX(Settings!$E$8:$E$15,MATCH(Settings!$C$4,Settings!$B$8:$B$15,0))+INDEX(Settings!$F$8:$F$15,MATCH(Settings!$C$4,Settings!$B$8:$B$15,0))*(1+Settings!$C$26)+N(I195)*Settings!$C$23+INDEX(Settings!$H$8:$H$15,MATCH(Settings!$C$4,Settings!$B$8:$B$15,0))+IF(Settings!$C$25="Yes",0.025,0)+INDEX(Settings!$I$8:$I$15,MATCH(Settings!$C$4,Settings!$B$8:$B$15,0))*(INDEX(Settings!$E$8:$E$15,MATCH(Settings!$C$4,Settings!$B$8:$B$15,0))+N(I195)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195)/(1-(INDEX(Settings!$E$8:$E$15,MATCH(Settings!$C$4,Settings!$B$8:$B$15,0))+INDEX(Settings!$F$8:$F$15,MATCH(Settings!$C$4,Settings!$B$8:$B$15,0))*(1+Settings!$C$26)+N(I195)*Settings!$C$23+INDEX(Settings!$H$8:$H$15,MATCH(Settings!$C$4,Settings!$B$8:$B$15,0))+IF(Settings!$C$25="Yes",0.025,0)+INDEX(Settings!$I$8:$I$15,MATCH(Settings!$C$4,Settings!$B$8:$B$15,0))*(INDEX(Settings!$E$8:$E$15,MATCH(Settings!$C$4,Settings!$B$8:$B$15,0))+N(I195)*Settings!$C$23+INDEX(Settings!$H$8:$H$15,MATCH(Settings!$C$4,Settings!$B$8:$B$15,0))))-Settings!$C$28)-N(D195))))</f>
        <v/>
      </c>
      <c r="Q195" s="1" t="n"/>
    </row>
    <row r="196">
      <c r="A196" s="1" t="n"/>
      <c r="B196" s="25" t="n"/>
      <c r="C196" s="7" t="n"/>
      <c r="D196" s="7" t="n"/>
      <c r="E196" s="7" t="n"/>
      <c r="F196" s="7" t="n"/>
      <c r="G196" s="7" t="n"/>
      <c r="H196" s="12" t="n"/>
      <c r="I196" s="11" t="n"/>
      <c r="J196" s="9">
        <f>IF(B196="","",(N(C196)+N(D196)))</f>
        <v/>
      </c>
      <c r="K196" s="9">
        <f>IF(B196="","",INDEX(Settings!$D$8:$D$15,MATCH(Settings!$C$4,Settings!$B$8:$B$15,0))+INDEX(Settings!$E$8:$E$15,MATCH(Settings!$C$4,Settings!$B$8:$B$15,0))*(N(C196)+N(D196))+INDEX(Settings!$F$8:$F$15,MATCH(Settings!$C$4,Settings!$B$8:$B$15,0))*(N(C196)+N(D196))*(1+Settings!$C$26)+INDEX(Settings!$G$8:$G$15,MATCH(Settings!$C$4,Settings!$B$8:$B$15,0))+N(I196)*MIN(Settings!$C$23*(N(C196)+N(D196)),Settings!$C$24)+INDEX(Settings!$H$8:$H$15,MATCH(Settings!$C$4,Settings!$B$8:$B$15,0))*(N(C196)+N(D196))+IF(Settings!$C$25="Yes",0.025,0)*(N(C196)+N(D196))+INDEX(Settings!$I$8:$I$15,MATCH(Settings!$C$4,Settings!$B$8:$B$15,0))*(INDEX(Settings!$D$8:$D$15,MATCH(Settings!$C$4,Settings!$B$8:$B$15,0))+INDEX(Settings!$E$8:$E$15,MATCH(Settings!$C$4,Settings!$B$8:$B$15,0))*(N(C196)+N(D196))+N(I196)*MIN(Settings!$C$23*(N(C196)+N(D196)),Settings!$C$24)+INDEX(Settings!$H$8:$H$15,MATCH(Settings!$C$4,Settings!$B$8:$B$15,0))*(N(C196)+N(D196))))</f>
        <v/>
      </c>
      <c r="L196" s="9">
        <f>IF(B196="","",N(E196)+N(F196)+N(G196)+N(H196)/60*Settings!$C$27)</f>
        <v/>
      </c>
      <c r="M196" s="20">
        <f>IF(B196="","",J196-K196-L196)</f>
        <v/>
      </c>
      <c r="N196" s="26">
        <f>IF(OR(B196="",N(J196)=0),"",M196/J196)</f>
        <v/>
      </c>
      <c r="O196" s="8">
        <f>IF(B196="","",IF(M196&lt;0,"Loss",IF(N196&lt;Settings!$C$28,"Below target","On target")))</f>
        <v/>
      </c>
      <c r="P196" s="14">
        <f>IF(B196="","",IF(1-(INDEX(Settings!$E$8:$E$15,MATCH(Settings!$C$4,Settings!$B$8:$B$15,0))+INDEX(Settings!$F$8:$F$15,MATCH(Settings!$C$4,Settings!$B$8:$B$15,0))*(1+Settings!$C$26)+N(I196)*Settings!$C$23+INDEX(Settings!$H$8:$H$15,MATCH(Settings!$C$4,Settings!$B$8:$B$15,0))+IF(Settings!$C$25="Yes",0.025,0)+INDEX(Settings!$I$8:$I$15,MATCH(Settings!$C$4,Settings!$B$8:$B$15,0))*(INDEX(Settings!$E$8:$E$15,MATCH(Settings!$C$4,Settings!$B$8:$B$15,0))+N(I196)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196)/(1-(INDEX(Settings!$E$8:$E$15,MATCH(Settings!$C$4,Settings!$B$8:$B$15,0))+INDEX(Settings!$F$8:$F$15,MATCH(Settings!$C$4,Settings!$B$8:$B$15,0))*(1+Settings!$C$26)+N(I196)*Settings!$C$23+INDEX(Settings!$H$8:$H$15,MATCH(Settings!$C$4,Settings!$B$8:$B$15,0))+IF(Settings!$C$25="Yes",0.025,0)+INDEX(Settings!$I$8:$I$15,MATCH(Settings!$C$4,Settings!$B$8:$B$15,0))*(INDEX(Settings!$E$8:$E$15,MATCH(Settings!$C$4,Settings!$B$8:$B$15,0))+N(I196)*Settings!$C$23+INDEX(Settings!$H$8:$H$15,MATCH(Settings!$C$4,Settings!$B$8:$B$15,0))))-Settings!$C$28)-N(D196))))</f>
        <v/>
      </c>
      <c r="Q196" s="1" t="n"/>
    </row>
    <row r="197">
      <c r="A197" s="1" t="n"/>
      <c r="B197" s="25" t="n"/>
      <c r="C197" s="7" t="n"/>
      <c r="D197" s="7" t="n"/>
      <c r="E197" s="7" t="n"/>
      <c r="F197" s="7" t="n"/>
      <c r="G197" s="7" t="n"/>
      <c r="H197" s="12" t="n"/>
      <c r="I197" s="11" t="n"/>
      <c r="J197" s="9">
        <f>IF(B197="","",(N(C197)+N(D197)))</f>
        <v/>
      </c>
      <c r="K197" s="9">
        <f>IF(B197="","",INDEX(Settings!$D$8:$D$15,MATCH(Settings!$C$4,Settings!$B$8:$B$15,0))+INDEX(Settings!$E$8:$E$15,MATCH(Settings!$C$4,Settings!$B$8:$B$15,0))*(N(C197)+N(D197))+INDEX(Settings!$F$8:$F$15,MATCH(Settings!$C$4,Settings!$B$8:$B$15,0))*(N(C197)+N(D197))*(1+Settings!$C$26)+INDEX(Settings!$G$8:$G$15,MATCH(Settings!$C$4,Settings!$B$8:$B$15,0))+N(I197)*MIN(Settings!$C$23*(N(C197)+N(D197)),Settings!$C$24)+INDEX(Settings!$H$8:$H$15,MATCH(Settings!$C$4,Settings!$B$8:$B$15,0))*(N(C197)+N(D197))+IF(Settings!$C$25="Yes",0.025,0)*(N(C197)+N(D197))+INDEX(Settings!$I$8:$I$15,MATCH(Settings!$C$4,Settings!$B$8:$B$15,0))*(INDEX(Settings!$D$8:$D$15,MATCH(Settings!$C$4,Settings!$B$8:$B$15,0))+INDEX(Settings!$E$8:$E$15,MATCH(Settings!$C$4,Settings!$B$8:$B$15,0))*(N(C197)+N(D197))+N(I197)*MIN(Settings!$C$23*(N(C197)+N(D197)),Settings!$C$24)+INDEX(Settings!$H$8:$H$15,MATCH(Settings!$C$4,Settings!$B$8:$B$15,0))*(N(C197)+N(D197))))</f>
        <v/>
      </c>
      <c r="L197" s="9">
        <f>IF(B197="","",N(E197)+N(F197)+N(G197)+N(H197)/60*Settings!$C$27)</f>
        <v/>
      </c>
      <c r="M197" s="20">
        <f>IF(B197="","",J197-K197-L197)</f>
        <v/>
      </c>
      <c r="N197" s="26">
        <f>IF(OR(B197="",N(J197)=0),"",M197/J197)</f>
        <v/>
      </c>
      <c r="O197" s="8">
        <f>IF(B197="","",IF(M197&lt;0,"Loss",IF(N197&lt;Settings!$C$28,"Below target","On target")))</f>
        <v/>
      </c>
      <c r="P197" s="14">
        <f>IF(B197="","",IF(1-(INDEX(Settings!$E$8:$E$15,MATCH(Settings!$C$4,Settings!$B$8:$B$15,0))+INDEX(Settings!$F$8:$F$15,MATCH(Settings!$C$4,Settings!$B$8:$B$15,0))*(1+Settings!$C$26)+N(I197)*Settings!$C$23+INDEX(Settings!$H$8:$H$15,MATCH(Settings!$C$4,Settings!$B$8:$B$15,0))+IF(Settings!$C$25="Yes",0.025,0)+INDEX(Settings!$I$8:$I$15,MATCH(Settings!$C$4,Settings!$B$8:$B$15,0))*(INDEX(Settings!$E$8:$E$15,MATCH(Settings!$C$4,Settings!$B$8:$B$15,0))+N(I197)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197)/(1-(INDEX(Settings!$E$8:$E$15,MATCH(Settings!$C$4,Settings!$B$8:$B$15,0))+INDEX(Settings!$F$8:$F$15,MATCH(Settings!$C$4,Settings!$B$8:$B$15,0))*(1+Settings!$C$26)+N(I197)*Settings!$C$23+INDEX(Settings!$H$8:$H$15,MATCH(Settings!$C$4,Settings!$B$8:$B$15,0))+IF(Settings!$C$25="Yes",0.025,0)+INDEX(Settings!$I$8:$I$15,MATCH(Settings!$C$4,Settings!$B$8:$B$15,0))*(INDEX(Settings!$E$8:$E$15,MATCH(Settings!$C$4,Settings!$B$8:$B$15,0))+N(I197)*Settings!$C$23+INDEX(Settings!$H$8:$H$15,MATCH(Settings!$C$4,Settings!$B$8:$B$15,0))))-Settings!$C$28)-N(D197))))</f>
        <v/>
      </c>
      <c r="Q197" s="1" t="n"/>
    </row>
    <row r="198">
      <c r="A198" s="1" t="n"/>
      <c r="B198" s="25" t="n"/>
      <c r="C198" s="7" t="n"/>
      <c r="D198" s="7" t="n"/>
      <c r="E198" s="7" t="n"/>
      <c r="F198" s="7" t="n"/>
      <c r="G198" s="7" t="n"/>
      <c r="H198" s="12" t="n"/>
      <c r="I198" s="11" t="n"/>
      <c r="J198" s="9">
        <f>IF(B198="","",(N(C198)+N(D198)))</f>
        <v/>
      </c>
      <c r="K198" s="9">
        <f>IF(B198="","",INDEX(Settings!$D$8:$D$15,MATCH(Settings!$C$4,Settings!$B$8:$B$15,0))+INDEX(Settings!$E$8:$E$15,MATCH(Settings!$C$4,Settings!$B$8:$B$15,0))*(N(C198)+N(D198))+INDEX(Settings!$F$8:$F$15,MATCH(Settings!$C$4,Settings!$B$8:$B$15,0))*(N(C198)+N(D198))*(1+Settings!$C$26)+INDEX(Settings!$G$8:$G$15,MATCH(Settings!$C$4,Settings!$B$8:$B$15,0))+N(I198)*MIN(Settings!$C$23*(N(C198)+N(D198)),Settings!$C$24)+INDEX(Settings!$H$8:$H$15,MATCH(Settings!$C$4,Settings!$B$8:$B$15,0))*(N(C198)+N(D198))+IF(Settings!$C$25="Yes",0.025,0)*(N(C198)+N(D198))+INDEX(Settings!$I$8:$I$15,MATCH(Settings!$C$4,Settings!$B$8:$B$15,0))*(INDEX(Settings!$D$8:$D$15,MATCH(Settings!$C$4,Settings!$B$8:$B$15,0))+INDEX(Settings!$E$8:$E$15,MATCH(Settings!$C$4,Settings!$B$8:$B$15,0))*(N(C198)+N(D198))+N(I198)*MIN(Settings!$C$23*(N(C198)+N(D198)),Settings!$C$24)+INDEX(Settings!$H$8:$H$15,MATCH(Settings!$C$4,Settings!$B$8:$B$15,0))*(N(C198)+N(D198))))</f>
        <v/>
      </c>
      <c r="L198" s="9">
        <f>IF(B198="","",N(E198)+N(F198)+N(G198)+N(H198)/60*Settings!$C$27)</f>
        <v/>
      </c>
      <c r="M198" s="20">
        <f>IF(B198="","",J198-K198-L198)</f>
        <v/>
      </c>
      <c r="N198" s="26">
        <f>IF(OR(B198="",N(J198)=0),"",M198/J198)</f>
        <v/>
      </c>
      <c r="O198" s="8">
        <f>IF(B198="","",IF(M198&lt;0,"Loss",IF(N198&lt;Settings!$C$28,"Below target","On target")))</f>
        <v/>
      </c>
      <c r="P198" s="14">
        <f>IF(B198="","",IF(1-(INDEX(Settings!$E$8:$E$15,MATCH(Settings!$C$4,Settings!$B$8:$B$15,0))+INDEX(Settings!$F$8:$F$15,MATCH(Settings!$C$4,Settings!$B$8:$B$15,0))*(1+Settings!$C$26)+N(I198)*Settings!$C$23+INDEX(Settings!$H$8:$H$15,MATCH(Settings!$C$4,Settings!$B$8:$B$15,0))+IF(Settings!$C$25="Yes",0.025,0)+INDEX(Settings!$I$8:$I$15,MATCH(Settings!$C$4,Settings!$B$8:$B$15,0))*(INDEX(Settings!$E$8:$E$15,MATCH(Settings!$C$4,Settings!$B$8:$B$15,0))+N(I198)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198)/(1-(INDEX(Settings!$E$8:$E$15,MATCH(Settings!$C$4,Settings!$B$8:$B$15,0))+INDEX(Settings!$F$8:$F$15,MATCH(Settings!$C$4,Settings!$B$8:$B$15,0))*(1+Settings!$C$26)+N(I198)*Settings!$C$23+INDEX(Settings!$H$8:$H$15,MATCH(Settings!$C$4,Settings!$B$8:$B$15,0))+IF(Settings!$C$25="Yes",0.025,0)+INDEX(Settings!$I$8:$I$15,MATCH(Settings!$C$4,Settings!$B$8:$B$15,0))*(INDEX(Settings!$E$8:$E$15,MATCH(Settings!$C$4,Settings!$B$8:$B$15,0))+N(I198)*Settings!$C$23+INDEX(Settings!$H$8:$H$15,MATCH(Settings!$C$4,Settings!$B$8:$B$15,0))))-Settings!$C$28)-N(D198))))</f>
        <v/>
      </c>
      <c r="Q198" s="1" t="n"/>
    </row>
    <row r="199">
      <c r="A199" s="1" t="n"/>
      <c r="B199" s="25" t="n"/>
      <c r="C199" s="7" t="n"/>
      <c r="D199" s="7" t="n"/>
      <c r="E199" s="7" t="n"/>
      <c r="F199" s="7" t="n"/>
      <c r="G199" s="7" t="n"/>
      <c r="H199" s="12" t="n"/>
      <c r="I199" s="11" t="n"/>
      <c r="J199" s="9">
        <f>IF(B199="","",(N(C199)+N(D199)))</f>
        <v/>
      </c>
      <c r="K199" s="9">
        <f>IF(B199="","",INDEX(Settings!$D$8:$D$15,MATCH(Settings!$C$4,Settings!$B$8:$B$15,0))+INDEX(Settings!$E$8:$E$15,MATCH(Settings!$C$4,Settings!$B$8:$B$15,0))*(N(C199)+N(D199))+INDEX(Settings!$F$8:$F$15,MATCH(Settings!$C$4,Settings!$B$8:$B$15,0))*(N(C199)+N(D199))*(1+Settings!$C$26)+INDEX(Settings!$G$8:$G$15,MATCH(Settings!$C$4,Settings!$B$8:$B$15,0))+N(I199)*MIN(Settings!$C$23*(N(C199)+N(D199)),Settings!$C$24)+INDEX(Settings!$H$8:$H$15,MATCH(Settings!$C$4,Settings!$B$8:$B$15,0))*(N(C199)+N(D199))+IF(Settings!$C$25="Yes",0.025,0)*(N(C199)+N(D199))+INDEX(Settings!$I$8:$I$15,MATCH(Settings!$C$4,Settings!$B$8:$B$15,0))*(INDEX(Settings!$D$8:$D$15,MATCH(Settings!$C$4,Settings!$B$8:$B$15,0))+INDEX(Settings!$E$8:$E$15,MATCH(Settings!$C$4,Settings!$B$8:$B$15,0))*(N(C199)+N(D199))+N(I199)*MIN(Settings!$C$23*(N(C199)+N(D199)),Settings!$C$24)+INDEX(Settings!$H$8:$H$15,MATCH(Settings!$C$4,Settings!$B$8:$B$15,0))*(N(C199)+N(D199))))</f>
        <v/>
      </c>
      <c r="L199" s="9">
        <f>IF(B199="","",N(E199)+N(F199)+N(G199)+N(H199)/60*Settings!$C$27)</f>
        <v/>
      </c>
      <c r="M199" s="20">
        <f>IF(B199="","",J199-K199-L199)</f>
        <v/>
      </c>
      <c r="N199" s="26">
        <f>IF(OR(B199="",N(J199)=0),"",M199/J199)</f>
        <v/>
      </c>
      <c r="O199" s="8">
        <f>IF(B199="","",IF(M199&lt;0,"Loss",IF(N199&lt;Settings!$C$28,"Below target","On target")))</f>
        <v/>
      </c>
      <c r="P199" s="14">
        <f>IF(B199="","",IF(1-(INDEX(Settings!$E$8:$E$15,MATCH(Settings!$C$4,Settings!$B$8:$B$15,0))+INDEX(Settings!$F$8:$F$15,MATCH(Settings!$C$4,Settings!$B$8:$B$15,0))*(1+Settings!$C$26)+N(I199)*Settings!$C$23+INDEX(Settings!$H$8:$H$15,MATCH(Settings!$C$4,Settings!$B$8:$B$15,0))+IF(Settings!$C$25="Yes",0.025,0)+INDEX(Settings!$I$8:$I$15,MATCH(Settings!$C$4,Settings!$B$8:$B$15,0))*(INDEX(Settings!$E$8:$E$15,MATCH(Settings!$C$4,Settings!$B$8:$B$15,0))+N(I199)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199)/(1-(INDEX(Settings!$E$8:$E$15,MATCH(Settings!$C$4,Settings!$B$8:$B$15,0))+INDEX(Settings!$F$8:$F$15,MATCH(Settings!$C$4,Settings!$B$8:$B$15,0))*(1+Settings!$C$26)+N(I199)*Settings!$C$23+INDEX(Settings!$H$8:$H$15,MATCH(Settings!$C$4,Settings!$B$8:$B$15,0))+IF(Settings!$C$25="Yes",0.025,0)+INDEX(Settings!$I$8:$I$15,MATCH(Settings!$C$4,Settings!$B$8:$B$15,0))*(INDEX(Settings!$E$8:$E$15,MATCH(Settings!$C$4,Settings!$B$8:$B$15,0))+N(I199)*Settings!$C$23+INDEX(Settings!$H$8:$H$15,MATCH(Settings!$C$4,Settings!$B$8:$B$15,0))))-Settings!$C$28)-N(D199))))</f>
        <v/>
      </c>
      <c r="Q199" s="1" t="n"/>
    </row>
    <row r="200">
      <c r="A200" s="1" t="n"/>
      <c r="B200" s="25" t="n"/>
      <c r="C200" s="7" t="n"/>
      <c r="D200" s="7" t="n"/>
      <c r="E200" s="7" t="n"/>
      <c r="F200" s="7" t="n"/>
      <c r="G200" s="7" t="n"/>
      <c r="H200" s="12" t="n"/>
      <c r="I200" s="11" t="n"/>
      <c r="J200" s="9">
        <f>IF(B200="","",(N(C200)+N(D200)))</f>
        <v/>
      </c>
      <c r="K200" s="9">
        <f>IF(B200="","",INDEX(Settings!$D$8:$D$15,MATCH(Settings!$C$4,Settings!$B$8:$B$15,0))+INDEX(Settings!$E$8:$E$15,MATCH(Settings!$C$4,Settings!$B$8:$B$15,0))*(N(C200)+N(D200))+INDEX(Settings!$F$8:$F$15,MATCH(Settings!$C$4,Settings!$B$8:$B$15,0))*(N(C200)+N(D200))*(1+Settings!$C$26)+INDEX(Settings!$G$8:$G$15,MATCH(Settings!$C$4,Settings!$B$8:$B$15,0))+N(I200)*MIN(Settings!$C$23*(N(C200)+N(D200)),Settings!$C$24)+INDEX(Settings!$H$8:$H$15,MATCH(Settings!$C$4,Settings!$B$8:$B$15,0))*(N(C200)+N(D200))+IF(Settings!$C$25="Yes",0.025,0)*(N(C200)+N(D200))+INDEX(Settings!$I$8:$I$15,MATCH(Settings!$C$4,Settings!$B$8:$B$15,0))*(INDEX(Settings!$D$8:$D$15,MATCH(Settings!$C$4,Settings!$B$8:$B$15,0))+INDEX(Settings!$E$8:$E$15,MATCH(Settings!$C$4,Settings!$B$8:$B$15,0))*(N(C200)+N(D200))+N(I200)*MIN(Settings!$C$23*(N(C200)+N(D200)),Settings!$C$24)+INDEX(Settings!$H$8:$H$15,MATCH(Settings!$C$4,Settings!$B$8:$B$15,0))*(N(C200)+N(D200))))</f>
        <v/>
      </c>
      <c r="L200" s="9">
        <f>IF(B200="","",N(E200)+N(F200)+N(G200)+N(H200)/60*Settings!$C$27)</f>
        <v/>
      </c>
      <c r="M200" s="20">
        <f>IF(B200="","",J200-K200-L200)</f>
        <v/>
      </c>
      <c r="N200" s="26">
        <f>IF(OR(B200="",N(J200)=0),"",M200/J200)</f>
        <v/>
      </c>
      <c r="O200" s="8">
        <f>IF(B200="","",IF(M200&lt;0,"Loss",IF(N200&lt;Settings!$C$28,"Below target","On target")))</f>
        <v/>
      </c>
      <c r="P200" s="14">
        <f>IF(B200="","",IF(1-(INDEX(Settings!$E$8:$E$15,MATCH(Settings!$C$4,Settings!$B$8:$B$15,0))+INDEX(Settings!$F$8:$F$15,MATCH(Settings!$C$4,Settings!$B$8:$B$15,0))*(1+Settings!$C$26)+N(I200)*Settings!$C$23+INDEX(Settings!$H$8:$H$15,MATCH(Settings!$C$4,Settings!$B$8:$B$15,0))+IF(Settings!$C$25="Yes",0.025,0)+INDEX(Settings!$I$8:$I$15,MATCH(Settings!$C$4,Settings!$B$8:$B$15,0))*(INDEX(Settings!$E$8:$E$15,MATCH(Settings!$C$4,Settings!$B$8:$B$15,0))+N(I200)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200)/(1-(INDEX(Settings!$E$8:$E$15,MATCH(Settings!$C$4,Settings!$B$8:$B$15,0))+INDEX(Settings!$F$8:$F$15,MATCH(Settings!$C$4,Settings!$B$8:$B$15,0))*(1+Settings!$C$26)+N(I200)*Settings!$C$23+INDEX(Settings!$H$8:$H$15,MATCH(Settings!$C$4,Settings!$B$8:$B$15,0))+IF(Settings!$C$25="Yes",0.025,0)+INDEX(Settings!$I$8:$I$15,MATCH(Settings!$C$4,Settings!$B$8:$B$15,0))*(INDEX(Settings!$E$8:$E$15,MATCH(Settings!$C$4,Settings!$B$8:$B$15,0))+N(I200)*Settings!$C$23+INDEX(Settings!$H$8:$H$15,MATCH(Settings!$C$4,Settings!$B$8:$B$15,0))))-Settings!$C$28)-N(D200))))</f>
        <v/>
      </c>
      <c r="Q200" s="1" t="n"/>
    </row>
    <row r="201">
      <c r="A201" s="1" t="n"/>
      <c r="B201" s="25" t="n"/>
      <c r="C201" s="7" t="n"/>
      <c r="D201" s="7" t="n"/>
      <c r="E201" s="7" t="n"/>
      <c r="F201" s="7" t="n"/>
      <c r="G201" s="7" t="n"/>
      <c r="H201" s="12" t="n"/>
      <c r="I201" s="11" t="n"/>
      <c r="J201" s="9">
        <f>IF(B201="","",(N(C201)+N(D201)))</f>
        <v/>
      </c>
      <c r="K201" s="9">
        <f>IF(B201="","",INDEX(Settings!$D$8:$D$15,MATCH(Settings!$C$4,Settings!$B$8:$B$15,0))+INDEX(Settings!$E$8:$E$15,MATCH(Settings!$C$4,Settings!$B$8:$B$15,0))*(N(C201)+N(D201))+INDEX(Settings!$F$8:$F$15,MATCH(Settings!$C$4,Settings!$B$8:$B$15,0))*(N(C201)+N(D201))*(1+Settings!$C$26)+INDEX(Settings!$G$8:$G$15,MATCH(Settings!$C$4,Settings!$B$8:$B$15,0))+N(I201)*MIN(Settings!$C$23*(N(C201)+N(D201)),Settings!$C$24)+INDEX(Settings!$H$8:$H$15,MATCH(Settings!$C$4,Settings!$B$8:$B$15,0))*(N(C201)+N(D201))+IF(Settings!$C$25="Yes",0.025,0)*(N(C201)+N(D201))+INDEX(Settings!$I$8:$I$15,MATCH(Settings!$C$4,Settings!$B$8:$B$15,0))*(INDEX(Settings!$D$8:$D$15,MATCH(Settings!$C$4,Settings!$B$8:$B$15,0))+INDEX(Settings!$E$8:$E$15,MATCH(Settings!$C$4,Settings!$B$8:$B$15,0))*(N(C201)+N(D201))+N(I201)*MIN(Settings!$C$23*(N(C201)+N(D201)),Settings!$C$24)+INDEX(Settings!$H$8:$H$15,MATCH(Settings!$C$4,Settings!$B$8:$B$15,0))*(N(C201)+N(D201))))</f>
        <v/>
      </c>
      <c r="L201" s="9">
        <f>IF(B201="","",N(E201)+N(F201)+N(G201)+N(H201)/60*Settings!$C$27)</f>
        <v/>
      </c>
      <c r="M201" s="20">
        <f>IF(B201="","",J201-K201-L201)</f>
        <v/>
      </c>
      <c r="N201" s="26">
        <f>IF(OR(B201="",N(J201)=0),"",M201/J201)</f>
        <v/>
      </c>
      <c r="O201" s="8">
        <f>IF(B201="","",IF(M201&lt;0,"Loss",IF(N201&lt;Settings!$C$28,"Below target","On target")))</f>
        <v/>
      </c>
      <c r="P201" s="14">
        <f>IF(B201="","",IF(1-(INDEX(Settings!$E$8:$E$15,MATCH(Settings!$C$4,Settings!$B$8:$B$15,0))+INDEX(Settings!$F$8:$F$15,MATCH(Settings!$C$4,Settings!$B$8:$B$15,0))*(1+Settings!$C$26)+N(I201)*Settings!$C$23+INDEX(Settings!$H$8:$H$15,MATCH(Settings!$C$4,Settings!$B$8:$B$15,0))+IF(Settings!$C$25="Yes",0.025,0)+INDEX(Settings!$I$8:$I$15,MATCH(Settings!$C$4,Settings!$B$8:$B$15,0))*(INDEX(Settings!$E$8:$E$15,MATCH(Settings!$C$4,Settings!$B$8:$B$15,0))+N(I201)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201)/(1-(INDEX(Settings!$E$8:$E$15,MATCH(Settings!$C$4,Settings!$B$8:$B$15,0))+INDEX(Settings!$F$8:$F$15,MATCH(Settings!$C$4,Settings!$B$8:$B$15,0))*(1+Settings!$C$26)+N(I201)*Settings!$C$23+INDEX(Settings!$H$8:$H$15,MATCH(Settings!$C$4,Settings!$B$8:$B$15,0))+IF(Settings!$C$25="Yes",0.025,0)+INDEX(Settings!$I$8:$I$15,MATCH(Settings!$C$4,Settings!$B$8:$B$15,0))*(INDEX(Settings!$E$8:$E$15,MATCH(Settings!$C$4,Settings!$B$8:$B$15,0))+N(I201)*Settings!$C$23+INDEX(Settings!$H$8:$H$15,MATCH(Settings!$C$4,Settings!$B$8:$B$15,0))))-Settings!$C$28)-N(D201))))</f>
        <v/>
      </c>
      <c r="Q201" s="1" t="n"/>
    </row>
    <row r="202">
      <c r="A202" s="1" t="n"/>
      <c r="B202" s="25" t="n"/>
      <c r="C202" s="7" t="n"/>
      <c r="D202" s="7" t="n"/>
      <c r="E202" s="7" t="n"/>
      <c r="F202" s="7" t="n"/>
      <c r="G202" s="7" t="n"/>
      <c r="H202" s="12" t="n"/>
      <c r="I202" s="11" t="n"/>
      <c r="J202" s="9">
        <f>IF(B202="","",(N(C202)+N(D202)))</f>
        <v/>
      </c>
      <c r="K202" s="9">
        <f>IF(B202="","",INDEX(Settings!$D$8:$D$15,MATCH(Settings!$C$4,Settings!$B$8:$B$15,0))+INDEX(Settings!$E$8:$E$15,MATCH(Settings!$C$4,Settings!$B$8:$B$15,0))*(N(C202)+N(D202))+INDEX(Settings!$F$8:$F$15,MATCH(Settings!$C$4,Settings!$B$8:$B$15,0))*(N(C202)+N(D202))*(1+Settings!$C$26)+INDEX(Settings!$G$8:$G$15,MATCH(Settings!$C$4,Settings!$B$8:$B$15,0))+N(I202)*MIN(Settings!$C$23*(N(C202)+N(D202)),Settings!$C$24)+INDEX(Settings!$H$8:$H$15,MATCH(Settings!$C$4,Settings!$B$8:$B$15,0))*(N(C202)+N(D202))+IF(Settings!$C$25="Yes",0.025,0)*(N(C202)+N(D202))+INDEX(Settings!$I$8:$I$15,MATCH(Settings!$C$4,Settings!$B$8:$B$15,0))*(INDEX(Settings!$D$8:$D$15,MATCH(Settings!$C$4,Settings!$B$8:$B$15,0))+INDEX(Settings!$E$8:$E$15,MATCH(Settings!$C$4,Settings!$B$8:$B$15,0))*(N(C202)+N(D202))+N(I202)*MIN(Settings!$C$23*(N(C202)+N(D202)),Settings!$C$24)+INDEX(Settings!$H$8:$H$15,MATCH(Settings!$C$4,Settings!$B$8:$B$15,0))*(N(C202)+N(D202))))</f>
        <v/>
      </c>
      <c r="L202" s="9">
        <f>IF(B202="","",N(E202)+N(F202)+N(G202)+N(H202)/60*Settings!$C$27)</f>
        <v/>
      </c>
      <c r="M202" s="20">
        <f>IF(B202="","",J202-K202-L202)</f>
        <v/>
      </c>
      <c r="N202" s="26">
        <f>IF(OR(B202="",N(J202)=0),"",M202/J202)</f>
        <v/>
      </c>
      <c r="O202" s="8">
        <f>IF(B202="","",IF(M202&lt;0,"Loss",IF(N202&lt;Settings!$C$28,"Below target","On target")))</f>
        <v/>
      </c>
      <c r="P202" s="14">
        <f>IF(B202="","",IF(1-(INDEX(Settings!$E$8:$E$15,MATCH(Settings!$C$4,Settings!$B$8:$B$15,0))+INDEX(Settings!$F$8:$F$15,MATCH(Settings!$C$4,Settings!$B$8:$B$15,0))*(1+Settings!$C$26)+N(I202)*Settings!$C$23+INDEX(Settings!$H$8:$H$15,MATCH(Settings!$C$4,Settings!$B$8:$B$15,0))+IF(Settings!$C$25="Yes",0.025,0)+INDEX(Settings!$I$8:$I$15,MATCH(Settings!$C$4,Settings!$B$8:$B$15,0))*(INDEX(Settings!$E$8:$E$15,MATCH(Settings!$C$4,Settings!$B$8:$B$15,0))+N(I202)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202)/(1-(INDEX(Settings!$E$8:$E$15,MATCH(Settings!$C$4,Settings!$B$8:$B$15,0))+INDEX(Settings!$F$8:$F$15,MATCH(Settings!$C$4,Settings!$B$8:$B$15,0))*(1+Settings!$C$26)+N(I202)*Settings!$C$23+INDEX(Settings!$H$8:$H$15,MATCH(Settings!$C$4,Settings!$B$8:$B$15,0))+IF(Settings!$C$25="Yes",0.025,0)+INDEX(Settings!$I$8:$I$15,MATCH(Settings!$C$4,Settings!$B$8:$B$15,0))*(INDEX(Settings!$E$8:$E$15,MATCH(Settings!$C$4,Settings!$B$8:$B$15,0))+N(I202)*Settings!$C$23+INDEX(Settings!$H$8:$H$15,MATCH(Settings!$C$4,Settings!$B$8:$B$15,0))))-Settings!$C$28)-N(D202))))</f>
        <v/>
      </c>
      <c r="Q202" s="1" t="n"/>
    </row>
    <row r="203">
      <c r="A203" s="1" t="n"/>
      <c r="B203" s="25" t="n"/>
      <c r="C203" s="7" t="n"/>
      <c r="D203" s="7" t="n"/>
      <c r="E203" s="7" t="n"/>
      <c r="F203" s="7" t="n"/>
      <c r="G203" s="7" t="n"/>
      <c r="H203" s="12" t="n"/>
      <c r="I203" s="11" t="n"/>
      <c r="J203" s="9">
        <f>IF(B203="","",(N(C203)+N(D203)))</f>
        <v/>
      </c>
      <c r="K203" s="9">
        <f>IF(B203="","",INDEX(Settings!$D$8:$D$15,MATCH(Settings!$C$4,Settings!$B$8:$B$15,0))+INDEX(Settings!$E$8:$E$15,MATCH(Settings!$C$4,Settings!$B$8:$B$15,0))*(N(C203)+N(D203))+INDEX(Settings!$F$8:$F$15,MATCH(Settings!$C$4,Settings!$B$8:$B$15,0))*(N(C203)+N(D203))*(1+Settings!$C$26)+INDEX(Settings!$G$8:$G$15,MATCH(Settings!$C$4,Settings!$B$8:$B$15,0))+N(I203)*MIN(Settings!$C$23*(N(C203)+N(D203)),Settings!$C$24)+INDEX(Settings!$H$8:$H$15,MATCH(Settings!$C$4,Settings!$B$8:$B$15,0))*(N(C203)+N(D203))+IF(Settings!$C$25="Yes",0.025,0)*(N(C203)+N(D203))+INDEX(Settings!$I$8:$I$15,MATCH(Settings!$C$4,Settings!$B$8:$B$15,0))*(INDEX(Settings!$D$8:$D$15,MATCH(Settings!$C$4,Settings!$B$8:$B$15,0))+INDEX(Settings!$E$8:$E$15,MATCH(Settings!$C$4,Settings!$B$8:$B$15,0))*(N(C203)+N(D203))+N(I203)*MIN(Settings!$C$23*(N(C203)+N(D203)),Settings!$C$24)+INDEX(Settings!$H$8:$H$15,MATCH(Settings!$C$4,Settings!$B$8:$B$15,0))*(N(C203)+N(D203))))</f>
        <v/>
      </c>
      <c r="L203" s="9">
        <f>IF(B203="","",N(E203)+N(F203)+N(G203)+N(H203)/60*Settings!$C$27)</f>
        <v/>
      </c>
      <c r="M203" s="20">
        <f>IF(B203="","",J203-K203-L203)</f>
        <v/>
      </c>
      <c r="N203" s="26">
        <f>IF(OR(B203="",N(J203)=0),"",M203/J203)</f>
        <v/>
      </c>
      <c r="O203" s="8">
        <f>IF(B203="","",IF(M203&lt;0,"Loss",IF(N203&lt;Settings!$C$28,"Below target","On target")))</f>
        <v/>
      </c>
      <c r="P203" s="14">
        <f>IF(B203="","",IF(1-(INDEX(Settings!$E$8:$E$15,MATCH(Settings!$C$4,Settings!$B$8:$B$15,0))+INDEX(Settings!$F$8:$F$15,MATCH(Settings!$C$4,Settings!$B$8:$B$15,0))*(1+Settings!$C$26)+N(I203)*Settings!$C$23+INDEX(Settings!$H$8:$H$15,MATCH(Settings!$C$4,Settings!$B$8:$B$15,0))+IF(Settings!$C$25="Yes",0.025,0)+INDEX(Settings!$I$8:$I$15,MATCH(Settings!$C$4,Settings!$B$8:$B$15,0))*(INDEX(Settings!$E$8:$E$15,MATCH(Settings!$C$4,Settings!$B$8:$B$15,0))+N(I203)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203)/(1-(INDEX(Settings!$E$8:$E$15,MATCH(Settings!$C$4,Settings!$B$8:$B$15,0))+INDEX(Settings!$F$8:$F$15,MATCH(Settings!$C$4,Settings!$B$8:$B$15,0))*(1+Settings!$C$26)+N(I203)*Settings!$C$23+INDEX(Settings!$H$8:$H$15,MATCH(Settings!$C$4,Settings!$B$8:$B$15,0))+IF(Settings!$C$25="Yes",0.025,0)+INDEX(Settings!$I$8:$I$15,MATCH(Settings!$C$4,Settings!$B$8:$B$15,0))*(INDEX(Settings!$E$8:$E$15,MATCH(Settings!$C$4,Settings!$B$8:$B$15,0))+N(I203)*Settings!$C$23+INDEX(Settings!$H$8:$H$15,MATCH(Settings!$C$4,Settings!$B$8:$B$15,0))))-Settings!$C$28)-N(D203))))</f>
        <v/>
      </c>
      <c r="Q203" s="1" t="n"/>
    </row>
    <row r="204">
      <c r="A204" s="1" t="n"/>
      <c r="B204" s="25" t="n"/>
      <c r="C204" s="7" t="n"/>
      <c r="D204" s="7" t="n"/>
      <c r="E204" s="7" t="n"/>
      <c r="F204" s="7" t="n"/>
      <c r="G204" s="7" t="n"/>
      <c r="H204" s="12" t="n"/>
      <c r="I204" s="11" t="n"/>
      <c r="J204" s="9">
        <f>IF(B204="","",(N(C204)+N(D204)))</f>
        <v/>
      </c>
      <c r="K204" s="9">
        <f>IF(B204="","",INDEX(Settings!$D$8:$D$15,MATCH(Settings!$C$4,Settings!$B$8:$B$15,0))+INDEX(Settings!$E$8:$E$15,MATCH(Settings!$C$4,Settings!$B$8:$B$15,0))*(N(C204)+N(D204))+INDEX(Settings!$F$8:$F$15,MATCH(Settings!$C$4,Settings!$B$8:$B$15,0))*(N(C204)+N(D204))*(1+Settings!$C$26)+INDEX(Settings!$G$8:$G$15,MATCH(Settings!$C$4,Settings!$B$8:$B$15,0))+N(I204)*MIN(Settings!$C$23*(N(C204)+N(D204)),Settings!$C$24)+INDEX(Settings!$H$8:$H$15,MATCH(Settings!$C$4,Settings!$B$8:$B$15,0))*(N(C204)+N(D204))+IF(Settings!$C$25="Yes",0.025,0)*(N(C204)+N(D204))+INDEX(Settings!$I$8:$I$15,MATCH(Settings!$C$4,Settings!$B$8:$B$15,0))*(INDEX(Settings!$D$8:$D$15,MATCH(Settings!$C$4,Settings!$B$8:$B$15,0))+INDEX(Settings!$E$8:$E$15,MATCH(Settings!$C$4,Settings!$B$8:$B$15,0))*(N(C204)+N(D204))+N(I204)*MIN(Settings!$C$23*(N(C204)+N(D204)),Settings!$C$24)+INDEX(Settings!$H$8:$H$15,MATCH(Settings!$C$4,Settings!$B$8:$B$15,0))*(N(C204)+N(D204))))</f>
        <v/>
      </c>
      <c r="L204" s="9">
        <f>IF(B204="","",N(E204)+N(F204)+N(G204)+N(H204)/60*Settings!$C$27)</f>
        <v/>
      </c>
      <c r="M204" s="20">
        <f>IF(B204="","",J204-K204-L204)</f>
        <v/>
      </c>
      <c r="N204" s="26">
        <f>IF(OR(B204="",N(J204)=0),"",M204/J204)</f>
        <v/>
      </c>
      <c r="O204" s="8">
        <f>IF(B204="","",IF(M204&lt;0,"Loss",IF(N204&lt;Settings!$C$28,"Below target","On target")))</f>
        <v/>
      </c>
      <c r="P204" s="14">
        <f>IF(B204="","",IF(1-(INDEX(Settings!$E$8:$E$15,MATCH(Settings!$C$4,Settings!$B$8:$B$15,0))+INDEX(Settings!$F$8:$F$15,MATCH(Settings!$C$4,Settings!$B$8:$B$15,0))*(1+Settings!$C$26)+N(I204)*Settings!$C$23+INDEX(Settings!$H$8:$H$15,MATCH(Settings!$C$4,Settings!$B$8:$B$15,0))+IF(Settings!$C$25="Yes",0.025,0)+INDEX(Settings!$I$8:$I$15,MATCH(Settings!$C$4,Settings!$B$8:$B$15,0))*(INDEX(Settings!$E$8:$E$15,MATCH(Settings!$C$4,Settings!$B$8:$B$15,0))+N(I204)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204)/(1-(INDEX(Settings!$E$8:$E$15,MATCH(Settings!$C$4,Settings!$B$8:$B$15,0))+INDEX(Settings!$F$8:$F$15,MATCH(Settings!$C$4,Settings!$B$8:$B$15,0))*(1+Settings!$C$26)+N(I204)*Settings!$C$23+INDEX(Settings!$H$8:$H$15,MATCH(Settings!$C$4,Settings!$B$8:$B$15,0))+IF(Settings!$C$25="Yes",0.025,0)+INDEX(Settings!$I$8:$I$15,MATCH(Settings!$C$4,Settings!$B$8:$B$15,0))*(INDEX(Settings!$E$8:$E$15,MATCH(Settings!$C$4,Settings!$B$8:$B$15,0))+N(I204)*Settings!$C$23+INDEX(Settings!$H$8:$H$15,MATCH(Settings!$C$4,Settings!$B$8:$B$15,0))))-Settings!$C$28)-N(D204))))</f>
        <v/>
      </c>
      <c r="Q204" s="1" t="n"/>
    </row>
    <row r="205">
      <c r="A205" s="1" t="n"/>
      <c r="B205" s="25" t="n"/>
      <c r="C205" s="7" t="n"/>
      <c r="D205" s="7" t="n"/>
      <c r="E205" s="7" t="n"/>
      <c r="F205" s="7" t="n"/>
      <c r="G205" s="7" t="n"/>
      <c r="H205" s="12" t="n"/>
      <c r="I205" s="11" t="n"/>
      <c r="J205" s="9">
        <f>IF(B205="","",(N(C205)+N(D205)))</f>
        <v/>
      </c>
      <c r="K205" s="9">
        <f>IF(B205="","",INDEX(Settings!$D$8:$D$15,MATCH(Settings!$C$4,Settings!$B$8:$B$15,0))+INDEX(Settings!$E$8:$E$15,MATCH(Settings!$C$4,Settings!$B$8:$B$15,0))*(N(C205)+N(D205))+INDEX(Settings!$F$8:$F$15,MATCH(Settings!$C$4,Settings!$B$8:$B$15,0))*(N(C205)+N(D205))*(1+Settings!$C$26)+INDEX(Settings!$G$8:$G$15,MATCH(Settings!$C$4,Settings!$B$8:$B$15,0))+N(I205)*MIN(Settings!$C$23*(N(C205)+N(D205)),Settings!$C$24)+INDEX(Settings!$H$8:$H$15,MATCH(Settings!$C$4,Settings!$B$8:$B$15,0))*(N(C205)+N(D205))+IF(Settings!$C$25="Yes",0.025,0)*(N(C205)+N(D205))+INDEX(Settings!$I$8:$I$15,MATCH(Settings!$C$4,Settings!$B$8:$B$15,0))*(INDEX(Settings!$D$8:$D$15,MATCH(Settings!$C$4,Settings!$B$8:$B$15,0))+INDEX(Settings!$E$8:$E$15,MATCH(Settings!$C$4,Settings!$B$8:$B$15,0))*(N(C205)+N(D205))+N(I205)*MIN(Settings!$C$23*(N(C205)+N(D205)),Settings!$C$24)+INDEX(Settings!$H$8:$H$15,MATCH(Settings!$C$4,Settings!$B$8:$B$15,0))*(N(C205)+N(D205))))</f>
        <v/>
      </c>
      <c r="L205" s="9">
        <f>IF(B205="","",N(E205)+N(F205)+N(G205)+N(H205)/60*Settings!$C$27)</f>
        <v/>
      </c>
      <c r="M205" s="20">
        <f>IF(B205="","",J205-K205-L205)</f>
        <v/>
      </c>
      <c r="N205" s="26">
        <f>IF(OR(B205="",N(J205)=0),"",M205/J205)</f>
        <v/>
      </c>
      <c r="O205" s="8">
        <f>IF(B205="","",IF(M205&lt;0,"Loss",IF(N205&lt;Settings!$C$28,"Below target","On target")))</f>
        <v/>
      </c>
      <c r="P205" s="14">
        <f>IF(B205="","",IF(1-(INDEX(Settings!$E$8:$E$15,MATCH(Settings!$C$4,Settings!$B$8:$B$15,0))+INDEX(Settings!$F$8:$F$15,MATCH(Settings!$C$4,Settings!$B$8:$B$15,0))*(1+Settings!$C$26)+N(I205)*Settings!$C$23+INDEX(Settings!$H$8:$H$15,MATCH(Settings!$C$4,Settings!$B$8:$B$15,0))+IF(Settings!$C$25="Yes",0.025,0)+INDEX(Settings!$I$8:$I$15,MATCH(Settings!$C$4,Settings!$B$8:$B$15,0))*(INDEX(Settings!$E$8:$E$15,MATCH(Settings!$C$4,Settings!$B$8:$B$15,0))+N(I205)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205)/(1-(INDEX(Settings!$E$8:$E$15,MATCH(Settings!$C$4,Settings!$B$8:$B$15,0))+INDEX(Settings!$F$8:$F$15,MATCH(Settings!$C$4,Settings!$B$8:$B$15,0))*(1+Settings!$C$26)+N(I205)*Settings!$C$23+INDEX(Settings!$H$8:$H$15,MATCH(Settings!$C$4,Settings!$B$8:$B$15,0))+IF(Settings!$C$25="Yes",0.025,0)+INDEX(Settings!$I$8:$I$15,MATCH(Settings!$C$4,Settings!$B$8:$B$15,0))*(INDEX(Settings!$E$8:$E$15,MATCH(Settings!$C$4,Settings!$B$8:$B$15,0))+N(I205)*Settings!$C$23+INDEX(Settings!$H$8:$H$15,MATCH(Settings!$C$4,Settings!$B$8:$B$15,0))))-Settings!$C$28)-N(D205))))</f>
        <v/>
      </c>
      <c r="Q205" s="1" t="n"/>
    </row>
    <row r="206">
      <c r="A206" s="1" t="n"/>
      <c r="B206" s="25" t="n"/>
      <c r="C206" s="7" t="n"/>
      <c r="D206" s="7" t="n"/>
      <c r="E206" s="7" t="n"/>
      <c r="F206" s="7" t="n"/>
      <c r="G206" s="7" t="n"/>
      <c r="H206" s="12" t="n"/>
      <c r="I206" s="11" t="n"/>
      <c r="J206" s="9">
        <f>IF(B206="","",(N(C206)+N(D206)))</f>
        <v/>
      </c>
      <c r="K206" s="9">
        <f>IF(B206="","",INDEX(Settings!$D$8:$D$15,MATCH(Settings!$C$4,Settings!$B$8:$B$15,0))+INDEX(Settings!$E$8:$E$15,MATCH(Settings!$C$4,Settings!$B$8:$B$15,0))*(N(C206)+N(D206))+INDEX(Settings!$F$8:$F$15,MATCH(Settings!$C$4,Settings!$B$8:$B$15,0))*(N(C206)+N(D206))*(1+Settings!$C$26)+INDEX(Settings!$G$8:$G$15,MATCH(Settings!$C$4,Settings!$B$8:$B$15,0))+N(I206)*MIN(Settings!$C$23*(N(C206)+N(D206)),Settings!$C$24)+INDEX(Settings!$H$8:$H$15,MATCH(Settings!$C$4,Settings!$B$8:$B$15,0))*(N(C206)+N(D206))+IF(Settings!$C$25="Yes",0.025,0)*(N(C206)+N(D206))+INDEX(Settings!$I$8:$I$15,MATCH(Settings!$C$4,Settings!$B$8:$B$15,0))*(INDEX(Settings!$D$8:$D$15,MATCH(Settings!$C$4,Settings!$B$8:$B$15,0))+INDEX(Settings!$E$8:$E$15,MATCH(Settings!$C$4,Settings!$B$8:$B$15,0))*(N(C206)+N(D206))+N(I206)*MIN(Settings!$C$23*(N(C206)+N(D206)),Settings!$C$24)+INDEX(Settings!$H$8:$H$15,MATCH(Settings!$C$4,Settings!$B$8:$B$15,0))*(N(C206)+N(D206))))</f>
        <v/>
      </c>
      <c r="L206" s="9">
        <f>IF(B206="","",N(E206)+N(F206)+N(G206)+N(H206)/60*Settings!$C$27)</f>
        <v/>
      </c>
      <c r="M206" s="20">
        <f>IF(B206="","",J206-K206-L206)</f>
        <v/>
      </c>
      <c r="N206" s="26">
        <f>IF(OR(B206="",N(J206)=0),"",M206/J206)</f>
        <v/>
      </c>
      <c r="O206" s="8">
        <f>IF(B206="","",IF(M206&lt;0,"Loss",IF(N206&lt;Settings!$C$28,"Below target","On target")))</f>
        <v/>
      </c>
      <c r="P206" s="14">
        <f>IF(B206="","",IF(1-(INDEX(Settings!$E$8:$E$15,MATCH(Settings!$C$4,Settings!$B$8:$B$15,0))+INDEX(Settings!$F$8:$F$15,MATCH(Settings!$C$4,Settings!$B$8:$B$15,0))*(1+Settings!$C$26)+N(I206)*Settings!$C$23+INDEX(Settings!$H$8:$H$15,MATCH(Settings!$C$4,Settings!$B$8:$B$15,0))+IF(Settings!$C$25="Yes",0.025,0)+INDEX(Settings!$I$8:$I$15,MATCH(Settings!$C$4,Settings!$B$8:$B$15,0))*(INDEX(Settings!$E$8:$E$15,MATCH(Settings!$C$4,Settings!$B$8:$B$15,0))+N(I206)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206)/(1-(INDEX(Settings!$E$8:$E$15,MATCH(Settings!$C$4,Settings!$B$8:$B$15,0))+INDEX(Settings!$F$8:$F$15,MATCH(Settings!$C$4,Settings!$B$8:$B$15,0))*(1+Settings!$C$26)+N(I206)*Settings!$C$23+INDEX(Settings!$H$8:$H$15,MATCH(Settings!$C$4,Settings!$B$8:$B$15,0))+IF(Settings!$C$25="Yes",0.025,0)+INDEX(Settings!$I$8:$I$15,MATCH(Settings!$C$4,Settings!$B$8:$B$15,0))*(INDEX(Settings!$E$8:$E$15,MATCH(Settings!$C$4,Settings!$B$8:$B$15,0))+N(I206)*Settings!$C$23+INDEX(Settings!$H$8:$H$15,MATCH(Settings!$C$4,Settings!$B$8:$B$15,0))))-Settings!$C$28)-N(D206))))</f>
        <v/>
      </c>
      <c r="Q206" s="1" t="n"/>
    </row>
    <row r="207">
      <c r="A207" s="1" t="n"/>
      <c r="B207" s="25" t="n"/>
      <c r="C207" s="7" t="n"/>
      <c r="D207" s="7" t="n"/>
      <c r="E207" s="7" t="n"/>
      <c r="F207" s="7" t="n"/>
      <c r="G207" s="7" t="n"/>
      <c r="H207" s="12" t="n"/>
      <c r="I207" s="11" t="n"/>
      <c r="J207" s="9">
        <f>IF(B207="","",(N(C207)+N(D207)))</f>
        <v/>
      </c>
      <c r="K207" s="9">
        <f>IF(B207="","",INDEX(Settings!$D$8:$D$15,MATCH(Settings!$C$4,Settings!$B$8:$B$15,0))+INDEX(Settings!$E$8:$E$15,MATCH(Settings!$C$4,Settings!$B$8:$B$15,0))*(N(C207)+N(D207))+INDEX(Settings!$F$8:$F$15,MATCH(Settings!$C$4,Settings!$B$8:$B$15,0))*(N(C207)+N(D207))*(1+Settings!$C$26)+INDEX(Settings!$G$8:$G$15,MATCH(Settings!$C$4,Settings!$B$8:$B$15,0))+N(I207)*MIN(Settings!$C$23*(N(C207)+N(D207)),Settings!$C$24)+INDEX(Settings!$H$8:$H$15,MATCH(Settings!$C$4,Settings!$B$8:$B$15,0))*(N(C207)+N(D207))+IF(Settings!$C$25="Yes",0.025,0)*(N(C207)+N(D207))+INDEX(Settings!$I$8:$I$15,MATCH(Settings!$C$4,Settings!$B$8:$B$15,0))*(INDEX(Settings!$D$8:$D$15,MATCH(Settings!$C$4,Settings!$B$8:$B$15,0))+INDEX(Settings!$E$8:$E$15,MATCH(Settings!$C$4,Settings!$B$8:$B$15,0))*(N(C207)+N(D207))+N(I207)*MIN(Settings!$C$23*(N(C207)+N(D207)),Settings!$C$24)+INDEX(Settings!$H$8:$H$15,MATCH(Settings!$C$4,Settings!$B$8:$B$15,0))*(N(C207)+N(D207))))</f>
        <v/>
      </c>
      <c r="L207" s="9">
        <f>IF(B207="","",N(E207)+N(F207)+N(G207)+N(H207)/60*Settings!$C$27)</f>
        <v/>
      </c>
      <c r="M207" s="20">
        <f>IF(B207="","",J207-K207-L207)</f>
        <v/>
      </c>
      <c r="N207" s="26">
        <f>IF(OR(B207="",N(J207)=0),"",M207/J207)</f>
        <v/>
      </c>
      <c r="O207" s="8">
        <f>IF(B207="","",IF(M207&lt;0,"Loss",IF(N207&lt;Settings!$C$28,"Below target","On target")))</f>
        <v/>
      </c>
      <c r="P207" s="14">
        <f>IF(B207="","",IF(1-(INDEX(Settings!$E$8:$E$15,MATCH(Settings!$C$4,Settings!$B$8:$B$15,0))+INDEX(Settings!$F$8:$F$15,MATCH(Settings!$C$4,Settings!$B$8:$B$15,0))*(1+Settings!$C$26)+N(I207)*Settings!$C$23+INDEX(Settings!$H$8:$H$15,MATCH(Settings!$C$4,Settings!$B$8:$B$15,0))+IF(Settings!$C$25="Yes",0.025,0)+INDEX(Settings!$I$8:$I$15,MATCH(Settings!$C$4,Settings!$B$8:$B$15,0))*(INDEX(Settings!$E$8:$E$15,MATCH(Settings!$C$4,Settings!$B$8:$B$15,0))+N(I207)*Settings!$C$23+INDEX(Settings!$H$8:$H$15,MATCH(Settings!$C$4,Settings!$B$8:$B$15,0))))-Settings!$C$28&lt;=0,"Not reachable",MAX(0,(INDEX(Settings!$D$8:$D$15,MATCH(Settings!$C$4,Settings!$B$8:$B$15,0))*(1+INDEX(Settings!$I$8:$I$15,MATCH(Settings!$C$4,Settings!$B$8:$B$15,0)))+INDEX(Settings!$G$8:$G$15,MATCH(Settings!$C$4,Settings!$B$8:$B$15,0))+L207)/(1-(INDEX(Settings!$E$8:$E$15,MATCH(Settings!$C$4,Settings!$B$8:$B$15,0))+INDEX(Settings!$F$8:$F$15,MATCH(Settings!$C$4,Settings!$B$8:$B$15,0))*(1+Settings!$C$26)+N(I207)*Settings!$C$23+INDEX(Settings!$H$8:$H$15,MATCH(Settings!$C$4,Settings!$B$8:$B$15,0))+IF(Settings!$C$25="Yes",0.025,0)+INDEX(Settings!$I$8:$I$15,MATCH(Settings!$C$4,Settings!$B$8:$B$15,0))*(INDEX(Settings!$E$8:$E$15,MATCH(Settings!$C$4,Settings!$B$8:$B$15,0))+N(I207)*Settings!$C$23+INDEX(Settings!$H$8:$H$15,MATCH(Settings!$C$4,Settings!$B$8:$B$15,0))))-Settings!$C$28)-N(D207))))</f>
        <v/>
      </c>
      <c r="Q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</row>
  </sheetData>
  <conditionalFormatting sqref="O8:O207">
    <cfRule type="expression" priority="1" dxfId="3">
      <formula>$O8="Loss"</formula>
    </cfRule>
    <cfRule type="expression" priority="2" dxfId="1">
      <formula>$O8="Below target"</formula>
    </cfRule>
    <cfRule type="expression" priority="3" dxfId="2">
      <formula>$O8="On target"</formula>
    </cfRule>
  </conditionalFormatting>
  <conditionalFormatting sqref="P8:P207">
    <cfRule type="expression" priority="4" dxfId="4">
      <formula>AND(ISNUMBER($P8),$P8&gt;$C8+0.005)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2" customWidth="1" min="4" max="4"/>
    <col width="13" customWidth="1" min="5" max="5"/>
    <col width="14" customWidth="1" min="6" max="6"/>
    <col width="14" customWidth="1" min="7" max="7"/>
    <col width="13" customWidth="1" min="8" max="8"/>
    <col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Pick your country. Every calculation uses the rates on its line.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1" t="inlineStr">
        <is>
          <t>Your country</t>
        </is>
      </c>
      <c r="C4" s="25" t="inlineStr">
        <is>
          <t>United States</t>
        </is>
      </c>
      <c r="D4" s="27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30" customHeight="1">
      <c r="A7" s="1" t="n"/>
      <c r="B7" s="5" t="inlineStr">
        <is>
          <t>Country</t>
        </is>
      </c>
      <c r="C7" s="5" t="inlineStr">
        <is>
          <t>Currency</t>
        </is>
      </c>
      <c r="D7" s="5" t="inlineStr">
        <is>
          <t>Listing fee</t>
        </is>
      </c>
      <c r="E7" s="5" t="inlineStr">
        <is>
          <t>Transaction fee</t>
        </is>
      </c>
      <c r="F7" s="5" t="inlineStr">
        <is>
          <t>Payment processing</t>
        </is>
      </c>
      <c r="G7" s="5" t="inlineStr">
        <is>
          <t>Processing fixed part</t>
        </is>
      </c>
      <c r="H7" s="5" t="inlineStr">
        <is>
          <t>Regulatory fee</t>
        </is>
      </c>
      <c r="I7" s="5" t="inlineStr">
        <is>
          <t>VAT on Etsy fees</t>
        </is>
      </c>
      <c r="J7" s="1" t="n"/>
    </row>
    <row r="8">
      <c r="A8" s="1" t="n"/>
      <c r="B8" s="25" t="inlineStr">
        <is>
          <t>United States</t>
        </is>
      </c>
      <c r="C8" s="13" t="inlineStr">
        <is>
          <t>USD</t>
        </is>
      </c>
      <c r="D8" s="28" t="n">
        <v>0.2</v>
      </c>
      <c r="E8" s="29" t="n">
        <v>0.065</v>
      </c>
      <c r="F8" s="29" t="n">
        <v>0.03</v>
      </c>
      <c r="G8" s="28" t="n">
        <v>0.25</v>
      </c>
      <c r="H8" s="30" t="n">
        <v>0</v>
      </c>
      <c r="I8" s="11" t="n">
        <v>0</v>
      </c>
      <c r="J8" s="1" t="n"/>
    </row>
    <row r="9">
      <c r="A9" s="1" t="n"/>
      <c r="B9" s="25" t="inlineStr">
        <is>
          <t>United Kingdom</t>
        </is>
      </c>
      <c r="C9" s="13" t="inlineStr">
        <is>
          <t>GBP</t>
        </is>
      </c>
      <c r="D9" s="28" t="n">
        <v>0.16</v>
      </c>
      <c r="E9" s="29" t="n">
        <v>0.065</v>
      </c>
      <c r="F9" s="29" t="n">
        <v>0.04</v>
      </c>
      <c r="G9" s="28" t="n">
        <v>0.2</v>
      </c>
      <c r="H9" s="30" t="n">
        <v>0.0032</v>
      </c>
      <c r="I9" s="11" t="n">
        <v>0.2</v>
      </c>
      <c r="J9" s="1" t="n"/>
    </row>
    <row r="10">
      <c r="A10" s="1" t="n"/>
      <c r="B10" s="25" t="inlineStr">
        <is>
          <t>France</t>
        </is>
      </c>
      <c r="C10" s="13" t="inlineStr">
        <is>
          <t>EUR</t>
        </is>
      </c>
      <c r="D10" s="28" t="n">
        <v>0.18</v>
      </c>
      <c r="E10" s="29" t="n">
        <v>0.065</v>
      </c>
      <c r="F10" s="29" t="n">
        <v>0.04</v>
      </c>
      <c r="G10" s="28" t="n">
        <v>0.3</v>
      </c>
      <c r="H10" s="30" t="n">
        <v>0.0047</v>
      </c>
      <c r="I10" s="11" t="n">
        <v>0.2</v>
      </c>
      <c r="J10" s="1" t="n"/>
    </row>
    <row r="11">
      <c r="A11" s="1" t="n"/>
      <c r="B11" s="25" t="inlineStr">
        <is>
          <t>Germany</t>
        </is>
      </c>
      <c r="C11" s="13" t="inlineStr">
        <is>
          <t>EUR</t>
        </is>
      </c>
      <c r="D11" s="28" t="n">
        <v>0.18</v>
      </c>
      <c r="E11" s="29" t="n">
        <v>0.065</v>
      </c>
      <c r="F11" s="29" t="n">
        <v>0.04</v>
      </c>
      <c r="G11" s="28" t="n">
        <v>0.3</v>
      </c>
      <c r="H11" s="30" t="n">
        <v>0</v>
      </c>
      <c r="I11" s="11" t="n">
        <v>0.19</v>
      </c>
      <c r="J11" s="1" t="n"/>
    </row>
    <row r="12">
      <c r="A12" s="1" t="n"/>
      <c r="B12" s="25" t="inlineStr">
        <is>
          <t>Italy</t>
        </is>
      </c>
      <c r="C12" s="13" t="inlineStr">
        <is>
          <t>EUR</t>
        </is>
      </c>
      <c r="D12" s="28" t="n">
        <v>0.18</v>
      </c>
      <c r="E12" s="29" t="n">
        <v>0.065</v>
      </c>
      <c r="F12" s="29" t="n">
        <v>0.04</v>
      </c>
      <c r="G12" s="28" t="n">
        <v>0.3</v>
      </c>
      <c r="H12" s="30" t="n">
        <v>0.0032</v>
      </c>
      <c r="I12" s="11" t="n">
        <v>0.22</v>
      </c>
      <c r="J12" s="1" t="n"/>
    </row>
    <row r="13">
      <c r="A13" s="1" t="n"/>
      <c r="B13" s="25" t="inlineStr">
        <is>
          <t>Spain</t>
        </is>
      </c>
      <c r="C13" s="13" t="inlineStr">
        <is>
          <t>EUR</t>
        </is>
      </c>
      <c r="D13" s="28" t="n">
        <v>0.18</v>
      </c>
      <c r="E13" s="29" t="n">
        <v>0.065</v>
      </c>
      <c r="F13" s="29" t="n">
        <v>0.04</v>
      </c>
      <c r="G13" s="28" t="n">
        <v>0.3</v>
      </c>
      <c r="H13" s="30" t="n">
        <v>0.0072</v>
      </c>
      <c r="I13" s="11" t="n">
        <v>0.21</v>
      </c>
      <c r="J13" s="1" t="n"/>
    </row>
    <row r="14">
      <c r="A14" s="1" t="n"/>
      <c r="B14" s="25" t="inlineStr">
        <is>
          <t>Canada</t>
        </is>
      </c>
      <c r="C14" s="13" t="inlineStr">
        <is>
          <t>CAD</t>
        </is>
      </c>
      <c r="D14" s="28" t="n">
        <v>0.27</v>
      </c>
      <c r="E14" s="29" t="n">
        <v>0.065</v>
      </c>
      <c r="F14" s="29" t="n">
        <v>0.03</v>
      </c>
      <c r="G14" s="28" t="n">
        <v>0.25</v>
      </c>
      <c r="H14" s="30" t="n">
        <v>0</v>
      </c>
      <c r="I14" s="11" t="n">
        <v>0</v>
      </c>
      <c r="J14" s="1" t="n"/>
    </row>
    <row r="15">
      <c r="A15" s="1" t="n"/>
      <c r="B15" s="25" t="inlineStr">
        <is>
          <t>Australia</t>
        </is>
      </c>
      <c r="C15" s="13" t="inlineStr">
        <is>
          <t>AUD</t>
        </is>
      </c>
      <c r="D15" s="28" t="n">
        <v>0.3</v>
      </c>
      <c r="E15" s="29" t="n">
        <v>0.065</v>
      </c>
      <c r="F15" s="29" t="n">
        <v>0.03</v>
      </c>
      <c r="G15" s="28" t="n">
        <v>0.25</v>
      </c>
      <c r="H15" s="30" t="n">
        <v>0</v>
      </c>
      <c r="I15" s="11" t="n">
        <v>0.1</v>
      </c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31" t="inlineStr">
        <is>
          <t>Etsy changes its fees from time to time. These rates are a starting point: check the current ones at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31" t="inlineStr">
        <is>
          <t>etsy.com/legal/fees and change any number in this table. Every calculation follows.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31" t="inlineStr">
        <is>
          <t>The listing fee is 0.20 US dollars, shown here in each currency and rounded. VAT on fees applies when you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31" t="inlineStr">
        <is>
          <t>are not registered for VAT. In Canada, add the GST or HST of your province. Payment processing has no VAT.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30" customHeight="1">
      <c r="A22" s="1" t="n"/>
      <c r="B22" s="5" t="inlineStr">
        <is>
          <t>Other settings</t>
        </is>
      </c>
      <c r="C22" s="5" t="inlineStr">
        <is>
          <t>Value</t>
        </is>
      </c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6" t="inlineStr">
        <is>
          <t>Offsite Ads fee</t>
        </is>
      </c>
      <c r="C23" s="11" t="n">
        <v>0.15</v>
      </c>
      <c r="D23" s="31" t="inlineStr">
        <is>
          <t>15% for most shops, 12% after 10,000 US dollars of sales in a year</t>
        </is>
      </c>
      <c r="E23" s="1" t="n"/>
      <c r="F23" s="1" t="n"/>
      <c r="G23" s="1" t="n"/>
      <c r="H23" s="1" t="n"/>
      <c r="I23" s="1" t="n"/>
      <c r="J23" s="1" t="n"/>
    </row>
    <row r="24">
      <c r="A24" s="1" t="n"/>
      <c r="B24" s="6" t="inlineStr">
        <is>
          <t>Offsite Ads cap per order</t>
        </is>
      </c>
      <c r="C24" s="28" t="n">
        <v>100</v>
      </c>
      <c r="D24" s="31" t="inlineStr">
        <is>
          <t>Etsy caps this fee at 100 US dollars per order</t>
        </is>
      </c>
      <c r="E24" s="1" t="n"/>
      <c r="F24" s="1" t="n"/>
      <c r="G24" s="1" t="n"/>
      <c r="H24" s="1" t="n"/>
      <c r="I24" s="1" t="n"/>
      <c r="J24" s="1" t="n"/>
    </row>
    <row r="25">
      <c r="A25" s="1" t="n"/>
      <c r="B25" s="6" t="inlineStr">
        <is>
          <t>Listing in another currency?</t>
        </is>
      </c>
      <c r="C25" s="13" t="inlineStr">
        <is>
          <t>No</t>
        </is>
      </c>
      <c r="D25" s="31" t="inlineStr">
        <is>
          <t>Yes adds the 2.5% currency conversion fee</t>
        </is>
      </c>
      <c r="E25" s="1" t="n"/>
      <c r="F25" s="1" t="n"/>
      <c r="G25" s="1" t="n"/>
      <c r="H25" s="1" t="n"/>
      <c r="I25" s="1" t="n"/>
      <c r="J25" s="1" t="n"/>
    </row>
    <row r="26">
      <c r="A26" s="1" t="n"/>
      <c r="B26" s="6" t="inlineStr">
        <is>
          <t>Sales tax the buyer pays</t>
        </is>
      </c>
      <c r="C26" s="29" t="n">
        <v>0</v>
      </c>
      <c r="D26" s="31" t="inlineStr">
        <is>
          <t>Only if you want processing fees on the tax too</t>
        </is>
      </c>
      <c r="E26" s="1" t="n"/>
      <c r="F26" s="1" t="n"/>
      <c r="G26" s="1" t="n"/>
      <c r="H26" s="1" t="n"/>
      <c r="I26" s="1" t="n"/>
      <c r="J26" s="1" t="n"/>
    </row>
    <row r="27">
      <c r="A27" s="1" t="n"/>
      <c r="B27" s="6" t="inlineStr">
        <is>
          <t>Your hourly rate</t>
        </is>
      </c>
      <c r="C27" s="28" t="n">
        <v>15</v>
      </c>
      <c r="D27" s="31" t="inlineStr">
        <is>
          <t>For the time you spend on each item</t>
        </is>
      </c>
      <c r="E27" s="1" t="n"/>
      <c r="F27" s="1" t="n"/>
      <c r="G27" s="1" t="n"/>
      <c r="H27" s="1" t="n"/>
      <c r="I27" s="1" t="n"/>
      <c r="J27" s="1" t="n"/>
    </row>
    <row r="28">
      <c r="A28" s="1" t="n"/>
      <c r="B28" s="6" t="inlineStr">
        <is>
          <t>Target profit margin</t>
        </is>
      </c>
      <c r="C28" s="11" t="n">
        <v>0.3</v>
      </c>
      <c r="D28" s="31" t="inlineStr">
        <is>
          <t>Used for status colours and suggested prices</t>
        </is>
      </c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</sheetData>
  <mergeCells count="1">
    <mergeCell ref="C4:D4"/>
  </mergeCells>
  <conditionalFormatting sqref="B8:I15">
    <cfRule type="expression" priority="1" dxfId="5">
      <formula>$B8=$C$4</formula>
    </cfRule>
  </conditionalFormatting>
  <dataValidations count="2">
    <dataValidation sqref="C4" showDropDown="0" showInputMessage="0" showErrorMessage="0" allowBlank="0" type="list">
      <formula1>=$B$8:$B$15</formula1>
    </dataValidation>
    <dataValidation sqref="C25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2" t="inlineStr">
        <is>
          <t>1</t>
        </is>
      </c>
      <c r="C5" s="33" t="inlineStr">
        <is>
          <t>Settings: pick your country. Its fee rates are filled in, and you can change any of them.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2" t="inlineStr">
        <is>
          <t>2</t>
        </is>
      </c>
      <c r="C7" s="33" t="inlineStr">
        <is>
          <t>Settings: set your hourly rate and the profit margin you aim for.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2" t="inlineStr">
        <is>
          <t>3</t>
        </is>
      </c>
      <c r="C9" s="33" t="inlineStr">
        <is>
          <t>Calculator: type one sale, with the price, shipping and your costs, to see every fee and your profit.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2" t="inlineStr">
        <is>
          <t>4</t>
        </is>
      </c>
      <c r="C11" s="33" t="inlineStr">
        <is>
          <t>Products: list your products to compare them. The last column suggests a price for your target margin.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3" t="inlineStr">
        <is>
          <t>Etsy changes its fees from time to time. Check the current rates at etsy.com/legal/fees.</t>
        </is>
      </c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products show how it works.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Works in Google Sheets and Microsoft Excel. This file is not made or endorsed by Etsy.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2026-09-28T11:10:40Z</dcterms:created>
  <dcterms:modified xsi:type="dcterms:W3CDTF">2026-09-28T11:10:41Z</dcterms:modified>
</cp:coreProperties>
</file>